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AA9949E8-ABE2-45EB-AF77-209D03FDECDD}" xr6:coauthVersionLast="47" xr6:coauthVersionMax="47" xr10:uidLastSave="{00000000-0000-0000-0000-000000000000}"/>
  <bookViews>
    <workbookView xWindow="-108" yWindow="-108" windowWidth="23256" windowHeight="12456" xr2:uid="{55A2B840-BD84-481D-8BF3-44A1AA6B6C27}"/>
  </bookViews>
  <sheets>
    <sheet name="1_ข้อมูลลูกหนี้ สป.สค. (0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1" i="1" l="1"/>
  <c r="I51" i="1"/>
  <c r="H51" i="1"/>
  <c r="I50" i="1"/>
  <c r="J50" i="1" s="1"/>
  <c r="H50" i="1"/>
  <c r="I49" i="1"/>
  <c r="J49" i="1" s="1"/>
  <c r="H49" i="1"/>
  <c r="I48" i="1"/>
  <c r="J48" i="1" s="1"/>
  <c r="H48" i="1"/>
  <c r="J47" i="1"/>
  <c r="I47" i="1"/>
  <c r="H47" i="1"/>
  <c r="I46" i="1"/>
  <c r="J46" i="1" s="1"/>
  <c r="H46" i="1"/>
  <c r="I45" i="1"/>
  <c r="J45" i="1" s="1"/>
  <c r="H45" i="1"/>
  <c r="I44" i="1"/>
  <c r="J44" i="1" s="1"/>
  <c r="H44" i="1"/>
  <c r="J43" i="1"/>
  <c r="I43" i="1"/>
  <c r="H43" i="1"/>
  <c r="I42" i="1"/>
  <c r="J42" i="1" s="1"/>
  <c r="H42" i="1"/>
  <c r="I41" i="1"/>
  <c r="J41" i="1" s="1"/>
  <c r="H41" i="1"/>
  <c r="I40" i="1"/>
  <c r="J40" i="1" s="1"/>
  <c r="H40" i="1"/>
  <c r="J39" i="1"/>
  <c r="I39" i="1"/>
  <c r="H39" i="1"/>
  <c r="I38" i="1"/>
  <c r="J38" i="1" s="1"/>
  <c r="H38" i="1"/>
  <c r="I37" i="1"/>
  <c r="J37" i="1" s="1"/>
  <c r="H37" i="1"/>
  <c r="I36" i="1"/>
  <c r="J36" i="1" s="1"/>
  <c r="H36" i="1"/>
  <c r="J35" i="1"/>
  <c r="I35" i="1"/>
  <c r="H35" i="1"/>
  <c r="I34" i="1"/>
  <c r="J34" i="1" s="1"/>
  <c r="H34" i="1"/>
  <c r="I33" i="1"/>
  <c r="J33" i="1" s="1"/>
  <c r="H33" i="1"/>
  <c r="I32" i="1"/>
  <c r="J32" i="1" s="1"/>
  <c r="H32" i="1"/>
  <c r="J31" i="1"/>
  <c r="I31" i="1"/>
  <c r="H31" i="1"/>
  <c r="I30" i="1"/>
  <c r="J30" i="1" s="1"/>
  <c r="H30" i="1"/>
  <c r="I29" i="1"/>
  <c r="J29" i="1" s="1"/>
  <c r="H29" i="1"/>
  <c r="I28" i="1"/>
  <c r="J28" i="1" s="1"/>
  <c r="H28" i="1"/>
  <c r="J27" i="1"/>
  <c r="I27" i="1"/>
  <c r="H27" i="1"/>
  <c r="I26" i="1"/>
  <c r="J26" i="1" s="1"/>
  <c r="H26" i="1"/>
  <c r="I25" i="1"/>
  <c r="J25" i="1" s="1"/>
  <c r="H25" i="1"/>
  <c r="I24" i="1"/>
  <c r="J24" i="1" s="1"/>
  <c r="H24" i="1"/>
  <c r="J23" i="1"/>
  <c r="I23" i="1"/>
  <c r="H23" i="1"/>
  <c r="I22" i="1"/>
  <c r="J22" i="1" s="1"/>
  <c r="H22" i="1"/>
  <c r="I21" i="1"/>
  <c r="J21" i="1" s="1"/>
  <c r="H21" i="1"/>
  <c r="I20" i="1"/>
  <c r="J20" i="1" s="1"/>
  <c r="H20" i="1"/>
  <c r="J19" i="1"/>
  <c r="I19" i="1"/>
  <c r="H19" i="1"/>
  <c r="I18" i="1"/>
  <c r="J18" i="1" s="1"/>
  <c r="H18" i="1"/>
  <c r="I17" i="1"/>
  <c r="J17" i="1" s="1"/>
  <c r="H17" i="1"/>
  <c r="I16" i="1"/>
  <c r="J16" i="1" s="1"/>
  <c r="H16" i="1"/>
  <c r="J15" i="1"/>
  <c r="I15" i="1"/>
  <c r="H15" i="1"/>
  <c r="I14" i="1"/>
  <c r="J14" i="1" s="1"/>
  <c r="H14" i="1"/>
  <c r="I13" i="1"/>
  <c r="J13" i="1" s="1"/>
  <c r="H13" i="1"/>
  <c r="I12" i="1"/>
  <c r="J12" i="1" s="1"/>
  <c r="H12" i="1"/>
  <c r="J11" i="1"/>
  <c r="I11" i="1"/>
  <c r="H11" i="1"/>
  <c r="I10" i="1"/>
  <c r="J10" i="1" s="1"/>
  <c r="H10" i="1"/>
  <c r="I9" i="1"/>
  <c r="J9" i="1" s="1"/>
  <c r="H9" i="1"/>
  <c r="I8" i="1"/>
  <c r="J8" i="1" s="1"/>
  <c r="H8" i="1"/>
</calcChain>
</file>

<file path=xl/sharedStrings.xml><?xml version="1.0" encoding="utf-8"?>
<sst xmlns="http://schemas.openxmlformats.org/spreadsheetml/2006/main" count="55" uniqueCount="47">
  <si>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</si>
  <si>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</si>
  <si>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</si>
  <si>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</si>
  <si>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</si>
  <si>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</si>
  <si>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</si>
  <si>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</si>
  <si>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</si>
  <si>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</si>
  <si>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</si>
  <si>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</si>
  <si>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</si>
  <si>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</si>
  <si>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</si>
  <si>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C-04-06-0001</t>
  </si>
  <si>
    <t>แพโชคเจ้าพระยา(นางพัทยาฯ)</t>
  </si>
  <si>
    <t>ค่าเช่าที่เก็บอุปกรณ์</t>
  </si>
  <si>
    <t>ยังไม่ครบกำหนด</t>
  </si>
  <si>
    <t>C-04-06-0002</t>
  </si>
  <si>
    <t>นส.ศิวพร ชาวสมุทร</t>
  </si>
  <si>
    <t>1–30 วัน</t>
  </si>
  <si>
    <t>C-04-06-0003</t>
  </si>
  <si>
    <t>นายอรรถสิทธิ์ โพธิ์ไผ่</t>
  </si>
  <si>
    <t>31–60 วัน</t>
  </si>
  <si>
    <t>C-04-06-0004</t>
  </si>
  <si>
    <t xml:space="preserve">นายอมร อมรศักดิ์ </t>
  </si>
  <si>
    <t>61–90 วัน</t>
  </si>
  <si>
    <t>C-04-06-0005</t>
  </si>
  <si>
    <t>นส.ผ่องพรรณ พุ่มพวง</t>
  </si>
  <si>
    <t>91–180 วัน</t>
  </si>
  <si>
    <t>C-04-06-0006</t>
  </si>
  <si>
    <t>แพลัดดา (นางสาวสวนีย์ สุขสงวน)</t>
  </si>
  <si>
    <t>181–365 วัน</t>
  </si>
  <si>
    <t>C-04-06-0007</t>
  </si>
  <si>
    <t>แพหมวยอี่ (นายพัทณ์ธนน หมู่เฮงปัญญา)</t>
  </si>
  <si>
    <t>เกิน 365 วัน</t>
  </si>
  <si>
    <t>C-04-06-0008</t>
  </si>
  <si>
    <t>นส.ปวีณา  ทรัพย์ถาวร</t>
  </si>
  <si>
    <t>C-04-06-0009</t>
  </si>
  <si>
    <t>นางพิชชาภา สมบัติศิริ</t>
  </si>
  <si>
    <t>C-04-06-0010</t>
  </si>
  <si>
    <t>น.ส.พรรธนสร ไกรวัตนุสสรณ์</t>
  </si>
  <si>
    <t>ค่าเช่าสถานที่เก็บอุปกรณ์และดองสินค้าสัตว์น้ำ</t>
  </si>
  <si>
    <t>C-04-06-0011</t>
  </si>
  <si>
    <t>นายณัชพล  รอดสุกา</t>
  </si>
  <si>
    <t>โรงเก็บอุปกรณ์ประมง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</si>
</sst>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3240-164A-486E-8F8D-BF31DB8537B1}">
  <sheetPr>
    <tabColor rgb="FFFFC000"/>
  </sheetPr>
  <dimension ref="B2:M1000"/>
  <sheetViews>
    <sheetView showGridLines="0" tabSelected="1" zoomScale="130" zoomScaleNormal="130" workbookViewId="0">
      <selection activeCell="D20" sqref="D20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2587.34</v>
      </c>
      <c r="F8" s="12"/>
      <c r="G8" s="13"/>
      <c r="H8" s="14" t="str">
        <f t="shared" ref="H8:H51" si="0">IF(G8="","",$F$5-G8)</f>
        <v/>
      </c>
      <c r="I8" s="14" t="str">
        <f t="shared" ref="I8:I51" si="1">IF(G8="","",IF(H8&lt;=0,0,IF(H8&lt;=30,1,IF(H8&lt;=60,2,IF(H8&lt;=90,3,IF(H8&lt;=180,4,IF(H8&lt;=365,5,6)))))))</f>
        <v/>
      </c>
      <c r="J8" s="15" t="str">
        <f t="shared" ref="J8:J51" si="2">IF(I8="","",INDEX($M$8:$M$14,MATCH(I8,$L$8:$L$14,0)))</f>
        <v/>
      </c>
      <c r="L8" s="16">
        <v>0</v>
      </c>
      <c r="M8" s="16" t="s">
        <v>18</v>
      </c>
    </row>
    <row r="9" spans="2:13" x14ac:dyDescent="0.35">
      <c r="B9" s="9" t="s">
        <v>19</v>
      </c>
      <c r="C9" s="10" t="s">
        <v>20</v>
      </c>
      <c r="D9" s="10" t="s">
        <v>17</v>
      </c>
      <c r="E9" s="11">
        <v>2431.7199999999998</v>
      </c>
      <c r="F9" s="12"/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21</v>
      </c>
    </row>
    <row r="10" spans="2:13" x14ac:dyDescent="0.35">
      <c r="B10" s="9" t="s">
        <v>22</v>
      </c>
      <c r="C10" s="10" t="s">
        <v>23</v>
      </c>
      <c r="D10" s="10" t="s">
        <v>17</v>
      </c>
      <c r="E10" s="11">
        <v>2587.34</v>
      </c>
      <c r="F10" s="12"/>
      <c r="G10" s="13"/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6">
        <v>2</v>
      </c>
      <c r="M10" s="16" t="s">
        <v>24</v>
      </c>
    </row>
    <row r="11" spans="2:13" x14ac:dyDescent="0.35">
      <c r="B11" s="9" t="s">
        <v>25</v>
      </c>
      <c r="C11" s="10" t="s">
        <v>26</v>
      </c>
      <c r="D11" s="10" t="s">
        <v>17</v>
      </c>
      <c r="E11" s="11">
        <v>2732.54</v>
      </c>
      <c r="F11" s="12"/>
      <c r="G11" s="13"/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6">
        <v>3</v>
      </c>
      <c r="M11" s="16" t="s">
        <v>27</v>
      </c>
    </row>
    <row r="12" spans="2:13" x14ac:dyDescent="0.35">
      <c r="B12" s="9" t="s">
        <v>28</v>
      </c>
      <c r="C12" s="10" t="s">
        <v>29</v>
      </c>
      <c r="D12" s="10" t="s">
        <v>17</v>
      </c>
      <c r="E12" s="11">
        <v>2587.34</v>
      </c>
      <c r="F12" s="12"/>
      <c r="G12" s="13"/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6">
        <v>4</v>
      </c>
      <c r="M12" s="16" t="s">
        <v>30</v>
      </c>
    </row>
    <row r="13" spans="2:13" x14ac:dyDescent="0.35">
      <c r="B13" s="9" t="s">
        <v>31</v>
      </c>
      <c r="C13" s="10" t="s">
        <v>32</v>
      </c>
      <c r="D13" s="10" t="s">
        <v>17</v>
      </c>
      <c r="E13" s="11">
        <v>2587.34</v>
      </c>
      <c r="F13" s="12"/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33</v>
      </c>
    </row>
    <row r="14" spans="2:13" x14ac:dyDescent="0.35">
      <c r="B14" s="9" t="s">
        <v>34</v>
      </c>
      <c r="C14" s="10" t="s">
        <v>35</v>
      </c>
      <c r="D14" s="10" t="s">
        <v>17</v>
      </c>
      <c r="E14" s="11">
        <v>2587.34</v>
      </c>
      <c r="F14" s="12"/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36</v>
      </c>
    </row>
    <row r="15" spans="2:13" x14ac:dyDescent="0.3">
      <c r="B15" s="9" t="s">
        <v>37</v>
      </c>
      <c r="C15" s="10" t="s">
        <v>38</v>
      </c>
      <c r="D15" s="10" t="s">
        <v>17</v>
      </c>
      <c r="E15" s="11">
        <v>2587.34</v>
      </c>
      <c r="F15" s="12"/>
      <c r="G15" s="13"/>
      <c r="H15" s="14" t="str">
        <f t="shared" si="0"/>
        <v/>
      </c>
      <c r="I15" s="14" t="str">
        <f t="shared" si="1"/>
        <v/>
      </c>
      <c r="J15" s="15" t="str">
        <f t="shared" si="2"/>
        <v/>
      </c>
    </row>
    <row r="16" spans="2:13" x14ac:dyDescent="0.3">
      <c r="B16" s="9" t="s">
        <v>39</v>
      </c>
      <c r="C16" s="10" t="s">
        <v>40</v>
      </c>
      <c r="D16" s="10" t="s">
        <v>17</v>
      </c>
      <c r="E16" s="11">
        <v>2732.54</v>
      </c>
      <c r="F16" s="12"/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x14ac:dyDescent="0.3">
      <c r="B17" s="9" t="s">
        <v>41</v>
      </c>
      <c r="C17" s="10" t="s">
        <v>42</v>
      </c>
      <c r="D17" s="10" t="s">
        <v>43</v>
      </c>
      <c r="E17" s="11">
        <v>2587.34</v>
      </c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 t="s">
        <v>44</v>
      </c>
      <c r="C18" s="10" t="s">
        <v>45</v>
      </c>
      <c r="D18" s="10" t="s">
        <v>46</v>
      </c>
      <c r="E18" s="11">
        <v>1800</v>
      </c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x14ac:dyDescent="0.3">
      <c r="B19" s="9"/>
      <c r="C19" s="10"/>
      <c r="D19" s="10"/>
      <c r="E19" s="11"/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x14ac:dyDescent="0.3">
      <c r="B20" s="9"/>
      <c r="C20" s="10"/>
      <c r="D20" s="10"/>
      <c r="E20" s="11"/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/>
      <c r="C21" s="10"/>
      <c r="D21" s="10"/>
      <c r="E21" s="11"/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/>
      <c r="C22" s="10"/>
      <c r="D22" s="10"/>
      <c r="E22" s="11"/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/>
      <c r="C23" s="10"/>
      <c r="D23" s="10"/>
      <c r="E23" s="11"/>
      <c r="F23" s="12"/>
      <c r="G23" s="13"/>
      <c r="H23" s="14" t="str">
        <f t="shared" si="0"/>
        <v/>
      </c>
      <c r="I23" s="14" t="str">
        <f t="shared" si="1"/>
        <v/>
      </c>
      <c r="J23" s="15" t="str">
        <f t="shared" si="2"/>
        <v/>
      </c>
    </row>
    <row r="24" spans="2:10" ht="15.75" customHeight="1" x14ac:dyDescent="0.3">
      <c r="B24" s="9"/>
      <c r="C24" s="10"/>
      <c r="D24" s="10"/>
      <c r="E24" s="11"/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/>
      <c r="C25" s="10"/>
      <c r="D25" s="10"/>
      <c r="E25" s="11"/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/>
      <c r="C26" s="10"/>
      <c r="D26" s="10"/>
      <c r="E26" s="11"/>
      <c r="F26" s="12"/>
      <c r="G26" s="13"/>
      <c r="H26" s="14" t="str">
        <f t="shared" si="0"/>
        <v/>
      </c>
      <c r="I26" s="14" t="str">
        <f t="shared" si="1"/>
        <v/>
      </c>
      <c r="J26" s="15" t="str">
        <f t="shared" si="2"/>
        <v/>
      </c>
    </row>
    <row r="27" spans="2:10" ht="15.75" customHeight="1" x14ac:dyDescent="0.3">
      <c r="B27" s="9"/>
      <c r="C27" s="10"/>
      <c r="D27" s="10"/>
      <c r="E27" s="11"/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/>
      <c r="C28" s="10"/>
      <c r="D28" s="10"/>
      <c r="E28" s="11"/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/>
      <c r="C29" s="10"/>
      <c r="D29" s="10"/>
      <c r="E29" s="11"/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/>
      <c r="C30" s="10"/>
      <c r="D30" s="10"/>
      <c r="E30" s="11"/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/>
      <c r="C31" s="10"/>
      <c r="D31" s="10"/>
      <c r="E31" s="11"/>
      <c r="F31" s="12"/>
      <c r="G31" s="13"/>
      <c r="H31" s="14" t="str">
        <f t="shared" si="0"/>
        <v/>
      </c>
      <c r="I31" s="14" t="str">
        <f t="shared" si="1"/>
        <v/>
      </c>
      <c r="J31" s="15" t="str">
        <f t="shared" si="2"/>
        <v/>
      </c>
    </row>
    <row r="32" spans="2:10" ht="15.75" customHeight="1" x14ac:dyDescent="0.3">
      <c r="B32" s="9"/>
      <c r="C32" s="10"/>
      <c r="D32" s="10"/>
      <c r="E32" s="11"/>
      <c r="F32" s="12"/>
      <c r="G32" s="13"/>
      <c r="H32" s="14" t="str">
        <f t="shared" si="0"/>
        <v/>
      </c>
      <c r="I32" s="14" t="str">
        <f t="shared" si="1"/>
        <v/>
      </c>
      <c r="J32" s="15" t="str">
        <f t="shared" si="2"/>
        <v/>
      </c>
    </row>
    <row r="33" spans="2:10" ht="15.75" customHeight="1" x14ac:dyDescent="0.3">
      <c r="B33" s="9"/>
      <c r="C33" s="10"/>
      <c r="D33" s="10"/>
      <c r="E33" s="11"/>
      <c r="F33" s="12"/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/>
      <c r="C34" s="10"/>
      <c r="D34" s="10"/>
      <c r="E34" s="11"/>
      <c r="F34" s="12"/>
      <c r="G34" s="13"/>
      <c r="H34" s="14" t="str">
        <f t="shared" si="0"/>
        <v/>
      </c>
      <c r="I34" s="14" t="str">
        <f t="shared" si="1"/>
        <v/>
      </c>
      <c r="J34" s="15" t="str">
        <f t="shared" si="2"/>
        <v/>
      </c>
    </row>
    <row r="35" spans="2:10" ht="15.75" customHeight="1" x14ac:dyDescent="0.3">
      <c r="B35" s="9"/>
      <c r="C35" s="10"/>
      <c r="D35" s="10"/>
      <c r="E35" s="11"/>
      <c r="F35" s="12"/>
      <c r="G35" s="13"/>
      <c r="H35" s="14" t="str">
        <f t="shared" si="0"/>
        <v/>
      </c>
      <c r="I35" s="14" t="str">
        <f t="shared" si="1"/>
        <v/>
      </c>
      <c r="J35" s="15" t="str">
        <f t="shared" si="2"/>
        <v/>
      </c>
    </row>
    <row r="36" spans="2:10" ht="15.75" customHeight="1" x14ac:dyDescent="0.3">
      <c r="B36" s="9"/>
      <c r="C36" s="10"/>
      <c r="D36" s="10"/>
      <c r="E36" s="11"/>
      <c r="F36" s="12"/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/>
      <c r="C37" s="10"/>
      <c r="D37" s="10"/>
      <c r="E37" s="11"/>
      <c r="F37" s="12"/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/>
      <c r="C38" s="10"/>
      <c r="D38" s="10"/>
      <c r="E38" s="11"/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/>
      <c r="C39" s="10"/>
      <c r="D39" s="10"/>
      <c r="E39" s="11"/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/>
      <c r="C40" s="10"/>
      <c r="D40" s="10"/>
      <c r="E40" s="11"/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/>
      <c r="C41" s="10"/>
      <c r="D41" s="10"/>
      <c r="E41" s="11"/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/>
      <c r="C42" s="10"/>
      <c r="D42" s="10"/>
      <c r="E42" s="11"/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/>
      <c r="C43" s="10"/>
      <c r="D43" s="10"/>
      <c r="E43" s="11"/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/>
      <c r="C44" s="10"/>
      <c r="D44" s="10"/>
      <c r="E44" s="11"/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/>
      <c r="C45" s="10"/>
      <c r="D45" s="10"/>
      <c r="E45" s="11"/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/>
      <c r="C46" s="10"/>
      <c r="D46" s="10"/>
      <c r="E46" s="11"/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/>
      <c r="C47" s="10"/>
      <c r="D47" s="10"/>
      <c r="E47" s="11"/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/>
      <c r="C48" s="10"/>
      <c r="D48" s="10"/>
      <c r="E48" s="11"/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/>
      <c r="C49" s="10"/>
      <c r="D49" s="10"/>
      <c r="E49" s="11"/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/>
      <c r="C50" s="10"/>
      <c r="D50" s="10"/>
      <c r="E50" s="11"/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/>
      <c r="C51" s="10"/>
      <c r="D51" s="10"/>
      <c r="E51" s="11"/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/>
    <row r="53" spans="2:10" ht="15.75" customHeight="1" x14ac:dyDescent="0.3"/>
    <row r="54" spans="2:10" ht="15.75" customHeight="1" x14ac:dyDescent="0.3"/>
    <row r="55" spans="2:10" ht="15.75" customHeight="1" x14ac:dyDescent="0.3"/>
    <row r="56" spans="2:10" ht="15.75" customHeight="1" x14ac:dyDescent="0.3"/>
    <row r="57" spans="2:10" ht="15.75" customHeight="1" x14ac:dyDescent="0.3"/>
    <row r="58" spans="2:10" ht="15.75" customHeight="1" x14ac:dyDescent="0.3"/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สป.สค. (04)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2026-07-23T06:46:34Z</dcterms:created>
  <dcterms:modified xsi:type="dcterms:W3CDTF">2026-07-23T06:47:19Z</dcterms:modified>
</cp:coreProperties>
</file>