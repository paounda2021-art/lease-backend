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หนี้ มิย.69 ส่งให้พี่หนี้\ไฟล์ส่ง พี่หนิง\"/>
    </mc:Choice>
  </mc:AlternateContent>
  <xr:revisionPtr revIDLastSave="0" documentId="8_{D491BC2E-3C09-4E6D-88C6-AFF7632113E2}" xr6:coauthVersionLast="47" xr6:coauthVersionMax="47" xr10:uidLastSave="{00000000-0000-0000-0000-000000000000}"/>
  <bookViews>
    <workbookView xWindow="-108" yWindow="-108" windowWidth="23256" windowHeight="12456" xr2:uid="{A9DAE5E8-482F-48CA-A190-CEC62350E073}"/>
  </bookViews>
  <sheets>
    <sheet name="มิย.69" sheetId="37" r:id="rId1"/>
    <sheet name="รับชำระ มิย.69" sheetId="38" r:id="rId2"/>
    <sheet name="แนบ มิย.69" sheetId="39" r:id="rId3"/>
    <sheet name="เรียง มิย.69" sheetId="40" r:id="rId4"/>
    <sheet name="เรียง พ.ค.69" sheetId="36" r:id="rId5"/>
    <sheet name="แนบ พ.ค.69" sheetId="35" r:id="rId6"/>
    <sheet name="รับชำระ พ.ค.69" sheetId="34" r:id="rId7"/>
    <sheet name="พ.ค.69" sheetId="33" r:id="rId8"/>
    <sheet name="(ท่าส่ง) พ.ค.69" sheetId="31" r:id="rId9"/>
    <sheet name="เมย.69" sheetId="27" r:id="rId10"/>
    <sheet name="รับชำระ เมย.69" sheetId="28" r:id="rId11"/>
    <sheet name="แนบ เมย.69" sheetId="29" r:id="rId12"/>
    <sheet name="เรียง เมย.69" sheetId="30" r:id="rId13"/>
    <sheet name="มีค.69" sheetId="23" r:id="rId14"/>
    <sheet name="รับชำระ มีค.69" sheetId="24" r:id="rId15"/>
    <sheet name="แนบ มีค.69" sheetId="25" r:id="rId16"/>
    <sheet name="เรียง มีค.69" sheetId="26" r:id="rId17"/>
    <sheet name="กพ.69" sheetId="18" r:id="rId18"/>
    <sheet name="รับชำระ กพ.69" sheetId="19" r:id="rId19"/>
    <sheet name="แนบ กพ.69" sheetId="20" r:id="rId20"/>
    <sheet name="เรียง กพ.69" sheetId="22" r:id="rId21"/>
    <sheet name="มค.69" sheetId="14" r:id="rId22"/>
    <sheet name="รับชำระ มค.69" sheetId="15" r:id="rId23"/>
    <sheet name="แนบ มค.69" sheetId="16" r:id="rId24"/>
    <sheet name="เรียง มค.69" sheetId="17" r:id="rId25"/>
    <sheet name="ธค.68" sheetId="10" r:id="rId26"/>
    <sheet name="รับชำระ ธค.68" sheetId="11" r:id="rId27"/>
    <sheet name="แนบ ธค.68" sheetId="12" r:id="rId28"/>
    <sheet name="เรียง ธค.68" sheetId="13" r:id="rId29"/>
    <sheet name="พย.68" sheetId="6" r:id="rId30"/>
    <sheet name="รับชำระ พย.68" sheetId="7" r:id="rId31"/>
    <sheet name="แนบ พย.68" sheetId="8" r:id="rId32"/>
    <sheet name="เรียง พย.68" sheetId="9" r:id="rId33"/>
    <sheet name="ตค.68" sheetId="2" r:id="rId34"/>
    <sheet name="รับชำระ ตค.68" sheetId="3" r:id="rId35"/>
    <sheet name="แนบ ตค.68" sheetId="4" r:id="rId36"/>
    <sheet name="เรียง ตค.68" sheetId="5" r:id="rId37"/>
    <sheet name="กย.68" sheetId="1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39" l="1"/>
  <c r="G21" i="39"/>
  <c r="F37" i="40"/>
  <c r="F21" i="40"/>
  <c r="H35" i="40"/>
  <c r="H30" i="40"/>
  <c r="H24" i="40"/>
  <c r="H21" i="40"/>
  <c r="I35" i="39"/>
  <c r="I30" i="39"/>
  <c r="I24" i="39"/>
  <c r="I21" i="39"/>
  <c r="J37" i="39" s="1"/>
  <c r="P42" i="37"/>
  <c r="O42" i="37"/>
  <c r="N42" i="37"/>
  <c r="L42" i="37"/>
  <c r="K42" i="37"/>
  <c r="I42" i="37"/>
  <c r="R40" i="37"/>
  <c r="M40" i="37"/>
  <c r="S39" i="37"/>
  <c r="S40" i="37" s="1"/>
  <c r="Q39" i="37"/>
  <c r="Q40" i="37" s="1"/>
  <c r="R35" i="37"/>
  <c r="M35" i="37"/>
  <c r="J35" i="37"/>
  <c r="H35" i="37"/>
  <c r="S34" i="37"/>
  <c r="Q34" i="37"/>
  <c r="S33" i="37"/>
  <c r="Q33" i="37"/>
  <c r="S32" i="37"/>
  <c r="Q32" i="37"/>
  <c r="S31" i="37"/>
  <c r="Q31" i="37"/>
  <c r="S30" i="37"/>
  <c r="S35" i="37" s="1"/>
  <c r="Q30" i="37"/>
  <c r="S27" i="37"/>
  <c r="R27" i="37"/>
  <c r="Q27" i="37"/>
  <c r="S24" i="37"/>
  <c r="Q24" i="37"/>
  <c r="M24" i="37"/>
  <c r="M42" i="37" s="1"/>
  <c r="J24" i="37"/>
  <c r="J42" i="37" s="1"/>
  <c r="H24" i="37"/>
  <c r="H42" i="37" s="1"/>
  <c r="H40" i="36"/>
  <c r="F38" i="36"/>
  <c r="F35" i="36"/>
  <c r="F21" i="36"/>
  <c r="F16" i="36"/>
  <c r="H35" i="36"/>
  <c r="H21" i="36"/>
  <c r="H16" i="36"/>
  <c r="A16" i="36"/>
  <c r="H38" i="35"/>
  <c r="H33" i="35"/>
  <c r="H27" i="35"/>
  <c r="J40" i="35" s="1"/>
  <c r="H24" i="35"/>
  <c r="F14" i="34"/>
  <c r="P42" i="33"/>
  <c r="O42" i="33"/>
  <c r="N42" i="33"/>
  <c r="L42" i="33"/>
  <c r="K42" i="33"/>
  <c r="I42" i="33"/>
  <c r="H42" i="33"/>
  <c r="R40" i="33"/>
  <c r="M40" i="33"/>
  <c r="S39" i="33"/>
  <c r="S40" i="33" s="1"/>
  <c r="Q39" i="33"/>
  <c r="Q40" i="33" s="1"/>
  <c r="R35" i="33"/>
  <c r="M35" i="33"/>
  <c r="J35" i="33"/>
  <c r="J42" i="33" s="1"/>
  <c r="H35" i="33"/>
  <c r="S34" i="33"/>
  <c r="Q34" i="33"/>
  <c r="S33" i="33"/>
  <c r="Q33" i="33"/>
  <c r="S32" i="33"/>
  <c r="Q32" i="33"/>
  <c r="S31" i="33"/>
  <c r="Q31" i="33"/>
  <c r="S30" i="33"/>
  <c r="S35" i="33" s="1"/>
  <c r="Q30" i="33"/>
  <c r="S27" i="33"/>
  <c r="R27" i="33"/>
  <c r="Q27" i="33"/>
  <c r="S24" i="33"/>
  <c r="Q24" i="33"/>
  <c r="M24" i="33"/>
  <c r="M42" i="33" s="1"/>
  <c r="J24" i="33"/>
  <c r="H24" i="33"/>
  <c r="P42" i="31"/>
  <c r="O42" i="31"/>
  <c r="N42" i="31"/>
  <c r="L42" i="31"/>
  <c r="K42" i="31"/>
  <c r="I42" i="31"/>
  <c r="S40" i="31"/>
  <c r="R40" i="31"/>
  <c r="M40" i="31"/>
  <c r="S39" i="31"/>
  <c r="Q39" i="31"/>
  <c r="Q40" i="31" s="1"/>
  <c r="R35" i="31"/>
  <c r="M35" i="31"/>
  <c r="M42" i="31" s="1"/>
  <c r="J35" i="31"/>
  <c r="J42" i="31" s="1"/>
  <c r="H35" i="31"/>
  <c r="H42" i="31" s="1"/>
  <c r="S34" i="31"/>
  <c r="Q34" i="31"/>
  <c r="S33" i="31"/>
  <c r="Q33" i="31"/>
  <c r="S32" i="31"/>
  <c r="Q32" i="31"/>
  <c r="S31" i="31"/>
  <c r="Q31" i="31"/>
  <c r="S30" i="31"/>
  <c r="S35" i="31" s="1"/>
  <c r="S42" i="31" s="1"/>
  <c r="Q30" i="31"/>
  <c r="Q35" i="31" s="1"/>
  <c r="S27" i="31"/>
  <c r="R27" i="31"/>
  <c r="Q27" i="31"/>
  <c r="S24" i="31"/>
  <c r="Q24" i="31"/>
  <c r="M24" i="31"/>
  <c r="J24" i="31"/>
  <c r="H24" i="31"/>
  <c r="H38" i="30"/>
  <c r="H33" i="30"/>
  <c r="H27" i="30"/>
  <c r="H24" i="30"/>
  <c r="H40" i="30" s="1"/>
  <c r="I40" i="29"/>
  <c r="I38" i="29"/>
  <c r="I33" i="29"/>
  <c r="I27" i="29"/>
  <c r="I24" i="29"/>
  <c r="F13" i="28"/>
  <c r="P42" i="27"/>
  <c r="O42" i="27"/>
  <c r="N42" i="27"/>
  <c r="L42" i="27"/>
  <c r="K42" i="27"/>
  <c r="I42" i="27"/>
  <c r="R40" i="27"/>
  <c r="M40" i="27"/>
  <c r="S39" i="27"/>
  <c r="S40" i="27" s="1"/>
  <c r="Q39" i="27"/>
  <c r="Q40" i="27" s="1"/>
  <c r="R35" i="27"/>
  <c r="M35" i="27"/>
  <c r="J35" i="27"/>
  <c r="H35" i="27"/>
  <c r="S34" i="27"/>
  <c r="Q34" i="27"/>
  <c r="S33" i="27"/>
  <c r="Q33" i="27"/>
  <c r="S32" i="27"/>
  <c r="Q32" i="27"/>
  <c r="S31" i="27"/>
  <c r="Q31" i="27"/>
  <c r="S30" i="27"/>
  <c r="Q30" i="27"/>
  <c r="S27" i="27"/>
  <c r="R27" i="27"/>
  <c r="Q27" i="27"/>
  <c r="S24" i="27"/>
  <c r="Q24" i="27"/>
  <c r="M24" i="27"/>
  <c r="M42" i="27" s="1"/>
  <c r="J24" i="27"/>
  <c r="J42" i="27" s="1"/>
  <c r="H24" i="27"/>
  <c r="A14" i="25"/>
  <c r="G14" i="25"/>
  <c r="G23" i="25"/>
  <c r="G37" i="25"/>
  <c r="G41" i="25"/>
  <c r="F38" i="26"/>
  <c r="F35" i="26"/>
  <c r="F21" i="26"/>
  <c r="F16" i="26"/>
  <c r="A16" i="26"/>
  <c r="I37" i="40" l="1"/>
  <c r="Q35" i="37"/>
  <c r="Q42" i="37" s="1"/>
  <c r="S42" i="37"/>
  <c r="F40" i="36"/>
  <c r="Q35" i="33"/>
  <c r="Q42" i="33"/>
  <c r="S42" i="33"/>
  <c r="Q42" i="31"/>
  <c r="Q35" i="27"/>
  <c r="Q42" i="27" s="1"/>
  <c r="S35" i="27"/>
  <c r="S42" i="27" s="1"/>
  <c r="H42" i="27"/>
  <c r="F40" i="26"/>
  <c r="G44" i="25"/>
  <c r="H35" i="26"/>
  <c r="H21" i="26"/>
  <c r="H16" i="26"/>
  <c r="I37" i="25"/>
  <c r="I23" i="25"/>
  <c r="I17" i="25"/>
  <c r="I14" i="25"/>
  <c r="Q42" i="23"/>
  <c r="P42" i="23" l="1"/>
  <c r="O42" i="23"/>
  <c r="N42" i="23"/>
  <c r="L42" i="23"/>
  <c r="K42" i="23"/>
  <c r="I42" i="23"/>
  <c r="R40" i="23"/>
  <c r="M40" i="23"/>
  <c r="S39" i="23"/>
  <c r="S40" i="23" s="1"/>
  <c r="Q39" i="23"/>
  <c r="Q40" i="23" s="1"/>
  <c r="R35" i="23"/>
  <c r="M35" i="23"/>
  <c r="J35" i="23"/>
  <c r="J42" i="23" s="1"/>
  <c r="H35" i="23"/>
  <c r="H42" i="23" s="1"/>
  <c r="S34" i="23"/>
  <c r="Q34" i="23"/>
  <c r="S33" i="23"/>
  <c r="Q33" i="23"/>
  <c r="S32" i="23"/>
  <c r="Q32" i="23"/>
  <c r="S31" i="23"/>
  <c r="Q31" i="23"/>
  <c r="S30" i="23"/>
  <c r="Q30" i="23"/>
  <c r="S27" i="23"/>
  <c r="R27" i="23"/>
  <c r="Q27" i="23"/>
  <c r="S24" i="23"/>
  <c r="Q24" i="23"/>
  <c r="M24" i="23"/>
  <c r="J24" i="23"/>
  <c r="H24" i="23"/>
  <c r="H38" i="22"/>
  <c r="H33" i="22"/>
  <c r="H27" i="22"/>
  <c r="H24" i="22"/>
  <c r="I40" i="20"/>
  <c r="I38" i="20"/>
  <c r="I33" i="20"/>
  <c r="I27" i="20"/>
  <c r="I24" i="20"/>
  <c r="H11" i="19"/>
  <c r="S35" i="23" l="1"/>
  <c r="M42" i="23"/>
  <c r="Q35" i="23"/>
  <c r="S42" i="23"/>
  <c r="H40" i="22"/>
  <c r="P42" i="18"/>
  <c r="O42" i="18"/>
  <c r="N42" i="18"/>
  <c r="L42" i="18"/>
  <c r="K42" i="18"/>
  <c r="I42" i="18"/>
  <c r="R40" i="18"/>
  <c r="M40" i="18"/>
  <c r="S39" i="18"/>
  <c r="S40" i="18" s="1"/>
  <c r="Q39" i="18"/>
  <c r="Q40" i="18" s="1"/>
  <c r="R35" i="18"/>
  <c r="M35" i="18"/>
  <c r="J35" i="18"/>
  <c r="H35" i="18"/>
  <c r="S34" i="18"/>
  <c r="Q34" i="18"/>
  <c r="S33" i="18"/>
  <c r="Q33" i="18"/>
  <c r="S32" i="18"/>
  <c r="Q32" i="18"/>
  <c r="S31" i="18"/>
  <c r="Q31" i="18"/>
  <c r="S30" i="18"/>
  <c r="Q30" i="18"/>
  <c r="S27" i="18"/>
  <c r="R27" i="18"/>
  <c r="Q27" i="18"/>
  <c r="S24" i="18"/>
  <c r="Q24" i="18"/>
  <c r="M24" i="18"/>
  <c r="J24" i="18"/>
  <c r="H24" i="18"/>
  <c r="H39" i="17"/>
  <c r="H34" i="17"/>
  <c r="H27" i="17"/>
  <c r="H24" i="17"/>
  <c r="H41" i="17" s="1"/>
  <c r="I39" i="16"/>
  <c r="I34" i="16"/>
  <c r="I27" i="16"/>
  <c r="I24" i="16"/>
  <c r="I41" i="16" s="1"/>
  <c r="S35" i="18" l="1"/>
  <c r="Q35" i="18"/>
  <c r="Q42" i="18" s="1"/>
  <c r="M42" i="18"/>
  <c r="H42" i="18"/>
  <c r="J42" i="18"/>
  <c r="S42" i="18"/>
  <c r="P42" i="14"/>
  <c r="O42" i="14"/>
  <c r="N42" i="14"/>
  <c r="L42" i="14"/>
  <c r="K42" i="14"/>
  <c r="I42" i="14"/>
  <c r="R40" i="14"/>
  <c r="M40" i="14"/>
  <c r="S39" i="14"/>
  <c r="S40" i="14" s="1"/>
  <c r="Q39" i="14"/>
  <c r="Q40" i="14" s="1"/>
  <c r="R35" i="14"/>
  <c r="M35" i="14"/>
  <c r="M42" i="14" s="1"/>
  <c r="J35" i="14"/>
  <c r="J42" i="14" s="1"/>
  <c r="H35" i="14"/>
  <c r="H42" i="14" s="1"/>
  <c r="S34" i="14"/>
  <c r="Q34" i="14"/>
  <c r="S33" i="14"/>
  <c r="Q33" i="14"/>
  <c r="S32" i="14"/>
  <c r="Q32" i="14"/>
  <c r="S31" i="14"/>
  <c r="Q31" i="14"/>
  <c r="S30" i="14"/>
  <c r="Q30" i="14"/>
  <c r="Q35" i="14" s="1"/>
  <c r="S27" i="14"/>
  <c r="R27" i="14"/>
  <c r="Q27" i="14"/>
  <c r="S24" i="14"/>
  <c r="Q24" i="14"/>
  <c r="M24" i="14"/>
  <c r="J24" i="14"/>
  <c r="H24" i="14"/>
  <c r="H39" i="12"/>
  <c r="H34" i="12"/>
  <c r="H27" i="12"/>
  <c r="H24" i="12"/>
  <c r="H41" i="12" s="1"/>
  <c r="I10" i="11"/>
  <c r="P42" i="10"/>
  <c r="O42" i="10"/>
  <c r="N42" i="10"/>
  <c r="L42" i="10"/>
  <c r="K42" i="10"/>
  <c r="I42" i="10"/>
  <c r="S40" i="10"/>
  <c r="R40" i="10"/>
  <c r="M40" i="10"/>
  <c r="S39" i="10"/>
  <c r="Q39" i="10"/>
  <c r="Q40" i="10" s="1"/>
  <c r="R35" i="10"/>
  <c r="M35" i="10"/>
  <c r="M42" i="10" s="1"/>
  <c r="J35" i="10"/>
  <c r="J42" i="10" s="1"/>
  <c r="H35" i="10"/>
  <c r="H42" i="10" s="1"/>
  <c r="S34" i="10"/>
  <c r="Q34" i="10"/>
  <c r="S33" i="10"/>
  <c r="Q33" i="10"/>
  <c r="S32" i="10"/>
  <c r="Q32" i="10"/>
  <c r="S31" i="10"/>
  <c r="Q31" i="10"/>
  <c r="S30" i="10"/>
  <c r="S35" i="10" s="1"/>
  <c r="Q30" i="10"/>
  <c r="S27" i="10"/>
  <c r="R27" i="10"/>
  <c r="Q27" i="10"/>
  <c r="S24" i="10"/>
  <c r="Q24" i="10"/>
  <c r="M24" i="10"/>
  <c r="J24" i="10"/>
  <c r="H24" i="10"/>
  <c r="H41" i="8"/>
  <c r="H39" i="8"/>
  <c r="H34" i="8"/>
  <c r="H27" i="8"/>
  <c r="H24" i="8"/>
  <c r="I10" i="7"/>
  <c r="J24" i="6"/>
  <c r="P42" i="6"/>
  <c r="O42" i="6"/>
  <c r="N42" i="6"/>
  <c r="L42" i="6"/>
  <c r="K42" i="6"/>
  <c r="I42" i="6"/>
  <c r="S40" i="6"/>
  <c r="R40" i="6"/>
  <c r="Q40" i="6"/>
  <c r="M40" i="6"/>
  <c r="S39" i="6"/>
  <c r="Q39" i="6"/>
  <c r="R35" i="6"/>
  <c r="M35" i="6"/>
  <c r="M42" i="6" s="1"/>
  <c r="J35" i="6"/>
  <c r="H35" i="6"/>
  <c r="H42" i="6" s="1"/>
  <c r="S34" i="6"/>
  <c r="Q34" i="6"/>
  <c r="S33" i="6"/>
  <c r="Q33" i="6"/>
  <c r="S32" i="6"/>
  <c r="Q32" i="6"/>
  <c r="S31" i="6"/>
  <c r="Q31" i="6"/>
  <c r="S30" i="6"/>
  <c r="Q30" i="6"/>
  <c r="S27" i="6"/>
  <c r="R27" i="6"/>
  <c r="Q27" i="6"/>
  <c r="S24" i="6"/>
  <c r="Q24" i="6"/>
  <c r="M24" i="6"/>
  <c r="H24" i="6"/>
  <c r="H39" i="5"/>
  <c r="H34" i="5"/>
  <c r="H27" i="5"/>
  <c r="H24" i="5"/>
  <c r="I41" i="5" s="1"/>
  <c r="I41" i="4"/>
  <c r="S42" i="2"/>
  <c r="H39" i="4"/>
  <c r="H34" i="4"/>
  <c r="H27" i="4"/>
  <c r="H24" i="4"/>
  <c r="H11" i="3"/>
  <c r="P42" i="2"/>
  <c r="O42" i="2"/>
  <c r="N42" i="2"/>
  <c r="L42" i="2"/>
  <c r="K42" i="2"/>
  <c r="I42" i="2"/>
  <c r="R40" i="2"/>
  <c r="Q40" i="2"/>
  <c r="M40" i="2"/>
  <c r="S39" i="2"/>
  <c r="S40" i="2" s="1"/>
  <c r="Q39" i="2"/>
  <c r="R35" i="2"/>
  <c r="M35" i="2"/>
  <c r="J35" i="2"/>
  <c r="H35" i="2"/>
  <c r="H42" i="2" s="1"/>
  <c r="S34" i="2"/>
  <c r="Q34" i="2"/>
  <c r="S33" i="2"/>
  <c r="Q33" i="2"/>
  <c r="S32" i="2"/>
  <c r="Q32" i="2"/>
  <c r="S31" i="2"/>
  <c r="Q31" i="2"/>
  <c r="S30" i="2"/>
  <c r="Q30" i="2"/>
  <c r="S27" i="2"/>
  <c r="R27" i="2"/>
  <c r="Q27" i="2"/>
  <c r="S24" i="2"/>
  <c r="Q24" i="2"/>
  <c r="M24" i="2"/>
  <c r="J24" i="2"/>
  <c r="H24" i="2"/>
  <c r="S35" i="14" l="1"/>
  <c r="S42" i="14" s="1"/>
  <c r="Q42" i="14"/>
  <c r="S42" i="10"/>
  <c r="Q35" i="10"/>
  <c r="Q42" i="10" s="1"/>
  <c r="Q35" i="6"/>
  <c r="Q42" i="6" s="1"/>
  <c r="S35" i="6"/>
  <c r="S42" i="6" s="1"/>
  <c r="J42" i="6"/>
  <c r="M42" i="2"/>
  <c r="J42" i="2"/>
  <c r="Q35" i="2"/>
  <c r="Q42" i="2" s="1"/>
  <c r="S35" i="2"/>
  <c r="R42" i="10"/>
  <c r="R24" i="10"/>
  <c r="R42" i="2"/>
  <c r="R24" i="2"/>
  <c r="R42" i="31"/>
  <c r="R24" i="31"/>
  <c r="R24" i="37"/>
  <c r="R42" i="37"/>
  <c r="R42" i="27"/>
  <c r="R24" i="27"/>
  <c r="R42" i="6"/>
  <c r="R24" i="6"/>
  <c r="R42" i="23"/>
  <c r="R24" i="23"/>
  <c r="R42" i="33"/>
  <c r="R24" i="33"/>
  <c r="R42" i="18"/>
  <c r="R24" i="18"/>
  <c r="R42" i="14"/>
  <c r="R24" i="14"/>
</calcChain>
</file>

<file path=xl/sharedStrings.xml><?xml version="1.0" encoding="utf-8"?>
<sst xmlns="http://schemas.openxmlformats.org/spreadsheetml/2006/main" count="3338" uniqueCount="158">
  <si>
    <t>รายละเอียดการรับชำระหนี้ค่าเช่า</t>
  </si>
  <si>
    <t>สำนักงานท่าเทียบเรือประมงนราธิวาส</t>
  </si>
  <si>
    <t>ณ วันที่ 30 กันยายน 2568</t>
  </si>
  <si>
    <t>ลำดับ</t>
  </si>
  <si>
    <t>รายชื่อ</t>
  </si>
  <si>
    <t>สถานที่ตั้ง</t>
  </si>
  <si>
    <t>อัตราค่าเช่าค่าธรรมเนียม</t>
  </si>
  <si>
    <t>ค้างชำระยกมา</t>
  </si>
  <si>
    <t>รับชำระ</t>
  </si>
  <si>
    <t>ค้างชำระยกไป</t>
  </si>
  <si>
    <t>ค้างตั้งแต่</t>
  </si>
  <si>
    <t>ยอดหนี้</t>
  </si>
  <si>
    <t>วดป.</t>
  </si>
  <si>
    <t>เลขที่ใบเสร็จ</t>
  </si>
  <si>
    <t>จำนวนเงิน</t>
  </si>
  <si>
    <t>งวด</t>
  </si>
  <si>
    <t>อายุ</t>
  </si>
  <si>
    <t>ภาษีมูลค่าเพิ่ม</t>
  </si>
  <si>
    <t>รวม</t>
  </si>
  <si>
    <t>หนี้</t>
  </si>
  <si>
    <t>ค่าเช่าอาคารและที่ดิน 4700400</t>
  </si>
  <si>
    <t>น.ส.ปาลีด๊ะห์ จิ (นายดลยาร์ สาแลบิง</t>
  </si>
  <si>
    <t>อาหาร ล.8</t>
  </si>
  <si>
    <t>พค.58-พค.61</t>
  </si>
  <si>
    <t>นางบุปผา อรุณทอง(นายปัญญา วงค์อยู่)วันดี นิลบุตร</t>
  </si>
  <si>
    <t>อาหาร ล.9-10</t>
  </si>
  <si>
    <t>พ.ค.55-ส.ค.56</t>
  </si>
  <si>
    <t>นางผ่องศรี มาชนา</t>
  </si>
  <si>
    <t>โรงอุปกรณ์ 8</t>
  </si>
  <si>
    <t>กพ.60-ธค.61</t>
  </si>
  <si>
    <t>นางฮะมีเน๊าะ สุนทรพงษ์</t>
  </si>
  <si>
    <t>โรงดองสัตว์น้ำ 7</t>
  </si>
  <si>
    <t>กพ.58-พค.61</t>
  </si>
  <si>
    <t>นายแจ่ม ไชยทิศ</t>
  </si>
  <si>
    <t>โรงอุปกรณ์ 7</t>
  </si>
  <si>
    <t>กค.58-ธค.61</t>
  </si>
  <si>
    <t>นายคมเดช บิลแลบา</t>
  </si>
  <si>
    <t>โรงอุปกรณ์ 5</t>
  </si>
  <si>
    <t>มค.59-พค.61</t>
  </si>
  <si>
    <t>นายชิตชัย เมืองพิณ</t>
  </si>
  <si>
    <t>โรงดองสัตว์น้ำ 2</t>
  </si>
  <si>
    <t>พค.57-พค.61</t>
  </si>
  <si>
    <t>นายธนากร  สาครวิโรจน์</t>
  </si>
  <si>
    <t>โรงอุปกรณ์ 2</t>
  </si>
  <si>
    <t>มค.58-พค.61</t>
  </si>
  <si>
    <t>นายธีรวุฒิ  วรวิสุทธิพันธ์</t>
  </si>
  <si>
    <t>อาหาร ล.7</t>
  </si>
  <si>
    <t>ธ.ค.58-มิย64</t>
  </si>
  <si>
    <t>นายนิเหม  เสมอภพ</t>
  </si>
  <si>
    <t>อาหาร ล.2</t>
  </si>
  <si>
    <t>ก.ย.61-มิ.ย64</t>
  </si>
  <si>
    <t>นายมนูญ แก้วเรียง</t>
  </si>
  <si>
    <t>จำหน่ายอาหาร11</t>
  </si>
  <si>
    <t>กย58-ธค.61</t>
  </si>
  <si>
    <t>นายรอยะ  หลงเค็ง</t>
  </si>
  <si>
    <t>โรงดองสัตว์น้ำ 5</t>
  </si>
  <si>
    <t>กพ.57-พค.61</t>
  </si>
  <si>
    <t>นายวิชา  ดารามั่น</t>
  </si>
  <si>
    <t>โรงอุปกรณ์ 9</t>
  </si>
  <si>
    <t>มี.ค-มิ.ย64</t>
  </si>
  <si>
    <t>นายหลำ  ยูนุ้ย</t>
  </si>
  <si>
    <t>อาหาร ล.6</t>
  </si>
  <si>
    <t>ต.ค.58-มิย64</t>
  </si>
  <si>
    <r>
      <t>นายสุริยา สะนิ(นายสะนิ  ดอเลาะ</t>
    </r>
    <r>
      <rPr>
        <b/>
        <sz val="16"/>
        <color rgb="FFFF0000"/>
        <rFont val="TH SarabunPSK"/>
        <family val="2"/>
      </rPr>
      <t xml:space="preserve"> (ตาย))</t>
    </r>
  </si>
  <si>
    <t>โรงอุปกรณ์ 1</t>
  </si>
  <si>
    <t>เมย.58-พค.61</t>
  </si>
  <si>
    <t>นางสุณีรัตน์ ณ นคร</t>
  </si>
  <si>
    <t>จำหน่ายอาหาร12</t>
  </si>
  <si>
    <t>กพ.60-พค.61</t>
  </si>
  <si>
    <t>ค่าจำหน่ายไฟฟ้า 4700300</t>
  </si>
  <si>
    <t>นางบุปผา  อรุณทอง</t>
  </si>
  <si>
    <t>ค่าจำหน่ายไฟฟ้า</t>
  </si>
  <si>
    <t>มีค.-กย.51</t>
  </si>
  <si>
    <t>ปรับโครงสร้างหนี้/ผ่อนชำระ</t>
  </si>
  <si>
    <t>นางจิระพร สุขสมโสตร</t>
  </si>
  <si>
    <t>ค่าประกันอัคคีภัยโรงดอง9</t>
  </si>
  <si>
    <t>1 มค.58-30ธค.62</t>
  </si>
  <si>
    <t xml:space="preserve"> 30 ก.ย.68</t>
  </si>
  <si>
    <t>424/42319</t>
  </si>
  <si>
    <t>โรงดองสัตว์น้ำ 9</t>
  </si>
  <si>
    <t>ธ.ค60-มิ.ย.64</t>
  </si>
  <si>
    <t>นางสะอุเดาะ  มะมิง</t>
  </si>
  <si>
    <t>โรงอุปกรณ์ 3</t>
  </si>
  <si>
    <t>มค.60-ธค.61</t>
  </si>
  <si>
    <t>424/42320</t>
  </si>
  <si>
    <t>โรงอุปกรณ์ 6</t>
  </si>
  <si>
    <t>นายสุทธิชัย จันทร์เกิด</t>
  </si>
  <si>
    <t>อาหาร ล.1</t>
  </si>
  <si>
    <t>30 ก.ย 68</t>
  </si>
  <si>
    <t>424/42321</t>
  </si>
  <si>
    <t>หนี้บอกเลิกสัญญา</t>
  </si>
  <si>
    <t>นายชัยสมบัติ  หวานเย็น</t>
  </si>
  <si>
    <t>อุปกรณ์เกษตร</t>
  </si>
  <si>
    <t>ตค.66-พย.66</t>
  </si>
  <si>
    <t>น.สประดับ ศรีษะสมุทร(ชัยประเสริฐ จารุสาร)</t>
  </si>
  <si>
    <t xml:space="preserve">โรงอุปกรณ์ </t>
  </si>
  <si>
    <t>กย. 66-พย.66</t>
  </si>
  <si>
    <t>ตค.58-พค.61</t>
  </si>
  <si>
    <t>ตค.59-พค.61</t>
  </si>
  <si>
    <t>**</t>
  </si>
  <si>
    <t>นายชัยประเสริฐ  จารุสาร</t>
  </si>
  <si>
    <t>พื้นที่เครื่องมือประมง</t>
  </si>
  <si>
    <t>กย. 66</t>
  </si>
  <si>
    <t>กย.ตค 66</t>
  </si>
  <si>
    <t>ณ วันที่ 31 ตุลาคม 2568</t>
  </si>
  <si>
    <t xml:space="preserve"> 31 ต.ค.68</t>
  </si>
  <si>
    <t>425/42403</t>
  </si>
  <si>
    <t>425/42402</t>
  </si>
  <si>
    <t>31 ต.ค 68</t>
  </si>
  <si>
    <t>425/42401</t>
  </si>
  <si>
    <t>หนี้ดำเนินคดี</t>
  </si>
  <si>
    <t>ณ วันที่ 30 พฤศจิกายน 2568</t>
  </si>
  <si>
    <t>425/42406</t>
  </si>
  <si>
    <t>425/42405</t>
  </si>
  <si>
    <t>425/42404</t>
  </si>
  <si>
    <t>ณ วันที่ 31 ธันวาคม 2568</t>
  </si>
  <si>
    <t>ไม่มี</t>
  </si>
  <si>
    <t>ณ วันที่ 31 มกราคม 2569</t>
  </si>
  <si>
    <t>31มค69</t>
  </si>
  <si>
    <t>425/42407</t>
  </si>
  <si>
    <t>รับล่วงหน้า</t>
  </si>
  <si>
    <t>ณ วันที่ กุมภาพันธ์ 2569</t>
  </si>
  <si>
    <t>29กพ69</t>
  </si>
  <si>
    <t>425/424010</t>
  </si>
  <si>
    <t>07กพ69</t>
  </si>
  <si>
    <t>425/424008</t>
  </si>
  <si>
    <t>425/424009</t>
  </si>
  <si>
    <t>ณ มีนาคม 2569</t>
  </si>
  <si>
    <t>31มีค69</t>
  </si>
  <si>
    <t>425/424011</t>
  </si>
  <si>
    <t>425/424012-13</t>
  </si>
  <si>
    <t>นายสุริยา สะนิ(นายสะนิ  ดอเลาะ (ตาย))</t>
  </si>
  <si>
    <t>หนี้เกิน 12 เดือน</t>
  </si>
  <si>
    <t>หนี้ระหว่างดำเนินคดี</t>
  </si>
  <si>
    <t>หนี้อยู่ระว่างดำเนินคดี</t>
  </si>
  <si>
    <t>ณ เมษายน 2569</t>
  </si>
  <si>
    <t>31เมย69</t>
  </si>
  <si>
    <t>425/424015</t>
  </si>
  <si>
    <t>ธค.60-มิย.64</t>
  </si>
  <si>
    <t>16เมย69</t>
  </si>
  <si>
    <t>425/424014</t>
  </si>
  <si>
    <t xml:space="preserve"> </t>
  </si>
  <si>
    <t>ณ วันที่ 31 พฤษภาคม 2569</t>
  </si>
  <si>
    <t>นายธนากร  สาครวิโรจน์(นายสง่า ถนอมสิน) ชำระแทน</t>
  </si>
  <si>
    <t>นายนิเหม  เสมอภพ(ตาย)</t>
  </si>
  <si>
    <t>นายรอยะ  หลงเค็ง(ตาย)</t>
  </si>
  <si>
    <r>
      <t>นายสะนิ  ดอเลาะ</t>
    </r>
    <r>
      <rPr>
        <b/>
        <sz val="16"/>
        <color rgb="FFFF0000"/>
        <rFont val="TH SarabunPSK"/>
        <family val="2"/>
      </rPr>
      <t xml:space="preserve"> (ตาย)ลุกชาย คือนายสุริยา  สะนิ</t>
    </r>
  </si>
  <si>
    <t>นางสุณีรัตน์ ณ นคร(นายสมาน  ดอเลาะ ชำระแทน)</t>
  </si>
  <si>
    <t>31พค69</t>
  </si>
  <si>
    <t>425/424018</t>
  </si>
  <si>
    <t>425/424016-17</t>
  </si>
  <si>
    <t>ณ เดือน พฤษภาคม 2569</t>
  </si>
  <si>
    <t>ณ เดือน มิถุนายน 2569</t>
  </si>
  <si>
    <t>30มิย69</t>
  </si>
  <si>
    <t>425/424020</t>
  </si>
  <si>
    <t>1มิย69</t>
  </si>
  <si>
    <t>425/424019</t>
  </si>
  <si>
    <t xml:space="preserve">ตัดหนี้สูญตามมัติคณะกรรมการครั้งที่ 1/2569 ลว.29 พค.69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</si>
</sst>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[$-107041E]d\ mmm\ yy;@"/>
    <numFmt numFmtId="166" formatCode="0_);\(0\)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name val="TH SarabunPSK"/>
      <family val="2"/>
    </font>
    <font>
      <b/>
      <u/>
      <sz val="16"/>
      <name val="TH SarabunPSK"/>
      <family val="2"/>
    </font>
    <font>
      <b/>
      <sz val="16"/>
      <color rgb="FFFF0000"/>
      <name val="TH SarabunPSK"/>
      <family val="2"/>
    </font>
    <font>
      <b/>
      <u/>
      <sz val="16"/>
      <color rgb="FFFF0000"/>
      <name val="TH SarabunPSK"/>
      <family val="2"/>
    </font>
    <font>
      <b/>
      <sz val="16"/>
      <color rgb="FF7030A0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3">
    <xf numFmtId="0" fontId="0" fillId="0" borderId="0" xfId="0"/>
    <xf numFmtId="0" fontId="2" fillId="0" borderId="0" xfId="0" applyFont="1" applyAlignment="1">
      <alignment vertical="center"/>
    </xf>
    <xf numFmtId="43" fontId="2" fillId="0" borderId="0" xfId="0" applyNumberFormat="1" applyFont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4" fontId="2" fillId="0" borderId="3" xfId="1" applyFont="1" applyFill="1" applyBorder="1" applyAlignment="1">
      <alignment vertical="center"/>
    </xf>
    <xf numFmtId="164" fontId="2" fillId="0" borderId="3" xfId="1" applyFont="1" applyFill="1" applyBorder="1" applyAlignment="1">
      <alignment horizontal="center" wrapText="1"/>
    </xf>
    <xf numFmtId="43" fontId="2" fillId="0" borderId="3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0" borderId="6" xfId="1" applyFont="1" applyFill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43" fontId="2" fillId="0" borderId="7" xfId="0" applyNumberFormat="1" applyFont="1" applyBorder="1" applyAlignment="1">
      <alignment horizontal="right" vertical="center"/>
    </xf>
    <xf numFmtId="165" fontId="2" fillId="2" borderId="7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right" vertical="center" shrinkToFit="1"/>
    </xf>
    <xf numFmtId="164" fontId="2" fillId="2" borderId="6" xfId="0" applyNumberFormat="1" applyFont="1" applyFill="1" applyBorder="1" applyAlignment="1">
      <alignment horizontal="right" vertical="center"/>
    </xf>
    <xf numFmtId="166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4" fontId="2" fillId="0" borderId="3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horizontal="center" vertical="center"/>
    </xf>
    <xf numFmtId="164" fontId="2" fillId="0" borderId="3" xfId="1" applyFont="1" applyFill="1" applyBorder="1" applyAlignment="1">
      <alignment horizontal="center" vertical="center"/>
    </xf>
    <xf numFmtId="43" fontId="2" fillId="0" borderId="3" xfId="0" applyNumberFormat="1" applyFont="1" applyBorder="1" applyAlignment="1">
      <alignment horizontal="right" vertical="center"/>
    </xf>
    <xf numFmtId="165" fontId="2" fillId="2" borderId="3" xfId="0" applyNumberFormat="1" applyFont="1" applyFill="1" applyBorder="1" applyAlignment="1">
      <alignment horizontal="center" vertical="center"/>
    </xf>
    <xf numFmtId="40" fontId="2" fillId="2" borderId="3" xfId="0" applyNumberFormat="1" applyFont="1" applyFill="1" applyBorder="1" applyAlignment="1">
      <alignment horizontal="right" vertical="center"/>
    </xf>
    <xf numFmtId="4" fontId="2" fillId="2" borderId="3" xfId="1" applyNumberFormat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3" xfId="0" applyFont="1" applyBorder="1" applyAlignment="1">
      <alignment vertical="center" shrinkToFit="1"/>
    </xf>
    <xf numFmtId="165" fontId="2" fillId="2" borderId="3" xfId="1" applyNumberFormat="1" applyFont="1" applyFill="1" applyBorder="1" applyAlignment="1">
      <alignment horizontal="center" vertical="center"/>
    </xf>
    <xf numFmtId="4" fontId="2" fillId="2" borderId="3" xfId="1" applyNumberFormat="1" applyFont="1" applyFill="1" applyBorder="1" applyAlignment="1">
      <alignment horizontal="right" vertical="center"/>
    </xf>
    <xf numFmtId="4" fontId="2" fillId="0" borderId="3" xfId="0" applyNumberFormat="1" applyFont="1" applyBorder="1" applyAlignment="1">
      <alignment horizontal="left" vertical="center"/>
    </xf>
    <xf numFmtId="4" fontId="2" fillId="0" borderId="3" xfId="1" applyNumberFormat="1" applyFont="1" applyFill="1" applyBorder="1" applyAlignment="1">
      <alignment vertical="center"/>
    </xf>
    <xf numFmtId="40" fontId="2" fillId="2" borderId="3" xfId="0" applyNumberFormat="1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4" fontId="2" fillId="0" borderId="8" xfId="1" applyFont="1" applyFill="1" applyBorder="1" applyAlignment="1">
      <alignment horizontal="center" vertical="center"/>
    </xf>
    <xf numFmtId="43" fontId="2" fillId="0" borderId="8" xfId="0" applyNumberFormat="1" applyFont="1" applyBorder="1" applyAlignment="1">
      <alignment horizontal="right" vertical="center"/>
    </xf>
    <xf numFmtId="165" fontId="2" fillId="2" borderId="8" xfId="1" applyNumberFormat="1" applyFont="1" applyFill="1" applyBorder="1" applyAlignment="1">
      <alignment horizontal="center" vertical="center"/>
    </xf>
    <xf numFmtId="4" fontId="2" fillId="2" borderId="8" xfId="1" applyNumberFormat="1" applyFont="1" applyFill="1" applyBorder="1" applyAlignment="1">
      <alignment horizontal="right" vertical="center"/>
    </xf>
    <xf numFmtId="4" fontId="2" fillId="2" borderId="8" xfId="1" applyNumberFormat="1" applyFont="1" applyFill="1" applyBorder="1" applyAlignment="1">
      <alignment vertical="center"/>
    </xf>
    <xf numFmtId="166" fontId="2" fillId="3" borderId="10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vertical="center" shrinkToFit="1"/>
    </xf>
    <xf numFmtId="4" fontId="2" fillId="3" borderId="10" xfId="0" applyNumberFormat="1" applyFont="1" applyFill="1" applyBorder="1" applyAlignment="1">
      <alignment vertical="center"/>
    </xf>
    <xf numFmtId="49" fontId="2" fillId="3" borderId="10" xfId="0" applyNumberFormat="1" applyFont="1" applyFill="1" applyBorder="1" applyAlignment="1">
      <alignment horizontal="center" vertical="center"/>
    </xf>
    <xf numFmtId="1" fontId="2" fillId="3" borderId="10" xfId="0" applyNumberFormat="1" applyFont="1" applyFill="1" applyBorder="1" applyAlignment="1">
      <alignment horizontal="center" vertical="center"/>
    </xf>
    <xf numFmtId="164" fontId="2" fillId="3" borderId="11" xfId="1" applyFont="1" applyFill="1" applyBorder="1" applyAlignment="1">
      <alignment horizontal="center" vertical="center"/>
    </xf>
    <xf numFmtId="165" fontId="2" fillId="3" borderId="12" xfId="1" applyNumberFormat="1" applyFont="1" applyFill="1" applyBorder="1" applyAlignment="1">
      <alignment horizontal="center" vertical="center"/>
    </xf>
    <xf numFmtId="4" fontId="2" fillId="3" borderId="10" xfId="1" applyNumberFormat="1" applyFont="1" applyFill="1" applyBorder="1" applyAlignment="1">
      <alignment horizontal="right" vertical="center"/>
    </xf>
    <xf numFmtId="4" fontId="2" fillId="3" borderId="13" xfId="1" applyNumberFormat="1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right" vertical="center"/>
    </xf>
    <xf numFmtId="43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65" fontId="2" fillId="3" borderId="10" xfId="1" applyNumberFormat="1" applyFont="1" applyFill="1" applyBorder="1" applyAlignment="1">
      <alignment horizontal="center" vertical="center"/>
    </xf>
    <xf numFmtId="164" fontId="2" fillId="0" borderId="0" xfId="1" applyFont="1" applyFill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64" fontId="2" fillId="0" borderId="0" xfId="1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40" fontId="2" fillId="2" borderId="0" xfId="0" applyNumberFormat="1" applyFont="1" applyFill="1" applyAlignment="1">
      <alignment horizontal="right" vertical="center"/>
    </xf>
    <xf numFmtId="4" fontId="2" fillId="2" borderId="0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3" xfId="0" applyFont="1" applyBorder="1" applyAlignment="1">
      <alignment vertical="center" wrapText="1"/>
    </xf>
    <xf numFmtId="164" fontId="2" fillId="2" borderId="3" xfId="1" applyFont="1" applyFill="1" applyBorder="1" applyAlignment="1">
      <alignment horizontal="center" vertical="center"/>
    </xf>
    <xf numFmtId="164" fontId="2" fillId="2" borderId="3" xfId="1" applyFont="1" applyFill="1" applyBorder="1" applyAlignment="1">
      <alignment horizontal="right" vertical="center"/>
    </xf>
    <xf numFmtId="4" fontId="2" fillId="0" borderId="3" xfId="0" applyNumberFormat="1" applyFont="1" applyBorder="1" applyAlignment="1">
      <alignment vertical="center" shrinkToFit="1"/>
    </xf>
    <xf numFmtId="4" fontId="2" fillId="3" borderId="11" xfId="1" applyNumberFormat="1" applyFont="1" applyFill="1" applyBorder="1" applyAlignment="1">
      <alignment vertical="center"/>
    </xf>
    <xf numFmtId="166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shrinkToFit="1"/>
    </xf>
    <xf numFmtId="4" fontId="2" fillId="4" borderId="0" xfId="0" applyNumberFormat="1" applyFont="1" applyFill="1" applyAlignment="1">
      <alignment vertical="center"/>
    </xf>
    <xf numFmtId="49" fontId="2" fillId="4" borderId="0" xfId="0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64" fontId="2" fillId="4" borderId="0" xfId="1" applyFont="1" applyFill="1" applyBorder="1" applyAlignment="1">
      <alignment horizontal="center" vertical="center"/>
    </xf>
    <xf numFmtId="165" fontId="2" fillId="4" borderId="0" xfId="1" applyNumberFormat="1" applyFont="1" applyFill="1" applyBorder="1" applyAlignment="1">
      <alignment horizontal="center" vertical="center"/>
    </xf>
    <xf numFmtId="4" fontId="2" fillId="4" borderId="0" xfId="1" applyNumberFormat="1" applyFont="1" applyFill="1" applyBorder="1" applyAlignment="1">
      <alignment horizontal="right" vertical="center"/>
    </xf>
    <xf numFmtId="4" fontId="2" fillId="4" borderId="0" xfId="1" applyNumberFormat="1" applyFont="1" applyFill="1" applyBorder="1" applyAlignment="1">
      <alignment vertical="center"/>
    </xf>
    <xf numFmtId="43" fontId="2" fillId="4" borderId="0" xfId="0" applyNumberFormat="1" applyFont="1" applyFill="1" applyAlignment="1">
      <alignment vertical="center"/>
    </xf>
    <xf numFmtId="43" fontId="4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164" fontId="2" fillId="0" borderId="0" xfId="1" applyFont="1" applyFill="1" applyAlignment="1">
      <alignment horizontal="right" vertical="center"/>
    </xf>
    <xf numFmtId="39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39" fontId="2" fillId="0" borderId="0" xfId="0" applyNumberFormat="1" applyFont="1" applyAlignment="1">
      <alignment horizontal="right" vertical="center"/>
    </xf>
    <xf numFmtId="164" fontId="2" fillId="0" borderId="0" xfId="1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43" fontId="2" fillId="4" borderId="0" xfId="0" applyNumberFormat="1" applyFont="1" applyFill="1" applyAlignment="1">
      <alignment horizontal="right" vertical="center"/>
    </xf>
    <xf numFmtId="40" fontId="2" fillId="4" borderId="0" xfId="0" applyNumberFormat="1" applyFont="1" applyFill="1" applyAlignment="1">
      <alignment horizontal="right" vertical="center"/>
    </xf>
    <xf numFmtId="164" fontId="2" fillId="5" borderId="0" xfId="1" applyFont="1" applyFill="1" applyAlignment="1">
      <alignment horizontal="right" vertical="center"/>
    </xf>
    <xf numFmtId="166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 shrinkToFit="1"/>
    </xf>
    <xf numFmtId="165" fontId="2" fillId="0" borderId="14" xfId="1" applyNumberFormat="1" applyFont="1" applyFill="1" applyBorder="1" applyAlignment="1">
      <alignment horizontal="center" vertical="center"/>
    </xf>
    <xf numFmtId="4" fontId="2" fillId="0" borderId="8" xfId="1" applyNumberFormat="1" applyFont="1" applyFill="1" applyBorder="1" applyAlignment="1">
      <alignment horizontal="right" vertical="center"/>
    </xf>
    <xf numFmtId="40" fontId="2" fillId="0" borderId="14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43" fontId="2" fillId="6" borderId="0" xfId="0" applyNumberFormat="1" applyFont="1" applyFill="1" applyAlignment="1">
      <alignment vertical="center"/>
    </xf>
    <xf numFmtId="49" fontId="2" fillId="0" borderId="2" xfId="0" applyNumberFormat="1" applyFont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2" fillId="0" borderId="5" xfId="0" applyNumberFormat="1" applyFont="1" applyBorder="1" applyAlignment="1">
      <alignment horizontal="center" vertical="center" shrinkToFit="1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 shrinkToFit="1"/>
    </xf>
    <xf numFmtId="43" fontId="2" fillId="7" borderId="0" xfId="0" applyNumberFormat="1" applyFont="1" applyFill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43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vertical="center" shrinkToFit="1"/>
    </xf>
    <xf numFmtId="4" fontId="4" fillId="0" borderId="3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 shrinkToFit="1"/>
    </xf>
    <xf numFmtId="49" fontId="4" fillId="3" borderId="10" xfId="0" applyNumberFormat="1" applyFon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64" fontId="4" fillId="3" borderId="11" xfId="1" applyFont="1" applyFill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vertical="center" shrinkToFit="1"/>
    </xf>
    <xf numFmtId="164" fontId="4" fillId="0" borderId="3" xfId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" fontId="2" fillId="0" borderId="4" xfId="0" applyNumberFormat="1" applyFont="1" applyBorder="1" applyAlignment="1">
      <alignment horizontal="center" vertical="center"/>
    </xf>
    <xf numFmtId="43" fontId="2" fillId="0" borderId="18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 shrinkToFit="1"/>
    </xf>
    <xf numFmtId="166" fontId="2" fillId="0" borderId="15" xfId="0" applyNumberFormat="1" applyFont="1" applyBorder="1" applyAlignment="1">
      <alignment horizontal="center" vertical="center"/>
    </xf>
    <xf numFmtId="166" fontId="2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vertical="center" shrinkToFit="1"/>
    </xf>
    <xf numFmtId="49" fontId="4" fillId="0" borderId="15" xfId="0" applyNumberFormat="1" applyFont="1" applyBorder="1" applyAlignment="1">
      <alignment horizontal="center" vertical="center"/>
    </xf>
    <xf numFmtId="164" fontId="4" fillId="0" borderId="2" xfId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 shrinkToFit="1"/>
    </xf>
    <xf numFmtId="4" fontId="6" fillId="0" borderId="3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43" fontId="6" fillId="0" borderId="3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vertical="center" shrinkToFit="1"/>
    </xf>
    <xf numFmtId="164" fontId="2" fillId="0" borderId="17" xfId="1" applyFont="1" applyFill="1" applyBorder="1" applyAlignment="1">
      <alignment horizontal="center" vertical="center"/>
    </xf>
    <xf numFmtId="165" fontId="4" fillId="2" borderId="3" xfId="1" applyNumberFormat="1" applyFont="1" applyFill="1" applyBorder="1" applyAlignment="1">
      <alignment horizontal="center" vertical="center"/>
    </xf>
    <xf numFmtId="4" fontId="4" fillId="2" borderId="3" xfId="1" applyNumberFormat="1" applyFont="1" applyFill="1" applyBorder="1" applyAlignment="1">
      <alignment horizontal="right" vertical="center"/>
    </xf>
    <xf numFmtId="4" fontId="4" fillId="2" borderId="3" xfId="1" applyNumberFormat="1" applyFont="1" applyFill="1" applyBorder="1" applyAlignment="1">
      <alignment vertical="center"/>
    </xf>
    <xf numFmtId="166" fontId="2" fillId="8" borderId="3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vertical="center"/>
    </xf>
    <xf numFmtId="4" fontId="2" fillId="8" borderId="3" xfId="0" applyNumberFormat="1" applyFont="1" applyFill="1" applyBorder="1" applyAlignment="1">
      <alignment vertical="center"/>
    </xf>
    <xf numFmtId="49" fontId="2" fillId="8" borderId="3" xfId="0" applyNumberFormat="1" applyFont="1" applyFill="1" applyBorder="1" applyAlignment="1">
      <alignment horizontal="center" vertical="center"/>
    </xf>
    <xf numFmtId="1" fontId="2" fillId="8" borderId="3" xfId="0" applyNumberFormat="1" applyFont="1" applyFill="1" applyBorder="1" applyAlignment="1">
      <alignment horizontal="center" vertical="center"/>
    </xf>
    <xf numFmtId="164" fontId="2" fillId="8" borderId="3" xfId="1" applyFont="1" applyFill="1" applyBorder="1" applyAlignment="1">
      <alignment horizontal="center" vertical="center"/>
    </xf>
    <xf numFmtId="43" fontId="2" fillId="8" borderId="3" xfId="0" applyNumberFormat="1" applyFont="1" applyFill="1" applyBorder="1" applyAlignment="1">
      <alignment horizontal="right" vertical="center"/>
    </xf>
    <xf numFmtId="165" fontId="2" fillId="8" borderId="3" xfId="1" applyNumberFormat="1" applyFont="1" applyFill="1" applyBorder="1" applyAlignment="1">
      <alignment horizontal="center" vertical="center"/>
    </xf>
    <xf numFmtId="4" fontId="2" fillId="8" borderId="3" xfId="1" applyNumberFormat="1" applyFont="1" applyFill="1" applyBorder="1" applyAlignment="1">
      <alignment horizontal="right" vertical="center"/>
    </xf>
    <xf numFmtId="4" fontId="2" fillId="8" borderId="3" xfId="1" applyNumberFormat="1" applyFont="1" applyFill="1" applyBorder="1" applyAlignment="1">
      <alignment vertical="center"/>
    </xf>
    <xf numFmtId="43" fontId="2" fillId="8" borderId="0" xfId="0" applyNumberFormat="1" applyFont="1" applyFill="1" applyAlignment="1">
      <alignment vertical="center"/>
    </xf>
    <xf numFmtId="166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 shrinkToFit="1"/>
    </xf>
    <xf numFmtId="4" fontId="2" fillId="4" borderId="3" xfId="0" applyNumberFormat="1" applyFont="1" applyFill="1" applyBorder="1" applyAlignment="1">
      <alignment vertical="center"/>
    </xf>
    <xf numFmtId="49" fontId="2" fillId="4" borderId="3" xfId="0" applyNumberFormat="1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/>
    </xf>
    <xf numFmtId="164" fontId="2" fillId="4" borderId="3" xfId="1" applyFont="1" applyFill="1" applyBorder="1" applyAlignment="1">
      <alignment horizontal="center" vertical="center"/>
    </xf>
    <xf numFmtId="43" fontId="2" fillId="4" borderId="3" xfId="0" applyNumberFormat="1" applyFont="1" applyFill="1" applyBorder="1" applyAlignment="1">
      <alignment horizontal="right" vertical="center"/>
    </xf>
    <xf numFmtId="165" fontId="2" fillId="4" borderId="3" xfId="1" applyNumberFormat="1" applyFont="1" applyFill="1" applyBorder="1" applyAlignment="1">
      <alignment horizontal="center" vertical="center"/>
    </xf>
    <xf numFmtId="4" fontId="2" fillId="4" borderId="3" xfId="1" applyNumberFormat="1" applyFont="1" applyFill="1" applyBorder="1" applyAlignment="1">
      <alignment horizontal="right" vertical="center"/>
    </xf>
    <xf numFmtId="40" fontId="2" fillId="4" borderId="3" xfId="0" applyNumberFormat="1" applyFont="1" applyFill="1" applyBorder="1" applyAlignment="1">
      <alignment vertical="center"/>
    </xf>
    <xf numFmtId="4" fontId="2" fillId="4" borderId="3" xfId="0" applyNumberFormat="1" applyFont="1" applyFill="1" applyBorder="1" applyAlignment="1">
      <alignment horizontal="left" vertical="center"/>
    </xf>
    <xf numFmtId="4" fontId="2" fillId="4" borderId="3" xfId="1" applyNumberFormat="1" applyFont="1" applyFill="1" applyBorder="1" applyAlignment="1">
      <alignment vertical="center"/>
    </xf>
    <xf numFmtId="166" fontId="2" fillId="6" borderId="3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4" fontId="2" fillId="8" borderId="8" xfId="0" applyNumberFormat="1" applyFont="1" applyFill="1" applyBorder="1" applyAlignment="1">
      <alignment vertical="center"/>
    </xf>
    <xf numFmtId="49" fontId="2" fillId="8" borderId="9" xfId="0" applyNumberFormat="1" applyFont="1" applyFill="1" applyBorder="1" applyAlignment="1">
      <alignment horizontal="center" vertical="center"/>
    </xf>
    <xf numFmtId="1" fontId="2" fillId="8" borderId="8" xfId="0" applyNumberFormat="1" applyFont="1" applyFill="1" applyBorder="1" applyAlignment="1">
      <alignment horizontal="center" vertical="center"/>
    </xf>
    <xf numFmtId="164" fontId="2" fillId="8" borderId="8" xfId="1" applyFont="1" applyFill="1" applyBorder="1" applyAlignment="1">
      <alignment horizontal="center" vertical="center"/>
    </xf>
    <xf numFmtId="43" fontId="2" fillId="8" borderId="8" xfId="0" applyNumberFormat="1" applyFont="1" applyFill="1" applyBorder="1" applyAlignment="1">
      <alignment horizontal="right" vertical="center"/>
    </xf>
    <xf numFmtId="165" fontId="2" fillId="8" borderId="8" xfId="1" applyNumberFormat="1" applyFont="1" applyFill="1" applyBorder="1" applyAlignment="1">
      <alignment horizontal="center" vertical="center"/>
    </xf>
    <xf numFmtId="4" fontId="2" fillId="8" borderId="8" xfId="1" applyNumberFormat="1" applyFont="1" applyFill="1" applyBorder="1" applyAlignment="1">
      <alignment horizontal="right" vertical="center"/>
    </xf>
    <xf numFmtId="4" fontId="2" fillId="8" borderId="8" xfId="1" applyNumberFormat="1" applyFont="1" applyFill="1" applyBorder="1" applyAlignment="1">
      <alignment vertical="center"/>
    </xf>
    <xf numFmtId="166" fontId="2" fillId="9" borderId="3" xfId="0" applyNumberFormat="1" applyFont="1" applyFill="1" applyBorder="1" applyAlignment="1">
      <alignment horizontal="center" vertical="center"/>
    </xf>
    <xf numFmtId="4" fontId="2" fillId="9" borderId="3" xfId="0" applyNumberFormat="1" applyFont="1" applyFill="1" applyBorder="1" applyAlignment="1">
      <alignment horizontal="left" vertical="center"/>
    </xf>
    <xf numFmtId="4" fontId="2" fillId="9" borderId="3" xfId="0" applyNumberFormat="1" applyFont="1" applyFill="1" applyBorder="1" applyAlignment="1">
      <alignment vertical="center"/>
    </xf>
    <xf numFmtId="4" fontId="2" fillId="9" borderId="3" xfId="1" applyNumberFormat="1" applyFont="1" applyFill="1" applyBorder="1" applyAlignment="1">
      <alignment vertical="center"/>
    </xf>
    <xf numFmtId="49" fontId="2" fillId="9" borderId="3" xfId="0" applyNumberFormat="1" applyFont="1" applyFill="1" applyBorder="1" applyAlignment="1">
      <alignment horizontal="center" vertical="center"/>
    </xf>
    <xf numFmtId="1" fontId="2" fillId="9" borderId="3" xfId="0" applyNumberFormat="1" applyFont="1" applyFill="1" applyBorder="1" applyAlignment="1">
      <alignment horizontal="center" vertical="center"/>
    </xf>
    <xf numFmtId="164" fontId="2" fillId="9" borderId="3" xfId="1" applyFont="1" applyFill="1" applyBorder="1" applyAlignment="1">
      <alignment horizontal="center" vertical="center"/>
    </xf>
    <xf numFmtId="43" fontId="2" fillId="9" borderId="3" xfId="0" applyNumberFormat="1" applyFont="1" applyFill="1" applyBorder="1" applyAlignment="1">
      <alignment horizontal="right" vertical="center"/>
    </xf>
    <xf numFmtId="4" fontId="4" fillId="9" borderId="3" xfId="1" applyNumberFormat="1" applyFont="1" applyFill="1" applyBorder="1" applyAlignment="1">
      <alignment vertical="center"/>
    </xf>
    <xf numFmtId="43" fontId="2" fillId="9" borderId="0" xfId="0" applyNumberFormat="1" applyFont="1" applyFill="1" applyAlignment="1">
      <alignment vertical="center"/>
    </xf>
    <xf numFmtId="165" fontId="4" fillId="2" borderId="3" xfId="0" applyNumberFormat="1" applyFont="1" applyFill="1" applyBorder="1" applyAlignment="1">
      <alignment horizontal="center" vertical="center"/>
    </xf>
    <xf numFmtId="43" fontId="2" fillId="10" borderId="0" xfId="0" applyNumberFormat="1" applyFont="1" applyFill="1" applyAlignment="1">
      <alignment vertical="center"/>
    </xf>
    <xf numFmtId="4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2" fillId="0" borderId="5" xfId="0" applyNumberFormat="1" applyFont="1" applyBorder="1" applyAlignment="1">
      <alignment horizontal="center" vertical="center" shrinkToFit="1"/>
    </xf>
    <xf numFmtId="1" fontId="2" fillId="0" borderId="3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43" fontId="2" fillId="2" borderId="2" xfId="0" applyNumberFormat="1" applyFont="1" applyFill="1" applyBorder="1" applyAlignment="1">
      <alignment horizontal="center" vertical="center"/>
    </xf>
    <xf numFmtId="43" fontId="2" fillId="2" borderId="5" xfId="0" applyNumberFormat="1" applyFont="1" applyFill="1" applyBorder="1" applyAlignment="1">
      <alignment horizontal="center" vertical="center"/>
    </xf>
    <xf numFmtId="4" fontId="2" fillId="0" borderId="2" xfId="1" applyNumberFormat="1" applyFont="1" applyFill="1" applyBorder="1" applyAlignment="1">
      <alignment vertical="center" wrapText="1"/>
    </xf>
    <xf numFmtId="4" fontId="2" fillId="0" borderId="4" xfId="1" applyNumberFormat="1" applyFont="1" applyFill="1" applyBorder="1" applyAlignment="1">
      <alignment vertical="center" wrapText="1"/>
    </xf>
    <xf numFmtId="4" fontId="2" fillId="0" borderId="5" xfId="1" applyNumberFormat="1" applyFont="1" applyFill="1" applyBorder="1" applyAlignment="1">
      <alignment vertical="center" wrapText="1"/>
    </xf>
    <xf numFmtId="43" fontId="2" fillId="2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43" fontId="2" fillId="2" borderId="2" xfId="0" applyNumberFormat="1" applyFont="1" applyFill="1" applyBorder="1" applyAlignment="1">
      <alignment horizontal="center" vertical="center" wrapText="1"/>
    </xf>
    <xf numFmtId="43" fontId="2" fillId="2" borderId="5" xfId="0" applyNumberFormat="1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shrinkToFit="1"/>
    </xf>
    <xf numFmtId="0" fontId="2" fillId="3" borderId="16" xfId="0" applyFont="1" applyFill="1" applyBorder="1" applyAlignment="1">
      <alignment horizontal="center" vertical="center" shrinkToFit="1"/>
    </xf>
    <xf numFmtId="0" fontId="2" fillId="3" borderId="17" xfId="0" applyFont="1" applyFill="1" applyBorder="1" applyAlignment="1">
      <alignment horizontal="center" vertical="center" shrinkToFit="1"/>
    </xf>
    <xf numFmtId="1" fontId="2" fillId="0" borderId="15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7807-198D-4915-8FCA-8FA359966A41}">
  <sheetPr>
    <tabColor rgb="FF92D050"/>
  </sheetPr>
  <dimension ref="A1:T122"/>
  <sheetViews>
    <sheetView tabSelected="1" zoomScale="70" zoomScaleNormal="70" workbookViewId="0">
      <pane ySplit="6" topLeftCell="A19" activePane="bottomLeft" state="frozen"/>
      <selection pane="bottomLeft" activeCell="L29" sqref="L29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7.44140625" style="2" customWidth="1"/>
    <col min="6" max="7" width="13.88671875" style="59"/>
    <col min="8" max="8" width="13.88671875" style="88"/>
    <col min="9" max="9" width="7.33203125" style="88" customWidth="1"/>
    <col min="10" max="10" width="13.88671875" style="89"/>
    <col min="11" max="11" width="13.88671875" style="90"/>
    <col min="12" max="12" width="13.88671875" style="91"/>
    <col min="13" max="13" width="13.6640625" style="29" customWidth="1"/>
    <col min="14" max="14" width="19.88671875" style="2" customWidth="1"/>
    <col min="15" max="15" width="13.88671875" style="58"/>
    <col min="16" max="16" width="8.6640625" style="58" customWidth="1"/>
    <col min="17" max="17" width="13.88671875" style="92"/>
    <col min="18" max="18" width="13.88671875" style="58"/>
    <col min="19" max="16384" width="13.88671875" style="29"/>
  </cols>
  <sheetData>
    <row r="1" spans="1:19" s="1" customFormat="1" ht="21" customHeight="1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</row>
    <row r="2" spans="1:19" s="1" customFormat="1" ht="21" customHeight="1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19" s="1" customFormat="1" ht="21" customHeight="1">
      <c r="A3" s="200" t="s">
        <v>152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</row>
    <row r="4" spans="1:19" s="1" customFormat="1" ht="21" customHeight="1">
      <c r="A4" s="201" t="s">
        <v>3</v>
      </c>
      <c r="B4" s="201" t="s">
        <v>4</v>
      </c>
      <c r="C4" s="204" t="s">
        <v>5</v>
      </c>
      <c r="D4" s="211" t="s">
        <v>6</v>
      </c>
      <c r="E4" s="207" t="s">
        <v>7</v>
      </c>
      <c r="F4" s="207"/>
      <c r="G4" s="207"/>
      <c r="H4" s="207"/>
      <c r="I4" s="207"/>
      <c r="J4" s="207"/>
      <c r="K4" s="214" t="s">
        <v>8</v>
      </c>
      <c r="L4" s="214"/>
      <c r="M4" s="214"/>
      <c r="N4" s="207" t="s">
        <v>9</v>
      </c>
      <c r="O4" s="207"/>
      <c r="P4" s="207"/>
      <c r="Q4" s="207"/>
      <c r="R4" s="207"/>
      <c r="S4" s="207"/>
    </row>
    <row r="5" spans="1:19" s="1" customFormat="1" ht="21" customHeight="1">
      <c r="A5" s="202"/>
      <c r="B5" s="202"/>
      <c r="C5" s="205"/>
      <c r="D5" s="212"/>
      <c r="E5" s="208" t="s">
        <v>10</v>
      </c>
      <c r="F5" s="207"/>
      <c r="G5" s="4"/>
      <c r="H5" s="215" t="s">
        <v>11</v>
      </c>
      <c r="I5" s="215"/>
      <c r="J5" s="215"/>
      <c r="K5" s="216" t="s">
        <v>12</v>
      </c>
      <c r="L5" s="218" t="s">
        <v>13</v>
      </c>
      <c r="M5" s="209" t="s">
        <v>14</v>
      </c>
      <c r="N5" s="208" t="s">
        <v>10</v>
      </c>
      <c r="O5" s="207" t="s">
        <v>15</v>
      </c>
      <c r="P5" s="4" t="s">
        <v>16</v>
      </c>
      <c r="Q5" s="215" t="s">
        <v>11</v>
      </c>
      <c r="R5" s="215"/>
      <c r="S5" s="215"/>
    </row>
    <row r="6" spans="1:19" s="1" customFormat="1" ht="21" customHeight="1">
      <c r="A6" s="203"/>
      <c r="B6" s="203"/>
      <c r="C6" s="206"/>
      <c r="D6" s="213"/>
      <c r="E6" s="208"/>
      <c r="F6" s="207"/>
      <c r="G6" s="5"/>
      <c r="H6" s="6" t="s">
        <v>14</v>
      </c>
      <c r="I6" s="7" t="s">
        <v>17</v>
      </c>
      <c r="J6" s="8" t="s">
        <v>18</v>
      </c>
      <c r="K6" s="217"/>
      <c r="L6" s="219"/>
      <c r="M6" s="210"/>
      <c r="N6" s="208"/>
      <c r="O6" s="207"/>
      <c r="P6" s="5" t="s">
        <v>19</v>
      </c>
      <c r="Q6" s="6" t="s">
        <v>14</v>
      </c>
      <c r="R6" s="7" t="s">
        <v>17</v>
      </c>
      <c r="S6" s="8" t="s">
        <v>18</v>
      </c>
    </row>
    <row r="7" spans="1:19" s="1" customFormat="1" ht="21" customHeight="1">
      <c r="A7" s="9"/>
      <c r="B7" s="10" t="s">
        <v>20</v>
      </c>
      <c r="C7" s="11"/>
      <c r="D7" s="12"/>
      <c r="E7" s="13"/>
      <c r="F7" s="14"/>
      <c r="G7" s="15"/>
      <c r="H7" s="15"/>
      <c r="I7" s="15"/>
      <c r="J7" s="16"/>
      <c r="K7" s="17"/>
      <c r="L7" s="18"/>
      <c r="M7" s="19"/>
      <c r="N7" s="13"/>
      <c r="O7" s="14"/>
      <c r="P7" s="15"/>
      <c r="Q7" s="15"/>
      <c r="R7" s="15"/>
      <c r="S7" s="16"/>
    </row>
    <row r="8" spans="1:19" ht="21" customHeight="1">
      <c r="A8" s="20">
        <v>1</v>
      </c>
      <c r="B8" s="21" t="s">
        <v>21</v>
      </c>
      <c r="C8" s="21" t="s">
        <v>22</v>
      </c>
      <c r="D8" s="22"/>
      <c r="E8" s="23" t="s">
        <v>23</v>
      </c>
      <c r="F8" s="3">
        <v>37</v>
      </c>
      <c r="G8" s="3">
        <v>54</v>
      </c>
      <c r="H8" s="24">
        <v>22300</v>
      </c>
      <c r="I8" s="3"/>
      <c r="J8" s="25">
        <v>22300</v>
      </c>
      <c r="K8" s="26"/>
      <c r="L8" s="27"/>
      <c r="M8" s="28"/>
      <c r="N8" s="23" t="s">
        <v>23</v>
      </c>
      <c r="O8" s="3">
        <v>37</v>
      </c>
      <c r="P8" s="3">
        <v>54</v>
      </c>
      <c r="Q8" s="24">
        <v>22300</v>
      </c>
      <c r="R8" s="3"/>
      <c r="S8" s="25">
        <v>22300</v>
      </c>
    </row>
    <row r="9" spans="1:19" ht="21" customHeight="1">
      <c r="A9" s="20">
        <v>2</v>
      </c>
      <c r="B9" s="21" t="s">
        <v>24</v>
      </c>
      <c r="C9" s="30" t="s">
        <v>25</v>
      </c>
      <c r="D9" s="22"/>
      <c r="E9" s="23" t="s">
        <v>26</v>
      </c>
      <c r="F9" s="3">
        <v>13</v>
      </c>
      <c r="G9" s="3">
        <v>85</v>
      </c>
      <c r="H9" s="24">
        <v>15000</v>
      </c>
      <c r="I9" s="3"/>
      <c r="J9" s="25">
        <v>15000</v>
      </c>
      <c r="K9" s="31"/>
      <c r="L9" s="32"/>
      <c r="M9" s="28"/>
      <c r="N9" s="23" t="s">
        <v>26</v>
      </c>
      <c r="O9" s="3">
        <v>13</v>
      </c>
      <c r="P9" s="3">
        <v>85</v>
      </c>
      <c r="Q9" s="24">
        <v>15000</v>
      </c>
      <c r="R9" s="3"/>
      <c r="S9" s="25">
        <v>15000</v>
      </c>
    </row>
    <row r="10" spans="1:19" ht="21" customHeight="1">
      <c r="A10" s="20">
        <v>3</v>
      </c>
      <c r="B10" s="33" t="s">
        <v>27</v>
      </c>
      <c r="C10" s="22" t="s">
        <v>28</v>
      </c>
      <c r="D10" s="34"/>
      <c r="E10" s="23" t="s">
        <v>29</v>
      </c>
      <c r="F10" s="3">
        <v>23</v>
      </c>
      <c r="G10" s="3">
        <v>34</v>
      </c>
      <c r="H10" s="24">
        <v>50000</v>
      </c>
      <c r="I10" s="3"/>
      <c r="J10" s="25">
        <v>50000</v>
      </c>
      <c r="K10" s="31"/>
      <c r="L10" s="32"/>
      <c r="M10" s="28"/>
      <c r="N10" s="23" t="s">
        <v>29</v>
      </c>
      <c r="O10" s="3">
        <v>23</v>
      </c>
      <c r="P10" s="3">
        <v>34</v>
      </c>
      <c r="Q10" s="24">
        <v>50000</v>
      </c>
      <c r="R10" s="3"/>
      <c r="S10" s="25">
        <v>50000</v>
      </c>
    </row>
    <row r="11" spans="1:19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3">
        <v>67</v>
      </c>
      <c r="H11" s="24">
        <v>79500</v>
      </c>
      <c r="I11" s="3"/>
      <c r="J11" s="25">
        <v>79500</v>
      </c>
      <c r="K11" s="31"/>
      <c r="L11" s="32"/>
      <c r="M11" s="28"/>
      <c r="N11" s="23" t="s">
        <v>32</v>
      </c>
      <c r="O11" s="3">
        <v>40</v>
      </c>
      <c r="P11" s="3">
        <v>67</v>
      </c>
      <c r="Q11" s="24">
        <v>79500</v>
      </c>
      <c r="R11" s="3"/>
      <c r="S11" s="25">
        <v>79500</v>
      </c>
    </row>
    <row r="12" spans="1:19" ht="21" customHeight="1">
      <c r="A12" s="20">
        <v>5</v>
      </c>
      <c r="B12" s="33" t="s">
        <v>33</v>
      </c>
      <c r="C12" s="22" t="s">
        <v>34</v>
      </c>
      <c r="D12" s="34"/>
      <c r="E12" s="23" t="s">
        <v>35</v>
      </c>
      <c r="F12" s="3">
        <v>42</v>
      </c>
      <c r="G12" s="3">
        <v>53</v>
      </c>
      <c r="H12" s="24">
        <v>41000</v>
      </c>
      <c r="I12" s="3"/>
      <c r="J12" s="25">
        <v>41000</v>
      </c>
      <c r="K12" s="31"/>
      <c r="L12" s="32"/>
      <c r="M12" s="28"/>
      <c r="N12" s="23" t="s">
        <v>35</v>
      </c>
      <c r="O12" s="3">
        <v>42</v>
      </c>
      <c r="P12" s="3">
        <v>53</v>
      </c>
      <c r="Q12" s="24">
        <v>41000</v>
      </c>
      <c r="R12" s="3"/>
      <c r="S12" s="25">
        <v>41000</v>
      </c>
    </row>
    <row r="13" spans="1:19" ht="21" customHeight="1">
      <c r="A13" s="20">
        <v>6</v>
      </c>
      <c r="B13" s="21" t="s">
        <v>36</v>
      </c>
      <c r="C13" s="21" t="s">
        <v>37</v>
      </c>
      <c r="D13" s="22"/>
      <c r="E13" s="23" t="s">
        <v>38</v>
      </c>
      <c r="F13" s="3">
        <v>29</v>
      </c>
      <c r="G13" s="3">
        <v>49</v>
      </c>
      <c r="H13" s="24">
        <v>28000</v>
      </c>
      <c r="I13" s="3"/>
      <c r="J13" s="25">
        <v>28000</v>
      </c>
      <c r="K13" s="31"/>
      <c r="L13" s="32"/>
      <c r="M13" s="28"/>
      <c r="N13" s="23" t="s">
        <v>38</v>
      </c>
      <c r="O13" s="3">
        <v>29</v>
      </c>
      <c r="P13" s="3">
        <v>49</v>
      </c>
      <c r="Q13" s="24">
        <v>28000</v>
      </c>
      <c r="R13" s="3"/>
      <c r="S13" s="25">
        <v>28000</v>
      </c>
    </row>
    <row r="14" spans="1:19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3">
        <v>66</v>
      </c>
      <c r="H14" s="24">
        <v>92000</v>
      </c>
      <c r="I14" s="3"/>
      <c r="J14" s="25">
        <v>92000</v>
      </c>
      <c r="K14" s="31"/>
      <c r="L14" s="32"/>
      <c r="M14" s="28"/>
      <c r="N14" s="23" t="s">
        <v>41</v>
      </c>
      <c r="O14" s="3">
        <v>49</v>
      </c>
      <c r="P14" s="3">
        <v>66</v>
      </c>
      <c r="Q14" s="24">
        <v>92000</v>
      </c>
      <c r="R14" s="3"/>
      <c r="S14" s="25">
        <v>92000</v>
      </c>
    </row>
    <row r="15" spans="1:19" ht="21" customHeight="1">
      <c r="A15" s="20">
        <v>8</v>
      </c>
      <c r="B15" s="21" t="s">
        <v>42</v>
      </c>
      <c r="C15" s="21" t="s">
        <v>43</v>
      </c>
      <c r="D15" s="22"/>
      <c r="E15" s="23" t="s">
        <v>44</v>
      </c>
      <c r="F15" s="3">
        <v>41</v>
      </c>
      <c r="G15" s="3">
        <v>58</v>
      </c>
      <c r="H15" s="24">
        <v>41000</v>
      </c>
      <c r="I15" s="3"/>
      <c r="J15" s="25">
        <v>41000</v>
      </c>
      <c r="K15" s="31"/>
      <c r="L15" s="32"/>
      <c r="M15" s="28"/>
      <c r="N15" s="23" t="s">
        <v>44</v>
      </c>
      <c r="O15" s="3">
        <v>41</v>
      </c>
      <c r="P15" s="3">
        <v>58</v>
      </c>
      <c r="Q15" s="24">
        <v>41000</v>
      </c>
      <c r="R15" s="3"/>
      <c r="S15" s="25">
        <v>41000</v>
      </c>
    </row>
    <row r="16" spans="1:19" ht="21" customHeight="1">
      <c r="A16" s="20">
        <v>9</v>
      </c>
      <c r="B16" s="21" t="s">
        <v>45</v>
      </c>
      <c r="C16" s="30" t="s">
        <v>46</v>
      </c>
      <c r="D16" s="22"/>
      <c r="E16" s="23" t="s">
        <v>47</v>
      </c>
      <c r="F16" s="3">
        <v>66</v>
      </c>
      <c r="G16" s="3">
        <v>66</v>
      </c>
      <c r="H16" s="24">
        <v>46500</v>
      </c>
      <c r="I16" s="3"/>
      <c r="J16" s="25">
        <v>46500</v>
      </c>
      <c r="K16" s="31"/>
      <c r="L16" s="32"/>
      <c r="M16" s="28"/>
      <c r="N16" s="23" t="s">
        <v>47</v>
      </c>
      <c r="O16" s="3">
        <v>66</v>
      </c>
      <c r="P16" s="3">
        <v>66</v>
      </c>
      <c r="Q16" s="24">
        <v>46500</v>
      </c>
      <c r="R16" s="3"/>
      <c r="S16" s="25">
        <v>46500</v>
      </c>
    </row>
    <row r="17" spans="1:20" ht="21" customHeight="1">
      <c r="A17" s="20">
        <v>10</v>
      </c>
      <c r="B17" s="21" t="s">
        <v>48</v>
      </c>
      <c r="C17" s="30" t="s">
        <v>49</v>
      </c>
      <c r="D17" s="22"/>
      <c r="E17" s="23"/>
      <c r="F17" s="3"/>
      <c r="G17" s="3"/>
      <c r="H17" s="24"/>
      <c r="I17" s="3"/>
      <c r="J17" s="25"/>
      <c r="K17" s="31"/>
      <c r="L17" s="32"/>
      <c r="M17" s="35"/>
      <c r="N17" s="23"/>
      <c r="O17" s="3"/>
      <c r="P17" s="3"/>
      <c r="Q17" s="24"/>
      <c r="R17" s="3"/>
      <c r="S17" s="25"/>
      <c r="T17" s="29" t="s">
        <v>157</v>
      </c>
    </row>
    <row r="18" spans="1:20" ht="21" customHeight="1">
      <c r="A18" s="20">
        <v>11</v>
      </c>
      <c r="B18" s="33" t="s">
        <v>51</v>
      </c>
      <c r="C18" s="22" t="s">
        <v>52</v>
      </c>
      <c r="D18" s="34"/>
      <c r="E18" s="23" t="s">
        <v>53</v>
      </c>
      <c r="F18" s="3">
        <v>39.049999999999997</v>
      </c>
      <c r="G18" s="3">
        <v>39</v>
      </c>
      <c r="H18" s="24">
        <v>39100</v>
      </c>
      <c r="I18" s="3"/>
      <c r="J18" s="25">
        <v>39100</v>
      </c>
      <c r="K18" s="31"/>
      <c r="L18" s="32"/>
      <c r="M18" s="28"/>
      <c r="N18" s="23" t="s">
        <v>53</v>
      </c>
      <c r="O18" s="3">
        <v>39.049999999999997</v>
      </c>
      <c r="P18" s="3">
        <v>39</v>
      </c>
      <c r="Q18" s="24">
        <v>39100</v>
      </c>
      <c r="R18" s="3"/>
      <c r="S18" s="25">
        <v>39100</v>
      </c>
    </row>
    <row r="19" spans="1:20" ht="21" customHeight="1">
      <c r="A19" s="20">
        <v>12</v>
      </c>
      <c r="B19" s="33" t="s">
        <v>54</v>
      </c>
      <c r="C19" s="22" t="s">
        <v>55</v>
      </c>
      <c r="D19" s="22"/>
      <c r="E19" s="23"/>
      <c r="F19" s="3"/>
      <c r="G19" s="3"/>
      <c r="H19" s="24"/>
      <c r="I19" s="3"/>
      <c r="J19" s="25"/>
      <c r="K19" s="31"/>
      <c r="L19" s="32"/>
      <c r="M19" s="28"/>
      <c r="N19" s="23"/>
      <c r="O19" s="3"/>
      <c r="P19" s="3"/>
      <c r="Q19" s="24"/>
      <c r="R19" s="3"/>
      <c r="S19" s="25"/>
      <c r="T19" s="29" t="s">
        <v>157</v>
      </c>
    </row>
    <row r="20" spans="1:20" ht="21" customHeight="1">
      <c r="A20" s="20">
        <v>13</v>
      </c>
      <c r="B20" s="21" t="s">
        <v>57</v>
      </c>
      <c r="C20" s="30" t="s">
        <v>58</v>
      </c>
      <c r="D20" s="34"/>
      <c r="E20" s="23" t="s">
        <v>59</v>
      </c>
      <c r="F20" s="3">
        <v>4</v>
      </c>
      <c r="G20" s="3">
        <v>4</v>
      </c>
      <c r="H20" s="24">
        <v>5000</v>
      </c>
      <c r="I20" s="3"/>
      <c r="J20" s="25">
        <v>5000</v>
      </c>
      <c r="K20" s="31"/>
      <c r="L20" s="32"/>
      <c r="M20" s="28"/>
      <c r="N20" s="23" t="s">
        <v>59</v>
      </c>
      <c r="O20" s="3">
        <v>4</v>
      </c>
      <c r="P20" s="3">
        <v>4</v>
      </c>
      <c r="Q20" s="24">
        <v>5000</v>
      </c>
      <c r="R20" s="3"/>
      <c r="S20" s="25">
        <v>5000</v>
      </c>
    </row>
    <row r="21" spans="1:20" ht="21" customHeight="1">
      <c r="A21" s="20">
        <v>14</v>
      </c>
      <c r="B21" s="21" t="s">
        <v>60</v>
      </c>
      <c r="C21" s="30" t="s">
        <v>61</v>
      </c>
      <c r="D21" s="22"/>
      <c r="E21" s="23" t="s">
        <v>62</v>
      </c>
      <c r="F21" s="3">
        <v>68</v>
      </c>
      <c r="G21" s="3">
        <v>68</v>
      </c>
      <c r="H21" s="24">
        <v>48500</v>
      </c>
      <c r="I21" s="3"/>
      <c r="J21" s="25">
        <v>48500</v>
      </c>
      <c r="K21" s="31"/>
      <c r="L21" s="32"/>
      <c r="M21" s="28"/>
      <c r="N21" s="23" t="s">
        <v>62</v>
      </c>
      <c r="O21" s="3">
        <v>68</v>
      </c>
      <c r="P21" s="3">
        <v>68</v>
      </c>
      <c r="Q21" s="24">
        <v>48500</v>
      </c>
      <c r="R21" s="3"/>
      <c r="S21" s="25">
        <v>48500</v>
      </c>
    </row>
    <row r="22" spans="1:20" ht="21" customHeight="1">
      <c r="A22" s="20">
        <v>15</v>
      </c>
      <c r="B22" s="21" t="s">
        <v>63</v>
      </c>
      <c r="C22" s="21" t="s">
        <v>64</v>
      </c>
      <c r="D22" s="22"/>
      <c r="E22" s="23"/>
      <c r="F22" s="3"/>
      <c r="G22" s="3"/>
      <c r="H22" s="24"/>
      <c r="I22" s="3"/>
      <c r="J22" s="25"/>
      <c r="K22" s="31"/>
      <c r="L22" s="32"/>
      <c r="M22" s="28"/>
      <c r="N22" s="23"/>
      <c r="O22" s="3"/>
      <c r="P22" s="3"/>
      <c r="Q22" s="24"/>
      <c r="R22" s="3"/>
      <c r="S22" s="25"/>
      <c r="T22" s="29" t="s">
        <v>157</v>
      </c>
    </row>
    <row r="23" spans="1:20" ht="21" customHeight="1">
      <c r="A23" s="20">
        <v>16</v>
      </c>
      <c r="B23" s="36" t="s">
        <v>66</v>
      </c>
      <c r="C23" s="36" t="s">
        <v>67</v>
      </c>
      <c r="D23" s="37"/>
      <c r="E23" s="38" t="s">
        <v>68</v>
      </c>
      <c r="F23" s="39">
        <v>16</v>
      </c>
      <c r="G23" s="39">
        <v>37</v>
      </c>
      <c r="H23" s="40">
        <v>37600</v>
      </c>
      <c r="I23" s="39"/>
      <c r="J23" s="41">
        <v>37600</v>
      </c>
      <c r="K23" s="42"/>
      <c r="L23" s="43"/>
      <c r="M23" s="44"/>
      <c r="N23" s="38" t="s">
        <v>68</v>
      </c>
      <c r="O23" s="39">
        <v>16</v>
      </c>
      <c r="P23" s="39">
        <v>37</v>
      </c>
      <c r="Q23" s="40">
        <v>37600</v>
      </c>
      <c r="R23" s="39"/>
      <c r="S23" s="41">
        <v>37600</v>
      </c>
    </row>
    <row r="24" spans="1:20" ht="21" customHeight="1" thickBot="1">
      <c r="A24" s="45"/>
      <c r="B24" s="46" t="s">
        <v>18</v>
      </c>
      <c r="C24" s="47"/>
      <c r="D24" s="48"/>
      <c r="E24" s="49"/>
      <c r="F24" s="50"/>
      <c r="G24" s="50"/>
      <c r="H24" s="51">
        <f>SUM(H8:H23)</f>
        <v>545500</v>
      </c>
      <c r="I24" s="51">
        <v>0</v>
      </c>
      <c r="J24" s="51">
        <f>SUM(J8:J23)</f>
        <v>545500</v>
      </c>
      <c r="K24" s="52"/>
      <c r="L24" s="53"/>
      <c r="M24" s="54">
        <f>SUM(M8:M23)</f>
        <v>0</v>
      </c>
      <c r="N24" s="49"/>
      <c r="O24" s="50"/>
      <c r="P24" s="50"/>
      <c r="Q24" s="51">
        <f>SUM(Q8:Q23)</f>
        <v>545500</v>
      </c>
      <c r="R24" s="51">
        <f ca="1">SUM(R8:R39)</f>
        <v>0</v>
      </c>
      <c r="S24" s="51">
        <f>SUM(S8:S23)</f>
        <v>545500</v>
      </c>
    </row>
    <row r="25" spans="1:20" s="1" customFormat="1" ht="21" customHeight="1" thickTop="1">
      <c r="A25" s="55"/>
      <c r="B25" s="56" t="s">
        <v>69</v>
      </c>
      <c r="D25" s="57"/>
      <c r="E25" s="58"/>
      <c r="F25" s="59"/>
      <c r="G25" s="29"/>
      <c r="H25" s="29"/>
      <c r="I25" s="29"/>
      <c r="J25" s="29"/>
      <c r="K25" s="60"/>
      <c r="L25" s="61"/>
      <c r="M25" s="61"/>
    </row>
    <row r="26" spans="1:20" ht="21" customHeight="1">
      <c r="A26" s="20">
        <v>1</v>
      </c>
      <c r="B26" s="21" t="s">
        <v>70</v>
      </c>
      <c r="C26" s="21" t="s">
        <v>71</v>
      </c>
      <c r="D26" s="6"/>
      <c r="E26" s="23" t="s">
        <v>72</v>
      </c>
      <c r="F26" s="3">
        <v>7</v>
      </c>
      <c r="G26" s="3">
        <v>141</v>
      </c>
      <c r="H26" s="24">
        <v>20000</v>
      </c>
      <c r="I26" s="3"/>
      <c r="J26" s="25">
        <v>20000</v>
      </c>
      <c r="K26" s="26"/>
      <c r="L26" s="27"/>
      <c r="M26" s="28"/>
      <c r="N26" s="23" t="s">
        <v>72</v>
      </c>
      <c r="O26" s="3">
        <v>7</v>
      </c>
      <c r="P26" s="3">
        <v>141</v>
      </c>
      <c r="Q26" s="24">
        <v>20000</v>
      </c>
      <c r="R26" s="3"/>
      <c r="S26" s="25">
        <v>20000</v>
      </c>
    </row>
    <row r="27" spans="1:20" ht="21" customHeight="1" thickBot="1">
      <c r="A27" s="45"/>
      <c r="B27" s="46" t="s">
        <v>18</v>
      </c>
      <c r="C27" s="47"/>
      <c r="D27" s="48"/>
      <c r="E27" s="49"/>
      <c r="F27" s="50"/>
      <c r="G27" s="50"/>
      <c r="H27" s="51">
        <v>20000</v>
      </c>
      <c r="I27" s="51">
        <v>0</v>
      </c>
      <c r="J27" s="51">
        <v>20000</v>
      </c>
      <c r="K27" s="62"/>
      <c r="L27" s="53"/>
      <c r="M27" s="54"/>
      <c r="N27" s="49"/>
      <c r="O27" s="50"/>
      <c r="P27" s="50"/>
      <c r="Q27" s="51">
        <f t="shared" ref="Q27:S27" si="0">SUM(Q26)</f>
        <v>20000</v>
      </c>
      <c r="R27" s="51">
        <f t="shared" si="0"/>
        <v>0</v>
      </c>
      <c r="S27" s="51">
        <f t="shared" si="0"/>
        <v>20000</v>
      </c>
    </row>
    <row r="28" spans="1:20" ht="21" customHeight="1" thickTop="1">
      <c r="B28" s="1"/>
      <c r="C28" s="1"/>
      <c r="D28" s="63"/>
      <c r="E28" s="64"/>
      <c r="F28" s="58"/>
      <c r="G28" s="58"/>
      <c r="H28" s="65"/>
      <c r="I28" s="58"/>
      <c r="J28" s="59"/>
      <c r="K28" s="66"/>
      <c r="L28" s="67"/>
      <c r="M28" s="68"/>
      <c r="N28" s="64"/>
      <c r="Q28" s="65"/>
      <c r="S28" s="59"/>
    </row>
    <row r="29" spans="1:20" s="1" customFormat="1" ht="21" customHeight="1">
      <c r="A29" s="55"/>
      <c r="B29" s="69" t="s">
        <v>73</v>
      </c>
      <c r="D29" s="57"/>
      <c r="E29" s="58"/>
      <c r="F29" s="59"/>
      <c r="G29" s="29"/>
      <c r="H29" s="29"/>
      <c r="I29" s="29"/>
      <c r="J29" s="29"/>
      <c r="K29" s="60"/>
      <c r="L29" s="61"/>
      <c r="M29" s="61"/>
    </row>
    <row r="30" spans="1:20" ht="21" customHeight="1">
      <c r="A30" s="20">
        <v>1</v>
      </c>
      <c r="B30" s="21" t="s">
        <v>74</v>
      </c>
      <c r="C30" s="70" t="s">
        <v>75</v>
      </c>
      <c r="D30" s="6"/>
      <c r="E30" s="24"/>
      <c r="F30" s="3"/>
      <c r="G30" s="3"/>
      <c r="H30" s="24">
        <v>0</v>
      </c>
      <c r="I30" s="3"/>
      <c r="J30" s="25">
        <v>0</v>
      </c>
      <c r="K30" s="71"/>
      <c r="L30" s="72"/>
      <c r="M30" s="28"/>
      <c r="N30" s="23"/>
      <c r="O30" s="3"/>
      <c r="P30" s="3"/>
      <c r="Q30" s="24">
        <f>SUM(H30-M30)</f>
        <v>0</v>
      </c>
      <c r="R30" s="24"/>
      <c r="S30" s="24">
        <f>SUM(J30-M30)</f>
        <v>0</v>
      </c>
    </row>
    <row r="31" spans="1:20" ht="21" customHeight="1">
      <c r="A31" s="20"/>
      <c r="B31" s="33" t="s">
        <v>74</v>
      </c>
      <c r="C31" s="73" t="s">
        <v>79</v>
      </c>
      <c r="D31" s="34"/>
      <c r="E31" s="23" t="s">
        <v>138</v>
      </c>
      <c r="F31" s="3">
        <v>43</v>
      </c>
      <c r="G31" s="3">
        <v>43</v>
      </c>
      <c r="H31" s="24">
        <v>83800</v>
      </c>
      <c r="I31" s="3"/>
      <c r="J31" s="25">
        <v>83800</v>
      </c>
      <c r="K31" s="148" t="s">
        <v>153</v>
      </c>
      <c r="L31" s="149" t="s">
        <v>154</v>
      </c>
      <c r="M31" s="150">
        <v>300</v>
      </c>
      <c r="N31" s="23" t="s">
        <v>138</v>
      </c>
      <c r="O31" s="3">
        <v>43</v>
      </c>
      <c r="P31" s="3">
        <v>43</v>
      </c>
      <c r="Q31" s="24">
        <f t="shared" ref="Q31:Q34" si="1">SUM(H31-M31)</f>
        <v>83500</v>
      </c>
      <c r="R31" s="24"/>
      <c r="S31" s="24">
        <f t="shared" ref="S31:S34" si="2">SUM(J31-M31)</f>
        <v>83500</v>
      </c>
    </row>
    <row r="32" spans="1:20" ht="21" customHeight="1">
      <c r="A32" s="20">
        <v>2</v>
      </c>
      <c r="B32" s="33" t="s">
        <v>81</v>
      </c>
      <c r="C32" s="22" t="s">
        <v>82</v>
      </c>
      <c r="D32" s="34"/>
      <c r="E32" s="23"/>
      <c r="F32" s="3"/>
      <c r="G32" s="3"/>
      <c r="H32" s="24">
        <v>0</v>
      </c>
      <c r="I32" s="3"/>
      <c r="J32" s="25">
        <v>0</v>
      </c>
      <c r="K32" s="196"/>
      <c r="L32" s="149"/>
      <c r="M32" s="150"/>
      <c r="N32" s="23"/>
      <c r="O32" s="3"/>
      <c r="P32" s="3"/>
      <c r="Q32" s="24">
        <f t="shared" si="1"/>
        <v>0</v>
      </c>
      <c r="R32" s="24"/>
      <c r="S32" s="24">
        <f t="shared" si="2"/>
        <v>0</v>
      </c>
    </row>
    <row r="33" spans="1:19" ht="21" customHeight="1">
      <c r="A33" s="20"/>
      <c r="B33" s="33" t="s">
        <v>81</v>
      </c>
      <c r="C33" s="22" t="s">
        <v>85</v>
      </c>
      <c r="D33" s="34"/>
      <c r="E33" s="23" t="s">
        <v>83</v>
      </c>
      <c r="F33" s="3">
        <v>24</v>
      </c>
      <c r="G33" s="3">
        <v>24</v>
      </c>
      <c r="H33" s="24">
        <v>16000</v>
      </c>
      <c r="I33" s="3"/>
      <c r="J33" s="25">
        <v>16000</v>
      </c>
      <c r="K33" s="148"/>
      <c r="L33" s="149"/>
      <c r="M33" s="150"/>
      <c r="N33" s="23" t="s">
        <v>83</v>
      </c>
      <c r="O33" s="3">
        <v>24</v>
      </c>
      <c r="P33" s="3">
        <v>24</v>
      </c>
      <c r="Q33" s="24">
        <f t="shared" si="1"/>
        <v>16000</v>
      </c>
      <c r="R33" s="24"/>
      <c r="S33" s="24">
        <f t="shared" si="2"/>
        <v>16000</v>
      </c>
    </row>
    <row r="34" spans="1:19" ht="21" customHeight="1">
      <c r="A34" s="20">
        <v>3</v>
      </c>
      <c r="B34" s="21" t="s">
        <v>86</v>
      </c>
      <c r="C34" s="30" t="s">
        <v>87</v>
      </c>
      <c r="D34" s="22"/>
      <c r="E34" s="23" t="s">
        <v>50</v>
      </c>
      <c r="F34" s="3">
        <v>34</v>
      </c>
      <c r="G34" s="3">
        <v>34</v>
      </c>
      <c r="H34" s="24">
        <v>4000</v>
      </c>
      <c r="I34" s="3"/>
      <c r="J34" s="25">
        <v>4000</v>
      </c>
      <c r="K34" s="31" t="s">
        <v>155</v>
      </c>
      <c r="L34" s="32" t="s">
        <v>156</v>
      </c>
      <c r="M34" s="35">
        <v>500</v>
      </c>
      <c r="N34" s="23" t="s">
        <v>50</v>
      </c>
      <c r="O34" s="3">
        <v>34</v>
      </c>
      <c r="P34" s="3">
        <v>34</v>
      </c>
      <c r="Q34" s="24">
        <f t="shared" si="1"/>
        <v>3500</v>
      </c>
      <c r="R34" s="3"/>
      <c r="S34" s="24">
        <f t="shared" si="2"/>
        <v>3500</v>
      </c>
    </row>
    <row r="35" spans="1:19" ht="21" customHeight="1" thickBot="1">
      <c r="A35" s="45"/>
      <c r="B35" s="46" t="s">
        <v>18</v>
      </c>
      <c r="C35" s="47"/>
      <c r="D35" s="48"/>
      <c r="E35" s="49"/>
      <c r="F35" s="50"/>
      <c r="G35" s="50"/>
      <c r="H35" s="51">
        <f>SUM(H30:H34)</f>
        <v>103800</v>
      </c>
      <c r="I35" s="51">
        <v>0</v>
      </c>
      <c r="J35" s="51">
        <f>SUM(J30:J34)</f>
        <v>103800</v>
      </c>
      <c r="K35" s="62"/>
      <c r="L35" s="53"/>
      <c r="M35" s="74">
        <f>SUM(M30:M34)</f>
        <v>800</v>
      </c>
      <c r="N35" s="49"/>
      <c r="O35" s="50"/>
      <c r="P35" s="50"/>
      <c r="Q35" s="51">
        <f>SUM(Q30:Q34)</f>
        <v>103000</v>
      </c>
      <c r="R35" s="51">
        <f>SUM(R30:R33)</f>
        <v>0</v>
      </c>
      <c r="S35" s="51">
        <f>SUM(S30:S34)</f>
        <v>103000</v>
      </c>
    </row>
    <row r="36" spans="1:19" s="85" customFormat="1" ht="21" customHeight="1" thickTop="1">
      <c r="A36" s="75"/>
      <c r="B36" s="76"/>
      <c r="C36" s="77"/>
      <c r="D36" s="78"/>
      <c r="E36" s="79"/>
      <c r="F36" s="80"/>
      <c r="G36" s="80"/>
      <c r="H36" s="81"/>
      <c r="I36" s="81"/>
      <c r="J36" s="81"/>
      <c r="K36" s="82"/>
      <c r="L36" s="83"/>
      <c r="M36" s="84"/>
      <c r="N36" s="79"/>
      <c r="O36" s="80"/>
      <c r="P36" s="80"/>
      <c r="Q36" s="81"/>
      <c r="R36" s="81"/>
      <c r="S36" s="81"/>
    </row>
    <row r="37" spans="1:19" ht="21" customHeight="1">
      <c r="B37" s="86" t="s">
        <v>90</v>
      </c>
    </row>
    <row r="38" spans="1:19" ht="21" customHeight="1">
      <c r="A38" s="20">
        <v>1</v>
      </c>
      <c r="B38" s="33" t="s">
        <v>91</v>
      </c>
      <c r="C38" s="73" t="s">
        <v>92</v>
      </c>
      <c r="D38" s="34"/>
      <c r="E38" s="23" t="s">
        <v>93</v>
      </c>
      <c r="F38" s="3">
        <v>2</v>
      </c>
      <c r="G38" s="3">
        <v>2</v>
      </c>
      <c r="H38" s="24">
        <v>11000</v>
      </c>
      <c r="I38" s="3"/>
      <c r="J38" s="25">
        <v>11000</v>
      </c>
      <c r="K38" s="31"/>
      <c r="L38" s="32"/>
      <c r="M38" s="28"/>
      <c r="N38" s="23" t="s">
        <v>93</v>
      </c>
      <c r="O38" s="3">
        <v>2</v>
      </c>
      <c r="P38" s="3">
        <v>2</v>
      </c>
      <c r="Q38" s="24">
        <v>11000</v>
      </c>
      <c r="R38" s="3"/>
      <c r="S38" s="25">
        <v>11000</v>
      </c>
    </row>
    <row r="39" spans="1:19" ht="21" customHeight="1">
      <c r="A39" s="20">
        <v>2</v>
      </c>
      <c r="B39" s="70" t="s">
        <v>94</v>
      </c>
      <c r="C39" s="30" t="s">
        <v>95</v>
      </c>
      <c r="D39" s="22"/>
      <c r="E39" s="23" t="s">
        <v>96</v>
      </c>
      <c r="F39" s="3">
        <v>3</v>
      </c>
      <c r="G39" s="3">
        <v>3</v>
      </c>
      <c r="H39" s="24">
        <v>6000</v>
      </c>
      <c r="I39" s="3"/>
      <c r="J39" s="25">
        <v>6000</v>
      </c>
      <c r="K39" s="31"/>
      <c r="L39" s="32"/>
      <c r="M39" s="27"/>
      <c r="N39" s="23" t="s">
        <v>96</v>
      </c>
      <c r="O39" s="3">
        <v>3</v>
      </c>
      <c r="P39" s="3">
        <v>3</v>
      </c>
      <c r="Q39" s="24">
        <f>SUM(H39-M39)</f>
        <v>6000</v>
      </c>
      <c r="R39" s="24"/>
      <c r="S39" s="24">
        <f>SUM(J39-M39)</f>
        <v>6000</v>
      </c>
    </row>
    <row r="40" spans="1:19" ht="21" customHeight="1" thickBot="1">
      <c r="A40" s="45"/>
      <c r="B40" s="46" t="s">
        <v>18</v>
      </c>
      <c r="C40" s="47"/>
      <c r="D40" s="48"/>
      <c r="E40" s="49"/>
      <c r="F40" s="50"/>
      <c r="G40" s="50"/>
      <c r="H40" s="51">
        <v>17000</v>
      </c>
      <c r="I40" s="51">
        <v>0</v>
      </c>
      <c r="J40" s="51">
        <v>17000</v>
      </c>
      <c r="K40" s="62"/>
      <c r="L40" s="53"/>
      <c r="M40" s="74">
        <f>SUM(M36:M39)</f>
        <v>0</v>
      </c>
      <c r="N40" s="49"/>
      <c r="O40" s="50"/>
      <c r="P40" s="50"/>
      <c r="Q40" s="51">
        <f>SUM(Q36:Q39)</f>
        <v>17000</v>
      </c>
      <c r="R40" s="51">
        <f>SUM(R36:R39)</f>
        <v>0</v>
      </c>
      <c r="S40" s="51">
        <f>SUM(S36:S39)</f>
        <v>17000</v>
      </c>
    </row>
    <row r="41" spans="1:19" s="85" customFormat="1" ht="21" customHeight="1" thickTop="1">
      <c r="A41" s="75"/>
      <c r="B41" s="93"/>
      <c r="C41" s="77"/>
      <c r="D41" s="78"/>
      <c r="E41" s="79"/>
      <c r="F41" s="80"/>
      <c r="G41" s="80"/>
      <c r="H41" s="81"/>
      <c r="I41" s="80"/>
      <c r="J41" s="94"/>
      <c r="K41" s="82"/>
      <c r="L41" s="83"/>
      <c r="M41" s="95"/>
      <c r="N41" s="79"/>
      <c r="O41" s="80"/>
      <c r="P41" s="80"/>
      <c r="Q41" s="81"/>
      <c r="R41" s="81"/>
      <c r="S41" s="81"/>
    </row>
    <row r="42" spans="1:19" ht="21" customHeight="1">
      <c r="H42" s="96">
        <f>SUM(H24+H27+H35+H40)</f>
        <v>686300</v>
      </c>
      <c r="I42" s="96">
        <f t="shared" ref="I42:P42" si="3">SUM(I24+I27+I35+I40)</f>
        <v>0</v>
      </c>
      <c r="J42" s="96">
        <f t="shared" si="3"/>
        <v>686300</v>
      </c>
      <c r="K42" s="96">
        <f t="shared" si="3"/>
        <v>0</v>
      </c>
      <c r="L42" s="96">
        <f t="shared" si="3"/>
        <v>0</v>
      </c>
      <c r="M42" s="96">
        <f t="shared" si="3"/>
        <v>800</v>
      </c>
      <c r="N42" s="96">
        <f t="shared" si="3"/>
        <v>0</v>
      </c>
      <c r="O42" s="96">
        <f t="shared" si="3"/>
        <v>0</v>
      </c>
      <c r="P42" s="96">
        <f t="shared" si="3"/>
        <v>0</v>
      </c>
      <c r="Q42" s="96">
        <f>SUM(Q24+Q27+Q35+Q40)</f>
        <v>685500</v>
      </c>
      <c r="R42" s="96">
        <f ca="1">SUM(R24+R27+R35+R40)</f>
        <v>0</v>
      </c>
      <c r="S42" s="96">
        <f>SUM(S24+S27+S35+S40)</f>
        <v>685500</v>
      </c>
    </row>
    <row r="44" spans="1:19" ht="21" customHeight="1">
      <c r="S44" s="58"/>
    </row>
    <row r="52" spans="1:18" ht="21" customHeight="1">
      <c r="A52" s="29"/>
      <c r="R52" s="29"/>
    </row>
    <row r="53" spans="1:18" ht="21" customHeight="1">
      <c r="A53" s="29"/>
      <c r="R53" s="29"/>
    </row>
    <row r="63" spans="1:18" ht="21" customHeight="1">
      <c r="A63" s="29"/>
      <c r="R63" s="29"/>
    </row>
    <row r="64" spans="1:18" ht="21" customHeight="1">
      <c r="A64" s="29"/>
      <c r="R64" s="29"/>
    </row>
    <row r="67" spans="1:19" ht="21" customHeight="1">
      <c r="A67" s="29"/>
      <c r="C67" s="29"/>
      <c r="D67" s="29"/>
      <c r="F67" s="29"/>
      <c r="G67" s="29"/>
      <c r="H67" s="29"/>
      <c r="I67" s="29"/>
      <c r="J67" s="29"/>
      <c r="K67" s="2"/>
      <c r="L67" s="29"/>
      <c r="O67" s="29"/>
      <c r="P67" s="29"/>
      <c r="Q67" s="29"/>
      <c r="R67" s="29" t="s">
        <v>97</v>
      </c>
      <c r="S67" s="58">
        <v>32</v>
      </c>
    </row>
    <row r="68" spans="1:19" ht="21" customHeight="1">
      <c r="A68" s="29"/>
      <c r="C68" s="29"/>
      <c r="D68" s="29"/>
      <c r="F68" s="29"/>
      <c r="G68" s="29"/>
      <c r="H68" s="29"/>
      <c r="I68" s="29"/>
      <c r="J68" s="29"/>
      <c r="K68" s="2"/>
      <c r="L68" s="29"/>
      <c r="O68" s="29"/>
      <c r="P68" s="29"/>
      <c r="Q68" s="29"/>
      <c r="R68" s="55" t="s">
        <v>98</v>
      </c>
      <c r="S68" s="55">
        <v>18</v>
      </c>
    </row>
    <row r="122" spans="1:19" ht="21" customHeight="1">
      <c r="A122" s="97" t="s">
        <v>99</v>
      </c>
      <c r="B122" s="36" t="s">
        <v>100</v>
      </c>
      <c r="C122" s="98" t="s">
        <v>101</v>
      </c>
      <c r="D122" s="37">
        <v>1100</v>
      </c>
      <c r="E122" s="38" t="s">
        <v>102</v>
      </c>
      <c r="F122" s="39">
        <v>1</v>
      </c>
      <c r="G122" s="39">
        <v>1</v>
      </c>
      <c r="H122" s="40">
        <v>1100</v>
      </c>
      <c r="I122" s="39"/>
      <c r="J122" s="41">
        <v>1100</v>
      </c>
      <c r="K122" s="99"/>
      <c r="L122" s="100"/>
      <c r="M122" s="101"/>
      <c r="N122" s="38" t="s">
        <v>103</v>
      </c>
      <c r="O122" s="39">
        <v>2</v>
      </c>
      <c r="P122" s="39">
        <v>2</v>
      </c>
      <c r="Q122" s="40">
        <v>2200</v>
      </c>
      <c r="R122" s="39"/>
      <c r="S122" s="41">
        <v>1100</v>
      </c>
    </row>
  </sheetData>
  <mergeCells count="19">
    <mergeCell ref="H5:J5"/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N5:N6"/>
    <mergeCell ref="O5:O6"/>
    <mergeCell ref="Q5:S5"/>
    <mergeCell ref="E5:E6"/>
    <mergeCell ref="F5:F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0254-AE61-4BD5-BB87-AA9D1A63C581}">
  <sheetPr>
    <tabColor rgb="FF92D050"/>
  </sheetPr>
  <dimension ref="A1:F84"/>
  <sheetViews>
    <sheetView zoomScale="70" zoomScaleNormal="70" workbookViewId="0">
      <pane ySplit="6" topLeftCell="A7" activePane="bottomLeft" state="frozen"/>
      <selection pane="bottomLeft" activeCell="F10" sqref="F10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90"/>
    <col min="5" max="5" width="13.88671875" style="91"/>
    <col min="6" max="6" width="13.6640625" style="29" customWidth="1"/>
    <col min="7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152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14" t="s">
        <v>8</v>
      </c>
      <c r="E4" s="214"/>
      <c r="F4" s="214"/>
    </row>
    <row r="5" spans="1:6" s="1" customFormat="1" ht="21" customHeight="1">
      <c r="A5" s="202"/>
      <c r="B5" s="202"/>
      <c r="C5" s="205"/>
      <c r="D5" s="216" t="s">
        <v>12</v>
      </c>
      <c r="E5" s="218" t="s">
        <v>13</v>
      </c>
      <c r="F5" s="209" t="s">
        <v>14</v>
      </c>
    </row>
    <row r="6" spans="1:6" s="1" customFormat="1" ht="21" customHeight="1">
      <c r="A6" s="203"/>
      <c r="B6" s="203"/>
      <c r="C6" s="206"/>
      <c r="D6" s="217"/>
      <c r="E6" s="219"/>
      <c r="F6" s="210"/>
    </row>
    <row r="7" spans="1:6" s="1" customFormat="1" ht="21" customHeight="1">
      <c r="A7" s="55"/>
      <c r="B7" s="69" t="s">
        <v>73</v>
      </c>
      <c r="D7" s="60"/>
      <c r="E7" s="61"/>
      <c r="F7" s="61"/>
    </row>
    <row r="8" spans="1:6" ht="21" customHeight="1">
      <c r="A8" s="20">
        <v>1</v>
      </c>
      <c r="B8" s="33" t="s">
        <v>74</v>
      </c>
      <c r="C8" s="73" t="s">
        <v>79</v>
      </c>
      <c r="D8" s="148" t="s">
        <v>153</v>
      </c>
      <c r="E8" s="149" t="s">
        <v>154</v>
      </c>
      <c r="F8" s="150">
        <v>300</v>
      </c>
    </row>
    <row r="9" spans="1:6" ht="21" customHeight="1">
      <c r="A9" s="20">
        <v>2</v>
      </c>
      <c r="B9" s="21" t="s">
        <v>86</v>
      </c>
      <c r="C9" s="30" t="s">
        <v>87</v>
      </c>
      <c r="D9" s="31" t="s">
        <v>155</v>
      </c>
      <c r="E9" s="32" t="s">
        <v>156</v>
      </c>
      <c r="F9" s="35">
        <v>500</v>
      </c>
    </row>
    <row r="10" spans="1:6" ht="21" customHeight="1" thickBot="1">
      <c r="A10" s="45"/>
      <c r="B10" s="46" t="s">
        <v>18</v>
      </c>
      <c r="C10" s="47"/>
      <c r="D10" s="62"/>
      <c r="E10" s="53"/>
      <c r="F10" s="74">
        <v>800</v>
      </c>
    </row>
    <row r="11" spans="1:6" s="85" customFormat="1" ht="21" customHeight="1" thickTop="1">
      <c r="A11" s="75"/>
      <c r="B11" s="76"/>
      <c r="C11" s="77"/>
      <c r="D11" s="82"/>
      <c r="E11" s="83"/>
      <c r="F11" s="84"/>
    </row>
    <row r="14" spans="1:6" ht="21" customHeight="1">
      <c r="A14" s="29"/>
    </row>
    <row r="15" spans="1:6" ht="21" customHeight="1">
      <c r="A15" s="29"/>
    </row>
    <row r="25" spans="1:5" ht="21" customHeight="1">
      <c r="A25" s="29"/>
    </row>
    <row r="26" spans="1:5" ht="21" customHeight="1">
      <c r="A26" s="29"/>
    </row>
    <row r="29" spans="1:5" ht="21" customHeight="1">
      <c r="A29" s="29"/>
      <c r="C29" s="29"/>
      <c r="D29" s="2"/>
      <c r="E29" s="29"/>
    </row>
    <row r="30" spans="1:5" ht="21" customHeight="1">
      <c r="A30" s="29"/>
      <c r="C30" s="29"/>
      <c r="D30" s="2"/>
      <c r="E30" s="29"/>
    </row>
    <row r="84" spans="1:6" ht="21" customHeight="1">
      <c r="A84" s="97" t="s">
        <v>99</v>
      </c>
      <c r="B84" s="36" t="s">
        <v>100</v>
      </c>
      <c r="C84" s="98" t="s">
        <v>101</v>
      </c>
      <c r="D84" s="99"/>
      <c r="E84" s="100"/>
      <c r="F84" s="101"/>
    </row>
  </sheetData>
  <mergeCells count="10"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0F4F-7127-4C26-9AEF-257441F92493}">
  <sheetPr>
    <tabColor rgb="FF92D050"/>
  </sheetPr>
  <dimension ref="A1:J117"/>
  <sheetViews>
    <sheetView zoomScale="70" zoomScaleNormal="70" workbookViewId="0">
      <pane ySplit="6" topLeftCell="A28" activePane="bottomLeft" state="frozen"/>
      <selection pane="bottomLeft" activeCell="J37" sqref="J37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4" width="19.44140625" style="87" customWidth="1"/>
    <col min="5" max="5" width="19.88671875" style="2" customWidth="1"/>
    <col min="6" max="6" width="13.88671875" style="58"/>
    <col min="7" max="16384" width="13.88671875" style="29"/>
  </cols>
  <sheetData>
    <row r="1" spans="1:7" s="1" customFormat="1" ht="21" customHeight="1">
      <c r="A1" s="198" t="s">
        <v>0</v>
      </c>
      <c r="B1" s="198"/>
      <c r="C1" s="198"/>
      <c r="D1" s="198"/>
      <c r="E1" s="198"/>
      <c r="F1" s="198"/>
      <c r="G1" s="198"/>
    </row>
    <row r="2" spans="1:7" s="1" customFormat="1" ht="21" customHeight="1">
      <c r="A2" s="199" t="s">
        <v>1</v>
      </c>
      <c r="B2" s="199"/>
      <c r="C2" s="199"/>
      <c r="D2" s="199"/>
      <c r="E2" s="199"/>
      <c r="F2" s="199"/>
      <c r="G2" s="199"/>
    </row>
    <row r="3" spans="1:7" s="1" customFormat="1" ht="21" customHeight="1">
      <c r="A3" s="200" t="s">
        <v>152</v>
      </c>
      <c r="B3" s="200"/>
      <c r="C3" s="200"/>
      <c r="D3" s="200"/>
      <c r="E3" s="200"/>
      <c r="F3" s="200"/>
      <c r="G3" s="200"/>
    </row>
    <row r="4" spans="1:7" s="1" customFormat="1" ht="21" customHeight="1">
      <c r="A4" s="201" t="s">
        <v>3</v>
      </c>
      <c r="B4" s="201" t="s">
        <v>4</v>
      </c>
      <c r="C4" s="204" t="s">
        <v>5</v>
      </c>
      <c r="D4" s="104"/>
      <c r="E4" s="207" t="s">
        <v>9</v>
      </c>
      <c r="F4" s="207"/>
      <c r="G4" s="207"/>
    </row>
    <row r="5" spans="1:7" s="1" customFormat="1" ht="21" customHeight="1">
      <c r="A5" s="202"/>
      <c r="B5" s="202"/>
      <c r="C5" s="205"/>
      <c r="D5" s="105" t="s">
        <v>120</v>
      </c>
      <c r="E5" s="208" t="s">
        <v>10</v>
      </c>
      <c r="F5" s="207" t="s">
        <v>15</v>
      </c>
      <c r="G5" s="102"/>
    </row>
    <row r="6" spans="1:7" s="1" customFormat="1" ht="21" customHeight="1">
      <c r="A6" s="203"/>
      <c r="B6" s="203"/>
      <c r="C6" s="206"/>
      <c r="D6" s="106"/>
      <c r="E6" s="208"/>
      <c r="F6" s="207"/>
      <c r="G6" s="8" t="s">
        <v>18</v>
      </c>
    </row>
    <row r="7" spans="1:7" s="1" customFormat="1" ht="21" customHeight="1">
      <c r="A7" s="9"/>
      <c r="B7" s="10" t="s">
        <v>20</v>
      </c>
      <c r="C7" s="11"/>
      <c r="D7" s="11"/>
      <c r="E7" s="13"/>
      <c r="F7" s="14"/>
      <c r="G7" s="16"/>
    </row>
    <row r="8" spans="1:7" ht="21" customHeight="1">
      <c r="A8" s="20">
        <v>1</v>
      </c>
      <c r="B8" s="21" t="s">
        <v>21</v>
      </c>
      <c r="C8" s="21" t="s">
        <v>22</v>
      </c>
      <c r="D8" s="21"/>
      <c r="E8" s="23" t="s">
        <v>23</v>
      </c>
      <c r="F8" s="3">
        <v>37</v>
      </c>
      <c r="G8" s="25">
        <v>22300</v>
      </c>
    </row>
    <row r="9" spans="1:7" ht="21" customHeight="1">
      <c r="A9" s="20">
        <v>2</v>
      </c>
      <c r="B9" s="21" t="s">
        <v>24</v>
      </c>
      <c r="C9" s="30" t="s">
        <v>25</v>
      </c>
      <c r="D9" s="30"/>
      <c r="E9" s="23" t="s">
        <v>26</v>
      </c>
      <c r="F9" s="3">
        <v>13</v>
      </c>
      <c r="G9" s="25">
        <v>15000</v>
      </c>
    </row>
    <row r="10" spans="1:7" ht="21" customHeight="1">
      <c r="A10" s="20">
        <v>3</v>
      </c>
      <c r="B10" s="33" t="s">
        <v>27</v>
      </c>
      <c r="C10" s="22" t="s">
        <v>28</v>
      </c>
      <c r="D10" s="22"/>
      <c r="E10" s="23" t="s">
        <v>29</v>
      </c>
      <c r="F10" s="3">
        <v>23</v>
      </c>
      <c r="G10" s="25">
        <v>50000</v>
      </c>
    </row>
    <row r="11" spans="1:7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25">
        <v>79500</v>
      </c>
    </row>
    <row r="12" spans="1:7" ht="21" customHeight="1">
      <c r="A12" s="20">
        <v>5</v>
      </c>
      <c r="B12" s="33" t="s">
        <v>33</v>
      </c>
      <c r="C12" s="22" t="s">
        <v>34</v>
      </c>
      <c r="D12" s="22"/>
      <c r="E12" s="23" t="s">
        <v>35</v>
      </c>
      <c r="F12" s="3">
        <v>42</v>
      </c>
      <c r="G12" s="25">
        <v>41000</v>
      </c>
    </row>
    <row r="13" spans="1:7" ht="21" customHeight="1">
      <c r="A13" s="20">
        <v>6</v>
      </c>
      <c r="B13" s="21" t="s">
        <v>36</v>
      </c>
      <c r="C13" s="21" t="s">
        <v>37</v>
      </c>
      <c r="D13" s="21"/>
      <c r="E13" s="23" t="s">
        <v>38</v>
      </c>
      <c r="F13" s="3">
        <v>29</v>
      </c>
      <c r="G13" s="25">
        <v>28000</v>
      </c>
    </row>
    <row r="14" spans="1:7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25">
        <v>92000</v>
      </c>
    </row>
    <row r="15" spans="1:7" ht="21" customHeight="1">
      <c r="A15" s="20">
        <v>8</v>
      </c>
      <c r="B15" s="21" t="s">
        <v>42</v>
      </c>
      <c r="C15" s="21" t="s">
        <v>43</v>
      </c>
      <c r="D15" s="21"/>
      <c r="E15" s="23" t="s">
        <v>44</v>
      </c>
      <c r="F15" s="3">
        <v>41</v>
      </c>
      <c r="G15" s="25">
        <v>41000</v>
      </c>
    </row>
    <row r="16" spans="1:7" ht="21" customHeight="1">
      <c r="A16" s="20">
        <v>9</v>
      </c>
      <c r="B16" s="21" t="s">
        <v>45</v>
      </c>
      <c r="C16" s="30" t="s">
        <v>46</v>
      </c>
      <c r="D16" s="30"/>
      <c r="E16" s="23" t="s">
        <v>47</v>
      </c>
      <c r="F16" s="3">
        <v>66</v>
      </c>
      <c r="G16" s="25">
        <v>46500</v>
      </c>
    </row>
    <row r="17" spans="1:9" ht="21" customHeight="1">
      <c r="A17" s="20">
        <v>11</v>
      </c>
      <c r="B17" s="33" t="s">
        <v>51</v>
      </c>
      <c r="C17" s="22" t="s">
        <v>52</v>
      </c>
      <c r="D17" s="22"/>
      <c r="E17" s="23" t="s">
        <v>53</v>
      </c>
      <c r="F17" s="3">
        <v>39.049999999999997</v>
      </c>
      <c r="G17" s="25">
        <v>39100</v>
      </c>
    </row>
    <row r="18" spans="1:9" ht="21" customHeight="1">
      <c r="A18" s="20">
        <v>13</v>
      </c>
      <c r="B18" s="21" t="s">
        <v>57</v>
      </c>
      <c r="C18" s="30" t="s">
        <v>58</v>
      </c>
      <c r="D18" s="30"/>
      <c r="E18" s="23" t="s">
        <v>59</v>
      </c>
      <c r="F18" s="3">
        <v>4</v>
      </c>
      <c r="G18" s="25">
        <v>5000</v>
      </c>
    </row>
    <row r="19" spans="1:9" ht="21" customHeight="1">
      <c r="A19" s="20">
        <v>14</v>
      </c>
      <c r="B19" s="21" t="s">
        <v>60</v>
      </c>
      <c r="C19" s="30" t="s">
        <v>61</v>
      </c>
      <c r="D19" s="30"/>
      <c r="E19" s="23" t="s">
        <v>62</v>
      </c>
      <c r="F19" s="3">
        <v>68</v>
      </c>
      <c r="G19" s="25">
        <v>48500</v>
      </c>
    </row>
    <row r="20" spans="1:9" ht="21" customHeight="1">
      <c r="A20" s="20">
        <v>16</v>
      </c>
      <c r="B20" s="36" t="s">
        <v>66</v>
      </c>
      <c r="C20" s="36" t="s">
        <v>67</v>
      </c>
      <c r="D20" s="107"/>
      <c r="E20" s="38" t="s">
        <v>68</v>
      </c>
      <c r="F20" s="39">
        <v>16</v>
      </c>
      <c r="G20" s="41">
        <v>37600</v>
      </c>
    </row>
    <row r="21" spans="1:9" ht="21" customHeight="1" thickBot="1">
      <c r="A21" s="45"/>
      <c r="B21" s="46" t="s">
        <v>18</v>
      </c>
      <c r="C21" s="47"/>
      <c r="D21" s="47"/>
      <c r="E21" s="49"/>
      <c r="F21" s="50"/>
      <c r="G21" s="51">
        <f>SUM(G8:G20)</f>
        <v>545500</v>
      </c>
      <c r="I21" s="29">
        <f>SUM(G8:G20)</f>
        <v>545500</v>
      </c>
    </row>
    <row r="22" spans="1:9" s="1" customFormat="1" ht="21" customHeight="1" thickTop="1">
      <c r="A22" s="55"/>
      <c r="B22" s="56" t="s">
        <v>69</v>
      </c>
    </row>
    <row r="23" spans="1:9" ht="21" customHeight="1">
      <c r="A23" s="20">
        <v>1</v>
      </c>
      <c r="B23" s="111" t="s">
        <v>70</v>
      </c>
      <c r="C23" s="111" t="s">
        <v>71</v>
      </c>
      <c r="D23" s="111"/>
      <c r="E23" s="112" t="s">
        <v>72</v>
      </c>
      <c r="F23" s="113">
        <v>7</v>
      </c>
      <c r="G23" s="114">
        <v>20000</v>
      </c>
    </row>
    <row r="24" spans="1:9" ht="21" customHeight="1" thickBot="1">
      <c r="A24" s="45"/>
      <c r="B24" s="46" t="s">
        <v>18</v>
      </c>
      <c r="C24" s="47"/>
      <c r="D24" s="47"/>
      <c r="E24" s="49"/>
      <c r="F24" s="50"/>
      <c r="G24" s="51">
        <v>20000</v>
      </c>
      <c r="I24" s="29">
        <f>SUM(G23)</f>
        <v>20000</v>
      </c>
    </row>
    <row r="25" spans="1:9" ht="21" customHeight="1" thickTop="1">
      <c r="B25" s="1"/>
      <c r="C25" s="1"/>
      <c r="D25" s="1"/>
      <c r="E25" s="64"/>
      <c r="G25" s="59"/>
    </row>
    <row r="26" spans="1:9" s="1" customFormat="1" ht="21" customHeight="1">
      <c r="A26" s="55"/>
      <c r="B26" s="69" t="s">
        <v>73</v>
      </c>
    </row>
    <row r="27" spans="1:9" ht="21" customHeight="1">
      <c r="A27" s="20">
        <v>1</v>
      </c>
      <c r="B27" s="116" t="s">
        <v>74</v>
      </c>
      <c r="C27" s="124" t="s">
        <v>79</v>
      </c>
      <c r="D27" s="124"/>
      <c r="E27" s="112" t="s">
        <v>138</v>
      </c>
      <c r="F27" s="113">
        <v>43</v>
      </c>
      <c r="G27" s="125">
        <v>83500</v>
      </c>
    </row>
    <row r="28" spans="1:9" ht="21" customHeight="1">
      <c r="A28" s="20">
        <v>2</v>
      </c>
      <c r="B28" s="116" t="s">
        <v>81</v>
      </c>
      <c r="C28" s="117" t="s">
        <v>85</v>
      </c>
      <c r="D28" s="117"/>
      <c r="E28" s="112" t="s">
        <v>83</v>
      </c>
      <c r="F28" s="113">
        <v>24</v>
      </c>
      <c r="G28" s="125">
        <v>16000</v>
      </c>
    </row>
    <row r="29" spans="1:9" ht="21" customHeight="1">
      <c r="A29" s="20">
        <v>3</v>
      </c>
      <c r="B29" s="111" t="s">
        <v>86</v>
      </c>
      <c r="C29" s="115" t="s">
        <v>87</v>
      </c>
      <c r="D29" s="115"/>
      <c r="E29" s="112" t="s">
        <v>50</v>
      </c>
      <c r="F29" s="113">
        <v>34</v>
      </c>
      <c r="G29" s="125">
        <v>3500</v>
      </c>
    </row>
    <row r="30" spans="1:9" ht="21" customHeight="1" thickBot="1">
      <c r="A30" s="45"/>
      <c r="B30" s="46" t="s">
        <v>18</v>
      </c>
      <c r="C30" s="47"/>
      <c r="D30" s="47"/>
      <c r="E30" s="49"/>
      <c r="F30" s="50"/>
      <c r="G30" s="51">
        <v>103000</v>
      </c>
      <c r="I30" s="29">
        <f>SUM(G27:G29)</f>
        <v>103000</v>
      </c>
    </row>
    <row r="31" spans="1:9" s="85" customFormat="1" ht="21" customHeight="1" thickTop="1">
      <c r="A31" s="75"/>
      <c r="B31" s="76"/>
      <c r="C31" s="77"/>
      <c r="D31" s="77"/>
      <c r="E31" s="79"/>
      <c r="F31" s="80"/>
      <c r="G31" s="81"/>
    </row>
    <row r="32" spans="1:9" ht="21" customHeight="1">
      <c r="B32" s="86" t="s">
        <v>90</v>
      </c>
    </row>
    <row r="33" spans="1:10" ht="21" customHeight="1">
      <c r="A33" s="20">
        <v>1</v>
      </c>
      <c r="B33" s="116" t="s">
        <v>91</v>
      </c>
      <c r="C33" s="124" t="s">
        <v>92</v>
      </c>
      <c r="D33" s="124"/>
      <c r="E33" s="112" t="s">
        <v>93</v>
      </c>
      <c r="F33" s="113">
        <v>2</v>
      </c>
      <c r="G33" s="114">
        <v>11000</v>
      </c>
    </row>
    <row r="34" spans="1:10" ht="21" customHeight="1">
      <c r="A34" s="20">
        <v>2</v>
      </c>
      <c r="B34" s="126" t="s">
        <v>94</v>
      </c>
      <c r="C34" s="115" t="s">
        <v>95</v>
      </c>
      <c r="D34" s="115"/>
      <c r="E34" s="112" t="s">
        <v>96</v>
      </c>
      <c r="F34" s="113">
        <v>3</v>
      </c>
      <c r="G34" s="125">
        <v>6000</v>
      </c>
    </row>
    <row r="35" spans="1:10" ht="21" customHeight="1" thickBot="1">
      <c r="A35" s="45"/>
      <c r="B35" s="46" t="s">
        <v>18</v>
      </c>
      <c r="C35" s="47"/>
      <c r="D35" s="47"/>
      <c r="E35" s="49"/>
      <c r="F35" s="50"/>
      <c r="G35" s="51">
        <v>17000</v>
      </c>
      <c r="I35" s="29">
        <f>SUM(G33:G34)</f>
        <v>17000</v>
      </c>
    </row>
    <row r="36" spans="1:10" s="85" customFormat="1" ht="21" customHeight="1" thickTop="1">
      <c r="A36" s="75"/>
      <c r="B36" s="93"/>
      <c r="C36" s="77"/>
      <c r="D36" s="77"/>
      <c r="E36" s="79"/>
      <c r="F36" s="80"/>
      <c r="G36" s="81"/>
    </row>
    <row r="37" spans="1:10" ht="21" customHeight="1">
      <c r="E37" s="96">
        <v>0</v>
      </c>
      <c r="F37" s="96">
        <v>0</v>
      </c>
      <c r="G37" s="96">
        <f>SUM(G21+G24+G30+G35)</f>
        <v>685500</v>
      </c>
      <c r="J37" s="197">
        <f>SUM(I21:I35)</f>
        <v>685500</v>
      </c>
    </row>
    <row r="39" spans="1:10" ht="21" customHeight="1">
      <c r="G39" s="58"/>
    </row>
    <row r="47" spans="1:10" ht="21" customHeight="1">
      <c r="A47" s="29"/>
    </row>
    <row r="48" spans="1:10" ht="21" customHeight="1">
      <c r="A48" s="29"/>
    </row>
    <row r="58" spans="1:7" ht="21" customHeight="1">
      <c r="A58" s="29"/>
    </row>
    <row r="59" spans="1:7" ht="21" customHeight="1">
      <c r="A59" s="29"/>
    </row>
    <row r="62" spans="1:7" ht="21" customHeight="1">
      <c r="A62" s="29"/>
      <c r="C62" s="29"/>
      <c r="D62" s="29"/>
      <c r="F62" s="29"/>
      <c r="G62" s="58">
        <v>32</v>
      </c>
    </row>
    <row r="63" spans="1:7" ht="21" customHeight="1">
      <c r="A63" s="29"/>
      <c r="C63" s="29"/>
      <c r="D63" s="29"/>
      <c r="F63" s="29"/>
      <c r="G63" s="55">
        <v>18</v>
      </c>
    </row>
    <row r="117" spans="1:7" ht="21" customHeight="1">
      <c r="A117" s="97" t="s">
        <v>99</v>
      </c>
      <c r="B117" s="36" t="s">
        <v>100</v>
      </c>
      <c r="C117" s="98" t="s">
        <v>101</v>
      </c>
      <c r="D117" s="108"/>
      <c r="E117" s="38" t="s">
        <v>103</v>
      </c>
      <c r="F117" s="39">
        <v>2</v>
      </c>
      <c r="G117" s="41">
        <v>1100</v>
      </c>
    </row>
  </sheetData>
  <mergeCells count="9">
    <mergeCell ref="E5:E6"/>
    <mergeCell ref="F5:F6"/>
    <mergeCell ref="A1:G1"/>
    <mergeCell ref="A2:G2"/>
    <mergeCell ref="A3:G3"/>
    <mergeCell ref="A4:A6"/>
    <mergeCell ref="B4:B6"/>
    <mergeCell ref="C4:C6"/>
    <mergeCell ref="E4:G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1A8C-2E89-4771-93C7-79CC1EC49895}">
  <sheetPr>
    <tabColor rgb="FF92D050"/>
  </sheetPr>
  <dimension ref="A1:I117"/>
  <sheetViews>
    <sheetView zoomScale="70" zoomScaleNormal="70" workbookViewId="0">
      <pane ySplit="6" topLeftCell="A16" activePane="bottomLeft" state="frozen"/>
      <selection pane="bottomLeft" activeCell="B27" sqref="B27:F29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9.88671875" style="2" customWidth="1"/>
    <col min="5" max="5" width="13.88671875" style="58"/>
    <col min="6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152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07" t="s">
        <v>9</v>
      </c>
      <c r="E4" s="207"/>
      <c r="F4" s="207"/>
    </row>
    <row r="5" spans="1:6" s="1" customFormat="1" ht="21" customHeight="1">
      <c r="A5" s="202"/>
      <c r="B5" s="202"/>
      <c r="C5" s="205"/>
      <c r="D5" s="208" t="s">
        <v>10</v>
      </c>
      <c r="E5" s="207" t="s">
        <v>15</v>
      </c>
      <c r="F5" s="102"/>
    </row>
    <row r="6" spans="1:6" s="1" customFormat="1" ht="21" customHeight="1">
      <c r="A6" s="203"/>
      <c r="B6" s="203"/>
      <c r="C6" s="206"/>
      <c r="D6" s="208"/>
      <c r="E6" s="207"/>
      <c r="F6" s="8" t="s">
        <v>18</v>
      </c>
    </row>
    <row r="7" spans="1:6" s="1" customFormat="1" ht="21" customHeight="1">
      <c r="A7" s="9"/>
      <c r="B7" s="10" t="s">
        <v>20</v>
      </c>
      <c r="C7" s="11"/>
      <c r="D7" s="13"/>
      <c r="E7" s="14"/>
      <c r="F7" s="16"/>
    </row>
    <row r="8" spans="1:6" ht="21" customHeight="1">
      <c r="A8" s="20">
        <v>1</v>
      </c>
      <c r="B8" s="21" t="s">
        <v>21</v>
      </c>
      <c r="C8" s="21" t="s">
        <v>22</v>
      </c>
      <c r="D8" s="23" t="s">
        <v>23</v>
      </c>
      <c r="E8" s="3">
        <v>37</v>
      </c>
      <c r="F8" s="25">
        <v>22300</v>
      </c>
    </row>
    <row r="9" spans="1:6" ht="21" customHeight="1">
      <c r="A9" s="20">
        <v>2</v>
      </c>
      <c r="B9" s="21" t="s">
        <v>24</v>
      </c>
      <c r="C9" s="30" t="s">
        <v>25</v>
      </c>
      <c r="D9" s="23" t="s">
        <v>26</v>
      </c>
      <c r="E9" s="3">
        <v>13</v>
      </c>
      <c r="F9" s="25">
        <v>15000</v>
      </c>
    </row>
    <row r="10" spans="1:6" ht="21" customHeight="1">
      <c r="A10" s="20">
        <v>3</v>
      </c>
      <c r="B10" s="33" t="s">
        <v>27</v>
      </c>
      <c r="C10" s="22" t="s">
        <v>28</v>
      </c>
      <c r="D10" s="23" t="s">
        <v>29</v>
      </c>
      <c r="E10" s="3">
        <v>23</v>
      </c>
      <c r="F10" s="25">
        <v>50000</v>
      </c>
    </row>
    <row r="11" spans="1:6" ht="21" customHeight="1">
      <c r="A11" s="20">
        <v>4</v>
      </c>
      <c r="B11" s="33" t="s">
        <v>30</v>
      </c>
      <c r="C11" s="22" t="s">
        <v>31</v>
      </c>
      <c r="D11" s="23" t="s">
        <v>32</v>
      </c>
      <c r="E11" s="3">
        <v>40</v>
      </c>
      <c r="F11" s="25">
        <v>79500</v>
      </c>
    </row>
    <row r="12" spans="1:6" ht="21" customHeight="1">
      <c r="A12" s="20">
        <v>5</v>
      </c>
      <c r="B12" s="33" t="s">
        <v>33</v>
      </c>
      <c r="C12" s="22" t="s">
        <v>34</v>
      </c>
      <c r="D12" s="23" t="s">
        <v>35</v>
      </c>
      <c r="E12" s="3">
        <v>42</v>
      </c>
      <c r="F12" s="25">
        <v>41000</v>
      </c>
    </row>
    <row r="13" spans="1:6" ht="21" customHeight="1">
      <c r="A13" s="20">
        <v>6</v>
      </c>
      <c r="B13" s="21" t="s">
        <v>36</v>
      </c>
      <c r="C13" s="21" t="s">
        <v>37</v>
      </c>
      <c r="D13" s="23" t="s">
        <v>38</v>
      </c>
      <c r="E13" s="3">
        <v>29</v>
      </c>
      <c r="F13" s="25">
        <v>28000</v>
      </c>
    </row>
    <row r="14" spans="1:6" ht="21" customHeight="1">
      <c r="A14" s="20">
        <v>7</v>
      </c>
      <c r="B14" s="21" t="s">
        <v>39</v>
      </c>
      <c r="C14" s="22" t="s">
        <v>40</v>
      </c>
      <c r="D14" s="23" t="s">
        <v>41</v>
      </c>
      <c r="E14" s="3">
        <v>49</v>
      </c>
      <c r="F14" s="25">
        <v>92000</v>
      </c>
    </row>
    <row r="15" spans="1:6" ht="21" customHeight="1">
      <c r="A15" s="20">
        <v>8</v>
      </c>
      <c r="B15" s="21" t="s">
        <v>42</v>
      </c>
      <c r="C15" s="21" t="s">
        <v>43</v>
      </c>
      <c r="D15" s="23" t="s">
        <v>44</v>
      </c>
      <c r="E15" s="3">
        <v>41</v>
      </c>
      <c r="F15" s="25">
        <v>41000</v>
      </c>
    </row>
    <row r="16" spans="1:6" ht="21" customHeight="1">
      <c r="A16" s="20">
        <v>9</v>
      </c>
      <c r="B16" s="21" t="s">
        <v>45</v>
      </c>
      <c r="C16" s="30" t="s">
        <v>46</v>
      </c>
      <c r="D16" s="23" t="s">
        <v>47</v>
      </c>
      <c r="E16" s="3">
        <v>66</v>
      </c>
      <c r="F16" s="25">
        <v>46500</v>
      </c>
    </row>
    <row r="17" spans="1:8" ht="21" customHeight="1">
      <c r="A17" s="20">
        <v>11</v>
      </c>
      <c r="B17" s="33" t="s">
        <v>51</v>
      </c>
      <c r="C17" s="22" t="s">
        <v>52</v>
      </c>
      <c r="D17" s="23" t="s">
        <v>53</v>
      </c>
      <c r="E17" s="3">
        <v>39.049999999999997</v>
      </c>
      <c r="F17" s="25">
        <v>39100</v>
      </c>
    </row>
    <row r="18" spans="1:8" ht="21" customHeight="1">
      <c r="A18" s="20">
        <v>13</v>
      </c>
      <c r="B18" s="21" t="s">
        <v>57</v>
      </c>
      <c r="C18" s="30" t="s">
        <v>58</v>
      </c>
      <c r="D18" s="23" t="s">
        <v>59</v>
      </c>
      <c r="E18" s="3">
        <v>4</v>
      </c>
      <c r="F18" s="25">
        <v>5000</v>
      </c>
    </row>
    <row r="19" spans="1:8" ht="21" customHeight="1">
      <c r="A19" s="20">
        <v>14</v>
      </c>
      <c r="B19" s="21" t="s">
        <v>60</v>
      </c>
      <c r="C19" s="30" t="s">
        <v>61</v>
      </c>
      <c r="D19" s="23" t="s">
        <v>62</v>
      </c>
      <c r="E19" s="3">
        <v>68</v>
      </c>
      <c r="F19" s="25">
        <v>48500</v>
      </c>
    </row>
    <row r="20" spans="1:8" ht="21" customHeight="1">
      <c r="A20" s="20">
        <v>16</v>
      </c>
      <c r="B20" s="36" t="s">
        <v>66</v>
      </c>
      <c r="C20" s="36" t="s">
        <v>67</v>
      </c>
      <c r="D20" s="38" t="s">
        <v>68</v>
      </c>
      <c r="E20" s="39">
        <v>16</v>
      </c>
      <c r="F20" s="41">
        <v>37600</v>
      </c>
    </row>
    <row r="21" spans="1:8" ht="21" customHeight="1" thickBot="1">
      <c r="A21" s="45"/>
      <c r="B21" s="46" t="s">
        <v>18</v>
      </c>
      <c r="C21" s="47"/>
      <c r="D21" s="49"/>
      <c r="E21" s="50"/>
      <c r="F21" s="51">
        <f>SUM(F8:F20)</f>
        <v>545500</v>
      </c>
      <c r="H21" s="29">
        <f>SUM(F8:F20)</f>
        <v>545500</v>
      </c>
    </row>
    <row r="22" spans="1:8" s="1" customFormat="1" ht="21" customHeight="1" thickTop="1">
      <c r="A22" s="55"/>
      <c r="B22" s="56" t="s">
        <v>69</v>
      </c>
    </row>
    <row r="23" spans="1:8" ht="21" customHeight="1">
      <c r="A23" s="20">
        <v>1</v>
      </c>
      <c r="B23" s="21" t="s">
        <v>70</v>
      </c>
      <c r="C23" s="21" t="s">
        <v>71</v>
      </c>
      <c r="D23" s="23" t="s">
        <v>72</v>
      </c>
      <c r="E23" s="3">
        <v>7</v>
      </c>
      <c r="F23" s="25">
        <v>20000</v>
      </c>
    </row>
    <row r="24" spans="1:8" ht="21" customHeight="1" thickBot="1">
      <c r="A24" s="45"/>
      <c r="B24" s="46" t="s">
        <v>18</v>
      </c>
      <c r="C24" s="47"/>
      <c r="D24" s="49"/>
      <c r="E24" s="50"/>
      <c r="F24" s="51">
        <v>20000</v>
      </c>
      <c r="H24" s="29">
        <f>SUM(F23)</f>
        <v>20000</v>
      </c>
    </row>
    <row r="25" spans="1:8" ht="21" customHeight="1" thickTop="1">
      <c r="B25" s="1"/>
      <c r="C25" s="1"/>
      <c r="D25" s="64"/>
      <c r="F25" s="59"/>
    </row>
    <row r="26" spans="1:8" s="1" customFormat="1" ht="21" customHeight="1">
      <c r="A26" s="55"/>
      <c r="B26" s="69" t="s">
        <v>73</v>
      </c>
    </row>
    <row r="27" spans="1:8" ht="21" customHeight="1">
      <c r="A27" s="20">
        <v>1</v>
      </c>
      <c r="B27" s="33" t="s">
        <v>74</v>
      </c>
      <c r="C27" s="73" t="s">
        <v>79</v>
      </c>
      <c r="D27" s="23" t="s">
        <v>138</v>
      </c>
      <c r="E27" s="3">
        <v>43</v>
      </c>
      <c r="F27" s="24">
        <v>83500</v>
      </c>
    </row>
    <row r="28" spans="1:8" ht="21" customHeight="1">
      <c r="A28" s="20">
        <v>2</v>
      </c>
      <c r="B28" s="33" t="s">
        <v>81</v>
      </c>
      <c r="C28" s="22" t="s">
        <v>85</v>
      </c>
      <c r="D28" s="23" t="s">
        <v>83</v>
      </c>
      <c r="E28" s="3">
        <v>24</v>
      </c>
      <c r="F28" s="24">
        <v>16000</v>
      </c>
    </row>
    <row r="29" spans="1:8" ht="21" customHeight="1">
      <c r="A29" s="20">
        <v>3</v>
      </c>
      <c r="B29" s="21" t="s">
        <v>86</v>
      </c>
      <c r="C29" s="30" t="s">
        <v>87</v>
      </c>
      <c r="D29" s="23" t="s">
        <v>50</v>
      </c>
      <c r="E29" s="3">
        <v>34</v>
      </c>
      <c r="F29" s="24">
        <v>3500</v>
      </c>
    </row>
    <row r="30" spans="1:8" ht="21" customHeight="1" thickBot="1">
      <c r="A30" s="45"/>
      <c r="B30" s="46" t="s">
        <v>18</v>
      </c>
      <c r="C30" s="47"/>
      <c r="D30" s="49"/>
      <c r="E30" s="50"/>
      <c r="F30" s="51">
        <v>103000</v>
      </c>
      <c r="H30" s="29">
        <f>SUM(F27:F29)</f>
        <v>103000</v>
      </c>
    </row>
    <row r="31" spans="1:8" s="85" customFormat="1" ht="21" customHeight="1" thickTop="1">
      <c r="A31" s="75"/>
      <c r="B31" s="76"/>
      <c r="C31" s="77"/>
      <c r="D31" s="79"/>
      <c r="E31" s="80"/>
      <c r="F31" s="81"/>
    </row>
    <row r="32" spans="1:8" ht="21" customHeight="1">
      <c r="B32" s="86" t="s">
        <v>90</v>
      </c>
    </row>
    <row r="33" spans="1:9" ht="21" customHeight="1">
      <c r="A33" s="20">
        <v>1</v>
      </c>
      <c r="B33" s="33" t="s">
        <v>91</v>
      </c>
      <c r="C33" s="73" t="s">
        <v>92</v>
      </c>
      <c r="D33" s="23" t="s">
        <v>93</v>
      </c>
      <c r="E33" s="3">
        <v>2</v>
      </c>
      <c r="F33" s="25">
        <v>11000</v>
      </c>
    </row>
    <row r="34" spans="1:9" ht="21" customHeight="1">
      <c r="A34" s="20">
        <v>2</v>
      </c>
      <c r="B34" s="70" t="s">
        <v>94</v>
      </c>
      <c r="C34" s="30" t="s">
        <v>95</v>
      </c>
      <c r="D34" s="23" t="s">
        <v>96</v>
      </c>
      <c r="E34" s="3">
        <v>3</v>
      </c>
      <c r="F34" s="24">
        <v>6000</v>
      </c>
    </row>
    <row r="35" spans="1:9" ht="21" customHeight="1" thickBot="1">
      <c r="A35" s="45"/>
      <c r="B35" s="46" t="s">
        <v>18</v>
      </c>
      <c r="C35" s="47"/>
      <c r="D35" s="49"/>
      <c r="E35" s="50"/>
      <c r="F35" s="51">
        <v>17000</v>
      </c>
      <c r="H35" s="29">
        <f>SUM(F33:F34)</f>
        <v>17000</v>
      </c>
    </row>
    <row r="36" spans="1:9" s="85" customFormat="1" ht="21" customHeight="1" thickTop="1">
      <c r="A36" s="75"/>
      <c r="B36" s="93"/>
      <c r="C36" s="77"/>
      <c r="D36" s="79"/>
      <c r="E36" s="80"/>
      <c r="F36" s="81"/>
    </row>
    <row r="37" spans="1:9" ht="21" customHeight="1">
      <c r="D37" s="96">
        <v>0</v>
      </c>
      <c r="E37" s="96">
        <v>0</v>
      </c>
      <c r="F37" s="96">
        <f>SUM(F21+F24+F30+F35)</f>
        <v>685500</v>
      </c>
      <c r="I37" s="197">
        <f>SUM(H21:H35)</f>
        <v>685500</v>
      </c>
    </row>
    <row r="39" spans="1:9" ht="21" customHeight="1">
      <c r="F39" s="58"/>
    </row>
    <row r="47" spans="1:9" ht="21" customHeight="1">
      <c r="A47" s="29"/>
    </row>
    <row r="48" spans="1:9" ht="21" customHeight="1">
      <c r="A48" s="29"/>
    </row>
    <row r="58" spans="1:6" ht="21" customHeight="1">
      <c r="A58" s="29"/>
    </row>
    <row r="59" spans="1:6" ht="21" customHeight="1">
      <c r="A59" s="29"/>
    </row>
    <row r="62" spans="1:6" ht="21" customHeight="1">
      <c r="A62" s="29"/>
      <c r="C62" s="29"/>
      <c r="E62" s="29"/>
      <c r="F62" s="58">
        <v>32</v>
      </c>
    </row>
    <row r="63" spans="1:6" ht="21" customHeight="1">
      <c r="A63" s="29"/>
      <c r="C63" s="29"/>
      <c r="E63" s="29"/>
      <c r="F63" s="55">
        <v>18</v>
      </c>
    </row>
    <row r="117" spans="1:6" ht="21" customHeight="1">
      <c r="A117" s="97" t="s">
        <v>99</v>
      </c>
      <c r="B117" s="36" t="s">
        <v>100</v>
      </c>
      <c r="C117" s="98" t="s">
        <v>101</v>
      </c>
      <c r="D117" s="38" t="s">
        <v>103</v>
      </c>
      <c r="E117" s="39">
        <v>2</v>
      </c>
      <c r="F117" s="41">
        <v>1100</v>
      </c>
    </row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B34D-BFBC-48CF-8906-BEFFD4FAE964}">
  <sheetPr>
    <tabColor rgb="FFFFC000"/>
  </sheetPr>
  <dimension ref="A1:H120"/>
  <sheetViews>
    <sheetView zoomScale="70" zoomScaleNormal="70" workbookViewId="0">
      <pane ySplit="6" topLeftCell="A7" activePane="bottomLeft" state="frozen"/>
      <selection pane="bottomLeft" activeCell="I30" sqref="I30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9.88671875" style="2" customWidth="1"/>
    <col min="5" max="5" width="13.88671875" style="58"/>
    <col min="6" max="16384" width="13.88671875" style="29"/>
  </cols>
  <sheetData>
    <row r="1" spans="1:8" s="1" customFormat="1" ht="21" customHeight="1">
      <c r="A1" s="198" t="s">
        <v>0</v>
      </c>
      <c r="B1" s="198"/>
      <c r="C1" s="198"/>
      <c r="D1" s="198"/>
      <c r="E1" s="198"/>
      <c r="F1" s="198"/>
    </row>
    <row r="2" spans="1:8" s="1" customFormat="1" ht="21" customHeight="1">
      <c r="A2" s="199" t="s">
        <v>1</v>
      </c>
      <c r="B2" s="199"/>
      <c r="C2" s="199"/>
      <c r="D2" s="199"/>
      <c r="E2" s="199"/>
      <c r="F2" s="199"/>
    </row>
    <row r="3" spans="1:8" s="1" customFormat="1" ht="21" customHeight="1">
      <c r="A3" s="200" t="s">
        <v>127</v>
      </c>
      <c r="B3" s="200"/>
      <c r="C3" s="200"/>
      <c r="D3" s="200"/>
      <c r="E3" s="200"/>
      <c r="F3" s="200"/>
    </row>
    <row r="4" spans="1:8" s="1" customFormat="1" ht="21" customHeight="1">
      <c r="A4" s="201" t="s">
        <v>3</v>
      </c>
      <c r="B4" s="201" t="s">
        <v>4</v>
      </c>
      <c r="C4" s="204" t="s">
        <v>5</v>
      </c>
      <c r="D4" s="207" t="s">
        <v>9</v>
      </c>
      <c r="E4" s="207"/>
      <c r="F4" s="207"/>
    </row>
    <row r="5" spans="1:8" s="1" customFormat="1" ht="21" customHeight="1">
      <c r="A5" s="202"/>
      <c r="B5" s="202"/>
      <c r="C5" s="205"/>
      <c r="D5" s="208" t="s">
        <v>10</v>
      </c>
      <c r="E5" s="207" t="s">
        <v>15</v>
      </c>
      <c r="F5" s="102"/>
    </row>
    <row r="6" spans="1:8" s="1" customFormat="1" ht="21" customHeight="1">
      <c r="A6" s="203"/>
      <c r="B6" s="203"/>
      <c r="C6" s="206"/>
      <c r="D6" s="208"/>
      <c r="E6" s="207"/>
      <c r="F6" s="8" t="s">
        <v>18</v>
      </c>
    </row>
    <row r="7" spans="1:8" s="1" customFormat="1" ht="21" customHeight="1">
      <c r="A7" s="9"/>
      <c r="B7" s="10" t="s">
        <v>20</v>
      </c>
      <c r="C7" s="11"/>
      <c r="D7" s="13"/>
      <c r="E7" s="14"/>
      <c r="F7" s="16"/>
    </row>
    <row r="8" spans="1:8" s="1" customFormat="1" ht="21" customHeight="1">
      <c r="A8" s="9"/>
      <c r="B8" s="127" t="s">
        <v>132</v>
      </c>
      <c r="C8" s="128"/>
      <c r="D8" s="110"/>
      <c r="E8" s="129"/>
      <c r="F8" s="130"/>
    </row>
    <row r="9" spans="1:8" ht="21" customHeight="1">
      <c r="A9" s="20">
        <v>1</v>
      </c>
      <c r="B9" s="111" t="s">
        <v>24</v>
      </c>
      <c r="C9" s="111" t="s">
        <v>25</v>
      </c>
      <c r="D9" s="112" t="s">
        <v>26</v>
      </c>
      <c r="E9" s="113">
        <v>13</v>
      </c>
      <c r="F9" s="114">
        <v>15000</v>
      </c>
    </row>
    <row r="10" spans="1:8" ht="21" customHeight="1">
      <c r="A10" s="20">
        <v>2</v>
      </c>
      <c r="B10" s="111" t="s">
        <v>70</v>
      </c>
      <c r="C10" s="115" t="s">
        <v>71</v>
      </c>
      <c r="D10" s="112" t="s">
        <v>72</v>
      </c>
      <c r="E10" s="113">
        <v>7</v>
      </c>
      <c r="F10" s="114">
        <v>20000</v>
      </c>
    </row>
    <row r="11" spans="1:8" ht="21" customHeight="1">
      <c r="A11" s="20">
        <v>3</v>
      </c>
      <c r="B11" s="116" t="s">
        <v>36</v>
      </c>
      <c r="C11" s="117" t="s">
        <v>37</v>
      </c>
      <c r="D11" s="112" t="s">
        <v>38</v>
      </c>
      <c r="E11" s="113">
        <v>29</v>
      </c>
      <c r="F11" s="114">
        <v>28000</v>
      </c>
    </row>
    <row r="12" spans="1:8" ht="21" customHeight="1">
      <c r="A12" s="20">
        <v>4</v>
      </c>
      <c r="B12" s="116" t="s">
        <v>45</v>
      </c>
      <c r="C12" s="117" t="s">
        <v>46</v>
      </c>
      <c r="D12" s="112" t="s">
        <v>47</v>
      </c>
      <c r="E12" s="113">
        <v>66</v>
      </c>
      <c r="F12" s="114">
        <v>46500</v>
      </c>
    </row>
    <row r="13" spans="1:8" ht="21" customHeight="1">
      <c r="A13" s="20">
        <v>5</v>
      </c>
      <c r="B13" s="116" t="s">
        <v>48</v>
      </c>
      <c r="C13" s="117" t="s">
        <v>49</v>
      </c>
      <c r="D13" s="112" t="s">
        <v>50</v>
      </c>
      <c r="E13" s="113">
        <v>34</v>
      </c>
      <c r="F13" s="114">
        <v>23600</v>
      </c>
    </row>
    <row r="14" spans="1:8" ht="21" customHeight="1">
      <c r="A14" s="20">
        <v>6</v>
      </c>
      <c r="B14" s="111" t="s">
        <v>60</v>
      </c>
      <c r="C14" s="111" t="s">
        <v>61</v>
      </c>
      <c r="D14" s="112" t="s">
        <v>62</v>
      </c>
      <c r="E14" s="113">
        <v>68</v>
      </c>
      <c r="F14" s="114">
        <v>48500</v>
      </c>
    </row>
    <row r="15" spans="1:8" ht="21" customHeight="1">
      <c r="A15" s="20">
        <v>7</v>
      </c>
      <c r="B15" s="111" t="s">
        <v>66</v>
      </c>
      <c r="C15" s="117" t="s">
        <v>67</v>
      </c>
      <c r="D15" s="112" t="s">
        <v>68</v>
      </c>
      <c r="E15" s="113">
        <v>16</v>
      </c>
      <c r="F15" s="114">
        <v>37600</v>
      </c>
    </row>
    <row r="16" spans="1:8" ht="21" customHeight="1" thickBot="1">
      <c r="A16" s="45">
        <f>+A15</f>
        <v>7</v>
      </c>
      <c r="B16" s="46" t="s">
        <v>18</v>
      </c>
      <c r="C16" s="47"/>
      <c r="D16" s="49"/>
      <c r="E16" s="50"/>
      <c r="F16" s="51">
        <f>SUM(F9:F15)</f>
        <v>219200</v>
      </c>
      <c r="H16" s="29">
        <f>SUM(F9:F15)</f>
        <v>219200</v>
      </c>
    </row>
    <row r="17" spans="1:8" s="1" customFormat="1" ht="21" customHeight="1" thickTop="1">
      <c r="A17" s="55"/>
      <c r="B17" s="69" t="s">
        <v>73</v>
      </c>
    </row>
    <row r="18" spans="1:8" s="86" customFormat="1" ht="21" customHeight="1">
      <c r="A18" s="123">
        <v>1</v>
      </c>
      <c r="B18" s="116" t="s">
        <v>74</v>
      </c>
      <c r="C18" s="124" t="s">
        <v>79</v>
      </c>
      <c r="D18" s="112" t="s">
        <v>138</v>
      </c>
      <c r="E18" s="113">
        <v>43</v>
      </c>
      <c r="F18" s="125">
        <v>83800</v>
      </c>
    </row>
    <row r="19" spans="1:8" s="86" customFormat="1" ht="21" customHeight="1">
      <c r="A19" s="123">
        <v>2</v>
      </c>
      <c r="B19" s="116" t="s">
        <v>81</v>
      </c>
      <c r="C19" s="117" t="s">
        <v>85</v>
      </c>
      <c r="D19" s="112" t="s">
        <v>83</v>
      </c>
      <c r="E19" s="113">
        <v>24</v>
      </c>
      <c r="F19" s="125">
        <v>16000</v>
      </c>
    </row>
    <row r="20" spans="1:8" s="86" customFormat="1" ht="21" customHeight="1">
      <c r="A20" s="123">
        <v>3</v>
      </c>
      <c r="B20" s="111" t="s">
        <v>86</v>
      </c>
      <c r="C20" s="115" t="s">
        <v>87</v>
      </c>
      <c r="D20" s="112" t="s">
        <v>50</v>
      </c>
      <c r="E20" s="113">
        <v>34</v>
      </c>
      <c r="F20" s="125">
        <v>4000</v>
      </c>
    </row>
    <row r="21" spans="1:8" ht="21" customHeight="1" thickBot="1">
      <c r="A21" s="45"/>
      <c r="B21" s="46" t="s">
        <v>18</v>
      </c>
      <c r="C21" s="47"/>
      <c r="D21" s="49"/>
      <c r="E21" s="50"/>
      <c r="F21" s="51">
        <f>SUM(F18:F20)</f>
        <v>103800</v>
      </c>
      <c r="H21" s="29">
        <f>SUM(F18:F20)</f>
        <v>103800</v>
      </c>
    </row>
    <row r="22" spans="1:8" s="85" customFormat="1" ht="21" customHeight="1" thickTop="1">
      <c r="A22" s="75"/>
      <c r="B22" s="76"/>
      <c r="C22" s="77"/>
      <c r="D22" s="79"/>
      <c r="E22" s="80"/>
      <c r="F22" s="81"/>
    </row>
    <row r="23" spans="1:8" ht="21" customHeight="1">
      <c r="B23" s="86" t="s">
        <v>90</v>
      </c>
    </row>
    <row r="24" spans="1:8" ht="21" customHeight="1">
      <c r="A24" s="20">
        <v>1</v>
      </c>
      <c r="B24" s="116" t="s">
        <v>91</v>
      </c>
      <c r="C24" s="124" t="s">
        <v>92</v>
      </c>
      <c r="D24" s="112" t="s">
        <v>93</v>
      </c>
      <c r="E24" s="113">
        <v>2</v>
      </c>
      <c r="F24" s="114">
        <v>11000</v>
      </c>
    </row>
    <row r="25" spans="1:8" ht="21" customHeight="1">
      <c r="A25" s="20">
        <v>2</v>
      </c>
      <c r="B25" s="116" t="s">
        <v>94</v>
      </c>
      <c r="C25" s="124" t="s">
        <v>95</v>
      </c>
      <c r="D25" s="112" t="s">
        <v>96</v>
      </c>
      <c r="E25" s="113">
        <v>3</v>
      </c>
      <c r="F25" s="114">
        <v>6000</v>
      </c>
    </row>
    <row r="26" spans="1:8" ht="21" customHeight="1">
      <c r="A26" s="20">
        <v>3</v>
      </c>
      <c r="B26" s="116" t="s">
        <v>21</v>
      </c>
      <c r="C26" s="124" t="s">
        <v>22</v>
      </c>
      <c r="D26" s="112" t="s">
        <v>23</v>
      </c>
      <c r="E26" s="113">
        <v>37</v>
      </c>
      <c r="F26" s="114">
        <v>22300</v>
      </c>
    </row>
    <row r="27" spans="1:8" ht="21" customHeight="1">
      <c r="A27" s="20">
        <v>4</v>
      </c>
      <c r="B27" s="116" t="s">
        <v>27</v>
      </c>
      <c r="C27" s="124" t="s">
        <v>28</v>
      </c>
      <c r="D27" s="112" t="s">
        <v>29</v>
      </c>
      <c r="E27" s="113">
        <v>23</v>
      </c>
      <c r="F27" s="114">
        <v>50000</v>
      </c>
    </row>
    <row r="28" spans="1:8" ht="21" customHeight="1">
      <c r="A28" s="20">
        <v>5</v>
      </c>
      <c r="B28" s="116" t="s">
        <v>30</v>
      </c>
      <c r="C28" s="124" t="s">
        <v>31</v>
      </c>
      <c r="D28" s="112" t="s">
        <v>32</v>
      </c>
      <c r="E28" s="113">
        <v>40</v>
      </c>
      <c r="F28" s="114">
        <v>79500</v>
      </c>
    </row>
    <row r="29" spans="1:8" ht="21" customHeight="1">
      <c r="A29" s="20">
        <v>6</v>
      </c>
      <c r="B29" s="116" t="s">
        <v>33</v>
      </c>
      <c r="C29" s="124" t="s">
        <v>34</v>
      </c>
      <c r="D29" s="112" t="s">
        <v>35</v>
      </c>
      <c r="E29" s="113">
        <v>42</v>
      </c>
      <c r="F29" s="114">
        <v>41000</v>
      </c>
    </row>
    <row r="30" spans="1:8" ht="21" customHeight="1">
      <c r="A30" s="20">
        <v>7</v>
      </c>
      <c r="B30" s="116" t="s">
        <v>39</v>
      </c>
      <c r="C30" s="124" t="s">
        <v>40</v>
      </c>
      <c r="D30" s="112" t="s">
        <v>41</v>
      </c>
      <c r="E30" s="113">
        <v>49</v>
      </c>
      <c r="F30" s="114">
        <v>92000</v>
      </c>
    </row>
    <row r="31" spans="1:8" ht="21" customHeight="1">
      <c r="A31" s="20">
        <v>8</v>
      </c>
      <c r="B31" s="116" t="s">
        <v>42</v>
      </c>
      <c r="C31" s="124" t="s">
        <v>43</v>
      </c>
      <c r="D31" s="112" t="s">
        <v>44</v>
      </c>
      <c r="E31" s="113">
        <v>41</v>
      </c>
      <c r="F31" s="114">
        <v>41000</v>
      </c>
    </row>
    <row r="32" spans="1:8" ht="21" customHeight="1">
      <c r="A32" s="20">
        <v>9</v>
      </c>
      <c r="B32" s="116" t="s">
        <v>54</v>
      </c>
      <c r="C32" s="124" t="s">
        <v>55</v>
      </c>
      <c r="D32" s="112" t="s">
        <v>56</v>
      </c>
      <c r="E32" s="113">
        <v>52</v>
      </c>
      <c r="F32" s="114">
        <v>104000</v>
      </c>
    </row>
    <row r="33" spans="1:8" ht="21" customHeight="1">
      <c r="A33" s="20">
        <v>10</v>
      </c>
      <c r="B33" s="116" t="s">
        <v>131</v>
      </c>
      <c r="C33" s="124" t="s">
        <v>64</v>
      </c>
      <c r="D33" s="112" t="s">
        <v>65</v>
      </c>
      <c r="E33" s="113">
        <v>38</v>
      </c>
      <c r="F33" s="114">
        <v>38000</v>
      </c>
    </row>
    <row r="34" spans="1:8" ht="21" customHeight="1">
      <c r="A34" s="20">
        <v>11</v>
      </c>
      <c r="B34" s="126" t="s">
        <v>57</v>
      </c>
      <c r="C34" s="115" t="s">
        <v>58</v>
      </c>
      <c r="D34" s="112" t="s">
        <v>59</v>
      </c>
      <c r="E34" s="113">
        <v>4</v>
      </c>
      <c r="F34" s="125">
        <v>5000</v>
      </c>
    </row>
    <row r="35" spans="1:8" ht="21" customHeight="1" thickBot="1">
      <c r="A35" s="45"/>
      <c r="B35" s="46" t="s">
        <v>18</v>
      </c>
      <c r="C35" s="47"/>
      <c r="D35" s="49"/>
      <c r="E35" s="50"/>
      <c r="F35" s="51">
        <f>SUM(F24:F34)</f>
        <v>489800</v>
      </c>
      <c r="H35" s="29">
        <f>SUM(F24:F34)</f>
        <v>489800</v>
      </c>
    </row>
    <row r="36" spans="1:8" ht="21" customHeight="1" thickTop="1">
      <c r="B36" s="57" t="s">
        <v>133</v>
      </c>
      <c r="C36" s="131"/>
      <c r="D36" s="64"/>
      <c r="F36" s="65"/>
    </row>
    <row r="37" spans="1:8" ht="21" customHeight="1">
      <c r="A37" s="132">
        <v>1</v>
      </c>
      <c r="B37" s="135" t="s">
        <v>51</v>
      </c>
      <c r="C37" s="136" t="s">
        <v>52</v>
      </c>
      <c r="D37" s="137" t="s">
        <v>53</v>
      </c>
      <c r="E37" s="113">
        <v>39.049999999999997</v>
      </c>
      <c r="F37" s="138">
        <v>39100</v>
      </c>
    </row>
    <row r="38" spans="1:8" ht="21" customHeight="1" thickBot="1">
      <c r="A38" s="133"/>
      <c r="B38" s="134" t="s">
        <v>18</v>
      </c>
      <c r="C38" s="220"/>
      <c r="D38" s="221"/>
      <c r="E38" s="222"/>
      <c r="F38" s="51">
        <f>SUM(F37)</f>
        <v>39100</v>
      </c>
      <c r="H38" s="29">
        <v>39100</v>
      </c>
    </row>
    <row r="39" spans="1:8" s="85" customFormat="1" ht="21" customHeight="1" thickTop="1">
      <c r="A39" s="75"/>
      <c r="B39" s="93"/>
      <c r="C39" s="77"/>
      <c r="D39" s="79"/>
      <c r="E39" s="80"/>
      <c r="F39" s="81"/>
    </row>
    <row r="40" spans="1:8" ht="21" customHeight="1">
      <c r="D40" s="96">
        <v>0</v>
      </c>
      <c r="E40" s="96">
        <v>0</v>
      </c>
      <c r="F40" s="96">
        <f>+F38+F35+F21+F16</f>
        <v>851900</v>
      </c>
      <c r="H40" s="103">
        <f>+F16+F21+F35+F38</f>
        <v>851900</v>
      </c>
    </row>
    <row r="42" spans="1:8" ht="21" customHeight="1">
      <c r="F42" s="58"/>
    </row>
    <row r="50" spans="1:1" ht="21" customHeight="1">
      <c r="A50" s="29"/>
    </row>
    <row r="51" spans="1:1" ht="21" customHeight="1">
      <c r="A51" s="29"/>
    </row>
    <row r="61" spans="1:1" ht="21" customHeight="1">
      <c r="A61" s="29"/>
    </row>
    <row r="62" spans="1:1" ht="21" customHeight="1">
      <c r="A62" s="29"/>
    </row>
    <row r="65" spans="1:6" ht="21" customHeight="1">
      <c r="A65" s="29"/>
      <c r="C65" s="29"/>
      <c r="E65" s="29"/>
      <c r="F65" s="58">
        <v>32</v>
      </c>
    </row>
    <row r="66" spans="1:6" ht="21" customHeight="1">
      <c r="A66" s="29"/>
      <c r="C66" s="29"/>
      <c r="E66" s="29"/>
      <c r="F66" s="55">
        <v>18</v>
      </c>
    </row>
    <row r="120" spans="1:6" ht="21" customHeight="1">
      <c r="A120" s="97" t="s">
        <v>99</v>
      </c>
      <c r="B120" s="36" t="s">
        <v>100</v>
      </c>
      <c r="C120" s="98" t="s">
        <v>101</v>
      </c>
      <c r="D120" s="38" t="s">
        <v>103</v>
      </c>
      <c r="E120" s="39">
        <v>2</v>
      </c>
      <c r="F120" s="41">
        <v>1100</v>
      </c>
    </row>
  </sheetData>
  <mergeCells count="10">
    <mergeCell ref="C38:E38"/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C9B9-EB36-46E9-99A1-A4B08CA144D3}">
  <sheetPr>
    <tabColor rgb="FFFFFF00"/>
  </sheetPr>
  <dimension ref="A1:J120"/>
  <sheetViews>
    <sheetView zoomScale="70" zoomScaleNormal="70" workbookViewId="0">
      <pane ySplit="6" topLeftCell="A25" activePane="bottomLeft" state="frozen"/>
      <selection pane="bottomLeft" activeCell="J28" sqref="J28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9.88671875" style="2" customWidth="1"/>
    <col min="6" max="6" width="13.88671875" style="58"/>
    <col min="7" max="7" width="8.6640625" style="58" customWidth="1"/>
    <col min="8" max="16384" width="13.88671875" style="29"/>
  </cols>
  <sheetData>
    <row r="1" spans="1:8" s="1" customFormat="1" ht="21" customHeight="1">
      <c r="A1" s="198" t="s">
        <v>0</v>
      </c>
      <c r="B1" s="198"/>
      <c r="C1" s="198"/>
      <c r="D1" s="198"/>
      <c r="E1" s="198"/>
      <c r="F1" s="198"/>
      <c r="G1" s="198"/>
      <c r="H1" s="198"/>
    </row>
    <row r="2" spans="1:8" s="1" customFormat="1" ht="21" customHeight="1">
      <c r="A2" s="199" t="s">
        <v>1</v>
      </c>
      <c r="B2" s="199"/>
      <c r="C2" s="199"/>
      <c r="D2" s="199"/>
      <c r="E2" s="199"/>
      <c r="F2" s="199"/>
      <c r="G2" s="199"/>
      <c r="H2" s="199"/>
    </row>
    <row r="3" spans="1:8" s="1" customFormat="1" ht="21" customHeight="1">
      <c r="A3" s="200" t="s">
        <v>151</v>
      </c>
      <c r="B3" s="200"/>
      <c r="C3" s="200"/>
      <c r="D3" s="200"/>
      <c r="E3" s="200"/>
      <c r="F3" s="200"/>
      <c r="G3" s="200"/>
      <c r="H3" s="200"/>
    </row>
    <row r="4" spans="1:8" s="1" customFormat="1" ht="21" customHeight="1">
      <c r="A4" s="201" t="s">
        <v>3</v>
      </c>
      <c r="B4" s="201" t="s">
        <v>4</v>
      </c>
      <c r="C4" s="204" t="s">
        <v>5</v>
      </c>
      <c r="D4" s="211" t="s">
        <v>120</v>
      </c>
      <c r="E4" s="207" t="s">
        <v>9</v>
      </c>
      <c r="F4" s="207"/>
      <c r="G4" s="207"/>
      <c r="H4" s="207"/>
    </row>
    <row r="5" spans="1:8" s="1" customFormat="1" ht="21" customHeight="1">
      <c r="A5" s="202"/>
      <c r="B5" s="202"/>
      <c r="C5" s="205"/>
      <c r="D5" s="212"/>
      <c r="E5" s="208" t="s">
        <v>10</v>
      </c>
      <c r="F5" s="207" t="s">
        <v>15</v>
      </c>
      <c r="G5" s="4" t="s">
        <v>16</v>
      </c>
      <c r="H5" s="102"/>
    </row>
    <row r="6" spans="1:8" s="1" customFormat="1" ht="21" customHeight="1">
      <c r="A6" s="203"/>
      <c r="B6" s="203"/>
      <c r="C6" s="206"/>
      <c r="D6" s="213"/>
      <c r="E6" s="208"/>
      <c r="F6" s="207"/>
      <c r="G6" s="5" t="s">
        <v>19</v>
      </c>
      <c r="H6" s="8" t="s">
        <v>18</v>
      </c>
    </row>
    <row r="7" spans="1:8" s="1" customFormat="1" ht="21" customHeight="1">
      <c r="A7" s="9"/>
      <c r="B7" s="10" t="s">
        <v>20</v>
      </c>
      <c r="C7" s="11"/>
      <c r="D7" s="12"/>
      <c r="E7" s="13"/>
      <c r="F7" s="14"/>
      <c r="G7" s="15"/>
      <c r="H7" s="16"/>
    </row>
    <row r="8" spans="1:8" ht="21" customHeight="1">
      <c r="A8" s="20">
        <v>1</v>
      </c>
      <c r="B8" s="21" t="s">
        <v>21</v>
      </c>
      <c r="C8" s="21" t="s">
        <v>22</v>
      </c>
      <c r="D8" s="22"/>
      <c r="E8" s="23" t="s">
        <v>23</v>
      </c>
      <c r="F8" s="3">
        <v>37</v>
      </c>
      <c r="G8" s="3">
        <v>54</v>
      </c>
      <c r="H8" s="25">
        <v>22300</v>
      </c>
    </row>
    <row r="9" spans="1:8" ht="21" customHeight="1">
      <c r="A9" s="20">
        <v>2</v>
      </c>
      <c r="B9" s="21" t="s">
        <v>24</v>
      </c>
      <c r="C9" s="30" t="s">
        <v>25</v>
      </c>
      <c r="D9" s="22"/>
      <c r="E9" s="23" t="s">
        <v>26</v>
      </c>
      <c r="F9" s="3">
        <v>13</v>
      </c>
      <c r="G9" s="3">
        <v>85</v>
      </c>
      <c r="H9" s="25">
        <v>15000</v>
      </c>
    </row>
    <row r="10" spans="1:8" ht="21" customHeight="1">
      <c r="A10" s="20">
        <v>3</v>
      </c>
      <c r="B10" s="33" t="s">
        <v>27</v>
      </c>
      <c r="C10" s="22" t="s">
        <v>28</v>
      </c>
      <c r="D10" s="34"/>
      <c r="E10" s="23" t="s">
        <v>29</v>
      </c>
      <c r="F10" s="3">
        <v>23</v>
      </c>
      <c r="G10" s="3">
        <v>34</v>
      </c>
      <c r="H10" s="25">
        <v>50000</v>
      </c>
    </row>
    <row r="11" spans="1:8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3">
        <v>67</v>
      </c>
      <c r="H11" s="25">
        <v>79500</v>
      </c>
    </row>
    <row r="12" spans="1:8" ht="21" customHeight="1">
      <c r="A12" s="20">
        <v>5</v>
      </c>
      <c r="B12" s="33" t="s">
        <v>33</v>
      </c>
      <c r="C12" s="22" t="s">
        <v>34</v>
      </c>
      <c r="D12" s="34"/>
      <c r="E12" s="23" t="s">
        <v>35</v>
      </c>
      <c r="F12" s="3">
        <v>42</v>
      </c>
      <c r="G12" s="3">
        <v>53</v>
      </c>
      <c r="H12" s="25">
        <v>41000</v>
      </c>
    </row>
    <row r="13" spans="1:8" ht="21" customHeight="1">
      <c r="A13" s="20">
        <v>6</v>
      </c>
      <c r="B13" s="21" t="s">
        <v>36</v>
      </c>
      <c r="C13" s="21" t="s">
        <v>37</v>
      </c>
      <c r="D13" s="22"/>
      <c r="E13" s="23" t="s">
        <v>38</v>
      </c>
      <c r="F13" s="3">
        <v>29</v>
      </c>
      <c r="G13" s="3">
        <v>49</v>
      </c>
      <c r="H13" s="25">
        <v>28000</v>
      </c>
    </row>
    <row r="14" spans="1:8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3">
        <v>66</v>
      </c>
      <c r="H14" s="25">
        <v>92000</v>
      </c>
    </row>
    <row r="15" spans="1:8" ht="21" customHeight="1">
      <c r="A15" s="20">
        <v>8</v>
      </c>
      <c r="B15" s="21" t="s">
        <v>42</v>
      </c>
      <c r="C15" s="21" t="s">
        <v>43</v>
      </c>
      <c r="D15" s="22"/>
      <c r="E15" s="23" t="s">
        <v>44</v>
      </c>
      <c r="F15" s="3">
        <v>41</v>
      </c>
      <c r="G15" s="3">
        <v>58</v>
      </c>
      <c r="H15" s="25">
        <v>41000</v>
      </c>
    </row>
    <row r="16" spans="1:8" ht="21" customHeight="1">
      <c r="A16" s="20">
        <v>9</v>
      </c>
      <c r="B16" s="21" t="s">
        <v>45</v>
      </c>
      <c r="C16" s="30" t="s">
        <v>46</v>
      </c>
      <c r="D16" s="22"/>
      <c r="E16" s="23" t="s">
        <v>47</v>
      </c>
      <c r="F16" s="3">
        <v>66</v>
      </c>
      <c r="G16" s="3">
        <v>66</v>
      </c>
      <c r="H16" s="25">
        <v>46500</v>
      </c>
    </row>
    <row r="17" spans="1:8" ht="21" customHeight="1">
      <c r="A17" s="20">
        <v>10</v>
      </c>
      <c r="B17" s="21" t="s">
        <v>48</v>
      </c>
      <c r="C17" s="30" t="s">
        <v>49</v>
      </c>
      <c r="D17" s="22"/>
      <c r="E17" s="23" t="s">
        <v>50</v>
      </c>
      <c r="F17" s="3">
        <v>34</v>
      </c>
      <c r="G17" s="3">
        <v>34</v>
      </c>
      <c r="H17" s="25">
        <v>23600</v>
      </c>
    </row>
    <row r="18" spans="1:8" ht="21" customHeight="1">
      <c r="A18" s="20">
        <v>11</v>
      </c>
      <c r="B18" s="33" t="s">
        <v>51</v>
      </c>
      <c r="C18" s="22" t="s">
        <v>52</v>
      </c>
      <c r="D18" s="34"/>
      <c r="E18" s="23" t="s">
        <v>53</v>
      </c>
      <c r="F18" s="3">
        <v>39.049999999999997</v>
      </c>
      <c r="G18" s="3">
        <v>39</v>
      </c>
      <c r="H18" s="25">
        <v>39100</v>
      </c>
    </row>
    <row r="19" spans="1:8" ht="21" customHeight="1">
      <c r="A19" s="20">
        <v>12</v>
      </c>
      <c r="B19" s="33" t="s">
        <v>54</v>
      </c>
      <c r="C19" s="22" t="s">
        <v>55</v>
      </c>
      <c r="D19" s="22"/>
      <c r="E19" s="23" t="s">
        <v>56</v>
      </c>
      <c r="F19" s="3">
        <v>52</v>
      </c>
      <c r="G19" s="3">
        <v>69</v>
      </c>
      <c r="H19" s="25">
        <v>104000</v>
      </c>
    </row>
    <row r="20" spans="1:8" ht="21" customHeight="1">
      <c r="A20" s="20">
        <v>13</v>
      </c>
      <c r="B20" s="21" t="s">
        <v>57</v>
      </c>
      <c r="C20" s="30" t="s">
        <v>58</v>
      </c>
      <c r="D20" s="34"/>
      <c r="E20" s="23" t="s">
        <v>59</v>
      </c>
      <c r="F20" s="3">
        <v>4</v>
      </c>
      <c r="G20" s="3">
        <v>4</v>
      </c>
      <c r="H20" s="25">
        <v>5000</v>
      </c>
    </row>
    <row r="21" spans="1:8" ht="21" customHeight="1">
      <c r="A21" s="20">
        <v>14</v>
      </c>
      <c r="B21" s="21" t="s">
        <v>60</v>
      </c>
      <c r="C21" s="30" t="s">
        <v>61</v>
      </c>
      <c r="D21" s="22"/>
      <c r="E21" s="23" t="s">
        <v>62</v>
      </c>
      <c r="F21" s="3">
        <v>68</v>
      </c>
      <c r="G21" s="3">
        <v>68</v>
      </c>
      <c r="H21" s="25">
        <v>48500</v>
      </c>
    </row>
    <row r="22" spans="1:8" ht="21" customHeight="1">
      <c r="A22" s="20">
        <v>15</v>
      </c>
      <c r="B22" s="21" t="s">
        <v>63</v>
      </c>
      <c r="C22" s="21" t="s">
        <v>64</v>
      </c>
      <c r="D22" s="22"/>
      <c r="E22" s="23" t="s">
        <v>65</v>
      </c>
      <c r="F22" s="3">
        <v>38</v>
      </c>
      <c r="G22" s="3">
        <v>55</v>
      </c>
      <c r="H22" s="25">
        <v>38000</v>
      </c>
    </row>
    <row r="23" spans="1:8" ht="21" customHeight="1">
      <c r="A23" s="20">
        <v>16</v>
      </c>
      <c r="B23" s="36" t="s">
        <v>66</v>
      </c>
      <c r="C23" s="36" t="s">
        <v>67</v>
      </c>
      <c r="D23" s="37"/>
      <c r="E23" s="38" t="s">
        <v>68</v>
      </c>
      <c r="F23" s="39">
        <v>16</v>
      </c>
      <c r="G23" s="39">
        <v>37</v>
      </c>
      <c r="H23" s="41">
        <v>37600</v>
      </c>
    </row>
    <row r="24" spans="1:8" ht="21" customHeight="1" thickBot="1">
      <c r="A24" s="45"/>
      <c r="B24" s="46" t="s">
        <v>18</v>
      </c>
      <c r="C24" s="47"/>
      <c r="D24" s="48"/>
      <c r="E24" s="49"/>
      <c r="F24" s="50"/>
      <c r="G24" s="50"/>
      <c r="H24" s="51">
        <f>SUM(H8:H23)</f>
        <v>711100</v>
      </c>
    </row>
    <row r="25" spans="1:8" s="1" customFormat="1" ht="21" customHeight="1" thickTop="1">
      <c r="A25" s="55"/>
      <c r="B25" s="56" t="s">
        <v>69</v>
      </c>
      <c r="D25" s="57"/>
    </row>
    <row r="26" spans="1:8" ht="21" customHeight="1">
      <c r="A26" s="20">
        <v>1</v>
      </c>
      <c r="B26" s="21" t="s">
        <v>70</v>
      </c>
      <c r="C26" s="21" t="s">
        <v>71</v>
      </c>
      <c r="D26" s="6"/>
      <c r="E26" s="23" t="s">
        <v>72</v>
      </c>
      <c r="F26" s="3">
        <v>7</v>
      </c>
      <c r="G26" s="3">
        <v>141</v>
      </c>
      <c r="H26" s="25">
        <v>20000</v>
      </c>
    </row>
    <row r="27" spans="1:8" ht="21" customHeight="1" thickBot="1">
      <c r="A27" s="45"/>
      <c r="B27" s="46" t="s">
        <v>18</v>
      </c>
      <c r="C27" s="47"/>
      <c r="D27" s="48"/>
      <c r="E27" s="49"/>
      <c r="F27" s="50"/>
      <c r="G27" s="50"/>
      <c r="H27" s="51">
        <f>SUM(H26)</f>
        <v>20000</v>
      </c>
    </row>
    <row r="28" spans="1:8" ht="21" customHeight="1" thickTop="1">
      <c r="B28" s="1"/>
      <c r="C28" s="1"/>
      <c r="D28" s="63"/>
      <c r="E28" s="64"/>
      <c r="H28" s="59"/>
    </row>
    <row r="29" spans="1:8" s="1" customFormat="1" ht="21" customHeight="1">
      <c r="A29" s="55"/>
      <c r="B29" s="69" t="s">
        <v>73</v>
      </c>
      <c r="D29" s="57"/>
    </row>
    <row r="30" spans="1:8" ht="21" customHeight="1">
      <c r="A30" s="20">
        <v>1</v>
      </c>
      <c r="B30" s="33" t="s">
        <v>74</v>
      </c>
      <c r="C30" s="73" t="s">
        <v>79</v>
      </c>
      <c r="D30" s="34"/>
      <c r="E30" s="23" t="s">
        <v>138</v>
      </c>
      <c r="F30" s="3">
        <v>43</v>
      </c>
      <c r="G30" s="3">
        <v>43</v>
      </c>
      <c r="H30" s="24">
        <v>83800</v>
      </c>
    </row>
    <row r="31" spans="1:8" ht="21" customHeight="1">
      <c r="A31" s="20">
        <v>2</v>
      </c>
      <c r="B31" s="33" t="s">
        <v>81</v>
      </c>
      <c r="C31" s="22" t="s">
        <v>85</v>
      </c>
      <c r="D31" s="34"/>
      <c r="E31" s="23" t="s">
        <v>83</v>
      </c>
      <c r="F31" s="3">
        <v>24</v>
      </c>
      <c r="G31" s="3">
        <v>24</v>
      </c>
      <c r="H31" s="24">
        <v>16000</v>
      </c>
    </row>
    <row r="32" spans="1:8" ht="21" customHeight="1">
      <c r="A32" s="20">
        <v>3</v>
      </c>
      <c r="B32" s="21" t="s">
        <v>86</v>
      </c>
      <c r="C32" s="30" t="s">
        <v>87</v>
      </c>
      <c r="D32" s="22"/>
      <c r="E32" s="23" t="s">
        <v>50</v>
      </c>
      <c r="F32" s="3">
        <v>34</v>
      </c>
      <c r="G32" s="3">
        <v>34</v>
      </c>
      <c r="H32" s="24">
        <v>4000</v>
      </c>
    </row>
    <row r="33" spans="1:10" ht="21" customHeight="1" thickBot="1">
      <c r="A33" s="45"/>
      <c r="B33" s="46" t="s">
        <v>18</v>
      </c>
      <c r="C33" s="47"/>
      <c r="D33" s="48"/>
      <c r="E33" s="49"/>
      <c r="F33" s="50"/>
      <c r="G33" s="50"/>
      <c r="H33" s="51">
        <f>SUM(H30:H32)</f>
        <v>103800</v>
      </c>
    </row>
    <row r="34" spans="1:10" s="85" customFormat="1" ht="21" customHeight="1" thickTop="1">
      <c r="A34" s="75"/>
      <c r="B34" s="76"/>
      <c r="C34" s="77"/>
      <c r="D34" s="78"/>
      <c r="E34" s="79"/>
      <c r="F34" s="80"/>
      <c r="G34" s="80"/>
      <c r="H34" s="81"/>
    </row>
    <row r="35" spans="1:10" ht="21" customHeight="1">
      <c r="B35" s="86" t="s">
        <v>90</v>
      </c>
    </row>
    <row r="36" spans="1:10" ht="21" customHeight="1">
      <c r="A36" s="20">
        <v>1</v>
      </c>
      <c r="B36" s="33" t="s">
        <v>91</v>
      </c>
      <c r="C36" s="73" t="s">
        <v>92</v>
      </c>
      <c r="D36" s="34"/>
      <c r="E36" s="23" t="s">
        <v>93</v>
      </c>
      <c r="F36" s="3">
        <v>2</v>
      </c>
      <c r="G36" s="3">
        <v>2</v>
      </c>
      <c r="H36" s="25">
        <v>11000</v>
      </c>
    </row>
    <row r="37" spans="1:10" ht="21" customHeight="1">
      <c r="A37" s="20">
        <v>2</v>
      </c>
      <c r="B37" s="70" t="s">
        <v>94</v>
      </c>
      <c r="C37" s="30" t="s">
        <v>95</v>
      </c>
      <c r="D37" s="22"/>
      <c r="E37" s="23" t="s">
        <v>96</v>
      </c>
      <c r="F37" s="3">
        <v>3</v>
      </c>
      <c r="G37" s="3">
        <v>3</v>
      </c>
      <c r="H37" s="24">
        <v>6000</v>
      </c>
    </row>
    <row r="38" spans="1:10" ht="21" customHeight="1" thickBot="1">
      <c r="A38" s="45"/>
      <c r="B38" s="46" t="s">
        <v>18</v>
      </c>
      <c r="C38" s="47"/>
      <c r="D38" s="48"/>
      <c r="E38" s="49"/>
      <c r="F38" s="50"/>
      <c r="G38" s="50"/>
      <c r="H38" s="51">
        <f>SUM(H36:H37)</f>
        <v>17000</v>
      </c>
    </row>
    <row r="39" spans="1:10" s="85" customFormat="1" ht="21" customHeight="1" thickTop="1">
      <c r="A39" s="75"/>
      <c r="B39" s="93"/>
      <c r="C39" s="77"/>
      <c r="D39" s="78"/>
      <c r="E39" s="79"/>
      <c r="F39" s="80"/>
      <c r="G39" s="80"/>
      <c r="H39" s="81"/>
    </row>
    <row r="40" spans="1:10" ht="21" customHeight="1">
      <c r="E40" s="96">
        <v>0</v>
      </c>
      <c r="F40" s="96">
        <v>0</v>
      </c>
      <c r="G40" s="96">
        <v>0</v>
      </c>
      <c r="H40" s="96">
        <v>851900</v>
      </c>
      <c r="J40" s="29">
        <f>+H24+H27+H33+H38</f>
        <v>851900</v>
      </c>
    </row>
    <row r="42" spans="1:10" ht="21" customHeight="1">
      <c r="H42" s="58"/>
    </row>
    <row r="50" spans="1:1" ht="21" customHeight="1">
      <c r="A50" s="29"/>
    </row>
    <row r="51" spans="1:1" ht="21" customHeight="1">
      <c r="A51" s="29"/>
    </row>
    <row r="61" spans="1:1" ht="21" customHeight="1">
      <c r="A61" s="29"/>
    </row>
    <row r="62" spans="1:1" ht="21" customHeight="1">
      <c r="A62" s="29"/>
    </row>
    <row r="65" spans="1:8" ht="21" customHeight="1">
      <c r="A65" s="29"/>
      <c r="C65" s="29"/>
      <c r="D65" s="29"/>
      <c r="F65" s="29"/>
      <c r="G65" s="29"/>
      <c r="H65" s="58">
        <v>32</v>
      </c>
    </row>
    <row r="66" spans="1:8" ht="21" customHeight="1">
      <c r="A66" s="29"/>
      <c r="C66" s="29"/>
      <c r="D66" s="29"/>
      <c r="F66" s="29"/>
      <c r="G66" s="29"/>
      <c r="H66" s="55">
        <v>18</v>
      </c>
    </row>
    <row r="120" spans="1:8" ht="21" customHeight="1">
      <c r="A120" s="97" t="s">
        <v>99</v>
      </c>
      <c r="B120" s="36" t="s">
        <v>100</v>
      </c>
      <c r="C120" s="98" t="s">
        <v>101</v>
      </c>
      <c r="D120" s="37">
        <v>1100</v>
      </c>
      <c r="E120" s="38" t="s">
        <v>103</v>
      </c>
      <c r="F120" s="39">
        <v>2</v>
      </c>
      <c r="G120" s="39">
        <v>2</v>
      </c>
      <c r="H120" s="41">
        <v>1100</v>
      </c>
    </row>
  </sheetData>
  <mergeCells count="10">
    <mergeCell ref="E5:E6"/>
    <mergeCell ref="F5:F6"/>
    <mergeCell ref="A1:H1"/>
    <mergeCell ref="A2:H2"/>
    <mergeCell ref="A3:H3"/>
    <mergeCell ref="A4:A6"/>
    <mergeCell ref="B4:B6"/>
    <mergeCell ref="C4:C6"/>
    <mergeCell ref="D4:D6"/>
    <mergeCell ref="E4:H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3518-8F45-4C0B-8706-421E1AE0D8B1}">
  <sheetPr>
    <tabColor rgb="FFFFFF00"/>
  </sheetPr>
  <dimension ref="A1:F93"/>
  <sheetViews>
    <sheetView zoomScale="70" zoomScaleNormal="70" workbookViewId="0">
      <pane ySplit="6" topLeftCell="A7" activePane="bottomLeft" state="frozen"/>
      <selection pane="bottomLeft" activeCell="H33" sqref="H33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90"/>
    <col min="5" max="5" width="13.88671875" style="91"/>
    <col min="6" max="6" width="13.6640625" style="29" customWidth="1"/>
    <col min="7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151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14" t="s">
        <v>8</v>
      </c>
      <c r="E4" s="214"/>
      <c r="F4" s="214"/>
    </row>
    <row r="5" spans="1:6" s="1" customFormat="1" ht="21" customHeight="1">
      <c r="A5" s="202"/>
      <c r="B5" s="202"/>
      <c r="C5" s="205"/>
      <c r="D5" s="216" t="s">
        <v>12</v>
      </c>
      <c r="E5" s="218" t="s">
        <v>13</v>
      </c>
      <c r="F5" s="209" t="s">
        <v>14</v>
      </c>
    </row>
    <row r="6" spans="1:6" s="1" customFormat="1" ht="21" customHeight="1">
      <c r="A6" s="203"/>
      <c r="B6" s="203"/>
      <c r="C6" s="206"/>
      <c r="D6" s="217"/>
      <c r="E6" s="219"/>
      <c r="F6" s="210"/>
    </row>
    <row r="7" spans="1:6" ht="21" customHeight="1">
      <c r="B7" s="1"/>
      <c r="C7" s="1"/>
      <c r="D7" s="66"/>
      <c r="E7" s="67"/>
      <c r="F7" s="68"/>
    </row>
    <row r="8" spans="1:6" s="1" customFormat="1" ht="21" customHeight="1">
      <c r="A8" s="55"/>
      <c r="B8" s="69" t="s">
        <v>73</v>
      </c>
      <c r="D8" s="60"/>
      <c r="E8" s="61"/>
      <c r="F8" s="61"/>
    </row>
    <row r="9" spans="1:6" ht="21" customHeight="1">
      <c r="A9" s="20">
        <v>1</v>
      </c>
      <c r="B9" s="21" t="s">
        <v>74</v>
      </c>
      <c r="C9" s="70" t="s">
        <v>75</v>
      </c>
      <c r="D9" s="71"/>
      <c r="E9" s="72"/>
      <c r="F9" s="28"/>
    </row>
    <row r="10" spans="1:6" ht="21" customHeight="1">
      <c r="A10" s="20"/>
      <c r="B10" s="33" t="s">
        <v>74</v>
      </c>
      <c r="C10" s="73" t="s">
        <v>79</v>
      </c>
      <c r="D10" s="148" t="s">
        <v>148</v>
      </c>
      <c r="E10" s="149" t="s">
        <v>149</v>
      </c>
      <c r="F10" s="150">
        <v>200</v>
      </c>
    </row>
    <row r="11" spans="1:6" ht="21" customHeight="1">
      <c r="A11" s="20">
        <v>2</v>
      </c>
      <c r="B11" s="33" t="s">
        <v>81</v>
      </c>
      <c r="C11" s="22" t="s">
        <v>82</v>
      </c>
      <c r="D11" s="196"/>
      <c r="E11" s="149"/>
      <c r="F11" s="150"/>
    </row>
    <row r="12" spans="1:6" ht="21" customHeight="1">
      <c r="A12" s="20"/>
      <c r="B12" s="33" t="s">
        <v>81</v>
      </c>
      <c r="C12" s="22" t="s">
        <v>85</v>
      </c>
      <c r="D12" s="148" t="s">
        <v>148</v>
      </c>
      <c r="E12" s="149" t="s">
        <v>150</v>
      </c>
      <c r="F12" s="150">
        <v>2000</v>
      </c>
    </row>
    <row r="13" spans="1:6" ht="21" customHeight="1">
      <c r="A13" s="20">
        <v>3</v>
      </c>
      <c r="B13" s="21" t="s">
        <v>86</v>
      </c>
      <c r="C13" s="30" t="s">
        <v>87</v>
      </c>
      <c r="D13" s="31"/>
      <c r="E13" s="32"/>
      <c r="F13" s="35"/>
    </row>
    <row r="14" spans="1:6" ht="21" customHeight="1" thickBot="1">
      <c r="A14" s="45"/>
      <c r="B14" s="46" t="s">
        <v>18</v>
      </c>
      <c r="C14" s="47"/>
      <c r="D14" s="62"/>
      <c r="E14" s="53"/>
      <c r="F14" s="74">
        <f>SUM(F9:F13)</f>
        <v>2200</v>
      </c>
    </row>
    <row r="15" spans="1:6" ht="21" customHeight="1" thickTop="1"/>
    <row r="23" spans="1:1" ht="21" customHeight="1">
      <c r="A23" s="29"/>
    </row>
    <row r="24" spans="1:1" ht="21" customHeight="1">
      <c r="A24" s="29"/>
    </row>
    <row r="34" spans="1:5" ht="21" customHeight="1">
      <c r="A34" s="29"/>
    </row>
    <row r="35" spans="1:5" ht="21" customHeight="1">
      <c r="A35" s="29"/>
    </row>
    <row r="38" spans="1:5" ht="21" customHeight="1">
      <c r="A38" s="29"/>
      <c r="C38" s="29"/>
      <c r="D38" s="2"/>
      <c r="E38" s="29"/>
    </row>
    <row r="39" spans="1:5" ht="21" customHeight="1">
      <c r="A39" s="29"/>
      <c r="C39" s="29"/>
      <c r="D39" s="2"/>
      <c r="E39" s="29"/>
    </row>
    <row r="93" spans="1:6" ht="21" customHeight="1">
      <c r="A93" s="97" t="s">
        <v>99</v>
      </c>
      <c r="B93" s="36" t="s">
        <v>100</v>
      </c>
      <c r="C93" s="98" t="s">
        <v>101</v>
      </c>
      <c r="D93" s="99"/>
      <c r="E93" s="100"/>
      <c r="F93" s="101"/>
    </row>
  </sheetData>
  <mergeCells count="10"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70AF-1F9F-4F4D-ABA3-69D946C29CCB}">
  <sheetPr>
    <tabColor rgb="FFFFFF00"/>
  </sheetPr>
  <dimension ref="A1:S122"/>
  <sheetViews>
    <sheetView zoomScale="70" zoomScaleNormal="70" workbookViewId="0">
      <pane ySplit="6" topLeftCell="A7" activePane="bottomLeft" state="frozen"/>
      <selection pane="bottomLeft" activeCell="E54" sqref="E54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7.44140625" style="2" customWidth="1"/>
    <col min="6" max="7" width="13.88671875" style="59"/>
    <col min="8" max="8" width="13.88671875" style="88"/>
    <col min="9" max="9" width="7.33203125" style="88" customWidth="1"/>
    <col min="10" max="10" width="13.88671875" style="89"/>
    <col min="11" max="11" width="13.88671875" style="90"/>
    <col min="12" max="12" width="13.88671875" style="91"/>
    <col min="13" max="13" width="13.6640625" style="29" customWidth="1"/>
    <col min="14" max="14" width="19.88671875" style="2" customWidth="1"/>
    <col min="15" max="15" width="13.88671875" style="58"/>
    <col min="16" max="16" width="8.6640625" style="58" customWidth="1"/>
    <col min="17" max="17" width="13.88671875" style="92"/>
    <col min="18" max="18" width="13.88671875" style="58"/>
    <col min="19" max="16384" width="13.88671875" style="29"/>
  </cols>
  <sheetData>
    <row r="1" spans="1:19" s="1" customFormat="1" ht="21" customHeight="1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</row>
    <row r="2" spans="1:19" s="1" customFormat="1" ht="21" customHeight="1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19" s="1" customFormat="1" ht="21" customHeight="1">
      <c r="A3" s="200" t="s">
        <v>151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</row>
    <row r="4" spans="1:19" s="1" customFormat="1" ht="21" customHeight="1">
      <c r="A4" s="201" t="s">
        <v>3</v>
      </c>
      <c r="B4" s="201" t="s">
        <v>4</v>
      </c>
      <c r="C4" s="204" t="s">
        <v>5</v>
      </c>
      <c r="D4" s="211" t="s">
        <v>6</v>
      </c>
      <c r="E4" s="207" t="s">
        <v>7</v>
      </c>
      <c r="F4" s="207"/>
      <c r="G4" s="207"/>
      <c r="H4" s="207"/>
      <c r="I4" s="207"/>
      <c r="J4" s="207"/>
      <c r="K4" s="214" t="s">
        <v>8</v>
      </c>
      <c r="L4" s="214"/>
      <c r="M4" s="214"/>
      <c r="N4" s="207" t="s">
        <v>9</v>
      </c>
      <c r="O4" s="207"/>
      <c r="P4" s="207"/>
      <c r="Q4" s="207"/>
      <c r="R4" s="207"/>
      <c r="S4" s="207"/>
    </row>
    <row r="5" spans="1:19" s="1" customFormat="1" ht="21" customHeight="1">
      <c r="A5" s="202"/>
      <c r="B5" s="202"/>
      <c r="C5" s="205"/>
      <c r="D5" s="212"/>
      <c r="E5" s="208" t="s">
        <v>10</v>
      </c>
      <c r="F5" s="207"/>
      <c r="G5" s="4"/>
      <c r="H5" s="215" t="s">
        <v>11</v>
      </c>
      <c r="I5" s="215"/>
      <c r="J5" s="215"/>
      <c r="K5" s="216" t="s">
        <v>12</v>
      </c>
      <c r="L5" s="218" t="s">
        <v>13</v>
      </c>
      <c r="M5" s="209" t="s">
        <v>14</v>
      </c>
      <c r="N5" s="208" t="s">
        <v>10</v>
      </c>
      <c r="O5" s="207" t="s">
        <v>15</v>
      </c>
      <c r="P5" s="4" t="s">
        <v>16</v>
      </c>
      <c r="Q5" s="215" t="s">
        <v>11</v>
      </c>
      <c r="R5" s="215"/>
      <c r="S5" s="215"/>
    </row>
    <row r="6" spans="1:19" s="1" customFormat="1" ht="21" customHeight="1">
      <c r="A6" s="203"/>
      <c r="B6" s="203"/>
      <c r="C6" s="206"/>
      <c r="D6" s="213"/>
      <c r="E6" s="208"/>
      <c r="F6" s="207"/>
      <c r="G6" s="5"/>
      <c r="H6" s="6" t="s">
        <v>14</v>
      </c>
      <c r="I6" s="7" t="s">
        <v>17</v>
      </c>
      <c r="J6" s="8" t="s">
        <v>18</v>
      </c>
      <c r="K6" s="217"/>
      <c r="L6" s="219"/>
      <c r="M6" s="210"/>
      <c r="N6" s="208"/>
      <c r="O6" s="207"/>
      <c r="P6" s="5" t="s">
        <v>19</v>
      </c>
      <c r="Q6" s="6" t="s">
        <v>14</v>
      </c>
      <c r="R6" s="7" t="s">
        <v>17</v>
      </c>
      <c r="S6" s="8" t="s">
        <v>18</v>
      </c>
    </row>
    <row r="7" spans="1:19" s="1" customFormat="1" ht="21" customHeight="1">
      <c r="A7" s="9"/>
      <c r="B7" s="10" t="s">
        <v>20</v>
      </c>
      <c r="C7" s="11"/>
      <c r="D7" s="12"/>
      <c r="E7" s="13"/>
      <c r="F7" s="14"/>
      <c r="G7" s="15"/>
      <c r="H7" s="15"/>
      <c r="I7" s="15"/>
      <c r="J7" s="16"/>
      <c r="K7" s="17"/>
      <c r="L7" s="18"/>
      <c r="M7" s="19"/>
      <c r="N7" s="13"/>
      <c r="O7" s="14"/>
      <c r="P7" s="15"/>
      <c r="Q7" s="15"/>
      <c r="R7" s="15"/>
      <c r="S7" s="16"/>
    </row>
    <row r="8" spans="1:19" ht="21" customHeight="1">
      <c r="A8" s="20">
        <v>1</v>
      </c>
      <c r="B8" s="21" t="s">
        <v>21</v>
      </c>
      <c r="C8" s="21" t="s">
        <v>22</v>
      </c>
      <c r="D8" s="22"/>
      <c r="E8" s="23" t="s">
        <v>23</v>
      </c>
      <c r="F8" s="3">
        <v>37</v>
      </c>
      <c r="G8" s="3">
        <v>54</v>
      </c>
      <c r="H8" s="24">
        <v>22300</v>
      </c>
      <c r="I8" s="3"/>
      <c r="J8" s="25">
        <v>22300</v>
      </c>
      <c r="K8" s="26"/>
      <c r="L8" s="27"/>
      <c r="M8" s="28"/>
      <c r="N8" s="23" t="s">
        <v>23</v>
      </c>
      <c r="O8" s="3">
        <v>37</v>
      </c>
      <c r="P8" s="3">
        <v>54</v>
      </c>
      <c r="Q8" s="24">
        <v>22300</v>
      </c>
      <c r="R8" s="3"/>
      <c r="S8" s="25">
        <v>22300</v>
      </c>
    </row>
    <row r="9" spans="1:19" ht="21" customHeight="1">
      <c r="A9" s="20">
        <v>2</v>
      </c>
      <c r="B9" s="21" t="s">
        <v>24</v>
      </c>
      <c r="C9" s="30" t="s">
        <v>25</v>
      </c>
      <c r="D9" s="22"/>
      <c r="E9" s="23" t="s">
        <v>26</v>
      </c>
      <c r="F9" s="3">
        <v>13</v>
      </c>
      <c r="G9" s="3">
        <v>85</v>
      </c>
      <c r="H9" s="24">
        <v>15000</v>
      </c>
      <c r="I9" s="3"/>
      <c r="J9" s="25">
        <v>15000</v>
      </c>
      <c r="K9" s="31"/>
      <c r="L9" s="32"/>
      <c r="M9" s="28"/>
      <c r="N9" s="23" t="s">
        <v>26</v>
      </c>
      <c r="O9" s="3">
        <v>13</v>
      </c>
      <c r="P9" s="3">
        <v>85</v>
      </c>
      <c r="Q9" s="24">
        <v>15000</v>
      </c>
      <c r="R9" s="3"/>
      <c r="S9" s="25">
        <v>15000</v>
      </c>
    </row>
    <row r="10" spans="1:19" ht="21" customHeight="1">
      <c r="A10" s="20">
        <v>3</v>
      </c>
      <c r="B10" s="33" t="s">
        <v>27</v>
      </c>
      <c r="C10" s="22" t="s">
        <v>28</v>
      </c>
      <c r="D10" s="34"/>
      <c r="E10" s="23" t="s">
        <v>29</v>
      </c>
      <c r="F10" s="3">
        <v>23</v>
      </c>
      <c r="G10" s="3">
        <v>34</v>
      </c>
      <c r="H10" s="24">
        <v>50000</v>
      </c>
      <c r="I10" s="3"/>
      <c r="J10" s="25">
        <v>50000</v>
      </c>
      <c r="K10" s="31"/>
      <c r="L10" s="32"/>
      <c r="M10" s="28"/>
      <c r="N10" s="23" t="s">
        <v>29</v>
      </c>
      <c r="O10" s="3">
        <v>23</v>
      </c>
      <c r="P10" s="3">
        <v>34</v>
      </c>
      <c r="Q10" s="24">
        <v>50000</v>
      </c>
      <c r="R10" s="3"/>
      <c r="S10" s="25">
        <v>50000</v>
      </c>
    </row>
    <row r="11" spans="1:19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3">
        <v>67</v>
      </c>
      <c r="H11" s="24">
        <v>79500</v>
      </c>
      <c r="I11" s="3"/>
      <c r="J11" s="25">
        <v>79500</v>
      </c>
      <c r="K11" s="31"/>
      <c r="L11" s="32"/>
      <c r="M11" s="28"/>
      <c r="N11" s="23" t="s">
        <v>32</v>
      </c>
      <c r="O11" s="3">
        <v>40</v>
      </c>
      <c r="P11" s="3">
        <v>67</v>
      </c>
      <c r="Q11" s="24">
        <v>79500</v>
      </c>
      <c r="R11" s="3"/>
      <c r="S11" s="25">
        <v>79500</v>
      </c>
    </row>
    <row r="12" spans="1:19" ht="21" customHeight="1">
      <c r="A12" s="20">
        <v>5</v>
      </c>
      <c r="B12" s="33" t="s">
        <v>33</v>
      </c>
      <c r="C12" s="22" t="s">
        <v>34</v>
      </c>
      <c r="D12" s="34"/>
      <c r="E12" s="23" t="s">
        <v>35</v>
      </c>
      <c r="F12" s="3">
        <v>42</v>
      </c>
      <c r="G12" s="3">
        <v>53</v>
      </c>
      <c r="H12" s="24">
        <v>41000</v>
      </c>
      <c r="I12" s="3"/>
      <c r="J12" s="25">
        <v>41000</v>
      </c>
      <c r="K12" s="31"/>
      <c r="L12" s="32"/>
      <c r="M12" s="28"/>
      <c r="N12" s="23" t="s">
        <v>35</v>
      </c>
      <c r="O12" s="3">
        <v>42</v>
      </c>
      <c r="P12" s="3">
        <v>53</v>
      </c>
      <c r="Q12" s="24">
        <v>41000</v>
      </c>
      <c r="R12" s="3"/>
      <c r="S12" s="25">
        <v>41000</v>
      </c>
    </row>
    <row r="13" spans="1:19" ht="21" customHeight="1">
      <c r="A13" s="20">
        <v>6</v>
      </c>
      <c r="B13" s="21" t="s">
        <v>36</v>
      </c>
      <c r="C13" s="21" t="s">
        <v>37</v>
      </c>
      <c r="D13" s="22"/>
      <c r="E13" s="23" t="s">
        <v>38</v>
      </c>
      <c r="F13" s="3">
        <v>29</v>
      </c>
      <c r="G13" s="3">
        <v>49</v>
      </c>
      <c r="H13" s="24">
        <v>28000</v>
      </c>
      <c r="I13" s="3"/>
      <c r="J13" s="25">
        <v>28000</v>
      </c>
      <c r="K13" s="31"/>
      <c r="L13" s="32"/>
      <c r="M13" s="28"/>
      <c r="N13" s="23" t="s">
        <v>38</v>
      </c>
      <c r="O13" s="3">
        <v>29</v>
      </c>
      <c r="P13" s="3">
        <v>49</v>
      </c>
      <c r="Q13" s="24">
        <v>28000</v>
      </c>
      <c r="R13" s="3"/>
      <c r="S13" s="25">
        <v>28000</v>
      </c>
    </row>
    <row r="14" spans="1:19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3">
        <v>66</v>
      </c>
      <c r="H14" s="24">
        <v>92000</v>
      </c>
      <c r="I14" s="3"/>
      <c r="J14" s="25">
        <v>92000</v>
      </c>
      <c r="K14" s="31"/>
      <c r="L14" s="32"/>
      <c r="M14" s="28"/>
      <c r="N14" s="23" t="s">
        <v>41</v>
      </c>
      <c r="O14" s="3">
        <v>49</v>
      </c>
      <c r="P14" s="3">
        <v>66</v>
      </c>
      <c r="Q14" s="24">
        <v>92000</v>
      </c>
      <c r="R14" s="3"/>
      <c r="S14" s="25">
        <v>92000</v>
      </c>
    </row>
    <row r="15" spans="1:19" ht="21" customHeight="1">
      <c r="A15" s="20">
        <v>8</v>
      </c>
      <c r="B15" s="21" t="s">
        <v>42</v>
      </c>
      <c r="C15" s="21" t="s">
        <v>43</v>
      </c>
      <c r="D15" s="22"/>
      <c r="E15" s="23" t="s">
        <v>44</v>
      </c>
      <c r="F15" s="3">
        <v>41</v>
      </c>
      <c r="G15" s="3">
        <v>58</v>
      </c>
      <c r="H15" s="24">
        <v>41000</v>
      </c>
      <c r="I15" s="3"/>
      <c r="J15" s="25">
        <v>41000</v>
      </c>
      <c r="K15" s="31"/>
      <c r="L15" s="32"/>
      <c r="M15" s="28"/>
      <c r="N15" s="23" t="s">
        <v>44</v>
      </c>
      <c r="O15" s="3">
        <v>41</v>
      </c>
      <c r="P15" s="3">
        <v>58</v>
      </c>
      <c r="Q15" s="24">
        <v>41000</v>
      </c>
      <c r="R15" s="3"/>
      <c r="S15" s="25">
        <v>41000</v>
      </c>
    </row>
    <row r="16" spans="1:19" ht="21" customHeight="1">
      <c r="A16" s="20">
        <v>9</v>
      </c>
      <c r="B16" s="21" t="s">
        <v>45</v>
      </c>
      <c r="C16" s="30" t="s">
        <v>46</v>
      </c>
      <c r="D16" s="22"/>
      <c r="E16" s="23" t="s">
        <v>47</v>
      </c>
      <c r="F16" s="3">
        <v>66</v>
      </c>
      <c r="G16" s="3">
        <v>66</v>
      </c>
      <c r="H16" s="24">
        <v>46500</v>
      </c>
      <c r="I16" s="3"/>
      <c r="J16" s="25">
        <v>46500</v>
      </c>
      <c r="K16" s="31"/>
      <c r="L16" s="32"/>
      <c r="M16" s="28"/>
      <c r="N16" s="23" t="s">
        <v>47</v>
      </c>
      <c r="O16" s="3">
        <v>66</v>
      </c>
      <c r="P16" s="3">
        <v>66</v>
      </c>
      <c r="Q16" s="24">
        <v>46500</v>
      </c>
      <c r="R16" s="3"/>
      <c r="S16" s="25">
        <v>46500</v>
      </c>
    </row>
    <row r="17" spans="1:19" ht="21" customHeight="1">
      <c r="A17" s="20">
        <v>10</v>
      </c>
      <c r="B17" s="21" t="s">
        <v>48</v>
      </c>
      <c r="C17" s="30" t="s">
        <v>49</v>
      </c>
      <c r="D17" s="22"/>
      <c r="E17" s="23" t="s">
        <v>50</v>
      </c>
      <c r="F17" s="3">
        <v>34</v>
      </c>
      <c r="G17" s="3">
        <v>34</v>
      </c>
      <c r="H17" s="24">
        <v>23600</v>
      </c>
      <c r="I17" s="3"/>
      <c r="J17" s="25">
        <v>23600</v>
      </c>
      <c r="K17" s="31"/>
      <c r="L17" s="32"/>
      <c r="M17" s="35"/>
      <c r="N17" s="23" t="s">
        <v>50</v>
      </c>
      <c r="O17" s="3">
        <v>34</v>
      </c>
      <c r="P17" s="3">
        <v>34</v>
      </c>
      <c r="Q17" s="24">
        <v>23600</v>
      </c>
      <c r="R17" s="3"/>
      <c r="S17" s="25">
        <v>23600</v>
      </c>
    </row>
    <row r="18" spans="1:19" ht="21" customHeight="1">
      <c r="A18" s="20">
        <v>11</v>
      </c>
      <c r="B18" s="33" t="s">
        <v>51</v>
      </c>
      <c r="C18" s="22" t="s">
        <v>52</v>
      </c>
      <c r="D18" s="34"/>
      <c r="E18" s="23" t="s">
        <v>53</v>
      </c>
      <c r="F18" s="3">
        <v>39.049999999999997</v>
      </c>
      <c r="G18" s="3">
        <v>39</v>
      </c>
      <c r="H18" s="24">
        <v>39100</v>
      </c>
      <c r="I18" s="3"/>
      <c r="J18" s="25">
        <v>39100</v>
      </c>
      <c r="K18" s="31"/>
      <c r="L18" s="32"/>
      <c r="M18" s="28"/>
      <c r="N18" s="23" t="s">
        <v>53</v>
      </c>
      <c r="O18" s="3">
        <v>39.049999999999997</v>
      </c>
      <c r="P18" s="3">
        <v>39</v>
      </c>
      <c r="Q18" s="24">
        <v>39100</v>
      </c>
      <c r="R18" s="3"/>
      <c r="S18" s="25">
        <v>39100</v>
      </c>
    </row>
    <row r="19" spans="1:19" ht="21" customHeight="1">
      <c r="A19" s="20">
        <v>12</v>
      </c>
      <c r="B19" s="33" t="s">
        <v>54</v>
      </c>
      <c r="C19" s="22" t="s">
        <v>55</v>
      </c>
      <c r="D19" s="22"/>
      <c r="E19" s="23" t="s">
        <v>56</v>
      </c>
      <c r="F19" s="3">
        <v>52</v>
      </c>
      <c r="G19" s="3">
        <v>69</v>
      </c>
      <c r="H19" s="24">
        <v>104000</v>
      </c>
      <c r="I19" s="3"/>
      <c r="J19" s="25">
        <v>104000</v>
      </c>
      <c r="K19" s="31"/>
      <c r="L19" s="32"/>
      <c r="M19" s="28"/>
      <c r="N19" s="23" t="s">
        <v>56</v>
      </c>
      <c r="O19" s="3">
        <v>52</v>
      </c>
      <c r="P19" s="3">
        <v>69</v>
      </c>
      <c r="Q19" s="24">
        <v>104000</v>
      </c>
      <c r="R19" s="3"/>
      <c r="S19" s="25">
        <v>104000</v>
      </c>
    </row>
    <row r="20" spans="1:19" ht="21" customHeight="1">
      <c r="A20" s="20">
        <v>13</v>
      </c>
      <c r="B20" s="21" t="s">
        <v>57</v>
      </c>
      <c r="C20" s="30" t="s">
        <v>58</v>
      </c>
      <c r="D20" s="34"/>
      <c r="E20" s="23" t="s">
        <v>59</v>
      </c>
      <c r="F20" s="3">
        <v>4</v>
      </c>
      <c r="G20" s="3">
        <v>4</v>
      </c>
      <c r="H20" s="24">
        <v>5000</v>
      </c>
      <c r="I20" s="3"/>
      <c r="J20" s="25">
        <v>5000</v>
      </c>
      <c r="K20" s="31"/>
      <c r="L20" s="32"/>
      <c r="M20" s="28"/>
      <c r="N20" s="23" t="s">
        <v>59</v>
      </c>
      <c r="O20" s="3">
        <v>4</v>
      </c>
      <c r="P20" s="3">
        <v>4</v>
      </c>
      <c r="Q20" s="24">
        <v>5000</v>
      </c>
      <c r="R20" s="3"/>
      <c r="S20" s="25">
        <v>5000</v>
      </c>
    </row>
    <row r="21" spans="1:19" ht="21" customHeight="1">
      <c r="A21" s="20">
        <v>14</v>
      </c>
      <c r="B21" s="21" t="s">
        <v>60</v>
      </c>
      <c r="C21" s="30" t="s">
        <v>61</v>
      </c>
      <c r="D21" s="22"/>
      <c r="E21" s="23" t="s">
        <v>62</v>
      </c>
      <c r="F21" s="3">
        <v>68</v>
      </c>
      <c r="G21" s="3">
        <v>68</v>
      </c>
      <c r="H21" s="24">
        <v>48500</v>
      </c>
      <c r="I21" s="3"/>
      <c r="J21" s="25">
        <v>48500</v>
      </c>
      <c r="K21" s="31"/>
      <c r="L21" s="32"/>
      <c r="M21" s="28"/>
      <c r="N21" s="23" t="s">
        <v>62</v>
      </c>
      <c r="O21" s="3">
        <v>68</v>
      </c>
      <c r="P21" s="3">
        <v>68</v>
      </c>
      <c r="Q21" s="24">
        <v>48500</v>
      </c>
      <c r="R21" s="3"/>
      <c r="S21" s="25">
        <v>48500</v>
      </c>
    </row>
    <row r="22" spans="1:19" ht="21" customHeight="1">
      <c r="A22" s="20">
        <v>15</v>
      </c>
      <c r="B22" s="21" t="s">
        <v>63</v>
      </c>
      <c r="C22" s="21" t="s">
        <v>64</v>
      </c>
      <c r="D22" s="22"/>
      <c r="E22" s="23" t="s">
        <v>65</v>
      </c>
      <c r="F22" s="3">
        <v>38</v>
      </c>
      <c r="G22" s="3">
        <v>55</v>
      </c>
      <c r="H22" s="24">
        <v>38000</v>
      </c>
      <c r="I22" s="3"/>
      <c r="J22" s="25">
        <v>38000</v>
      </c>
      <c r="K22" s="31"/>
      <c r="L22" s="32"/>
      <c r="M22" s="28"/>
      <c r="N22" s="23" t="s">
        <v>65</v>
      </c>
      <c r="O22" s="3">
        <v>38</v>
      </c>
      <c r="P22" s="3">
        <v>55</v>
      </c>
      <c r="Q22" s="24">
        <v>38000</v>
      </c>
      <c r="R22" s="3"/>
      <c r="S22" s="25">
        <v>38000</v>
      </c>
    </row>
    <row r="23" spans="1:19" ht="21" customHeight="1">
      <c r="A23" s="20">
        <v>16</v>
      </c>
      <c r="B23" s="36" t="s">
        <v>66</v>
      </c>
      <c r="C23" s="36" t="s">
        <v>67</v>
      </c>
      <c r="D23" s="37"/>
      <c r="E23" s="38" t="s">
        <v>68</v>
      </c>
      <c r="F23" s="39">
        <v>16</v>
      </c>
      <c r="G23" s="39">
        <v>37</v>
      </c>
      <c r="H23" s="40">
        <v>37600</v>
      </c>
      <c r="I23" s="39"/>
      <c r="J23" s="41">
        <v>37600</v>
      </c>
      <c r="K23" s="42"/>
      <c r="L23" s="43"/>
      <c r="M23" s="44"/>
      <c r="N23" s="38" t="s">
        <v>68</v>
      </c>
      <c r="O23" s="39">
        <v>16</v>
      </c>
      <c r="P23" s="39">
        <v>37</v>
      </c>
      <c r="Q23" s="40">
        <v>37600</v>
      </c>
      <c r="R23" s="39"/>
      <c r="S23" s="41">
        <v>37600</v>
      </c>
    </row>
    <row r="24" spans="1:19" ht="21" customHeight="1" thickBot="1">
      <c r="A24" s="45"/>
      <c r="B24" s="46" t="s">
        <v>18</v>
      </c>
      <c r="C24" s="47"/>
      <c r="D24" s="48"/>
      <c r="E24" s="49"/>
      <c r="F24" s="50"/>
      <c r="G24" s="50"/>
      <c r="H24" s="51">
        <f>SUM(H8:H23)</f>
        <v>711100</v>
      </c>
      <c r="I24" s="51">
        <v>0</v>
      </c>
      <c r="J24" s="51">
        <f>SUM(J8:J23)</f>
        <v>711100</v>
      </c>
      <c r="K24" s="52"/>
      <c r="L24" s="53"/>
      <c r="M24" s="54">
        <f>SUM(M8:M23)</f>
        <v>0</v>
      </c>
      <c r="N24" s="49"/>
      <c r="O24" s="50"/>
      <c r="P24" s="50"/>
      <c r="Q24" s="51">
        <f>SUM(Q8:Q23)</f>
        <v>711100</v>
      </c>
      <c r="R24" s="51">
        <f ca="1">SUM(R8:R39)</f>
        <v>0</v>
      </c>
      <c r="S24" s="51">
        <f>SUM(S8:S23)</f>
        <v>711100</v>
      </c>
    </row>
    <row r="25" spans="1:19" s="1" customFormat="1" ht="21" customHeight="1" thickTop="1">
      <c r="A25" s="55"/>
      <c r="B25" s="56" t="s">
        <v>69</v>
      </c>
      <c r="D25" s="57"/>
      <c r="E25" s="58"/>
      <c r="F25" s="59"/>
      <c r="G25" s="29"/>
      <c r="H25" s="29"/>
      <c r="I25" s="29"/>
      <c r="J25" s="29"/>
      <c r="K25" s="60"/>
      <c r="L25" s="61"/>
      <c r="M25" s="61"/>
    </row>
    <row r="26" spans="1:19" ht="21" customHeight="1">
      <c r="A26" s="20">
        <v>1</v>
      </c>
      <c r="B26" s="21" t="s">
        <v>70</v>
      </c>
      <c r="C26" s="21" t="s">
        <v>71</v>
      </c>
      <c r="D26" s="6"/>
      <c r="E26" s="23" t="s">
        <v>72</v>
      </c>
      <c r="F26" s="3">
        <v>7</v>
      </c>
      <c r="G26" s="3">
        <v>141</v>
      </c>
      <c r="H26" s="24">
        <v>20000</v>
      </c>
      <c r="I26" s="3"/>
      <c r="J26" s="25">
        <v>20000</v>
      </c>
      <c r="K26" s="26"/>
      <c r="L26" s="27"/>
      <c r="M26" s="28"/>
      <c r="N26" s="23" t="s">
        <v>72</v>
      </c>
      <c r="O26" s="3">
        <v>7</v>
      </c>
      <c r="P26" s="3">
        <v>141</v>
      </c>
      <c r="Q26" s="24">
        <v>20000</v>
      </c>
      <c r="R26" s="3"/>
      <c r="S26" s="25">
        <v>20000</v>
      </c>
    </row>
    <row r="27" spans="1:19" ht="21" customHeight="1" thickBot="1">
      <c r="A27" s="45"/>
      <c r="B27" s="46" t="s">
        <v>18</v>
      </c>
      <c r="C27" s="47"/>
      <c r="D27" s="48"/>
      <c r="E27" s="49"/>
      <c r="F27" s="50"/>
      <c r="G27" s="50"/>
      <c r="H27" s="51">
        <v>20000</v>
      </c>
      <c r="I27" s="51">
        <v>0</v>
      </c>
      <c r="J27" s="51">
        <v>20000</v>
      </c>
      <c r="K27" s="62"/>
      <c r="L27" s="53"/>
      <c r="M27" s="54"/>
      <c r="N27" s="49"/>
      <c r="O27" s="50"/>
      <c r="P27" s="50"/>
      <c r="Q27" s="51">
        <f t="shared" ref="Q27:S27" si="0">SUM(Q26)</f>
        <v>20000</v>
      </c>
      <c r="R27" s="51">
        <f t="shared" si="0"/>
        <v>0</v>
      </c>
      <c r="S27" s="51">
        <f t="shared" si="0"/>
        <v>20000</v>
      </c>
    </row>
    <row r="28" spans="1:19" ht="21" customHeight="1" thickTop="1">
      <c r="B28" s="1"/>
      <c r="C28" s="1"/>
      <c r="D28" s="63"/>
      <c r="E28" s="64"/>
      <c r="F28" s="58"/>
      <c r="G28" s="58"/>
      <c r="H28" s="65"/>
      <c r="I28" s="58"/>
      <c r="J28" s="59"/>
      <c r="K28" s="66"/>
      <c r="L28" s="67"/>
      <c r="M28" s="68"/>
      <c r="N28" s="64"/>
      <c r="Q28" s="65"/>
      <c r="S28" s="59"/>
    </row>
    <row r="29" spans="1:19" s="1" customFormat="1" ht="21" customHeight="1">
      <c r="A29" s="55"/>
      <c r="B29" s="69" t="s">
        <v>73</v>
      </c>
      <c r="D29" s="57"/>
      <c r="E29" s="58"/>
      <c r="F29" s="59"/>
      <c r="G29" s="29"/>
      <c r="H29" s="29"/>
      <c r="I29" s="29"/>
      <c r="J29" s="29"/>
      <c r="K29" s="60"/>
      <c r="L29" s="61"/>
      <c r="M29" s="61"/>
    </row>
    <row r="30" spans="1:19" ht="21" customHeight="1">
      <c r="A30" s="20">
        <v>1</v>
      </c>
      <c r="B30" s="21" t="s">
        <v>74</v>
      </c>
      <c r="C30" s="70" t="s">
        <v>75</v>
      </c>
      <c r="D30" s="6"/>
      <c r="E30" s="24"/>
      <c r="F30" s="3"/>
      <c r="G30" s="3"/>
      <c r="H30" s="24">
        <v>0</v>
      </c>
      <c r="I30" s="3"/>
      <c r="J30" s="25">
        <v>0</v>
      </c>
      <c r="K30" s="71"/>
      <c r="L30" s="72"/>
      <c r="M30" s="28"/>
      <c r="N30" s="23"/>
      <c r="O30" s="3"/>
      <c r="P30" s="3"/>
      <c r="Q30" s="24">
        <f>SUM(H30-M30)</f>
        <v>0</v>
      </c>
      <c r="R30" s="24"/>
      <c r="S30" s="24">
        <f>SUM(J30-M30)</f>
        <v>0</v>
      </c>
    </row>
    <row r="31" spans="1:19" ht="21" customHeight="1">
      <c r="A31" s="20"/>
      <c r="B31" s="33" t="s">
        <v>74</v>
      </c>
      <c r="C31" s="73" t="s">
        <v>79</v>
      </c>
      <c r="D31" s="34"/>
      <c r="E31" s="23" t="s">
        <v>138</v>
      </c>
      <c r="F31" s="3">
        <v>43</v>
      </c>
      <c r="G31" s="3">
        <v>43</v>
      </c>
      <c r="H31" s="24">
        <v>84000</v>
      </c>
      <c r="I31" s="3"/>
      <c r="J31" s="25">
        <v>84000</v>
      </c>
      <c r="K31" s="148" t="s">
        <v>148</v>
      </c>
      <c r="L31" s="149" t="s">
        <v>149</v>
      </c>
      <c r="M31" s="150">
        <v>200</v>
      </c>
      <c r="N31" s="23" t="s">
        <v>138</v>
      </c>
      <c r="O31" s="3">
        <v>43</v>
      </c>
      <c r="P31" s="3">
        <v>43</v>
      </c>
      <c r="Q31" s="24">
        <f t="shared" ref="Q31:Q34" si="1">SUM(H31-M31)</f>
        <v>83800</v>
      </c>
      <c r="R31" s="24"/>
      <c r="S31" s="24">
        <f t="shared" ref="S31:S34" si="2">SUM(J31-M31)</f>
        <v>83800</v>
      </c>
    </row>
    <row r="32" spans="1:19" ht="21" customHeight="1">
      <c r="A32" s="20">
        <v>2</v>
      </c>
      <c r="B32" s="33" t="s">
        <v>81</v>
      </c>
      <c r="C32" s="22" t="s">
        <v>82</v>
      </c>
      <c r="D32" s="34"/>
      <c r="E32" s="23"/>
      <c r="F32" s="3"/>
      <c r="G32" s="3"/>
      <c r="H32" s="24">
        <v>0</v>
      </c>
      <c r="I32" s="3"/>
      <c r="J32" s="25">
        <v>0</v>
      </c>
      <c r="K32" s="196"/>
      <c r="L32" s="149"/>
      <c r="M32" s="150"/>
      <c r="N32" s="23"/>
      <c r="O32" s="3"/>
      <c r="P32" s="3"/>
      <c r="Q32" s="24">
        <f t="shared" si="1"/>
        <v>0</v>
      </c>
      <c r="R32" s="24"/>
      <c r="S32" s="24">
        <f t="shared" si="2"/>
        <v>0</v>
      </c>
    </row>
    <row r="33" spans="1:19" ht="21" customHeight="1">
      <c r="A33" s="20"/>
      <c r="B33" s="33" t="s">
        <v>81</v>
      </c>
      <c r="C33" s="22" t="s">
        <v>85</v>
      </c>
      <c r="D33" s="34"/>
      <c r="E33" s="23" t="s">
        <v>83</v>
      </c>
      <c r="F33" s="3">
        <v>24</v>
      </c>
      <c r="G33" s="3">
        <v>24</v>
      </c>
      <c r="H33" s="24">
        <v>18000</v>
      </c>
      <c r="I33" s="3"/>
      <c r="J33" s="25">
        <v>18000</v>
      </c>
      <c r="K33" s="148" t="s">
        <v>148</v>
      </c>
      <c r="L33" s="149" t="s">
        <v>150</v>
      </c>
      <c r="M33" s="150">
        <v>2000</v>
      </c>
      <c r="N33" s="23" t="s">
        <v>83</v>
      </c>
      <c r="O33" s="3">
        <v>24</v>
      </c>
      <c r="P33" s="3">
        <v>24</v>
      </c>
      <c r="Q33" s="24">
        <f t="shared" si="1"/>
        <v>16000</v>
      </c>
      <c r="R33" s="24"/>
      <c r="S33" s="24">
        <f t="shared" si="2"/>
        <v>16000</v>
      </c>
    </row>
    <row r="34" spans="1:19" ht="21" customHeight="1">
      <c r="A34" s="20">
        <v>3</v>
      </c>
      <c r="B34" s="21" t="s">
        <v>86</v>
      </c>
      <c r="C34" s="30" t="s">
        <v>87</v>
      </c>
      <c r="D34" s="22"/>
      <c r="E34" s="23" t="s">
        <v>50</v>
      </c>
      <c r="F34" s="3">
        <v>34</v>
      </c>
      <c r="G34" s="3">
        <v>34</v>
      </c>
      <c r="H34" s="24">
        <v>4000</v>
      </c>
      <c r="I34" s="3"/>
      <c r="J34" s="25">
        <v>4000</v>
      </c>
      <c r="K34" s="31"/>
      <c r="L34" s="32"/>
      <c r="M34" s="35"/>
      <c r="N34" s="23" t="s">
        <v>50</v>
      </c>
      <c r="O34" s="3">
        <v>34</v>
      </c>
      <c r="P34" s="3">
        <v>34</v>
      </c>
      <c r="Q34" s="24">
        <f t="shared" si="1"/>
        <v>4000</v>
      </c>
      <c r="R34" s="3"/>
      <c r="S34" s="24">
        <f t="shared" si="2"/>
        <v>4000</v>
      </c>
    </row>
    <row r="35" spans="1:19" ht="21" customHeight="1" thickBot="1">
      <c r="A35" s="45"/>
      <c r="B35" s="46" t="s">
        <v>18</v>
      </c>
      <c r="C35" s="47"/>
      <c r="D35" s="48"/>
      <c r="E35" s="49"/>
      <c r="F35" s="50"/>
      <c r="G35" s="50"/>
      <c r="H35" s="51">
        <f>SUM(H30:H34)</f>
        <v>106000</v>
      </c>
      <c r="I35" s="51">
        <v>0</v>
      </c>
      <c r="J35" s="51">
        <f>SUM(J30:J34)</f>
        <v>106000</v>
      </c>
      <c r="K35" s="62"/>
      <c r="L35" s="53"/>
      <c r="M35" s="74">
        <f>SUM(M30:M34)</f>
        <v>2200</v>
      </c>
      <c r="N35" s="49"/>
      <c r="O35" s="50"/>
      <c r="P35" s="50"/>
      <c r="Q35" s="51">
        <f>SUM(Q30:Q34)</f>
        <v>103800</v>
      </c>
      <c r="R35" s="51">
        <f>SUM(R30:R33)</f>
        <v>0</v>
      </c>
      <c r="S35" s="51">
        <f>SUM(S30:S34)</f>
        <v>103800</v>
      </c>
    </row>
    <row r="36" spans="1:19" s="85" customFormat="1" ht="21" customHeight="1" thickTop="1">
      <c r="A36" s="75"/>
      <c r="B36" s="76"/>
      <c r="C36" s="77"/>
      <c r="D36" s="78"/>
      <c r="E36" s="79"/>
      <c r="F36" s="80"/>
      <c r="G36" s="80"/>
      <c r="H36" s="81"/>
      <c r="I36" s="81"/>
      <c r="J36" s="81"/>
      <c r="K36" s="82"/>
      <c r="L36" s="83"/>
      <c r="M36" s="84"/>
      <c r="N36" s="79"/>
      <c r="O36" s="80"/>
      <c r="P36" s="80"/>
      <c r="Q36" s="81"/>
      <c r="R36" s="81"/>
      <c r="S36" s="81"/>
    </row>
    <row r="37" spans="1:19" ht="21" customHeight="1">
      <c r="B37" s="86" t="s">
        <v>90</v>
      </c>
    </row>
    <row r="38" spans="1:19" ht="21" customHeight="1">
      <c r="A38" s="20">
        <v>1</v>
      </c>
      <c r="B38" s="33" t="s">
        <v>91</v>
      </c>
      <c r="C38" s="73" t="s">
        <v>92</v>
      </c>
      <c r="D38" s="34"/>
      <c r="E38" s="23" t="s">
        <v>93</v>
      </c>
      <c r="F38" s="3">
        <v>2</v>
      </c>
      <c r="G38" s="3">
        <v>2</v>
      </c>
      <c r="H38" s="24">
        <v>11000</v>
      </c>
      <c r="I38" s="3"/>
      <c r="J38" s="25">
        <v>11000</v>
      </c>
      <c r="K38" s="31"/>
      <c r="L38" s="32"/>
      <c r="M38" s="28"/>
      <c r="N38" s="23" t="s">
        <v>93</v>
      </c>
      <c r="O38" s="3">
        <v>2</v>
      </c>
      <c r="P38" s="3">
        <v>2</v>
      </c>
      <c r="Q38" s="24">
        <v>11000</v>
      </c>
      <c r="R38" s="3"/>
      <c r="S38" s="25">
        <v>11000</v>
      </c>
    </row>
    <row r="39" spans="1:19" ht="21" customHeight="1">
      <c r="A39" s="20">
        <v>2</v>
      </c>
      <c r="B39" s="70" t="s">
        <v>94</v>
      </c>
      <c r="C39" s="30" t="s">
        <v>95</v>
      </c>
      <c r="D39" s="22"/>
      <c r="E39" s="23" t="s">
        <v>96</v>
      </c>
      <c r="F39" s="3">
        <v>3</v>
      </c>
      <c r="G39" s="3">
        <v>3</v>
      </c>
      <c r="H39" s="24">
        <v>6000</v>
      </c>
      <c r="I39" s="3"/>
      <c r="J39" s="25">
        <v>6000</v>
      </c>
      <c r="K39" s="31"/>
      <c r="L39" s="32"/>
      <c r="M39" s="27"/>
      <c r="N39" s="23" t="s">
        <v>96</v>
      </c>
      <c r="O39" s="3">
        <v>3</v>
      </c>
      <c r="P39" s="3">
        <v>3</v>
      </c>
      <c r="Q39" s="24">
        <f>SUM(H39-M39)</f>
        <v>6000</v>
      </c>
      <c r="R39" s="24"/>
      <c r="S39" s="24">
        <f>SUM(J39-M39)</f>
        <v>6000</v>
      </c>
    </row>
    <row r="40" spans="1:19" ht="21" customHeight="1" thickBot="1">
      <c r="A40" s="45"/>
      <c r="B40" s="46" t="s">
        <v>18</v>
      </c>
      <c r="C40" s="47"/>
      <c r="D40" s="48"/>
      <c r="E40" s="49"/>
      <c r="F40" s="50"/>
      <c r="G40" s="50"/>
      <c r="H40" s="51">
        <v>17000</v>
      </c>
      <c r="I40" s="51">
        <v>0</v>
      </c>
      <c r="J40" s="51">
        <v>17000</v>
      </c>
      <c r="K40" s="62"/>
      <c r="L40" s="53"/>
      <c r="M40" s="74">
        <f>SUM(M36:M39)</f>
        <v>0</v>
      </c>
      <c r="N40" s="49"/>
      <c r="O40" s="50"/>
      <c r="P40" s="50"/>
      <c r="Q40" s="51">
        <f>SUM(Q36:Q39)</f>
        <v>17000</v>
      </c>
      <c r="R40" s="51">
        <f>SUM(R36:R39)</f>
        <v>0</v>
      </c>
      <c r="S40" s="51">
        <f>SUM(S36:S39)</f>
        <v>17000</v>
      </c>
    </row>
    <row r="41" spans="1:19" s="85" customFormat="1" ht="21" customHeight="1" thickTop="1">
      <c r="A41" s="75"/>
      <c r="B41" s="93"/>
      <c r="C41" s="77"/>
      <c r="D41" s="78"/>
      <c r="E41" s="79"/>
      <c r="F41" s="80"/>
      <c r="G41" s="80"/>
      <c r="H41" s="81"/>
      <c r="I41" s="80"/>
      <c r="J41" s="94"/>
      <c r="K41" s="82"/>
      <c r="L41" s="83"/>
      <c r="M41" s="95"/>
      <c r="N41" s="79"/>
      <c r="O41" s="80"/>
      <c r="P41" s="80"/>
      <c r="Q41" s="81"/>
      <c r="R41" s="81"/>
      <c r="S41" s="81"/>
    </row>
    <row r="42" spans="1:19" ht="21" customHeight="1">
      <c r="H42" s="96">
        <f>SUM(H24+H27+H35+H40)</f>
        <v>854100</v>
      </c>
      <c r="I42" s="96">
        <f t="shared" ref="I42:P42" si="3">SUM(I24+I27+I35+I40)</f>
        <v>0</v>
      </c>
      <c r="J42" s="96">
        <f t="shared" si="3"/>
        <v>854100</v>
      </c>
      <c r="K42" s="96">
        <f t="shared" si="3"/>
        <v>0</v>
      </c>
      <c r="L42" s="96">
        <f t="shared" si="3"/>
        <v>0</v>
      </c>
      <c r="M42" s="96">
        <f t="shared" si="3"/>
        <v>2200</v>
      </c>
      <c r="N42" s="96">
        <f t="shared" si="3"/>
        <v>0</v>
      </c>
      <c r="O42" s="96">
        <f t="shared" si="3"/>
        <v>0</v>
      </c>
      <c r="P42" s="96">
        <f t="shared" si="3"/>
        <v>0</v>
      </c>
      <c r="Q42" s="96">
        <f>SUM(Q24+Q27+Q35+Q40)</f>
        <v>851900</v>
      </c>
      <c r="R42" s="96">
        <f ca="1">SUM(R24+R27+R35+R40)</f>
        <v>0</v>
      </c>
      <c r="S42" s="96">
        <f>SUM(S24+S27+S35+S40)</f>
        <v>851900</v>
      </c>
    </row>
    <row r="44" spans="1:19" ht="21" customHeight="1">
      <c r="S44" s="58"/>
    </row>
    <row r="52" spans="1:18" ht="21" customHeight="1">
      <c r="A52" s="29"/>
      <c r="R52" s="29"/>
    </row>
    <row r="53" spans="1:18" ht="21" customHeight="1">
      <c r="A53" s="29"/>
      <c r="R53" s="29"/>
    </row>
    <row r="63" spans="1:18" ht="21" customHeight="1">
      <c r="A63" s="29"/>
      <c r="R63" s="29"/>
    </row>
    <row r="64" spans="1:18" ht="21" customHeight="1">
      <c r="A64" s="29"/>
      <c r="R64" s="29"/>
    </row>
    <row r="67" spans="1:19" ht="21" customHeight="1">
      <c r="A67" s="29"/>
      <c r="C67" s="29"/>
      <c r="D67" s="29"/>
      <c r="F67" s="29"/>
      <c r="G67" s="29"/>
      <c r="H67" s="29"/>
      <c r="I67" s="29"/>
      <c r="J67" s="29"/>
      <c r="K67" s="2"/>
      <c r="L67" s="29"/>
      <c r="O67" s="29"/>
      <c r="P67" s="29"/>
      <c r="Q67" s="29"/>
      <c r="R67" s="29" t="s">
        <v>97</v>
      </c>
      <c r="S67" s="58">
        <v>32</v>
      </c>
    </row>
    <row r="68" spans="1:19" ht="21" customHeight="1">
      <c r="A68" s="29"/>
      <c r="C68" s="29"/>
      <c r="D68" s="29"/>
      <c r="F68" s="29"/>
      <c r="G68" s="29"/>
      <c r="H68" s="29"/>
      <c r="I68" s="29"/>
      <c r="J68" s="29"/>
      <c r="K68" s="2"/>
      <c r="L68" s="29"/>
      <c r="O68" s="29"/>
      <c r="P68" s="29"/>
      <c r="Q68" s="29"/>
      <c r="R68" s="55" t="s">
        <v>98</v>
      </c>
      <c r="S68" s="55">
        <v>18</v>
      </c>
    </row>
    <row r="122" spans="1:19" ht="21" customHeight="1">
      <c r="A122" s="97" t="s">
        <v>99</v>
      </c>
      <c r="B122" s="36" t="s">
        <v>100</v>
      </c>
      <c r="C122" s="98" t="s">
        <v>101</v>
      </c>
      <c r="D122" s="37">
        <v>1100</v>
      </c>
      <c r="E122" s="38" t="s">
        <v>102</v>
      </c>
      <c r="F122" s="39">
        <v>1</v>
      </c>
      <c r="G122" s="39">
        <v>1</v>
      </c>
      <c r="H122" s="40">
        <v>1100</v>
      </c>
      <c r="I122" s="39"/>
      <c r="J122" s="41">
        <v>1100</v>
      </c>
      <c r="K122" s="99"/>
      <c r="L122" s="100"/>
      <c r="M122" s="101"/>
      <c r="N122" s="38" t="s">
        <v>103</v>
      </c>
      <c r="O122" s="39">
        <v>2</v>
      </c>
      <c r="P122" s="39">
        <v>2</v>
      </c>
      <c r="Q122" s="40">
        <v>2200</v>
      </c>
      <c r="R122" s="39"/>
      <c r="S122" s="41">
        <v>1100</v>
      </c>
    </row>
  </sheetData>
  <mergeCells count="19"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N5:N6"/>
    <mergeCell ref="O5:O6"/>
    <mergeCell ref="Q5:S5"/>
    <mergeCell ref="E5:E6"/>
    <mergeCell ref="F5:F6"/>
    <mergeCell ref="H5:J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6F00-C980-4CB9-B2DE-F6EFCB8139FF}">
  <sheetPr>
    <tabColor rgb="FFFFFF00"/>
  </sheetPr>
  <dimension ref="A1:S122"/>
  <sheetViews>
    <sheetView zoomScale="70" zoomScaleNormal="70" workbookViewId="0">
      <pane ySplit="6" topLeftCell="A22" activePane="bottomLeft" state="frozen"/>
      <selection pane="bottomLeft" activeCell="G36" sqref="G36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7.44140625" style="2" customWidth="1"/>
    <col min="6" max="7" width="13.88671875" style="59"/>
    <col min="8" max="8" width="13.88671875" style="88"/>
    <col min="9" max="9" width="7.33203125" style="88" customWidth="1"/>
    <col min="10" max="10" width="13.88671875" style="89"/>
    <col min="11" max="11" width="13.88671875" style="90"/>
    <col min="12" max="12" width="13.88671875" style="91"/>
    <col min="13" max="13" width="13.6640625" style="29" customWidth="1"/>
    <col min="14" max="14" width="19.88671875" style="2" customWidth="1"/>
    <col min="15" max="15" width="13.88671875" style="58"/>
    <col min="16" max="16" width="8.6640625" style="58" customWidth="1"/>
    <col min="17" max="17" width="13.88671875" style="92"/>
    <col min="18" max="18" width="13.88671875" style="58"/>
    <col min="19" max="16384" width="13.88671875" style="29"/>
  </cols>
  <sheetData>
    <row r="1" spans="1:19" s="1" customFormat="1" ht="21" customHeight="1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</row>
    <row r="2" spans="1:19" s="1" customFormat="1" ht="21" customHeight="1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19" s="1" customFormat="1" ht="21" customHeight="1">
      <c r="A3" s="200" t="s">
        <v>142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</row>
    <row r="4" spans="1:19" s="1" customFormat="1" ht="21" customHeight="1">
      <c r="A4" s="201" t="s">
        <v>3</v>
      </c>
      <c r="B4" s="201" t="s">
        <v>4</v>
      </c>
      <c r="C4" s="204" t="s">
        <v>5</v>
      </c>
      <c r="D4" s="211" t="s">
        <v>6</v>
      </c>
      <c r="E4" s="207" t="s">
        <v>7</v>
      </c>
      <c r="F4" s="207"/>
      <c r="G4" s="207"/>
      <c r="H4" s="207"/>
      <c r="I4" s="207"/>
      <c r="J4" s="207"/>
      <c r="K4" s="214" t="s">
        <v>8</v>
      </c>
      <c r="L4" s="214"/>
      <c r="M4" s="214"/>
      <c r="N4" s="207" t="s">
        <v>9</v>
      </c>
      <c r="O4" s="207"/>
      <c r="P4" s="207"/>
      <c r="Q4" s="207"/>
      <c r="R4" s="207"/>
      <c r="S4" s="207"/>
    </row>
    <row r="5" spans="1:19" s="1" customFormat="1" ht="21" customHeight="1">
      <c r="A5" s="202"/>
      <c r="B5" s="202"/>
      <c r="C5" s="205"/>
      <c r="D5" s="212"/>
      <c r="E5" s="208" t="s">
        <v>10</v>
      </c>
      <c r="F5" s="207"/>
      <c r="G5" s="4"/>
      <c r="H5" s="215" t="s">
        <v>11</v>
      </c>
      <c r="I5" s="215"/>
      <c r="J5" s="215"/>
      <c r="K5" s="216" t="s">
        <v>12</v>
      </c>
      <c r="L5" s="218" t="s">
        <v>13</v>
      </c>
      <c r="M5" s="209" t="s">
        <v>14</v>
      </c>
      <c r="N5" s="208" t="s">
        <v>10</v>
      </c>
      <c r="O5" s="207" t="s">
        <v>15</v>
      </c>
      <c r="P5" s="4" t="s">
        <v>16</v>
      </c>
      <c r="Q5" s="215" t="s">
        <v>11</v>
      </c>
      <c r="R5" s="215"/>
      <c r="S5" s="215"/>
    </row>
    <row r="6" spans="1:19" s="1" customFormat="1" ht="21" customHeight="1">
      <c r="A6" s="203"/>
      <c r="B6" s="203"/>
      <c r="C6" s="206"/>
      <c r="D6" s="213"/>
      <c r="E6" s="208"/>
      <c r="F6" s="207"/>
      <c r="G6" s="5"/>
      <c r="H6" s="6" t="s">
        <v>14</v>
      </c>
      <c r="I6" s="7" t="s">
        <v>17</v>
      </c>
      <c r="J6" s="8" t="s">
        <v>18</v>
      </c>
      <c r="K6" s="217"/>
      <c r="L6" s="219"/>
      <c r="M6" s="210"/>
      <c r="N6" s="208"/>
      <c r="O6" s="207"/>
      <c r="P6" s="5" t="s">
        <v>19</v>
      </c>
      <c r="Q6" s="6" t="s">
        <v>14</v>
      </c>
      <c r="R6" s="7" t="s">
        <v>17</v>
      </c>
      <c r="S6" s="8" t="s">
        <v>18</v>
      </c>
    </row>
    <row r="7" spans="1:19" s="1" customFormat="1" ht="21" customHeight="1">
      <c r="A7" s="9"/>
      <c r="B7" s="10" t="s">
        <v>20</v>
      </c>
      <c r="C7" s="11"/>
      <c r="D7" s="12"/>
      <c r="E7" s="13"/>
      <c r="F7" s="14"/>
      <c r="G7" s="15"/>
      <c r="H7" s="15"/>
      <c r="I7" s="15"/>
      <c r="J7" s="16"/>
      <c r="K7" s="17"/>
      <c r="L7" s="18"/>
      <c r="M7" s="19"/>
      <c r="N7" s="13"/>
      <c r="O7" s="14"/>
      <c r="P7" s="15"/>
      <c r="Q7" s="15"/>
      <c r="R7" s="15"/>
      <c r="S7" s="16"/>
    </row>
    <row r="8" spans="1:19" ht="21" customHeight="1">
      <c r="A8" s="20">
        <v>1</v>
      </c>
      <c r="B8" s="21" t="s">
        <v>21</v>
      </c>
      <c r="C8" s="21" t="s">
        <v>22</v>
      </c>
      <c r="D8" s="22"/>
      <c r="E8" s="23" t="s">
        <v>23</v>
      </c>
      <c r="F8" s="3">
        <v>37</v>
      </c>
      <c r="G8" s="3">
        <v>54</v>
      </c>
      <c r="H8" s="24">
        <v>22300</v>
      </c>
      <c r="I8" s="3"/>
      <c r="J8" s="25">
        <v>22300</v>
      </c>
      <c r="K8" s="26"/>
      <c r="L8" s="27"/>
      <c r="M8" s="28"/>
      <c r="N8" s="23" t="s">
        <v>23</v>
      </c>
      <c r="O8" s="3">
        <v>37</v>
      </c>
      <c r="P8" s="3">
        <v>54</v>
      </c>
      <c r="Q8" s="24">
        <v>22300</v>
      </c>
      <c r="R8" s="3"/>
      <c r="S8" s="25">
        <v>22300</v>
      </c>
    </row>
    <row r="9" spans="1:19" s="86" customFormat="1" ht="21" customHeight="1">
      <c r="A9" s="123">
        <v>2</v>
      </c>
      <c r="B9" s="111" t="s">
        <v>24</v>
      </c>
      <c r="C9" s="115" t="s">
        <v>25</v>
      </c>
      <c r="D9" s="117"/>
      <c r="E9" s="112" t="s">
        <v>26</v>
      </c>
      <c r="F9" s="113">
        <v>13</v>
      </c>
      <c r="G9" s="113">
        <v>85</v>
      </c>
      <c r="H9" s="125">
        <v>15000</v>
      </c>
      <c r="I9" s="113"/>
      <c r="J9" s="114">
        <v>15000</v>
      </c>
      <c r="K9" s="148"/>
      <c r="L9" s="149"/>
      <c r="M9" s="150"/>
      <c r="N9" s="112" t="s">
        <v>26</v>
      </c>
      <c r="O9" s="113">
        <v>13</v>
      </c>
      <c r="P9" s="113">
        <v>85</v>
      </c>
      <c r="Q9" s="125">
        <v>15000</v>
      </c>
      <c r="R9" s="113"/>
      <c r="S9" s="114">
        <v>15000</v>
      </c>
    </row>
    <row r="10" spans="1:19" ht="21" customHeight="1">
      <c r="A10" s="20">
        <v>3</v>
      </c>
      <c r="B10" s="33" t="s">
        <v>27</v>
      </c>
      <c r="C10" s="22" t="s">
        <v>28</v>
      </c>
      <c r="D10" s="34"/>
      <c r="E10" s="23" t="s">
        <v>29</v>
      </c>
      <c r="F10" s="3">
        <v>23</v>
      </c>
      <c r="G10" s="3">
        <v>34</v>
      </c>
      <c r="H10" s="24">
        <v>50000</v>
      </c>
      <c r="I10" s="3"/>
      <c r="J10" s="25">
        <v>50000</v>
      </c>
      <c r="K10" s="31"/>
      <c r="L10" s="32"/>
      <c r="M10" s="28"/>
      <c r="N10" s="23" t="s">
        <v>29</v>
      </c>
      <c r="O10" s="3">
        <v>23</v>
      </c>
      <c r="P10" s="3">
        <v>34</v>
      </c>
      <c r="Q10" s="24">
        <v>50000</v>
      </c>
      <c r="R10" s="3"/>
      <c r="S10" s="25">
        <v>50000</v>
      </c>
    </row>
    <row r="11" spans="1:19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3">
        <v>67</v>
      </c>
      <c r="H11" s="24">
        <v>79500</v>
      </c>
      <c r="I11" s="3"/>
      <c r="J11" s="25">
        <v>79500</v>
      </c>
      <c r="K11" s="31"/>
      <c r="L11" s="32"/>
      <c r="M11" s="28"/>
      <c r="N11" s="23" t="s">
        <v>32</v>
      </c>
      <c r="O11" s="3">
        <v>40</v>
      </c>
      <c r="P11" s="3">
        <v>67</v>
      </c>
      <c r="Q11" s="24">
        <v>79500</v>
      </c>
      <c r="R11" s="3"/>
      <c r="S11" s="25">
        <v>79500</v>
      </c>
    </row>
    <row r="12" spans="1:19" ht="21" customHeight="1">
      <c r="A12" s="20">
        <v>5</v>
      </c>
      <c r="B12" s="33" t="s">
        <v>33</v>
      </c>
      <c r="C12" s="22" t="s">
        <v>34</v>
      </c>
      <c r="D12" s="34"/>
      <c r="E12" s="23" t="s">
        <v>35</v>
      </c>
      <c r="F12" s="3">
        <v>42</v>
      </c>
      <c r="G12" s="3">
        <v>53</v>
      </c>
      <c r="H12" s="24">
        <v>41000</v>
      </c>
      <c r="I12" s="3"/>
      <c r="J12" s="25">
        <v>41000</v>
      </c>
      <c r="K12" s="31"/>
      <c r="L12" s="32"/>
      <c r="M12" s="28"/>
      <c r="N12" s="23" t="s">
        <v>35</v>
      </c>
      <c r="O12" s="3">
        <v>42</v>
      </c>
      <c r="P12" s="3">
        <v>53</v>
      </c>
      <c r="Q12" s="24">
        <v>41000</v>
      </c>
      <c r="R12" s="3"/>
      <c r="S12" s="25">
        <v>41000</v>
      </c>
    </row>
    <row r="13" spans="1:19" ht="21" customHeight="1">
      <c r="A13" s="20">
        <v>6</v>
      </c>
      <c r="B13" s="21" t="s">
        <v>36</v>
      </c>
      <c r="C13" s="21" t="s">
        <v>37</v>
      </c>
      <c r="D13" s="22"/>
      <c r="E13" s="23" t="s">
        <v>38</v>
      </c>
      <c r="F13" s="3">
        <v>29</v>
      </c>
      <c r="G13" s="3">
        <v>49</v>
      </c>
      <c r="H13" s="24">
        <v>28000</v>
      </c>
      <c r="I13" s="3"/>
      <c r="J13" s="25">
        <v>28000</v>
      </c>
      <c r="K13" s="31"/>
      <c r="L13" s="32"/>
      <c r="M13" s="28"/>
      <c r="N13" s="23" t="s">
        <v>38</v>
      </c>
      <c r="O13" s="3">
        <v>29</v>
      </c>
      <c r="P13" s="3">
        <v>49</v>
      </c>
      <c r="Q13" s="24">
        <v>28000</v>
      </c>
      <c r="R13" s="3"/>
      <c r="S13" s="25">
        <v>28000</v>
      </c>
    </row>
    <row r="14" spans="1:19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3">
        <v>66</v>
      </c>
      <c r="H14" s="24">
        <v>92000</v>
      </c>
      <c r="I14" s="3"/>
      <c r="J14" s="25">
        <v>92000</v>
      </c>
      <c r="K14" s="31"/>
      <c r="L14" s="32"/>
      <c r="M14" s="28"/>
      <c r="N14" s="23" t="s">
        <v>41</v>
      </c>
      <c r="O14" s="3">
        <v>49</v>
      </c>
      <c r="P14" s="3">
        <v>66</v>
      </c>
      <c r="Q14" s="24">
        <v>92000</v>
      </c>
      <c r="R14" s="3"/>
      <c r="S14" s="25">
        <v>92000</v>
      </c>
    </row>
    <row r="15" spans="1:19" s="161" customFormat="1" ht="21" customHeight="1">
      <c r="A15" s="151">
        <v>8</v>
      </c>
      <c r="B15" s="152" t="s">
        <v>143</v>
      </c>
      <c r="C15" s="152" t="s">
        <v>43</v>
      </c>
      <c r="D15" s="153"/>
      <c r="E15" s="154" t="s">
        <v>44</v>
      </c>
      <c r="F15" s="155">
        <v>41</v>
      </c>
      <c r="G15" s="155">
        <v>58</v>
      </c>
      <c r="H15" s="156">
        <v>41000</v>
      </c>
      <c r="I15" s="155"/>
      <c r="J15" s="157">
        <v>41000</v>
      </c>
      <c r="K15" s="158"/>
      <c r="L15" s="159"/>
      <c r="M15" s="160"/>
      <c r="N15" s="154" t="s">
        <v>44</v>
      </c>
      <c r="O15" s="155">
        <v>41</v>
      </c>
      <c r="P15" s="155">
        <v>58</v>
      </c>
      <c r="Q15" s="156">
        <v>41000</v>
      </c>
      <c r="R15" s="155"/>
      <c r="S15" s="157">
        <v>41000</v>
      </c>
    </row>
    <row r="16" spans="1:19" ht="21" customHeight="1">
      <c r="A16" s="20">
        <v>9</v>
      </c>
      <c r="B16" s="21" t="s">
        <v>45</v>
      </c>
      <c r="C16" s="30" t="s">
        <v>46</v>
      </c>
      <c r="D16" s="22"/>
      <c r="E16" s="23" t="s">
        <v>47</v>
      </c>
      <c r="F16" s="3">
        <v>66</v>
      </c>
      <c r="G16" s="3">
        <v>66</v>
      </c>
      <c r="H16" s="24">
        <v>46500</v>
      </c>
      <c r="I16" s="3"/>
      <c r="J16" s="25">
        <v>46500</v>
      </c>
      <c r="K16" s="31"/>
      <c r="L16" s="32"/>
      <c r="M16" s="28"/>
      <c r="N16" s="23" t="s">
        <v>47</v>
      </c>
      <c r="O16" s="3">
        <v>66</v>
      </c>
      <c r="P16" s="3">
        <v>66</v>
      </c>
      <c r="Q16" s="24">
        <v>46500</v>
      </c>
      <c r="R16" s="3"/>
      <c r="S16" s="25">
        <v>46500</v>
      </c>
    </row>
    <row r="17" spans="1:19" s="85" customFormat="1" ht="21" customHeight="1">
      <c r="A17" s="162">
        <v>10</v>
      </c>
      <c r="B17" s="163" t="s">
        <v>144</v>
      </c>
      <c r="C17" s="164" t="s">
        <v>49</v>
      </c>
      <c r="D17" s="165"/>
      <c r="E17" s="166" t="s">
        <v>50</v>
      </c>
      <c r="F17" s="167">
        <v>34</v>
      </c>
      <c r="G17" s="167">
        <v>34</v>
      </c>
      <c r="H17" s="168">
        <v>23600</v>
      </c>
      <c r="I17" s="167"/>
      <c r="J17" s="169">
        <v>23600</v>
      </c>
      <c r="K17" s="170"/>
      <c r="L17" s="171"/>
      <c r="M17" s="172"/>
      <c r="N17" s="166" t="s">
        <v>50</v>
      </c>
      <c r="O17" s="167">
        <v>34</v>
      </c>
      <c r="P17" s="167">
        <v>34</v>
      </c>
      <c r="Q17" s="168">
        <v>23600</v>
      </c>
      <c r="R17" s="167"/>
      <c r="S17" s="169">
        <v>23600</v>
      </c>
    </row>
    <row r="18" spans="1:19" ht="21" customHeight="1">
      <c r="A18" s="20">
        <v>11</v>
      </c>
      <c r="B18" s="33" t="s">
        <v>51</v>
      </c>
      <c r="C18" s="22" t="s">
        <v>52</v>
      </c>
      <c r="D18" s="34"/>
      <c r="E18" s="23" t="s">
        <v>53</v>
      </c>
      <c r="F18" s="3">
        <v>39.049999999999997</v>
      </c>
      <c r="G18" s="3">
        <v>39</v>
      </c>
      <c r="H18" s="24">
        <v>39100</v>
      </c>
      <c r="I18" s="3"/>
      <c r="J18" s="25">
        <v>39100</v>
      </c>
      <c r="K18" s="31"/>
      <c r="L18" s="32"/>
      <c r="M18" s="28"/>
      <c r="N18" s="23" t="s">
        <v>53</v>
      </c>
      <c r="O18" s="3">
        <v>39.049999999999997</v>
      </c>
      <c r="P18" s="3">
        <v>39</v>
      </c>
      <c r="Q18" s="24">
        <v>39100</v>
      </c>
      <c r="R18" s="3"/>
      <c r="S18" s="25">
        <v>39100</v>
      </c>
    </row>
    <row r="19" spans="1:19" s="85" customFormat="1" ht="21" customHeight="1">
      <c r="A19" s="162">
        <v>12</v>
      </c>
      <c r="B19" s="173" t="s">
        <v>145</v>
      </c>
      <c r="C19" s="165" t="s">
        <v>55</v>
      </c>
      <c r="D19" s="165"/>
      <c r="E19" s="166" t="s">
        <v>56</v>
      </c>
      <c r="F19" s="167">
        <v>52</v>
      </c>
      <c r="G19" s="167">
        <v>69</v>
      </c>
      <c r="H19" s="168">
        <v>104000</v>
      </c>
      <c r="I19" s="167"/>
      <c r="J19" s="169">
        <v>104000</v>
      </c>
      <c r="K19" s="170"/>
      <c r="L19" s="171"/>
      <c r="M19" s="174"/>
      <c r="N19" s="166" t="s">
        <v>56</v>
      </c>
      <c r="O19" s="167">
        <v>52</v>
      </c>
      <c r="P19" s="167">
        <v>69</v>
      </c>
      <c r="Q19" s="168">
        <v>104000</v>
      </c>
      <c r="R19" s="167"/>
      <c r="S19" s="169">
        <v>104000</v>
      </c>
    </row>
    <row r="20" spans="1:19" ht="21" customHeight="1">
      <c r="A20" s="20">
        <v>13</v>
      </c>
      <c r="B20" s="21" t="s">
        <v>57</v>
      </c>
      <c r="C20" s="30" t="s">
        <v>58</v>
      </c>
      <c r="D20" s="34"/>
      <c r="E20" s="23" t="s">
        <v>59</v>
      </c>
      <c r="F20" s="3">
        <v>4</v>
      </c>
      <c r="G20" s="3">
        <v>4</v>
      </c>
      <c r="H20" s="24">
        <v>5000</v>
      </c>
      <c r="I20" s="3"/>
      <c r="J20" s="25">
        <v>5000</v>
      </c>
      <c r="K20" s="31"/>
      <c r="L20" s="32"/>
      <c r="M20" s="28"/>
      <c r="N20" s="23" t="s">
        <v>59</v>
      </c>
      <c r="O20" s="3">
        <v>4</v>
      </c>
      <c r="P20" s="3">
        <v>4</v>
      </c>
      <c r="Q20" s="24">
        <v>5000</v>
      </c>
      <c r="R20" s="3"/>
      <c r="S20" s="25">
        <v>5000</v>
      </c>
    </row>
    <row r="21" spans="1:19" ht="21" customHeight="1">
      <c r="A21" s="20">
        <v>14</v>
      </c>
      <c r="B21" s="21" t="s">
        <v>60</v>
      </c>
      <c r="C21" s="30" t="s">
        <v>61</v>
      </c>
      <c r="D21" s="22"/>
      <c r="E21" s="23" t="s">
        <v>62</v>
      </c>
      <c r="F21" s="3">
        <v>68</v>
      </c>
      <c r="G21" s="3">
        <v>68</v>
      </c>
      <c r="H21" s="24">
        <v>48500</v>
      </c>
      <c r="I21" s="3"/>
      <c r="J21" s="25">
        <v>48500</v>
      </c>
      <c r="K21" s="31"/>
      <c r="L21" s="32"/>
      <c r="M21" s="28"/>
      <c r="N21" s="23" t="s">
        <v>62</v>
      </c>
      <c r="O21" s="3">
        <v>68</v>
      </c>
      <c r="P21" s="3">
        <v>68</v>
      </c>
      <c r="Q21" s="24">
        <v>48500</v>
      </c>
      <c r="R21" s="3"/>
      <c r="S21" s="25">
        <v>48500</v>
      </c>
    </row>
    <row r="22" spans="1:19" ht="21" customHeight="1">
      <c r="A22" s="175">
        <v>15</v>
      </c>
      <c r="B22" s="176" t="s">
        <v>146</v>
      </c>
      <c r="C22" s="176" t="s">
        <v>64</v>
      </c>
      <c r="D22" s="22"/>
      <c r="E22" s="23" t="s">
        <v>65</v>
      </c>
      <c r="F22" s="3">
        <v>38</v>
      </c>
      <c r="G22" s="3">
        <v>55</v>
      </c>
      <c r="H22" s="24">
        <v>38000</v>
      </c>
      <c r="I22" s="3"/>
      <c r="J22" s="25">
        <v>38000</v>
      </c>
      <c r="K22" s="31"/>
      <c r="L22" s="32"/>
      <c r="M22" s="28"/>
      <c r="N22" s="23" t="s">
        <v>65</v>
      </c>
      <c r="O22" s="3">
        <v>38</v>
      </c>
      <c r="P22" s="3">
        <v>55</v>
      </c>
      <c r="Q22" s="24">
        <v>38000</v>
      </c>
      <c r="R22" s="3"/>
      <c r="S22" s="25">
        <v>38000</v>
      </c>
    </row>
    <row r="23" spans="1:19" s="161" customFormat="1" ht="21" customHeight="1">
      <c r="A23" s="151">
        <v>16</v>
      </c>
      <c r="B23" s="177" t="s">
        <v>147</v>
      </c>
      <c r="C23" s="177" t="s">
        <v>67</v>
      </c>
      <c r="D23" s="178"/>
      <c r="E23" s="179" t="s">
        <v>68</v>
      </c>
      <c r="F23" s="180">
        <v>16</v>
      </c>
      <c r="G23" s="180">
        <v>37</v>
      </c>
      <c r="H23" s="181">
        <v>37600</v>
      </c>
      <c r="I23" s="180"/>
      <c r="J23" s="182">
        <v>37600</v>
      </c>
      <c r="K23" s="183"/>
      <c r="L23" s="184"/>
      <c r="M23" s="185"/>
      <c r="N23" s="179" t="s">
        <v>68</v>
      </c>
      <c r="O23" s="180">
        <v>16</v>
      </c>
      <c r="P23" s="180">
        <v>37</v>
      </c>
      <c r="Q23" s="181">
        <v>37600</v>
      </c>
      <c r="R23" s="180"/>
      <c r="S23" s="182">
        <v>37600</v>
      </c>
    </row>
    <row r="24" spans="1:19" ht="21" customHeight="1" thickBot="1">
      <c r="A24" s="45"/>
      <c r="B24" s="46" t="s">
        <v>18</v>
      </c>
      <c r="C24" s="47"/>
      <c r="D24" s="48"/>
      <c r="E24" s="49"/>
      <c r="F24" s="50"/>
      <c r="G24" s="50"/>
      <c r="H24" s="51">
        <f>SUM(H8:H23)</f>
        <v>711100</v>
      </c>
      <c r="I24" s="51">
        <v>0</v>
      </c>
      <c r="J24" s="51">
        <f>SUM(J8:J23)</f>
        <v>711100</v>
      </c>
      <c r="K24" s="52"/>
      <c r="L24" s="53"/>
      <c r="M24" s="54">
        <f>SUM(M8:M23)</f>
        <v>0</v>
      </c>
      <c r="N24" s="49"/>
      <c r="O24" s="50"/>
      <c r="P24" s="50"/>
      <c r="Q24" s="51">
        <f>SUM(Q8:Q23)</f>
        <v>711100</v>
      </c>
      <c r="R24" s="51">
        <f ca="1">SUM(R8:R39)</f>
        <v>0</v>
      </c>
      <c r="S24" s="51">
        <f>SUM(S8:S23)</f>
        <v>711100</v>
      </c>
    </row>
    <row r="25" spans="1:19" s="1" customFormat="1" ht="21" customHeight="1" thickTop="1">
      <c r="A25" s="55"/>
      <c r="B25" s="56" t="s">
        <v>69</v>
      </c>
      <c r="D25" s="57"/>
      <c r="E25" s="58"/>
      <c r="F25" s="59"/>
      <c r="G25" s="29"/>
      <c r="H25" s="29"/>
      <c r="I25" s="29"/>
      <c r="J25" s="29"/>
      <c r="K25" s="60"/>
      <c r="L25" s="61"/>
      <c r="M25" s="61"/>
    </row>
    <row r="26" spans="1:19" ht="21" customHeight="1">
      <c r="A26" s="20">
        <v>1</v>
      </c>
      <c r="B26" s="21" t="s">
        <v>70</v>
      </c>
      <c r="C26" s="21" t="s">
        <v>71</v>
      </c>
      <c r="D26" s="6"/>
      <c r="E26" s="23" t="s">
        <v>72</v>
      </c>
      <c r="F26" s="3">
        <v>7</v>
      </c>
      <c r="G26" s="3">
        <v>141</v>
      </c>
      <c r="H26" s="24">
        <v>20000</v>
      </c>
      <c r="I26" s="3"/>
      <c r="J26" s="25">
        <v>20000</v>
      </c>
      <c r="K26" s="26"/>
      <c r="L26" s="27"/>
      <c r="M26" s="28"/>
      <c r="N26" s="23" t="s">
        <v>72</v>
      </c>
      <c r="O26" s="3">
        <v>7</v>
      </c>
      <c r="P26" s="3">
        <v>141</v>
      </c>
      <c r="Q26" s="24">
        <v>20000</v>
      </c>
      <c r="R26" s="3"/>
      <c r="S26" s="25">
        <v>20000</v>
      </c>
    </row>
    <row r="27" spans="1:19" ht="21" customHeight="1" thickBot="1">
      <c r="A27" s="45"/>
      <c r="B27" s="46" t="s">
        <v>18</v>
      </c>
      <c r="C27" s="47"/>
      <c r="D27" s="48"/>
      <c r="E27" s="49"/>
      <c r="F27" s="50"/>
      <c r="G27" s="50"/>
      <c r="H27" s="51">
        <v>20000</v>
      </c>
      <c r="I27" s="51">
        <v>0</v>
      </c>
      <c r="J27" s="51">
        <v>20000</v>
      </c>
      <c r="K27" s="62"/>
      <c r="L27" s="53"/>
      <c r="M27" s="54"/>
      <c r="N27" s="49"/>
      <c r="O27" s="50"/>
      <c r="P27" s="50"/>
      <c r="Q27" s="51">
        <f t="shared" ref="Q27:S27" si="0">SUM(Q26)</f>
        <v>20000</v>
      </c>
      <c r="R27" s="51">
        <f t="shared" si="0"/>
        <v>0</v>
      </c>
      <c r="S27" s="51">
        <f t="shared" si="0"/>
        <v>20000</v>
      </c>
    </row>
    <row r="28" spans="1:19" ht="21" customHeight="1" thickTop="1">
      <c r="B28" s="1"/>
      <c r="C28" s="1"/>
      <c r="D28" s="63"/>
      <c r="E28" s="64"/>
      <c r="F28" s="58"/>
      <c r="G28" s="58"/>
      <c r="H28" s="65"/>
      <c r="I28" s="58"/>
      <c r="J28" s="59"/>
      <c r="K28" s="66"/>
      <c r="L28" s="67"/>
      <c r="M28" s="68"/>
      <c r="N28" s="64"/>
      <c r="Q28" s="65"/>
      <c r="S28" s="59"/>
    </row>
    <row r="29" spans="1:19" s="1" customFormat="1" ht="21" customHeight="1">
      <c r="A29" s="55"/>
      <c r="B29" s="69" t="s">
        <v>73</v>
      </c>
      <c r="D29" s="57"/>
      <c r="E29" s="58"/>
      <c r="F29" s="59"/>
      <c r="G29" s="29"/>
      <c r="H29" s="29"/>
      <c r="I29" s="29"/>
      <c r="J29" s="29"/>
      <c r="K29" s="60"/>
      <c r="L29" s="61"/>
      <c r="M29" s="61"/>
    </row>
    <row r="30" spans="1:19" ht="21" customHeight="1">
      <c r="A30" s="20">
        <v>1</v>
      </c>
      <c r="B30" s="21" t="s">
        <v>74</v>
      </c>
      <c r="C30" s="70" t="s">
        <v>75</v>
      </c>
      <c r="D30" s="6"/>
      <c r="E30" s="24"/>
      <c r="F30" s="3"/>
      <c r="G30" s="3"/>
      <c r="H30" s="24">
        <v>0</v>
      </c>
      <c r="I30" s="3"/>
      <c r="J30" s="25">
        <v>0</v>
      </c>
      <c r="K30" s="71"/>
      <c r="L30" s="72"/>
      <c r="M30" s="28"/>
      <c r="N30" s="23"/>
      <c r="O30" s="3"/>
      <c r="P30" s="3"/>
      <c r="Q30" s="24">
        <f>SUM(H30-M30)</f>
        <v>0</v>
      </c>
      <c r="R30" s="24"/>
      <c r="S30" s="24">
        <f>SUM(J30-M30)</f>
        <v>0</v>
      </c>
    </row>
    <row r="31" spans="1:19" ht="21" customHeight="1">
      <c r="A31" s="20"/>
      <c r="B31" s="33" t="s">
        <v>74</v>
      </c>
      <c r="C31" s="73" t="s">
        <v>79</v>
      </c>
      <c r="D31" s="34"/>
      <c r="E31" s="23" t="s">
        <v>80</v>
      </c>
      <c r="F31" s="3">
        <v>43</v>
      </c>
      <c r="G31" s="3">
        <v>43</v>
      </c>
      <c r="H31" s="24">
        <v>84000</v>
      </c>
      <c r="I31" s="3"/>
      <c r="J31" s="25">
        <v>84000</v>
      </c>
      <c r="K31" s="148" t="s">
        <v>148</v>
      </c>
      <c r="L31" s="149" t="s">
        <v>149</v>
      </c>
      <c r="M31" s="150">
        <v>200</v>
      </c>
      <c r="N31" s="23" t="s">
        <v>138</v>
      </c>
      <c r="O31" s="3">
        <v>43</v>
      </c>
      <c r="P31" s="3">
        <v>43</v>
      </c>
      <c r="Q31" s="24">
        <f>SUM(H31-M31)</f>
        <v>83800</v>
      </c>
      <c r="R31" s="24"/>
      <c r="S31" s="24">
        <f t="shared" ref="S31:S34" si="1">SUM(J31-M31)</f>
        <v>83800</v>
      </c>
    </row>
    <row r="32" spans="1:19" s="195" customFormat="1" ht="21" customHeight="1">
      <c r="A32" s="186">
        <v>2</v>
      </c>
      <c r="B32" s="187" t="s">
        <v>81</v>
      </c>
      <c r="C32" s="188" t="s">
        <v>82</v>
      </c>
      <c r="D32" s="189"/>
      <c r="E32" s="190" t="s">
        <v>83</v>
      </c>
      <c r="F32" s="191">
        <v>24</v>
      </c>
      <c r="G32" s="191">
        <v>24</v>
      </c>
      <c r="H32" s="192"/>
      <c r="I32" s="191"/>
      <c r="J32" s="193"/>
      <c r="K32" s="148"/>
      <c r="L32" s="149"/>
      <c r="M32" s="194"/>
      <c r="N32" s="190" t="s">
        <v>83</v>
      </c>
      <c r="O32" s="191">
        <v>24</v>
      </c>
      <c r="P32" s="191">
        <v>24</v>
      </c>
      <c r="Q32" s="192">
        <f t="shared" ref="Q32:Q34" si="2">SUM(H32-M32)</f>
        <v>0</v>
      </c>
      <c r="R32" s="192"/>
      <c r="S32" s="192">
        <f t="shared" si="1"/>
        <v>0</v>
      </c>
    </row>
    <row r="33" spans="1:19" ht="21" customHeight="1">
      <c r="A33" s="20"/>
      <c r="B33" s="33" t="s">
        <v>81</v>
      </c>
      <c r="C33" s="22" t="s">
        <v>85</v>
      </c>
      <c r="D33" s="34"/>
      <c r="E33" s="23" t="s">
        <v>83</v>
      </c>
      <c r="F33" s="3">
        <v>24</v>
      </c>
      <c r="G33" s="3">
        <v>24</v>
      </c>
      <c r="H33" s="24">
        <v>18000</v>
      </c>
      <c r="I33" s="3"/>
      <c r="J33" s="25">
        <v>18000</v>
      </c>
      <c r="K33" s="148" t="s">
        <v>148</v>
      </c>
      <c r="L33" s="149" t="s">
        <v>150</v>
      </c>
      <c r="M33" s="150">
        <v>2000</v>
      </c>
      <c r="N33" s="23" t="s">
        <v>83</v>
      </c>
      <c r="O33" s="3">
        <v>24</v>
      </c>
      <c r="P33" s="3">
        <v>24</v>
      </c>
      <c r="Q33" s="24">
        <f t="shared" si="2"/>
        <v>16000</v>
      </c>
      <c r="R33" s="24"/>
      <c r="S33" s="24">
        <f t="shared" si="1"/>
        <v>16000</v>
      </c>
    </row>
    <row r="34" spans="1:19" ht="21" customHeight="1">
      <c r="A34" s="20">
        <v>3</v>
      </c>
      <c r="B34" s="21" t="s">
        <v>86</v>
      </c>
      <c r="C34" s="30" t="s">
        <v>87</v>
      </c>
      <c r="D34" s="22"/>
      <c r="E34" s="23" t="s">
        <v>50</v>
      </c>
      <c r="F34" s="3">
        <v>34</v>
      </c>
      <c r="G34" s="3">
        <v>34</v>
      </c>
      <c r="H34" s="24">
        <v>4000</v>
      </c>
      <c r="I34" s="3"/>
      <c r="J34" s="25">
        <v>4000</v>
      </c>
      <c r="K34" s="148"/>
      <c r="L34" s="149"/>
      <c r="M34" s="35"/>
      <c r="N34" s="23" t="s">
        <v>50</v>
      </c>
      <c r="O34" s="3">
        <v>34</v>
      </c>
      <c r="P34" s="3">
        <v>34</v>
      </c>
      <c r="Q34" s="24">
        <f t="shared" si="2"/>
        <v>4000</v>
      </c>
      <c r="R34" s="3"/>
      <c r="S34" s="24">
        <f t="shared" si="1"/>
        <v>4000</v>
      </c>
    </row>
    <row r="35" spans="1:19" ht="21" customHeight="1" thickBot="1">
      <c r="A35" s="45"/>
      <c r="B35" s="46" t="s">
        <v>18</v>
      </c>
      <c r="C35" s="47"/>
      <c r="D35" s="48"/>
      <c r="E35" s="49"/>
      <c r="F35" s="50"/>
      <c r="G35" s="50"/>
      <c r="H35" s="51">
        <f>SUM(H30:H34)</f>
        <v>106000</v>
      </c>
      <c r="I35" s="51">
        <v>0</v>
      </c>
      <c r="J35" s="51">
        <f>SUM(J30:J34)</f>
        <v>106000</v>
      </c>
      <c r="K35" s="62"/>
      <c r="L35" s="53"/>
      <c r="M35" s="74">
        <f>SUM(M30:M34)</f>
        <v>2200</v>
      </c>
      <c r="N35" s="49"/>
      <c r="O35" s="50"/>
      <c r="P35" s="50"/>
      <c r="Q35" s="51">
        <f>SUM(Q30:Q34)</f>
        <v>103800</v>
      </c>
      <c r="R35" s="51">
        <f>SUM(R30:R33)</f>
        <v>0</v>
      </c>
      <c r="S35" s="51">
        <f>SUM(S30:S34)</f>
        <v>103800</v>
      </c>
    </row>
    <row r="36" spans="1:19" s="85" customFormat="1" ht="21" customHeight="1" thickTop="1">
      <c r="A36" s="75"/>
      <c r="B36" s="76"/>
      <c r="C36" s="77"/>
      <c r="D36" s="78"/>
      <c r="E36" s="79"/>
      <c r="F36" s="80"/>
      <c r="G36" s="80"/>
      <c r="H36" s="81"/>
      <c r="I36" s="81"/>
      <c r="J36" s="81"/>
      <c r="K36" s="82"/>
      <c r="L36" s="83"/>
      <c r="M36" s="84"/>
      <c r="N36" s="79"/>
      <c r="O36" s="80"/>
      <c r="P36" s="80"/>
      <c r="Q36" s="81"/>
      <c r="R36" s="81"/>
      <c r="S36" s="81"/>
    </row>
    <row r="37" spans="1:19" ht="21" customHeight="1">
      <c r="B37" s="86" t="s">
        <v>90</v>
      </c>
    </row>
    <row r="38" spans="1:19" ht="21" customHeight="1">
      <c r="A38" s="20">
        <v>1</v>
      </c>
      <c r="B38" s="33" t="s">
        <v>91</v>
      </c>
      <c r="C38" s="73" t="s">
        <v>92</v>
      </c>
      <c r="D38" s="34"/>
      <c r="E38" s="23" t="s">
        <v>93</v>
      </c>
      <c r="F38" s="3">
        <v>2</v>
      </c>
      <c r="G38" s="3">
        <v>2</v>
      </c>
      <c r="H38" s="24">
        <v>11000</v>
      </c>
      <c r="I38" s="3"/>
      <c r="J38" s="25">
        <v>11000</v>
      </c>
      <c r="K38" s="31"/>
      <c r="L38" s="32"/>
      <c r="M38" s="28"/>
      <c r="N38" s="23" t="s">
        <v>93</v>
      </c>
      <c r="O38" s="3">
        <v>2</v>
      </c>
      <c r="P38" s="3">
        <v>2</v>
      </c>
      <c r="Q38" s="24">
        <v>11000</v>
      </c>
      <c r="R38" s="3"/>
      <c r="S38" s="25">
        <v>11000</v>
      </c>
    </row>
    <row r="39" spans="1:19" ht="21" customHeight="1">
      <c r="A39" s="20">
        <v>2</v>
      </c>
      <c r="B39" s="70" t="s">
        <v>94</v>
      </c>
      <c r="C39" s="30" t="s">
        <v>95</v>
      </c>
      <c r="D39" s="22"/>
      <c r="E39" s="23" t="s">
        <v>96</v>
      </c>
      <c r="F39" s="3">
        <v>3</v>
      </c>
      <c r="G39" s="3">
        <v>3</v>
      </c>
      <c r="H39" s="24">
        <v>6000</v>
      </c>
      <c r="I39" s="3"/>
      <c r="J39" s="25">
        <v>6000</v>
      </c>
      <c r="K39" s="31"/>
      <c r="L39" s="32"/>
      <c r="M39" s="27"/>
      <c r="N39" s="23" t="s">
        <v>96</v>
      </c>
      <c r="O39" s="3">
        <v>3</v>
      </c>
      <c r="P39" s="3">
        <v>3</v>
      </c>
      <c r="Q39" s="24">
        <f>SUM(H39-M39)</f>
        <v>6000</v>
      </c>
      <c r="R39" s="24"/>
      <c r="S39" s="24">
        <f>SUM(J39-M39)</f>
        <v>6000</v>
      </c>
    </row>
    <row r="40" spans="1:19" ht="21" customHeight="1" thickBot="1">
      <c r="A40" s="45"/>
      <c r="B40" s="46" t="s">
        <v>18</v>
      </c>
      <c r="C40" s="47"/>
      <c r="D40" s="48"/>
      <c r="E40" s="49"/>
      <c r="F40" s="50"/>
      <c r="G40" s="50"/>
      <c r="H40" s="51">
        <v>17000</v>
      </c>
      <c r="I40" s="51">
        <v>0</v>
      </c>
      <c r="J40" s="51">
        <v>17000</v>
      </c>
      <c r="K40" s="62"/>
      <c r="L40" s="53"/>
      <c r="M40" s="74">
        <f>SUM(M36:M39)</f>
        <v>0</v>
      </c>
      <c r="N40" s="49"/>
      <c r="O40" s="50"/>
      <c r="P40" s="50"/>
      <c r="Q40" s="51">
        <f>SUM(Q36:Q39)</f>
        <v>17000</v>
      </c>
      <c r="R40" s="51">
        <f>SUM(R36:R39)</f>
        <v>0</v>
      </c>
      <c r="S40" s="51">
        <f>SUM(S36:S39)</f>
        <v>17000</v>
      </c>
    </row>
    <row r="41" spans="1:19" s="85" customFormat="1" ht="21" customHeight="1" thickTop="1">
      <c r="A41" s="75"/>
      <c r="B41" s="93"/>
      <c r="C41" s="77"/>
      <c r="D41" s="78"/>
      <c r="E41" s="79"/>
      <c r="F41" s="80"/>
      <c r="G41" s="80"/>
      <c r="H41" s="81"/>
      <c r="I41" s="80"/>
      <c r="J41" s="94"/>
      <c r="K41" s="82"/>
      <c r="L41" s="83"/>
      <c r="M41" s="95"/>
      <c r="N41" s="79"/>
      <c r="O41" s="80"/>
      <c r="P41" s="80"/>
      <c r="Q41" s="81"/>
      <c r="R41" s="81"/>
      <c r="S41" s="81"/>
    </row>
    <row r="42" spans="1:19" ht="21" customHeight="1">
      <c r="H42" s="96">
        <f>SUM(H24+H27+H35+H40)</f>
        <v>854100</v>
      </c>
      <c r="I42" s="96">
        <f t="shared" ref="I42:P42" si="3">SUM(I24+I27+I35+I40)</f>
        <v>0</v>
      </c>
      <c r="J42" s="96">
        <f t="shared" si="3"/>
        <v>854100</v>
      </c>
      <c r="K42" s="96">
        <f t="shared" si="3"/>
        <v>0</v>
      </c>
      <c r="L42" s="96">
        <f t="shared" si="3"/>
        <v>0</v>
      </c>
      <c r="M42" s="96">
        <f t="shared" si="3"/>
        <v>2200</v>
      </c>
      <c r="N42" s="96">
        <f t="shared" si="3"/>
        <v>0</v>
      </c>
      <c r="O42" s="96">
        <f t="shared" si="3"/>
        <v>0</v>
      </c>
      <c r="P42" s="96">
        <f t="shared" si="3"/>
        <v>0</v>
      </c>
      <c r="Q42" s="96">
        <f>SUM(Q24+Q27+Q35+Q40)</f>
        <v>851900</v>
      </c>
      <c r="R42" s="96">
        <f ca="1">SUM(R24+R27+R35+R40)</f>
        <v>0</v>
      </c>
      <c r="S42" s="96">
        <f>SUM(S24+S27+S35+S40)</f>
        <v>851900</v>
      </c>
    </row>
    <row r="44" spans="1:19" ht="21" customHeight="1">
      <c r="S44" s="58"/>
    </row>
    <row r="52" spans="1:18" ht="21" customHeight="1">
      <c r="A52" s="29"/>
      <c r="R52" s="29"/>
    </row>
    <row r="53" spans="1:18" ht="21" customHeight="1">
      <c r="A53" s="29"/>
      <c r="R53" s="29"/>
    </row>
    <row r="63" spans="1:18" ht="21" customHeight="1">
      <c r="A63" s="29"/>
      <c r="R63" s="29"/>
    </row>
    <row r="64" spans="1:18" ht="21" customHeight="1">
      <c r="A64" s="29"/>
      <c r="R64" s="29"/>
    </row>
    <row r="67" spans="1:19" ht="21" customHeight="1">
      <c r="A67" s="29"/>
      <c r="C67" s="29"/>
      <c r="D67" s="29"/>
      <c r="F67" s="29"/>
      <c r="G67" s="29"/>
      <c r="H67" s="29"/>
      <c r="I67" s="29"/>
      <c r="J67" s="29"/>
      <c r="K67" s="2"/>
      <c r="L67" s="29"/>
      <c r="O67" s="29"/>
      <c r="P67" s="29"/>
      <c r="Q67" s="29"/>
      <c r="R67" s="29" t="s">
        <v>97</v>
      </c>
      <c r="S67" s="58">
        <v>32</v>
      </c>
    </row>
    <row r="68" spans="1:19" ht="21" customHeight="1">
      <c r="A68" s="29"/>
      <c r="C68" s="29"/>
      <c r="D68" s="29"/>
      <c r="F68" s="29"/>
      <c r="G68" s="29"/>
      <c r="H68" s="29"/>
      <c r="I68" s="29"/>
      <c r="J68" s="29"/>
      <c r="K68" s="2"/>
      <c r="L68" s="29"/>
      <c r="O68" s="29"/>
      <c r="P68" s="29"/>
      <c r="Q68" s="29"/>
      <c r="R68" s="55" t="s">
        <v>98</v>
      </c>
      <c r="S68" s="55">
        <v>18</v>
      </c>
    </row>
    <row r="122" spans="1:19" ht="21" customHeight="1">
      <c r="A122" s="97" t="s">
        <v>99</v>
      </c>
      <c r="B122" s="36" t="s">
        <v>100</v>
      </c>
      <c r="C122" s="98" t="s">
        <v>101</v>
      </c>
      <c r="D122" s="37">
        <v>1100</v>
      </c>
      <c r="E122" s="38" t="s">
        <v>102</v>
      </c>
      <c r="F122" s="39">
        <v>1</v>
      </c>
      <c r="G122" s="39">
        <v>1</v>
      </c>
      <c r="H122" s="40">
        <v>1100</v>
      </c>
      <c r="I122" s="39"/>
      <c r="J122" s="41">
        <v>1100</v>
      </c>
      <c r="K122" s="99"/>
      <c r="L122" s="100"/>
      <c r="M122" s="101"/>
      <c r="N122" s="38" t="s">
        <v>103</v>
      </c>
      <c r="O122" s="39">
        <v>2</v>
      </c>
      <c r="P122" s="39">
        <v>2</v>
      </c>
      <c r="Q122" s="40">
        <v>2200</v>
      </c>
      <c r="R122" s="39"/>
      <c r="S122" s="41">
        <v>1100</v>
      </c>
    </row>
  </sheetData>
  <mergeCells count="19"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N5:N6"/>
    <mergeCell ref="O5:O6"/>
    <mergeCell ref="Q5:S5"/>
    <mergeCell ref="E5:E6"/>
    <mergeCell ref="F5:F6"/>
    <mergeCell ref="H5:J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5864-2EF1-4101-9B6A-863C518C7B78}">
  <sheetPr>
    <tabColor rgb="FFFFFF00"/>
  </sheetPr>
  <dimension ref="A1:S122"/>
  <sheetViews>
    <sheetView zoomScale="70" zoomScaleNormal="70" workbookViewId="0">
      <pane ySplit="6" topLeftCell="A16" activePane="bottomLeft" state="frozen"/>
      <selection pane="bottomLeft" activeCell="E36" sqref="E36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7.44140625" style="2" customWidth="1"/>
    <col min="6" max="7" width="13.88671875" style="59"/>
    <col min="8" max="8" width="13.88671875" style="88"/>
    <col min="9" max="9" width="7.33203125" style="88" customWidth="1"/>
    <col min="10" max="10" width="13.88671875" style="89"/>
    <col min="11" max="11" width="13.88671875" style="90"/>
    <col min="12" max="12" width="13.88671875" style="91"/>
    <col min="13" max="13" width="13.6640625" style="29" customWidth="1"/>
    <col min="14" max="14" width="19.88671875" style="2" customWidth="1"/>
    <col min="15" max="15" width="13.88671875" style="58"/>
    <col min="16" max="16" width="8.6640625" style="58" customWidth="1"/>
    <col min="17" max="17" width="13.88671875" style="92"/>
    <col min="18" max="18" width="13.88671875" style="58"/>
    <col min="19" max="16384" width="13.88671875" style="29"/>
  </cols>
  <sheetData>
    <row r="1" spans="1:19" s="1" customFormat="1" ht="21" customHeight="1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</row>
    <row r="2" spans="1:19" s="1" customFormat="1" ht="21" customHeight="1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19" s="1" customFormat="1" ht="21" customHeight="1">
      <c r="A3" s="200" t="s">
        <v>135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</row>
    <row r="4" spans="1:19" s="1" customFormat="1" ht="21" customHeight="1">
      <c r="A4" s="201" t="s">
        <v>3</v>
      </c>
      <c r="B4" s="201" t="s">
        <v>4</v>
      </c>
      <c r="C4" s="204" t="s">
        <v>5</v>
      </c>
      <c r="D4" s="211" t="s">
        <v>6</v>
      </c>
      <c r="E4" s="207" t="s">
        <v>7</v>
      </c>
      <c r="F4" s="207"/>
      <c r="G4" s="207"/>
      <c r="H4" s="207"/>
      <c r="I4" s="207"/>
      <c r="J4" s="207"/>
      <c r="K4" s="214" t="s">
        <v>8</v>
      </c>
      <c r="L4" s="214"/>
      <c r="M4" s="214"/>
      <c r="N4" s="207" t="s">
        <v>9</v>
      </c>
      <c r="O4" s="207"/>
      <c r="P4" s="207"/>
      <c r="Q4" s="207"/>
      <c r="R4" s="207"/>
      <c r="S4" s="207"/>
    </row>
    <row r="5" spans="1:19" s="1" customFormat="1" ht="21" customHeight="1">
      <c r="A5" s="202"/>
      <c r="B5" s="202"/>
      <c r="C5" s="205"/>
      <c r="D5" s="212"/>
      <c r="E5" s="208" t="s">
        <v>10</v>
      </c>
      <c r="F5" s="207"/>
      <c r="G5" s="4"/>
      <c r="H5" s="215" t="s">
        <v>11</v>
      </c>
      <c r="I5" s="215"/>
      <c r="J5" s="215"/>
      <c r="K5" s="216" t="s">
        <v>12</v>
      </c>
      <c r="L5" s="218" t="s">
        <v>13</v>
      </c>
      <c r="M5" s="209" t="s">
        <v>14</v>
      </c>
      <c r="N5" s="208" t="s">
        <v>10</v>
      </c>
      <c r="O5" s="207" t="s">
        <v>15</v>
      </c>
      <c r="P5" s="4" t="s">
        <v>16</v>
      </c>
      <c r="Q5" s="215" t="s">
        <v>11</v>
      </c>
      <c r="R5" s="215"/>
      <c r="S5" s="215"/>
    </row>
    <row r="6" spans="1:19" s="1" customFormat="1" ht="21" customHeight="1">
      <c r="A6" s="203"/>
      <c r="B6" s="203"/>
      <c r="C6" s="206"/>
      <c r="D6" s="213"/>
      <c r="E6" s="208"/>
      <c r="F6" s="207"/>
      <c r="G6" s="5"/>
      <c r="H6" s="6" t="s">
        <v>14</v>
      </c>
      <c r="I6" s="7" t="s">
        <v>17</v>
      </c>
      <c r="J6" s="8" t="s">
        <v>18</v>
      </c>
      <c r="K6" s="217"/>
      <c r="L6" s="219"/>
      <c r="M6" s="210"/>
      <c r="N6" s="208"/>
      <c r="O6" s="207"/>
      <c r="P6" s="5" t="s">
        <v>19</v>
      </c>
      <c r="Q6" s="6" t="s">
        <v>14</v>
      </c>
      <c r="R6" s="7" t="s">
        <v>17</v>
      </c>
      <c r="S6" s="8" t="s">
        <v>18</v>
      </c>
    </row>
    <row r="7" spans="1:19" s="1" customFormat="1" ht="21" customHeight="1">
      <c r="A7" s="9"/>
      <c r="B7" s="10" t="s">
        <v>20</v>
      </c>
      <c r="C7" s="11"/>
      <c r="D7" s="12"/>
      <c r="E7" s="13"/>
      <c r="F7" s="14"/>
      <c r="G7" s="15"/>
      <c r="H7" s="15"/>
      <c r="I7" s="15"/>
      <c r="J7" s="16"/>
      <c r="K7" s="17"/>
      <c r="L7" s="18"/>
      <c r="M7" s="19"/>
      <c r="N7" s="13"/>
      <c r="O7" s="14"/>
      <c r="P7" s="15"/>
      <c r="Q7" s="15"/>
      <c r="R7" s="15"/>
      <c r="S7" s="16"/>
    </row>
    <row r="8" spans="1:19" ht="21" customHeight="1">
      <c r="A8" s="20">
        <v>1</v>
      </c>
      <c r="B8" s="21" t="s">
        <v>21</v>
      </c>
      <c r="C8" s="21" t="s">
        <v>22</v>
      </c>
      <c r="D8" s="22"/>
      <c r="E8" s="23" t="s">
        <v>23</v>
      </c>
      <c r="F8" s="3">
        <v>37</v>
      </c>
      <c r="G8" s="3">
        <v>54</v>
      </c>
      <c r="H8" s="24">
        <v>22300</v>
      </c>
      <c r="I8" s="3"/>
      <c r="J8" s="25">
        <v>22300</v>
      </c>
      <c r="K8" s="26"/>
      <c r="L8" s="27"/>
      <c r="M8" s="28"/>
      <c r="N8" s="23" t="s">
        <v>23</v>
      </c>
      <c r="O8" s="3">
        <v>37</v>
      </c>
      <c r="P8" s="3">
        <v>54</v>
      </c>
      <c r="Q8" s="24">
        <v>22300</v>
      </c>
      <c r="R8" s="3"/>
      <c r="S8" s="25">
        <v>22300</v>
      </c>
    </row>
    <row r="9" spans="1:19" ht="21" customHeight="1">
      <c r="A9" s="20">
        <v>2</v>
      </c>
      <c r="B9" s="21" t="s">
        <v>24</v>
      </c>
      <c r="C9" s="30" t="s">
        <v>25</v>
      </c>
      <c r="D9" s="22"/>
      <c r="E9" s="23" t="s">
        <v>26</v>
      </c>
      <c r="F9" s="3">
        <v>13</v>
      </c>
      <c r="G9" s="3">
        <v>85</v>
      </c>
      <c r="H9" s="24">
        <v>15000</v>
      </c>
      <c r="I9" s="3"/>
      <c r="J9" s="25">
        <v>15000</v>
      </c>
      <c r="K9" s="31"/>
      <c r="L9" s="32"/>
      <c r="M9" s="28"/>
      <c r="N9" s="23" t="s">
        <v>26</v>
      </c>
      <c r="O9" s="3">
        <v>13</v>
      </c>
      <c r="P9" s="3">
        <v>85</v>
      </c>
      <c r="Q9" s="24">
        <v>15000</v>
      </c>
      <c r="R9" s="3"/>
      <c r="S9" s="25">
        <v>15000</v>
      </c>
    </row>
    <row r="10" spans="1:19" ht="21" customHeight="1">
      <c r="A10" s="20">
        <v>3</v>
      </c>
      <c r="B10" s="33" t="s">
        <v>27</v>
      </c>
      <c r="C10" s="22" t="s">
        <v>28</v>
      </c>
      <c r="D10" s="34"/>
      <c r="E10" s="23" t="s">
        <v>29</v>
      </c>
      <c r="F10" s="3">
        <v>23</v>
      </c>
      <c r="G10" s="3">
        <v>34</v>
      </c>
      <c r="H10" s="24">
        <v>50000</v>
      </c>
      <c r="I10" s="3"/>
      <c r="J10" s="25">
        <v>50000</v>
      </c>
      <c r="K10" s="31"/>
      <c r="L10" s="32"/>
      <c r="M10" s="28"/>
      <c r="N10" s="23" t="s">
        <v>29</v>
      </c>
      <c r="O10" s="3">
        <v>23</v>
      </c>
      <c r="P10" s="3">
        <v>34</v>
      </c>
      <c r="Q10" s="24">
        <v>50000</v>
      </c>
      <c r="R10" s="3"/>
      <c r="S10" s="25">
        <v>50000</v>
      </c>
    </row>
    <row r="11" spans="1:19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3">
        <v>67</v>
      </c>
      <c r="H11" s="24">
        <v>79500</v>
      </c>
      <c r="I11" s="3"/>
      <c r="J11" s="25">
        <v>79500</v>
      </c>
      <c r="K11" s="31"/>
      <c r="L11" s="32"/>
      <c r="M11" s="28"/>
      <c r="N11" s="23" t="s">
        <v>32</v>
      </c>
      <c r="O11" s="3">
        <v>40</v>
      </c>
      <c r="P11" s="3">
        <v>67</v>
      </c>
      <c r="Q11" s="24">
        <v>79500</v>
      </c>
      <c r="R11" s="3"/>
      <c r="S11" s="25">
        <v>79500</v>
      </c>
    </row>
    <row r="12" spans="1:19" ht="21" customHeight="1">
      <c r="A12" s="20">
        <v>5</v>
      </c>
      <c r="B12" s="33" t="s">
        <v>33</v>
      </c>
      <c r="C12" s="22" t="s">
        <v>34</v>
      </c>
      <c r="D12" s="34"/>
      <c r="E12" s="23" t="s">
        <v>35</v>
      </c>
      <c r="F12" s="3">
        <v>42</v>
      </c>
      <c r="G12" s="3">
        <v>53</v>
      </c>
      <c r="H12" s="24">
        <v>41000</v>
      </c>
      <c r="I12" s="3"/>
      <c r="J12" s="25">
        <v>41000</v>
      </c>
      <c r="K12" s="31"/>
      <c r="L12" s="32"/>
      <c r="M12" s="28"/>
      <c r="N12" s="23" t="s">
        <v>35</v>
      </c>
      <c r="O12" s="3">
        <v>42</v>
      </c>
      <c r="P12" s="3">
        <v>53</v>
      </c>
      <c r="Q12" s="24">
        <v>41000</v>
      </c>
      <c r="R12" s="3"/>
      <c r="S12" s="25">
        <v>41000</v>
      </c>
    </row>
    <row r="13" spans="1:19" ht="21" customHeight="1">
      <c r="A13" s="20">
        <v>6</v>
      </c>
      <c r="B13" s="21" t="s">
        <v>36</v>
      </c>
      <c r="C13" s="21" t="s">
        <v>37</v>
      </c>
      <c r="D13" s="22"/>
      <c r="E13" s="23" t="s">
        <v>38</v>
      </c>
      <c r="F13" s="3">
        <v>29</v>
      </c>
      <c r="G13" s="3">
        <v>49</v>
      </c>
      <c r="H13" s="24">
        <v>28000</v>
      </c>
      <c r="I13" s="3"/>
      <c r="J13" s="25">
        <v>28000</v>
      </c>
      <c r="K13" s="31"/>
      <c r="L13" s="32"/>
      <c r="M13" s="28"/>
      <c r="N13" s="23" t="s">
        <v>38</v>
      </c>
      <c r="O13" s="3">
        <v>29</v>
      </c>
      <c r="P13" s="3">
        <v>49</v>
      </c>
      <c r="Q13" s="24">
        <v>28000</v>
      </c>
      <c r="R13" s="3"/>
      <c r="S13" s="25">
        <v>28000</v>
      </c>
    </row>
    <row r="14" spans="1:19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3">
        <v>66</v>
      </c>
      <c r="H14" s="24">
        <v>92000</v>
      </c>
      <c r="I14" s="3"/>
      <c r="J14" s="25">
        <v>92000</v>
      </c>
      <c r="K14" s="31"/>
      <c r="L14" s="32"/>
      <c r="M14" s="28"/>
      <c r="N14" s="23" t="s">
        <v>41</v>
      </c>
      <c r="O14" s="3">
        <v>49</v>
      </c>
      <c r="P14" s="3">
        <v>66</v>
      </c>
      <c r="Q14" s="24">
        <v>92000</v>
      </c>
      <c r="R14" s="3"/>
      <c r="S14" s="25">
        <v>92000</v>
      </c>
    </row>
    <row r="15" spans="1:19" ht="21" customHeight="1">
      <c r="A15" s="20">
        <v>8</v>
      </c>
      <c r="B15" s="21" t="s">
        <v>42</v>
      </c>
      <c r="C15" s="21" t="s">
        <v>43</v>
      </c>
      <c r="D15" s="22"/>
      <c r="E15" s="23" t="s">
        <v>44</v>
      </c>
      <c r="F15" s="3">
        <v>41</v>
      </c>
      <c r="G15" s="3">
        <v>58</v>
      </c>
      <c r="H15" s="24">
        <v>41000</v>
      </c>
      <c r="I15" s="3"/>
      <c r="J15" s="25">
        <v>41000</v>
      </c>
      <c r="K15" s="31"/>
      <c r="L15" s="32"/>
      <c r="M15" s="28"/>
      <c r="N15" s="23" t="s">
        <v>44</v>
      </c>
      <c r="O15" s="3">
        <v>41</v>
      </c>
      <c r="P15" s="3">
        <v>58</v>
      </c>
      <c r="Q15" s="24">
        <v>41000</v>
      </c>
      <c r="R15" s="3"/>
      <c r="S15" s="25">
        <v>41000</v>
      </c>
    </row>
    <row r="16" spans="1:19" ht="21" customHeight="1">
      <c r="A16" s="20">
        <v>9</v>
      </c>
      <c r="B16" s="21" t="s">
        <v>45</v>
      </c>
      <c r="C16" s="30" t="s">
        <v>46</v>
      </c>
      <c r="D16" s="22"/>
      <c r="E16" s="23" t="s">
        <v>47</v>
      </c>
      <c r="F16" s="3">
        <v>66</v>
      </c>
      <c r="G16" s="3">
        <v>66</v>
      </c>
      <c r="H16" s="24">
        <v>46500</v>
      </c>
      <c r="I16" s="3"/>
      <c r="J16" s="25">
        <v>46500</v>
      </c>
      <c r="K16" s="31"/>
      <c r="L16" s="32"/>
      <c r="M16" s="28"/>
      <c r="N16" s="23" t="s">
        <v>47</v>
      </c>
      <c r="O16" s="3">
        <v>66</v>
      </c>
      <c r="P16" s="3">
        <v>66</v>
      </c>
      <c r="Q16" s="24">
        <v>46500</v>
      </c>
      <c r="R16" s="3"/>
      <c r="S16" s="25">
        <v>46500</v>
      </c>
    </row>
    <row r="17" spans="1:19" ht="21" customHeight="1">
      <c r="A17" s="20">
        <v>10</v>
      </c>
      <c r="B17" s="21" t="s">
        <v>48</v>
      </c>
      <c r="C17" s="30" t="s">
        <v>49</v>
      </c>
      <c r="D17" s="22"/>
      <c r="E17" s="23" t="s">
        <v>50</v>
      </c>
      <c r="F17" s="3">
        <v>34</v>
      </c>
      <c r="G17" s="3">
        <v>34</v>
      </c>
      <c r="H17" s="24">
        <v>23600</v>
      </c>
      <c r="I17" s="3"/>
      <c r="J17" s="25">
        <v>23600</v>
      </c>
      <c r="K17" s="31"/>
      <c r="L17" s="32"/>
      <c r="M17" s="35"/>
      <c r="N17" s="23" t="s">
        <v>50</v>
      </c>
      <c r="O17" s="3">
        <v>34</v>
      </c>
      <c r="P17" s="3">
        <v>34</v>
      </c>
      <c r="Q17" s="24">
        <v>23600</v>
      </c>
      <c r="R17" s="3"/>
      <c r="S17" s="25">
        <v>23600</v>
      </c>
    </row>
    <row r="18" spans="1:19" ht="21" customHeight="1">
      <c r="A18" s="20">
        <v>11</v>
      </c>
      <c r="B18" s="33" t="s">
        <v>51</v>
      </c>
      <c r="C18" s="22" t="s">
        <v>52</v>
      </c>
      <c r="D18" s="34"/>
      <c r="E18" s="23" t="s">
        <v>53</v>
      </c>
      <c r="F18" s="3">
        <v>39.049999999999997</v>
      </c>
      <c r="G18" s="3">
        <v>39</v>
      </c>
      <c r="H18" s="24">
        <v>39100</v>
      </c>
      <c r="I18" s="3"/>
      <c r="J18" s="25">
        <v>39100</v>
      </c>
      <c r="K18" s="31"/>
      <c r="L18" s="32"/>
      <c r="M18" s="28"/>
      <c r="N18" s="23" t="s">
        <v>53</v>
      </c>
      <c r="O18" s="3">
        <v>39.049999999999997</v>
      </c>
      <c r="P18" s="3">
        <v>39</v>
      </c>
      <c r="Q18" s="24">
        <v>39100</v>
      </c>
      <c r="R18" s="3"/>
      <c r="S18" s="25">
        <v>39100</v>
      </c>
    </row>
    <row r="19" spans="1:19" ht="21" customHeight="1">
      <c r="A19" s="20">
        <v>12</v>
      </c>
      <c r="B19" s="33" t="s">
        <v>54</v>
      </c>
      <c r="C19" s="22" t="s">
        <v>55</v>
      </c>
      <c r="D19" s="22"/>
      <c r="E19" s="23" t="s">
        <v>56</v>
      </c>
      <c r="F19" s="3">
        <v>52</v>
      </c>
      <c r="G19" s="3">
        <v>69</v>
      </c>
      <c r="H19" s="24">
        <v>104000</v>
      </c>
      <c r="I19" s="3"/>
      <c r="J19" s="25">
        <v>104000</v>
      </c>
      <c r="K19" s="31"/>
      <c r="L19" s="32"/>
      <c r="M19" s="28"/>
      <c r="N19" s="23" t="s">
        <v>56</v>
      </c>
      <c r="O19" s="3">
        <v>52</v>
      </c>
      <c r="P19" s="3">
        <v>69</v>
      </c>
      <c r="Q19" s="24">
        <v>104000</v>
      </c>
      <c r="R19" s="3"/>
      <c r="S19" s="25">
        <v>104000</v>
      </c>
    </row>
    <row r="20" spans="1:19" ht="21" customHeight="1">
      <c r="A20" s="20">
        <v>13</v>
      </c>
      <c r="B20" s="21" t="s">
        <v>57</v>
      </c>
      <c r="C20" s="30" t="s">
        <v>58</v>
      </c>
      <c r="D20" s="34"/>
      <c r="E20" s="23" t="s">
        <v>59</v>
      </c>
      <c r="F20" s="3">
        <v>4</v>
      </c>
      <c r="G20" s="3">
        <v>4</v>
      </c>
      <c r="H20" s="24">
        <v>5000</v>
      </c>
      <c r="I20" s="3"/>
      <c r="J20" s="25">
        <v>5000</v>
      </c>
      <c r="K20" s="31"/>
      <c r="L20" s="32"/>
      <c r="M20" s="28"/>
      <c r="N20" s="23" t="s">
        <v>59</v>
      </c>
      <c r="O20" s="3">
        <v>4</v>
      </c>
      <c r="P20" s="3">
        <v>4</v>
      </c>
      <c r="Q20" s="24">
        <v>5000</v>
      </c>
      <c r="R20" s="3"/>
      <c r="S20" s="25">
        <v>5000</v>
      </c>
    </row>
    <row r="21" spans="1:19" ht="21" customHeight="1">
      <c r="A21" s="20">
        <v>14</v>
      </c>
      <c r="B21" s="21" t="s">
        <v>60</v>
      </c>
      <c r="C21" s="30" t="s">
        <v>61</v>
      </c>
      <c r="D21" s="22"/>
      <c r="E21" s="23" t="s">
        <v>62</v>
      </c>
      <c r="F21" s="3">
        <v>68</v>
      </c>
      <c r="G21" s="3">
        <v>68</v>
      </c>
      <c r="H21" s="24">
        <v>48500</v>
      </c>
      <c r="I21" s="3"/>
      <c r="J21" s="25">
        <v>48500</v>
      </c>
      <c r="K21" s="31"/>
      <c r="L21" s="32"/>
      <c r="M21" s="28"/>
      <c r="N21" s="23" t="s">
        <v>62</v>
      </c>
      <c r="O21" s="3">
        <v>68</v>
      </c>
      <c r="P21" s="3">
        <v>68</v>
      </c>
      <c r="Q21" s="24">
        <v>48500</v>
      </c>
      <c r="R21" s="3"/>
      <c r="S21" s="25">
        <v>48500</v>
      </c>
    </row>
    <row r="22" spans="1:19" ht="21" customHeight="1">
      <c r="A22" s="20">
        <v>15</v>
      </c>
      <c r="B22" s="21" t="s">
        <v>63</v>
      </c>
      <c r="C22" s="21" t="s">
        <v>64</v>
      </c>
      <c r="D22" s="22"/>
      <c r="E22" s="23" t="s">
        <v>65</v>
      </c>
      <c r="F22" s="3">
        <v>38</v>
      </c>
      <c r="G22" s="3">
        <v>55</v>
      </c>
      <c r="H22" s="24">
        <v>38000</v>
      </c>
      <c r="I22" s="3"/>
      <c r="J22" s="25">
        <v>38000</v>
      </c>
      <c r="K22" s="31"/>
      <c r="L22" s="32"/>
      <c r="M22" s="28"/>
      <c r="N22" s="23" t="s">
        <v>65</v>
      </c>
      <c r="O22" s="3">
        <v>38</v>
      </c>
      <c r="P22" s="3">
        <v>55</v>
      </c>
      <c r="Q22" s="24">
        <v>38000</v>
      </c>
      <c r="R22" s="3"/>
      <c r="S22" s="25">
        <v>38000</v>
      </c>
    </row>
    <row r="23" spans="1:19" ht="21" customHeight="1">
      <c r="A23" s="20">
        <v>16</v>
      </c>
      <c r="B23" s="36" t="s">
        <v>66</v>
      </c>
      <c r="C23" s="36" t="s">
        <v>67</v>
      </c>
      <c r="D23" s="37"/>
      <c r="E23" s="38" t="s">
        <v>68</v>
      </c>
      <c r="F23" s="39">
        <v>16</v>
      </c>
      <c r="G23" s="39">
        <v>37</v>
      </c>
      <c r="H23" s="40">
        <v>37600</v>
      </c>
      <c r="I23" s="39"/>
      <c r="J23" s="41">
        <v>37600</v>
      </c>
      <c r="K23" s="42"/>
      <c r="L23" s="43"/>
      <c r="M23" s="44"/>
      <c r="N23" s="38" t="s">
        <v>68</v>
      </c>
      <c r="O23" s="39">
        <v>16</v>
      </c>
      <c r="P23" s="39">
        <v>37</v>
      </c>
      <c r="Q23" s="40">
        <v>37600</v>
      </c>
      <c r="R23" s="39"/>
      <c r="S23" s="41">
        <v>37600</v>
      </c>
    </row>
    <row r="24" spans="1:19" ht="21" customHeight="1" thickBot="1">
      <c r="A24" s="45"/>
      <c r="B24" s="46" t="s">
        <v>18</v>
      </c>
      <c r="C24" s="47"/>
      <c r="D24" s="48"/>
      <c r="E24" s="49"/>
      <c r="F24" s="50"/>
      <c r="G24" s="50"/>
      <c r="H24" s="51">
        <f>SUM(H8:H23)</f>
        <v>711100</v>
      </c>
      <c r="I24" s="51">
        <v>0</v>
      </c>
      <c r="J24" s="51">
        <f>SUM(J8:J23)</f>
        <v>711100</v>
      </c>
      <c r="K24" s="52"/>
      <c r="L24" s="53"/>
      <c r="M24" s="54">
        <f>SUM(M8:M23)</f>
        <v>0</v>
      </c>
      <c r="N24" s="49"/>
      <c r="O24" s="50"/>
      <c r="P24" s="50"/>
      <c r="Q24" s="51">
        <f>SUM(Q8:Q23)</f>
        <v>711100</v>
      </c>
      <c r="R24" s="51">
        <f ca="1">SUM(R8:R39)</f>
        <v>0</v>
      </c>
      <c r="S24" s="51">
        <f>SUM(S8:S23)</f>
        <v>711100</v>
      </c>
    </row>
    <row r="25" spans="1:19" s="1" customFormat="1" ht="21" customHeight="1" thickTop="1">
      <c r="A25" s="55"/>
      <c r="B25" s="56" t="s">
        <v>69</v>
      </c>
      <c r="D25" s="57"/>
      <c r="E25" s="58"/>
      <c r="F25" s="59"/>
      <c r="G25" s="29"/>
      <c r="H25" s="29"/>
      <c r="I25" s="29"/>
      <c r="J25" s="29"/>
      <c r="K25" s="60"/>
      <c r="L25" s="61"/>
      <c r="M25" s="61"/>
    </row>
    <row r="26" spans="1:19" ht="21" customHeight="1">
      <c r="A26" s="20">
        <v>1</v>
      </c>
      <c r="B26" s="21" t="s">
        <v>70</v>
      </c>
      <c r="C26" s="21" t="s">
        <v>71</v>
      </c>
      <c r="D26" s="6"/>
      <c r="E26" s="23" t="s">
        <v>72</v>
      </c>
      <c r="F26" s="3">
        <v>7</v>
      </c>
      <c r="G26" s="3">
        <v>141</v>
      </c>
      <c r="H26" s="24">
        <v>20000</v>
      </c>
      <c r="I26" s="3"/>
      <c r="J26" s="25">
        <v>20000</v>
      </c>
      <c r="K26" s="26"/>
      <c r="L26" s="27"/>
      <c r="M26" s="28"/>
      <c r="N26" s="23" t="s">
        <v>72</v>
      </c>
      <c r="O26" s="3">
        <v>7</v>
      </c>
      <c r="P26" s="3">
        <v>141</v>
      </c>
      <c r="Q26" s="24">
        <v>20000</v>
      </c>
      <c r="R26" s="3"/>
      <c r="S26" s="25">
        <v>20000</v>
      </c>
    </row>
    <row r="27" spans="1:19" ht="21" customHeight="1" thickBot="1">
      <c r="A27" s="45"/>
      <c r="B27" s="46" t="s">
        <v>18</v>
      </c>
      <c r="C27" s="47"/>
      <c r="D27" s="48"/>
      <c r="E27" s="49"/>
      <c r="F27" s="50"/>
      <c r="G27" s="50"/>
      <c r="H27" s="51">
        <v>20000</v>
      </c>
      <c r="I27" s="51">
        <v>0</v>
      </c>
      <c r="J27" s="51">
        <v>20000</v>
      </c>
      <c r="K27" s="62"/>
      <c r="L27" s="53"/>
      <c r="M27" s="54"/>
      <c r="N27" s="49"/>
      <c r="O27" s="50"/>
      <c r="P27" s="50"/>
      <c r="Q27" s="51">
        <f t="shared" ref="Q27:S27" si="0">SUM(Q26)</f>
        <v>20000</v>
      </c>
      <c r="R27" s="51">
        <f t="shared" si="0"/>
        <v>0</v>
      </c>
      <c r="S27" s="51">
        <f t="shared" si="0"/>
        <v>20000</v>
      </c>
    </row>
    <row r="28" spans="1:19" ht="21" customHeight="1" thickTop="1">
      <c r="B28" s="1"/>
      <c r="C28" s="1"/>
      <c r="D28" s="63"/>
      <c r="E28" s="64"/>
      <c r="F28" s="58"/>
      <c r="G28" s="58"/>
      <c r="H28" s="65"/>
      <c r="I28" s="58"/>
      <c r="J28" s="59"/>
      <c r="K28" s="66"/>
      <c r="L28" s="67"/>
      <c r="M28" s="68"/>
      <c r="N28" s="64"/>
      <c r="Q28" s="65"/>
      <c r="S28" s="59"/>
    </row>
    <row r="29" spans="1:19" s="1" customFormat="1" ht="21" customHeight="1">
      <c r="A29" s="55"/>
      <c r="B29" s="69" t="s">
        <v>73</v>
      </c>
      <c r="D29" s="57"/>
      <c r="E29" s="58"/>
      <c r="F29" s="59"/>
      <c r="G29" s="29"/>
      <c r="H29" s="29"/>
      <c r="I29" s="29"/>
      <c r="J29" s="29"/>
      <c r="K29" s="60"/>
      <c r="L29" s="61"/>
      <c r="M29" s="61"/>
    </row>
    <row r="30" spans="1:19" ht="21" customHeight="1">
      <c r="A30" s="20">
        <v>1</v>
      </c>
      <c r="B30" s="21" t="s">
        <v>74</v>
      </c>
      <c r="C30" s="70" t="s">
        <v>75</v>
      </c>
      <c r="D30" s="6"/>
      <c r="E30" s="24"/>
      <c r="F30" s="3"/>
      <c r="G30" s="3"/>
      <c r="H30" s="24">
        <v>0</v>
      </c>
      <c r="I30" s="3"/>
      <c r="J30" s="25">
        <v>0</v>
      </c>
      <c r="K30" s="71"/>
      <c r="L30" s="72"/>
      <c r="M30" s="28"/>
      <c r="N30" s="23"/>
      <c r="O30" s="3"/>
      <c r="P30" s="3"/>
      <c r="Q30" s="24">
        <f>SUM(H30-M30)</f>
        <v>0</v>
      </c>
      <c r="R30" s="24"/>
      <c r="S30" s="24">
        <f>SUM(J30-M30)</f>
        <v>0</v>
      </c>
    </row>
    <row r="31" spans="1:19" ht="21" customHeight="1">
      <c r="A31" s="20"/>
      <c r="B31" s="33" t="s">
        <v>74</v>
      </c>
      <c r="C31" s="73" t="s">
        <v>79</v>
      </c>
      <c r="D31" s="34"/>
      <c r="E31" s="23" t="s">
        <v>80</v>
      </c>
      <c r="F31" s="3">
        <v>43</v>
      </c>
      <c r="G31" s="3">
        <v>43</v>
      </c>
      <c r="H31" s="24">
        <v>84300</v>
      </c>
      <c r="I31" s="3"/>
      <c r="J31" s="25">
        <v>84300</v>
      </c>
      <c r="K31" s="31" t="s">
        <v>136</v>
      </c>
      <c r="L31" s="32" t="s">
        <v>137</v>
      </c>
      <c r="M31" s="28">
        <v>300</v>
      </c>
      <c r="N31" s="23" t="s">
        <v>138</v>
      </c>
      <c r="O31" s="3">
        <v>43</v>
      </c>
      <c r="P31" s="3">
        <v>43</v>
      </c>
      <c r="Q31" s="24">
        <f t="shared" ref="Q31:Q34" si="1">SUM(H31-M31)</f>
        <v>84000</v>
      </c>
      <c r="R31" s="24"/>
      <c r="S31" s="24">
        <f t="shared" ref="S31:S34" si="2">SUM(J31-M31)</f>
        <v>84000</v>
      </c>
    </row>
    <row r="32" spans="1:19" ht="21" customHeight="1">
      <c r="A32" s="20">
        <v>2</v>
      </c>
      <c r="B32" s="33" t="s">
        <v>81</v>
      </c>
      <c r="C32" s="22" t="s">
        <v>82</v>
      </c>
      <c r="D32" s="34"/>
      <c r="E32" s="23"/>
      <c r="F32" s="3"/>
      <c r="G32" s="3"/>
      <c r="H32" s="24">
        <v>0</v>
      </c>
      <c r="I32" s="3"/>
      <c r="J32" s="25">
        <v>0</v>
      </c>
      <c r="K32" s="26"/>
      <c r="L32" s="32"/>
      <c r="M32" s="28"/>
      <c r="N32" s="23"/>
      <c r="O32" s="3"/>
      <c r="P32" s="3"/>
      <c r="Q32" s="24">
        <f t="shared" si="1"/>
        <v>0</v>
      </c>
      <c r="R32" s="24"/>
      <c r="S32" s="24">
        <f t="shared" si="2"/>
        <v>0</v>
      </c>
    </row>
    <row r="33" spans="1:19" ht="21" customHeight="1">
      <c r="A33" s="20"/>
      <c r="B33" s="33" t="s">
        <v>81</v>
      </c>
      <c r="C33" s="22" t="s">
        <v>85</v>
      </c>
      <c r="D33" s="34"/>
      <c r="E33" s="23" t="s">
        <v>83</v>
      </c>
      <c r="F33" s="3">
        <v>24</v>
      </c>
      <c r="G33" s="3">
        <v>24</v>
      </c>
      <c r="H33" s="24">
        <v>18000</v>
      </c>
      <c r="I33" s="3"/>
      <c r="J33" s="25">
        <v>18000</v>
      </c>
      <c r="K33" s="31"/>
      <c r="L33" s="32"/>
      <c r="M33" s="28"/>
      <c r="N33" s="23" t="s">
        <v>83</v>
      </c>
      <c r="O33" s="3">
        <v>24</v>
      </c>
      <c r="P33" s="3">
        <v>24</v>
      </c>
      <c r="Q33" s="24">
        <f t="shared" si="1"/>
        <v>18000</v>
      </c>
      <c r="R33" s="24"/>
      <c r="S33" s="24">
        <f t="shared" si="2"/>
        <v>18000</v>
      </c>
    </row>
    <row r="34" spans="1:19" ht="21" customHeight="1">
      <c r="A34" s="20">
        <v>3</v>
      </c>
      <c r="B34" s="21" t="s">
        <v>86</v>
      </c>
      <c r="C34" s="30" t="s">
        <v>87</v>
      </c>
      <c r="D34" s="22"/>
      <c r="E34" s="23" t="s">
        <v>50</v>
      </c>
      <c r="F34" s="3">
        <v>34</v>
      </c>
      <c r="G34" s="3">
        <v>34</v>
      </c>
      <c r="H34" s="24">
        <v>4500</v>
      </c>
      <c r="I34" s="3"/>
      <c r="J34" s="25">
        <v>4500</v>
      </c>
      <c r="K34" s="31" t="s">
        <v>139</v>
      </c>
      <c r="L34" s="32" t="s">
        <v>140</v>
      </c>
      <c r="M34" s="35">
        <v>500</v>
      </c>
      <c r="N34" s="23" t="s">
        <v>50</v>
      </c>
      <c r="O34" s="3">
        <v>34</v>
      </c>
      <c r="P34" s="3">
        <v>34</v>
      </c>
      <c r="Q34" s="24">
        <f t="shared" si="1"/>
        <v>4000</v>
      </c>
      <c r="R34" s="3"/>
      <c r="S34" s="24">
        <f t="shared" si="2"/>
        <v>4000</v>
      </c>
    </row>
    <row r="35" spans="1:19" ht="21" customHeight="1" thickBot="1">
      <c r="A35" s="45"/>
      <c r="B35" s="46" t="s">
        <v>18</v>
      </c>
      <c r="C35" s="47"/>
      <c r="D35" s="48"/>
      <c r="E35" s="49"/>
      <c r="F35" s="50"/>
      <c r="G35" s="50"/>
      <c r="H35" s="51">
        <f>SUM(H30:H34)</f>
        <v>106800</v>
      </c>
      <c r="I35" s="51">
        <v>0</v>
      </c>
      <c r="J35" s="51">
        <f>SUM(J30:J34)</f>
        <v>106800</v>
      </c>
      <c r="K35" s="62"/>
      <c r="L35" s="53"/>
      <c r="M35" s="74">
        <f>SUM(M30:M34)</f>
        <v>800</v>
      </c>
      <c r="N35" s="49"/>
      <c r="O35" s="50"/>
      <c r="P35" s="50"/>
      <c r="Q35" s="51">
        <f>SUM(Q30:Q34)</f>
        <v>106000</v>
      </c>
      <c r="R35" s="51">
        <f>SUM(R30:R33)</f>
        <v>0</v>
      </c>
      <c r="S35" s="51">
        <f>SUM(S30:S34)</f>
        <v>106000</v>
      </c>
    </row>
    <row r="36" spans="1:19" s="85" customFormat="1" ht="21" customHeight="1" thickTop="1">
      <c r="A36" s="75"/>
      <c r="B36" s="76"/>
      <c r="C36" s="77"/>
      <c r="D36" s="78"/>
      <c r="E36" s="79"/>
      <c r="F36" s="80"/>
      <c r="G36" s="80"/>
      <c r="H36" s="81"/>
      <c r="I36" s="81"/>
      <c r="J36" s="81"/>
      <c r="K36" s="82"/>
      <c r="L36" s="83"/>
      <c r="M36" s="84"/>
      <c r="N36" s="79"/>
      <c r="O36" s="80"/>
      <c r="P36" s="80"/>
      <c r="Q36" s="81"/>
      <c r="R36" s="81"/>
      <c r="S36" s="81"/>
    </row>
    <row r="37" spans="1:19" ht="21" customHeight="1">
      <c r="B37" s="86" t="s">
        <v>90</v>
      </c>
    </row>
    <row r="38" spans="1:19" ht="21" customHeight="1">
      <c r="A38" s="20">
        <v>1</v>
      </c>
      <c r="B38" s="33" t="s">
        <v>91</v>
      </c>
      <c r="C38" s="73" t="s">
        <v>92</v>
      </c>
      <c r="D38" s="34"/>
      <c r="E38" s="23" t="s">
        <v>93</v>
      </c>
      <c r="F38" s="3">
        <v>2</v>
      </c>
      <c r="G38" s="3">
        <v>2</v>
      </c>
      <c r="H38" s="24">
        <v>11000</v>
      </c>
      <c r="I38" s="3"/>
      <c r="J38" s="25">
        <v>11000</v>
      </c>
      <c r="K38" s="31"/>
      <c r="L38" s="32"/>
      <c r="M38" s="28"/>
      <c r="N38" s="23" t="s">
        <v>93</v>
      </c>
      <c r="O38" s="3">
        <v>2</v>
      </c>
      <c r="P38" s="3">
        <v>2</v>
      </c>
      <c r="Q38" s="24">
        <v>11000</v>
      </c>
      <c r="R38" s="3"/>
      <c r="S38" s="25">
        <v>11000</v>
      </c>
    </row>
    <row r="39" spans="1:19" ht="21" customHeight="1">
      <c r="A39" s="20">
        <v>2</v>
      </c>
      <c r="B39" s="70" t="s">
        <v>94</v>
      </c>
      <c r="C39" s="30" t="s">
        <v>95</v>
      </c>
      <c r="D39" s="22"/>
      <c r="E39" s="23" t="s">
        <v>96</v>
      </c>
      <c r="F39" s="3">
        <v>3</v>
      </c>
      <c r="G39" s="3">
        <v>3</v>
      </c>
      <c r="H39" s="24">
        <v>6000</v>
      </c>
      <c r="I39" s="3"/>
      <c r="J39" s="25">
        <v>6000</v>
      </c>
      <c r="K39" s="31"/>
      <c r="L39" s="32"/>
      <c r="M39" s="27"/>
      <c r="N39" s="23" t="s">
        <v>96</v>
      </c>
      <c r="O39" s="3">
        <v>3</v>
      </c>
      <c r="P39" s="3">
        <v>3</v>
      </c>
      <c r="Q39" s="24">
        <f>SUM(H39-M39)</f>
        <v>6000</v>
      </c>
      <c r="R39" s="24"/>
      <c r="S39" s="24">
        <f>SUM(J39-M39)</f>
        <v>6000</v>
      </c>
    </row>
    <row r="40" spans="1:19" ht="21" customHeight="1" thickBot="1">
      <c r="A40" s="45"/>
      <c r="B40" s="46" t="s">
        <v>18</v>
      </c>
      <c r="C40" s="47"/>
      <c r="D40" s="48"/>
      <c r="E40" s="49"/>
      <c r="F40" s="50"/>
      <c r="G40" s="50"/>
      <c r="H40" s="51">
        <v>17000</v>
      </c>
      <c r="I40" s="51">
        <v>0</v>
      </c>
      <c r="J40" s="51">
        <v>17000</v>
      </c>
      <c r="K40" s="62"/>
      <c r="L40" s="53"/>
      <c r="M40" s="74">
        <f>SUM(M36:M39)</f>
        <v>0</v>
      </c>
      <c r="N40" s="49"/>
      <c r="O40" s="50"/>
      <c r="P40" s="50"/>
      <c r="Q40" s="51">
        <f>SUM(Q36:Q39)</f>
        <v>17000</v>
      </c>
      <c r="R40" s="51">
        <f>SUM(R36:R39)</f>
        <v>0</v>
      </c>
      <c r="S40" s="51">
        <f>SUM(S36:S39)</f>
        <v>17000</v>
      </c>
    </row>
    <row r="41" spans="1:19" s="85" customFormat="1" ht="21" customHeight="1" thickTop="1">
      <c r="A41" s="75"/>
      <c r="B41" s="93"/>
      <c r="C41" s="77"/>
      <c r="D41" s="78"/>
      <c r="E41" s="79"/>
      <c r="F41" s="80"/>
      <c r="G41" s="80"/>
      <c r="H41" s="81"/>
      <c r="I41" s="80"/>
      <c r="J41" s="94"/>
      <c r="K41" s="82"/>
      <c r="L41" s="83"/>
      <c r="M41" s="95"/>
      <c r="N41" s="79"/>
      <c r="O41" s="80"/>
      <c r="P41" s="80"/>
      <c r="Q41" s="81"/>
      <c r="R41" s="81"/>
      <c r="S41" s="81"/>
    </row>
    <row r="42" spans="1:19" ht="21" customHeight="1">
      <c r="H42" s="96">
        <f>SUM(H24+H27+H35+H40)</f>
        <v>854900</v>
      </c>
      <c r="I42" s="96">
        <f t="shared" ref="I42:P42" si="3">SUM(I24+I27+I35+I40)</f>
        <v>0</v>
      </c>
      <c r="J42" s="96">
        <f t="shared" si="3"/>
        <v>854900</v>
      </c>
      <c r="K42" s="96">
        <f t="shared" si="3"/>
        <v>0</v>
      </c>
      <c r="L42" s="96">
        <f t="shared" si="3"/>
        <v>0</v>
      </c>
      <c r="M42" s="96">
        <f t="shared" si="3"/>
        <v>800</v>
      </c>
      <c r="N42" s="96">
        <f t="shared" si="3"/>
        <v>0</v>
      </c>
      <c r="O42" s="96">
        <f t="shared" si="3"/>
        <v>0</v>
      </c>
      <c r="P42" s="96">
        <f t="shared" si="3"/>
        <v>0</v>
      </c>
      <c r="Q42" s="96">
        <f>SUM(Q24+Q27+Q35+Q40)</f>
        <v>854100</v>
      </c>
      <c r="R42" s="96">
        <f ca="1">SUM(R24+R27+R35+R40)</f>
        <v>0</v>
      </c>
      <c r="S42" s="96">
        <f>SUM(S24+S27+S35+S40)</f>
        <v>854100</v>
      </c>
    </row>
    <row r="44" spans="1:19" ht="21" customHeight="1">
      <c r="S44" s="58"/>
    </row>
    <row r="52" spans="1:18" ht="21" customHeight="1">
      <c r="A52" s="29"/>
      <c r="R52" s="29"/>
    </row>
    <row r="53" spans="1:18" ht="21" customHeight="1">
      <c r="A53" s="29"/>
      <c r="R53" s="29"/>
    </row>
    <row r="63" spans="1:18" ht="21" customHeight="1">
      <c r="A63" s="29"/>
      <c r="R63" s="29"/>
    </row>
    <row r="64" spans="1:18" ht="21" customHeight="1">
      <c r="A64" s="29"/>
      <c r="R64" s="29"/>
    </row>
    <row r="67" spans="1:19" ht="21" customHeight="1">
      <c r="A67" s="29"/>
      <c r="C67" s="29"/>
      <c r="D67" s="29"/>
      <c r="F67" s="29"/>
      <c r="G67" s="29"/>
      <c r="H67" s="29"/>
      <c r="I67" s="29"/>
      <c r="J67" s="29"/>
      <c r="K67" s="2"/>
      <c r="L67" s="29"/>
      <c r="O67" s="29"/>
      <c r="P67" s="29"/>
      <c r="Q67" s="29"/>
      <c r="R67" s="29" t="s">
        <v>97</v>
      </c>
      <c r="S67" s="58">
        <v>32</v>
      </c>
    </row>
    <row r="68" spans="1:19" ht="21" customHeight="1">
      <c r="A68" s="29"/>
      <c r="C68" s="29"/>
      <c r="D68" s="29"/>
      <c r="F68" s="29"/>
      <c r="G68" s="29"/>
      <c r="H68" s="29"/>
      <c r="I68" s="29"/>
      <c r="J68" s="29"/>
      <c r="K68" s="2"/>
      <c r="L68" s="29"/>
      <c r="O68" s="29"/>
      <c r="P68" s="29"/>
      <c r="Q68" s="29"/>
      <c r="R68" s="55" t="s">
        <v>98</v>
      </c>
      <c r="S68" s="55">
        <v>18</v>
      </c>
    </row>
    <row r="122" spans="1:19" ht="21" customHeight="1">
      <c r="A122" s="97" t="s">
        <v>99</v>
      </c>
      <c r="B122" s="36" t="s">
        <v>100</v>
      </c>
      <c r="C122" s="98" t="s">
        <v>101</v>
      </c>
      <c r="D122" s="37">
        <v>1100</v>
      </c>
      <c r="E122" s="38" t="s">
        <v>102</v>
      </c>
      <c r="F122" s="39">
        <v>1</v>
      </c>
      <c r="G122" s="39">
        <v>1</v>
      </c>
      <c r="H122" s="40">
        <v>1100</v>
      </c>
      <c r="I122" s="39"/>
      <c r="J122" s="41">
        <v>1100</v>
      </c>
      <c r="K122" s="99"/>
      <c r="L122" s="100"/>
      <c r="M122" s="101"/>
      <c r="N122" s="38" t="s">
        <v>103</v>
      </c>
      <c r="O122" s="39">
        <v>2</v>
      </c>
      <c r="P122" s="39">
        <v>2</v>
      </c>
      <c r="Q122" s="40">
        <v>2200</v>
      </c>
      <c r="R122" s="39"/>
      <c r="S122" s="41">
        <v>1100</v>
      </c>
    </row>
  </sheetData>
  <mergeCells count="19">
    <mergeCell ref="H5:J5"/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N5:N6"/>
    <mergeCell ref="O5:O6"/>
    <mergeCell ref="Q5:S5"/>
    <mergeCell ref="E5:E6"/>
    <mergeCell ref="F5:F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4475-738B-4305-A792-DDB8C534A93D}">
  <sheetPr>
    <tabColor rgb="FFFFFF00"/>
  </sheetPr>
  <dimension ref="A1:F87"/>
  <sheetViews>
    <sheetView zoomScale="70" zoomScaleNormal="70" workbookViewId="0">
      <pane ySplit="6" topLeftCell="A7" activePane="bottomLeft" state="frozen"/>
      <selection pane="bottomLeft" activeCell="F10" sqref="F10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90"/>
    <col min="5" max="5" width="13.88671875" style="91"/>
    <col min="6" max="6" width="13.6640625" style="29" customWidth="1"/>
    <col min="7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135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14" t="s">
        <v>8</v>
      </c>
      <c r="E4" s="214"/>
      <c r="F4" s="214"/>
    </row>
    <row r="5" spans="1:6" s="1" customFormat="1" ht="21" customHeight="1">
      <c r="A5" s="202"/>
      <c r="B5" s="202"/>
      <c r="C5" s="205"/>
      <c r="D5" s="216" t="s">
        <v>12</v>
      </c>
      <c r="E5" s="218" t="s">
        <v>13</v>
      </c>
      <c r="F5" s="209" t="s">
        <v>14</v>
      </c>
    </row>
    <row r="6" spans="1:6" s="1" customFormat="1" ht="21" customHeight="1">
      <c r="A6" s="203"/>
      <c r="B6" s="203"/>
      <c r="C6" s="206"/>
      <c r="D6" s="217"/>
      <c r="E6" s="219"/>
      <c r="F6" s="210"/>
    </row>
    <row r="7" spans="1:6" s="1" customFormat="1" ht="21" customHeight="1">
      <c r="A7" s="55"/>
      <c r="B7" s="69" t="s">
        <v>73</v>
      </c>
      <c r="D7" s="60"/>
      <c r="E7" s="61"/>
      <c r="F7" s="61"/>
    </row>
    <row r="8" spans="1:6" ht="21" customHeight="1">
      <c r="A8" s="20">
        <v>1</v>
      </c>
      <c r="B8" s="33" t="s">
        <v>74</v>
      </c>
      <c r="C8" s="73" t="s">
        <v>79</v>
      </c>
      <c r="D8" s="31" t="s">
        <v>136</v>
      </c>
      <c r="E8" s="32" t="s">
        <v>137</v>
      </c>
      <c r="F8" s="28">
        <v>300</v>
      </c>
    </row>
    <row r="9" spans="1:6" ht="21" customHeight="1">
      <c r="A9" s="20">
        <v>2</v>
      </c>
      <c r="B9" s="21" t="s">
        <v>86</v>
      </c>
      <c r="C9" s="30" t="s">
        <v>87</v>
      </c>
      <c r="D9" s="31" t="s">
        <v>139</v>
      </c>
      <c r="E9" s="32" t="s">
        <v>140</v>
      </c>
      <c r="F9" s="35">
        <v>500</v>
      </c>
    </row>
    <row r="10" spans="1:6" ht="21" customHeight="1" thickBot="1">
      <c r="A10" s="45"/>
      <c r="B10" s="46" t="s">
        <v>18</v>
      </c>
      <c r="C10" s="47"/>
      <c r="D10" s="62"/>
      <c r="E10" s="53"/>
      <c r="F10" s="74">
        <v>800</v>
      </c>
    </row>
    <row r="11" spans="1:6" ht="21" customHeight="1" thickTop="1"/>
    <row r="13" spans="1:6" ht="21" customHeight="1">
      <c r="F13" s="29">
        <f>SUM(F8:F9)</f>
        <v>800</v>
      </c>
    </row>
    <row r="17" spans="1:5" ht="21" customHeight="1">
      <c r="A17" s="29"/>
    </row>
    <row r="18" spans="1:5" ht="21" customHeight="1">
      <c r="A18" s="29"/>
    </row>
    <row r="28" spans="1:5" ht="21" customHeight="1">
      <c r="A28" s="29"/>
    </row>
    <row r="29" spans="1:5" ht="21" customHeight="1">
      <c r="A29" s="29"/>
    </row>
    <row r="32" spans="1:5" ht="21" customHeight="1">
      <c r="A32" s="29"/>
      <c r="C32" s="29"/>
      <c r="D32" s="2"/>
      <c r="E32" s="29"/>
    </row>
    <row r="33" spans="4:4" s="29" customFormat="1" ht="21" customHeight="1">
      <c r="D33" s="2"/>
    </row>
    <row r="87" spans="1:6" ht="21" customHeight="1">
      <c r="A87" s="97" t="s">
        <v>99</v>
      </c>
      <c r="B87" s="36" t="s">
        <v>100</v>
      </c>
      <c r="C87" s="98" t="s">
        <v>101</v>
      </c>
      <c r="D87" s="99"/>
      <c r="E87" s="100"/>
      <c r="F87" s="101"/>
    </row>
  </sheetData>
  <mergeCells count="10"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2F9E-E6F3-4B92-9074-6E5D45FE6D7A}">
  <sheetPr>
    <tabColor rgb="FFFFFF00"/>
  </sheetPr>
  <dimension ref="A1:I120"/>
  <sheetViews>
    <sheetView zoomScale="70" zoomScaleNormal="70" workbookViewId="0">
      <pane ySplit="6" topLeftCell="A7" activePane="bottomLeft" state="frozen"/>
      <selection pane="bottomLeft" activeCell="G40" sqref="G40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4" width="19.44140625" style="87" customWidth="1"/>
    <col min="5" max="5" width="19.88671875" style="2" customWidth="1"/>
    <col min="6" max="6" width="13.88671875" style="58"/>
    <col min="7" max="16384" width="13.88671875" style="29"/>
  </cols>
  <sheetData>
    <row r="1" spans="1:7" s="1" customFormat="1" ht="21" customHeight="1">
      <c r="A1" s="198" t="s">
        <v>0</v>
      </c>
      <c r="B1" s="198"/>
      <c r="C1" s="198"/>
      <c r="D1" s="198"/>
      <c r="E1" s="198"/>
      <c r="F1" s="198"/>
      <c r="G1" s="198"/>
    </row>
    <row r="2" spans="1:7" s="1" customFormat="1" ht="21" customHeight="1">
      <c r="A2" s="199" t="s">
        <v>1</v>
      </c>
      <c r="B2" s="199"/>
      <c r="C2" s="199"/>
      <c r="D2" s="199"/>
      <c r="E2" s="199"/>
      <c r="F2" s="199"/>
      <c r="G2" s="199"/>
    </row>
    <row r="3" spans="1:7" s="1" customFormat="1" ht="21" customHeight="1">
      <c r="A3" s="200" t="s">
        <v>135</v>
      </c>
      <c r="B3" s="200"/>
      <c r="C3" s="200"/>
      <c r="D3" s="200"/>
      <c r="E3" s="200"/>
      <c r="F3" s="200"/>
      <c r="G3" s="200"/>
    </row>
    <row r="4" spans="1:7" s="1" customFormat="1" ht="21" customHeight="1">
      <c r="A4" s="201" t="s">
        <v>3</v>
      </c>
      <c r="B4" s="201" t="s">
        <v>4</v>
      </c>
      <c r="C4" s="204" t="s">
        <v>5</v>
      </c>
      <c r="D4" s="104"/>
      <c r="E4" s="207" t="s">
        <v>9</v>
      </c>
      <c r="F4" s="207"/>
      <c r="G4" s="207"/>
    </row>
    <row r="5" spans="1:7" s="1" customFormat="1" ht="21" customHeight="1">
      <c r="A5" s="202"/>
      <c r="B5" s="202"/>
      <c r="C5" s="205"/>
      <c r="D5" s="105" t="s">
        <v>120</v>
      </c>
      <c r="E5" s="208" t="s">
        <v>10</v>
      </c>
      <c r="F5" s="207" t="s">
        <v>15</v>
      </c>
      <c r="G5" s="102"/>
    </row>
    <row r="6" spans="1:7" s="1" customFormat="1" ht="21" customHeight="1">
      <c r="A6" s="203"/>
      <c r="B6" s="203"/>
      <c r="C6" s="206"/>
      <c r="D6" s="106"/>
      <c r="E6" s="208"/>
      <c r="F6" s="207"/>
      <c r="G6" s="8" t="s">
        <v>18</v>
      </c>
    </row>
    <row r="7" spans="1:7" s="1" customFormat="1" ht="21" customHeight="1">
      <c r="A7" s="9"/>
      <c r="B7" s="10" t="s">
        <v>20</v>
      </c>
      <c r="C7" s="11"/>
      <c r="D7" s="11"/>
      <c r="E7" s="13"/>
      <c r="F7" s="14"/>
      <c r="G7" s="16"/>
    </row>
    <row r="8" spans="1:7" ht="21" customHeight="1">
      <c r="A8" s="20">
        <v>1</v>
      </c>
      <c r="B8" s="21" t="s">
        <v>21</v>
      </c>
      <c r="C8" s="21" t="s">
        <v>22</v>
      </c>
      <c r="D8" s="21"/>
      <c r="E8" s="23" t="s">
        <v>23</v>
      </c>
      <c r="F8" s="3">
        <v>37</v>
      </c>
      <c r="G8" s="25">
        <v>22300</v>
      </c>
    </row>
    <row r="9" spans="1:7" ht="21" customHeight="1">
      <c r="A9" s="20">
        <v>2</v>
      </c>
      <c r="B9" s="21" t="s">
        <v>24</v>
      </c>
      <c r="C9" s="30" t="s">
        <v>25</v>
      </c>
      <c r="D9" s="30"/>
      <c r="E9" s="23" t="s">
        <v>26</v>
      </c>
      <c r="F9" s="3">
        <v>13</v>
      </c>
      <c r="G9" s="25">
        <v>15000</v>
      </c>
    </row>
    <row r="10" spans="1:7" ht="21" customHeight="1">
      <c r="A10" s="20">
        <v>3</v>
      </c>
      <c r="B10" s="33" t="s">
        <v>27</v>
      </c>
      <c r="C10" s="22" t="s">
        <v>28</v>
      </c>
      <c r="D10" s="22"/>
      <c r="E10" s="23" t="s">
        <v>29</v>
      </c>
      <c r="F10" s="3">
        <v>23</v>
      </c>
      <c r="G10" s="25">
        <v>50000</v>
      </c>
    </row>
    <row r="11" spans="1:7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25">
        <v>79500</v>
      </c>
    </row>
    <row r="12" spans="1:7" ht="21" customHeight="1">
      <c r="A12" s="20">
        <v>5</v>
      </c>
      <c r="B12" s="33" t="s">
        <v>33</v>
      </c>
      <c r="C12" s="22" t="s">
        <v>34</v>
      </c>
      <c r="D12" s="22"/>
      <c r="E12" s="23" t="s">
        <v>35</v>
      </c>
      <c r="F12" s="3">
        <v>42</v>
      </c>
      <c r="G12" s="25">
        <v>41000</v>
      </c>
    </row>
    <row r="13" spans="1:7" ht="21" customHeight="1">
      <c r="A13" s="20">
        <v>6</v>
      </c>
      <c r="B13" s="21" t="s">
        <v>36</v>
      </c>
      <c r="C13" s="21" t="s">
        <v>37</v>
      </c>
      <c r="D13" s="21"/>
      <c r="E13" s="23" t="s">
        <v>38</v>
      </c>
      <c r="F13" s="3">
        <v>29</v>
      </c>
      <c r="G13" s="25">
        <v>28000</v>
      </c>
    </row>
    <row r="14" spans="1:7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25">
        <v>92000</v>
      </c>
    </row>
    <row r="15" spans="1:7" ht="21" customHeight="1">
      <c r="A15" s="20">
        <v>8</v>
      </c>
      <c r="B15" s="21" t="s">
        <v>42</v>
      </c>
      <c r="C15" s="21" t="s">
        <v>43</v>
      </c>
      <c r="D15" s="21"/>
      <c r="E15" s="23" t="s">
        <v>44</v>
      </c>
      <c r="F15" s="3">
        <v>41</v>
      </c>
      <c r="G15" s="25">
        <v>41000</v>
      </c>
    </row>
    <row r="16" spans="1:7" ht="21" customHeight="1">
      <c r="A16" s="20">
        <v>9</v>
      </c>
      <c r="B16" s="21" t="s">
        <v>45</v>
      </c>
      <c r="C16" s="30" t="s">
        <v>46</v>
      </c>
      <c r="D16" s="30"/>
      <c r="E16" s="23" t="s">
        <v>47</v>
      </c>
      <c r="F16" s="3">
        <v>66</v>
      </c>
      <c r="G16" s="25">
        <v>46500</v>
      </c>
    </row>
    <row r="17" spans="1:9" ht="21" customHeight="1">
      <c r="A17" s="20">
        <v>10</v>
      </c>
      <c r="B17" s="21" t="s">
        <v>48</v>
      </c>
      <c r="C17" s="30" t="s">
        <v>49</v>
      </c>
      <c r="D17" s="30"/>
      <c r="E17" s="23" t="s">
        <v>50</v>
      </c>
      <c r="F17" s="3">
        <v>34</v>
      </c>
      <c r="G17" s="25">
        <v>23600</v>
      </c>
    </row>
    <row r="18" spans="1:9" ht="21" customHeight="1">
      <c r="A18" s="20">
        <v>11</v>
      </c>
      <c r="B18" s="33" t="s">
        <v>51</v>
      </c>
      <c r="C18" s="22" t="s">
        <v>52</v>
      </c>
      <c r="D18" s="22"/>
      <c r="E18" s="23" t="s">
        <v>53</v>
      </c>
      <c r="F18" s="3">
        <v>39.049999999999997</v>
      </c>
      <c r="G18" s="25">
        <v>39100</v>
      </c>
    </row>
    <row r="19" spans="1:9" ht="21" customHeight="1">
      <c r="A19" s="20">
        <v>12</v>
      </c>
      <c r="B19" s="33" t="s">
        <v>54</v>
      </c>
      <c r="C19" s="22" t="s">
        <v>55</v>
      </c>
      <c r="D19" s="22"/>
      <c r="E19" s="23" t="s">
        <v>56</v>
      </c>
      <c r="F19" s="3">
        <v>52</v>
      </c>
      <c r="G19" s="25">
        <v>104000</v>
      </c>
    </row>
    <row r="20" spans="1:9" ht="21" customHeight="1">
      <c r="A20" s="20">
        <v>13</v>
      </c>
      <c r="B20" s="21" t="s">
        <v>57</v>
      </c>
      <c r="C20" s="30" t="s">
        <v>58</v>
      </c>
      <c r="D20" s="30"/>
      <c r="E20" s="23" t="s">
        <v>59</v>
      </c>
      <c r="F20" s="3">
        <v>4</v>
      </c>
      <c r="G20" s="25">
        <v>5000</v>
      </c>
    </row>
    <row r="21" spans="1:9" ht="21" customHeight="1">
      <c r="A21" s="20">
        <v>14</v>
      </c>
      <c r="B21" s="21" t="s">
        <v>60</v>
      </c>
      <c r="C21" s="30" t="s">
        <v>61</v>
      </c>
      <c r="D21" s="30"/>
      <c r="E21" s="23" t="s">
        <v>62</v>
      </c>
      <c r="F21" s="3">
        <v>68</v>
      </c>
      <c r="G21" s="25">
        <v>48500</v>
      </c>
    </row>
    <row r="22" spans="1:9" ht="21" customHeight="1">
      <c r="A22" s="20">
        <v>15</v>
      </c>
      <c r="B22" s="21" t="s">
        <v>63</v>
      </c>
      <c r="C22" s="21" t="s">
        <v>64</v>
      </c>
      <c r="D22" s="21"/>
      <c r="E22" s="23" t="s">
        <v>65</v>
      </c>
      <c r="F22" s="3">
        <v>38</v>
      </c>
      <c r="G22" s="25">
        <v>38000</v>
      </c>
    </row>
    <row r="23" spans="1:9" ht="21" customHeight="1">
      <c r="A23" s="20">
        <v>16</v>
      </c>
      <c r="B23" s="36" t="s">
        <v>66</v>
      </c>
      <c r="C23" s="36" t="s">
        <v>67</v>
      </c>
      <c r="D23" s="107"/>
      <c r="E23" s="38" t="s">
        <v>68</v>
      </c>
      <c r="F23" s="39">
        <v>16</v>
      </c>
      <c r="G23" s="41">
        <v>37600</v>
      </c>
    </row>
    <row r="24" spans="1:9" ht="21" customHeight="1" thickBot="1">
      <c r="A24" s="45"/>
      <c r="B24" s="46" t="s">
        <v>18</v>
      </c>
      <c r="C24" s="47"/>
      <c r="D24" s="47"/>
      <c r="E24" s="49"/>
      <c r="F24" s="50"/>
      <c r="G24" s="51">
        <v>711100</v>
      </c>
      <c r="I24" s="29">
        <f>SUM(G8:G23)</f>
        <v>711100</v>
      </c>
    </row>
    <row r="25" spans="1:9" s="1" customFormat="1" ht="21" customHeight="1" thickTop="1">
      <c r="A25" s="55"/>
      <c r="B25" s="56" t="s">
        <v>69</v>
      </c>
    </row>
    <row r="26" spans="1:9" ht="21" customHeight="1">
      <c r="A26" s="20">
        <v>1</v>
      </c>
      <c r="B26" s="21" t="s">
        <v>70</v>
      </c>
      <c r="C26" s="21" t="s">
        <v>71</v>
      </c>
      <c r="D26" s="21"/>
      <c r="E26" s="23" t="s">
        <v>72</v>
      </c>
      <c r="F26" s="3">
        <v>7</v>
      </c>
      <c r="G26" s="25">
        <v>20000</v>
      </c>
    </row>
    <row r="27" spans="1:9" ht="21" customHeight="1" thickBot="1">
      <c r="A27" s="45"/>
      <c r="B27" s="46" t="s">
        <v>18</v>
      </c>
      <c r="C27" s="47"/>
      <c r="D27" s="47"/>
      <c r="E27" s="49"/>
      <c r="F27" s="50"/>
      <c r="G27" s="51">
        <v>20000</v>
      </c>
      <c r="I27" s="29">
        <f>SUM(G26)</f>
        <v>20000</v>
      </c>
    </row>
    <row r="28" spans="1:9" ht="21" customHeight="1" thickTop="1">
      <c r="B28" s="1"/>
      <c r="C28" s="1"/>
      <c r="D28" s="1"/>
      <c r="E28" s="64"/>
      <c r="G28" s="59"/>
    </row>
    <row r="29" spans="1:9" s="1" customFormat="1" ht="21" customHeight="1">
      <c r="A29" s="55"/>
      <c r="B29" s="69" t="s">
        <v>73</v>
      </c>
    </row>
    <row r="30" spans="1:9" ht="21" customHeight="1">
      <c r="A30" s="20">
        <v>1</v>
      </c>
      <c r="B30" s="33" t="s">
        <v>74</v>
      </c>
      <c r="C30" s="73" t="s">
        <v>79</v>
      </c>
      <c r="D30" s="73"/>
      <c r="E30" s="23" t="s">
        <v>138</v>
      </c>
      <c r="F30" s="3">
        <v>43</v>
      </c>
      <c r="G30" s="24">
        <v>84000</v>
      </c>
    </row>
    <row r="31" spans="1:9" ht="21" customHeight="1">
      <c r="A31" s="20">
        <v>2</v>
      </c>
      <c r="B31" s="33" t="s">
        <v>81</v>
      </c>
      <c r="C31" s="22" t="s">
        <v>85</v>
      </c>
      <c r="D31" s="22"/>
      <c r="E31" s="23" t="s">
        <v>83</v>
      </c>
      <c r="F31" s="3">
        <v>24</v>
      </c>
      <c r="G31" s="24">
        <v>18000</v>
      </c>
    </row>
    <row r="32" spans="1:9" ht="21" customHeight="1">
      <c r="A32" s="20">
        <v>3</v>
      </c>
      <c r="B32" s="21" t="s">
        <v>86</v>
      </c>
      <c r="C32" s="30" t="s">
        <v>87</v>
      </c>
      <c r="D32" s="30"/>
      <c r="E32" s="23" t="s">
        <v>50</v>
      </c>
      <c r="F32" s="3">
        <v>34</v>
      </c>
      <c r="G32" s="24">
        <v>4000</v>
      </c>
    </row>
    <row r="33" spans="1:9" ht="21" customHeight="1" thickBot="1">
      <c r="A33" s="45"/>
      <c r="B33" s="46" t="s">
        <v>18</v>
      </c>
      <c r="C33" s="47"/>
      <c r="D33" s="47"/>
      <c r="E33" s="49"/>
      <c r="F33" s="50"/>
      <c r="G33" s="51">
        <v>106000</v>
      </c>
      <c r="I33" s="29">
        <f>SUM(G30:G32)</f>
        <v>106000</v>
      </c>
    </row>
    <row r="34" spans="1:9" s="85" customFormat="1" ht="21" customHeight="1" thickTop="1">
      <c r="A34" s="75"/>
      <c r="B34" s="76"/>
      <c r="C34" s="77"/>
      <c r="D34" s="77"/>
      <c r="E34" s="79"/>
      <c r="F34" s="80"/>
      <c r="G34" s="81"/>
    </row>
    <row r="35" spans="1:9" ht="21" customHeight="1">
      <c r="B35" s="86" t="s">
        <v>90</v>
      </c>
    </row>
    <row r="36" spans="1:9" ht="21" customHeight="1">
      <c r="A36" s="20">
        <v>1</v>
      </c>
      <c r="B36" s="33" t="s">
        <v>91</v>
      </c>
      <c r="C36" s="73" t="s">
        <v>92</v>
      </c>
      <c r="D36" s="73"/>
      <c r="E36" s="23" t="s">
        <v>93</v>
      </c>
      <c r="F36" s="3">
        <v>2</v>
      </c>
      <c r="G36" s="25">
        <v>11000</v>
      </c>
    </row>
    <row r="37" spans="1:9" ht="21" customHeight="1">
      <c r="A37" s="20">
        <v>2</v>
      </c>
      <c r="B37" s="70" t="s">
        <v>94</v>
      </c>
      <c r="C37" s="30" t="s">
        <v>95</v>
      </c>
      <c r="D37" s="30"/>
      <c r="E37" s="23" t="s">
        <v>96</v>
      </c>
      <c r="F37" s="3">
        <v>3</v>
      </c>
      <c r="G37" s="24">
        <v>6000</v>
      </c>
    </row>
    <row r="38" spans="1:9" ht="21" customHeight="1" thickBot="1">
      <c r="A38" s="45"/>
      <c r="B38" s="46" t="s">
        <v>18</v>
      </c>
      <c r="C38" s="47"/>
      <c r="D38" s="47"/>
      <c r="E38" s="49"/>
      <c r="F38" s="50"/>
      <c r="G38" s="51">
        <v>17000</v>
      </c>
      <c r="I38" s="29">
        <f>SUM(G36:G37)</f>
        <v>17000</v>
      </c>
    </row>
    <row r="39" spans="1:9" s="85" customFormat="1" ht="21" customHeight="1" thickTop="1">
      <c r="A39" s="75"/>
      <c r="B39" s="93"/>
      <c r="C39" s="77"/>
      <c r="D39" s="77"/>
      <c r="E39" s="79"/>
      <c r="F39" s="80"/>
      <c r="G39" s="81"/>
    </row>
    <row r="40" spans="1:9" ht="21" customHeight="1">
      <c r="E40" s="96">
        <v>0</v>
      </c>
      <c r="F40" s="96">
        <v>0</v>
      </c>
      <c r="G40" s="96">
        <v>854100</v>
      </c>
      <c r="I40" s="103">
        <f>SUM(I24:I38)</f>
        <v>854100</v>
      </c>
    </row>
    <row r="42" spans="1:9" ht="21" customHeight="1">
      <c r="G42" s="58"/>
    </row>
    <row r="50" spans="1:1" ht="21" customHeight="1">
      <c r="A50" s="29"/>
    </row>
    <row r="51" spans="1:1" ht="21" customHeight="1">
      <c r="A51" s="29"/>
    </row>
    <row r="61" spans="1:1" ht="21" customHeight="1">
      <c r="A61" s="29"/>
    </row>
    <row r="62" spans="1:1" ht="21" customHeight="1">
      <c r="A62" s="29"/>
    </row>
    <row r="65" spans="1:7" ht="21" customHeight="1">
      <c r="A65" s="29"/>
      <c r="C65" s="29"/>
      <c r="D65" s="29"/>
      <c r="F65" s="29"/>
      <c r="G65" s="58">
        <v>32</v>
      </c>
    </row>
    <row r="66" spans="1:7" ht="21" customHeight="1">
      <c r="A66" s="29"/>
      <c r="C66" s="29"/>
      <c r="D66" s="29"/>
      <c r="F66" s="29"/>
      <c r="G66" s="55">
        <v>18</v>
      </c>
    </row>
    <row r="120" spans="1:7" ht="21" customHeight="1">
      <c r="A120" s="97" t="s">
        <v>99</v>
      </c>
      <c r="B120" s="36" t="s">
        <v>100</v>
      </c>
      <c r="C120" s="98" t="s">
        <v>101</v>
      </c>
      <c r="D120" s="108"/>
      <c r="E120" s="38" t="s">
        <v>103</v>
      </c>
      <c r="F120" s="39">
        <v>2</v>
      </c>
      <c r="G120" s="41">
        <v>1100</v>
      </c>
    </row>
  </sheetData>
  <mergeCells count="9">
    <mergeCell ref="E5:E6"/>
    <mergeCell ref="F5:F6"/>
    <mergeCell ref="A1:G1"/>
    <mergeCell ref="A2:G2"/>
    <mergeCell ref="A3:G3"/>
    <mergeCell ref="A4:A6"/>
    <mergeCell ref="B4:B6"/>
    <mergeCell ref="C4:C6"/>
    <mergeCell ref="E4:G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FD9F-07E8-47EF-9A26-0B33F851A9BD}">
  <sheetPr>
    <tabColor rgb="FFFFFF00"/>
  </sheetPr>
  <dimension ref="A1:K120"/>
  <sheetViews>
    <sheetView zoomScale="70" zoomScaleNormal="70" workbookViewId="0">
      <pane ySplit="6" topLeftCell="A7" activePane="bottomLeft" state="frozen"/>
      <selection pane="bottomLeft" activeCell="B30" sqref="B30:F32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9.88671875" style="2" customWidth="1"/>
    <col min="5" max="5" width="13.88671875" style="58"/>
    <col min="6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135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07" t="s">
        <v>9</v>
      </c>
      <c r="E4" s="207"/>
      <c r="F4" s="207"/>
    </row>
    <row r="5" spans="1:6" s="1" customFormat="1" ht="21" customHeight="1">
      <c r="A5" s="202"/>
      <c r="B5" s="202"/>
      <c r="C5" s="205"/>
      <c r="D5" s="208" t="s">
        <v>10</v>
      </c>
      <c r="E5" s="207" t="s">
        <v>15</v>
      </c>
      <c r="F5" s="102"/>
    </row>
    <row r="6" spans="1:6" s="1" customFormat="1" ht="21" customHeight="1">
      <c r="A6" s="203"/>
      <c r="B6" s="203"/>
      <c r="C6" s="206"/>
      <c r="D6" s="208"/>
      <c r="E6" s="207"/>
      <c r="F6" s="8" t="s">
        <v>18</v>
      </c>
    </row>
    <row r="7" spans="1:6" s="1" customFormat="1" ht="21" customHeight="1">
      <c r="A7" s="9"/>
      <c r="B7" s="10" t="s">
        <v>20</v>
      </c>
      <c r="C7" s="11"/>
      <c r="D7" s="13"/>
      <c r="E7" s="14"/>
      <c r="F7" s="16"/>
    </row>
    <row r="8" spans="1:6" ht="21" customHeight="1">
      <c r="A8" s="20">
        <v>1</v>
      </c>
      <c r="B8" s="21" t="s">
        <v>21</v>
      </c>
      <c r="C8" s="21" t="s">
        <v>22</v>
      </c>
      <c r="D8" s="23" t="s">
        <v>23</v>
      </c>
      <c r="E8" s="3">
        <v>37</v>
      </c>
      <c r="F8" s="25">
        <v>22300</v>
      </c>
    </row>
    <row r="9" spans="1:6" ht="21" customHeight="1">
      <c r="A9" s="20">
        <v>2</v>
      </c>
      <c r="B9" s="21" t="s">
        <v>24</v>
      </c>
      <c r="C9" s="30" t="s">
        <v>25</v>
      </c>
      <c r="D9" s="23" t="s">
        <v>26</v>
      </c>
      <c r="E9" s="3">
        <v>13</v>
      </c>
      <c r="F9" s="25">
        <v>15000</v>
      </c>
    </row>
    <row r="10" spans="1:6" ht="21" customHeight="1">
      <c r="A10" s="20">
        <v>3</v>
      </c>
      <c r="B10" s="33" t="s">
        <v>27</v>
      </c>
      <c r="C10" s="22" t="s">
        <v>28</v>
      </c>
      <c r="D10" s="23" t="s">
        <v>29</v>
      </c>
      <c r="E10" s="3">
        <v>23</v>
      </c>
      <c r="F10" s="25">
        <v>50000</v>
      </c>
    </row>
    <row r="11" spans="1:6" ht="21" customHeight="1">
      <c r="A11" s="20">
        <v>4</v>
      </c>
      <c r="B11" s="33" t="s">
        <v>30</v>
      </c>
      <c r="C11" s="22" t="s">
        <v>31</v>
      </c>
      <c r="D11" s="23" t="s">
        <v>32</v>
      </c>
      <c r="E11" s="3">
        <v>40</v>
      </c>
      <c r="F11" s="25">
        <v>79500</v>
      </c>
    </row>
    <row r="12" spans="1:6" ht="21" customHeight="1">
      <c r="A12" s="20">
        <v>5</v>
      </c>
      <c r="B12" s="33" t="s">
        <v>33</v>
      </c>
      <c r="C12" s="22" t="s">
        <v>34</v>
      </c>
      <c r="D12" s="23" t="s">
        <v>35</v>
      </c>
      <c r="E12" s="3">
        <v>42</v>
      </c>
      <c r="F12" s="25">
        <v>41000</v>
      </c>
    </row>
    <row r="13" spans="1:6" ht="21" customHeight="1">
      <c r="A13" s="20">
        <v>6</v>
      </c>
      <c r="B13" s="21" t="s">
        <v>36</v>
      </c>
      <c r="C13" s="21" t="s">
        <v>37</v>
      </c>
      <c r="D13" s="23" t="s">
        <v>38</v>
      </c>
      <c r="E13" s="3">
        <v>29</v>
      </c>
      <c r="F13" s="25">
        <v>28000</v>
      </c>
    </row>
    <row r="14" spans="1:6" ht="21" customHeight="1">
      <c r="A14" s="20">
        <v>7</v>
      </c>
      <c r="B14" s="21" t="s">
        <v>39</v>
      </c>
      <c r="C14" s="22" t="s">
        <v>40</v>
      </c>
      <c r="D14" s="23" t="s">
        <v>41</v>
      </c>
      <c r="E14" s="3">
        <v>49</v>
      </c>
      <c r="F14" s="25">
        <v>92000</v>
      </c>
    </row>
    <row r="15" spans="1:6" ht="21" customHeight="1">
      <c r="A15" s="20">
        <v>8</v>
      </c>
      <c r="B15" s="21" t="s">
        <v>42</v>
      </c>
      <c r="C15" s="21" t="s">
        <v>43</v>
      </c>
      <c r="D15" s="23" t="s">
        <v>44</v>
      </c>
      <c r="E15" s="3">
        <v>41</v>
      </c>
      <c r="F15" s="25">
        <v>41000</v>
      </c>
    </row>
    <row r="16" spans="1:6" ht="21" customHeight="1">
      <c r="A16" s="20">
        <v>9</v>
      </c>
      <c r="B16" s="21" t="s">
        <v>45</v>
      </c>
      <c r="C16" s="30" t="s">
        <v>46</v>
      </c>
      <c r="D16" s="23" t="s">
        <v>47</v>
      </c>
      <c r="E16" s="3">
        <v>66</v>
      </c>
      <c r="F16" s="25">
        <v>46500</v>
      </c>
    </row>
    <row r="17" spans="1:8" ht="21" customHeight="1">
      <c r="A17" s="20">
        <v>10</v>
      </c>
      <c r="B17" s="21" t="s">
        <v>48</v>
      </c>
      <c r="C17" s="30" t="s">
        <v>49</v>
      </c>
      <c r="D17" s="23" t="s">
        <v>50</v>
      </c>
      <c r="E17" s="3">
        <v>34</v>
      </c>
      <c r="F17" s="25">
        <v>23600</v>
      </c>
    </row>
    <row r="18" spans="1:8" ht="21" customHeight="1">
      <c r="A18" s="20">
        <v>11</v>
      </c>
      <c r="B18" s="33" t="s">
        <v>51</v>
      </c>
      <c r="C18" s="22" t="s">
        <v>52</v>
      </c>
      <c r="D18" s="23" t="s">
        <v>53</v>
      </c>
      <c r="E18" s="3">
        <v>39.049999999999997</v>
      </c>
      <c r="F18" s="25">
        <v>39100</v>
      </c>
    </row>
    <row r="19" spans="1:8" ht="21" customHeight="1">
      <c r="A19" s="20">
        <v>12</v>
      </c>
      <c r="B19" s="33" t="s">
        <v>54</v>
      </c>
      <c r="C19" s="22" t="s">
        <v>55</v>
      </c>
      <c r="D19" s="23" t="s">
        <v>56</v>
      </c>
      <c r="E19" s="3">
        <v>52</v>
      </c>
      <c r="F19" s="25">
        <v>104000</v>
      </c>
    </row>
    <row r="20" spans="1:8" ht="21" customHeight="1">
      <c r="A20" s="20">
        <v>13</v>
      </c>
      <c r="B20" s="21" t="s">
        <v>57</v>
      </c>
      <c r="C20" s="30" t="s">
        <v>58</v>
      </c>
      <c r="D20" s="23" t="s">
        <v>59</v>
      </c>
      <c r="E20" s="3">
        <v>4</v>
      </c>
      <c r="F20" s="25">
        <v>5000</v>
      </c>
    </row>
    <row r="21" spans="1:8" ht="21" customHeight="1">
      <c r="A21" s="20">
        <v>14</v>
      </c>
      <c r="B21" s="21" t="s">
        <v>60</v>
      </c>
      <c r="C21" s="30" t="s">
        <v>61</v>
      </c>
      <c r="D21" s="23" t="s">
        <v>62</v>
      </c>
      <c r="E21" s="3">
        <v>68</v>
      </c>
      <c r="F21" s="25">
        <v>48500</v>
      </c>
    </row>
    <row r="22" spans="1:8" ht="21" customHeight="1">
      <c r="A22" s="20">
        <v>15</v>
      </c>
      <c r="B22" s="21" t="s">
        <v>63</v>
      </c>
      <c r="C22" s="21" t="s">
        <v>64</v>
      </c>
      <c r="D22" s="23" t="s">
        <v>65</v>
      </c>
      <c r="E22" s="3">
        <v>38</v>
      </c>
      <c r="F22" s="25">
        <v>38000</v>
      </c>
    </row>
    <row r="23" spans="1:8" ht="21" customHeight="1">
      <c r="A23" s="20">
        <v>16</v>
      </c>
      <c r="B23" s="36" t="s">
        <v>66</v>
      </c>
      <c r="C23" s="36" t="s">
        <v>67</v>
      </c>
      <c r="D23" s="38" t="s">
        <v>68</v>
      </c>
      <c r="E23" s="39">
        <v>16</v>
      </c>
      <c r="F23" s="41">
        <v>37600</v>
      </c>
    </row>
    <row r="24" spans="1:8" ht="21" customHeight="1" thickBot="1">
      <c r="A24" s="45"/>
      <c r="B24" s="46" t="s">
        <v>18</v>
      </c>
      <c r="C24" s="47"/>
      <c r="D24" s="49"/>
      <c r="E24" s="50"/>
      <c r="F24" s="51">
        <v>711100</v>
      </c>
      <c r="H24" s="29">
        <f>SUM(F8:F23)</f>
        <v>711100</v>
      </c>
    </row>
    <row r="25" spans="1:8" s="1" customFormat="1" ht="21" customHeight="1" thickTop="1">
      <c r="A25" s="55"/>
      <c r="B25" s="56" t="s">
        <v>69</v>
      </c>
    </row>
    <row r="26" spans="1:8" ht="21" customHeight="1">
      <c r="A26" s="20">
        <v>1</v>
      </c>
      <c r="B26" s="21" t="s">
        <v>70</v>
      </c>
      <c r="C26" s="21" t="s">
        <v>71</v>
      </c>
      <c r="D26" s="23" t="s">
        <v>72</v>
      </c>
      <c r="E26" s="3">
        <v>7</v>
      </c>
      <c r="F26" s="25">
        <v>20000</v>
      </c>
    </row>
    <row r="27" spans="1:8" ht="21" customHeight="1" thickBot="1">
      <c r="A27" s="45"/>
      <c r="B27" s="46" t="s">
        <v>18</v>
      </c>
      <c r="C27" s="47"/>
      <c r="D27" s="49"/>
      <c r="E27" s="50"/>
      <c r="F27" s="51">
        <v>20000</v>
      </c>
      <c r="H27" s="29">
        <f>SUM(F26)</f>
        <v>20000</v>
      </c>
    </row>
    <row r="28" spans="1:8" ht="21" customHeight="1" thickTop="1">
      <c r="B28" s="1"/>
      <c r="C28" s="1"/>
      <c r="D28" s="64"/>
      <c r="F28" s="59"/>
    </row>
    <row r="29" spans="1:8" s="1" customFormat="1" ht="21" customHeight="1">
      <c r="A29" s="55"/>
      <c r="B29" s="69" t="s">
        <v>73</v>
      </c>
    </row>
    <row r="30" spans="1:8" ht="21" customHeight="1">
      <c r="A30" s="20">
        <v>1</v>
      </c>
      <c r="B30" s="33" t="s">
        <v>74</v>
      </c>
      <c r="C30" s="73" t="s">
        <v>79</v>
      </c>
      <c r="D30" s="23" t="s">
        <v>138</v>
      </c>
      <c r="E30" s="3">
        <v>43</v>
      </c>
      <c r="F30" s="24">
        <v>84000</v>
      </c>
    </row>
    <row r="31" spans="1:8" ht="21" customHeight="1">
      <c r="A31" s="20">
        <v>2</v>
      </c>
      <c r="B31" s="33" t="s">
        <v>81</v>
      </c>
      <c r="C31" s="22" t="s">
        <v>85</v>
      </c>
      <c r="D31" s="23" t="s">
        <v>83</v>
      </c>
      <c r="E31" s="3">
        <v>24</v>
      </c>
      <c r="F31" s="24">
        <v>18000</v>
      </c>
    </row>
    <row r="32" spans="1:8" ht="21" customHeight="1">
      <c r="A32" s="20">
        <v>3</v>
      </c>
      <c r="B32" s="21" t="s">
        <v>86</v>
      </c>
      <c r="C32" s="30" t="s">
        <v>87</v>
      </c>
      <c r="D32" s="23" t="s">
        <v>50</v>
      </c>
      <c r="E32" s="3">
        <v>34</v>
      </c>
      <c r="F32" s="24">
        <v>4000</v>
      </c>
    </row>
    <row r="33" spans="1:11" ht="21" customHeight="1" thickBot="1">
      <c r="A33" s="45"/>
      <c r="B33" s="46" t="s">
        <v>18</v>
      </c>
      <c r="C33" s="47"/>
      <c r="D33" s="49"/>
      <c r="E33" s="50"/>
      <c r="F33" s="51">
        <v>106000</v>
      </c>
      <c r="H33" s="29">
        <f>SUM(F30:F32)</f>
        <v>106000</v>
      </c>
    </row>
    <row r="34" spans="1:11" s="85" customFormat="1" ht="21" customHeight="1" thickTop="1">
      <c r="A34" s="75"/>
      <c r="B34" s="76"/>
      <c r="C34" s="77"/>
      <c r="D34" s="79"/>
      <c r="E34" s="80"/>
      <c r="F34" s="81"/>
    </row>
    <row r="35" spans="1:11" ht="21" customHeight="1">
      <c r="B35" s="86" t="s">
        <v>90</v>
      </c>
    </row>
    <row r="36" spans="1:11" ht="21" customHeight="1">
      <c r="A36" s="20">
        <v>1</v>
      </c>
      <c r="B36" s="33" t="s">
        <v>91</v>
      </c>
      <c r="C36" s="73" t="s">
        <v>92</v>
      </c>
      <c r="D36" s="23" t="s">
        <v>93</v>
      </c>
      <c r="E36" s="3">
        <v>2</v>
      </c>
      <c r="F36" s="25">
        <v>11000</v>
      </c>
    </row>
    <row r="37" spans="1:11" ht="21" customHeight="1">
      <c r="A37" s="20">
        <v>2</v>
      </c>
      <c r="B37" s="70" t="s">
        <v>94</v>
      </c>
      <c r="C37" s="30" t="s">
        <v>95</v>
      </c>
      <c r="D37" s="23" t="s">
        <v>96</v>
      </c>
      <c r="E37" s="3">
        <v>3</v>
      </c>
      <c r="F37" s="24">
        <v>6000</v>
      </c>
    </row>
    <row r="38" spans="1:11" ht="21" customHeight="1" thickBot="1">
      <c r="A38" s="45"/>
      <c r="B38" s="46" t="s">
        <v>18</v>
      </c>
      <c r="C38" s="47"/>
      <c r="D38" s="49"/>
      <c r="E38" s="50"/>
      <c r="F38" s="51">
        <v>17000</v>
      </c>
      <c r="H38" s="29">
        <f>SUM(F36:F37)</f>
        <v>17000</v>
      </c>
    </row>
    <row r="39" spans="1:11" s="85" customFormat="1" ht="21" customHeight="1" thickTop="1">
      <c r="A39" s="75"/>
      <c r="B39" s="93"/>
      <c r="C39" s="77"/>
      <c r="D39" s="79"/>
      <c r="E39" s="80"/>
      <c r="F39" s="81"/>
    </row>
    <row r="40" spans="1:11" ht="21" customHeight="1">
      <c r="D40" s="96">
        <v>0</v>
      </c>
      <c r="E40" s="96">
        <v>0</v>
      </c>
      <c r="F40" s="96">
        <v>854100</v>
      </c>
      <c r="H40" s="103">
        <f>SUM(H24:H38)</f>
        <v>854100</v>
      </c>
    </row>
    <row r="42" spans="1:11" ht="21" customHeight="1">
      <c r="F42" s="58"/>
      <c r="K42" s="29" t="s">
        <v>141</v>
      </c>
    </row>
    <row r="50" spans="1:1" ht="21" customHeight="1">
      <c r="A50" s="29"/>
    </row>
    <row r="51" spans="1:1" ht="21" customHeight="1">
      <c r="A51" s="29"/>
    </row>
    <row r="61" spans="1:1" ht="21" customHeight="1">
      <c r="A61" s="29"/>
    </row>
    <row r="62" spans="1:1" ht="21" customHeight="1">
      <c r="A62" s="29"/>
    </row>
    <row r="65" spans="1:6" ht="21" customHeight="1">
      <c r="A65" s="29"/>
      <c r="C65" s="29"/>
      <c r="E65" s="29"/>
      <c r="F65" s="58">
        <v>32</v>
      </c>
    </row>
    <row r="66" spans="1:6" ht="21" customHeight="1">
      <c r="A66" s="29"/>
      <c r="C66" s="29"/>
      <c r="E66" s="29"/>
      <c r="F66" s="55">
        <v>18</v>
      </c>
    </row>
    <row r="120" spans="1:6" ht="21" customHeight="1">
      <c r="A120" s="97" t="s">
        <v>99</v>
      </c>
      <c r="B120" s="36" t="s">
        <v>100</v>
      </c>
      <c r="C120" s="98" t="s">
        <v>101</v>
      </c>
      <c r="D120" s="38" t="s">
        <v>103</v>
      </c>
      <c r="E120" s="39">
        <v>2</v>
      </c>
      <c r="F120" s="41">
        <v>1100</v>
      </c>
    </row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64CA-22BD-434E-9A7A-C1D96AAD46ED}">
  <sheetPr>
    <tabColor rgb="FFFFC000"/>
  </sheetPr>
  <dimension ref="A1:S122"/>
  <sheetViews>
    <sheetView zoomScale="70" zoomScaleNormal="70" workbookViewId="0">
      <pane ySplit="6" topLeftCell="A7" activePane="bottomLeft" state="frozen"/>
      <selection pane="bottomLeft" activeCell="V19" sqref="V19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7.44140625" style="2" customWidth="1"/>
    <col min="6" max="7" width="13.88671875" style="59"/>
    <col min="8" max="8" width="13.88671875" style="88"/>
    <col min="9" max="9" width="7.33203125" style="88" customWidth="1"/>
    <col min="10" max="10" width="13.88671875" style="89"/>
    <col min="11" max="11" width="13.88671875" style="90"/>
    <col min="12" max="12" width="13.88671875" style="91"/>
    <col min="13" max="13" width="13.6640625" style="29" customWidth="1"/>
    <col min="14" max="14" width="19.88671875" style="2" customWidth="1"/>
    <col min="15" max="15" width="13.88671875" style="58"/>
    <col min="16" max="16" width="8.6640625" style="58" customWidth="1"/>
    <col min="17" max="17" width="13.88671875" style="92"/>
    <col min="18" max="18" width="13.88671875" style="58"/>
    <col min="19" max="16384" width="13.88671875" style="29"/>
  </cols>
  <sheetData>
    <row r="1" spans="1:19" s="1" customFormat="1" ht="21" customHeight="1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</row>
    <row r="2" spans="1:19" s="1" customFormat="1" ht="21" customHeight="1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19" s="1" customFormat="1" ht="21" customHeight="1">
      <c r="A3" s="200" t="s">
        <v>127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</row>
    <row r="4" spans="1:19" s="1" customFormat="1" ht="21" customHeight="1">
      <c r="A4" s="201" t="s">
        <v>3</v>
      </c>
      <c r="B4" s="201" t="s">
        <v>4</v>
      </c>
      <c r="C4" s="204" t="s">
        <v>5</v>
      </c>
      <c r="D4" s="211" t="s">
        <v>6</v>
      </c>
      <c r="E4" s="207" t="s">
        <v>7</v>
      </c>
      <c r="F4" s="207"/>
      <c r="G4" s="207"/>
      <c r="H4" s="207"/>
      <c r="I4" s="207"/>
      <c r="J4" s="207"/>
      <c r="K4" s="214" t="s">
        <v>8</v>
      </c>
      <c r="L4" s="214"/>
      <c r="M4" s="214"/>
      <c r="N4" s="207" t="s">
        <v>9</v>
      </c>
      <c r="O4" s="207"/>
      <c r="P4" s="207"/>
      <c r="Q4" s="207"/>
      <c r="R4" s="207"/>
      <c r="S4" s="207"/>
    </row>
    <row r="5" spans="1:19" s="1" customFormat="1" ht="21" customHeight="1">
      <c r="A5" s="202"/>
      <c r="B5" s="202"/>
      <c r="C5" s="205"/>
      <c r="D5" s="212"/>
      <c r="E5" s="208" t="s">
        <v>10</v>
      </c>
      <c r="F5" s="207"/>
      <c r="G5" s="4"/>
      <c r="H5" s="215" t="s">
        <v>11</v>
      </c>
      <c r="I5" s="215"/>
      <c r="J5" s="215"/>
      <c r="K5" s="216" t="s">
        <v>12</v>
      </c>
      <c r="L5" s="218" t="s">
        <v>13</v>
      </c>
      <c r="M5" s="209" t="s">
        <v>14</v>
      </c>
      <c r="N5" s="208" t="s">
        <v>10</v>
      </c>
      <c r="O5" s="207" t="s">
        <v>15</v>
      </c>
      <c r="P5" s="4" t="s">
        <v>16</v>
      </c>
      <c r="Q5" s="215" t="s">
        <v>11</v>
      </c>
      <c r="R5" s="215"/>
      <c r="S5" s="215"/>
    </row>
    <row r="6" spans="1:19" s="1" customFormat="1" ht="21" customHeight="1">
      <c r="A6" s="203"/>
      <c r="B6" s="203"/>
      <c r="C6" s="206"/>
      <c r="D6" s="213"/>
      <c r="E6" s="208"/>
      <c r="F6" s="207"/>
      <c r="G6" s="5"/>
      <c r="H6" s="6" t="s">
        <v>14</v>
      </c>
      <c r="I6" s="7" t="s">
        <v>17</v>
      </c>
      <c r="J6" s="8" t="s">
        <v>18</v>
      </c>
      <c r="K6" s="217"/>
      <c r="L6" s="219"/>
      <c r="M6" s="210"/>
      <c r="N6" s="208"/>
      <c r="O6" s="207"/>
      <c r="P6" s="5" t="s">
        <v>19</v>
      </c>
      <c r="Q6" s="6" t="s">
        <v>14</v>
      </c>
      <c r="R6" s="7" t="s">
        <v>17</v>
      </c>
      <c r="S6" s="8" t="s">
        <v>18</v>
      </c>
    </row>
    <row r="7" spans="1:19" s="1" customFormat="1" ht="21" customHeight="1">
      <c r="A7" s="9"/>
      <c r="B7" s="10" t="s">
        <v>20</v>
      </c>
      <c r="C7" s="11"/>
      <c r="D7" s="12"/>
      <c r="E7" s="13"/>
      <c r="F7" s="14"/>
      <c r="G7" s="15"/>
      <c r="H7" s="15"/>
      <c r="I7" s="15"/>
      <c r="J7" s="16"/>
      <c r="K7" s="17"/>
      <c r="L7" s="18"/>
      <c r="M7" s="19"/>
      <c r="N7" s="13"/>
      <c r="O7" s="14"/>
      <c r="P7" s="15"/>
      <c r="Q7" s="15"/>
      <c r="R7" s="15"/>
      <c r="S7" s="16"/>
    </row>
    <row r="8" spans="1:19" ht="21" customHeight="1">
      <c r="A8" s="20">
        <v>1</v>
      </c>
      <c r="B8" s="21" t="s">
        <v>21</v>
      </c>
      <c r="C8" s="21" t="s">
        <v>22</v>
      </c>
      <c r="D8" s="22"/>
      <c r="E8" s="23" t="s">
        <v>23</v>
      </c>
      <c r="F8" s="3">
        <v>37</v>
      </c>
      <c r="G8" s="3">
        <v>54</v>
      </c>
      <c r="H8" s="24">
        <v>22300</v>
      </c>
      <c r="I8" s="3"/>
      <c r="J8" s="25">
        <v>22300</v>
      </c>
      <c r="K8" s="26"/>
      <c r="L8" s="27"/>
      <c r="M8" s="28"/>
      <c r="N8" s="23" t="s">
        <v>23</v>
      </c>
      <c r="O8" s="3">
        <v>37</v>
      </c>
      <c r="P8" s="3">
        <v>54</v>
      </c>
      <c r="Q8" s="24">
        <v>22300</v>
      </c>
      <c r="R8" s="3"/>
      <c r="S8" s="25">
        <v>22300</v>
      </c>
    </row>
    <row r="9" spans="1:19" ht="21" customHeight="1">
      <c r="A9" s="20">
        <v>2</v>
      </c>
      <c r="B9" s="21" t="s">
        <v>24</v>
      </c>
      <c r="C9" s="30" t="s">
        <v>25</v>
      </c>
      <c r="D9" s="22"/>
      <c r="E9" s="23" t="s">
        <v>26</v>
      </c>
      <c r="F9" s="3">
        <v>13</v>
      </c>
      <c r="G9" s="3">
        <v>85</v>
      </c>
      <c r="H9" s="24">
        <v>15000</v>
      </c>
      <c r="I9" s="3"/>
      <c r="J9" s="25">
        <v>15000</v>
      </c>
      <c r="K9" s="31"/>
      <c r="L9" s="32"/>
      <c r="M9" s="28"/>
      <c r="N9" s="23" t="s">
        <v>26</v>
      </c>
      <c r="O9" s="3">
        <v>13</v>
      </c>
      <c r="P9" s="3">
        <v>85</v>
      </c>
      <c r="Q9" s="24">
        <v>15000</v>
      </c>
      <c r="R9" s="3"/>
      <c r="S9" s="25">
        <v>15000</v>
      </c>
    </row>
    <row r="10" spans="1:19" ht="21" customHeight="1">
      <c r="A10" s="20">
        <v>3</v>
      </c>
      <c r="B10" s="33" t="s">
        <v>27</v>
      </c>
      <c r="C10" s="22" t="s">
        <v>28</v>
      </c>
      <c r="D10" s="34"/>
      <c r="E10" s="23" t="s">
        <v>29</v>
      </c>
      <c r="F10" s="3">
        <v>23</v>
      </c>
      <c r="G10" s="3">
        <v>34</v>
      </c>
      <c r="H10" s="24">
        <v>50000</v>
      </c>
      <c r="I10" s="3"/>
      <c r="J10" s="25">
        <v>50000</v>
      </c>
      <c r="K10" s="31"/>
      <c r="L10" s="32"/>
      <c r="M10" s="28"/>
      <c r="N10" s="23" t="s">
        <v>29</v>
      </c>
      <c r="O10" s="3">
        <v>23</v>
      </c>
      <c r="P10" s="3">
        <v>34</v>
      </c>
      <c r="Q10" s="24">
        <v>50000</v>
      </c>
      <c r="R10" s="3"/>
      <c r="S10" s="25">
        <v>50000</v>
      </c>
    </row>
    <row r="11" spans="1:19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3">
        <v>67</v>
      </c>
      <c r="H11" s="24">
        <v>79500</v>
      </c>
      <c r="I11" s="3"/>
      <c r="J11" s="25">
        <v>79500</v>
      </c>
      <c r="K11" s="31"/>
      <c r="L11" s="32"/>
      <c r="M11" s="28"/>
      <c r="N11" s="23" t="s">
        <v>32</v>
      </c>
      <c r="O11" s="3">
        <v>40</v>
      </c>
      <c r="P11" s="3">
        <v>67</v>
      </c>
      <c r="Q11" s="24">
        <v>79500</v>
      </c>
      <c r="R11" s="3"/>
      <c r="S11" s="25">
        <v>79500</v>
      </c>
    </row>
    <row r="12" spans="1:19" ht="21" customHeight="1">
      <c r="A12" s="20">
        <v>5</v>
      </c>
      <c r="B12" s="33" t="s">
        <v>33</v>
      </c>
      <c r="C12" s="22" t="s">
        <v>34</v>
      </c>
      <c r="D12" s="34"/>
      <c r="E12" s="23" t="s">
        <v>35</v>
      </c>
      <c r="F12" s="3">
        <v>42</v>
      </c>
      <c r="G12" s="3">
        <v>53</v>
      </c>
      <c r="H12" s="24">
        <v>41000</v>
      </c>
      <c r="I12" s="3"/>
      <c r="J12" s="25">
        <v>41000</v>
      </c>
      <c r="K12" s="31"/>
      <c r="L12" s="32"/>
      <c r="M12" s="28"/>
      <c r="N12" s="23" t="s">
        <v>35</v>
      </c>
      <c r="O12" s="3">
        <v>42</v>
      </c>
      <c r="P12" s="3">
        <v>53</v>
      </c>
      <c r="Q12" s="24">
        <v>41000</v>
      </c>
      <c r="R12" s="3"/>
      <c r="S12" s="25">
        <v>41000</v>
      </c>
    </row>
    <row r="13" spans="1:19" ht="21" customHeight="1">
      <c r="A13" s="20">
        <v>6</v>
      </c>
      <c r="B13" s="21" t="s">
        <v>36</v>
      </c>
      <c r="C13" s="21" t="s">
        <v>37</v>
      </c>
      <c r="D13" s="22"/>
      <c r="E13" s="23" t="s">
        <v>38</v>
      </c>
      <c r="F13" s="3">
        <v>29</v>
      </c>
      <c r="G13" s="3">
        <v>49</v>
      </c>
      <c r="H13" s="24">
        <v>28000</v>
      </c>
      <c r="I13" s="3"/>
      <c r="J13" s="25">
        <v>28000</v>
      </c>
      <c r="K13" s="31"/>
      <c r="L13" s="32"/>
      <c r="M13" s="28"/>
      <c r="N13" s="23" t="s">
        <v>38</v>
      </c>
      <c r="O13" s="3">
        <v>29</v>
      </c>
      <c r="P13" s="3">
        <v>49</v>
      </c>
      <c r="Q13" s="24">
        <v>28000</v>
      </c>
      <c r="R13" s="3"/>
      <c r="S13" s="25">
        <v>28000</v>
      </c>
    </row>
    <row r="14" spans="1:19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3">
        <v>66</v>
      </c>
      <c r="H14" s="24">
        <v>92000</v>
      </c>
      <c r="I14" s="3"/>
      <c r="J14" s="25">
        <v>92000</v>
      </c>
      <c r="K14" s="31"/>
      <c r="L14" s="32"/>
      <c r="M14" s="28"/>
      <c r="N14" s="23" t="s">
        <v>41</v>
      </c>
      <c r="O14" s="3">
        <v>49</v>
      </c>
      <c r="P14" s="3">
        <v>66</v>
      </c>
      <c r="Q14" s="24">
        <v>92000</v>
      </c>
      <c r="R14" s="3"/>
      <c r="S14" s="25">
        <v>92000</v>
      </c>
    </row>
    <row r="15" spans="1:19" ht="21" customHeight="1">
      <c r="A15" s="20">
        <v>8</v>
      </c>
      <c r="B15" s="21" t="s">
        <v>42</v>
      </c>
      <c r="C15" s="21" t="s">
        <v>43</v>
      </c>
      <c r="D15" s="22"/>
      <c r="E15" s="23" t="s">
        <v>44</v>
      </c>
      <c r="F15" s="3">
        <v>41</v>
      </c>
      <c r="G15" s="3">
        <v>58</v>
      </c>
      <c r="H15" s="24">
        <v>41000</v>
      </c>
      <c r="I15" s="3"/>
      <c r="J15" s="25">
        <v>41000</v>
      </c>
      <c r="K15" s="31"/>
      <c r="L15" s="32"/>
      <c r="M15" s="28"/>
      <c r="N15" s="23" t="s">
        <v>44</v>
      </c>
      <c r="O15" s="3">
        <v>41</v>
      </c>
      <c r="P15" s="3">
        <v>58</v>
      </c>
      <c r="Q15" s="24">
        <v>41000</v>
      </c>
      <c r="R15" s="3"/>
      <c r="S15" s="25">
        <v>41000</v>
      </c>
    </row>
    <row r="16" spans="1:19" ht="21" customHeight="1">
      <c r="A16" s="20">
        <v>9</v>
      </c>
      <c r="B16" s="21" t="s">
        <v>45</v>
      </c>
      <c r="C16" s="30" t="s">
        <v>46</v>
      </c>
      <c r="D16" s="22"/>
      <c r="E16" s="23" t="s">
        <v>47</v>
      </c>
      <c r="F16" s="3">
        <v>66</v>
      </c>
      <c r="G16" s="3">
        <v>66</v>
      </c>
      <c r="H16" s="24">
        <v>46500</v>
      </c>
      <c r="I16" s="3"/>
      <c r="J16" s="25">
        <v>46500</v>
      </c>
      <c r="K16" s="31"/>
      <c r="L16" s="32"/>
      <c r="M16" s="28"/>
      <c r="N16" s="23" t="s">
        <v>47</v>
      </c>
      <c r="O16" s="3">
        <v>66</v>
      </c>
      <c r="P16" s="3">
        <v>66</v>
      </c>
      <c r="Q16" s="24">
        <v>46500</v>
      </c>
      <c r="R16" s="3"/>
      <c r="S16" s="25">
        <v>46500</v>
      </c>
    </row>
    <row r="17" spans="1:19" ht="21" customHeight="1">
      <c r="A17" s="20">
        <v>10</v>
      </c>
      <c r="B17" s="21" t="s">
        <v>48</v>
      </c>
      <c r="C17" s="30" t="s">
        <v>49</v>
      </c>
      <c r="D17" s="22"/>
      <c r="E17" s="23" t="s">
        <v>50</v>
      </c>
      <c r="F17" s="3">
        <v>34</v>
      </c>
      <c r="G17" s="3">
        <v>34</v>
      </c>
      <c r="H17" s="24">
        <v>23600</v>
      </c>
      <c r="I17" s="3"/>
      <c r="J17" s="25">
        <v>23600</v>
      </c>
      <c r="K17" s="31"/>
      <c r="L17" s="32"/>
      <c r="M17" s="35"/>
      <c r="N17" s="23" t="s">
        <v>50</v>
      </c>
      <c r="O17" s="3">
        <v>34</v>
      </c>
      <c r="P17" s="3">
        <v>34</v>
      </c>
      <c r="Q17" s="24">
        <v>23600</v>
      </c>
      <c r="R17" s="3"/>
      <c r="S17" s="25">
        <v>23600</v>
      </c>
    </row>
    <row r="18" spans="1:19" ht="21" customHeight="1">
      <c r="A18" s="20">
        <v>11</v>
      </c>
      <c r="B18" s="33" t="s">
        <v>51</v>
      </c>
      <c r="C18" s="22" t="s">
        <v>52</v>
      </c>
      <c r="D18" s="34"/>
      <c r="E18" s="23" t="s">
        <v>53</v>
      </c>
      <c r="F18" s="3">
        <v>39.049999999999997</v>
      </c>
      <c r="G18" s="3">
        <v>39</v>
      </c>
      <c r="H18" s="24">
        <v>39100</v>
      </c>
      <c r="I18" s="3"/>
      <c r="J18" s="25">
        <v>39100</v>
      </c>
      <c r="K18" s="31"/>
      <c r="L18" s="32"/>
      <c r="M18" s="28"/>
      <c r="N18" s="23" t="s">
        <v>53</v>
      </c>
      <c r="O18" s="3">
        <v>39.049999999999997</v>
      </c>
      <c r="P18" s="3">
        <v>39</v>
      </c>
      <c r="Q18" s="24">
        <v>39100</v>
      </c>
      <c r="R18" s="3"/>
      <c r="S18" s="25">
        <v>39100</v>
      </c>
    </row>
    <row r="19" spans="1:19" ht="21" customHeight="1">
      <c r="A19" s="20">
        <v>12</v>
      </c>
      <c r="B19" s="33" t="s">
        <v>54</v>
      </c>
      <c r="C19" s="22" t="s">
        <v>55</v>
      </c>
      <c r="D19" s="22"/>
      <c r="E19" s="23" t="s">
        <v>56</v>
      </c>
      <c r="F19" s="3">
        <v>52</v>
      </c>
      <c r="G19" s="3">
        <v>69</v>
      </c>
      <c r="H19" s="24">
        <v>104000</v>
      </c>
      <c r="I19" s="3"/>
      <c r="J19" s="25">
        <v>104000</v>
      </c>
      <c r="K19" s="31"/>
      <c r="L19" s="32"/>
      <c r="M19" s="28"/>
      <c r="N19" s="23" t="s">
        <v>56</v>
      </c>
      <c r="O19" s="3">
        <v>52</v>
      </c>
      <c r="P19" s="3">
        <v>69</v>
      </c>
      <c r="Q19" s="24">
        <v>104000</v>
      </c>
      <c r="R19" s="3"/>
      <c r="S19" s="25">
        <v>104000</v>
      </c>
    </row>
    <row r="20" spans="1:19" ht="21" customHeight="1">
      <c r="A20" s="20">
        <v>13</v>
      </c>
      <c r="B20" s="21" t="s">
        <v>57</v>
      </c>
      <c r="C20" s="30" t="s">
        <v>58</v>
      </c>
      <c r="D20" s="34"/>
      <c r="E20" s="23" t="s">
        <v>59</v>
      </c>
      <c r="F20" s="3">
        <v>4</v>
      </c>
      <c r="G20" s="3">
        <v>4</v>
      </c>
      <c r="H20" s="24">
        <v>5000</v>
      </c>
      <c r="I20" s="3"/>
      <c r="J20" s="25">
        <v>5000</v>
      </c>
      <c r="K20" s="31"/>
      <c r="L20" s="32"/>
      <c r="M20" s="28"/>
      <c r="N20" s="23" t="s">
        <v>59</v>
      </c>
      <c r="O20" s="3">
        <v>4</v>
      </c>
      <c r="P20" s="3">
        <v>4</v>
      </c>
      <c r="Q20" s="24">
        <v>5000</v>
      </c>
      <c r="R20" s="3"/>
      <c r="S20" s="25">
        <v>5000</v>
      </c>
    </row>
    <row r="21" spans="1:19" ht="21" customHeight="1">
      <c r="A21" s="20">
        <v>14</v>
      </c>
      <c r="B21" s="21" t="s">
        <v>60</v>
      </c>
      <c r="C21" s="30" t="s">
        <v>61</v>
      </c>
      <c r="D21" s="22"/>
      <c r="E21" s="23" t="s">
        <v>62</v>
      </c>
      <c r="F21" s="3">
        <v>68</v>
      </c>
      <c r="G21" s="3">
        <v>68</v>
      </c>
      <c r="H21" s="24">
        <v>48500</v>
      </c>
      <c r="I21" s="3"/>
      <c r="J21" s="25">
        <v>48500</v>
      </c>
      <c r="K21" s="31"/>
      <c r="L21" s="32"/>
      <c r="M21" s="28"/>
      <c r="N21" s="23" t="s">
        <v>62</v>
      </c>
      <c r="O21" s="3">
        <v>68</v>
      </c>
      <c r="P21" s="3">
        <v>68</v>
      </c>
      <c r="Q21" s="24">
        <v>48500</v>
      </c>
      <c r="R21" s="3"/>
      <c r="S21" s="25">
        <v>48500</v>
      </c>
    </row>
    <row r="22" spans="1:19" ht="21" customHeight="1">
      <c r="A22" s="20">
        <v>15</v>
      </c>
      <c r="B22" s="21" t="s">
        <v>63</v>
      </c>
      <c r="C22" s="21" t="s">
        <v>64</v>
      </c>
      <c r="D22" s="22"/>
      <c r="E22" s="23" t="s">
        <v>65</v>
      </c>
      <c r="F22" s="3">
        <v>38</v>
      </c>
      <c r="G22" s="3">
        <v>55</v>
      </c>
      <c r="H22" s="24">
        <v>38000</v>
      </c>
      <c r="I22" s="3"/>
      <c r="J22" s="25">
        <v>38000</v>
      </c>
      <c r="K22" s="31"/>
      <c r="L22" s="32"/>
      <c r="M22" s="28"/>
      <c r="N22" s="23" t="s">
        <v>65</v>
      </c>
      <c r="O22" s="3">
        <v>38</v>
      </c>
      <c r="P22" s="3">
        <v>55</v>
      </c>
      <c r="Q22" s="24">
        <v>38000</v>
      </c>
      <c r="R22" s="3"/>
      <c r="S22" s="25">
        <v>38000</v>
      </c>
    </row>
    <row r="23" spans="1:19" ht="21" customHeight="1">
      <c r="A23" s="20">
        <v>16</v>
      </c>
      <c r="B23" s="36" t="s">
        <v>66</v>
      </c>
      <c r="C23" s="36" t="s">
        <v>67</v>
      </c>
      <c r="D23" s="37"/>
      <c r="E23" s="38" t="s">
        <v>68</v>
      </c>
      <c r="F23" s="39">
        <v>16</v>
      </c>
      <c r="G23" s="39">
        <v>37</v>
      </c>
      <c r="H23" s="40">
        <v>37600</v>
      </c>
      <c r="I23" s="39"/>
      <c r="J23" s="41">
        <v>37600</v>
      </c>
      <c r="K23" s="42"/>
      <c r="L23" s="43"/>
      <c r="M23" s="44"/>
      <c r="N23" s="38" t="s">
        <v>68</v>
      </c>
      <c r="O23" s="39">
        <v>16</v>
      </c>
      <c r="P23" s="39">
        <v>37</v>
      </c>
      <c r="Q23" s="40">
        <v>37600</v>
      </c>
      <c r="R23" s="39"/>
      <c r="S23" s="41">
        <v>37600</v>
      </c>
    </row>
    <row r="24" spans="1:19" ht="21" customHeight="1" thickBot="1">
      <c r="A24" s="45"/>
      <c r="B24" s="46" t="s">
        <v>18</v>
      </c>
      <c r="C24" s="47"/>
      <c r="D24" s="48"/>
      <c r="E24" s="49"/>
      <c r="F24" s="50"/>
      <c r="G24" s="50"/>
      <c r="H24" s="51">
        <f>SUM(H8:H23)</f>
        <v>711100</v>
      </c>
      <c r="I24" s="51">
        <v>0</v>
      </c>
      <c r="J24" s="51">
        <f>SUM(J8:J23)</f>
        <v>711100</v>
      </c>
      <c r="K24" s="52"/>
      <c r="L24" s="53"/>
      <c r="M24" s="54">
        <f>SUM(M8:M23)</f>
        <v>0</v>
      </c>
      <c r="N24" s="49"/>
      <c r="O24" s="50"/>
      <c r="P24" s="50"/>
      <c r="Q24" s="51">
        <f>SUM(Q8:Q23)</f>
        <v>711100</v>
      </c>
      <c r="R24" s="51">
        <f ca="1">SUM(R8:R39)</f>
        <v>0</v>
      </c>
      <c r="S24" s="51">
        <f>SUM(S8:S23)</f>
        <v>711100</v>
      </c>
    </row>
    <row r="25" spans="1:19" s="1" customFormat="1" ht="21" customHeight="1" thickTop="1">
      <c r="A25" s="55"/>
      <c r="B25" s="56" t="s">
        <v>69</v>
      </c>
      <c r="D25" s="57"/>
      <c r="E25" s="58"/>
      <c r="F25" s="59"/>
      <c r="G25" s="29"/>
      <c r="H25" s="29"/>
      <c r="I25" s="29"/>
      <c r="J25" s="29"/>
      <c r="K25" s="60"/>
      <c r="L25" s="61"/>
      <c r="M25" s="61"/>
    </row>
    <row r="26" spans="1:19" ht="21" customHeight="1">
      <c r="A26" s="20">
        <v>1</v>
      </c>
      <c r="B26" s="21" t="s">
        <v>70</v>
      </c>
      <c r="C26" s="21" t="s">
        <v>71</v>
      </c>
      <c r="D26" s="6"/>
      <c r="E26" s="23" t="s">
        <v>72</v>
      </c>
      <c r="F26" s="3">
        <v>7</v>
      </c>
      <c r="G26" s="3">
        <v>141</v>
      </c>
      <c r="H26" s="24">
        <v>20000</v>
      </c>
      <c r="I26" s="3"/>
      <c r="J26" s="25">
        <v>20000</v>
      </c>
      <c r="K26" s="26"/>
      <c r="L26" s="27"/>
      <c r="M26" s="28"/>
      <c r="N26" s="23" t="s">
        <v>72</v>
      </c>
      <c r="O26" s="3">
        <v>7</v>
      </c>
      <c r="P26" s="3">
        <v>141</v>
      </c>
      <c r="Q26" s="24">
        <v>20000</v>
      </c>
      <c r="R26" s="3"/>
      <c r="S26" s="25">
        <v>20000</v>
      </c>
    </row>
    <row r="27" spans="1:19" ht="21" customHeight="1" thickBot="1">
      <c r="A27" s="45"/>
      <c r="B27" s="46" t="s">
        <v>18</v>
      </c>
      <c r="C27" s="47"/>
      <c r="D27" s="48"/>
      <c r="E27" s="49"/>
      <c r="F27" s="50"/>
      <c r="G27" s="50"/>
      <c r="H27" s="51">
        <v>20000</v>
      </c>
      <c r="I27" s="51">
        <v>0</v>
      </c>
      <c r="J27" s="51">
        <v>20000</v>
      </c>
      <c r="K27" s="62"/>
      <c r="L27" s="53"/>
      <c r="M27" s="54"/>
      <c r="N27" s="49"/>
      <c r="O27" s="50"/>
      <c r="P27" s="50"/>
      <c r="Q27" s="51">
        <f t="shared" ref="Q27:S27" si="0">SUM(Q26)</f>
        <v>20000</v>
      </c>
      <c r="R27" s="51">
        <f t="shared" si="0"/>
        <v>0</v>
      </c>
      <c r="S27" s="51">
        <f t="shared" si="0"/>
        <v>20000</v>
      </c>
    </row>
    <row r="28" spans="1:19" ht="21" customHeight="1" thickTop="1">
      <c r="B28" s="1"/>
      <c r="C28" s="1"/>
      <c r="D28" s="63"/>
      <c r="E28" s="64"/>
      <c r="F28" s="58"/>
      <c r="G28" s="58"/>
      <c r="H28" s="65"/>
      <c r="I28" s="58"/>
      <c r="J28" s="59"/>
      <c r="K28" s="66"/>
      <c r="L28" s="67"/>
      <c r="M28" s="68"/>
      <c r="N28" s="64"/>
      <c r="Q28" s="65"/>
      <c r="S28" s="59"/>
    </row>
    <row r="29" spans="1:19" s="1" customFormat="1" ht="21" customHeight="1">
      <c r="A29" s="55"/>
      <c r="B29" s="69" t="s">
        <v>73</v>
      </c>
      <c r="D29" s="57"/>
      <c r="E29" s="58"/>
      <c r="F29" s="59"/>
      <c r="G29" s="29"/>
      <c r="H29" s="29"/>
      <c r="I29" s="29"/>
      <c r="J29" s="29"/>
      <c r="K29" s="60"/>
      <c r="L29" s="61"/>
      <c r="M29" s="61"/>
    </row>
    <row r="30" spans="1:19" ht="21" customHeight="1">
      <c r="A30" s="20">
        <v>1</v>
      </c>
      <c r="B30" s="21" t="s">
        <v>74</v>
      </c>
      <c r="C30" s="70" t="s">
        <v>75</v>
      </c>
      <c r="D30" s="6"/>
      <c r="E30" s="24"/>
      <c r="F30" s="3"/>
      <c r="G30" s="3"/>
      <c r="H30" s="24">
        <v>0</v>
      </c>
      <c r="I30" s="3"/>
      <c r="J30" s="25">
        <v>0</v>
      </c>
      <c r="K30" s="71"/>
      <c r="L30" s="72"/>
      <c r="M30" s="28"/>
      <c r="N30" s="23"/>
      <c r="O30" s="3"/>
      <c r="P30" s="3"/>
      <c r="Q30" s="24">
        <f>SUM(H30-M30)</f>
        <v>0</v>
      </c>
      <c r="R30" s="24"/>
      <c r="S30" s="24">
        <f>SUM(J30-M30)</f>
        <v>0</v>
      </c>
    </row>
    <row r="31" spans="1:19" ht="21" customHeight="1">
      <c r="A31" s="20"/>
      <c r="B31" s="33" t="s">
        <v>74</v>
      </c>
      <c r="C31" s="73" t="s">
        <v>79</v>
      </c>
      <c r="D31" s="34"/>
      <c r="E31" s="23" t="s">
        <v>80</v>
      </c>
      <c r="F31" s="3">
        <v>43</v>
      </c>
      <c r="G31" s="3">
        <v>43</v>
      </c>
      <c r="H31" s="24">
        <v>84600</v>
      </c>
      <c r="I31" s="3"/>
      <c r="J31" s="25">
        <v>84600</v>
      </c>
      <c r="K31" s="31" t="s">
        <v>128</v>
      </c>
      <c r="L31" s="32" t="s">
        <v>129</v>
      </c>
      <c r="M31" s="28">
        <v>300</v>
      </c>
      <c r="N31" s="23" t="s">
        <v>80</v>
      </c>
      <c r="O31" s="3">
        <v>43</v>
      </c>
      <c r="P31" s="3">
        <v>43</v>
      </c>
      <c r="Q31" s="24">
        <f t="shared" ref="Q31:Q34" si="1">SUM(H31-M31)</f>
        <v>84300</v>
      </c>
      <c r="R31" s="24"/>
      <c r="S31" s="24">
        <f t="shared" ref="S31:S34" si="2">SUM(J31-M31)</f>
        <v>84300</v>
      </c>
    </row>
    <row r="32" spans="1:19" ht="21" customHeight="1">
      <c r="A32" s="20">
        <v>2</v>
      </c>
      <c r="B32" s="33" t="s">
        <v>81</v>
      </c>
      <c r="C32" s="22" t="s">
        <v>82</v>
      </c>
      <c r="D32" s="34"/>
      <c r="E32" s="23"/>
      <c r="F32" s="3"/>
      <c r="G32" s="3"/>
      <c r="H32" s="24">
        <v>0</v>
      </c>
      <c r="I32" s="3"/>
      <c r="J32" s="25">
        <v>0</v>
      </c>
      <c r="K32" s="26"/>
      <c r="L32" s="32"/>
      <c r="M32" s="28"/>
      <c r="N32" s="23"/>
      <c r="O32" s="3"/>
      <c r="P32" s="3"/>
      <c r="Q32" s="24">
        <f t="shared" si="1"/>
        <v>0</v>
      </c>
      <c r="R32" s="24"/>
      <c r="S32" s="24">
        <f t="shared" si="2"/>
        <v>0</v>
      </c>
    </row>
    <row r="33" spans="1:19" ht="21" customHeight="1">
      <c r="A33" s="20"/>
      <c r="B33" s="33" t="s">
        <v>81</v>
      </c>
      <c r="C33" s="22" t="s">
        <v>85</v>
      </c>
      <c r="D33" s="34"/>
      <c r="E33" s="23" t="s">
        <v>83</v>
      </c>
      <c r="F33" s="3">
        <v>24</v>
      </c>
      <c r="G33" s="3">
        <v>24</v>
      </c>
      <c r="H33" s="24">
        <v>20000</v>
      </c>
      <c r="I33" s="3"/>
      <c r="J33" s="25">
        <v>20000</v>
      </c>
      <c r="K33" s="31" t="s">
        <v>128</v>
      </c>
      <c r="L33" s="32" t="s">
        <v>130</v>
      </c>
      <c r="M33" s="28">
        <v>2000</v>
      </c>
      <c r="N33" s="23" t="s">
        <v>83</v>
      </c>
      <c r="O33" s="3">
        <v>24</v>
      </c>
      <c r="P33" s="3">
        <v>24</v>
      </c>
      <c r="Q33" s="24">
        <f t="shared" si="1"/>
        <v>18000</v>
      </c>
      <c r="R33" s="24"/>
      <c r="S33" s="24">
        <f t="shared" si="2"/>
        <v>18000</v>
      </c>
    </row>
    <row r="34" spans="1:19" ht="21" customHeight="1">
      <c r="A34" s="20">
        <v>3</v>
      </c>
      <c r="B34" s="21" t="s">
        <v>86</v>
      </c>
      <c r="C34" s="30" t="s">
        <v>87</v>
      </c>
      <c r="D34" s="22"/>
      <c r="E34" s="23" t="s">
        <v>50</v>
      </c>
      <c r="F34" s="3">
        <v>34</v>
      </c>
      <c r="G34" s="3">
        <v>34</v>
      </c>
      <c r="H34" s="24">
        <v>4500</v>
      </c>
      <c r="I34" s="3"/>
      <c r="J34" s="25">
        <v>4500</v>
      </c>
      <c r="K34" s="31"/>
      <c r="L34" s="32"/>
      <c r="M34" s="35"/>
      <c r="N34" s="23" t="s">
        <v>50</v>
      </c>
      <c r="O34" s="3">
        <v>34</v>
      </c>
      <c r="P34" s="3">
        <v>34</v>
      </c>
      <c r="Q34" s="24">
        <f t="shared" si="1"/>
        <v>4500</v>
      </c>
      <c r="R34" s="3"/>
      <c r="S34" s="24">
        <f t="shared" si="2"/>
        <v>4500</v>
      </c>
    </row>
    <row r="35" spans="1:19" ht="21" customHeight="1" thickBot="1">
      <c r="A35" s="45"/>
      <c r="B35" s="46" t="s">
        <v>18</v>
      </c>
      <c r="C35" s="47"/>
      <c r="D35" s="48"/>
      <c r="E35" s="49"/>
      <c r="F35" s="50"/>
      <c r="G35" s="50"/>
      <c r="H35" s="51">
        <f>SUM(H30:H34)</f>
        <v>109100</v>
      </c>
      <c r="I35" s="51">
        <v>0</v>
      </c>
      <c r="J35" s="51">
        <f>SUM(J30:J34)</f>
        <v>109100</v>
      </c>
      <c r="K35" s="62"/>
      <c r="L35" s="53"/>
      <c r="M35" s="74">
        <f>SUM(M30:M34)</f>
        <v>2300</v>
      </c>
      <c r="N35" s="49"/>
      <c r="O35" s="50"/>
      <c r="P35" s="50"/>
      <c r="Q35" s="51">
        <f>SUM(Q30:Q34)</f>
        <v>106800</v>
      </c>
      <c r="R35" s="51">
        <f>SUM(R30:R33)</f>
        <v>0</v>
      </c>
      <c r="S35" s="51">
        <f>SUM(S30:S34)</f>
        <v>106800</v>
      </c>
    </row>
    <row r="36" spans="1:19" s="85" customFormat="1" ht="21" customHeight="1" thickTop="1">
      <c r="A36" s="75"/>
      <c r="B36" s="76"/>
      <c r="C36" s="77"/>
      <c r="D36" s="78"/>
      <c r="E36" s="79"/>
      <c r="F36" s="80"/>
      <c r="G36" s="80"/>
      <c r="H36" s="81"/>
      <c r="I36" s="81"/>
      <c r="J36" s="81"/>
      <c r="K36" s="82"/>
      <c r="L36" s="83"/>
      <c r="M36" s="84"/>
      <c r="N36" s="79"/>
      <c r="O36" s="80"/>
      <c r="P36" s="80"/>
      <c r="Q36" s="81"/>
      <c r="R36" s="81"/>
      <c r="S36" s="81"/>
    </row>
    <row r="37" spans="1:19" ht="21" customHeight="1">
      <c r="B37" s="86" t="s">
        <v>90</v>
      </c>
    </row>
    <row r="38" spans="1:19" ht="21" customHeight="1">
      <c r="A38" s="20">
        <v>1</v>
      </c>
      <c r="B38" s="33" t="s">
        <v>91</v>
      </c>
      <c r="C38" s="73" t="s">
        <v>92</v>
      </c>
      <c r="D38" s="34"/>
      <c r="E38" s="23" t="s">
        <v>93</v>
      </c>
      <c r="F38" s="3">
        <v>2</v>
      </c>
      <c r="G38" s="3">
        <v>2</v>
      </c>
      <c r="H38" s="24">
        <v>11000</v>
      </c>
      <c r="I38" s="3"/>
      <c r="J38" s="25">
        <v>11000</v>
      </c>
      <c r="K38" s="31"/>
      <c r="L38" s="32"/>
      <c r="M38" s="28"/>
      <c r="N38" s="23" t="s">
        <v>93</v>
      </c>
      <c r="O38" s="3">
        <v>2</v>
      </c>
      <c r="P38" s="3">
        <v>2</v>
      </c>
      <c r="Q38" s="24">
        <v>11000</v>
      </c>
      <c r="R38" s="3"/>
      <c r="S38" s="25">
        <v>11000</v>
      </c>
    </row>
    <row r="39" spans="1:19" ht="21" customHeight="1">
      <c r="A39" s="20">
        <v>2</v>
      </c>
      <c r="B39" s="70" t="s">
        <v>94</v>
      </c>
      <c r="C39" s="30" t="s">
        <v>95</v>
      </c>
      <c r="D39" s="22"/>
      <c r="E39" s="23" t="s">
        <v>96</v>
      </c>
      <c r="F39" s="3">
        <v>3</v>
      </c>
      <c r="G39" s="3">
        <v>3</v>
      </c>
      <c r="H39" s="24">
        <v>6000</v>
      </c>
      <c r="I39" s="3"/>
      <c r="J39" s="25">
        <v>6000</v>
      </c>
      <c r="K39" s="31"/>
      <c r="L39" s="32"/>
      <c r="M39" s="27"/>
      <c r="N39" s="23" t="s">
        <v>96</v>
      </c>
      <c r="O39" s="3">
        <v>3</v>
      </c>
      <c r="P39" s="3">
        <v>3</v>
      </c>
      <c r="Q39" s="24">
        <f>SUM(H39-M39)</f>
        <v>6000</v>
      </c>
      <c r="R39" s="24"/>
      <c r="S39" s="24">
        <f>SUM(J39-M39)</f>
        <v>6000</v>
      </c>
    </row>
    <row r="40" spans="1:19" ht="21" customHeight="1" thickBot="1">
      <c r="A40" s="45"/>
      <c r="B40" s="46" t="s">
        <v>18</v>
      </c>
      <c r="C40" s="47"/>
      <c r="D40" s="48"/>
      <c r="E40" s="49"/>
      <c r="F40" s="50"/>
      <c r="G40" s="50"/>
      <c r="H40" s="51">
        <v>17000</v>
      </c>
      <c r="I40" s="51">
        <v>0</v>
      </c>
      <c r="J40" s="51">
        <v>17000</v>
      </c>
      <c r="K40" s="62"/>
      <c r="L40" s="53"/>
      <c r="M40" s="74">
        <f>SUM(M36:M39)</f>
        <v>0</v>
      </c>
      <c r="N40" s="49"/>
      <c r="O40" s="50"/>
      <c r="P40" s="50"/>
      <c r="Q40" s="51">
        <f>SUM(Q36:Q39)</f>
        <v>17000</v>
      </c>
      <c r="R40" s="51">
        <f>SUM(R36:R39)</f>
        <v>0</v>
      </c>
      <c r="S40" s="51">
        <f>SUM(S36:S39)</f>
        <v>17000</v>
      </c>
    </row>
    <row r="41" spans="1:19" s="85" customFormat="1" ht="21" customHeight="1" thickTop="1">
      <c r="A41" s="75"/>
      <c r="B41" s="93"/>
      <c r="C41" s="77"/>
      <c r="D41" s="78"/>
      <c r="E41" s="79"/>
      <c r="F41" s="80"/>
      <c r="G41" s="80"/>
      <c r="H41" s="81"/>
      <c r="I41" s="80"/>
      <c r="J41" s="94"/>
      <c r="K41" s="82"/>
      <c r="L41" s="83"/>
      <c r="M41" s="95"/>
      <c r="N41" s="79"/>
      <c r="O41" s="80"/>
      <c r="P41" s="80"/>
      <c r="Q41" s="81"/>
      <c r="R41" s="81"/>
      <c r="S41" s="81"/>
    </row>
    <row r="42" spans="1:19" ht="21" customHeight="1">
      <c r="H42" s="96">
        <f>SUM(H24+H27+H35+H40)</f>
        <v>857200</v>
      </c>
      <c r="I42" s="96">
        <f t="shared" ref="I42:P42" si="3">SUM(I24+I27+I35+I40)</f>
        <v>0</v>
      </c>
      <c r="J42" s="96">
        <f t="shared" si="3"/>
        <v>857200</v>
      </c>
      <c r="K42" s="96">
        <f t="shared" si="3"/>
        <v>0</v>
      </c>
      <c r="L42" s="96">
        <f t="shared" si="3"/>
        <v>0</v>
      </c>
      <c r="M42" s="96">
        <f t="shared" si="3"/>
        <v>2300</v>
      </c>
      <c r="N42" s="96">
        <f t="shared" si="3"/>
        <v>0</v>
      </c>
      <c r="O42" s="96">
        <f t="shared" si="3"/>
        <v>0</v>
      </c>
      <c r="P42" s="96">
        <f t="shared" si="3"/>
        <v>0</v>
      </c>
      <c r="Q42" s="96">
        <f>SUM(Q24+Q27+Q35+Q40)</f>
        <v>854900</v>
      </c>
      <c r="R42" s="96">
        <f ca="1">SUM(R24+R27+R35+R40)</f>
        <v>0</v>
      </c>
      <c r="S42" s="96">
        <f>SUM(S24+S27+S35+S40)</f>
        <v>854900</v>
      </c>
    </row>
    <row r="44" spans="1:19" ht="21" customHeight="1">
      <c r="S44" s="58"/>
    </row>
    <row r="52" spans="1:18" ht="21" customHeight="1">
      <c r="A52" s="29"/>
      <c r="R52" s="29"/>
    </row>
    <row r="53" spans="1:18" ht="21" customHeight="1">
      <c r="A53" s="29"/>
      <c r="R53" s="29"/>
    </row>
    <row r="63" spans="1:18" ht="21" customHeight="1">
      <c r="A63" s="29"/>
      <c r="R63" s="29"/>
    </row>
    <row r="64" spans="1:18" ht="21" customHeight="1">
      <c r="A64" s="29"/>
      <c r="R64" s="29"/>
    </row>
    <row r="67" spans="1:19" ht="21" customHeight="1">
      <c r="A67" s="29"/>
      <c r="C67" s="29"/>
      <c r="D67" s="29"/>
      <c r="F67" s="29"/>
      <c r="G67" s="29"/>
      <c r="H67" s="29"/>
      <c r="I67" s="29"/>
      <c r="J67" s="29"/>
      <c r="K67" s="2"/>
      <c r="L67" s="29"/>
      <c r="O67" s="29"/>
      <c r="P67" s="29"/>
      <c r="Q67" s="29"/>
      <c r="R67" s="29" t="s">
        <v>97</v>
      </c>
      <c r="S67" s="58">
        <v>32</v>
      </c>
    </row>
    <row r="68" spans="1:19" ht="21" customHeight="1">
      <c r="A68" s="29"/>
      <c r="C68" s="29"/>
      <c r="D68" s="29"/>
      <c r="F68" s="29"/>
      <c r="G68" s="29"/>
      <c r="H68" s="29"/>
      <c r="I68" s="29"/>
      <c r="J68" s="29"/>
      <c r="K68" s="2"/>
      <c r="L68" s="29"/>
      <c r="O68" s="29"/>
      <c r="P68" s="29"/>
      <c r="Q68" s="29"/>
      <c r="R68" s="55" t="s">
        <v>98</v>
      </c>
      <c r="S68" s="55">
        <v>18</v>
      </c>
    </row>
    <row r="122" spans="1:19" ht="21" customHeight="1">
      <c r="A122" s="97" t="s">
        <v>99</v>
      </c>
      <c r="B122" s="36" t="s">
        <v>100</v>
      </c>
      <c r="C122" s="98" t="s">
        <v>101</v>
      </c>
      <c r="D122" s="37">
        <v>1100</v>
      </c>
      <c r="E122" s="38" t="s">
        <v>102</v>
      </c>
      <c r="F122" s="39">
        <v>1</v>
      </c>
      <c r="G122" s="39">
        <v>1</v>
      </c>
      <c r="H122" s="40">
        <v>1100</v>
      </c>
      <c r="I122" s="39"/>
      <c r="J122" s="41">
        <v>1100</v>
      </c>
      <c r="K122" s="99"/>
      <c r="L122" s="100"/>
      <c r="M122" s="101"/>
      <c r="N122" s="38" t="s">
        <v>103</v>
      </c>
      <c r="O122" s="39">
        <v>2</v>
      </c>
      <c r="P122" s="39">
        <v>2</v>
      </c>
      <c r="Q122" s="40">
        <v>2200</v>
      </c>
      <c r="R122" s="39"/>
      <c r="S122" s="41">
        <v>1100</v>
      </c>
    </row>
  </sheetData>
  <mergeCells count="19">
    <mergeCell ref="H5:J5"/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N5:N6"/>
    <mergeCell ref="O5:O6"/>
    <mergeCell ref="Q5:S5"/>
    <mergeCell ref="E5:E6"/>
    <mergeCell ref="F5:F6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1B0D-A4A7-4357-967F-CC96F5E935C7}">
  <sheetPr>
    <tabColor rgb="FFFFC000"/>
  </sheetPr>
  <dimension ref="A1:F92"/>
  <sheetViews>
    <sheetView zoomScale="70" zoomScaleNormal="70" workbookViewId="0">
      <pane ySplit="6" topLeftCell="A7" activePane="bottomLeft" state="frozen"/>
      <selection pane="bottomLeft" activeCell="F10" sqref="F10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90"/>
    <col min="5" max="5" width="13.88671875" style="91"/>
    <col min="6" max="6" width="13.6640625" style="29" customWidth="1"/>
    <col min="7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127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14" t="s">
        <v>8</v>
      </c>
      <c r="E4" s="214"/>
      <c r="F4" s="214"/>
    </row>
    <row r="5" spans="1:6" s="1" customFormat="1" ht="21" customHeight="1">
      <c r="A5" s="202"/>
      <c r="B5" s="202"/>
      <c r="C5" s="205"/>
      <c r="D5" s="216" t="s">
        <v>12</v>
      </c>
      <c r="E5" s="218" t="s">
        <v>13</v>
      </c>
      <c r="F5" s="209" t="s">
        <v>14</v>
      </c>
    </row>
    <row r="6" spans="1:6" s="1" customFormat="1" ht="21" customHeight="1">
      <c r="A6" s="203"/>
      <c r="B6" s="203"/>
      <c r="C6" s="206"/>
      <c r="D6" s="217"/>
      <c r="E6" s="219"/>
      <c r="F6" s="210"/>
    </row>
    <row r="7" spans="1:6" s="1" customFormat="1" ht="21" customHeight="1">
      <c r="A7" s="55"/>
      <c r="B7" s="69" t="s">
        <v>73</v>
      </c>
      <c r="D7" s="60"/>
      <c r="E7" s="61"/>
      <c r="F7" s="61"/>
    </row>
    <row r="8" spans="1:6" ht="21" customHeight="1">
      <c r="A8" s="20"/>
      <c r="B8" s="33" t="s">
        <v>74</v>
      </c>
      <c r="C8" s="73" t="s">
        <v>79</v>
      </c>
      <c r="D8" s="31" t="s">
        <v>128</v>
      </c>
      <c r="E8" s="32" t="s">
        <v>129</v>
      </c>
      <c r="F8" s="28">
        <v>300</v>
      </c>
    </row>
    <row r="9" spans="1:6" ht="21" customHeight="1">
      <c r="A9" s="20"/>
      <c r="B9" s="33" t="s">
        <v>81</v>
      </c>
      <c r="C9" s="22" t="s">
        <v>85</v>
      </c>
      <c r="D9" s="31" t="s">
        <v>128</v>
      </c>
      <c r="E9" s="32" t="s">
        <v>130</v>
      </c>
      <c r="F9" s="28">
        <v>2000</v>
      </c>
    </row>
    <row r="10" spans="1:6" ht="21" customHeight="1" thickBot="1">
      <c r="A10" s="45"/>
      <c r="B10" s="46" t="s">
        <v>18</v>
      </c>
      <c r="C10" s="47"/>
      <c r="D10" s="62"/>
      <c r="E10" s="53"/>
      <c r="F10" s="74">
        <v>2300</v>
      </c>
    </row>
    <row r="11" spans="1:6" s="85" customFormat="1" ht="21" customHeight="1" thickTop="1">
      <c r="A11" s="75"/>
      <c r="B11" s="76"/>
      <c r="C11" s="77"/>
      <c r="D11" s="82"/>
      <c r="E11" s="83"/>
      <c r="F11" s="84"/>
    </row>
    <row r="12" spans="1:6" ht="21" customHeight="1">
      <c r="D12" s="96">
        <v>0</v>
      </c>
      <c r="E12" s="96">
        <v>0</v>
      </c>
      <c r="F12" s="96">
        <v>2300</v>
      </c>
    </row>
    <row r="22" spans="1:1" ht="21" customHeight="1">
      <c r="A22" s="29"/>
    </row>
    <row r="23" spans="1:1" ht="21" customHeight="1">
      <c r="A23" s="29"/>
    </row>
    <row r="33" spans="1:5" ht="21" customHeight="1">
      <c r="A33" s="29"/>
    </row>
    <row r="34" spans="1:5" ht="21" customHeight="1">
      <c r="A34" s="29"/>
    </row>
    <row r="37" spans="1:5" ht="21" customHeight="1">
      <c r="A37" s="29"/>
      <c r="C37" s="29"/>
      <c r="D37" s="2"/>
      <c r="E37" s="29"/>
    </row>
    <row r="38" spans="1:5" ht="21" customHeight="1">
      <c r="A38" s="29"/>
      <c r="C38" s="29"/>
      <c r="D38" s="2"/>
      <c r="E38" s="29"/>
    </row>
    <row r="92" spans="1:6" ht="21" customHeight="1">
      <c r="A92" s="97" t="s">
        <v>99</v>
      </c>
      <c r="B92" s="36" t="s">
        <v>100</v>
      </c>
      <c r="C92" s="98" t="s">
        <v>101</v>
      </c>
      <c r="D92" s="99"/>
      <c r="E92" s="100"/>
      <c r="F92" s="101"/>
    </row>
  </sheetData>
  <mergeCells count="10"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E40E-D2D6-46D1-80BB-7F8F682D3058}">
  <sheetPr>
    <tabColor rgb="FFFFC000"/>
  </sheetPr>
  <dimension ref="A1:I124"/>
  <sheetViews>
    <sheetView zoomScale="70" zoomScaleNormal="70" workbookViewId="0">
      <pane ySplit="6" topLeftCell="A7" activePane="bottomLeft" state="frozen"/>
      <selection pane="bottomLeft" activeCell="I44" sqref="I44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4" width="19.44140625" style="87" customWidth="1"/>
    <col min="5" max="5" width="19.88671875" style="2" customWidth="1"/>
    <col min="6" max="6" width="13.88671875" style="58"/>
    <col min="7" max="16384" width="13.88671875" style="29"/>
  </cols>
  <sheetData>
    <row r="1" spans="1:9" s="1" customFormat="1" ht="21" customHeight="1">
      <c r="A1" s="198" t="s">
        <v>0</v>
      </c>
      <c r="B1" s="198"/>
      <c r="C1" s="198"/>
      <c r="D1" s="198"/>
      <c r="E1" s="198"/>
      <c r="F1" s="198"/>
      <c r="G1" s="198"/>
    </row>
    <row r="2" spans="1:9" s="1" customFormat="1" ht="21" customHeight="1">
      <c r="A2" s="199" t="s">
        <v>1</v>
      </c>
      <c r="B2" s="199"/>
      <c r="C2" s="199"/>
      <c r="D2" s="199"/>
      <c r="E2" s="199"/>
      <c r="F2" s="199"/>
      <c r="G2" s="199"/>
    </row>
    <row r="3" spans="1:9" s="1" customFormat="1" ht="21" customHeight="1">
      <c r="A3" s="200" t="s">
        <v>127</v>
      </c>
      <c r="B3" s="200"/>
      <c r="C3" s="200"/>
      <c r="D3" s="200"/>
      <c r="E3" s="200"/>
      <c r="F3" s="200"/>
      <c r="G3" s="200"/>
    </row>
    <row r="4" spans="1:9" s="1" customFormat="1" ht="21" customHeight="1">
      <c r="A4" s="201" t="s">
        <v>3</v>
      </c>
      <c r="B4" s="201" t="s">
        <v>4</v>
      </c>
      <c r="C4" s="204" t="s">
        <v>5</v>
      </c>
      <c r="D4" s="104"/>
      <c r="E4" s="207" t="s">
        <v>9</v>
      </c>
      <c r="F4" s="207"/>
      <c r="G4" s="207"/>
    </row>
    <row r="5" spans="1:9" s="1" customFormat="1" ht="21" customHeight="1">
      <c r="A5" s="202"/>
      <c r="B5" s="202"/>
      <c r="C5" s="205"/>
      <c r="D5" s="105" t="s">
        <v>120</v>
      </c>
      <c r="E5" s="208" t="s">
        <v>10</v>
      </c>
      <c r="F5" s="207" t="s">
        <v>15</v>
      </c>
      <c r="G5" s="102"/>
    </row>
    <row r="6" spans="1:9" s="1" customFormat="1" ht="21" customHeight="1">
      <c r="A6" s="203"/>
      <c r="B6" s="203"/>
      <c r="C6" s="206"/>
      <c r="D6" s="106"/>
      <c r="E6" s="208"/>
      <c r="F6" s="207"/>
      <c r="G6" s="8" t="s">
        <v>18</v>
      </c>
    </row>
    <row r="7" spans="1:9" s="1" customFormat="1" ht="21" customHeight="1">
      <c r="A7" s="9"/>
      <c r="B7" s="10" t="s">
        <v>20</v>
      </c>
      <c r="C7" s="11"/>
      <c r="D7" s="11"/>
      <c r="E7" s="13"/>
      <c r="F7" s="14"/>
      <c r="G7" s="16"/>
    </row>
    <row r="8" spans="1:9" ht="21" customHeight="1">
      <c r="A8" s="20">
        <v>1</v>
      </c>
      <c r="B8" s="139" t="s">
        <v>24</v>
      </c>
      <c r="C8" s="139" t="s">
        <v>25</v>
      </c>
      <c r="D8" s="111"/>
      <c r="E8" s="143" t="s">
        <v>26</v>
      </c>
      <c r="F8" s="144">
        <v>13</v>
      </c>
      <c r="G8" s="145">
        <v>15000</v>
      </c>
    </row>
    <row r="9" spans="1:9" ht="21" customHeight="1">
      <c r="A9" s="20">
        <v>2</v>
      </c>
      <c r="B9" s="139" t="s">
        <v>36</v>
      </c>
      <c r="C9" s="140" t="s">
        <v>37</v>
      </c>
      <c r="D9" s="115"/>
      <c r="E9" s="143" t="s">
        <v>38</v>
      </c>
      <c r="F9" s="144">
        <v>29</v>
      </c>
      <c r="G9" s="145">
        <v>28000</v>
      </c>
    </row>
    <row r="10" spans="1:9" ht="21" customHeight="1">
      <c r="A10" s="20">
        <v>3</v>
      </c>
      <c r="B10" s="141" t="s">
        <v>45</v>
      </c>
      <c r="C10" s="142" t="s">
        <v>46</v>
      </c>
      <c r="D10" s="117"/>
      <c r="E10" s="143" t="s">
        <v>47</v>
      </c>
      <c r="F10" s="144">
        <v>66</v>
      </c>
      <c r="G10" s="145">
        <v>46500</v>
      </c>
    </row>
    <row r="11" spans="1:9" ht="21" customHeight="1">
      <c r="A11" s="20">
        <v>4</v>
      </c>
      <c r="B11" s="141" t="s">
        <v>48</v>
      </c>
      <c r="C11" s="142" t="s">
        <v>49</v>
      </c>
      <c r="D11" s="117"/>
      <c r="E11" s="143" t="s">
        <v>50</v>
      </c>
      <c r="F11" s="144">
        <v>34</v>
      </c>
      <c r="G11" s="145">
        <v>23600</v>
      </c>
    </row>
    <row r="12" spans="1:9" ht="21" customHeight="1">
      <c r="A12" s="20">
        <v>5</v>
      </c>
      <c r="B12" s="141" t="s">
        <v>60</v>
      </c>
      <c r="C12" s="142" t="s">
        <v>61</v>
      </c>
      <c r="D12" s="117"/>
      <c r="E12" s="143" t="s">
        <v>62</v>
      </c>
      <c r="F12" s="144">
        <v>68</v>
      </c>
      <c r="G12" s="145">
        <v>48500</v>
      </c>
    </row>
    <row r="13" spans="1:9" ht="21" customHeight="1">
      <c r="A13" s="20">
        <v>6</v>
      </c>
      <c r="B13" s="139" t="s">
        <v>66</v>
      </c>
      <c r="C13" s="139" t="s">
        <v>67</v>
      </c>
      <c r="D13" s="111"/>
      <c r="E13" s="143" t="s">
        <v>68</v>
      </c>
      <c r="F13" s="144">
        <v>16</v>
      </c>
      <c r="G13" s="145">
        <v>37600</v>
      </c>
    </row>
    <row r="14" spans="1:9" ht="21" customHeight="1" thickBot="1">
      <c r="A14" s="45">
        <f>+A13</f>
        <v>6</v>
      </c>
      <c r="B14" s="118" t="s">
        <v>18</v>
      </c>
      <c r="C14" s="119"/>
      <c r="D14" s="119"/>
      <c r="E14" s="120"/>
      <c r="F14" s="121"/>
      <c r="G14" s="122">
        <f>SUM(G8:G13)</f>
        <v>199200</v>
      </c>
      <c r="I14" s="29">
        <f>SUM(G8:G13)</f>
        <v>199200</v>
      </c>
    </row>
    <row r="15" spans="1:9" s="1" customFormat="1" ht="21" customHeight="1" thickTop="1">
      <c r="A15" s="55"/>
      <c r="B15" s="56" t="s">
        <v>69</v>
      </c>
    </row>
    <row r="16" spans="1:9" s="86" customFormat="1" ht="21" customHeight="1">
      <c r="A16" s="123">
        <v>1</v>
      </c>
      <c r="B16" s="111" t="s">
        <v>70</v>
      </c>
      <c r="C16" s="111" t="s">
        <v>71</v>
      </c>
      <c r="D16" s="111"/>
      <c r="E16" s="112" t="s">
        <v>72</v>
      </c>
      <c r="F16" s="113">
        <v>7</v>
      </c>
      <c r="G16" s="114">
        <v>20000</v>
      </c>
    </row>
    <row r="17" spans="1:9" ht="21" customHeight="1" thickBot="1">
      <c r="A17" s="45"/>
      <c r="B17" s="46" t="s">
        <v>18</v>
      </c>
      <c r="C17" s="47"/>
      <c r="D17" s="47"/>
      <c r="E17" s="49"/>
      <c r="F17" s="50"/>
      <c r="G17" s="51">
        <v>20000</v>
      </c>
      <c r="I17" s="29">
        <f>SUM(G16)</f>
        <v>20000</v>
      </c>
    </row>
    <row r="18" spans="1:9" ht="21" customHeight="1" thickTop="1">
      <c r="B18" s="1"/>
      <c r="C18" s="1"/>
      <c r="D18" s="1"/>
      <c r="E18" s="64"/>
      <c r="G18" s="59"/>
    </row>
    <row r="19" spans="1:9" s="1" customFormat="1" ht="21" customHeight="1">
      <c r="A19" s="55"/>
      <c r="B19" s="69" t="s">
        <v>73</v>
      </c>
    </row>
    <row r="20" spans="1:9" ht="21" customHeight="1">
      <c r="A20" s="20">
        <v>1</v>
      </c>
      <c r="B20" s="116" t="s">
        <v>74</v>
      </c>
      <c r="C20" s="124" t="s">
        <v>79</v>
      </c>
      <c r="D20" s="124"/>
      <c r="E20" s="112" t="s">
        <v>80</v>
      </c>
      <c r="F20" s="113">
        <v>43</v>
      </c>
      <c r="G20" s="125">
        <v>84300</v>
      </c>
    </row>
    <row r="21" spans="1:9" ht="21" customHeight="1">
      <c r="A21" s="20">
        <v>2</v>
      </c>
      <c r="B21" s="116" t="s">
        <v>81</v>
      </c>
      <c r="C21" s="117" t="s">
        <v>85</v>
      </c>
      <c r="D21" s="117"/>
      <c r="E21" s="112" t="s">
        <v>83</v>
      </c>
      <c r="F21" s="113">
        <v>24</v>
      </c>
      <c r="G21" s="125">
        <v>18000</v>
      </c>
    </row>
    <row r="22" spans="1:9" ht="21" customHeight="1">
      <c r="A22" s="20">
        <v>3</v>
      </c>
      <c r="B22" s="111" t="s">
        <v>86</v>
      </c>
      <c r="C22" s="115" t="s">
        <v>87</v>
      </c>
      <c r="D22" s="115"/>
      <c r="E22" s="112" t="s">
        <v>50</v>
      </c>
      <c r="F22" s="113">
        <v>34</v>
      </c>
      <c r="G22" s="125">
        <v>4500</v>
      </c>
    </row>
    <row r="23" spans="1:9" ht="21" customHeight="1" thickBot="1">
      <c r="A23" s="45"/>
      <c r="B23" s="46" t="s">
        <v>18</v>
      </c>
      <c r="C23" s="47"/>
      <c r="D23" s="47"/>
      <c r="E23" s="49"/>
      <c r="F23" s="50"/>
      <c r="G23" s="51">
        <f>SUM(G20:G22)</f>
        <v>106800</v>
      </c>
      <c r="I23" s="29">
        <f>SUM(G20:G22)</f>
        <v>106800</v>
      </c>
    </row>
    <row r="24" spans="1:9" s="85" customFormat="1" ht="21" customHeight="1" thickTop="1">
      <c r="A24" s="75"/>
      <c r="B24" s="76"/>
      <c r="C24" s="77"/>
      <c r="D24" s="77"/>
      <c r="E24" s="79"/>
      <c r="F24" s="80"/>
      <c r="G24" s="81"/>
    </row>
    <row r="25" spans="1:9" ht="21" customHeight="1">
      <c r="B25" s="86" t="s">
        <v>90</v>
      </c>
    </row>
    <row r="26" spans="1:9" s="86" customFormat="1" ht="21" customHeight="1">
      <c r="A26" s="123">
        <v>1</v>
      </c>
      <c r="B26" s="116" t="s">
        <v>91</v>
      </c>
      <c r="C26" s="124" t="s">
        <v>92</v>
      </c>
      <c r="D26" s="124"/>
      <c r="E26" s="112" t="s">
        <v>93</v>
      </c>
      <c r="F26" s="113">
        <v>2</v>
      </c>
      <c r="G26" s="114">
        <v>11000</v>
      </c>
    </row>
    <row r="27" spans="1:9" s="86" customFormat="1" ht="21" customHeight="1">
      <c r="A27" s="123">
        <v>2</v>
      </c>
      <c r="B27" s="116" t="s">
        <v>94</v>
      </c>
      <c r="C27" s="124" t="s">
        <v>95</v>
      </c>
      <c r="D27" s="124"/>
      <c r="E27" s="112" t="s">
        <v>96</v>
      </c>
      <c r="F27" s="113">
        <v>3</v>
      </c>
      <c r="G27" s="114">
        <v>6000</v>
      </c>
    </row>
    <row r="28" spans="1:9" s="86" customFormat="1" ht="21" customHeight="1">
      <c r="A28" s="123">
        <v>3</v>
      </c>
      <c r="B28" s="116" t="s">
        <v>21</v>
      </c>
      <c r="C28" s="124" t="s">
        <v>22</v>
      </c>
      <c r="D28" s="124"/>
      <c r="E28" s="112" t="s">
        <v>23</v>
      </c>
      <c r="F28" s="113">
        <v>37</v>
      </c>
      <c r="G28" s="114">
        <v>22300</v>
      </c>
    </row>
    <row r="29" spans="1:9" s="86" customFormat="1" ht="21" customHeight="1">
      <c r="A29" s="123">
        <v>4</v>
      </c>
      <c r="B29" s="116" t="s">
        <v>27</v>
      </c>
      <c r="C29" s="124" t="s">
        <v>28</v>
      </c>
      <c r="D29" s="124"/>
      <c r="E29" s="112" t="s">
        <v>29</v>
      </c>
      <c r="F29" s="113">
        <v>23</v>
      </c>
      <c r="G29" s="114">
        <v>50000</v>
      </c>
    </row>
    <row r="30" spans="1:9" s="86" customFormat="1" ht="21" customHeight="1">
      <c r="A30" s="123">
        <v>5</v>
      </c>
      <c r="B30" s="116" t="s">
        <v>30</v>
      </c>
      <c r="C30" s="124" t="s">
        <v>31</v>
      </c>
      <c r="D30" s="124"/>
      <c r="E30" s="112" t="s">
        <v>32</v>
      </c>
      <c r="F30" s="113">
        <v>40</v>
      </c>
      <c r="G30" s="114">
        <v>79500</v>
      </c>
    </row>
    <row r="31" spans="1:9" s="86" customFormat="1" ht="21" customHeight="1">
      <c r="A31" s="123">
        <v>6</v>
      </c>
      <c r="B31" s="116" t="s">
        <v>33</v>
      </c>
      <c r="C31" s="124" t="s">
        <v>34</v>
      </c>
      <c r="D31" s="124"/>
      <c r="E31" s="112" t="s">
        <v>35</v>
      </c>
      <c r="F31" s="113">
        <v>42</v>
      </c>
      <c r="G31" s="114">
        <v>41000</v>
      </c>
    </row>
    <row r="32" spans="1:9" s="86" customFormat="1" ht="21" customHeight="1">
      <c r="A32" s="123">
        <v>7</v>
      </c>
      <c r="B32" s="116" t="s">
        <v>39</v>
      </c>
      <c r="C32" s="124" t="s">
        <v>40</v>
      </c>
      <c r="D32" s="124"/>
      <c r="E32" s="112" t="s">
        <v>41</v>
      </c>
      <c r="F32" s="113">
        <v>49</v>
      </c>
      <c r="G32" s="114">
        <v>92000</v>
      </c>
    </row>
    <row r="33" spans="1:9" s="86" customFormat="1" ht="21" customHeight="1">
      <c r="A33" s="123">
        <v>8</v>
      </c>
      <c r="B33" s="116" t="s">
        <v>42</v>
      </c>
      <c r="C33" s="124" t="s">
        <v>43</v>
      </c>
      <c r="D33" s="124"/>
      <c r="E33" s="112" t="s">
        <v>44</v>
      </c>
      <c r="F33" s="113">
        <v>41</v>
      </c>
      <c r="G33" s="114">
        <v>41000</v>
      </c>
    </row>
    <row r="34" spans="1:9" s="86" customFormat="1" ht="21" customHeight="1">
      <c r="A34" s="123">
        <v>9</v>
      </c>
      <c r="B34" s="116" t="s">
        <v>54</v>
      </c>
      <c r="C34" s="124" t="s">
        <v>55</v>
      </c>
      <c r="D34" s="124"/>
      <c r="E34" s="112" t="s">
        <v>56</v>
      </c>
      <c r="F34" s="113">
        <v>52</v>
      </c>
      <c r="G34" s="114">
        <v>104000</v>
      </c>
    </row>
    <row r="35" spans="1:9" s="86" customFormat="1" ht="21" customHeight="1">
      <c r="A35" s="123">
        <v>10</v>
      </c>
      <c r="B35" s="116" t="s">
        <v>131</v>
      </c>
      <c r="C35" s="124" t="s">
        <v>64</v>
      </c>
      <c r="D35" s="124"/>
      <c r="E35" s="112" t="s">
        <v>65</v>
      </c>
      <c r="F35" s="113">
        <v>38</v>
      </c>
      <c r="G35" s="114">
        <v>38000</v>
      </c>
    </row>
    <row r="36" spans="1:9" s="86" customFormat="1" ht="21" customHeight="1">
      <c r="A36" s="123">
        <v>11</v>
      </c>
      <c r="B36" s="126" t="s">
        <v>57</v>
      </c>
      <c r="C36" s="115" t="s">
        <v>58</v>
      </c>
      <c r="D36" s="115"/>
      <c r="E36" s="112" t="s">
        <v>59</v>
      </c>
      <c r="F36" s="113">
        <v>4</v>
      </c>
      <c r="G36" s="125">
        <v>5000</v>
      </c>
    </row>
    <row r="37" spans="1:9" ht="21" customHeight="1" thickBot="1">
      <c r="A37" s="45"/>
      <c r="B37" s="46" t="s">
        <v>18</v>
      </c>
      <c r="C37" s="47"/>
      <c r="D37" s="47"/>
      <c r="E37" s="49"/>
      <c r="F37" s="50"/>
      <c r="G37" s="51">
        <f>SUM(G26:G36)</f>
        <v>489800</v>
      </c>
      <c r="I37" s="29">
        <f>SUM(G26:G36)</f>
        <v>489800</v>
      </c>
    </row>
    <row r="38" spans="1:9" ht="21" customHeight="1" thickTop="1">
      <c r="B38" s="57"/>
      <c r="C38" s="131"/>
      <c r="D38" s="131"/>
      <c r="E38" s="64"/>
      <c r="G38" s="65"/>
    </row>
    <row r="39" spans="1:9" ht="21" customHeight="1">
      <c r="B39" s="57" t="s">
        <v>134</v>
      </c>
      <c r="C39" s="131"/>
      <c r="D39" s="131"/>
      <c r="E39" s="64"/>
      <c r="G39" s="65"/>
    </row>
    <row r="40" spans="1:9" ht="21" customHeight="1">
      <c r="A40" s="132">
        <v>1</v>
      </c>
      <c r="B40" s="102" t="s">
        <v>51</v>
      </c>
      <c r="C40" s="146" t="s">
        <v>52</v>
      </c>
      <c r="D40" s="30"/>
      <c r="E40" s="23" t="s">
        <v>53</v>
      </c>
      <c r="F40" s="3">
        <v>39</v>
      </c>
      <c r="G40" s="147">
        <v>39100</v>
      </c>
    </row>
    <row r="41" spans="1:9" ht="21" customHeight="1" thickBot="1">
      <c r="A41" s="45"/>
      <c r="B41" s="46" t="s">
        <v>18</v>
      </c>
      <c r="C41" s="47"/>
      <c r="D41" s="47"/>
      <c r="E41" s="49"/>
      <c r="F41" s="50"/>
      <c r="G41" s="51">
        <f>SUM(G40)</f>
        <v>39100</v>
      </c>
    </row>
    <row r="42" spans="1:9" ht="21" customHeight="1" thickTop="1">
      <c r="B42" s="57"/>
      <c r="C42" s="131"/>
      <c r="D42" s="131"/>
      <c r="E42" s="64"/>
      <c r="G42" s="65"/>
    </row>
    <row r="43" spans="1:9" s="85" customFormat="1" ht="21" customHeight="1">
      <c r="A43" s="75"/>
      <c r="B43" s="93"/>
      <c r="C43" s="77"/>
      <c r="D43" s="77"/>
      <c r="E43" s="79"/>
      <c r="F43" s="80"/>
      <c r="G43" s="81"/>
    </row>
    <row r="44" spans="1:9" ht="21" customHeight="1">
      <c r="E44" s="96">
        <v>0</v>
      </c>
      <c r="F44" s="96">
        <v>0</v>
      </c>
      <c r="G44" s="96">
        <f>+G14+G17+G23+G37+G41</f>
        <v>854900</v>
      </c>
      <c r="I44" s="103"/>
    </row>
    <row r="46" spans="1:9" ht="21" customHeight="1">
      <c r="G46" s="58"/>
    </row>
    <row r="54" spans="1:1" ht="21" customHeight="1">
      <c r="A54" s="29"/>
    </row>
    <row r="55" spans="1:1" ht="21" customHeight="1">
      <c r="A55" s="29"/>
    </row>
    <row r="65" spans="1:7" ht="21" customHeight="1">
      <c r="A65" s="29"/>
    </row>
    <row r="66" spans="1:7" ht="21" customHeight="1">
      <c r="A66" s="29"/>
    </row>
    <row r="69" spans="1:7" ht="21" customHeight="1">
      <c r="A69" s="29"/>
      <c r="C69" s="29"/>
      <c r="D69" s="29"/>
      <c r="F69" s="29"/>
      <c r="G69" s="58">
        <v>32</v>
      </c>
    </row>
    <row r="70" spans="1:7" ht="21" customHeight="1">
      <c r="A70" s="29"/>
      <c r="C70" s="29"/>
      <c r="D70" s="29"/>
      <c r="F70" s="29"/>
      <c r="G70" s="55">
        <v>18</v>
      </c>
    </row>
    <row r="124" spans="1:7" ht="21" customHeight="1">
      <c r="A124" s="97" t="s">
        <v>99</v>
      </c>
      <c r="B124" s="36" t="s">
        <v>100</v>
      </c>
      <c r="C124" s="98" t="s">
        <v>101</v>
      </c>
      <c r="D124" s="108"/>
      <c r="E124" s="38" t="s">
        <v>103</v>
      </c>
      <c r="F124" s="39">
        <v>2</v>
      </c>
      <c r="G124" s="41">
        <v>1100</v>
      </c>
    </row>
  </sheetData>
  <mergeCells count="9">
    <mergeCell ref="E5:E6"/>
    <mergeCell ref="F5:F6"/>
    <mergeCell ref="A1:G1"/>
    <mergeCell ref="A2:G2"/>
    <mergeCell ref="A3:G3"/>
    <mergeCell ref="A4:A6"/>
    <mergeCell ref="B4:B6"/>
    <mergeCell ref="C4:C6"/>
    <mergeCell ref="E4:G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BFF4-9EA0-48F8-A2BC-1312A427561C}">
  <sheetPr>
    <tabColor rgb="FFFFC000"/>
  </sheetPr>
  <dimension ref="A1:H120"/>
  <sheetViews>
    <sheetView zoomScale="70" zoomScaleNormal="70" workbookViewId="0">
      <pane ySplit="6" topLeftCell="A7" activePane="bottomLeft" state="frozen"/>
      <selection pane="bottomLeft" activeCell="F28" sqref="F28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9.88671875" style="2" customWidth="1"/>
    <col min="5" max="5" width="13.88671875" style="58"/>
    <col min="6" max="16384" width="13.88671875" style="29"/>
  </cols>
  <sheetData>
    <row r="1" spans="1:8" s="1" customFormat="1" ht="21" customHeight="1">
      <c r="A1" s="198" t="s">
        <v>0</v>
      </c>
      <c r="B1" s="198"/>
      <c r="C1" s="198"/>
      <c r="D1" s="198"/>
      <c r="E1" s="198"/>
      <c r="F1" s="198"/>
    </row>
    <row r="2" spans="1:8" s="1" customFormat="1" ht="21" customHeight="1">
      <c r="A2" s="199" t="s">
        <v>1</v>
      </c>
      <c r="B2" s="199"/>
      <c r="C2" s="199"/>
      <c r="D2" s="199"/>
      <c r="E2" s="199"/>
      <c r="F2" s="199"/>
    </row>
    <row r="3" spans="1:8" s="1" customFormat="1" ht="21" customHeight="1">
      <c r="A3" s="200" t="s">
        <v>127</v>
      </c>
      <c r="B3" s="200"/>
      <c r="C3" s="200"/>
      <c r="D3" s="200"/>
      <c r="E3" s="200"/>
      <c r="F3" s="200"/>
    </row>
    <row r="4" spans="1:8" s="1" customFormat="1" ht="21" customHeight="1">
      <c r="A4" s="201" t="s">
        <v>3</v>
      </c>
      <c r="B4" s="201" t="s">
        <v>4</v>
      </c>
      <c r="C4" s="204" t="s">
        <v>5</v>
      </c>
      <c r="D4" s="207" t="s">
        <v>9</v>
      </c>
      <c r="E4" s="207"/>
      <c r="F4" s="207"/>
    </row>
    <row r="5" spans="1:8" s="1" customFormat="1" ht="21" customHeight="1">
      <c r="A5" s="202"/>
      <c r="B5" s="202"/>
      <c r="C5" s="205"/>
      <c r="D5" s="208" t="s">
        <v>10</v>
      </c>
      <c r="E5" s="207" t="s">
        <v>15</v>
      </c>
      <c r="F5" s="102"/>
    </row>
    <row r="6" spans="1:8" s="1" customFormat="1" ht="21" customHeight="1">
      <c r="A6" s="203"/>
      <c r="B6" s="203"/>
      <c r="C6" s="206"/>
      <c r="D6" s="208"/>
      <c r="E6" s="207"/>
      <c r="F6" s="8" t="s">
        <v>18</v>
      </c>
    </row>
    <row r="7" spans="1:8" s="1" customFormat="1" ht="21" customHeight="1">
      <c r="A7" s="9"/>
      <c r="B7" s="10" t="s">
        <v>20</v>
      </c>
      <c r="C7" s="11"/>
      <c r="D7" s="13"/>
      <c r="E7" s="14"/>
      <c r="F7" s="16"/>
    </row>
    <row r="8" spans="1:8" s="1" customFormat="1" ht="21" customHeight="1">
      <c r="A8" s="9"/>
      <c r="B8" s="127" t="s">
        <v>132</v>
      </c>
      <c r="C8" s="128"/>
      <c r="D8" s="110"/>
      <c r="E8" s="129"/>
      <c r="F8" s="130"/>
    </row>
    <row r="9" spans="1:8" ht="21" customHeight="1">
      <c r="A9" s="20">
        <v>1</v>
      </c>
      <c r="B9" s="111" t="s">
        <v>24</v>
      </c>
      <c r="C9" s="111" t="s">
        <v>25</v>
      </c>
      <c r="D9" s="112" t="s">
        <v>26</v>
      </c>
      <c r="E9" s="113">
        <v>13</v>
      </c>
      <c r="F9" s="114">
        <v>15000</v>
      </c>
    </row>
    <row r="10" spans="1:8" ht="21" customHeight="1">
      <c r="A10" s="20">
        <v>2</v>
      </c>
      <c r="B10" s="111" t="s">
        <v>70</v>
      </c>
      <c r="C10" s="115" t="s">
        <v>71</v>
      </c>
      <c r="D10" s="112" t="s">
        <v>72</v>
      </c>
      <c r="E10" s="113">
        <v>7</v>
      </c>
      <c r="F10" s="114">
        <v>20000</v>
      </c>
    </row>
    <row r="11" spans="1:8" ht="21" customHeight="1">
      <c r="A11" s="20">
        <v>3</v>
      </c>
      <c r="B11" s="116" t="s">
        <v>36</v>
      </c>
      <c r="C11" s="117" t="s">
        <v>37</v>
      </c>
      <c r="D11" s="112" t="s">
        <v>38</v>
      </c>
      <c r="E11" s="113">
        <v>29</v>
      </c>
      <c r="F11" s="114">
        <v>28000</v>
      </c>
    </row>
    <row r="12" spans="1:8" ht="21" customHeight="1">
      <c r="A12" s="20">
        <v>4</v>
      </c>
      <c r="B12" s="116" t="s">
        <v>45</v>
      </c>
      <c r="C12" s="117" t="s">
        <v>46</v>
      </c>
      <c r="D12" s="112" t="s">
        <v>47</v>
      </c>
      <c r="E12" s="113">
        <v>66</v>
      </c>
      <c r="F12" s="114">
        <v>46500</v>
      </c>
    </row>
    <row r="13" spans="1:8" ht="21" customHeight="1">
      <c r="A13" s="20">
        <v>5</v>
      </c>
      <c r="B13" s="116" t="s">
        <v>48</v>
      </c>
      <c r="C13" s="117" t="s">
        <v>49</v>
      </c>
      <c r="D13" s="112" t="s">
        <v>50</v>
      </c>
      <c r="E13" s="113">
        <v>34</v>
      </c>
      <c r="F13" s="114">
        <v>23600</v>
      </c>
    </row>
    <row r="14" spans="1:8" ht="21" customHeight="1">
      <c r="A14" s="20">
        <v>6</v>
      </c>
      <c r="B14" s="111" t="s">
        <v>60</v>
      </c>
      <c r="C14" s="111" t="s">
        <v>61</v>
      </c>
      <c r="D14" s="112" t="s">
        <v>62</v>
      </c>
      <c r="E14" s="113">
        <v>68</v>
      </c>
      <c r="F14" s="114">
        <v>48500</v>
      </c>
    </row>
    <row r="15" spans="1:8" ht="21" customHeight="1">
      <c r="A15" s="20">
        <v>7</v>
      </c>
      <c r="B15" s="111" t="s">
        <v>66</v>
      </c>
      <c r="C15" s="117" t="s">
        <v>67</v>
      </c>
      <c r="D15" s="112" t="s">
        <v>68</v>
      </c>
      <c r="E15" s="113">
        <v>16</v>
      </c>
      <c r="F15" s="114">
        <v>37600</v>
      </c>
    </row>
    <row r="16" spans="1:8" ht="21" customHeight="1" thickBot="1">
      <c r="A16" s="45">
        <f>+A15</f>
        <v>7</v>
      </c>
      <c r="B16" s="46" t="s">
        <v>18</v>
      </c>
      <c r="C16" s="47"/>
      <c r="D16" s="49"/>
      <c r="E16" s="50"/>
      <c r="F16" s="51">
        <f>SUM(F9:F15)</f>
        <v>219200</v>
      </c>
      <c r="H16" s="29">
        <f>SUM(F9:F15)</f>
        <v>219200</v>
      </c>
    </row>
    <row r="17" spans="1:8" s="1" customFormat="1" ht="21" customHeight="1" thickTop="1">
      <c r="A17" s="55"/>
      <c r="B17" s="69" t="s">
        <v>73</v>
      </c>
    </row>
    <row r="18" spans="1:8" s="86" customFormat="1" ht="21" customHeight="1">
      <c r="A18" s="123">
        <v>1</v>
      </c>
      <c r="B18" s="116" t="s">
        <v>74</v>
      </c>
      <c r="C18" s="124" t="s">
        <v>79</v>
      </c>
      <c r="D18" s="112" t="s">
        <v>80</v>
      </c>
      <c r="E18" s="113">
        <v>43</v>
      </c>
      <c r="F18" s="125">
        <v>84300</v>
      </c>
    </row>
    <row r="19" spans="1:8" s="86" customFormat="1" ht="21" customHeight="1">
      <c r="A19" s="123">
        <v>2</v>
      </c>
      <c r="B19" s="116" t="s">
        <v>81</v>
      </c>
      <c r="C19" s="117" t="s">
        <v>85</v>
      </c>
      <c r="D19" s="112" t="s">
        <v>83</v>
      </c>
      <c r="E19" s="113">
        <v>24</v>
      </c>
      <c r="F19" s="125">
        <v>18000</v>
      </c>
    </row>
    <row r="20" spans="1:8" s="86" customFormat="1" ht="21" customHeight="1">
      <c r="A20" s="123">
        <v>3</v>
      </c>
      <c r="B20" s="111" t="s">
        <v>86</v>
      </c>
      <c r="C20" s="115" t="s">
        <v>87</v>
      </c>
      <c r="D20" s="112" t="s">
        <v>50</v>
      </c>
      <c r="E20" s="113">
        <v>34</v>
      </c>
      <c r="F20" s="125">
        <v>4500</v>
      </c>
    </row>
    <row r="21" spans="1:8" ht="21" customHeight="1" thickBot="1">
      <c r="A21" s="45"/>
      <c r="B21" s="46" t="s">
        <v>18</v>
      </c>
      <c r="C21" s="47"/>
      <c r="D21" s="49"/>
      <c r="E21" s="50"/>
      <c r="F21" s="51">
        <f>SUM(F18:F20)</f>
        <v>106800</v>
      </c>
      <c r="H21" s="29">
        <f>SUM(F18:F20)</f>
        <v>106800</v>
      </c>
    </row>
    <row r="22" spans="1:8" s="85" customFormat="1" ht="21" customHeight="1" thickTop="1">
      <c r="A22" s="75"/>
      <c r="B22" s="76"/>
      <c r="C22" s="77"/>
      <c r="D22" s="79"/>
      <c r="E22" s="80"/>
      <c r="F22" s="81"/>
    </row>
    <row r="23" spans="1:8" ht="21" customHeight="1">
      <c r="B23" s="86" t="s">
        <v>90</v>
      </c>
    </row>
    <row r="24" spans="1:8" ht="21" customHeight="1">
      <c r="A24" s="20">
        <v>1</v>
      </c>
      <c r="B24" s="116" t="s">
        <v>91</v>
      </c>
      <c r="C24" s="124" t="s">
        <v>92</v>
      </c>
      <c r="D24" s="112" t="s">
        <v>93</v>
      </c>
      <c r="E24" s="113">
        <v>2</v>
      </c>
      <c r="F24" s="114">
        <v>11000</v>
      </c>
    </row>
    <row r="25" spans="1:8" ht="21" customHeight="1">
      <c r="A25" s="20">
        <v>2</v>
      </c>
      <c r="B25" s="116" t="s">
        <v>94</v>
      </c>
      <c r="C25" s="124" t="s">
        <v>95</v>
      </c>
      <c r="D25" s="112" t="s">
        <v>96</v>
      </c>
      <c r="E25" s="113">
        <v>3</v>
      </c>
      <c r="F25" s="114">
        <v>6000</v>
      </c>
    </row>
    <row r="26" spans="1:8" ht="21" customHeight="1">
      <c r="A26" s="20">
        <v>3</v>
      </c>
      <c r="B26" s="116" t="s">
        <v>21</v>
      </c>
      <c r="C26" s="124" t="s">
        <v>22</v>
      </c>
      <c r="D26" s="112" t="s">
        <v>23</v>
      </c>
      <c r="E26" s="113">
        <v>37</v>
      </c>
      <c r="F26" s="114">
        <v>22300</v>
      </c>
    </row>
    <row r="27" spans="1:8" ht="21" customHeight="1">
      <c r="A27" s="20">
        <v>4</v>
      </c>
      <c r="B27" s="116" t="s">
        <v>27</v>
      </c>
      <c r="C27" s="124" t="s">
        <v>28</v>
      </c>
      <c r="D27" s="112" t="s">
        <v>29</v>
      </c>
      <c r="E27" s="113">
        <v>23</v>
      </c>
      <c r="F27" s="114">
        <v>50000</v>
      </c>
    </row>
    <row r="28" spans="1:8" ht="21" customHeight="1">
      <c r="A28" s="20">
        <v>5</v>
      </c>
      <c r="B28" s="116" t="s">
        <v>30</v>
      </c>
      <c r="C28" s="124" t="s">
        <v>31</v>
      </c>
      <c r="D28" s="112" t="s">
        <v>32</v>
      </c>
      <c r="E28" s="113">
        <v>40</v>
      </c>
      <c r="F28" s="114">
        <v>79500</v>
      </c>
    </row>
    <row r="29" spans="1:8" ht="21" customHeight="1">
      <c r="A29" s="20">
        <v>6</v>
      </c>
      <c r="B29" s="116" t="s">
        <v>33</v>
      </c>
      <c r="C29" s="124" t="s">
        <v>34</v>
      </c>
      <c r="D29" s="112" t="s">
        <v>35</v>
      </c>
      <c r="E29" s="113">
        <v>42</v>
      </c>
      <c r="F29" s="114">
        <v>41000</v>
      </c>
    </row>
    <row r="30" spans="1:8" ht="21" customHeight="1">
      <c r="A30" s="20">
        <v>7</v>
      </c>
      <c r="B30" s="116" t="s">
        <v>39</v>
      </c>
      <c r="C30" s="124" t="s">
        <v>40</v>
      </c>
      <c r="D30" s="112" t="s">
        <v>41</v>
      </c>
      <c r="E30" s="113">
        <v>49</v>
      </c>
      <c r="F30" s="114">
        <v>92000</v>
      </c>
    </row>
    <row r="31" spans="1:8" ht="21" customHeight="1">
      <c r="A31" s="20">
        <v>8</v>
      </c>
      <c r="B31" s="116" t="s">
        <v>42</v>
      </c>
      <c r="C31" s="124" t="s">
        <v>43</v>
      </c>
      <c r="D31" s="112" t="s">
        <v>44</v>
      </c>
      <c r="E31" s="113">
        <v>41</v>
      </c>
      <c r="F31" s="114">
        <v>41000</v>
      </c>
    </row>
    <row r="32" spans="1:8" ht="21" customHeight="1">
      <c r="A32" s="20">
        <v>9</v>
      </c>
      <c r="B32" s="116" t="s">
        <v>54</v>
      </c>
      <c r="C32" s="124" t="s">
        <v>55</v>
      </c>
      <c r="D32" s="112" t="s">
        <v>56</v>
      </c>
      <c r="E32" s="113">
        <v>52</v>
      </c>
      <c r="F32" s="114">
        <v>104000</v>
      </c>
    </row>
    <row r="33" spans="1:8" ht="21" customHeight="1">
      <c r="A33" s="20">
        <v>10</v>
      </c>
      <c r="B33" s="116" t="s">
        <v>131</v>
      </c>
      <c r="C33" s="124" t="s">
        <v>64</v>
      </c>
      <c r="D33" s="112" t="s">
        <v>65</v>
      </c>
      <c r="E33" s="113">
        <v>38</v>
      </c>
      <c r="F33" s="114">
        <v>38000</v>
      </c>
    </row>
    <row r="34" spans="1:8" ht="21" customHeight="1">
      <c r="A34" s="20">
        <v>11</v>
      </c>
      <c r="B34" s="126" t="s">
        <v>57</v>
      </c>
      <c r="C34" s="115" t="s">
        <v>58</v>
      </c>
      <c r="D34" s="112" t="s">
        <v>59</v>
      </c>
      <c r="E34" s="113">
        <v>4</v>
      </c>
      <c r="F34" s="125">
        <v>5000</v>
      </c>
    </row>
    <row r="35" spans="1:8" ht="21" customHeight="1" thickBot="1">
      <c r="A35" s="45"/>
      <c r="B35" s="46" t="s">
        <v>18</v>
      </c>
      <c r="C35" s="47"/>
      <c r="D35" s="49"/>
      <c r="E35" s="50"/>
      <c r="F35" s="51">
        <f>SUM(F24:F34)</f>
        <v>489800</v>
      </c>
      <c r="H35" s="29">
        <f>SUM(F24:F34)</f>
        <v>489800</v>
      </c>
    </row>
    <row r="36" spans="1:8" ht="21" customHeight="1" thickTop="1">
      <c r="B36" s="57" t="s">
        <v>133</v>
      </c>
      <c r="C36" s="131"/>
      <c r="D36" s="64"/>
      <c r="F36" s="65"/>
    </row>
    <row r="37" spans="1:8" ht="21" customHeight="1">
      <c r="A37" s="132">
        <v>1</v>
      </c>
      <c r="B37" s="135" t="s">
        <v>51</v>
      </c>
      <c r="C37" s="136" t="s">
        <v>52</v>
      </c>
      <c r="D37" s="137" t="s">
        <v>53</v>
      </c>
      <c r="E37" s="113">
        <v>39.049999999999997</v>
      </c>
      <c r="F37" s="138">
        <v>39100</v>
      </c>
    </row>
    <row r="38" spans="1:8" ht="21" customHeight="1" thickBot="1">
      <c r="A38" s="133"/>
      <c r="B38" s="134" t="s">
        <v>18</v>
      </c>
      <c r="C38" s="220"/>
      <c r="D38" s="221"/>
      <c r="E38" s="222"/>
      <c r="F38" s="51">
        <f>SUM(F37)</f>
        <v>39100</v>
      </c>
    </row>
    <row r="39" spans="1:8" s="85" customFormat="1" ht="21" customHeight="1" thickTop="1">
      <c r="A39" s="75"/>
      <c r="B39" s="93"/>
      <c r="C39" s="77"/>
      <c r="D39" s="79"/>
      <c r="E39" s="80"/>
      <c r="F39" s="81"/>
    </row>
    <row r="40" spans="1:8" ht="21" customHeight="1">
      <c r="D40" s="96">
        <v>0</v>
      </c>
      <c r="E40" s="96">
        <v>0</v>
      </c>
      <c r="F40" s="96">
        <f>+F38+F35+F21+F16</f>
        <v>854900</v>
      </c>
      <c r="H40" s="103"/>
    </row>
    <row r="42" spans="1:8" ht="21" customHeight="1">
      <c r="F42" s="58"/>
    </row>
    <row r="50" spans="1:1" ht="21" customHeight="1">
      <c r="A50" s="29"/>
    </row>
    <row r="51" spans="1:1" ht="21" customHeight="1">
      <c r="A51" s="29"/>
    </row>
    <row r="61" spans="1:1" ht="21" customHeight="1">
      <c r="A61" s="29"/>
    </row>
    <row r="62" spans="1:1" ht="21" customHeight="1">
      <c r="A62" s="29"/>
    </row>
    <row r="65" spans="1:6" ht="21" customHeight="1">
      <c r="A65" s="29"/>
      <c r="C65" s="29"/>
      <c r="E65" s="29"/>
      <c r="F65" s="58">
        <v>32</v>
      </c>
    </row>
    <row r="66" spans="1:6" ht="21" customHeight="1">
      <c r="A66" s="29"/>
      <c r="C66" s="29"/>
      <c r="E66" s="29"/>
      <c r="F66" s="55">
        <v>18</v>
      </c>
    </row>
    <row r="120" spans="1:6" ht="21" customHeight="1">
      <c r="A120" s="97" t="s">
        <v>99</v>
      </c>
      <c r="B120" s="36" t="s">
        <v>100</v>
      </c>
      <c r="C120" s="98" t="s">
        <v>101</v>
      </c>
      <c r="D120" s="38" t="s">
        <v>103</v>
      </c>
      <c r="E120" s="39">
        <v>2</v>
      </c>
      <c r="F120" s="41">
        <v>1100</v>
      </c>
    </row>
  </sheetData>
  <mergeCells count="10">
    <mergeCell ref="C38:E38"/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  <pageSetup paperSize="9" scale="8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CD92-CCEC-48DC-B9F4-6257449B6DF5}">
  <sheetPr>
    <tabColor rgb="FF00B0F0"/>
  </sheetPr>
  <dimension ref="A1:S122"/>
  <sheetViews>
    <sheetView zoomScale="70" zoomScaleNormal="70" workbookViewId="0">
      <pane ySplit="6" topLeftCell="A22" activePane="bottomLeft" state="frozen"/>
      <selection pane="bottomLeft" activeCell="G47" sqref="G47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7.44140625" style="2" customWidth="1"/>
    <col min="6" max="7" width="13.88671875" style="59"/>
    <col min="8" max="8" width="13.88671875" style="88"/>
    <col min="9" max="9" width="7.33203125" style="88" customWidth="1"/>
    <col min="10" max="10" width="13.88671875" style="89"/>
    <col min="11" max="11" width="13.88671875" style="90"/>
    <col min="12" max="12" width="13.88671875" style="91"/>
    <col min="13" max="13" width="13.6640625" style="29" customWidth="1"/>
    <col min="14" max="14" width="19.88671875" style="2" customWidth="1"/>
    <col min="15" max="15" width="13.88671875" style="58"/>
    <col min="16" max="16" width="8.6640625" style="58" customWidth="1"/>
    <col min="17" max="17" width="13.88671875" style="92"/>
    <col min="18" max="18" width="13.88671875" style="58"/>
    <col min="19" max="16384" width="13.88671875" style="29"/>
  </cols>
  <sheetData>
    <row r="1" spans="1:19" s="1" customFormat="1" ht="21" customHeight="1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</row>
    <row r="2" spans="1:19" s="1" customFormat="1" ht="21" customHeight="1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19" s="1" customFormat="1" ht="21" customHeight="1">
      <c r="A3" s="200" t="s">
        <v>121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</row>
    <row r="4" spans="1:19" s="1" customFormat="1" ht="21" customHeight="1">
      <c r="A4" s="201" t="s">
        <v>3</v>
      </c>
      <c r="B4" s="201" t="s">
        <v>4</v>
      </c>
      <c r="C4" s="204" t="s">
        <v>5</v>
      </c>
      <c r="D4" s="211" t="s">
        <v>6</v>
      </c>
      <c r="E4" s="207" t="s">
        <v>7</v>
      </c>
      <c r="F4" s="207"/>
      <c r="G4" s="207"/>
      <c r="H4" s="207"/>
      <c r="I4" s="207"/>
      <c r="J4" s="207"/>
      <c r="K4" s="214" t="s">
        <v>8</v>
      </c>
      <c r="L4" s="214"/>
      <c r="M4" s="214"/>
      <c r="N4" s="207" t="s">
        <v>9</v>
      </c>
      <c r="O4" s="207"/>
      <c r="P4" s="207"/>
      <c r="Q4" s="207"/>
      <c r="R4" s="207"/>
      <c r="S4" s="207"/>
    </row>
    <row r="5" spans="1:19" s="1" customFormat="1" ht="21" customHeight="1">
      <c r="A5" s="202"/>
      <c r="B5" s="202"/>
      <c r="C5" s="205"/>
      <c r="D5" s="212"/>
      <c r="E5" s="208" t="s">
        <v>10</v>
      </c>
      <c r="F5" s="207"/>
      <c r="G5" s="4"/>
      <c r="H5" s="215" t="s">
        <v>11</v>
      </c>
      <c r="I5" s="215"/>
      <c r="J5" s="215"/>
      <c r="K5" s="216" t="s">
        <v>12</v>
      </c>
      <c r="L5" s="218" t="s">
        <v>13</v>
      </c>
      <c r="M5" s="209" t="s">
        <v>14</v>
      </c>
      <c r="N5" s="208" t="s">
        <v>10</v>
      </c>
      <c r="O5" s="207" t="s">
        <v>15</v>
      </c>
      <c r="P5" s="4" t="s">
        <v>16</v>
      </c>
      <c r="Q5" s="215" t="s">
        <v>11</v>
      </c>
      <c r="R5" s="215"/>
      <c r="S5" s="215"/>
    </row>
    <row r="6" spans="1:19" s="1" customFormat="1" ht="21" customHeight="1">
      <c r="A6" s="203"/>
      <c r="B6" s="203"/>
      <c r="C6" s="206"/>
      <c r="D6" s="213"/>
      <c r="E6" s="208"/>
      <c r="F6" s="207"/>
      <c r="G6" s="5"/>
      <c r="H6" s="6" t="s">
        <v>14</v>
      </c>
      <c r="I6" s="7" t="s">
        <v>17</v>
      </c>
      <c r="J6" s="8" t="s">
        <v>18</v>
      </c>
      <c r="K6" s="217"/>
      <c r="L6" s="219"/>
      <c r="M6" s="210"/>
      <c r="N6" s="208"/>
      <c r="O6" s="207"/>
      <c r="P6" s="5" t="s">
        <v>19</v>
      </c>
      <c r="Q6" s="6" t="s">
        <v>14</v>
      </c>
      <c r="R6" s="7" t="s">
        <v>17</v>
      </c>
      <c r="S6" s="8" t="s">
        <v>18</v>
      </c>
    </row>
    <row r="7" spans="1:19" s="1" customFormat="1" ht="21" customHeight="1">
      <c r="A7" s="9"/>
      <c r="B7" s="10" t="s">
        <v>20</v>
      </c>
      <c r="C7" s="11"/>
      <c r="D7" s="12"/>
      <c r="E7" s="13"/>
      <c r="F7" s="14"/>
      <c r="G7" s="15"/>
      <c r="H7" s="15"/>
      <c r="I7" s="15"/>
      <c r="J7" s="16"/>
      <c r="K7" s="17"/>
      <c r="L7" s="18"/>
      <c r="M7" s="19"/>
      <c r="N7" s="13"/>
      <c r="O7" s="14"/>
      <c r="P7" s="15"/>
      <c r="Q7" s="15"/>
      <c r="R7" s="15"/>
      <c r="S7" s="16"/>
    </row>
    <row r="8" spans="1:19" ht="21" customHeight="1">
      <c r="A8" s="20">
        <v>1</v>
      </c>
      <c r="B8" s="21" t="s">
        <v>21</v>
      </c>
      <c r="C8" s="21" t="s">
        <v>22</v>
      </c>
      <c r="D8" s="22"/>
      <c r="E8" s="23" t="s">
        <v>23</v>
      </c>
      <c r="F8" s="3">
        <v>37</v>
      </c>
      <c r="G8" s="3">
        <v>54</v>
      </c>
      <c r="H8" s="24">
        <v>22300</v>
      </c>
      <c r="I8" s="3"/>
      <c r="J8" s="25">
        <v>22300</v>
      </c>
      <c r="K8" s="26"/>
      <c r="L8" s="27"/>
      <c r="M8" s="28"/>
      <c r="N8" s="23" t="s">
        <v>23</v>
      </c>
      <c r="O8" s="3">
        <v>37</v>
      </c>
      <c r="P8" s="3">
        <v>54</v>
      </c>
      <c r="Q8" s="24">
        <v>22300</v>
      </c>
      <c r="R8" s="3"/>
      <c r="S8" s="25">
        <v>22300</v>
      </c>
    </row>
    <row r="9" spans="1:19" ht="21" customHeight="1">
      <c r="A9" s="20">
        <v>2</v>
      </c>
      <c r="B9" s="21" t="s">
        <v>24</v>
      </c>
      <c r="C9" s="30" t="s">
        <v>25</v>
      </c>
      <c r="D9" s="22"/>
      <c r="E9" s="23" t="s">
        <v>26</v>
      </c>
      <c r="F9" s="3">
        <v>13</v>
      </c>
      <c r="G9" s="3">
        <v>85</v>
      </c>
      <c r="H9" s="24">
        <v>15000</v>
      </c>
      <c r="I9" s="3"/>
      <c r="J9" s="25">
        <v>15000</v>
      </c>
      <c r="K9" s="31"/>
      <c r="L9" s="32"/>
      <c r="M9" s="28"/>
      <c r="N9" s="23" t="s">
        <v>26</v>
      </c>
      <c r="O9" s="3">
        <v>13</v>
      </c>
      <c r="P9" s="3">
        <v>85</v>
      </c>
      <c r="Q9" s="24">
        <v>15000</v>
      </c>
      <c r="R9" s="3"/>
      <c r="S9" s="25">
        <v>15000</v>
      </c>
    </row>
    <row r="10" spans="1:19" ht="21" customHeight="1">
      <c r="A10" s="20">
        <v>3</v>
      </c>
      <c r="B10" s="33" t="s">
        <v>27</v>
      </c>
      <c r="C10" s="22" t="s">
        <v>28</v>
      </c>
      <c r="D10" s="34"/>
      <c r="E10" s="23" t="s">
        <v>29</v>
      </c>
      <c r="F10" s="3">
        <v>23</v>
      </c>
      <c r="G10" s="3">
        <v>34</v>
      </c>
      <c r="H10" s="24">
        <v>50000</v>
      </c>
      <c r="I10" s="3"/>
      <c r="J10" s="25">
        <v>50000</v>
      </c>
      <c r="K10" s="31"/>
      <c r="L10" s="32"/>
      <c r="M10" s="28"/>
      <c r="N10" s="23" t="s">
        <v>29</v>
      </c>
      <c r="O10" s="3">
        <v>23</v>
      </c>
      <c r="P10" s="3">
        <v>34</v>
      </c>
      <c r="Q10" s="24">
        <v>50000</v>
      </c>
      <c r="R10" s="3"/>
      <c r="S10" s="25">
        <v>50000</v>
      </c>
    </row>
    <row r="11" spans="1:19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3">
        <v>67</v>
      </c>
      <c r="H11" s="24">
        <v>79500</v>
      </c>
      <c r="I11" s="3"/>
      <c r="J11" s="25">
        <v>79500</v>
      </c>
      <c r="K11" s="31"/>
      <c r="L11" s="32"/>
      <c r="M11" s="28"/>
      <c r="N11" s="23" t="s">
        <v>32</v>
      </c>
      <c r="O11" s="3">
        <v>40</v>
      </c>
      <c r="P11" s="3">
        <v>67</v>
      </c>
      <c r="Q11" s="24">
        <v>79500</v>
      </c>
      <c r="R11" s="3"/>
      <c r="S11" s="25">
        <v>79500</v>
      </c>
    </row>
    <row r="12" spans="1:19" ht="21" customHeight="1">
      <c r="A12" s="20">
        <v>5</v>
      </c>
      <c r="B12" s="33" t="s">
        <v>33</v>
      </c>
      <c r="C12" s="22" t="s">
        <v>34</v>
      </c>
      <c r="D12" s="34"/>
      <c r="E12" s="23" t="s">
        <v>35</v>
      </c>
      <c r="F12" s="3">
        <v>42</v>
      </c>
      <c r="G12" s="3">
        <v>53</v>
      </c>
      <c r="H12" s="24">
        <v>41000</v>
      </c>
      <c r="I12" s="3"/>
      <c r="J12" s="25">
        <v>41000</v>
      </c>
      <c r="K12" s="31"/>
      <c r="L12" s="32"/>
      <c r="M12" s="28"/>
      <c r="N12" s="23" t="s">
        <v>35</v>
      </c>
      <c r="O12" s="3">
        <v>42</v>
      </c>
      <c r="P12" s="3">
        <v>53</v>
      </c>
      <c r="Q12" s="24">
        <v>41000</v>
      </c>
      <c r="R12" s="3"/>
      <c r="S12" s="25">
        <v>41000</v>
      </c>
    </row>
    <row r="13" spans="1:19" ht="21" customHeight="1">
      <c r="A13" s="20">
        <v>6</v>
      </c>
      <c r="B13" s="21" t="s">
        <v>36</v>
      </c>
      <c r="C13" s="21" t="s">
        <v>37</v>
      </c>
      <c r="D13" s="22"/>
      <c r="E13" s="23" t="s">
        <v>38</v>
      </c>
      <c r="F13" s="3">
        <v>29</v>
      </c>
      <c r="G13" s="3">
        <v>49</v>
      </c>
      <c r="H13" s="24">
        <v>28000</v>
      </c>
      <c r="I13" s="3"/>
      <c r="J13" s="25">
        <v>28000</v>
      </c>
      <c r="K13" s="31"/>
      <c r="L13" s="32"/>
      <c r="M13" s="28"/>
      <c r="N13" s="23" t="s">
        <v>38</v>
      </c>
      <c r="O13" s="3">
        <v>29</v>
      </c>
      <c r="P13" s="3">
        <v>49</v>
      </c>
      <c r="Q13" s="24">
        <v>28000</v>
      </c>
      <c r="R13" s="3"/>
      <c r="S13" s="25">
        <v>28000</v>
      </c>
    </row>
    <row r="14" spans="1:19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3">
        <v>66</v>
      </c>
      <c r="H14" s="24">
        <v>92000</v>
      </c>
      <c r="I14" s="3"/>
      <c r="J14" s="25">
        <v>92000</v>
      </c>
      <c r="K14" s="31"/>
      <c r="L14" s="32"/>
      <c r="M14" s="28"/>
      <c r="N14" s="23" t="s">
        <v>41</v>
      </c>
      <c r="O14" s="3">
        <v>49</v>
      </c>
      <c r="P14" s="3">
        <v>66</v>
      </c>
      <c r="Q14" s="24">
        <v>92000</v>
      </c>
      <c r="R14" s="3"/>
      <c r="S14" s="25">
        <v>92000</v>
      </c>
    </row>
    <row r="15" spans="1:19" ht="21" customHeight="1">
      <c r="A15" s="20">
        <v>8</v>
      </c>
      <c r="B15" s="21" t="s">
        <v>42</v>
      </c>
      <c r="C15" s="21" t="s">
        <v>43</v>
      </c>
      <c r="D15" s="22"/>
      <c r="E15" s="23" t="s">
        <v>44</v>
      </c>
      <c r="F15" s="3">
        <v>41</v>
      </c>
      <c r="G15" s="3">
        <v>58</v>
      </c>
      <c r="H15" s="24">
        <v>41000</v>
      </c>
      <c r="I15" s="3"/>
      <c r="J15" s="25">
        <v>41000</v>
      </c>
      <c r="K15" s="31"/>
      <c r="L15" s="32"/>
      <c r="M15" s="28"/>
      <c r="N15" s="23" t="s">
        <v>44</v>
      </c>
      <c r="O15" s="3">
        <v>41</v>
      </c>
      <c r="P15" s="3">
        <v>58</v>
      </c>
      <c r="Q15" s="24">
        <v>41000</v>
      </c>
      <c r="R15" s="3"/>
      <c r="S15" s="25">
        <v>41000</v>
      </c>
    </row>
    <row r="16" spans="1:19" ht="21" customHeight="1">
      <c r="A16" s="20">
        <v>9</v>
      </c>
      <c r="B16" s="21" t="s">
        <v>45</v>
      </c>
      <c r="C16" s="30" t="s">
        <v>46</v>
      </c>
      <c r="D16" s="22"/>
      <c r="E16" s="23" t="s">
        <v>47</v>
      </c>
      <c r="F16" s="3">
        <v>66</v>
      </c>
      <c r="G16" s="3">
        <v>66</v>
      </c>
      <c r="H16" s="24">
        <v>46500</v>
      </c>
      <c r="I16" s="3"/>
      <c r="J16" s="25">
        <v>46500</v>
      </c>
      <c r="K16" s="31"/>
      <c r="L16" s="32"/>
      <c r="M16" s="28"/>
      <c r="N16" s="23" t="s">
        <v>47</v>
      </c>
      <c r="O16" s="3">
        <v>66</v>
      </c>
      <c r="P16" s="3">
        <v>66</v>
      </c>
      <c r="Q16" s="24">
        <v>46500</v>
      </c>
      <c r="R16" s="3"/>
      <c r="S16" s="25">
        <v>46500</v>
      </c>
    </row>
    <row r="17" spans="1:19" ht="21" customHeight="1">
      <c r="A17" s="20">
        <v>10</v>
      </c>
      <c r="B17" s="21" t="s">
        <v>48</v>
      </c>
      <c r="C17" s="30" t="s">
        <v>49</v>
      </c>
      <c r="D17" s="22"/>
      <c r="E17" s="23" t="s">
        <v>50</v>
      </c>
      <c r="F17" s="3">
        <v>34</v>
      </c>
      <c r="G17" s="3">
        <v>34</v>
      </c>
      <c r="H17" s="24">
        <v>23600</v>
      </c>
      <c r="I17" s="3"/>
      <c r="J17" s="25">
        <v>23600</v>
      </c>
      <c r="K17" s="31"/>
      <c r="L17" s="32"/>
      <c r="M17" s="35"/>
      <c r="N17" s="23" t="s">
        <v>50</v>
      </c>
      <c r="O17" s="3">
        <v>34</v>
      </c>
      <c r="P17" s="3">
        <v>34</v>
      </c>
      <c r="Q17" s="24">
        <v>23600</v>
      </c>
      <c r="R17" s="3"/>
      <c r="S17" s="25">
        <v>23600</v>
      </c>
    </row>
    <row r="18" spans="1:19" ht="21" customHeight="1">
      <c r="A18" s="20">
        <v>11</v>
      </c>
      <c r="B18" s="33" t="s">
        <v>51</v>
      </c>
      <c r="C18" s="22" t="s">
        <v>52</v>
      </c>
      <c r="D18" s="34"/>
      <c r="E18" s="23" t="s">
        <v>53</v>
      </c>
      <c r="F18" s="3">
        <v>39.049999999999997</v>
      </c>
      <c r="G18" s="3">
        <v>39</v>
      </c>
      <c r="H18" s="24">
        <v>39100</v>
      </c>
      <c r="I18" s="3"/>
      <c r="J18" s="25">
        <v>39100</v>
      </c>
      <c r="K18" s="31"/>
      <c r="L18" s="32"/>
      <c r="M18" s="28"/>
      <c r="N18" s="23" t="s">
        <v>53</v>
      </c>
      <c r="O18" s="3">
        <v>39.049999999999997</v>
      </c>
      <c r="P18" s="3">
        <v>39</v>
      </c>
      <c r="Q18" s="24">
        <v>39100</v>
      </c>
      <c r="R18" s="3"/>
      <c r="S18" s="25">
        <v>39100</v>
      </c>
    </row>
    <row r="19" spans="1:19" ht="21" customHeight="1">
      <c r="A19" s="20">
        <v>12</v>
      </c>
      <c r="B19" s="33" t="s">
        <v>54</v>
      </c>
      <c r="C19" s="22" t="s">
        <v>55</v>
      </c>
      <c r="D19" s="22"/>
      <c r="E19" s="23" t="s">
        <v>56</v>
      </c>
      <c r="F19" s="3">
        <v>52</v>
      </c>
      <c r="G19" s="3">
        <v>69</v>
      </c>
      <c r="H19" s="24">
        <v>104000</v>
      </c>
      <c r="I19" s="3"/>
      <c r="J19" s="25">
        <v>104000</v>
      </c>
      <c r="K19" s="31"/>
      <c r="L19" s="32"/>
      <c r="M19" s="28"/>
      <c r="N19" s="23" t="s">
        <v>56</v>
      </c>
      <c r="O19" s="3">
        <v>52</v>
      </c>
      <c r="P19" s="3">
        <v>69</v>
      </c>
      <c r="Q19" s="24">
        <v>104000</v>
      </c>
      <c r="R19" s="3"/>
      <c r="S19" s="25">
        <v>104000</v>
      </c>
    </row>
    <row r="20" spans="1:19" ht="21" customHeight="1">
      <c r="A20" s="20">
        <v>13</v>
      </c>
      <c r="B20" s="21" t="s">
        <v>57</v>
      </c>
      <c r="C20" s="30" t="s">
        <v>58</v>
      </c>
      <c r="D20" s="34"/>
      <c r="E20" s="23" t="s">
        <v>59</v>
      </c>
      <c r="F20" s="3">
        <v>4</v>
      </c>
      <c r="G20" s="3">
        <v>4</v>
      </c>
      <c r="H20" s="24">
        <v>5000</v>
      </c>
      <c r="I20" s="3"/>
      <c r="J20" s="25">
        <v>5000</v>
      </c>
      <c r="K20" s="31"/>
      <c r="L20" s="32"/>
      <c r="M20" s="28"/>
      <c r="N20" s="23" t="s">
        <v>59</v>
      </c>
      <c r="O20" s="3">
        <v>4</v>
      </c>
      <c r="P20" s="3">
        <v>4</v>
      </c>
      <c r="Q20" s="24">
        <v>5000</v>
      </c>
      <c r="R20" s="3"/>
      <c r="S20" s="25">
        <v>5000</v>
      </c>
    </row>
    <row r="21" spans="1:19" ht="21" customHeight="1">
      <c r="A21" s="20">
        <v>14</v>
      </c>
      <c r="B21" s="21" t="s">
        <v>60</v>
      </c>
      <c r="C21" s="30" t="s">
        <v>61</v>
      </c>
      <c r="D21" s="22"/>
      <c r="E21" s="23" t="s">
        <v>62</v>
      </c>
      <c r="F21" s="3">
        <v>68</v>
      </c>
      <c r="G21" s="3">
        <v>68</v>
      </c>
      <c r="H21" s="24">
        <v>48500</v>
      </c>
      <c r="I21" s="3"/>
      <c r="J21" s="25">
        <v>48500</v>
      </c>
      <c r="K21" s="31"/>
      <c r="L21" s="32"/>
      <c r="M21" s="28"/>
      <c r="N21" s="23" t="s">
        <v>62</v>
      </c>
      <c r="O21" s="3">
        <v>68</v>
      </c>
      <c r="P21" s="3">
        <v>68</v>
      </c>
      <c r="Q21" s="24">
        <v>48500</v>
      </c>
      <c r="R21" s="3"/>
      <c r="S21" s="25">
        <v>48500</v>
      </c>
    </row>
    <row r="22" spans="1:19" ht="21" customHeight="1">
      <c r="A22" s="20">
        <v>15</v>
      </c>
      <c r="B22" s="21" t="s">
        <v>63</v>
      </c>
      <c r="C22" s="21" t="s">
        <v>64</v>
      </c>
      <c r="D22" s="22"/>
      <c r="E22" s="23" t="s">
        <v>65</v>
      </c>
      <c r="F22" s="3">
        <v>38</v>
      </c>
      <c r="G22" s="3">
        <v>55</v>
      </c>
      <c r="H22" s="24">
        <v>38000</v>
      </c>
      <c r="I22" s="3"/>
      <c r="J22" s="25">
        <v>38000</v>
      </c>
      <c r="K22" s="31"/>
      <c r="L22" s="32"/>
      <c r="M22" s="28"/>
      <c r="N22" s="23" t="s">
        <v>65</v>
      </c>
      <c r="O22" s="3">
        <v>38</v>
      </c>
      <c r="P22" s="3">
        <v>55</v>
      </c>
      <c r="Q22" s="24">
        <v>38000</v>
      </c>
      <c r="R22" s="3"/>
      <c r="S22" s="25">
        <v>38000</v>
      </c>
    </row>
    <row r="23" spans="1:19" ht="21" customHeight="1">
      <c r="A23" s="20">
        <v>16</v>
      </c>
      <c r="B23" s="36" t="s">
        <v>66</v>
      </c>
      <c r="C23" s="36" t="s">
        <v>67</v>
      </c>
      <c r="D23" s="37"/>
      <c r="E23" s="38" t="s">
        <v>68</v>
      </c>
      <c r="F23" s="39">
        <v>16</v>
      </c>
      <c r="G23" s="39">
        <v>37</v>
      </c>
      <c r="H23" s="40">
        <v>37600</v>
      </c>
      <c r="I23" s="39"/>
      <c r="J23" s="41">
        <v>37600</v>
      </c>
      <c r="K23" s="42"/>
      <c r="L23" s="43"/>
      <c r="M23" s="44"/>
      <c r="N23" s="38" t="s">
        <v>68</v>
      </c>
      <c r="O23" s="39">
        <v>16</v>
      </c>
      <c r="P23" s="39">
        <v>37</v>
      </c>
      <c r="Q23" s="40">
        <v>37600</v>
      </c>
      <c r="R23" s="39"/>
      <c r="S23" s="41">
        <v>37600</v>
      </c>
    </row>
    <row r="24" spans="1:19" ht="21" customHeight="1" thickBot="1">
      <c r="A24" s="45"/>
      <c r="B24" s="46" t="s">
        <v>18</v>
      </c>
      <c r="C24" s="47"/>
      <c r="D24" s="48"/>
      <c r="E24" s="49"/>
      <c r="F24" s="50"/>
      <c r="G24" s="50"/>
      <c r="H24" s="51">
        <f>SUM(H8:H23)</f>
        <v>711100</v>
      </c>
      <c r="I24" s="51">
        <v>0</v>
      </c>
      <c r="J24" s="51">
        <f>SUM(J8:J23)</f>
        <v>711100</v>
      </c>
      <c r="K24" s="52"/>
      <c r="L24" s="53"/>
      <c r="M24" s="54">
        <f>SUM(M8:M23)</f>
        <v>0</v>
      </c>
      <c r="N24" s="49"/>
      <c r="O24" s="50"/>
      <c r="P24" s="50"/>
      <c r="Q24" s="51">
        <f>SUM(Q8:Q23)</f>
        <v>711100</v>
      </c>
      <c r="R24" s="51">
        <f ca="1">SUM(R8:R39)</f>
        <v>0</v>
      </c>
      <c r="S24" s="51">
        <f>SUM(S8:S23)</f>
        <v>711100</v>
      </c>
    </row>
    <row r="25" spans="1:19" s="1" customFormat="1" ht="21" customHeight="1" thickTop="1">
      <c r="A25" s="55"/>
      <c r="B25" s="56" t="s">
        <v>69</v>
      </c>
      <c r="D25" s="57"/>
      <c r="E25" s="58"/>
      <c r="F25" s="59"/>
      <c r="G25" s="29"/>
      <c r="H25" s="29"/>
      <c r="I25" s="29"/>
      <c r="J25" s="29"/>
      <c r="K25" s="60"/>
      <c r="L25" s="61"/>
      <c r="M25" s="61"/>
    </row>
    <row r="26" spans="1:19" ht="21" customHeight="1">
      <c r="A26" s="20">
        <v>1</v>
      </c>
      <c r="B26" s="21" t="s">
        <v>70</v>
      </c>
      <c r="C26" s="21" t="s">
        <v>71</v>
      </c>
      <c r="D26" s="6"/>
      <c r="E26" s="23" t="s">
        <v>72</v>
      </c>
      <c r="F26" s="3">
        <v>7</v>
      </c>
      <c r="G26" s="3">
        <v>141</v>
      </c>
      <c r="H26" s="24">
        <v>20000</v>
      </c>
      <c r="I26" s="3"/>
      <c r="J26" s="25">
        <v>20000</v>
      </c>
      <c r="K26" s="26"/>
      <c r="L26" s="27"/>
      <c r="M26" s="28"/>
      <c r="N26" s="23" t="s">
        <v>72</v>
      </c>
      <c r="O26" s="3">
        <v>7</v>
      </c>
      <c r="P26" s="3">
        <v>141</v>
      </c>
      <c r="Q26" s="24">
        <v>20000</v>
      </c>
      <c r="R26" s="3"/>
      <c r="S26" s="25">
        <v>20000</v>
      </c>
    </row>
    <row r="27" spans="1:19" ht="21" customHeight="1" thickBot="1">
      <c r="A27" s="45"/>
      <c r="B27" s="46" t="s">
        <v>18</v>
      </c>
      <c r="C27" s="47"/>
      <c r="D27" s="48"/>
      <c r="E27" s="49"/>
      <c r="F27" s="50"/>
      <c r="G27" s="50"/>
      <c r="H27" s="51">
        <v>20000</v>
      </c>
      <c r="I27" s="51">
        <v>0</v>
      </c>
      <c r="J27" s="51">
        <v>20000</v>
      </c>
      <c r="K27" s="62"/>
      <c r="L27" s="53"/>
      <c r="M27" s="54"/>
      <c r="N27" s="49"/>
      <c r="O27" s="50"/>
      <c r="P27" s="50"/>
      <c r="Q27" s="51">
        <f t="shared" ref="Q27:S27" si="0">SUM(Q26)</f>
        <v>20000</v>
      </c>
      <c r="R27" s="51">
        <f t="shared" si="0"/>
        <v>0</v>
      </c>
      <c r="S27" s="51">
        <f t="shared" si="0"/>
        <v>20000</v>
      </c>
    </row>
    <row r="28" spans="1:19" ht="21" customHeight="1" thickTop="1">
      <c r="B28" s="1"/>
      <c r="C28" s="1"/>
      <c r="D28" s="63"/>
      <c r="E28" s="64"/>
      <c r="F28" s="58"/>
      <c r="G28" s="58"/>
      <c r="H28" s="65"/>
      <c r="I28" s="58"/>
      <c r="J28" s="59"/>
      <c r="K28" s="66"/>
      <c r="L28" s="67"/>
      <c r="M28" s="68"/>
      <c r="N28" s="64"/>
      <c r="Q28" s="65"/>
      <c r="S28" s="59"/>
    </row>
    <row r="29" spans="1:19" s="1" customFormat="1" ht="21" customHeight="1">
      <c r="A29" s="55"/>
      <c r="B29" s="69" t="s">
        <v>73</v>
      </c>
      <c r="D29" s="57"/>
      <c r="E29" s="58"/>
      <c r="F29" s="59"/>
      <c r="G29" s="29"/>
      <c r="H29" s="29"/>
      <c r="I29" s="29"/>
      <c r="J29" s="29"/>
      <c r="K29" s="60"/>
      <c r="L29" s="61"/>
      <c r="M29" s="61"/>
    </row>
    <row r="30" spans="1:19" ht="21" customHeight="1">
      <c r="A30" s="20">
        <v>1</v>
      </c>
      <c r="B30" s="21" t="s">
        <v>74</v>
      </c>
      <c r="C30" s="70" t="s">
        <v>75</v>
      </c>
      <c r="D30" s="6"/>
      <c r="E30" s="24"/>
      <c r="F30" s="3"/>
      <c r="G30" s="3"/>
      <c r="H30" s="24">
        <v>0</v>
      </c>
      <c r="I30" s="3"/>
      <c r="J30" s="25">
        <v>0</v>
      </c>
      <c r="K30" s="71"/>
      <c r="L30" s="72"/>
      <c r="M30" s="28"/>
      <c r="N30" s="23"/>
      <c r="O30" s="3"/>
      <c r="P30" s="3"/>
      <c r="Q30" s="24">
        <f>SUM(H30-M30)</f>
        <v>0</v>
      </c>
      <c r="R30" s="24"/>
      <c r="S30" s="24">
        <f>SUM(J30-M30)</f>
        <v>0</v>
      </c>
    </row>
    <row r="31" spans="1:19" ht="21" customHeight="1">
      <c r="A31" s="20"/>
      <c r="B31" s="33" t="s">
        <v>74</v>
      </c>
      <c r="C31" s="73" t="s">
        <v>79</v>
      </c>
      <c r="D31" s="34"/>
      <c r="E31" s="23" t="s">
        <v>80</v>
      </c>
      <c r="F31" s="3">
        <v>43</v>
      </c>
      <c r="G31" s="3">
        <v>43</v>
      </c>
      <c r="H31" s="24">
        <v>84900</v>
      </c>
      <c r="I31" s="3"/>
      <c r="J31" s="25">
        <v>84900</v>
      </c>
      <c r="K31" s="31" t="s">
        <v>122</v>
      </c>
      <c r="L31" s="32" t="s">
        <v>123</v>
      </c>
      <c r="M31" s="28">
        <v>300</v>
      </c>
      <c r="N31" s="23" t="s">
        <v>80</v>
      </c>
      <c r="O31" s="3">
        <v>43</v>
      </c>
      <c r="P31" s="3">
        <v>43</v>
      </c>
      <c r="Q31" s="24">
        <f t="shared" ref="Q31:Q34" si="1">SUM(H31-M31)</f>
        <v>84600</v>
      </c>
      <c r="R31" s="24"/>
      <c r="S31" s="24">
        <f t="shared" ref="S31:S34" si="2">SUM(J31-M31)</f>
        <v>84600</v>
      </c>
    </row>
    <row r="32" spans="1:19" ht="21" customHeight="1">
      <c r="A32" s="20">
        <v>2</v>
      </c>
      <c r="B32" s="33" t="s">
        <v>81</v>
      </c>
      <c r="C32" s="22" t="s">
        <v>82</v>
      </c>
      <c r="D32" s="34"/>
      <c r="E32" s="23" t="s">
        <v>83</v>
      </c>
      <c r="F32" s="3">
        <v>24</v>
      </c>
      <c r="G32" s="3">
        <v>24</v>
      </c>
      <c r="H32" s="24">
        <v>1000</v>
      </c>
      <c r="I32" s="3"/>
      <c r="J32" s="25">
        <v>1000</v>
      </c>
      <c r="K32" s="26" t="s">
        <v>124</v>
      </c>
      <c r="L32" s="32" t="s">
        <v>125</v>
      </c>
      <c r="M32" s="28">
        <v>1000</v>
      </c>
      <c r="N32" s="23"/>
      <c r="O32" s="3"/>
      <c r="P32" s="3"/>
      <c r="Q32" s="24">
        <f t="shared" si="1"/>
        <v>0</v>
      </c>
      <c r="R32" s="24"/>
      <c r="S32" s="24">
        <f t="shared" si="2"/>
        <v>0</v>
      </c>
    </row>
    <row r="33" spans="1:19" ht="21" customHeight="1">
      <c r="A33" s="20"/>
      <c r="B33" s="33" t="s">
        <v>81</v>
      </c>
      <c r="C33" s="22" t="s">
        <v>85</v>
      </c>
      <c r="D33" s="34"/>
      <c r="E33" s="23" t="s">
        <v>83</v>
      </c>
      <c r="F33" s="3">
        <v>24</v>
      </c>
      <c r="G33" s="3">
        <v>24</v>
      </c>
      <c r="H33" s="24">
        <v>21000</v>
      </c>
      <c r="I33" s="3"/>
      <c r="J33" s="25">
        <v>21000</v>
      </c>
      <c r="K33" s="31" t="s">
        <v>124</v>
      </c>
      <c r="L33" s="32" t="s">
        <v>126</v>
      </c>
      <c r="M33" s="28">
        <v>1000</v>
      </c>
      <c r="N33" s="23" t="s">
        <v>83</v>
      </c>
      <c r="O33" s="3">
        <v>24</v>
      </c>
      <c r="P33" s="3">
        <v>24</v>
      </c>
      <c r="Q33" s="24">
        <f t="shared" si="1"/>
        <v>20000</v>
      </c>
      <c r="R33" s="24"/>
      <c r="S33" s="24">
        <f t="shared" si="2"/>
        <v>20000</v>
      </c>
    </row>
    <row r="34" spans="1:19" ht="21" customHeight="1">
      <c r="A34" s="20">
        <v>3</v>
      </c>
      <c r="B34" s="21" t="s">
        <v>86</v>
      </c>
      <c r="C34" s="30" t="s">
        <v>87</v>
      </c>
      <c r="D34" s="22"/>
      <c r="E34" s="23" t="s">
        <v>50</v>
      </c>
      <c r="F34" s="3">
        <v>34</v>
      </c>
      <c r="G34" s="3">
        <v>34</v>
      </c>
      <c r="H34" s="24">
        <v>4500</v>
      </c>
      <c r="I34" s="3"/>
      <c r="J34" s="25">
        <v>4500</v>
      </c>
      <c r="K34" s="31"/>
      <c r="L34" s="32"/>
      <c r="M34" s="35"/>
      <c r="N34" s="23" t="s">
        <v>50</v>
      </c>
      <c r="O34" s="3">
        <v>34</v>
      </c>
      <c r="P34" s="3">
        <v>34</v>
      </c>
      <c r="Q34" s="24">
        <f t="shared" si="1"/>
        <v>4500</v>
      </c>
      <c r="R34" s="3"/>
      <c r="S34" s="24">
        <f t="shared" si="2"/>
        <v>4500</v>
      </c>
    </row>
    <row r="35" spans="1:19" ht="21" customHeight="1" thickBot="1">
      <c r="A35" s="45"/>
      <c r="B35" s="46" t="s">
        <v>18</v>
      </c>
      <c r="C35" s="47"/>
      <c r="D35" s="48"/>
      <c r="E35" s="49"/>
      <c r="F35" s="50"/>
      <c r="G35" s="50"/>
      <c r="H35" s="51">
        <f>SUM(H30:H34)</f>
        <v>111400</v>
      </c>
      <c r="I35" s="51">
        <v>0</v>
      </c>
      <c r="J35" s="51">
        <f>SUM(J30:J34)</f>
        <v>111400</v>
      </c>
      <c r="K35" s="62"/>
      <c r="L35" s="53"/>
      <c r="M35" s="74">
        <f>SUM(M30:M34)</f>
        <v>2300</v>
      </c>
      <c r="N35" s="49"/>
      <c r="O35" s="50"/>
      <c r="P35" s="50"/>
      <c r="Q35" s="51">
        <f>SUM(Q30:Q34)</f>
        <v>109100</v>
      </c>
      <c r="R35" s="51">
        <f>SUM(R30:R33)</f>
        <v>0</v>
      </c>
      <c r="S35" s="51">
        <f>SUM(S30:S34)</f>
        <v>109100</v>
      </c>
    </row>
    <row r="36" spans="1:19" s="85" customFormat="1" ht="21" customHeight="1" thickTop="1">
      <c r="A36" s="75"/>
      <c r="B36" s="76"/>
      <c r="C36" s="77"/>
      <c r="D36" s="78"/>
      <c r="E36" s="79"/>
      <c r="F36" s="80"/>
      <c r="G36" s="80"/>
      <c r="H36" s="81"/>
      <c r="I36" s="81"/>
      <c r="J36" s="81"/>
      <c r="K36" s="82"/>
      <c r="L36" s="83"/>
      <c r="M36" s="84"/>
      <c r="N36" s="79"/>
      <c r="O36" s="80"/>
      <c r="P36" s="80"/>
      <c r="Q36" s="81"/>
      <c r="R36" s="81"/>
      <c r="S36" s="81"/>
    </row>
    <row r="37" spans="1:19" ht="21" customHeight="1">
      <c r="B37" s="86" t="s">
        <v>90</v>
      </c>
    </row>
    <row r="38" spans="1:19" ht="21" customHeight="1">
      <c r="A38" s="20">
        <v>1</v>
      </c>
      <c r="B38" s="33" t="s">
        <v>91</v>
      </c>
      <c r="C38" s="73" t="s">
        <v>92</v>
      </c>
      <c r="D38" s="34"/>
      <c r="E38" s="23" t="s">
        <v>93</v>
      </c>
      <c r="F38" s="3">
        <v>2</v>
      </c>
      <c r="G38" s="3">
        <v>2</v>
      </c>
      <c r="H38" s="24">
        <v>11000</v>
      </c>
      <c r="I38" s="3"/>
      <c r="J38" s="25">
        <v>11000</v>
      </c>
      <c r="K38" s="31"/>
      <c r="L38" s="32"/>
      <c r="M38" s="28"/>
      <c r="N38" s="23" t="s">
        <v>93</v>
      </c>
      <c r="O38" s="3">
        <v>2</v>
      </c>
      <c r="P38" s="3">
        <v>2</v>
      </c>
      <c r="Q38" s="24">
        <v>11000</v>
      </c>
      <c r="R38" s="3"/>
      <c r="S38" s="25">
        <v>11000</v>
      </c>
    </row>
    <row r="39" spans="1:19" ht="21" customHeight="1">
      <c r="A39" s="20">
        <v>2</v>
      </c>
      <c r="B39" s="70" t="s">
        <v>94</v>
      </c>
      <c r="C39" s="30" t="s">
        <v>95</v>
      </c>
      <c r="D39" s="22"/>
      <c r="E39" s="23" t="s">
        <v>96</v>
      </c>
      <c r="F39" s="3">
        <v>3</v>
      </c>
      <c r="G39" s="3">
        <v>3</v>
      </c>
      <c r="H39" s="24">
        <v>6000</v>
      </c>
      <c r="I39" s="3"/>
      <c r="J39" s="25">
        <v>6000</v>
      </c>
      <c r="K39" s="31"/>
      <c r="L39" s="32"/>
      <c r="M39" s="27"/>
      <c r="N39" s="23" t="s">
        <v>96</v>
      </c>
      <c r="O39" s="3">
        <v>3</v>
      </c>
      <c r="P39" s="3">
        <v>3</v>
      </c>
      <c r="Q39" s="24">
        <f>SUM(H39-M39)</f>
        <v>6000</v>
      </c>
      <c r="R39" s="24"/>
      <c r="S39" s="24">
        <f>SUM(J39-M39)</f>
        <v>6000</v>
      </c>
    </row>
    <row r="40" spans="1:19" ht="21" customHeight="1" thickBot="1">
      <c r="A40" s="45"/>
      <c r="B40" s="46" t="s">
        <v>18</v>
      </c>
      <c r="C40" s="47"/>
      <c r="D40" s="48"/>
      <c r="E40" s="49"/>
      <c r="F40" s="50"/>
      <c r="G40" s="50"/>
      <c r="H40" s="51">
        <v>17000</v>
      </c>
      <c r="I40" s="51">
        <v>0</v>
      </c>
      <c r="J40" s="51">
        <v>17000</v>
      </c>
      <c r="K40" s="62"/>
      <c r="L40" s="53"/>
      <c r="M40" s="74">
        <f>SUM(M36:M39)</f>
        <v>0</v>
      </c>
      <c r="N40" s="49"/>
      <c r="O40" s="50"/>
      <c r="P40" s="50"/>
      <c r="Q40" s="51">
        <f>SUM(Q36:Q39)</f>
        <v>17000</v>
      </c>
      <c r="R40" s="51">
        <f>SUM(R36:R39)</f>
        <v>0</v>
      </c>
      <c r="S40" s="51">
        <f>SUM(S36:S39)</f>
        <v>17000</v>
      </c>
    </row>
    <row r="41" spans="1:19" s="85" customFormat="1" ht="21" customHeight="1" thickTop="1">
      <c r="A41" s="75"/>
      <c r="B41" s="93"/>
      <c r="C41" s="77"/>
      <c r="D41" s="78"/>
      <c r="E41" s="79"/>
      <c r="F41" s="80"/>
      <c r="G41" s="80"/>
      <c r="H41" s="81"/>
      <c r="I41" s="80"/>
      <c r="J41" s="94"/>
      <c r="K41" s="82"/>
      <c r="L41" s="83"/>
      <c r="M41" s="95"/>
      <c r="N41" s="79"/>
      <c r="O41" s="80"/>
      <c r="P41" s="80"/>
      <c r="Q41" s="81"/>
      <c r="R41" s="81"/>
      <c r="S41" s="81"/>
    </row>
    <row r="42" spans="1:19" ht="21" customHeight="1">
      <c r="H42" s="96">
        <f>SUM(H24+H27+H35+H40)</f>
        <v>859500</v>
      </c>
      <c r="I42" s="96">
        <f t="shared" ref="I42:P42" si="3">SUM(I24+I27+I35+I40)</f>
        <v>0</v>
      </c>
      <c r="J42" s="96">
        <f t="shared" si="3"/>
        <v>859500</v>
      </c>
      <c r="K42" s="96">
        <f t="shared" si="3"/>
        <v>0</v>
      </c>
      <c r="L42" s="96">
        <f t="shared" si="3"/>
        <v>0</v>
      </c>
      <c r="M42" s="96">
        <f t="shared" si="3"/>
        <v>2300</v>
      </c>
      <c r="N42" s="96">
        <f t="shared" si="3"/>
        <v>0</v>
      </c>
      <c r="O42" s="96">
        <f t="shared" si="3"/>
        <v>0</v>
      </c>
      <c r="P42" s="96">
        <f t="shared" si="3"/>
        <v>0</v>
      </c>
      <c r="Q42" s="96">
        <f>SUM(Q24+Q27+Q35+Q40)</f>
        <v>857200</v>
      </c>
      <c r="R42" s="96">
        <f ca="1">SUM(R24+R27+R35+R40)</f>
        <v>0</v>
      </c>
      <c r="S42" s="96">
        <f>SUM(S24+S27+S35+S40)</f>
        <v>857200</v>
      </c>
    </row>
    <row r="44" spans="1:19" ht="21" customHeight="1">
      <c r="S44" s="58"/>
    </row>
    <row r="52" spans="1:18" ht="21" customHeight="1">
      <c r="A52" s="29"/>
      <c r="R52" s="29"/>
    </row>
    <row r="53" spans="1:18" ht="21" customHeight="1">
      <c r="A53" s="29"/>
      <c r="R53" s="29"/>
    </row>
    <row r="63" spans="1:18" ht="21" customHeight="1">
      <c r="A63" s="29"/>
      <c r="R63" s="29"/>
    </row>
    <row r="64" spans="1:18" ht="21" customHeight="1">
      <c r="A64" s="29"/>
      <c r="R64" s="29"/>
    </row>
    <row r="67" spans="1:19" ht="21" customHeight="1">
      <c r="A67" s="29"/>
      <c r="C67" s="29"/>
      <c r="D67" s="29"/>
      <c r="F67" s="29"/>
      <c r="G67" s="29"/>
      <c r="H67" s="29"/>
      <c r="I67" s="29"/>
      <c r="J67" s="29"/>
      <c r="K67" s="2"/>
      <c r="L67" s="29"/>
      <c r="O67" s="29"/>
      <c r="P67" s="29"/>
      <c r="Q67" s="29"/>
      <c r="R67" s="29" t="s">
        <v>97</v>
      </c>
      <c r="S67" s="58">
        <v>32</v>
      </c>
    </row>
    <row r="68" spans="1:19" ht="21" customHeight="1">
      <c r="A68" s="29"/>
      <c r="C68" s="29"/>
      <c r="D68" s="29"/>
      <c r="F68" s="29"/>
      <c r="G68" s="29"/>
      <c r="H68" s="29"/>
      <c r="I68" s="29"/>
      <c r="J68" s="29"/>
      <c r="K68" s="2"/>
      <c r="L68" s="29"/>
      <c r="O68" s="29"/>
      <c r="P68" s="29"/>
      <c r="Q68" s="29"/>
      <c r="R68" s="55" t="s">
        <v>98</v>
      </c>
      <c r="S68" s="55">
        <v>18</v>
      </c>
    </row>
    <row r="122" spans="1:19" ht="21" customHeight="1">
      <c r="A122" s="97" t="s">
        <v>99</v>
      </c>
      <c r="B122" s="36" t="s">
        <v>100</v>
      </c>
      <c r="C122" s="98" t="s">
        <v>101</v>
      </c>
      <c r="D122" s="37">
        <v>1100</v>
      </c>
      <c r="E122" s="38" t="s">
        <v>102</v>
      </c>
      <c r="F122" s="39">
        <v>1</v>
      </c>
      <c r="G122" s="39">
        <v>1</v>
      </c>
      <c r="H122" s="40">
        <v>1100</v>
      </c>
      <c r="I122" s="39"/>
      <c r="J122" s="41">
        <v>1100</v>
      </c>
      <c r="K122" s="99"/>
      <c r="L122" s="100"/>
      <c r="M122" s="101"/>
      <c r="N122" s="38" t="s">
        <v>103</v>
      </c>
      <c r="O122" s="39">
        <v>2</v>
      </c>
      <c r="P122" s="39">
        <v>2</v>
      </c>
      <c r="Q122" s="40">
        <v>2200</v>
      </c>
      <c r="R122" s="39"/>
      <c r="S122" s="41">
        <v>1100</v>
      </c>
    </row>
  </sheetData>
  <mergeCells count="19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N5:N6"/>
    <mergeCell ref="O5:O6"/>
    <mergeCell ref="Q5:S5"/>
    <mergeCell ref="E5:E6"/>
    <mergeCell ref="F5:F6"/>
    <mergeCell ref="H5:J5"/>
    <mergeCell ref="K5:K6"/>
    <mergeCell ref="L5:L6"/>
    <mergeCell ref="M5:M6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27D1-5891-44B9-96B6-67D61D6A62DE}">
  <sheetPr>
    <tabColor rgb="FF00B0F0"/>
  </sheetPr>
  <dimension ref="A1:H89"/>
  <sheetViews>
    <sheetView zoomScale="70" zoomScaleNormal="70" workbookViewId="0">
      <pane ySplit="6" topLeftCell="A7" activePane="bottomLeft" state="frozen"/>
      <selection pane="bottomLeft" activeCell="G34" sqref="G34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90"/>
    <col min="5" max="5" width="13.88671875" style="91"/>
    <col min="6" max="6" width="13.6640625" style="29" customWidth="1"/>
    <col min="7" max="16384" width="13.88671875" style="29"/>
  </cols>
  <sheetData>
    <row r="1" spans="1:8" s="1" customFormat="1" ht="21" customHeight="1">
      <c r="A1" s="198" t="s">
        <v>0</v>
      </c>
      <c r="B1" s="198"/>
      <c r="C1" s="198"/>
      <c r="D1" s="198"/>
      <c r="E1" s="198"/>
      <c r="F1" s="198"/>
    </row>
    <row r="2" spans="1:8" s="1" customFormat="1" ht="21" customHeight="1">
      <c r="A2" s="199" t="s">
        <v>1</v>
      </c>
      <c r="B2" s="199"/>
      <c r="C2" s="199"/>
      <c r="D2" s="199"/>
      <c r="E2" s="199"/>
      <c r="F2" s="199"/>
    </row>
    <row r="3" spans="1:8" s="1" customFormat="1" ht="21" customHeight="1">
      <c r="A3" s="200" t="s">
        <v>121</v>
      </c>
      <c r="B3" s="200"/>
      <c r="C3" s="200"/>
      <c r="D3" s="200"/>
      <c r="E3" s="200"/>
      <c r="F3" s="200"/>
    </row>
    <row r="4" spans="1:8" s="1" customFormat="1" ht="21" customHeight="1">
      <c r="A4" s="201" t="s">
        <v>3</v>
      </c>
      <c r="B4" s="201" t="s">
        <v>4</v>
      </c>
      <c r="C4" s="204" t="s">
        <v>5</v>
      </c>
      <c r="D4" s="214" t="s">
        <v>8</v>
      </c>
      <c r="E4" s="214"/>
      <c r="F4" s="214"/>
    </row>
    <row r="5" spans="1:8" s="1" customFormat="1" ht="21" customHeight="1">
      <c r="A5" s="202"/>
      <c r="B5" s="202"/>
      <c r="C5" s="205"/>
      <c r="D5" s="216" t="s">
        <v>12</v>
      </c>
      <c r="E5" s="218" t="s">
        <v>13</v>
      </c>
      <c r="F5" s="209" t="s">
        <v>14</v>
      </c>
    </row>
    <row r="6" spans="1:8" s="1" customFormat="1" ht="21" customHeight="1">
      <c r="A6" s="203"/>
      <c r="B6" s="203"/>
      <c r="C6" s="206"/>
      <c r="D6" s="217"/>
      <c r="E6" s="219"/>
      <c r="F6" s="210"/>
    </row>
    <row r="7" spans="1:8" s="1" customFormat="1" ht="21" customHeight="1">
      <c r="A7" s="55"/>
      <c r="B7" s="69" t="s">
        <v>73</v>
      </c>
      <c r="D7" s="60"/>
      <c r="E7" s="61"/>
      <c r="F7" s="61"/>
    </row>
    <row r="8" spans="1:8" ht="21" customHeight="1">
      <c r="A8" s="20">
        <v>1</v>
      </c>
      <c r="B8" s="33" t="s">
        <v>74</v>
      </c>
      <c r="C8" s="73" t="s">
        <v>79</v>
      </c>
      <c r="D8" s="31" t="s">
        <v>122</v>
      </c>
      <c r="E8" s="32" t="s">
        <v>123</v>
      </c>
      <c r="F8" s="28">
        <v>300</v>
      </c>
    </row>
    <row r="9" spans="1:8" ht="21" customHeight="1">
      <c r="A9" s="20">
        <v>2</v>
      </c>
      <c r="B9" s="33" t="s">
        <v>81</v>
      </c>
      <c r="C9" s="22" t="s">
        <v>82</v>
      </c>
      <c r="D9" s="26" t="s">
        <v>124</v>
      </c>
      <c r="E9" s="32" t="s">
        <v>125</v>
      </c>
      <c r="F9" s="28">
        <v>1000</v>
      </c>
    </row>
    <row r="10" spans="1:8" ht="21" customHeight="1">
      <c r="A10" s="20">
        <v>3</v>
      </c>
      <c r="B10" s="33" t="s">
        <v>81</v>
      </c>
      <c r="C10" s="22" t="s">
        <v>85</v>
      </c>
      <c r="D10" s="31" t="s">
        <v>124</v>
      </c>
      <c r="E10" s="32" t="s">
        <v>126</v>
      </c>
      <c r="F10" s="28">
        <v>1000</v>
      </c>
    </row>
    <row r="11" spans="1:8" ht="21" customHeight="1" thickBot="1">
      <c r="A11" s="45"/>
      <c r="B11" s="46" t="s">
        <v>18</v>
      </c>
      <c r="C11" s="47"/>
      <c r="D11" s="62"/>
      <c r="E11" s="53"/>
      <c r="F11" s="74">
        <v>2300</v>
      </c>
      <c r="H11" s="29">
        <f>SUM(F8:F10)</f>
        <v>2300</v>
      </c>
    </row>
    <row r="12" spans="1:8" s="85" customFormat="1" ht="21" customHeight="1" thickTop="1">
      <c r="A12" s="75"/>
      <c r="B12" s="76"/>
      <c r="C12" s="77"/>
      <c r="D12" s="82"/>
      <c r="E12" s="83"/>
      <c r="F12" s="84"/>
    </row>
    <row r="19" spans="1:1" ht="21" customHeight="1">
      <c r="A19" s="29"/>
    </row>
    <row r="20" spans="1:1" ht="21" customHeight="1">
      <c r="A20" s="29"/>
    </row>
    <row r="30" spans="1:1" ht="21" customHeight="1">
      <c r="A30" s="29"/>
    </row>
    <row r="31" spans="1:1" ht="21" customHeight="1">
      <c r="A31" s="29"/>
    </row>
    <row r="34" spans="4:4" s="29" customFormat="1" ht="21" customHeight="1">
      <c r="D34" s="2"/>
    </row>
    <row r="35" spans="4:4" s="29" customFormat="1" ht="21" customHeight="1">
      <c r="D35" s="2"/>
    </row>
    <row r="89" spans="1:6" ht="21" customHeight="1">
      <c r="A89" s="97" t="s">
        <v>99</v>
      </c>
      <c r="B89" s="36" t="s">
        <v>100</v>
      </c>
      <c r="C89" s="98" t="s">
        <v>101</v>
      </c>
      <c r="D89" s="99"/>
      <c r="E89" s="100"/>
      <c r="F89" s="101"/>
    </row>
  </sheetData>
  <mergeCells count="10"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D148-C606-4B3A-BC18-BA3C31CB6B93}">
  <sheetPr>
    <tabColor rgb="FF00B0F0"/>
  </sheetPr>
  <dimension ref="A1:I120"/>
  <sheetViews>
    <sheetView zoomScale="70" zoomScaleNormal="70" workbookViewId="0">
      <pane ySplit="6" topLeftCell="A7" activePane="bottomLeft" state="frozen"/>
      <selection pane="bottomLeft" activeCell="E18" sqref="E18:G18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4" width="19.44140625" style="87" customWidth="1"/>
    <col min="5" max="5" width="19.88671875" style="2" customWidth="1"/>
    <col min="6" max="6" width="13.88671875" style="58"/>
    <col min="7" max="16384" width="13.88671875" style="29"/>
  </cols>
  <sheetData>
    <row r="1" spans="1:7" s="1" customFormat="1" ht="21" customHeight="1">
      <c r="A1" s="198" t="s">
        <v>0</v>
      </c>
      <c r="B1" s="198"/>
      <c r="C1" s="198"/>
      <c r="D1" s="198"/>
      <c r="E1" s="198"/>
      <c r="F1" s="198"/>
      <c r="G1" s="198"/>
    </row>
    <row r="2" spans="1:7" s="1" customFormat="1" ht="21" customHeight="1">
      <c r="A2" s="199" t="s">
        <v>1</v>
      </c>
      <c r="B2" s="199"/>
      <c r="C2" s="199"/>
      <c r="D2" s="199"/>
      <c r="E2" s="199"/>
      <c r="F2" s="199"/>
      <c r="G2" s="199"/>
    </row>
    <row r="3" spans="1:7" s="1" customFormat="1" ht="21" customHeight="1">
      <c r="A3" s="200" t="s">
        <v>121</v>
      </c>
      <c r="B3" s="200"/>
      <c r="C3" s="200"/>
      <c r="D3" s="200"/>
      <c r="E3" s="200"/>
      <c r="F3" s="200"/>
      <c r="G3" s="200"/>
    </row>
    <row r="4" spans="1:7" s="1" customFormat="1" ht="21" customHeight="1">
      <c r="A4" s="201" t="s">
        <v>3</v>
      </c>
      <c r="B4" s="201" t="s">
        <v>4</v>
      </c>
      <c r="C4" s="204" t="s">
        <v>5</v>
      </c>
      <c r="D4" s="104"/>
      <c r="E4" s="207" t="s">
        <v>9</v>
      </c>
      <c r="F4" s="207"/>
      <c r="G4" s="207"/>
    </row>
    <row r="5" spans="1:7" s="1" customFormat="1" ht="21" customHeight="1">
      <c r="A5" s="202"/>
      <c r="B5" s="202"/>
      <c r="C5" s="205"/>
      <c r="D5" s="105" t="s">
        <v>120</v>
      </c>
      <c r="E5" s="208" t="s">
        <v>10</v>
      </c>
      <c r="F5" s="207" t="s">
        <v>15</v>
      </c>
      <c r="G5" s="102"/>
    </row>
    <row r="6" spans="1:7" s="1" customFormat="1" ht="21" customHeight="1">
      <c r="A6" s="203"/>
      <c r="B6" s="203"/>
      <c r="C6" s="206"/>
      <c r="D6" s="106"/>
      <c r="E6" s="208"/>
      <c r="F6" s="207"/>
      <c r="G6" s="8" t="s">
        <v>18</v>
      </c>
    </row>
    <row r="7" spans="1:7" s="1" customFormat="1" ht="21" customHeight="1">
      <c r="A7" s="9"/>
      <c r="B7" s="10" t="s">
        <v>20</v>
      </c>
      <c r="C7" s="11"/>
      <c r="D7" s="11"/>
      <c r="E7" s="13"/>
      <c r="F7" s="14"/>
      <c r="G7" s="16"/>
    </row>
    <row r="8" spans="1:7" ht="21" customHeight="1">
      <c r="A8" s="20">
        <v>1</v>
      </c>
      <c r="B8" s="21" t="s">
        <v>21</v>
      </c>
      <c r="C8" s="21" t="s">
        <v>22</v>
      </c>
      <c r="D8" s="21"/>
      <c r="E8" s="23" t="s">
        <v>23</v>
      </c>
      <c r="F8" s="3">
        <v>37</v>
      </c>
      <c r="G8" s="25">
        <v>22300</v>
      </c>
    </row>
    <row r="9" spans="1:7" ht="21" customHeight="1">
      <c r="A9" s="20">
        <v>2</v>
      </c>
      <c r="B9" s="21" t="s">
        <v>24</v>
      </c>
      <c r="C9" s="30" t="s">
        <v>25</v>
      </c>
      <c r="D9" s="30"/>
      <c r="E9" s="23" t="s">
        <v>26</v>
      </c>
      <c r="F9" s="3">
        <v>13</v>
      </c>
      <c r="G9" s="25">
        <v>15000</v>
      </c>
    </row>
    <row r="10" spans="1:7" ht="21" customHeight="1">
      <c r="A10" s="20">
        <v>3</v>
      </c>
      <c r="B10" s="33" t="s">
        <v>27</v>
      </c>
      <c r="C10" s="22" t="s">
        <v>28</v>
      </c>
      <c r="D10" s="22"/>
      <c r="E10" s="23" t="s">
        <v>29</v>
      </c>
      <c r="F10" s="3">
        <v>23</v>
      </c>
      <c r="G10" s="25">
        <v>50000</v>
      </c>
    </row>
    <row r="11" spans="1:7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25">
        <v>79500</v>
      </c>
    </row>
    <row r="12" spans="1:7" ht="21" customHeight="1">
      <c r="A12" s="20">
        <v>5</v>
      </c>
      <c r="B12" s="33" t="s">
        <v>33</v>
      </c>
      <c r="C12" s="22" t="s">
        <v>34</v>
      </c>
      <c r="D12" s="22"/>
      <c r="E12" s="23" t="s">
        <v>35</v>
      </c>
      <c r="F12" s="3">
        <v>42</v>
      </c>
      <c r="G12" s="25">
        <v>41000</v>
      </c>
    </row>
    <row r="13" spans="1:7" ht="21" customHeight="1">
      <c r="A13" s="20">
        <v>6</v>
      </c>
      <c r="B13" s="21" t="s">
        <v>36</v>
      </c>
      <c r="C13" s="21" t="s">
        <v>37</v>
      </c>
      <c r="D13" s="21"/>
      <c r="E13" s="23" t="s">
        <v>38</v>
      </c>
      <c r="F13" s="3">
        <v>29</v>
      </c>
      <c r="G13" s="25">
        <v>28000</v>
      </c>
    </row>
    <row r="14" spans="1:7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25">
        <v>92000</v>
      </c>
    </row>
    <row r="15" spans="1:7" ht="21" customHeight="1">
      <c r="A15" s="20">
        <v>8</v>
      </c>
      <c r="B15" s="21" t="s">
        <v>42</v>
      </c>
      <c r="C15" s="21" t="s">
        <v>43</v>
      </c>
      <c r="D15" s="21"/>
      <c r="E15" s="23" t="s">
        <v>44</v>
      </c>
      <c r="F15" s="3">
        <v>41</v>
      </c>
      <c r="G15" s="25">
        <v>41000</v>
      </c>
    </row>
    <row r="16" spans="1:7" ht="21" customHeight="1">
      <c r="A16" s="20">
        <v>9</v>
      </c>
      <c r="B16" s="21" t="s">
        <v>45</v>
      </c>
      <c r="C16" s="30" t="s">
        <v>46</v>
      </c>
      <c r="D16" s="30"/>
      <c r="E16" s="23" t="s">
        <v>47</v>
      </c>
      <c r="F16" s="3">
        <v>66</v>
      </c>
      <c r="G16" s="25">
        <v>46500</v>
      </c>
    </row>
    <row r="17" spans="1:9" ht="21" customHeight="1">
      <c r="A17" s="20">
        <v>10</v>
      </c>
      <c r="B17" s="21" t="s">
        <v>48</v>
      </c>
      <c r="C17" s="30" t="s">
        <v>49</v>
      </c>
      <c r="D17" s="30"/>
      <c r="E17" s="23" t="s">
        <v>50</v>
      </c>
      <c r="F17" s="3">
        <v>34</v>
      </c>
      <c r="G17" s="25">
        <v>23600</v>
      </c>
    </row>
    <row r="18" spans="1:9" ht="21" customHeight="1">
      <c r="A18" s="20">
        <v>11</v>
      </c>
      <c r="B18" s="33" t="s">
        <v>51</v>
      </c>
      <c r="C18" s="22" t="s">
        <v>52</v>
      </c>
      <c r="D18" s="22"/>
      <c r="E18" s="23" t="s">
        <v>53</v>
      </c>
      <c r="F18" s="3">
        <v>39.049999999999997</v>
      </c>
      <c r="G18" s="25">
        <v>39100</v>
      </c>
    </row>
    <row r="19" spans="1:9" ht="21" customHeight="1">
      <c r="A19" s="20">
        <v>12</v>
      </c>
      <c r="B19" s="33" t="s">
        <v>54</v>
      </c>
      <c r="C19" s="22" t="s">
        <v>55</v>
      </c>
      <c r="D19" s="22"/>
      <c r="E19" s="23" t="s">
        <v>56</v>
      </c>
      <c r="F19" s="3">
        <v>52</v>
      </c>
      <c r="G19" s="25">
        <v>104000</v>
      </c>
    </row>
    <row r="20" spans="1:9" ht="21" customHeight="1">
      <c r="A20" s="20">
        <v>13</v>
      </c>
      <c r="B20" s="21" t="s">
        <v>57</v>
      </c>
      <c r="C20" s="30" t="s">
        <v>58</v>
      </c>
      <c r="D20" s="30"/>
      <c r="E20" s="23" t="s">
        <v>59</v>
      </c>
      <c r="F20" s="3">
        <v>4</v>
      </c>
      <c r="G20" s="25">
        <v>5000</v>
      </c>
    </row>
    <row r="21" spans="1:9" ht="21" customHeight="1">
      <c r="A21" s="20">
        <v>14</v>
      </c>
      <c r="B21" s="21" t="s">
        <v>60</v>
      </c>
      <c r="C21" s="30" t="s">
        <v>61</v>
      </c>
      <c r="D21" s="30"/>
      <c r="E21" s="23" t="s">
        <v>62</v>
      </c>
      <c r="F21" s="3">
        <v>68</v>
      </c>
      <c r="G21" s="25">
        <v>48500</v>
      </c>
    </row>
    <row r="22" spans="1:9" ht="21" customHeight="1">
      <c r="A22" s="20">
        <v>15</v>
      </c>
      <c r="B22" s="21" t="s">
        <v>63</v>
      </c>
      <c r="C22" s="21" t="s">
        <v>64</v>
      </c>
      <c r="D22" s="21"/>
      <c r="E22" s="23" t="s">
        <v>65</v>
      </c>
      <c r="F22" s="3">
        <v>38</v>
      </c>
      <c r="G22" s="25">
        <v>38000</v>
      </c>
    </row>
    <row r="23" spans="1:9" ht="21" customHeight="1">
      <c r="A23" s="20">
        <v>16</v>
      </c>
      <c r="B23" s="36" t="s">
        <v>66</v>
      </c>
      <c r="C23" s="36" t="s">
        <v>67</v>
      </c>
      <c r="D23" s="107"/>
      <c r="E23" s="38" t="s">
        <v>68</v>
      </c>
      <c r="F23" s="39">
        <v>16</v>
      </c>
      <c r="G23" s="41">
        <v>37600</v>
      </c>
    </row>
    <row r="24" spans="1:9" ht="21" customHeight="1" thickBot="1">
      <c r="A24" s="45"/>
      <c r="B24" s="46" t="s">
        <v>18</v>
      </c>
      <c r="C24" s="47"/>
      <c r="D24" s="47"/>
      <c r="E24" s="49"/>
      <c r="F24" s="50"/>
      <c r="G24" s="51">
        <v>711100</v>
      </c>
      <c r="I24" s="29">
        <f>SUM(G8:G23)</f>
        <v>711100</v>
      </c>
    </row>
    <row r="25" spans="1:9" s="1" customFormat="1" ht="21" customHeight="1" thickTop="1">
      <c r="A25" s="55"/>
      <c r="B25" s="56" t="s">
        <v>69</v>
      </c>
    </row>
    <row r="26" spans="1:9" ht="21" customHeight="1">
      <c r="A26" s="20">
        <v>1</v>
      </c>
      <c r="B26" s="21" t="s">
        <v>70</v>
      </c>
      <c r="C26" s="21" t="s">
        <v>71</v>
      </c>
      <c r="D26" s="21"/>
      <c r="E26" s="23" t="s">
        <v>72</v>
      </c>
      <c r="F26" s="3">
        <v>7</v>
      </c>
      <c r="G26" s="25">
        <v>20000</v>
      </c>
    </row>
    <row r="27" spans="1:9" ht="21" customHeight="1" thickBot="1">
      <c r="A27" s="45"/>
      <c r="B27" s="46" t="s">
        <v>18</v>
      </c>
      <c r="C27" s="47"/>
      <c r="D27" s="47"/>
      <c r="E27" s="49"/>
      <c r="F27" s="50"/>
      <c r="G27" s="51">
        <v>20000</v>
      </c>
      <c r="I27" s="29">
        <f>SUM(G26)</f>
        <v>20000</v>
      </c>
    </row>
    <row r="28" spans="1:9" ht="21" customHeight="1" thickTop="1">
      <c r="B28" s="1"/>
      <c r="C28" s="1"/>
      <c r="D28" s="1"/>
      <c r="E28" s="64"/>
      <c r="G28" s="59"/>
    </row>
    <row r="29" spans="1:9" s="1" customFormat="1" ht="21" customHeight="1">
      <c r="A29" s="55"/>
      <c r="B29" s="69" t="s">
        <v>73</v>
      </c>
    </row>
    <row r="30" spans="1:9" ht="21" customHeight="1">
      <c r="A30" s="20"/>
      <c r="B30" s="33" t="s">
        <v>74</v>
      </c>
      <c r="C30" s="73" t="s">
        <v>79</v>
      </c>
      <c r="D30" s="73"/>
      <c r="E30" s="23" t="s">
        <v>80</v>
      </c>
      <c r="F30" s="3">
        <v>43</v>
      </c>
      <c r="G30" s="24">
        <v>84600</v>
      </c>
    </row>
    <row r="31" spans="1:9" ht="21" customHeight="1">
      <c r="A31" s="20"/>
      <c r="B31" s="33" t="s">
        <v>81</v>
      </c>
      <c r="C31" s="22" t="s">
        <v>85</v>
      </c>
      <c r="D31" s="22"/>
      <c r="E31" s="23" t="s">
        <v>83</v>
      </c>
      <c r="F31" s="3">
        <v>24</v>
      </c>
      <c r="G31" s="24">
        <v>20000</v>
      </c>
    </row>
    <row r="32" spans="1:9" ht="21" customHeight="1">
      <c r="A32" s="20">
        <v>3</v>
      </c>
      <c r="B32" s="21" t="s">
        <v>86</v>
      </c>
      <c r="C32" s="30" t="s">
        <v>87</v>
      </c>
      <c r="D32" s="30"/>
      <c r="E32" s="23" t="s">
        <v>50</v>
      </c>
      <c r="F32" s="3">
        <v>34</v>
      </c>
      <c r="G32" s="24">
        <v>4500</v>
      </c>
    </row>
    <row r="33" spans="1:9" ht="21" customHeight="1" thickBot="1">
      <c r="A33" s="45"/>
      <c r="B33" s="46" t="s">
        <v>18</v>
      </c>
      <c r="C33" s="47"/>
      <c r="D33" s="47"/>
      <c r="E33" s="49"/>
      <c r="F33" s="50"/>
      <c r="G33" s="51">
        <v>109100</v>
      </c>
      <c r="I33" s="29">
        <f>SUM(G30:G32)</f>
        <v>109100</v>
      </c>
    </row>
    <row r="34" spans="1:9" s="85" customFormat="1" ht="21" customHeight="1" thickTop="1">
      <c r="A34" s="75"/>
      <c r="B34" s="76"/>
      <c r="C34" s="77"/>
      <c r="D34" s="77"/>
      <c r="E34" s="79"/>
      <c r="F34" s="80"/>
      <c r="G34" s="81"/>
    </row>
    <row r="35" spans="1:9" ht="21" customHeight="1">
      <c r="B35" s="86" t="s">
        <v>90</v>
      </c>
    </row>
    <row r="36" spans="1:9" ht="21" customHeight="1">
      <c r="A36" s="20">
        <v>1</v>
      </c>
      <c r="B36" s="33" t="s">
        <v>91</v>
      </c>
      <c r="C36" s="73" t="s">
        <v>92</v>
      </c>
      <c r="D36" s="73"/>
      <c r="E36" s="23" t="s">
        <v>93</v>
      </c>
      <c r="F36" s="3">
        <v>2</v>
      </c>
      <c r="G36" s="25">
        <v>11000</v>
      </c>
    </row>
    <row r="37" spans="1:9" ht="21" customHeight="1">
      <c r="A37" s="20">
        <v>2</v>
      </c>
      <c r="B37" s="70" t="s">
        <v>94</v>
      </c>
      <c r="C37" s="30" t="s">
        <v>95</v>
      </c>
      <c r="D37" s="30"/>
      <c r="E37" s="23" t="s">
        <v>96</v>
      </c>
      <c r="F37" s="3">
        <v>3</v>
      </c>
      <c r="G37" s="24">
        <v>6000</v>
      </c>
    </row>
    <row r="38" spans="1:9" ht="21" customHeight="1" thickBot="1">
      <c r="A38" s="45"/>
      <c r="B38" s="46" t="s">
        <v>18</v>
      </c>
      <c r="C38" s="47"/>
      <c r="D38" s="47"/>
      <c r="E38" s="49"/>
      <c r="F38" s="50"/>
      <c r="G38" s="51">
        <v>17000</v>
      </c>
      <c r="I38" s="29">
        <f>SUM(G36:G37)</f>
        <v>17000</v>
      </c>
    </row>
    <row r="39" spans="1:9" s="85" customFormat="1" ht="21" customHeight="1" thickTop="1">
      <c r="A39" s="75"/>
      <c r="B39" s="93"/>
      <c r="C39" s="77"/>
      <c r="D39" s="77"/>
      <c r="E39" s="79"/>
      <c r="F39" s="80"/>
      <c r="G39" s="81"/>
    </row>
    <row r="40" spans="1:9" ht="21" customHeight="1">
      <c r="E40" s="96">
        <v>0</v>
      </c>
      <c r="F40" s="96">
        <v>0</v>
      </c>
      <c r="G40" s="96">
        <v>857200</v>
      </c>
      <c r="I40" s="109">
        <f>SUM(I24:I38)</f>
        <v>857200</v>
      </c>
    </row>
    <row r="42" spans="1:9" ht="21" customHeight="1">
      <c r="G42" s="58"/>
    </row>
    <row r="50" spans="1:1" ht="21" customHeight="1">
      <c r="A50" s="29"/>
    </row>
    <row r="51" spans="1:1" ht="21" customHeight="1">
      <c r="A51" s="29"/>
    </row>
    <row r="61" spans="1:1" ht="21" customHeight="1">
      <c r="A61" s="29"/>
    </row>
    <row r="62" spans="1:1" ht="21" customHeight="1">
      <c r="A62" s="29"/>
    </row>
    <row r="65" spans="1:7" ht="21" customHeight="1">
      <c r="A65" s="29"/>
      <c r="C65" s="29"/>
      <c r="D65" s="29"/>
      <c r="F65" s="29"/>
      <c r="G65" s="58">
        <v>32</v>
      </c>
    </row>
    <row r="66" spans="1:7" ht="21" customHeight="1">
      <c r="A66" s="29"/>
      <c r="C66" s="29"/>
      <c r="D66" s="29"/>
      <c r="F66" s="29"/>
      <c r="G66" s="55">
        <v>18</v>
      </c>
    </row>
    <row r="120" spans="1:7" ht="21" customHeight="1">
      <c r="A120" s="97" t="s">
        <v>99</v>
      </c>
      <c r="B120" s="36" t="s">
        <v>100</v>
      </c>
      <c r="C120" s="98" t="s">
        <v>101</v>
      </c>
      <c r="D120" s="108"/>
      <c r="E120" s="38" t="s">
        <v>103</v>
      </c>
      <c r="F120" s="39">
        <v>2</v>
      </c>
      <c r="G120" s="41">
        <v>1100</v>
      </c>
    </row>
  </sheetData>
  <mergeCells count="9">
    <mergeCell ref="E5:E6"/>
    <mergeCell ref="F5:F6"/>
    <mergeCell ref="A1:G1"/>
    <mergeCell ref="A2:G2"/>
    <mergeCell ref="A3:G3"/>
    <mergeCell ref="A4:A6"/>
    <mergeCell ref="B4:B6"/>
    <mergeCell ref="C4:C6"/>
    <mergeCell ref="E4:G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CB7A-D4AB-4BF1-9E87-939ABBF288F2}">
  <sheetPr>
    <tabColor rgb="FF00B0F0"/>
  </sheetPr>
  <dimension ref="A1:H120"/>
  <sheetViews>
    <sheetView zoomScale="70" zoomScaleNormal="70" workbookViewId="0">
      <pane ySplit="6" topLeftCell="A19" activePane="bottomLeft" state="frozen"/>
      <selection pane="bottomLeft" activeCell="I18" sqref="I18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9.88671875" style="2" customWidth="1"/>
    <col min="5" max="5" width="13.88671875" style="58"/>
    <col min="6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121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07" t="s">
        <v>9</v>
      </c>
      <c r="E4" s="207"/>
      <c r="F4" s="207"/>
    </row>
    <row r="5" spans="1:6" s="1" customFormat="1" ht="21" customHeight="1">
      <c r="A5" s="202"/>
      <c r="B5" s="202"/>
      <c r="C5" s="205"/>
      <c r="D5" s="208" t="s">
        <v>10</v>
      </c>
      <c r="E5" s="207" t="s">
        <v>15</v>
      </c>
      <c r="F5" s="102"/>
    </row>
    <row r="6" spans="1:6" s="1" customFormat="1" ht="21" customHeight="1">
      <c r="A6" s="203"/>
      <c r="B6" s="203"/>
      <c r="C6" s="206"/>
      <c r="D6" s="208"/>
      <c r="E6" s="207"/>
      <c r="F6" s="8" t="s">
        <v>18</v>
      </c>
    </row>
    <row r="7" spans="1:6" s="1" customFormat="1" ht="21" customHeight="1">
      <c r="A7" s="9"/>
      <c r="B7" s="10" t="s">
        <v>20</v>
      </c>
      <c r="C7" s="11"/>
      <c r="D7" s="13"/>
      <c r="E7" s="14"/>
      <c r="F7" s="16"/>
    </row>
    <row r="8" spans="1:6" ht="21" customHeight="1">
      <c r="A8" s="20">
        <v>1</v>
      </c>
      <c r="B8" s="21" t="s">
        <v>21</v>
      </c>
      <c r="C8" s="21" t="s">
        <v>22</v>
      </c>
      <c r="D8" s="23" t="s">
        <v>23</v>
      </c>
      <c r="E8" s="3">
        <v>37</v>
      </c>
      <c r="F8" s="25">
        <v>22300</v>
      </c>
    </row>
    <row r="9" spans="1:6" ht="21" customHeight="1">
      <c r="A9" s="20">
        <v>2</v>
      </c>
      <c r="B9" s="21" t="s">
        <v>24</v>
      </c>
      <c r="C9" s="30" t="s">
        <v>25</v>
      </c>
      <c r="D9" s="23" t="s">
        <v>26</v>
      </c>
      <c r="E9" s="3">
        <v>13</v>
      </c>
      <c r="F9" s="25">
        <v>15000</v>
      </c>
    </row>
    <row r="10" spans="1:6" ht="21" customHeight="1">
      <c r="A10" s="20">
        <v>3</v>
      </c>
      <c r="B10" s="33" t="s">
        <v>27</v>
      </c>
      <c r="C10" s="22" t="s">
        <v>28</v>
      </c>
      <c r="D10" s="23" t="s">
        <v>29</v>
      </c>
      <c r="E10" s="3">
        <v>23</v>
      </c>
      <c r="F10" s="25">
        <v>50000</v>
      </c>
    </row>
    <row r="11" spans="1:6" ht="21" customHeight="1">
      <c r="A11" s="20">
        <v>4</v>
      </c>
      <c r="B11" s="33" t="s">
        <v>30</v>
      </c>
      <c r="C11" s="22" t="s">
        <v>31</v>
      </c>
      <c r="D11" s="23" t="s">
        <v>32</v>
      </c>
      <c r="E11" s="3">
        <v>40</v>
      </c>
      <c r="F11" s="25">
        <v>79500</v>
      </c>
    </row>
    <row r="12" spans="1:6" ht="21" customHeight="1">
      <c r="A12" s="20">
        <v>5</v>
      </c>
      <c r="B12" s="33" t="s">
        <v>33</v>
      </c>
      <c r="C12" s="22" t="s">
        <v>34</v>
      </c>
      <c r="D12" s="23" t="s">
        <v>35</v>
      </c>
      <c r="E12" s="3">
        <v>42</v>
      </c>
      <c r="F12" s="25">
        <v>41000</v>
      </c>
    </row>
    <row r="13" spans="1:6" ht="21" customHeight="1">
      <c r="A13" s="20">
        <v>6</v>
      </c>
      <c r="B13" s="21" t="s">
        <v>36</v>
      </c>
      <c r="C13" s="21" t="s">
        <v>37</v>
      </c>
      <c r="D13" s="23" t="s">
        <v>38</v>
      </c>
      <c r="E13" s="3">
        <v>29</v>
      </c>
      <c r="F13" s="25">
        <v>28000</v>
      </c>
    </row>
    <row r="14" spans="1:6" ht="21" customHeight="1">
      <c r="A14" s="20">
        <v>7</v>
      </c>
      <c r="B14" s="21" t="s">
        <v>39</v>
      </c>
      <c r="C14" s="22" t="s">
        <v>40</v>
      </c>
      <c r="D14" s="23" t="s">
        <v>41</v>
      </c>
      <c r="E14" s="3">
        <v>49</v>
      </c>
      <c r="F14" s="25">
        <v>92000</v>
      </c>
    </row>
    <row r="15" spans="1:6" ht="21" customHeight="1">
      <c r="A15" s="20">
        <v>8</v>
      </c>
      <c r="B15" s="21" t="s">
        <v>42</v>
      </c>
      <c r="C15" s="21" t="s">
        <v>43</v>
      </c>
      <c r="D15" s="23" t="s">
        <v>44</v>
      </c>
      <c r="E15" s="3">
        <v>41</v>
      </c>
      <c r="F15" s="25">
        <v>41000</v>
      </c>
    </row>
    <row r="16" spans="1:6" ht="21" customHeight="1">
      <c r="A16" s="20">
        <v>9</v>
      </c>
      <c r="B16" s="21" t="s">
        <v>45</v>
      </c>
      <c r="C16" s="30" t="s">
        <v>46</v>
      </c>
      <c r="D16" s="23" t="s">
        <v>47</v>
      </c>
      <c r="E16" s="3">
        <v>66</v>
      </c>
      <c r="F16" s="25">
        <v>46500</v>
      </c>
    </row>
    <row r="17" spans="1:8" ht="21" customHeight="1">
      <c r="A17" s="20">
        <v>10</v>
      </c>
      <c r="B17" s="21" t="s">
        <v>48</v>
      </c>
      <c r="C17" s="30" t="s">
        <v>49</v>
      </c>
      <c r="D17" s="23" t="s">
        <v>50</v>
      </c>
      <c r="E17" s="3">
        <v>34</v>
      </c>
      <c r="F17" s="25">
        <v>23600</v>
      </c>
    </row>
    <row r="18" spans="1:8" ht="21" customHeight="1">
      <c r="A18" s="20">
        <v>11</v>
      </c>
      <c r="B18" s="33" t="s">
        <v>51</v>
      </c>
      <c r="C18" s="22" t="s">
        <v>52</v>
      </c>
      <c r="D18" s="23" t="s">
        <v>53</v>
      </c>
      <c r="E18" s="3">
        <v>39.049999999999997</v>
      </c>
      <c r="F18" s="25">
        <v>39100</v>
      </c>
    </row>
    <row r="19" spans="1:8" ht="21" customHeight="1">
      <c r="A19" s="20">
        <v>12</v>
      </c>
      <c r="B19" s="33" t="s">
        <v>54</v>
      </c>
      <c r="C19" s="22" t="s">
        <v>55</v>
      </c>
      <c r="D19" s="23" t="s">
        <v>56</v>
      </c>
      <c r="E19" s="3">
        <v>52</v>
      </c>
      <c r="F19" s="25">
        <v>104000</v>
      </c>
    </row>
    <row r="20" spans="1:8" ht="21" customHeight="1">
      <c r="A20" s="20">
        <v>13</v>
      </c>
      <c r="B20" s="21" t="s">
        <v>57</v>
      </c>
      <c r="C20" s="30" t="s">
        <v>58</v>
      </c>
      <c r="D20" s="23" t="s">
        <v>59</v>
      </c>
      <c r="E20" s="3">
        <v>4</v>
      </c>
      <c r="F20" s="25">
        <v>5000</v>
      </c>
    </row>
    <row r="21" spans="1:8" ht="21" customHeight="1">
      <c r="A21" s="20">
        <v>14</v>
      </c>
      <c r="B21" s="21" t="s">
        <v>60</v>
      </c>
      <c r="C21" s="30" t="s">
        <v>61</v>
      </c>
      <c r="D21" s="23" t="s">
        <v>62</v>
      </c>
      <c r="E21" s="3">
        <v>68</v>
      </c>
      <c r="F21" s="25">
        <v>48500</v>
      </c>
    </row>
    <row r="22" spans="1:8" ht="21" customHeight="1">
      <c r="A22" s="20">
        <v>15</v>
      </c>
      <c r="B22" s="21" t="s">
        <v>63</v>
      </c>
      <c r="C22" s="21" t="s">
        <v>64</v>
      </c>
      <c r="D22" s="23" t="s">
        <v>65</v>
      </c>
      <c r="E22" s="3">
        <v>38</v>
      </c>
      <c r="F22" s="25">
        <v>38000</v>
      </c>
    </row>
    <row r="23" spans="1:8" ht="21" customHeight="1">
      <c r="A23" s="20">
        <v>16</v>
      </c>
      <c r="B23" s="36" t="s">
        <v>66</v>
      </c>
      <c r="C23" s="36" t="s">
        <v>67</v>
      </c>
      <c r="D23" s="38" t="s">
        <v>68</v>
      </c>
      <c r="E23" s="39">
        <v>16</v>
      </c>
      <c r="F23" s="41">
        <v>37600</v>
      </c>
    </row>
    <row r="24" spans="1:8" ht="21" customHeight="1" thickBot="1">
      <c r="A24" s="45"/>
      <c r="B24" s="46" t="s">
        <v>18</v>
      </c>
      <c r="C24" s="47"/>
      <c r="D24" s="49"/>
      <c r="E24" s="50"/>
      <c r="F24" s="51">
        <v>711100</v>
      </c>
      <c r="H24" s="29">
        <f>SUM(F8:F23)</f>
        <v>711100</v>
      </c>
    </row>
    <row r="25" spans="1:8" s="1" customFormat="1" ht="21" customHeight="1" thickTop="1">
      <c r="A25" s="55"/>
      <c r="B25" s="56" t="s">
        <v>69</v>
      </c>
    </row>
    <row r="26" spans="1:8" ht="21" customHeight="1">
      <c r="A26" s="20">
        <v>1</v>
      </c>
      <c r="B26" s="21" t="s">
        <v>70</v>
      </c>
      <c r="C26" s="21" t="s">
        <v>71</v>
      </c>
      <c r="D26" s="23" t="s">
        <v>72</v>
      </c>
      <c r="E26" s="3">
        <v>7</v>
      </c>
      <c r="F26" s="25">
        <v>20000</v>
      </c>
    </row>
    <row r="27" spans="1:8" ht="21" customHeight="1" thickBot="1">
      <c r="A27" s="45"/>
      <c r="B27" s="46" t="s">
        <v>18</v>
      </c>
      <c r="C27" s="47"/>
      <c r="D27" s="49"/>
      <c r="E27" s="50"/>
      <c r="F27" s="51">
        <v>20000</v>
      </c>
      <c r="H27" s="29">
        <f>SUM(F26)</f>
        <v>20000</v>
      </c>
    </row>
    <row r="28" spans="1:8" ht="21" customHeight="1" thickTop="1">
      <c r="B28" s="1"/>
      <c r="C28" s="1"/>
      <c r="D28" s="64"/>
      <c r="F28" s="59"/>
    </row>
    <row r="29" spans="1:8" s="1" customFormat="1" ht="21" customHeight="1">
      <c r="A29" s="55"/>
      <c r="B29" s="69" t="s">
        <v>73</v>
      </c>
    </row>
    <row r="30" spans="1:8" ht="21" customHeight="1">
      <c r="A30" s="20"/>
      <c r="B30" s="33" t="s">
        <v>74</v>
      </c>
      <c r="C30" s="73" t="s">
        <v>79</v>
      </c>
      <c r="D30" s="23" t="s">
        <v>80</v>
      </c>
      <c r="E30" s="3">
        <v>43</v>
      </c>
      <c r="F30" s="24">
        <v>84600</v>
      </c>
    </row>
    <row r="31" spans="1:8" ht="21" customHeight="1">
      <c r="A31" s="20"/>
      <c r="B31" s="33" t="s">
        <v>81</v>
      </c>
      <c r="C31" s="22" t="s">
        <v>85</v>
      </c>
      <c r="D31" s="23" t="s">
        <v>83</v>
      </c>
      <c r="E31" s="3">
        <v>24</v>
      </c>
      <c r="F31" s="24">
        <v>20000</v>
      </c>
    </row>
    <row r="32" spans="1:8" ht="21" customHeight="1">
      <c r="A32" s="20">
        <v>3</v>
      </c>
      <c r="B32" s="21" t="s">
        <v>86</v>
      </c>
      <c r="C32" s="30" t="s">
        <v>87</v>
      </c>
      <c r="D32" s="23" t="s">
        <v>50</v>
      </c>
      <c r="E32" s="3">
        <v>34</v>
      </c>
      <c r="F32" s="24">
        <v>4500</v>
      </c>
    </row>
    <row r="33" spans="1:8" ht="21" customHeight="1" thickBot="1">
      <c r="A33" s="45"/>
      <c r="B33" s="46" t="s">
        <v>18</v>
      </c>
      <c r="C33" s="47"/>
      <c r="D33" s="49"/>
      <c r="E33" s="50"/>
      <c r="F33" s="51">
        <v>109100</v>
      </c>
      <c r="H33" s="29">
        <f>SUM(F30:F32)</f>
        <v>109100</v>
      </c>
    </row>
    <row r="34" spans="1:8" s="85" customFormat="1" ht="21" customHeight="1" thickTop="1">
      <c r="A34" s="75"/>
      <c r="B34" s="76"/>
      <c r="C34" s="77"/>
      <c r="D34" s="79"/>
      <c r="E34" s="80"/>
      <c r="F34" s="81"/>
    </row>
    <row r="35" spans="1:8" ht="21" customHeight="1">
      <c r="B35" s="86" t="s">
        <v>90</v>
      </c>
    </row>
    <row r="36" spans="1:8" ht="21" customHeight="1">
      <c r="A36" s="20">
        <v>1</v>
      </c>
      <c r="B36" s="33" t="s">
        <v>91</v>
      </c>
      <c r="C36" s="73" t="s">
        <v>92</v>
      </c>
      <c r="D36" s="23" t="s">
        <v>93</v>
      </c>
      <c r="E36" s="3">
        <v>2</v>
      </c>
      <c r="F36" s="25">
        <v>11000</v>
      </c>
    </row>
    <row r="37" spans="1:8" ht="21" customHeight="1">
      <c r="A37" s="20">
        <v>2</v>
      </c>
      <c r="B37" s="70" t="s">
        <v>94</v>
      </c>
      <c r="C37" s="30" t="s">
        <v>95</v>
      </c>
      <c r="D37" s="23" t="s">
        <v>96</v>
      </c>
      <c r="E37" s="3">
        <v>3</v>
      </c>
      <c r="F37" s="24">
        <v>6000</v>
      </c>
    </row>
    <row r="38" spans="1:8" ht="21" customHeight="1" thickBot="1">
      <c r="A38" s="45"/>
      <c r="B38" s="46" t="s">
        <v>18</v>
      </c>
      <c r="C38" s="47"/>
      <c r="D38" s="49"/>
      <c r="E38" s="50"/>
      <c r="F38" s="51">
        <v>17000</v>
      </c>
      <c r="H38" s="29">
        <f>SUM(F36:F37)</f>
        <v>17000</v>
      </c>
    </row>
    <row r="39" spans="1:8" s="85" customFormat="1" ht="21" customHeight="1" thickTop="1">
      <c r="A39" s="75"/>
      <c r="B39" s="93"/>
      <c r="C39" s="77"/>
      <c r="D39" s="79"/>
      <c r="E39" s="80"/>
      <c r="F39" s="81"/>
    </row>
    <row r="40" spans="1:8" ht="21" customHeight="1">
      <c r="D40" s="96">
        <v>0</v>
      </c>
      <c r="E40" s="96">
        <v>0</v>
      </c>
      <c r="F40" s="96">
        <v>857200</v>
      </c>
      <c r="H40" s="109">
        <f>SUM(H24:H38)</f>
        <v>857200</v>
      </c>
    </row>
    <row r="42" spans="1:8" ht="21" customHeight="1">
      <c r="F42" s="58"/>
    </row>
    <row r="50" spans="1:1" ht="21" customHeight="1">
      <c r="A50" s="29"/>
    </row>
    <row r="51" spans="1:1" ht="21" customHeight="1">
      <c r="A51" s="29"/>
    </row>
    <row r="61" spans="1:1" ht="21" customHeight="1">
      <c r="A61" s="29"/>
    </row>
    <row r="62" spans="1:1" ht="21" customHeight="1">
      <c r="A62" s="29"/>
    </row>
    <row r="65" spans="1:6" ht="21" customHeight="1">
      <c r="A65" s="29"/>
      <c r="C65" s="29"/>
      <c r="E65" s="29"/>
      <c r="F65" s="58">
        <v>32</v>
      </c>
    </row>
    <row r="66" spans="1:6" ht="21" customHeight="1">
      <c r="A66" s="29"/>
      <c r="C66" s="29"/>
      <c r="E66" s="29"/>
      <c r="F66" s="55">
        <v>18</v>
      </c>
    </row>
    <row r="120" spans="1:6" ht="21" customHeight="1">
      <c r="A120" s="97" t="s">
        <v>99</v>
      </c>
      <c r="B120" s="36" t="s">
        <v>100</v>
      </c>
      <c r="C120" s="98" t="s">
        <v>101</v>
      </c>
      <c r="D120" s="38" t="s">
        <v>103</v>
      </c>
      <c r="E120" s="39">
        <v>2</v>
      </c>
      <c r="F120" s="41">
        <v>1100</v>
      </c>
    </row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CE28-F18A-44C0-9C80-A819E001EC23}">
  <sheetPr>
    <tabColor rgb="FF92D050"/>
  </sheetPr>
  <dimension ref="A1:S122"/>
  <sheetViews>
    <sheetView zoomScale="70" zoomScaleNormal="70" workbookViewId="0">
      <pane ySplit="6" topLeftCell="A16" activePane="bottomLeft" state="frozen"/>
      <selection pane="bottomLeft" activeCell="N24" sqref="N24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7.44140625" style="2" customWidth="1"/>
    <col min="6" max="7" width="13.88671875" style="59"/>
    <col min="8" max="8" width="13.88671875" style="88"/>
    <col min="9" max="9" width="7.33203125" style="88" customWidth="1"/>
    <col min="10" max="10" width="13.88671875" style="89"/>
    <col min="11" max="11" width="13.88671875" style="90"/>
    <col min="12" max="12" width="13.88671875" style="91"/>
    <col min="13" max="13" width="13.6640625" style="29" customWidth="1"/>
    <col min="14" max="14" width="19.88671875" style="2" customWidth="1"/>
    <col min="15" max="15" width="13.88671875" style="58"/>
    <col min="16" max="16" width="8.6640625" style="58" customWidth="1"/>
    <col min="17" max="17" width="13.88671875" style="92"/>
    <col min="18" max="18" width="13.88671875" style="58"/>
    <col min="19" max="16384" width="13.88671875" style="29"/>
  </cols>
  <sheetData>
    <row r="1" spans="1:19" s="1" customFormat="1" ht="21" customHeight="1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</row>
    <row r="2" spans="1:19" s="1" customFormat="1" ht="21" customHeight="1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19" s="1" customFormat="1" ht="21" customHeight="1">
      <c r="A3" s="200" t="s">
        <v>117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</row>
    <row r="4" spans="1:19" s="1" customFormat="1" ht="21" customHeight="1">
      <c r="A4" s="201" t="s">
        <v>3</v>
      </c>
      <c r="B4" s="201" t="s">
        <v>4</v>
      </c>
      <c r="C4" s="204" t="s">
        <v>5</v>
      </c>
      <c r="D4" s="211" t="s">
        <v>6</v>
      </c>
      <c r="E4" s="207" t="s">
        <v>7</v>
      </c>
      <c r="F4" s="207"/>
      <c r="G4" s="207"/>
      <c r="H4" s="207"/>
      <c r="I4" s="207"/>
      <c r="J4" s="207"/>
      <c r="K4" s="214" t="s">
        <v>8</v>
      </c>
      <c r="L4" s="214"/>
      <c r="M4" s="214"/>
      <c r="N4" s="207" t="s">
        <v>9</v>
      </c>
      <c r="O4" s="207"/>
      <c r="P4" s="207"/>
      <c r="Q4" s="207"/>
      <c r="R4" s="207"/>
      <c r="S4" s="207"/>
    </row>
    <row r="5" spans="1:19" s="1" customFormat="1" ht="21" customHeight="1">
      <c r="A5" s="202"/>
      <c r="B5" s="202"/>
      <c r="C5" s="205"/>
      <c r="D5" s="212"/>
      <c r="E5" s="208" t="s">
        <v>10</v>
      </c>
      <c r="F5" s="207"/>
      <c r="G5" s="4"/>
      <c r="H5" s="215" t="s">
        <v>11</v>
      </c>
      <c r="I5" s="215"/>
      <c r="J5" s="215"/>
      <c r="K5" s="216" t="s">
        <v>12</v>
      </c>
      <c r="L5" s="218" t="s">
        <v>13</v>
      </c>
      <c r="M5" s="209" t="s">
        <v>14</v>
      </c>
      <c r="N5" s="208" t="s">
        <v>10</v>
      </c>
      <c r="O5" s="207" t="s">
        <v>15</v>
      </c>
      <c r="P5" s="4" t="s">
        <v>16</v>
      </c>
      <c r="Q5" s="215" t="s">
        <v>11</v>
      </c>
      <c r="R5" s="215"/>
      <c r="S5" s="215"/>
    </row>
    <row r="6" spans="1:19" s="1" customFormat="1" ht="21" customHeight="1">
      <c r="A6" s="203"/>
      <c r="B6" s="203"/>
      <c r="C6" s="206"/>
      <c r="D6" s="213"/>
      <c r="E6" s="208"/>
      <c r="F6" s="207"/>
      <c r="G6" s="5"/>
      <c r="H6" s="6" t="s">
        <v>14</v>
      </c>
      <c r="I6" s="7" t="s">
        <v>17</v>
      </c>
      <c r="J6" s="8" t="s">
        <v>18</v>
      </c>
      <c r="K6" s="217"/>
      <c r="L6" s="219"/>
      <c r="M6" s="210"/>
      <c r="N6" s="208"/>
      <c r="O6" s="207"/>
      <c r="P6" s="5" t="s">
        <v>19</v>
      </c>
      <c r="Q6" s="6" t="s">
        <v>14</v>
      </c>
      <c r="R6" s="7" t="s">
        <v>17</v>
      </c>
      <c r="S6" s="8" t="s">
        <v>18</v>
      </c>
    </row>
    <row r="7" spans="1:19" s="1" customFormat="1" ht="21" customHeight="1">
      <c r="A7" s="9"/>
      <c r="B7" s="10" t="s">
        <v>20</v>
      </c>
      <c r="C7" s="11"/>
      <c r="D7" s="12"/>
      <c r="E7" s="13"/>
      <c r="F7" s="14"/>
      <c r="G7" s="15"/>
      <c r="H7" s="15"/>
      <c r="I7" s="15"/>
      <c r="J7" s="16"/>
      <c r="K7" s="17"/>
      <c r="L7" s="18"/>
      <c r="M7" s="19"/>
      <c r="N7" s="13"/>
      <c r="O7" s="14"/>
      <c r="P7" s="15"/>
      <c r="Q7" s="15"/>
      <c r="R7" s="15"/>
      <c r="S7" s="16"/>
    </row>
    <row r="8" spans="1:19" ht="21" customHeight="1">
      <c r="A8" s="20">
        <v>1</v>
      </c>
      <c r="B8" s="21" t="s">
        <v>21</v>
      </c>
      <c r="C8" s="21" t="s">
        <v>22</v>
      </c>
      <c r="D8" s="22"/>
      <c r="E8" s="23" t="s">
        <v>23</v>
      </c>
      <c r="F8" s="3">
        <v>37</v>
      </c>
      <c r="G8" s="3">
        <v>54</v>
      </c>
      <c r="H8" s="24">
        <v>22300</v>
      </c>
      <c r="I8" s="3"/>
      <c r="J8" s="25">
        <v>22300</v>
      </c>
      <c r="K8" s="26"/>
      <c r="L8" s="27"/>
      <c r="M8" s="28"/>
      <c r="N8" s="23" t="s">
        <v>23</v>
      </c>
      <c r="O8" s="3">
        <v>37</v>
      </c>
      <c r="P8" s="3">
        <v>54</v>
      </c>
      <c r="Q8" s="24">
        <v>22300</v>
      </c>
      <c r="R8" s="3"/>
      <c r="S8" s="25">
        <v>22300</v>
      </c>
    </row>
    <row r="9" spans="1:19" ht="21" customHeight="1">
      <c r="A9" s="20">
        <v>2</v>
      </c>
      <c r="B9" s="21" t="s">
        <v>24</v>
      </c>
      <c r="C9" s="30" t="s">
        <v>25</v>
      </c>
      <c r="D9" s="22"/>
      <c r="E9" s="23" t="s">
        <v>26</v>
      </c>
      <c r="F9" s="3">
        <v>13</v>
      </c>
      <c r="G9" s="3">
        <v>85</v>
      </c>
      <c r="H9" s="24">
        <v>15000</v>
      </c>
      <c r="I9" s="3"/>
      <c r="J9" s="25">
        <v>15000</v>
      </c>
      <c r="K9" s="31"/>
      <c r="L9" s="32"/>
      <c r="M9" s="28"/>
      <c r="N9" s="23" t="s">
        <v>26</v>
      </c>
      <c r="O9" s="3">
        <v>13</v>
      </c>
      <c r="P9" s="3">
        <v>85</v>
      </c>
      <c r="Q9" s="24">
        <v>15000</v>
      </c>
      <c r="R9" s="3"/>
      <c r="S9" s="25">
        <v>15000</v>
      </c>
    </row>
    <row r="10" spans="1:19" ht="21" customHeight="1">
      <c r="A10" s="20">
        <v>3</v>
      </c>
      <c r="B10" s="33" t="s">
        <v>27</v>
      </c>
      <c r="C10" s="22" t="s">
        <v>28</v>
      </c>
      <c r="D10" s="34"/>
      <c r="E10" s="23" t="s">
        <v>29</v>
      </c>
      <c r="F10" s="3">
        <v>23</v>
      </c>
      <c r="G10" s="3">
        <v>34</v>
      </c>
      <c r="H10" s="24">
        <v>50000</v>
      </c>
      <c r="I10" s="3"/>
      <c r="J10" s="25">
        <v>50000</v>
      </c>
      <c r="K10" s="31"/>
      <c r="L10" s="32"/>
      <c r="M10" s="28"/>
      <c r="N10" s="23" t="s">
        <v>29</v>
      </c>
      <c r="O10" s="3">
        <v>23</v>
      </c>
      <c r="P10" s="3">
        <v>34</v>
      </c>
      <c r="Q10" s="24">
        <v>50000</v>
      </c>
      <c r="R10" s="3"/>
      <c r="S10" s="25">
        <v>50000</v>
      </c>
    </row>
    <row r="11" spans="1:19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3">
        <v>67</v>
      </c>
      <c r="H11" s="24">
        <v>79500</v>
      </c>
      <c r="I11" s="3"/>
      <c r="J11" s="25">
        <v>79500</v>
      </c>
      <c r="K11" s="31"/>
      <c r="L11" s="32"/>
      <c r="M11" s="28"/>
      <c r="N11" s="23" t="s">
        <v>32</v>
      </c>
      <c r="O11" s="3">
        <v>40</v>
      </c>
      <c r="P11" s="3">
        <v>67</v>
      </c>
      <c r="Q11" s="24">
        <v>79500</v>
      </c>
      <c r="R11" s="3"/>
      <c r="S11" s="25">
        <v>79500</v>
      </c>
    </row>
    <row r="12" spans="1:19" ht="21" customHeight="1">
      <c r="A12" s="20">
        <v>5</v>
      </c>
      <c r="B12" s="33" t="s">
        <v>33</v>
      </c>
      <c r="C12" s="22" t="s">
        <v>34</v>
      </c>
      <c r="D12" s="34"/>
      <c r="E12" s="23" t="s">
        <v>35</v>
      </c>
      <c r="F12" s="3">
        <v>42</v>
      </c>
      <c r="G12" s="3">
        <v>53</v>
      </c>
      <c r="H12" s="24">
        <v>41000</v>
      </c>
      <c r="I12" s="3"/>
      <c r="J12" s="25">
        <v>41000</v>
      </c>
      <c r="K12" s="31"/>
      <c r="L12" s="32"/>
      <c r="M12" s="28"/>
      <c r="N12" s="23" t="s">
        <v>35</v>
      </c>
      <c r="O12" s="3">
        <v>42</v>
      </c>
      <c r="P12" s="3">
        <v>53</v>
      </c>
      <c r="Q12" s="24">
        <v>41000</v>
      </c>
      <c r="R12" s="3"/>
      <c r="S12" s="25">
        <v>41000</v>
      </c>
    </row>
    <row r="13" spans="1:19" ht="21" customHeight="1">
      <c r="A13" s="20">
        <v>6</v>
      </c>
      <c r="B13" s="21" t="s">
        <v>36</v>
      </c>
      <c r="C13" s="21" t="s">
        <v>37</v>
      </c>
      <c r="D13" s="22"/>
      <c r="E13" s="23" t="s">
        <v>38</v>
      </c>
      <c r="F13" s="3">
        <v>29</v>
      </c>
      <c r="G13" s="3">
        <v>49</v>
      </c>
      <c r="H13" s="24">
        <v>28000</v>
      </c>
      <c r="I13" s="3"/>
      <c r="J13" s="25">
        <v>28000</v>
      </c>
      <c r="K13" s="31"/>
      <c r="L13" s="32"/>
      <c r="M13" s="28"/>
      <c r="N13" s="23" t="s">
        <v>38</v>
      </c>
      <c r="O13" s="3">
        <v>29</v>
      </c>
      <c r="P13" s="3">
        <v>49</v>
      </c>
      <c r="Q13" s="24">
        <v>28000</v>
      </c>
      <c r="R13" s="3"/>
      <c r="S13" s="25">
        <v>28000</v>
      </c>
    </row>
    <row r="14" spans="1:19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3">
        <v>66</v>
      </c>
      <c r="H14" s="24">
        <v>92000</v>
      </c>
      <c r="I14" s="3"/>
      <c r="J14" s="25">
        <v>92000</v>
      </c>
      <c r="K14" s="31"/>
      <c r="L14" s="32"/>
      <c r="M14" s="28"/>
      <c r="N14" s="23" t="s">
        <v>41</v>
      </c>
      <c r="O14" s="3">
        <v>49</v>
      </c>
      <c r="P14" s="3">
        <v>66</v>
      </c>
      <c r="Q14" s="24">
        <v>92000</v>
      </c>
      <c r="R14" s="3"/>
      <c r="S14" s="25">
        <v>92000</v>
      </c>
    </row>
    <row r="15" spans="1:19" ht="21" customHeight="1">
      <c r="A15" s="20">
        <v>8</v>
      </c>
      <c r="B15" s="21" t="s">
        <v>42</v>
      </c>
      <c r="C15" s="21" t="s">
        <v>43</v>
      </c>
      <c r="D15" s="22"/>
      <c r="E15" s="23" t="s">
        <v>44</v>
      </c>
      <c r="F15" s="3">
        <v>41</v>
      </c>
      <c r="G15" s="3">
        <v>58</v>
      </c>
      <c r="H15" s="24">
        <v>41000</v>
      </c>
      <c r="I15" s="3"/>
      <c r="J15" s="25">
        <v>41000</v>
      </c>
      <c r="K15" s="31"/>
      <c r="L15" s="32"/>
      <c r="M15" s="28"/>
      <c r="N15" s="23" t="s">
        <v>44</v>
      </c>
      <c r="O15" s="3">
        <v>41</v>
      </c>
      <c r="P15" s="3">
        <v>58</v>
      </c>
      <c r="Q15" s="24">
        <v>41000</v>
      </c>
      <c r="R15" s="3"/>
      <c r="S15" s="25">
        <v>41000</v>
      </c>
    </row>
    <row r="16" spans="1:19" ht="21" customHeight="1">
      <c r="A16" s="20">
        <v>9</v>
      </c>
      <c r="B16" s="21" t="s">
        <v>45</v>
      </c>
      <c r="C16" s="30" t="s">
        <v>46</v>
      </c>
      <c r="D16" s="22"/>
      <c r="E16" s="23" t="s">
        <v>47</v>
      </c>
      <c r="F16" s="3">
        <v>66</v>
      </c>
      <c r="G16" s="3">
        <v>66</v>
      </c>
      <c r="H16" s="24">
        <v>46500</v>
      </c>
      <c r="I16" s="3"/>
      <c r="J16" s="25">
        <v>46500</v>
      </c>
      <c r="K16" s="31"/>
      <c r="L16" s="32"/>
      <c r="M16" s="28"/>
      <c r="N16" s="23" t="s">
        <v>47</v>
      </c>
      <c r="O16" s="3">
        <v>66</v>
      </c>
      <c r="P16" s="3">
        <v>66</v>
      </c>
      <c r="Q16" s="24">
        <v>46500</v>
      </c>
      <c r="R16" s="3"/>
      <c r="S16" s="25">
        <v>46500</v>
      </c>
    </row>
    <row r="17" spans="1:19" ht="21" customHeight="1">
      <c r="A17" s="20">
        <v>10</v>
      </c>
      <c r="B17" s="21" t="s">
        <v>48</v>
      </c>
      <c r="C17" s="30" t="s">
        <v>49</v>
      </c>
      <c r="D17" s="22"/>
      <c r="E17" s="23" t="s">
        <v>50</v>
      </c>
      <c r="F17" s="3">
        <v>34</v>
      </c>
      <c r="G17" s="3">
        <v>34</v>
      </c>
      <c r="H17" s="24">
        <v>23600</v>
      </c>
      <c r="I17" s="3"/>
      <c r="J17" s="25">
        <v>23600</v>
      </c>
      <c r="K17" s="31"/>
      <c r="L17" s="32"/>
      <c r="M17" s="35"/>
      <c r="N17" s="23" t="s">
        <v>50</v>
      </c>
      <c r="O17" s="3">
        <v>34</v>
      </c>
      <c r="P17" s="3">
        <v>34</v>
      </c>
      <c r="Q17" s="24">
        <v>23600</v>
      </c>
      <c r="R17" s="3"/>
      <c r="S17" s="25">
        <v>23600</v>
      </c>
    </row>
    <row r="18" spans="1:19" ht="21" customHeight="1">
      <c r="A18" s="20">
        <v>11</v>
      </c>
      <c r="B18" s="33" t="s">
        <v>51</v>
      </c>
      <c r="C18" s="22" t="s">
        <v>52</v>
      </c>
      <c r="D18" s="34"/>
      <c r="E18" s="23" t="s">
        <v>53</v>
      </c>
      <c r="F18" s="3">
        <v>39.049999999999997</v>
      </c>
      <c r="G18" s="3">
        <v>39</v>
      </c>
      <c r="H18" s="24">
        <v>39100</v>
      </c>
      <c r="I18" s="3"/>
      <c r="J18" s="25">
        <v>39100</v>
      </c>
      <c r="K18" s="31"/>
      <c r="L18" s="32"/>
      <c r="M18" s="28"/>
      <c r="N18" s="23" t="s">
        <v>53</v>
      </c>
      <c r="O18" s="3">
        <v>39.049999999999997</v>
      </c>
      <c r="P18" s="3">
        <v>39</v>
      </c>
      <c r="Q18" s="24">
        <v>39100</v>
      </c>
      <c r="R18" s="3"/>
      <c r="S18" s="25">
        <v>39100</v>
      </c>
    </row>
    <row r="19" spans="1:19" ht="21" customHeight="1">
      <c r="A19" s="20">
        <v>12</v>
      </c>
      <c r="B19" s="33" t="s">
        <v>54</v>
      </c>
      <c r="C19" s="22" t="s">
        <v>55</v>
      </c>
      <c r="D19" s="22"/>
      <c r="E19" s="23" t="s">
        <v>56</v>
      </c>
      <c r="F19" s="3">
        <v>52</v>
      </c>
      <c r="G19" s="3">
        <v>69</v>
      </c>
      <c r="H19" s="24">
        <v>104000</v>
      </c>
      <c r="I19" s="3"/>
      <c r="J19" s="25">
        <v>104000</v>
      </c>
      <c r="K19" s="31"/>
      <c r="L19" s="32"/>
      <c r="M19" s="28"/>
      <c r="N19" s="23" t="s">
        <v>56</v>
      </c>
      <c r="O19" s="3">
        <v>52</v>
      </c>
      <c r="P19" s="3">
        <v>69</v>
      </c>
      <c r="Q19" s="24">
        <v>104000</v>
      </c>
      <c r="R19" s="3"/>
      <c r="S19" s="25">
        <v>104000</v>
      </c>
    </row>
    <row r="20" spans="1:19" ht="21" customHeight="1">
      <c r="A20" s="20">
        <v>13</v>
      </c>
      <c r="B20" s="21" t="s">
        <v>57</v>
      </c>
      <c r="C20" s="30" t="s">
        <v>58</v>
      </c>
      <c r="D20" s="34"/>
      <c r="E20" s="23" t="s">
        <v>59</v>
      </c>
      <c r="F20" s="3">
        <v>4</v>
      </c>
      <c r="G20" s="3">
        <v>4</v>
      </c>
      <c r="H20" s="24">
        <v>5000</v>
      </c>
      <c r="I20" s="3"/>
      <c r="J20" s="25">
        <v>5000</v>
      </c>
      <c r="K20" s="31"/>
      <c r="L20" s="32"/>
      <c r="M20" s="28"/>
      <c r="N20" s="23" t="s">
        <v>59</v>
      </c>
      <c r="O20" s="3">
        <v>4</v>
      </c>
      <c r="P20" s="3">
        <v>4</v>
      </c>
      <c r="Q20" s="24">
        <v>5000</v>
      </c>
      <c r="R20" s="3"/>
      <c r="S20" s="25">
        <v>5000</v>
      </c>
    </row>
    <row r="21" spans="1:19" ht="21" customHeight="1">
      <c r="A21" s="20">
        <v>14</v>
      </c>
      <c r="B21" s="21" t="s">
        <v>60</v>
      </c>
      <c r="C21" s="30" t="s">
        <v>61</v>
      </c>
      <c r="D21" s="22"/>
      <c r="E21" s="23" t="s">
        <v>62</v>
      </c>
      <c r="F21" s="3">
        <v>68</v>
      </c>
      <c r="G21" s="3">
        <v>68</v>
      </c>
      <c r="H21" s="24">
        <v>48500</v>
      </c>
      <c r="I21" s="3"/>
      <c r="J21" s="25">
        <v>48500</v>
      </c>
      <c r="K21" s="31"/>
      <c r="L21" s="32"/>
      <c r="M21" s="28"/>
      <c r="N21" s="23" t="s">
        <v>62</v>
      </c>
      <c r="O21" s="3">
        <v>68</v>
      </c>
      <c r="P21" s="3">
        <v>68</v>
      </c>
      <c r="Q21" s="24">
        <v>48500</v>
      </c>
      <c r="R21" s="3"/>
      <c r="S21" s="25">
        <v>48500</v>
      </c>
    </row>
    <row r="22" spans="1:19" ht="21" customHeight="1">
      <c r="A22" s="20">
        <v>15</v>
      </c>
      <c r="B22" s="21" t="s">
        <v>63</v>
      </c>
      <c r="C22" s="21" t="s">
        <v>64</v>
      </c>
      <c r="D22" s="22"/>
      <c r="E22" s="23" t="s">
        <v>65</v>
      </c>
      <c r="F22" s="3">
        <v>38</v>
      </c>
      <c r="G22" s="3">
        <v>55</v>
      </c>
      <c r="H22" s="24">
        <v>38000</v>
      </c>
      <c r="I22" s="3"/>
      <c r="J22" s="25">
        <v>38000</v>
      </c>
      <c r="K22" s="31"/>
      <c r="L22" s="32"/>
      <c r="M22" s="28"/>
      <c r="N22" s="23" t="s">
        <v>65</v>
      </c>
      <c r="O22" s="3">
        <v>38</v>
      </c>
      <c r="P22" s="3">
        <v>55</v>
      </c>
      <c r="Q22" s="24">
        <v>38000</v>
      </c>
      <c r="R22" s="3"/>
      <c r="S22" s="25">
        <v>38000</v>
      </c>
    </row>
    <row r="23" spans="1:19" ht="21" customHeight="1">
      <c r="A23" s="20">
        <v>16</v>
      </c>
      <c r="B23" s="36" t="s">
        <v>66</v>
      </c>
      <c r="C23" s="36" t="s">
        <v>67</v>
      </c>
      <c r="D23" s="37"/>
      <c r="E23" s="38" t="s">
        <v>68</v>
      </c>
      <c r="F23" s="39">
        <v>16</v>
      </c>
      <c r="G23" s="39">
        <v>37</v>
      </c>
      <c r="H23" s="40">
        <v>37600</v>
      </c>
      <c r="I23" s="39"/>
      <c r="J23" s="41">
        <v>37600</v>
      </c>
      <c r="K23" s="42"/>
      <c r="L23" s="43"/>
      <c r="M23" s="44"/>
      <c r="N23" s="38" t="s">
        <v>68</v>
      </c>
      <c r="O23" s="39">
        <v>16</v>
      </c>
      <c r="P23" s="39">
        <v>37</v>
      </c>
      <c r="Q23" s="40">
        <v>37600</v>
      </c>
      <c r="R23" s="39"/>
      <c r="S23" s="41">
        <v>37600</v>
      </c>
    </row>
    <row r="24" spans="1:19" ht="21" customHeight="1" thickBot="1">
      <c r="A24" s="45"/>
      <c r="B24" s="46" t="s">
        <v>18</v>
      </c>
      <c r="C24" s="47"/>
      <c r="D24" s="48"/>
      <c r="E24" s="49"/>
      <c r="F24" s="50"/>
      <c r="G24" s="50"/>
      <c r="H24" s="51">
        <f>SUM(H8:H23)</f>
        <v>711100</v>
      </c>
      <c r="I24" s="51">
        <v>0</v>
      </c>
      <c r="J24" s="51">
        <f>SUM(J8:J23)</f>
        <v>711100</v>
      </c>
      <c r="K24" s="52"/>
      <c r="L24" s="53"/>
      <c r="M24" s="54">
        <f>SUM(M8:M23)</f>
        <v>0</v>
      </c>
      <c r="N24" s="49"/>
      <c r="O24" s="50"/>
      <c r="P24" s="50"/>
      <c r="Q24" s="51">
        <f>SUM(Q8:Q23)</f>
        <v>711100</v>
      </c>
      <c r="R24" s="51">
        <f ca="1">SUM(R8:R39)</f>
        <v>0</v>
      </c>
      <c r="S24" s="51">
        <f>SUM(S8:S23)</f>
        <v>711100</v>
      </c>
    </row>
    <row r="25" spans="1:19" s="1" customFormat="1" ht="21" customHeight="1" thickTop="1">
      <c r="A25" s="55"/>
      <c r="B25" s="56" t="s">
        <v>69</v>
      </c>
      <c r="D25" s="57"/>
      <c r="E25" s="58"/>
      <c r="F25" s="59"/>
      <c r="G25" s="29"/>
      <c r="H25" s="29"/>
      <c r="I25" s="29"/>
      <c r="J25" s="29"/>
      <c r="K25" s="60"/>
      <c r="L25" s="61"/>
      <c r="M25" s="61"/>
    </row>
    <row r="26" spans="1:19" ht="21" customHeight="1">
      <c r="A26" s="20">
        <v>1</v>
      </c>
      <c r="B26" s="21" t="s">
        <v>70</v>
      </c>
      <c r="C26" s="21" t="s">
        <v>71</v>
      </c>
      <c r="D26" s="6"/>
      <c r="E26" s="23" t="s">
        <v>72</v>
      </c>
      <c r="F26" s="3">
        <v>7</v>
      </c>
      <c r="G26" s="3">
        <v>141</v>
      </c>
      <c r="H26" s="24">
        <v>20000</v>
      </c>
      <c r="I26" s="3"/>
      <c r="J26" s="25">
        <v>20000</v>
      </c>
      <c r="K26" s="26"/>
      <c r="L26" s="27"/>
      <c r="M26" s="28"/>
      <c r="N26" s="23" t="s">
        <v>72</v>
      </c>
      <c r="O26" s="3">
        <v>7</v>
      </c>
      <c r="P26" s="3">
        <v>141</v>
      </c>
      <c r="Q26" s="24">
        <v>20000</v>
      </c>
      <c r="R26" s="3"/>
      <c r="S26" s="25">
        <v>20000</v>
      </c>
    </row>
    <row r="27" spans="1:19" ht="21" customHeight="1" thickBot="1">
      <c r="A27" s="45"/>
      <c r="B27" s="46" t="s">
        <v>18</v>
      </c>
      <c r="C27" s="47"/>
      <c r="D27" s="48"/>
      <c r="E27" s="49"/>
      <c r="F27" s="50"/>
      <c r="G27" s="50"/>
      <c r="H27" s="51">
        <v>20000</v>
      </c>
      <c r="I27" s="51">
        <v>0</v>
      </c>
      <c r="J27" s="51">
        <v>20000</v>
      </c>
      <c r="K27" s="62"/>
      <c r="L27" s="53"/>
      <c r="M27" s="54"/>
      <c r="N27" s="49"/>
      <c r="O27" s="50"/>
      <c r="P27" s="50"/>
      <c r="Q27" s="51">
        <f t="shared" ref="Q27:S27" si="0">SUM(Q26)</f>
        <v>20000</v>
      </c>
      <c r="R27" s="51">
        <f t="shared" si="0"/>
        <v>0</v>
      </c>
      <c r="S27" s="51">
        <f t="shared" si="0"/>
        <v>20000</v>
      </c>
    </row>
    <row r="28" spans="1:19" ht="21" customHeight="1" thickTop="1">
      <c r="B28" s="1"/>
      <c r="C28" s="1"/>
      <c r="D28" s="63"/>
      <c r="E28" s="64"/>
      <c r="F28" s="58"/>
      <c r="G28" s="58"/>
      <c r="H28" s="65"/>
      <c r="I28" s="58"/>
      <c r="J28" s="59"/>
      <c r="K28" s="66"/>
      <c r="L28" s="67"/>
      <c r="M28" s="68"/>
      <c r="N28" s="64"/>
      <c r="Q28" s="65"/>
      <c r="S28" s="59"/>
    </row>
    <row r="29" spans="1:19" s="1" customFormat="1" ht="21" customHeight="1">
      <c r="A29" s="55"/>
      <c r="B29" s="69" t="s">
        <v>73</v>
      </c>
      <c r="D29" s="57"/>
      <c r="E29" s="58"/>
      <c r="F29" s="59"/>
      <c r="G29" s="29"/>
      <c r="H29" s="29"/>
      <c r="I29" s="29"/>
      <c r="J29" s="29"/>
      <c r="K29" s="60"/>
      <c r="L29" s="61"/>
      <c r="M29" s="61"/>
    </row>
    <row r="30" spans="1:19" ht="21" customHeight="1">
      <c r="A30" s="20">
        <v>1</v>
      </c>
      <c r="B30" s="21" t="s">
        <v>74</v>
      </c>
      <c r="C30" s="70" t="s">
        <v>75</v>
      </c>
      <c r="D30" s="6"/>
      <c r="E30" s="24"/>
      <c r="F30" s="3"/>
      <c r="G30" s="3"/>
      <c r="H30" s="24">
        <v>0</v>
      </c>
      <c r="I30" s="3"/>
      <c r="J30" s="25">
        <v>0</v>
      </c>
      <c r="K30" s="71"/>
      <c r="L30" s="72"/>
      <c r="M30" s="28"/>
      <c r="N30" s="23"/>
      <c r="O30" s="3"/>
      <c r="P30" s="3"/>
      <c r="Q30" s="24">
        <f>SUM(H30-M30)</f>
        <v>0</v>
      </c>
      <c r="R30" s="24"/>
      <c r="S30" s="24">
        <f>SUM(J30-M30)</f>
        <v>0</v>
      </c>
    </row>
    <row r="31" spans="1:19" ht="21" customHeight="1">
      <c r="A31" s="20"/>
      <c r="B31" s="33" t="s">
        <v>74</v>
      </c>
      <c r="C31" s="73" t="s">
        <v>79</v>
      </c>
      <c r="D31" s="34"/>
      <c r="E31" s="23" t="s">
        <v>80</v>
      </c>
      <c r="F31" s="3">
        <v>43</v>
      </c>
      <c r="G31" s="3">
        <v>43</v>
      </c>
      <c r="H31" s="24">
        <v>85200</v>
      </c>
      <c r="I31" s="3"/>
      <c r="J31" s="25">
        <v>85200</v>
      </c>
      <c r="K31" s="31" t="s">
        <v>118</v>
      </c>
      <c r="L31" s="32" t="s">
        <v>119</v>
      </c>
      <c r="M31" s="28">
        <v>300</v>
      </c>
      <c r="N31" s="23" t="s">
        <v>80</v>
      </c>
      <c r="O31" s="3">
        <v>43</v>
      </c>
      <c r="P31" s="3">
        <v>43</v>
      </c>
      <c r="Q31" s="24">
        <f t="shared" ref="Q31:Q34" si="1">SUM(H31-M31)</f>
        <v>84900</v>
      </c>
      <c r="R31" s="24"/>
      <c r="S31" s="24">
        <f t="shared" ref="S31:S34" si="2">SUM(J31-M31)</f>
        <v>84900</v>
      </c>
    </row>
    <row r="32" spans="1:19" ht="21" customHeight="1">
      <c r="A32" s="20">
        <v>2</v>
      </c>
      <c r="B32" s="33" t="s">
        <v>81</v>
      </c>
      <c r="C32" s="22" t="s">
        <v>82</v>
      </c>
      <c r="D32" s="34"/>
      <c r="E32" s="23" t="s">
        <v>83</v>
      </c>
      <c r="F32" s="3">
        <v>24</v>
      </c>
      <c r="G32" s="3">
        <v>24</v>
      </c>
      <c r="H32" s="24">
        <v>1000</v>
      </c>
      <c r="I32" s="3"/>
      <c r="J32" s="25">
        <v>1000</v>
      </c>
      <c r="K32" s="26"/>
      <c r="L32" s="32"/>
      <c r="M32" s="28"/>
      <c r="N32" s="23" t="s">
        <v>83</v>
      </c>
      <c r="O32" s="3">
        <v>24</v>
      </c>
      <c r="P32" s="3">
        <v>24</v>
      </c>
      <c r="Q32" s="24">
        <f t="shared" si="1"/>
        <v>1000</v>
      </c>
      <c r="R32" s="24"/>
      <c r="S32" s="24">
        <f t="shared" si="2"/>
        <v>1000</v>
      </c>
    </row>
    <row r="33" spans="1:19" ht="21" customHeight="1">
      <c r="A33" s="20"/>
      <c r="B33" s="33" t="s">
        <v>81</v>
      </c>
      <c r="C33" s="22" t="s">
        <v>85</v>
      </c>
      <c r="D33" s="34"/>
      <c r="E33" s="23" t="s">
        <v>83</v>
      </c>
      <c r="F33" s="3">
        <v>24</v>
      </c>
      <c r="G33" s="3">
        <v>24</v>
      </c>
      <c r="H33" s="24">
        <v>21000</v>
      </c>
      <c r="I33" s="3"/>
      <c r="J33" s="25">
        <v>21000</v>
      </c>
      <c r="K33" s="31"/>
      <c r="L33" s="32"/>
      <c r="M33" s="28"/>
      <c r="N33" s="23" t="s">
        <v>83</v>
      </c>
      <c r="O33" s="3">
        <v>24</v>
      </c>
      <c r="P33" s="3">
        <v>24</v>
      </c>
      <c r="Q33" s="24">
        <f t="shared" si="1"/>
        <v>21000</v>
      </c>
      <c r="R33" s="24"/>
      <c r="S33" s="24">
        <f t="shared" si="2"/>
        <v>21000</v>
      </c>
    </row>
    <row r="34" spans="1:19" ht="21" customHeight="1">
      <c r="A34" s="20">
        <v>3</v>
      </c>
      <c r="B34" s="21" t="s">
        <v>86</v>
      </c>
      <c r="C34" s="30" t="s">
        <v>87</v>
      </c>
      <c r="D34" s="22"/>
      <c r="E34" s="23" t="s">
        <v>50</v>
      </c>
      <c r="F34" s="3">
        <v>34</v>
      </c>
      <c r="G34" s="3">
        <v>34</v>
      </c>
      <c r="H34" s="24">
        <v>4500</v>
      </c>
      <c r="I34" s="3"/>
      <c r="J34" s="25">
        <v>4500</v>
      </c>
      <c r="K34" s="31"/>
      <c r="L34" s="32"/>
      <c r="M34" s="35"/>
      <c r="N34" s="23" t="s">
        <v>50</v>
      </c>
      <c r="O34" s="3">
        <v>34</v>
      </c>
      <c r="P34" s="3">
        <v>34</v>
      </c>
      <c r="Q34" s="24">
        <f t="shared" si="1"/>
        <v>4500</v>
      </c>
      <c r="R34" s="3"/>
      <c r="S34" s="24">
        <f t="shared" si="2"/>
        <v>4500</v>
      </c>
    </row>
    <row r="35" spans="1:19" ht="21" customHeight="1" thickBot="1">
      <c r="A35" s="45"/>
      <c r="B35" s="46" t="s">
        <v>18</v>
      </c>
      <c r="C35" s="47"/>
      <c r="D35" s="48"/>
      <c r="E35" s="49"/>
      <c r="F35" s="50"/>
      <c r="G35" s="50"/>
      <c r="H35" s="51">
        <f>SUM(H30:H34)</f>
        <v>111700</v>
      </c>
      <c r="I35" s="51">
        <v>0</v>
      </c>
      <c r="J35" s="51">
        <f>SUM(J30:J34)</f>
        <v>111700</v>
      </c>
      <c r="K35" s="62"/>
      <c r="L35" s="53"/>
      <c r="M35" s="74">
        <f>SUM(M30:M34)</f>
        <v>300</v>
      </c>
      <c r="N35" s="49"/>
      <c r="O35" s="50"/>
      <c r="P35" s="50"/>
      <c r="Q35" s="51">
        <f>SUM(Q30:Q34)</f>
        <v>111400</v>
      </c>
      <c r="R35" s="51">
        <f>SUM(R30:R33)</f>
        <v>0</v>
      </c>
      <c r="S35" s="51">
        <f>SUM(S30:S34)</f>
        <v>111400</v>
      </c>
    </row>
    <row r="36" spans="1:19" s="85" customFormat="1" ht="21" customHeight="1" thickTop="1">
      <c r="A36" s="75"/>
      <c r="B36" s="76"/>
      <c r="C36" s="77"/>
      <c r="D36" s="78"/>
      <c r="E36" s="79"/>
      <c r="F36" s="80"/>
      <c r="G36" s="80"/>
      <c r="H36" s="81"/>
      <c r="I36" s="81"/>
      <c r="J36" s="81"/>
      <c r="K36" s="82"/>
      <c r="L36" s="83"/>
      <c r="M36" s="84"/>
      <c r="N36" s="79"/>
      <c r="O36" s="80"/>
      <c r="P36" s="80"/>
      <c r="Q36" s="81"/>
      <c r="R36" s="81"/>
      <c r="S36" s="81"/>
    </row>
    <row r="37" spans="1:19" ht="21" customHeight="1">
      <c r="B37" s="86" t="s">
        <v>90</v>
      </c>
    </row>
    <row r="38" spans="1:19" ht="21" customHeight="1">
      <c r="A38" s="20">
        <v>1</v>
      </c>
      <c r="B38" s="33" t="s">
        <v>91</v>
      </c>
      <c r="C38" s="73" t="s">
        <v>92</v>
      </c>
      <c r="D38" s="34"/>
      <c r="E38" s="23" t="s">
        <v>93</v>
      </c>
      <c r="F38" s="3">
        <v>2</v>
      </c>
      <c r="G38" s="3">
        <v>2</v>
      </c>
      <c r="H38" s="24">
        <v>11000</v>
      </c>
      <c r="I38" s="3"/>
      <c r="J38" s="25">
        <v>11000</v>
      </c>
      <c r="K38" s="31"/>
      <c r="L38" s="32"/>
      <c r="M38" s="28"/>
      <c r="N38" s="23" t="s">
        <v>93</v>
      </c>
      <c r="O38" s="3">
        <v>2</v>
      </c>
      <c r="P38" s="3">
        <v>2</v>
      </c>
      <c r="Q38" s="24">
        <v>11000</v>
      </c>
      <c r="R38" s="3"/>
      <c r="S38" s="25">
        <v>11000</v>
      </c>
    </row>
    <row r="39" spans="1:19" ht="21" customHeight="1">
      <c r="A39" s="20">
        <v>2</v>
      </c>
      <c r="B39" s="70" t="s">
        <v>94</v>
      </c>
      <c r="C39" s="30" t="s">
        <v>95</v>
      </c>
      <c r="D39" s="22"/>
      <c r="E39" s="23" t="s">
        <v>96</v>
      </c>
      <c r="F39" s="3">
        <v>3</v>
      </c>
      <c r="G39" s="3">
        <v>3</v>
      </c>
      <c r="H39" s="24">
        <v>6000</v>
      </c>
      <c r="I39" s="3"/>
      <c r="J39" s="25">
        <v>6000</v>
      </c>
      <c r="K39" s="31"/>
      <c r="L39" s="32"/>
      <c r="M39" s="27"/>
      <c r="N39" s="23" t="s">
        <v>96</v>
      </c>
      <c r="O39" s="3">
        <v>3</v>
      </c>
      <c r="P39" s="3">
        <v>3</v>
      </c>
      <c r="Q39" s="24">
        <f>SUM(H39-M39)</f>
        <v>6000</v>
      </c>
      <c r="R39" s="24"/>
      <c r="S39" s="24">
        <f>SUM(J39-M39)</f>
        <v>6000</v>
      </c>
    </row>
    <row r="40" spans="1:19" ht="21" customHeight="1" thickBot="1">
      <c r="A40" s="45"/>
      <c r="B40" s="46" t="s">
        <v>18</v>
      </c>
      <c r="C40" s="47"/>
      <c r="D40" s="48"/>
      <c r="E40" s="49"/>
      <c r="F40" s="50"/>
      <c r="G40" s="50"/>
      <c r="H40" s="51">
        <v>17000</v>
      </c>
      <c r="I40" s="51">
        <v>0</v>
      </c>
      <c r="J40" s="51">
        <v>17000</v>
      </c>
      <c r="K40" s="62"/>
      <c r="L40" s="53"/>
      <c r="M40" s="74">
        <f>SUM(M36:M39)</f>
        <v>0</v>
      </c>
      <c r="N40" s="49"/>
      <c r="O40" s="50"/>
      <c r="P40" s="50"/>
      <c r="Q40" s="51">
        <f>SUM(Q36:Q39)</f>
        <v>17000</v>
      </c>
      <c r="R40" s="51">
        <f>SUM(R36:R39)</f>
        <v>0</v>
      </c>
      <c r="S40" s="51">
        <f>SUM(S36:S39)</f>
        <v>17000</v>
      </c>
    </row>
    <row r="41" spans="1:19" s="85" customFormat="1" ht="21" customHeight="1" thickTop="1">
      <c r="A41" s="75"/>
      <c r="B41" s="93"/>
      <c r="C41" s="77"/>
      <c r="D41" s="78"/>
      <c r="E41" s="79"/>
      <c r="F41" s="80"/>
      <c r="G41" s="80"/>
      <c r="H41" s="81"/>
      <c r="I41" s="80"/>
      <c r="J41" s="94"/>
      <c r="K41" s="82"/>
      <c r="L41" s="83"/>
      <c r="M41" s="95"/>
      <c r="N41" s="79"/>
      <c r="O41" s="80"/>
      <c r="P41" s="80"/>
      <c r="Q41" s="81"/>
      <c r="R41" s="81"/>
      <c r="S41" s="81"/>
    </row>
    <row r="42" spans="1:19" ht="21" customHeight="1">
      <c r="H42" s="96">
        <f>SUM(H24+H27+H35+H40)</f>
        <v>859800</v>
      </c>
      <c r="I42" s="96">
        <f t="shared" ref="I42:P42" si="3">SUM(I24+I27+I35+I40)</f>
        <v>0</v>
      </c>
      <c r="J42" s="96">
        <f t="shared" si="3"/>
        <v>859800</v>
      </c>
      <c r="K42" s="96">
        <f t="shared" si="3"/>
        <v>0</v>
      </c>
      <c r="L42" s="96">
        <f t="shared" si="3"/>
        <v>0</v>
      </c>
      <c r="M42" s="96">
        <f t="shared" si="3"/>
        <v>300</v>
      </c>
      <c r="N42" s="96">
        <f t="shared" si="3"/>
        <v>0</v>
      </c>
      <c r="O42" s="96">
        <f t="shared" si="3"/>
        <v>0</v>
      </c>
      <c r="P42" s="96">
        <f t="shared" si="3"/>
        <v>0</v>
      </c>
      <c r="Q42" s="96">
        <f>SUM(Q24+Q27+Q35+Q40)</f>
        <v>859500</v>
      </c>
      <c r="R42" s="96">
        <f ca="1">SUM(R24+R27+R35+R40)</f>
        <v>0</v>
      </c>
      <c r="S42" s="96">
        <f>SUM(S24+S27+S35+S40)</f>
        <v>859500</v>
      </c>
    </row>
    <row r="44" spans="1:19" ht="21" customHeight="1">
      <c r="S44" s="58"/>
    </row>
    <row r="52" spans="1:18" ht="21" customHeight="1">
      <c r="A52" s="29"/>
      <c r="R52" s="29"/>
    </row>
    <row r="53" spans="1:18" ht="21" customHeight="1">
      <c r="A53" s="29"/>
      <c r="R53" s="29"/>
    </row>
    <row r="63" spans="1:18" ht="21" customHeight="1">
      <c r="A63" s="29"/>
      <c r="R63" s="29"/>
    </row>
    <row r="64" spans="1:18" ht="21" customHeight="1">
      <c r="A64" s="29"/>
      <c r="R64" s="29"/>
    </row>
    <row r="67" spans="1:19" ht="21" customHeight="1">
      <c r="A67" s="29"/>
      <c r="C67" s="29"/>
      <c r="D67" s="29"/>
      <c r="F67" s="29"/>
      <c r="G67" s="29"/>
      <c r="H67" s="29"/>
      <c r="I67" s="29"/>
      <c r="J67" s="29"/>
      <c r="K67" s="2"/>
      <c r="L67" s="29"/>
      <c r="O67" s="29"/>
      <c r="P67" s="29"/>
      <c r="Q67" s="29"/>
      <c r="R67" s="29" t="s">
        <v>97</v>
      </c>
      <c r="S67" s="58">
        <v>32</v>
      </c>
    </row>
    <row r="68" spans="1:19" ht="21" customHeight="1">
      <c r="A68" s="29"/>
      <c r="C68" s="29"/>
      <c r="D68" s="29"/>
      <c r="F68" s="29"/>
      <c r="G68" s="29"/>
      <c r="H68" s="29"/>
      <c r="I68" s="29"/>
      <c r="J68" s="29"/>
      <c r="K68" s="2"/>
      <c r="L68" s="29"/>
      <c r="O68" s="29"/>
      <c r="P68" s="29"/>
      <c r="Q68" s="29"/>
      <c r="R68" s="55" t="s">
        <v>98</v>
      </c>
      <c r="S68" s="55">
        <v>18</v>
      </c>
    </row>
    <row r="122" spans="1:19" ht="21" customHeight="1">
      <c r="A122" s="97" t="s">
        <v>99</v>
      </c>
      <c r="B122" s="36" t="s">
        <v>100</v>
      </c>
      <c r="C122" s="98" t="s">
        <v>101</v>
      </c>
      <c r="D122" s="37">
        <v>1100</v>
      </c>
      <c r="E122" s="38" t="s">
        <v>102</v>
      </c>
      <c r="F122" s="39">
        <v>1</v>
      </c>
      <c r="G122" s="39">
        <v>1</v>
      </c>
      <c r="H122" s="40">
        <v>1100</v>
      </c>
      <c r="I122" s="39"/>
      <c r="J122" s="41">
        <v>1100</v>
      </c>
      <c r="K122" s="99"/>
      <c r="L122" s="100"/>
      <c r="M122" s="101"/>
      <c r="N122" s="38" t="s">
        <v>103</v>
      </c>
      <c r="O122" s="39">
        <v>2</v>
      </c>
      <c r="P122" s="39">
        <v>2</v>
      </c>
      <c r="Q122" s="40">
        <v>2200</v>
      </c>
      <c r="R122" s="39"/>
      <c r="S122" s="41">
        <v>1100</v>
      </c>
    </row>
  </sheetData>
  <mergeCells count="19"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N5:N6"/>
    <mergeCell ref="O5:O6"/>
    <mergeCell ref="Q5:S5"/>
    <mergeCell ref="E5:E6"/>
    <mergeCell ref="F5:F6"/>
    <mergeCell ref="H5:J5"/>
    <mergeCell ref="K5:K6"/>
    <mergeCell ref="L5:L6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24CA-FD57-4C1D-8EEB-A0F1193A53F2}">
  <sheetPr>
    <tabColor rgb="FF92D050"/>
  </sheetPr>
  <dimension ref="A1:F86"/>
  <sheetViews>
    <sheetView zoomScale="70" zoomScaleNormal="70" workbookViewId="0">
      <pane ySplit="6" topLeftCell="A7" activePane="bottomLeft" state="frozen"/>
      <selection pane="bottomLeft" activeCell="F31" sqref="F31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90"/>
    <col min="5" max="5" width="13.88671875" style="91"/>
    <col min="6" max="6" width="13.6640625" style="29" customWidth="1"/>
    <col min="7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117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14" t="s">
        <v>8</v>
      </c>
      <c r="E4" s="214"/>
      <c r="F4" s="214"/>
    </row>
    <row r="5" spans="1:6" s="1" customFormat="1" ht="21" customHeight="1">
      <c r="A5" s="202"/>
      <c r="B5" s="202"/>
      <c r="C5" s="205"/>
      <c r="D5" s="216" t="s">
        <v>12</v>
      </c>
      <c r="E5" s="218" t="s">
        <v>13</v>
      </c>
      <c r="F5" s="209" t="s">
        <v>14</v>
      </c>
    </row>
    <row r="6" spans="1:6" s="1" customFormat="1" ht="21" customHeight="1">
      <c r="A6" s="203"/>
      <c r="B6" s="203"/>
      <c r="C6" s="206"/>
      <c r="D6" s="217"/>
      <c r="E6" s="219"/>
      <c r="F6" s="210"/>
    </row>
    <row r="7" spans="1:6" ht="21" customHeight="1">
      <c r="A7" s="20">
        <v>1</v>
      </c>
      <c r="B7" s="33" t="s">
        <v>74</v>
      </c>
      <c r="C7" s="73" t="s">
        <v>79</v>
      </c>
      <c r="D7" s="31" t="s">
        <v>118</v>
      </c>
      <c r="E7" s="32" t="s">
        <v>119</v>
      </c>
      <c r="F7" s="28">
        <v>300</v>
      </c>
    </row>
    <row r="8" spans="1:6" ht="21" customHeight="1" thickBot="1">
      <c r="A8" s="45"/>
      <c r="B8" s="46" t="s">
        <v>18</v>
      </c>
      <c r="C8" s="47"/>
      <c r="D8" s="62"/>
      <c r="E8" s="53"/>
      <c r="F8" s="74">
        <v>300</v>
      </c>
    </row>
    <row r="9" spans="1:6" s="85" customFormat="1" ht="21" customHeight="1" thickTop="1">
      <c r="A9" s="75"/>
      <c r="B9" s="76"/>
      <c r="C9" s="77"/>
      <c r="D9" s="82"/>
      <c r="E9" s="83"/>
      <c r="F9" s="84"/>
    </row>
    <row r="16" spans="1:6" ht="21" customHeight="1">
      <c r="A16" s="29"/>
    </row>
    <row r="17" spans="1:5" ht="21" customHeight="1">
      <c r="A17" s="29"/>
    </row>
    <row r="27" spans="1:5" ht="21" customHeight="1">
      <c r="A27" s="29"/>
    </row>
    <row r="28" spans="1:5" ht="21" customHeight="1">
      <c r="A28" s="29"/>
    </row>
    <row r="31" spans="1:5" ht="21" customHeight="1">
      <c r="A31" s="29"/>
      <c r="C31" s="29"/>
      <c r="D31" s="2"/>
      <c r="E31" s="29"/>
    </row>
    <row r="32" spans="1:5" ht="21" customHeight="1">
      <c r="A32" s="29"/>
      <c r="C32" s="29"/>
      <c r="D32" s="2"/>
      <c r="E32" s="29"/>
    </row>
    <row r="86" spans="1:6" ht="21" customHeight="1">
      <c r="A86" s="97" t="s">
        <v>99</v>
      </c>
      <c r="B86" s="36" t="s">
        <v>100</v>
      </c>
      <c r="C86" s="98" t="s">
        <v>101</v>
      </c>
      <c r="D86" s="99"/>
      <c r="E86" s="100"/>
      <c r="F86" s="101"/>
    </row>
  </sheetData>
  <mergeCells count="10"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871C-E80A-483F-822E-798B5E329CED}">
  <sheetPr>
    <tabColor rgb="FF92D050"/>
  </sheetPr>
  <dimension ref="A1:I121"/>
  <sheetViews>
    <sheetView zoomScale="70" zoomScaleNormal="70" workbookViewId="0">
      <pane ySplit="6" topLeftCell="A7" activePane="bottomLeft" state="frozen"/>
      <selection pane="bottomLeft" activeCell="K24" sqref="K24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4" width="19.44140625" style="87" customWidth="1"/>
    <col min="5" max="5" width="19.88671875" style="2" customWidth="1"/>
    <col min="6" max="6" width="13.88671875" style="58"/>
    <col min="7" max="16384" width="13.88671875" style="29"/>
  </cols>
  <sheetData>
    <row r="1" spans="1:7" s="1" customFormat="1" ht="21" customHeight="1">
      <c r="A1" s="198" t="s">
        <v>0</v>
      </c>
      <c r="B1" s="198"/>
      <c r="C1" s="198"/>
      <c r="D1" s="198"/>
      <c r="E1" s="198"/>
      <c r="F1" s="198"/>
      <c r="G1" s="198"/>
    </row>
    <row r="2" spans="1:7" s="1" customFormat="1" ht="21" customHeight="1">
      <c r="A2" s="199" t="s">
        <v>1</v>
      </c>
      <c r="B2" s="199"/>
      <c r="C2" s="199"/>
      <c r="D2" s="199"/>
      <c r="E2" s="199"/>
      <c r="F2" s="199"/>
      <c r="G2" s="199"/>
    </row>
    <row r="3" spans="1:7" s="1" customFormat="1" ht="21" customHeight="1">
      <c r="A3" s="200" t="s">
        <v>117</v>
      </c>
      <c r="B3" s="200"/>
      <c r="C3" s="200"/>
      <c r="D3" s="200"/>
      <c r="E3" s="200"/>
      <c r="F3" s="200"/>
      <c r="G3" s="200"/>
    </row>
    <row r="4" spans="1:7" s="1" customFormat="1" ht="21" customHeight="1">
      <c r="A4" s="201" t="s">
        <v>3</v>
      </c>
      <c r="B4" s="201" t="s">
        <v>4</v>
      </c>
      <c r="C4" s="204" t="s">
        <v>5</v>
      </c>
      <c r="D4" s="104"/>
      <c r="E4" s="207" t="s">
        <v>9</v>
      </c>
      <c r="F4" s="207"/>
      <c r="G4" s="207"/>
    </row>
    <row r="5" spans="1:7" s="1" customFormat="1" ht="21" customHeight="1">
      <c r="A5" s="202"/>
      <c r="B5" s="202"/>
      <c r="C5" s="205"/>
      <c r="D5" s="105" t="s">
        <v>120</v>
      </c>
      <c r="E5" s="208" t="s">
        <v>10</v>
      </c>
      <c r="F5" s="207" t="s">
        <v>15</v>
      </c>
      <c r="G5" s="102"/>
    </row>
    <row r="6" spans="1:7" s="1" customFormat="1" ht="21" customHeight="1">
      <c r="A6" s="203"/>
      <c r="B6" s="203"/>
      <c r="C6" s="206"/>
      <c r="D6" s="106"/>
      <c r="E6" s="208"/>
      <c r="F6" s="207"/>
      <c r="G6" s="8" t="s">
        <v>18</v>
      </c>
    </row>
    <row r="7" spans="1:7" s="1" customFormat="1" ht="21" customHeight="1">
      <c r="A7" s="9"/>
      <c r="B7" s="10" t="s">
        <v>20</v>
      </c>
      <c r="C7" s="11"/>
      <c r="D7" s="11"/>
      <c r="E7" s="13"/>
      <c r="F7" s="14"/>
      <c r="G7" s="16"/>
    </row>
    <row r="8" spans="1:7" ht="21" customHeight="1">
      <c r="A8" s="20">
        <v>1</v>
      </c>
      <c r="B8" s="21" t="s">
        <v>21</v>
      </c>
      <c r="C8" s="21" t="s">
        <v>22</v>
      </c>
      <c r="D8" s="21"/>
      <c r="E8" s="23" t="s">
        <v>23</v>
      </c>
      <c r="F8" s="3">
        <v>37</v>
      </c>
      <c r="G8" s="25">
        <v>22300</v>
      </c>
    </row>
    <row r="9" spans="1:7" ht="21" customHeight="1">
      <c r="A9" s="20">
        <v>2</v>
      </c>
      <c r="B9" s="21" t="s">
        <v>24</v>
      </c>
      <c r="C9" s="30" t="s">
        <v>25</v>
      </c>
      <c r="D9" s="30"/>
      <c r="E9" s="23" t="s">
        <v>26</v>
      </c>
      <c r="F9" s="3">
        <v>13</v>
      </c>
      <c r="G9" s="25">
        <v>15000</v>
      </c>
    </row>
    <row r="10" spans="1:7" ht="21" customHeight="1">
      <c r="A10" s="20">
        <v>3</v>
      </c>
      <c r="B10" s="33" t="s">
        <v>27</v>
      </c>
      <c r="C10" s="22" t="s">
        <v>28</v>
      </c>
      <c r="D10" s="22"/>
      <c r="E10" s="23" t="s">
        <v>29</v>
      </c>
      <c r="F10" s="3">
        <v>23</v>
      </c>
      <c r="G10" s="25">
        <v>50000</v>
      </c>
    </row>
    <row r="11" spans="1:7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25">
        <v>79500</v>
      </c>
    </row>
    <row r="12" spans="1:7" ht="21" customHeight="1">
      <c r="A12" s="20">
        <v>5</v>
      </c>
      <c r="B12" s="33" t="s">
        <v>33</v>
      </c>
      <c r="C12" s="22" t="s">
        <v>34</v>
      </c>
      <c r="D12" s="22"/>
      <c r="E12" s="23" t="s">
        <v>35</v>
      </c>
      <c r="F12" s="3">
        <v>42</v>
      </c>
      <c r="G12" s="25">
        <v>41000</v>
      </c>
    </row>
    <row r="13" spans="1:7" ht="21" customHeight="1">
      <c r="A13" s="20">
        <v>6</v>
      </c>
      <c r="B13" s="21" t="s">
        <v>36</v>
      </c>
      <c r="C13" s="21" t="s">
        <v>37</v>
      </c>
      <c r="D13" s="21"/>
      <c r="E13" s="23" t="s">
        <v>38</v>
      </c>
      <c r="F13" s="3">
        <v>29</v>
      </c>
      <c r="G13" s="25">
        <v>28000</v>
      </c>
    </row>
    <row r="14" spans="1:7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25">
        <v>92000</v>
      </c>
    </row>
    <row r="15" spans="1:7" ht="21" customHeight="1">
      <c r="A15" s="20">
        <v>8</v>
      </c>
      <c r="B15" s="21" t="s">
        <v>42</v>
      </c>
      <c r="C15" s="21" t="s">
        <v>43</v>
      </c>
      <c r="D15" s="21"/>
      <c r="E15" s="23" t="s">
        <v>44</v>
      </c>
      <c r="F15" s="3">
        <v>41</v>
      </c>
      <c r="G15" s="25">
        <v>41000</v>
      </c>
    </row>
    <row r="16" spans="1:7" ht="21" customHeight="1">
      <c r="A16" s="20">
        <v>9</v>
      </c>
      <c r="B16" s="21" t="s">
        <v>45</v>
      </c>
      <c r="C16" s="30" t="s">
        <v>46</v>
      </c>
      <c r="D16" s="30"/>
      <c r="E16" s="23" t="s">
        <v>47</v>
      </c>
      <c r="F16" s="3">
        <v>66</v>
      </c>
      <c r="G16" s="25">
        <v>46500</v>
      </c>
    </row>
    <row r="17" spans="1:9" ht="21" customHeight="1">
      <c r="A17" s="20">
        <v>10</v>
      </c>
      <c r="B17" s="21" t="s">
        <v>48</v>
      </c>
      <c r="C17" s="30" t="s">
        <v>49</v>
      </c>
      <c r="D17" s="30"/>
      <c r="E17" s="23" t="s">
        <v>50</v>
      </c>
      <c r="F17" s="3">
        <v>34</v>
      </c>
      <c r="G17" s="25">
        <v>23600</v>
      </c>
    </row>
    <row r="18" spans="1:9" ht="21" customHeight="1">
      <c r="A18" s="20">
        <v>11</v>
      </c>
      <c r="B18" s="33" t="s">
        <v>51</v>
      </c>
      <c r="C18" s="22" t="s">
        <v>52</v>
      </c>
      <c r="D18" s="22"/>
      <c r="E18" s="23" t="s">
        <v>53</v>
      </c>
      <c r="F18" s="3">
        <v>39.049999999999997</v>
      </c>
      <c r="G18" s="25">
        <v>39100</v>
      </c>
    </row>
    <row r="19" spans="1:9" ht="21" customHeight="1">
      <c r="A19" s="20">
        <v>12</v>
      </c>
      <c r="B19" s="33" t="s">
        <v>54</v>
      </c>
      <c r="C19" s="22" t="s">
        <v>55</v>
      </c>
      <c r="D19" s="22"/>
      <c r="E19" s="23" t="s">
        <v>56</v>
      </c>
      <c r="F19" s="3">
        <v>52</v>
      </c>
      <c r="G19" s="25">
        <v>104000</v>
      </c>
    </row>
    <row r="20" spans="1:9" ht="21" customHeight="1">
      <c r="A20" s="20">
        <v>13</v>
      </c>
      <c r="B20" s="21" t="s">
        <v>57</v>
      </c>
      <c r="C20" s="30" t="s">
        <v>58</v>
      </c>
      <c r="D20" s="30"/>
      <c r="E20" s="23" t="s">
        <v>59</v>
      </c>
      <c r="F20" s="3">
        <v>4</v>
      </c>
      <c r="G20" s="25">
        <v>5000</v>
      </c>
    </row>
    <row r="21" spans="1:9" ht="21" customHeight="1">
      <c r="A21" s="20">
        <v>14</v>
      </c>
      <c r="B21" s="21" t="s">
        <v>60</v>
      </c>
      <c r="C21" s="30" t="s">
        <v>61</v>
      </c>
      <c r="D21" s="30"/>
      <c r="E21" s="23" t="s">
        <v>62</v>
      </c>
      <c r="F21" s="3">
        <v>68</v>
      </c>
      <c r="G21" s="25">
        <v>48500</v>
      </c>
    </row>
    <row r="22" spans="1:9" ht="21" customHeight="1">
      <c r="A22" s="20">
        <v>15</v>
      </c>
      <c r="B22" s="21" t="s">
        <v>63</v>
      </c>
      <c r="C22" s="21" t="s">
        <v>64</v>
      </c>
      <c r="D22" s="21"/>
      <c r="E22" s="23" t="s">
        <v>65</v>
      </c>
      <c r="F22" s="3">
        <v>38</v>
      </c>
      <c r="G22" s="25">
        <v>38000</v>
      </c>
    </row>
    <row r="23" spans="1:9" ht="21" customHeight="1">
      <c r="A23" s="20">
        <v>16</v>
      </c>
      <c r="B23" s="36" t="s">
        <v>66</v>
      </c>
      <c r="C23" s="36" t="s">
        <v>67</v>
      </c>
      <c r="D23" s="107"/>
      <c r="E23" s="38" t="s">
        <v>68</v>
      </c>
      <c r="F23" s="39">
        <v>16</v>
      </c>
      <c r="G23" s="41">
        <v>37600</v>
      </c>
    </row>
    <row r="24" spans="1:9" ht="21" customHeight="1" thickBot="1">
      <c r="A24" s="45"/>
      <c r="B24" s="46" t="s">
        <v>18</v>
      </c>
      <c r="C24" s="47"/>
      <c r="D24" s="47"/>
      <c r="E24" s="49"/>
      <c r="F24" s="50"/>
      <c r="G24" s="51">
        <v>711100</v>
      </c>
      <c r="I24" s="29">
        <f>SUM(G8:G23)</f>
        <v>711100</v>
      </c>
    </row>
    <row r="25" spans="1:9" s="1" customFormat="1" ht="21" customHeight="1" thickTop="1">
      <c r="A25" s="55"/>
      <c r="B25" s="56" t="s">
        <v>69</v>
      </c>
    </row>
    <row r="26" spans="1:9" ht="21" customHeight="1">
      <c r="A26" s="20">
        <v>1</v>
      </c>
      <c r="B26" s="21" t="s">
        <v>70</v>
      </c>
      <c r="C26" s="21" t="s">
        <v>71</v>
      </c>
      <c r="D26" s="21"/>
      <c r="E26" s="23" t="s">
        <v>72</v>
      </c>
      <c r="F26" s="3">
        <v>7</v>
      </c>
      <c r="G26" s="25">
        <v>20000</v>
      </c>
    </row>
    <row r="27" spans="1:9" ht="21" customHeight="1" thickBot="1">
      <c r="A27" s="45"/>
      <c r="B27" s="46" t="s">
        <v>18</v>
      </c>
      <c r="C27" s="47"/>
      <c r="D27" s="47"/>
      <c r="E27" s="49"/>
      <c r="F27" s="50"/>
      <c r="G27" s="51">
        <v>20000</v>
      </c>
      <c r="I27" s="29">
        <f>SUM(G26)</f>
        <v>20000</v>
      </c>
    </row>
    <row r="28" spans="1:9" ht="21" customHeight="1" thickTop="1">
      <c r="B28" s="1"/>
      <c r="C28" s="1"/>
      <c r="D28" s="1"/>
      <c r="E28" s="64"/>
      <c r="G28" s="59"/>
    </row>
    <row r="29" spans="1:9" s="1" customFormat="1" ht="21" customHeight="1">
      <c r="A29" s="55"/>
      <c r="B29" s="69" t="s">
        <v>73</v>
      </c>
    </row>
    <row r="30" spans="1:9" ht="21" customHeight="1">
      <c r="A30" s="20">
        <v>1</v>
      </c>
      <c r="B30" s="33" t="s">
        <v>74</v>
      </c>
      <c r="C30" s="73" t="s">
        <v>79</v>
      </c>
      <c r="D30" s="73"/>
      <c r="E30" s="23" t="s">
        <v>80</v>
      </c>
      <c r="F30" s="3">
        <v>43</v>
      </c>
      <c r="G30" s="24">
        <v>84900</v>
      </c>
    </row>
    <row r="31" spans="1:9" ht="21" customHeight="1">
      <c r="A31" s="20">
        <v>2</v>
      </c>
      <c r="B31" s="33" t="s">
        <v>81</v>
      </c>
      <c r="C31" s="22" t="s">
        <v>82</v>
      </c>
      <c r="D31" s="22"/>
      <c r="E31" s="23" t="s">
        <v>83</v>
      </c>
      <c r="F31" s="3">
        <v>24</v>
      </c>
      <c r="G31" s="24">
        <v>1000</v>
      </c>
    </row>
    <row r="32" spans="1:9" ht="21" customHeight="1">
      <c r="A32" s="20"/>
      <c r="B32" s="33" t="s">
        <v>81</v>
      </c>
      <c r="C32" s="22" t="s">
        <v>85</v>
      </c>
      <c r="D32" s="22"/>
      <c r="E32" s="23" t="s">
        <v>83</v>
      </c>
      <c r="F32" s="3">
        <v>24</v>
      </c>
      <c r="G32" s="24">
        <v>21000</v>
      </c>
    </row>
    <row r="33" spans="1:9" ht="21" customHeight="1">
      <c r="A33" s="20">
        <v>3</v>
      </c>
      <c r="B33" s="21" t="s">
        <v>86</v>
      </c>
      <c r="C33" s="30" t="s">
        <v>87</v>
      </c>
      <c r="D33" s="30"/>
      <c r="E33" s="23" t="s">
        <v>50</v>
      </c>
      <c r="F33" s="3">
        <v>34</v>
      </c>
      <c r="G33" s="24">
        <v>4500</v>
      </c>
    </row>
    <row r="34" spans="1:9" ht="21" customHeight="1" thickBot="1">
      <c r="A34" s="45"/>
      <c r="B34" s="46" t="s">
        <v>18</v>
      </c>
      <c r="C34" s="47"/>
      <c r="D34" s="47"/>
      <c r="E34" s="49"/>
      <c r="F34" s="50"/>
      <c r="G34" s="51">
        <v>111400</v>
      </c>
      <c r="I34" s="29">
        <f>SUM(G30:G33)</f>
        <v>111400</v>
      </c>
    </row>
    <row r="35" spans="1:9" s="85" customFormat="1" ht="21" customHeight="1" thickTop="1">
      <c r="A35" s="75"/>
      <c r="B35" s="76"/>
      <c r="C35" s="77"/>
      <c r="D35" s="77"/>
      <c r="E35" s="79"/>
      <c r="F35" s="80"/>
      <c r="G35" s="81"/>
    </row>
    <row r="36" spans="1:9" ht="21" customHeight="1">
      <c r="B36" s="86" t="s">
        <v>90</v>
      </c>
    </row>
    <row r="37" spans="1:9" ht="21" customHeight="1">
      <c r="A37" s="20">
        <v>1</v>
      </c>
      <c r="B37" s="33" t="s">
        <v>91</v>
      </c>
      <c r="C37" s="73" t="s">
        <v>92</v>
      </c>
      <c r="D37" s="73"/>
      <c r="E37" s="23" t="s">
        <v>93</v>
      </c>
      <c r="F37" s="3">
        <v>2</v>
      </c>
      <c r="G37" s="25">
        <v>11000</v>
      </c>
    </row>
    <row r="38" spans="1:9" ht="21" customHeight="1">
      <c r="A38" s="20">
        <v>2</v>
      </c>
      <c r="B38" s="70" t="s">
        <v>94</v>
      </c>
      <c r="C38" s="30" t="s">
        <v>95</v>
      </c>
      <c r="D38" s="30"/>
      <c r="E38" s="23" t="s">
        <v>96</v>
      </c>
      <c r="F38" s="3">
        <v>3</v>
      </c>
      <c r="G38" s="24">
        <v>6000</v>
      </c>
    </row>
    <row r="39" spans="1:9" ht="21" customHeight="1" thickBot="1">
      <c r="A39" s="45"/>
      <c r="B39" s="46" t="s">
        <v>18</v>
      </c>
      <c r="C39" s="47"/>
      <c r="D39" s="47"/>
      <c r="E39" s="49"/>
      <c r="F39" s="50"/>
      <c r="G39" s="51">
        <v>17000</v>
      </c>
      <c r="I39" s="29">
        <f>SUM(G37:G38)</f>
        <v>17000</v>
      </c>
    </row>
    <row r="40" spans="1:9" s="85" customFormat="1" ht="21" customHeight="1" thickTop="1">
      <c r="A40" s="75"/>
      <c r="B40" s="93"/>
      <c r="C40" s="77"/>
      <c r="D40" s="77"/>
      <c r="E40" s="79"/>
      <c r="F40" s="80"/>
      <c r="G40" s="81"/>
    </row>
    <row r="41" spans="1:9" ht="21" customHeight="1">
      <c r="E41" s="96">
        <v>0</v>
      </c>
      <c r="F41" s="96">
        <v>0</v>
      </c>
      <c r="G41" s="96">
        <v>859500</v>
      </c>
      <c r="I41" s="103">
        <f>SUM(I23:I39)</f>
        <v>859500</v>
      </c>
    </row>
    <row r="43" spans="1:9" ht="21" customHeight="1">
      <c r="G43" s="58"/>
    </row>
    <row r="51" spans="1:1" ht="21" customHeight="1">
      <c r="A51" s="29"/>
    </row>
    <row r="52" spans="1:1" ht="21" customHeight="1">
      <c r="A52" s="29"/>
    </row>
    <row r="62" spans="1:1" ht="21" customHeight="1">
      <c r="A62" s="29"/>
    </row>
    <row r="63" spans="1:1" ht="21" customHeight="1">
      <c r="A63" s="29"/>
    </row>
    <row r="66" spans="1:7" ht="21" customHeight="1">
      <c r="A66" s="29"/>
      <c r="C66" s="29"/>
      <c r="D66" s="29"/>
      <c r="F66" s="29"/>
      <c r="G66" s="58">
        <v>32</v>
      </c>
    </row>
    <row r="67" spans="1:7" ht="21" customHeight="1">
      <c r="A67" s="29"/>
      <c r="C67" s="29"/>
      <c r="D67" s="29"/>
      <c r="F67" s="29"/>
      <c r="G67" s="55">
        <v>18</v>
      </c>
    </row>
    <row r="121" spans="1:7" ht="21" customHeight="1">
      <c r="A121" s="97" t="s">
        <v>99</v>
      </c>
      <c r="B121" s="36" t="s">
        <v>100</v>
      </c>
      <c r="C121" s="98" t="s">
        <v>101</v>
      </c>
      <c r="D121" s="108"/>
      <c r="E121" s="38" t="s">
        <v>103</v>
      </c>
      <c r="F121" s="39">
        <v>2</v>
      </c>
      <c r="G121" s="41">
        <v>1100</v>
      </c>
    </row>
  </sheetData>
  <mergeCells count="9">
    <mergeCell ref="E5:E6"/>
    <mergeCell ref="F5:F6"/>
    <mergeCell ref="A1:G1"/>
    <mergeCell ref="A2:G2"/>
    <mergeCell ref="A3:G3"/>
    <mergeCell ref="A4:A6"/>
    <mergeCell ref="B4:B6"/>
    <mergeCell ref="C4:C6"/>
    <mergeCell ref="E4:G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3CE7-87DD-4015-BC70-F8D6D33B7BC7}">
  <sheetPr>
    <tabColor rgb="FF92D050"/>
  </sheetPr>
  <dimension ref="A1:H121"/>
  <sheetViews>
    <sheetView zoomScale="70" zoomScaleNormal="70" workbookViewId="0">
      <pane ySplit="6" topLeftCell="A31" activePane="bottomLeft" state="frozen"/>
      <selection pane="bottomLeft" activeCell="L34" sqref="L34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9.88671875" style="2" customWidth="1"/>
    <col min="5" max="5" width="13.88671875" style="58"/>
    <col min="6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117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07" t="s">
        <v>9</v>
      </c>
      <c r="E4" s="207"/>
      <c r="F4" s="207"/>
    </row>
    <row r="5" spans="1:6" s="1" customFormat="1" ht="21" customHeight="1">
      <c r="A5" s="202"/>
      <c r="B5" s="202"/>
      <c r="C5" s="205"/>
      <c r="D5" s="208" t="s">
        <v>10</v>
      </c>
      <c r="E5" s="207" t="s">
        <v>15</v>
      </c>
      <c r="F5" s="102"/>
    </row>
    <row r="6" spans="1:6" s="1" customFormat="1" ht="21" customHeight="1">
      <c r="A6" s="203"/>
      <c r="B6" s="203"/>
      <c r="C6" s="206"/>
      <c r="D6" s="208"/>
      <c r="E6" s="207"/>
      <c r="F6" s="8" t="s">
        <v>18</v>
      </c>
    </row>
    <row r="7" spans="1:6" s="1" customFormat="1" ht="21" customHeight="1">
      <c r="A7" s="9"/>
      <c r="B7" s="10" t="s">
        <v>20</v>
      </c>
      <c r="C7" s="11"/>
      <c r="D7" s="13"/>
      <c r="E7" s="14"/>
      <c r="F7" s="16"/>
    </row>
    <row r="8" spans="1:6" ht="21" customHeight="1">
      <c r="A8" s="20">
        <v>1</v>
      </c>
      <c r="B8" s="21" t="s">
        <v>21</v>
      </c>
      <c r="C8" s="21" t="s">
        <v>22</v>
      </c>
      <c r="D8" s="23" t="s">
        <v>23</v>
      </c>
      <c r="E8" s="3">
        <v>37</v>
      </c>
      <c r="F8" s="25">
        <v>22300</v>
      </c>
    </row>
    <row r="9" spans="1:6" ht="21" customHeight="1">
      <c r="A9" s="20">
        <v>2</v>
      </c>
      <c r="B9" s="21" t="s">
        <v>24</v>
      </c>
      <c r="C9" s="30" t="s">
        <v>25</v>
      </c>
      <c r="D9" s="23" t="s">
        <v>26</v>
      </c>
      <c r="E9" s="3">
        <v>13</v>
      </c>
      <c r="F9" s="25">
        <v>15000</v>
      </c>
    </row>
    <row r="10" spans="1:6" ht="21" customHeight="1">
      <c r="A10" s="20">
        <v>3</v>
      </c>
      <c r="B10" s="33" t="s">
        <v>27</v>
      </c>
      <c r="C10" s="22" t="s">
        <v>28</v>
      </c>
      <c r="D10" s="23" t="s">
        <v>29</v>
      </c>
      <c r="E10" s="3">
        <v>23</v>
      </c>
      <c r="F10" s="25">
        <v>50000</v>
      </c>
    </row>
    <row r="11" spans="1:6" ht="21" customHeight="1">
      <c r="A11" s="20">
        <v>4</v>
      </c>
      <c r="B11" s="33" t="s">
        <v>30</v>
      </c>
      <c r="C11" s="22" t="s">
        <v>31</v>
      </c>
      <c r="D11" s="23" t="s">
        <v>32</v>
      </c>
      <c r="E11" s="3">
        <v>40</v>
      </c>
      <c r="F11" s="25">
        <v>79500</v>
      </c>
    </row>
    <row r="12" spans="1:6" ht="21" customHeight="1">
      <c r="A12" s="20">
        <v>5</v>
      </c>
      <c r="B12" s="33" t="s">
        <v>33</v>
      </c>
      <c r="C12" s="22" t="s">
        <v>34</v>
      </c>
      <c r="D12" s="23" t="s">
        <v>35</v>
      </c>
      <c r="E12" s="3">
        <v>42</v>
      </c>
      <c r="F12" s="25">
        <v>41000</v>
      </c>
    </row>
    <row r="13" spans="1:6" ht="21" customHeight="1">
      <c r="A13" s="20">
        <v>6</v>
      </c>
      <c r="B13" s="21" t="s">
        <v>36</v>
      </c>
      <c r="C13" s="21" t="s">
        <v>37</v>
      </c>
      <c r="D13" s="23" t="s">
        <v>38</v>
      </c>
      <c r="E13" s="3">
        <v>29</v>
      </c>
      <c r="F13" s="25">
        <v>28000</v>
      </c>
    </row>
    <row r="14" spans="1:6" ht="21" customHeight="1">
      <c r="A14" s="20">
        <v>7</v>
      </c>
      <c r="B14" s="21" t="s">
        <v>39</v>
      </c>
      <c r="C14" s="22" t="s">
        <v>40</v>
      </c>
      <c r="D14" s="23" t="s">
        <v>41</v>
      </c>
      <c r="E14" s="3">
        <v>49</v>
      </c>
      <c r="F14" s="25">
        <v>92000</v>
      </c>
    </row>
    <row r="15" spans="1:6" ht="21" customHeight="1">
      <c r="A15" s="20">
        <v>8</v>
      </c>
      <c r="B15" s="21" t="s">
        <v>42</v>
      </c>
      <c r="C15" s="21" t="s">
        <v>43</v>
      </c>
      <c r="D15" s="23" t="s">
        <v>44</v>
      </c>
      <c r="E15" s="3">
        <v>41</v>
      </c>
      <c r="F15" s="25">
        <v>41000</v>
      </c>
    </row>
    <row r="16" spans="1:6" ht="21" customHeight="1">
      <c r="A16" s="20">
        <v>9</v>
      </c>
      <c r="B16" s="21" t="s">
        <v>45</v>
      </c>
      <c r="C16" s="30" t="s">
        <v>46</v>
      </c>
      <c r="D16" s="23" t="s">
        <v>47</v>
      </c>
      <c r="E16" s="3">
        <v>66</v>
      </c>
      <c r="F16" s="25">
        <v>46500</v>
      </c>
    </row>
    <row r="17" spans="1:8" ht="21" customHeight="1">
      <c r="A17" s="20">
        <v>10</v>
      </c>
      <c r="B17" s="21" t="s">
        <v>48</v>
      </c>
      <c r="C17" s="30" t="s">
        <v>49</v>
      </c>
      <c r="D17" s="23" t="s">
        <v>50</v>
      </c>
      <c r="E17" s="3">
        <v>34</v>
      </c>
      <c r="F17" s="25">
        <v>23600</v>
      </c>
    </row>
    <row r="18" spans="1:8" ht="21" customHeight="1">
      <c r="A18" s="20">
        <v>11</v>
      </c>
      <c r="B18" s="33" t="s">
        <v>51</v>
      </c>
      <c r="C18" s="22" t="s">
        <v>52</v>
      </c>
      <c r="D18" s="23" t="s">
        <v>53</v>
      </c>
      <c r="E18" s="3">
        <v>39.049999999999997</v>
      </c>
      <c r="F18" s="25">
        <v>39100</v>
      </c>
    </row>
    <row r="19" spans="1:8" ht="21" customHeight="1">
      <c r="A19" s="20">
        <v>12</v>
      </c>
      <c r="B19" s="33" t="s">
        <v>54</v>
      </c>
      <c r="C19" s="22" t="s">
        <v>55</v>
      </c>
      <c r="D19" s="23" t="s">
        <v>56</v>
      </c>
      <c r="E19" s="3">
        <v>52</v>
      </c>
      <c r="F19" s="25">
        <v>104000</v>
      </c>
    </row>
    <row r="20" spans="1:8" ht="21" customHeight="1">
      <c r="A20" s="20">
        <v>13</v>
      </c>
      <c r="B20" s="21" t="s">
        <v>57</v>
      </c>
      <c r="C20" s="30" t="s">
        <v>58</v>
      </c>
      <c r="D20" s="23" t="s">
        <v>59</v>
      </c>
      <c r="E20" s="3">
        <v>4</v>
      </c>
      <c r="F20" s="25">
        <v>5000</v>
      </c>
    </row>
    <row r="21" spans="1:8" ht="21" customHeight="1">
      <c r="A21" s="20">
        <v>14</v>
      </c>
      <c r="B21" s="21" t="s">
        <v>60</v>
      </c>
      <c r="C21" s="30" t="s">
        <v>61</v>
      </c>
      <c r="D21" s="23" t="s">
        <v>62</v>
      </c>
      <c r="E21" s="3">
        <v>68</v>
      </c>
      <c r="F21" s="25">
        <v>48500</v>
      </c>
    </row>
    <row r="22" spans="1:8" ht="21" customHeight="1">
      <c r="A22" s="20">
        <v>15</v>
      </c>
      <c r="B22" s="21" t="s">
        <v>63</v>
      </c>
      <c r="C22" s="21" t="s">
        <v>64</v>
      </c>
      <c r="D22" s="23" t="s">
        <v>65</v>
      </c>
      <c r="E22" s="3">
        <v>38</v>
      </c>
      <c r="F22" s="25">
        <v>38000</v>
      </c>
    </row>
    <row r="23" spans="1:8" ht="21" customHeight="1">
      <c r="A23" s="20">
        <v>16</v>
      </c>
      <c r="B23" s="36" t="s">
        <v>66</v>
      </c>
      <c r="C23" s="36" t="s">
        <v>67</v>
      </c>
      <c r="D23" s="38" t="s">
        <v>68</v>
      </c>
      <c r="E23" s="39">
        <v>16</v>
      </c>
      <c r="F23" s="41">
        <v>37600</v>
      </c>
    </row>
    <row r="24" spans="1:8" ht="21" customHeight="1" thickBot="1">
      <c r="A24" s="45"/>
      <c r="B24" s="46" t="s">
        <v>18</v>
      </c>
      <c r="C24" s="47"/>
      <c r="D24" s="49"/>
      <c r="E24" s="50"/>
      <c r="F24" s="51">
        <v>711100</v>
      </c>
      <c r="H24" s="29">
        <f>SUM(F8:F23)</f>
        <v>711100</v>
      </c>
    </row>
    <row r="25" spans="1:8" s="1" customFormat="1" ht="21" customHeight="1" thickTop="1">
      <c r="A25" s="55"/>
      <c r="B25" s="56" t="s">
        <v>69</v>
      </c>
    </row>
    <row r="26" spans="1:8" ht="21" customHeight="1">
      <c r="A26" s="20">
        <v>1</v>
      </c>
      <c r="B26" s="21" t="s">
        <v>70</v>
      </c>
      <c r="C26" s="21" t="s">
        <v>71</v>
      </c>
      <c r="D26" s="23" t="s">
        <v>72</v>
      </c>
      <c r="E26" s="3">
        <v>7</v>
      </c>
      <c r="F26" s="25">
        <v>20000</v>
      </c>
    </row>
    <row r="27" spans="1:8" ht="21" customHeight="1" thickBot="1">
      <c r="A27" s="45"/>
      <c r="B27" s="46" t="s">
        <v>18</v>
      </c>
      <c r="C27" s="47"/>
      <c r="D27" s="49"/>
      <c r="E27" s="50"/>
      <c r="F27" s="51">
        <v>20000</v>
      </c>
      <c r="H27" s="29">
        <f>SUM(F26)</f>
        <v>20000</v>
      </c>
    </row>
    <row r="28" spans="1:8" ht="21" customHeight="1" thickTop="1">
      <c r="B28" s="1"/>
      <c r="C28" s="1"/>
      <c r="D28" s="64"/>
      <c r="F28" s="59"/>
    </row>
    <row r="29" spans="1:8" s="1" customFormat="1" ht="21" customHeight="1">
      <c r="A29" s="55"/>
      <c r="B29" s="69" t="s">
        <v>73</v>
      </c>
    </row>
    <row r="30" spans="1:8" ht="21" customHeight="1">
      <c r="A30" s="20">
        <v>1</v>
      </c>
      <c r="B30" s="33" t="s">
        <v>74</v>
      </c>
      <c r="C30" s="73" t="s">
        <v>79</v>
      </c>
      <c r="D30" s="23" t="s">
        <v>80</v>
      </c>
      <c r="E30" s="3">
        <v>43</v>
      </c>
      <c r="F30" s="24">
        <v>84900</v>
      </c>
    </row>
    <row r="31" spans="1:8" ht="21" customHeight="1">
      <c r="A31" s="20">
        <v>2</v>
      </c>
      <c r="B31" s="33" t="s">
        <v>81</v>
      </c>
      <c r="C31" s="22" t="s">
        <v>82</v>
      </c>
      <c r="D31" s="23" t="s">
        <v>83</v>
      </c>
      <c r="E31" s="3">
        <v>24</v>
      </c>
      <c r="F31" s="24">
        <v>1000</v>
      </c>
    </row>
    <row r="32" spans="1:8" ht="21" customHeight="1">
      <c r="A32" s="20"/>
      <c r="B32" s="33" t="s">
        <v>81</v>
      </c>
      <c r="C32" s="22" t="s">
        <v>85</v>
      </c>
      <c r="D32" s="23" t="s">
        <v>83</v>
      </c>
      <c r="E32" s="3">
        <v>24</v>
      </c>
      <c r="F32" s="24">
        <v>21000</v>
      </c>
    </row>
    <row r="33" spans="1:8" ht="21" customHeight="1">
      <c r="A33" s="20">
        <v>3</v>
      </c>
      <c r="B33" s="21" t="s">
        <v>86</v>
      </c>
      <c r="C33" s="30" t="s">
        <v>87</v>
      </c>
      <c r="D33" s="23" t="s">
        <v>50</v>
      </c>
      <c r="E33" s="3">
        <v>34</v>
      </c>
      <c r="F33" s="24">
        <v>4500</v>
      </c>
    </row>
    <row r="34" spans="1:8" ht="21" customHeight="1" thickBot="1">
      <c r="A34" s="45"/>
      <c r="B34" s="46" t="s">
        <v>18</v>
      </c>
      <c r="C34" s="47"/>
      <c r="D34" s="49"/>
      <c r="E34" s="50"/>
      <c r="F34" s="51">
        <v>111400</v>
      </c>
      <c r="H34" s="29">
        <f>SUM(F30:F33)</f>
        <v>111400</v>
      </c>
    </row>
    <row r="35" spans="1:8" s="85" customFormat="1" ht="21" customHeight="1" thickTop="1">
      <c r="A35" s="75"/>
      <c r="B35" s="76"/>
      <c r="C35" s="77"/>
      <c r="D35" s="79"/>
      <c r="E35" s="80"/>
      <c r="F35" s="81"/>
    </row>
    <row r="36" spans="1:8" ht="21" customHeight="1">
      <c r="B36" s="86" t="s">
        <v>90</v>
      </c>
    </row>
    <row r="37" spans="1:8" ht="21" customHeight="1">
      <c r="A37" s="20">
        <v>1</v>
      </c>
      <c r="B37" s="33" t="s">
        <v>91</v>
      </c>
      <c r="C37" s="73" t="s">
        <v>92</v>
      </c>
      <c r="D37" s="23" t="s">
        <v>93</v>
      </c>
      <c r="E37" s="3">
        <v>2</v>
      </c>
      <c r="F37" s="25">
        <v>11000</v>
      </c>
    </row>
    <row r="38" spans="1:8" ht="21" customHeight="1">
      <c r="A38" s="20">
        <v>2</v>
      </c>
      <c r="B38" s="70" t="s">
        <v>94</v>
      </c>
      <c r="C38" s="30" t="s">
        <v>95</v>
      </c>
      <c r="D38" s="23" t="s">
        <v>96</v>
      </c>
      <c r="E38" s="3">
        <v>3</v>
      </c>
      <c r="F38" s="24">
        <v>6000</v>
      </c>
    </row>
    <row r="39" spans="1:8" ht="21" customHeight="1" thickBot="1">
      <c r="A39" s="45"/>
      <c r="B39" s="46" t="s">
        <v>18</v>
      </c>
      <c r="C39" s="47"/>
      <c r="D39" s="49"/>
      <c r="E39" s="50"/>
      <c r="F39" s="51">
        <v>17000</v>
      </c>
      <c r="H39" s="29">
        <f>SUM(F37:F38)</f>
        <v>17000</v>
      </c>
    </row>
    <row r="40" spans="1:8" s="85" customFormat="1" ht="21" customHeight="1" thickTop="1">
      <c r="A40" s="75"/>
      <c r="B40" s="93"/>
      <c r="C40" s="77"/>
      <c r="D40" s="79"/>
      <c r="E40" s="80"/>
      <c r="F40" s="81"/>
    </row>
    <row r="41" spans="1:8" ht="21" customHeight="1">
      <c r="D41" s="96">
        <v>0</v>
      </c>
      <c r="E41" s="96">
        <v>0</v>
      </c>
      <c r="F41" s="96">
        <v>859500</v>
      </c>
      <c r="H41" s="103">
        <f>SUM(H23:H39)</f>
        <v>859500</v>
      </c>
    </row>
    <row r="43" spans="1:8" ht="21" customHeight="1">
      <c r="F43" s="58"/>
    </row>
    <row r="51" spans="1:1" ht="21" customHeight="1">
      <c r="A51" s="29"/>
    </row>
    <row r="52" spans="1:1" ht="21" customHeight="1">
      <c r="A52" s="29"/>
    </row>
    <row r="62" spans="1:1" ht="21" customHeight="1">
      <c r="A62" s="29"/>
    </row>
    <row r="63" spans="1:1" ht="21" customHeight="1">
      <c r="A63" s="29"/>
    </row>
    <row r="66" spans="1:6" ht="21" customHeight="1">
      <c r="A66" s="29"/>
      <c r="C66" s="29"/>
      <c r="E66" s="29"/>
      <c r="F66" s="58">
        <v>32</v>
      </c>
    </row>
    <row r="67" spans="1:6" ht="21" customHeight="1">
      <c r="A67" s="29"/>
      <c r="C67" s="29"/>
      <c r="E67" s="29"/>
      <c r="F67" s="55">
        <v>18</v>
      </c>
    </row>
    <row r="121" spans="1:6" ht="21" customHeight="1">
      <c r="A121" s="97" t="s">
        <v>99</v>
      </c>
      <c r="B121" s="36" t="s">
        <v>100</v>
      </c>
      <c r="C121" s="98" t="s">
        <v>101</v>
      </c>
      <c r="D121" s="38" t="s">
        <v>103</v>
      </c>
      <c r="E121" s="39">
        <v>2</v>
      </c>
      <c r="F121" s="41">
        <v>1100</v>
      </c>
    </row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26A8-7FD1-453E-8A34-5FE29DC9C119}">
  <sheetPr>
    <tabColor rgb="FFFFFF00"/>
  </sheetPr>
  <dimension ref="A1:S122"/>
  <sheetViews>
    <sheetView zoomScale="70" zoomScaleNormal="70" workbookViewId="0">
      <pane ySplit="6" topLeftCell="A22" activePane="bottomLeft" state="frozen"/>
      <selection pane="bottomLeft" activeCell="K45" sqref="K45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7.44140625" style="2" customWidth="1"/>
    <col min="6" max="7" width="13.88671875" style="59"/>
    <col min="8" max="8" width="13.88671875" style="88"/>
    <col min="9" max="9" width="7.33203125" style="88" customWidth="1"/>
    <col min="10" max="10" width="13.88671875" style="89"/>
    <col min="11" max="11" width="13.88671875" style="90"/>
    <col min="12" max="12" width="13.88671875" style="91"/>
    <col min="13" max="13" width="13.6640625" style="29" customWidth="1"/>
    <col min="14" max="14" width="19.88671875" style="2" customWidth="1"/>
    <col min="15" max="15" width="13.88671875" style="58"/>
    <col min="16" max="16" width="8.6640625" style="58" customWidth="1"/>
    <col min="17" max="17" width="13.88671875" style="92"/>
    <col min="18" max="18" width="13.88671875" style="58"/>
    <col min="19" max="16384" width="13.88671875" style="29"/>
  </cols>
  <sheetData>
    <row r="1" spans="1:19" s="1" customFormat="1" ht="21" customHeight="1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</row>
    <row r="2" spans="1:19" s="1" customFormat="1" ht="21" customHeight="1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19" s="1" customFormat="1" ht="21" customHeight="1">
      <c r="A3" s="200" t="s">
        <v>115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</row>
    <row r="4" spans="1:19" s="1" customFormat="1" ht="21" customHeight="1">
      <c r="A4" s="201" t="s">
        <v>3</v>
      </c>
      <c r="B4" s="201" t="s">
        <v>4</v>
      </c>
      <c r="C4" s="204" t="s">
        <v>5</v>
      </c>
      <c r="D4" s="211" t="s">
        <v>6</v>
      </c>
      <c r="E4" s="207" t="s">
        <v>7</v>
      </c>
      <c r="F4" s="207"/>
      <c r="G4" s="207"/>
      <c r="H4" s="207"/>
      <c r="I4" s="207"/>
      <c r="J4" s="207"/>
      <c r="K4" s="214" t="s">
        <v>8</v>
      </c>
      <c r="L4" s="214"/>
      <c r="M4" s="214"/>
      <c r="N4" s="207" t="s">
        <v>9</v>
      </c>
      <c r="O4" s="207"/>
      <c r="P4" s="207"/>
      <c r="Q4" s="207"/>
      <c r="R4" s="207"/>
      <c r="S4" s="207"/>
    </row>
    <row r="5" spans="1:19" s="1" customFormat="1" ht="21" customHeight="1">
      <c r="A5" s="202"/>
      <c r="B5" s="202"/>
      <c r="C5" s="205"/>
      <c r="D5" s="212"/>
      <c r="E5" s="208" t="s">
        <v>10</v>
      </c>
      <c r="F5" s="207"/>
      <c r="G5" s="4"/>
      <c r="H5" s="215" t="s">
        <v>11</v>
      </c>
      <c r="I5" s="215"/>
      <c r="J5" s="215"/>
      <c r="K5" s="216" t="s">
        <v>12</v>
      </c>
      <c r="L5" s="218" t="s">
        <v>13</v>
      </c>
      <c r="M5" s="209" t="s">
        <v>14</v>
      </c>
      <c r="N5" s="208" t="s">
        <v>10</v>
      </c>
      <c r="O5" s="207" t="s">
        <v>15</v>
      </c>
      <c r="P5" s="4" t="s">
        <v>16</v>
      </c>
      <c r="Q5" s="215" t="s">
        <v>11</v>
      </c>
      <c r="R5" s="215"/>
      <c r="S5" s="215"/>
    </row>
    <row r="6" spans="1:19" s="1" customFormat="1" ht="21" customHeight="1">
      <c r="A6" s="203"/>
      <c r="B6" s="203"/>
      <c r="C6" s="206"/>
      <c r="D6" s="213"/>
      <c r="E6" s="208"/>
      <c r="F6" s="207"/>
      <c r="G6" s="5"/>
      <c r="H6" s="6" t="s">
        <v>14</v>
      </c>
      <c r="I6" s="7" t="s">
        <v>17</v>
      </c>
      <c r="J6" s="8" t="s">
        <v>18</v>
      </c>
      <c r="K6" s="217"/>
      <c r="L6" s="219"/>
      <c r="M6" s="210"/>
      <c r="N6" s="208"/>
      <c r="O6" s="207"/>
      <c r="P6" s="5" t="s">
        <v>19</v>
      </c>
      <c r="Q6" s="6" t="s">
        <v>14</v>
      </c>
      <c r="R6" s="7" t="s">
        <v>17</v>
      </c>
      <c r="S6" s="8" t="s">
        <v>18</v>
      </c>
    </row>
    <row r="7" spans="1:19" s="1" customFormat="1" ht="21" customHeight="1">
      <c r="A7" s="9"/>
      <c r="B7" s="10" t="s">
        <v>20</v>
      </c>
      <c r="C7" s="11"/>
      <c r="D7" s="12"/>
      <c r="E7" s="13"/>
      <c r="F7" s="14"/>
      <c r="G7" s="15"/>
      <c r="H7" s="15"/>
      <c r="I7" s="15"/>
      <c r="J7" s="16"/>
      <c r="K7" s="17"/>
      <c r="L7" s="18"/>
      <c r="M7" s="19"/>
      <c r="N7" s="13"/>
      <c r="O7" s="14"/>
      <c r="P7" s="15"/>
      <c r="Q7" s="15"/>
      <c r="R7" s="15"/>
      <c r="S7" s="16"/>
    </row>
    <row r="8" spans="1:19" ht="21" customHeight="1">
      <c r="A8" s="20">
        <v>1</v>
      </c>
      <c r="B8" s="21" t="s">
        <v>21</v>
      </c>
      <c r="C8" s="21" t="s">
        <v>22</v>
      </c>
      <c r="D8" s="22"/>
      <c r="E8" s="23" t="s">
        <v>23</v>
      </c>
      <c r="F8" s="3">
        <v>37</v>
      </c>
      <c r="G8" s="3">
        <v>54</v>
      </c>
      <c r="H8" s="24">
        <v>22300</v>
      </c>
      <c r="I8" s="3"/>
      <c r="J8" s="25">
        <v>22300</v>
      </c>
      <c r="K8" s="26"/>
      <c r="L8" s="27"/>
      <c r="M8" s="28"/>
      <c r="N8" s="23" t="s">
        <v>23</v>
      </c>
      <c r="O8" s="3">
        <v>37</v>
      </c>
      <c r="P8" s="3">
        <v>54</v>
      </c>
      <c r="Q8" s="24">
        <v>22300</v>
      </c>
      <c r="R8" s="3"/>
      <c r="S8" s="25">
        <v>22300</v>
      </c>
    </row>
    <row r="9" spans="1:19" ht="21" customHeight="1">
      <c r="A9" s="20">
        <v>2</v>
      </c>
      <c r="B9" s="21" t="s">
        <v>24</v>
      </c>
      <c r="C9" s="30" t="s">
        <v>25</v>
      </c>
      <c r="D9" s="22"/>
      <c r="E9" s="23" t="s">
        <v>26</v>
      </c>
      <c r="F9" s="3">
        <v>13</v>
      </c>
      <c r="G9" s="3">
        <v>85</v>
      </c>
      <c r="H9" s="24">
        <v>15000</v>
      </c>
      <c r="I9" s="3"/>
      <c r="J9" s="25">
        <v>15000</v>
      </c>
      <c r="K9" s="31"/>
      <c r="L9" s="32"/>
      <c r="M9" s="28"/>
      <c r="N9" s="23" t="s">
        <v>26</v>
      </c>
      <c r="O9" s="3">
        <v>13</v>
      </c>
      <c r="P9" s="3">
        <v>85</v>
      </c>
      <c r="Q9" s="24">
        <v>15000</v>
      </c>
      <c r="R9" s="3"/>
      <c r="S9" s="25">
        <v>15000</v>
      </c>
    </row>
    <row r="10" spans="1:19" ht="21" customHeight="1">
      <c r="A10" s="20">
        <v>3</v>
      </c>
      <c r="B10" s="33" t="s">
        <v>27</v>
      </c>
      <c r="C10" s="22" t="s">
        <v>28</v>
      </c>
      <c r="D10" s="34"/>
      <c r="E10" s="23" t="s">
        <v>29</v>
      </c>
      <c r="F10" s="3">
        <v>23</v>
      </c>
      <c r="G10" s="3">
        <v>34</v>
      </c>
      <c r="H10" s="24">
        <v>50000</v>
      </c>
      <c r="I10" s="3"/>
      <c r="J10" s="25">
        <v>50000</v>
      </c>
      <c r="K10" s="31"/>
      <c r="L10" s="32"/>
      <c r="M10" s="28"/>
      <c r="N10" s="23" t="s">
        <v>29</v>
      </c>
      <c r="O10" s="3">
        <v>23</v>
      </c>
      <c r="P10" s="3">
        <v>34</v>
      </c>
      <c r="Q10" s="24">
        <v>50000</v>
      </c>
      <c r="R10" s="3"/>
      <c r="S10" s="25">
        <v>50000</v>
      </c>
    </row>
    <row r="11" spans="1:19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3">
        <v>67</v>
      </c>
      <c r="H11" s="24">
        <v>79500</v>
      </c>
      <c r="I11" s="3"/>
      <c r="J11" s="25">
        <v>79500</v>
      </c>
      <c r="K11" s="31"/>
      <c r="L11" s="32"/>
      <c r="M11" s="28"/>
      <c r="N11" s="23" t="s">
        <v>32</v>
      </c>
      <c r="O11" s="3">
        <v>40</v>
      </c>
      <c r="P11" s="3">
        <v>67</v>
      </c>
      <c r="Q11" s="24">
        <v>79500</v>
      </c>
      <c r="R11" s="3"/>
      <c r="S11" s="25">
        <v>79500</v>
      </c>
    </row>
    <row r="12" spans="1:19" ht="21" customHeight="1">
      <c r="A12" s="20">
        <v>5</v>
      </c>
      <c r="B12" s="33" t="s">
        <v>33</v>
      </c>
      <c r="C12" s="22" t="s">
        <v>34</v>
      </c>
      <c r="D12" s="34"/>
      <c r="E12" s="23" t="s">
        <v>35</v>
      </c>
      <c r="F12" s="3">
        <v>42</v>
      </c>
      <c r="G12" s="3">
        <v>53</v>
      </c>
      <c r="H12" s="24">
        <v>41000</v>
      </c>
      <c r="I12" s="3"/>
      <c r="J12" s="25">
        <v>41000</v>
      </c>
      <c r="K12" s="31"/>
      <c r="L12" s="32"/>
      <c r="M12" s="28"/>
      <c r="N12" s="23" t="s">
        <v>35</v>
      </c>
      <c r="O12" s="3">
        <v>42</v>
      </c>
      <c r="P12" s="3">
        <v>53</v>
      </c>
      <c r="Q12" s="24">
        <v>41000</v>
      </c>
      <c r="R12" s="3"/>
      <c r="S12" s="25">
        <v>41000</v>
      </c>
    </row>
    <row r="13" spans="1:19" ht="21" customHeight="1">
      <c r="A13" s="20">
        <v>6</v>
      </c>
      <c r="B13" s="21" t="s">
        <v>36</v>
      </c>
      <c r="C13" s="21" t="s">
        <v>37</v>
      </c>
      <c r="D13" s="22"/>
      <c r="E13" s="23" t="s">
        <v>38</v>
      </c>
      <c r="F13" s="3">
        <v>29</v>
      </c>
      <c r="G13" s="3">
        <v>49</v>
      </c>
      <c r="H13" s="24">
        <v>28000</v>
      </c>
      <c r="I13" s="3"/>
      <c r="J13" s="25">
        <v>28000</v>
      </c>
      <c r="K13" s="31"/>
      <c r="L13" s="32"/>
      <c r="M13" s="28"/>
      <c r="N13" s="23" t="s">
        <v>38</v>
      </c>
      <c r="O13" s="3">
        <v>29</v>
      </c>
      <c r="P13" s="3">
        <v>49</v>
      </c>
      <c r="Q13" s="24">
        <v>28000</v>
      </c>
      <c r="R13" s="3"/>
      <c r="S13" s="25">
        <v>28000</v>
      </c>
    </row>
    <row r="14" spans="1:19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3">
        <v>66</v>
      </c>
      <c r="H14" s="24">
        <v>92000</v>
      </c>
      <c r="I14" s="3"/>
      <c r="J14" s="25">
        <v>92000</v>
      </c>
      <c r="K14" s="31"/>
      <c r="L14" s="32"/>
      <c r="M14" s="28"/>
      <c r="N14" s="23" t="s">
        <v>41</v>
      </c>
      <c r="O14" s="3">
        <v>49</v>
      </c>
      <c r="P14" s="3">
        <v>66</v>
      </c>
      <c r="Q14" s="24">
        <v>92000</v>
      </c>
      <c r="R14" s="3"/>
      <c r="S14" s="25">
        <v>92000</v>
      </c>
    </row>
    <row r="15" spans="1:19" ht="21" customHeight="1">
      <c r="A15" s="20">
        <v>8</v>
      </c>
      <c r="B15" s="21" t="s">
        <v>42</v>
      </c>
      <c r="C15" s="21" t="s">
        <v>43</v>
      </c>
      <c r="D15" s="22"/>
      <c r="E15" s="23" t="s">
        <v>44</v>
      </c>
      <c r="F15" s="3">
        <v>41</v>
      </c>
      <c r="G15" s="3">
        <v>58</v>
      </c>
      <c r="H15" s="24">
        <v>41000</v>
      </c>
      <c r="I15" s="3"/>
      <c r="J15" s="25">
        <v>41000</v>
      </c>
      <c r="K15" s="31"/>
      <c r="L15" s="32"/>
      <c r="M15" s="28"/>
      <c r="N15" s="23" t="s">
        <v>44</v>
      </c>
      <c r="O15" s="3">
        <v>41</v>
      </c>
      <c r="P15" s="3">
        <v>58</v>
      </c>
      <c r="Q15" s="24">
        <v>41000</v>
      </c>
      <c r="R15" s="3"/>
      <c r="S15" s="25">
        <v>41000</v>
      </c>
    </row>
    <row r="16" spans="1:19" ht="21" customHeight="1">
      <c r="A16" s="20">
        <v>9</v>
      </c>
      <c r="B16" s="21" t="s">
        <v>45</v>
      </c>
      <c r="C16" s="30" t="s">
        <v>46</v>
      </c>
      <c r="D16" s="22"/>
      <c r="E16" s="23" t="s">
        <v>47</v>
      </c>
      <c r="F16" s="3">
        <v>66</v>
      </c>
      <c r="G16" s="3">
        <v>66</v>
      </c>
      <c r="H16" s="24">
        <v>46500</v>
      </c>
      <c r="I16" s="3"/>
      <c r="J16" s="25">
        <v>46500</v>
      </c>
      <c r="K16" s="31"/>
      <c r="L16" s="32"/>
      <c r="M16" s="28"/>
      <c r="N16" s="23" t="s">
        <v>47</v>
      </c>
      <c r="O16" s="3">
        <v>66</v>
      </c>
      <c r="P16" s="3">
        <v>66</v>
      </c>
      <c r="Q16" s="24">
        <v>46500</v>
      </c>
      <c r="R16" s="3"/>
      <c r="S16" s="25">
        <v>46500</v>
      </c>
    </row>
    <row r="17" spans="1:19" ht="21" customHeight="1">
      <c r="A17" s="20">
        <v>10</v>
      </c>
      <c r="B17" s="21" t="s">
        <v>48</v>
      </c>
      <c r="C17" s="30" t="s">
        <v>49</v>
      </c>
      <c r="D17" s="22"/>
      <c r="E17" s="23" t="s">
        <v>50</v>
      </c>
      <c r="F17" s="3">
        <v>34</v>
      </c>
      <c r="G17" s="3">
        <v>34</v>
      </c>
      <c r="H17" s="24">
        <v>23600</v>
      </c>
      <c r="I17" s="3"/>
      <c r="J17" s="25">
        <v>23600</v>
      </c>
      <c r="K17" s="31"/>
      <c r="L17" s="32"/>
      <c r="M17" s="35"/>
      <c r="N17" s="23" t="s">
        <v>50</v>
      </c>
      <c r="O17" s="3">
        <v>34</v>
      </c>
      <c r="P17" s="3">
        <v>34</v>
      </c>
      <c r="Q17" s="24">
        <v>23600</v>
      </c>
      <c r="R17" s="3"/>
      <c r="S17" s="25">
        <v>23600</v>
      </c>
    </row>
    <row r="18" spans="1:19" ht="21" customHeight="1">
      <c r="A18" s="20">
        <v>11</v>
      </c>
      <c r="B18" s="33" t="s">
        <v>51</v>
      </c>
      <c r="C18" s="22" t="s">
        <v>52</v>
      </c>
      <c r="D18" s="34"/>
      <c r="E18" s="23" t="s">
        <v>53</v>
      </c>
      <c r="F18" s="3">
        <v>39.049999999999997</v>
      </c>
      <c r="G18" s="3">
        <v>39</v>
      </c>
      <c r="H18" s="24">
        <v>39100</v>
      </c>
      <c r="I18" s="3"/>
      <c r="J18" s="25">
        <v>39100</v>
      </c>
      <c r="K18" s="31"/>
      <c r="L18" s="32"/>
      <c r="M18" s="28"/>
      <c r="N18" s="23" t="s">
        <v>53</v>
      </c>
      <c r="O18" s="3">
        <v>39.049999999999997</v>
      </c>
      <c r="P18" s="3">
        <v>39</v>
      </c>
      <c r="Q18" s="24">
        <v>39100</v>
      </c>
      <c r="R18" s="3"/>
      <c r="S18" s="25">
        <v>39100</v>
      </c>
    </row>
    <row r="19" spans="1:19" ht="21" customHeight="1">
      <c r="A19" s="20">
        <v>12</v>
      </c>
      <c r="B19" s="33" t="s">
        <v>54</v>
      </c>
      <c r="C19" s="22" t="s">
        <v>55</v>
      </c>
      <c r="D19" s="22"/>
      <c r="E19" s="23" t="s">
        <v>56</v>
      </c>
      <c r="F19" s="3">
        <v>52</v>
      </c>
      <c r="G19" s="3">
        <v>69</v>
      </c>
      <c r="H19" s="24">
        <v>104000</v>
      </c>
      <c r="I19" s="3"/>
      <c r="J19" s="25">
        <v>104000</v>
      </c>
      <c r="K19" s="31"/>
      <c r="L19" s="32"/>
      <c r="M19" s="28"/>
      <c r="N19" s="23" t="s">
        <v>56</v>
      </c>
      <c r="O19" s="3">
        <v>52</v>
      </c>
      <c r="P19" s="3">
        <v>69</v>
      </c>
      <c r="Q19" s="24">
        <v>104000</v>
      </c>
      <c r="R19" s="3"/>
      <c r="S19" s="25">
        <v>104000</v>
      </c>
    </row>
    <row r="20" spans="1:19" ht="21" customHeight="1">
      <c r="A20" s="20">
        <v>13</v>
      </c>
      <c r="B20" s="21" t="s">
        <v>57</v>
      </c>
      <c r="C20" s="30" t="s">
        <v>58</v>
      </c>
      <c r="D20" s="34"/>
      <c r="E20" s="23" t="s">
        <v>59</v>
      </c>
      <c r="F20" s="3">
        <v>4</v>
      </c>
      <c r="G20" s="3">
        <v>4</v>
      </c>
      <c r="H20" s="24">
        <v>5000</v>
      </c>
      <c r="I20" s="3"/>
      <c r="J20" s="25">
        <v>5000</v>
      </c>
      <c r="K20" s="31"/>
      <c r="L20" s="32"/>
      <c r="M20" s="28"/>
      <c r="N20" s="23" t="s">
        <v>59</v>
      </c>
      <c r="O20" s="3">
        <v>4</v>
      </c>
      <c r="P20" s="3">
        <v>4</v>
      </c>
      <c r="Q20" s="24">
        <v>5000</v>
      </c>
      <c r="R20" s="3"/>
      <c r="S20" s="25">
        <v>5000</v>
      </c>
    </row>
    <row r="21" spans="1:19" ht="21" customHeight="1">
      <c r="A21" s="20">
        <v>14</v>
      </c>
      <c r="B21" s="21" t="s">
        <v>60</v>
      </c>
      <c r="C21" s="30" t="s">
        <v>61</v>
      </c>
      <c r="D21" s="22"/>
      <c r="E21" s="23" t="s">
        <v>62</v>
      </c>
      <c r="F21" s="3">
        <v>68</v>
      </c>
      <c r="G21" s="3">
        <v>68</v>
      </c>
      <c r="H21" s="24">
        <v>48500</v>
      </c>
      <c r="I21" s="3"/>
      <c r="J21" s="25">
        <v>48500</v>
      </c>
      <c r="K21" s="31"/>
      <c r="L21" s="32"/>
      <c r="M21" s="28"/>
      <c r="N21" s="23" t="s">
        <v>62</v>
      </c>
      <c r="O21" s="3">
        <v>68</v>
      </c>
      <c r="P21" s="3">
        <v>68</v>
      </c>
      <c r="Q21" s="24">
        <v>48500</v>
      </c>
      <c r="R21" s="3"/>
      <c r="S21" s="25">
        <v>48500</v>
      </c>
    </row>
    <row r="22" spans="1:19" ht="21" customHeight="1">
      <c r="A22" s="20">
        <v>15</v>
      </c>
      <c r="B22" s="21" t="s">
        <v>63</v>
      </c>
      <c r="C22" s="21" t="s">
        <v>64</v>
      </c>
      <c r="D22" s="22"/>
      <c r="E22" s="23" t="s">
        <v>65</v>
      </c>
      <c r="F22" s="3">
        <v>38</v>
      </c>
      <c r="G22" s="3">
        <v>55</v>
      </c>
      <c r="H22" s="24">
        <v>38000</v>
      </c>
      <c r="I22" s="3"/>
      <c r="J22" s="25">
        <v>38000</v>
      </c>
      <c r="K22" s="31"/>
      <c r="L22" s="32"/>
      <c r="M22" s="28"/>
      <c r="N22" s="23" t="s">
        <v>65</v>
      </c>
      <c r="O22" s="3">
        <v>38</v>
      </c>
      <c r="P22" s="3">
        <v>55</v>
      </c>
      <c r="Q22" s="24">
        <v>38000</v>
      </c>
      <c r="R22" s="3"/>
      <c r="S22" s="25">
        <v>38000</v>
      </c>
    </row>
    <row r="23" spans="1:19" ht="21" customHeight="1">
      <c r="A23" s="20">
        <v>16</v>
      </c>
      <c r="B23" s="36" t="s">
        <v>66</v>
      </c>
      <c r="C23" s="36" t="s">
        <v>67</v>
      </c>
      <c r="D23" s="37"/>
      <c r="E23" s="38" t="s">
        <v>68</v>
      </c>
      <c r="F23" s="39">
        <v>16</v>
      </c>
      <c r="G23" s="39">
        <v>37</v>
      </c>
      <c r="H23" s="40">
        <v>37600</v>
      </c>
      <c r="I23" s="39"/>
      <c r="J23" s="41">
        <v>37600</v>
      </c>
      <c r="K23" s="42"/>
      <c r="L23" s="43"/>
      <c r="M23" s="44"/>
      <c r="N23" s="38" t="s">
        <v>68</v>
      </c>
      <c r="O23" s="39">
        <v>16</v>
      </c>
      <c r="P23" s="39">
        <v>37</v>
      </c>
      <c r="Q23" s="40">
        <v>37600</v>
      </c>
      <c r="R23" s="39"/>
      <c r="S23" s="41">
        <v>37600</v>
      </c>
    </row>
    <row r="24" spans="1:19" ht="21" customHeight="1" thickBot="1">
      <c r="A24" s="45"/>
      <c r="B24" s="46" t="s">
        <v>18</v>
      </c>
      <c r="C24" s="47"/>
      <c r="D24" s="48"/>
      <c r="E24" s="49"/>
      <c r="F24" s="50"/>
      <c r="G24" s="50"/>
      <c r="H24" s="51">
        <f>SUM(H8:H23)</f>
        <v>711100</v>
      </c>
      <c r="I24" s="51">
        <v>0</v>
      </c>
      <c r="J24" s="51">
        <f>SUM(J8:J23)</f>
        <v>711100</v>
      </c>
      <c r="K24" s="52"/>
      <c r="L24" s="53"/>
      <c r="M24" s="54">
        <f>SUM(M8:M23)</f>
        <v>0</v>
      </c>
      <c r="N24" s="49"/>
      <c r="O24" s="50"/>
      <c r="P24" s="50"/>
      <c r="Q24" s="51">
        <f>SUM(Q8:Q23)</f>
        <v>711100</v>
      </c>
      <c r="R24" s="51">
        <f ca="1">SUM(R8:R39)</f>
        <v>0</v>
      </c>
      <c r="S24" s="51">
        <f>SUM(S8:S23)</f>
        <v>711100</v>
      </c>
    </row>
    <row r="25" spans="1:19" s="1" customFormat="1" ht="21" customHeight="1" thickTop="1">
      <c r="A25" s="55"/>
      <c r="B25" s="56" t="s">
        <v>69</v>
      </c>
      <c r="D25" s="57"/>
      <c r="E25" s="58"/>
      <c r="F25" s="59"/>
      <c r="G25" s="29"/>
      <c r="H25" s="29"/>
      <c r="I25" s="29"/>
      <c r="J25" s="29"/>
      <c r="K25" s="60"/>
      <c r="L25" s="61"/>
      <c r="M25" s="61"/>
    </row>
    <row r="26" spans="1:19" ht="21" customHeight="1">
      <c r="A26" s="20">
        <v>1</v>
      </c>
      <c r="B26" s="21" t="s">
        <v>70</v>
      </c>
      <c r="C26" s="21" t="s">
        <v>71</v>
      </c>
      <c r="D26" s="6"/>
      <c r="E26" s="23" t="s">
        <v>72</v>
      </c>
      <c r="F26" s="3">
        <v>7</v>
      </c>
      <c r="G26" s="3">
        <v>141</v>
      </c>
      <c r="H26" s="24">
        <v>20000</v>
      </c>
      <c r="I26" s="3"/>
      <c r="J26" s="25">
        <v>20000</v>
      </c>
      <c r="K26" s="26"/>
      <c r="L26" s="27"/>
      <c r="M26" s="28"/>
      <c r="N26" s="23" t="s">
        <v>72</v>
      </c>
      <c r="O26" s="3">
        <v>7</v>
      </c>
      <c r="P26" s="3">
        <v>141</v>
      </c>
      <c r="Q26" s="24">
        <v>20000</v>
      </c>
      <c r="R26" s="3"/>
      <c r="S26" s="25">
        <v>20000</v>
      </c>
    </row>
    <row r="27" spans="1:19" ht="21" customHeight="1" thickBot="1">
      <c r="A27" s="45"/>
      <c r="B27" s="46" t="s">
        <v>18</v>
      </c>
      <c r="C27" s="47"/>
      <c r="D27" s="48"/>
      <c r="E27" s="49"/>
      <c r="F27" s="50"/>
      <c r="G27" s="50"/>
      <c r="H27" s="51">
        <v>20000</v>
      </c>
      <c r="I27" s="51">
        <v>0</v>
      </c>
      <c r="J27" s="51">
        <v>20000</v>
      </c>
      <c r="K27" s="62"/>
      <c r="L27" s="53"/>
      <c r="M27" s="54"/>
      <c r="N27" s="49"/>
      <c r="O27" s="50"/>
      <c r="P27" s="50"/>
      <c r="Q27" s="51">
        <f t="shared" ref="Q27:S27" si="0">SUM(Q26)</f>
        <v>20000</v>
      </c>
      <c r="R27" s="51">
        <f t="shared" si="0"/>
        <v>0</v>
      </c>
      <c r="S27" s="51">
        <f t="shared" si="0"/>
        <v>20000</v>
      </c>
    </row>
    <row r="28" spans="1:19" ht="21" customHeight="1" thickTop="1">
      <c r="B28" s="1"/>
      <c r="C28" s="1"/>
      <c r="D28" s="63"/>
      <c r="E28" s="64"/>
      <c r="F28" s="58"/>
      <c r="G28" s="58"/>
      <c r="H28" s="65"/>
      <c r="I28" s="58"/>
      <c r="J28" s="59"/>
      <c r="K28" s="66"/>
      <c r="L28" s="67"/>
      <c r="M28" s="68"/>
      <c r="N28" s="64"/>
      <c r="Q28" s="65"/>
      <c r="S28" s="59"/>
    </row>
    <row r="29" spans="1:19" s="1" customFormat="1" ht="21" customHeight="1">
      <c r="A29" s="55"/>
      <c r="B29" s="69" t="s">
        <v>73</v>
      </c>
      <c r="D29" s="57"/>
      <c r="E29" s="58"/>
      <c r="F29" s="59"/>
      <c r="G29" s="29"/>
      <c r="H29" s="29"/>
      <c r="I29" s="29"/>
      <c r="J29" s="29"/>
      <c r="K29" s="60"/>
      <c r="L29" s="61"/>
      <c r="M29" s="61"/>
    </row>
    <row r="30" spans="1:19" ht="21" customHeight="1">
      <c r="A30" s="20">
        <v>1</v>
      </c>
      <c r="B30" s="21" t="s">
        <v>74</v>
      </c>
      <c r="C30" s="70" t="s">
        <v>75</v>
      </c>
      <c r="D30" s="6"/>
      <c r="E30" s="24"/>
      <c r="F30" s="3"/>
      <c r="G30" s="3"/>
      <c r="H30" s="24">
        <v>0</v>
      </c>
      <c r="I30" s="3"/>
      <c r="J30" s="25">
        <v>0</v>
      </c>
      <c r="K30" s="71"/>
      <c r="L30" s="72"/>
      <c r="M30" s="28"/>
      <c r="N30" s="23"/>
      <c r="O30" s="3"/>
      <c r="P30" s="3"/>
      <c r="Q30" s="24">
        <f>SUM(H30-M30)</f>
        <v>0</v>
      </c>
      <c r="R30" s="24"/>
      <c r="S30" s="24">
        <f>SUM(J30-M30)</f>
        <v>0</v>
      </c>
    </row>
    <row r="31" spans="1:19" ht="21" customHeight="1">
      <c r="A31" s="20"/>
      <c r="B31" s="33" t="s">
        <v>74</v>
      </c>
      <c r="C31" s="73" t="s">
        <v>79</v>
      </c>
      <c r="D31" s="34"/>
      <c r="E31" s="23" t="s">
        <v>80</v>
      </c>
      <c r="F31" s="3">
        <v>43</v>
      </c>
      <c r="G31" s="3">
        <v>43</v>
      </c>
      <c r="H31" s="24">
        <v>85200</v>
      </c>
      <c r="I31" s="3"/>
      <c r="J31" s="25">
        <v>85200</v>
      </c>
      <c r="K31" s="31"/>
      <c r="L31" s="32"/>
      <c r="M31" s="28"/>
      <c r="N31" s="23" t="s">
        <v>80</v>
      </c>
      <c r="O31" s="3">
        <v>43</v>
      </c>
      <c r="P31" s="3">
        <v>43</v>
      </c>
      <c r="Q31" s="24">
        <f t="shared" ref="Q31:Q34" si="1">SUM(H31-M31)</f>
        <v>85200</v>
      </c>
      <c r="R31" s="24"/>
      <c r="S31" s="24">
        <f t="shared" ref="S31:S34" si="2">SUM(J31-M31)</f>
        <v>85200</v>
      </c>
    </row>
    <row r="32" spans="1:19" ht="21" customHeight="1">
      <c r="A32" s="20">
        <v>2</v>
      </c>
      <c r="B32" s="33" t="s">
        <v>81</v>
      </c>
      <c r="C32" s="22" t="s">
        <v>82</v>
      </c>
      <c r="D32" s="34"/>
      <c r="E32" s="23" t="s">
        <v>83</v>
      </c>
      <c r="F32" s="3">
        <v>24</v>
      </c>
      <c r="G32" s="3">
        <v>24</v>
      </c>
      <c r="H32" s="24">
        <v>1000</v>
      </c>
      <c r="I32" s="3"/>
      <c r="J32" s="25">
        <v>1000</v>
      </c>
      <c r="K32" s="26"/>
      <c r="L32" s="32"/>
      <c r="M32" s="28"/>
      <c r="N32" s="23" t="s">
        <v>83</v>
      </c>
      <c r="O32" s="3">
        <v>24</v>
      </c>
      <c r="P32" s="3">
        <v>24</v>
      </c>
      <c r="Q32" s="24">
        <f t="shared" si="1"/>
        <v>1000</v>
      </c>
      <c r="R32" s="24"/>
      <c r="S32" s="24">
        <f t="shared" si="2"/>
        <v>1000</v>
      </c>
    </row>
    <row r="33" spans="1:19" ht="21" customHeight="1">
      <c r="A33" s="20"/>
      <c r="B33" s="33" t="s">
        <v>81</v>
      </c>
      <c r="C33" s="22" t="s">
        <v>85</v>
      </c>
      <c r="D33" s="34"/>
      <c r="E33" s="23" t="s">
        <v>83</v>
      </c>
      <c r="F33" s="3">
        <v>24</v>
      </c>
      <c r="G33" s="3">
        <v>24</v>
      </c>
      <c r="H33" s="24">
        <v>21000</v>
      </c>
      <c r="I33" s="3"/>
      <c r="J33" s="25">
        <v>21000</v>
      </c>
      <c r="K33" s="31"/>
      <c r="L33" s="32"/>
      <c r="M33" s="28"/>
      <c r="N33" s="23" t="s">
        <v>83</v>
      </c>
      <c r="O33" s="3">
        <v>24</v>
      </c>
      <c r="P33" s="3">
        <v>24</v>
      </c>
      <c r="Q33" s="24">
        <f t="shared" si="1"/>
        <v>21000</v>
      </c>
      <c r="R33" s="24"/>
      <c r="S33" s="24">
        <f t="shared" si="2"/>
        <v>21000</v>
      </c>
    </row>
    <row r="34" spans="1:19" ht="21" customHeight="1">
      <c r="A34" s="20">
        <v>3</v>
      </c>
      <c r="B34" s="21" t="s">
        <v>86</v>
      </c>
      <c r="C34" s="30" t="s">
        <v>87</v>
      </c>
      <c r="D34" s="22"/>
      <c r="E34" s="23" t="s">
        <v>50</v>
      </c>
      <c r="F34" s="3">
        <v>34</v>
      </c>
      <c r="G34" s="3">
        <v>34</v>
      </c>
      <c r="H34" s="24">
        <v>4500</v>
      </c>
      <c r="I34" s="3"/>
      <c r="J34" s="25">
        <v>4500</v>
      </c>
      <c r="K34" s="31"/>
      <c r="L34" s="32"/>
      <c r="M34" s="35"/>
      <c r="N34" s="23" t="s">
        <v>50</v>
      </c>
      <c r="O34" s="3">
        <v>34</v>
      </c>
      <c r="P34" s="3">
        <v>34</v>
      </c>
      <c r="Q34" s="24">
        <f t="shared" si="1"/>
        <v>4500</v>
      </c>
      <c r="R34" s="3"/>
      <c r="S34" s="24">
        <f t="shared" si="2"/>
        <v>4500</v>
      </c>
    </row>
    <row r="35" spans="1:19" ht="21" customHeight="1" thickBot="1">
      <c r="A35" s="45"/>
      <c r="B35" s="46" t="s">
        <v>18</v>
      </c>
      <c r="C35" s="47"/>
      <c r="D35" s="48"/>
      <c r="E35" s="49"/>
      <c r="F35" s="50"/>
      <c r="G35" s="50"/>
      <c r="H35" s="51">
        <f>SUM(H30:H34)</f>
        <v>111700</v>
      </c>
      <c r="I35" s="51">
        <v>0</v>
      </c>
      <c r="J35" s="51">
        <f>SUM(J30:J34)</f>
        <v>111700</v>
      </c>
      <c r="K35" s="62"/>
      <c r="L35" s="53"/>
      <c r="M35" s="74">
        <f>SUM(M30:M34)</f>
        <v>0</v>
      </c>
      <c r="N35" s="49"/>
      <c r="O35" s="50"/>
      <c r="P35" s="50"/>
      <c r="Q35" s="51">
        <f>SUM(Q30:Q34)</f>
        <v>111700</v>
      </c>
      <c r="R35" s="51">
        <f>SUM(R30:R33)</f>
        <v>0</v>
      </c>
      <c r="S35" s="51">
        <f>SUM(S30:S34)</f>
        <v>111700</v>
      </c>
    </row>
    <row r="36" spans="1:19" s="85" customFormat="1" ht="21" customHeight="1" thickTop="1">
      <c r="A36" s="75"/>
      <c r="B36" s="76"/>
      <c r="C36" s="77"/>
      <c r="D36" s="78"/>
      <c r="E36" s="79"/>
      <c r="F36" s="80"/>
      <c r="G36" s="80"/>
      <c r="H36" s="81"/>
      <c r="I36" s="81"/>
      <c r="J36" s="81"/>
      <c r="K36" s="82"/>
      <c r="L36" s="83"/>
      <c r="M36" s="84"/>
      <c r="N36" s="79"/>
      <c r="O36" s="80"/>
      <c r="P36" s="80"/>
      <c r="Q36" s="81"/>
      <c r="R36" s="81"/>
      <c r="S36" s="81"/>
    </row>
    <row r="37" spans="1:19" ht="21" customHeight="1">
      <c r="B37" s="86" t="s">
        <v>90</v>
      </c>
    </row>
    <row r="38" spans="1:19" ht="21" customHeight="1">
      <c r="A38" s="20">
        <v>1</v>
      </c>
      <c r="B38" s="33" t="s">
        <v>91</v>
      </c>
      <c r="C38" s="73" t="s">
        <v>92</v>
      </c>
      <c r="D38" s="34"/>
      <c r="E38" s="23" t="s">
        <v>93</v>
      </c>
      <c r="F38" s="3">
        <v>2</v>
      </c>
      <c r="G38" s="3">
        <v>2</v>
      </c>
      <c r="H38" s="24">
        <v>11000</v>
      </c>
      <c r="I38" s="3"/>
      <c r="J38" s="25">
        <v>11000</v>
      </c>
      <c r="K38" s="31"/>
      <c r="L38" s="32"/>
      <c r="M38" s="28"/>
      <c r="N38" s="23" t="s">
        <v>93</v>
      </c>
      <c r="O38" s="3">
        <v>2</v>
      </c>
      <c r="P38" s="3">
        <v>2</v>
      </c>
      <c r="Q38" s="24">
        <v>11000</v>
      </c>
      <c r="R38" s="3"/>
      <c r="S38" s="25">
        <v>11000</v>
      </c>
    </row>
    <row r="39" spans="1:19" ht="21" customHeight="1">
      <c r="A39" s="20">
        <v>2</v>
      </c>
      <c r="B39" s="70" t="s">
        <v>94</v>
      </c>
      <c r="C39" s="30" t="s">
        <v>95</v>
      </c>
      <c r="D39" s="22"/>
      <c r="E39" s="23" t="s">
        <v>96</v>
      </c>
      <c r="F39" s="3">
        <v>3</v>
      </c>
      <c r="G39" s="3">
        <v>3</v>
      </c>
      <c r="H39" s="24">
        <v>6000</v>
      </c>
      <c r="I39" s="3"/>
      <c r="J39" s="25">
        <v>6000</v>
      </c>
      <c r="K39" s="31"/>
      <c r="L39" s="32"/>
      <c r="M39" s="27"/>
      <c r="N39" s="23" t="s">
        <v>96</v>
      </c>
      <c r="O39" s="3">
        <v>3</v>
      </c>
      <c r="P39" s="3">
        <v>3</v>
      </c>
      <c r="Q39" s="24">
        <f>SUM(H39-M39)</f>
        <v>6000</v>
      </c>
      <c r="R39" s="24"/>
      <c r="S39" s="24">
        <f>SUM(J39-M39)</f>
        <v>6000</v>
      </c>
    </row>
    <row r="40" spans="1:19" ht="21" customHeight="1" thickBot="1">
      <c r="A40" s="45"/>
      <c r="B40" s="46" t="s">
        <v>18</v>
      </c>
      <c r="C40" s="47"/>
      <c r="D40" s="48"/>
      <c r="E40" s="49"/>
      <c r="F40" s="50"/>
      <c r="G40" s="50"/>
      <c r="H40" s="51">
        <v>17000</v>
      </c>
      <c r="I40" s="51">
        <v>0</v>
      </c>
      <c r="J40" s="51">
        <v>17000</v>
      </c>
      <c r="K40" s="62"/>
      <c r="L40" s="53"/>
      <c r="M40" s="74">
        <f>SUM(M36:M39)</f>
        <v>0</v>
      </c>
      <c r="N40" s="49"/>
      <c r="O40" s="50"/>
      <c r="P40" s="50"/>
      <c r="Q40" s="51">
        <f>SUM(Q36:Q39)</f>
        <v>17000</v>
      </c>
      <c r="R40" s="51">
        <f>SUM(R36:R39)</f>
        <v>0</v>
      </c>
      <c r="S40" s="51">
        <f>SUM(S36:S39)</f>
        <v>17000</v>
      </c>
    </row>
    <row r="41" spans="1:19" s="85" customFormat="1" ht="21" customHeight="1" thickTop="1">
      <c r="A41" s="75"/>
      <c r="B41" s="93"/>
      <c r="C41" s="77"/>
      <c r="D41" s="78"/>
      <c r="E41" s="79"/>
      <c r="F41" s="80"/>
      <c r="G41" s="80"/>
      <c r="H41" s="81"/>
      <c r="I41" s="80"/>
      <c r="J41" s="94"/>
      <c r="K41" s="82"/>
      <c r="L41" s="83"/>
      <c r="M41" s="95"/>
      <c r="N41" s="79"/>
      <c r="O41" s="80"/>
      <c r="P41" s="80"/>
      <c r="Q41" s="81"/>
      <c r="R41" s="81"/>
      <c r="S41" s="81"/>
    </row>
    <row r="42" spans="1:19" ht="21" customHeight="1">
      <c r="H42" s="96">
        <f>SUM(H24+H27+H35+H40)</f>
        <v>859800</v>
      </c>
      <c r="I42" s="96">
        <f t="shared" ref="I42:P42" si="3">SUM(I24+I27+I35+I40)</f>
        <v>0</v>
      </c>
      <c r="J42" s="96">
        <f t="shared" si="3"/>
        <v>859800</v>
      </c>
      <c r="K42" s="96">
        <f t="shared" si="3"/>
        <v>0</v>
      </c>
      <c r="L42" s="96">
        <f t="shared" si="3"/>
        <v>0</v>
      </c>
      <c r="M42" s="96">
        <f t="shared" si="3"/>
        <v>0</v>
      </c>
      <c r="N42" s="96">
        <f t="shared" si="3"/>
        <v>0</v>
      </c>
      <c r="O42" s="96">
        <f t="shared" si="3"/>
        <v>0</v>
      </c>
      <c r="P42" s="96">
        <f t="shared" si="3"/>
        <v>0</v>
      </c>
      <c r="Q42" s="96">
        <f>SUM(Q24+Q27+Q35+Q40)</f>
        <v>859800</v>
      </c>
      <c r="R42" s="96">
        <f ca="1">SUM(R24+R27+R35+R40)</f>
        <v>0</v>
      </c>
      <c r="S42" s="96">
        <f>SUM(S24+S27+S35+S40)</f>
        <v>859800</v>
      </c>
    </row>
    <row r="44" spans="1:19" ht="21" customHeight="1">
      <c r="S44" s="58"/>
    </row>
    <row r="52" spans="1:18" ht="21" customHeight="1">
      <c r="A52" s="29"/>
      <c r="R52" s="29"/>
    </row>
    <row r="53" spans="1:18" ht="21" customHeight="1">
      <c r="A53" s="29"/>
      <c r="R53" s="29"/>
    </row>
    <row r="63" spans="1:18" ht="21" customHeight="1">
      <c r="A63" s="29"/>
      <c r="R63" s="29"/>
    </row>
    <row r="64" spans="1:18" ht="21" customHeight="1">
      <c r="A64" s="29"/>
      <c r="R64" s="29"/>
    </row>
    <row r="67" spans="1:19" ht="21" customHeight="1">
      <c r="A67" s="29"/>
      <c r="C67" s="29"/>
      <c r="D67" s="29"/>
      <c r="F67" s="29"/>
      <c r="G67" s="29"/>
      <c r="H67" s="29"/>
      <c r="I67" s="29"/>
      <c r="J67" s="29"/>
      <c r="K67" s="2"/>
      <c r="L67" s="29"/>
      <c r="O67" s="29"/>
      <c r="P67" s="29"/>
      <c r="Q67" s="29"/>
      <c r="R67" s="29" t="s">
        <v>97</v>
      </c>
      <c r="S67" s="58">
        <v>32</v>
      </c>
    </row>
    <row r="68" spans="1:19" ht="21" customHeight="1">
      <c r="A68" s="29"/>
      <c r="C68" s="29"/>
      <c r="D68" s="29"/>
      <c r="F68" s="29"/>
      <c r="G68" s="29"/>
      <c r="H68" s="29"/>
      <c r="I68" s="29"/>
      <c r="J68" s="29"/>
      <c r="K68" s="2"/>
      <c r="L68" s="29"/>
      <c r="O68" s="29"/>
      <c r="P68" s="29"/>
      <c r="Q68" s="29"/>
      <c r="R68" s="55" t="s">
        <v>98</v>
      </c>
      <c r="S68" s="55">
        <v>18</v>
      </c>
    </row>
    <row r="122" spans="1:19" ht="21" customHeight="1">
      <c r="A122" s="97" t="s">
        <v>99</v>
      </c>
      <c r="B122" s="36" t="s">
        <v>100</v>
      </c>
      <c r="C122" s="98" t="s">
        <v>101</v>
      </c>
      <c r="D122" s="37">
        <v>1100</v>
      </c>
      <c r="E122" s="38" t="s">
        <v>102</v>
      </c>
      <c r="F122" s="39">
        <v>1</v>
      </c>
      <c r="G122" s="39">
        <v>1</v>
      </c>
      <c r="H122" s="40">
        <v>1100</v>
      </c>
      <c r="I122" s="39"/>
      <c r="J122" s="41">
        <v>1100</v>
      </c>
      <c r="K122" s="99"/>
      <c r="L122" s="100"/>
      <c r="M122" s="101"/>
      <c r="N122" s="38" t="s">
        <v>103</v>
      </c>
      <c r="O122" s="39">
        <v>2</v>
      </c>
      <c r="P122" s="39">
        <v>2</v>
      </c>
      <c r="Q122" s="40">
        <v>2200</v>
      </c>
      <c r="R122" s="39"/>
      <c r="S122" s="41">
        <v>1100</v>
      </c>
    </row>
  </sheetData>
  <mergeCells count="19">
    <mergeCell ref="Q5:S5"/>
    <mergeCell ref="E5:E6"/>
    <mergeCell ref="F5:F6"/>
    <mergeCell ref="H5:J5"/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N5:N6"/>
    <mergeCell ref="O5:O6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FE0E-ACCA-4B63-905E-AC2C622E6DDC}">
  <sheetPr>
    <tabColor rgb="FFFFFF00"/>
  </sheetPr>
  <dimension ref="A1:I92"/>
  <sheetViews>
    <sheetView zoomScale="70" zoomScaleNormal="70" workbookViewId="0">
      <pane ySplit="6" topLeftCell="A7" activePane="bottomLeft" state="frozen"/>
      <selection pane="bottomLeft" activeCell="G31" sqref="G31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3.88671875" style="90"/>
    <col min="6" max="6" width="13.88671875" style="91"/>
    <col min="7" max="7" width="13.6640625" style="29" customWidth="1"/>
    <col min="8" max="16384" width="13.88671875" style="29"/>
  </cols>
  <sheetData>
    <row r="1" spans="1:9" s="1" customFormat="1" ht="21" customHeight="1">
      <c r="A1" s="198" t="s">
        <v>0</v>
      </c>
      <c r="B1" s="198"/>
      <c r="C1" s="198"/>
      <c r="D1" s="198"/>
      <c r="E1" s="198"/>
      <c r="F1" s="198"/>
      <c r="G1" s="198"/>
    </row>
    <row r="2" spans="1:9" s="1" customFormat="1" ht="21" customHeight="1">
      <c r="A2" s="199" t="s">
        <v>1</v>
      </c>
      <c r="B2" s="199"/>
      <c r="C2" s="199"/>
      <c r="D2" s="199"/>
      <c r="E2" s="199"/>
      <c r="F2" s="199"/>
      <c r="G2" s="199"/>
    </row>
    <row r="3" spans="1:9" s="1" customFormat="1" ht="21" customHeight="1">
      <c r="A3" s="200" t="s">
        <v>115</v>
      </c>
      <c r="B3" s="200"/>
      <c r="C3" s="200"/>
      <c r="D3" s="200"/>
      <c r="E3" s="200"/>
      <c r="F3" s="200"/>
      <c r="G3" s="200"/>
    </row>
    <row r="4" spans="1:9" s="1" customFormat="1" ht="21" customHeight="1">
      <c r="A4" s="201" t="s">
        <v>3</v>
      </c>
      <c r="B4" s="201" t="s">
        <v>4</v>
      </c>
      <c r="C4" s="204" t="s">
        <v>5</v>
      </c>
      <c r="D4" s="211" t="s">
        <v>6</v>
      </c>
      <c r="E4" s="214" t="s">
        <v>8</v>
      </c>
      <c r="F4" s="214"/>
      <c r="G4" s="214"/>
    </row>
    <row r="5" spans="1:9" s="1" customFormat="1" ht="21" customHeight="1">
      <c r="A5" s="202"/>
      <c r="B5" s="202"/>
      <c r="C5" s="205"/>
      <c r="D5" s="212"/>
      <c r="E5" s="216" t="s">
        <v>12</v>
      </c>
      <c r="F5" s="218" t="s">
        <v>13</v>
      </c>
      <c r="G5" s="209" t="s">
        <v>14</v>
      </c>
    </row>
    <row r="6" spans="1:9" s="1" customFormat="1" ht="21" customHeight="1">
      <c r="A6" s="203"/>
      <c r="B6" s="203"/>
      <c r="C6" s="206"/>
      <c r="D6" s="213"/>
      <c r="E6" s="217"/>
      <c r="F6" s="219"/>
      <c r="G6" s="210"/>
    </row>
    <row r="7" spans="1:9" ht="21" customHeight="1">
      <c r="A7" s="20"/>
      <c r="B7" s="33"/>
      <c r="C7" s="73"/>
      <c r="D7" s="34"/>
      <c r="E7" s="31"/>
      <c r="F7" s="32"/>
      <c r="G7" s="28"/>
    </row>
    <row r="8" spans="1:9" ht="21" customHeight="1">
      <c r="A8" s="20"/>
      <c r="B8" s="33" t="s">
        <v>116</v>
      </c>
      <c r="C8" s="22"/>
      <c r="D8" s="34"/>
      <c r="E8" s="26"/>
      <c r="F8" s="32"/>
      <c r="G8" s="28"/>
    </row>
    <row r="9" spans="1:9" ht="21" customHeight="1">
      <c r="A9" s="20"/>
      <c r="B9" s="21"/>
      <c r="C9" s="30"/>
      <c r="D9" s="22"/>
      <c r="E9" s="31"/>
      <c r="F9" s="32"/>
      <c r="G9" s="35"/>
    </row>
    <row r="10" spans="1:9" ht="21" customHeight="1" thickBot="1">
      <c r="A10" s="45"/>
      <c r="B10" s="46" t="s">
        <v>18</v>
      </c>
      <c r="C10" s="47"/>
      <c r="D10" s="48"/>
      <c r="E10" s="62"/>
      <c r="F10" s="53"/>
      <c r="G10" s="74"/>
      <c r="I10" s="29">
        <f>SUM(G7:G9)</f>
        <v>0</v>
      </c>
    </row>
    <row r="11" spans="1:9" s="85" customFormat="1" ht="21" customHeight="1" thickTop="1">
      <c r="A11" s="75"/>
      <c r="B11" s="93"/>
      <c r="C11" s="77"/>
      <c r="D11" s="78"/>
      <c r="E11" s="82"/>
      <c r="F11" s="83"/>
      <c r="G11" s="95"/>
    </row>
    <row r="12" spans="1:9" ht="21" customHeight="1">
      <c r="E12" s="96">
        <v>0</v>
      </c>
      <c r="F12" s="96">
        <v>0</v>
      </c>
      <c r="G12" s="96">
        <v>0</v>
      </c>
    </row>
    <row r="22" spans="1:1" ht="21" customHeight="1">
      <c r="A22" s="29"/>
    </row>
    <row r="23" spans="1:1" ht="21" customHeight="1">
      <c r="A23" s="29"/>
    </row>
    <row r="33" spans="1:6" ht="21" customHeight="1">
      <c r="A33" s="29"/>
    </row>
    <row r="34" spans="1:6" ht="21" customHeight="1">
      <c r="A34" s="29"/>
    </row>
    <row r="37" spans="1:6" ht="21" customHeight="1">
      <c r="A37" s="29"/>
      <c r="C37" s="29"/>
      <c r="D37" s="29"/>
      <c r="E37" s="2"/>
      <c r="F37" s="29"/>
    </row>
    <row r="38" spans="1:6" ht="21" customHeight="1">
      <c r="A38" s="29"/>
      <c r="C38" s="29"/>
      <c r="D38" s="29"/>
      <c r="E38" s="2"/>
      <c r="F38" s="29"/>
    </row>
    <row r="92" spans="1:7" ht="21" customHeight="1">
      <c r="A92" s="97" t="s">
        <v>99</v>
      </c>
      <c r="B92" s="36" t="s">
        <v>100</v>
      </c>
      <c r="C92" s="98" t="s">
        <v>101</v>
      </c>
      <c r="D92" s="37">
        <v>1100</v>
      </c>
      <c r="E92" s="99"/>
      <c r="F92" s="100"/>
      <c r="G92" s="101"/>
    </row>
  </sheetData>
  <mergeCells count="11">
    <mergeCell ref="G5:G6"/>
    <mergeCell ref="A1:G1"/>
    <mergeCell ref="A2:G2"/>
    <mergeCell ref="A3:G3"/>
    <mergeCell ref="A4:A6"/>
    <mergeCell ref="B4:B6"/>
    <mergeCell ref="C4:C6"/>
    <mergeCell ref="D4:D6"/>
    <mergeCell ref="E4:G4"/>
    <mergeCell ref="E5:E6"/>
    <mergeCell ref="F5:F6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6B40E-C36E-4E5C-96E4-B642B290CCD1}">
  <sheetPr>
    <tabColor rgb="FFFFFF00"/>
  </sheetPr>
  <dimension ref="A1:H121"/>
  <sheetViews>
    <sheetView zoomScale="70" zoomScaleNormal="70" workbookViewId="0">
      <pane ySplit="6" topLeftCell="A7" activePane="bottomLeft" state="frozen"/>
      <selection pane="bottomLeft" activeCell="H34" sqref="H34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9.88671875" style="2" customWidth="1"/>
    <col min="5" max="5" width="13.88671875" style="58"/>
    <col min="6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115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07" t="s">
        <v>9</v>
      </c>
      <c r="E4" s="207"/>
      <c r="F4" s="207"/>
    </row>
    <row r="5" spans="1:6" s="1" customFormat="1" ht="21" customHeight="1">
      <c r="A5" s="202"/>
      <c r="B5" s="202"/>
      <c r="C5" s="205"/>
      <c r="D5" s="208" t="s">
        <v>10</v>
      </c>
      <c r="E5" s="207" t="s">
        <v>15</v>
      </c>
      <c r="F5" s="102"/>
    </row>
    <row r="6" spans="1:6" s="1" customFormat="1" ht="21" customHeight="1">
      <c r="A6" s="203"/>
      <c r="B6" s="203"/>
      <c r="C6" s="206"/>
      <c r="D6" s="208"/>
      <c r="E6" s="207"/>
      <c r="F6" s="8" t="s">
        <v>18</v>
      </c>
    </row>
    <row r="7" spans="1:6" s="1" customFormat="1" ht="21" customHeight="1">
      <c r="A7" s="9"/>
      <c r="B7" s="10" t="s">
        <v>20</v>
      </c>
      <c r="C7" s="11"/>
      <c r="D7" s="13"/>
      <c r="E7" s="14"/>
      <c r="F7" s="16"/>
    </row>
    <row r="8" spans="1:6" ht="21" customHeight="1">
      <c r="A8" s="20">
        <v>1</v>
      </c>
      <c r="B8" s="21" t="s">
        <v>21</v>
      </c>
      <c r="C8" s="21" t="s">
        <v>22</v>
      </c>
      <c r="D8" s="23" t="s">
        <v>23</v>
      </c>
      <c r="E8" s="3">
        <v>37</v>
      </c>
      <c r="F8" s="25">
        <v>22300</v>
      </c>
    </row>
    <row r="9" spans="1:6" ht="21" customHeight="1">
      <c r="A9" s="20">
        <v>2</v>
      </c>
      <c r="B9" s="21" t="s">
        <v>24</v>
      </c>
      <c r="C9" s="30" t="s">
        <v>25</v>
      </c>
      <c r="D9" s="23" t="s">
        <v>26</v>
      </c>
      <c r="E9" s="3">
        <v>13</v>
      </c>
      <c r="F9" s="25">
        <v>15000</v>
      </c>
    </row>
    <row r="10" spans="1:6" ht="21" customHeight="1">
      <c r="A10" s="20">
        <v>3</v>
      </c>
      <c r="B10" s="33" t="s">
        <v>27</v>
      </c>
      <c r="C10" s="22" t="s">
        <v>28</v>
      </c>
      <c r="D10" s="23" t="s">
        <v>29</v>
      </c>
      <c r="E10" s="3">
        <v>23</v>
      </c>
      <c r="F10" s="25">
        <v>50000</v>
      </c>
    </row>
    <row r="11" spans="1:6" ht="21" customHeight="1">
      <c r="A11" s="20">
        <v>4</v>
      </c>
      <c r="B11" s="33" t="s">
        <v>30</v>
      </c>
      <c r="C11" s="22" t="s">
        <v>31</v>
      </c>
      <c r="D11" s="23" t="s">
        <v>32</v>
      </c>
      <c r="E11" s="3">
        <v>40</v>
      </c>
      <c r="F11" s="25">
        <v>79500</v>
      </c>
    </row>
    <row r="12" spans="1:6" ht="21" customHeight="1">
      <c r="A12" s="20">
        <v>5</v>
      </c>
      <c r="B12" s="33" t="s">
        <v>33</v>
      </c>
      <c r="C12" s="22" t="s">
        <v>34</v>
      </c>
      <c r="D12" s="23" t="s">
        <v>35</v>
      </c>
      <c r="E12" s="3">
        <v>42</v>
      </c>
      <c r="F12" s="25">
        <v>41000</v>
      </c>
    </row>
    <row r="13" spans="1:6" ht="21" customHeight="1">
      <c r="A13" s="20">
        <v>6</v>
      </c>
      <c r="B13" s="21" t="s">
        <v>36</v>
      </c>
      <c r="C13" s="21" t="s">
        <v>37</v>
      </c>
      <c r="D13" s="23" t="s">
        <v>38</v>
      </c>
      <c r="E13" s="3">
        <v>29</v>
      </c>
      <c r="F13" s="25">
        <v>28000</v>
      </c>
    </row>
    <row r="14" spans="1:6" ht="21" customHeight="1">
      <c r="A14" s="20">
        <v>7</v>
      </c>
      <c r="B14" s="21" t="s">
        <v>39</v>
      </c>
      <c r="C14" s="22" t="s">
        <v>40</v>
      </c>
      <c r="D14" s="23" t="s">
        <v>41</v>
      </c>
      <c r="E14" s="3">
        <v>49</v>
      </c>
      <c r="F14" s="25">
        <v>92000</v>
      </c>
    </row>
    <row r="15" spans="1:6" ht="21" customHeight="1">
      <c r="A15" s="20">
        <v>8</v>
      </c>
      <c r="B15" s="21" t="s">
        <v>42</v>
      </c>
      <c r="C15" s="21" t="s">
        <v>43</v>
      </c>
      <c r="D15" s="23" t="s">
        <v>44</v>
      </c>
      <c r="E15" s="3">
        <v>41</v>
      </c>
      <c r="F15" s="25">
        <v>41000</v>
      </c>
    </row>
    <row r="16" spans="1:6" ht="21" customHeight="1">
      <c r="A16" s="20">
        <v>9</v>
      </c>
      <c r="B16" s="21" t="s">
        <v>45</v>
      </c>
      <c r="C16" s="30" t="s">
        <v>46</v>
      </c>
      <c r="D16" s="23" t="s">
        <v>47</v>
      </c>
      <c r="E16" s="3">
        <v>66</v>
      </c>
      <c r="F16" s="25">
        <v>46500</v>
      </c>
    </row>
    <row r="17" spans="1:8" ht="21" customHeight="1">
      <c r="A17" s="20">
        <v>10</v>
      </c>
      <c r="B17" s="21" t="s">
        <v>48</v>
      </c>
      <c r="C17" s="30" t="s">
        <v>49</v>
      </c>
      <c r="D17" s="23" t="s">
        <v>50</v>
      </c>
      <c r="E17" s="3">
        <v>34</v>
      </c>
      <c r="F17" s="25">
        <v>23600</v>
      </c>
    </row>
    <row r="18" spans="1:8" ht="21" customHeight="1">
      <c r="A18" s="20">
        <v>11</v>
      </c>
      <c r="B18" s="33" t="s">
        <v>51</v>
      </c>
      <c r="C18" s="22" t="s">
        <v>52</v>
      </c>
      <c r="D18" s="23" t="s">
        <v>53</v>
      </c>
      <c r="E18" s="3">
        <v>39.049999999999997</v>
      </c>
      <c r="F18" s="25">
        <v>39100</v>
      </c>
    </row>
    <row r="19" spans="1:8" ht="21" customHeight="1">
      <c r="A19" s="20">
        <v>12</v>
      </c>
      <c r="B19" s="33" t="s">
        <v>54</v>
      </c>
      <c r="C19" s="22" t="s">
        <v>55</v>
      </c>
      <c r="D19" s="23" t="s">
        <v>56</v>
      </c>
      <c r="E19" s="3">
        <v>52</v>
      </c>
      <c r="F19" s="25">
        <v>104000</v>
      </c>
    </row>
    <row r="20" spans="1:8" ht="21" customHeight="1">
      <c r="A20" s="20">
        <v>13</v>
      </c>
      <c r="B20" s="21" t="s">
        <v>57</v>
      </c>
      <c r="C20" s="30" t="s">
        <v>58</v>
      </c>
      <c r="D20" s="23" t="s">
        <v>59</v>
      </c>
      <c r="E20" s="3">
        <v>4</v>
      </c>
      <c r="F20" s="25">
        <v>5000</v>
      </c>
    </row>
    <row r="21" spans="1:8" ht="21" customHeight="1">
      <c r="A21" s="20">
        <v>14</v>
      </c>
      <c r="B21" s="21" t="s">
        <v>60</v>
      </c>
      <c r="C21" s="30" t="s">
        <v>61</v>
      </c>
      <c r="D21" s="23" t="s">
        <v>62</v>
      </c>
      <c r="E21" s="3">
        <v>68</v>
      </c>
      <c r="F21" s="25">
        <v>48500</v>
      </c>
    </row>
    <row r="22" spans="1:8" ht="21" customHeight="1">
      <c r="A22" s="20">
        <v>15</v>
      </c>
      <c r="B22" s="21" t="s">
        <v>63</v>
      </c>
      <c r="C22" s="21" t="s">
        <v>64</v>
      </c>
      <c r="D22" s="23" t="s">
        <v>65</v>
      </c>
      <c r="E22" s="3">
        <v>38</v>
      </c>
      <c r="F22" s="25">
        <v>38000</v>
      </c>
    </row>
    <row r="23" spans="1:8" ht="21" customHeight="1">
      <c r="A23" s="20">
        <v>16</v>
      </c>
      <c r="B23" s="36" t="s">
        <v>66</v>
      </c>
      <c r="C23" s="36" t="s">
        <v>67</v>
      </c>
      <c r="D23" s="38" t="s">
        <v>68</v>
      </c>
      <c r="E23" s="39">
        <v>16</v>
      </c>
      <c r="F23" s="41">
        <v>37600</v>
      </c>
    </row>
    <row r="24" spans="1:8" ht="21" customHeight="1" thickBot="1">
      <c r="A24" s="45"/>
      <c r="B24" s="46" t="s">
        <v>18</v>
      </c>
      <c r="C24" s="47"/>
      <c r="D24" s="49"/>
      <c r="E24" s="50"/>
      <c r="F24" s="51">
        <v>711100</v>
      </c>
      <c r="H24" s="29">
        <f>SUM(F8:F23)</f>
        <v>711100</v>
      </c>
    </row>
    <row r="25" spans="1:8" s="1" customFormat="1" ht="21" customHeight="1" thickTop="1">
      <c r="A25" s="55"/>
      <c r="B25" s="56" t="s">
        <v>69</v>
      </c>
    </row>
    <row r="26" spans="1:8" ht="21" customHeight="1">
      <c r="A26" s="20">
        <v>1</v>
      </c>
      <c r="B26" s="21" t="s">
        <v>70</v>
      </c>
      <c r="C26" s="21" t="s">
        <v>71</v>
      </c>
      <c r="D26" s="23" t="s">
        <v>72</v>
      </c>
      <c r="E26" s="3">
        <v>7</v>
      </c>
      <c r="F26" s="25">
        <v>20000</v>
      </c>
    </row>
    <row r="27" spans="1:8" ht="21" customHeight="1" thickBot="1">
      <c r="A27" s="45"/>
      <c r="B27" s="46" t="s">
        <v>18</v>
      </c>
      <c r="C27" s="47"/>
      <c r="D27" s="49"/>
      <c r="E27" s="50"/>
      <c r="F27" s="51">
        <v>20000</v>
      </c>
      <c r="H27" s="29">
        <f>SUM(F26)</f>
        <v>20000</v>
      </c>
    </row>
    <row r="28" spans="1:8" ht="21" customHeight="1" thickTop="1">
      <c r="B28" s="1"/>
      <c r="C28" s="1"/>
      <c r="D28" s="64"/>
      <c r="F28" s="59"/>
    </row>
    <row r="29" spans="1:8" s="1" customFormat="1" ht="21" customHeight="1">
      <c r="A29" s="55"/>
      <c r="B29" s="69" t="s">
        <v>73</v>
      </c>
    </row>
    <row r="30" spans="1:8" ht="21" customHeight="1">
      <c r="A30" s="20">
        <v>1</v>
      </c>
      <c r="B30" s="33" t="s">
        <v>74</v>
      </c>
      <c r="C30" s="73" t="s">
        <v>79</v>
      </c>
      <c r="D30" s="23" t="s">
        <v>80</v>
      </c>
      <c r="E30" s="3">
        <v>43</v>
      </c>
      <c r="F30" s="24">
        <v>85200</v>
      </c>
    </row>
    <row r="31" spans="1:8" ht="21" customHeight="1">
      <c r="A31" s="20">
        <v>2</v>
      </c>
      <c r="B31" s="33" t="s">
        <v>81</v>
      </c>
      <c r="C31" s="22" t="s">
        <v>82</v>
      </c>
      <c r="D31" s="23" t="s">
        <v>83</v>
      </c>
      <c r="E31" s="3">
        <v>24</v>
      </c>
      <c r="F31" s="24">
        <v>1000</v>
      </c>
    </row>
    <row r="32" spans="1:8" ht="21" customHeight="1">
      <c r="A32" s="20"/>
      <c r="B32" s="33" t="s">
        <v>81</v>
      </c>
      <c r="C32" s="22" t="s">
        <v>85</v>
      </c>
      <c r="D32" s="23" t="s">
        <v>83</v>
      </c>
      <c r="E32" s="3">
        <v>24</v>
      </c>
      <c r="F32" s="24">
        <v>21000</v>
      </c>
    </row>
    <row r="33" spans="1:8" ht="21" customHeight="1">
      <c r="A33" s="20">
        <v>3</v>
      </c>
      <c r="B33" s="21" t="s">
        <v>86</v>
      </c>
      <c r="C33" s="30" t="s">
        <v>87</v>
      </c>
      <c r="D33" s="23" t="s">
        <v>50</v>
      </c>
      <c r="E33" s="3">
        <v>34</v>
      </c>
      <c r="F33" s="24">
        <v>4500</v>
      </c>
    </row>
    <row r="34" spans="1:8" ht="21" customHeight="1" thickBot="1">
      <c r="A34" s="45"/>
      <c r="B34" s="46" t="s">
        <v>18</v>
      </c>
      <c r="C34" s="47"/>
      <c r="D34" s="49"/>
      <c r="E34" s="50"/>
      <c r="F34" s="51">
        <v>111700</v>
      </c>
      <c r="H34" s="29">
        <f>SUM(F30:F33)</f>
        <v>111700</v>
      </c>
    </row>
    <row r="35" spans="1:8" s="85" customFormat="1" ht="21" customHeight="1" thickTop="1">
      <c r="A35" s="75"/>
      <c r="B35" s="76"/>
      <c r="C35" s="77"/>
      <c r="D35" s="79"/>
      <c r="E35" s="80"/>
      <c r="F35" s="81"/>
    </row>
    <row r="36" spans="1:8" ht="21" customHeight="1">
      <c r="B36" s="86" t="s">
        <v>90</v>
      </c>
    </row>
    <row r="37" spans="1:8" ht="21" customHeight="1">
      <c r="A37" s="20">
        <v>1</v>
      </c>
      <c r="B37" s="33" t="s">
        <v>91</v>
      </c>
      <c r="C37" s="73" t="s">
        <v>92</v>
      </c>
      <c r="D37" s="23" t="s">
        <v>93</v>
      </c>
      <c r="E37" s="3">
        <v>2</v>
      </c>
      <c r="F37" s="25">
        <v>11000</v>
      </c>
    </row>
    <row r="38" spans="1:8" ht="21" customHeight="1">
      <c r="A38" s="20">
        <v>2</v>
      </c>
      <c r="B38" s="70" t="s">
        <v>94</v>
      </c>
      <c r="C38" s="30" t="s">
        <v>95</v>
      </c>
      <c r="D38" s="23" t="s">
        <v>96</v>
      </c>
      <c r="E38" s="3">
        <v>3</v>
      </c>
      <c r="F38" s="24">
        <v>6000</v>
      </c>
    </row>
    <row r="39" spans="1:8" ht="21" customHeight="1" thickBot="1">
      <c r="A39" s="45"/>
      <c r="B39" s="46" t="s">
        <v>18</v>
      </c>
      <c r="C39" s="47"/>
      <c r="D39" s="49"/>
      <c r="E39" s="50"/>
      <c r="F39" s="51">
        <v>17000</v>
      </c>
      <c r="H39" s="29">
        <f>SUM(F37:F38)</f>
        <v>17000</v>
      </c>
    </row>
    <row r="40" spans="1:8" s="85" customFormat="1" ht="21" customHeight="1" thickTop="1">
      <c r="A40" s="75"/>
      <c r="B40" s="93"/>
      <c r="C40" s="77"/>
      <c r="D40" s="79"/>
      <c r="E40" s="80"/>
      <c r="F40" s="81"/>
    </row>
    <row r="41" spans="1:8" ht="21" customHeight="1">
      <c r="D41" s="96">
        <v>0</v>
      </c>
      <c r="E41" s="96">
        <v>0</v>
      </c>
      <c r="F41" s="96">
        <v>859800</v>
      </c>
      <c r="H41" s="103">
        <f>SUM(H24:H39)</f>
        <v>859800</v>
      </c>
    </row>
    <row r="43" spans="1:8" ht="21" customHeight="1">
      <c r="F43" s="58"/>
    </row>
    <row r="51" spans="1:1" ht="21" customHeight="1">
      <c r="A51" s="29"/>
    </row>
    <row r="52" spans="1:1" ht="21" customHeight="1">
      <c r="A52" s="29"/>
    </row>
    <row r="62" spans="1:1" ht="21" customHeight="1">
      <c r="A62" s="29"/>
    </row>
    <row r="63" spans="1:1" ht="21" customHeight="1">
      <c r="A63" s="29"/>
    </row>
    <row r="66" spans="1:6" ht="21" customHeight="1">
      <c r="A66" s="29"/>
      <c r="C66" s="29"/>
      <c r="E66" s="29"/>
      <c r="F66" s="58">
        <v>32</v>
      </c>
    </row>
    <row r="67" spans="1:6" ht="21" customHeight="1">
      <c r="A67" s="29"/>
      <c r="C67" s="29"/>
      <c r="E67" s="29"/>
      <c r="F67" s="55">
        <v>18</v>
      </c>
    </row>
    <row r="121" spans="1:6" ht="21" customHeight="1">
      <c r="A121" s="97" t="s">
        <v>99</v>
      </c>
      <c r="B121" s="36" t="s">
        <v>100</v>
      </c>
      <c r="C121" s="98" t="s">
        <v>101</v>
      </c>
      <c r="D121" s="38" t="s">
        <v>103</v>
      </c>
      <c r="E121" s="39">
        <v>2</v>
      </c>
      <c r="F121" s="41">
        <v>1100</v>
      </c>
    </row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6D39-AC1B-4843-A1C8-F643B75ED838}">
  <sheetPr>
    <tabColor rgb="FFFFFF00"/>
  </sheetPr>
  <dimension ref="A1:H121"/>
  <sheetViews>
    <sheetView zoomScale="70" zoomScaleNormal="70" workbookViewId="0">
      <pane ySplit="6" topLeftCell="A19" activePane="bottomLeft" state="frozen"/>
      <selection pane="bottomLeft" activeCell="G39" sqref="G39"/>
    </sheetView>
  </sheetViews>
  <sheetFormatPr defaultColWidth="13.88671875" defaultRowHeight="21" customHeight="1"/>
  <cols>
    <col min="1" max="1" width="6.33203125" style="55" customWidth="1"/>
    <col min="2" max="2" width="28.5546875" style="29" customWidth="1"/>
    <col min="3" max="3" width="19.44140625" style="87" customWidth="1"/>
    <col min="4" max="4" width="19.88671875" style="2" customWidth="1"/>
    <col min="5" max="5" width="13.88671875" style="58"/>
    <col min="6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115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07" t="s">
        <v>9</v>
      </c>
      <c r="E4" s="207"/>
      <c r="F4" s="207"/>
    </row>
    <row r="5" spans="1:6" s="1" customFormat="1" ht="21" customHeight="1">
      <c r="A5" s="202"/>
      <c r="B5" s="202"/>
      <c r="C5" s="205"/>
      <c r="D5" s="208" t="s">
        <v>10</v>
      </c>
      <c r="E5" s="207" t="s">
        <v>15</v>
      </c>
      <c r="F5" s="102"/>
    </row>
    <row r="6" spans="1:6" s="1" customFormat="1" ht="21" customHeight="1">
      <c r="A6" s="203"/>
      <c r="B6" s="203"/>
      <c r="C6" s="206"/>
      <c r="D6" s="208"/>
      <c r="E6" s="207"/>
      <c r="F6" s="8" t="s">
        <v>18</v>
      </c>
    </row>
    <row r="7" spans="1:6" s="1" customFormat="1" ht="21" customHeight="1">
      <c r="A7" s="9"/>
      <c r="B7" s="10" t="s">
        <v>20</v>
      </c>
      <c r="C7" s="11"/>
      <c r="D7" s="13"/>
      <c r="E7" s="14"/>
      <c r="F7" s="16"/>
    </row>
    <row r="8" spans="1:6" ht="21" customHeight="1">
      <c r="A8" s="20">
        <v>1</v>
      </c>
      <c r="B8" s="21" t="s">
        <v>21</v>
      </c>
      <c r="C8" s="21" t="s">
        <v>22</v>
      </c>
      <c r="D8" s="23" t="s">
        <v>23</v>
      </c>
      <c r="E8" s="3">
        <v>37</v>
      </c>
      <c r="F8" s="25">
        <v>22300</v>
      </c>
    </row>
    <row r="9" spans="1:6" ht="21" customHeight="1">
      <c r="A9" s="20">
        <v>2</v>
      </c>
      <c r="B9" s="21" t="s">
        <v>24</v>
      </c>
      <c r="C9" s="30" t="s">
        <v>25</v>
      </c>
      <c r="D9" s="23" t="s">
        <v>26</v>
      </c>
      <c r="E9" s="3">
        <v>13</v>
      </c>
      <c r="F9" s="25">
        <v>15000</v>
      </c>
    </row>
    <row r="10" spans="1:6" ht="21" customHeight="1">
      <c r="A10" s="20">
        <v>3</v>
      </c>
      <c r="B10" s="33" t="s">
        <v>27</v>
      </c>
      <c r="C10" s="22" t="s">
        <v>28</v>
      </c>
      <c r="D10" s="23" t="s">
        <v>29</v>
      </c>
      <c r="E10" s="3">
        <v>23</v>
      </c>
      <c r="F10" s="25">
        <v>50000</v>
      </c>
    </row>
    <row r="11" spans="1:6" ht="21" customHeight="1">
      <c r="A11" s="20">
        <v>4</v>
      </c>
      <c r="B11" s="33" t="s">
        <v>30</v>
      </c>
      <c r="C11" s="22" t="s">
        <v>31</v>
      </c>
      <c r="D11" s="23" t="s">
        <v>32</v>
      </c>
      <c r="E11" s="3">
        <v>40</v>
      </c>
      <c r="F11" s="25">
        <v>79500</v>
      </c>
    </row>
    <row r="12" spans="1:6" ht="21" customHeight="1">
      <c r="A12" s="20">
        <v>5</v>
      </c>
      <c r="B12" s="33" t="s">
        <v>33</v>
      </c>
      <c r="C12" s="22" t="s">
        <v>34</v>
      </c>
      <c r="D12" s="23" t="s">
        <v>35</v>
      </c>
      <c r="E12" s="3">
        <v>42</v>
      </c>
      <c r="F12" s="25">
        <v>41000</v>
      </c>
    </row>
    <row r="13" spans="1:6" ht="21" customHeight="1">
      <c r="A13" s="20">
        <v>6</v>
      </c>
      <c r="B13" s="21" t="s">
        <v>36</v>
      </c>
      <c r="C13" s="21" t="s">
        <v>37</v>
      </c>
      <c r="D13" s="23" t="s">
        <v>38</v>
      </c>
      <c r="E13" s="3">
        <v>29</v>
      </c>
      <c r="F13" s="25">
        <v>28000</v>
      </c>
    </row>
    <row r="14" spans="1:6" ht="21" customHeight="1">
      <c r="A14" s="20">
        <v>7</v>
      </c>
      <c r="B14" s="21" t="s">
        <v>39</v>
      </c>
      <c r="C14" s="22" t="s">
        <v>40</v>
      </c>
      <c r="D14" s="23" t="s">
        <v>41</v>
      </c>
      <c r="E14" s="3">
        <v>49</v>
      </c>
      <c r="F14" s="25">
        <v>92000</v>
      </c>
    </row>
    <row r="15" spans="1:6" ht="21" customHeight="1">
      <c r="A15" s="20">
        <v>8</v>
      </c>
      <c r="B15" s="21" t="s">
        <v>42</v>
      </c>
      <c r="C15" s="21" t="s">
        <v>43</v>
      </c>
      <c r="D15" s="23" t="s">
        <v>44</v>
      </c>
      <c r="E15" s="3">
        <v>41</v>
      </c>
      <c r="F15" s="25">
        <v>41000</v>
      </c>
    </row>
    <row r="16" spans="1:6" ht="21" customHeight="1">
      <c r="A16" s="20">
        <v>9</v>
      </c>
      <c r="B16" s="21" t="s">
        <v>45</v>
      </c>
      <c r="C16" s="30" t="s">
        <v>46</v>
      </c>
      <c r="D16" s="23" t="s">
        <v>47</v>
      </c>
      <c r="E16" s="3">
        <v>66</v>
      </c>
      <c r="F16" s="25">
        <v>46500</v>
      </c>
    </row>
    <row r="17" spans="1:8" ht="21" customHeight="1">
      <c r="A17" s="20">
        <v>10</v>
      </c>
      <c r="B17" s="21" t="s">
        <v>48</v>
      </c>
      <c r="C17" s="30" t="s">
        <v>49</v>
      </c>
      <c r="D17" s="23" t="s">
        <v>50</v>
      </c>
      <c r="E17" s="3">
        <v>34</v>
      </c>
      <c r="F17" s="25">
        <v>23600</v>
      </c>
    </row>
    <row r="18" spans="1:8" ht="21" customHeight="1">
      <c r="A18" s="20">
        <v>11</v>
      </c>
      <c r="B18" s="33" t="s">
        <v>51</v>
      </c>
      <c r="C18" s="22" t="s">
        <v>52</v>
      </c>
      <c r="D18" s="23" t="s">
        <v>53</v>
      </c>
      <c r="E18" s="3">
        <v>39.049999999999997</v>
      </c>
      <c r="F18" s="25">
        <v>39100</v>
      </c>
    </row>
    <row r="19" spans="1:8" ht="21" customHeight="1">
      <c r="A19" s="20">
        <v>12</v>
      </c>
      <c r="B19" s="33" t="s">
        <v>54</v>
      </c>
      <c r="C19" s="22" t="s">
        <v>55</v>
      </c>
      <c r="D19" s="23" t="s">
        <v>56</v>
      </c>
      <c r="E19" s="3">
        <v>52</v>
      </c>
      <c r="F19" s="25">
        <v>104000</v>
      </c>
    </row>
    <row r="20" spans="1:8" ht="21" customHeight="1">
      <c r="A20" s="20">
        <v>13</v>
      </c>
      <c r="B20" s="21" t="s">
        <v>57</v>
      </c>
      <c r="C20" s="30" t="s">
        <v>58</v>
      </c>
      <c r="D20" s="23" t="s">
        <v>59</v>
      </c>
      <c r="E20" s="3">
        <v>4</v>
      </c>
      <c r="F20" s="25">
        <v>5000</v>
      </c>
    </row>
    <row r="21" spans="1:8" ht="21" customHeight="1">
      <c r="A21" s="20">
        <v>14</v>
      </c>
      <c r="B21" s="21" t="s">
        <v>60</v>
      </c>
      <c r="C21" s="30" t="s">
        <v>61</v>
      </c>
      <c r="D21" s="23" t="s">
        <v>62</v>
      </c>
      <c r="E21" s="3">
        <v>68</v>
      </c>
      <c r="F21" s="25">
        <v>48500</v>
      </c>
    </row>
    <row r="22" spans="1:8" ht="21" customHeight="1">
      <c r="A22" s="20">
        <v>15</v>
      </c>
      <c r="B22" s="21" t="s">
        <v>63</v>
      </c>
      <c r="C22" s="21" t="s">
        <v>64</v>
      </c>
      <c r="D22" s="23" t="s">
        <v>65</v>
      </c>
      <c r="E22" s="3">
        <v>38</v>
      </c>
      <c r="F22" s="25">
        <v>38000</v>
      </c>
    </row>
    <row r="23" spans="1:8" ht="21" customHeight="1">
      <c r="A23" s="20">
        <v>16</v>
      </c>
      <c r="B23" s="36" t="s">
        <v>66</v>
      </c>
      <c r="C23" s="36" t="s">
        <v>67</v>
      </c>
      <c r="D23" s="38" t="s">
        <v>68</v>
      </c>
      <c r="E23" s="39">
        <v>16</v>
      </c>
      <c r="F23" s="41">
        <v>37600</v>
      </c>
    </row>
    <row r="24" spans="1:8" ht="21" customHeight="1" thickBot="1">
      <c r="A24" s="45"/>
      <c r="B24" s="46" t="s">
        <v>18</v>
      </c>
      <c r="C24" s="47"/>
      <c r="D24" s="49"/>
      <c r="E24" s="50"/>
      <c r="F24" s="51">
        <v>711100</v>
      </c>
      <c r="H24" s="29">
        <v>711100</v>
      </c>
    </row>
    <row r="25" spans="1:8" s="1" customFormat="1" ht="21" customHeight="1" thickTop="1">
      <c r="A25" s="55"/>
      <c r="B25" s="56" t="s">
        <v>69</v>
      </c>
    </row>
    <row r="26" spans="1:8" ht="21" customHeight="1">
      <c r="A26" s="20">
        <v>1</v>
      </c>
      <c r="B26" s="21" t="s">
        <v>70</v>
      </c>
      <c r="C26" s="21" t="s">
        <v>71</v>
      </c>
      <c r="D26" s="23" t="s">
        <v>72</v>
      </c>
      <c r="E26" s="3">
        <v>7</v>
      </c>
      <c r="F26" s="25">
        <v>20000</v>
      </c>
    </row>
    <row r="27" spans="1:8" ht="21" customHeight="1" thickBot="1">
      <c r="A27" s="45"/>
      <c r="B27" s="46" t="s">
        <v>18</v>
      </c>
      <c r="C27" s="47"/>
      <c r="D27" s="49"/>
      <c r="E27" s="50"/>
      <c r="F27" s="51">
        <v>20000</v>
      </c>
      <c r="H27" s="29">
        <v>20000</v>
      </c>
    </row>
    <row r="28" spans="1:8" ht="21" customHeight="1" thickTop="1">
      <c r="B28" s="1"/>
      <c r="C28" s="1"/>
      <c r="D28" s="64"/>
      <c r="F28" s="59"/>
    </row>
    <row r="29" spans="1:8" s="1" customFormat="1" ht="21" customHeight="1">
      <c r="A29" s="55"/>
      <c r="B29" s="69" t="s">
        <v>73</v>
      </c>
    </row>
    <row r="30" spans="1:8" ht="21" customHeight="1">
      <c r="A30" s="20">
        <v>1</v>
      </c>
      <c r="B30" s="33" t="s">
        <v>74</v>
      </c>
      <c r="C30" s="73" t="s">
        <v>79</v>
      </c>
      <c r="D30" s="23" t="s">
        <v>80</v>
      </c>
      <c r="E30" s="3">
        <v>43</v>
      </c>
      <c r="F30" s="24">
        <v>85200</v>
      </c>
    </row>
    <row r="31" spans="1:8" ht="21" customHeight="1">
      <c r="A31" s="20">
        <v>2</v>
      </c>
      <c r="B31" s="33" t="s">
        <v>81</v>
      </c>
      <c r="C31" s="22" t="s">
        <v>82</v>
      </c>
      <c r="D31" s="23" t="s">
        <v>83</v>
      </c>
      <c r="E31" s="3">
        <v>24</v>
      </c>
      <c r="F31" s="24">
        <v>1000</v>
      </c>
    </row>
    <row r="32" spans="1:8" ht="21" customHeight="1">
      <c r="A32" s="20"/>
      <c r="B32" s="33" t="s">
        <v>81</v>
      </c>
      <c r="C32" s="22" t="s">
        <v>85</v>
      </c>
      <c r="D32" s="23" t="s">
        <v>83</v>
      </c>
      <c r="E32" s="3">
        <v>24</v>
      </c>
      <c r="F32" s="24">
        <v>21000</v>
      </c>
    </row>
    <row r="33" spans="1:8" ht="21" customHeight="1">
      <c r="A33" s="20">
        <v>3</v>
      </c>
      <c r="B33" s="21" t="s">
        <v>86</v>
      </c>
      <c r="C33" s="30" t="s">
        <v>87</v>
      </c>
      <c r="D33" s="23" t="s">
        <v>50</v>
      </c>
      <c r="E33" s="3">
        <v>34</v>
      </c>
      <c r="F33" s="24">
        <v>4500</v>
      </c>
    </row>
    <row r="34" spans="1:8" ht="21" customHeight="1" thickBot="1">
      <c r="A34" s="45"/>
      <c r="B34" s="46" t="s">
        <v>18</v>
      </c>
      <c r="C34" s="47"/>
      <c r="D34" s="49"/>
      <c r="E34" s="50"/>
      <c r="F34" s="51">
        <v>111700</v>
      </c>
      <c r="H34" s="29">
        <v>111700</v>
      </c>
    </row>
    <row r="35" spans="1:8" s="85" customFormat="1" ht="12.6" customHeight="1" thickTop="1">
      <c r="A35" s="75"/>
      <c r="B35" s="76"/>
      <c r="C35" s="77"/>
      <c r="D35" s="79"/>
      <c r="E35" s="80"/>
      <c r="F35" s="81"/>
    </row>
    <row r="36" spans="1:8" ht="21" customHeight="1">
      <c r="B36" s="86" t="s">
        <v>90</v>
      </c>
    </row>
    <row r="37" spans="1:8" ht="21" customHeight="1">
      <c r="A37" s="20">
        <v>1</v>
      </c>
      <c r="B37" s="33" t="s">
        <v>91</v>
      </c>
      <c r="C37" s="73" t="s">
        <v>92</v>
      </c>
      <c r="D37" s="23" t="s">
        <v>93</v>
      </c>
      <c r="E37" s="3">
        <v>2</v>
      </c>
      <c r="F37" s="25">
        <v>11000</v>
      </c>
    </row>
    <row r="38" spans="1:8" ht="21" customHeight="1">
      <c r="A38" s="20">
        <v>2</v>
      </c>
      <c r="B38" s="70" t="s">
        <v>94</v>
      </c>
      <c r="C38" s="30" t="s">
        <v>95</v>
      </c>
      <c r="D38" s="23" t="s">
        <v>96</v>
      </c>
      <c r="E38" s="3">
        <v>3</v>
      </c>
      <c r="F38" s="24">
        <v>6000</v>
      </c>
    </row>
    <row r="39" spans="1:8" ht="21" customHeight="1" thickBot="1">
      <c r="A39" s="45"/>
      <c r="B39" s="46" t="s">
        <v>18</v>
      </c>
      <c r="C39" s="47"/>
      <c r="D39" s="49"/>
      <c r="E39" s="50"/>
      <c r="F39" s="51">
        <v>17000</v>
      </c>
      <c r="H39" s="29">
        <v>17000</v>
      </c>
    </row>
    <row r="40" spans="1:8" s="85" customFormat="1" ht="21" customHeight="1" thickTop="1">
      <c r="A40" s="75"/>
      <c r="B40" s="93"/>
      <c r="C40" s="77"/>
      <c r="D40" s="79"/>
      <c r="E40" s="80"/>
      <c r="F40" s="81"/>
    </row>
    <row r="41" spans="1:8" ht="21" customHeight="1">
      <c r="D41" s="96">
        <v>0</v>
      </c>
      <c r="E41" s="96">
        <v>0</v>
      </c>
      <c r="F41" s="96">
        <v>859800</v>
      </c>
      <c r="H41" s="103">
        <v>859800</v>
      </c>
    </row>
    <row r="43" spans="1:8" ht="21" customHeight="1">
      <c r="F43" s="58"/>
    </row>
    <row r="51" spans="1:1" ht="21" customHeight="1">
      <c r="A51" s="29"/>
    </row>
    <row r="52" spans="1:1" ht="21" customHeight="1">
      <c r="A52" s="29"/>
    </row>
    <row r="62" spans="1:1" ht="21" customHeight="1">
      <c r="A62" s="29"/>
    </row>
    <row r="63" spans="1:1" ht="21" customHeight="1">
      <c r="A63" s="29"/>
    </row>
    <row r="66" spans="1:6" ht="21" customHeight="1">
      <c r="A66" s="29"/>
      <c r="C66" s="29"/>
      <c r="E66" s="29"/>
      <c r="F66" s="58">
        <v>32</v>
      </c>
    </row>
    <row r="67" spans="1:6" ht="21" customHeight="1">
      <c r="A67" s="29"/>
      <c r="C67" s="29"/>
      <c r="E67" s="29"/>
      <c r="F67" s="55">
        <v>18</v>
      </c>
    </row>
    <row r="121" spans="1:6" ht="21" customHeight="1">
      <c r="A121" s="97" t="s">
        <v>99</v>
      </c>
      <c r="B121" s="36" t="s">
        <v>100</v>
      </c>
      <c r="C121" s="98" t="s">
        <v>101</v>
      </c>
      <c r="D121" s="38" t="s">
        <v>103</v>
      </c>
      <c r="E121" s="39">
        <v>2</v>
      </c>
      <c r="F121" s="41">
        <v>1100</v>
      </c>
    </row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  <pageSetup paperSize="9" scale="8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7E96-67C6-4E12-83D5-AFC6D0FA6C8A}">
  <sheetPr>
    <tabColor rgb="FF92D050"/>
  </sheetPr>
  <dimension ref="A1:S122"/>
  <sheetViews>
    <sheetView zoomScale="70" zoomScaleNormal="70" workbookViewId="0">
      <pane ySplit="6" topLeftCell="A22" activePane="bottomLeft" state="frozen"/>
      <selection pane="bottomLeft" activeCell="K44" sqref="K44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7.44140625" style="2" customWidth="1"/>
    <col min="6" max="7" width="13.88671875" style="59"/>
    <col min="8" max="8" width="13.88671875" style="88"/>
    <col min="9" max="9" width="7.33203125" style="88" customWidth="1"/>
    <col min="10" max="10" width="13.88671875" style="89"/>
    <col min="11" max="11" width="13.88671875" style="90"/>
    <col min="12" max="12" width="13.88671875" style="91"/>
    <col min="13" max="13" width="13.6640625" style="29" customWidth="1"/>
    <col min="14" max="14" width="19.88671875" style="2" customWidth="1"/>
    <col min="15" max="15" width="13.88671875" style="58"/>
    <col min="16" max="16" width="8.6640625" style="58" customWidth="1"/>
    <col min="17" max="17" width="13.88671875" style="92"/>
    <col min="18" max="18" width="13.88671875" style="58"/>
    <col min="19" max="16384" width="13.88671875" style="29"/>
  </cols>
  <sheetData>
    <row r="1" spans="1:19" s="1" customFormat="1" ht="21" customHeight="1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</row>
    <row r="2" spans="1:19" s="1" customFormat="1" ht="21" customHeight="1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19" s="1" customFormat="1" ht="21" customHeight="1">
      <c r="A3" s="200" t="s">
        <v>111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</row>
    <row r="4" spans="1:19" s="1" customFormat="1" ht="21" customHeight="1">
      <c r="A4" s="201" t="s">
        <v>3</v>
      </c>
      <c r="B4" s="201" t="s">
        <v>4</v>
      </c>
      <c r="C4" s="204" t="s">
        <v>5</v>
      </c>
      <c r="D4" s="211" t="s">
        <v>6</v>
      </c>
      <c r="E4" s="207" t="s">
        <v>7</v>
      </c>
      <c r="F4" s="207"/>
      <c r="G4" s="207"/>
      <c r="H4" s="207"/>
      <c r="I4" s="207"/>
      <c r="J4" s="207"/>
      <c r="K4" s="214" t="s">
        <v>8</v>
      </c>
      <c r="L4" s="214"/>
      <c r="M4" s="214"/>
      <c r="N4" s="207" t="s">
        <v>9</v>
      </c>
      <c r="O4" s="207"/>
      <c r="P4" s="207"/>
      <c r="Q4" s="207"/>
      <c r="R4" s="207"/>
      <c r="S4" s="207"/>
    </row>
    <row r="5" spans="1:19" s="1" customFormat="1" ht="21" customHeight="1">
      <c r="A5" s="202"/>
      <c r="B5" s="202"/>
      <c r="C5" s="205"/>
      <c r="D5" s="212"/>
      <c r="E5" s="208" t="s">
        <v>10</v>
      </c>
      <c r="F5" s="207"/>
      <c r="G5" s="4"/>
      <c r="H5" s="215" t="s">
        <v>11</v>
      </c>
      <c r="I5" s="215"/>
      <c r="J5" s="215"/>
      <c r="K5" s="216" t="s">
        <v>12</v>
      </c>
      <c r="L5" s="218" t="s">
        <v>13</v>
      </c>
      <c r="M5" s="209" t="s">
        <v>14</v>
      </c>
      <c r="N5" s="208" t="s">
        <v>10</v>
      </c>
      <c r="O5" s="207" t="s">
        <v>15</v>
      </c>
      <c r="P5" s="4" t="s">
        <v>16</v>
      </c>
      <c r="Q5" s="215" t="s">
        <v>11</v>
      </c>
      <c r="R5" s="215"/>
      <c r="S5" s="215"/>
    </row>
    <row r="6" spans="1:19" s="1" customFormat="1" ht="21" customHeight="1">
      <c r="A6" s="203"/>
      <c r="B6" s="203"/>
      <c r="C6" s="206"/>
      <c r="D6" s="213"/>
      <c r="E6" s="208"/>
      <c r="F6" s="207"/>
      <c r="G6" s="5"/>
      <c r="H6" s="6" t="s">
        <v>14</v>
      </c>
      <c r="I6" s="7" t="s">
        <v>17</v>
      </c>
      <c r="J6" s="8" t="s">
        <v>18</v>
      </c>
      <c r="K6" s="217"/>
      <c r="L6" s="219"/>
      <c r="M6" s="210"/>
      <c r="N6" s="208"/>
      <c r="O6" s="207"/>
      <c r="P6" s="5" t="s">
        <v>19</v>
      </c>
      <c r="Q6" s="6" t="s">
        <v>14</v>
      </c>
      <c r="R6" s="7" t="s">
        <v>17</v>
      </c>
      <c r="S6" s="8" t="s">
        <v>18</v>
      </c>
    </row>
    <row r="7" spans="1:19" s="1" customFormat="1" ht="21" customHeight="1">
      <c r="A7" s="9"/>
      <c r="B7" s="10" t="s">
        <v>20</v>
      </c>
      <c r="C7" s="11"/>
      <c r="D7" s="12"/>
      <c r="E7" s="13"/>
      <c r="F7" s="14"/>
      <c r="G7" s="15"/>
      <c r="H7" s="15"/>
      <c r="I7" s="15"/>
      <c r="J7" s="16"/>
      <c r="K7" s="17"/>
      <c r="L7" s="18"/>
      <c r="M7" s="19"/>
      <c r="N7" s="13"/>
      <c r="O7" s="14"/>
      <c r="P7" s="15"/>
      <c r="Q7" s="15"/>
      <c r="R7" s="15"/>
      <c r="S7" s="16"/>
    </row>
    <row r="8" spans="1:19" ht="21" customHeight="1">
      <c r="A8" s="20">
        <v>1</v>
      </c>
      <c r="B8" s="21" t="s">
        <v>21</v>
      </c>
      <c r="C8" s="21" t="s">
        <v>22</v>
      </c>
      <c r="D8" s="22"/>
      <c r="E8" s="23" t="s">
        <v>23</v>
      </c>
      <c r="F8" s="3">
        <v>37</v>
      </c>
      <c r="G8" s="3">
        <v>54</v>
      </c>
      <c r="H8" s="24">
        <v>22300</v>
      </c>
      <c r="I8" s="3"/>
      <c r="J8" s="25">
        <v>22300</v>
      </c>
      <c r="K8" s="26"/>
      <c r="L8" s="27"/>
      <c r="M8" s="28"/>
      <c r="N8" s="23" t="s">
        <v>23</v>
      </c>
      <c r="O8" s="3">
        <v>37</v>
      </c>
      <c r="P8" s="3">
        <v>54</v>
      </c>
      <c r="Q8" s="24">
        <v>22300</v>
      </c>
      <c r="R8" s="3"/>
      <c r="S8" s="25">
        <v>22300</v>
      </c>
    </row>
    <row r="9" spans="1:19" ht="21" customHeight="1">
      <c r="A9" s="20">
        <v>2</v>
      </c>
      <c r="B9" s="21" t="s">
        <v>24</v>
      </c>
      <c r="C9" s="30" t="s">
        <v>25</v>
      </c>
      <c r="D9" s="22"/>
      <c r="E9" s="23" t="s">
        <v>26</v>
      </c>
      <c r="F9" s="3">
        <v>13</v>
      </c>
      <c r="G9" s="3">
        <v>85</v>
      </c>
      <c r="H9" s="24">
        <v>15000</v>
      </c>
      <c r="I9" s="3"/>
      <c r="J9" s="25">
        <v>15000</v>
      </c>
      <c r="K9" s="31"/>
      <c r="L9" s="32"/>
      <c r="M9" s="28"/>
      <c r="N9" s="23" t="s">
        <v>26</v>
      </c>
      <c r="O9" s="3">
        <v>13</v>
      </c>
      <c r="P9" s="3">
        <v>85</v>
      </c>
      <c r="Q9" s="24">
        <v>15000</v>
      </c>
      <c r="R9" s="3"/>
      <c r="S9" s="25">
        <v>15000</v>
      </c>
    </row>
    <row r="10" spans="1:19" ht="21" customHeight="1">
      <c r="A10" s="20">
        <v>3</v>
      </c>
      <c r="B10" s="33" t="s">
        <v>27</v>
      </c>
      <c r="C10" s="22" t="s">
        <v>28</v>
      </c>
      <c r="D10" s="34"/>
      <c r="E10" s="23" t="s">
        <v>29</v>
      </c>
      <c r="F10" s="3">
        <v>23</v>
      </c>
      <c r="G10" s="3">
        <v>34</v>
      </c>
      <c r="H10" s="24">
        <v>50000</v>
      </c>
      <c r="I10" s="3"/>
      <c r="J10" s="25">
        <v>50000</v>
      </c>
      <c r="K10" s="31"/>
      <c r="L10" s="32"/>
      <c r="M10" s="28"/>
      <c r="N10" s="23" t="s">
        <v>29</v>
      </c>
      <c r="O10" s="3">
        <v>23</v>
      </c>
      <c r="P10" s="3">
        <v>34</v>
      </c>
      <c r="Q10" s="24">
        <v>50000</v>
      </c>
      <c r="R10" s="3"/>
      <c r="S10" s="25">
        <v>50000</v>
      </c>
    </row>
    <row r="11" spans="1:19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3">
        <v>67</v>
      </c>
      <c r="H11" s="24">
        <v>79500</v>
      </c>
      <c r="I11" s="3"/>
      <c r="J11" s="25">
        <v>79500</v>
      </c>
      <c r="K11" s="31"/>
      <c r="L11" s="32"/>
      <c r="M11" s="28"/>
      <c r="N11" s="23" t="s">
        <v>32</v>
      </c>
      <c r="O11" s="3">
        <v>40</v>
      </c>
      <c r="P11" s="3">
        <v>67</v>
      </c>
      <c r="Q11" s="24">
        <v>79500</v>
      </c>
      <c r="R11" s="3"/>
      <c r="S11" s="25">
        <v>79500</v>
      </c>
    </row>
    <row r="12" spans="1:19" ht="21" customHeight="1">
      <c r="A12" s="20">
        <v>5</v>
      </c>
      <c r="B12" s="33" t="s">
        <v>33</v>
      </c>
      <c r="C12" s="22" t="s">
        <v>34</v>
      </c>
      <c r="D12" s="34"/>
      <c r="E12" s="23" t="s">
        <v>35</v>
      </c>
      <c r="F12" s="3">
        <v>42</v>
      </c>
      <c r="G12" s="3">
        <v>53</v>
      </c>
      <c r="H12" s="24">
        <v>41000</v>
      </c>
      <c r="I12" s="3"/>
      <c r="J12" s="25">
        <v>41000</v>
      </c>
      <c r="K12" s="31"/>
      <c r="L12" s="32"/>
      <c r="M12" s="28"/>
      <c r="N12" s="23" t="s">
        <v>35</v>
      </c>
      <c r="O12" s="3">
        <v>42</v>
      </c>
      <c r="P12" s="3">
        <v>53</v>
      </c>
      <c r="Q12" s="24">
        <v>41000</v>
      </c>
      <c r="R12" s="3"/>
      <c r="S12" s="25">
        <v>41000</v>
      </c>
    </row>
    <row r="13" spans="1:19" ht="21" customHeight="1">
      <c r="A13" s="20">
        <v>6</v>
      </c>
      <c r="B13" s="21" t="s">
        <v>36</v>
      </c>
      <c r="C13" s="21" t="s">
        <v>37</v>
      </c>
      <c r="D13" s="22"/>
      <c r="E13" s="23" t="s">
        <v>38</v>
      </c>
      <c r="F13" s="3">
        <v>29</v>
      </c>
      <c r="G13" s="3">
        <v>49</v>
      </c>
      <c r="H13" s="24">
        <v>28000</v>
      </c>
      <c r="I13" s="3"/>
      <c r="J13" s="25">
        <v>28000</v>
      </c>
      <c r="K13" s="31"/>
      <c r="L13" s="32"/>
      <c r="M13" s="28"/>
      <c r="N13" s="23" t="s">
        <v>38</v>
      </c>
      <c r="O13" s="3">
        <v>29</v>
      </c>
      <c r="P13" s="3">
        <v>49</v>
      </c>
      <c r="Q13" s="24">
        <v>28000</v>
      </c>
      <c r="R13" s="3"/>
      <c r="S13" s="25">
        <v>28000</v>
      </c>
    </row>
    <row r="14" spans="1:19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3">
        <v>66</v>
      </c>
      <c r="H14" s="24">
        <v>92000</v>
      </c>
      <c r="I14" s="3"/>
      <c r="J14" s="25">
        <v>92000</v>
      </c>
      <c r="K14" s="31"/>
      <c r="L14" s="32"/>
      <c r="M14" s="28"/>
      <c r="N14" s="23" t="s">
        <v>41</v>
      </c>
      <c r="O14" s="3">
        <v>49</v>
      </c>
      <c r="P14" s="3">
        <v>66</v>
      </c>
      <c r="Q14" s="24">
        <v>92000</v>
      </c>
      <c r="R14" s="3"/>
      <c r="S14" s="25">
        <v>92000</v>
      </c>
    </row>
    <row r="15" spans="1:19" ht="21" customHeight="1">
      <c r="A15" s="20">
        <v>8</v>
      </c>
      <c r="B15" s="21" t="s">
        <v>42</v>
      </c>
      <c r="C15" s="21" t="s">
        <v>43</v>
      </c>
      <c r="D15" s="22"/>
      <c r="E15" s="23" t="s">
        <v>44</v>
      </c>
      <c r="F15" s="3">
        <v>41</v>
      </c>
      <c r="G15" s="3">
        <v>58</v>
      </c>
      <c r="H15" s="24">
        <v>41000</v>
      </c>
      <c r="I15" s="3"/>
      <c r="J15" s="25">
        <v>41000</v>
      </c>
      <c r="K15" s="31"/>
      <c r="L15" s="32"/>
      <c r="M15" s="28"/>
      <c r="N15" s="23" t="s">
        <v>44</v>
      </c>
      <c r="O15" s="3">
        <v>41</v>
      </c>
      <c r="P15" s="3">
        <v>58</v>
      </c>
      <c r="Q15" s="24">
        <v>41000</v>
      </c>
      <c r="R15" s="3"/>
      <c r="S15" s="25">
        <v>41000</v>
      </c>
    </row>
    <row r="16" spans="1:19" ht="21" customHeight="1">
      <c r="A16" s="20">
        <v>9</v>
      </c>
      <c r="B16" s="21" t="s">
        <v>45</v>
      </c>
      <c r="C16" s="30" t="s">
        <v>46</v>
      </c>
      <c r="D16" s="22"/>
      <c r="E16" s="23" t="s">
        <v>47</v>
      </c>
      <c r="F16" s="3">
        <v>66</v>
      </c>
      <c r="G16" s="3">
        <v>66</v>
      </c>
      <c r="H16" s="24">
        <v>46500</v>
      </c>
      <c r="I16" s="3"/>
      <c r="J16" s="25">
        <v>46500</v>
      </c>
      <c r="K16" s="31"/>
      <c r="L16" s="32"/>
      <c r="M16" s="28"/>
      <c r="N16" s="23" t="s">
        <v>47</v>
      </c>
      <c r="O16" s="3">
        <v>66</v>
      </c>
      <c r="P16" s="3">
        <v>66</v>
      </c>
      <c r="Q16" s="24">
        <v>46500</v>
      </c>
      <c r="R16" s="3"/>
      <c r="S16" s="25">
        <v>46500</v>
      </c>
    </row>
    <row r="17" spans="1:19" ht="21" customHeight="1">
      <c r="A17" s="20">
        <v>10</v>
      </c>
      <c r="B17" s="21" t="s">
        <v>48</v>
      </c>
      <c r="C17" s="30" t="s">
        <v>49</v>
      </c>
      <c r="D17" s="22"/>
      <c r="E17" s="23" t="s">
        <v>50</v>
      </c>
      <c r="F17" s="3">
        <v>34</v>
      </c>
      <c r="G17" s="3">
        <v>34</v>
      </c>
      <c r="H17" s="24">
        <v>23600</v>
      </c>
      <c r="I17" s="3"/>
      <c r="J17" s="25">
        <v>23600</v>
      </c>
      <c r="K17" s="31"/>
      <c r="L17" s="32"/>
      <c r="M17" s="35"/>
      <c r="N17" s="23" t="s">
        <v>50</v>
      </c>
      <c r="O17" s="3">
        <v>34</v>
      </c>
      <c r="P17" s="3">
        <v>34</v>
      </c>
      <c r="Q17" s="24">
        <v>23600</v>
      </c>
      <c r="R17" s="3"/>
      <c r="S17" s="25">
        <v>23600</v>
      </c>
    </row>
    <row r="18" spans="1:19" ht="21" customHeight="1">
      <c r="A18" s="20">
        <v>11</v>
      </c>
      <c r="B18" s="33" t="s">
        <v>51</v>
      </c>
      <c r="C18" s="22" t="s">
        <v>52</v>
      </c>
      <c r="D18" s="34"/>
      <c r="E18" s="23" t="s">
        <v>53</v>
      </c>
      <c r="F18" s="3">
        <v>39.049999999999997</v>
      </c>
      <c r="G18" s="3">
        <v>39</v>
      </c>
      <c r="H18" s="24">
        <v>39100</v>
      </c>
      <c r="I18" s="3"/>
      <c r="J18" s="25">
        <v>39100</v>
      </c>
      <c r="K18" s="31"/>
      <c r="L18" s="32"/>
      <c r="M18" s="28"/>
      <c r="N18" s="23" t="s">
        <v>53</v>
      </c>
      <c r="O18" s="3">
        <v>39.049999999999997</v>
      </c>
      <c r="P18" s="3">
        <v>39</v>
      </c>
      <c r="Q18" s="24">
        <v>39100</v>
      </c>
      <c r="R18" s="3"/>
      <c r="S18" s="25">
        <v>39100</v>
      </c>
    </row>
    <row r="19" spans="1:19" ht="21" customHeight="1">
      <c r="A19" s="20">
        <v>12</v>
      </c>
      <c r="B19" s="33" t="s">
        <v>54</v>
      </c>
      <c r="C19" s="22" t="s">
        <v>55</v>
      </c>
      <c r="D19" s="22"/>
      <c r="E19" s="23" t="s">
        <v>56</v>
      </c>
      <c r="F19" s="3">
        <v>52</v>
      </c>
      <c r="G19" s="3">
        <v>69</v>
      </c>
      <c r="H19" s="24">
        <v>104000</v>
      </c>
      <c r="I19" s="3"/>
      <c r="J19" s="25">
        <v>104000</v>
      </c>
      <c r="K19" s="31"/>
      <c r="L19" s="32"/>
      <c r="M19" s="28"/>
      <c r="N19" s="23" t="s">
        <v>56</v>
      </c>
      <c r="O19" s="3">
        <v>52</v>
      </c>
      <c r="P19" s="3">
        <v>69</v>
      </c>
      <c r="Q19" s="24">
        <v>104000</v>
      </c>
      <c r="R19" s="3"/>
      <c r="S19" s="25">
        <v>104000</v>
      </c>
    </row>
    <row r="20" spans="1:19" ht="21" customHeight="1">
      <c r="A20" s="20">
        <v>13</v>
      </c>
      <c r="B20" s="21" t="s">
        <v>57</v>
      </c>
      <c r="C20" s="30" t="s">
        <v>58</v>
      </c>
      <c r="D20" s="34"/>
      <c r="E20" s="23" t="s">
        <v>59</v>
      </c>
      <c r="F20" s="3">
        <v>4</v>
      </c>
      <c r="G20" s="3">
        <v>4</v>
      </c>
      <c r="H20" s="24">
        <v>5000</v>
      </c>
      <c r="I20" s="3"/>
      <c r="J20" s="25">
        <v>5000</v>
      </c>
      <c r="K20" s="31"/>
      <c r="L20" s="32"/>
      <c r="M20" s="28"/>
      <c r="N20" s="23" t="s">
        <v>59</v>
      </c>
      <c r="O20" s="3">
        <v>4</v>
      </c>
      <c r="P20" s="3">
        <v>4</v>
      </c>
      <c r="Q20" s="24">
        <v>5000</v>
      </c>
      <c r="R20" s="3"/>
      <c r="S20" s="25">
        <v>5000</v>
      </c>
    </row>
    <row r="21" spans="1:19" ht="21" customHeight="1">
      <c r="A21" s="20">
        <v>14</v>
      </c>
      <c r="B21" s="21" t="s">
        <v>60</v>
      </c>
      <c r="C21" s="30" t="s">
        <v>61</v>
      </c>
      <c r="D21" s="22"/>
      <c r="E21" s="23" t="s">
        <v>62</v>
      </c>
      <c r="F21" s="3">
        <v>68</v>
      </c>
      <c r="G21" s="3">
        <v>68</v>
      </c>
      <c r="H21" s="24">
        <v>48500</v>
      </c>
      <c r="I21" s="3"/>
      <c r="J21" s="25">
        <v>48500</v>
      </c>
      <c r="K21" s="31"/>
      <c r="L21" s="32"/>
      <c r="M21" s="28"/>
      <c r="N21" s="23" t="s">
        <v>62</v>
      </c>
      <c r="O21" s="3">
        <v>68</v>
      </c>
      <c r="P21" s="3">
        <v>68</v>
      </c>
      <c r="Q21" s="24">
        <v>48500</v>
      </c>
      <c r="R21" s="3"/>
      <c r="S21" s="25">
        <v>48500</v>
      </c>
    </row>
    <row r="22" spans="1:19" ht="21" customHeight="1">
      <c r="A22" s="20">
        <v>15</v>
      </c>
      <c r="B22" s="21" t="s">
        <v>63</v>
      </c>
      <c r="C22" s="21" t="s">
        <v>64</v>
      </c>
      <c r="D22" s="22"/>
      <c r="E22" s="23" t="s">
        <v>65</v>
      </c>
      <c r="F22" s="3">
        <v>38</v>
      </c>
      <c r="G22" s="3">
        <v>55</v>
      </c>
      <c r="H22" s="24">
        <v>38000</v>
      </c>
      <c r="I22" s="3"/>
      <c r="J22" s="25">
        <v>38000</v>
      </c>
      <c r="K22" s="31"/>
      <c r="L22" s="32"/>
      <c r="M22" s="28"/>
      <c r="N22" s="23" t="s">
        <v>65</v>
      </c>
      <c r="O22" s="3">
        <v>38</v>
      </c>
      <c r="P22" s="3">
        <v>55</v>
      </c>
      <c r="Q22" s="24">
        <v>38000</v>
      </c>
      <c r="R22" s="3"/>
      <c r="S22" s="25">
        <v>38000</v>
      </c>
    </row>
    <row r="23" spans="1:19" ht="21" customHeight="1">
      <c r="A23" s="20">
        <v>16</v>
      </c>
      <c r="B23" s="36" t="s">
        <v>66</v>
      </c>
      <c r="C23" s="36" t="s">
        <v>67</v>
      </c>
      <c r="D23" s="37"/>
      <c r="E23" s="38" t="s">
        <v>68</v>
      </c>
      <c r="F23" s="39">
        <v>16</v>
      </c>
      <c r="G23" s="39">
        <v>37</v>
      </c>
      <c r="H23" s="40">
        <v>37600</v>
      </c>
      <c r="I23" s="39"/>
      <c r="J23" s="41">
        <v>37600</v>
      </c>
      <c r="K23" s="42"/>
      <c r="L23" s="43"/>
      <c r="M23" s="44"/>
      <c r="N23" s="38" t="s">
        <v>68</v>
      </c>
      <c r="O23" s="39">
        <v>16</v>
      </c>
      <c r="P23" s="39">
        <v>37</v>
      </c>
      <c r="Q23" s="40">
        <v>37600</v>
      </c>
      <c r="R23" s="39"/>
      <c r="S23" s="41">
        <v>37600</v>
      </c>
    </row>
    <row r="24" spans="1:19" ht="21" customHeight="1" thickBot="1">
      <c r="A24" s="45"/>
      <c r="B24" s="46" t="s">
        <v>18</v>
      </c>
      <c r="C24" s="47"/>
      <c r="D24" s="48"/>
      <c r="E24" s="49"/>
      <c r="F24" s="50"/>
      <c r="G24" s="50"/>
      <c r="H24" s="51">
        <f>SUM(H8:H23)</f>
        <v>711100</v>
      </c>
      <c r="I24" s="51">
        <v>0</v>
      </c>
      <c r="J24" s="51">
        <f>SUM(J8:J23)</f>
        <v>711100</v>
      </c>
      <c r="K24" s="52"/>
      <c r="L24" s="53"/>
      <c r="M24" s="54">
        <f>SUM(M8:M23)</f>
        <v>0</v>
      </c>
      <c r="N24" s="49"/>
      <c r="O24" s="50"/>
      <c r="P24" s="50"/>
      <c r="Q24" s="51">
        <f>SUM(Q8:Q23)</f>
        <v>711100</v>
      </c>
      <c r="R24" s="51">
        <f ca="1">SUM(R8:R39)</f>
        <v>0</v>
      </c>
      <c r="S24" s="51">
        <f>SUM(S8:S23)</f>
        <v>711100</v>
      </c>
    </row>
    <row r="25" spans="1:19" s="1" customFormat="1" ht="21" customHeight="1" thickTop="1">
      <c r="A25" s="55"/>
      <c r="B25" s="56" t="s">
        <v>69</v>
      </c>
      <c r="D25" s="57"/>
      <c r="E25" s="58"/>
      <c r="F25" s="59"/>
      <c r="G25" s="29"/>
      <c r="H25" s="29"/>
      <c r="I25" s="29"/>
      <c r="J25" s="29"/>
      <c r="K25" s="60"/>
      <c r="L25" s="61"/>
      <c r="M25" s="61"/>
    </row>
    <row r="26" spans="1:19" ht="21" customHeight="1">
      <c r="A26" s="20">
        <v>1</v>
      </c>
      <c r="B26" s="21" t="s">
        <v>70</v>
      </c>
      <c r="C26" s="21" t="s">
        <v>71</v>
      </c>
      <c r="D26" s="6"/>
      <c r="E26" s="23" t="s">
        <v>72</v>
      </c>
      <c r="F26" s="3">
        <v>7</v>
      </c>
      <c r="G26" s="3">
        <v>141</v>
      </c>
      <c r="H26" s="24">
        <v>20000</v>
      </c>
      <c r="I26" s="3"/>
      <c r="J26" s="25">
        <v>20000</v>
      </c>
      <c r="K26" s="26"/>
      <c r="L26" s="27"/>
      <c r="M26" s="28"/>
      <c r="N26" s="23" t="s">
        <v>72</v>
      </c>
      <c r="O26" s="3">
        <v>7</v>
      </c>
      <c r="P26" s="3">
        <v>141</v>
      </c>
      <c r="Q26" s="24">
        <v>20000</v>
      </c>
      <c r="R26" s="3"/>
      <c r="S26" s="25">
        <v>20000</v>
      </c>
    </row>
    <row r="27" spans="1:19" ht="21" customHeight="1" thickBot="1">
      <c r="A27" s="45"/>
      <c r="B27" s="46" t="s">
        <v>18</v>
      </c>
      <c r="C27" s="47"/>
      <c r="D27" s="48"/>
      <c r="E27" s="49"/>
      <c r="F27" s="50"/>
      <c r="G27" s="50"/>
      <c r="H27" s="51">
        <v>20000</v>
      </c>
      <c r="I27" s="51">
        <v>0</v>
      </c>
      <c r="J27" s="51">
        <v>20000</v>
      </c>
      <c r="K27" s="62"/>
      <c r="L27" s="53"/>
      <c r="M27" s="54"/>
      <c r="N27" s="49"/>
      <c r="O27" s="50"/>
      <c r="P27" s="50"/>
      <c r="Q27" s="51">
        <f t="shared" ref="Q27:S27" si="0">SUM(Q26)</f>
        <v>20000</v>
      </c>
      <c r="R27" s="51">
        <f t="shared" si="0"/>
        <v>0</v>
      </c>
      <c r="S27" s="51">
        <f t="shared" si="0"/>
        <v>20000</v>
      </c>
    </row>
    <row r="28" spans="1:19" ht="21" customHeight="1" thickTop="1">
      <c r="B28" s="1"/>
      <c r="C28" s="1"/>
      <c r="D28" s="63"/>
      <c r="E28" s="64"/>
      <c r="F28" s="58"/>
      <c r="G28" s="58"/>
      <c r="H28" s="65"/>
      <c r="I28" s="58"/>
      <c r="J28" s="59"/>
      <c r="K28" s="66"/>
      <c r="L28" s="67"/>
      <c r="M28" s="68"/>
      <c r="N28" s="64"/>
      <c r="Q28" s="65"/>
      <c r="S28" s="59"/>
    </row>
    <row r="29" spans="1:19" s="1" customFormat="1" ht="21" customHeight="1">
      <c r="A29" s="55"/>
      <c r="B29" s="69" t="s">
        <v>73</v>
      </c>
      <c r="D29" s="57"/>
      <c r="E29" s="58"/>
      <c r="F29" s="59"/>
      <c r="G29" s="29"/>
      <c r="H29" s="29"/>
      <c r="I29" s="29"/>
      <c r="J29" s="29"/>
      <c r="K29" s="60"/>
      <c r="L29" s="61"/>
      <c r="M29" s="61"/>
    </row>
    <row r="30" spans="1:19" ht="21" customHeight="1">
      <c r="A30" s="20">
        <v>1</v>
      </c>
      <c r="B30" s="21" t="s">
        <v>74</v>
      </c>
      <c r="C30" s="70" t="s">
        <v>75</v>
      </c>
      <c r="D30" s="6"/>
      <c r="E30" s="24"/>
      <c r="F30" s="3"/>
      <c r="G30" s="3"/>
      <c r="H30" s="24">
        <v>0</v>
      </c>
      <c r="I30" s="3"/>
      <c r="J30" s="25">
        <v>0</v>
      </c>
      <c r="K30" s="71"/>
      <c r="L30" s="72"/>
      <c r="M30" s="28"/>
      <c r="N30" s="23"/>
      <c r="O30" s="3"/>
      <c r="P30" s="3"/>
      <c r="Q30" s="24">
        <f>SUM(H30-M30)</f>
        <v>0</v>
      </c>
      <c r="R30" s="24"/>
      <c r="S30" s="24">
        <f>SUM(J30-M30)</f>
        <v>0</v>
      </c>
    </row>
    <row r="31" spans="1:19" ht="21" customHeight="1">
      <c r="A31" s="20"/>
      <c r="B31" s="33" t="s">
        <v>74</v>
      </c>
      <c r="C31" s="73" t="s">
        <v>79</v>
      </c>
      <c r="D31" s="34"/>
      <c r="E31" s="23" t="s">
        <v>80</v>
      </c>
      <c r="F31" s="3">
        <v>43</v>
      </c>
      <c r="G31" s="3">
        <v>43</v>
      </c>
      <c r="H31" s="24">
        <v>85500</v>
      </c>
      <c r="I31" s="3"/>
      <c r="J31" s="25">
        <v>85500</v>
      </c>
      <c r="K31" s="31" t="s">
        <v>105</v>
      </c>
      <c r="L31" s="32" t="s">
        <v>112</v>
      </c>
      <c r="M31" s="28">
        <v>300</v>
      </c>
      <c r="N31" s="23" t="s">
        <v>80</v>
      </c>
      <c r="O31" s="3">
        <v>43</v>
      </c>
      <c r="P31" s="3">
        <v>43</v>
      </c>
      <c r="Q31" s="24">
        <f t="shared" ref="Q31:Q34" si="1">SUM(H31-M31)</f>
        <v>85200</v>
      </c>
      <c r="R31" s="24"/>
      <c r="S31" s="24">
        <f t="shared" ref="S31:S34" si="2">SUM(J31-M31)</f>
        <v>85200</v>
      </c>
    </row>
    <row r="32" spans="1:19" ht="21" customHeight="1">
      <c r="A32" s="20">
        <v>2</v>
      </c>
      <c r="B32" s="33" t="s">
        <v>81</v>
      </c>
      <c r="C32" s="22" t="s">
        <v>82</v>
      </c>
      <c r="D32" s="34"/>
      <c r="E32" s="23" t="s">
        <v>83</v>
      </c>
      <c r="F32" s="3">
        <v>24</v>
      </c>
      <c r="G32" s="3">
        <v>24</v>
      </c>
      <c r="H32" s="24">
        <v>2000</v>
      </c>
      <c r="I32" s="3"/>
      <c r="J32" s="25">
        <v>2000</v>
      </c>
      <c r="K32" s="26" t="s">
        <v>105</v>
      </c>
      <c r="L32" s="32" t="s">
        <v>113</v>
      </c>
      <c r="M32" s="28">
        <v>1000</v>
      </c>
      <c r="N32" s="23" t="s">
        <v>83</v>
      </c>
      <c r="O32" s="3">
        <v>24</v>
      </c>
      <c r="P32" s="3">
        <v>24</v>
      </c>
      <c r="Q32" s="24">
        <f t="shared" si="1"/>
        <v>1000</v>
      </c>
      <c r="R32" s="24"/>
      <c r="S32" s="24">
        <f t="shared" si="2"/>
        <v>1000</v>
      </c>
    </row>
    <row r="33" spans="1:19" ht="21" customHeight="1">
      <c r="A33" s="20"/>
      <c r="B33" s="33" t="s">
        <v>81</v>
      </c>
      <c r="C33" s="22" t="s">
        <v>85</v>
      </c>
      <c r="D33" s="34"/>
      <c r="E33" s="23" t="s">
        <v>83</v>
      </c>
      <c r="F33" s="3">
        <v>24</v>
      </c>
      <c r="G33" s="3">
        <v>24</v>
      </c>
      <c r="H33" s="24">
        <v>21000</v>
      </c>
      <c r="I33" s="3"/>
      <c r="J33" s="25">
        <v>21000</v>
      </c>
      <c r="K33" s="31"/>
      <c r="L33" s="32"/>
      <c r="M33" s="28"/>
      <c r="N33" s="23" t="s">
        <v>83</v>
      </c>
      <c r="O33" s="3">
        <v>24</v>
      </c>
      <c r="P33" s="3">
        <v>24</v>
      </c>
      <c r="Q33" s="24">
        <f t="shared" si="1"/>
        <v>21000</v>
      </c>
      <c r="R33" s="24"/>
      <c r="S33" s="24">
        <f t="shared" si="2"/>
        <v>21000</v>
      </c>
    </row>
    <row r="34" spans="1:19" ht="21" customHeight="1">
      <c r="A34" s="20">
        <v>3</v>
      </c>
      <c r="B34" s="21" t="s">
        <v>86</v>
      </c>
      <c r="C34" s="30" t="s">
        <v>87</v>
      </c>
      <c r="D34" s="22"/>
      <c r="E34" s="23" t="s">
        <v>50</v>
      </c>
      <c r="F34" s="3">
        <v>34</v>
      </c>
      <c r="G34" s="3">
        <v>34</v>
      </c>
      <c r="H34" s="24">
        <v>5000</v>
      </c>
      <c r="I34" s="3"/>
      <c r="J34" s="25">
        <v>5000</v>
      </c>
      <c r="K34" s="31" t="s">
        <v>108</v>
      </c>
      <c r="L34" s="32" t="s">
        <v>114</v>
      </c>
      <c r="M34" s="35">
        <v>500</v>
      </c>
      <c r="N34" s="23" t="s">
        <v>50</v>
      </c>
      <c r="O34" s="3">
        <v>34</v>
      </c>
      <c r="P34" s="3">
        <v>34</v>
      </c>
      <c r="Q34" s="24">
        <f t="shared" si="1"/>
        <v>4500</v>
      </c>
      <c r="R34" s="3"/>
      <c r="S34" s="24">
        <f t="shared" si="2"/>
        <v>4500</v>
      </c>
    </row>
    <row r="35" spans="1:19" ht="21" customHeight="1" thickBot="1">
      <c r="A35" s="45"/>
      <c r="B35" s="46" t="s">
        <v>18</v>
      </c>
      <c r="C35" s="47"/>
      <c r="D35" s="48"/>
      <c r="E35" s="49"/>
      <c r="F35" s="50"/>
      <c r="G35" s="50"/>
      <c r="H35" s="51">
        <f>SUM(H30:H34)</f>
        <v>113500</v>
      </c>
      <c r="I35" s="51">
        <v>0</v>
      </c>
      <c r="J35" s="51">
        <f>SUM(J30:J34)</f>
        <v>113500</v>
      </c>
      <c r="K35" s="62"/>
      <c r="L35" s="53"/>
      <c r="M35" s="74">
        <f>SUM(M30:M34)</f>
        <v>1800</v>
      </c>
      <c r="N35" s="49"/>
      <c r="O35" s="50"/>
      <c r="P35" s="50"/>
      <c r="Q35" s="51">
        <f>SUM(Q30:Q34)</f>
        <v>111700</v>
      </c>
      <c r="R35" s="51">
        <f>SUM(R30:R33)</f>
        <v>0</v>
      </c>
      <c r="S35" s="51">
        <f>SUM(S30:S34)</f>
        <v>111700</v>
      </c>
    </row>
    <row r="36" spans="1:19" s="85" customFormat="1" ht="21" customHeight="1" thickTop="1">
      <c r="A36" s="75"/>
      <c r="B36" s="76"/>
      <c r="C36" s="77"/>
      <c r="D36" s="78"/>
      <c r="E36" s="79"/>
      <c r="F36" s="80"/>
      <c r="G36" s="80"/>
      <c r="H36" s="81"/>
      <c r="I36" s="81"/>
      <c r="J36" s="81"/>
      <c r="K36" s="82"/>
      <c r="L36" s="83"/>
      <c r="M36" s="84"/>
      <c r="N36" s="79"/>
      <c r="O36" s="80"/>
      <c r="P36" s="80"/>
      <c r="Q36" s="81"/>
      <c r="R36" s="81"/>
      <c r="S36" s="81"/>
    </row>
    <row r="37" spans="1:19" ht="21" customHeight="1">
      <c r="B37" s="86" t="s">
        <v>90</v>
      </c>
    </row>
    <row r="38" spans="1:19" ht="21" customHeight="1">
      <c r="A38" s="20">
        <v>1</v>
      </c>
      <c r="B38" s="33" t="s">
        <v>91</v>
      </c>
      <c r="C38" s="73" t="s">
        <v>92</v>
      </c>
      <c r="D38" s="34"/>
      <c r="E38" s="23" t="s">
        <v>93</v>
      </c>
      <c r="F38" s="3">
        <v>2</v>
      </c>
      <c r="G38" s="3">
        <v>2</v>
      </c>
      <c r="H38" s="24">
        <v>11000</v>
      </c>
      <c r="I38" s="3"/>
      <c r="J38" s="25">
        <v>11000</v>
      </c>
      <c r="K38" s="31"/>
      <c r="L38" s="32"/>
      <c r="M38" s="28"/>
      <c r="N38" s="23" t="s">
        <v>93</v>
      </c>
      <c r="O38" s="3">
        <v>2</v>
      </c>
      <c r="P38" s="3">
        <v>2</v>
      </c>
      <c r="Q38" s="24">
        <v>11000</v>
      </c>
      <c r="R38" s="3"/>
      <c r="S38" s="25">
        <v>11000</v>
      </c>
    </row>
    <row r="39" spans="1:19" ht="21" customHeight="1">
      <c r="A39" s="20">
        <v>2</v>
      </c>
      <c r="B39" s="70" t="s">
        <v>94</v>
      </c>
      <c r="C39" s="30" t="s">
        <v>95</v>
      </c>
      <c r="D39" s="22"/>
      <c r="E39" s="23" t="s">
        <v>96</v>
      </c>
      <c r="F39" s="3">
        <v>3</v>
      </c>
      <c r="G39" s="3">
        <v>3</v>
      </c>
      <c r="H39" s="24">
        <v>6000</v>
      </c>
      <c r="I39" s="3"/>
      <c r="J39" s="25">
        <v>6000</v>
      </c>
      <c r="K39" s="31"/>
      <c r="L39" s="32"/>
      <c r="M39" s="27"/>
      <c r="N39" s="23" t="s">
        <v>96</v>
      </c>
      <c r="O39" s="3">
        <v>3</v>
      </c>
      <c r="P39" s="3">
        <v>3</v>
      </c>
      <c r="Q39" s="24">
        <f>SUM(H39-M39)</f>
        <v>6000</v>
      </c>
      <c r="R39" s="24"/>
      <c r="S39" s="24">
        <f>SUM(J39-M39)</f>
        <v>6000</v>
      </c>
    </row>
    <row r="40" spans="1:19" ht="21" customHeight="1" thickBot="1">
      <c r="A40" s="45"/>
      <c r="B40" s="46" t="s">
        <v>18</v>
      </c>
      <c r="C40" s="47"/>
      <c r="D40" s="48"/>
      <c r="E40" s="49"/>
      <c r="F40" s="50"/>
      <c r="G40" s="50"/>
      <c r="H40" s="51">
        <v>17000</v>
      </c>
      <c r="I40" s="51">
        <v>0</v>
      </c>
      <c r="J40" s="51">
        <v>17000</v>
      </c>
      <c r="K40" s="62"/>
      <c r="L40" s="53"/>
      <c r="M40" s="74">
        <f>SUM(M36:M39)</f>
        <v>0</v>
      </c>
      <c r="N40" s="49"/>
      <c r="O40" s="50"/>
      <c r="P40" s="50"/>
      <c r="Q40" s="51">
        <f>SUM(Q36:Q39)</f>
        <v>17000</v>
      </c>
      <c r="R40" s="51">
        <f>SUM(R36:R39)</f>
        <v>0</v>
      </c>
      <c r="S40" s="51">
        <f>SUM(S36:S39)</f>
        <v>17000</v>
      </c>
    </row>
    <row r="41" spans="1:19" s="85" customFormat="1" ht="21" customHeight="1" thickTop="1">
      <c r="A41" s="75"/>
      <c r="B41" s="93"/>
      <c r="C41" s="77"/>
      <c r="D41" s="78"/>
      <c r="E41" s="79"/>
      <c r="F41" s="80"/>
      <c r="G41" s="80"/>
      <c r="H41" s="81"/>
      <c r="I41" s="80"/>
      <c r="J41" s="94"/>
      <c r="K41" s="82"/>
      <c r="L41" s="83"/>
      <c r="M41" s="95"/>
      <c r="N41" s="79"/>
      <c r="O41" s="80"/>
      <c r="P41" s="80"/>
      <c r="Q41" s="81"/>
      <c r="R41" s="81"/>
      <c r="S41" s="81"/>
    </row>
    <row r="42" spans="1:19" ht="21" customHeight="1">
      <c r="H42" s="96">
        <f>SUM(H24+H27+H35+H40)</f>
        <v>861600</v>
      </c>
      <c r="I42" s="96">
        <f t="shared" ref="I42:P42" si="3">SUM(I24+I27+I35+I40)</f>
        <v>0</v>
      </c>
      <c r="J42" s="96">
        <f t="shared" si="3"/>
        <v>861600</v>
      </c>
      <c r="K42" s="96">
        <f t="shared" si="3"/>
        <v>0</v>
      </c>
      <c r="L42" s="96">
        <f t="shared" si="3"/>
        <v>0</v>
      </c>
      <c r="M42" s="96">
        <f t="shared" si="3"/>
        <v>1800</v>
      </c>
      <c r="N42" s="96">
        <f t="shared" si="3"/>
        <v>0</v>
      </c>
      <c r="O42" s="96">
        <f t="shared" si="3"/>
        <v>0</v>
      </c>
      <c r="P42" s="96">
        <f t="shared" si="3"/>
        <v>0</v>
      </c>
      <c r="Q42" s="96">
        <f>SUM(Q24+Q27+Q35+Q40)</f>
        <v>859800</v>
      </c>
      <c r="R42" s="96">
        <f ca="1">SUM(R24+R27+R35+R40)</f>
        <v>0</v>
      </c>
      <c r="S42" s="96">
        <f>SUM(S24+S27+S35+S40)</f>
        <v>859800</v>
      </c>
    </row>
    <row r="44" spans="1:19" ht="21" customHeight="1">
      <c r="S44" s="58"/>
    </row>
    <row r="52" spans="1:18" ht="21" customHeight="1">
      <c r="A52" s="29"/>
      <c r="R52" s="29"/>
    </row>
    <row r="53" spans="1:18" ht="21" customHeight="1">
      <c r="A53" s="29"/>
      <c r="R53" s="29"/>
    </row>
    <row r="63" spans="1:18" ht="21" customHeight="1">
      <c r="A63" s="29"/>
      <c r="R63" s="29"/>
    </row>
    <row r="64" spans="1:18" ht="21" customHeight="1">
      <c r="A64" s="29"/>
      <c r="R64" s="29"/>
    </row>
    <row r="67" spans="1:19" ht="21" customHeight="1">
      <c r="A67" s="29"/>
      <c r="C67" s="29"/>
      <c r="D67" s="29"/>
      <c r="F67" s="29"/>
      <c r="G67" s="29"/>
      <c r="H67" s="29"/>
      <c r="I67" s="29"/>
      <c r="J67" s="29"/>
      <c r="K67" s="2"/>
      <c r="L67" s="29"/>
      <c r="O67" s="29"/>
      <c r="P67" s="29"/>
      <c r="Q67" s="29"/>
      <c r="R67" s="29" t="s">
        <v>97</v>
      </c>
      <c r="S67" s="58">
        <v>32</v>
      </c>
    </row>
    <row r="68" spans="1:19" ht="21" customHeight="1">
      <c r="A68" s="29"/>
      <c r="C68" s="29"/>
      <c r="D68" s="29"/>
      <c r="F68" s="29"/>
      <c r="G68" s="29"/>
      <c r="H68" s="29"/>
      <c r="I68" s="29"/>
      <c r="J68" s="29"/>
      <c r="K68" s="2"/>
      <c r="L68" s="29"/>
      <c r="O68" s="29"/>
      <c r="P68" s="29"/>
      <c r="Q68" s="29"/>
      <c r="R68" s="55" t="s">
        <v>98</v>
      </c>
      <c r="S68" s="55">
        <v>18</v>
      </c>
    </row>
    <row r="122" spans="1:19" ht="21" customHeight="1">
      <c r="A122" s="97" t="s">
        <v>99</v>
      </c>
      <c r="B122" s="36" t="s">
        <v>100</v>
      </c>
      <c r="C122" s="98" t="s">
        <v>101</v>
      </c>
      <c r="D122" s="37">
        <v>1100</v>
      </c>
      <c r="E122" s="38" t="s">
        <v>102</v>
      </c>
      <c r="F122" s="39">
        <v>1</v>
      </c>
      <c r="G122" s="39">
        <v>1</v>
      </c>
      <c r="H122" s="40">
        <v>1100</v>
      </c>
      <c r="I122" s="39"/>
      <c r="J122" s="41">
        <v>1100</v>
      </c>
      <c r="K122" s="99"/>
      <c r="L122" s="100"/>
      <c r="M122" s="101"/>
      <c r="N122" s="38" t="s">
        <v>103</v>
      </c>
      <c r="O122" s="39">
        <v>2</v>
      </c>
      <c r="P122" s="39">
        <v>2</v>
      </c>
      <c r="Q122" s="40">
        <v>2200</v>
      </c>
      <c r="R122" s="39"/>
      <c r="S122" s="41">
        <v>1100</v>
      </c>
    </row>
  </sheetData>
  <mergeCells count="19"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N5:N6"/>
    <mergeCell ref="O5:O6"/>
    <mergeCell ref="Q5:S5"/>
    <mergeCell ref="E5:E6"/>
    <mergeCell ref="F5:F6"/>
    <mergeCell ref="H5:J5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4532-CE82-4826-8702-A91878040815}">
  <sheetPr>
    <tabColor rgb="FF92D050"/>
  </sheetPr>
  <dimension ref="A1:I92"/>
  <sheetViews>
    <sheetView zoomScale="70" zoomScaleNormal="70" workbookViewId="0">
      <pane ySplit="6" topLeftCell="A7" activePane="bottomLeft" state="frozen"/>
      <selection pane="bottomLeft" activeCell="K33" sqref="K33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3.88671875" style="90"/>
    <col min="6" max="6" width="13.88671875" style="91"/>
    <col min="7" max="7" width="13.6640625" style="29" customWidth="1"/>
    <col min="8" max="16384" width="13.88671875" style="29"/>
  </cols>
  <sheetData>
    <row r="1" spans="1:9" s="1" customFormat="1" ht="21" customHeight="1">
      <c r="A1" s="198" t="s">
        <v>0</v>
      </c>
      <c r="B1" s="198"/>
      <c r="C1" s="198"/>
      <c r="D1" s="198"/>
      <c r="E1" s="198"/>
      <c r="F1" s="198"/>
      <c r="G1" s="198"/>
    </row>
    <row r="2" spans="1:9" s="1" customFormat="1" ht="21" customHeight="1">
      <c r="A2" s="199" t="s">
        <v>1</v>
      </c>
      <c r="B2" s="199"/>
      <c r="C2" s="199"/>
      <c r="D2" s="199"/>
      <c r="E2" s="199"/>
      <c r="F2" s="199"/>
      <c r="G2" s="199"/>
    </row>
    <row r="3" spans="1:9" s="1" customFormat="1" ht="21" customHeight="1">
      <c r="A3" s="200" t="s">
        <v>111</v>
      </c>
      <c r="B3" s="200"/>
      <c r="C3" s="200"/>
      <c r="D3" s="200"/>
      <c r="E3" s="200"/>
      <c r="F3" s="200"/>
      <c r="G3" s="200"/>
    </row>
    <row r="4" spans="1:9" s="1" customFormat="1" ht="21" customHeight="1">
      <c r="A4" s="201" t="s">
        <v>3</v>
      </c>
      <c r="B4" s="201" t="s">
        <v>4</v>
      </c>
      <c r="C4" s="204" t="s">
        <v>5</v>
      </c>
      <c r="D4" s="211" t="s">
        <v>6</v>
      </c>
      <c r="E4" s="214" t="s">
        <v>8</v>
      </c>
      <c r="F4" s="214"/>
      <c r="G4" s="214"/>
    </row>
    <row r="5" spans="1:9" s="1" customFormat="1" ht="21" customHeight="1">
      <c r="A5" s="202"/>
      <c r="B5" s="202"/>
      <c r="C5" s="205"/>
      <c r="D5" s="212"/>
      <c r="E5" s="216" t="s">
        <v>12</v>
      </c>
      <c r="F5" s="218" t="s">
        <v>13</v>
      </c>
      <c r="G5" s="209" t="s">
        <v>14</v>
      </c>
    </row>
    <row r="6" spans="1:9" s="1" customFormat="1" ht="21" customHeight="1">
      <c r="A6" s="203"/>
      <c r="B6" s="203"/>
      <c r="C6" s="206"/>
      <c r="D6" s="213"/>
      <c r="E6" s="217"/>
      <c r="F6" s="219"/>
      <c r="G6" s="210"/>
    </row>
    <row r="7" spans="1:9" ht="21" customHeight="1">
      <c r="A7" s="20">
        <v>1</v>
      </c>
      <c r="B7" s="33" t="s">
        <v>74</v>
      </c>
      <c r="C7" s="73" t="s">
        <v>79</v>
      </c>
      <c r="D7" s="34"/>
      <c r="E7" s="31" t="s">
        <v>105</v>
      </c>
      <c r="F7" s="32" t="s">
        <v>112</v>
      </c>
      <c r="G7" s="28">
        <v>300</v>
      </c>
    </row>
    <row r="8" spans="1:9" ht="21" customHeight="1">
      <c r="A8" s="20">
        <v>2</v>
      </c>
      <c r="B8" s="33" t="s">
        <v>81</v>
      </c>
      <c r="C8" s="22" t="s">
        <v>82</v>
      </c>
      <c r="D8" s="34"/>
      <c r="E8" s="26" t="s">
        <v>105</v>
      </c>
      <c r="F8" s="32" t="s">
        <v>113</v>
      </c>
      <c r="G8" s="28">
        <v>1000</v>
      </c>
    </row>
    <row r="9" spans="1:9" ht="21" customHeight="1">
      <c r="A9" s="20">
        <v>3</v>
      </c>
      <c r="B9" s="21" t="s">
        <v>86</v>
      </c>
      <c r="C9" s="30" t="s">
        <v>87</v>
      </c>
      <c r="D9" s="22"/>
      <c r="E9" s="31" t="s">
        <v>108</v>
      </c>
      <c r="F9" s="32" t="s">
        <v>114</v>
      </c>
      <c r="G9" s="35">
        <v>500</v>
      </c>
    </row>
    <row r="10" spans="1:9" ht="21" customHeight="1" thickBot="1">
      <c r="A10" s="45"/>
      <c r="B10" s="46" t="s">
        <v>18</v>
      </c>
      <c r="C10" s="47"/>
      <c r="D10" s="48"/>
      <c r="E10" s="62"/>
      <c r="F10" s="53"/>
      <c r="G10" s="74">
        <v>1800</v>
      </c>
      <c r="I10" s="29">
        <f>SUM(G7:G9)</f>
        <v>1800</v>
      </c>
    </row>
    <row r="11" spans="1:9" s="85" customFormat="1" ht="21" customHeight="1" thickTop="1">
      <c r="A11" s="75"/>
      <c r="B11" s="93"/>
      <c r="C11" s="77"/>
      <c r="D11" s="78"/>
      <c r="E11" s="82"/>
      <c r="F11" s="83"/>
      <c r="G11" s="95"/>
    </row>
    <row r="12" spans="1:9" ht="21" customHeight="1">
      <c r="E12" s="96">
        <v>0</v>
      </c>
      <c r="F12" s="96">
        <v>0</v>
      </c>
      <c r="G12" s="96">
        <v>1800</v>
      </c>
    </row>
    <row r="22" spans="1:1" ht="21" customHeight="1">
      <c r="A22" s="29"/>
    </row>
    <row r="23" spans="1:1" ht="21" customHeight="1">
      <c r="A23" s="29"/>
    </row>
    <row r="33" spans="1:6" ht="21" customHeight="1">
      <c r="A33" s="29"/>
    </row>
    <row r="34" spans="1:6" ht="21" customHeight="1">
      <c r="A34" s="29"/>
    </row>
    <row r="37" spans="1:6" ht="21" customHeight="1">
      <c r="A37" s="29"/>
      <c r="C37" s="29"/>
      <c r="D37" s="29"/>
      <c r="E37" s="2"/>
      <c r="F37" s="29"/>
    </row>
    <row r="38" spans="1:6" ht="21" customHeight="1">
      <c r="A38" s="29"/>
      <c r="C38" s="29"/>
      <c r="D38" s="29"/>
      <c r="E38" s="2"/>
      <c r="F38" s="29"/>
    </row>
    <row r="92" spans="1:7" ht="21" customHeight="1">
      <c r="A92" s="97" t="s">
        <v>99</v>
      </c>
      <c r="B92" s="36" t="s">
        <v>100</v>
      </c>
      <c r="C92" s="98" t="s">
        <v>101</v>
      </c>
      <c r="D92" s="37">
        <v>1100</v>
      </c>
      <c r="E92" s="99"/>
      <c r="F92" s="100"/>
      <c r="G92" s="101"/>
    </row>
  </sheetData>
  <mergeCells count="11">
    <mergeCell ref="E5:E6"/>
    <mergeCell ref="F5:F6"/>
    <mergeCell ref="G5:G6"/>
    <mergeCell ref="A1:G1"/>
    <mergeCell ref="A2:G2"/>
    <mergeCell ref="A3:G3"/>
    <mergeCell ref="A4:A6"/>
    <mergeCell ref="B4:B6"/>
    <mergeCell ref="C4:C6"/>
    <mergeCell ref="D4:D6"/>
    <mergeCell ref="E4:G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533F-D72C-4275-A5EF-AC19144FA4E1}">
  <sheetPr>
    <tabColor rgb="FF92D050"/>
  </sheetPr>
  <dimension ref="A1:H121"/>
  <sheetViews>
    <sheetView zoomScale="70" zoomScaleNormal="70" workbookViewId="0">
      <pane ySplit="6" topLeftCell="A16" activePane="bottomLeft" state="frozen"/>
      <selection pane="bottomLeft" activeCell="K39" sqref="K39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9.88671875" style="2" customWidth="1"/>
    <col min="5" max="5" width="13.88671875" style="58"/>
    <col min="6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111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07" t="s">
        <v>9</v>
      </c>
      <c r="E4" s="207"/>
      <c r="F4" s="207"/>
    </row>
    <row r="5" spans="1:6" s="1" customFormat="1" ht="21" customHeight="1">
      <c r="A5" s="202"/>
      <c r="B5" s="202"/>
      <c r="C5" s="205"/>
      <c r="D5" s="208" t="s">
        <v>10</v>
      </c>
      <c r="E5" s="207" t="s">
        <v>15</v>
      </c>
      <c r="F5" s="102"/>
    </row>
    <row r="6" spans="1:6" s="1" customFormat="1" ht="21" customHeight="1">
      <c r="A6" s="203"/>
      <c r="B6" s="203"/>
      <c r="C6" s="206"/>
      <c r="D6" s="208"/>
      <c r="E6" s="207"/>
      <c r="F6" s="8" t="s">
        <v>18</v>
      </c>
    </row>
    <row r="7" spans="1:6" s="1" customFormat="1" ht="21" customHeight="1">
      <c r="A7" s="9"/>
      <c r="B7" s="10" t="s">
        <v>20</v>
      </c>
      <c r="C7" s="11"/>
      <c r="D7" s="13"/>
      <c r="E7" s="14"/>
      <c r="F7" s="16"/>
    </row>
    <row r="8" spans="1:6" ht="21" customHeight="1">
      <c r="A8" s="20">
        <v>1</v>
      </c>
      <c r="B8" s="21" t="s">
        <v>21</v>
      </c>
      <c r="C8" s="21" t="s">
        <v>22</v>
      </c>
      <c r="D8" s="23" t="s">
        <v>23</v>
      </c>
      <c r="E8" s="3">
        <v>37</v>
      </c>
      <c r="F8" s="25">
        <v>22300</v>
      </c>
    </row>
    <row r="9" spans="1:6" ht="21" customHeight="1">
      <c r="A9" s="20">
        <v>2</v>
      </c>
      <c r="B9" s="21" t="s">
        <v>24</v>
      </c>
      <c r="C9" s="30" t="s">
        <v>25</v>
      </c>
      <c r="D9" s="23" t="s">
        <v>26</v>
      </c>
      <c r="E9" s="3">
        <v>13</v>
      </c>
      <c r="F9" s="25">
        <v>15000</v>
      </c>
    </row>
    <row r="10" spans="1:6" ht="21" customHeight="1">
      <c r="A10" s="20">
        <v>3</v>
      </c>
      <c r="B10" s="33" t="s">
        <v>27</v>
      </c>
      <c r="C10" s="22" t="s">
        <v>28</v>
      </c>
      <c r="D10" s="23" t="s">
        <v>29</v>
      </c>
      <c r="E10" s="3">
        <v>23</v>
      </c>
      <c r="F10" s="25">
        <v>50000</v>
      </c>
    </row>
    <row r="11" spans="1:6" ht="21" customHeight="1">
      <c r="A11" s="20">
        <v>4</v>
      </c>
      <c r="B11" s="33" t="s">
        <v>30</v>
      </c>
      <c r="C11" s="22" t="s">
        <v>31</v>
      </c>
      <c r="D11" s="23" t="s">
        <v>32</v>
      </c>
      <c r="E11" s="3">
        <v>40</v>
      </c>
      <c r="F11" s="25">
        <v>79500</v>
      </c>
    </row>
    <row r="12" spans="1:6" ht="21" customHeight="1">
      <c r="A12" s="20">
        <v>5</v>
      </c>
      <c r="B12" s="33" t="s">
        <v>33</v>
      </c>
      <c r="C12" s="22" t="s">
        <v>34</v>
      </c>
      <c r="D12" s="23" t="s">
        <v>35</v>
      </c>
      <c r="E12" s="3">
        <v>42</v>
      </c>
      <c r="F12" s="25">
        <v>41000</v>
      </c>
    </row>
    <row r="13" spans="1:6" ht="21" customHeight="1">
      <c r="A13" s="20">
        <v>6</v>
      </c>
      <c r="B13" s="21" t="s">
        <v>36</v>
      </c>
      <c r="C13" s="21" t="s">
        <v>37</v>
      </c>
      <c r="D13" s="23" t="s">
        <v>38</v>
      </c>
      <c r="E13" s="3">
        <v>29</v>
      </c>
      <c r="F13" s="25">
        <v>28000</v>
      </c>
    </row>
    <row r="14" spans="1:6" ht="21" customHeight="1">
      <c r="A14" s="20">
        <v>7</v>
      </c>
      <c r="B14" s="21" t="s">
        <v>39</v>
      </c>
      <c r="C14" s="22" t="s">
        <v>40</v>
      </c>
      <c r="D14" s="23" t="s">
        <v>41</v>
      </c>
      <c r="E14" s="3">
        <v>49</v>
      </c>
      <c r="F14" s="25">
        <v>92000</v>
      </c>
    </row>
    <row r="15" spans="1:6" ht="21" customHeight="1">
      <c r="A15" s="20">
        <v>8</v>
      </c>
      <c r="B15" s="21" t="s">
        <v>42</v>
      </c>
      <c r="C15" s="21" t="s">
        <v>43</v>
      </c>
      <c r="D15" s="23" t="s">
        <v>44</v>
      </c>
      <c r="E15" s="3">
        <v>41</v>
      </c>
      <c r="F15" s="25">
        <v>41000</v>
      </c>
    </row>
    <row r="16" spans="1:6" ht="21" customHeight="1">
      <c r="A16" s="20">
        <v>9</v>
      </c>
      <c r="B16" s="21" t="s">
        <v>45</v>
      </c>
      <c r="C16" s="30" t="s">
        <v>46</v>
      </c>
      <c r="D16" s="23" t="s">
        <v>47</v>
      </c>
      <c r="E16" s="3">
        <v>66</v>
      </c>
      <c r="F16" s="25">
        <v>46500</v>
      </c>
    </row>
    <row r="17" spans="1:8" ht="21" customHeight="1">
      <c r="A17" s="20">
        <v>10</v>
      </c>
      <c r="B17" s="21" t="s">
        <v>48</v>
      </c>
      <c r="C17" s="30" t="s">
        <v>49</v>
      </c>
      <c r="D17" s="23" t="s">
        <v>50</v>
      </c>
      <c r="E17" s="3">
        <v>34</v>
      </c>
      <c r="F17" s="25">
        <v>23600</v>
      </c>
    </row>
    <row r="18" spans="1:8" ht="21" customHeight="1">
      <c r="A18" s="20">
        <v>11</v>
      </c>
      <c r="B18" s="33" t="s">
        <v>51</v>
      </c>
      <c r="C18" s="22" t="s">
        <v>52</v>
      </c>
      <c r="D18" s="23" t="s">
        <v>53</v>
      </c>
      <c r="E18" s="3">
        <v>39.049999999999997</v>
      </c>
      <c r="F18" s="25">
        <v>39100</v>
      </c>
    </row>
    <row r="19" spans="1:8" ht="21" customHeight="1">
      <c r="A19" s="20">
        <v>12</v>
      </c>
      <c r="B19" s="33" t="s">
        <v>54</v>
      </c>
      <c r="C19" s="22" t="s">
        <v>55</v>
      </c>
      <c r="D19" s="23" t="s">
        <v>56</v>
      </c>
      <c r="E19" s="3">
        <v>52</v>
      </c>
      <c r="F19" s="25">
        <v>104000</v>
      </c>
    </row>
    <row r="20" spans="1:8" ht="21" customHeight="1">
      <c r="A20" s="20">
        <v>13</v>
      </c>
      <c r="B20" s="21" t="s">
        <v>57</v>
      </c>
      <c r="C20" s="30" t="s">
        <v>58</v>
      </c>
      <c r="D20" s="23" t="s">
        <v>59</v>
      </c>
      <c r="E20" s="3">
        <v>4</v>
      </c>
      <c r="F20" s="25">
        <v>5000</v>
      </c>
    </row>
    <row r="21" spans="1:8" ht="21" customHeight="1">
      <c r="A21" s="20">
        <v>14</v>
      </c>
      <c r="B21" s="21" t="s">
        <v>60</v>
      </c>
      <c r="C21" s="30" t="s">
        <v>61</v>
      </c>
      <c r="D21" s="23" t="s">
        <v>62</v>
      </c>
      <c r="E21" s="3">
        <v>68</v>
      </c>
      <c r="F21" s="25">
        <v>48500</v>
      </c>
    </row>
    <row r="22" spans="1:8" ht="21" customHeight="1">
      <c r="A22" s="20">
        <v>15</v>
      </c>
      <c r="B22" s="21" t="s">
        <v>63</v>
      </c>
      <c r="C22" s="21" t="s">
        <v>64</v>
      </c>
      <c r="D22" s="23" t="s">
        <v>65</v>
      </c>
      <c r="E22" s="3">
        <v>38</v>
      </c>
      <c r="F22" s="25">
        <v>38000</v>
      </c>
    </row>
    <row r="23" spans="1:8" ht="21" customHeight="1">
      <c r="A23" s="20">
        <v>16</v>
      </c>
      <c r="B23" s="36" t="s">
        <v>66</v>
      </c>
      <c r="C23" s="36" t="s">
        <v>67</v>
      </c>
      <c r="D23" s="38" t="s">
        <v>68</v>
      </c>
      <c r="E23" s="39">
        <v>16</v>
      </c>
      <c r="F23" s="41">
        <v>37600</v>
      </c>
    </row>
    <row r="24" spans="1:8" ht="21" customHeight="1" thickBot="1">
      <c r="A24" s="45"/>
      <c r="B24" s="46" t="s">
        <v>18</v>
      </c>
      <c r="C24" s="47"/>
      <c r="D24" s="49"/>
      <c r="E24" s="50"/>
      <c r="F24" s="51">
        <v>711100</v>
      </c>
      <c r="H24" s="29">
        <f>SUM(F8:F23)</f>
        <v>711100</v>
      </c>
    </row>
    <row r="25" spans="1:8" s="1" customFormat="1" ht="21" customHeight="1" thickTop="1">
      <c r="A25" s="55"/>
      <c r="B25" s="56" t="s">
        <v>69</v>
      </c>
    </row>
    <row r="26" spans="1:8" ht="21" customHeight="1">
      <c r="A26" s="20">
        <v>1</v>
      </c>
      <c r="B26" s="21" t="s">
        <v>70</v>
      </c>
      <c r="C26" s="21" t="s">
        <v>71</v>
      </c>
      <c r="D26" s="23" t="s">
        <v>72</v>
      </c>
      <c r="E26" s="3">
        <v>7</v>
      </c>
      <c r="F26" s="25">
        <v>20000</v>
      </c>
    </row>
    <row r="27" spans="1:8" ht="21" customHeight="1" thickBot="1">
      <c r="A27" s="45"/>
      <c r="B27" s="46" t="s">
        <v>18</v>
      </c>
      <c r="C27" s="47"/>
      <c r="D27" s="49"/>
      <c r="E27" s="50"/>
      <c r="F27" s="51">
        <v>20000</v>
      </c>
      <c r="H27" s="29">
        <f>SUM(F26)</f>
        <v>20000</v>
      </c>
    </row>
    <row r="28" spans="1:8" ht="21" customHeight="1" thickTop="1">
      <c r="B28" s="1"/>
      <c r="C28" s="1"/>
      <c r="D28" s="64"/>
      <c r="F28" s="59"/>
    </row>
    <row r="29" spans="1:8" s="1" customFormat="1" ht="21" customHeight="1">
      <c r="A29" s="55"/>
      <c r="B29" s="69" t="s">
        <v>73</v>
      </c>
    </row>
    <row r="30" spans="1:8" ht="21" customHeight="1">
      <c r="A30" s="20">
        <v>1</v>
      </c>
      <c r="B30" s="33" t="s">
        <v>74</v>
      </c>
      <c r="C30" s="73" t="s">
        <v>79</v>
      </c>
      <c r="D30" s="23" t="s">
        <v>80</v>
      </c>
      <c r="E30" s="3">
        <v>43</v>
      </c>
      <c r="F30" s="24">
        <v>85200</v>
      </c>
    </row>
    <row r="31" spans="1:8" ht="21" customHeight="1">
      <c r="A31" s="20">
        <v>2</v>
      </c>
      <c r="B31" s="33" t="s">
        <v>81</v>
      </c>
      <c r="C31" s="22" t="s">
        <v>82</v>
      </c>
      <c r="D31" s="23" t="s">
        <v>83</v>
      </c>
      <c r="E31" s="3">
        <v>24</v>
      </c>
      <c r="F31" s="24">
        <v>1000</v>
      </c>
    </row>
    <row r="32" spans="1:8" ht="21" customHeight="1">
      <c r="A32" s="20"/>
      <c r="B32" s="33" t="s">
        <v>81</v>
      </c>
      <c r="C32" s="22" t="s">
        <v>85</v>
      </c>
      <c r="D32" s="23" t="s">
        <v>83</v>
      </c>
      <c r="E32" s="3">
        <v>24</v>
      </c>
      <c r="F32" s="24">
        <v>21000</v>
      </c>
    </row>
    <row r="33" spans="1:8" ht="21" customHeight="1">
      <c r="A33" s="20">
        <v>3</v>
      </c>
      <c r="B33" s="21" t="s">
        <v>86</v>
      </c>
      <c r="C33" s="30" t="s">
        <v>87</v>
      </c>
      <c r="D33" s="23" t="s">
        <v>50</v>
      </c>
      <c r="E33" s="3">
        <v>34</v>
      </c>
      <c r="F33" s="24">
        <v>4500</v>
      </c>
    </row>
    <row r="34" spans="1:8" ht="21" customHeight="1" thickBot="1">
      <c r="A34" s="45"/>
      <c r="B34" s="46" t="s">
        <v>18</v>
      </c>
      <c r="C34" s="47"/>
      <c r="D34" s="49"/>
      <c r="E34" s="50"/>
      <c r="F34" s="51">
        <v>111700</v>
      </c>
      <c r="H34" s="29">
        <f>SUM(F30:F33)</f>
        <v>111700</v>
      </c>
    </row>
    <row r="35" spans="1:8" s="85" customFormat="1" ht="21" customHeight="1" thickTop="1">
      <c r="A35" s="75"/>
      <c r="B35" s="76"/>
      <c r="C35" s="77"/>
      <c r="D35" s="79"/>
      <c r="E35" s="80"/>
      <c r="F35" s="81"/>
    </row>
    <row r="36" spans="1:8" ht="21" customHeight="1">
      <c r="B36" s="86" t="s">
        <v>90</v>
      </c>
    </row>
    <row r="37" spans="1:8" ht="21" customHeight="1">
      <c r="A37" s="20">
        <v>1</v>
      </c>
      <c r="B37" s="33" t="s">
        <v>91</v>
      </c>
      <c r="C37" s="73" t="s">
        <v>92</v>
      </c>
      <c r="D37" s="23" t="s">
        <v>93</v>
      </c>
      <c r="E37" s="3">
        <v>2</v>
      </c>
      <c r="F37" s="25">
        <v>11000</v>
      </c>
    </row>
    <row r="38" spans="1:8" ht="21" customHeight="1">
      <c r="A38" s="20">
        <v>2</v>
      </c>
      <c r="B38" s="70" t="s">
        <v>94</v>
      </c>
      <c r="C38" s="30" t="s">
        <v>95</v>
      </c>
      <c r="D38" s="23" t="s">
        <v>96</v>
      </c>
      <c r="E38" s="3">
        <v>3</v>
      </c>
      <c r="F38" s="24">
        <v>6000</v>
      </c>
    </row>
    <row r="39" spans="1:8" ht="21" customHeight="1" thickBot="1">
      <c r="A39" s="45"/>
      <c r="B39" s="46" t="s">
        <v>18</v>
      </c>
      <c r="C39" s="47"/>
      <c r="D39" s="49"/>
      <c r="E39" s="50"/>
      <c r="F39" s="51">
        <v>17000</v>
      </c>
      <c r="H39" s="29">
        <f>SUM(F37:F38)</f>
        <v>17000</v>
      </c>
    </row>
    <row r="40" spans="1:8" s="85" customFormat="1" ht="21" customHeight="1" thickTop="1">
      <c r="A40" s="75"/>
      <c r="B40" s="93"/>
      <c r="C40" s="77"/>
      <c r="D40" s="79"/>
      <c r="E40" s="80"/>
      <c r="F40" s="81"/>
    </row>
    <row r="41" spans="1:8" ht="21" customHeight="1">
      <c r="D41" s="96">
        <v>0</v>
      </c>
      <c r="E41" s="96">
        <v>0</v>
      </c>
      <c r="F41" s="96">
        <v>859800</v>
      </c>
      <c r="H41" s="103">
        <f>SUM(H24:H39)</f>
        <v>859800</v>
      </c>
    </row>
    <row r="43" spans="1:8" ht="21" customHeight="1">
      <c r="F43" s="58"/>
    </row>
    <row r="51" spans="1:1" ht="21" customHeight="1">
      <c r="A51" s="29"/>
    </row>
    <row r="52" spans="1:1" ht="21" customHeight="1">
      <c r="A52" s="29"/>
    </row>
    <row r="62" spans="1:1" ht="21" customHeight="1">
      <c r="A62" s="29"/>
    </row>
    <row r="63" spans="1:1" ht="21" customHeight="1">
      <c r="A63" s="29"/>
    </row>
    <row r="66" spans="1:6" ht="21" customHeight="1">
      <c r="A66" s="29"/>
      <c r="C66" s="29"/>
      <c r="E66" s="29"/>
      <c r="F66" s="58">
        <v>32</v>
      </c>
    </row>
    <row r="67" spans="1:6" ht="21" customHeight="1">
      <c r="A67" s="29"/>
      <c r="C67" s="29"/>
      <c r="E67" s="29"/>
      <c r="F67" s="55">
        <v>18</v>
      </c>
    </row>
    <row r="121" spans="1:6" ht="21" customHeight="1">
      <c r="A121" s="97" t="s">
        <v>99</v>
      </c>
      <c r="B121" s="36" t="s">
        <v>100</v>
      </c>
      <c r="C121" s="98" t="s">
        <v>101</v>
      </c>
      <c r="D121" s="38" t="s">
        <v>103</v>
      </c>
      <c r="E121" s="39">
        <v>2</v>
      </c>
      <c r="F121" s="41">
        <v>1100</v>
      </c>
    </row>
  </sheetData>
  <mergeCells count="9">
    <mergeCell ref="D5:D6"/>
    <mergeCell ref="E5:E6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3D23-564E-448E-BDEA-25396B459131}">
  <sheetPr>
    <tabColor rgb="FF92D050"/>
  </sheetPr>
  <dimension ref="A1:H121"/>
  <sheetViews>
    <sheetView zoomScale="70" zoomScaleNormal="70" workbookViewId="0">
      <pane ySplit="6" topLeftCell="A19" activePane="bottomLeft" state="frozen"/>
      <selection pane="bottomLeft" activeCell="H64" sqref="H64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9.88671875" style="2" customWidth="1"/>
    <col min="5" max="5" width="13.88671875" style="58"/>
    <col min="6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111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07" t="s">
        <v>9</v>
      </c>
      <c r="E4" s="207"/>
      <c r="F4" s="207"/>
    </row>
    <row r="5" spans="1:6" s="1" customFormat="1" ht="21" customHeight="1">
      <c r="A5" s="202"/>
      <c r="B5" s="202"/>
      <c r="C5" s="205"/>
      <c r="D5" s="208" t="s">
        <v>10</v>
      </c>
      <c r="E5" s="207" t="s">
        <v>15</v>
      </c>
      <c r="F5" s="102"/>
    </row>
    <row r="6" spans="1:6" s="1" customFormat="1" ht="21" customHeight="1">
      <c r="A6" s="203"/>
      <c r="B6" s="203"/>
      <c r="C6" s="206"/>
      <c r="D6" s="208"/>
      <c r="E6" s="207"/>
      <c r="F6" s="8" t="s">
        <v>18</v>
      </c>
    </row>
    <row r="7" spans="1:6" s="1" customFormat="1" ht="21" customHeight="1">
      <c r="A7" s="9"/>
      <c r="B7" s="10" t="s">
        <v>20</v>
      </c>
      <c r="C7" s="11"/>
      <c r="D7" s="13"/>
      <c r="E7" s="14"/>
      <c r="F7" s="16"/>
    </row>
    <row r="8" spans="1:6" ht="21" customHeight="1">
      <c r="A8" s="20">
        <v>1</v>
      </c>
      <c r="B8" s="21" t="s">
        <v>21</v>
      </c>
      <c r="C8" s="21" t="s">
        <v>22</v>
      </c>
      <c r="D8" s="23" t="s">
        <v>23</v>
      </c>
      <c r="E8" s="3">
        <v>37</v>
      </c>
      <c r="F8" s="25">
        <v>22300</v>
      </c>
    </row>
    <row r="9" spans="1:6" ht="21" customHeight="1">
      <c r="A9" s="20">
        <v>2</v>
      </c>
      <c r="B9" s="21" t="s">
        <v>24</v>
      </c>
      <c r="C9" s="30" t="s">
        <v>25</v>
      </c>
      <c r="D9" s="23" t="s">
        <v>26</v>
      </c>
      <c r="E9" s="3">
        <v>13</v>
      </c>
      <c r="F9" s="25">
        <v>15000</v>
      </c>
    </row>
    <row r="10" spans="1:6" ht="21" customHeight="1">
      <c r="A10" s="20">
        <v>3</v>
      </c>
      <c r="B10" s="33" t="s">
        <v>27</v>
      </c>
      <c r="C10" s="22" t="s">
        <v>28</v>
      </c>
      <c r="D10" s="23" t="s">
        <v>29</v>
      </c>
      <c r="E10" s="3">
        <v>23</v>
      </c>
      <c r="F10" s="25">
        <v>50000</v>
      </c>
    </row>
    <row r="11" spans="1:6" ht="21" customHeight="1">
      <c r="A11" s="20">
        <v>4</v>
      </c>
      <c r="B11" s="33" t="s">
        <v>30</v>
      </c>
      <c r="C11" s="22" t="s">
        <v>31</v>
      </c>
      <c r="D11" s="23" t="s">
        <v>32</v>
      </c>
      <c r="E11" s="3">
        <v>40</v>
      </c>
      <c r="F11" s="25">
        <v>79500</v>
      </c>
    </row>
    <row r="12" spans="1:6" ht="21" customHeight="1">
      <c r="A12" s="20">
        <v>5</v>
      </c>
      <c r="B12" s="33" t="s">
        <v>33</v>
      </c>
      <c r="C12" s="22" t="s">
        <v>34</v>
      </c>
      <c r="D12" s="23" t="s">
        <v>35</v>
      </c>
      <c r="E12" s="3">
        <v>42</v>
      </c>
      <c r="F12" s="25">
        <v>41000</v>
      </c>
    </row>
    <row r="13" spans="1:6" ht="21" customHeight="1">
      <c r="A13" s="20">
        <v>6</v>
      </c>
      <c r="B13" s="21" t="s">
        <v>36</v>
      </c>
      <c r="C13" s="21" t="s">
        <v>37</v>
      </c>
      <c r="D13" s="23" t="s">
        <v>38</v>
      </c>
      <c r="E13" s="3">
        <v>29</v>
      </c>
      <c r="F13" s="25">
        <v>28000</v>
      </c>
    </row>
    <row r="14" spans="1:6" ht="21" customHeight="1">
      <c r="A14" s="20">
        <v>7</v>
      </c>
      <c r="B14" s="21" t="s">
        <v>39</v>
      </c>
      <c r="C14" s="22" t="s">
        <v>40</v>
      </c>
      <c r="D14" s="23" t="s">
        <v>41</v>
      </c>
      <c r="E14" s="3">
        <v>49</v>
      </c>
      <c r="F14" s="25">
        <v>92000</v>
      </c>
    </row>
    <row r="15" spans="1:6" ht="21" customHeight="1">
      <c r="A15" s="20">
        <v>8</v>
      </c>
      <c r="B15" s="21" t="s">
        <v>42</v>
      </c>
      <c r="C15" s="21" t="s">
        <v>43</v>
      </c>
      <c r="D15" s="23" t="s">
        <v>44</v>
      </c>
      <c r="E15" s="3">
        <v>41</v>
      </c>
      <c r="F15" s="25">
        <v>41000</v>
      </c>
    </row>
    <row r="16" spans="1:6" ht="21" customHeight="1">
      <c r="A16" s="20">
        <v>9</v>
      </c>
      <c r="B16" s="21" t="s">
        <v>45</v>
      </c>
      <c r="C16" s="30" t="s">
        <v>46</v>
      </c>
      <c r="D16" s="23" t="s">
        <v>47</v>
      </c>
      <c r="E16" s="3">
        <v>66</v>
      </c>
      <c r="F16" s="25">
        <v>46500</v>
      </c>
    </row>
    <row r="17" spans="1:8" ht="21" customHeight="1">
      <c r="A17" s="20">
        <v>10</v>
      </c>
      <c r="B17" s="21" t="s">
        <v>48</v>
      </c>
      <c r="C17" s="30" t="s">
        <v>49</v>
      </c>
      <c r="D17" s="23" t="s">
        <v>50</v>
      </c>
      <c r="E17" s="3">
        <v>34</v>
      </c>
      <c r="F17" s="25">
        <v>23600</v>
      </c>
    </row>
    <row r="18" spans="1:8" ht="21" customHeight="1">
      <c r="A18" s="20">
        <v>11</v>
      </c>
      <c r="B18" s="33" t="s">
        <v>51</v>
      </c>
      <c r="C18" s="22" t="s">
        <v>52</v>
      </c>
      <c r="D18" s="23" t="s">
        <v>53</v>
      </c>
      <c r="E18" s="3">
        <v>39.049999999999997</v>
      </c>
      <c r="F18" s="25">
        <v>39100</v>
      </c>
    </row>
    <row r="19" spans="1:8" ht="21" customHeight="1">
      <c r="A19" s="20">
        <v>12</v>
      </c>
      <c r="B19" s="33" t="s">
        <v>54</v>
      </c>
      <c r="C19" s="22" t="s">
        <v>55</v>
      </c>
      <c r="D19" s="23" t="s">
        <v>56</v>
      </c>
      <c r="E19" s="3">
        <v>52</v>
      </c>
      <c r="F19" s="25">
        <v>104000</v>
      </c>
    </row>
    <row r="20" spans="1:8" ht="21" customHeight="1">
      <c r="A20" s="20">
        <v>13</v>
      </c>
      <c r="B20" s="21" t="s">
        <v>57</v>
      </c>
      <c r="C20" s="30" t="s">
        <v>58</v>
      </c>
      <c r="D20" s="23" t="s">
        <v>59</v>
      </c>
      <c r="E20" s="3">
        <v>4</v>
      </c>
      <c r="F20" s="25">
        <v>5000</v>
      </c>
    </row>
    <row r="21" spans="1:8" ht="21" customHeight="1">
      <c r="A21" s="20">
        <v>14</v>
      </c>
      <c r="B21" s="21" t="s">
        <v>60</v>
      </c>
      <c r="C21" s="30" t="s">
        <v>61</v>
      </c>
      <c r="D21" s="23" t="s">
        <v>62</v>
      </c>
      <c r="E21" s="3">
        <v>68</v>
      </c>
      <c r="F21" s="25">
        <v>48500</v>
      </c>
    </row>
    <row r="22" spans="1:8" ht="21" customHeight="1">
      <c r="A22" s="20">
        <v>15</v>
      </c>
      <c r="B22" s="21" t="s">
        <v>63</v>
      </c>
      <c r="C22" s="21" t="s">
        <v>64</v>
      </c>
      <c r="D22" s="23" t="s">
        <v>65</v>
      </c>
      <c r="E22" s="3">
        <v>38</v>
      </c>
      <c r="F22" s="25">
        <v>38000</v>
      </c>
    </row>
    <row r="23" spans="1:8" ht="21" customHeight="1">
      <c r="A23" s="20">
        <v>16</v>
      </c>
      <c r="B23" s="36" t="s">
        <v>66</v>
      </c>
      <c r="C23" s="36" t="s">
        <v>67</v>
      </c>
      <c r="D23" s="38" t="s">
        <v>68</v>
      </c>
      <c r="E23" s="39">
        <v>16</v>
      </c>
      <c r="F23" s="41">
        <v>37600</v>
      </c>
    </row>
    <row r="24" spans="1:8" ht="21" customHeight="1" thickBot="1">
      <c r="A24" s="45"/>
      <c r="B24" s="46" t="s">
        <v>18</v>
      </c>
      <c r="C24" s="47"/>
      <c r="D24" s="49"/>
      <c r="E24" s="50"/>
      <c r="F24" s="51">
        <v>711100</v>
      </c>
      <c r="H24" s="29">
        <v>711100</v>
      </c>
    </row>
    <row r="25" spans="1:8" s="1" customFormat="1" ht="21" customHeight="1" thickTop="1">
      <c r="A25" s="55"/>
      <c r="B25" s="56" t="s">
        <v>69</v>
      </c>
    </row>
    <row r="26" spans="1:8" ht="21" customHeight="1">
      <c r="A26" s="20">
        <v>1</v>
      </c>
      <c r="B26" s="21" t="s">
        <v>70</v>
      </c>
      <c r="C26" s="21" t="s">
        <v>71</v>
      </c>
      <c r="D26" s="23" t="s">
        <v>72</v>
      </c>
      <c r="E26" s="3">
        <v>7</v>
      </c>
      <c r="F26" s="25">
        <v>20000</v>
      </c>
    </row>
    <row r="27" spans="1:8" ht="21" customHeight="1" thickBot="1">
      <c r="A27" s="45"/>
      <c r="B27" s="46" t="s">
        <v>18</v>
      </c>
      <c r="C27" s="47"/>
      <c r="D27" s="49"/>
      <c r="E27" s="50"/>
      <c r="F27" s="51">
        <v>20000</v>
      </c>
      <c r="H27" s="29">
        <v>20000</v>
      </c>
    </row>
    <row r="28" spans="1:8" ht="21" customHeight="1" thickTop="1">
      <c r="B28" s="1"/>
      <c r="C28" s="1"/>
      <c r="D28" s="64"/>
      <c r="F28" s="59"/>
    </row>
    <row r="29" spans="1:8" s="1" customFormat="1" ht="21" customHeight="1">
      <c r="A29" s="55"/>
      <c r="B29" s="69" t="s">
        <v>73</v>
      </c>
    </row>
    <row r="30" spans="1:8" ht="21" customHeight="1">
      <c r="A30" s="20">
        <v>1</v>
      </c>
      <c r="B30" s="33" t="s">
        <v>74</v>
      </c>
      <c r="C30" s="73" t="s">
        <v>79</v>
      </c>
      <c r="D30" s="23" t="s">
        <v>80</v>
      </c>
      <c r="E30" s="3">
        <v>43</v>
      </c>
      <c r="F30" s="24">
        <v>85200</v>
      </c>
    </row>
    <row r="31" spans="1:8" ht="21" customHeight="1">
      <c r="A31" s="20">
        <v>2</v>
      </c>
      <c r="B31" s="33" t="s">
        <v>81</v>
      </c>
      <c r="C31" s="22" t="s">
        <v>82</v>
      </c>
      <c r="D31" s="23" t="s">
        <v>83</v>
      </c>
      <c r="E31" s="3">
        <v>24</v>
      </c>
      <c r="F31" s="24">
        <v>1000</v>
      </c>
    </row>
    <row r="32" spans="1:8" ht="21" customHeight="1">
      <c r="A32" s="20"/>
      <c r="B32" s="33" t="s">
        <v>81</v>
      </c>
      <c r="C32" s="22" t="s">
        <v>85</v>
      </c>
      <c r="D32" s="23" t="s">
        <v>83</v>
      </c>
      <c r="E32" s="3">
        <v>24</v>
      </c>
      <c r="F32" s="24">
        <v>21000</v>
      </c>
    </row>
    <row r="33" spans="1:8" ht="21" customHeight="1">
      <c r="A33" s="20">
        <v>3</v>
      </c>
      <c r="B33" s="21" t="s">
        <v>86</v>
      </c>
      <c r="C33" s="30" t="s">
        <v>87</v>
      </c>
      <c r="D33" s="23" t="s">
        <v>50</v>
      </c>
      <c r="E33" s="3">
        <v>34</v>
      </c>
      <c r="F33" s="24">
        <v>4500</v>
      </c>
    </row>
    <row r="34" spans="1:8" ht="21" customHeight="1" thickBot="1">
      <c r="A34" s="45"/>
      <c r="B34" s="46" t="s">
        <v>18</v>
      </c>
      <c r="C34" s="47"/>
      <c r="D34" s="49"/>
      <c r="E34" s="50"/>
      <c r="F34" s="51">
        <v>111700</v>
      </c>
      <c r="H34" s="29">
        <v>111700</v>
      </c>
    </row>
    <row r="35" spans="1:8" s="85" customFormat="1" ht="21" customHeight="1" thickTop="1">
      <c r="A35" s="75"/>
      <c r="B35" s="76"/>
      <c r="C35" s="77"/>
      <c r="D35" s="79"/>
      <c r="E35" s="80"/>
      <c r="F35" s="81"/>
    </row>
    <row r="36" spans="1:8" ht="21" customHeight="1">
      <c r="B36" s="86" t="s">
        <v>90</v>
      </c>
    </row>
    <row r="37" spans="1:8" ht="21" customHeight="1">
      <c r="A37" s="20">
        <v>1</v>
      </c>
      <c r="B37" s="33" t="s">
        <v>91</v>
      </c>
      <c r="C37" s="73" t="s">
        <v>92</v>
      </c>
      <c r="D37" s="23" t="s">
        <v>93</v>
      </c>
      <c r="E37" s="3">
        <v>2</v>
      </c>
      <c r="F37" s="25">
        <v>11000</v>
      </c>
    </row>
    <row r="38" spans="1:8" ht="21" customHeight="1">
      <c r="A38" s="20">
        <v>2</v>
      </c>
      <c r="B38" s="70" t="s">
        <v>94</v>
      </c>
      <c r="C38" s="30" t="s">
        <v>95</v>
      </c>
      <c r="D38" s="23" t="s">
        <v>96</v>
      </c>
      <c r="E38" s="3">
        <v>3</v>
      </c>
      <c r="F38" s="24">
        <v>6000</v>
      </c>
    </row>
    <row r="39" spans="1:8" ht="21" customHeight="1" thickBot="1">
      <c r="A39" s="45"/>
      <c r="B39" s="46" t="s">
        <v>18</v>
      </c>
      <c r="C39" s="47"/>
      <c r="D39" s="49"/>
      <c r="E39" s="50"/>
      <c r="F39" s="51">
        <v>17000</v>
      </c>
      <c r="H39" s="29">
        <v>17000</v>
      </c>
    </row>
    <row r="40" spans="1:8" s="85" customFormat="1" ht="21" customHeight="1" thickTop="1">
      <c r="A40" s="75"/>
      <c r="B40" s="93"/>
      <c r="C40" s="77"/>
      <c r="D40" s="79"/>
      <c r="E40" s="80"/>
      <c r="F40" s="81"/>
    </row>
    <row r="41" spans="1:8" ht="21" customHeight="1">
      <c r="D41" s="96">
        <v>0</v>
      </c>
      <c r="E41" s="96">
        <v>0</v>
      </c>
      <c r="F41" s="96">
        <v>859800</v>
      </c>
      <c r="H41" s="103">
        <v>859800</v>
      </c>
    </row>
    <row r="43" spans="1:8" ht="21" customHeight="1">
      <c r="F43" s="58"/>
    </row>
    <row r="51" spans="1:1" ht="21" customHeight="1">
      <c r="A51" s="29"/>
    </row>
    <row r="52" spans="1:1" ht="21" customHeight="1">
      <c r="A52" s="29"/>
    </row>
    <row r="62" spans="1:1" ht="21" customHeight="1">
      <c r="A62" s="29"/>
    </row>
    <row r="63" spans="1:1" ht="21" customHeight="1">
      <c r="A63" s="29"/>
    </row>
    <row r="66" spans="1:6" ht="21" customHeight="1">
      <c r="A66" s="29"/>
      <c r="C66" s="29"/>
      <c r="E66" s="29"/>
      <c r="F66" s="58">
        <v>32</v>
      </c>
    </row>
    <row r="67" spans="1:6" ht="21" customHeight="1">
      <c r="A67" s="29"/>
      <c r="C67" s="29"/>
      <c r="E67" s="29"/>
      <c r="F67" s="55">
        <v>18</v>
      </c>
    </row>
    <row r="121" spans="1:6" ht="21" customHeight="1">
      <c r="A121" s="97" t="s">
        <v>99</v>
      </c>
      <c r="B121" s="36" t="s">
        <v>100</v>
      </c>
      <c r="C121" s="98" t="s">
        <v>101</v>
      </c>
      <c r="D121" s="38" t="s">
        <v>103</v>
      </c>
      <c r="E121" s="39">
        <v>2</v>
      </c>
      <c r="F121" s="41">
        <v>1100</v>
      </c>
    </row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1EDB-083E-4FAD-B887-AFF836748F71}">
  <sheetPr>
    <tabColor rgb="FF92D050"/>
  </sheetPr>
  <dimension ref="A1:S122"/>
  <sheetViews>
    <sheetView topLeftCell="B1" zoomScale="90" zoomScaleNormal="90" workbookViewId="0">
      <pane ySplit="6" topLeftCell="A22" activePane="bottomLeft" state="frozen"/>
      <selection pane="bottomLeft" activeCell="C34" sqref="C34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7.44140625" style="2" customWidth="1"/>
    <col min="6" max="7" width="13.88671875" style="59"/>
    <col min="8" max="8" width="13.88671875" style="88"/>
    <col min="9" max="9" width="7.33203125" style="88" customWidth="1"/>
    <col min="10" max="10" width="13.88671875" style="89"/>
    <col min="11" max="11" width="13.88671875" style="90"/>
    <col min="12" max="12" width="13.88671875" style="91"/>
    <col min="13" max="13" width="13.6640625" style="29" customWidth="1"/>
    <col min="14" max="14" width="19.88671875" style="2" customWidth="1"/>
    <col min="15" max="15" width="13.88671875" style="58"/>
    <col min="16" max="16" width="8.6640625" style="58" customWidth="1"/>
    <col min="17" max="17" width="13.88671875" style="92"/>
    <col min="18" max="18" width="13.88671875" style="58"/>
    <col min="19" max="16384" width="13.88671875" style="29"/>
  </cols>
  <sheetData>
    <row r="1" spans="1:19" s="1" customFormat="1" ht="21" customHeight="1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</row>
    <row r="2" spans="1:19" s="1" customFormat="1" ht="21" customHeight="1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19" s="1" customFormat="1" ht="21" customHeight="1">
      <c r="A3" s="200" t="s">
        <v>104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</row>
    <row r="4" spans="1:19" s="1" customFormat="1" ht="21" customHeight="1">
      <c r="A4" s="201" t="s">
        <v>3</v>
      </c>
      <c r="B4" s="201" t="s">
        <v>4</v>
      </c>
      <c r="C4" s="204" t="s">
        <v>5</v>
      </c>
      <c r="D4" s="211" t="s">
        <v>6</v>
      </c>
      <c r="E4" s="207" t="s">
        <v>7</v>
      </c>
      <c r="F4" s="207"/>
      <c r="G4" s="207"/>
      <c r="H4" s="207"/>
      <c r="I4" s="207"/>
      <c r="J4" s="207"/>
      <c r="K4" s="214" t="s">
        <v>8</v>
      </c>
      <c r="L4" s="214"/>
      <c r="M4" s="214"/>
      <c r="N4" s="207" t="s">
        <v>9</v>
      </c>
      <c r="O4" s="207"/>
      <c r="P4" s="207"/>
      <c r="Q4" s="207"/>
      <c r="R4" s="207"/>
      <c r="S4" s="207"/>
    </row>
    <row r="5" spans="1:19" s="1" customFormat="1" ht="21" customHeight="1">
      <c r="A5" s="202"/>
      <c r="B5" s="202"/>
      <c r="C5" s="205"/>
      <c r="D5" s="212"/>
      <c r="E5" s="208" t="s">
        <v>10</v>
      </c>
      <c r="F5" s="207"/>
      <c r="G5" s="4"/>
      <c r="H5" s="215" t="s">
        <v>11</v>
      </c>
      <c r="I5" s="215"/>
      <c r="J5" s="215"/>
      <c r="K5" s="216" t="s">
        <v>12</v>
      </c>
      <c r="L5" s="218" t="s">
        <v>13</v>
      </c>
      <c r="M5" s="209" t="s">
        <v>14</v>
      </c>
      <c r="N5" s="208" t="s">
        <v>10</v>
      </c>
      <c r="O5" s="207" t="s">
        <v>15</v>
      </c>
      <c r="P5" s="4" t="s">
        <v>16</v>
      </c>
      <c r="Q5" s="215" t="s">
        <v>11</v>
      </c>
      <c r="R5" s="215"/>
      <c r="S5" s="215"/>
    </row>
    <row r="6" spans="1:19" s="1" customFormat="1" ht="21" customHeight="1">
      <c r="A6" s="203"/>
      <c r="B6" s="203"/>
      <c r="C6" s="206"/>
      <c r="D6" s="213"/>
      <c r="E6" s="208"/>
      <c r="F6" s="207"/>
      <c r="G6" s="5"/>
      <c r="H6" s="6" t="s">
        <v>14</v>
      </c>
      <c r="I6" s="7" t="s">
        <v>17</v>
      </c>
      <c r="J6" s="8" t="s">
        <v>18</v>
      </c>
      <c r="K6" s="217"/>
      <c r="L6" s="219"/>
      <c r="M6" s="210"/>
      <c r="N6" s="208"/>
      <c r="O6" s="207"/>
      <c r="P6" s="5" t="s">
        <v>19</v>
      </c>
      <c r="Q6" s="6" t="s">
        <v>14</v>
      </c>
      <c r="R6" s="7" t="s">
        <v>17</v>
      </c>
      <c r="S6" s="8" t="s">
        <v>18</v>
      </c>
    </row>
    <row r="7" spans="1:19" s="1" customFormat="1" ht="21" customHeight="1">
      <c r="A7" s="9"/>
      <c r="B7" s="10" t="s">
        <v>20</v>
      </c>
      <c r="C7" s="11"/>
      <c r="D7" s="12"/>
      <c r="E7" s="13"/>
      <c r="F7" s="14"/>
      <c r="G7" s="15"/>
      <c r="H7" s="15"/>
      <c r="I7" s="15"/>
      <c r="J7" s="16"/>
      <c r="K7" s="17"/>
      <c r="L7" s="18"/>
      <c r="M7" s="19"/>
      <c r="N7" s="13"/>
      <c r="O7" s="14"/>
      <c r="P7" s="15"/>
      <c r="Q7" s="15"/>
      <c r="R7" s="15"/>
      <c r="S7" s="16"/>
    </row>
    <row r="8" spans="1:19" ht="21" customHeight="1">
      <c r="A8" s="20">
        <v>1</v>
      </c>
      <c r="B8" s="21" t="s">
        <v>21</v>
      </c>
      <c r="C8" s="21" t="s">
        <v>22</v>
      </c>
      <c r="D8" s="22"/>
      <c r="E8" s="23" t="s">
        <v>23</v>
      </c>
      <c r="F8" s="3">
        <v>37</v>
      </c>
      <c r="G8" s="3">
        <v>54</v>
      </c>
      <c r="H8" s="24">
        <v>22300</v>
      </c>
      <c r="I8" s="3"/>
      <c r="J8" s="25">
        <v>22300</v>
      </c>
      <c r="K8" s="26"/>
      <c r="L8" s="27"/>
      <c r="M8" s="28"/>
      <c r="N8" s="23" t="s">
        <v>23</v>
      </c>
      <c r="O8" s="3">
        <v>37</v>
      </c>
      <c r="P8" s="3">
        <v>54</v>
      </c>
      <c r="Q8" s="24">
        <v>22300</v>
      </c>
      <c r="R8" s="3"/>
      <c r="S8" s="25">
        <v>22300</v>
      </c>
    </row>
    <row r="9" spans="1:19" ht="21" customHeight="1">
      <c r="A9" s="20">
        <v>2</v>
      </c>
      <c r="B9" s="21" t="s">
        <v>24</v>
      </c>
      <c r="C9" s="30" t="s">
        <v>25</v>
      </c>
      <c r="D9" s="22"/>
      <c r="E9" s="23" t="s">
        <v>26</v>
      </c>
      <c r="F9" s="3">
        <v>13</v>
      </c>
      <c r="G9" s="3">
        <v>85</v>
      </c>
      <c r="H9" s="24">
        <v>15000</v>
      </c>
      <c r="I9" s="3"/>
      <c r="J9" s="25">
        <v>15000</v>
      </c>
      <c r="K9" s="31"/>
      <c r="L9" s="32"/>
      <c r="M9" s="28"/>
      <c r="N9" s="23" t="s">
        <v>26</v>
      </c>
      <c r="O9" s="3">
        <v>13</v>
      </c>
      <c r="P9" s="3">
        <v>85</v>
      </c>
      <c r="Q9" s="24">
        <v>15000</v>
      </c>
      <c r="R9" s="3"/>
      <c r="S9" s="25">
        <v>15000</v>
      </c>
    </row>
    <row r="10" spans="1:19" ht="21" customHeight="1">
      <c r="A10" s="20">
        <v>3</v>
      </c>
      <c r="B10" s="33" t="s">
        <v>27</v>
      </c>
      <c r="C10" s="22" t="s">
        <v>28</v>
      </c>
      <c r="D10" s="34"/>
      <c r="E10" s="23" t="s">
        <v>29</v>
      </c>
      <c r="F10" s="3">
        <v>23</v>
      </c>
      <c r="G10" s="3">
        <v>34</v>
      </c>
      <c r="H10" s="24">
        <v>50000</v>
      </c>
      <c r="I10" s="3"/>
      <c r="J10" s="25">
        <v>50000</v>
      </c>
      <c r="K10" s="31"/>
      <c r="L10" s="32"/>
      <c r="M10" s="28"/>
      <c r="N10" s="23" t="s">
        <v>29</v>
      </c>
      <c r="O10" s="3">
        <v>23</v>
      </c>
      <c r="P10" s="3">
        <v>34</v>
      </c>
      <c r="Q10" s="24">
        <v>50000</v>
      </c>
      <c r="R10" s="3"/>
      <c r="S10" s="25">
        <v>50000</v>
      </c>
    </row>
    <row r="11" spans="1:19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3">
        <v>67</v>
      </c>
      <c r="H11" s="24">
        <v>79500</v>
      </c>
      <c r="I11" s="3"/>
      <c r="J11" s="25">
        <v>79500</v>
      </c>
      <c r="K11" s="31"/>
      <c r="L11" s="32"/>
      <c r="M11" s="28"/>
      <c r="N11" s="23" t="s">
        <v>32</v>
      </c>
      <c r="O11" s="3">
        <v>40</v>
      </c>
      <c r="P11" s="3">
        <v>67</v>
      </c>
      <c r="Q11" s="24">
        <v>79500</v>
      </c>
      <c r="R11" s="3"/>
      <c r="S11" s="25">
        <v>79500</v>
      </c>
    </row>
    <row r="12" spans="1:19" ht="21" customHeight="1">
      <c r="A12" s="20">
        <v>5</v>
      </c>
      <c r="B12" s="33" t="s">
        <v>33</v>
      </c>
      <c r="C12" s="22" t="s">
        <v>34</v>
      </c>
      <c r="D12" s="34"/>
      <c r="E12" s="23" t="s">
        <v>35</v>
      </c>
      <c r="F12" s="3">
        <v>42</v>
      </c>
      <c r="G12" s="3">
        <v>53</v>
      </c>
      <c r="H12" s="24">
        <v>41000</v>
      </c>
      <c r="I12" s="3"/>
      <c r="J12" s="25">
        <v>41000</v>
      </c>
      <c r="K12" s="31"/>
      <c r="L12" s="32"/>
      <c r="M12" s="28"/>
      <c r="N12" s="23" t="s">
        <v>35</v>
      </c>
      <c r="O12" s="3">
        <v>42</v>
      </c>
      <c r="P12" s="3">
        <v>53</v>
      </c>
      <c r="Q12" s="24">
        <v>41000</v>
      </c>
      <c r="R12" s="3"/>
      <c r="S12" s="25">
        <v>41000</v>
      </c>
    </row>
    <row r="13" spans="1:19" ht="21" customHeight="1">
      <c r="A13" s="20">
        <v>6</v>
      </c>
      <c r="B13" s="21" t="s">
        <v>36</v>
      </c>
      <c r="C13" s="21" t="s">
        <v>37</v>
      </c>
      <c r="D13" s="22"/>
      <c r="E13" s="23" t="s">
        <v>38</v>
      </c>
      <c r="F13" s="3">
        <v>29</v>
      </c>
      <c r="G13" s="3">
        <v>49</v>
      </c>
      <c r="H13" s="24">
        <v>28000</v>
      </c>
      <c r="I13" s="3"/>
      <c r="J13" s="25">
        <v>28000</v>
      </c>
      <c r="K13" s="31"/>
      <c r="L13" s="32"/>
      <c r="M13" s="28"/>
      <c r="N13" s="23" t="s">
        <v>38</v>
      </c>
      <c r="O13" s="3">
        <v>29</v>
      </c>
      <c r="P13" s="3">
        <v>49</v>
      </c>
      <c r="Q13" s="24">
        <v>28000</v>
      </c>
      <c r="R13" s="3"/>
      <c r="S13" s="25">
        <v>28000</v>
      </c>
    </row>
    <row r="14" spans="1:19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3">
        <v>66</v>
      </c>
      <c r="H14" s="24">
        <v>92000</v>
      </c>
      <c r="I14" s="3"/>
      <c r="J14" s="25">
        <v>92000</v>
      </c>
      <c r="K14" s="31"/>
      <c r="L14" s="32"/>
      <c r="M14" s="28"/>
      <c r="N14" s="23" t="s">
        <v>41</v>
      </c>
      <c r="O14" s="3">
        <v>49</v>
      </c>
      <c r="P14" s="3">
        <v>66</v>
      </c>
      <c r="Q14" s="24">
        <v>92000</v>
      </c>
      <c r="R14" s="3"/>
      <c r="S14" s="25">
        <v>92000</v>
      </c>
    </row>
    <row r="15" spans="1:19" ht="21" customHeight="1">
      <c r="A15" s="20">
        <v>8</v>
      </c>
      <c r="B15" s="21" t="s">
        <v>42</v>
      </c>
      <c r="C15" s="21" t="s">
        <v>43</v>
      </c>
      <c r="D15" s="22"/>
      <c r="E15" s="23" t="s">
        <v>44</v>
      </c>
      <c r="F15" s="3">
        <v>41</v>
      </c>
      <c r="G15" s="3">
        <v>58</v>
      </c>
      <c r="H15" s="24">
        <v>41000</v>
      </c>
      <c r="I15" s="3"/>
      <c r="J15" s="25">
        <v>41000</v>
      </c>
      <c r="K15" s="31"/>
      <c r="L15" s="32"/>
      <c r="M15" s="28"/>
      <c r="N15" s="23" t="s">
        <v>44</v>
      </c>
      <c r="O15" s="3">
        <v>41</v>
      </c>
      <c r="P15" s="3">
        <v>58</v>
      </c>
      <c r="Q15" s="24">
        <v>41000</v>
      </c>
      <c r="R15" s="3"/>
      <c r="S15" s="25">
        <v>41000</v>
      </c>
    </row>
    <row r="16" spans="1:19" ht="21" customHeight="1">
      <c r="A16" s="20">
        <v>9</v>
      </c>
      <c r="B16" s="21" t="s">
        <v>45</v>
      </c>
      <c r="C16" s="30" t="s">
        <v>46</v>
      </c>
      <c r="D16" s="22"/>
      <c r="E16" s="23" t="s">
        <v>47</v>
      </c>
      <c r="F16" s="3">
        <v>66</v>
      </c>
      <c r="G16" s="3">
        <v>66</v>
      </c>
      <c r="H16" s="24">
        <v>46500</v>
      </c>
      <c r="I16" s="3"/>
      <c r="J16" s="25">
        <v>46500</v>
      </c>
      <c r="K16" s="31"/>
      <c r="L16" s="32"/>
      <c r="M16" s="28"/>
      <c r="N16" s="23" t="s">
        <v>47</v>
      </c>
      <c r="O16" s="3">
        <v>66</v>
      </c>
      <c r="P16" s="3">
        <v>66</v>
      </c>
      <c r="Q16" s="24">
        <v>46500</v>
      </c>
      <c r="R16" s="3"/>
      <c r="S16" s="25">
        <v>46500</v>
      </c>
    </row>
    <row r="17" spans="1:19" ht="21" customHeight="1">
      <c r="A17" s="20">
        <v>10</v>
      </c>
      <c r="B17" s="21" t="s">
        <v>48</v>
      </c>
      <c r="C17" s="30" t="s">
        <v>49</v>
      </c>
      <c r="D17" s="22"/>
      <c r="E17" s="23" t="s">
        <v>50</v>
      </c>
      <c r="F17" s="3">
        <v>34</v>
      </c>
      <c r="G17" s="3">
        <v>34</v>
      </c>
      <c r="H17" s="24">
        <v>23600</v>
      </c>
      <c r="I17" s="3"/>
      <c r="J17" s="25">
        <v>23600</v>
      </c>
      <c r="K17" s="31"/>
      <c r="L17" s="32"/>
      <c r="M17" s="35"/>
      <c r="N17" s="23" t="s">
        <v>50</v>
      </c>
      <c r="O17" s="3">
        <v>34</v>
      </c>
      <c r="P17" s="3">
        <v>34</v>
      </c>
      <c r="Q17" s="24">
        <v>23600</v>
      </c>
      <c r="R17" s="3"/>
      <c r="S17" s="25">
        <v>23600</v>
      </c>
    </row>
    <row r="18" spans="1:19" ht="21" customHeight="1">
      <c r="A18" s="20">
        <v>11</v>
      </c>
      <c r="B18" s="33" t="s">
        <v>51</v>
      </c>
      <c r="C18" s="22" t="s">
        <v>52</v>
      </c>
      <c r="D18" s="34"/>
      <c r="E18" s="23" t="s">
        <v>53</v>
      </c>
      <c r="F18" s="3">
        <v>39.049999999999997</v>
      </c>
      <c r="G18" s="3">
        <v>39</v>
      </c>
      <c r="H18" s="24">
        <v>39100</v>
      </c>
      <c r="I18" s="3"/>
      <c r="J18" s="25">
        <v>39100</v>
      </c>
      <c r="K18" s="31"/>
      <c r="L18" s="32"/>
      <c r="M18" s="28"/>
      <c r="N18" s="23" t="s">
        <v>53</v>
      </c>
      <c r="O18" s="3">
        <v>39.049999999999997</v>
      </c>
      <c r="P18" s="3">
        <v>39</v>
      </c>
      <c r="Q18" s="24">
        <v>39100</v>
      </c>
      <c r="R18" s="3"/>
      <c r="S18" s="25">
        <v>39100</v>
      </c>
    </row>
    <row r="19" spans="1:19" ht="21" customHeight="1">
      <c r="A19" s="20">
        <v>12</v>
      </c>
      <c r="B19" s="33" t="s">
        <v>54</v>
      </c>
      <c r="C19" s="22" t="s">
        <v>55</v>
      </c>
      <c r="D19" s="22"/>
      <c r="E19" s="23" t="s">
        <v>56</v>
      </c>
      <c r="F19" s="3">
        <v>52</v>
      </c>
      <c r="G19" s="3">
        <v>69</v>
      </c>
      <c r="H19" s="24">
        <v>104000</v>
      </c>
      <c r="I19" s="3"/>
      <c r="J19" s="25">
        <v>104000</v>
      </c>
      <c r="K19" s="31"/>
      <c r="L19" s="32"/>
      <c r="M19" s="28"/>
      <c r="N19" s="23" t="s">
        <v>56</v>
      </c>
      <c r="O19" s="3">
        <v>52</v>
      </c>
      <c r="P19" s="3">
        <v>69</v>
      </c>
      <c r="Q19" s="24">
        <v>104000</v>
      </c>
      <c r="R19" s="3"/>
      <c r="S19" s="25">
        <v>104000</v>
      </c>
    </row>
    <row r="20" spans="1:19" ht="21" customHeight="1">
      <c r="A20" s="20">
        <v>13</v>
      </c>
      <c r="B20" s="21" t="s">
        <v>57</v>
      </c>
      <c r="C20" s="30" t="s">
        <v>58</v>
      </c>
      <c r="D20" s="34"/>
      <c r="E20" s="23" t="s">
        <v>59</v>
      </c>
      <c r="F20" s="3">
        <v>4</v>
      </c>
      <c r="G20" s="3">
        <v>4</v>
      </c>
      <c r="H20" s="24">
        <v>5000</v>
      </c>
      <c r="I20" s="3"/>
      <c r="J20" s="25">
        <v>5000</v>
      </c>
      <c r="K20" s="31"/>
      <c r="L20" s="32"/>
      <c r="M20" s="28"/>
      <c r="N20" s="23" t="s">
        <v>59</v>
      </c>
      <c r="O20" s="3">
        <v>4</v>
      </c>
      <c r="P20" s="3">
        <v>4</v>
      </c>
      <c r="Q20" s="24">
        <v>5000</v>
      </c>
      <c r="R20" s="3"/>
      <c r="S20" s="25">
        <v>5000</v>
      </c>
    </row>
    <row r="21" spans="1:19" ht="21" customHeight="1">
      <c r="A21" s="20">
        <v>14</v>
      </c>
      <c r="B21" s="21" t="s">
        <v>60</v>
      </c>
      <c r="C21" s="30" t="s">
        <v>61</v>
      </c>
      <c r="D21" s="22"/>
      <c r="E21" s="23" t="s">
        <v>62</v>
      </c>
      <c r="F21" s="3">
        <v>68</v>
      </c>
      <c r="G21" s="3">
        <v>68</v>
      </c>
      <c r="H21" s="24">
        <v>48500</v>
      </c>
      <c r="I21" s="3"/>
      <c r="J21" s="25">
        <v>48500</v>
      </c>
      <c r="K21" s="31"/>
      <c r="L21" s="32"/>
      <c r="M21" s="28"/>
      <c r="N21" s="23" t="s">
        <v>62</v>
      </c>
      <c r="O21" s="3">
        <v>68</v>
      </c>
      <c r="P21" s="3">
        <v>68</v>
      </c>
      <c r="Q21" s="24">
        <v>48500</v>
      </c>
      <c r="R21" s="3"/>
      <c r="S21" s="25">
        <v>48500</v>
      </c>
    </row>
    <row r="22" spans="1:19" ht="21" customHeight="1">
      <c r="A22" s="20">
        <v>15</v>
      </c>
      <c r="B22" s="21" t="s">
        <v>63</v>
      </c>
      <c r="C22" s="21" t="s">
        <v>64</v>
      </c>
      <c r="D22" s="22"/>
      <c r="E22" s="23" t="s">
        <v>65</v>
      </c>
      <c r="F22" s="3">
        <v>38</v>
      </c>
      <c r="G22" s="3">
        <v>55</v>
      </c>
      <c r="H22" s="24">
        <v>38000</v>
      </c>
      <c r="I22" s="3"/>
      <c r="J22" s="25">
        <v>38000</v>
      </c>
      <c r="K22" s="31"/>
      <c r="L22" s="32"/>
      <c r="M22" s="28"/>
      <c r="N22" s="23" t="s">
        <v>65</v>
      </c>
      <c r="O22" s="3">
        <v>38</v>
      </c>
      <c r="P22" s="3">
        <v>55</v>
      </c>
      <c r="Q22" s="24">
        <v>38000</v>
      </c>
      <c r="R22" s="3"/>
      <c r="S22" s="25">
        <v>38000</v>
      </c>
    </row>
    <row r="23" spans="1:19" ht="21" customHeight="1">
      <c r="A23" s="20">
        <v>16</v>
      </c>
      <c r="B23" s="36" t="s">
        <v>66</v>
      </c>
      <c r="C23" s="36" t="s">
        <v>67</v>
      </c>
      <c r="D23" s="37"/>
      <c r="E23" s="38" t="s">
        <v>68</v>
      </c>
      <c r="F23" s="39">
        <v>16</v>
      </c>
      <c r="G23" s="39">
        <v>37</v>
      </c>
      <c r="H23" s="40">
        <v>37600</v>
      </c>
      <c r="I23" s="39"/>
      <c r="J23" s="41">
        <v>37600</v>
      </c>
      <c r="K23" s="42"/>
      <c r="L23" s="43"/>
      <c r="M23" s="44"/>
      <c r="N23" s="38" t="s">
        <v>68</v>
      </c>
      <c r="O23" s="39">
        <v>16</v>
      </c>
      <c r="P23" s="39">
        <v>37</v>
      </c>
      <c r="Q23" s="40">
        <v>37600</v>
      </c>
      <c r="R23" s="39"/>
      <c r="S23" s="41">
        <v>37600</v>
      </c>
    </row>
    <row r="24" spans="1:19" ht="21" customHeight="1" thickBot="1">
      <c r="A24" s="45"/>
      <c r="B24" s="46" t="s">
        <v>18</v>
      </c>
      <c r="C24" s="47"/>
      <c r="D24" s="48"/>
      <c r="E24" s="49"/>
      <c r="F24" s="50"/>
      <c r="G24" s="50"/>
      <c r="H24" s="51">
        <f>SUM(H8:H23)</f>
        <v>711100</v>
      </c>
      <c r="I24" s="51">
        <v>0</v>
      </c>
      <c r="J24" s="51">
        <f>SUM(J8:J23)</f>
        <v>711100</v>
      </c>
      <c r="K24" s="52"/>
      <c r="L24" s="53"/>
      <c r="M24" s="54">
        <f>SUM(M8:M23)</f>
        <v>0</v>
      </c>
      <c r="N24" s="49"/>
      <c r="O24" s="50"/>
      <c r="P24" s="50"/>
      <c r="Q24" s="51">
        <f>SUM(Q8:Q23)</f>
        <v>711100</v>
      </c>
      <c r="R24" s="51">
        <f ca="1">SUM(R8:R39)</f>
        <v>0</v>
      </c>
      <c r="S24" s="51">
        <f>SUM(S8:S23)</f>
        <v>711100</v>
      </c>
    </row>
    <row r="25" spans="1:19" s="1" customFormat="1" ht="21" customHeight="1" thickTop="1">
      <c r="A25" s="55"/>
      <c r="B25" s="56" t="s">
        <v>69</v>
      </c>
      <c r="D25" s="57"/>
      <c r="E25" s="58"/>
      <c r="F25" s="59"/>
      <c r="G25" s="29"/>
      <c r="H25" s="29"/>
      <c r="I25" s="29"/>
      <c r="J25" s="29"/>
      <c r="K25" s="60"/>
      <c r="L25" s="61"/>
      <c r="M25" s="61"/>
    </row>
    <row r="26" spans="1:19" ht="21" customHeight="1">
      <c r="A26" s="20">
        <v>1</v>
      </c>
      <c r="B26" s="21" t="s">
        <v>70</v>
      </c>
      <c r="C26" s="21" t="s">
        <v>71</v>
      </c>
      <c r="D26" s="6"/>
      <c r="E26" s="23" t="s">
        <v>72</v>
      </c>
      <c r="F26" s="3">
        <v>7</v>
      </c>
      <c r="G26" s="3">
        <v>141</v>
      </c>
      <c r="H26" s="24">
        <v>20000</v>
      </c>
      <c r="I26" s="3"/>
      <c r="J26" s="25">
        <v>20000</v>
      </c>
      <c r="K26" s="26"/>
      <c r="L26" s="27"/>
      <c r="M26" s="28"/>
      <c r="N26" s="23" t="s">
        <v>72</v>
      </c>
      <c r="O26" s="3">
        <v>7</v>
      </c>
      <c r="P26" s="3">
        <v>141</v>
      </c>
      <c r="Q26" s="24">
        <v>20000</v>
      </c>
      <c r="R26" s="3"/>
      <c r="S26" s="25">
        <v>20000</v>
      </c>
    </row>
    <row r="27" spans="1:19" ht="21" customHeight="1" thickBot="1">
      <c r="A27" s="45"/>
      <c r="B27" s="46" t="s">
        <v>18</v>
      </c>
      <c r="C27" s="47"/>
      <c r="D27" s="48"/>
      <c r="E27" s="49"/>
      <c r="F27" s="50"/>
      <c r="G27" s="50"/>
      <c r="H27" s="51">
        <v>20000</v>
      </c>
      <c r="I27" s="51">
        <v>0</v>
      </c>
      <c r="J27" s="51">
        <v>20000</v>
      </c>
      <c r="K27" s="62"/>
      <c r="L27" s="53"/>
      <c r="M27" s="54"/>
      <c r="N27" s="49"/>
      <c r="O27" s="50"/>
      <c r="P27" s="50"/>
      <c r="Q27" s="51">
        <f t="shared" ref="Q27:S27" si="0">SUM(Q26)</f>
        <v>20000</v>
      </c>
      <c r="R27" s="51">
        <f t="shared" si="0"/>
        <v>0</v>
      </c>
      <c r="S27" s="51">
        <f t="shared" si="0"/>
        <v>20000</v>
      </c>
    </row>
    <row r="28" spans="1:19" ht="21" customHeight="1" thickTop="1">
      <c r="B28" s="1"/>
      <c r="C28" s="1"/>
      <c r="D28" s="63"/>
      <c r="E28" s="64"/>
      <c r="F28" s="58"/>
      <c r="G28" s="58"/>
      <c r="H28" s="65"/>
      <c r="I28" s="58"/>
      <c r="J28" s="59"/>
      <c r="K28" s="66"/>
      <c r="L28" s="67"/>
      <c r="M28" s="68"/>
      <c r="N28" s="64"/>
      <c r="Q28" s="65"/>
      <c r="S28" s="59"/>
    </row>
    <row r="29" spans="1:19" s="1" customFormat="1" ht="21" customHeight="1">
      <c r="A29" s="55"/>
      <c r="B29" s="69" t="s">
        <v>73</v>
      </c>
      <c r="D29" s="57"/>
      <c r="E29" s="58"/>
      <c r="F29" s="59"/>
      <c r="G29" s="29"/>
      <c r="H29" s="29"/>
      <c r="I29" s="29"/>
      <c r="J29" s="29"/>
      <c r="K29" s="60"/>
      <c r="L29" s="61"/>
      <c r="M29" s="61"/>
    </row>
    <row r="30" spans="1:19" ht="21" customHeight="1">
      <c r="A30" s="20">
        <v>1</v>
      </c>
      <c r="B30" s="21" t="s">
        <v>74</v>
      </c>
      <c r="C30" s="70" t="s">
        <v>75</v>
      </c>
      <c r="D30" s="6"/>
      <c r="E30" s="24"/>
      <c r="F30" s="3"/>
      <c r="G30" s="3"/>
      <c r="H30" s="24">
        <v>0</v>
      </c>
      <c r="I30" s="3"/>
      <c r="J30" s="25">
        <v>0</v>
      </c>
      <c r="K30" s="71"/>
      <c r="L30" s="72"/>
      <c r="M30" s="28"/>
      <c r="N30" s="23"/>
      <c r="O30" s="3"/>
      <c r="P30" s="3"/>
      <c r="Q30" s="24">
        <f>SUM(H30-M30)</f>
        <v>0</v>
      </c>
      <c r="R30" s="24"/>
      <c r="S30" s="24">
        <f>SUM(J30-M30)</f>
        <v>0</v>
      </c>
    </row>
    <row r="31" spans="1:19" ht="21" customHeight="1">
      <c r="A31" s="20"/>
      <c r="B31" s="33" t="s">
        <v>74</v>
      </c>
      <c r="C31" s="73" t="s">
        <v>79</v>
      </c>
      <c r="D31" s="34"/>
      <c r="E31" s="23" t="s">
        <v>80</v>
      </c>
      <c r="F31" s="3">
        <v>43</v>
      </c>
      <c r="G31" s="3">
        <v>43</v>
      </c>
      <c r="H31" s="24">
        <v>85800</v>
      </c>
      <c r="I31" s="3"/>
      <c r="J31" s="25">
        <v>85800</v>
      </c>
      <c r="K31" s="31" t="s">
        <v>105</v>
      </c>
      <c r="L31" s="32" t="s">
        <v>106</v>
      </c>
      <c r="M31" s="28">
        <v>300</v>
      </c>
      <c r="N31" s="23" t="s">
        <v>80</v>
      </c>
      <c r="O31" s="3">
        <v>43</v>
      </c>
      <c r="P31" s="3">
        <v>43</v>
      </c>
      <c r="Q31" s="24">
        <f t="shared" ref="Q31:Q34" si="1">SUM(H31-M31)</f>
        <v>85500</v>
      </c>
      <c r="R31" s="24"/>
      <c r="S31" s="24">
        <f t="shared" ref="S31:S34" si="2">SUM(J31-M31)</f>
        <v>85500</v>
      </c>
    </row>
    <row r="32" spans="1:19" ht="21" customHeight="1">
      <c r="A32" s="20">
        <v>2</v>
      </c>
      <c r="B32" s="33" t="s">
        <v>81</v>
      </c>
      <c r="C32" s="22" t="s">
        <v>82</v>
      </c>
      <c r="D32" s="34"/>
      <c r="E32" s="23" t="s">
        <v>83</v>
      </c>
      <c r="F32" s="3">
        <v>24</v>
      </c>
      <c r="G32" s="3">
        <v>35</v>
      </c>
      <c r="H32" s="24">
        <v>3000</v>
      </c>
      <c r="I32" s="3"/>
      <c r="J32" s="25">
        <v>3000</v>
      </c>
      <c r="K32" s="26" t="s">
        <v>105</v>
      </c>
      <c r="L32" s="32" t="s">
        <v>107</v>
      </c>
      <c r="M32" s="28">
        <v>1000</v>
      </c>
      <c r="N32" s="23" t="s">
        <v>83</v>
      </c>
      <c r="O32" s="3">
        <v>24</v>
      </c>
      <c r="P32" s="3">
        <v>35</v>
      </c>
      <c r="Q32" s="24">
        <f t="shared" si="1"/>
        <v>2000</v>
      </c>
      <c r="R32" s="24"/>
      <c r="S32" s="24">
        <f t="shared" si="2"/>
        <v>2000</v>
      </c>
    </row>
    <row r="33" spans="1:19" ht="21" customHeight="1">
      <c r="A33" s="20"/>
      <c r="B33" s="33" t="s">
        <v>81</v>
      </c>
      <c r="C33" s="22" t="s">
        <v>85</v>
      </c>
      <c r="D33" s="34"/>
      <c r="E33" s="23" t="s">
        <v>83</v>
      </c>
      <c r="F33" s="3">
        <v>24</v>
      </c>
      <c r="G33" s="3">
        <v>35</v>
      </c>
      <c r="H33" s="24">
        <v>21000</v>
      </c>
      <c r="I33" s="3"/>
      <c r="J33" s="25">
        <v>21000</v>
      </c>
      <c r="K33" s="31"/>
      <c r="L33" s="32"/>
      <c r="M33" s="28"/>
      <c r="N33" s="23" t="s">
        <v>83</v>
      </c>
      <c r="O33" s="3">
        <v>24</v>
      </c>
      <c r="P33" s="3">
        <v>35</v>
      </c>
      <c r="Q33" s="24">
        <f t="shared" si="1"/>
        <v>21000</v>
      </c>
      <c r="R33" s="24"/>
      <c r="S33" s="24">
        <f t="shared" si="2"/>
        <v>21000</v>
      </c>
    </row>
    <row r="34" spans="1:19" ht="21" customHeight="1">
      <c r="A34" s="20">
        <v>3</v>
      </c>
      <c r="B34" s="21" t="s">
        <v>86</v>
      </c>
      <c r="C34" s="30" t="s">
        <v>87</v>
      </c>
      <c r="D34" s="22"/>
      <c r="E34" s="23" t="s">
        <v>50</v>
      </c>
      <c r="F34" s="3">
        <v>34</v>
      </c>
      <c r="G34" s="3">
        <v>34</v>
      </c>
      <c r="H34" s="24">
        <v>6000</v>
      </c>
      <c r="I34" s="3"/>
      <c r="J34" s="25">
        <v>6000</v>
      </c>
      <c r="K34" s="31" t="s">
        <v>108</v>
      </c>
      <c r="L34" s="32" t="s">
        <v>109</v>
      </c>
      <c r="M34" s="35">
        <v>1000</v>
      </c>
      <c r="N34" s="23" t="s">
        <v>50</v>
      </c>
      <c r="O34" s="3">
        <v>34</v>
      </c>
      <c r="P34" s="3">
        <v>34</v>
      </c>
      <c r="Q34" s="24">
        <f t="shared" si="1"/>
        <v>5000</v>
      </c>
      <c r="R34" s="3"/>
      <c r="S34" s="24">
        <f t="shared" si="2"/>
        <v>5000</v>
      </c>
    </row>
    <row r="35" spans="1:19" ht="21" customHeight="1" thickBot="1">
      <c r="A35" s="45"/>
      <c r="B35" s="46" t="s">
        <v>18</v>
      </c>
      <c r="C35" s="47"/>
      <c r="D35" s="48"/>
      <c r="E35" s="49"/>
      <c r="F35" s="50"/>
      <c r="G35" s="50"/>
      <c r="H35" s="51">
        <f>SUM(H30:H34)</f>
        <v>115800</v>
      </c>
      <c r="I35" s="51">
        <v>0</v>
      </c>
      <c r="J35" s="51">
        <f>SUM(J30:J34)</f>
        <v>115800</v>
      </c>
      <c r="K35" s="62"/>
      <c r="L35" s="53"/>
      <c r="M35" s="74">
        <f>SUM(M30:M34)</f>
        <v>2300</v>
      </c>
      <c r="N35" s="49"/>
      <c r="O35" s="50"/>
      <c r="P35" s="50"/>
      <c r="Q35" s="51">
        <f>SUM(Q30:Q34)</f>
        <v>113500</v>
      </c>
      <c r="R35" s="51">
        <f>SUM(R30:R33)</f>
        <v>0</v>
      </c>
      <c r="S35" s="51">
        <f>SUM(S30:S34)</f>
        <v>113500</v>
      </c>
    </row>
    <row r="36" spans="1:19" s="85" customFormat="1" ht="21" customHeight="1" thickTop="1">
      <c r="A36" s="75"/>
      <c r="B36" s="76"/>
      <c r="C36" s="77"/>
      <c r="D36" s="78"/>
      <c r="E36" s="79"/>
      <c r="F36" s="80"/>
      <c r="G36" s="80"/>
      <c r="H36" s="81"/>
      <c r="I36" s="81"/>
      <c r="J36" s="81"/>
      <c r="K36" s="82"/>
      <c r="L36" s="83"/>
      <c r="M36" s="84"/>
      <c r="N36" s="79"/>
      <c r="O36" s="80"/>
      <c r="P36" s="80"/>
      <c r="Q36" s="81"/>
      <c r="R36" s="81"/>
      <c r="S36" s="81"/>
    </row>
    <row r="37" spans="1:19" ht="21" customHeight="1">
      <c r="B37" s="86" t="s">
        <v>90</v>
      </c>
    </row>
    <row r="38" spans="1:19" ht="21" customHeight="1">
      <c r="A38" s="20">
        <v>1</v>
      </c>
      <c r="B38" s="33" t="s">
        <v>91</v>
      </c>
      <c r="C38" s="73" t="s">
        <v>92</v>
      </c>
      <c r="D38" s="34"/>
      <c r="E38" s="23" t="s">
        <v>93</v>
      </c>
      <c r="F38" s="3">
        <v>2</v>
      </c>
      <c r="G38" s="3">
        <v>2</v>
      </c>
      <c r="H38" s="24">
        <v>11000</v>
      </c>
      <c r="I38" s="3"/>
      <c r="J38" s="25">
        <v>11000</v>
      </c>
      <c r="K38" s="31"/>
      <c r="L38" s="32"/>
      <c r="M38" s="28"/>
      <c r="N38" s="23" t="s">
        <v>93</v>
      </c>
      <c r="O38" s="3">
        <v>2</v>
      </c>
      <c r="P38" s="3">
        <v>2</v>
      </c>
      <c r="Q38" s="24">
        <v>11000</v>
      </c>
      <c r="R38" s="3"/>
      <c r="S38" s="25">
        <v>11000</v>
      </c>
    </row>
    <row r="39" spans="1:19" ht="21" customHeight="1">
      <c r="A39" s="20">
        <v>2</v>
      </c>
      <c r="B39" s="70" t="s">
        <v>94</v>
      </c>
      <c r="C39" s="30" t="s">
        <v>95</v>
      </c>
      <c r="D39" s="22"/>
      <c r="E39" s="23" t="s">
        <v>96</v>
      </c>
      <c r="F39" s="3">
        <v>3</v>
      </c>
      <c r="G39" s="3">
        <v>3</v>
      </c>
      <c r="H39" s="24">
        <v>6000</v>
      </c>
      <c r="I39" s="3"/>
      <c r="J39" s="25">
        <v>6000</v>
      </c>
      <c r="K39" s="31"/>
      <c r="L39" s="32"/>
      <c r="M39" s="27"/>
      <c r="N39" s="23" t="s">
        <v>96</v>
      </c>
      <c r="O39" s="3">
        <v>3</v>
      </c>
      <c r="P39" s="3">
        <v>3</v>
      </c>
      <c r="Q39" s="24">
        <f>SUM(H39-M39)</f>
        <v>6000</v>
      </c>
      <c r="R39" s="24"/>
      <c r="S39" s="24">
        <f>SUM(J39-M39)</f>
        <v>6000</v>
      </c>
    </row>
    <row r="40" spans="1:19" ht="21" customHeight="1" thickBot="1">
      <c r="A40" s="45"/>
      <c r="B40" s="46" t="s">
        <v>18</v>
      </c>
      <c r="C40" s="47"/>
      <c r="D40" s="48"/>
      <c r="E40" s="49"/>
      <c r="F40" s="50"/>
      <c r="G40" s="50"/>
      <c r="H40" s="51">
        <v>17000</v>
      </c>
      <c r="I40" s="51">
        <v>0</v>
      </c>
      <c r="J40" s="51">
        <v>17000</v>
      </c>
      <c r="K40" s="62"/>
      <c r="L40" s="53"/>
      <c r="M40" s="74">
        <f>SUM(M36:M39)</f>
        <v>0</v>
      </c>
      <c r="N40" s="49"/>
      <c r="O40" s="50"/>
      <c r="P40" s="50"/>
      <c r="Q40" s="51">
        <f>SUM(Q36:Q39)</f>
        <v>17000</v>
      </c>
      <c r="R40" s="51">
        <f>SUM(R36:R39)</f>
        <v>0</v>
      </c>
      <c r="S40" s="51">
        <f>SUM(S36:S39)</f>
        <v>17000</v>
      </c>
    </row>
    <row r="41" spans="1:19" s="85" customFormat="1" ht="21" customHeight="1" thickTop="1">
      <c r="A41" s="75"/>
      <c r="B41" s="93"/>
      <c r="C41" s="77"/>
      <c r="D41" s="78"/>
      <c r="E41" s="79"/>
      <c r="F41" s="80"/>
      <c r="G41" s="80"/>
      <c r="H41" s="81"/>
      <c r="I41" s="80"/>
      <c r="J41" s="94"/>
      <c r="K41" s="82"/>
      <c r="L41" s="83"/>
      <c r="M41" s="95"/>
      <c r="N41" s="79"/>
      <c r="O41" s="80"/>
      <c r="P41" s="80"/>
      <c r="Q41" s="81"/>
      <c r="R41" s="81"/>
      <c r="S41" s="81"/>
    </row>
    <row r="42" spans="1:19" ht="21" customHeight="1">
      <c r="H42" s="96">
        <f>SUM(H24+H27+H35+H40)</f>
        <v>863900</v>
      </c>
      <c r="I42" s="96">
        <f t="shared" ref="I42:P42" si="3">SUM(I24+I27+I35+I40)</f>
        <v>0</v>
      </c>
      <c r="J42" s="96">
        <f t="shared" si="3"/>
        <v>863900</v>
      </c>
      <c r="K42" s="96">
        <f t="shared" si="3"/>
        <v>0</v>
      </c>
      <c r="L42" s="96">
        <f t="shared" si="3"/>
        <v>0</v>
      </c>
      <c r="M42" s="96">
        <f t="shared" si="3"/>
        <v>2300</v>
      </c>
      <c r="N42" s="96">
        <f t="shared" si="3"/>
        <v>0</v>
      </c>
      <c r="O42" s="96">
        <f t="shared" si="3"/>
        <v>0</v>
      </c>
      <c r="P42" s="96">
        <f t="shared" si="3"/>
        <v>0</v>
      </c>
      <c r="Q42" s="96">
        <f>SUM(Q24+Q27+Q35+Q40)</f>
        <v>861600</v>
      </c>
      <c r="R42" s="96">
        <f ca="1">SUM(R24+R27+R35+R40)</f>
        <v>0</v>
      </c>
      <c r="S42" s="96">
        <f>SUM(S24+S27+S35+S40)</f>
        <v>861600</v>
      </c>
    </row>
    <row r="44" spans="1:19" ht="21" customHeight="1">
      <c r="S44" s="58"/>
    </row>
    <row r="52" spans="1:18" ht="21" customHeight="1">
      <c r="A52" s="29"/>
      <c r="R52" s="29"/>
    </row>
    <row r="53" spans="1:18" ht="21" customHeight="1">
      <c r="A53" s="29"/>
      <c r="R53" s="29"/>
    </row>
    <row r="63" spans="1:18" ht="21" customHeight="1">
      <c r="A63" s="29"/>
      <c r="R63" s="29"/>
    </row>
    <row r="64" spans="1:18" ht="21" customHeight="1">
      <c r="A64" s="29"/>
      <c r="R64" s="29"/>
    </row>
    <row r="67" spans="1:19" ht="21" customHeight="1">
      <c r="A67" s="29"/>
      <c r="C67" s="29"/>
      <c r="D67" s="29"/>
      <c r="F67" s="29"/>
      <c r="G67" s="29"/>
      <c r="H67" s="29"/>
      <c r="I67" s="29"/>
      <c r="J67" s="29"/>
      <c r="K67" s="2"/>
      <c r="L67" s="29"/>
      <c r="O67" s="29"/>
      <c r="P67" s="29"/>
      <c r="Q67" s="29"/>
      <c r="R67" s="29" t="s">
        <v>97</v>
      </c>
      <c r="S67" s="58">
        <v>32</v>
      </c>
    </row>
    <row r="68" spans="1:19" ht="21" customHeight="1">
      <c r="A68" s="29"/>
      <c r="C68" s="29"/>
      <c r="D68" s="29"/>
      <c r="F68" s="29"/>
      <c r="G68" s="29"/>
      <c r="H68" s="29"/>
      <c r="I68" s="29"/>
      <c r="J68" s="29"/>
      <c r="K68" s="2"/>
      <c r="L68" s="29"/>
      <c r="O68" s="29"/>
      <c r="P68" s="29"/>
      <c r="Q68" s="29"/>
      <c r="R68" s="55" t="s">
        <v>98</v>
      </c>
      <c r="S68" s="55">
        <v>18</v>
      </c>
    </row>
    <row r="122" spans="1:19" ht="21" customHeight="1">
      <c r="A122" s="97" t="s">
        <v>99</v>
      </c>
      <c r="B122" s="36" t="s">
        <v>100</v>
      </c>
      <c r="C122" s="98" t="s">
        <v>101</v>
      </c>
      <c r="D122" s="37">
        <v>1100</v>
      </c>
      <c r="E122" s="38" t="s">
        <v>102</v>
      </c>
      <c r="F122" s="39">
        <v>1</v>
      </c>
      <c r="G122" s="39">
        <v>1</v>
      </c>
      <c r="H122" s="40">
        <v>1100</v>
      </c>
      <c r="I122" s="39"/>
      <c r="J122" s="41">
        <v>1100</v>
      </c>
      <c r="K122" s="99"/>
      <c r="L122" s="100"/>
      <c r="M122" s="101"/>
      <c r="N122" s="38" t="s">
        <v>103</v>
      </c>
      <c r="O122" s="39">
        <v>2</v>
      </c>
      <c r="P122" s="39">
        <v>2</v>
      </c>
      <c r="Q122" s="40">
        <v>2200</v>
      </c>
      <c r="R122" s="39"/>
      <c r="S122" s="41">
        <v>1100</v>
      </c>
    </row>
  </sheetData>
  <mergeCells count="19"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N5:N6"/>
    <mergeCell ref="O5:O6"/>
    <mergeCell ref="Q5:S5"/>
    <mergeCell ref="E5:E6"/>
    <mergeCell ref="F5:F6"/>
    <mergeCell ref="H5:J5"/>
    <mergeCell ref="K5:K6"/>
    <mergeCell ref="L5:L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10E2-0706-4351-ABBF-5193CD39A8E8}">
  <sheetPr>
    <tabColor rgb="FF92D050"/>
  </sheetPr>
  <dimension ref="A1:H89"/>
  <sheetViews>
    <sheetView zoomScale="90" zoomScaleNormal="90" workbookViewId="0">
      <pane ySplit="6" topLeftCell="A7" activePane="bottomLeft" state="frozen"/>
      <selection pane="bottomLeft" activeCell="F16" sqref="F16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90"/>
    <col min="5" max="5" width="13.88671875" style="91"/>
    <col min="6" max="6" width="13.6640625" style="29" customWidth="1"/>
    <col min="7" max="16384" width="13.88671875" style="29"/>
  </cols>
  <sheetData>
    <row r="1" spans="1:8" s="1" customFormat="1" ht="21" customHeight="1">
      <c r="A1" s="198" t="s">
        <v>0</v>
      </c>
      <c r="B1" s="198"/>
      <c r="C1" s="198"/>
      <c r="D1" s="198"/>
      <c r="E1" s="198"/>
      <c r="F1" s="198"/>
    </row>
    <row r="2" spans="1:8" s="1" customFormat="1" ht="21" customHeight="1">
      <c r="A2" s="199" t="s">
        <v>1</v>
      </c>
      <c r="B2" s="199"/>
      <c r="C2" s="199"/>
      <c r="D2" s="199"/>
      <c r="E2" s="199"/>
      <c r="F2" s="199"/>
    </row>
    <row r="3" spans="1:8" s="1" customFormat="1" ht="21" customHeight="1">
      <c r="A3" s="200" t="s">
        <v>104</v>
      </c>
      <c r="B3" s="200"/>
      <c r="C3" s="200"/>
      <c r="D3" s="200"/>
      <c r="E3" s="200"/>
      <c r="F3" s="200"/>
    </row>
    <row r="4" spans="1:8" s="1" customFormat="1" ht="21" customHeight="1">
      <c r="A4" s="201" t="s">
        <v>3</v>
      </c>
      <c r="B4" s="201" t="s">
        <v>4</v>
      </c>
      <c r="C4" s="204" t="s">
        <v>5</v>
      </c>
      <c r="D4" s="214" t="s">
        <v>8</v>
      </c>
      <c r="E4" s="214"/>
      <c r="F4" s="214"/>
    </row>
    <row r="5" spans="1:8" s="1" customFormat="1" ht="21" customHeight="1">
      <c r="A5" s="202"/>
      <c r="B5" s="202"/>
      <c r="C5" s="205"/>
      <c r="D5" s="216" t="s">
        <v>12</v>
      </c>
      <c r="E5" s="218" t="s">
        <v>13</v>
      </c>
      <c r="F5" s="209" t="s">
        <v>14</v>
      </c>
    </row>
    <row r="6" spans="1:8" s="1" customFormat="1" ht="21" customHeight="1">
      <c r="A6" s="203"/>
      <c r="B6" s="203"/>
      <c r="C6" s="206"/>
      <c r="D6" s="217"/>
      <c r="E6" s="219"/>
      <c r="F6" s="210"/>
    </row>
    <row r="7" spans="1:8" s="1" customFormat="1" ht="21" customHeight="1">
      <c r="A7" s="55"/>
      <c r="B7" s="69" t="s">
        <v>73</v>
      </c>
      <c r="D7" s="60"/>
      <c r="E7" s="61"/>
      <c r="F7" s="61"/>
    </row>
    <row r="8" spans="1:8" ht="21" customHeight="1">
      <c r="A8" s="20">
        <v>1</v>
      </c>
      <c r="B8" s="33" t="s">
        <v>74</v>
      </c>
      <c r="C8" s="73" t="s">
        <v>79</v>
      </c>
      <c r="D8" s="31" t="s">
        <v>105</v>
      </c>
      <c r="E8" s="32" t="s">
        <v>106</v>
      </c>
      <c r="F8" s="28">
        <v>300</v>
      </c>
    </row>
    <row r="9" spans="1:8" ht="21" customHeight="1">
      <c r="A9" s="20">
        <v>2</v>
      </c>
      <c r="B9" s="33" t="s">
        <v>81</v>
      </c>
      <c r="C9" s="22" t="s">
        <v>82</v>
      </c>
      <c r="D9" s="26" t="s">
        <v>105</v>
      </c>
      <c r="E9" s="32" t="s">
        <v>107</v>
      </c>
      <c r="F9" s="28">
        <v>1000</v>
      </c>
    </row>
    <row r="10" spans="1:8" ht="21" customHeight="1">
      <c r="A10" s="20">
        <v>3</v>
      </c>
      <c r="B10" s="21" t="s">
        <v>86</v>
      </c>
      <c r="C10" s="30" t="s">
        <v>87</v>
      </c>
      <c r="D10" s="31" t="s">
        <v>108</v>
      </c>
      <c r="E10" s="32" t="s">
        <v>109</v>
      </c>
      <c r="F10" s="35">
        <v>1000</v>
      </c>
    </row>
    <row r="11" spans="1:8" ht="21" customHeight="1" thickBot="1">
      <c r="A11" s="45"/>
      <c r="B11" s="46" t="s">
        <v>18</v>
      </c>
      <c r="C11" s="47"/>
      <c r="D11" s="62"/>
      <c r="E11" s="53"/>
      <c r="F11" s="74">
        <v>2300</v>
      </c>
      <c r="H11" s="29">
        <f>SUM(F8:F10)</f>
        <v>2300</v>
      </c>
    </row>
    <row r="12" spans="1:8" ht="21" customHeight="1" thickTop="1"/>
    <row r="19" spans="1:1" ht="21" customHeight="1">
      <c r="A19" s="29"/>
    </row>
    <row r="20" spans="1:1" ht="21" customHeight="1">
      <c r="A20" s="29"/>
    </row>
    <row r="30" spans="1:1" ht="21" customHeight="1">
      <c r="A30" s="29"/>
    </row>
    <row r="31" spans="1:1" ht="21" customHeight="1">
      <c r="A31" s="29"/>
    </row>
    <row r="34" spans="4:4" s="29" customFormat="1" ht="21" customHeight="1">
      <c r="D34" s="2"/>
    </row>
    <row r="35" spans="4:4" s="29" customFormat="1" ht="21" customHeight="1">
      <c r="D35" s="2"/>
    </row>
    <row r="89" spans="1:6" ht="21" customHeight="1">
      <c r="A89" s="97" t="s">
        <v>99</v>
      </c>
      <c r="B89" s="36" t="s">
        <v>100</v>
      </c>
      <c r="C89" s="98" t="s">
        <v>101</v>
      </c>
      <c r="D89" s="99"/>
      <c r="E89" s="100"/>
      <c r="F89" s="101"/>
    </row>
  </sheetData>
  <mergeCells count="10">
    <mergeCell ref="D5:D6"/>
    <mergeCell ref="E5:E6"/>
    <mergeCell ref="F5:F6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8888-4BD5-4160-887A-8E932368869F}">
  <sheetPr>
    <tabColor rgb="FF92D050"/>
  </sheetPr>
  <dimension ref="A1:I121"/>
  <sheetViews>
    <sheetView topLeftCell="B1" zoomScale="90" zoomScaleNormal="90" workbookViewId="0">
      <pane ySplit="6" topLeftCell="A27" activePane="bottomLeft" state="frozen"/>
      <selection pane="bottomLeft" activeCell="H37" sqref="H37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9.88671875" style="2" customWidth="1"/>
    <col min="5" max="5" width="13.88671875" style="58"/>
    <col min="6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104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07" t="s">
        <v>9</v>
      </c>
      <c r="E4" s="207"/>
      <c r="F4" s="207"/>
    </row>
    <row r="5" spans="1:6" s="1" customFormat="1" ht="21" customHeight="1">
      <c r="A5" s="202"/>
      <c r="B5" s="202"/>
      <c r="C5" s="205"/>
      <c r="D5" s="208" t="s">
        <v>10</v>
      </c>
      <c r="E5" s="207" t="s">
        <v>15</v>
      </c>
      <c r="F5" s="102"/>
    </row>
    <row r="6" spans="1:6" s="1" customFormat="1" ht="21" customHeight="1">
      <c r="A6" s="203"/>
      <c r="B6" s="203"/>
      <c r="C6" s="206"/>
      <c r="D6" s="208"/>
      <c r="E6" s="207"/>
      <c r="F6" s="8" t="s">
        <v>18</v>
      </c>
    </row>
    <row r="7" spans="1:6" s="1" customFormat="1" ht="21" customHeight="1">
      <c r="A7" s="9"/>
      <c r="B7" s="10" t="s">
        <v>20</v>
      </c>
      <c r="C7" s="11"/>
      <c r="D7" s="13"/>
      <c r="E7" s="14"/>
      <c r="F7" s="16"/>
    </row>
    <row r="8" spans="1:6" ht="21" customHeight="1">
      <c r="A8" s="20">
        <v>1</v>
      </c>
      <c r="B8" s="21" t="s">
        <v>21</v>
      </c>
      <c r="C8" s="21" t="s">
        <v>22</v>
      </c>
      <c r="D8" s="23" t="s">
        <v>23</v>
      </c>
      <c r="E8" s="3">
        <v>37</v>
      </c>
      <c r="F8" s="25">
        <v>22300</v>
      </c>
    </row>
    <row r="9" spans="1:6" ht="21" customHeight="1">
      <c r="A9" s="20">
        <v>2</v>
      </c>
      <c r="B9" s="21" t="s">
        <v>24</v>
      </c>
      <c r="C9" s="30" t="s">
        <v>25</v>
      </c>
      <c r="D9" s="23" t="s">
        <v>26</v>
      </c>
      <c r="E9" s="3">
        <v>13</v>
      </c>
      <c r="F9" s="25">
        <v>15000</v>
      </c>
    </row>
    <row r="10" spans="1:6" ht="21" customHeight="1">
      <c r="A10" s="20">
        <v>3</v>
      </c>
      <c r="B10" s="33" t="s">
        <v>27</v>
      </c>
      <c r="C10" s="22" t="s">
        <v>28</v>
      </c>
      <c r="D10" s="23" t="s">
        <v>29</v>
      </c>
      <c r="E10" s="3">
        <v>23</v>
      </c>
      <c r="F10" s="25">
        <v>50000</v>
      </c>
    </row>
    <row r="11" spans="1:6" ht="21" customHeight="1">
      <c r="A11" s="20">
        <v>4</v>
      </c>
      <c r="B11" s="33" t="s">
        <v>30</v>
      </c>
      <c r="C11" s="22" t="s">
        <v>31</v>
      </c>
      <c r="D11" s="23" t="s">
        <v>32</v>
      </c>
      <c r="E11" s="3">
        <v>40</v>
      </c>
      <c r="F11" s="25">
        <v>79500</v>
      </c>
    </row>
    <row r="12" spans="1:6" ht="21" customHeight="1">
      <c r="A12" s="20">
        <v>5</v>
      </c>
      <c r="B12" s="33" t="s">
        <v>33</v>
      </c>
      <c r="C12" s="22" t="s">
        <v>34</v>
      </c>
      <c r="D12" s="23" t="s">
        <v>35</v>
      </c>
      <c r="E12" s="3">
        <v>42</v>
      </c>
      <c r="F12" s="25">
        <v>41000</v>
      </c>
    </row>
    <row r="13" spans="1:6" ht="21" customHeight="1">
      <c r="A13" s="20">
        <v>6</v>
      </c>
      <c r="B13" s="21" t="s">
        <v>36</v>
      </c>
      <c r="C13" s="21" t="s">
        <v>37</v>
      </c>
      <c r="D13" s="23" t="s">
        <v>38</v>
      </c>
      <c r="E13" s="3">
        <v>29</v>
      </c>
      <c r="F13" s="25">
        <v>28000</v>
      </c>
    </row>
    <row r="14" spans="1:6" ht="21" customHeight="1">
      <c r="A14" s="20">
        <v>7</v>
      </c>
      <c r="B14" s="21" t="s">
        <v>39</v>
      </c>
      <c r="C14" s="22" t="s">
        <v>40</v>
      </c>
      <c r="D14" s="23" t="s">
        <v>41</v>
      </c>
      <c r="E14" s="3">
        <v>49</v>
      </c>
      <c r="F14" s="25">
        <v>92000</v>
      </c>
    </row>
    <row r="15" spans="1:6" ht="21" customHeight="1">
      <c r="A15" s="20">
        <v>8</v>
      </c>
      <c r="B15" s="21" t="s">
        <v>42</v>
      </c>
      <c r="C15" s="21" t="s">
        <v>43</v>
      </c>
      <c r="D15" s="23" t="s">
        <v>44</v>
      </c>
      <c r="E15" s="3">
        <v>41</v>
      </c>
      <c r="F15" s="25">
        <v>41000</v>
      </c>
    </row>
    <row r="16" spans="1:6" ht="21" customHeight="1">
      <c r="A16" s="20">
        <v>9</v>
      </c>
      <c r="B16" s="21" t="s">
        <v>45</v>
      </c>
      <c r="C16" s="30" t="s">
        <v>46</v>
      </c>
      <c r="D16" s="23" t="s">
        <v>47</v>
      </c>
      <c r="E16" s="3">
        <v>66</v>
      </c>
      <c r="F16" s="25">
        <v>46500</v>
      </c>
    </row>
    <row r="17" spans="1:8" ht="21" customHeight="1">
      <c r="A17" s="20">
        <v>10</v>
      </c>
      <c r="B17" s="21" t="s">
        <v>48</v>
      </c>
      <c r="C17" s="30" t="s">
        <v>49</v>
      </c>
      <c r="D17" s="23" t="s">
        <v>50</v>
      </c>
      <c r="E17" s="3">
        <v>34</v>
      </c>
      <c r="F17" s="25">
        <v>23600</v>
      </c>
    </row>
    <row r="18" spans="1:8" ht="21" customHeight="1">
      <c r="A18" s="20">
        <v>11</v>
      </c>
      <c r="B18" s="33" t="s">
        <v>51</v>
      </c>
      <c r="C18" s="22" t="s">
        <v>52</v>
      </c>
      <c r="D18" s="23" t="s">
        <v>53</v>
      </c>
      <c r="E18" s="3">
        <v>39.049999999999997</v>
      </c>
      <c r="F18" s="25">
        <v>39100</v>
      </c>
    </row>
    <row r="19" spans="1:8" ht="21" customHeight="1">
      <c r="A19" s="20">
        <v>12</v>
      </c>
      <c r="B19" s="33" t="s">
        <v>54</v>
      </c>
      <c r="C19" s="22" t="s">
        <v>55</v>
      </c>
      <c r="D19" s="23" t="s">
        <v>56</v>
      </c>
      <c r="E19" s="3">
        <v>52</v>
      </c>
      <c r="F19" s="25">
        <v>104000</v>
      </c>
    </row>
    <row r="20" spans="1:8" ht="21" customHeight="1">
      <c r="A20" s="20">
        <v>13</v>
      </c>
      <c r="B20" s="21" t="s">
        <v>57</v>
      </c>
      <c r="C20" s="30" t="s">
        <v>58</v>
      </c>
      <c r="D20" s="23" t="s">
        <v>59</v>
      </c>
      <c r="E20" s="3">
        <v>4</v>
      </c>
      <c r="F20" s="25">
        <v>5000</v>
      </c>
    </row>
    <row r="21" spans="1:8" ht="21" customHeight="1">
      <c r="A21" s="20">
        <v>14</v>
      </c>
      <c r="B21" s="21" t="s">
        <v>60</v>
      </c>
      <c r="C21" s="30" t="s">
        <v>61</v>
      </c>
      <c r="D21" s="23" t="s">
        <v>62</v>
      </c>
      <c r="E21" s="3">
        <v>68</v>
      </c>
      <c r="F21" s="25">
        <v>48500</v>
      </c>
    </row>
    <row r="22" spans="1:8" ht="21" customHeight="1">
      <c r="A22" s="20">
        <v>15</v>
      </c>
      <c r="B22" s="21" t="s">
        <v>63</v>
      </c>
      <c r="C22" s="21" t="s">
        <v>64</v>
      </c>
      <c r="D22" s="23" t="s">
        <v>65</v>
      </c>
      <c r="E22" s="3">
        <v>38</v>
      </c>
      <c r="F22" s="25">
        <v>38000</v>
      </c>
    </row>
    <row r="23" spans="1:8" ht="21" customHeight="1">
      <c r="A23" s="20">
        <v>16</v>
      </c>
      <c r="B23" s="36" t="s">
        <v>66</v>
      </c>
      <c r="C23" s="36" t="s">
        <v>67</v>
      </c>
      <c r="D23" s="38" t="s">
        <v>68</v>
      </c>
      <c r="E23" s="39">
        <v>16</v>
      </c>
      <c r="F23" s="41">
        <v>37600</v>
      </c>
    </row>
    <row r="24" spans="1:8" ht="21" customHeight="1" thickBot="1">
      <c r="A24" s="45"/>
      <c r="B24" s="46" t="s">
        <v>18</v>
      </c>
      <c r="C24" s="47"/>
      <c r="D24" s="49"/>
      <c r="E24" s="50"/>
      <c r="F24" s="51">
        <v>711100</v>
      </c>
      <c r="H24" s="29">
        <f>SUM(F8:F23)</f>
        <v>711100</v>
      </c>
    </row>
    <row r="25" spans="1:8" s="1" customFormat="1" ht="21" customHeight="1" thickTop="1">
      <c r="A25" s="55"/>
      <c r="B25" s="56" t="s">
        <v>69</v>
      </c>
    </row>
    <row r="26" spans="1:8" ht="21" customHeight="1">
      <c r="A26" s="20">
        <v>1</v>
      </c>
      <c r="B26" s="21" t="s">
        <v>70</v>
      </c>
      <c r="C26" s="21" t="s">
        <v>71</v>
      </c>
      <c r="D26" s="23" t="s">
        <v>72</v>
      </c>
      <c r="E26" s="3">
        <v>7</v>
      </c>
      <c r="F26" s="25">
        <v>20000</v>
      </c>
    </row>
    <row r="27" spans="1:8" ht="21" customHeight="1" thickBot="1">
      <c r="A27" s="45"/>
      <c r="B27" s="46" t="s">
        <v>18</v>
      </c>
      <c r="C27" s="47"/>
      <c r="D27" s="49"/>
      <c r="E27" s="50"/>
      <c r="F27" s="51">
        <v>20000</v>
      </c>
      <c r="H27" s="29">
        <f>SUM(F26)</f>
        <v>20000</v>
      </c>
    </row>
    <row r="28" spans="1:8" ht="21" customHeight="1" thickTop="1">
      <c r="B28" s="1"/>
      <c r="C28" s="1"/>
      <c r="D28" s="64"/>
      <c r="F28" s="59"/>
    </row>
    <row r="29" spans="1:8" s="1" customFormat="1" ht="21" customHeight="1">
      <c r="A29" s="55"/>
      <c r="B29" s="69" t="s">
        <v>73</v>
      </c>
    </row>
    <row r="30" spans="1:8" ht="21" customHeight="1">
      <c r="A30" s="20"/>
      <c r="B30" s="33" t="s">
        <v>74</v>
      </c>
      <c r="C30" s="73" t="s">
        <v>79</v>
      </c>
      <c r="D30" s="23" t="s">
        <v>80</v>
      </c>
      <c r="E30" s="3">
        <v>43</v>
      </c>
      <c r="F30" s="24">
        <v>85500</v>
      </c>
    </row>
    <row r="31" spans="1:8" ht="21" customHeight="1">
      <c r="A31" s="20">
        <v>2</v>
      </c>
      <c r="B31" s="33" t="s">
        <v>81</v>
      </c>
      <c r="C31" s="22" t="s">
        <v>82</v>
      </c>
      <c r="D31" s="23" t="s">
        <v>83</v>
      </c>
      <c r="E31" s="3">
        <v>24</v>
      </c>
      <c r="F31" s="24">
        <v>2000</v>
      </c>
    </row>
    <row r="32" spans="1:8" ht="21" customHeight="1">
      <c r="A32" s="20"/>
      <c r="B32" s="33" t="s">
        <v>81</v>
      </c>
      <c r="C32" s="22" t="s">
        <v>85</v>
      </c>
      <c r="D32" s="23" t="s">
        <v>83</v>
      </c>
      <c r="E32" s="3">
        <v>24</v>
      </c>
      <c r="F32" s="24">
        <v>21000</v>
      </c>
    </row>
    <row r="33" spans="1:9" ht="21" customHeight="1">
      <c r="A33" s="20">
        <v>3</v>
      </c>
      <c r="B33" s="21" t="s">
        <v>86</v>
      </c>
      <c r="C33" s="30" t="s">
        <v>87</v>
      </c>
      <c r="D33" s="23" t="s">
        <v>50</v>
      </c>
      <c r="E33" s="3">
        <v>34</v>
      </c>
      <c r="F33" s="24">
        <v>5000</v>
      </c>
    </row>
    <row r="34" spans="1:9" ht="21" customHeight="1" thickBot="1">
      <c r="A34" s="45"/>
      <c r="B34" s="46" t="s">
        <v>18</v>
      </c>
      <c r="C34" s="47"/>
      <c r="D34" s="49"/>
      <c r="E34" s="50"/>
      <c r="F34" s="51">
        <v>113500</v>
      </c>
      <c r="H34" s="29">
        <f>SUM(F30:F33)</f>
        <v>113500</v>
      </c>
    </row>
    <row r="35" spans="1:9" s="85" customFormat="1" ht="21" customHeight="1" thickTop="1">
      <c r="A35" s="75"/>
      <c r="B35" s="76"/>
      <c r="C35" s="77"/>
      <c r="D35" s="79"/>
      <c r="E35" s="80"/>
      <c r="F35" s="81"/>
    </row>
    <row r="36" spans="1:9" ht="21" customHeight="1">
      <c r="B36" s="86" t="s">
        <v>90</v>
      </c>
    </row>
    <row r="37" spans="1:9" ht="21" customHeight="1">
      <c r="A37" s="20">
        <v>1</v>
      </c>
      <c r="B37" s="33" t="s">
        <v>91</v>
      </c>
      <c r="C37" s="73" t="s">
        <v>92</v>
      </c>
      <c r="D37" s="23" t="s">
        <v>93</v>
      </c>
      <c r="E37" s="3">
        <v>2</v>
      </c>
      <c r="F37" s="25">
        <v>11000</v>
      </c>
    </row>
    <row r="38" spans="1:9" ht="21" customHeight="1">
      <c r="A38" s="20">
        <v>2</v>
      </c>
      <c r="B38" s="70" t="s">
        <v>94</v>
      </c>
      <c r="C38" s="30" t="s">
        <v>95</v>
      </c>
      <c r="D38" s="23" t="s">
        <v>96</v>
      </c>
      <c r="E38" s="3">
        <v>3</v>
      </c>
      <c r="F38" s="24">
        <v>6000</v>
      </c>
    </row>
    <row r="39" spans="1:9" ht="21" customHeight="1" thickBot="1">
      <c r="A39" s="45"/>
      <c r="B39" s="46" t="s">
        <v>18</v>
      </c>
      <c r="C39" s="47"/>
      <c r="D39" s="49"/>
      <c r="E39" s="50"/>
      <c r="F39" s="51">
        <v>17000</v>
      </c>
      <c r="H39" s="29">
        <f>SUM(F37:F38)</f>
        <v>17000</v>
      </c>
    </row>
    <row r="40" spans="1:9" s="85" customFormat="1" ht="21" customHeight="1" thickTop="1">
      <c r="A40" s="75"/>
      <c r="B40" s="93"/>
      <c r="C40" s="77"/>
      <c r="D40" s="79"/>
      <c r="E40" s="80"/>
      <c r="F40" s="81"/>
    </row>
    <row r="41" spans="1:9" ht="21" customHeight="1">
      <c r="D41" s="96">
        <v>0</v>
      </c>
      <c r="E41" s="96">
        <v>0</v>
      </c>
      <c r="F41" s="96">
        <v>861600</v>
      </c>
      <c r="I41" s="29">
        <f>SUM(H23:H39)</f>
        <v>861600</v>
      </c>
    </row>
    <row r="43" spans="1:9" ht="21" customHeight="1">
      <c r="F43" s="58"/>
    </row>
    <row r="51" spans="1:1" ht="21" customHeight="1">
      <c r="A51" s="29"/>
    </row>
    <row r="52" spans="1:1" ht="21" customHeight="1">
      <c r="A52" s="29"/>
    </row>
    <row r="62" spans="1:1" ht="21" customHeight="1">
      <c r="A62" s="29"/>
    </row>
    <row r="63" spans="1:1" ht="21" customHeight="1">
      <c r="A63" s="29"/>
    </row>
    <row r="66" spans="1:6" ht="21" customHeight="1">
      <c r="A66" s="29"/>
      <c r="C66" s="29"/>
      <c r="E66" s="29"/>
      <c r="F66" s="58">
        <v>32</v>
      </c>
    </row>
    <row r="67" spans="1:6" ht="21" customHeight="1">
      <c r="A67" s="29"/>
      <c r="C67" s="29"/>
      <c r="E67" s="29"/>
      <c r="F67" s="55">
        <v>18</v>
      </c>
    </row>
    <row r="121" spans="1:6" ht="21" customHeight="1">
      <c r="A121" s="97" t="s">
        <v>99</v>
      </c>
      <c r="B121" s="36" t="s">
        <v>100</v>
      </c>
      <c r="C121" s="98" t="s">
        <v>101</v>
      </c>
      <c r="D121" s="38" t="s">
        <v>103</v>
      </c>
      <c r="E121" s="39">
        <v>2</v>
      </c>
      <c r="F121" s="41">
        <v>1100</v>
      </c>
    </row>
  </sheetData>
  <mergeCells count="9">
    <mergeCell ref="D5:D6"/>
    <mergeCell ref="E5:E6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D3A6-6981-49F0-B2BC-EBB141E5F5F4}">
  <sheetPr>
    <tabColor rgb="FF92D050"/>
  </sheetPr>
  <dimension ref="A1:I121"/>
  <sheetViews>
    <sheetView zoomScale="90" zoomScaleNormal="90" workbookViewId="0">
      <pane ySplit="6" topLeftCell="A34" activePane="bottomLeft" state="frozen"/>
      <selection pane="bottomLeft" activeCell="F46" sqref="F46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9.88671875" style="2" customWidth="1"/>
    <col min="5" max="5" width="13.88671875" style="58"/>
    <col min="6" max="16384" width="13.88671875" style="29"/>
  </cols>
  <sheetData>
    <row r="1" spans="1:6" s="1" customFormat="1" ht="21" customHeight="1">
      <c r="A1" s="198" t="s">
        <v>0</v>
      </c>
      <c r="B1" s="198"/>
      <c r="C1" s="198"/>
      <c r="D1" s="198"/>
      <c r="E1" s="198"/>
      <c r="F1" s="198"/>
    </row>
    <row r="2" spans="1:6" s="1" customFormat="1" ht="21" customHeight="1">
      <c r="A2" s="199" t="s">
        <v>1</v>
      </c>
      <c r="B2" s="199"/>
      <c r="C2" s="199"/>
      <c r="D2" s="199"/>
      <c r="E2" s="199"/>
      <c r="F2" s="199"/>
    </row>
    <row r="3" spans="1:6" s="1" customFormat="1" ht="21" customHeight="1">
      <c r="A3" s="200" t="s">
        <v>104</v>
      </c>
      <c r="B3" s="200"/>
      <c r="C3" s="200"/>
      <c r="D3" s="200"/>
      <c r="E3" s="200"/>
      <c r="F3" s="200"/>
    </row>
    <row r="4" spans="1:6" s="1" customFormat="1" ht="21" customHeight="1">
      <c r="A4" s="201" t="s">
        <v>3</v>
      </c>
      <c r="B4" s="201" t="s">
        <v>4</v>
      </c>
      <c r="C4" s="204" t="s">
        <v>5</v>
      </c>
      <c r="D4" s="207" t="s">
        <v>9</v>
      </c>
      <c r="E4" s="207"/>
      <c r="F4" s="207"/>
    </row>
    <row r="5" spans="1:6" s="1" customFormat="1" ht="21" customHeight="1">
      <c r="A5" s="202"/>
      <c r="B5" s="202"/>
      <c r="C5" s="205"/>
      <c r="D5" s="208" t="s">
        <v>10</v>
      </c>
      <c r="E5" s="207" t="s">
        <v>15</v>
      </c>
      <c r="F5" s="102"/>
    </row>
    <row r="6" spans="1:6" s="1" customFormat="1" ht="21" customHeight="1">
      <c r="A6" s="203"/>
      <c r="B6" s="203"/>
      <c r="C6" s="206"/>
      <c r="D6" s="208"/>
      <c r="E6" s="207"/>
      <c r="F6" s="8" t="s">
        <v>18</v>
      </c>
    </row>
    <row r="7" spans="1:6" s="1" customFormat="1" ht="21" customHeight="1">
      <c r="A7" s="9"/>
      <c r="B7" s="10" t="s">
        <v>110</v>
      </c>
      <c r="C7" s="11"/>
      <c r="D7" s="13"/>
      <c r="E7" s="14"/>
      <c r="F7" s="16"/>
    </row>
    <row r="8" spans="1:6" ht="21" customHeight="1">
      <c r="A8" s="20">
        <v>1</v>
      </c>
      <c r="B8" s="21" t="s">
        <v>21</v>
      </c>
      <c r="C8" s="21" t="s">
        <v>22</v>
      </c>
      <c r="D8" s="23" t="s">
        <v>23</v>
      </c>
      <c r="E8" s="3">
        <v>37</v>
      </c>
      <c r="F8" s="25">
        <v>22300</v>
      </c>
    </row>
    <row r="9" spans="1:6" ht="21" customHeight="1">
      <c r="A9" s="20">
        <v>2</v>
      </c>
      <c r="B9" s="21" t="s">
        <v>24</v>
      </c>
      <c r="C9" s="30" t="s">
        <v>25</v>
      </c>
      <c r="D9" s="23" t="s">
        <v>26</v>
      </c>
      <c r="E9" s="3">
        <v>13</v>
      </c>
      <c r="F9" s="25">
        <v>15000</v>
      </c>
    </row>
    <row r="10" spans="1:6" ht="21" customHeight="1">
      <c r="A10" s="20">
        <v>3</v>
      </c>
      <c r="B10" s="33" t="s">
        <v>27</v>
      </c>
      <c r="C10" s="22" t="s">
        <v>28</v>
      </c>
      <c r="D10" s="23" t="s">
        <v>29</v>
      </c>
      <c r="E10" s="3">
        <v>23</v>
      </c>
      <c r="F10" s="25">
        <v>50000</v>
      </c>
    </row>
    <row r="11" spans="1:6" ht="21" customHeight="1">
      <c r="A11" s="20">
        <v>4</v>
      </c>
      <c r="B11" s="33" t="s">
        <v>30</v>
      </c>
      <c r="C11" s="22" t="s">
        <v>31</v>
      </c>
      <c r="D11" s="23" t="s">
        <v>32</v>
      </c>
      <c r="E11" s="3">
        <v>40</v>
      </c>
      <c r="F11" s="25">
        <v>79500</v>
      </c>
    </row>
    <row r="12" spans="1:6" ht="21" customHeight="1">
      <c r="A12" s="20">
        <v>5</v>
      </c>
      <c r="B12" s="33" t="s">
        <v>33</v>
      </c>
      <c r="C12" s="22" t="s">
        <v>34</v>
      </c>
      <c r="D12" s="23" t="s">
        <v>35</v>
      </c>
      <c r="E12" s="3">
        <v>42</v>
      </c>
      <c r="F12" s="25">
        <v>41000</v>
      </c>
    </row>
    <row r="13" spans="1:6" ht="21" customHeight="1">
      <c r="A13" s="20">
        <v>6</v>
      </c>
      <c r="B13" s="21" t="s">
        <v>36</v>
      </c>
      <c r="C13" s="21" t="s">
        <v>37</v>
      </c>
      <c r="D13" s="23" t="s">
        <v>38</v>
      </c>
      <c r="E13" s="3">
        <v>29</v>
      </c>
      <c r="F13" s="25">
        <v>28000</v>
      </c>
    </row>
    <row r="14" spans="1:6" ht="21" customHeight="1">
      <c r="A14" s="20">
        <v>7</v>
      </c>
      <c r="B14" s="21" t="s">
        <v>39</v>
      </c>
      <c r="C14" s="22" t="s">
        <v>40</v>
      </c>
      <c r="D14" s="23" t="s">
        <v>41</v>
      </c>
      <c r="E14" s="3">
        <v>49</v>
      </c>
      <c r="F14" s="25">
        <v>92000</v>
      </c>
    </row>
    <row r="15" spans="1:6" ht="21" customHeight="1">
      <c r="A15" s="20">
        <v>8</v>
      </c>
      <c r="B15" s="21" t="s">
        <v>42</v>
      </c>
      <c r="C15" s="21" t="s">
        <v>43</v>
      </c>
      <c r="D15" s="23" t="s">
        <v>44</v>
      </c>
      <c r="E15" s="3">
        <v>41</v>
      </c>
      <c r="F15" s="25">
        <v>41000</v>
      </c>
    </row>
    <row r="16" spans="1:6" ht="21" customHeight="1">
      <c r="A16" s="20">
        <v>9</v>
      </c>
      <c r="B16" s="21" t="s">
        <v>45</v>
      </c>
      <c r="C16" s="30" t="s">
        <v>46</v>
      </c>
      <c r="D16" s="23" t="s">
        <v>47</v>
      </c>
      <c r="E16" s="3">
        <v>66</v>
      </c>
      <c r="F16" s="25">
        <v>46500</v>
      </c>
    </row>
    <row r="17" spans="1:8" ht="21" customHeight="1">
      <c r="A17" s="20">
        <v>10</v>
      </c>
      <c r="B17" s="21" t="s">
        <v>48</v>
      </c>
      <c r="C17" s="30" t="s">
        <v>49</v>
      </c>
      <c r="D17" s="23" t="s">
        <v>50</v>
      </c>
      <c r="E17" s="3">
        <v>34</v>
      </c>
      <c r="F17" s="25">
        <v>23600</v>
      </c>
    </row>
    <row r="18" spans="1:8" ht="21" customHeight="1">
      <c r="A18" s="20">
        <v>11</v>
      </c>
      <c r="B18" s="33" t="s">
        <v>51</v>
      </c>
      <c r="C18" s="22" t="s">
        <v>52</v>
      </c>
      <c r="D18" s="23" t="s">
        <v>53</v>
      </c>
      <c r="E18" s="3">
        <v>39.049999999999997</v>
      </c>
      <c r="F18" s="25">
        <v>39100</v>
      </c>
    </row>
    <row r="19" spans="1:8" ht="21" customHeight="1">
      <c r="A19" s="20">
        <v>12</v>
      </c>
      <c r="B19" s="33" t="s">
        <v>54</v>
      </c>
      <c r="C19" s="22" t="s">
        <v>55</v>
      </c>
      <c r="D19" s="23" t="s">
        <v>56</v>
      </c>
      <c r="E19" s="3">
        <v>52</v>
      </c>
      <c r="F19" s="25">
        <v>104000</v>
      </c>
    </row>
    <row r="20" spans="1:8" ht="21" customHeight="1">
      <c r="A20" s="20">
        <v>13</v>
      </c>
      <c r="B20" s="21" t="s">
        <v>57</v>
      </c>
      <c r="C20" s="30" t="s">
        <v>58</v>
      </c>
      <c r="D20" s="23" t="s">
        <v>59</v>
      </c>
      <c r="E20" s="3">
        <v>4</v>
      </c>
      <c r="F20" s="25">
        <v>5000</v>
      </c>
    </row>
    <row r="21" spans="1:8" ht="21" customHeight="1">
      <c r="A21" s="20">
        <v>14</v>
      </c>
      <c r="B21" s="21" t="s">
        <v>60</v>
      </c>
      <c r="C21" s="30" t="s">
        <v>61</v>
      </c>
      <c r="D21" s="23" t="s">
        <v>62</v>
      </c>
      <c r="E21" s="3">
        <v>68</v>
      </c>
      <c r="F21" s="25">
        <v>48500</v>
      </c>
    </row>
    <row r="22" spans="1:8" ht="21" customHeight="1">
      <c r="A22" s="20">
        <v>15</v>
      </c>
      <c r="B22" s="21" t="s">
        <v>63</v>
      </c>
      <c r="C22" s="21" t="s">
        <v>64</v>
      </c>
      <c r="D22" s="23" t="s">
        <v>65</v>
      </c>
      <c r="E22" s="3">
        <v>38</v>
      </c>
      <c r="F22" s="25">
        <v>38000</v>
      </c>
    </row>
    <row r="23" spans="1:8" ht="21" customHeight="1">
      <c r="A23" s="20">
        <v>16</v>
      </c>
      <c r="B23" s="36" t="s">
        <v>66</v>
      </c>
      <c r="C23" s="36" t="s">
        <v>67</v>
      </c>
      <c r="D23" s="38" t="s">
        <v>68</v>
      </c>
      <c r="E23" s="39">
        <v>16</v>
      </c>
      <c r="F23" s="41">
        <v>37600</v>
      </c>
    </row>
    <row r="24" spans="1:8" ht="21" customHeight="1" thickBot="1">
      <c r="A24" s="45"/>
      <c r="B24" s="46" t="s">
        <v>18</v>
      </c>
      <c r="C24" s="47"/>
      <c r="D24" s="49"/>
      <c r="E24" s="50"/>
      <c r="F24" s="51">
        <v>711100</v>
      </c>
      <c r="H24" s="29">
        <f>SUM(F8:F23)</f>
        <v>711100</v>
      </c>
    </row>
    <row r="25" spans="1:8" s="1" customFormat="1" ht="21" customHeight="1" thickTop="1">
      <c r="A25" s="55"/>
      <c r="B25" s="56" t="s">
        <v>69</v>
      </c>
    </row>
    <row r="26" spans="1:8" ht="21" customHeight="1">
      <c r="A26" s="20">
        <v>1</v>
      </c>
      <c r="B26" s="21" t="s">
        <v>70</v>
      </c>
      <c r="C26" s="21" t="s">
        <v>71</v>
      </c>
      <c r="D26" s="23" t="s">
        <v>72</v>
      </c>
      <c r="E26" s="3">
        <v>7</v>
      </c>
      <c r="F26" s="25">
        <v>20000</v>
      </c>
    </row>
    <row r="27" spans="1:8" ht="21" customHeight="1" thickBot="1">
      <c r="A27" s="45"/>
      <c r="B27" s="46" t="s">
        <v>18</v>
      </c>
      <c r="C27" s="47"/>
      <c r="D27" s="49"/>
      <c r="E27" s="50"/>
      <c r="F27" s="51">
        <v>20000</v>
      </c>
      <c r="H27" s="29">
        <f>SUM(F26)</f>
        <v>20000</v>
      </c>
    </row>
    <row r="28" spans="1:8" ht="21" customHeight="1" thickTop="1">
      <c r="B28" s="1"/>
      <c r="C28" s="1"/>
      <c r="D28" s="64"/>
      <c r="F28" s="59"/>
    </row>
    <row r="29" spans="1:8" s="1" customFormat="1" ht="21" customHeight="1">
      <c r="A29" s="55"/>
      <c r="B29" s="69" t="s">
        <v>73</v>
      </c>
    </row>
    <row r="30" spans="1:8" ht="21" customHeight="1">
      <c r="A30" s="20"/>
      <c r="B30" s="33" t="s">
        <v>74</v>
      </c>
      <c r="C30" s="73" t="s">
        <v>79</v>
      </c>
      <c r="D30" s="23" t="s">
        <v>80</v>
      </c>
      <c r="E30" s="3">
        <v>43</v>
      </c>
      <c r="F30" s="24">
        <v>85500</v>
      </c>
    </row>
    <row r="31" spans="1:8" ht="21" customHeight="1">
      <c r="A31" s="20">
        <v>2</v>
      </c>
      <c r="B31" s="33" t="s">
        <v>81</v>
      </c>
      <c r="C31" s="22" t="s">
        <v>82</v>
      </c>
      <c r="D31" s="23" t="s">
        <v>83</v>
      </c>
      <c r="E31" s="3">
        <v>24</v>
      </c>
      <c r="F31" s="24">
        <v>2000</v>
      </c>
    </row>
    <row r="32" spans="1:8" ht="21" customHeight="1">
      <c r="A32" s="20"/>
      <c r="B32" s="33" t="s">
        <v>81</v>
      </c>
      <c r="C32" s="22" t="s">
        <v>85</v>
      </c>
      <c r="D32" s="23" t="s">
        <v>83</v>
      </c>
      <c r="E32" s="3">
        <v>24</v>
      </c>
      <c r="F32" s="24">
        <v>21000</v>
      </c>
    </row>
    <row r="33" spans="1:9" ht="21" customHeight="1">
      <c r="A33" s="20">
        <v>3</v>
      </c>
      <c r="B33" s="21" t="s">
        <v>86</v>
      </c>
      <c r="C33" s="30" t="s">
        <v>87</v>
      </c>
      <c r="D33" s="23" t="s">
        <v>50</v>
      </c>
      <c r="E33" s="3">
        <v>34</v>
      </c>
      <c r="F33" s="24">
        <v>5000</v>
      </c>
    </row>
    <row r="34" spans="1:9" ht="21" customHeight="1" thickBot="1">
      <c r="A34" s="45"/>
      <c r="B34" s="46" t="s">
        <v>18</v>
      </c>
      <c r="C34" s="47"/>
      <c r="D34" s="49"/>
      <c r="E34" s="50"/>
      <c r="F34" s="51">
        <v>113500</v>
      </c>
      <c r="H34" s="29">
        <f>SUM(F30:F33)</f>
        <v>113500</v>
      </c>
    </row>
    <row r="35" spans="1:9" s="85" customFormat="1" ht="21" customHeight="1" thickTop="1">
      <c r="A35" s="75"/>
      <c r="B35" s="76"/>
      <c r="C35" s="77"/>
      <c r="D35" s="79"/>
      <c r="E35" s="80"/>
      <c r="F35" s="81"/>
    </row>
    <row r="36" spans="1:9" ht="21" customHeight="1">
      <c r="B36" s="86" t="s">
        <v>90</v>
      </c>
    </row>
    <row r="37" spans="1:9" ht="21" customHeight="1">
      <c r="A37" s="20">
        <v>1</v>
      </c>
      <c r="B37" s="33" t="s">
        <v>91</v>
      </c>
      <c r="C37" s="73" t="s">
        <v>92</v>
      </c>
      <c r="D37" s="23" t="s">
        <v>93</v>
      </c>
      <c r="E37" s="3">
        <v>2</v>
      </c>
      <c r="F37" s="25">
        <v>11000</v>
      </c>
    </row>
    <row r="38" spans="1:9" ht="21" customHeight="1">
      <c r="A38" s="20">
        <v>2</v>
      </c>
      <c r="B38" s="70" t="s">
        <v>94</v>
      </c>
      <c r="C38" s="30" t="s">
        <v>95</v>
      </c>
      <c r="D38" s="23" t="s">
        <v>96</v>
      </c>
      <c r="E38" s="3">
        <v>3</v>
      </c>
      <c r="F38" s="24">
        <v>6000</v>
      </c>
    </row>
    <row r="39" spans="1:9" ht="21" customHeight="1" thickBot="1">
      <c r="A39" s="45"/>
      <c r="B39" s="46" t="s">
        <v>18</v>
      </c>
      <c r="C39" s="47"/>
      <c r="D39" s="49"/>
      <c r="E39" s="50"/>
      <c r="F39" s="51">
        <v>17000</v>
      </c>
      <c r="H39" s="29">
        <f>SUM(F37:F38)</f>
        <v>17000</v>
      </c>
    </row>
    <row r="40" spans="1:9" s="85" customFormat="1" ht="21" customHeight="1" thickTop="1">
      <c r="A40" s="75"/>
      <c r="B40" s="93"/>
      <c r="C40" s="77"/>
      <c r="D40" s="79"/>
      <c r="E40" s="80"/>
      <c r="F40" s="81"/>
    </row>
    <row r="41" spans="1:9" ht="21" customHeight="1">
      <c r="D41" s="96">
        <v>0</v>
      </c>
      <c r="E41" s="96">
        <v>0</v>
      </c>
      <c r="F41" s="96">
        <v>861600</v>
      </c>
      <c r="I41" s="29">
        <f>SUM(H23:H39)</f>
        <v>861600</v>
      </c>
    </row>
    <row r="43" spans="1:9" ht="21" customHeight="1">
      <c r="F43" s="58"/>
    </row>
    <row r="51" spans="1:1" ht="21" customHeight="1">
      <c r="A51" s="29"/>
    </row>
    <row r="52" spans="1:1" ht="21" customHeight="1">
      <c r="A52" s="29"/>
    </row>
    <row r="62" spans="1:1" ht="21" customHeight="1">
      <c r="A62" s="29"/>
    </row>
    <row r="63" spans="1:1" ht="21" customHeight="1">
      <c r="A63" s="29"/>
    </row>
    <row r="66" spans="1:6" ht="21" customHeight="1">
      <c r="A66" s="29"/>
      <c r="C66" s="29"/>
      <c r="E66" s="29"/>
      <c r="F66" s="58">
        <v>32</v>
      </c>
    </row>
    <row r="67" spans="1:6" ht="21" customHeight="1">
      <c r="A67" s="29"/>
      <c r="C67" s="29"/>
      <c r="E67" s="29"/>
      <c r="F67" s="55">
        <v>18</v>
      </c>
    </row>
    <row r="121" spans="1:6" ht="21" customHeight="1">
      <c r="A121" s="97" t="s">
        <v>99</v>
      </c>
      <c r="B121" s="36" t="s">
        <v>100</v>
      </c>
      <c r="C121" s="98" t="s">
        <v>101</v>
      </c>
      <c r="D121" s="38" t="s">
        <v>103</v>
      </c>
      <c r="E121" s="39">
        <v>2</v>
      </c>
      <c r="F121" s="41">
        <v>1100</v>
      </c>
    </row>
  </sheetData>
  <mergeCells count="9"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F9CB-6CBC-4344-8411-A2BDA2008980}">
  <dimension ref="A1:S122"/>
  <sheetViews>
    <sheetView zoomScale="90" zoomScaleNormal="90" workbookViewId="0">
      <pane ySplit="6" topLeftCell="A7" activePane="bottomLeft" state="frozen"/>
      <selection pane="bottomLeft" activeCell="H11" sqref="H11"/>
    </sheetView>
  </sheetViews>
  <sheetFormatPr defaultColWidth="13.88671875" defaultRowHeight="21" customHeight="1"/>
  <cols>
    <col min="1" max="1" width="6.33203125" style="55" customWidth="1"/>
    <col min="2" max="2" width="25.33203125" style="29" customWidth="1"/>
    <col min="3" max="3" width="19.44140625" style="87" customWidth="1"/>
    <col min="4" max="4" width="13.88671875" style="59"/>
    <col min="5" max="5" width="17.44140625" style="2" customWidth="1"/>
    <col min="6" max="7" width="13.88671875" style="59"/>
    <col min="8" max="8" width="13.88671875" style="88"/>
    <col min="9" max="9" width="7.33203125" style="88" customWidth="1"/>
    <col min="10" max="10" width="13.88671875" style="89"/>
    <col min="11" max="11" width="13.88671875" style="90"/>
    <col min="12" max="12" width="13.88671875" style="91"/>
    <col min="13" max="13" width="13.6640625" style="29" customWidth="1"/>
    <col min="14" max="14" width="19.88671875" style="2" customWidth="1"/>
    <col min="15" max="15" width="13.88671875" style="58"/>
    <col min="16" max="16" width="8.6640625" style="58" customWidth="1"/>
    <col min="17" max="17" width="13.88671875" style="92"/>
    <col min="18" max="18" width="13.88671875" style="58"/>
    <col min="19" max="16384" width="13.88671875" style="29"/>
  </cols>
  <sheetData>
    <row r="1" spans="1:19" s="1" customFormat="1" ht="21" customHeight="1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</row>
    <row r="2" spans="1:19" s="1" customFormat="1" ht="21" customHeight="1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19" s="1" customFormat="1" ht="21" customHeight="1">
      <c r="A3" s="200" t="s">
        <v>2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</row>
    <row r="4" spans="1:19" s="1" customFormat="1" ht="21" customHeight="1">
      <c r="A4" s="201" t="s">
        <v>3</v>
      </c>
      <c r="B4" s="201" t="s">
        <v>4</v>
      </c>
      <c r="C4" s="204" t="s">
        <v>5</v>
      </c>
      <c r="D4" s="211" t="s">
        <v>6</v>
      </c>
      <c r="E4" s="223" t="s">
        <v>7</v>
      </c>
      <c r="F4" s="224"/>
      <c r="G4" s="224"/>
      <c r="H4" s="224"/>
      <c r="I4" s="224"/>
      <c r="J4" s="225"/>
      <c r="K4" s="214" t="s">
        <v>8</v>
      </c>
      <c r="L4" s="214"/>
      <c r="M4" s="214"/>
      <c r="N4" s="223" t="s">
        <v>9</v>
      </c>
      <c r="O4" s="224"/>
      <c r="P4" s="224"/>
      <c r="Q4" s="224"/>
      <c r="R4" s="224"/>
      <c r="S4" s="225"/>
    </row>
    <row r="5" spans="1:19" s="1" customFormat="1" ht="21" customHeight="1">
      <c r="A5" s="202"/>
      <c r="B5" s="202"/>
      <c r="C5" s="205"/>
      <c r="D5" s="212"/>
      <c r="E5" s="226" t="s">
        <v>10</v>
      </c>
      <c r="F5" s="228"/>
      <c r="G5" s="4"/>
      <c r="H5" s="230" t="s">
        <v>11</v>
      </c>
      <c r="I5" s="231"/>
      <c r="J5" s="232"/>
      <c r="K5" s="216" t="s">
        <v>12</v>
      </c>
      <c r="L5" s="218" t="s">
        <v>13</v>
      </c>
      <c r="M5" s="209" t="s">
        <v>14</v>
      </c>
      <c r="N5" s="226" t="s">
        <v>10</v>
      </c>
      <c r="O5" s="228" t="s">
        <v>15</v>
      </c>
      <c r="P5" s="4" t="s">
        <v>16</v>
      </c>
      <c r="Q5" s="230" t="s">
        <v>11</v>
      </c>
      <c r="R5" s="231"/>
      <c r="S5" s="232"/>
    </row>
    <row r="6" spans="1:19" s="1" customFormat="1" ht="21" customHeight="1">
      <c r="A6" s="203"/>
      <c r="B6" s="203"/>
      <c r="C6" s="206"/>
      <c r="D6" s="213"/>
      <c r="E6" s="227"/>
      <c r="F6" s="229"/>
      <c r="G6" s="5"/>
      <c r="H6" s="6" t="s">
        <v>14</v>
      </c>
      <c r="I6" s="7" t="s">
        <v>17</v>
      </c>
      <c r="J6" s="8" t="s">
        <v>18</v>
      </c>
      <c r="K6" s="217"/>
      <c r="L6" s="219"/>
      <c r="M6" s="210"/>
      <c r="N6" s="227"/>
      <c r="O6" s="229"/>
      <c r="P6" s="5" t="s">
        <v>19</v>
      </c>
      <c r="Q6" s="6" t="s">
        <v>14</v>
      </c>
      <c r="R6" s="7" t="s">
        <v>17</v>
      </c>
      <c r="S6" s="8" t="s">
        <v>18</v>
      </c>
    </row>
    <row r="7" spans="1:19" s="1" customFormat="1" ht="21" customHeight="1">
      <c r="A7" s="9"/>
      <c r="B7" s="10" t="s">
        <v>20</v>
      </c>
      <c r="C7" s="11"/>
      <c r="D7" s="12"/>
      <c r="E7" s="13"/>
      <c r="F7" s="14"/>
      <c r="G7" s="15"/>
      <c r="H7" s="15"/>
      <c r="I7" s="15"/>
      <c r="J7" s="16"/>
      <c r="K7" s="17"/>
      <c r="L7" s="18"/>
      <c r="M7" s="19"/>
      <c r="N7" s="13"/>
      <c r="O7" s="14"/>
      <c r="P7" s="15"/>
      <c r="Q7" s="15"/>
      <c r="R7" s="15"/>
      <c r="S7" s="16"/>
    </row>
    <row r="8" spans="1:19" ht="21" customHeight="1">
      <c r="A8" s="20">
        <v>1</v>
      </c>
      <c r="B8" s="21" t="s">
        <v>21</v>
      </c>
      <c r="C8" s="21" t="s">
        <v>22</v>
      </c>
      <c r="D8" s="22"/>
      <c r="E8" s="23" t="s">
        <v>23</v>
      </c>
      <c r="F8" s="3">
        <v>37</v>
      </c>
      <c r="G8" s="3">
        <v>54</v>
      </c>
      <c r="H8" s="24">
        <v>22300</v>
      </c>
      <c r="I8" s="3"/>
      <c r="J8" s="25">
        <v>22300</v>
      </c>
      <c r="K8" s="26"/>
      <c r="L8" s="27"/>
      <c r="M8" s="28"/>
      <c r="N8" s="23" t="s">
        <v>23</v>
      </c>
      <c r="O8" s="3">
        <v>37</v>
      </c>
      <c r="P8" s="3">
        <v>54</v>
      </c>
      <c r="Q8" s="24">
        <v>22300</v>
      </c>
      <c r="R8" s="3"/>
      <c r="S8" s="25">
        <v>22300</v>
      </c>
    </row>
    <row r="9" spans="1:19" ht="21" customHeight="1">
      <c r="A9" s="20">
        <v>2</v>
      </c>
      <c r="B9" s="21" t="s">
        <v>24</v>
      </c>
      <c r="C9" s="30" t="s">
        <v>25</v>
      </c>
      <c r="D9" s="22"/>
      <c r="E9" s="23" t="s">
        <v>26</v>
      </c>
      <c r="F9" s="3">
        <v>13</v>
      </c>
      <c r="G9" s="3">
        <v>85</v>
      </c>
      <c r="H9" s="24">
        <v>15000</v>
      </c>
      <c r="I9" s="3"/>
      <c r="J9" s="25">
        <v>15000</v>
      </c>
      <c r="K9" s="31"/>
      <c r="L9" s="32"/>
      <c r="M9" s="28"/>
      <c r="N9" s="23" t="s">
        <v>26</v>
      </c>
      <c r="O9" s="3">
        <v>13</v>
      </c>
      <c r="P9" s="3">
        <v>85</v>
      </c>
      <c r="Q9" s="24">
        <v>15000</v>
      </c>
      <c r="R9" s="3"/>
      <c r="S9" s="25">
        <v>15000</v>
      </c>
    </row>
    <row r="10" spans="1:19" ht="21" customHeight="1">
      <c r="A10" s="20">
        <v>3</v>
      </c>
      <c r="B10" s="33" t="s">
        <v>27</v>
      </c>
      <c r="C10" s="22" t="s">
        <v>28</v>
      </c>
      <c r="D10" s="34"/>
      <c r="E10" s="23" t="s">
        <v>29</v>
      </c>
      <c r="F10" s="3">
        <v>23</v>
      </c>
      <c r="G10" s="3">
        <v>34</v>
      </c>
      <c r="H10" s="24">
        <v>50000</v>
      </c>
      <c r="I10" s="3"/>
      <c r="J10" s="25">
        <v>50000</v>
      </c>
      <c r="K10" s="31"/>
      <c r="L10" s="32"/>
      <c r="M10" s="28"/>
      <c r="N10" s="23" t="s">
        <v>29</v>
      </c>
      <c r="O10" s="3">
        <v>23</v>
      </c>
      <c r="P10" s="3">
        <v>34</v>
      </c>
      <c r="Q10" s="24">
        <v>50000</v>
      </c>
      <c r="R10" s="3"/>
      <c r="S10" s="25">
        <v>50000</v>
      </c>
    </row>
    <row r="11" spans="1:19" ht="21" customHeight="1">
      <c r="A11" s="20">
        <v>4</v>
      </c>
      <c r="B11" s="33" t="s">
        <v>30</v>
      </c>
      <c r="C11" s="22" t="s">
        <v>31</v>
      </c>
      <c r="D11" s="22"/>
      <c r="E11" s="23" t="s">
        <v>32</v>
      </c>
      <c r="F11" s="3">
        <v>40</v>
      </c>
      <c r="G11" s="3">
        <v>67</v>
      </c>
      <c r="H11" s="24">
        <v>79500</v>
      </c>
      <c r="I11" s="3"/>
      <c r="J11" s="25">
        <v>79500</v>
      </c>
      <c r="K11" s="31"/>
      <c r="L11" s="32"/>
      <c r="M11" s="28"/>
      <c r="N11" s="23" t="s">
        <v>32</v>
      </c>
      <c r="O11" s="3">
        <v>40</v>
      </c>
      <c r="P11" s="3">
        <v>67</v>
      </c>
      <c r="Q11" s="24">
        <v>79500</v>
      </c>
      <c r="R11" s="3"/>
      <c r="S11" s="25">
        <v>79500</v>
      </c>
    </row>
    <row r="12" spans="1:19" ht="21" customHeight="1">
      <c r="A12" s="20">
        <v>5</v>
      </c>
      <c r="B12" s="33" t="s">
        <v>33</v>
      </c>
      <c r="C12" s="22" t="s">
        <v>34</v>
      </c>
      <c r="D12" s="34"/>
      <c r="E12" s="23" t="s">
        <v>35</v>
      </c>
      <c r="F12" s="3">
        <v>42</v>
      </c>
      <c r="G12" s="3">
        <v>53</v>
      </c>
      <c r="H12" s="24">
        <v>41000</v>
      </c>
      <c r="I12" s="3"/>
      <c r="J12" s="25">
        <v>41000</v>
      </c>
      <c r="K12" s="31"/>
      <c r="L12" s="32"/>
      <c r="M12" s="28"/>
      <c r="N12" s="23" t="s">
        <v>35</v>
      </c>
      <c r="O12" s="3">
        <v>42</v>
      </c>
      <c r="P12" s="3">
        <v>53</v>
      </c>
      <c r="Q12" s="24">
        <v>41000</v>
      </c>
      <c r="R12" s="3"/>
      <c r="S12" s="25">
        <v>41000</v>
      </c>
    </row>
    <row r="13" spans="1:19" ht="21" customHeight="1">
      <c r="A13" s="20">
        <v>6</v>
      </c>
      <c r="B13" s="21" t="s">
        <v>36</v>
      </c>
      <c r="C13" s="21" t="s">
        <v>37</v>
      </c>
      <c r="D13" s="22"/>
      <c r="E13" s="23" t="s">
        <v>38</v>
      </c>
      <c r="F13" s="3">
        <v>29</v>
      </c>
      <c r="G13" s="3">
        <v>49</v>
      </c>
      <c r="H13" s="24">
        <v>28000</v>
      </c>
      <c r="I13" s="3"/>
      <c r="J13" s="25">
        <v>28000</v>
      </c>
      <c r="K13" s="31"/>
      <c r="L13" s="32"/>
      <c r="M13" s="28"/>
      <c r="N13" s="23" t="s">
        <v>38</v>
      </c>
      <c r="O13" s="3">
        <v>29</v>
      </c>
      <c r="P13" s="3">
        <v>49</v>
      </c>
      <c r="Q13" s="24">
        <v>28000</v>
      </c>
      <c r="R13" s="3"/>
      <c r="S13" s="25">
        <v>28000</v>
      </c>
    </row>
    <row r="14" spans="1:19" ht="21" customHeight="1">
      <c r="A14" s="20">
        <v>7</v>
      </c>
      <c r="B14" s="21" t="s">
        <v>39</v>
      </c>
      <c r="C14" s="22" t="s">
        <v>40</v>
      </c>
      <c r="D14" s="22"/>
      <c r="E14" s="23" t="s">
        <v>41</v>
      </c>
      <c r="F14" s="3">
        <v>49</v>
      </c>
      <c r="G14" s="3">
        <v>66</v>
      </c>
      <c r="H14" s="24">
        <v>92000</v>
      </c>
      <c r="I14" s="3"/>
      <c r="J14" s="25">
        <v>92000</v>
      </c>
      <c r="K14" s="31"/>
      <c r="L14" s="32"/>
      <c r="M14" s="28"/>
      <c r="N14" s="23" t="s">
        <v>41</v>
      </c>
      <c r="O14" s="3">
        <v>49</v>
      </c>
      <c r="P14" s="3">
        <v>66</v>
      </c>
      <c r="Q14" s="24">
        <v>92000</v>
      </c>
      <c r="R14" s="3"/>
      <c r="S14" s="25">
        <v>92000</v>
      </c>
    </row>
    <row r="15" spans="1:19" ht="21" customHeight="1">
      <c r="A15" s="20">
        <v>8</v>
      </c>
      <c r="B15" s="21" t="s">
        <v>42</v>
      </c>
      <c r="C15" s="21" t="s">
        <v>43</v>
      </c>
      <c r="D15" s="22"/>
      <c r="E15" s="23" t="s">
        <v>44</v>
      </c>
      <c r="F15" s="3">
        <v>41</v>
      </c>
      <c r="G15" s="3">
        <v>58</v>
      </c>
      <c r="H15" s="24">
        <v>41000</v>
      </c>
      <c r="I15" s="3"/>
      <c r="J15" s="25">
        <v>41000</v>
      </c>
      <c r="K15" s="31"/>
      <c r="L15" s="32"/>
      <c r="M15" s="28"/>
      <c r="N15" s="23" t="s">
        <v>44</v>
      </c>
      <c r="O15" s="3">
        <v>41</v>
      </c>
      <c r="P15" s="3">
        <v>58</v>
      </c>
      <c r="Q15" s="24">
        <v>41000</v>
      </c>
      <c r="R15" s="3"/>
      <c r="S15" s="25">
        <v>41000</v>
      </c>
    </row>
    <row r="16" spans="1:19" ht="21" customHeight="1">
      <c r="A16" s="20">
        <v>9</v>
      </c>
      <c r="B16" s="21" t="s">
        <v>45</v>
      </c>
      <c r="C16" s="30" t="s">
        <v>46</v>
      </c>
      <c r="D16" s="22"/>
      <c r="E16" s="23" t="s">
        <v>47</v>
      </c>
      <c r="F16" s="3">
        <v>66</v>
      </c>
      <c r="G16" s="3">
        <v>66</v>
      </c>
      <c r="H16" s="24">
        <v>46500</v>
      </c>
      <c r="I16" s="3"/>
      <c r="J16" s="25">
        <v>46500</v>
      </c>
      <c r="K16" s="31"/>
      <c r="L16" s="32"/>
      <c r="M16" s="28"/>
      <c r="N16" s="23" t="s">
        <v>47</v>
      </c>
      <c r="O16" s="3">
        <v>66</v>
      </c>
      <c r="P16" s="3">
        <v>66</v>
      </c>
      <c r="Q16" s="24">
        <v>46500</v>
      </c>
      <c r="R16" s="3"/>
      <c r="S16" s="25">
        <v>46500</v>
      </c>
    </row>
    <row r="17" spans="1:19" ht="21" customHeight="1">
      <c r="A17" s="20">
        <v>10</v>
      </c>
      <c r="B17" s="21" t="s">
        <v>48</v>
      </c>
      <c r="C17" s="30" t="s">
        <v>49</v>
      </c>
      <c r="D17" s="22"/>
      <c r="E17" s="23" t="s">
        <v>50</v>
      </c>
      <c r="F17" s="3">
        <v>34</v>
      </c>
      <c r="G17" s="3">
        <v>34</v>
      </c>
      <c r="H17" s="24">
        <v>23600</v>
      </c>
      <c r="I17" s="3"/>
      <c r="J17" s="25">
        <v>23600</v>
      </c>
      <c r="K17" s="31"/>
      <c r="L17" s="32"/>
      <c r="M17" s="35"/>
      <c r="N17" s="23" t="s">
        <v>50</v>
      </c>
      <c r="O17" s="3">
        <v>34</v>
      </c>
      <c r="P17" s="3">
        <v>34</v>
      </c>
      <c r="Q17" s="24">
        <v>23600</v>
      </c>
      <c r="R17" s="3"/>
      <c r="S17" s="25">
        <v>23600</v>
      </c>
    </row>
    <row r="18" spans="1:19" ht="21" customHeight="1">
      <c r="A18" s="20">
        <v>11</v>
      </c>
      <c r="B18" s="33" t="s">
        <v>51</v>
      </c>
      <c r="C18" s="22" t="s">
        <v>52</v>
      </c>
      <c r="D18" s="34"/>
      <c r="E18" s="23" t="s">
        <v>53</v>
      </c>
      <c r="F18" s="3">
        <v>39.049999999999997</v>
      </c>
      <c r="G18" s="3">
        <v>39</v>
      </c>
      <c r="H18" s="24">
        <v>39100</v>
      </c>
      <c r="I18" s="3"/>
      <c r="J18" s="25">
        <v>39100</v>
      </c>
      <c r="K18" s="31"/>
      <c r="L18" s="32"/>
      <c r="M18" s="28"/>
      <c r="N18" s="23" t="s">
        <v>53</v>
      </c>
      <c r="O18" s="3">
        <v>39.049999999999997</v>
      </c>
      <c r="P18" s="3">
        <v>39</v>
      </c>
      <c r="Q18" s="24">
        <v>39100</v>
      </c>
      <c r="R18" s="3"/>
      <c r="S18" s="25">
        <v>39100</v>
      </c>
    </row>
    <row r="19" spans="1:19" ht="21" customHeight="1">
      <c r="A19" s="20">
        <v>12</v>
      </c>
      <c r="B19" s="33" t="s">
        <v>54</v>
      </c>
      <c r="C19" s="22" t="s">
        <v>55</v>
      </c>
      <c r="D19" s="22"/>
      <c r="E19" s="23" t="s">
        <v>56</v>
      </c>
      <c r="F19" s="3">
        <v>52</v>
      </c>
      <c r="G19" s="3">
        <v>69</v>
      </c>
      <c r="H19" s="24">
        <v>104000</v>
      </c>
      <c r="I19" s="3"/>
      <c r="J19" s="25">
        <v>104000</v>
      </c>
      <c r="K19" s="31"/>
      <c r="L19" s="32"/>
      <c r="M19" s="28"/>
      <c r="N19" s="23" t="s">
        <v>56</v>
      </c>
      <c r="O19" s="3">
        <v>52</v>
      </c>
      <c r="P19" s="3">
        <v>69</v>
      </c>
      <c r="Q19" s="24">
        <v>104000</v>
      </c>
      <c r="R19" s="3"/>
      <c r="S19" s="25">
        <v>104000</v>
      </c>
    </row>
    <row r="20" spans="1:19" ht="21" customHeight="1">
      <c r="A20" s="20">
        <v>13</v>
      </c>
      <c r="B20" s="21" t="s">
        <v>57</v>
      </c>
      <c r="C20" s="30" t="s">
        <v>58</v>
      </c>
      <c r="D20" s="34"/>
      <c r="E20" s="23" t="s">
        <v>59</v>
      </c>
      <c r="F20" s="3">
        <v>4</v>
      </c>
      <c r="G20" s="3">
        <v>4</v>
      </c>
      <c r="H20" s="24">
        <v>5000</v>
      </c>
      <c r="I20" s="3"/>
      <c r="J20" s="25">
        <v>5000</v>
      </c>
      <c r="K20" s="31"/>
      <c r="L20" s="32"/>
      <c r="M20" s="28"/>
      <c r="N20" s="23" t="s">
        <v>59</v>
      </c>
      <c r="O20" s="3">
        <v>4</v>
      </c>
      <c r="P20" s="3">
        <v>4</v>
      </c>
      <c r="Q20" s="24">
        <v>5000</v>
      </c>
      <c r="R20" s="3"/>
      <c r="S20" s="25">
        <v>5000</v>
      </c>
    </row>
    <row r="21" spans="1:19" ht="21" customHeight="1">
      <c r="A21" s="20">
        <v>14</v>
      </c>
      <c r="B21" s="21" t="s">
        <v>60</v>
      </c>
      <c r="C21" s="30" t="s">
        <v>61</v>
      </c>
      <c r="D21" s="22"/>
      <c r="E21" s="23" t="s">
        <v>62</v>
      </c>
      <c r="F21" s="3">
        <v>68</v>
      </c>
      <c r="G21" s="3">
        <v>68</v>
      </c>
      <c r="H21" s="24">
        <v>48500</v>
      </c>
      <c r="I21" s="3"/>
      <c r="J21" s="25">
        <v>48500</v>
      </c>
      <c r="K21" s="31"/>
      <c r="L21" s="32"/>
      <c r="M21" s="28"/>
      <c r="N21" s="23" t="s">
        <v>62</v>
      </c>
      <c r="O21" s="3">
        <v>68</v>
      </c>
      <c r="P21" s="3">
        <v>68</v>
      </c>
      <c r="Q21" s="24">
        <v>48500</v>
      </c>
      <c r="R21" s="3"/>
      <c r="S21" s="25">
        <v>48500</v>
      </c>
    </row>
    <row r="22" spans="1:19" ht="21" customHeight="1">
      <c r="A22" s="20">
        <v>15</v>
      </c>
      <c r="B22" s="21" t="s">
        <v>63</v>
      </c>
      <c r="C22" s="21" t="s">
        <v>64</v>
      </c>
      <c r="D22" s="22"/>
      <c r="E22" s="23" t="s">
        <v>65</v>
      </c>
      <c r="F22" s="3">
        <v>38</v>
      </c>
      <c r="G22" s="3">
        <v>55</v>
      </c>
      <c r="H22" s="24">
        <v>38000</v>
      </c>
      <c r="I22" s="3"/>
      <c r="J22" s="25">
        <v>38000</v>
      </c>
      <c r="K22" s="31"/>
      <c r="L22" s="32"/>
      <c r="M22" s="28"/>
      <c r="N22" s="23" t="s">
        <v>65</v>
      </c>
      <c r="O22" s="3">
        <v>38</v>
      </c>
      <c r="P22" s="3">
        <v>55</v>
      </c>
      <c r="Q22" s="24">
        <v>38000</v>
      </c>
      <c r="R22" s="3"/>
      <c r="S22" s="25">
        <v>38000</v>
      </c>
    </row>
    <row r="23" spans="1:19" ht="21" customHeight="1">
      <c r="A23" s="20">
        <v>16</v>
      </c>
      <c r="B23" s="36" t="s">
        <v>66</v>
      </c>
      <c r="C23" s="36" t="s">
        <v>67</v>
      </c>
      <c r="D23" s="37"/>
      <c r="E23" s="38" t="s">
        <v>68</v>
      </c>
      <c r="F23" s="39">
        <v>16</v>
      </c>
      <c r="G23" s="39">
        <v>37</v>
      </c>
      <c r="H23" s="40">
        <v>37600</v>
      </c>
      <c r="I23" s="39"/>
      <c r="J23" s="41">
        <v>37600</v>
      </c>
      <c r="K23" s="42"/>
      <c r="L23" s="43"/>
      <c r="M23" s="44"/>
      <c r="N23" s="38" t="s">
        <v>68</v>
      </c>
      <c r="O23" s="39">
        <v>16</v>
      </c>
      <c r="P23" s="39">
        <v>37</v>
      </c>
      <c r="Q23" s="40">
        <v>37600</v>
      </c>
      <c r="R23" s="39"/>
      <c r="S23" s="41">
        <v>37600</v>
      </c>
    </row>
    <row r="24" spans="1:19" ht="21" customHeight="1" thickBot="1">
      <c r="A24" s="45"/>
      <c r="B24" s="46" t="s">
        <v>18</v>
      </c>
      <c r="C24" s="47"/>
      <c r="D24" s="48"/>
      <c r="E24" s="49"/>
      <c r="F24" s="50"/>
      <c r="G24" s="50"/>
      <c r="H24" s="51">
        <v>711100</v>
      </c>
      <c r="I24" s="51">
        <v>0</v>
      </c>
      <c r="J24" s="51">
        <v>711100</v>
      </c>
      <c r="K24" s="52"/>
      <c r="L24" s="53"/>
      <c r="M24" s="54">
        <v>0</v>
      </c>
      <c r="N24" s="49"/>
      <c r="O24" s="50"/>
      <c r="P24" s="50"/>
      <c r="Q24" s="51">
        <v>711100</v>
      </c>
      <c r="R24" s="51">
        <v>0</v>
      </c>
      <c r="S24" s="51">
        <v>711100</v>
      </c>
    </row>
    <row r="25" spans="1:19" s="1" customFormat="1" ht="21" customHeight="1" thickTop="1">
      <c r="A25" s="55"/>
      <c r="B25" s="56" t="s">
        <v>69</v>
      </c>
      <c r="D25" s="57"/>
      <c r="E25" s="58"/>
      <c r="F25" s="59"/>
      <c r="G25" s="29"/>
      <c r="H25" s="29"/>
      <c r="I25" s="29"/>
      <c r="J25" s="29"/>
      <c r="K25" s="60"/>
      <c r="L25" s="61"/>
      <c r="M25" s="61"/>
    </row>
    <row r="26" spans="1:19" ht="21" customHeight="1">
      <c r="A26" s="20">
        <v>1</v>
      </c>
      <c r="B26" s="21" t="s">
        <v>70</v>
      </c>
      <c r="C26" s="21" t="s">
        <v>71</v>
      </c>
      <c r="D26" s="6"/>
      <c r="E26" s="23" t="s">
        <v>72</v>
      </c>
      <c r="F26" s="3">
        <v>7</v>
      </c>
      <c r="G26" s="3">
        <v>141</v>
      </c>
      <c r="H26" s="24">
        <v>20000</v>
      </c>
      <c r="I26" s="3"/>
      <c r="J26" s="25">
        <v>20000</v>
      </c>
      <c r="K26" s="26"/>
      <c r="L26" s="27"/>
      <c r="M26" s="28"/>
      <c r="N26" s="23" t="s">
        <v>72</v>
      </c>
      <c r="O26" s="3">
        <v>7</v>
      </c>
      <c r="P26" s="3">
        <v>141</v>
      </c>
      <c r="Q26" s="24">
        <v>20000</v>
      </c>
      <c r="R26" s="3"/>
      <c r="S26" s="25">
        <v>20000</v>
      </c>
    </row>
    <row r="27" spans="1:19" ht="21" customHeight="1" thickBot="1">
      <c r="A27" s="45"/>
      <c r="B27" s="46" t="s">
        <v>18</v>
      </c>
      <c r="C27" s="47"/>
      <c r="D27" s="48"/>
      <c r="E27" s="49"/>
      <c r="F27" s="50"/>
      <c r="G27" s="50"/>
      <c r="H27" s="51">
        <v>20000</v>
      </c>
      <c r="I27" s="51">
        <v>0</v>
      </c>
      <c r="J27" s="51">
        <v>20000</v>
      </c>
      <c r="K27" s="62"/>
      <c r="L27" s="53"/>
      <c r="M27" s="54"/>
      <c r="N27" s="49"/>
      <c r="O27" s="50"/>
      <c r="P27" s="50"/>
      <c r="Q27" s="51">
        <v>20000</v>
      </c>
      <c r="R27" s="51">
        <v>0</v>
      </c>
      <c r="S27" s="51">
        <v>20000</v>
      </c>
    </row>
    <row r="28" spans="1:19" ht="21" customHeight="1" thickTop="1">
      <c r="B28" s="1"/>
      <c r="C28" s="1"/>
      <c r="D28" s="63"/>
      <c r="E28" s="64"/>
      <c r="F28" s="58"/>
      <c r="G28" s="58"/>
      <c r="H28" s="65"/>
      <c r="I28" s="58"/>
      <c r="J28" s="59"/>
      <c r="K28" s="66"/>
      <c r="L28" s="67"/>
      <c r="M28" s="68"/>
      <c r="N28" s="64"/>
      <c r="Q28" s="65"/>
      <c r="S28" s="59"/>
    </row>
    <row r="29" spans="1:19" s="1" customFormat="1" ht="21" customHeight="1">
      <c r="A29" s="55"/>
      <c r="B29" s="69" t="s">
        <v>73</v>
      </c>
      <c r="D29" s="57"/>
      <c r="E29" s="58"/>
      <c r="F29" s="59"/>
      <c r="G29" s="29"/>
      <c r="H29" s="29"/>
      <c r="I29" s="29"/>
      <c r="J29" s="29"/>
      <c r="K29" s="60"/>
      <c r="L29" s="61"/>
      <c r="M29" s="61"/>
    </row>
    <row r="30" spans="1:19" ht="21" customHeight="1">
      <c r="A30" s="20">
        <v>1</v>
      </c>
      <c r="B30" s="21" t="s">
        <v>74</v>
      </c>
      <c r="C30" s="70" t="s">
        <v>75</v>
      </c>
      <c r="D30" s="6"/>
      <c r="E30" s="24" t="s">
        <v>76</v>
      </c>
      <c r="F30" s="3"/>
      <c r="G30" s="3"/>
      <c r="H30" s="24">
        <v>100</v>
      </c>
      <c r="I30" s="3"/>
      <c r="J30" s="25">
        <v>100</v>
      </c>
      <c r="K30" s="71" t="s">
        <v>77</v>
      </c>
      <c r="L30" s="72" t="s">
        <v>78</v>
      </c>
      <c r="M30" s="28">
        <v>100</v>
      </c>
      <c r="N30" s="23"/>
      <c r="O30" s="3"/>
      <c r="P30" s="3"/>
      <c r="Q30" s="24">
        <v>0</v>
      </c>
      <c r="R30" s="24"/>
      <c r="S30" s="24">
        <v>0</v>
      </c>
    </row>
    <row r="31" spans="1:19" ht="21" customHeight="1">
      <c r="A31" s="20"/>
      <c r="B31" s="33" t="s">
        <v>74</v>
      </c>
      <c r="C31" s="73" t="s">
        <v>79</v>
      </c>
      <c r="D31" s="34"/>
      <c r="E31" s="23" t="s">
        <v>80</v>
      </c>
      <c r="F31" s="3">
        <v>43</v>
      </c>
      <c r="G31" s="3">
        <v>43</v>
      </c>
      <c r="H31" s="24">
        <v>86000</v>
      </c>
      <c r="I31" s="3"/>
      <c r="J31" s="25">
        <v>86000</v>
      </c>
      <c r="K31" s="31" t="s">
        <v>77</v>
      </c>
      <c r="L31" s="32" t="s">
        <v>78</v>
      </c>
      <c r="M31" s="28">
        <v>200</v>
      </c>
      <c r="N31" s="23" t="s">
        <v>80</v>
      </c>
      <c r="O31" s="3">
        <v>43</v>
      </c>
      <c r="P31" s="3">
        <v>43</v>
      </c>
      <c r="Q31" s="24">
        <v>85800</v>
      </c>
      <c r="R31" s="24"/>
      <c r="S31" s="24">
        <v>85800</v>
      </c>
    </row>
    <row r="32" spans="1:19" ht="21" customHeight="1">
      <c r="A32" s="20">
        <v>2</v>
      </c>
      <c r="B32" s="33" t="s">
        <v>81</v>
      </c>
      <c r="C32" s="22" t="s">
        <v>82</v>
      </c>
      <c r="D32" s="34"/>
      <c r="E32" s="23" t="s">
        <v>83</v>
      </c>
      <c r="F32" s="3">
        <v>24</v>
      </c>
      <c r="G32" s="3">
        <v>35</v>
      </c>
      <c r="H32" s="24">
        <v>4000</v>
      </c>
      <c r="I32" s="3"/>
      <c r="J32" s="25">
        <v>4000</v>
      </c>
      <c r="K32" s="26" t="s">
        <v>77</v>
      </c>
      <c r="L32" s="32" t="s">
        <v>84</v>
      </c>
      <c r="M32" s="28">
        <v>1000</v>
      </c>
      <c r="N32" s="23" t="s">
        <v>83</v>
      </c>
      <c r="O32" s="3">
        <v>24</v>
      </c>
      <c r="P32" s="3">
        <v>35</v>
      </c>
      <c r="Q32" s="24">
        <v>3000</v>
      </c>
      <c r="R32" s="24"/>
      <c r="S32" s="24">
        <v>3000</v>
      </c>
    </row>
    <row r="33" spans="1:19" ht="21" customHeight="1">
      <c r="A33" s="20"/>
      <c r="B33" s="33" t="s">
        <v>81</v>
      </c>
      <c r="C33" s="22" t="s">
        <v>85</v>
      </c>
      <c r="D33" s="34"/>
      <c r="E33" s="23" t="s">
        <v>83</v>
      </c>
      <c r="F33" s="3">
        <v>24</v>
      </c>
      <c r="G33" s="3">
        <v>35</v>
      </c>
      <c r="H33" s="24">
        <v>21000</v>
      </c>
      <c r="I33" s="3"/>
      <c r="J33" s="25">
        <v>21000</v>
      </c>
      <c r="K33" s="31"/>
      <c r="L33" s="32"/>
      <c r="M33" s="28"/>
      <c r="N33" s="23" t="s">
        <v>83</v>
      </c>
      <c r="O33" s="3">
        <v>24</v>
      </c>
      <c r="P33" s="3">
        <v>35</v>
      </c>
      <c r="Q33" s="24">
        <v>21000</v>
      </c>
      <c r="R33" s="24"/>
      <c r="S33" s="24">
        <v>21000</v>
      </c>
    </row>
    <row r="34" spans="1:19" ht="21" customHeight="1">
      <c r="A34" s="20">
        <v>3</v>
      </c>
      <c r="B34" s="21" t="s">
        <v>86</v>
      </c>
      <c r="C34" s="30" t="s">
        <v>87</v>
      </c>
      <c r="D34" s="22"/>
      <c r="E34" s="23" t="s">
        <v>50</v>
      </c>
      <c r="F34" s="3">
        <v>34</v>
      </c>
      <c r="G34" s="3">
        <v>34</v>
      </c>
      <c r="H34" s="24">
        <v>7000</v>
      </c>
      <c r="I34" s="3"/>
      <c r="J34" s="25">
        <v>7000</v>
      </c>
      <c r="K34" s="31" t="s">
        <v>88</v>
      </c>
      <c r="L34" s="32" t="s">
        <v>89</v>
      </c>
      <c r="M34" s="35">
        <v>1000</v>
      </c>
      <c r="N34" s="23" t="s">
        <v>50</v>
      </c>
      <c r="O34" s="3">
        <v>34</v>
      </c>
      <c r="P34" s="3">
        <v>34</v>
      </c>
      <c r="Q34" s="24">
        <v>6000</v>
      </c>
      <c r="R34" s="3"/>
      <c r="S34" s="24">
        <v>6000</v>
      </c>
    </row>
    <row r="35" spans="1:19" ht="21" customHeight="1" thickBot="1">
      <c r="A35" s="45"/>
      <c r="B35" s="46" t="s">
        <v>18</v>
      </c>
      <c r="C35" s="47"/>
      <c r="D35" s="48"/>
      <c r="E35" s="49"/>
      <c r="F35" s="50"/>
      <c r="G35" s="50"/>
      <c r="H35" s="51">
        <v>118100</v>
      </c>
      <c r="I35" s="51">
        <v>0</v>
      </c>
      <c r="J35" s="51">
        <v>118100</v>
      </c>
      <c r="K35" s="62"/>
      <c r="L35" s="53"/>
      <c r="M35" s="74">
        <v>2300</v>
      </c>
      <c r="N35" s="49"/>
      <c r="O35" s="50"/>
      <c r="P35" s="50"/>
      <c r="Q35" s="51">
        <v>115800</v>
      </c>
      <c r="R35" s="51">
        <v>0</v>
      </c>
      <c r="S35" s="51">
        <v>115800</v>
      </c>
    </row>
    <row r="36" spans="1:19" s="85" customFormat="1" ht="21" customHeight="1" thickTop="1">
      <c r="A36" s="75"/>
      <c r="B36" s="76"/>
      <c r="C36" s="77"/>
      <c r="D36" s="78"/>
      <c r="E36" s="79"/>
      <c r="F36" s="80"/>
      <c r="G36" s="80"/>
      <c r="H36" s="81"/>
      <c r="I36" s="81"/>
      <c r="J36" s="81"/>
      <c r="K36" s="82"/>
      <c r="L36" s="83"/>
      <c r="M36" s="84"/>
      <c r="N36" s="79"/>
      <c r="O36" s="80"/>
      <c r="P36" s="80"/>
      <c r="Q36" s="81"/>
      <c r="R36" s="81"/>
      <c r="S36" s="81"/>
    </row>
    <row r="37" spans="1:19" ht="21" customHeight="1">
      <c r="B37" s="86" t="s">
        <v>90</v>
      </c>
    </row>
    <row r="38" spans="1:19" ht="21" customHeight="1">
      <c r="A38" s="20">
        <v>1</v>
      </c>
      <c r="B38" s="33" t="s">
        <v>91</v>
      </c>
      <c r="C38" s="73" t="s">
        <v>92</v>
      </c>
      <c r="D38" s="34"/>
      <c r="E38" s="23" t="s">
        <v>93</v>
      </c>
      <c r="F38" s="3">
        <v>2</v>
      </c>
      <c r="G38" s="3">
        <v>2</v>
      </c>
      <c r="H38" s="24">
        <v>11000</v>
      </c>
      <c r="I38" s="3"/>
      <c r="J38" s="25">
        <v>11000</v>
      </c>
      <c r="K38" s="31"/>
      <c r="L38" s="32"/>
      <c r="M38" s="28"/>
      <c r="N38" s="23" t="s">
        <v>93</v>
      </c>
      <c r="O38" s="3">
        <v>2</v>
      </c>
      <c r="P38" s="3">
        <v>2</v>
      </c>
      <c r="Q38" s="24">
        <v>11000</v>
      </c>
      <c r="R38" s="3"/>
      <c r="S38" s="25">
        <v>11000</v>
      </c>
    </row>
    <row r="39" spans="1:19" ht="21" customHeight="1">
      <c r="A39" s="20">
        <v>2</v>
      </c>
      <c r="B39" s="70" t="s">
        <v>94</v>
      </c>
      <c r="C39" s="30" t="s">
        <v>95</v>
      </c>
      <c r="D39" s="22"/>
      <c r="E39" s="23" t="s">
        <v>96</v>
      </c>
      <c r="F39" s="3">
        <v>3</v>
      </c>
      <c r="G39" s="3">
        <v>3</v>
      </c>
      <c r="H39" s="24">
        <v>6000</v>
      </c>
      <c r="I39" s="3"/>
      <c r="J39" s="25">
        <v>6000</v>
      </c>
      <c r="K39" s="31"/>
      <c r="L39" s="32"/>
      <c r="M39" s="27"/>
      <c r="N39" s="23" t="s">
        <v>96</v>
      </c>
      <c r="O39" s="3">
        <v>3</v>
      </c>
      <c r="P39" s="3">
        <v>3</v>
      </c>
      <c r="Q39" s="24">
        <v>6000</v>
      </c>
      <c r="R39" s="24"/>
      <c r="S39" s="24">
        <v>6000</v>
      </c>
    </row>
    <row r="40" spans="1:19" ht="21" customHeight="1" thickBot="1">
      <c r="A40" s="45"/>
      <c r="B40" s="46" t="s">
        <v>18</v>
      </c>
      <c r="C40" s="47"/>
      <c r="D40" s="48"/>
      <c r="E40" s="49"/>
      <c r="F40" s="50"/>
      <c r="G40" s="50"/>
      <c r="H40" s="51">
        <v>17000</v>
      </c>
      <c r="I40" s="51">
        <v>0</v>
      </c>
      <c r="J40" s="51">
        <v>17000</v>
      </c>
      <c r="K40" s="62"/>
      <c r="L40" s="53"/>
      <c r="M40" s="74">
        <v>0</v>
      </c>
      <c r="N40" s="49"/>
      <c r="O40" s="50"/>
      <c r="P40" s="50"/>
      <c r="Q40" s="51">
        <v>17000</v>
      </c>
      <c r="R40" s="51">
        <v>0</v>
      </c>
      <c r="S40" s="51">
        <v>17000</v>
      </c>
    </row>
    <row r="41" spans="1:19" s="85" customFormat="1" ht="21" customHeight="1" thickTop="1">
      <c r="A41" s="75"/>
      <c r="B41" s="93"/>
      <c r="C41" s="77"/>
      <c r="D41" s="78"/>
      <c r="E41" s="79"/>
      <c r="F41" s="80"/>
      <c r="G41" s="80"/>
      <c r="H41" s="81"/>
      <c r="I41" s="80"/>
      <c r="J41" s="94"/>
      <c r="K41" s="82"/>
      <c r="L41" s="83"/>
      <c r="M41" s="95"/>
      <c r="N41" s="79"/>
      <c r="O41" s="80"/>
      <c r="P41" s="80"/>
      <c r="Q41" s="81"/>
      <c r="R41" s="81"/>
      <c r="S41" s="81"/>
    </row>
    <row r="42" spans="1:19" ht="21" customHeight="1">
      <c r="H42" s="96">
        <v>866200</v>
      </c>
      <c r="I42" s="96">
        <v>0</v>
      </c>
      <c r="J42" s="96">
        <v>866200</v>
      </c>
      <c r="K42" s="96">
        <v>0</v>
      </c>
      <c r="L42" s="96">
        <v>0</v>
      </c>
      <c r="M42" s="96">
        <v>2300</v>
      </c>
      <c r="N42" s="96">
        <v>0</v>
      </c>
      <c r="O42" s="96">
        <v>0</v>
      </c>
      <c r="P42" s="96">
        <v>0</v>
      </c>
      <c r="Q42" s="96">
        <v>863900</v>
      </c>
      <c r="R42" s="96">
        <v>0</v>
      </c>
      <c r="S42" s="96">
        <v>863900</v>
      </c>
    </row>
    <row r="44" spans="1:19" ht="21" customHeight="1">
      <c r="S44" s="58"/>
    </row>
    <row r="52" spans="1:18" ht="21" customHeight="1">
      <c r="A52" s="29"/>
      <c r="R52" s="29"/>
    </row>
    <row r="53" spans="1:18" ht="21" customHeight="1">
      <c r="A53" s="29"/>
      <c r="R53" s="29"/>
    </row>
    <row r="63" spans="1:18" ht="21" customHeight="1">
      <c r="A63" s="29"/>
      <c r="R63" s="29"/>
    </row>
    <row r="64" spans="1:18" ht="21" customHeight="1">
      <c r="A64" s="29"/>
      <c r="R64" s="29"/>
    </row>
    <row r="67" spans="1:19" ht="21" customHeight="1">
      <c r="A67" s="29"/>
      <c r="C67" s="29"/>
      <c r="D67" s="29"/>
      <c r="F67" s="29"/>
      <c r="G67" s="29"/>
      <c r="H67" s="29"/>
      <c r="I67" s="29"/>
      <c r="J67" s="29"/>
      <c r="K67" s="2"/>
      <c r="L67" s="29"/>
      <c r="O67" s="29"/>
      <c r="P67" s="29"/>
      <c r="Q67" s="29"/>
      <c r="R67" s="29" t="s">
        <v>97</v>
      </c>
      <c r="S67" s="58">
        <v>32</v>
      </c>
    </row>
    <row r="68" spans="1:19" ht="21" customHeight="1">
      <c r="A68" s="29"/>
      <c r="C68" s="29"/>
      <c r="D68" s="29"/>
      <c r="F68" s="29"/>
      <c r="G68" s="29"/>
      <c r="H68" s="29"/>
      <c r="I68" s="29"/>
      <c r="J68" s="29"/>
      <c r="K68" s="2"/>
      <c r="L68" s="29"/>
      <c r="O68" s="29"/>
      <c r="P68" s="29"/>
      <c r="Q68" s="29"/>
      <c r="R68" s="55" t="s">
        <v>98</v>
      </c>
      <c r="S68" s="55">
        <v>18</v>
      </c>
    </row>
    <row r="122" spans="1:19" ht="21" customHeight="1">
      <c r="A122" s="97" t="s">
        <v>99</v>
      </c>
      <c r="B122" s="36" t="s">
        <v>100</v>
      </c>
      <c r="C122" s="98" t="s">
        <v>101</v>
      </c>
      <c r="D122" s="37">
        <v>1100</v>
      </c>
      <c r="E122" s="38" t="s">
        <v>102</v>
      </c>
      <c r="F122" s="39">
        <v>1</v>
      </c>
      <c r="G122" s="39">
        <v>1</v>
      </c>
      <c r="H122" s="40">
        <v>1100</v>
      </c>
      <c r="I122" s="39"/>
      <c r="J122" s="41">
        <v>1100</v>
      </c>
      <c r="K122" s="99"/>
      <c r="L122" s="100"/>
      <c r="M122" s="101"/>
      <c r="N122" s="38" t="s">
        <v>103</v>
      </c>
      <c r="O122" s="39">
        <v>2</v>
      </c>
      <c r="P122" s="39">
        <v>2</v>
      </c>
      <c r="Q122" s="40">
        <v>2200</v>
      </c>
      <c r="R122" s="39"/>
      <c r="S122" s="41">
        <v>1100</v>
      </c>
    </row>
  </sheetData>
  <mergeCells count="19">
    <mergeCell ref="H5:J5"/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N5:N6"/>
    <mergeCell ref="O5:O6"/>
    <mergeCell ref="Q5:S5"/>
    <mergeCell ref="E5:E6"/>
    <mergeCell ref="F5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มิย.69</vt:lpstr>
      <vt:lpstr>รับชำระ มิย.69</vt:lpstr>
      <vt:lpstr>แนบ มิย.69</vt:lpstr>
      <vt:lpstr>เรียง มิย.69</vt:lpstr>
      <vt:lpstr>เรียง พ.ค.69</vt:lpstr>
      <vt:lpstr>แนบ พ.ค.69</vt:lpstr>
      <vt:lpstr>รับชำระ พ.ค.69</vt:lpstr>
      <vt:lpstr>พ.ค.69</vt:lpstr>
      <vt:lpstr>(ท่าส่ง) พ.ค.69</vt:lpstr>
      <vt:lpstr>เมย.69</vt:lpstr>
      <vt:lpstr>รับชำระ เมย.69</vt:lpstr>
      <vt:lpstr>แนบ เมย.69</vt:lpstr>
      <vt:lpstr>เรียง เมย.69</vt:lpstr>
      <vt:lpstr>มีค.69</vt:lpstr>
      <vt:lpstr>รับชำระ มีค.69</vt:lpstr>
      <vt:lpstr>แนบ มีค.69</vt:lpstr>
      <vt:lpstr>เรียง มีค.69</vt:lpstr>
      <vt:lpstr>กพ.69</vt:lpstr>
      <vt:lpstr>รับชำระ กพ.69</vt:lpstr>
      <vt:lpstr>แนบ กพ.69</vt:lpstr>
      <vt:lpstr>เรียง กพ.69</vt:lpstr>
      <vt:lpstr>มค.69</vt:lpstr>
      <vt:lpstr>รับชำระ มค.69</vt:lpstr>
      <vt:lpstr>แนบ มค.69</vt:lpstr>
      <vt:lpstr>เรียง มค.69</vt:lpstr>
      <vt:lpstr>ธค.68</vt:lpstr>
      <vt:lpstr>รับชำระ ธค.68</vt:lpstr>
      <vt:lpstr>แนบ ธค.68</vt:lpstr>
      <vt:lpstr>เรียง ธค.68</vt:lpstr>
      <vt:lpstr>พย.68</vt:lpstr>
      <vt:lpstr>รับชำระ พย.68</vt:lpstr>
      <vt:lpstr>แนบ พย.68</vt:lpstr>
      <vt:lpstr>เรียง พย.68</vt:lpstr>
      <vt:lpstr>ตค.68</vt:lpstr>
      <vt:lpstr>รับชำระ ตค.68</vt:lpstr>
      <vt:lpstr>แนบ ตค.68</vt:lpstr>
      <vt:lpstr>เรียง ตค.68</vt:lpstr>
      <vt:lpstr>กย.68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สนง.บริหารหนี้</dc:creator>
  <cp:lastModifiedBy>สนง.บริหารหนี้</cp:lastModifiedBy>
  <cp:lastPrinted>2026-08-14T06:58:49Z</cp:lastPrinted>
  <dcterms:created xsi:type="dcterms:W3CDTF">2025-10-06T08:35:33Z</dcterms:created>
  <dcterms:modified xsi:type="dcterms:W3CDTF">2026-08-14T06:59:09Z</dcterms:modified>
</cp:coreProperties>
</file>