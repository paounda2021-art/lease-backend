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3770BA65-D0FC-42A4-A1EA-4B39D2A0E330}" xr6:coauthVersionLast="47" xr6:coauthVersionMax="47" xr10:uidLastSave="{00000000-0000-0000-0000-000000000000}"/>
  <bookViews>
    <workbookView xWindow="-108" yWindow="-108" windowWidth="23256" windowHeight="12456" xr2:uid="{44261145-3EF9-45FF-B161-695759F3D921}"/>
  </bookViews>
  <sheets>
    <sheet name="1_ข้อมูลลูกหนี้ ภูเก็ต (20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2" i="1" l="1"/>
  <c r="J72" i="1" s="1"/>
  <c r="H72" i="1"/>
  <c r="I71" i="1"/>
  <c r="J71" i="1" s="1"/>
  <c r="H71" i="1"/>
  <c r="I70" i="1"/>
  <c r="J70" i="1" s="1"/>
  <c r="H70" i="1"/>
  <c r="I69" i="1"/>
  <c r="J69" i="1" s="1"/>
  <c r="H69" i="1"/>
  <c r="I68" i="1"/>
  <c r="J68" i="1" s="1"/>
  <c r="H68" i="1"/>
  <c r="I67" i="1"/>
  <c r="J67" i="1" s="1"/>
  <c r="H67" i="1"/>
  <c r="I66" i="1"/>
  <c r="J66" i="1" s="1"/>
  <c r="H66" i="1"/>
  <c r="I65" i="1"/>
  <c r="J65" i="1" s="1"/>
  <c r="H65" i="1"/>
  <c r="I64" i="1"/>
  <c r="J64" i="1" s="1"/>
  <c r="H64" i="1"/>
  <c r="I63" i="1"/>
  <c r="J63" i="1" s="1"/>
  <c r="H63" i="1"/>
  <c r="I62" i="1"/>
  <c r="J62" i="1" s="1"/>
  <c r="H62" i="1"/>
  <c r="I61" i="1"/>
  <c r="J61" i="1" s="1"/>
  <c r="H61" i="1"/>
  <c r="I60" i="1"/>
  <c r="J60" i="1" s="1"/>
  <c r="H60" i="1"/>
  <c r="I59" i="1"/>
  <c r="J59" i="1" s="1"/>
  <c r="H59" i="1"/>
  <c r="I58" i="1"/>
  <c r="J58" i="1" s="1"/>
  <c r="H58" i="1"/>
  <c r="I57" i="1"/>
  <c r="J57" i="1" s="1"/>
  <c r="H57" i="1"/>
  <c r="I56" i="1"/>
  <c r="J56" i="1" s="1"/>
  <c r="H56" i="1"/>
  <c r="H55" i="1"/>
  <c r="I55" i="1" s="1"/>
  <c r="J55" i="1" s="1"/>
  <c r="H54" i="1"/>
  <c r="I54" i="1" s="1"/>
  <c r="J54" i="1" s="1"/>
  <c r="H53" i="1"/>
  <c r="I53" i="1" s="1"/>
  <c r="J53" i="1" s="1"/>
  <c r="I52" i="1"/>
  <c r="J52" i="1" s="1"/>
  <c r="H52" i="1"/>
  <c r="I51" i="1"/>
  <c r="J51" i="1" s="1"/>
  <c r="H51" i="1"/>
  <c r="I50" i="1"/>
  <c r="J50" i="1" s="1"/>
  <c r="H50" i="1"/>
  <c r="I49" i="1"/>
  <c r="J49" i="1" s="1"/>
  <c r="H49" i="1"/>
  <c r="I48" i="1"/>
  <c r="J48" i="1" s="1"/>
  <c r="H48" i="1"/>
  <c r="I47" i="1"/>
  <c r="J47" i="1" s="1"/>
  <c r="H47" i="1"/>
  <c r="I46" i="1"/>
  <c r="J46" i="1" s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I38" i="1"/>
  <c r="J38" i="1" s="1"/>
  <c r="H38" i="1"/>
  <c r="I37" i="1"/>
  <c r="J37" i="1" s="1"/>
  <c r="H37" i="1"/>
  <c r="I36" i="1"/>
  <c r="J36" i="1" s="1"/>
  <c r="H36" i="1"/>
  <c r="I35" i="1"/>
  <c r="J35" i="1" s="1"/>
  <c r="H35" i="1"/>
  <c r="H34" i="1"/>
  <c r="I34" i="1" s="1"/>
  <c r="J34" i="1" s="1"/>
  <c r="I33" i="1"/>
  <c r="J33" i="1" s="1"/>
  <c r="H33" i="1"/>
  <c r="H31" i="1"/>
  <c r="I31" i="1" s="1"/>
  <c r="J31" i="1" s="1"/>
  <c r="I30" i="1"/>
  <c r="J30" i="1" s="1"/>
  <c r="H30" i="1"/>
  <c r="I29" i="1"/>
  <c r="J29" i="1" s="1"/>
  <c r="H29" i="1"/>
  <c r="I28" i="1"/>
  <c r="J28" i="1" s="1"/>
  <c r="H28" i="1"/>
  <c r="I27" i="1"/>
  <c r="J27" i="1" s="1"/>
  <c r="H27" i="1"/>
  <c r="H26" i="1"/>
  <c r="I26" i="1" s="1"/>
  <c r="J26" i="1" s="1"/>
  <c r="I25" i="1"/>
  <c r="J25" i="1" s="1"/>
  <c r="H25" i="1"/>
  <c r="I24" i="1"/>
  <c r="J24" i="1" s="1"/>
  <c r="H24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H15" i="1"/>
  <c r="I15" i="1" s="1"/>
  <c r="J15" i="1" s="1"/>
  <c r="I14" i="1"/>
  <c r="J14" i="1" s="1"/>
  <c r="H14" i="1"/>
  <c r="I13" i="1"/>
  <c r="J13" i="1" s="1"/>
  <c r="H13" i="1"/>
  <c r="I12" i="1"/>
  <c r="J12" i="1" s="1"/>
  <c r="H12" i="1"/>
  <c r="H11" i="1"/>
  <c r="I11" i="1" s="1"/>
  <c r="J11" i="1" s="1"/>
  <c r="H10" i="1"/>
  <c r="I10" i="1" s="1"/>
  <c r="J10" i="1" s="1"/>
  <c r="I9" i="1"/>
  <c r="J9" i="1" s="1"/>
  <c r="H9" i="1"/>
  <c r="I8" i="1"/>
  <c r="J8" i="1" s="1"/>
  <c r="H8" i="1"/>
  <c r="F5" i="1"/>
  <c r="H32" i="1" s="1"/>
  <c r="I32" i="1" s="1"/>
  <c r="J32" i="1" s="1"/>
</calcChain>
</file>

<file path=xl/sharedStrings.xml><?xml version="1.0" encoding="utf-8"?>
<sst xmlns="http://schemas.openxmlformats.org/spreadsheetml/2006/main" count="196" uniqueCount="184">
  <si>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</si>
  <si>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</si>
  <si>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</si>
  <si>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</si>
  <si>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</si>
  <si>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</si>
  <si>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</si>
  <si>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</si>
  <si>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</si>
  <si>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</si>
  <si>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</si>
  <si>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</si>
  <si>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</si>
  <si>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</si>
  <si>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</si>
  <si>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C-20-06-0001</t>
  </si>
  <si>
    <t xml:space="preserve">นายจงรักษ์ นฤขัตพิชัย   </t>
  </si>
  <si>
    <t>2/55-57 ม.1 ต.รัษฎา อ.เมือง จ.ภูเก็ต (คูหา 1 - 3)</t>
  </si>
  <si>
    <t>ยังไม่ครบกำหนด</t>
  </si>
  <si>
    <t>C-20-06-0002</t>
  </si>
  <si>
    <t>นายพีรณัฐ นฤขัตพิชัย</t>
  </si>
  <si>
    <t>2/58 ม.1 ต.รัษฎา อ.เมือง จ.ภูเก็ต (คูหา 4)</t>
  </si>
  <si>
    <t>1–30 วัน</t>
  </si>
  <si>
    <t>C-20-06-0003</t>
  </si>
  <si>
    <t xml:space="preserve">นางสาวนฤมนต์ ตัมพานุวัตร </t>
  </si>
  <si>
    <t>2/59,23-24,46-47 ม.1 ต.รัษฎา อ.เมือง จ.ภูเก็ต(คูหา 5,18-21)</t>
  </si>
  <si>
    <t>31–60 วัน</t>
  </si>
  <si>
    <t>C-20-06-0004</t>
  </si>
  <si>
    <t>2/60-61 ม.1 ต.รัษฎา อ.เมือง จ.ภูเก็ต (คูหา 6 - 7)</t>
  </si>
  <si>
    <t>61–90 วัน</t>
  </si>
  <si>
    <t>C-20-06-0005</t>
  </si>
  <si>
    <t>นางธารทิพย์ เงินอเนก</t>
  </si>
  <si>
    <t>2/13-19 ม.1 ต.รัษฎา อ.เมือง จ.ภูเก็ต (คูหา 8 -14)</t>
  </si>
  <si>
    <t>91–180 วัน</t>
  </si>
  <si>
    <t>C-20-06-0006</t>
  </si>
  <si>
    <t>นายวันชัย ศรีพันธมาศ</t>
  </si>
  <si>
    <t>2/20-22 ม.1 ต.รัษฎา อ.เมือง จ.ภูเก็ต (คูหา 15 - 17)</t>
  </si>
  <si>
    <t>181–365 วัน</t>
  </si>
  <si>
    <t>C-20-06-0007</t>
  </si>
  <si>
    <t xml:space="preserve">นางอรวรรณ รัตนศิธร         </t>
  </si>
  <si>
    <t>2/48-49 ม.1 ต.รัษฎา อ.เมือง จ.ภูเก็ต (คูหา 22 - 23)</t>
  </si>
  <si>
    <t>เกิน 365 วัน</t>
  </si>
  <si>
    <t>C-20-06-0008</t>
  </si>
  <si>
    <t xml:space="preserve">นางสาวพรทิพย์ เบญจวรางกูร  </t>
  </si>
  <si>
    <t>2/50-51 ม.1 ต.รัษฎา อ.เมือง จ.ภูเก็ต (คูหา 24 - 25)</t>
  </si>
  <si>
    <t>C-20-06-0009</t>
  </si>
  <si>
    <t>นางสมพร จตุรภุช</t>
  </si>
  <si>
    <t>2/53-54 ม.1 ต.รัษฎา อ.เมือง จ.ภูเก็ต(คูหา 26 - 28 )</t>
  </si>
  <si>
    <t>C-20-06-0010</t>
  </si>
  <si>
    <t>นางปาณิศา จริภักดิ์</t>
  </si>
  <si>
    <t>2/62-63 ม.1 ต.รัษฎา อ.เมือง จ.ภูเก็ต (คูหา 29 - 30)</t>
  </si>
  <si>
    <t>C-20-06-0011</t>
  </si>
  <si>
    <t>2/64 ม.1 ต.รัษฎา อ.เมือง จ.ภูเก็ต (คูหา 31)</t>
  </si>
  <si>
    <t>C-20-06-0012</t>
  </si>
  <si>
    <t>นางสาวปริมล ไพรสำราญ</t>
  </si>
  <si>
    <t>2/65-66 ม.1 ต.รัษฎา อ.เมือง จ.ภูเก็ต(คูหา 32 - 33)</t>
  </si>
  <si>
    <t>C-20-06-0013</t>
  </si>
  <si>
    <t>นางปราณี ไพรสำราญ (นางสาวปริมล   ไพรสำราญ)</t>
  </si>
  <si>
    <t>2/67-68 ม.1 ต.รัษฎา อ.เมือง จ.ภูเก็ต (คูหา 34 - 35)</t>
  </si>
  <si>
    <t>C-20-06-0014</t>
  </si>
  <si>
    <t>นางศิริลักษณ์ หาญโกทา</t>
  </si>
  <si>
    <t>2/69-70 ม.1 ต.รัษฎา อ.เมือง จ.ภูเก็ต(คูหา 36 - 37)</t>
  </si>
  <si>
    <t>C-20-06-0015</t>
  </si>
  <si>
    <t>นายประชด ชูประสิทธิ์</t>
  </si>
  <si>
    <t>2/77-79 ม.1 ต.รัษฎา อ.เมือง จ.ภูเก็ต (คูหา 1 - 3)</t>
  </si>
  <si>
    <t>C-20-06-0016</t>
  </si>
  <si>
    <t>2/80-82 ม.1 ต.รัษฎา อ.เมือง จ.ภูเก็ต (คูหา 4 - 6)</t>
  </si>
  <si>
    <t>C-20-06-0017</t>
  </si>
  <si>
    <t>นางสาวกิมลั้ง แซ่ตั๊ง</t>
  </si>
  <si>
    <t>2/83 ม.1 ต.รัษฎา อ.เมือง จ.ภูเก็ต(คูหา 7)</t>
  </si>
  <si>
    <t>C-20-06-0018</t>
  </si>
  <si>
    <t>นางสาวสุภาวดี แซ่หลิม</t>
  </si>
  <si>
    <t>2/84-85 ม.1 ต.รัษฎา อ.เมือง จ.ภูเก็ต (คูหา 8 - 9)</t>
  </si>
  <si>
    <t>C-20-06-0019</t>
  </si>
  <si>
    <t>นางสาวสุรัตน แก้วสีเหลือง</t>
  </si>
  <si>
    <t>2/86-87 ม.1 ต.รัษฎา อ.เมือง จ.ภูเก็ต (คูหา 1 - 2)</t>
  </si>
  <si>
    <t>C-20-06-0020</t>
  </si>
  <si>
    <t>นางดวงจันทร์ เอกคณะ</t>
  </si>
  <si>
    <t>2/88-89 ม.1 ต.รัษฎา อ.เมือง จ.ภูเก็ต (คูหา 3 - 4)</t>
  </si>
  <si>
    <t>C-20-06-0021</t>
  </si>
  <si>
    <t>นายสุรินทร์ พรายมี</t>
  </si>
  <si>
    <t>2/90-91 ม.1 ต.รัษฎา อ.เมือง จ.ภูเก็ต (คูหา 5 - 6)</t>
  </si>
  <si>
    <t>C-20-06-0022</t>
  </si>
  <si>
    <t>นางสาวสุลาวัลย์ แซ่ตั้ง</t>
  </si>
  <si>
    <t>2/94 ม.1 ต.รัษฎา อ.เมือง จ.ภูเก็ต (คูหา 9)</t>
  </si>
  <si>
    <t>C-20-06-0023</t>
  </si>
  <si>
    <t>นางชนม์ณกานต์ ลิ้มสวัสดิ์</t>
  </si>
  <si>
    <t>2/95-96 ม.1 ต.รัษฎา อ.เมือง จ.ภูเก็ต (คูหา 10 - 11)</t>
  </si>
  <si>
    <t>C-20-06-0024</t>
  </si>
  <si>
    <t>นายจรุง บัตรพรรธนะ</t>
  </si>
  <si>
    <t>2/106-107 ม.1 ต.รัษฎา อ.เมือง จ.ภูเก็ต (คูหา 1 - 2)</t>
  </si>
  <si>
    <t>C-20-06-0025</t>
  </si>
  <si>
    <t>นางกันยา พงษ์เพ็ชรวิเศษ</t>
  </si>
  <si>
    <t>2/108 ม.1 ต.รัษฎา อ.เมือง จ.ภูเก็ต (คูหา 3 )</t>
  </si>
  <si>
    <t>C-20-06-0026</t>
  </si>
  <si>
    <t>นางชนม์กานต์ ลิ้มสวัสดิ์ (สัญญาเริ่ม มิ.ย.-ธ.ค.66)</t>
  </si>
  <si>
    <t xml:space="preserve">2/109-110 ต.รัษฎา อ.เมือง จ.ภูเก็ต (คูหา 4-5) </t>
  </si>
  <si>
    <t>C-20-06-0027</t>
  </si>
  <si>
    <t>นายประจิต อึ้งรังษี</t>
  </si>
  <si>
    <t>2/111-113 ม.1 ต.รัษฎา อ.เมือง จ.ภูเก็ต (คูหา 6 - 8)</t>
  </si>
  <si>
    <t>C-20-06-0028</t>
  </si>
  <si>
    <t>2/114 ม.1 ต.รัษฎา อ.เมือง จ.ภูเก็ต (คูหา 9)</t>
  </si>
  <si>
    <t>C-20-06-0029</t>
  </si>
  <si>
    <t>2/115 ม.1 ต.รัษฎา อ.เมือง จ.ภูเก็ต (คูหา 10)</t>
  </si>
  <si>
    <t>C-20-06-0030</t>
  </si>
  <si>
    <t>นางสมพร จตุภุช</t>
  </si>
  <si>
    <t>2/106 ม.1 ต.รัษฎา อ.เมือง จ.ภูเก็ต (คูหา 11)</t>
  </si>
  <si>
    <t>C-20-06-0031</t>
  </si>
  <si>
    <t>2/97 ม.1 ต.รัษฎา อ.เมือง จ.ภูเก็ต (คูหา 1)</t>
  </si>
  <si>
    <t>C-20-06-0032</t>
  </si>
  <si>
    <t>นายปรีชา แกล้วทนงค์</t>
  </si>
  <si>
    <t>2/98 ม.1 ต.รัษฎา อ.เมือง จ.ภูเก็ต (คูหา 2)</t>
  </si>
  <si>
    <t>C-20-06-0033</t>
  </si>
  <si>
    <t>นางสาววรรณษา อรุณฉาย</t>
  </si>
  <si>
    <t>2/99 ม.1 ต.รัษฎา อ.เมือง จ.ภูเก็ต (คูหา 3)</t>
  </si>
  <si>
    <t>C-20-06-0034</t>
  </si>
  <si>
    <t>นายอนันต์ ทับสุวรรณ</t>
  </si>
  <si>
    <t>2/100-101 ม.1 ต.รัษฎา อ.เมือง จ.ภูเก็ต (คูหา 4 - 5)</t>
  </si>
  <si>
    <t>C-20-06-0035</t>
  </si>
  <si>
    <t>102-103 ม.1 ต.รัษฎา อ.เมือง จ.ภูเก็ต (คูหา 6 - 7)</t>
  </si>
  <si>
    <t>C-20-06-0036</t>
  </si>
  <si>
    <t>104-105 ม.1 ต.รัษฎา อ.เมือง จ.ภูเก็ต (คูหา 8 - 9)</t>
  </si>
  <si>
    <t>C-20-06-0037</t>
  </si>
  <si>
    <t>บริษัทซีแองเจิลครุยส์จำกัด ( สัญญาเริ่ม 1 ส.ค.68-31 ก.ค.71)</t>
  </si>
  <si>
    <t>ค่าเช่าพื้นที่โซน F</t>
  </si>
  <si>
    <t>C-20-06-0038</t>
  </si>
  <si>
    <t>ค่าเช่าพื้นที่โซน G</t>
  </si>
  <si>
    <t>C-20-06-0039</t>
  </si>
  <si>
    <t>บริษัทสิกิจจำกัด ( สัญญาเริ่ม 1 ส.ค.68-31 ก.ค.71)</t>
  </si>
  <si>
    <t>ค่าเช่าพื้นที่โซน C</t>
  </si>
  <si>
    <t>C-20-06-0040</t>
  </si>
  <si>
    <t>บริษัทเอเชี่ยนภูเก็ตมารีนแอนด์ด๊อดยาดจำกัด ( สัญญาเริ่ม 1 ส.ค.68-31 ก.ค.71)</t>
  </si>
  <si>
    <t>ค่าเช่าพื้นที่โซน D</t>
  </si>
  <si>
    <t>C-20-06-0041</t>
  </si>
  <si>
    <t>บริษัทภูเก็ตยูเนียนฟู้ดส์จำกัด ( สัญญาเริ่ม 1 ส.ค.68-31 ก.ค.71)</t>
  </si>
  <si>
    <t>ค่าเช่าพื้นที่โซน B</t>
  </si>
  <si>
    <t>C-20-06-0042</t>
  </si>
  <si>
    <t>นายวีระพงษ์ หลิมพานิชย์  (สัญญาเริ่ม1 ก.ย.65-31 ส.ค.68)</t>
  </si>
  <si>
    <t>ค่าเช่าพื้นที่โซน G (สัญญาเริ่ม ก.ย.65)</t>
  </si>
  <si>
    <t>C-20-06-0043</t>
  </si>
  <si>
    <t>นางแสงอุทัย  นาคเชียร  (สัญญาเริ่ม 1 ก.ย.65-31 ส.ค.68)</t>
  </si>
  <si>
    <t>ค่าเช่าพื้นที่โซน I (สัญญาเริ่ม ก.ย.65)</t>
  </si>
  <si>
    <t>C-20-06-0044</t>
  </si>
  <si>
    <t>บริษัทพรานอันดามันทราเวลจำกัด (สัญญาเริ่ม 1 ต.ค.66-30 ก.ย.69)</t>
  </si>
  <si>
    <t>เช่าอาคารริมน้ำท่าเรือรับ-ส่งผู้โดยสาร</t>
  </si>
  <si>
    <t>C-20-06-0045</t>
  </si>
  <si>
    <t>นายชาลี แสนสุข</t>
  </si>
  <si>
    <t>ค่าเช่าพื้นที่โซน R (สัญญาเริ่ม ก.ย.65)</t>
  </si>
  <si>
    <t>C-20-06-0046</t>
  </si>
  <si>
    <t>นางสาวิตรี เหลืองอร่ามจิตร</t>
  </si>
  <si>
    <t>ค่าเช่าพื้นที่โซน Q (สัญญาเริ่ม มิ.ย.65)</t>
  </si>
  <si>
    <t>C-20-06-0047</t>
  </si>
  <si>
    <t>นางสาวบุญมา หรั่งสอาด</t>
  </si>
  <si>
    <t>ค่าเช่าพื้นที่โซน Q (สัญญาเริ่ม ก.ย.65)</t>
  </si>
  <si>
    <t>C-20-06-0048</t>
  </si>
  <si>
    <t>นายสุนทร แกล้วทนงค์</t>
  </si>
  <si>
    <t>C-20-06-0049</t>
  </si>
  <si>
    <t>นายเดชา  สุเพ็ญพร</t>
  </si>
  <si>
    <t>เช่าพื้นที่บริเวณโซน Q ข้างบ่อบำบัดน้ำเสีย</t>
  </si>
  <si>
    <t>C-20-06-0050</t>
  </si>
  <si>
    <t>C-20-06-0051</t>
  </si>
  <si>
    <t>นางสมพร จตุภุช (สัญญาเริ่มตั้งแต่ 1 มิ.ย.67-31 พ.ค.70)</t>
  </si>
  <si>
    <t>โรงอาหารและห้องน้ำสาธารณะ ขนาดพื้นที่ 36 ตรว.</t>
  </si>
  <si>
    <t>C-20-06-0052</t>
  </si>
  <si>
    <t>นางธารทิพย์ เงินอเนก (สัญญาเริ่มตั้งแต่ 1 ม.ค.66-31 ธ.ค.68)</t>
  </si>
  <si>
    <t>ค่าเช่าพื้นที่โซน O ขนาดพื้นที่ 116.25 ตรว.</t>
  </si>
  <si>
    <t>C-20-06-0053</t>
  </si>
  <si>
    <t>นายปรีชา ใจอาจ (สัญญาเริ่มตั้งแต่ 1 ม.ค.67-31 ธ.ค.69)</t>
  </si>
  <si>
    <t>ค่าเช่าถังเก็บน้ำขนาด 500 ลบ.ม.และพื้นที่ชั้น 2 อาคารฯ</t>
  </si>
  <si>
    <t>C-20-06-0054</t>
  </si>
  <si>
    <t>บริษัทแอดวานช์ไวร์เลสเน็ทเวิร์คจำกัด (สัญญาเริ่มตั้งแต่ 1 พ.ย.66-31 ต.ค.69)</t>
  </si>
  <si>
    <t>ค่าเช่าพื้นที่บริเวณข้างศูนย์ระบบบำบัดน้ำเสีย ขนาดพื้นที่ 0.20 ตรว.</t>
  </si>
  <si>
    <t>C-20-06-0055</t>
  </si>
  <si>
    <t>นางสาวกัลยา ศรีนงนุช (สัญญาเริ่มตั้งแต่ 1 ธ.ค.66-30 พ.ย.69)</t>
  </si>
  <si>
    <t>ค่าเช่าบริเวณทางเข้าบริษ้ทสิกิจจำกัด ขนาดพื้นที่ 4.75 ตรว</t>
  </si>
  <si>
    <t>C-20-06-0056</t>
  </si>
  <si>
    <t>บริษัท สตูล ปากบารา สปี๊ดโบ๊ทคลับ จำกัด (สัญญาเริ่มตั้งแต่ 1 ก.พ.67-31 ม.ค.68)</t>
  </si>
  <si>
    <t>ค่าเช่าอาคารฯและพื้นที่โซน V ขนาดพื้นที่ 520.83 ตรว.</t>
  </si>
  <si>
    <t>C-20-06-0057</t>
  </si>
  <si>
    <t>นางสาวปภัสรินทร์ ภัทรเมธีเศรษฐ์ (สัญญาเริ่มตั้งแต่ 1 ก.พ.67-31 ม.ค.70)</t>
  </si>
  <si>
    <t>เช่าพื้นที่บริเวณด้านข้างโรงน้ำแข็ง ขนาดพื้นที่ 33.75 ตรว.</t>
  </si>
  <si>
    <t>C-20-06-0058</t>
  </si>
  <si>
    <t>นางสาววิลัยพร  พวงเพชร</t>
  </si>
  <si>
    <t>เช่าที่อื่น จำหน่ายอาหารเช้าชากาแฟ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</si>
</sst>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F4CB-B7FC-4B98-8554-989CC3705C13}">
  <sheetPr>
    <tabColor rgb="FFFFC000"/>
  </sheetPr>
  <dimension ref="B2:M1021"/>
  <sheetViews>
    <sheetView showGridLines="0" tabSelected="1" topLeftCell="A47" zoomScale="130" zoomScaleNormal="130" workbookViewId="0">
      <selection activeCell="E22" sqref="E22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f>DATE(2026,6,30)</f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9450</v>
      </c>
      <c r="F8" s="12">
        <v>0</v>
      </c>
      <c r="G8" s="13"/>
      <c r="H8" s="14" t="str">
        <f t="shared" ref="H8:H72" si="0">IF(G8="","",$F$5-G8)</f>
        <v/>
      </c>
      <c r="I8" s="14" t="str">
        <f t="shared" ref="I8:I72" si="1">IF(G8="","",IF(H8&lt;=0,0,IF(H8&lt;=30,1,IF(H8&lt;=60,2,IF(H8&lt;=90,3,IF(H8&lt;=180,4,IF(H8&lt;=365,5,6)))))))</f>
        <v/>
      </c>
      <c r="J8" s="15" t="str">
        <f t="shared" ref="J8:J72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3150</v>
      </c>
      <c r="F9" s="12">
        <v>0</v>
      </c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ht="30" x14ac:dyDescent="0.35">
      <c r="B10" s="9" t="s">
        <v>23</v>
      </c>
      <c r="C10" s="10" t="s">
        <v>24</v>
      </c>
      <c r="D10" s="10" t="s">
        <v>25</v>
      </c>
      <c r="E10" s="11">
        <v>15750</v>
      </c>
      <c r="F10" s="12">
        <v>31500</v>
      </c>
      <c r="G10" s="13">
        <v>46147</v>
      </c>
      <c r="H10" s="14">
        <f t="shared" si="0"/>
        <v>56</v>
      </c>
      <c r="I10" s="14">
        <f t="shared" si="1"/>
        <v>2</v>
      </c>
      <c r="J10" s="15" t="str">
        <f t="shared" si="2"/>
        <v>31–60 วัน</v>
      </c>
      <c r="L10" s="16">
        <v>2</v>
      </c>
      <c r="M10" s="16" t="s">
        <v>26</v>
      </c>
    </row>
    <row r="11" spans="2:13" x14ac:dyDescent="0.35">
      <c r="B11" s="9" t="s">
        <v>27</v>
      </c>
      <c r="C11" s="10" t="s">
        <v>24</v>
      </c>
      <c r="D11" s="10" t="s">
        <v>28</v>
      </c>
      <c r="E11" s="11">
        <v>6300</v>
      </c>
      <c r="F11" s="12">
        <v>12600</v>
      </c>
      <c r="G11" s="13">
        <v>46147</v>
      </c>
      <c r="H11" s="14">
        <f t="shared" si="0"/>
        <v>56</v>
      </c>
      <c r="I11" s="14">
        <f t="shared" si="1"/>
        <v>2</v>
      </c>
      <c r="J11" s="15" t="str">
        <f t="shared" si="2"/>
        <v>31–60 วัน</v>
      </c>
      <c r="L11" s="16">
        <v>3</v>
      </c>
      <c r="M11" s="16" t="s">
        <v>29</v>
      </c>
    </row>
    <row r="12" spans="2:13" ht="30" x14ac:dyDescent="0.35">
      <c r="B12" s="9" t="s">
        <v>30</v>
      </c>
      <c r="C12" s="10" t="s">
        <v>31</v>
      </c>
      <c r="D12" s="10" t="s">
        <v>32</v>
      </c>
      <c r="E12" s="11">
        <v>22050</v>
      </c>
      <c r="F12" s="12">
        <v>0</v>
      </c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33</v>
      </c>
    </row>
    <row r="13" spans="2:13" ht="30" x14ac:dyDescent="0.35">
      <c r="B13" s="9" t="s">
        <v>34</v>
      </c>
      <c r="C13" s="10" t="s">
        <v>35</v>
      </c>
      <c r="D13" s="10" t="s">
        <v>36</v>
      </c>
      <c r="E13" s="11">
        <v>9450</v>
      </c>
      <c r="F13" s="12">
        <v>0</v>
      </c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37</v>
      </c>
    </row>
    <row r="14" spans="2:13" ht="30" x14ac:dyDescent="0.35">
      <c r="B14" s="9" t="s">
        <v>38</v>
      </c>
      <c r="C14" s="10" t="s">
        <v>39</v>
      </c>
      <c r="D14" s="10" t="s">
        <v>40</v>
      </c>
      <c r="E14" s="11">
        <v>6300</v>
      </c>
      <c r="F14" s="12">
        <v>0</v>
      </c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41</v>
      </c>
    </row>
    <row r="15" spans="2:13" ht="30" x14ac:dyDescent="0.3">
      <c r="B15" s="9" t="s">
        <v>42</v>
      </c>
      <c r="C15" s="10" t="s">
        <v>43</v>
      </c>
      <c r="D15" s="10" t="s">
        <v>44</v>
      </c>
      <c r="E15" s="11">
        <v>6300</v>
      </c>
      <c r="F15" s="12">
        <v>6300</v>
      </c>
      <c r="G15" s="13">
        <v>46178</v>
      </c>
      <c r="H15" s="14">
        <f t="shared" si="0"/>
        <v>25</v>
      </c>
      <c r="I15" s="14">
        <f t="shared" si="1"/>
        <v>1</v>
      </c>
      <c r="J15" s="15" t="str">
        <f t="shared" si="2"/>
        <v>1–30 วัน</v>
      </c>
    </row>
    <row r="16" spans="2:13" ht="30" x14ac:dyDescent="0.3">
      <c r="B16" s="9" t="s">
        <v>45</v>
      </c>
      <c r="C16" s="10" t="s">
        <v>46</v>
      </c>
      <c r="D16" s="10" t="s">
        <v>47</v>
      </c>
      <c r="E16" s="11">
        <v>9450</v>
      </c>
      <c r="F16" s="12">
        <v>0</v>
      </c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ht="30" x14ac:dyDescent="0.3">
      <c r="B17" s="9" t="s">
        <v>48</v>
      </c>
      <c r="C17" s="10" t="s">
        <v>49</v>
      </c>
      <c r="D17" s="10" t="s">
        <v>50</v>
      </c>
      <c r="E17" s="11">
        <v>5600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51</v>
      </c>
      <c r="C18" s="10" t="s">
        <v>31</v>
      </c>
      <c r="D18" s="10" t="s">
        <v>52</v>
      </c>
      <c r="E18" s="11">
        <v>2800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ht="30" x14ac:dyDescent="0.3">
      <c r="B19" s="9" t="s">
        <v>53</v>
      </c>
      <c r="C19" s="10" t="s">
        <v>54</v>
      </c>
      <c r="D19" s="10" t="s">
        <v>55</v>
      </c>
      <c r="E19" s="11">
        <v>5600</v>
      </c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ht="30" x14ac:dyDescent="0.3">
      <c r="B20" s="9" t="s">
        <v>56</v>
      </c>
      <c r="C20" s="10" t="s">
        <v>57</v>
      </c>
      <c r="D20" s="10" t="s">
        <v>58</v>
      </c>
      <c r="E20" s="11">
        <v>5600</v>
      </c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 t="s">
        <v>59</v>
      </c>
      <c r="C21" s="10" t="s">
        <v>60</v>
      </c>
      <c r="D21" s="10" t="s">
        <v>61</v>
      </c>
      <c r="E21" s="11">
        <v>5600</v>
      </c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 t="s">
        <v>62</v>
      </c>
      <c r="C22" s="10" t="s">
        <v>63</v>
      </c>
      <c r="D22" s="10" t="s">
        <v>64</v>
      </c>
      <c r="E22" s="11">
        <v>9450</v>
      </c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 t="s">
        <v>65</v>
      </c>
      <c r="C23" s="10" t="s">
        <v>54</v>
      </c>
      <c r="D23" s="10" t="s">
        <v>66</v>
      </c>
      <c r="E23" s="11">
        <v>9450</v>
      </c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 t="s">
        <v>67</v>
      </c>
      <c r="C24" s="10" t="s">
        <v>68</v>
      </c>
      <c r="D24" s="10" t="s">
        <v>69</v>
      </c>
      <c r="E24" s="11">
        <v>3150</v>
      </c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 t="s">
        <v>70</v>
      </c>
      <c r="C25" s="10" t="s">
        <v>71</v>
      </c>
      <c r="D25" s="10" t="s">
        <v>72</v>
      </c>
      <c r="E25" s="11">
        <v>6300</v>
      </c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 t="s">
        <v>73</v>
      </c>
      <c r="C26" s="10" t="s">
        <v>74</v>
      </c>
      <c r="D26" s="10" t="s">
        <v>75</v>
      </c>
      <c r="E26" s="11">
        <v>5600</v>
      </c>
      <c r="F26" s="12">
        <v>5600</v>
      </c>
      <c r="G26" s="13">
        <v>46178</v>
      </c>
      <c r="H26" s="14">
        <f t="shared" si="0"/>
        <v>25</v>
      </c>
      <c r="I26" s="14">
        <f t="shared" si="1"/>
        <v>1</v>
      </c>
      <c r="J26" s="15" t="str">
        <f t="shared" si="2"/>
        <v>1–30 วัน</v>
      </c>
    </row>
    <row r="27" spans="2:10" ht="15.75" customHeight="1" x14ac:dyDescent="0.3">
      <c r="B27" s="9" t="s">
        <v>76</v>
      </c>
      <c r="C27" s="10" t="s">
        <v>77</v>
      </c>
      <c r="D27" s="10" t="s">
        <v>78</v>
      </c>
      <c r="E27" s="11">
        <v>5600</v>
      </c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 t="s">
        <v>79</v>
      </c>
      <c r="C28" s="10" t="s">
        <v>80</v>
      </c>
      <c r="D28" s="10" t="s">
        <v>81</v>
      </c>
      <c r="E28" s="11">
        <v>5600</v>
      </c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 t="s">
        <v>82</v>
      </c>
      <c r="C29" s="10" t="s">
        <v>83</v>
      </c>
      <c r="D29" s="10" t="s">
        <v>84</v>
      </c>
      <c r="E29" s="11">
        <v>2800</v>
      </c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 t="s">
        <v>85</v>
      </c>
      <c r="C30" s="10" t="s">
        <v>86</v>
      </c>
      <c r="D30" s="10" t="s">
        <v>87</v>
      </c>
      <c r="E30" s="11">
        <v>5600</v>
      </c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 t="s">
        <v>88</v>
      </c>
      <c r="C31" s="10" t="s">
        <v>89</v>
      </c>
      <c r="D31" s="10" t="s">
        <v>90</v>
      </c>
      <c r="E31" s="11">
        <v>5600</v>
      </c>
      <c r="F31" s="12">
        <v>5600</v>
      </c>
      <c r="G31" s="13">
        <v>46178</v>
      </c>
      <c r="H31" s="14">
        <f t="shared" si="0"/>
        <v>25</v>
      </c>
      <c r="I31" s="14">
        <f t="shared" si="1"/>
        <v>1</v>
      </c>
      <c r="J31" s="15" t="str">
        <f t="shared" si="2"/>
        <v>1–30 วัน</v>
      </c>
    </row>
    <row r="32" spans="2:10" ht="15.75" customHeight="1" x14ac:dyDescent="0.3">
      <c r="B32" s="9" t="s">
        <v>91</v>
      </c>
      <c r="C32" s="10" t="s">
        <v>92</v>
      </c>
      <c r="D32" s="10" t="s">
        <v>93</v>
      </c>
      <c r="E32" s="11">
        <v>2800</v>
      </c>
      <c r="F32" s="12">
        <v>2800</v>
      </c>
      <c r="G32" s="13">
        <v>46178</v>
      </c>
      <c r="H32" s="14">
        <f t="shared" si="0"/>
        <v>25</v>
      </c>
      <c r="I32" s="14">
        <f t="shared" si="1"/>
        <v>1</v>
      </c>
      <c r="J32" s="15" t="str">
        <f t="shared" si="2"/>
        <v>1–30 วัน</v>
      </c>
    </row>
    <row r="33" spans="2:10" ht="15.75" customHeight="1" x14ac:dyDescent="0.3">
      <c r="B33" s="9" t="s">
        <v>94</v>
      </c>
      <c r="C33" s="10" t="s">
        <v>95</v>
      </c>
      <c r="D33" s="10" t="s">
        <v>96</v>
      </c>
      <c r="E33" s="11">
        <v>5600</v>
      </c>
      <c r="F33" s="12">
        <v>0</v>
      </c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 t="s">
        <v>97</v>
      </c>
      <c r="C34" s="10" t="s">
        <v>98</v>
      </c>
      <c r="D34" s="10" t="s">
        <v>99</v>
      </c>
      <c r="E34" s="11">
        <v>8400</v>
      </c>
      <c r="F34" s="12">
        <v>8400</v>
      </c>
      <c r="G34" s="13">
        <v>46178</v>
      </c>
      <c r="H34" s="14">
        <f t="shared" si="0"/>
        <v>25</v>
      </c>
      <c r="I34" s="14">
        <f t="shared" si="1"/>
        <v>1</v>
      </c>
      <c r="J34" s="15" t="str">
        <f t="shared" si="2"/>
        <v>1–30 วัน</v>
      </c>
    </row>
    <row r="35" spans="2:10" ht="15.75" customHeight="1" x14ac:dyDescent="0.3">
      <c r="B35" s="9" t="s">
        <v>100</v>
      </c>
      <c r="C35" s="10" t="s">
        <v>54</v>
      </c>
      <c r="D35" s="10" t="s">
        <v>101</v>
      </c>
      <c r="E35" s="11">
        <v>2800</v>
      </c>
      <c r="F35" s="12">
        <v>0</v>
      </c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 t="s">
        <v>102</v>
      </c>
      <c r="C36" s="10" t="s">
        <v>54</v>
      </c>
      <c r="D36" s="10" t="s">
        <v>103</v>
      </c>
      <c r="E36" s="11">
        <v>2800</v>
      </c>
      <c r="F36" s="12">
        <v>0</v>
      </c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 t="s">
        <v>104</v>
      </c>
      <c r="C37" s="10" t="s">
        <v>105</v>
      </c>
      <c r="D37" s="10" t="s">
        <v>106</v>
      </c>
      <c r="E37" s="11">
        <v>2800</v>
      </c>
      <c r="F37" s="12">
        <v>0</v>
      </c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 t="s">
        <v>107</v>
      </c>
      <c r="C38" s="10" t="s">
        <v>54</v>
      </c>
      <c r="D38" s="10" t="s">
        <v>108</v>
      </c>
      <c r="E38" s="11">
        <v>2800</v>
      </c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 t="s">
        <v>109</v>
      </c>
      <c r="C39" s="10" t="s">
        <v>110</v>
      </c>
      <c r="D39" s="10" t="s">
        <v>111</v>
      </c>
      <c r="E39" s="11">
        <v>2800</v>
      </c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 t="s">
        <v>112</v>
      </c>
      <c r="C40" s="10" t="s">
        <v>113</v>
      </c>
      <c r="D40" s="10" t="s">
        <v>114</v>
      </c>
      <c r="E40" s="11">
        <v>2800</v>
      </c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 t="s">
        <v>115</v>
      </c>
      <c r="C41" s="10" t="s">
        <v>116</v>
      </c>
      <c r="D41" s="10" t="s">
        <v>117</v>
      </c>
      <c r="E41" s="11">
        <v>5600</v>
      </c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 t="s">
        <v>118</v>
      </c>
      <c r="C42" s="10" t="s">
        <v>83</v>
      </c>
      <c r="D42" s="10" t="s">
        <v>119</v>
      </c>
      <c r="E42" s="11">
        <v>5600</v>
      </c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 t="s">
        <v>120</v>
      </c>
      <c r="C43" s="10" t="s">
        <v>83</v>
      </c>
      <c r="D43" s="10" t="s">
        <v>121</v>
      </c>
      <c r="E43" s="11">
        <v>5600</v>
      </c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 t="s">
        <v>122</v>
      </c>
      <c r="C44" s="10" t="s">
        <v>123</v>
      </c>
      <c r="D44" s="10" t="s">
        <v>124</v>
      </c>
      <c r="E44" s="11">
        <v>130536.37</v>
      </c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 t="s">
        <v>125</v>
      </c>
      <c r="C45" s="10" t="s">
        <v>123</v>
      </c>
      <c r="D45" s="10" t="s">
        <v>126</v>
      </c>
      <c r="E45" s="11">
        <v>96520.67</v>
      </c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 t="s">
        <v>127</v>
      </c>
      <c r="C46" s="10" t="s">
        <v>128</v>
      </c>
      <c r="D46" s="10" t="s">
        <v>129</v>
      </c>
      <c r="E46" s="11">
        <v>63810</v>
      </c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 t="s">
        <v>130</v>
      </c>
      <c r="C47" s="10" t="s">
        <v>131</v>
      </c>
      <c r="D47" s="10" t="s">
        <v>132</v>
      </c>
      <c r="E47" s="11">
        <v>60170</v>
      </c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 t="s">
        <v>133</v>
      </c>
      <c r="C48" s="10" t="s">
        <v>134</v>
      </c>
      <c r="D48" s="10" t="s">
        <v>135</v>
      </c>
      <c r="E48" s="11">
        <v>23527.65</v>
      </c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 t="s">
        <v>136</v>
      </c>
      <c r="C49" s="10" t="s">
        <v>137</v>
      </c>
      <c r="D49" s="10" t="s">
        <v>138</v>
      </c>
      <c r="E49" s="11">
        <v>20715.32</v>
      </c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 t="s">
        <v>139</v>
      </c>
      <c r="C50" s="10" t="s">
        <v>140</v>
      </c>
      <c r="D50" s="10" t="s">
        <v>141</v>
      </c>
      <c r="E50" s="11">
        <v>21986</v>
      </c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 t="s">
        <v>142</v>
      </c>
      <c r="C51" s="10" t="s">
        <v>143</v>
      </c>
      <c r="D51" s="10" t="s">
        <v>144</v>
      </c>
      <c r="E51" s="11">
        <v>20000</v>
      </c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>
      <c r="B52" s="9" t="s">
        <v>145</v>
      </c>
      <c r="C52" s="10" t="s">
        <v>146</v>
      </c>
      <c r="D52" s="10" t="s">
        <v>147</v>
      </c>
      <c r="E52" s="11">
        <v>1400</v>
      </c>
      <c r="F52" s="12">
        <v>0</v>
      </c>
      <c r="G52" s="13"/>
      <c r="H52" s="14" t="str">
        <f t="shared" si="0"/>
        <v/>
      </c>
      <c r="I52" s="14" t="str">
        <f t="shared" si="1"/>
        <v/>
      </c>
      <c r="J52" s="15" t="str">
        <f t="shared" si="2"/>
        <v/>
      </c>
    </row>
    <row r="53" spans="2:10" ht="15.75" customHeight="1" x14ac:dyDescent="0.3">
      <c r="B53" s="9" t="s">
        <v>148</v>
      </c>
      <c r="C53" s="10" t="s">
        <v>149</v>
      </c>
      <c r="D53" s="10" t="s">
        <v>150</v>
      </c>
      <c r="E53" s="11">
        <v>11000</v>
      </c>
      <c r="F53" s="12">
        <v>11000</v>
      </c>
      <c r="G53" s="13">
        <v>46178</v>
      </c>
      <c r="H53" s="14">
        <f t="shared" si="0"/>
        <v>25</v>
      </c>
      <c r="I53" s="14">
        <f t="shared" si="1"/>
        <v>1</v>
      </c>
      <c r="J53" s="15" t="str">
        <f t="shared" si="2"/>
        <v>1–30 วัน</v>
      </c>
    </row>
    <row r="54" spans="2:10" ht="15.75" customHeight="1" x14ac:dyDescent="0.3">
      <c r="B54" s="9" t="s">
        <v>151</v>
      </c>
      <c r="C54" s="10" t="s">
        <v>152</v>
      </c>
      <c r="D54" s="10" t="s">
        <v>153</v>
      </c>
      <c r="E54" s="11">
        <v>9400</v>
      </c>
      <c r="F54" s="12">
        <v>9400</v>
      </c>
      <c r="G54" s="13">
        <v>46178</v>
      </c>
      <c r="H54" s="14">
        <f t="shared" si="0"/>
        <v>25</v>
      </c>
      <c r="I54" s="14">
        <f t="shared" si="1"/>
        <v>1</v>
      </c>
      <c r="J54" s="15" t="str">
        <f t="shared" si="2"/>
        <v>1–30 วัน</v>
      </c>
    </row>
    <row r="55" spans="2:10" ht="15.75" customHeight="1" x14ac:dyDescent="0.3">
      <c r="B55" s="9" t="s">
        <v>154</v>
      </c>
      <c r="C55" s="10" t="s">
        <v>155</v>
      </c>
      <c r="D55" s="10" t="s">
        <v>153</v>
      </c>
      <c r="E55" s="11">
        <v>9810</v>
      </c>
      <c r="F55" s="12">
        <v>9810</v>
      </c>
      <c r="G55" s="13">
        <v>46178</v>
      </c>
      <c r="H55" s="14">
        <f t="shared" si="0"/>
        <v>25</v>
      </c>
      <c r="I55" s="14">
        <f t="shared" si="1"/>
        <v>1</v>
      </c>
      <c r="J55" s="15" t="str">
        <f t="shared" si="2"/>
        <v>1–30 วัน</v>
      </c>
    </row>
    <row r="56" spans="2:10" ht="15.75" customHeight="1" x14ac:dyDescent="0.3">
      <c r="B56" s="9" t="s">
        <v>156</v>
      </c>
      <c r="C56" s="10" t="s">
        <v>157</v>
      </c>
      <c r="D56" s="10" t="s">
        <v>158</v>
      </c>
      <c r="E56" s="11">
        <v>6000</v>
      </c>
      <c r="F56" s="12">
        <v>0</v>
      </c>
      <c r="G56" s="13"/>
      <c r="H56" s="14" t="str">
        <f t="shared" si="0"/>
        <v/>
      </c>
      <c r="I56" s="14" t="str">
        <f t="shared" si="1"/>
        <v/>
      </c>
      <c r="J56" s="15" t="str">
        <f t="shared" si="2"/>
        <v/>
      </c>
    </row>
    <row r="57" spans="2:10" ht="15.75" customHeight="1" x14ac:dyDescent="0.3">
      <c r="B57" s="9" t="s">
        <v>159</v>
      </c>
      <c r="C57" s="10" t="s">
        <v>74</v>
      </c>
      <c r="D57" s="10" t="s">
        <v>158</v>
      </c>
      <c r="E57" s="11">
        <v>3000</v>
      </c>
      <c r="F57" s="12">
        <v>0</v>
      </c>
      <c r="G57" s="13"/>
      <c r="H57" s="14" t="str">
        <f t="shared" si="0"/>
        <v/>
      </c>
      <c r="I57" s="14" t="str">
        <f t="shared" si="1"/>
        <v/>
      </c>
      <c r="J57" s="15" t="str">
        <f t="shared" si="2"/>
        <v/>
      </c>
    </row>
    <row r="58" spans="2:10" ht="15.75" customHeight="1" x14ac:dyDescent="0.3">
      <c r="B58" s="9" t="s">
        <v>160</v>
      </c>
      <c r="C58" s="10" t="s">
        <v>161</v>
      </c>
      <c r="D58" s="10" t="s">
        <v>162</v>
      </c>
      <c r="E58" s="11">
        <v>10000</v>
      </c>
      <c r="F58" s="12"/>
      <c r="G58" s="13"/>
      <c r="H58" s="14" t="str">
        <f t="shared" si="0"/>
        <v/>
      </c>
      <c r="I58" s="14" t="str">
        <f t="shared" si="1"/>
        <v/>
      </c>
      <c r="J58" s="15" t="str">
        <f t="shared" si="2"/>
        <v/>
      </c>
    </row>
    <row r="59" spans="2:10" ht="15.75" customHeight="1" x14ac:dyDescent="0.3">
      <c r="B59" s="9" t="s">
        <v>163</v>
      </c>
      <c r="C59" s="10" t="s">
        <v>164</v>
      </c>
      <c r="D59" s="10" t="s">
        <v>165</v>
      </c>
      <c r="E59" s="11">
        <v>3500</v>
      </c>
      <c r="F59" s="12"/>
      <c r="G59" s="13"/>
      <c r="H59" s="14" t="str">
        <f t="shared" si="0"/>
        <v/>
      </c>
      <c r="I59" s="14" t="str">
        <f t="shared" si="1"/>
        <v/>
      </c>
      <c r="J59" s="15" t="str">
        <f t="shared" si="2"/>
        <v/>
      </c>
    </row>
    <row r="60" spans="2:10" ht="15.75" customHeight="1" x14ac:dyDescent="0.3">
      <c r="B60" s="9" t="s">
        <v>166</v>
      </c>
      <c r="C60" s="10" t="s">
        <v>167</v>
      </c>
      <c r="D60" s="10" t="s">
        <v>168</v>
      </c>
      <c r="E60" s="11">
        <v>12000</v>
      </c>
      <c r="F60" s="12"/>
      <c r="G60" s="13"/>
      <c r="H60" s="14" t="str">
        <f t="shared" si="0"/>
        <v/>
      </c>
      <c r="I60" s="14" t="str">
        <f t="shared" si="1"/>
        <v/>
      </c>
      <c r="J60" s="15" t="str">
        <f t="shared" si="2"/>
        <v/>
      </c>
    </row>
    <row r="61" spans="2:10" ht="15.75" customHeight="1" x14ac:dyDescent="0.3">
      <c r="B61" s="9" t="s">
        <v>169</v>
      </c>
      <c r="C61" s="10" t="s">
        <v>170</v>
      </c>
      <c r="D61" s="10" t="s">
        <v>171</v>
      </c>
      <c r="E61" s="11">
        <v>4100</v>
      </c>
      <c r="F61" s="12"/>
      <c r="G61" s="13"/>
      <c r="H61" s="14" t="str">
        <f t="shared" si="0"/>
        <v/>
      </c>
      <c r="I61" s="14" t="str">
        <f t="shared" si="1"/>
        <v/>
      </c>
      <c r="J61" s="15" t="str">
        <f t="shared" si="2"/>
        <v/>
      </c>
    </row>
    <row r="62" spans="2:10" ht="15.75" customHeight="1" x14ac:dyDescent="0.3">
      <c r="B62" s="9" t="s">
        <v>172</v>
      </c>
      <c r="C62" s="10" t="s">
        <v>173</v>
      </c>
      <c r="D62" s="10" t="s">
        <v>174</v>
      </c>
      <c r="E62" s="11">
        <v>1850</v>
      </c>
      <c r="F62" s="12"/>
      <c r="G62" s="13"/>
      <c r="H62" s="14" t="str">
        <f t="shared" si="0"/>
        <v/>
      </c>
      <c r="I62" s="14" t="str">
        <f t="shared" si="1"/>
        <v/>
      </c>
      <c r="J62" s="15" t="str">
        <f t="shared" si="2"/>
        <v/>
      </c>
    </row>
    <row r="63" spans="2:10" ht="15.75" customHeight="1" x14ac:dyDescent="0.3">
      <c r="B63" s="9" t="s">
        <v>175</v>
      </c>
      <c r="C63" s="10" t="s">
        <v>176</v>
      </c>
      <c r="D63" s="10" t="s">
        <v>177</v>
      </c>
      <c r="E63" s="11">
        <v>0</v>
      </c>
      <c r="F63" s="12"/>
      <c r="G63" s="13"/>
      <c r="H63" s="14" t="str">
        <f t="shared" si="0"/>
        <v/>
      </c>
      <c r="I63" s="14" t="str">
        <f t="shared" si="1"/>
        <v/>
      </c>
      <c r="J63" s="15" t="str">
        <f t="shared" si="2"/>
        <v/>
      </c>
    </row>
    <row r="64" spans="2:10" ht="15.75" customHeight="1" x14ac:dyDescent="0.3">
      <c r="B64" s="9" t="s">
        <v>178</v>
      </c>
      <c r="C64" s="10" t="s">
        <v>179</v>
      </c>
      <c r="D64" s="10" t="s">
        <v>180</v>
      </c>
      <c r="E64" s="11">
        <v>5400</v>
      </c>
      <c r="F64" s="12"/>
      <c r="G64" s="13"/>
      <c r="H64" s="14" t="str">
        <f t="shared" si="0"/>
        <v/>
      </c>
      <c r="I64" s="14" t="str">
        <f t="shared" si="1"/>
        <v/>
      </c>
      <c r="J64" s="15" t="str">
        <f t="shared" si="2"/>
        <v/>
      </c>
    </row>
    <row r="65" spans="2:10" ht="15.75" customHeight="1" x14ac:dyDescent="0.3">
      <c r="B65" s="9" t="s">
        <v>181</v>
      </c>
      <c r="C65" s="10" t="s">
        <v>182</v>
      </c>
      <c r="D65" s="10" t="s">
        <v>183</v>
      </c>
      <c r="E65" s="11">
        <v>3150</v>
      </c>
      <c r="F65" s="12"/>
      <c r="G65" s="13"/>
      <c r="H65" s="14" t="str">
        <f t="shared" si="0"/>
        <v/>
      </c>
      <c r="I65" s="14" t="str">
        <f t="shared" si="1"/>
        <v/>
      </c>
      <c r="J65" s="15" t="str">
        <f t="shared" si="2"/>
        <v/>
      </c>
    </row>
    <row r="66" spans="2:10" ht="15.75" customHeight="1" x14ac:dyDescent="0.3">
      <c r="B66" s="17"/>
      <c r="C66" s="17"/>
      <c r="D66" s="17"/>
      <c r="E66" s="17"/>
      <c r="F66" s="17"/>
      <c r="G66" s="17"/>
      <c r="H66" s="14" t="str">
        <f t="shared" si="0"/>
        <v/>
      </c>
      <c r="I66" s="18" t="str">
        <f t="shared" si="1"/>
        <v/>
      </c>
      <c r="J66" s="17" t="str">
        <f t="shared" si="2"/>
        <v/>
      </c>
    </row>
    <row r="67" spans="2:10" ht="15.75" customHeight="1" x14ac:dyDescent="0.3">
      <c r="B67" s="17"/>
      <c r="C67" s="17"/>
      <c r="D67" s="17"/>
      <c r="E67" s="17"/>
      <c r="F67" s="17"/>
      <c r="G67" s="17"/>
      <c r="H67" s="14" t="str">
        <f t="shared" si="0"/>
        <v/>
      </c>
      <c r="I67" s="18" t="str">
        <f t="shared" si="1"/>
        <v/>
      </c>
      <c r="J67" s="17" t="str">
        <f t="shared" si="2"/>
        <v/>
      </c>
    </row>
    <row r="68" spans="2:10" ht="15.75" customHeight="1" x14ac:dyDescent="0.3">
      <c r="B68" s="17"/>
      <c r="C68" s="17"/>
      <c r="D68" s="17"/>
      <c r="E68" s="17"/>
      <c r="F68" s="17"/>
      <c r="G68" s="17"/>
      <c r="H68" s="14" t="str">
        <f t="shared" si="0"/>
        <v/>
      </c>
      <c r="I68" s="18" t="str">
        <f t="shared" si="1"/>
        <v/>
      </c>
      <c r="J68" s="17" t="str">
        <f t="shared" si="2"/>
        <v/>
      </c>
    </row>
    <row r="69" spans="2:10" ht="15.75" customHeight="1" x14ac:dyDescent="0.3">
      <c r="B69" s="17"/>
      <c r="C69" s="17"/>
      <c r="D69" s="17"/>
      <c r="E69" s="17"/>
      <c r="F69" s="17"/>
      <c r="G69" s="17"/>
      <c r="H69" s="14" t="str">
        <f t="shared" si="0"/>
        <v/>
      </c>
      <c r="I69" s="18" t="str">
        <f t="shared" si="1"/>
        <v/>
      </c>
      <c r="J69" s="17" t="str">
        <f t="shared" si="2"/>
        <v/>
      </c>
    </row>
    <row r="70" spans="2:10" ht="15.75" customHeight="1" x14ac:dyDescent="0.3">
      <c r="B70" s="17"/>
      <c r="C70" s="17"/>
      <c r="D70" s="17"/>
      <c r="E70" s="17"/>
      <c r="F70" s="17"/>
      <c r="G70" s="17"/>
      <c r="H70" s="14" t="str">
        <f t="shared" si="0"/>
        <v/>
      </c>
      <c r="I70" s="18" t="str">
        <f t="shared" si="1"/>
        <v/>
      </c>
      <c r="J70" s="17" t="str">
        <f t="shared" si="2"/>
        <v/>
      </c>
    </row>
    <row r="71" spans="2:10" ht="15.75" customHeight="1" x14ac:dyDescent="0.3">
      <c r="B71" s="17"/>
      <c r="C71" s="17"/>
      <c r="D71" s="17"/>
      <c r="E71" s="17"/>
      <c r="F71" s="17"/>
      <c r="G71" s="17"/>
      <c r="H71" s="14" t="str">
        <f t="shared" si="0"/>
        <v/>
      </c>
      <c r="I71" s="18" t="str">
        <f t="shared" si="1"/>
        <v/>
      </c>
      <c r="J71" s="17" t="str">
        <f t="shared" si="2"/>
        <v/>
      </c>
    </row>
    <row r="72" spans="2:10" ht="15.75" customHeight="1" x14ac:dyDescent="0.3">
      <c r="B72" s="17"/>
      <c r="C72" s="17"/>
      <c r="D72" s="17"/>
      <c r="E72" s="17"/>
      <c r="F72" s="17"/>
      <c r="G72" s="17"/>
      <c r="H72" s="14" t="str">
        <f t="shared" si="0"/>
        <v/>
      </c>
      <c r="I72" s="18" t="str">
        <f t="shared" si="1"/>
        <v/>
      </c>
      <c r="J72" s="17" t="str">
        <f t="shared" si="2"/>
        <v/>
      </c>
    </row>
    <row r="73" spans="2:10" ht="15.75" customHeight="1" x14ac:dyDescent="0.3"/>
    <row r="74" spans="2:10" ht="15.75" customHeight="1" x14ac:dyDescent="0.3"/>
    <row r="75" spans="2:10" ht="15.75" customHeight="1" x14ac:dyDescent="0.3"/>
    <row r="76" spans="2:10" ht="15.75" customHeight="1" x14ac:dyDescent="0.3"/>
    <row r="77" spans="2:10" ht="15.75" customHeight="1" x14ac:dyDescent="0.3"/>
    <row r="78" spans="2:10" ht="15.75" customHeight="1" x14ac:dyDescent="0.3"/>
    <row r="79" spans="2:10" ht="15.75" customHeight="1" x14ac:dyDescent="0.3"/>
    <row r="80" spans="2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ภูเก็ต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2026-07-23T07:08:58Z</dcterms:created>
  <dcterms:modified xsi:type="dcterms:W3CDTF">2026-07-23T07:09:16Z</dcterms:modified>
</cp:coreProperties>
</file>