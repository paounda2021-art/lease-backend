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หนี้ มิย.69 ส่งให้พี่หนี้\ไฟล์ส่ง พี่หนิง\"/>
    </mc:Choice>
  </mc:AlternateContent>
  <xr:revisionPtr revIDLastSave="0" documentId="8_{AAA1766F-839C-49C6-A4AC-EB01FEF8C861}" xr6:coauthVersionLast="47" xr6:coauthVersionMax="47" xr10:uidLastSave="{00000000-0000-0000-0000-000000000000}"/>
  <bookViews>
    <workbookView xWindow="-108" yWindow="-108" windowWidth="23256" windowHeight="12456" xr2:uid="{A4335F03-9C16-4C42-B282-32E5A10DF7FE}"/>
  </bookViews>
  <sheets>
    <sheet name="มิย.69" sheetId="34" r:id="rId1"/>
    <sheet name="รับชำระ มิย.69" sheetId="35" r:id="rId2"/>
    <sheet name="แนบ มิย.69" sheetId="36" r:id="rId3"/>
    <sheet name="เรียง มิย.69" sheetId="37" r:id="rId4"/>
    <sheet name="พค.69" sheetId="30" r:id="rId5"/>
    <sheet name="รับชำระ พค.69" sheetId="31" r:id="rId6"/>
    <sheet name="แนบ พค.69" sheetId="32" r:id="rId7"/>
    <sheet name="เรียง พค.69" sheetId="33" r:id="rId8"/>
    <sheet name="เมย. 69" sheetId="26" r:id="rId9"/>
    <sheet name="รับชำระ เมย.69" sheetId="27" r:id="rId10"/>
    <sheet name="แนบ เมย.69" sheetId="28" r:id="rId11"/>
    <sheet name="เรียง เมย.69" sheetId="29" r:id="rId12"/>
    <sheet name="มีค.69" sheetId="22" r:id="rId13"/>
    <sheet name="รับชำระ มีค.69" sheetId="23" r:id="rId14"/>
    <sheet name="แนบ มีค.69" sheetId="24" r:id="rId15"/>
    <sheet name="เรียง มีค.69" sheetId="25" r:id="rId16"/>
    <sheet name="กพ.69" sheetId="18" r:id="rId17"/>
    <sheet name="รับชำระ กพ.69" sheetId="19" r:id="rId18"/>
    <sheet name="แนบ กพ.69" sheetId="20" r:id="rId19"/>
    <sheet name="เรียง กพ.69" sheetId="21" r:id="rId20"/>
    <sheet name="มค.69" sheetId="14" r:id="rId21"/>
    <sheet name="รับชำระ มค.69" sheetId="15" r:id="rId22"/>
    <sheet name="แนบ มค.69" sheetId="16" r:id="rId23"/>
    <sheet name="เรียง มค.69" sheetId="17" r:id="rId24"/>
    <sheet name="ธค.68" sheetId="10" r:id="rId25"/>
    <sheet name="รับชำระ ธค.68" sheetId="11" r:id="rId26"/>
    <sheet name="แนบ ธค.68" sheetId="12" r:id="rId27"/>
    <sheet name="เรียง ธค.68 " sheetId="13" r:id="rId28"/>
    <sheet name="พย.68" sheetId="4" r:id="rId29"/>
    <sheet name="รับชำระ พย.68" sheetId="7" r:id="rId30"/>
    <sheet name="แนบ พย.68" sheetId="8" r:id="rId31"/>
    <sheet name="เรียง พย.68" sheetId="9" r:id="rId32"/>
    <sheet name="ตค.68" sheetId="2" r:id="rId33"/>
    <sheet name="รับชำระ ตค.68" sheetId="3" r:id="rId34"/>
    <sheet name="แนบ ตค.68" sheetId="5" r:id="rId35"/>
    <sheet name="เรียง ตค.68" sheetId="6" r:id="rId36"/>
    <sheet name="กย.68" sheetId="1" r:id="rId3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35" l="1"/>
  <c r="H9" i="35"/>
  <c r="H13" i="35" s="1"/>
  <c r="D13" i="34"/>
  <c r="R12" i="34"/>
  <c r="Q12" i="34"/>
  <c r="M12" i="34"/>
  <c r="J12" i="34"/>
  <c r="I12" i="34"/>
  <c r="H12" i="34"/>
  <c r="D12" i="34"/>
  <c r="S11" i="34"/>
  <c r="S12" i="34" s="1"/>
  <c r="R9" i="34"/>
  <c r="R13" i="34" s="1"/>
  <c r="Q9" i="34"/>
  <c r="Q13" i="34" s="1"/>
  <c r="M9" i="34"/>
  <c r="J9" i="34"/>
  <c r="J13" i="34" s="1"/>
  <c r="I9" i="34"/>
  <c r="I13" i="34" s="1"/>
  <c r="H9" i="34"/>
  <c r="H13" i="34" s="1"/>
  <c r="D9" i="34"/>
  <c r="S8" i="34"/>
  <c r="AE8" i="34" s="1"/>
  <c r="H13" i="31"/>
  <c r="H12" i="31"/>
  <c r="H9" i="31"/>
  <c r="M13" i="34" l="1"/>
  <c r="S9" i="34"/>
  <c r="S13" i="34" s="1"/>
  <c r="D13" i="30"/>
  <c r="R12" i="30"/>
  <c r="Q12" i="30"/>
  <c r="M12" i="30"/>
  <c r="J12" i="30"/>
  <c r="I12" i="30"/>
  <c r="H12" i="30"/>
  <c r="D12" i="30"/>
  <c r="S11" i="30"/>
  <c r="S12" i="30" s="1"/>
  <c r="R9" i="30"/>
  <c r="R13" i="30" s="1"/>
  <c r="Q9" i="30"/>
  <c r="Q13" i="30" s="1"/>
  <c r="M9" i="30"/>
  <c r="J9" i="30"/>
  <c r="J13" i="30" s="1"/>
  <c r="I9" i="30"/>
  <c r="I13" i="30" s="1"/>
  <c r="H9" i="30"/>
  <c r="H13" i="30" s="1"/>
  <c r="D9" i="30"/>
  <c r="S8" i="30"/>
  <c r="S9" i="30" s="1"/>
  <c r="H12" i="27"/>
  <c r="H9" i="27"/>
  <c r="H13" i="27" s="1"/>
  <c r="R13" i="26"/>
  <c r="R12" i="26"/>
  <c r="Q12" i="26"/>
  <c r="M12" i="26"/>
  <c r="J12" i="26"/>
  <c r="I12" i="26"/>
  <c r="H12" i="26"/>
  <c r="D12" i="26"/>
  <c r="S11" i="26"/>
  <c r="S12" i="26" s="1"/>
  <c r="R9" i="26"/>
  <c r="Q9" i="26"/>
  <c r="Q13" i="26" s="1"/>
  <c r="M9" i="26"/>
  <c r="M13" i="26" s="1"/>
  <c r="J9" i="26"/>
  <c r="J13" i="26" s="1"/>
  <c r="I9" i="26"/>
  <c r="I13" i="26" s="1"/>
  <c r="H9" i="26"/>
  <c r="H13" i="26" s="1"/>
  <c r="D9" i="26"/>
  <c r="D13" i="26" s="1"/>
  <c r="S8" i="26"/>
  <c r="H13" i="23"/>
  <c r="H12" i="23"/>
  <c r="H9" i="23"/>
  <c r="S13" i="30" l="1"/>
  <c r="M13" i="30"/>
  <c r="AE8" i="30"/>
  <c r="S9" i="26"/>
  <c r="S13" i="26" s="1"/>
  <c r="AE8" i="26"/>
  <c r="D13" i="22"/>
  <c r="R12" i="22"/>
  <c r="Q12" i="22"/>
  <c r="M12" i="22"/>
  <c r="J12" i="22"/>
  <c r="I12" i="22"/>
  <c r="H12" i="22"/>
  <c r="D12" i="22"/>
  <c r="S11" i="22"/>
  <c r="S12" i="22" s="1"/>
  <c r="S9" i="22"/>
  <c r="R9" i="22"/>
  <c r="R13" i="22" s="1"/>
  <c r="Q9" i="22"/>
  <c r="Q13" i="22" s="1"/>
  <c r="M9" i="22"/>
  <c r="J9" i="22"/>
  <c r="J13" i="22" s="1"/>
  <c r="I9" i="22"/>
  <c r="I13" i="22" s="1"/>
  <c r="H9" i="22"/>
  <c r="H13" i="22" s="1"/>
  <c r="D9" i="22"/>
  <c r="S8" i="22"/>
  <c r="AE8" i="22" s="1"/>
  <c r="H13" i="19"/>
  <c r="D13" i="18"/>
  <c r="R12" i="18"/>
  <c r="Q12" i="18"/>
  <c r="M12" i="18"/>
  <c r="J12" i="18"/>
  <c r="I12" i="18"/>
  <c r="H12" i="18"/>
  <c r="D12" i="18"/>
  <c r="S11" i="18"/>
  <c r="S12" i="18" s="1"/>
  <c r="R9" i="18"/>
  <c r="R13" i="18" s="1"/>
  <c r="Q9" i="18"/>
  <c r="Q13" i="18" s="1"/>
  <c r="M9" i="18"/>
  <c r="M13" i="18" s="1"/>
  <c r="J9" i="18"/>
  <c r="J13" i="18" s="1"/>
  <c r="I9" i="18"/>
  <c r="I13" i="18" s="1"/>
  <c r="H9" i="18"/>
  <c r="H13" i="18" s="1"/>
  <c r="D9" i="18"/>
  <c r="S8" i="18"/>
  <c r="AE8" i="18" s="1"/>
  <c r="J13" i="14"/>
  <c r="D13" i="14"/>
  <c r="R12" i="14"/>
  <c r="Q12" i="14"/>
  <c r="M12" i="14"/>
  <c r="J12" i="14"/>
  <c r="I12" i="14"/>
  <c r="H12" i="14"/>
  <c r="D12" i="14"/>
  <c r="S11" i="14"/>
  <c r="S12" i="14" s="1"/>
  <c r="S9" i="14"/>
  <c r="R9" i="14"/>
  <c r="R13" i="14" s="1"/>
  <c r="Q9" i="14"/>
  <c r="Q13" i="14" s="1"/>
  <c r="M9" i="14"/>
  <c r="J9" i="14"/>
  <c r="I9" i="14"/>
  <c r="I13" i="14" s="1"/>
  <c r="H9" i="14"/>
  <c r="H13" i="14" s="1"/>
  <c r="D9" i="14"/>
  <c r="S8" i="14"/>
  <c r="AE8" i="14" s="1"/>
  <c r="I13" i="10"/>
  <c r="R12" i="10"/>
  <c r="Q12" i="10"/>
  <c r="M12" i="10"/>
  <c r="J12" i="10"/>
  <c r="I12" i="10"/>
  <c r="H12" i="10"/>
  <c r="D12" i="10"/>
  <c r="S11" i="10"/>
  <c r="S12" i="10" s="1"/>
  <c r="S9" i="10"/>
  <c r="R9" i="10"/>
  <c r="R13" i="10" s="1"/>
  <c r="Q9" i="10"/>
  <c r="Q13" i="10" s="1"/>
  <c r="M9" i="10"/>
  <c r="J9" i="10"/>
  <c r="J13" i="10" s="1"/>
  <c r="I9" i="10"/>
  <c r="H9" i="10"/>
  <c r="H13" i="10" s="1"/>
  <c r="D9" i="10"/>
  <c r="D13" i="10" s="1"/>
  <c r="S8" i="10"/>
  <c r="AE8" i="10" s="1"/>
  <c r="M13" i="4"/>
  <c r="M13" i="22" l="1"/>
  <c r="S13" i="22"/>
  <c r="S9" i="18"/>
  <c r="S13" i="18"/>
  <c r="S13" i="14"/>
  <c r="M13" i="14"/>
  <c r="M13" i="10"/>
  <c r="S13" i="10"/>
  <c r="R13" i="4"/>
  <c r="Q13" i="4"/>
  <c r="R12" i="4"/>
  <c r="Q12" i="4"/>
  <c r="M12" i="4"/>
  <c r="J12" i="4"/>
  <c r="I12" i="4"/>
  <c r="H12" i="4"/>
  <c r="D12" i="4"/>
  <c r="S11" i="4"/>
  <c r="S12" i="4" s="1"/>
  <c r="R9" i="4"/>
  <c r="Q9" i="4"/>
  <c r="M9" i="4"/>
  <c r="J9" i="4"/>
  <c r="J13" i="4" s="1"/>
  <c r="I9" i="4"/>
  <c r="I13" i="4" s="1"/>
  <c r="H9" i="4"/>
  <c r="H13" i="4" s="1"/>
  <c r="D9" i="4"/>
  <c r="D13" i="4" s="1"/>
  <c r="S8" i="4"/>
  <c r="S9" i="4" s="1"/>
  <c r="G13" i="3"/>
  <c r="G12" i="3"/>
  <c r="G9" i="3"/>
  <c r="S13" i="4" l="1"/>
  <c r="AE8" i="4"/>
  <c r="R12" i="2"/>
  <c r="Q12" i="2"/>
  <c r="M12" i="2"/>
  <c r="J12" i="2"/>
  <c r="I12" i="2"/>
  <c r="H12" i="2"/>
  <c r="D12" i="2"/>
  <c r="D13" i="2" s="1"/>
  <c r="S11" i="2"/>
  <c r="S12" i="2" s="1"/>
  <c r="R9" i="2"/>
  <c r="R13" i="2" s="1"/>
  <c r="Q9" i="2"/>
  <c r="Q13" i="2" s="1"/>
  <c r="M9" i="2"/>
  <c r="J9" i="2"/>
  <c r="J13" i="2" s="1"/>
  <c r="I9" i="2"/>
  <c r="I13" i="2" s="1"/>
  <c r="H9" i="2"/>
  <c r="H13" i="2" s="1"/>
  <c r="D9" i="2"/>
  <c r="S8" i="2"/>
  <c r="S9" i="2" s="1"/>
  <c r="R12" i="1"/>
  <c r="Q12" i="1"/>
  <c r="M12" i="1"/>
  <c r="J12" i="1"/>
  <c r="I12" i="1"/>
  <c r="H12" i="1"/>
  <c r="D12" i="1"/>
  <c r="S11" i="1"/>
  <c r="S12" i="1" s="1"/>
  <c r="R9" i="1"/>
  <c r="R13" i="1" s="1"/>
  <c r="Q9" i="1"/>
  <c r="Q13" i="1" s="1"/>
  <c r="M9" i="1"/>
  <c r="M13" i="1" s="1"/>
  <c r="J9" i="1"/>
  <c r="J13" i="1" s="1"/>
  <c r="I9" i="1"/>
  <c r="I13" i="1" s="1"/>
  <c r="H9" i="1"/>
  <c r="H13" i="1" s="1"/>
  <c r="D9" i="1"/>
  <c r="D13" i="1" s="1"/>
  <c r="S8" i="1"/>
  <c r="S9" i="1" s="1"/>
  <c r="S13" i="1" s="1"/>
  <c r="S13" i="2" l="1"/>
  <c r="M13" i="2"/>
  <c r="AE8" i="2"/>
  <c r="AE8" i="1"/>
</calcChain>
</file>

<file path=xl/sharedStrings.xml><?xml version="1.0" encoding="utf-8"?>
<sst xmlns="http://schemas.openxmlformats.org/spreadsheetml/2006/main" count="1085" uniqueCount="81">
  <si>
    <t>สำนักงานท่าเทียบเรือประมงสงขลา</t>
  </si>
  <si>
    <t>รายละเอียดหนี้ค้างชำระค่าเช่าอาคาร,ที่ดินและอื่น ๆ</t>
  </si>
  <si>
    <t>ณ วันที่  30 กันยายน 2568</t>
  </si>
  <si>
    <t>ลำดับ</t>
  </si>
  <si>
    <t>รายชื่อ</t>
  </si>
  <si>
    <t>สถานที่ตั้ง</t>
  </si>
  <si>
    <t>อัตราค่าเช่า/ ค่าธรรมเนียม</t>
  </si>
  <si>
    <t>ค้างชำระยกมา</t>
  </si>
  <si>
    <t>รับชำระ</t>
  </si>
  <si>
    <t>ค้างชำระยกไป</t>
  </si>
  <si>
    <t>ค้างตั้งแต่</t>
  </si>
  <si>
    <t>งวด</t>
  </si>
  <si>
    <t>อายุ</t>
  </si>
  <si>
    <t>ยอดหนี้</t>
  </si>
  <si>
    <t>วดป.</t>
  </si>
  <si>
    <t>เลขที่ใบเสร็จ</t>
  </si>
  <si>
    <t>จำนวนเงิน</t>
  </si>
  <si>
    <t>ระยะ</t>
  </si>
  <si>
    <t>เริ่ม</t>
  </si>
  <si>
    <t>สิ้นสุด</t>
  </si>
  <si>
    <t>เงินประกัน</t>
  </si>
  <si>
    <t>หมายเหตุ</t>
  </si>
  <si>
    <t>หนี้</t>
  </si>
  <si>
    <t>ภาษีมูลค่าเพิ่ม</t>
  </si>
  <si>
    <t>รวม</t>
  </si>
  <si>
    <t>เวลา</t>
  </si>
  <si>
    <t>ค่าเช่า</t>
  </si>
  <si>
    <t>เลขที่สัญญา (ประเภท)</t>
  </si>
  <si>
    <t>วันที่ทำสัญญา</t>
  </si>
  <si>
    <t>ใบเสร็จรับเงิน</t>
  </si>
  <si>
    <t>ค่าเช่าอาคารและที่ดิน 4700400</t>
  </si>
  <si>
    <t>บริษัท เซ้าท์เธิร์นโลติสติกส์ (2009) จำกัด</t>
  </si>
  <si>
    <t>1-0-90 ไร่</t>
  </si>
  <si>
    <t>1121/112012</t>
  </si>
  <si>
    <t>30 ปี</t>
  </si>
  <si>
    <t>1 ต.ค.58</t>
  </si>
  <si>
    <t>30 ก.ย.88</t>
  </si>
  <si>
    <t>3 สข 01/2558</t>
  </si>
  <si>
    <t>29 ก.ย.58</t>
  </si>
  <si>
    <t>059/05801 ลว. 9 ตค.60</t>
  </si>
  <si>
    <t>ค่าต่ออายุสัญญา/สิทธิการเช่าโอนเป็นรายได้ 4700900</t>
  </si>
  <si>
    <t>787/39312</t>
  </si>
  <si>
    <t>181/09001 ลว. 9 ตค.60</t>
  </si>
  <si>
    <t>รวมเป็นเงินทั้งสิ้น</t>
  </si>
  <si>
    <t>...............................................................</t>
  </si>
  <si>
    <t>เจ้าหน้าที่ธุรการ 4 (ปฏิบัติด้านการเงิน)</t>
  </si>
  <si>
    <t>เจ้าหน้าที่การเงินและบัญชี 6</t>
  </si>
  <si>
    <t>หส.ทร.สข.</t>
  </si>
  <si>
    <t>นส.ช่อผกา แซ่เห้ง ค่าน้ำแข็งผ่านท่า ปรับลดยอดค้างยกมาประจำเดือน มิย.57 ตามทร.สงขลารายงาน จาก 735.- เป็น 435.-</t>
  </si>
  <si>
    <t>และปรับยอดหนี้ค้างยกไปตามทร.สงขลารายงาน จาก (659.75) เป็น 159.25</t>
  </si>
  <si>
    <t>ณ วันที่  31 ตุลาคม 2568</t>
  </si>
  <si>
    <t>สำนักงานท่าเทียบเรือประมงสงขลา 1</t>
  </si>
  <si>
    <t>1128/112701</t>
  </si>
  <si>
    <t>824/41151</t>
  </si>
  <si>
    <t>รับล่วงหน้า</t>
  </si>
  <si>
    <t>ไม่มี</t>
  </si>
  <si>
    <t>ณ วันที่  30 พฤศจิกายน 2568</t>
  </si>
  <si>
    <t>1128/112702</t>
  </si>
  <si>
    <t>013/0601</t>
  </si>
  <si>
    <t>ณ วันที่  31 ธันวาคม 2568</t>
  </si>
  <si>
    <t>1128/112703</t>
  </si>
  <si>
    <t>013/0602</t>
  </si>
  <si>
    <t>ณ วันที่  31 มกราคม 2569</t>
  </si>
  <si>
    <t>1128/112705</t>
  </si>
  <si>
    <t>013/0603</t>
  </si>
  <si>
    <t>ณ กุมภาพันธ์ 2569</t>
  </si>
  <si>
    <t>1128/112708</t>
  </si>
  <si>
    <t>013/0604</t>
  </si>
  <si>
    <t>ณ มีนาคม 2569</t>
  </si>
  <si>
    <t>1128/112709</t>
  </si>
  <si>
    <t>013/0606</t>
  </si>
  <si>
    <t>ณ เมษายน 2569</t>
  </si>
  <si>
    <t>1128/112710</t>
  </si>
  <si>
    <t>013/0607</t>
  </si>
  <si>
    <t xml:space="preserve"> </t>
  </si>
  <si>
    <t>ณ พฤษภาคม 2569</t>
  </si>
  <si>
    <t>1128/112711</t>
  </si>
  <si>
    <t>013/0608</t>
  </si>
  <si>
    <t>ณ มิถุนายน 2569</t>
  </si>
  <si>
    <t>1128/112712</t>
  </si>
  <si>
    <t>013/0609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</si>
</sst>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_);\(0\)"/>
    <numFmt numFmtId="166" formatCode="[$-107041E]d\ mmm\ yy;@"/>
    <numFmt numFmtId="167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name val="TH SarabunPSK"/>
      <family val="2"/>
    </font>
    <font>
      <b/>
      <sz val="16"/>
      <color rgb="FFFF0000"/>
      <name val="TH SarabunPSK"/>
      <family val="2"/>
    </font>
    <font>
      <b/>
      <u/>
      <sz val="16"/>
      <name val="TH SarabunPSK"/>
      <family val="2"/>
    </font>
    <font>
      <sz val="14"/>
      <name val="AngsanaUPC"/>
      <family val="1"/>
    </font>
    <font>
      <b/>
      <sz val="14"/>
      <name val="TH SarabunPSK"/>
      <family val="2"/>
    </font>
    <font>
      <sz val="16"/>
      <color theme="1"/>
      <name val="Angsana New"/>
      <family val="1"/>
    </font>
    <font>
      <b/>
      <sz val="16"/>
      <color theme="1"/>
      <name val="TH SarabunPSK"/>
      <family val="2"/>
    </font>
    <font>
      <sz val="14"/>
      <name val="AngsanaUPC"/>
      <family val="1"/>
    </font>
    <font>
      <sz val="14"/>
      <name val="AngsanaUPC"/>
      <family val="1"/>
      <charset val="222"/>
    </font>
    <font>
      <sz val="14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9" fillId="0" borderId="0"/>
    <xf numFmtId="43" fontId="10" fillId="0" borderId="0" applyFont="0" applyFill="0" applyBorder="0" applyAlignment="0" applyProtection="0"/>
  </cellStyleXfs>
  <cellXfs count="124">
    <xf numFmtId="0" fontId="0" fillId="0" borderId="0" xfId="0"/>
    <xf numFmtId="3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0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shrinkToFit="1"/>
    </xf>
    <xf numFmtId="1" fontId="2" fillId="0" borderId="3" xfId="0" applyNumberFormat="1" applyFont="1" applyBorder="1" applyAlignment="1">
      <alignment horizontal="center" vertical="center" wrapText="1"/>
    </xf>
    <xf numFmtId="40" fontId="2" fillId="0" borderId="5" xfId="0" applyNumberFormat="1" applyFont="1" applyBorder="1" applyAlignment="1">
      <alignment horizontal="center" vertical="center"/>
    </xf>
    <xf numFmtId="40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43" fontId="2" fillId="2" borderId="7" xfId="1" applyFont="1" applyFill="1" applyBorder="1" applyAlignment="1">
      <alignment horizontal="right" vertical="center"/>
    </xf>
    <xf numFmtId="43" fontId="2" fillId="2" borderId="8" xfId="1" applyFont="1" applyFill="1" applyBorder="1" applyAlignment="1">
      <alignment horizontal="right" vertical="center"/>
    </xf>
    <xf numFmtId="166" fontId="2" fillId="2" borderId="8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right" vertical="center" shrinkToFit="1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7" xfId="0" applyNumberFormat="1" applyFont="1" applyFill="1" applyBorder="1" applyAlignment="1">
      <alignment horizontal="center" vertical="center"/>
    </xf>
    <xf numFmtId="1" fontId="2" fillId="2" borderId="8" xfId="0" applyNumberFormat="1" applyFont="1" applyFill="1" applyBorder="1" applyAlignment="1">
      <alignment horizontal="center" vertical="center"/>
    </xf>
    <xf numFmtId="43" fontId="2" fillId="2" borderId="8" xfId="0" applyNumberFormat="1" applyFont="1" applyFill="1" applyBorder="1" applyAlignment="1">
      <alignment horizontal="right" vertical="center"/>
    </xf>
    <xf numFmtId="43" fontId="2" fillId="2" borderId="9" xfId="0" applyNumberFormat="1" applyFont="1" applyFill="1" applyBorder="1" applyAlignment="1">
      <alignment horizontal="left" vertical="center"/>
    </xf>
    <xf numFmtId="166" fontId="2" fillId="2" borderId="9" xfId="0" applyNumberFormat="1" applyFont="1" applyFill="1" applyBorder="1" applyAlignment="1">
      <alignment horizontal="right" vertical="center"/>
    </xf>
    <xf numFmtId="43" fontId="2" fillId="2" borderId="9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43" fontId="2" fillId="2" borderId="0" xfId="1" applyFont="1" applyFill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3" fontId="2" fillId="0" borderId="7" xfId="1" applyFont="1" applyFill="1" applyBorder="1" applyAlignment="1">
      <alignment vertical="center"/>
    </xf>
    <xf numFmtId="1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right" vertical="center"/>
    </xf>
    <xf numFmtId="166" fontId="6" fillId="0" borderId="7" xfId="2" applyNumberFormat="1" applyFont="1" applyBorder="1" applyAlignment="1">
      <alignment horizontal="right" vertical="center" shrinkToFit="1"/>
    </xf>
    <xf numFmtId="13" fontId="6" fillId="0" borderId="7" xfId="2" quotePrefix="1" applyNumberFormat="1" applyFont="1" applyBorder="1" applyAlignment="1">
      <alignment horizontal="right" vertical="center" shrinkToFit="1"/>
    </xf>
    <xf numFmtId="164" fontId="6" fillId="0" borderId="7" xfId="2" applyNumberFormat="1" applyFont="1" applyBorder="1" applyAlignment="1">
      <alignment horizontal="right" vertical="center"/>
    </xf>
    <xf numFmtId="43" fontId="2" fillId="0" borderId="7" xfId="0" applyNumberFormat="1" applyFont="1" applyBorder="1" applyAlignment="1">
      <alignment horizontal="right" vertical="center"/>
    </xf>
    <xf numFmtId="43" fontId="2" fillId="0" borderId="7" xfId="0" applyNumberFormat="1" applyFont="1" applyBorder="1" applyAlignment="1">
      <alignment horizontal="left" vertical="center"/>
    </xf>
    <xf numFmtId="40" fontId="2" fillId="0" borderId="7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43" fontId="2" fillId="2" borderId="10" xfId="1" applyFont="1" applyFill="1" applyBorder="1" applyAlignment="1">
      <alignment horizontal="right" vertical="center"/>
    </xf>
    <xf numFmtId="166" fontId="2" fillId="2" borderId="10" xfId="1" applyNumberFormat="1" applyFont="1" applyFill="1" applyBorder="1" applyAlignment="1">
      <alignment horizontal="right" vertical="center"/>
    </xf>
    <xf numFmtId="0" fontId="4" fillId="2" borderId="11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43" fontId="2" fillId="2" borderId="11" xfId="1" applyFont="1" applyFill="1" applyBorder="1" applyAlignment="1">
      <alignment horizontal="right" vertical="center"/>
    </xf>
    <xf numFmtId="43" fontId="2" fillId="2" borderId="12" xfId="1" applyFont="1" applyFill="1" applyBorder="1" applyAlignment="1">
      <alignment horizontal="right" vertical="center"/>
    </xf>
    <xf numFmtId="166" fontId="2" fillId="2" borderId="12" xfId="0" quotePrefix="1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right" vertical="center" shrinkToFit="1"/>
    </xf>
    <xf numFmtId="164" fontId="2" fillId="2" borderId="11" xfId="0" applyNumberFormat="1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left" vertical="center"/>
    </xf>
    <xf numFmtId="1" fontId="2" fillId="2" borderId="11" xfId="0" applyNumberFormat="1" applyFont="1" applyFill="1" applyBorder="1" applyAlignment="1">
      <alignment horizontal="center" vertical="center"/>
    </xf>
    <xf numFmtId="1" fontId="2" fillId="2" borderId="12" xfId="0" applyNumberFormat="1" applyFont="1" applyFill="1" applyBorder="1" applyAlignment="1">
      <alignment horizontal="center" vertical="center"/>
    </xf>
    <xf numFmtId="43" fontId="2" fillId="2" borderId="12" xfId="0" applyNumberFormat="1" applyFont="1" applyFill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4" fontId="2" fillId="0" borderId="4" xfId="0" applyNumberFormat="1" applyFont="1" applyBorder="1" applyAlignment="1">
      <alignment horizontal="right" vertical="center"/>
    </xf>
    <xf numFmtId="13" fontId="6" fillId="0" borderId="4" xfId="2" quotePrefix="1" applyNumberFormat="1" applyFont="1" applyBorder="1" applyAlignment="1">
      <alignment horizontal="right" vertical="center"/>
    </xf>
    <xf numFmtId="164" fontId="6" fillId="0" borderId="4" xfId="2" applyNumberFormat="1" applyFont="1" applyBorder="1" applyAlignment="1">
      <alignment horizontal="right" vertical="center"/>
    </xf>
    <xf numFmtId="43" fontId="2" fillId="0" borderId="4" xfId="0" applyNumberFormat="1" applyFont="1" applyBorder="1" applyAlignment="1">
      <alignment horizontal="right" vertical="center"/>
    </xf>
    <xf numFmtId="40" fontId="2" fillId="0" borderId="4" xfId="0" applyNumberFormat="1" applyFont="1" applyBorder="1" applyAlignment="1">
      <alignment horizontal="right" vertical="center"/>
    </xf>
    <xf numFmtId="165" fontId="2" fillId="2" borderId="13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vertical="center"/>
    </xf>
    <xf numFmtId="43" fontId="2" fillId="2" borderId="10" xfId="1" applyFont="1" applyFill="1" applyBorder="1" applyAlignment="1">
      <alignment vertical="center" shrinkToFit="1"/>
    </xf>
    <xf numFmtId="43" fontId="2" fillId="2" borderId="10" xfId="1" applyFont="1" applyFill="1" applyBorder="1" applyAlignment="1">
      <alignment vertical="center"/>
    </xf>
    <xf numFmtId="43" fontId="2" fillId="2" borderId="10" xfId="1" applyFont="1" applyFill="1" applyBorder="1" applyAlignment="1">
      <alignment horizontal="left" vertical="center"/>
    </xf>
    <xf numFmtId="166" fontId="2" fillId="2" borderId="10" xfId="1" applyNumberFormat="1" applyFont="1" applyFill="1" applyBorder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43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vertical="center"/>
    </xf>
    <xf numFmtId="39" fontId="2" fillId="0" borderId="0" xfId="0" applyNumberFormat="1" applyFont="1" applyAlignment="1">
      <alignment vertical="center"/>
    </xf>
    <xf numFmtId="40" fontId="2" fillId="0" borderId="0" xfId="0" applyNumberFormat="1" applyFont="1" applyAlignment="1">
      <alignment vertical="center"/>
    </xf>
    <xf numFmtId="164" fontId="7" fillId="0" borderId="0" xfId="0" applyNumberFormat="1" applyFont="1"/>
    <xf numFmtId="167" fontId="7" fillId="0" borderId="0" xfId="0" applyNumberFormat="1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164" fontId="11" fillId="0" borderId="7" xfId="3" applyNumberFormat="1" applyFont="1" applyBorder="1" applyAlignment="1">
      <alignment horizontal="right" vertical="center"/>
    </xf>
    <xf numFmtId="13" fontId="11" fillId="0" borderId="7" xfId="3" quotePrefix="1" applyNumberFormat="1" applyFont="1" applyBorder="1" applyAlignment="1">
      <alignment horizontal="right" vertical="center" shrinkToFit="1"/>
    </xf>
    <xf numFmtId="166" fontId="11" fillId="0" borderId="7" xfId="3" quotePrefix="1" applyNumberFormat="1" applyFont="1" applyBorder="1" applyAlignment="1">
      <alignment horizontal="right" vertical="center" shrinkToFit="1"/>
    </xf>
    <xf numFmtId="43" fontId="2" fillId="2" borderId="0" xfId="0" applyNumberFormat="1" applyFont="1" applyFill="1" applyAlignment="1">
      <alignment vertical="center"/>
    </xf>
    <xf numFmtId="164" fontId="11" fillId="0" borderId="4" xfId="3" applyNumberFormat="1" applyFont="1" applyBorder="1" applyAlignment="1">
      <alignment horizontal="right" vertical="center"/>
    </xf>
    <xf numFmtId="164" fontId="2" fillId="2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39" fontId="2" fillId="0" borderId="0" xfId="0" applyNumberFormat="1" applyFont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43" fontId="2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40" fontId="2" fillId="0" borderId="3" xfId="0" applyNumberFormat="1" applyFont="1" applyBorder="1" applyAlignment="1">
      <alignment horizontal="center" vertical="center"/>
    </xf>
    <xf numFmtId="40" fontId="2" fillId="0" borderId="3" xfId="0" applyNumberFormat="1" applyFont="1" applyBorder="1" applyAlignment="1">
      <alignment horizontal="center" vertical="center" shrinkToFit="1"/>
    </xf>
  </cellXfs>
  <cellStyles count="5">
    <cellStyle name="Comma" xfId="1" builtinId="3"/>
    <cellStyle name="Comma 2" xfId="4" xr:uid="{5FB80085-BA6D-4233-A91B-4809CDBBBCFC}"/>
    <cellStyle name="Normal" xfId="0" builtinId="0"/>
    <cellStyle name="Normal 2" xfId="3" xr:uid="{59FD2E2C-049D-45BA-83C3-5A5F98B6E39B}"/>
    <cellStyle name="ปกติ 2" xfId="2" xr:uid="{F62241D2-3ED4-47C8-A8A0-1E3025A93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24C6-0472-465F-A70D-4C675DCBC65D}">
  <sheetPr>
    <tabColor rgb="FFFFFF00"/>
  </sheetPr>
  <dimension ref="A1:AH35"/>
  <sheetViews>
    <sheetView tabSelected="1" zoomScale="90" zoomScaleNormal="90" workbookViewId="0">
      <selection activeCell="D12" sqref="D12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8.44140625" style="80" customWidth="1"/>
    <col min="5" max="5" width="6.44140625" style="83" customWidth="1"/>
    <col min="6" max="6" width="3.109375" style="83" customWidth="1"/>
    <col min="7" max="7" width="3.44140625" style="83" customWidth="1"/>
    <col min="8" max="8" width="7.6640625" style="83" customWidth="1"/>
    <col min="9" max="9" width="7" style="83" customWidth="1"/>
    <col min="10" max="10" width="6.88671875" style="84" customWidth="1"/>
    <col min="11" max="11" width="10.44140625" style="84" customWidth="1"/>
    <col min="12" max="12" width="11" style="84" customWidth="1"/>
    <col min="13" max="13" width="17.88671875" style="81" customWidth="1"/>
    <col min="14" max="14" width="3.5546875" style="4" customWidth="1"/>
    <col min="15" max="15" width="3.5546875" style="8" customWidth="1"/>
    <col min="16" max="16" width="3.6640625" style="8" customWidth="1"/>
    <col min="17" max="17" width="7.109375" style="8" customWidth="1"/>
    <col min="18" max="18" width="5.44140625" style="8" customWidth="1"/>
    <col min="19" max="19" width="14.109375" style="82" customWidth="1"/>
    <col min="20" max="20" width="4.109375" style="82" customWidth="1"/>
    <col min="21" max="21" width="6.6640625" style="82" customWidth="1"/>
    <col min="22" max="22" width="7.44140625" style="82" customWidth="1"/>
    <col min="23" max="23" width="18.88671875" style="82" customWidth="1"/>
    <col min="24" max="24" width="7.44140625" style="82" customWidth="1"/>
    <col min="25" max="27" width="9.88671875" style="82" customWidth="1"/>
    <col min="28" max="28" width="11.44140625" style="82" bestFit="1" customWidth="1"/>
    <col min="29" max="29" width="9.88671875" style="82" customWidth="1"/>
    <col min="30" max="30" width="10.33203125" style="2"/>
    <col min="31" max="31" width="10.44140625" style="3" bestFit="1" customWidth="1"/>
    <col min="32" max="32" width="10.33203125" style="4"/>
    <col min="33" max="33" width="11.6640625" style="4" bestFit="1" customWidth="1"/>
    <col min="34" max="16384" width="10.33203125" style="4"/>
  </cols>
  <sheetData>
    <row r="1" spans="1:33" x14ac:dyDescent="0.3">
      <c r="A1" s="101" t="s">
        <v>51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x14ac:dyDescent="0.3">
      <c r="A2" s="101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3" x14ac:dyDescent="0.3">
      <c r="A3" s="102" t="s">
        <v>78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33" x14ac:dyDescent="0.3">
      <c r="A4" s="103" t="s">
        <v>3</v>
      </c>
      <c r="B4" s="106" t="s">
        <v>4</v>
      </c>
      <c r="C4" s="106" t="s">
        <v>5</v>
      </c>
      <c r="D4" s="114" t="s">
        <v>6</v>
      </c>
      <c r="E4" s="117" t="s">
        <v>7</v>
      </c>
      <c r="F4" s="117"/>
      <c r="G4" s="117"/>
      <c r="H4" s="117"/>
      <c r="I4" s="117"/>
      <c r="J4" s="117"/>
      <c r="K4" s="118" t="s">
        <v>8</v>
      </c>
      <c r="L4" s="118"/>
      <c r="M4" s="118"/>
      <c r="N4" s="117" t="s">
        <v>9</v>
      </c>
      <c r="O4" s="117"/>
      <c r="P4" s="117"/>
      <c r="Q4" s="117"/>
      <c r="R4" s="117"/>
      <c r="S4" s="117"/>
      <c r="T4" s="7"/>
      <c r="U4" s="7"/>
      <c r="V4" s="7"/>
      <c r="W4" s="7"/>
      <c r="X4" s="7"/>
      <c r="Y4" s="8"/>
      <c r="Z4" s="8"/>
      <c r="AA4" s="8"/>
      <c r="AB4" s="8"/>
      <c r="AC4" s="8"/>
    </row>
    <row r="5" spans="1:33" x14ac:dyDescent="0.3">
      <c r="A5" s="104"/>
      <c r="B5" s="107"/>
      <c r="C5" s="107"/>
      <c r="D5" s="115"/>
      <c r="E5" s="121" t="s">
        <v>10</v>
      </c>
      <c r="F5" s="117" t="s">
        <v>11</v>
      </c>
      <c r="G5" s="7" t="s">
        <v>12</v>
      </c>
      <c r="H5" s="117" t="s">
        <v>13</v>
      </c>
      <c r="I5" s="117"/>
      <c r="J5" s="117"/>
      <c r="K5" s="122" t="s">
        <v>14</v>
      </c>
      <c r="L5" s="123" t="s">
        <v>15</v>
      </c>
      <c r="M5" s="118" t="s">
        <v>16</v>
      </c>
      <c r="N5" s="121" t="s">
        <v>10</v>
      </c>
      <c r="O5" s="117" t="s">
        <v>11</v>
      </c>
      <c r="P5" s="7" t="s">
        <v>12</v>
      </c>
      <c r="Q5" s="117" t="s">
        <v>13</v>
      </c>
      <c r="R5" s="117"/>
      <c r="S5" s="117"/>
      <c r="T5" s="10" t="s">
        <v>17</v>
      </c>
      <c r="U5" s="10" t="s">
        <v>18</v>
      </c>
      <c r="V5" s="10" t="s">
        <v>19</v>
      </c>
      <c r="W5" s="10" t="s">
        <v>20</v>
      </c>
      <c r="X5" s="10" t="s">
        <v>21</v>
      </c>
      <c r="Y5" s="8"/>
      <c r="Z5" s="8"/>
      <c r="AA5" s="8"/>
      <c r="AB5" s="8"/>
      <c r="AC5" s="8"/>
    </row>
    <row r="6" spans="1:33" ht="73.8" x14ac:dyDescent="0.3">
      <c r="A6" s="105"/>
      <c r="B6" s="108"/>
      <c r="C6" s="108"/>
      <c r="D6" s="116"/>
      <c r="E6" s="121"/>
      <c r="F6" s="117"/>
      <c r="G6" s="11" t="s">
        <v>22</v>
      </c>
      <c r="H6" s="6" t="s">
        <v>16</v>
      </c>
      <c r="I6" s="12" t="s">
        <v>23</v>
      </c>
      <c r="J6" s="9" t="s">
        <v>24</v>
      </c>
      <c r="K6" s="122"/>
      <c r="L6" s="123"/>
      <c r="M6" s="118"/>
      <c r="N6" s="121"/>
      <c r="O6" s="117"/>
      <c r="P6" s="11" t="s">
        <v>22</v>
      </c>
      <c r="Q6" s="6" t="s">
        <v>16</v>
      </c>
      <c r="R6" s="13" t="s">
        <v>23</v>
      </c>
      <c r="S6" s="9" t="s">
        <v>24</v>
      </c>
      <c r="T6" s="14" t="s">
        <v>25</v>
      </c>
      <c r="U6" s="14"/>
      <c r="V6" s="14"/>
      <c r="W6" s="14"/>
      <c r="X6" s="14"/>
      <c r="Y6" s="15" t="s">
        <v>26</v>
      </c>
      <c r="Z6" s="15" t="s">
        <v>27</v>
      </c>
      <c r="AA6" s="15"/>
      <c r="AB6" s="15"/>
      <c r="AC6" s="15" t="s">
        <v>28</v>
      </c>
      <c r="AD6" s="16"/>
      <c r="AF6" s="17" t="s">
        <v>29</v>
      </c>
    </row>
    <row r="7" spans="1:33" s="33" customFormat="1" x14ac:dyDescent="0.3">
      <c r="A7" s="18"/>
      <c r="B7" s="19" t="s">
        <v>30</v>
      </c>
      <c r="C7" s="20"/>
      <c r="D7" s="21"/>
      <c r="E7" s="21"/>
      <c r="F7" s="21"/>
      <c r="G7" s="22"/>
      <c r="H7" s="22"/>
      <c r="I7" s="22"/>
      <c r="J7" s="22"/>
      <c r="K7" s="23"/>
      <c r="L7" s="24"/>
      <c r="M7" s="25"/>
      <c r="N7" s="26"/>
      <c r="O7" s="27"/>
      <c r="P7" s="28"/>
      <c r="Q7" s="28"/>
      <c r="R7" s="28"/>
      <c r="S7" s="29"/>
      <c r="T7" s="30"/>
      <c r="U7" s="31"/>
      <c r="V7" s="31"/>
      <c r="W7" s="32"/>
      <c r="X7" s="32"/>
      <c r="Y7" s="32"/>
      <c r="AB7" s="34"/>
    </row>
    <row r="8" spans="1:33" x14ac:dyDescent="0.3">
      <c r="A8" s="35">
        <v>1</v>
      </c>
      <c r="B8" s="36" t="s">
        <v>31</v>
      </c>
      <c r="C8" s="37" t="s">
        <v>32</v>
      </c>
      <c r="D8" s="38">
        <v>228132</v>
      </c>
      <c r="E8" s="36"/>
      <c r="F8" s="39"/>
      <c r="G8" s="39"/>
      <c r="H8" s="39"/>
      <c r="I8" s="39"/>
      <c r="J8" s="40">
        <v>0</v>
      </c>
      <c r="K8" s="96">
        <v>46178</v>
      </c>
      <c r="L8" s="95" t="s">
        <v>79</v>
      </c>
      <c r="M8" s="94">
        <v>228132</v>
      </c>
      <c r="N8" s="36"/>
      <c r="O8" s="39"/>
      <c r="P8" s="39"/>
      <c r="Q8" s="39"/>
      <c r="R8" s="39"/>
      <c r="S8" s="44">
        <f>+D8-M8</f>
        <v>0</v>
      </c>
      <c r="T8" s="44" t="s">
        <v>34</v>
      </c>
      <c r="U8" s="44" t="s">
        <v>35</v>
      </c>
      <c r="V8" s="44" t="s">
        <v>36</v>
      </c>
      <c r="W8" s="44">
        <v>300000</v>
      </c>
      <c r="X8" s="44"/>
      <c r="Y8" s="44">
        <v>150000</v>
      </c>
      <c r="Z8" s="44"/>
      <c r="AA8" s="44"/>
      <c r="AB8" s="45" t="s">
        <v>37</v>
      </c>
      <c r="AC8" s="44" t="s">
        <v>38</v>
      </c>
      <c r="AD8" s="46"/>
      <c r="AE8" s="3">
        <f>+S8-AD8</f>
        <v>0</v>
      </c>
      <c r="AF8" s="47" t="s">
        <v>39</v>
      </c>
      <c r="AG8" s="48">
        <v>42983</v>
      </c>
    </row>
    <row r="9" spans="1:33" s="33" customFormat="1" ht="25.2" thickBot="1" x14ac:dyDescent="0.35">
      <c r="A9" s="18"/>
      <c r="B9" s="49" t="s">
        <v>24</v>
      </c>
      <c r="C9" s="50"/>
      <c r="D9" s="51">
        <f>SUM(D8:D8)</f>
        <v>228132</v>
      </c>
      <c r="E9" s="51"/>
      <c r="F9" s="51"/>
      <c r="G9" s="51"/>
      <c r="H9" s="51">
        <f>SUM(H8:H8)</f>
        <v>0</v>
      </c>
      <c r="I9" s="51">
        <f>SUM(I8:I8)</f>
        <v>0</v>
      </c>
      <c r="J9" s="51">
        <f>SUM(J8:J8)</f>
        <v>0</v>
      </c>
      <c r="K9" s="52"/>
      <c r="L9" s="51"/>
      <c r="M9" s="51">
        <f>SUM(M8:M8)</f>
        <v>228132</v>
      </c>
      <c r="N9" s="51"/>
      <c r="O9" s="51"/>
      <c r="P9" s="51"/>
      <c r="Q9" s="51">
        <f>SUM(Q8:Q8)</f>
        <v>0</v>
      </c>
      <c r="R9" s="51">
        <f>SUM(R8:R8)</f>
        <v>0</v>
      </c>
      <c r="S9" s="51">
        <f>SUM(S8:S8)</f>
        <v>0</v>
      </c>
      <c r="T9" s="30"/>
      <c r="U9" s="31"/>
      <c r="V9" s="31"/>
      <c r="W9" s="32"/>
      <c r="X9" s="32"/>
      <c r="Y9" s="32"/>
      <c r="AB9" s="34"/>
    </row>
    <row r="10" spans="1:33" s="33" customFormat="1" ht="25.2" thickTop="1" x14ac:dyDescent="0.3">
      <c r="A10" s="18"/>
      <c r="B10" s="53" t="s">
        <v>40</v>
      </c>
      <c r="C10" s="54"/>
      <c r="D10" s="55"/>
      <c r="E10" s="55"/>
      <c r="F10" s="55"/>
      <c r="G10" s="56"/>
      <c r="H10" s="56"/>
      <c r="I10" s="56"/>
      <c r="J10" s="56"/>
      <c r="K10" s="57"/>
      <c r="L10" s="58"/>
      <c r="M10" s="59"/>
      <c r="N10" s="60"/>
      <c r="O10" s="61"/>
      <c r="P10" s="62"/>
      <c r="Q10" s="62"/>
      <c r="R10" s="62"/>
      <c r="S10" s="63"/>
      <c r="T10" s="30"/>
      <c r="U10" s="31"/>
      <c r="V10" s="31"/>
      <c r="W10" s="32"/>
      <c r="X10" s="32"/>
      <c r="Y10" s="32"/>
      <c r="AB10" s="34"/>
    </row>
    <row r="11" spans="1:33" x14ac:dyDescent="0.3">
      <c r="A11" s="64">
        <v>1</v>
      </c>
      <c r="B11" s="36" t="s">
        <v>31</v>
      </c>
      <c r="C11" s="65"/>
      <c r="D11" s="66">
        <v>11900</v>
      </c>
      <c r="E11" s="4"/>
      <c r="F11" s="10"/>
      <c r="G11" s="10"/>
      <c r="H11" s="10"/>
      <c r="I11" s="10"/>
      <c r="J11" s="67">
        <v>0</v>
      </c>
      <c r="K11" s="96">
        <v>46178</v>
      </c>
      <c r="L11" s="95" t="s">
        <v>80</v>
      </c>
      <c r="M11" s="98">
        <v>11900</v>
      </c>
      <c r="O11" s="10"/>
      <c r="P11" s="10"/>
      <c r="Q11" s="10"/>
      <c r="R11" s="10"/>
      <c r="S11" s="44">
        <f>+D11-M11</f>
        <v>0</v>
      </c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1"/>
      <c r="AF11" s="47" t="s">
        <v>42</v>
      </c>
      <c r="AG11" s="48">
        <v>42983</v>
      </c>
    </row>
    <row r="12" spans="1:33" s="33" customFormat="1" ht="25.2" thickBot="1" x14ac:dyDescent="0.35">
      <c r="A12" s="18"/>
      <c r="B12" s="49" t="s">
        <v>24</v>
      </c>
      <c r="C12" s="50"/>
      <c r="D12" s="51">
        <f>SUM(D11)</f>
        <v>11900</v>
      </c>
      <c r="E12" s="51"/>
      <c r="F12" s="51"/>
      <c r="G12" s="51"/>
      <c r="H12" s="51">
        <f t="shared" ref="H12:J12" si="0">SUM(H11)</f>
        <v>0</v>
      </c>
      <c r="I12" s="51">
        <f t="shared" si="0"/>
        <v>0</v>
      </c>
      <c r="J12" s="51">
        <f t="shared" si="0"/>
        <v>0</v>
      </c>
      <c r="K12" s="52"/>
      <c r="L12" s="51"/>
      <c r="M12" s="51">
        <f t="shared" ref="M12" si="1">SUM(M11)</f>
        <v>11900</v>
      </c>
      <c r="N12" s="51"/>
      <c r="O12" s="51"/>
      <c r="P12" s="51"/>
      <c r="Q12" s="51">
        <f t="shared" ref="Q12:S12" si="2">SUM(Q11)</f>
        <v>0</v>
      </c>
      <c r="R12" s="51">
        <f t="shared" si="2"/>
        <v>0</v>
      </c>
      <c r="S12" s="51">
        <f t="shared" si="2"/>
        <v>0</v>
      </c>
      <c r="T12" s="30"/>
      <c r="U12" s="31"/>
      <c r="V12" s="31"/>
      <c r="W12" s="32"/>
      <c r="X12" s="32"/>
      <c r="Y12" s="32"/>
      <c r="AB12" s="34"/>
    </row>
    <row r="13" spans="1:33" s="33" customFormat="1" ht="25.8" thickTop="1" thickBot="1" x14ac:dyDescent="0.35">
      <c r="A13" s="72"/>
      <c r="B13" s="73" t="s">
        <v>43</v>
      </c>
      <c r="C13" s="74"/>
      <c r="D13" s="75">
        <f>D9+D12</f>
        <v>240032</v>
      </c>
      <c r="E13" s="76"/>
      <c r="F13" s="76"/>
      <c r="G13" s="76"/>
      <c r="H13" s="76">
        <f>H9+H12</f>
        <v>0</v>
      </c>
      <c r="I13" s="76">
        <f t="shared" ref="I13:J13" si="3">I9+I12</f>
        <v>0</v>
      </c>
      <c r="J13" s="76">
        <f t="shared" si="3"/>
        <v>0</v>
      </c>
      <c r="K13" s="76"/>
      <c r="L13" s="76"/>
      <c r="M13" s="75">
        <f>M9+M12</f>
        <v>240032</v>
      </c>
      <c r="N13" s="76"/>
      <c r="O13" s="76"/>
      <c r="P13" s="76"/>
      <c r="Q13" s="76">
        <f>Q9+Q12</f>
        <v>0</v>
      </c>
      <c r="R13" s="76">
        <f t="shared" ref="R13:S13" si="4">R9+R12</f>
        <v>0</v>
      </c>
      <c r="S13" s="76">
        <f t="shared" si="4"/>
        <v>0</v>
      </c>
      <c r="T13" s="77"/>
      <c r="U13" s="78"/>
      <c r="V13" s="78"/>
      <c r="W13" s="76"/>
      <c r="X13" s="76"/>
      <c r="Y13" s="76"/>
    </row>
    <row r="14" spans="1:33" ht="25.2" thickTop="1" x14ac:dyDescent="0.3">
      <c r="E14" s="4"/>
      <c r="F14" s="8"/>
      <c r="G14" s="8"/>
      <c r="H14" s="8"/>
      <c r="I14" s="8"/>
      <c r="J14" s="2"/>
      <c r="K14" s="2"/>
      <c r="L14" s="2"/>
    </row>
    <row r="15" spans="1:33" x14ac:dyDescent="0.3">
      <c r="E15" s="4"/>
      <c r="F15" s="8"/>
      <c r="G15" s="8"/>
      <c r="H15" s="8"/>
      <c r="I15" s="8"/>
      <c r="J15" s="2"/>
      <c r="K15" s="2"/>
      <c r="L15" s="2"/>
    </row>
    <row r="16" spans="1:33" x14ac:dyDescent="0.3">
      <c r="E16" s="4"/>
      <c r="F16" s="8"/>
      <c r="G16" s="8"/>
      <c r="H16" s="8"/>
      <c r="I16" s="8"/>
      <c r="J16" s="2"/>
      <c r="K16" s="2"/>
      <c r="L16" s="2"/>
    </row>
    <row r="17" spans="2:30" s="3" customFormat="1" x14ac:dyDescent="0.3">
      <c r="B17" s="79"/>
      <c r="C17" s="4"/>
      <c r="D17" s="80"/>
      <c r="E17" s="4"/>
      <c r="F17" s="8"/>
      <c r="G17" s="8"/>
      <c r="H17" s="8"/>
      <c r="I17" s="8"/>
      <c r="J17" s="2"/>
      <c r="K17" s="2"/>
      <c r="L17" s="2"/>
      <c r="M17" s="81"/>
      <c r="N17" s="4"/>
      <c r="O17" s="8"/>
      <c r="P17" s="8"/>
      <c r="Q17" s="8"/>
      <c r="R17" s="8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2"/>
    </row>
    <row r="18" spans="2:30" s="3" customFormat="1" x14ac:dyDescent="0.3">
      <c r="B18" s="47"/>
      <c r="C18" s="4"/>
      <c r="D18" s="80"/>
      <c r="E18" s="83"/>
      <c r="F18" s="83"/>
      <c r="G18" s="83"/>
      <c r="H18" s="83"/>
      <c r="I18" s="83"/>
      <c r="J18" s="84"/>
      <c r="K18" s="84"/>
      <c r="L18" s="84"/>
      <c r="M18" s="81"/>
      <c r="N18" s="4"/>
      <c r="O18" s="8"/>
      <c r="P18" s="8"/>
      <c r="Q18" s="8"/>
      <c r="R18" s="8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2"/>
    </row>
    <row r="19" spans="2:30" s="3" customFormat="1" x14ac:dyDescent="0.7">
      <c r="B19" s="119" t="s">
        <v>44</v>
      </c>
      <c r="C19" s="119"/>
      <c r="D19" s="119"/>
      <c r="E19" s="85"/>
      <c r="F19" s="86"/>
      <c r="G19" s="119" t="s">
        <v>44</v>
      </c>
      <c r="H19" s="119"/>
      <c r="I19" s="119"/>
      <c r="J19" s="119"/>
      <c r="K19" s="119"/>
      <c r="L19" s="87"/>
      <c r="M19" s="87"/>
      <c r="N19" s="119" t="s">
        <v>44</v>
      </c>
      <c r="O19" s="119"/>
      <c r="P19" s="119"/>
      <c r="Q19" s="119"/>
      <c r="R19" s="119"/>
      <c r="S19" s="82"/>
      <c r="T19" s="88"/>
      <c r="U19" s="88"/>
      <c r="V19" s="88"/>
      <c r="W19" s="82"/>
      <c r="X19" s="82"/>
      <c r="Y19" s="82"/>
      <c r="Z19" s="82"/>
      <c r="AA19" s="82"/>
      <c r="AB19" s="82"/>
      <c r="AC19" s="82"/>
      <c r="AD19" s="2"/>
    </row>
    <row r="20" spans="2:30" s="3" customFormat="1" x14ac:dyDescent="0.7">
      <c r="B20" s="119" t="s">
        <v>45</v>
      </c>
      <c r="C20" s="119"/>
      <c r="D20" s="119"/>
      <c r="E20" s="87"/>
      <c r="F20" s="87"/>
      <c r="G20" s="119" t="s">
        <v>46</v>
      </c>
      <c r="H20" s="119"/>
      <c r="I20" s="119"/>
      <c r="J20" s="119"/>
      <c r="K20" s="119"/>
      <c r="L20" s="87"/>
      <c r="M20" s="87"/>
      <c r="N20" s="119" t="s">
        <v>47</v>
      </c>
      <c r="O20" s="119"/>
      <c r="P20" s="119"/>
      <c r="Q20" s="119"/>
      <c r="R20" s="119"/>
      <c r="S20" s="4"/>
      <c r="T20" s="120"/>
      <c r="U20" s="120"/>
      <c r="V20" s="120"/>
      <c r="W20" s="120"/>
      <c r="X20" s="4"/>
      <c r="Y20" s="4"/>
      <c r="Z20" s="4"/>
      <c r="AA20" s="4"/>
      <c r="AB20" s="4"/>
      <c r="AC20" s="4"/>
      <c r="AD20" s="4"/>
    </row>
    <row r="21" spans="2:30" s="3" customFormat="1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33" spans="2:34" x14ac:dyDescent="0.3">
      <c r="B33" s="4"/>
      <c r="D33" s="4"/>
      <c r="E33" s="4"/>
      <c r="F33" s="4"/>
      <c r="G33" s="4"/>
      <c r="H33" s="4"/>
      <c r="I33" s="4"/>
      <c r="J33" s="4"/>
      <c r="K33" s="4"/>
      <c r="L33" s="4"/>
      <c r="M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H33" s="79" t="s">
        <v>21</v>
      </c>
    </row>
    <row r="34" spans="2:34" x14ac:dyDescent="0.3">
      <c r="B34" s="4"/>
      <c r="D34" s="4"/>
      <c r="E34" s="4"/>
      <c r="F34" s="4"/>
      <c r="G34" s="4"/>
      <c r="H34" s="4"/>
      <c r="I34" s="4"/>
      <c r="J34" s="4"/>
      <c r="K34" s="4"/>
      <c r="L34" s="4"/>
      <c r="M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H34" s="79" t="s">
        <v>48</v>
      </c>
    </row>
    <row r="35" spans="2:34" x14ac:dyDescent="0.3">
      <c r="B35" s="4"/>
      <c r="D35" s="4"/>
      <c r="E35" s="4"/>
      <c r="F35" s="4"/>
      <c r="G35" s="4"/>
      <c r="H35" s="4"/>
      <c r="I35" s="4"/>
      <c r="J35" s="4"/>
      <c r="K35" s="4"/>
      <c r="L35" s="4"/>
      <c r="M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H35" s="79" t="s">
        <v>49</v>
      </c>
    </row>
  </sheetData>
  <mergeCells count="26">
    <mergeCell ref="B20:D20"/>
    <mergeCell ref="G20:K20"/>
    <mergeCell ref="N20:R20"/>
    <mergeCell ref="T20:W20"/>
    <mergeCell ref="N5:N6"/>
    <mergeCell ref="O5:O6"/>
    <mergeCell ref="Q5:S5"/>
    <mergeCell ref="B19:D19"/>
    <mergeCell ref="G19:K19"/>
    <mergeCell ref="N19:R19"/>
    <mergeCell ref="E5:E6"/>
    <mergeCell ref="F5:F6"/>
    <mergeCell ref="H5:J5"/>
    <mergeCell ref="K5:K6"/>
    <mergeCell ref="L5:L6"/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87C5-F61F-4A17-A949-49BDB3F4BC8D}">
  <sheetPr>
    <tabColor rgb="FFFFFF00"/>
  </sheetPr>
  <dimension ref="A1:H35"/>
  <sheetViews>
    <sheetView zoomScale="90" zoomScaleNormal="90" workbookViewId="0">
      <selection activeCell="F14" sqref="F14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0.44140625" style="84" customWidth="1"/>
    <col min="5" max="5" width="11" style="84" customWidth="1"/>
    <col min="6" max="6" width="17.88671875" style="81" customWidth="1"/>
    <col min="7" max="7" width="10.33203125" style="4"/>
    <col min="8" max="8" width="12.44140625" style="4" bestFit="1" customWidth="1"/>
    <col min="9" max="16384" width="10.33203125" style="4"/>
  </cols>
  <sheetData>
    <row r="1" spans="1:8" x14ac:dyDescent="0.3">
      <c r="A1" s="101" t="s">
        <v>51</v>
      </c>
      <c r="B1" s="101"/>
      <c r="C1" s="101"/>
      <c r="D1" s="101"/>
      <c r="E1" s="101"/>
      <c r="F1" s="101"/>
    </row>
    <row r="2" spans="1:8" x14ac:dyDescent="0.3">
      <c r="A2" s="101" t="s">
        <v>1</v>
      </c>
      <c r="B2" s="101"/>
      <c r="C2" s="101"/>
      <c r="D2" s="101"/>
      <c r="E2" s="101"/>
      <c r="F2" s="101"/>
    </row>
    <row r="3" spans="1:8" x14ac:dyDescent="0.3">
      <c r="A3" s="102" t="s">
        <v>78</v>
      </c>
      <c r="B3" s="102"/>
      <c r="C3" s="102"/>
      <c r="D3" s="102"/>
      <c r="E3" s="102"/>
      <c r="F3" s="102"/>
    </row>
    <row r="4" spans="1:8" x14ac:dyDescent="0.3">
      <c r="A4" s="103" t="s">
        <v>3</v>
      </c>
      <c r="B4" s="106" t="s">
        <v>4</v>
      </c>
      <c r="C4" s="106" t="s">
        <v>5</v>
      </c>
      <c r="D4" s="118" t="s">
        <v>8</v>
      </c>
      <c r="E4" s="118"/>
      <c r="F4" s="118"/>
    </row>
    <row r="5" spans="1:8" x14ac:dyDescent="0.3">
      <c r="A5" s="104"/>
      <c r="B5" s="107"/>
      <c r="C5" s="107"/>
      <c r="D5" s="122" t="s">
        <v>14</v>
      </c>
      <c r="E5" s="123" t="s">
        <v>15</v>
      </c>
      <c r="F5" s="118" t="s">
        <v>16</v>
      </c>
    </row>
    <row r="6" spans="1:8" x14ac:dyDescent="0.3">
      <c r="A6" s="105"/>
      <c r="B6" s="108"/>
      <c r="C6" s="108"/>
      <c r="D6" s="122"/>
      <c r="E6" s="123"/>
      <c r="F6" s="118"/>
    </row>
    <row r="7" spans="1:8" s="33" customFormat="1" x14ac:dyDescent="0.3">
      <c r="A7" s="18"/>
      <c r="B7" s="19" t="s">
        <v>30</v>
      </c>
      <c r="C7" s="20"/>
      <c r="D7" s="23"/>
      <c r="E7" s="24"/>
      <c r="F7" s="25"/>
    </row>
    <row r="8" spans="1:8" x14ac:dyDescent="0.3">
      <c r="A8" s="35">
        <v>1</v>
      </c>
      <c r="B8" s="36" t="s">
        <v>31</v>
      </c>
      <c r="C8" s="37" t="s">
        <v>32</v>
      </c>
      <c r="D8" s="96">
        <v>46178</v>
      </c>
      <c r="E8" s="95" t="s">
        <v>79</v>
      </c>
      <c r="F8" s="94">
        <v>228132</v>
      </c>
    </row>
    <row r="9" spans="1:8" s="33" customFormat="1" ht="25.2" thickBot="1" x14ac:dyDescent="0.35">
      <c r="A9" s="18"/>
      <c r="B9" s="49" t="s">
        <v>24</v>
      </c>
      <c r="C9" s="50"/>
      <c r="D9" s="52"/>
      <c r="E9" s="51"/>
      <c r="F9" s="51">
        <v>228132</v>
      </c>
      <c r="H9" s="99">
        <f>SUM(F8)</f>
        <v>228132</v>
      </c>
    </row>
    <row r="10" spans="1:8" s="33" customFormat="1" ht="25.2" thickTop="1" x14ac:dyDescent="0.3">
      <c r="A10" s="18"/>
      <c r="B10" s="53" t="s">
        <v>40</v>
      </c>
      <c r="C10" s="54"/>
      <c r="D10" s="57"/>
      <c r="E10" s="58"/>
      <c r="F10" s="59"/>
    </row>
    <row r="11" spans="1:8" x14ac:dyDescent="0.3">
      <c r="A11" s="64">
        <v>1</v>
      </c>
      <c r="B11" s="36" t="s">
        <v>31</v>
      </c>
      <c r="C11" s="65"/>
      <c r="D11" s="96">
        <v>46178</v>
      </c>
      <c r="E11" s="95" t="s">
        <v>80</v>
      </c>
      <c r="F11" s="98">
        <v>11900</v>
      </c>
    </row>
    <row r="12" spans="1:8" s="33" customFormat="1" ht="25.2" thickBot="1" x14ac:dyDescent="0.35">
      <c r="A12" s="18"/>
      <c r="B12" s="49" t="s">
        <v>24</v>
      </c>
      <c r="C12" s="50"/>
      <c r="D12" s="52"/>
      <c r="E12" s="51"/>
      <c r="F12" s="51">
        <v>11900</v>
      </c>
      <c r="H12" s="99">
        <f>SUM(F11)</f>
        <v>11900</v>
      </c>
    </row>
    <row r="13" spans="1:8" s="33" customFormat="1" ht="25.8" thickTop="1" thickBot="1" x14ac:dyDescent="0.35">
      <c r="A13" s="72"/>
      <c r="B13" s="73" t="s">
        <v>43</v>
      </c>
      <c r="C13" s="74"/>
      <c r="D13" s="76"/>
      <c r="E13" s="76"/>
      <c r="F13" s="75">
        <v>240032</v>
      </c>
      <c r="H13" s="100">
        <f>SUM(H9:H12)</f>
        <v>240032</v>
      </c>
    </row>
    <row r="14" spans="1:8" ht="25.2" thickTop="1" x14ac:dyDescent="0.3">
      <c r="D14" s="2"/>
      <c r="E14" s="2"/>
    </row>
    <row r="15" spans="1:8" x14ac:dyDescent="0.3">
      <c r="D15" s="2"/>
      <c r="E15" s="2"/>
    </row>
    <row r="16" spans="1:8" x14ac:dyDescent="0.3">
      <c r="D16" s="2"/>
      <c r="E16" s="2"/>
    </row>
    <row r="17" spans="2:6" s="3" customFormat="1" x14ac:dyDescent="0.3">
      <c r="B17" s="79"/>
      <c r="C17" s="4"/>
      <c r="D17" s="2"/>
      <c r="E17" s="2"/>
      <c r="F17" s="81"/>
    </row>
    <row r="18" spans="2:6" s="3" customFormat="1" x14ac:dyDescent="0.3">
      <c r="B18" s="47"/>
      <c r="C18" s="4"/>
      <c r="D18" s="84"/>
      <c r="E18" s="84"/>
      <c r="F18" s="81"/>
    </row>
    <row r="19" spans="2:6" s="3" customFormat="1" x14ac:dyDescent="0.6">
      <c r="B19" s="119" t="s">
        <v>44</v>
      </c>
      <c r="C19" s="119"/>
      <c r="D19" s="89"/>
      <c r="E19" s="87"/>
      <c r="F19" s="87"/>
    </row>
    <row r="20" spans="2:6" s="3" customFormat="1" x14ac:dyDescent="0.6">
      <c r="B20" s="119" t="s">
        <v>45</v>
      </c>
      <c r="C20" s="119"/>
      <c r="D20" s="89"/>
      <c r="E20" s="87"/>
      <c r="F20" s="87"/>
    </row>
    <row r="21" spans="2:6" s="3" customFormat="1" x14ac:dyDescent="0.3">
      <c r="B21" s="4"/>
      <c r="C21" s="4"/>
      <c r="D21" s="4"/>
      <c r="E21" s="4"/>
      <c r="F21" s="4"/>
    </row>
    <row r="33" s="4" customFormat="1" x14ac:dyDescent="0.3"/>
    <row r="34" s="4" customFormat="1" x14ac:dyDescent="0.3"/>
    <row r="35" s="4" customFormat="1" x14ac:dyDescent="0.3"/>
  </sheetData>
  <mergeCells count="12">
    <mergeCell ref="B19:C19"/>
    <mergeCell ref="B20:C20"/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F5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295E-2459-46E3-B2A3-F2BCCA4E2F23}">
  <sheetPr>
    <tabColor rgb="FFFFFF00"/>
  </sheetPr>
  <dimension ref="A1:G19"/>
  <sheetViews>
    <sheetView workbookViewId="0">
      <selection activeCell="J16" sqref="J16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4" width="11.44140625" style="4" customWidth="1"/>
    <col min="5" max="5" width="7.5546875" style="4" customWidth="1"/>
    <col min="6" max="6" width="7.5546875" style="8" customWidth="1"/>
    <col min="7" max="7" width="14.109375" style="82" customWidth="1"/>
    <col min="8" max="16384" width="10.33203125" style="4"/>
  </cols>
  <sheetData>
    <row r="1" spans="1:7" x14ac:dyDescent="0.3">
      <c r="A1" s="101" t="s">
        <v>51</v>
      </c>
      <c r="B1" s="101"/>
      <c r="C1" s="101"/>
      <c r="D1" s="101"/>
      <c r="E1" s="101"/>
      <c r="F1" s="101"/>
      <c r="G1" s="101"/>
    </row>
    <row r="2" spans="1:7" x14ac:dyDescent="0.3">
      <c r="A2" s="101" t="s">
        <v>1</v>
      </c>
      <c r="B2" s="101"/>
      <c r="C2" s="101"/>
      <c r="D2" s="101"/>
      <c r="E2" s="101"/>
      <c r="F2" s="101"/>
      <c r="G2" s="101"/>
    </row>
    <row r="3" spans="1:7" x14ac:dyDescent="0.3">
      <c r="A3" s="102" t="s">
        <v>78</v>
      </c>
      <c r="B3" s="102"/>
      <c r="C3" s="102"/>
      <c r="D3" s="102"/>
      <c r="E3" s="102"/>
      <c r="F3" s="102"/>
      <c r="G3" s="102"/>
    </row>
    <row r="4" spans="1:7" x14ac:dyDescent="0.3">
      <c r="A4" s="103" t="s">
        <v>3</v>
      </c>
      <c r="B4" s="106" t="s">
        <v>4</v>
      </c>
      <c r="C4" s="106" t="s">
        <v>5</v>
      </c>
      <c r="D4" s="93"/>
      <c r="E4" s="109" t="s">
        <v>9</v>
      </c>
      <c r="F4" s="110"/>
      <c r="G4" s="111"/>
    </row>
    <row r="5" spans="1:7" x14ac:dyDescent="0.3">
      <c r="A5" s="104"/>
      <c r="B5" s="107"/>
      <c r="C5" s="107"/>
      <c r="D5" s="90" t="s">
        <v>54</v>
      </c>
      <c r="E5" s="103" t="s">
        <v>10</v>
      </c>
      <c r="F5" s="112" t="s">
        <v>11</v>
      </c>
      <c r="G5" s="92"/>
    </row>
    <row r="6" spans="1:7" x14ac:dyDescent="0.3">
      <c r="A6" s="105"/>
      <c r="B6" s="108"/>
      <c r="C6" s="108"/>
      <c r="D6" s="91"/>
      <c r="E6" s="105"/>
      <c r="F6" s="113"/>
      <c r="G6" s="9" t="s">
        <v>24</v>
      </c>
    </row>
    <row r="7" spans="1:7" s="33" customFormat="1" x14ac:dyDescent="0.3">
      <c r="A7" s="18"/>
      <c r="B7" s="19" t="s">
        <v>55</v>
      </c>
      <c r="C7" s="20"/>
      <c r="D7" s="20"/>
      <c r="E7" s="26"/>
      <c r="F7" s="27"/>
      <c r="G7" s="29"/>
    </row>
    <row r="8" spans="1:7" x14ac:dyDescent="0.3">
      <c r="A8" s="35"/>
      <c r="B8" s="36"/>
      <c r="C8" s="37"/>
      <c r="D8" s="37"/>
      <c r="E8" s="36"/>
      <c r="F8" s="39"/>
      <c r="G8" s="44">
        <v>0</v>
      </c>
    </row>
    <row r="9" spans="1:7" s="33" customFormat="1" ht="25.2" thickBot="1" x14ac:dyDescent="0.35">
      <c r="A9" s="18"/>
      <c r="B9" s="49" t="s">
        <v>24</v>
      </c>
      <c r="C9" s="50"/>
      <c r="D9" s="50"/>
      <c r="E9" s="51"/>
      <c r="F9" s="51"/>
      <c r="G9" s="51">
        <v>0</v>
      </c>
    </row>
    <row r="10" spans="1:7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G1"/>
    <mergeCell ref="A2:G2"/>
    <mergeCell ref="A3:G3"/>
    <mergeCell ref="A4:A6"/>
    <mergeCell ref="B4:B6"/>
    <mergeCell ref="C4:C6"/>
    <mergeCell ref="E4:G4"/>
    <mergeCell ref="E5:E6"/>
    <mergeCell ref="F5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4F78-450C-4BB8-9BB0-78D85CFB86B8}">
  <sheetPr>
    <tabColor rgb="FFFFFF00"/>
  </sheetPr>
  <dimension ref="A1:J19"/>
  <sheetViews>
    <sheetView topLeftCell="A2" workbookViewId="0">
      <selection activeCell="F21" sqref="F21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11.44140625" style="4" customWidth="1"/>
    <col min="4" max="4" width="7.5546875" style="4" customWidth="1"/>
    <col min="5" max="5" width="7.5546875" style="8" customWidth="1"/>
    <col min="6" max="6" width="14.109375" style="82" customWidth="1"/>
    <col min="7" max="16384" width="10.33203125" style="4"/>
  </cols>
  <sheetData>
    <row r="1" spans="1:10" x14ac:dyDescent="0.3">
      <c r="A1" s="101" t="s">
        <v>51</v>
      </c>
      <c r="B1" s="101"/>
      <c r="C1" s="101"/>
      <c r="D1" s="101"/>
      <c r="E1" s="101"/>
      <c r="F1" s="101"/>
    </row>
    <row r="2" spans="1:10" x14ac:dyDescent="0.3">
      <c r="A2" s="101" t="s">
        <v>1</v>
      </c>
      <c r="B2" s="101"/>
      <c r="C2" s="101"/>
      <c r="D2" s="101"/>
      <c r="E2" s="101"/>
      <c r="F2" s="101"/>
    </row>
    <row r="3" spans="1:10" x14ac:dyDescent="0.3">
      <c r="A3" s="102" t="s">
        <v>78</v>
      </c>
      <c r="B3" s="102"/>
      <c r="C3" s="102"/>
      <c r="D3" s="102"/>
      <c r="E3" s="102"/>
      <c r="F3" s="102"/>
    </row>
    <row r="4" spans="1:10" x14ac:dyDescent="0.3">
      <c r="A4" s="103" t="s">
        <v>3</v>
      </c>
      <c r="B4" s="106" t="s">
        <v>4</v>
      </c>
      <c r="C4" s="106" t="s">
        <v>5</v>
      </c>
      <c r="D4" s="109" t="s">
        <v>9</v>
      </c>
      <c r="E4" s="110"/>
      <c r="F4" s="111"/>
    </row>
    <row r="5" spans="1:10" x14ac:dyDescent="0.3">
      <c r="A5" s="104"/>
      <c r="B5" s="107"/>
      <c r="C5" s="107"/>
      <c r="D5" s="103" t="s">
        <v>10</v>
      </c>
      <c r="E5" s="112" t="s">
        <v>11</v>
      </c>
      <c r="F5" s="92"/>
    </row>
    <row r="6" spans="1:10" x14ac:dyDescent="0.3">
      <c r="A6" s="105"/>
      <c r="B6" s="108"/>
      <c r="C6" s="108"/>
      <c r="D6" s="105"/>
      <c r="E6" s="113"/>
      <c r="F6" s="9" t="s">
        <v>24</v>
      </c>
    </row>
    <row r="7" spans="1:10" s="33" customFormat="1" x14ac:dyDescent="0.3">
      <c r="A7" s="18"/>
      <c r="B7" s="19" t="s">
        <v>55</v>
      </c>
      <c r="C7" s="20"/>
      <c r="D7" s="26"/>
      <c r="E7" s="27"/>
      <c r="F7" s="29"/>
    </row>
    <row r="8" spans="1:10" x14ac:dyDescent="0.3">
      <c r="A8" s="35"/>
      <c r="B8" s="36"/>
      <c r="C8" s="37"/>
      <c r="D8" s="36"/>
      <c r="E8" s="39"/>
      <c r="F8" s="44">
        <v>0</v>
      </c>
      <c r="J8" s="4" t="s">
        <v>74</v>
      </c>
    </row>
    <row r="9" spans="1:10" s="33" customFormat="1" ht="25.2" thickBot="1" x14ac:dyDescent="0.35">
      <c r="A9" s="18"/>
      <c r="B9" s="49" t="s">
        <v>24</v>
      </c>
      <c r="C9" s="50"/>
      <c r="D9" s="51"/>
      <c r="E9" s="51"/>
      <c r="F9" s="51">
        <v>0</v>
      </c>
    </row>
    <row r="10" spans="1:10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10BF-0F50-4139-9054-E4C465238BC1}">
  <sheetPr>
    <tabColor rgb="FF92D050"/>
  </sheetPr>
  <dimension ref="A1:AH35"/>
  <sheetViews>
    <sheetView zoomScale="90" zoomScaleNormal="90" workbookViewId="0">
      <selection activeCell="F15" sqref="F15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8.44140625" style="80" customWidth="1"/>
    <col min="5" max="5" width="6.44140625" style="83" customWidth="1"/>
    <col min="6" max="6" width="3.109375" style="83" customWidth="1"/>
    <col min="7" max="7" width="3.44140625" style="83" customWidth="1"/>
    <col min="8" max="8" width="7.6640625" style="83" customWidth="1"/>
    <col min="9" max="9" width="7" style="83" customWidth="1"/>
    <col min="10" max="10" width="6.88671875" style="84" customWidth="1"/>
    <col min="11" max="11" width="10.44140625" style="84" customWidth="1"/>
    <col min="12" max="12" width="11" style="84" customWidth="1"/>
    <col min="13" max="13" width="17.88671875" style="81" customWidth="1"/>
    <col min="14" max="14" width="3.5546875" style="4" customWidth="1"/>
    <col min="15" max="15" width="3.5546875" style="8" customWidth="1"/>
    <col min="16" max="16" width="3.6640625" style="8" customWidth="1"/>
    <col min="17" max="17" width="7.109375" style="8" customWidth="1"/>
    <col min="18" max="18" width="5.44140625" style="8" customWidth="1"/>
    <col min="19" max="19" width="14.109375" style="82" customWidth="1"/>
    <col min="20" max="20" width="4.109375" style="82" customWidth="1"/>
    <col min="21" max="21" width="6.6640625" style="82" customWidth="1"/>
    <col min="22" max="22" width="7.44140625" style="82" customWidth="1"/>
    <col min="23" max="23" width="18.88671875" style="82" customWidth="1"/>
    <col min="24" max="24" width="7.44140625" style="82" customWidth="1"/>
    <col min="25" max="27" width="9.88671875" style="82" customWidth="1"/>
    <col min="28" max="28" width="11.44140625" style="82" bestFit="1" customWidth="1"/>
    <col min="29" max="29" width="9.88671875" style="82" customWidth="1"/>
    <col min="30" max="30" width="10.33203125" style="2"/>
    <col min="31" max="31" width="10.44140625" style="3" bestFit="1" customWidth="1"/>
    <col min="32" max="32" width="10.33203125" style="4"/>
    <col min="33" max="33" width="11.6640625" style="4" bestFit="1" customWidth="1"/>
    <col min="34" max="16384" width="10.33203125" style="4"/>
  </cols>
  <sheetData>
    <row r="1" spans="1:33" x14ac:dyDescent="0.3">
      <c r="A1" s="101" t="s">
        <v>51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x14ac:dyDescent="0.3">
      <c r="A2" s="101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3" x14ac:dyDescent="0.3">
      <c r="A3" s="102" t="s">
        <v>75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33" x14ac:dyDescent="0.3">
      <c r="A4" s="103" t="s">
        <v>3</v>
      </c>
      <c r="B4" s="106" t="s">
        <v>4</v>
      </c>
      <c r="C4" s="106" t="s">
        <v>5</v>
      </c>
      <c r="D4" s="114" t="s">
        <v>6</v>
      </c>
      <c r="E4" s="117" t="s">
        <v>7</v>
      </c>
      <c r="F4" s="117"/>
      <c r="G4" s="117"/>
      <c r="H4" s="117"/>
      <c r="I4" s="117"/>
      <c r="J4" s="117"/>
      <c r="K4" s="118" t="s">
        <v>8</v>
      </c>
      <c r="L4" s="118"/>
      <c r="M4" s="118"/>
      <c r="N4" s="117" t="s">
        <v>9</v>
      </c>
      <c r="O4" s="117"/>
      <c r="P4" s="117"/>
      <c r="Q4" s="117"/>
      <c r="R4" s="117"/>
      <c r="S4" s="117"/>
      <c r="T4" s="7"/>
      <c r="U4" s="7"/>
      <c r="V4" s="7"/>
      <c r="W4" s="7"/>
      <c r="X4" s="7"/>
      <c r="Y4" s="8"/>
      <c r="Z4" s="8"/>
      <c r="AA4" s="8"/>
      <c r="AB4" s="8"/>
      <c r="AC4" s="8"/>
    </row>
    <row r="5" spans="1:33" x14ac:dyDescent="0.3">
      <c r="A5" s="104"/>
      <c r="B5" s="107"/>
      <c r="C5" s="107"/>
      <c r="D5" s="115"/>
      <c r="E5" s="121" t="s">
        <v>10</v>
      </c>
      <c r="F5" s="117" t="s">
        <v>11</v>
      </c>
      <c r="G5" s="7" t="s">
        <v>12</v>
      </c>
      <c r="H5" s="117" t="s">
        <v>13</v>
      </c>
      <c r="I5" s="117"/>
      <c r="J5" s="117"/>
      <c r="K5" s="122" t="s">
        <v>14</v>
      </c>
      <c r="L5" s="123" t="s">
        <v>15</v>
      </c>
      <c r="M5" s="118" t="s">
        <v>16</v>
      </c>
      <c r="N5" s="121" t="s">
        <v>10</v>
      </c>
      <c r="O5" s="117" t="s">
        <v>11</v>
      </c>
      <c r="P5" s="7" t="s">
        <v>12</v>
      </c>
      <c r="Q5" s="117" t="s">
        <v>13</v>
      </c>
      <c r="R5" s="117"/>
      <c r="S5" s="117"/>
      <c r="T5" s="10" t="s">
        <v>17</v>
      </c>
      <c r="U5" s="10" t="s">
        <v>18</v>
      </c>
      <c r="V5" s="10" t="s">
        <v>19</v>
      </c>
      <c r="W5" s="10" t="s">
        <v>20</v>
      </c>
      <c r="X5" s="10" t="s">
        <v>21</v>
      </c>
      <c r="Y5" s="8"/>
      <c r="Z5" s="8"/>
      <c r="AA5" s="8"/>
      <c r="AB5" s="8"/>
      <c r="AC5" s="8"/>
    </row>
    <row r="6" spans="1:33" ht="73.8" x14ac:dyDescent="0.3">
      <c r="A6" s="105"/>
      <c r="B6" s="108"/>
      <c r="C6" s="108"/>
      <c r="D6" s="116"/>
      <c r="E6" s="121"/>
      <c r="F6" s="117"/>
      <c r="G6" s="11" t="s">
        <v>22</v>
      </c>
      <c r="H6" s="6" t="s">
        <v>16</v>
      </c>
      <c r="I6" s="12" t="s">
        <v>23</v>
      </c>
      <c r="J6" s="9" t="s">
        <v>24</v>
      </c>
      <c r="K6" s="122"/>
      <c r="L6" s="123"/>
      <c r="M6" s="118"/>
      <c r="N6" s="121"/>
      <c r="O6" s="117"/>
      <c r="P6" s="11" t="s">
        <v>22</v>
      </c>
      <c r="Q6" s="6" t="s">
        <v>16</v>
      </c>
      <c r="R6" s="13" t="s">
        <v>23</v>
      </c>
      <c r="S6" s="9" t="s">
        <v>24</v>
      </c>
      <c r="T6" s="14" t="s">
        <v>25</v>
      </c>
      <c r="U6" s="14"/>
      <c r="V6" s="14"/>
      <c r="W6" s="14"/>
      <c r="X6" s="14"/>
      <c r="Y6" s="15" t="s">
        <v>26</v>
      </c>
      <c r="Z6" s="15" t="s">
        <v>27</v>
      </c>
      <c r="AA6" s="15"/>
      <c r="AB6" s="15"/>
      <c r="AC6" s="15" t="s">
        <v>28</v>
      </c>
      <c r="AD6" s="16"/>
      <c r="AF6" s="17" t="s">
        <v>29</v>
      </c>
    </row>
    <row r="7" spans="1:33" s="33" customFormat="1" x14ac:dyDescent="0.3">
      <c r="A7" s="18"/>
      <c r="B7" s="19" t="s">
        <v>30</v>
      </c>
      <c r="C7" s="20"/>
      <c r="D7" s="21"/>
      <c r="E7" s="21"/>
      <c r="F7" s="21"/>
      <c r="G7" s="22"/>
      <c r="H7" s="22"/>
      <c r="I7" s="22"/>
      <c r="J7" s="22"/>
      <c r="K7" s="23"/>
      <c r="L7" s="24"/>
      <c r="M7" s="25"/>
      <c r="N7" s="26"/>
      <c r="O7" s="27"/>
      <c r="P7" s="28"/>
      <c r="Q7" s="28"/>
      <c r="R7" s="28"/>
      <c r="S7" s="29"/>
      <c r="T7" s="30"/>
      <c r="U7" s="31"/>
      <c r="V7" s="31"/>
      <c r="W7" s="32"/>
      <c r="X7" s="32"/>
      <c r="Y7" s="32"/>
      <c r="AB7" s="34"/>
    </row>
    <row r="8" spans="1:33" x14ac:dyDescent="0.3">
      <c r="A8" s="35">
        <v>1</v>
      </c>
      <c r="B8" s="36" t="s">
        <v>31</v>
      </c>
      <c r="C8" s="37" t="s">
        <v>32</v>
      </c>
      <c r="D8" s="38">
        <v>228132</v>
      </c>
      <c r="E8" s="36"/>
      <c r="F8" s="39"/>
      <c r="G8" s="39"/>
      <c r="H8" s="39"/>
      <c r="I8" s="39"/>
      <c r="J8" s="40">
        <v>0</v>
      </c>
      <c r="K8" s="96">
        <v>46147</v>
      </c>
      <c r="L8" s="95" t="s">
        <v>76</v>
      </c>
      <c r="M8" s="94">
        <v>228132</v>
      </c>
      <c r="N8" s="36"/>
      <c r="O8" s="39"/>
      <c r="P8" s="39"/>
      <c r="Q8" s="39"/>
      <c r="R8" s="39"/>
      <c r="S8" s="44">
        <f>+D8-M8</f>
        <v>0</v>
      </c>
      <c r="T8" s="44" t="s">
        <v>34</v>
      </c>
      <c r="U8" s="44" t="s">
        <v>35</v>
      </c>
      <c r="V8" s="44" t="s">
        <v>36</v>
      </c>
      <c r="W8" s="44">
        <v>300000</v>
      </c>
      <c r="X8" s="44"/>
      <c r="Y8" s="44">
        <v>150000</v>
      </c>
      <c r="Z8" s="44"/>
      <c r="AA8" s="44"/>
      <c r="AB8" s="45" t="s">
        <v>37</v>
      </c>
      <c r="AC8" s="44" t="s">
        <v>38</v>
      </c>
      <c r="AD8" s="46"/>
      <c r="AE8" s="3">
        <f>+S8-AD8</f>
        <v>0</v>
      </c>
      <c r="AF8" s="47" t="s">
        <v>39</v>
      </c>
      <c r="AG8" s="48">
        <v>42983</v>
      </c>
    </row>
    <row r="9" spans="1:33" s="33" customFormat="1" ht="25.2" thickBot="1" x14ac:dyDescent="0.35">
      <c r="A9" s="18"/>
      <c r="B9" s="49" t="s">
        <v>24</v>
      </c>
      <c r="C9" s="50"/>
      <c r="D9" s="51">
        <f>SUM(D8:D8)</f>
        <v>228132</v>
      </c>
      <c r="E9" s="51"/>
      <c r="F9" s="51"/>
      <c r="G9" s="51"/>
      <c r="H9" s="51">
        <f>SUM(H8:H8)</f>
        <v>0</v>
      </c>
      <c r="I9" s="51">
        <f>SUM(I8:I8)</f>
        <v>0</v>
      </c>
      <c r="J9" s="51">
        <f>SUM(J8:J8)</f>
        <v>0</v>
      </c>
      <c r="K9" s="52"/>
      <c r="L9" s="51"/>
      <c r="M9" s="51">
        <f>SUM(M8:M8)</f>
        <v>228132</v>
      </c>
      <c r="N9" s="51"/>
      <c r="O9" s="51"/>
      <c r="P9" s="51"/>
      <c r="Q9" s="51">
        <f>SUM(Q8:Q8)</f>
        <v>0</v>
      </c>
      <c r="R9" s="51">
        <f>SUM(R8:R8)</f>
        <v>0</v>
      </c>
      <c r="S9" s="51">
        <f>SUM(S8:S8)</f>
        <v>0</v>
      </c>
      <c r="T9" s="30"/>
      <c r="U9" s="31"/>
      <c r="V9" s="31"/>
      <c r="W9" s="32"/>
      <c r="X9" s="32"/>
      <c r="Y9" s="32"/>
      <c r="AB9" s="34"/>
    </row>
    <row r="10" spans="1:33" s="33" customFormat="1" ht="25.2" thickTop="1" x14ac:dyDescent="0.3">
      <c r="A10" s="18"/>
      <c r="B10" s="53" t="s">
        <v>40</v>
      </c>
      <c r="C10" s="54"/>
      <c r="D10" s="55"/>
      <c r="E10" s="55"/>
      <c r="F10" s="55"/>
      <c r="G10" s="56"/>
      <c r="H10" s="56"/>
      <c r="I10" s="56"/>
      <c r="J10" s="56"/>
      <c r="K10" s="57"/>
      <c r="L10" s="58"/>
      <c r="M10" s="59"/>
      <c r="N10" s="60"/>
      <c r="O10" s="61"/>
      <c r="P10" s="62"/>
      <c r="Q10" s="62"/>
      <c r="R10" s="62"/>
      <c r="S10" s="63"/>
      <c r="T10" s="30"/>
      <c r="U10" s="31"/>
      <c r="V10" s="31"/>
      <c r="W10" s="32"/>
      <c r="X10" s="32"/>
      <c r="Y10" s="32"/>
      <c r="AB10" s="34"/>
    </row>
    <row r="11" spans="1:33" x14ac:dyDescent="0.3">
      <c r="A11" s="64">
        <v>1</v>
      </c>
      <c r="B11" s="36" t="s">
        <v>31</v>
      </c>
      <c r="C11" s="65"/>
      <c r="D11" s="66">
        <v>11900</v>
      </c>
      <c r="E11" s="4"/>
      <c r="F11" s="10"/>
      <c r="G11" s="10"/>
      <c r="H11" s="10"/>
      <c r="I11" s="10"/>
      <c r="J11" s="67">
        <v>0</v>
      </c>
      <c r="K11" s="96">
        <v>46147</v>
      </c>
      <c r="L11" s="95" t="s">
        <v>77</v>
      </c>
      <c r="M11" s="98">
        <v>11900</v>
      </c>
      <c r="O11" s="10"/>
      <c r="P11" s="10"/>
      <c r="Q11" s="10"/>
      <c r="R11" s="10"/>
      <c r="S11" s="44">
        <f>+D11-M11</f>
        <v>0</v>
      </c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1"/>
      <c r="AF11" s="47" t="s">
        <v>42</v>
      </c>
      <c r="AG11" s="48">
        <v>42983</v>
      </c>
    </row>
    <row r="12" spans="1:33" s="33" customFormat="1" ht="25.2" thickBot="1" x14ac:dyDescent="0.35">
      <c r="A12" s="18"/>
      <c r="B12" s="49" t="s">
        <v>24</v>
      </c>
      <c r="C12" s="50"/>
      <c r="D12" s="51">
        <f>SUM(D11)</f>
        <v>11900</v>
      </c>
      <c r="E12" s="51"/>
      <c r="F12" s="51"/>
      <c r="G12" s="51"/>
      <c r="H12" s="51">
        <f t="shared" ref="H12:J12" si="0">SUM(H11)</f>
        <v>0</v>
      </c>
      <c r="I12" s="51">
        <f t="shared" si="0"/>
        <v>0</v>
      </c>
      <c r="J12" s="51">
        <f t="shared" si="0"/>
        <v>0</v>
      </c>
      <c r="K12" s="52"/>
      <c r="L12" s="51"/>
      <c r="M12" s="51">
        <f t="shared" ref="M12" si="1">SUM(M11)</f>
        <v>11900</v>
      </c>
      <c r="N12" s="51"/>
      <c r="O12" s="51"/>
      <c r="P12" s="51"/>
      <c r="Q12" s="51">
        <f t="shared" ref="Q12:S12" si="2">SUM(Q11)</f>
        <v>0</v>
      </c>
      <c r="R12" s="51">
        <f t="shared" si="2"/>
        <v>0</v>
      </c>
      <c r="S12" s="51">
        <f t="shared" si="2"/>
        <v>0</v>
      </c>
      <c r="T12" s="30"/>
      <c r="U12" s="31"/>
      <c r="V12" s="31"/>
      <c r="W12" s="32"/>
      <c r="X12" s="32"/>
      <c r="Y12" s="32"/>
      <c r="AB12" s="34"/>
    </row>
    <row r="13" spans="1:33" s="33" customFormat="1" ht="25.8" thickTop="1" thickBot="1" x14ac:dyDescent="0.35">
      <c r="A13" s="72"/>
      <c r="B13" s="73" t="s">
        <v>43</v>
      </c>
      <c r="C13" s="74"/>
      <c r="D13" s="75">
        <f>D9+D12</f>
        <v>240032</v>
      </c>
      <c r="E13" s="76"/>
      <c r="F13" s="76"/>
      <c r="G13" s="76"/>
      <c r="H13" s="76">
        <f>H9+H12</f>
        <v>0</v>
      </c>
      <c r="I13" s="76">
        <f t="shared" ref="I13:J13" si="3">I9+I12</f>
        <v>0</v>
      </c>
      <c r="J13" s="76">
        <f t="shared" si="3"/>
        <v>0</v>
      </c>
      <c r="K13" s="76"/>
      <c r="L13" s="76"/>
      <c r="M13" s="75">
        <f>M9+M12</f>
        <v>240032</v>
      </c>
      <c r="N13" s="76"/>
      <c r="O13" s="76"/>
      <c r="P13" s="76"/>
      <c r="Q13" s="76">
        <f>Q9+Q12</f>
        <v>0</v>
      </c>
      <c r="R13" s="76">
        <f t="shared" ref="R13:S13" si="4">R9+R12</f>
        <v>0</v>
      </c>
      <c r="S13" s="76">
        <f t="shared" si="4"/>
        <v>0</v>
      </c>
      <c r="T13" s="77"/>
      <c r="U13" s="78"/>
      <c r="V13" s="78"/>
      <c r="W13" s="76"/>
      <c r="X13" s="76"/>
      <c r="Y13" s="76"/>
    </row>
    <row r="14" spans="1:33" ht="25.2" thickTop="1" x14ac:dyDescent="0.3">
      <c r="E14" s="4"/>
      <c r="F14" s="8"/>
      <c r="G14" s="8"/>
      <c r="H14" s="8"/>
      <c r="I14" s="8"/>
      <c r="J14" s="2"/>
      <c r="K14" s="2"/>
      <c r="L14" s="2"/>
    </row>
    <row r="15" spans="1:33" x14ac:dyDescent="0.3">
      <c r="E15" s="4"/>
      <c r="F15" s="8"/>
      <c r="G15" s="8"/>
      <c r="H15" s="8"/>
      <c r="I15" s="8"/>
      <c r="J15" s="2"/>
      <c r="K15" s="2"/>
      <c r="L15" s="2"/>
    </row>
    <row r="16" spans="1:33" x14ac:dyDescent="0.3">
      <c r="E16" s="4"/>
      <c r="F16" s="8"/>
      <c r="G16" s="8"/>
      <c r="H16" s="8"/>
      <c r="I16" s="8"/>
      <c r="J16" s="2"/>
      <c r="K16" s="2"/>
      <c r="L16" s="2"/>
    </row>
    <row r="17" spans="2:30" s="3" customFormat="1" x14ac:dyDescent="0.3">
      <c r="B17" s="79"/>
      <c r="C17" s="4"/>
      <c r="D17" s="80"/>
      <c r="E17" s="4"/>
      <c r="F17" s="8"/>
      <c r="G17" s="8"/>
      <c r="H17" s="8"/>
      <c r="I17" s="8"/>
      <c r="J17" s="2"/>
      <c r="K17" s="2"/>
      <c r="L17" s="2"/>
      <c r="M17" s="81"/>
      <c r="N17" s="4"/>
      <c r="O17" s="8"/>
      <c r="P17" s="8"/>
      <c r="Q17" s="8"/>
      <c r="R17" s="8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2"/>
    </row>
    <row r="18" spans="2:30" s="3" customFormat="1" x14ac:dyDescent="0.3">
      <c r="B18" s="47"/>
      <c r="C18" s="4"/>
      <c r="D18" s="80"/>
      <c r="E18" s="83"/>
      <c r="F18" s="83"/>
      <c r="G18" s="83"/>
      <c r="H18" s="83"/>
      <c r="I18" s="83"/>
      <c r="J18" s="84"/>
      <c r="K18" s="84"/>
      <c r="L18" s="84"/>
      <c r="M18" s="81"/>
      <c r="N18" s="4"/>
      <c r="O18" s="8"/>
      <c r="P18" s="8"/>
      <c r="Q18" s="8"/>
      <c r="R18" s="8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2"/>
    </row>
    <row r="19" spans="2:30" s="3" customFormat="1" x14ac:dyDescent="0.7">
      <c r="B19" s="119" t="s">
        <v>44</v>
      </c>
      <c r="C19" s="119"/>
      <c r="D19" s="119"/>
      <c r="E19" s="85"/>
      <c r="F19" s="86"/>
      <c r="G19" s="119" t="s">
        <v>44</v>
      </c>
      <c r="H19" s="119"/>
      <c r="I19" s="119"/>
      <c r="J19" s="119"/>
      <c r="K19" s="119"/>
      <c r="L19" s="87"/>
      <c r="M19" s="87"/>
      <c r="N19" s="119" t="s">
        <v>44</v>
      </c>
      <c r="O19" s="119"/>
      <c r="P19" s="119"/>
      <c r="Q19" s="119"/>
      <c r="R19" s="119"/>
      <c r="S19" s="82"/>
      <c r="T19" s="88"/>
      <c r="U19" s="88"/>
      <c r="V19" s="88"/>
      <c r="W19" s="82"/>
      <c r="X19" s="82"/>
      <c r="Y19" s="82"/>
      <c r="Z19" s="82"/>
      <c r="AA19" s="82"/>
      <c r="AB19" s="82"/>
      <c r="AC19" s="82"/>
      <c r="AD19" s="2"/>
    </row>
    <row r="20" spans="2:30" s="3" customFormat="1" x14ac:dyDescent="0.7">
      <c r="B20" s="119" t="s">
        <v>45</v>
      </c>
      <c r="C20" s="119"/>
      <c r="D20" s="119"/>
      <c r="E20" s="87"/>
      <c r="F20" s="87"/>
      <c r="G20" s="119" t="s">
        <v>46</v>
      </c>
      <c r="H20" s="119"/>
      <c r="I20" s="119"/>
      <c r="J20" s="119"/>
      <c r="K20" s="119"/>
      <c r="L20" s="87"/>
      <c r="M20" s="87"/>
      <c r="N20" s="119" t="s">
        <v>47</v>
      </c>
      <c r="O20" s="119"/>
      <c r="P20" s="119"/>
      <c r="Q20" s="119"/>
      <c r="R20" s="119"/>
      <c r="S20" s="4"/>
      <c r="T20" s="120"/>
      <c r="U20" s="120"/>
      <c r="V20" s="120"/>
      <c r="W20" s="120"/>
      <c r="X20" s="4"/>
      <c r="Y20" s="4"/>
      <c r="Z20" s="4"/>
      <c r="AA20" s="4"/>
      <c r="AB20" s="4"/>
      <c r="AC20" s="4"/>
      <c r="AD20" s="4"/>
    </row>
    <row r="21" spans="2:30" s="3" customFormat="1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33" spans="2:34" x14ac:dyDescent="0.3">
      <c r="B33" s="4"/>
      <c r="D33" s="4"/>
      <c r="E33" s="4"/>
      <c r="F33" s="4"/>
      <c r="G33" s="4"/>
      <c r="H33" s="4"/>
      <c r="I33" s="4"/>
      <c r="J33" s="4"/>
      <c r="K33" s="4"/>
      <c r="L33" s="4"/>
      <c r="M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H33" s="79" t="s">
        <v>21</v>
      </c>
    </row>
    <row r="34" spans="2:34" x14ac:dyDescent="0.3">
      <c r="B34" s="4"/>
      <c r="D34" s="4"/>
      <c r="E34" s="4"/>
      <c r="F34" s="4"/>
      <c r="G34" s="4"/>
      <c r="H34" s="4"/>
      <c r="I34" s="4"/>
      <c r="J34" s="4"/>
      <c r="K34" s="4"/>
      <c r="L34" s="4"/>
      <c r="M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H34" s="79" t="s">
        <v>48</v>
      </c>
    </row>
    <row r="35" spans="2:34" x14ac:dyDescent="0.3">
      <c r="B35" s="4"/>
      <c r="D35" s="4"/>
      <c r="E35" s="4"/>
      <c r="F35" s="4"/>
      <c r="G35" s="4"/>
      <c r="H35" s="4"/>
      <c r="I35" s="4"/>
      <c r="J35" s="4"/>
      <c r="K35" s="4"/>
      <c r="L35" s="4"/>
      <c r="M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H35" s="79" t="s">
        <v>49</v>
      </c>
    </row>
  </sheetData>
  <mergeCells count="26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B20:D20"/>
    <mergeCell ref="G20:K20"/>
    <mergeCell ref="N20:R20"/>
    <mergeCell ref="T20:W20"/>
    <mergeCell ref="N5:N6"/>
    <mergeCell ref="O5:O6"/>
    <mergeCell ref="Q5:S5"/>
    <mergeCell ref="B19:D19"/>
    <mergeCell ref="G19:K19"/>
    <mergeCell ref="N19:R19"/>
    <mergeCell ref="E5:E6"/>
    <mergeCell ref="F5:F6"/>
    <mergeCell ref="H5:J5"/>
    <mergeCell ref="K5:K6"/>
    <mergeCell ref="L5:L6"/>
    <mergeCell ref="M5:M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CE37-B8F4-48C4-9FC5-25E1BE509C93}">
  <sheetPr>
    <tabColor rgb="FF92D050"/>
  </sheetPr>
  <dimension ref="A1:H35"/>
  <sheetViews>
    <sheetView zoomScale="90" zoomScaleNormal="90" workbookViewId="0">
      <selection activeCell="F19" sqref="F19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0.44140625" style="84" customWidth="1"/>
    <col min="5" max="5" width="11" style="84" customWidth="1"/>
    <col min="6" max="6" width="17.88671875" style="81" customWidth="1"/>
    <col min="7" max="7" width="10.33203125" style="4"/>
    <col min="8" max="8" width="12.44140625" style="4" bestFit="1" customWidth="1"/>
    <col min="9" max="16384" width="10.33203125" style="4"/>
  </cols>
  <sheetData>
    <row r="1" spans="1:8" x14ac:dyDescent="0.3">
      <c r="A1" s="101" t="s">
        <v>51</v>
      </c>
      <c r="B1" s="101"/>
      <c r="C1" s="101"/>
      <c r="D1" s="101"/>
      <c r="E1" s="101"/>
      <c r="F1" s="101"/>
    </row>
    <row r="2" spans="1:8" x14ac:dyDescent="0.3">
      <c r="A2" s="101" t="s">
        <v>1</v>
      </c>
      <c r="B2" s="101"/>
      <c r="C2" s="101"/>
      <c r="D2" s="101"/>
      <c r="E2" s="101"/>
      <c r="F2" s="101"/>
    </row>
    <row r="3" spans="1:8" x14ac:dyDescent="0.3">
      <c r="A3" s="102" t="s">
        <v>75</v>
      </c>
      <c r="B3" s="102"/>
      <c r="C3" s="102"/>
      <c r="D3" s="102"/>
      <c r="E3" s="102"/>
      <c r="F3" s="102"/>
    </row>
    <row r="4" spans="1:8" x14ac:dyDescent="0.3">
      <c r="A4" s="103" t="s">
        <v>3</v>
      </c>
      <c r="B4" s="106" t="s">
        <v>4</v>
      </c>
      <c r="C4" s="106" t="s">
        <v>5</v>
      </c>
      <c r="D4" s="118" t="s">
        <v>8</v>
      </c>
      <c r="E4" s="118"/>
      <c r="F4" s="118"/>
    </row>
    <row r="5" spans="1:8" x14ac:dyDescent="0.3">
      <c r="A5" s="104"/>
      <c r="B5" s="107"/>
      <c r="C5" s="107"/>
      <c r="D5" s="122" t="s">
        <v>14</v>
      </c>
      <c r="E5" s="123" t="s">
        <v>15</v>
      </c>
      <c r="F5" s="118" t="s">
        <v>16</v>
      </c>
    </row>
    <row r="6" spans="1:8" x14ac:dyDescent="0.3">
      <c r="A6" s="105"/>
      <c r="B6" s="108"/>
      <c r="C6" s="108"/>
      <c r="D6" s="122"/>
      <c r="E6" s="123"/>
      <c r="F6" s="118"/>
    </row>
    <row r="7" spans="1:8" s="33" customFormat="1" x14ac:dyDescent="0.3">
      <c r="A7" s="18"/>
      <c r="B7" s="19" t="s">
        <v>30</v>
      </c>
      <c r="C7" s="20"/>
      <c r="D7" s="23"/>
      <c r="E7" s="24"/>
      <c r="F7" s="25"/>
    </row>
    <row r="8" spans="1:8" x14ac:dyDescent="0.3">
      <c r="A8" s="35">
        <v>1</v>
      </c>
      <c r="B8" s="36" t="s">
        <v>31</v>
      </c>
      <c r="C8" s="37" t="s">
        <v>32</v>
      </c>
      <c r="D8" s="96">
        <v>46147</v>
      </c>
      <c r="E8" s="95" t="s">
        <v>76</v>
      </c>
      <c r="F8" s="94">
        <v>228132</v>
      </c>
    </row>
    <row r="9" spans="1:8" s="33" customFormat="1" ht="25.2" thickBot="1" x14ac:dyDescent="0.35">
      <c r="A9" s="18"/>
      <c r="B9" s="49" t="s">
        <v>24</v>
      </c>
      <c r="C9" s="50"/>
      <c r="D9" s="52"/>
      <c r="E9" s="51"/>
      <c r="F9" s="51">
        <v>228132</v>
      </c>
      <c r="H9" s="99">
        <f>SUM(F8)</f>
        <v>228132</v>
      </c>
    </row>
    <row r="10" spans="1:8" s="33" customFormat="1" ht="25.2" thickTop="1" x14ac:dyDescent="0.3">
      <c r="A10" s="18"/>
      <c r="B10" s="53" t="s">
        <v>40</v>
      </c>
      <c r="C10" s="54"/>
      <c r="D10" s="57"/>
      <c r="E10" s="58"/>
      <c r="F10" s="59"/>
    </row>
    <row r="11" spans="1:8" x14ac:dyDescent="0.3">
      <c r="A11" s="64">
        <v>1</v>
      </c>
      <c r="B11" s="36" t="s">
        <v>31</v>
      </c>
      <c r="C11" s="65"/>
      <c r="D11" s="96">
        <v>46147</v>
      </c>
      <c r="E11" s="95" t="s">
        <v>77</v>
      </c>
      <c r="F11" s="98">
        <v>11900</v>
      </c>
    </row>
    <row r="12" spans="1:8" s="33" customFormat="1" ht="25.2" thickBot="1" x14ac:dyDescent="0.35">
      <c r="A12" s="18"/>
      <c r="B12" s="49" t="s">
        <v>24</v>
      </c>
      <c r="C12" s="50"/>
      <c r="D12" s="52"/>
      <c r="E12" s="51"/>
      <c r="F12" s="51">
        <v>11900</v>
      </c>
      <c r="H12" s="99">
        <f>SUM(F11)</f>
        <v>11900</v>
      </c>
    </row>
    <row r="13" spans="1:8" s="33" customFormat="1" ht="25.8" thickTop="1" thickBot="1" x14ac:dyDescent="0.35">
      <c r="A13" s="72"/>
      <c r="B13" s="73" t="s">
        <v>43</v>
      </c>
      <c r="C13" s="74"/>
      <c r="D13" s="76"/>
      <c r="E13" s="76"/>
      <c r="F13" s="75">
        <v>240032</v>
      </c>
      <c r="H13" s="100">
        <f>SUM(H9:H12)</f>
        <v>240032</v>
      </c>
    </row>
    <row r="14" spans="1:8" ht="25.2" thickTop="1" x14ac:dyDescent="0.3">
      <c r="D14" s="2"/>
      <c r="E14" s="2"/>
    </row>
    <row r="15" spans="1:8" x14ac:dyDescent="0.3">
      <c r="D15" s="2"/>
      <c r="E15" s="2"/>
    </row>
    <row r="16" spans="1:8" x14ac:dyDescent="0.3">
      <c r="D16" s="2"/>
      <c r="E16" s="2"/>
    </row>
    <row r="17" spans="2:6" s="3" customFormat="1" x14ac:dyDescent="0.3">
      <c r="B17" s="79"/>
      <c r="C17" s="4"/>
      <c r="D17" s="2"/>
      <c r="E17" s="2"/>
      <c r="F17" s="81"/>
    </row>
    <row r="18" spans="2:6" s="3" customFormat="1" x14ac:dyDescent="0.3">
      <c r="B18" s="47"/>
      <c r="C18" s="4"/>
      <c r="D18" s="84"/>
      <c r="E18" s="84"/>
      <c r="F18" s="81"/>
    </row>
    <row r="19" spans="2:6" s="3" customFormat="1" x14ac:dyDescent="0.6">
      <c r="B19" s="119" t="s">
        <v>44</v>
      </c>
      <c r="C19" s="119"/>
      <c r="D19" s="89"/>
      <c r="E19" s="87"/>
      <c r="F19" s="87"/>
    </row>
    <row r="20" spans="2:6" s="3" customFormat="1" x14ac:dyDescent="0.6">
      <c r="B20" s="119" t="s">
        <v>45</v>
      </c>
      <c r="C20" s="119"/>
      <c r="D20" s="89"/>
      <c r="E20" s="87"/>
      <c r="F20" s="87"/>
    </row>
    <row r="21" spans="2:6" s="3" customFormat="1" x14ac:dyDescent="0.3">
      <c r="B21" s="4"/>
      <c r="C21" s="4"/>
      <c r="D21" s="4"/>
      <c r="E21" s="4"/>
      <c r="F21" s="4"/>
    </row>
    <row r="33" s="4" customFormat="1" x14ac:dyDescent="0.3"/>
    <row r="34" s="4" customFormat="1" x14ac:dyDescent="0.3"/>
    <row r="35" s="4" customFormat="1" x14ac:dyDescent="0.3"/>
  </sheetData>
  <mergeCells count="12">
    <mergeCell ref="A1:F1"/>
    <mergeCell ref="A2:F2"/>
    <mergeCell ref="A3:F3"/>
    <mergeCell ref="A4:A6"/>
    <mergeCell ref="B4:B6"/>
    <mergeCell ref="C4:C6"/>
    <mergeCell ref="D4:F4"/>
    <mergeCell ref="B20:C20"/>
    <mergeCell ref="B19:C19"/>
    <mergeCell ref="D5:D6"/>
    <mergeCell ref="E5:E6"/>
    <mergeCell ref="F5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28B1-6407-4BD4-9759-69626EE95892}">
  <sheetPr>
    <tabColor rgb="FF92D050"/>
  </sheetPr>
  <dimension ref="A1:G19"/>
  <sheetViews>
    <sheetView workbookViewId="0">
      <selection activeCell="G20" sqref="G20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4" width="11.44140625" style="4" customWidth="1"/>
    <col min="5" max="5" width="7.5546875" style="4" customWidth="1"/>
    <col min="6" max="6" width="7.5546875" style="8" customWidth="1"/>
    <col min="7" max="7" width="14.109375" style="82" customWidth="1"/>
    <col min="8" max="16384" width="10.33203125" style="4"/>
  </cols>
  <sheetData>
    <row r="1" spans="1:7" x14ac:dyDescent="0.3">
      <c r="A1" s="101" t="s">
        <v>51</v>
      </c>
      <c r="B1" s="101"/>
      <c r="C1" s="101"/>
      <c r="D1" s="101"/>
      <c r="E1" s="101"/>
      <c r="F1" s="101"/>
      <c r="G1" s="101"/>
    </row>
    <row r="2" spans="1:7" x14ac:dyDescent="0.3">
      <c r="A2" s="101" t="s">
        <v>1</v>
      </c>
      <c r="B2" s="101"/>
      <c r="C2" s="101"/>
      <c r="D2" s="101"/>
      <c r="E2" s="101"/>
      <c r="F2" s="101"/>
      <c r="G2" s="101"/>
    </row>
    <row r="3" spans="1:7" x14ac:dyDescent="0.3">
      <c r="A3" s="102" t="s">
        <v>75</v>
      </c>
      <c r="B3" s="102"/>
      <c r="C3" s="102"/>
      <c r="D3" s="102"/>
      <c r="E3" s="102"/>
      <c r="F3" s="102"/>
      <c r="G3" s="102"/>
    </row>
    <row r="4" spans="1:7" x14ac:dyDescent="0.3">
      <c r="A4" s="103" t="s">
        <v>3</v>
      </c>
      <c r="B4" s="106" t="s">
        <v>4</v>
      </c>
      <c r="C4" s="106" t="s">
        <v>5</v>
      </c>
      <c r="D4" s="93"/>
      <c r="E4" s="109" t="s">
        <v>9</v>
      </c>
      <c r="F4" s="110"/>
      <c r="G4" s="111"/>
    </row>
    <row r="5" spans="1:7" x14ac:dyDescent="0.3">
      <c r="A5" s="104"/>
      <c r="B5" s="107"/>
      <c r="C5" s="107"/>
      <c r="D5" s="90" t="s">
        <v>54</v>
      </c>
      <c r="E5" s="103" t="s">
        <v>10</v>
      </c>
      <c r="F5" s="112" t="s">
        <v>11</v>
      </c>
      <c r="G5" s="92"/>
    </row>
    <row r="6" spans="1:7" x14ac:dyDescent="0.3">
      <c r="A6" s="105"/>
      <c r="B6" s="108"/>
      <c r="C6" s="108"/>
      <c r="D6" s="91"/>
      <c r="E6" s="105"/>
      <c r="F6" s="113"/>
      <c r="G6" s="9" t="s">
        <v>24</v>
      </c>
    </row>
    <row r="7" spans="1:7" s="33" customFormat="1" x14ac:dyDescent="0.3">
      <c r="A7" s="18"/>
      <c r="B7" s="19" t="s">
        <v>55</v>
      </c>
      <c r="C7" s="20"/>
      <c r="D7" s="20"/>
      <c r="E7" s="26"/>
      <c r="F7" s="27"/>
      <c r="G7" s="29"/>
    </row>
    <row r="8" spans="1:7" x14ac:dyDescent="0.3">
      <c r="A8" s="35"/>
      <c r="B8" s="36"/>
      <c r="C8" s="37"/>
      <c r="D8" s="37"/>
      <c r="E8" s="36"/>
      <c r="F8" s="39"/>
      <c r="G8" s="44">
        <v>0</v>
      </c>
    </row>
    <row r="9" spans="1:7" s="33" customFormat="1" ht="25.2" thickBot="1" x14ac:dyDescent="0.35">
      <c r="A9" s="18"/>
      <c r="B9" s="49" t="s">
        <v>24</v>
      </c>
      <c r="C9" s="50"/>
      <c r="D9" s="50"/>
      <c r="E9" s="51"/>
      <c r="F9" s="51"/>
      <c r="G9" s="51">
        <v>0</v>
      </c>
    </row>
    <row r="10" spans="1:7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G1"/>
    <mergeCell ref="A2:G2"/>
    <mergeCell ref="A3:G3"/>
    <mergeCell ref="A4:A6"/>
    <mergeCell ref="B4:B6"/>
    <mergeCell ref="C4:C6"/>
    <mergeCell ref="E4:G4"/>
    <mergeCell ref="E5:E6"/>
    <mergeCell ref="F5:F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1D0C-CAE0-41C6-9872-158818720E62}">
  <sheetPr>
    <tabColor rgb="FF92D050"/>
  </sheetPr>
  <dimension ref="A1:J19"/>
  <sheetViews>
    <sheetView topLeftCell="A2" workbookViewId="0">
      <selection activeCell="L19" sqref="L19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11.44140625" style="4" customWidth="1"/>
    <col min="4" max="4" width="7.5546875" style="4" customWidth="1"/>
    <col min="5" max="5" width="7.5546875" style="8" customWidth="1"/>
    <col min="6" max="6" width="14.109375" style="82" customWidth="1"/>
    <col min="7" max="16384" width="10.33203125" style="4"/>
  </cols>
  <sheetData>
    <row r="1" spans="1:10" x14ac:dyDescent="0.3">
      <c r="A1" s="101" t="s">
        <v>51</v>
      </c>
      <c r="B1" s="101"/>
      <c r="C1" s="101"/>
      <c r="D1" s="101"/>
      <c r="E1" s="101"/>
      <c r="F1" s="101"/>
    </row>
    <row r="2" spans="1:10" x14ac:dyDescent="0.3">
      <c r="A2" s="101" t="s">
        <v>1</v>
      </c>
      <c r="B2" s="101"/>
      <c r="C2" s="101"/>
      <c r="D2" s="101"/>
      <c r="E2" s="101"/>
      <c r="F2" s="101"/>
    </row>
    <row r="3" spans="1:10" x14ac:dyDescent="0.3">
      <c r="A3" s="102" t="s">
        <v>75</v>
      </c>
      <c r="B3" s="102"/>
      <c r="C3" s="102"/>
      <c r="D3" s="102"/>
      <c r="E3" s="102"/>
      <c r="F3" s="102"/>
    </row>
    <row r="4" spans="1:10" x14ac:dyDescent="0.3">
      <c r="A4" s="103" t="s">
        <v>3</v>
      </c>
      <c r="B4" s="106" t="s">
        <v>4</v>
      </c>
      <c r="C4" s="106" t="s">
        <v>5</v>
      </c>
      <c r="D4" s="109" t="s">
        <v>9</v>
      </c>
      <c r="E4" s="110"/>
      <c r="F4" s="111"/>
    </row>
    <row r="5" spans="1:10" x14ac:dyDescent="0.3">
      <c r="A5" s="104"/>
      <c r="B5" s="107"/>
      <c r="C5" s="107"/>
      <c r="D5" s="103" t="s">
        <v>10</v>
      </c>
      <c r="E5" s="112" t="s">
        <v>11</v>
      </c>
      <c r="F5" s="92"/>
    </row>
    <row r="6" spans="1:10" x14ac:dyDescent="0.3">
      <c r="A6" s="105"/>
      <c r="B6" s="108"/>
      <c r="C6" s="108"/>
      <c r="D6" s="105"/>
      <c r="E6" s="113"/>
      <c r="F6" s="9" t="s">
        <v>24</v>
      </c>
    </row>
    <row r="7" spans="1:10" s="33" customFormat="1" x14ac:dyDescent="0.3">
      <c r="A7" s="18"/>
      <c r="B7" s="19" t="s">
        <v>55</v>
      </c>
      <c r="C7" s="20"/>
      <c r="D7" s="26"/>
      <c r="E7" s="27"/>
      <c r="F7" s="29"/>
    </row>
    <row r="8" spans="1:10" x14ac:dyDescent="0.3">
      <c r="A8" s="35"/>
      <c r="B8" s="36"/>
      <c r="C8" s="37"/>
      <c r="D8" s="36"/>
      <c r="E8" s="39"/>
      <c r="F8" s="44">
        <v>0</v>
      </c>
      <c r="J8" s="4" t="s">
        <v>74</v>
      </c>
    </row>
    <row r="9" spans="1:10" s="33" customFormat="1" ht="25.2" thickBot="1" x14ac:dyDescent="0.35">
      <c r="A9" s="18"/>
      <c r="B9" s="49" t="s">
        <v>24</v>
      </c>
      <c r="C9" s="50"/>
      <c r="D9" s="51"/>
      <c r="E9" s="51"/>
      <c r="F9" s="51">
        <v>0</v>
      </c>
    </row>
    <row r="10" spans="1:10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CA66-FC62-41E2-912C-904BE6E78CB2}">
  <sheetPr>
    <tabColor rgb="FFFFC000"/>
  </sheetPr>
  <dimension ref="A1:AH35"/>
  <sheetViews>
    <sheetView zoomScale="90" zoomScaleNormal="90" workbookViewId="0">
      <selection activeCell="M18" sqref="M18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8.44140625" style="80" customWidth="1"/>
    <col min="5" max="5" width="6.44140625" style="83" customWidth="1"/>
    <col min="6" max="6" width="3.109375" style="83" customWidth="1"/>
    <col min="7" max="7" width="3.44140625" style="83" customWidth="1"/>
    <col min="8" max="8" width="7.6640625" style="83" customWidth="1"/>
    <col min="9" max="9" width="7" style="83" customWidth="1"/>
    <col min="10" max="10" width="6.88671875" style="84" customWidth="1"/>
    <col min="11" max="11" width="10.44140625" style="84" customWidth="1"/>
    <col min="12" max="12" width="11" style="84" customWidth="1"/>
    <col min="13" max="13" width="17.88671875" style="81" customWidth="1"/>
    <col min="14" max="14" width="3.5546875" style="4" customWidth="1"/>
    <col min="15" max="15" width="3.5546875" style="8" customWidth="1"/>
    <col min="16" max="16" width="3.6640625" style="8" customWidth="1"/>
    <col min="17" max="17" width="7.109375" style="8" customWidth="1"/>
    <col min="18" max="18" width="5.44140625" style="8" customWidth="1"/>
    <col min="19" max="19" width="14.109375" style="82" customWidth="1"/>
    <col min="20" max="20" width="4.109375" style="82" customWidth="1"/>
    <col min="21" max="21" width="6.6640625" style="82" customWidth="1"/>
    <col min="22" max="22" width="7.44140625" style="82" customWidth="1"/>
    <col min="23" max="23" width="18.88671875" style="82" customWidth="1"/>
    <col min="24" max="24" width="7.44140625" style="82" customWidth="1"/>
    <col min="25" max="27" width="9.88671875" style="82" customWidth="1"/>
    <col min="28" max="28" width="11.44140625" style="82" bestFit="1" customWidth="1"/>
    <col min="29" max="29" width="9.88671875" style="82" customWidth="1"/>
    <col min="30" max="30" width="10.33203125" style="2"/>
    <col min="31" max="31" width="10.44140625" style="3" bestFit="1" customWidth="1"/>
    <col min="32" max="32" width="10.33203125" style="4"/>
    <col min="33" max="33" width="11.6640625" style="4" bestFit="1" customWidth="1"/>
    <col min="34" max="16384" width="10.33203125" style="4"/>
  </cols>
  <sheetData>
    <row r="1" spans="1:33" x14ac:dyDescent="0.3">
      <c r="A1" s="101" t="s">
        <v>51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x14ac:dyDescent="0.3">
      <c r="A2" s="101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3" x14ac:dyDescent="0.3">
      <c r="A3" s="102" t="s">
        <v>71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33" x14ac:dyDescent="0.3">
      <c r="A4" s="103" t="s">
        <v>3</v>
      </c>
      <c r="B4" s="106" t="s">
        <v>4</v>
      </c>
      <c r="C4" s="106" t="s">
        <v>5</v>
      </c>
      <c r="D4" s="114" t="s">
        <v>6</v>
      </c>
      <c r="E4" s="117" t="s">
        <v>7</v>
      </c>
      <c r="F4" s="117"/>
      <c r="G4" s="117"/>
      <c r="H4" s="117"/>
      <c r="I4" s="117"/>
      <c r="J4" s="117"/>
      <c r="K4" s="118" t="s">
        <v>8</v>
      </c>
      <c r="L4" s="118"/>
      <c r="M4" s="118"/>
      <c r="N4" s="117" t="s">
        <v>9</v>
      </c>
      <c r="O4" s="117"/>
      <c r="P4" s="117"/>
      <c r="Q4" s="117"/>
      <c r="R4" s="117"/>
      <c r="S4" s="117"/>
      <c r="T4" s="7"/>
      <c r="U4" s="7"/>
      <c r="V4" s="7"/>
      <c r="W4" s="7"/>
      <c r="X4" s="7"/>
      <c r="Y4" s="8"/>
      <c r="Z4" s="8"/>
      <c r="AA4" s="8"/>
      <c r="AB4" s="8"/>
      <c r="AC4" s="8"/>
    </row>
    <row r="5" spans="1:33" x14ac:dyDescent="0.3">
      <c r="A5" s="104"/>
      <c r="B5" s="107"/>
      <c r="C5" s="107"/>
      <c r="D5" s="115"/>
      <c r="E5" s="121" t="s">
        <v>10</v>
      </c>
      <c r="F5" s="117" t="s">
        <v>11</v>
      </c>
      <c r="G5" s="7" t="s">
        <v>12</v>
      </c>
      <c r="H5" s="117" t="s">
        <v>13</v>
      </c>
      <c r="I5" s="117"/>
      <c r="J5" s="117"/>
      <c r="K5" s="122" t="s">
        <v>14</v>
      </c>
      <c r="L5" s="123" t="s">
        <v>15</v>
      </c>
      <c r="M5" s="118" t="s">
        <v>16</v>
      </c>
      <c r="N5" s="121" t="s">
        <v>10</v>
      </c>
      <c r="O5" s="117" t="s">
        <v>11</v>
      </c>
      <c r="P5" s="7" t="s">
        <v>12</v>
      </c>
      <c r="Q5" s="117" t="s">
        <v>13</v>
      </c>
      <c r="R5" s="117"/>
      <c r="S5" s="117"/>
      <c r="T5" s="10" t="s">
        <v>17</v>
      </c>
      <c r="U5" s="10" t="s">
        <v>18</v>
      </c>
      <c r="V5" s="10" t="s">
        <v>19</v>
      </c>
      <c r="W5" s="10" t="s">
        <v>20</v>
      </c>
      <c r="X5" s="10" t="s">
        <v>21</v>
      </c>
      <c r="Y5" s="8"/>
      <c r="Z5" s="8"/>
      <c r="AA5" s="8"/>
      <c r="AB5" s="8"/>
      <c r="AC5" s="8"/>
    </row>
    <row r="6" spans="1:33" ht="73.8" x14ac:dyDescent="0.3">
      <c r="A6" s="105"/>
      <c r="B6" s="108"/>
      <c r="C6" s="108"/>
      <c r="D6" s="116"/>
      <c r="E6" s="121"/>
      <c r="F6" s="117"/>
      <c r="G6" s="11" t="s">
        <v>22</v>
      </c>
      <c r="H6" s="6" t="s">
        <v>16</v>
      </c>
      <c r="I6" s="12" t="s">
        <v>23</v>
      </c>
      <c r="J6" s="9" t="s">
        <v>24</v>
      </c>
      <c r="K6" s="122"/>
      <c r="L6" s="123"/>
      <c r="M6" s="118"/>
      <c r="N6" s="121"/>
      <c r="O6" s="117"/>
      <c r="P6" s="11" t="s">
        <v>22</v>
      </c>
      <c r="Q6" s="6" t="s">
        <v>16</v>
      </c>
      <c r="R6" s="13" t="s">
        <v>23</v>
      </c>
      <c r="S6" s="9" t="s">
        <v>24</v>
      </c>
      <c r="T6" s="14" t="s">
        <v>25</v>
      </c>
      <c r="U6" s="14"/>
      <c r="V6" s="14"/>
      <c r="W6" s="14"/>
      <c r="X6" s="14"/>
      <c r="Y6" s="15" t="s">
        <v>26</v>
      </c>
      <c r="Z6" s="15" t="s">
        <v>27</v>
      </c>
      <c r="AA6" s="15"/>
      <c r="AB6" s="15"/>
      <c r="AC6" s="15" t="s">
        <v>28</v>
      </c>
      <c r="AD6" s="16"/>
      <c r="AF6" s="17" t="s">
        <v>29</v>
      </c>
    </row>
    <row r="7" spans="1:33" s="33" customFormat="1" x14ac:dyDescent="0.3">
      <c r="A7" s="18"/>
      <c r="B7" s="19" t="s">
        <v>30</v>
      </c>
      <c r="C7" s="20"/>
      <c r="D7" s="21"/>
      <c r="E7" s="21"/>
      <c r="F7" s="21"/>
      <c r="G7" s="22"/>
      <c r="H7" s="22"/>
      <c r="I7" s="22"/>
      <c r="J7" s="22"/>
      <c r="K7" s="23"/>
      <c r="L7" s="24"/>
      <c r="M7" s="25"/>
      <c r="N7" s="26"/>
      <c r="O7" s="27"/>
      <c r="P7" s="28"/>
      <c r="Q7" s="28"/>
      <c r="R7" s="28"/>
      <c r="S7" s="29"/>
      <c r="T7" s="30"/>
      <c r="U7" s="31"/>
      <c r="V7" s="31"/>
      <c r="W7" s="32"/>
      <c r="X7" s="32"/>
      <c r="Y7" s="32"/>
      <c r="AB7" s="34"/>
    </row>
    <row r="8" spans="1:33" x14ac:dyDescent="0.3">
      <c r="A8" s="35">
        <v>1</v>
      </c>
      <c r="B8" s="36" t="s">
        <v>31</v>
      </c>
      <c r="C8" s="37" t="s">
        <v>32</v>
      </c>
      <c r="D8" s="38">
        <v>228132</v>
      </c>
      <c r="E8" s="36"/>
      <c r="F8" s="39"/>
      <c r="G8" s="39"/>
      <c r="H8" s="39"/>
      <c r="I8" s="39"/>
      <c r="J8" s="40">
        <v>0</v>
      </c>
      <c r="K8" s="96">
        <v>46116</v>
      </c>
      <c r="L8" s="95" t="s">
        <v>72</v>
      </c>
      <c r="M8" s="94">
        <v>228132</v>
      </c>
      <c r="N8" s="36"/>
      <c r="O8" s="39"/>
      <c r="P8" s="39"/>
      <c r="Q8" s="39"/>
      <c r="R8" s="39"/>
      <c r="S8" s="44">
        <f>+D8-M8</f>
        <v>0</v>
      </c>
      <c r="T8" s="44" t="s">
        <v>34</v>
      </c>
      <c r="U8" s="44" t="s">
        <v>35</v>
      </c>
      <c r="V8" s="44" t="s">
        <v>36</v>
      </c>
      <c r="W8" s="44">
        <v>300000</v>
      </c>
      <c r="X8" s="44"/>
      <c r="Y8" s="44">
        <v>150000</v>
      </c>
      <c r="Z8" s="44"/>
      <c r="AA8" s="44"/>
      <c r="AB8" s="45" t="s">
        <v>37</v>
      </c>
      <c r="AC8" s="44" t="s">
        <v>38</v>
      </c>
      <c r="AD8" s="46"/>
      <c r="AE8" s="3">
        <f>+S8-AD8</f>
        <v>0</v>
      </c>
      <c r="AF8" s="47" t="s">
        <v>39</v>
      </c>
      <c r="AG8" s="48">
        <v>42983</v>
      </c>
    </row>
    <row r="9" spans="1:33" s="33" customFormat="1" ht="25.2" thickBot="1" x14ac:dyDescent="0.35">
      <c r="A9" s="18"/>
      <c r="B9" s="49" t="s">
        <v>24</v>
      </c>
      <c r="C9" s="50"/>
      <c r="D9" s="51">
        <f>SUM(D8:D8)</f>
        <v>228132</v>
      </c>
      <c r="E9" s="51"/>
      <c r="F9" s="51"/>
      <c r="G9" s="51"/>
      <c r="H9" s="51">
        <f>SUM(H8:H8)</f>
        <v>0</v>
      </c>
      <c r="I9" s="51">
        <f>SUM(I8:I8)</f>
        <v>0</v>
      </c>
      <c r="J9" s="51">
        <f>SUM(J8:J8)</f>
        <v>0</v>
      </c>
      <c r="K9" s="52"/>
      <c r="L9" s="51"/>
      <c r="M9" s="51">
        <f>SUM(M8:M8)</f>
        <v>228132</v>
      </c>
      <c r="N9" s="51"/>
      <c r="O9" s="51"/>
      <c r="P9" s="51"/>
      <c r="Q9" s="51">
        <f>SUM(Q8:Q8)</f>
        <v>0</v>
      </c>
      <c r="R9" s="51">
        <f>SUM(R8:R8)</f>
        <v>0</v>
      </c>
      <c r="S9" s="51">
        <f>SUM(S8:S8)</f>
        <v>0</v>
      </c>
      <c r="T9" s="30"/>
      <c r="U9" s="31"/>
      <c r="V9" s="31"/>
      <c r="W9" s="32"/>
      <c r="X9" s="32"/>
      <c r="Y9" s="32"/>
      <c r="AB9" s="34"/>
    </row>
    <row r="10" spans="1:33" s="33" customFormat="1" ht="25.2" thickTop="1" x14ac:dyDescent="0.3">
      <c r="A10" s="18"/>
      <c r="B10" s="53" t="s">
        <v>40</v>
      </c>
      <c r="C10" s="54"/>
      <c r="D10" s="55"/>
      <c r="E10" s="55"/>
      <c r="F10" s="55"/>
      <c r="G10" s="56"/>
      <c r="H10" s="56"/>
      <c r="I10" s="56"/>
      <c r="J10" s="56"/>
      <c r="K10" s="57"/>
      <c r="L10" s="58"/>
      <c r="M10" s="59"/>
      <c r="N10" s="60"/>
      <c r="O10" s="61"/>
      <c r="P10" s="62"/>
      <c r="Q10" s="62"/>
      <c r="R10" s="62"/>
      <c r="S10" s="63"/>
      <c r="T10" s="30"/>
      <c r="U10" s="31"/>
      <c r="V10" s="31"/>
      <c r="W10" s="32"/>
      <c r="X10" s="32"/>
      <c r="Y10" s="32"/>
      <c r="AB10" s="34"/>
    </row>
    <row r="11" spans="1:33" x14ac:dyDescent="0.3">
      <c r="A11" s="64">
        <v>1</v>
      </c>
      <c r="B11" s="36" t="s">
        <v>31</v>
      </c>
      <c r="C11" s="65"/>
      <c r="D11" s="66">
        <v>11900</v>
      </c>
      <c r="E11" s="4"/>
      <c r="F11" s="10"/>
      <c r="G11" s="10"/>
      <c r="H11" s="10"/>
      <c r="I11" s="10"/>
      <c r="J11" s="67">
        <v>0</v>
      </c>
      <c r="K11" s="96">
        <v>46116</v>
      </c>
      <c r="L11" s="95" t="s">
        <v>73</v>
      </c>
      <c r="M11" s="98">
        <v>11900</v>
      </c>
      <c r="O11" s="10"/>
      <c r="P11" s="10"/>
      <c r="Q11" s="10"/>
      <c r="R11" s="10"/>
      <c r="S11" s="44">
        <f>+D11-M11</f>
        <v>0</v>
      </c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1"/>
      <c r="AF11" s="47" t="s">
        <v>42</v>
      </c>
      <c r="AG11" s="48">
        <v>42983</v>
      </c>
    </row>
    <row r="12" spans="1:33" s="33" customFormat="1" ht="25.2" thickBot="1" x14ac:dyDescent="0.35">
      <c r="A12" s="18"/>
      <c r="B12" s="49" t="s">
        <v>24</v>
      </c>
      <c r="C12" s="50"/>
      <c r="D12" s="51">
        <f>SUM(D11)</f>
        <v>11900</v>
      </c>
      <c r="E12" s="51"/>
      <c r="F12" s="51"/>
      <c r="G12" s="51"/>
      <c r="H12" s="51">
        <f t="shared" ref="H12:J12" si="0">SUM(H11)</f>
        <v>0</v>
      </c>
      <c r="I12" s="51">
        <f t="shared" si="0"/>
        <v>0</v>
      </c>
      <c r="J12" s="51">
        <f t="shared" si="0"/>
        <v>0</v>
      </c>
      <c r="K12" s="52"/>
      <c r="L12" s="51"/>
      <c r="M12" s="51">
        <f t="shared" ref="M12" si="1">SUM(M11)</f>
        <v>11900</v>
      </c>
      <c r="N12" s="51"/>
      <c r="O12" s="51"/>
      <c r="P12" s="51"/>
      <c r="Q12" s="51">
        <f t="shared" ref="Q12:S12" si="2">SUM(Q11)</f>
        <v>0</v>
      </c>
      <c r="R12" s="51">
        <f t="shared" si="2"/>
        <v>0</v>
      </c>
      <c r="S12" s="51">
        <f t="shared" si="2"/>
        <v>0</v>
      </c>
      <c r="T12" s="30"/>
      <c r="U12" s="31"/>
      <c r="V12" s="31"/>
      <c r="W12" s="32"/>
      <c r="X12" s="32"/>
      <c r="Y12" s="32"/>
      <c r="AB12" s="34"/>
    </row>
    <row r="13" spans="1:33" s="33" customFormat="1" ht="25.8" thickTop="1" thickBot="1" x14ac:dyDescent="0.35">
      <c r="A13" s="72"/>
      <c r="B13" s="73" t="s">
        <v>43</v>
      </c>
      <c r="C13" s="74"/>
      <c r="D13" s="75">
        <f>D9+D12</f>
        <v>240032</v>
      </c>
      <c r="E13" s="76"/>
      <c r="F13" s="76"/>
      <c r="G13" s="76"/>
      <c r="H13" s="76">
        <f>H9+H12</f>
        <v>0</v>
      </c>
      <c r="I13" s="76">
        <f t="shared" ref="I13:J13" si="3">I9+I12</f>
        <v>0</v>
      </c>
      <c r="J13" s="76">
        <f t="shared" si="3"/>
        <v>0</v>
      </c>
      <c r="K13" s="76"/>
      <c r="L13" s="76"/>
      <c r="M13" s="75">
        <f>M9+M12</f>
        <v>240032</v>
      </c>
      <c r="N13" s="76"/>
      <c r="O13" s="76"/>
      <c r="P13" s="76"/>
      <c r="Q13" s="76">
        <f>Q9+Q12</f>
        <v>0</v>
      </c>
      <c r="R13" s="76">
        <f t="shared" ref="R13:S13" si="4">R9+R12</f>
        <v>0</v>
      </c>
      <c r="S13" s="76">
        <f t="shared" si="4"/>
        <v>0</v>
      </c>
      <c r="T13" s="77"/>
      <c r="U13" s="78"/>
      <c r="V13" s="78"/>
      <c r="W13" s="76"/>
      <c r="X13" s="76"/>
      <c r="Y13" s="76"/>
    </row>
    <row r="14" spans="1:33" ht="25.2" thickTop="1" x14ac:dyDescent="0.3">
      <c r="E14" s="4"/>
      <c r="F14" s="8"/>
      <c r="G14" s="8"/>
      <c r="H14" s="8"/>
      <c r="I14" s="8"/>
      <c r="J14" s="2"/>
      <c r="K14" s="2"/>
      <c r="L14" s="2"/>
    </row>
    <row r="15" spans="1:33" x14ac:dyDescent="0.3">
      <c r="E15" s="4"/>
      <c r="F15" s="8"/>
      <c r="G15" s="8"/>
      <c r="H15" s="8"/>
      <c r="I15" s="8"/>
      <c r="J15" s="2"/>
      <c r="K15" s="2"/>
      <c r="L15" s="2"/>
    </row>
    <row r="16" spans="1:33" x14ac:dyDescent="0.3">
      <c r="E16" s="4"/>
      <c r="F16" s="8"/>
      <c r="G16" s="8"/>
      <c r="H16" s="8"/>
      <c r="I16" s="8"/>
      <c r="J16" s="2"/>
      <c r="K16" s="2"/>
      <c r="L16" s="2"/>
    </row>
    <row r="17" spans="2:30" s="3" customFormat="1" x14ac:dyDescent="0.3">
      <c r="B17" s="79"/>
      <c r="C17" s="4"/>
      <c r="D17" s="80"/>
      <c r="E17" s="4"/>
      <c r="F17" s="8"/>
      <c r="G17" s="8"/>
      <c r="H17" s="8"/>
      <c r="I17" s="8"/>
      <c r="J17" s="2"/>
      <c r="K17" s="2"/>
      <c r="L17" s="2"/>
      <c r="M17" s="81"/>
      <c r="N17" s="4"/>
      <c r="O17" s="8"/>
      <c r="P17" s="8"/>
      <c r="Q17" s="8"/>
      <c r="R17" s="8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2"/>
    </row>
    <row r="18" spans="2:30" s="3" customFormat="1" x14ac:dyDescent="0.3">
      <c r="B18" s="47"/>
      <c r="C18" s="4"/>
      <c r="D18" s="80"/>
      <c r="E18" s="83"/>
      <c r="F18" s="83"/>
      <c r="G18" s="83"/>
      <c r="H18" s="83"/>
      <c r="I18" s="83"/>
      <c r="J18" s="84"/>
      <c r="K18" s="84"/>
      <c r="L18" s="84"/>
      <c r="M18" s="81"/>
      <c r="N18" s="4"/>
      <c r="O18" s="8"/>
      <c r="P18" s="8"/>
      <c r="Q18" s="8"/>
      <c r="R18" s="8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2"/>
    </row>
    <row r="19" spans="2:30" s="3" customFormat="1" x14ac:dyDescent="0.7">
      <c r="B19" s="119" t="s">
        <v>44</v>
      </c>
      <c r="C19" s="119"/>
      <c r="D19" s="119"/>
      <c r="E19" s="85"/>
      <c r="F19" s="86"/>
      <c r="G19" s="119" t="s">
        <v>44</v>
      </c>
      <c r="H19" s="119"/>
      <c r="I19" s="119"/>
      <c r="J19" s="119"/>
      <c r="K19" s="119"/>
      <c r="L19" s="87"/>
      <c r="M19" s="87"/>
      <c r="N19" s="119" t="s">
        <v>44</v>
      </c>
      <c r="O19" s="119"/>
      <c r="P19" s="119"/>
      <c r="Q19" s="119"/>
      <c r="R19" s="119"/>
      <c r="S19" s="82"/>
      <c r="T19" s="88"/>
      <c r="U19" s="88"/>
      <c r="V19" s="88"/>
      <c r="W19" s="82"/>
      <c r="X19" s="82"/>
      <c r="Y19" s="82"/>
      <c r="Z19" s="82"/>
      <c r="AA19" s="82"/>
      <c r="AB19" s="82"/>
      <c r="AC19" s="82"/>
      <c r="AD19" s="2"/>
    </row>
    <row r="20" spans="2:30" s="3" customFormat="1" x14ac:dyDescent="0.7">
      <c r="B20" s="119" t="s">
        <v>45</v>
      </c>
      <c r="C20" s="119"/>
      <c r="D20" s="119"/>
      <c r="E20" s="87"/>
      <c r="F20" s="87"/>
      <c r="G20" s="119" t="s">
        <v>46</v>
      </c>
      <c r="H20" s="119"/>
      <c r="I20" s="119"/>
      <c r="J20" s="119"/>
      <c r="K20" s="119"/>
      <c r="L20" s="87"/>
      <c r="M20" s="87"/>
      <c r="N20" s="119" t="s">
        <v>47</v>
      </c>
      <c r="O20" s="119"/>
      <c r="P20" s="119"/>
      <c r="Q20" s="119"/>
      <c r="R20" s="119"/>
      <c r="S20" s="4"/>
      <c r="T20" s="120"/>
      <c r="U20" s="120"/>
      <c r="V20" s="120"/>
      <c r="W20" s="120"/>
      <c r="X20" s="4"/>
      <c r="Y20" s="4"/>
      <c r="Z20" s="4"/>
      <c r="AA20" s="4"/>
      <c r="AB20" s="4"/>
      <c r="AC20" s="4"/>
      <c r="AD20" s="4"/>
    </row>
    <row r="21" spans="2:30" s="3" customFormat="1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33" spans="2:34" x14ac:dyDescent="0.3">
      <c r="B33" s="4"/>
      <c r="D33" s="4"/>
      <c r="E33" s="4"/>
      <c r="F33" s="4"/>
      <c r="G33" s="4"/>
      <c r="H33" s="4"/>
      <c r="I33" s="4"/>
      <c r="J33" s="4"/>
      <c r="K33" s="4"/>
      <c r="L33" s="4"/>
      <c r="M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H33" s="79" t="s">
        <v>21</v>
      </c>
    </row>
    <row r="34" spans="2:34" x14ac:dyDescent="0.3">
      <c r="B34" s="4"/>
      <c r="D34" s="4"/>
      <c r="E34" s="4"/>
      <c r="F34" s="4"/>
      <c r="G34" s="4"/>
      <c r="H34" s="4"/>
      <c r="I34" s="4"/>
      <c r="J34" s="4"/>
      <c r="K34" s="4"/>
      <c r="L34" s="4"/>
      <c r="M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H34" s="79" t="s">
        <v>48</v>
      </c>
    </row>
    <row r="35" spans="2:34" x14ac:dyDescent="0.3">
      <c r="B35" s="4"/>
      <c r="D35" s="4"/>
      <c r="E35" s="4"/>
      <c r="F35" s="4"/>
      <c r="G35" s="4"/>
      <c r="H35" s="4"/>
      <c r="I35" s="4"/>
      <c r="J35" s="4"/>
      <c r="K35" s="4"/>
      <c r="L35" s="4"/>
      <c r="M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H35" s="79" t="s">
        <v>49</v>
      </c>
    </row>
  </sheetData>
  <mergeCells count="26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B20:D20"/>
    <mergeCell ref="G20:K20"/>
    <mergeCell ref="N20:R20"/>
    <mergeCell ref="T20:W20"/>
    <mergeCell ref="N5:N6"/>
    <mergeCell ref="O5:O6"/>
    <mergeCell ref="Q5:S5"/>
    <mergeCell ref="B19:D19"/>
    <mergeCell ref="G19:K19"/>
    <mergeCell ref="N19:R19"/>
    <mergeCell ref="E5:E6"/>
    <mergeCell ref="F5:F6"/>
    <mergeCell ref="H5:J5"/>
    <mergeCell ref="K5:K6"/>
    <mergeCell ref="L5:L6"/>
    <mergeCell ref="M5:M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2350-7E21-4012-8942-C7ABBD0CFF23}">
  <sheetPr>
    <tabColor rgb="FFFFC000"/>
  </sheetPr>
  <dimension ref="A1:H35"/>
  <sheetViews>
    <sheetView zoomScale="90" zoomScaleNormal="90" workbookViewId="0">
      <selection activeCell="A3" sqref="A3:F3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0.44140625" style="84" customWidth="1"/>
    <col min="5" max="5" width="11" style="84" customWidth="1"/>
    <col min="6" max="6" width="17.88671875" style="81" customWidth="1"/>
    <col min="7" max="7" width="10.33203125" style="4"/>
    <col min="8" max="8" width="12.44140625" style="4" bestFit="1" customWidth="1"/>
    <col min="9" max="16384" width="10.33203125" style="4"/>
  </cols>
  <sheetData>
    <row r="1" spans="1:8" x14ac:dyDescent="0.3">
      <c r="A1" s="101" t="s">
        <v>51</v>
      </c>
      <c r="B1" s="101"/>
      <c r="C1" s="101"/>
      <c r="D1" s="101"/>
      <c r="E1" s="101"/>
      <c r="F1" s="101"/>
    </row>
    <row r="2" spans="1:8" x14ac:dyDescent="0.3">
      <c r="A2" s="101" t="s">
        <v>1</v>
      </c>
      <c r="B2" s="101"/>
      <c r="C2" s="101"/>
      <c r="D2" s="101"/>
      <c r="E2" s="101"/>
      <c r="F2" s="101"/>
    </row>
    <row r="3" spans="1:8" x14ac:dyDescent="0.3">
      <c r="A3" s="102" t="s">
        <v>71</v>
      </c>
      <c r="B3" s="102"/>
      <c r="C3" s="102"/>
      <c r="D3" s="102"/>
      <c r="E3" s="102"/>
      <c r="F3" s="102"/>
    </row>
    <row r="4" spans="1:8" x14ac:dyDescent="0.3">
      <c r="A4" s="103" t="s">
        <v>3</v>
      </c>
      <c r="B4" s="106" t="s">
        <v>4</v>
      </c>
      <c r="C4" s="106" t="s">
        <v>5</v>
      </c>
      <c r="D4" s="118" t="s">
        <v>8</v>
      </c>
      <c r="E4" s="118"/>
      <c r="F4" s="118"/>
    </row>
    <row r="5" spans="1:8" x14ac:dyDescent="0.3">
      <c r="A5" s="104"/>
      <c r="B5" s="107"/>
      <c r="C5" s="107"/>
      <c r="D5" s="122" t="s">
        <v>14</v>
      </c>
      <c r="E5" s="123" t="s">
        <v>15</v>
      </c>
      <c r="F5" s="118" t="s">
        <v>16</v>
      </c>
    </row>
    <row r="6" spans="1:8" x14ac:dyDescent="0.3">
      <c r="A6" s="105"/>
      <c r="B6" s="108"/>
      <c r="C6" s="108"/>
      <c r="D6" s="122"/>
      <c r="E6" s="123"/>
      <c r="F6" s="118"/>
    </row>
    <row r="7" spans="1:8" s="33" customFormat="1" x14ac:dyDescent="0.3">
      <c r="A7" s="18"/>
      <c r="B7" s="19" t="s">
        <v>30</v>
      </c>
      <c r="C7" s="20"/>
      <c r="D7" s="23"/>
      <c r="E7" s="24"/>
      <c r="F7" s="25"/>
    </row>
    <row r="8" spans="1:8" x14ac:dyDescent="0.3">
      <c r="A8" s="35">
        <v>1</v>
      </c>
      <c r="B8" s="36" t="s">
        <v>31</v>
      </c>
      <c r="C8" s="37" t="s">
        <v>32</v>
      </c>
      <c r="D8" s="96">
        <v>46116</v>
      </c>
      <c r="E8" s="95" t="s">
        <v>72</v>
      </c>
      <c r="F8" s="94">
        <v>228132</v>
      </c>
    </row>
    <row r="9" spans="1:8" s="33" customFormat="1" ht="25.2" thickBot="1" x14ac:dyDescent="0.35">
      <c r="A9" s="18"/>
      <c r="B9" s="49" t="s">
        <v>24</v>
      </c>
      <c r="C9" s="50"/>
      <c r="D9" s="52"/>
      <c r="E9" s="51"/>
      <c r="F9" s="51">
        <v>228132</v>
      </c>
      <c r="H9" s="99">
        <f>SUM(F8)</f>
        <v>228132</v>
      </c>
    </row>
    <row r="10" spans="1:8" s="33" customFormat="1" ht="25.2" thickTop="1" x14ac:dyDescent="0.3">
      <c r="A10" s="18"/>
      <c r="B10" s="53" t="s">
        <v>40</v>
      </c>
      <c r="C10" s="54"/>
      <c r="D10" s="57"/>
      <c r="E10" s="58"/>
      <c r="F10" s="59"/>
    </row>
    <row r="11" spans="1:8" x14ac:dyDescent="0.3">
      <c r="A11" s="64">
        <v>1</v>
      </c>
      <c r="B11" s="36" t="s">
        <v>31</v>
      </c>
      <c r="C11" s="65"/>
      <c r="D11" s="96">
        <v>46116</v>
      </c>
      <c r="E11" s="95" t="s">
        <v>73</v>
      </c>
      <c r="F11" s="98">
        <v>11900</v>
      </c>
    </row>
    <row r="12" spans="1:8" s="33" customFormat="1" ht="25.2" thickBot="1" x14ac:dyDescent="0.35">
      <c r="A12" s="18"/>
      <c r="B12" s="49" t="s">
        <v>24</v>
      </c>
      <c r="C12" s="50"/>
      <c r="D12" s="52"/>
      <c r="E12" s="51"/>
      <c r="F12" s="51">
        <v>11900</v>
      </c>
      <c r="H12" s="99">
        <f>SUM(F11)</f>
        <v>11900</v>
      </c>
    </row>
    <row r="13" spans="1:8" s="33" customFormat="1" ht="25.8" thickTop="1" thickBot="1" x14ac:dyDescent="0.35">
      <c r="A13" s="72"/>
      <c r="B13" s="73" t="s">
        <v>43</v>
      </c>
      <c r="C13" s="74"/>
      <c r="D13" s="76"/>
      <c r="E13" s="76"/>
      <c r="F13" s="75">
        <v>240032</v>
      </c>
      <c r="H13" s="100">
        <f>SUM(H9:H12)</f>
        <v>240032</v>
      </c>
    </row>
    <row r="14" spans="1:8" ht="25.2" thickTop="1" x14ac:dyDescent="0.3">
      <c r="D14" s="2"/>
      <c r="E14" s="2"/>
    </row>
    <row r="15" spans="1:8" x14ac:dyDescent="0.3">
      <c r="D15" s="2"/>
      <c r="E15" s="2"/>
    </row>
    <row r="16" spans="1:8" x14ac:dyDescent="0.3">
      <c r="D16" s="2"/>
      <c r="E16" s="2"/>
    </row>
    <row r="17" spans="2:6" s="3" customFormat="1" x14ac:dyDescent="0.3">
      <c r="B17" s="79"/>
      <c r="C17" s="4"/>
      <c r="D17" s="2"/>
      <c r="E17" s="2"/>
      <c r="F17" s="81"/>
    </row>
    <row r="18" spans="2:6" s="3" customFormat="1" x14ac:dyDescent="0.3">
      <c r="B18" s="47"/>
      <c r="C18" s="4"/>
      <c r="D18" s="84"/>
      <c r="E18" s="84"/>
      <c r="F18" s="81"/>
    </row>
    <row r="19" spans="2:6" s="3" customFormat="1" x14ac:dyDescent="0.6">
      <c r="B19" s="119" t="s">
        <v>44</v>
      </c>
      <c r="C19" s="119"/>
      <c r="D19" s="89"/>
      <c r="E19" s="87"/>
      <c r="F19" s="87"/>
    </row>
    <row r="20" spans="2:6" s="3" customFormat="1" x14ac:dyDescent="0.6">
      <c r="B20" s="119" t="s">
        <v>45</v>
      </c>
      <c r="C20" s="119"/>
      <c r="D20" s="89"/>
      <c r="E20" s="87"/>
      <c r="F20" s="87"/>
    </row>
    <row r="21" spans="2:6" s="3" customFormat="1" x14ac:dyDescent="0.3">
      <c r="B21" s="4"/>
      <c r="C21" s="4"/>
      <c r="D21" s="4"/>
      <c r="E21" s="4"/>
      <c r="F21" s="4"/>
    </row>
    <row r="33" s="4" customFormat="1" x14ac:dyDescent="0.3"/>
    <row r="34" s="4" customFormat="1" x14ac:dyDescent="0.3"/>
    <row r="35" s="4" customFormat="1" x14ac:dyDescent="0.3"/>
  </sheetData>
  <mergeCells count="12">
    <mergeCell ref="B19:C19"/>
    <mergeCell ref="B20:C20"/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773A-E404-48E7-BA97-75A4383A18F7}">
  <sheetPr>
    <tabColor rgb="FFFFC000"/>
  </sheetPr>
  <dimension ref="A1:G19"/>
  <sheetViews>
    <sheetView workbookViewId="0">
      <selection activeCell="G19" sqref="G19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4" width="11.44140625" style="4" customWidth="1"/>
    <col min="5" max="5" width="7.5546875" style="4" customWidth="1"/>
    <col min="6" max="6" width="7.5546875" style="8" customWidth="1"/>
    <col min="7" max="7" width="14.109375" style="82" customWidth="1"/>
    <col min="8" max="16384" width="10.33203125" style="4"/>
  </cols>
  <sheetData>
    <row r="1" spans="1:7" x14ac:dyDescent="0.3">
      <c r="A1" s="101" t="s">
        <v>51</v>
      </c>
      <c r="B1" s="101"/>
      <c r="C1" s="101"/>
      <c r="D1" s="101"/>
      <c r="E1" s="101"/>
      <c r="F1" s="101"/>
      <c r="G1" s="101"/>
    </row>
    <row r="2" spans="1:7" x14ac:dyDescent="0.3">
      <c r="A2" s="101" t="s">
        <v>1</v>
      </c>
      <c r="B2" s="101"/>
      <c r="C2" s="101"/>
      <c r="D2" s="101"/>
      <c r="E2" s="101"/>
      <c r="F2" s="101"/>
      <c r="G2" s="101"/>
    </row>
    <row r="3" spans="1:7" x14ac:dyDescent="0.3">
      <c r="A3" s="102" t="s">
        <v>71</v>
      </c>
      <c r="B3" s="102"/>
      <c r="C3" s="102"/>
      <c r="D3" s="102"/>
      <c r="E3" s="102"/>
      <c r="F3" s="102"/>
      <c r="G3" s="102"/>
    </row>
    <row r="4" spans="1:7" x14ac:dyDescent="0.3">
      <c r="A4" s="103" t="s">
        <v>3</v>
      </c>
      <c r="B4" s="106" t="s">
        <v>4</v>
      </c>
      <c r="C4" s="106" t="s">
        <v>5</v>
      </c>
      <c r="D4" s="93"/>
      <c r="E4" s="109" t="s">
        <v>9</v>
      </c>
      <c r="F4" s="110"/>
      <c r="G4" s="111"/>
    </row>
    <row r="5" spans="1:7" x14ac:dyDescent="0.3">
      <c r="A5" s="104"/>
      <c r="B5" s="107"/>
      <c r="C5" s="107"/>
      <c r="D5" s="90" t="s">
        <v>54</v>
      </c>
      <c r="E5" s="103" t="s">
        <v>10</v>
      </c>
      <c r="F5" s="112" t="s">
        <v>11</v>
      </c>
      <c r="G5" s="92"/>
    </row>
    <row r="6" spans="1:7" x14ac:dyDescent="0.3">
      <c r="A6" s="105"/>
      <c r="B6" s="108"/>
      <c r="C6" s="108"/>
      <c r="D6" s="91"/>
      <c r="E6" s="105"/>
      <c r="F6" s="113"/>
      <c r="G6" s="9" t="s">
        <v>24</v>
      </c>
    </row>
    <row r="7" spans="1:7" s="33" customFormat="1" x14ac:dyDescent="0.3">
      <c r="A7" s="18"/>
      <c r="B7" s="19" t="s">
        <v>55</v>
      </c>
      <c r="C7" s="20"/>
      <c r="D7" s="20"/>
      <c r="E7" s="26"/>
      <c r="F7" s="27"/>
      <c r="G7" s="29"/>
    </row>
    <row r="8" spans="1:7" x14ac:dyDescent="0.3">
      <c r="A8" s="35"/>
      <c r="B8" s="36"/>
      <c r="C8" s="37"/>
      <c r="D8" s="37"/>
      <c r="E8" s="36"/>
      <c r="F8" s="39"/>
      <c r="G8" s="44">
        <v>0</v>
      </c>
    </row>
    <row r="9" spans="1:7" s="33" customFormat="1" ht="25.2" thickBot="1" x14ac:dyDescent="0.35">
      <c r="A9" s="18"/>
      <c r="B9" s="49" t="s">
        <v>24</v>
      </c>
      <c r="C9" s="50"/>
      <c r="D9" s="50"/>
      <c r="E9" s="51"/>
      <c r="F9" s="51"/>
      <c r="G9" s="51">
        <v>0</v>
      </c>
    </row>
    <row r="10" spans="1:7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G1"/>
    <mergeCell ref="A2:G2"/>
    <mergeCell ref="A3:G3"/>
    <mergeCell ref="A4:A6"/>
    <mergeCell ref="B4:B6"/>
    <mergeCell ref="C4:C6"/>
    <mergeCell ref="E4:G4"/>
    <mergeCell ref="E5:E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F51B-1EF1-459C-8BAA-C0522AA0BD4D}">
  <sheetPr>
    <tabColor rgb="FFFFC000"/>
  </sheetPr>
  <dimension ref="A1:J19"/>
  <sheetViews>
    <sheetView topLeftCell="A2" workbookViewId="0">
      <selection activeCell="H19" sqref="H19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11.44140625" style="4" customWidth="1"/>
    <col min="4" max="4" width="7.5546875" style="4" customWidth="1"/>
    <col min="5" max="5" width="7.5546875" style="8" customWidth="1"/>
    <col min="6" max="6" width="14.109375" style="82" customWidth="1"/>
    <col min="7" max="16384" width="10.33203125" style="4"/>
  </cols>
  <sheetData>
    <row r="1" spans="1:10" x14ac:dyDescent="0.3">
      <c r="A1" s="101" t="s">
        <v>51</v>
      </c>
      <c r="B1" s="101"/>
      <c r="C1" s="101"/>
      <c r="D1" s="101"/>
      <c r="E1" s="101"/>
      <c r="F1" s="101"/>
    </row>
    <row r="2" spans="1:10" x14ac:dyDescent="0.3">
      <c r="A2" s="101" t="s">
        <v>1</v>
      </c>
      <c r="B2" s="101"/>
      <c r="C2" s="101"/>
      <c r="D2" s="101"/>
      <c r="E2" s="101"/>
      <c r="F2" s="101"/>
    </row>
    <row r="3" spans="1:10" x14ac:dyDescent="0.3">
      <c r="A3" s="102" t="s">
        <v>71</v>
      </c>
      <c r="B3" s="102"/>
      <c r="C3" s="102"/>
      <c r="D3" s="102"/>
      <c r="E3" s="102"/>
      <c r="F3" s="102"/>
    </row>
    <row r="4" spans="1:10" x14ac:dyDescent="0.3">
      <c r="A4" s="103" t="s">
        <v>3</v>
      </c>
      <c r="B4" s="106" t="s">
        <v>4</v>
      </c>
      <c r="C4" s="106" t="s">
        <v>5</v>
      </c>
      <c r="D4" s="109" t="s">
        <v>9</v>
      </c>
      <c r="E4" s="110"/>
      <c r="F4" s="111"/>
    </row>
    <row r="5" spans="1:10" x14ac:dyDescent="0.3">
      <c r="A5" s="104"/>
      <c r="B5" s="107"/>
      <c r="C5" s="107"/>
      <c r="D5" s="103" t="s">
        <v>10</v>
      </c>
      <c r="E5" s="112" t="s">
        <v>11</v>
      </c>
      <c r="F5" s="92"/>
    </row>
    <row r="6" spans="1:10" x14ac:dyDescent="0.3">
      <c r="A6" s="105"/>
      <c r="B6" s="108"/>
      <c r="C6" s="108"/>
      <c r="D6" s="105"/>
      <c r="E6" s="113"/>
      <c r="F6" s="9" t="s">
        <v>24</v>
      </c>
    </row>
    <row r="7" spans="1:10" s="33" customFormat="1" x14ac:dyDescent="0.3">
      <c r="A7" s="18"/>
      <c r="B7" s="19" t="s">
        <v>55</v>
      </c>
      <c r="C7" s="20"/>
      <c r="D7" s="26"/>
      <c r="E7" s="27"/>
      <c r="F7" s="29"/>
    </row>
    <row r="8" spans="1:10" x14ac:dyDescent="0.3">
      <c r="A8" s="35"/>
      <c r="B8" s="36"/>
      <c r="C8" s="37"/>
      <c r="D8" s="36"/>
      <c r="E8" s="39"/>
      <c r="F8" s="44">
        <v>0</v>
      </c>
      <c r="J8" s="4" t="s">
        <v>74</v>
      </c>
    </row>
    <row r="9" spans="1:10" s="33" customFormat="1" ht="25.2" thickBot="1" x14ac:dyDescent="0.35">
      <c r="A9" s="18"/>
      <c r="B9" s="49" t="s">
        <v>24</v>
      </c>
      <c r="C9" s="50"/>
      <c r="D9" s="51"/>
      <c r="E9" s="51"/>
      <c r="F9" s="51">
        <v>0</v>
      </c>
    </row>
    <row r="10" spans="1:10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407F-085F-4D16-BE42-F804F9084E43}">
  <sheetPr>
    <tabColor rgb="FFFFFF00"/>
  </sheetPr>
  <dimension ref="A1:AH35"/>
  <sheetViews>
    <sheetView zoomScale="90" zoomScaleNormal="90" workbookViewId="0">
      <selection activeCell="P17" sqref="P17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8.44140625" style="80" customWidth="1"/>
    <col min="5" max="5" width="6.44140625" style="83" customWidth="1"/>
    <col min="6" max="6" width="3.109375" style="83" customWidth="1"/>
    <col min="7" max="7" width="3.44140625" style="83" customWidth="1"/>
    <col min="8" max="8" width="7.6640625" style="83" customWidth="1"/>
    <col min="9" max="9" width="7" style="83" customWidth="1"/>
    <col min="10" max="10" width="6.88671875" style="84" customWidth="1"/>
    <col min="11" max="11" width="10.44140625" style="84" customWidth="1"/>
    <col min="12" max="12" width="11" style="84" customWidth="1"/>
    <col min="13" max="13" width="17.88671875" style="81" customWidth="1"/>
    <col min="14" max="14" width="3.5546875" style="4" customWidth="1"/>
    <col min="15" max="15" width="3.5546875" style="8" customWidth="1"/>
    <col min="16" max="16" width="3.6640625" style="8" customWidth="1"/>
    <col min="17" max="17" width="7.109375" style="8" customWidth="1"/>
    <col min="18" max="18" width="5.44140625" style="8" customWidth="1"/>
    <col min="19" max="19" width="14.109375" style="82" customWidth="1"/>
    <col min="20" max="20" width="4.109375" style="82" customWidth="1"/>
    <col min="21" max="21" width="6.6640625" style="82" customWidth="1"/>
    <col min="22" max="22" width="7.44140625" style="82" customWidth="1"/>
    <col min="23" max="23" width="18.88671875" style="82" customWidth="1"/>
    <col min="24" max="24" width="7.44140625" style="82" customWidth="1"/>
    <col min="25" max="27" width="9.88671875" style="82" customWidth="1"/>
    <col min="28" max="28" width="11.44140625" style="82" bestFit="1" customWidth="1"/>
    <col min="29" max="29" width="9.88671875" style="82" customWidth="1"/>
    <col min="30" max="30" width="10.33203125" style="2"/>
    <col min="31" max="31" width="10.44140625" style="3" bestFit="1" customWidth="1"/>
    <col min="32" max="32" width="10.33203125" style="4"/>
    <col min="33" max="33" width="11.6640625" style="4" bestFit="1" customWidth="1"/>
    <col min="34" max="16384" width="10.33203125" style="4"/>
  </cols>
  <sheetData>
    <row r="1" spans="1:33" x14ac:dyDescent="0.3">
      <c r="A1" s="101" t="s">
        <v>51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x14ac:dyDescent="0.3">
      <c r="A2" s="101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3" x14ac:dyDescent="0.3">
      <c r="A3" s="102" t="s">
        <v>68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33" x14ac:dyDescent="0.3">
      <c r="A4" s="103" t="s">
        <v>3</v>
      </c>
      <c r="B4" s="106" t="s">
        <v>4</v>
      </c>
      <c r="C4" s="106" t="s">
        <v>5</v>
      </c>
      <c r="D4" s="114" t="s">
        <v>6</v>
      </c>
      <c r="E4" s="117" t="s">
        <v>7</v>
      </c>
      <c r="F4" s="117"/>
      <c r="G4" s="117"/>
      <c r="H4" s="117"/>
      <c r="I4" s="117"/>
      <c r="J4" s="117"/>
      <c r="K4" s="118" t="s">
        <v>8</v>
      </c>
      <c r="L4" s="118"/>
      <c r="M4" s="118"/>
      <c r="N4" s="117" t="s">
        <v>9</v>
      </c>
      <c r="O4" s="117"/>
      <c r="P4" s="117"/>
      <c r="Q4" s="117"/>
      <c r="R4" s="117"/>
      <c r="S4" s="117"/>
      <c r="T4" s="7"/>
      <c r="U4" s="7"/>
      <c r="V4" s="7"/>
      <c r="W4" s="7"/>
      <c r="X4" s="7"/>
      <c r="Y4" s="8"/>
      <c r="Z4" s="8"/>
      <c r="AA4" s="8"/>
      <c r="AB4" s="8"/>
      <c r="AC4" s="8"/>
    </row>
    <row r="5" spans="1:33" x14ac:dyDescent="0.3">
      <c r="A5" s="104"/>
      <c r="B5" s="107"/>
      <c r="C5" s="107"/>
      <c r="D5" s="115"/>
      <c r="E5" s="121" t="s">
        <v>10</v>
      </c>
      <c r="F5" s="117" t="s">
        <v>11</v>
      </c>
      <c r="G5" s="7" t="s">
        <v>12</v>
      </c>
      <c r="H5" s="117" t="s">
        <v>13</v>
      </c>
      <c r="I5" s="117"/>
      <c r="J5" s="117"/>
      <c r="K5" s="122" t="s">
        <v>14</v>
      </c>
      <c r="L5" s="123" t="s">
        <v>15</v>
      </c>
      <c r="M5" s="118" t="s">
        <v>16</v>
      </c>
      <c r="N5" s="121" t="s">
        <v>10</v>
      </c>
      <c r="O5" s="117" t="s">
        <v>11</v>
      </c>
      <c r="P5" s="7" t="s">
        <v>12</v>
      </c>
      <c r="Q5" s="117" t="s">
        <v>13</v>
      </c>
      <c r="R5" s="117"/>
      <c r="S5" s="117"/>
      <c r="T5" s="10" t="s">
        <v>17</v>
      </c>
      <c r="U5" s="10" t="s">
        <v>18</v>
      </c>
      <c r="V5" s="10" t="s">
        <v>19</v>
      </c>
      <c r="W5" s="10" t="s">
        <v>20</v>
      </c>
      <c r="X5" s="10" t="s">
        <v>21</v>
      </c>
      <c r="Y5" s="8"/>
      <c r="Z5" s="8"/>
      <c r="AA5" s="8"/>
      <c r="AB5" s="8"/>
      <c r="AC5" s="8"/>
    </row>
    <row r="6" spans="1:33" ht="73.8" x14ac:dyDescent="0.3">
      <c r="A6" s="105"/>
      <c r="B6" s="108"/>
      <c r="C6" s="108"/>
      <c r="D6" s="116"/>
      <c r="E6" s="121"/>
      <c r="F6" s="117"/>
      <c r="G6" s="11" t="s">
        <v>22</v>
      </c>
      <c r="H6" s="6" t="s">
        <v>16</v>
      </c>
      <c r="I6" s="12" t="s">
        <v>23</v>
      </c>
      <c r="J6" s="9" t="s">
        <v>24</v>
      </c>
      <c r="K6" s="122"/>
      <c r="L6" s="123"/>
      <c r="M6" s="118"/>
      <c r="N6" s="121"/>
      <c r="O6" s="117"/>
      <c r="P6" s="11" t="s">
        <v>22</v>
      </c>
      <c r="Q6" s="6" t="s">
        <v>16</v>
      </c>
      <c r="R6" s="13" t="s">
        <v>23</v>
      </c>
      <c r="S6" s="9" t="s">
        <v>24</v>
      </c>
      <c r="T6" s="14" t="s">
        <v>25</v>
      </c>
      <c r="U6" s="14"/>
      <c r="V6" s="14"/>
      <c r="W6" s="14"/>
      <c r="X6" s="14"/>
      <c r="Y6" s="15" t="s">
        <v>26</v>
      </c>
      <c r="Z6" s="15" t="s">
        <v>27</v>
      </c>
      <c r="AA6" s="15"/>
      <c r="AB6" s="15"/>
      <c r="AC6" s="15" t="s">
        <v>28</v>
      </c>
      <c r="AD6" s="16"/>
      <c r="AF6" s="17" t="s">
        <v>29</v>
      </c>
    </row>
    <row r="7" spans="1:33" s="33" customFormat="1" x14ac:dyDescent="0.3">
      <c r="A7" s="18"/>
      <c r="B7" s="19" t="s">
        <v>30</v>
      </c>
      <c r="C7" s="20"/>
      <c r="D7" s="21"/>
      <c r="E7" s="21"/>
      <c r="F7" s="21"/>
      <c r="G7" s="22"/>
      <c r="H7" s="22"/>
      <c r="I7" s="22"/>
      <c r="J7" s="22"/>
      <c r="K7" s="23"/>
      <c r="L7" s="24"/>
      <c r="M7" s="25"/>
      <c r="N7" s="26"/>
      <c r="O7" s="27"/>
      <c r="P7" s="28"/>
      <c r="Q7" s="28"/>
      <c r="R7" s="28"/>
      <c r="S7" s="29"/>
      <c r="T7" s="30"/>
      <c r="U7" s="31"/>
      <c r="V7" s="31"/>
      <c r="W7" s="32"/>
      <c r="X7" s="32"/>
      <c r="Y7" s="32"/>
      <c r="AB7" s="34"/>
    </row>
    <row r="8" spans="1:33" x14ac:dyDescent="0.3">
      <c r="A8" s="35">
        <v>1</v>
      </c>
      <c r="B8" s="36" t="s">
        <v>31</v>
      </c>
      <c r="C8" s="37" t="s">
        <v>32</v>
      </c>
      <c r="D8" s="38">
        <v>228132</v>
      </c>
      <c r="E8" s="36"/>
      <c r="F8" s="39"/>
      <c r="G8" s="39"/>
      <c r="H8" s="39"/>
      <c r="I8" s="39"/>
      <c r="J8" s="40">
        <v>0</v>
      </c>
      <c r="K8" s="96">
        <v>46087</v>
      </c>
      <c r="L8" s="95" t="s">
        <v>69</v>
      </c>
      <c r="M8" s="94">
        <v>228132</v>
      </c>
      <c r="N8" s="36"/>
      <c r="O8" s="39"/>
      <c r="P8" s="39"/>
      <c r="Q8" s="39"/>
      <c r="R8" s="39"/>
      <c r="S8" s="44">
        <f>+D8-M8</f>
        <v>0</v>
      </c>
      <c r="T8" s="44" t="s">
        <v>34</v>
      </c>
      <c r="U8" s="44" t="s">
        <v>35</v>
      </c>
      <c r="V8" s="44" t="s">
        <v>36</v>
      </c>
      <c r="W8" s="44">
        <v>300000</v>
      </c>
      <c r="X8" s="44"/>
      <c r="Y8" s="44">
        <v>150000</v>
      </c>
      <c r="Z8" s="44"/>
      <c r="AA8" s="44"/>
      <c r="AB8" s="45" t="s">
        <v>37</v>
      </c>
      <c r="AC8" s="44" t="s">
        <v>38</v>
      </c>
      <c r="AD8" s="46"/>
      <c r="AE8" s="3">
        <f>+S8-AD8</f>
        <v>0</v>
      </c>
      <c r="AF8" s="47" t="s">
        <v>39</v>
      </c>
      <c r="AG8" s="48">
        <v>42983</v>
      </c>
    </row>
    <row r="9" spans="1:33" s="33" customFormat="1" ht="25.2" thickBot="1" x14ac:dyDescent="0.35">
      <c r="A9" s="18"/>
      <c r="B9" s="49" t="s">
        <v>24</v>
      </c>
      <c r="C9" s="50"/>
      <c r="D9" s="51">
        <f>SUM(D8:D8)</f>
        <v>228132</v>
      </c>
      <c r="E9" s="51"/>
      <c r="F9" s="51"/>
      <c r="G9" s="51"/>
      <c r="H9" s="51">
        <f>SUM(H8:H8)</f>
        <v>0</v>
      </c>
      <c r="I9" s="51">
        <f>SUM(I8:I8)</f>
        <v>0</v>
      </c>
      <c r="J9" s="51">
        <f>SUM(J8:J8)</f>
        <v>0</v>
      </c>
      <c r="K9" s="52"/>
      <c r="L9" s="51"/>
      <c r="M9" s="51">
        <f>SUM(M8:M8)</f>
        <v>228132</v>
      </c>
      <c r="N9" s="51"/>
      <c r="O9" s="51"/>
      <c r="P9" s="51"/>
      <c r="Q9" s="51">
        <f>SUM(Q8:Q8)</f>
        <v>0</v>
      </c>
      <c r="R9" s="51">
        <f>SUM(R8:R8)</f>
        <v>0</v>
      </c>
      <c r="S9" s="51">
        <f>SUM(S8:S8)</f>
        <v>0</v>
      </c>
      <c r="T9" s="30"/>
      <c r="U9" s="31"/>
      <c r="V9" s="31"/>
      <c r="W9" s="32"/>
      <c r="X9" s="32"/>
      <c r="Y9" s="32"/>
      <c r="AB9" s="34"/>
    </row>
    <row r="10" spans="1:33" s="33" customFormat="1" ht="25.2" thickTop="1" x14ac:dyDescent="0.3">
      <c r="A10" s="18"/>
      <c r="B10" s="53" t="s">
        <v>40</v>
      </c>
      <c r="C10" s="54"/>
      <c r="D10" s="55"/>
      <c r="E10" s="55"/>
      <c r="F10" s="55"/>
      <c r="G10" s="56"/>
      <c r="H10" s="56"/>
      <c r="I10" s="56"/>
      <c r="J10" s="56"/>
      <c r="K10" s="57"/>
      <c r="L10" s="58"/>
      <c r="M10" s="59"/>
      <c r="N10" s="60"/>
      <c r="O10" s="61"/>
      <c r="P10" s="62"/>
      <c r="Q10" s="62"/>
      <c r="R10" s="62"/>
      <c r="S10" s="63"/>
      <c r="T10" s="30"/>
      <c r="U10" s="31"/>
      <c r="V10" s="31"/>
      <c r="W10" s="32"/>
      <c r="X10" s="32"/>
      <c r="Y10" s="32"/>
      <c r="AB10" s="34"/>
    </row>
    <row r="11" spans="1:33" x14ac:dyDescent="0.3">
      <c r="A11" s="64">
        <v>1</v>
      </c>
      <c r="B11" s="36" t="s">
        <v>31</v>
      </c>
      <c r="C11" s="65"/>
      <c r="D11" s="66">
        <v>11900</v>
      </c>
      <c r="E11" s="4"/>
      <c r="F11" s="10"/>
      <c r="G11" s="10"/>
      <c r="H11" s="10"/>
      <c r="I11" s="10"/>
      <c r="J11" s="67">
        <v>0</v>
      </c>
      <c r="K11" s="96">
        <v>46087</v>
      </c>
      <c r="L11" s="95" t="s">
        <v>70</v>
      </c>
      <c r="M11" s="98">
        <v>11900</v>
      </c>
      <c r="O11" s="10"/>
      <c r="P11" s="10"/>
      <c r="Q11" s="10"/>
      <c r="R11" s="10"/>
      <c r="S11" s="44">
        <f>+D11-M11</f>
        <v>0</v>
      </c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1"/>
      <c r="AF11" s="47" t="s">
        <v>42</v>
      </c>
      <c r="AG11" s="48">
        <v>42983</v>
      </c>
    </row>
    <row r="12" spans="1:33" s="33" customFormat="1" ht="25.2" thickBot="1" x14ac:dyDescent="0.35">
      <c r="A12" s="18"/>
      <c r="B12" s="49" t="s">
        <v>24</v>
      </c>
      <c r="C12" s="50"/>
      <c r="D12" s="51">
        <f>SUM(D11)</f>
        <v>11900</v>
      </c>
      <c r="E12" s="51"/>
      <c r="F12" s="51"/>
      <c r="G12" s="51"/>
      <c r="H12" s="51">
        <f t="shared" ref="H12:J12" si="0">SUM(H11)</f>
        <v>0</v>
      </c>
      <c r="I12" s="51">
        <f t="shared" si="0"/>
        <v>0</v>
      </c>
      <c r="J12" s="51">
        <f t="shared" si="0"/>
        <v>0</v>
      </c>
      <c r="K12" s="52"/>
      <c r="L12" s="51"/>
      <c r="M12" s="51">
        <f t="shared" ref="M12" si="1">SUM(M11)</f>
        <v>11900</v>
      </c>
      <c r="N12" s="51"/>
      <c r="O12" s="51"/>
      <c r="P12" s="51"/>
      <c r="Q12" s="51">
        <f t="shared" ref="Q12:S12" si="2">SUM(Q11)</f>
        <v>0</v>
      </c>
      <c r="R12" s="51">
        <f t="shared" si="2"/>
        <v>0</v>
      </c>
      <c r="S12" s="51">
        <f t="shared" si="2"/>
        <v>0</v>
      </c>
      <c r="T12" s="30"/>
      <c r="U12" s="31"/>
      <c r="V12" s="31"/>
      <c r="W12" s="32"/>
      <c r="X12" s="32"/>
      <c r="Y12" s="32"/>
      <c r="AB12" s="34"/>
    </row>
    <row r="13" spans="1:33" s="33" customFormat="1" ht="25.8" thickTop="1" thickBot="1" x14ac:dyDescent="0.35">
      <c r="A13" s="72"/>
      <c r="B13" s="73" t="s">
        <v>43</v>
      </c>
      <c r="C13" s="74"/>
      <c r="D13" s="75">
        <f>D9+D12</f>
        <v>240032</v>
      </c>
      <c r="E13" s="76"/>
      <c r="F13" s="76"/>
      <c r="G13" s="76"/>
      <c r="H13" s="76">
        <f>H9+H12</f>
        <v>0</v>
      </c>
      <c r="I13" s="76">
        <f t="shared" ref="I13:J13" si="3">I9+I12</f>
        <v>0</v>
      </c>
      <c r="J13" s="76">
        <f t="shared" si="3"/>
        <v>0</v>
      </c>
      <c r="K13" s="76"/>
      <c r="L13" s="76"/>
      <c r="M13" s="75">
        <f>M9+M12</f>
        <v>240032</v>
      </c>
      <c r="N13" s="76"/>
      <c r="O13" s="76"/>
      <c r="P13" s="76"/>
      <c r="Q13" s="76">
        <f>Q9+Q12</f>
        <v>0</v>
      </c>
      <c r="R13" s="76">
        <f t="shared" ref="R13:S13" si="4">R9+R12</f>
        <v>0</v>
      </c>
      <c r="S13" s="76">
        <f t="shared" si="4"/>
        <v>0</v>
      </c>
      <c r="T13" s="77"/>
      <c r="U13" s="78"/>
      <c r="V13" s="78"/>
      <c r="W13" s="76"/>
      <c r="X13" s="76"/>
      <c r="Y13" s="76"/>
    </row>
    <row r="14" spans="1:33" ht="25.2" thickTop="1" x14ac:dyDescent="0.3">
      <c r="E14" s="4"/>
      <c r="F14" s="8"/>
      <c r="G14" s="8"/>
      <c r="H14" s="8"/>
      <c r="I14" s="8"/>
      <c r="J14" s="2"/>
      <c r="K14" s="2"/>
      <c r="L14" s="2"/>
    </row>
    <row r="15" spans="1:33" x14ac:dyDescent="0.3">
      <c r="E15" s="4"/>
      <c r="F15" s="8"/>
      <c r="G15" s="8"/>
      <c r="H15" s="8"/>
      <c r="I15" s="8"/>
      <c r="J15" s="2"/>
      <c r="K15" s="2"/>
      <c r="L15" s="2"/>
    </row>
    <row r="16" spans="1:33" x14ac:dyDescent="0.3">
      <c r="E16" s="4"/>
      <c r="F16" s="8"/>
      <c r="G16" s="8"/>
      <c r="H16" s="8"/>
      <c r="I16" s="8"/>
      <c r="J16" s="2"/>
      <c r="K16" s="2"/>
      <c r="L16" s="2"/>
    </row>
    <row r="17" spans="2:30" s="3" customFormat="1" x14ac:dyDescent="0.3">
      <c r="B17" s="79"/>
      <c r="C17" s="4"/>
      <c r="D17" s="80"/>
      <c r="E17" s="4"/>
      <c r="F17" s="8"/>
      <c r="G17" s="8"/>
      <c r="H17" s="8"/>
      <c r="I17" s="8"/>
      <c r="J17" s="2"/>
      <c r="K17" s="2"/>
      <c r="L17" s="2"/>
      <c r="M17" s="81"/>
      <c r="N17" s="4"/>
      <c r="O17" s="8"/>
      <c r="P17" s="8"/>
      <c r="Q17" s="8"/>
      <c r="R17" s="8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2"/>
    </row>
    <row r="18" spans="2:30" s="3" customFormat="1" x14ac:dyDescent="0.3">
      <c r="B18" s="47"/>
      <c r="C18" s="4"/>
      <c r="D18" s="80"/>
      <c r="E18" s="83"/>
      <c r="F18" s="83"/>
      <c r="G18" s="83"/>
      <c r="H18" s="83"/>
      <c r="I18" s="83"/>
      <c r="J18" s="84"/>
      <c r="K18" s="84"/>
      <c r="L18" s="84"/>
      <c r="M18" s="81"/>
      <c r="N18" s="4"/>
      <c r="O18" s="8"/>
      <c r="P18" s="8"/>
      <c r="Q18" s="8"/>
      <c r="R18" s="8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2"/>
    </row>
    <row r="19" spans="2:30" s="3" customFormat="1" x14ac:dyDescent="0.7">
      <c r="B19" s="119" t="s">
        <v>44</v>
      </c>
      <c r="C19" s="119"/>
      <c r="D19" s="119"/>
      <c r="E19" s="85"/>
      <c r="F19" s="86"/>
      <c r="G19" s="119" t="s">
        <v>44</v>
      </c>
      <c r="H19" s="119"/>
      <c r="I19" s="119"/>
      <c r="J19" s="119"/>
      <c r="K19" s="119"/>
      <c r="L19" s="87"/>
      <c r="M19" s="87"/>
      <c r="N19" s="119" t="s">
        <v>44</v>
      </c>
      <c r="O19" s="119"/>
      <c r="P19" s="119"/>
      <c r="Q19" s="119"/>
      <c r="R19" s="119"/>
      <c r="S19" s="82"/>
      <c r="T19" s="88"/>
      <c r="U19" s="88"/>
      <c r="V19" s="88"/>
      <c r="W19" s="82"/>
      <c r="X19" s="82"/>
      <c r="Y19" s="82"/>
      <c r="Z19" s="82"/>
      <c r="AA19" s="82"/>
      <c r="AB19" s="82"/>
      <c r="AC19" s="82"/>
      <c r="AD19" s="2"/>
    </row>
    <row r="20" spans="2:30" s="3" customFormat="1" x14ac:dyDescent="0.7">
      <c r="B20" s="119" t="s">
        <v>45</v>
      </c>
      <c r="C20" s="119"/>
      <c r="D20" s="119"/>
      <c r="E20" s="87"/>
      <c r="F20" s="87"/>
      <c r="G20" s="119" t="s">
        <v>46</v>
      </c>
      <c r="H20" s="119"/>
      <c r="I20" s="119"/>
      <c r="J20" s="119"/>
      <c r="K20" s="119"/>
      <c r="L20" s="87"/>
      <c r="M20" s="87"/>
      <c r="N20" s="119" t="s">
        <v>47</v>
      </c>
      <c r="O20" s="119"/>
      <c r="P20" s="119"/>
      <c r="Q20" s="119"/>
      <c r="R20" s="119"/>
      <c r="S20" s="4"/>
      <c r="T20" s="120"/>
      <c r="U20" s="120"/>
      <c r="V20" s="120"/>
      <c r="W20" s="120"/>
      <c r="X20" s="4"/>
      <c r="Y20" s="4"/>
      <c r="Z20" s="4"/>
      <c r="AA20" s="4"/>
      <c r="AB20" s="4"/>
      <c r="AC20" s="4"/>
      <c r="AD20" s="4"/>
    </row>
    <row r="21" spans="2:30" s="3" customFormat="1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33" spans="2:34" x14ac:dyDescent="0.3">
      <c r="B33" s="4"/>
      <c r="D33" s="4"/>
      <c r="E33" s="4"/>
      <c r="F33" s="4"/>
      <c r="G33" s="4"/>
      <c r="H33" s="4"/>
      <c r="I33" s="4"/>
      <c r="J33" s="4"/>
      <c r="K33" s="4"/>
      <c r="L33" s="4"/>
      <c r="M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H33" s="79" t="s">
        <v>21</v>
      </c>
    </row>
    <row r="34" spans="2:34" x14ac:dyDescent="0.3">
      <c r="B34" s="4"/>
      <c r="D34" s="4"/>
      <c r="E34" s="4"/>
      <c r="F34" s="4"/>
      <c r="G34" s="4"/>
      <c r="H34" s="4"/>
      <c r="I34" s="4"/>
      <c r="J34" s="4"/>
      <c r="K34" s="4"/>
      <c r="L34" s="4"/>
      <c r="M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H34" s="79" t="s">
        <v>48</v>
      </c>
    </row>
    <row r="35" spans="2:34" x14ac:dyDescent="0.3">
      <c r="B35" s="4"/>
      <c r="D35" s="4"/>
      <c r="E35" s="4"/>
      <c r="F35" s="4"/>
      <c r="G35" s="4"/>
      <c r="H35" s="4"/>
      <c r="I35" s="4"/>
      <c r="J35" s="4"/>
      <c r="K35" s="4"/>
      <c r="L35" s="4"/>
      <c r="M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H35" s="79" t="s">
        <v>49</v>
      </c>
    </row>
  </sheetData>
  <mergeCells count="26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B20:D20"/>
    <mergeCell ref="G20:K20"/>
    <mergeCell ref="N20:R20"/>
    <mergeCell ref="T20:W20"/>
    <mergeCell ref="N5:N6"/>
    <mergeCell ref="O5:O6"/>
    <mergeCell ref="Q5:S5"/>
    <mergeCell ref="B19:D19"/>
    <mergeCell ref="G19:K19"/>
    <mergeCell ref="N19:R19"/>
    <mergeCell ref="E5:E6"/>
    <mergeCell ref="F5:F6"/>
    <mergeCell ref="H5:J5"/>
    <mergeCell ref="K5:K6"/>
    <mergeCell ref="L5:L6"/>
    <mergeCell ref="M5:M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3D90-9494-4351-BA8E-88B4956974C5}">
  <sheetPr>
    <tabColor rgb="FFFFFF00"/>
  </sheetPr>
  <dimension ref="A1:H35"/>
  <sheetViews>
    <sheetView zoomScale="90" zoomScaleNormal="90" workbookViewId="0">
      <selection activeCell="A3" sqref="A3:F3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0.44140625" style="84" customWidth="1"/>
    <col min="5" max="5" width="11" style="84" customWidth="1"/>
    <col min="6" max="6" width="17.88671875" style="81" customWidth="1"/>
    <col min="7" max="7" width="10.33203125" style="4"/>
    <col min="8" max="8" width="12.44140625" style="4" bestFit="1" customWidth="1"/>
    <col min="9" max="16384" width="10.33203125" style="4"/>
  </cols>
  <sheetData>
    <row r="1" spans="1:8" x14ac:dyDescent="0.3">
      <c r="A1" s="101" t="s">
        <v>51</v>
      </c>
      <c r="B1" s="101"/>
      <c r="C1" s="101"/>
      <c r="D1" s="101"/>
      <c r="E1" s="101"/>
      <c r="F1" s="101"/>
    </row>
    <row r="2" spans="1:8" x14ac:dyDescent="0.3">
      <c r="A2" s="101" t="s">
        <v>1</v>
      </c>
      <c r="B2" s="101"/>
      <c r="C2" s="101"/>
      <c r="D2" s="101"/>
      <c r="E2" s="101"/>
      <c r="F2" s="101"/>
    </row>
    <row r="3" spans="1:8" x14ac:dyDescent="0.3">
      <c r="A3" s="102" t="s">
        <v>68</v>
      </c>
      <c r="B3" s="102"/>
      <c r="C3" s="102"/>
      <c r="D3" s="102"/>
      <c r="E3" s="102"/>
      <c r="F3" s="102"/>
    </row>
    <row r="4" spans="1:8" x14ac:dyDescent="0.3">
      <c r="A4" s="103" t="s">
        <v>3</v>
      </c>
      <c r="B4" s="106" t="s">
        <v>4</v>
      </c>
      <c r="C4" s="106" t="s">
        <v>5</v>
      </c>
      <c r="D4" s="118" t="s">
        <v>8</v>
      </c>
      <c r="E4" s="118"/>
      <c r="F4" s="118"/>
    </row>
    <row r="5" spans="1:8" x14ac:dyDescent="0.3">
      <c r="A5" s="104"/>
      <c r="B5" s="107"/>
      <c r="C5" s="107"/>
      <c r="D5" s="122" t="s">
        <v>14</v>
      </c>
      <c r="E5" s="123" t="s">
        <v>15</v>
      </c>
      <c r="F5" s="118" t="s">
        <v>16</v>
      </c>
    </row>
    <row r="6" spans="1:8" x14ac:dyDescent="0.3">
      <c r="A6" s="105"/>
      <c r="B6" s="108"/>
      <c r="C6" s="108"/>
      <c r="D6" s="122"/>
      <c r="E6" s="123"/>
      <c r="F6" s="118"/>
    </row>
    <row r="7" spans="1:8" s="33" customFormat="1" x14ac:dyDescent="0.3">
      <c r="A7" s="18"/>
      <c r="B7" s="19" t="s">
        <v>30</v>
      </c>
      <c r="C7" s="20"/>
      <c r="D7" s="23"/>
      <c r="E7" s="24"/>
      <c r="F7" s="25"/>
    </row>
    <row r="8" spans="1:8" x14ac:dyDescent="0.3">
      <c r="A8" s="35">
        <v>1</v>
      </c>
      <c r="B8" s="36" t="s">
        <v>31</v>
      </c>
      <c r="C8" s="37" t="s">
        <v>32</v>
      </c>
      <c r="D8" s="96">
        <v>46087</v>
      </c>
      <c r="E8" s="95" t="s">
        <v>69</v>
      </c>
      <c r="F8" s="94">
        <v>228132</v>
      </c>
    </row>
    <row r="9" spans="1:8" s="33" customFormat="1" ht="25.2" thickBot="1" x14ac:dyDescent="0.35">
      <c r="A9" s="18"/>
      <c r="B9" s="49" t="s">
        <v>24</v>
      </c>
      <c r="C9" s="50"/>
      <c r="D9" s="52"/>
      <c r="E9" s="51"/>
      <c r="F9" s="51">
        <v>228132</v>
      </c>
      <c r="H9" s="99">
        <f>SUM(F8)</f>
        <v>228132</v>
      </c>
    </row>
    <row r="10" spans="1:8" s="33" customFormat="1" ht="25.2" thickTop="1" x14ac:dyDescent="0.3">
      <c r="A10" s="18"/>
      <c r="B10" s="53" t="s">
        <v>40</v>
      </c>
      <c r="C10" s="54"/>
      <c r="D10" s="57"/>
      <c r="E10" s="58"/>
      <c r="F10" s="59"/>
    </row>
    <row r="11" spans="1:8" x14ac:dyDescent="0.3">
      <c r="A11" s="64">
        <v>1</v>
      </c>
      <c r="B11" s="36" t="s">
        <v>31</v>
      </c>
      <c r="C11" s="65"/>
      <c r="D11" s="96">
        <v>46087</v>
      </c>
      <c r="E11" s="95" t="s">
        <v>70</v>
      </c>
      <c r="F11" s="98">
        <v>11900</v>
      </c>
    </row>
    <row r="12" spans="1:8" s="33" customFormat="1" ht="25.2" thickBot="1" x14ac:dyDescent="0.35">
      <c r="A12" s="18"/>
      <c r="B12" s="49" t="s">
        <v>24</v>
      </c>
      <c r="C12" s="50"/>
      <c r="D12" s="52"/>
      <c r="E12" s="51"/>
      <c r="F12" s="51">
        <v>11900</v>
      </c>
      <c r="H12" s="99">
        <f>SUM(F11)</f>
        <v>11900</v>
      </c>
    </row>
    <row r="13" spans="1:8" s="33" customFormat="1" ht="25.8" thickTop="1" thickBot="1" x14ac:dyDescent="0.35">
      <c r="A13" s="72"/>
      <c r="B13" s="73" t="s">
        <v>43</v>
      </c>
      <c r="C13" s="74"/>
      <c r="D13" s="76"/>
      <c r="E13" s="76"/>
      <c r="F13" s="75">
        <v>240032</v>
      </c>
      <c r="H13" s="100">
        <f>SUM(H9:H12)</f>
        <v>240032</v>
      </c>
    </row>
    <row r="14" spans="1:8" ht="25.2" thickTop="1" x14ac:dyDescent="0.3">
      <c r="D14" s="2"/>
      <c r="E14" s="2"/>
    </row>
    <row r="15" spans="1:8" x14ac:dyDescent="0.3">
      <c r="D15" s="2"/>
      <c r="E15" s="2"/>
    </row>
    <row r="16" spans="1:8" x14ac:dyDescent="0.3">
      <c r="D16" s="2"/>
      <c r="E16" s="2"/>
    </row>
    <row r="17" spans="2:6" s="3" customFormat="1" x14ac:dyDescent="0.3">
      <c r="B17" s="79"/>
      <c r="C17" s="4"/>
      <c r="D17" s="2"/>
      <c r="E17" s="2"/>
      <c r="F17" s="81"/>
    </row>
    <row r="18" spans="2:6" s="3" customFormat="1" x14ac:dyDescent="0.3">
      <c r="B18" s="47"/>
      <c r="C18" s="4"/>
      <c r="D18" s="84"/>
      <c r="E18" s="84"/>
      <c r="F18" s="81"/>
    </row>
    <row r="19" spans="2:6" s="3" customFormat="1" x14ac:dyDescent="0.6">
      <c r="B19" s="119" t="s">
        <v>44</v>
      </c>
      <c r="C19" s="119"/>
      <c r="D19" s="89"/>
      <c r="E19" s="87"/>
      <c r="F19" s="87"/>
    </row>
    <row r="20" spans="2:6" s="3" customFormat="1" x14ac:dyDescent="0.6">
      <c r="B20" s="119" t="s">
        <v>45</v>
      </c>
      <c r="C20" s="119"/>
      <c r="D20" s="89"/>
      <c r="E20" s="87"/>
      <c r="F20" s="87"/>
    </row>
    <row r="21" spans="2:6" s="3" customFormat="1" x14ac:dyDescent="0.3">
      <c r="B21" s="4"/>
      <c r="C21" s="4"/>
      <c r="D21" s="4"/>
      <c r="E21" s="4"/>
      <c r="F21" s="4"/>
    </row>
    <row r="33" s="4" customFormat="1" x14ac:dyDescent="0.3"/>
    <row r="34" s="4" customFormat="1" x14ac:dyDescent="0.3"/>
    <row r="35" s="4" customFormat="1" x14ac:dyDescent="0.3"/>
  </sheetData>
  <mergeCells count="12">
    <mergeCell ref="B20:C20"/>
    <mergeCell ref="B19:C19"/>
    <mergeCell ref="D5:D6"/>
    <mergeCell ref="E5:E6"/>
    <mergeCell ref="F5:F6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DA70-4545-450F-86F1-9FD1C24427FB}">
  <sheetPr>
    <tabColor rgb="FFFFFF00"/>
  </sheetPr>
  <dimension ref="A1:G19"/>
  <sheetViews>
    <sheetView workbookViewId="0">
      <selection activeCell="L14" sqref="L14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4" width="11.44140625" style="4" customWidth="1"/>
    <col min="5" max="5" width="7.5546875" style="4" customWidth="1"/>
    <col min="6" max="6" width="7.5546875" style="8" customWidth="1"/>
    <col min="7" max="7" width="14.109375" style="82" customWidth="1"/>
    <col min="8" max="16384" width="10.33203125" style="4"/>
  </cols>
  <sheetData>
    <row r="1" spans="1:7" x14ac:dyDescent="0.3">
      <c r="A1" s="101" t="s">
        <v>51</v>
      </c>
      <c r="B1" s="101"/>
      <c r="C1" s="101"/>
      <c r="D1" s="101"/>
      <c r="E1" s="101"/>
      <c r="F1" s="101"/>
      <c r="G1" s="101"/>
    </row>
    <row r="2" spans="1:7" x14ac:dyDescent="0.3">
      <c r="A2" s="101" t="s">
        <v>1</v>
      </c>
      <c r="B2" s="101"/>
      <c r="C2" s="101"/>
      <c r="D2" s="101"/>
      <c r="E2" s="101"/>
      <c r="F2" s="101"/>
      <c r="G2" s="101"/>
    </row>
    <row r="3" spans="1:7" x14ac:dyDescent="0.3">
      <c r="A3" s="102" t="s">
        <v>68</v>
      </c>
      <c r="B3" s="102"/>
      <c r="C3" s="102"/>
      <c r="D3" s="102"/>
      <c r="E3" s="102"/>
      <c r="F3" s="102"/>
      <c r="G3" s="102"/>
    </row>
    <row r="4" spans="1:7" x14ac:dyDescent="0.3">
      <c r="A4" s="103" t="s">
        <v>3</v>
      </c>
      <c r="B4" s="106" t="s">
        <v>4</v>
      </c>
      <c r="C4" s="106" t="s">
        <v>5</v>
      </c>
      <c r="D4" s="93"/>
      <c r="E4" s="109" t="s">
        <v>9</v>
      </c>
      <c r="F4" s="110"/>
      <c r="G4" s="111"/>
    </row>
    <row r="5" spans="1:7" x14ac:dyDescent="0.3">
      <c r="A5" s="104"/>
      <c r="B5" s="107"/>
      <c r="C5" s="107"/>
      <c r="D5" s="90" t="s">
        <v>54</v>
      </c>
      <c r="E5" s="103" t="s">
        <v>10</v>
      </c>
      <c r="F5" s="112" t="s">
        <v>11</v>
      </c>
      <c r="G5" s="92"/>
    </row>
    <row r="6" spans="1:7" x14ac:dyDescent="0.3">
      <c r="A6" s="105"/>
      <c r="B6" s="108"/>
      <c r="C6" s="108"/>
      <c r="D6" s="91"/>
      <c r="E6" s="105"/>
      <c r="F6" s="113"/>
      <c r="G6" s="9" t="s">
        <v>24</v>
      </c>
    </row>
    <row r="7" spans="1:7" s="33" customFormat="1" x14ac:dyDescent="0.3">
      <c r="A7" s="18"/>
      <c r="B7" s="19" t="s">
        <v>55</v>
      </c>
      <c r="C7" s="20"/>
      <c r="D7" s="20"/>
      <c r="E7" s="26"/>
      <c r="F7" s="27"/>
      <c r="G7" s="29"/>
    </row>
    <row r="8" spans="1:7" x14ac:dyDescent="0.3">
      <c r="A8" s="35"/>
      <c r="B8" s="36"/>
      <c r="C8" s="37"/>
      <c r="D8" s="37"/>
      <c r="E8" s="36"/>
      <c r="F8" s="39"/>
      <c r="G8" s="44">
        <v>0</v>
      </c>
    </row>
    <row r="9" spans="1:7" s="33" customFormat="1" ht="25.2" thickBot="1" x14ac:dyDescent="0.35">
      <c r="A9" s="18"/>
      <c r="B9" s="49" t="s">
        <v>24</v>
      </c>
      <c r="C9" s="50"/>
      <c r="D9" s="50"/>
      <c r="E9" s="51"/>
      <c r="F9" s="51"/>
      <c r="G9" s="51">
        <v>0</v>
      </c>
    </row>
    <row r="10" spans="1:7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G1"/>
    <mergeCell ref="A2:G2"/>
    <mergeCell ref="A3:G3"/>
    <mergeCell ref="A4:A6"/>
    <mergeCell ref="B4:B6"/>
    <mergeCell ref="C4:C6"/>
    <mergeCell ref="E4:G4"/>
    <mergeCell ref="E5:E6"/>
    <mergeCell ref="F5:F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3A9D-2E48-4CD2-9ABD-7CBE3C3AEF18}">
  <sheetPr>
    <tabColor rgb="FFFFFF00"/>
  </sheetPr>
  <dimension ref="A1:F19"/>
  <sheetViews>
    <sheetView topLeftCell="A2" workbookViewId="0">
      <selection activeCell="I20" sqref="I20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11.44140625" style="4" customWidth="1"/>
    <col min="4" max="4" width="7.5546875" style="4" customWidth="1"/>
    <col min="5" max="5" width="7.5546875" style="8" customWidth="1"/>
    <col min="6" max="6" width="14.109375" style="82" customWidth="1"/>
    <col min="7" max="16384" width="10.33203125" style="4"/>
  </cols>
  <sheetData>
    <row r="1" spans="1:6" x14ac:dyDescent="0.3">
      <c r="A1" s="101" t="s">
        <v>51</v>
      </c>
      <c r="B1" s="101"/>
      <c r="C1" s="101"/>
      <c r="D1" s="101"/>
      <c r="E1" s="101"/>
      <c r="F1" s="101"/>
    </row>
    <row r="2" spans="1:6" x14ac:dyDescent="0.3">
      <c r="A2" s="101" t="s">
        <v>1</v>
      </c>
      <c r="B2" s="101"/>
      <c r="C2" s="101"/>
      <c r="D2" s="101"/>
      <c r="E2" s="101"/>
      <c r="F2" s="101"/>
    </row>
    <row r="3" spans="1:6" x14ac:dyDescent="0.3">
      <c r="A3" s="102" t="s">
        <v>68</v>
      </c>
      <c r="B3" s="102"/>
      <c r="C3" s="102"/>
      <c r="D3" s="102"/>
      <c r="E3" s="102"/>
      <c r="F3" s="102"/>
    </row>
    <row r="4" spans="1:6" x14ac:dyDescent="0.3">
      <c r="A4" s="103" t="s">
        <v>3</v>
      </c>
      <c r="B4" s="106" t="s">
        <v>4</v>
      </c>
      <c r="C4" s="106" t="s">
        <v>5</v>
      </c>
      <c r="D4" s="109" t="s">
        <v>9</v>
      </c>
      <c r="E4" s="110"/>
      <c r="F4" s="111"/>
    </row>
    <row r="5" spans="1:6" x14ac:dyDescent="0.3">
      <c r="A5" s="104"/>
      <c r="B5" s="107"/>
      <c r="C5" s="107"/>
      <c r="D5" s="103" t="s">
        <v>10</v>
      </c>
      <c r="E5" s="112" t="s">
        <v>11</v>
      </c>
      <c r="F5" s="92"/>
    </row>
    <row r="6" spans="1:6" x14ac:dyDescent="0.3">
      <c r="A6" s="105"/>
      <c r="B6" s="108"/>
      <c r="C6" s="108"/>
      <c r="D6" s="105"/>
      <c r="E6" s="113"/>
      <c r="F6" s="9" t="s">
        <v>24</v>
      </c>
    </row>
    <row r="7" spans="1:6" s="33" customFormat="1" x14ac:dyDescent="0.3">
      <c r="A7" s="18"/>
      <c r="B7" s="19" t="s">
        <v>55</v>
      </c>
      <c r="C7" s="20"/>
      <c r="D7" s="26"/>
      <c r="E7" s="27"/>
      <c r="F7" s="29"/>
    </row>
    <row r="8" spans="1:6" x14ac:dyDescent="0.3">
      <c r="A8" s="35"/>
      <c r="B8" s="36"/>
      <c r="C8" s="37"/>
      <c r="D8" s="36"/>
      <c r="E8" s="39"/>
      <c r="F8" s="44">
        <v>0</v>
      </c>
    </row>
    <row r="9" spans="1:6" s="33" customFormat="1" ht="25.2" thickBot="1" x14ac:dyDescent="0.35">
      <c r="A9" s="18"/>
      <c r="B9" s="49" t="s">
        <v>24</v>
      </c>
      <c r="C9" s="50"/>
      <c r="D9" s="51"/>
      <c r="E9" s="51"/>
      <c r="F9" s="51">
        <v>0</v>
      </c>
    </row>
    <row r="10" spans="1:6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0FD9-066C-4687-936A-D95125A7AD63}">
  <sheetPr>
    <tabColor rgb="FF00B0F0"/>
  </sheetPr>
  <dimension ref="A1:AH35"/>
  <sheetViews>
    <sheetView zoomScale="60" zoomScaleNormal="60" workbookViewId="0">
      <selection activeCell="S10" sqref="S10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8.44140625" style="80" customWidth="1"/>
    <col min="5" max="5" width="6.44140625" style="83" customWidth="1"/>
    <col min="6" max="6" width="3.109375" style="83" customWidth="1"/>
    <col min="7" max="7" width="3.44140625" style="83" customWidth="1"/>
    <col min="8" max="8" width="7.6640625" style="83" customWidth="1"/>
    <col min="9" max="9" width="7" style="83" customWidth="1"/>
    <col min="10" max="10" width="6.88671875" style="84" customWidth="1"/>
    <col min="11" max="11" width="10.44140625" style="84" customWidth="1"/>
    <col min="12" max="12" width="11" style="84" customWidth="1"/>
    <col min="13" max="13" width="17.88671875" style="81" customWidth="1"/>
    <col min="14" max="14" width="3.5546875" style="4" customWidth="1"/>
    <col min="15" max="15" width="3.5546875" style="8" customWidth="1"/>
    <col min="16" max="16" width="3.6640625" style="8" customWidth="1"/>
    <col min="17" max="17" width="7.109375" style="8" customWidth="1"/>
    <col min="18" max="18" width="5.44140625" style="8" customWidth="1"/>
    <col min="19" max="19" width="14.109375" style="82" customWidth="1"/>
    <col min="20" max="20" width="4.109375" style="82" customWidth="1"/>
    <col min="21" max="21" width="6.6640625" style="82" customWidth="1"/>
    <col min="22" max="22" width="7.44140625" style="82" customWidth="1"/>
    <col min="23" max="23" width="18.88671875" style="82" customWidth="1"/>
    <col min="24" max="24" width="7.44140625" style="82" customWidth="1"/>
    <col min="25" max="27" width="9.88671875" style="82" customWidth="1"/>
    <col min="28" max="28" width="11.44140625" style="82" bestFit="1" customWidth="1"/>
    <col min="29" max="29" width="9.88671875" style="82" customWidth="1"/>
    <col min="30" max="30" width="10.33203125" style="2"/>
    <col min="31" max="31" width="10.44140625" style="3" bestFit="1" customWidth="1"/>
    <col min="32" max="32" width="10.33203125" style="4"/>
    <col min="33" max="33" width="11.6640625" style="4" bestFit="1" customWidth="1"/>
    <col min="34" max="16384" width="10.33203125" style="4"/>
  </cols>
  <sheetData>
    <row r="1" spans="1:33" x14ac:dyDescent="0.3">
      <c r="A1" s="101" t="s">
        <v>51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x14ac:dyDescent="0.3">
      <c r="A2" s="101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3" x14ac:dyDescent="0.3">
      <c r="A3" s="102" t="s">
        <v>65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33" x14ac:dyDescent="0.3">
      <c r="A4" s="103" t="s">
        <v>3</v>
      </c>
      <c r="B4" s="106" t="s">
        <v>4</v>
      </c>
      <c r="C4" s="106" t="s">
        <v>5</v>
      </c>
      <c r="D4" s="114" t="s">
        <v>6</v>
      </c>
      <c r="E4" s="117" t="s">
        <v>7</v>
      </c>
      <c r="F4" s="117"/>
      <c r="G4" s="117"/>
      <c r="H4" s="117"/>
      <c r="I4" s="117"/>
      <c r="J4" s="117"/>
      <c r="K4" s="118" t="s">
        <v>8</v>
      </c>
      <c r="L4" s="118"/>
      <c r="M4" s="118"/>
      <c r="N4" s="117" t="s">
        <v>9</v>
      </c>
      <c r="O4" s="117"/>
      <c r="P4" s="117"/>
      <c r="Q4" s="117"/>
      <c r="R4" s="117"/>
      <c r="S4" s="117"/>
      <c r="T4" s="7"/>
      <c r="U4" s="7"/>
      <c r="V4" s="7"/>
      <c r="W4" s="7"/>
      <c r="X4" s="7"/>
      <c r="Y4" s="8"/>
      <c r="Z4" s="8"/>
      <c r="AA4" s="8"/>
      <c r="AB4" s="8"/>
      <c r="AC4" s="8"/>
    </row>
    <row r="5" spans="1:33" x14ac:dyDescent="0.3">
      <c r="A5" s="104"/>
      <c r="B5" s="107"/>
      <c r="C5" s="107"/>
      <c r="D5" s="115"/>
      <c r="E5" s="121" t="s">
        <v>10</v>
      </c>
      <c r="F5" s="117" t="s">
        <v>11</v>
      </c>
      <c r="G5" s="7" t="s">
        <v>12</v>
      </c>
      <c r="H5" s="117" t="s">
        <v>13</v>
      </c>
      <c r="I5" s="117"/>
      <c r="J5" s="117"/>
      <c r="K5" s="122" t="s">
        <v>14</v>
      </c>
      <c r="L5" s="123" t="s">
        <v>15</v>
      </c>
      <c r="M5" s="118" t="s">
        <v>16</v>
      </c>
      <c r="N5" s="121" t="s">
        <v>10</v>
      </c>
      <c r="O5" s="117" t="s">
        <v>11</v>
      </c>
      <c r="P5" s="7" t="s">
        <v>12</v>
      </c>
      <c r="Q5" s="117" t="s">
        <v>13</v>
      </c>
      <c r="R5" s="117"/>
      <c r="S5" s="117"/>
      <c r="T5" s="10" t="s">
        <v>17</v>
      </c>
      <c r="U5" s="10" t="s">
        <v>18</v>
      </c>
      <c r="V5" s="10" t="s">
        <v>19</v>
      </c>
      <c r="W5" s="10" t="s">
        <v>20</v>
      </c>
      <c r="X5" s="10" t="s">
        <v>21</v>
      </c>
      <c r="Y5" s="8"/>
      <c r="Z5" s="8"/>
      <c r="AA5" s="8"/>
      <c r="AB5" s="8"/>
      <c r="AC5" s="8"/>
    </row>
    <row r="6" spans="1:33" ht="73.8" x14ac:dyDescent="0.3">
      <c r="A6" s="105"/>
      <c r="B6" s="108"/>
      <c r="C6" s="108"/>
      <c r="D6" s="116"/>
      <c r="E6" s="121"/>
      <c r="F6" s="117"/>
      <c r="G6" s="11" t="s">
        <v>22</v>
      </c>
      <c r="H6" s="6" t="s">
        <v>16</v>
      </c>
      <c r="I6" s="12" t="s">
        <v>23</v>
      </c>
      <c r="J6" s="9" t="s">
        <v>24</v>
      </c>
      <c r="K6" s="122"/>
      <c r="L6" s="123"/>
      <c r="M6" s="118"/>
      <c r="N6" s="121"/>
      <c r="O6" s="117"/>
      <c r="P6" s="11" t="s">
        <v>22</v>
      </c>
      <c r="Q6" s="6" t="s">
        <v>16</v>
      </c>
      <c r="R6" s="13" t="s">
        <v>23</v>
      </c>
      <c r="S6" s="9" t="s">
        <v>24</v>
      </c>
      <c r="T6" s="14" t="s">
        <v>25</v>
      </c>
      <c r="U6" s="14"/>
      <c r="V6" s="14"/>
      <c r="W6" s="14"/>
      <c r="X6" s="14"/>
      <c r="Y6" s="15" t="s">
        <v>26</v>
      </c>
      <c r="Z6" s="15" t="s">
        <v>27</v>
      </c>
      <c r="AA6" s="15"/>
      <c r="AB6" s="15"/>
      <c r="AC6" s="15" t="s">
        <v>28</v>
      </c>
      <c r="AD6" s="16"/>
      <c r="AF6" s="17" t="s">
        <v>29</v>
      </c>
    </row>
    <row r="7" spans="1:33" s="33" customFormat="1" x14ac:dyDescent="0.3">
      <c r="A7" s="18"/>
      <c r="B7" s="19" t="s">
        <v>30</v>
      </c>
      <c r="C7" s="20"/>
      <c r="D7" s="21"/>
      <c r="E7" s="21"/>
      <c r="F7" s="21"/>
      <c r="G7" s="22"/>
      <c r="H7" s="22"/>
      <c r="I7" s="22"/>
      <c r="J7" s="22"/>
      <c r="K7" s="23"/>
      <c r="L7" s="24"/>
      <c r="M7" s="25"/>
      <c r="N7" s="26"/>
      <c r="O7" s="27"/>
      <c r="P7" s="28"/>
      <c r="Q7" s="28"/>
      <c r="R7" s="28"/>
      <c r="S7" s="29"/>
      <c r="T7" s="30"/>
      <c r="U7" s="31"/>
      <c r="V7" s="31"/>
      <c r="W7" s="32"/>
      <c r="X7" s="32"/>
      <c r="Y7" s="32"/>
      <c r="AB7" s="34"/>
    </row>
    <row r="8" spans="1:33" x14ac:dyDescent="0.3">
      <c r="A8" s="35">
        <v>1</v>
      </c>
      <c r="B8" s="36" t="s">
        <v>31</v>
      </c>
      <c r="C8" s="37" t="s">
        <v>32</v>
      </c>
      <c r="D8" s="38">
        <v>228132</v>
      </c>
      <c r="E8" s="36"/>
      <c r="F8" s="39"/>
      <c r="G8" s="39"/>
      <c r="H8" s="39"/>
      <c r="I8" s="39"/>
      <c r="J8" s="40">
        <v>0</v>
      </c>
      <c r="K8" s="96">
        <v>46058</v>
      </c>
      <c r="L8" s="95" t="s">
        <v>66</v>
      </c>
      <c r="M8" s="94">
        <v>228132</v>
      </c>
      <c r="N8" s="36"/>
      <c r="O8" s="39"/>
      <c r="P8" s="39"/>
      <c r="Q8" s="39"/>
      <c r="R8" s="39"/>
      <c r="S8" s="44">
        <f>+D8-M8</f>
        <v>0</v>
      </c>
      <c r="T8" s="44" t="s">
        <v>34</v>
      </c>
      <c r="U8" s="44" t="s">
        <v>35</v>
      </c>
      <c r="V8" s="44" t="s">
        <v>36</v>
      </c>
      <c r="W8" s="44">
        <v>300000</v>
      </c>
      <c r="X8" s="44"/>
      <c r="Y8" s="44">
        <v>150000</v>
      </c>
      <c r="Z8" s="44"/>
      <c r="AA8" s="44"/>
      <c r="AB8" s="45" t="s">
        <v>37</v>
      </c>
      <c r="AC8" s="44" t="s">
        <v>38</v>
      </c>
      <c r="AD8" s="46"/>
      <c r="AE8" s="3">
        <f>+S8-AD8</f>
        <v>0</v>
      </c>
      <c r="AF8" s="47" t="s">
        <v>39</v>
      </c>
      <c r="AG8" s="48">
        <v>42983</v>
      </c>
    </row>
    <row r="9" spans="1:33" s="33" customFormat="1" ht="25.2" thickBot="1" x14ac:dyDescent="0.35">
      <c r="A9" s="18"/>
      <c r="B9" s="49" t="s">
        <v>24</v>
      </c>
      <c r="C9" s="50"/>
      <c r="D9" s="51">
        <f>SUM(D8:D8)</f>
        <v>228132</v>
      </c>
      <c r="E9" s="51"/>
      <c r="F9" s="51"/>
      <c r="G9" s="51"/>
      <c r="H9" s="51">
        <f>SUM(H8:H8)</f>
        <v>0</v>
      </c>
      <c r="I9" s="51">
        <f>SUM(I8:I8)</f>
        <v>0</v>
      </c>
      <c r="J9" s="51">
        <f>SUM(J8:J8)</f>
        <v>0</v>
      </c>
      <c r="K9" s="52"/>
      <c r="L9" s="51"/>
      <c r="M9" s="51">
        <f>SUM(M8:M8)</f>
        <v>228132</v>
      </c>
      <c r="N9" s="51"/>
      <c r="O9" s="51"/>
      <c r="P9" s="51"/>
      <c r="Q9" s="51">
        <f>SUM(Q8:Q8)</f>
        <v>0</v>
      </c>
      <c r="R9" s="51">
        <f>SUM(R8:R8)</f>
        <v>0</v>
      </c>
      <c r="S9" s="51">
        <f>SUM(S8:S8)</f>
        <v>0</v>
      </c>
      <c r="T9" s="30"/>
      <c r="U9" s="31"/>
      <c r="V9" s="31"/>
      <c r="W9" s="32"/>
      <c r="X9" s="32"/>
      <c r="Y9" s="32"/>
      <c r="AB9" s="34"/>
    </row>
    <row r="10" spans="1:33" s="33" customFormat="1" ht="25.2" thickTop="1" x14ac:dyDescent="0.3">
      <c r="A10" s="18"/>
      <c r="B10" s="53" t="s">
        <v>40</v>
      </c>
      <c r="C10" s="54"/>
      <c r="D10" s="55"/>
      <c r="E10" s="55"/>
      <c r="F10" s="55"/>
      <c r="G10" s="56"/>
      <c r="H10" s="56"/>
      <c r="I10" s="56"/>
      <c r="J10" s="56"/>
      <c r="K10" s="57"/>
      <c r="L10" s="58"/>
      <c r="M10" s="59"/>
      <c r="N10" s="60"/>
      <c r="O10" s="61"/>
      <c r="P10" s="62"/>
      <c r="Q10" s="62"/>
      <c r="R10" s="62"/>
      <c r="S10" s="63"/>
      <c r="T10" s="30"/>
      <c r="U10" s="31"/>
      <c r="V10" s="31"/>
      <c r="W10" s="32"/>
      <c r="X10" s="32"/>
      <c r="Y10" s="32"/>
      <c r="AB10" s="34"/>
    </row>
    <row r="11" spans="1:33" x14ac:dyDescent="0.3">
      <c r="A11" s="64">
        <v>1</v>
      </c>
      <c r="B11" s="36" t="s">
        <v>31</v>
      </c>
      <c r="C11" s="65"/>
      <c r="D11" s="66">
        <v>11900</v>
      </c>
      <c r="E11" s="4"/>
      <c r="F11" s="10"/>
      <c r="G11" s="10"/>
      <c r="H11" s="10"/>
      <c r="I11" s="10"/>
      <c r="J11" s="67">
        <v>0</v>
      </c>
      <c r="K11" s="96">
        <v>46058</v>
      </c>
      <c r="L11" s="95" t="s">
        <v>67</v>
      </c>
      <c r="M11" s="98">
        <v>11900</v>
      </c>
      <c r="O11" s="10"/>
      <c r="P11" s="10"/>
      <c r="Q11" s="10"/>
      <c r="R11" s="10"/>
      <c r="S11" s="44">
        <f>+D11-M11</f>
        <v>0</v>
      </c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1"/>
      <c r="AF11" s="47" t="s">
        <v>42</v>
      </c>
      <c r="AG11" s="48">
        <v>42983</v>
      </c>
    </row>
    <row r="12" spans="1:33" s="33" customFormat="1" ht="25.2" thickBot="1" x14ac:dyDescent="0.35">
      <c r="A12" s="18"/>
      <c r="B12" s="49" t="s">
        <v>24</v>
      </c>
      <c r="C12" s="50"/>
      <c r="D12" s="51">
        <f>SUM(D11)</f>
        <v>11900</v>
      </c>
      <c r="E12" s="51"/>
      <c r="F12" s="51"/>
      <c r="G12" s="51"/>
      <c r="H12" s="51">
        <f t="shared" ref="H12:J12" si="0">SUM(H11)</f>
        <v>0</v>
      </c>
      <c r="I12" s="51">
        <f t="shared" si="0"/>
        <v>0</v>
      </c>
      <c r="J12" s="51">
        <f t="shared" si="0"/>
        <v>0</v>
      </c>
      <c r="K12" s="52"/>
      <c r="L12" s="51"/>
      <c r="M12" s="51">
        <f t="shared" ref="M12" si="1">SUM(M11)</f>
        <v>11900</v>
      </c>
      <c r="N12" s="51"/>
      <c r="O12" s="51"/>
      <c r="P12" s="51"/>
      <c r="Q12" s="51">
        <f t="shared" ref="Q12:S12" si="2">SUM(Q11)</f>
        <v>0</v>
      </c>
      <c r="R12" s="51">
        <f t="shared" si="2"/>
        <v>0</v>
      </c>
      <c r="S12" s="51">
        <f t="shared" si="2"/>
        <v>0</v>
      </c>
      <c r="T12" s="30"/>
      <c r="U12" s="31"/>
      <c r="V12" s="31"/>
      <c r="W12" s="32"/>
      <c r="X12" s="32"/>
      <c r="Y12" s="32"/>
      <c r="AB12" s="34"/>
    </row>
    <row r="13" spans="1:33" s="33" customFormat="1" ht="25.8" thickTop="1" thickBot="1" x14ac:dyDescent="0.35">
      <c r="A13" s="72"/>
      <c r="B13" s="73" t="s">
        <v>43</v>
      </c>
      <c r="C13" s="74"/>
      <c r="D13" s="75">
        <f>D9+D12</f>
        <v>240032</v>
      </c>
      <c r="E13" s="76"/>
      <c r="F13" s="76"/>
      <c r="G13" s="76"/>
      <c r="H13" s="76">
        <f>H9+H12</f>
        <v>0</v>
      </c>
      <c r="I13" s="76">
        <f t="shared" ref="I13:J13" si="3">I9+I12</f>
        <v>0</v>
      </c>
      <c r="J13" s="76">
        <f t="shared" si="3"/>
        <v>0</v>
      </c>
      <c r="K13" s="76"/>
      <c r="L13" s="76"/>
      <c r="M13" s="75">
        <f>M9+M12</f>
        <v>240032</v>
      </c>
      <c r="N13" s="76"/>
      <c r="O13" s="76"/>
      <c r="P13" s="76"/>
      <c r="Q13" s="76">
        <f>Q9+Q12</f>
        <v>0</v>
      </c>
      <c r="R13" s="76">
        <f t="shared" ref="R13:S13" si="4">R9+R12</f>
        <v>0</v>
      </c>
      <c r="S13" s="76">
        <f t="shared" si="4"/>
        <v>0</v>
      </c>
      <c r="T13" s="77"/>
      <c r="U13" s="78"/>
      <c r="V13" s="78"/>
      <c r="W13" s="76"/>
      <c r="X13" s="76"/>
      <c r="Y13" s="76"/>
    </row>
    <row r="14" spans="1:33" ht="25.2" thickTop="1" x14ac:dyDescent="0.3">
      <c r="E14" s="4"/>
      <c r="F14" s="8"/>
      <c r="G14" s="8"/>
      <c r="H14" s="8"/>
      <c r="I14" s="8"/>
      <c r="J14" s="2"/>
      <c r="K14" s="2"/>
      <c r="L14" s="2"/>
    </row>
    <row r="15" spans="1:33" x14ac:dyDescent="0.3">
      <c r="E15" s="4"/>
      <c r="F15" s="8"/>
      <c r="G15" s="8"/>
      <c r="H15" s="8"/>
      <c r="I15" s="8"/>
      <c r="J15" s="2"/>
      <c r="K15" s="2"/>
      <c r="L15" s="2"/>
    </row>
    <row r="16" spans="1:33" x14ac:dyDescent="0.3">
      <c r="E16" s="4"/>
      <c r="F16" s="8"/>
      <c r="G16" s="8"/>
      <c r="H16" s="8"/>
      <c r="I16" s="8"/>
      <c r="J16" s="2"/>
      <c r="K16" s="2"/>
      <c r="L16" s="2"/>
    </row>
    <row r="17" spans="2:30" s="3" customFormat="1" x14ac:dyDescent="0.3">
      <c r="B17" s="79"/>
      <c r="C17" s="4"/>
      <c r="D17" s="80"/>
      <c r="E17" s="4"/>
      <c r="F17" s="8"/>
      <c r="G17" s="8"/>
      <c r="H17" s="8"/>
      <c r="I17" s="8"/>
      <c r="J17" s="2"/>
      <c r="K17" s="2"/>
      <c r="L17" s="2"/>
      <c r="M17" s="81"/>
      <c r="N17" s="4"/>
      <c r="O17" s="8"/>
      <c r="P17" s="8"/>
      <c r="Q17" s="8"/>
      <c r="R17" s="8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2"/>
    </row>
    <row r="18" spans="2:30" s="3" customFormat="1" x14ac:dyDescent="0.3">
      <c r="B18" s="47"/>
      <c r="C18" s="4"/>
      <c r="D18" s="80"/>
      <c r="E18" s="83"/>
      <c r="F18" s="83"/>
      <c r="G18" s="83"/>
      <c r="H18" s="83"/>
      <c r="I18" s="83"/>
      <c r="J18" s="84"/>
      <c r="K18" s="84"/>
      <c r="L18" s="84"/>
      <c r="M18" s="81"/>
      <c r="N18" s="4"/>
      <c r="O18" s="8"/>
      <c r="P18" s="8"/>
      <c r="Q18" s="8"/>
      <c r="R18" s="8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2"/>
    </row>
    <row r="19" spans="2:30" s="3" customFormat="1" x14ac:dyDescent="0.7">
      <c r="B19" s="119" t="s">
        <v>44</v>
      </c>
      <c r="C19" s="119"/>
      <c r="D19" s="119"/>
      <c r="E19" s="85"/>
      <c r="F19" s="86"/>
      <c r="G19" s="119" t="s">
        <v>44</v>
      </c>
      <c r="H19" s="119"/>
      <c r="I19" s="119"/>
      <c r="J19" s="119"/>
      <c r="K19" s="119"/>
      <c r="L19" s="87"/>
      <c r="M19" s="87"/>
      <c r="N19" s="119" t="s">
        <v>44</v>
      </c>
      <c r="O19" s="119"/>
      <c r="P19" s="119"/>
      <c r="Q19" s="119"/>
      <c r="R19" s="119"/>
      <c r="S19" s="82"/>
      <c r="T19" s="88"/>
      <c r="U19" s="88"/>
      <c r="V19" s="88"/>
      <c r="W19" s="82"/>
      <c r="X19" s="82"/>
      <c r="Y19" s="82"/>
      <c r="Z19" s="82"/>
      <c r="AA19" s="82"/>
      <c r="AB19" s="82"/>
      <c r="AC19" s="82"/>
      <c r="AD19" s="2"/>
    </row>
    <row r="20" spans="2:30" s="3" customFormat="1" x14ac:dyDescent="0.7">
      <c r="B20" s="119" t="s">
        <v>45</v>
      </c>
      <c r="C20" s="119"/>
      <c r="D20" s="119"/>
      <c r="E20" s="87"/>
      <c r="F20" s="87"/>
      <c r="G20" s="119" t="s">
        <v>46</v>
      </c>
      <c r="H20" s="119"/>
      <c r="I20" s="119"/>
      <c r="J20" s="119"/>
      <c r="K20" s="119"/>
      <c r="L20" s="87"/>
      <c r="M20" s="87"/>
      <c r="N20" s="119" t="s">
        <v>47</v>
      </c>
      <c r="O20" s="119"/>
      <c r="P20" s="119"/>
      <c r="Q20" s="119"/>
      <c r="R20" s="119"/>
      <c r="S20" s="4"/>
      <c r="T20" s="120"/>
      <c r="U20" s="120"/>
      <c r="V20" s="120"/>
      <c r="W20" s="120"/>
      <c r="X20" s="4"/>
      <c r="Y20" s="4"/>
      <c r="Z20" s="4"/>
      <c r="AA20" s="4"/>
      <c r="AB20" s="4"/>
      <c r="AC20" s="4"/>
      <c r="AD20" s="4"/>
    </row>
    <row r="21" spans="2:30" s="3" customFormat="1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33" spans="2:34" x14ac:dyDescent="0.3">
      <c r="B33" s="4"/>
      <c r="D33" s="4"/>
      <c r="E33" s="4"/>
      <c r="F33" s="4"/>
      <c r="G33" s="4"/>
      <c r="H33" s="4"/>
      <c r="I33" s="4"/>
      <c r="J33" s="4"/>
      <c r="K33" s="4"/>
      <c r="L33" s="4"/>
      <c r="M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H33" s="79" t="s">
        <v>21</v>
      </c>
    </row>
    <row r="34" spans="2:34" x14ac:dyDescent="0.3">
      <c r="B34" s="4"/>
      <c r="D34" s="4"/>
      <c r="E34" s="4"/>
      <c r="F34" s="4"/>
      <c r="G34" s="4"/>
      <c r="H34" s="4"/>
      <c r="I34" s="4"/>
      <c r="J34" s="4"/>
      <c r="K34" s="4"/>
      <c r="L34" s="4"/>
      <c r="M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H34" s="79" t="s">
        <v>48</v>
      </c>
    </row>
    <row r="35" spans="2:34" x14ac:dyDescent="0.3">
      <c r="B35" s="4"/>
      <c r="D35" s="4"/>
      <c r="E35" s="4"/>
      <c r="F35" s="4"/>
      <c r="G35" s="4"/>
      <c r="H35" s="4"/>
      <c r="I35" s="4"/>
      <c r="J35" s="4"/>
      <c r="K35" s="4"/>
      <c r="L35" s="4"/>
      <c r="M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H35" s="79" t="s">
        <v>49</v>
      </c>
    </row>
  </sheetData>
  <mergeCells count="26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B20:D20"/>
    <mergeCell ref="G20:K20"/>
    <mergeCell ref="N20:R20"/>
    <mergeCell ref="T20:W20"/>
    <mergeCell ref="N5:N6"/>
    <mergeCell ref="O5:O6"/>
    <mergeCell ref="Q5:S5"/>
    <mergeCell ref="B19:D19"/>
    <mergeCell ref="G19:K19"/>
    <mergeCell ref="N19:R19"/>
    <mergeCell ref="E5:E6"/>
    <mergeCell ref="F5:F6"/>
    <mergeCell ref="H5:J5"/>
    <mergeCell ref="K5:K6"/>
    <mergeCell ref="L5:L6"/>
    <mergeCell ref="M5:M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F8E5-C822-49EF-B62B-6127CB882215}">
  <sheetPr>
    <tabColor rgb="FF00B0F0"/>
  </sheetPr>
  <dimension ref="A1:H35"/>
  <sheetViews>
    <sheetView zoomScale="60" zoomScaleNormal="60" workbookViewId="0">
      <selection activeCell="K31" sqref="K31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0.44140625" style="84" customWidth="1"/>
    <col min="5" max="5" width="11" style="84" customWidth="1"/>
    <col min="6" max="6" width="17.88671875" style="81" customWidth="1"/>
    <col min="7" max="7" width="10.33203125" style="4"/>
    <col min="8" max="8" width="12.6640625" style="4" bestFit="1" customWidth="1"/>
    <col min="9" max="16384" width="10.33203125" style="4"/>
  </cols>
  <sheetData>
    <row r="1" spans="1:8" x14ac:dyDescent="0.3">
      <c r="A1" s="101" t="s">
        <v>51</v>
      </c>
      <c r="B1" s="101"/>
      <c r="C1" s="101"/>
      <c r="D1" s="101"/>
      <c r="E1" s="101"/>
      <c r="F1" s="101"/>
    </row>
    <row r="2" spans="1:8" x14ac:dyDescent="0.3">
      <c r="A2" s="101" t="s">
        <v>1</v>
      </c>
      <c r="B2" s="101"/>
      <c r="C2" s="101"/>
      <c r="D2" s="101"/>
      <c r="E2" s="101"/>
      <c r="F2" s="101"/>
    </row>
    <row r="3" spans="1:8" x14ac:dyDescent="0.3">
      <c r="A3" s="102" t="s">
        <v>65</v>
      </c>
      <c r="B3" s="102"/>
      <c r="C3" s="102"/>
      <c r="D3" s="102"/>
      <c r="E3" s="102"/>
      <c r="F3" s="102"/>
    </row>
    <row r="4" spans="1:8" x14ac:dyDescent="0.3">
      <c r="A4" s="103" t="s">
        <v>3</v>
      </c>
      <c r="B4" s="106" t="s">
        <v>4</v>
      </c>
      <c r="C4" s="106" t="s">
        <v>5</v>
      </c>
      <c r="D4" s="118" t="s">
        <v>8</v>
      </c>
      <c r="E4" s="118"/>
      <c r="F4" s="118"/>
    </row>
    <row r="5" spans="1:8" x14ac:dyDescent="0.3">
      <c r="A5" s="104"/>
      <c r="B5" s="107"/>
      <c r="C5" s="107"/>
      <c r="D5" s="122" t="s">
        <v>14</v>
      </c>
      <c r="E5" s="123" t="s">
        <v>15</v>
      </c>
      <c r="F5" s="118" t="s">
        <v>16</v>
      </c>
    </row>
    <row r="6" spans="1:8" x14ac:dyDescent="0.3">
      <c r="A6" s="105"/>
      <c r="B6" s="108"/>
      <c r="C6" s="108"/>
      <c r="D6" s="122"/>
      <c r="E6" s="123"/>
      <c r="F6" s="118"/>
    </row>
    <row r="7" spans="1:8" s="33" customFormat="1" x14ac:dyDescent="0.3">
      <c r="A7" s="18"/>
      <c r="B7" s="19" t="s">
        <v>30</v>
      </c>
      <c r="C7" s="20"/>
      <c r="D7" s="23"/>
      <c r="E7" s="24"/>
      <c r="F7" s="25"/>
    </row>
    <row r="8" spans="1:8" x14ac:dyDescent="0.3">
      <c r="A8" s="35">
        <v>1</v>
      </c>
      <c r="B8" s="36" t="s">
        <v>31</v>
      </c>
      <c r="C8" s="37" t="s">
        <v>32</v>
      </c>
      <c r="D8" s="96">
        <v>46058</v>
      </c>
      <c r="E8" s="95" t="s">
        <v>66</v>
      </c>
      <c r="F8" s="94">
        <v>228132</v>
      </c>
    </row>
    <row r="9" spans="1:8" s="33" customFormat="1" ht="25.2" thickBot="1" x14ac:dyDescent="0.35">
      <c r="A9" s="18"/>
      <c r="B9" s="49" t="s">
        <v>24</v>
      </c>
      <c r="C9" s="50"/>
      <c r="D9" s="52"/>
      <c r="E9" s="51"/>
      <c r="F9" s="51">
        <v>228132</v>
      </c>
    </row>
    <row r="10" spans="1:8" s="33" customFormat="1" ht="25.2" thickTop="1" x14ac:dyDescent="0.3">
      <c r="A10" s="18"/>
      <c r="B10" s="53" t="s">
        <v>40</v>
      </c>
      <c r="C10" s="54"/>
      <c r="D10" s="57"/>
      <c r="E10" s="58"/>
      <c r="F10" s="59"/>
    </row>
    <row r="11" spans="1:8" x14ac:dyDescent="0.3">
      <c r="A11" s="64">
        <v>1</v>
      </c>
      <c r="B11" s="36" t="s">
        <v>31</v>
      </c>
      <c r="C11" s="65"/>
      <c r="D11" s="96">
        <v>46058</v>
      </c>
      <c r="E11" s="95" t="s">
        <v>67</v>
      </c>
      <c r="F11" s="98">
        <v>11900</v>
      </c>
    </row>
    <row r="12" spans="1:8" s="33" customFormat="1" ht="25.2" thickBot="1" x14ac:dyDescent="0.35">
      <c r="A12" s="18"/>
      <c r="B12" s="49" t="s">
        <v>24</v>
      </c>
      <c r="C12" s="50"/>
      <c r="D12" s="52"/>
      <c r="E12" s="51"/>
      <c r="F12" s="51">
        <v>11900</v>
      </c>
    </row>
    <row r="13" spans="1:8" s="33" customFormat="1" ht="25.8" thickTop="1" thickBot="1" x14ac:dyDescent="0.35">
      <c r="A13" s="72"/>
      <c r="B13" s="73" t="s">
        <v>43</v>
      </c>
      <c r="C13" s="74"/>
      <c r="D13" s="76"/>
      <c r="E13" s="76"/>
      <c r="F13" s="75">
        <v>240032</v>
      </c>
      <c r="H13" s="97">
        <f>SUM(F9+F12)</f>
        <v>240032</v>
      </c>
    </row>
    <row r="14" spans="1:8" ht="25.2" thickTop="1" x14ac:dyDescent="0.3">
      <c r="D14" s="2"/>
      <c r="E14" s="2"/>
    </row>
    <row r="15" spans="1:8" x14ac:dyDescent="0.3">
      <c r="D15" s="2"/>
      <c r="E15" s="2"/>
    </row>
    <row r="16" spans="1:8" x14ac:dyDescent="0.3">
      <c r="D16" s="2"/>
      <c r="E16" s="2"/>
    </row>
    <row r="17" spans="2:6" s="3" customFormat="1" x14ac:dyDescent="0.3">
      <c r="B17" s="79"/>
      <c r="C17" s="4"/>
      <c r="D17" s="2"/>
      <c r="E17" s="2"/>
      <c r="F17" s="81"/>
    </row>
    <row r="18" spans="2:6" s="3" customFormat="1" x14ac:dyDescent="0.3">
      <c r="B18" s="47"/>
      <c r="C18" s="4"/>
      <c r="D18" s="84"/>
      <c r="E18" s="84"/>
      <c r="F18" s="81"/>
    </row>
    <row r="19" spans="2:6" s="3" customFormat="1" x14ac:dyDescent="0.6">
      <c r="B19" s="119" t="s">
        <v>44</v>
      </c>
      <c r="C19" s="119"/>
      <c r="D19" s="89"/>
      <c r="E19" s="87"/>
      <c r="F19" s="87"/>
    </row>
    <row r="20" spans="2:6" s="3" customFormat="1" x14ac:dyDescent="0.6">
      <c r="B20" s="119" t="s">
        <v>45</v>
      </c>
      <c r="C20" s="119"/>
      <c r="D20" s="89"/>
      <c r="E20" s="87"/>
      <c r="F20" s="87"/>
    </row>
    <row r="21" spans="2:6" s="3" customFormat="1" x14ac:dyDescent="0.3">
      <c r="B21" s="4"/>
      <c r="C21" s="4"/>
      <c r="D21" s="4"/>
      <c r="E21" s="4"/>
      <c r="F21" s="4"/>
    </row>
    <row r="33" s="4" customFormat="1" x14ac:dyDescent="0.3"/>
    <row r="34" s="4" customFormat="1" x14ac:dyDescent="0.3"/>
    <row r="35" s="4" customFormat="1" x14ac:dyDescent="0.3"/>
  </sheetData>
  <mergeCells count="12">
    <mergeCell ref="B20:C20"/>
    <mergeCell ref="B19:C19"/>
    <mergeCell ref="D5:D6"/>
    <mergeCell ref="E5:E6"/>
    <mergeCell ref="F5:F6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9CCDC-E9C0-455F-BEB9-C94E2AB216C9}">
  <sheetPr>
    <tabColor rgb="FF00B0F0"/>
  </sheetPr>
  <dimension ref="A1:G19"/>
  <sheetViews>
    <sheetView workbookViewId="0">
      <selection activeCell="J11" sqref="J11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4" width="11.44140625" style="4" customWidth="1"/>
    <col min="5" max="5" width="7.5546875" style="4" customWidth="1"/>
    <col min="6" max="6" width="7.5546875" style="8" customWidth="1"/>
    <col min="7" max="7" width="14.109375" style="82" customWidth="1"/>
    <col min="8" max="16384" width="10.33203125" style="4"/>
  </cols>
  <sheetData>
    <row r="1" spans="1:7" x14ac:dyDescent="0.3">
      <c r="A1" s="101" t="s">
        <v>51</v>
      </c>
      <c r="B1" s="101"/>
      <c r="C1" s="101"/>
      <c r="D1" s="101"/>
      <c r="E1" s="101"/>
      <c r="F1" s="101"/>
      <c r="G1" s="101"/>
    </row>
    <row r="2" spans="1:7" x14ac:dyDescent="0.3">
      <c r="A2" s="101" t="s">
        <v>1</v>
      </c>
      <c r="B2" s="101"/>
      <c r="C2" s="101"/>
      <c r="D2" s="101"/>
      <c r="E2" s="101"/>
      <c r="F2" s="101"/>
      <c r="G2" s="101"/>
    </row>
    <row r="3" spans="1:7" x14ac:dyDescent="0.3">
      <c r="A3" s="102" t="s">
        <v>65</v>
      </c>
      <c r="B3" s="102"/>
      <c r="C3" s="102"/>
      <c r="D3" s="102"/>
      <c r="E3" s="102"/>
      <c r="F3" s="102"/>
      <c r="G3" s="102"/>
    </row>
    <row r="4" spans="1:7" x14ac:dyDescent="0.3">
      <c r="A4" s="103" t="s">
        <v>3</v>
      </c>
      <c r="B4" s="106" t="s">
        <v>4</v>
      </c>
      <c r="C4" s="106" t="s">
        <v>5</v>
      </c>
      <c r="D4" s="93"/>
      <c r="E4" s="109" t="s">
        <v>9</v>
      </c>
      <c r="F4" s="110"/>
      <c r="G4" s="111"/>
    </row>
    <row r="5" spans="1:7" x14ac:dyDescent="0.3">
      <c r="A5" s="104"/>
      <c r="B5" s="107"/>
      <c r="C5" s="107"/>
      <c r="D5" s="90" t="s">
        <v>54</v>
      </c>
      <c r="E5" s="103" t="s">
        <v>10</v>
      </c>
      <c r="F5" s="112" t="s">
        <v>11</v>
      </c>
      <c r="G5" s="92"/>
    </row>
    <row r="6" spans="1:7" x14ac:dyDescent="0.3">
      <c r="A6" s="105"/>
      <c r="B6" s="108"/>
      <c r="C6" s="108"/>
      <c r="D6" s="91"/>
      <c r="E6" s="105"/>
      <c r="F6" s="113"/>
      <c r="G6" s="9" t="s">
        <v>24</v>
      </c>
    </row>
    <row r="7" spans="1:7" s="33" customFormat="1" x14ac:dyDescent="0.3">
      <c r="A7" s="18"/>
      <c r="B7" s="19" t="s">
        <v>55</v>
      </c>
      <c r="C7" s="20"/>
      <c r="D7" s="20"/>
      <c r="E7" s="26"/>
      <c r="F7" s="27"/>
      <c r="G7" s="29"/>
    </row>
    <row r="8" spans="1:7" x14ac:dyDescent="0.3">
      <c r="A8" s="35"/>
      <c r="B8" s="36"/>
      <c r="C8" s="37"/>
      <c r="D8" s="37"/>
      <c r="E8" s="36"/>
      <c r="F8" s="39"/>
      <c r="G8" s="44">
        <v>0</v>
      </c>
    </row>
    <row r="9" spans="1:7" s="33" customFormat="1" ht="25.2" thickBot="1" x14ac:dyDescent="0.35">
      <c r="A9" s="18"/>
      <c r="B9" s="49" t="s">
        <v>24</v>
      </c>
      <c r="C9" s="50"/>
      <c r="D9" s="50"/>
      <c r="E9" s="51"/>
      <c r="F9" s="51"/>
      <c r="G9" s="51">
        <v>0</v>
      </c>
    </row>
    <row r="10" spans="1:7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G1"/>
    <mergeCell ref="A2:G2"/>
    <mergeCell ref="A3:G3"/>
    <mergeCell ref="A4:A6"/>
    <mergeCell ref="B4:B6"/>
    <mergeCell ref="C4:C6"/>
    <mergeCell ref="E4:G4"/>
    <mergeCell ref="E5:E6"/>
    <mergeCell ref="F5:F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7F38-C526-4250-B554-15283CB756F3}">
  <sheetPr>
    <tabColor rgb="FF00B0F0"/>
  </sheetPr>
  <dimension ref="A1:F19"/>
  <sheetViews>
    <sheetView topLeftCell="A2" workbookViewId="0">
      <selection activeCell="A4" sqref="A4:A6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11.44140625" style="4" customWidth="1"/>
    <col min="4" max="4" width="7.5546875" style="4" customWidth="1"/>
    <col min="5" max="5" width="7.5546875" style="8" customWidth="1"/>
    <col min="6" max="6" width="14.109375" style="82" customWidth="1"/>
    <col min="7" max="16384" width="10.33203125" style="4"/>
  </cols>
  <sheetData>
    <row r="1" spans="1:6" x14ac:dyDescent="0.3">
      <c r="A1" s="101" t="s">
        <v>51</v>
      </c>
      <c r="B1" s="101"/>
      <c r="C1" s="101"/>
      <c r="D1" s="101"/>
      <c r="E1" s="101"/>
      <c r="F1" s="101"/>
    </row>
    <row r="2" spans="1:6" x14ac:dyDescent="0.3">
      <c r="A2" s="101" t="s">
        <v>1</v>
      </c>
      <c r="B2" s="101"/>
      <c r="C2" s="101"/>
      <c r="D2" s="101"/>
      <c r="E2" s="101"/>
      <c r="F2" s="101"/>
    </row>
    <row r="3" spans="1:6" x14ac:dyDescent="0.3">
      <c r="A3" s="102" t="s">
        <v>65</v>
      </c>
      <c r="B3" s="102"/>
      <c r="C3" s="102"/>
      <c r="D3" s="102"/>
      <c r="E3" s="102"/>
      <c r="F3" s="102"/>
    </row>
    <row r="4" spans="1:6" x14ac:dyDescent="0.3">
      <c r="A4" s="103" t="s">
        <v>3</v>
      </c>
      <c r="B4" s="106" t="s">
        <v>4</v>
      </c>
      <c r="C4" s="106" t="s">
        <v>5</v>
      </c>
      <c r="D4" s="109" t="s">
        <v>9</v>
      </c>
      <c r="E4" s="110"/>
      <c r="F4" s="111"/>
    </row>
    <row r="5" spans="1:6" x14ac:dyDescent="0.3">
      <c r="A5" s="104"/>
      <c r="B5" s="107"/>
      <c r="C5" s="107"/>
      <c r="D5" s="103" t="s">
        <v>10</v>
      </c>
      <c r="E5" s="112" t="s">
        <v>11</v>
      </c>
      <c r="F5" s="92"/>
    </row>
    <row r="6" spans="1:6" x14ac:dyDescent="0.3">
      <c r="A6" s="105"/>
      <c r="B6" s="108"/>
      <c r="C6" s="108"/>
      <c r="D6" s="105"/>
      <c r="E6" s="113"/>
      <c r="F6" s="9" t="s">
        <v>24</v>
      </c>
    </row>
    <row r="7" spans="1:6" s="33" customFormat="1" x14ac:dyDescent="0.3">
      <c r="A7" s="18"/>
      <c r="B7" s="19" t="s">
        <v>55</v>
      </c>
      <c r="C7" s="20"/>
      <c r="D7" s="26"/>
      <c r="E7" s="27"/>
      <c r="F7" s="29"/>
    </row>
    <row r="8" spans="1:6" x14ac:dyDescent="0.3">
      <c r="A8" s="35"/>
      <c r="B8" s="36"/>
      <c r="C8" s="37"/>
      <c r="D8" s="36"/>
      <c r="E8" s="39"/>
      <c r="F8" s="44">
        <v>0</v>
      </c>
    </row>
    <row r="9" spans="1:6" s="33" customFormat="1" ht="25.2" thickBot="1" x14ac:dyDescent="0.35">
      <c r="A9" s="18"/>
      <c r="B9" s="49" t="s">
        <v>24</v>
      </c>
      <c r="C9" s="50"/>
      <c r="D9" s="51"/>
      <c r="E9" s="51"/>
      <c r="F9" s="51">
        <v>0</v>
      </c>
    </row>
    <row r="10" spans="1:6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AD0D-79A0-442E-B65C-59B05F8C761A}">
  <sheetPr>
    <tabColor rgb="FF92D050"/>
  </sheetPr>
  <dimension ref="A1:AH35"/>
  <sheetViews>
    <sheetView workbookViewId="0">
      <selection activeCell="E16" sqref="E16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8.44140625" style="80" customWidth="1"/>
    <col min="5" max="5" width="6.44140625" style="83" customWidth="1"/>
    <col min="6" max="6" width="3.109375" style="83" customWidth="1"/>
    <col min="7" max="7" width="3.44140625" style="83" customWidth="1"/>
    <col min="8" max="8" width="7.6640625" style="83" customWidth="1"/>
    <col min="9" max="9" width="7" style="83" customWidth="1"/>
    <col min="10" max="10" width="6.88671875" style="84" customWidth="1"/>
    <col min="11" max="11" width="10.44140625" style="84" customWidth="1"/>
    <col min="12" max="12" width="11" style="84" customWidth="1"/>
    <col min="13" max="13" width="17.88671875" style="81" customWidth="1"/>
    <col min="14" max="14" width="3.5546875" style="4" customWidth="1"/>
    <col min="15" max="15" width="3.5546875" style="8" customWidth="1"/>
    <col min="16" max="16" width="3.6640625" style="8" customWidth="1"/>
    <col min="17" max="17" width="7.109375" style="8" customWidth="1"/>
    <col min="18" max="18" width="5.44140625" style="8" customWidth="1"/>
    <col min="19" max="19" width="14.109375" style="82" customWidth="1"/>
    <col min="20" max="20" width="4.109375" style="82" customWidth="1"/>
    <col min="21" max="21" width="6.6640625" style="82" customWidth="1"/>
    <col min="22" max="22" width="7.44140625" style="82" customWidth="1"/>
    <col min="23" max="23" width="18.88671875" style="82" customWidth="1"/>
    <col min="24" max="24" width="7.44140625" style="82" customWidth="1"/>
    <col min="25" max="27" width="9.88671875" style="82" customWidth="1"/>
    <col min="28" max="28" width="11.44140625" style="82" bestFit="1" customWidth="1"/>
    <col min="29" max="29" width="9.88671875" style="82" customWidth="1"/>
    <col min="30" max="30" width="10.33203125" style="2"/>
    <col min="31" max="31" width="10.44140625" style="3" bestFit="1" customWidth="1"/>
    <col min="32" max="32" width="10.33203125" style="4"/>
    <col min="33" max="33" width="11.6640625" style="4" bestFit="1" customWidth="1"/>
    <col min="34" max="16384" width="10.33203125" style="4"/>
  </cols>
  <sheetData>
    <row r="1" spans="1:33" x14ac:dyDescent="0.3">
      <c r="A1" s="101" t="s">
        <v>51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x14ac:dyDescent="0.3">
      <c r="A2" s="101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3" x14ac:dyDescent="0.3">
      <c r="A3" s="102" t="s">
        <v>62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33" x14ac:dyDescent="0.3">
      <c r="A4" s="103" t="s">
        <v>3</v>
      </c>
      <c r="B4" s="106" t="s">
        <v>4</v>
      </c>
      <c r="C4" s="106" t="s">
        <v>5</v>
      </c>
      <c r="D4" s="114" t="s">
        <v>6</v>
      </c>
      <c r="E4" s="117" t="s">
        <v>7</v>
      </c>
      <c r="F4" s="117"/>
      <c r="G4" s="117"/>
      <c r="H4" s="117"/>
      <c r="I4" s="117"/>
      <c r="J4" s="117"/>
      <c r="K4" s="118" t="s">
        <v>8</v>
      </c>
      <c r="L4" s="118"/>
      <c r="M4" s="118"/>
      <c r="N4" s="117" t="s">
        <v>9</v>
      </c>
      <c r="O4" s="117"/>
      <c r="P4" s="117"/>
      <c r="Q4" s="117"/>
      <c r="R4" s="117"/>
      <c r="S4" s="117"/>
      <c r="T4" s="7"/>
      <c r="U4" s="7"/>
      <c r="V4" s="7"/>
      <c r="W4" s="7"/>
      <c r="X4" s="7"/>
      <c r="Y4" s="8"/>
      <c r="Z4" s="8"/>
      <c r="AA4" s="8"/>
      <c r="AB4" s="8"/>
      <c r="AC4" s="8"/>
    </row>
    <row r="5" spans="1:33" x14ac:dyDescent="0.3">
      <c r="A5" s="104"/>
      <c r="B5" s="107"/>
      <c r="C5" s="107"/>
      <c r="D5" s="115"/>
      <c r="E5" s="121" t="s">
        <v>10</v>
      </c>
      <c r="F5" s="117" t="s">
        <v>11</v>
      </c>
      <c r="G5" s="7" t="s">
        <v>12</v>
      </c>
      <c r="H5" s="117" t="s">
        <v>13</v>
      </c>
      <c r="I5" s="117"/>
      <c r="J5" s="117"/>
      <c r="K5" s="122" t="s">
        <v>14</v>
      </c>
      <c r="L5" s="123" t="s">
        <v>15</v>
      </c>
      <c r="M5" s="118" t="s">
        <v>16</v>
      </c>
      <c r="N5" s="121" t="s">
        <v>10</v>
      </c>
      <c r="O5" s="117" t="s">
        <v>11</v>
      </c>
      <c r="P5" s="7" t="s">
        <v>12</v>
      </c>
      <c r="Q5" s="117" t="s">
        <v>13</v>
      </c>
      <c r="R5" s="117"/>
      <c r="S5" s="117"/>
      <c r="T5" s="10" t="s">
        <v>17</v>
      </c>
      <c r="U5" s="10" t="s">
        <v>18</v>
      </c>
      <c r="V5" s="10" t="s">
        <v>19</v>
      </c>
      <c r="W5" s="10" t="s">
        <v>20</v>
      </c>
      <c r="X5" s="10" t="s">
        <v>21</v>
      </c>
      <c r="Y5" s="8"/>
      <c r="Z5" s="8"/>
      <c r="AA5" s="8"/>
      <c r="AB5" s="8"/>
      <c r="AC5" s="8"/>
    </row>
    <row r="6" spans="1:33" ht="73.8" x14ac:dyDescent="0.3">
      <c r="A6" s="105"/>
      <c r="B6" s="108"/>
      <c r="C6" s="108"/>
      <c r="D6" s="116"/>
      <c r="E6" s="121"/>
      <c r="F6" s="117"/>
      <c r="G6" s="11" t="s">
        <v>22</v>
      </c>
      <c r="H6" s="6" t="s">
        <v>16</v>
      </c>
      <c r="I6" s="12" t="s">
        <v>23</v>
      </c>
      <c r="J6" s="9" t="s">
        <v>24</v>
      </c>
      <c r="K6" s="122"/>
      <c r="L6" s="123"/>
      <c r="M6" s="118"/>
      <c r="N6" s="121"/>
      <c r="O6" s="117"/>
      <c r="P6" s="11" t="s">
        <v>22</v>
      </c>
      <c r="Q6" s="6" t="s">
        <v>16</v>
      </c>
      <c r="R6" s="13" t="s">
        <v>23</v>
      </c>
      <c r="S6" s="9" t="s">
        <v>24</v>
      </c>
      <c r="T6" s="14" t="s">
        <v>25</v>
      </c>
      <c r="U6" s="14"/>
      <c r="V6" s="14"/>
      <c r="W6" s="14"/>
      <c r="X6" s="14"/>
      <c r="Y6" s="15" t="s">
        <v>26</v>
      </c>
      <c r="Z6" s="15" t="s">
        <v>27</v>
      </c>
      <c r="AA6" s="15"/>
      <c r="AB6" s="15"/>
      <c r="AC6" s="15" t="s">
        <v>28</v>
      </c>
      <c r="AD6" s="16"/>
      <c r="AF6" s="17" t="s">
        <v>29</v>
      </c>
    </row>
    <row r="7" spans="1:33" s="33" customFormat="1" x14ac:dyDescent="0.3">
      <c r="A7" s="18"/>
      <c r="B7" s="19" t="s">
        <v>30</v>
      </c>
      <c r="C7" s="20"/>
      <c r="D7" s="21"/>
      <c r="E7" s="21"/>
      <c r="F7" s="21"/>
      <c r="G7" s="22"/>
      <c r="H7" s="22"/>
      <c r="I7" s="22"/>
      <c r="J7" s="22"/>
      <c r="K7" s="23"/>
      <c r="L7" s="24"/>
      <c r="M7" s="25"/>
      <c r="N7" s="26"/>
      <c r="O7" s="27"/>
      <c r="P7" s="28"/>
      <c r="Q7" s="28"/>
      <c r="R7" s="28"/>
      <c r="S7" s="29"/>
      <c r="T7" s="30"/>
      <c r="U7" s="31"/>
      <c r="V7" s="31"/>
      <c r="W7" s="32"/>
      <c r="X7" s="32"/>
      <c r="Y7" s="32"/>
      <c r="AB7" s="34"/>
    </row>
    <row r="8" spans="1:33" x14ac:dyDescent="0.3">
      <c r="A8" s="35">
        <v>1</v>
      </c>
      <c r="B8" s="36" t="s">
        <v>31</v>
      </c>
      <c r="C8" s="37" t="s">
        <v>32</v>
      </c>
      <c r="D8" s="38">
        <v>228132</v>
      </c>
      <c r="E8" s="36"/>
      <c r="F8" s="39"/>
      <c r="G8" s="39"/>
      <c r="H8" s="39"/>
      <c r="I8" s="39"/>
      <c r="J8" s="40">
        <v>0</v>
      </c>
      <c r="K8" s="41">
        <v>46027</v>
      </c>
      <c r="L8" s="42" t="s">
        <v>63</v>
      </c>
      <c r="M8" s="43">
        <v>228132</v>
      </c>
      <c r="N8" s="36"/>
      <c r="O8" s="39"/>
      <c r="P8" s="39"/>
      <c r="Q8" s="39"/>
      <c r="R8" s="39"/>
      <c r="S8" s="44">
        <f>+D8-M8</f>
        <v>0</v>
      </c>
      <c r="T8" s="44" t="s">
        <v>34</v>
      </c>
      <c r="U8" s="44" t="s">
        <v>35</v>
      </c>
      <c r="V8" s="44" t="s">
        <v>36</v>
      </c>
      <c r="W8" s="44">
        <v>300000</v>
      </c>
      <c r="X8" s="44"/>
      <c r="Y8" s="44">
        <v>150000</v>
      </c>
      <c r="Z8" s="44"/>
      <c r="AA8" s="44"/>
      <c r="AB8" s="45" t="s">
        <v>37</v>
      </c>
      <c r="AC8" s="44" t="s">
        <v>38</v>
      </c>
      <c r="AD8" s="46"/>
      <c r="AE8" s="3">
        <f>+S8-AD8</f>
        <v>0</v>
      </c>
      <c r="AF8" s="47" t="s">
        <v>39</v>
      </c>
      <c r="AG8" s="48">
        <v>42983</v>
      </c>
    </row>
    <row r="9" spans="1:33" s="33" customFormat="1" ht="25.2" thickBot="1" x14ac:dyDescent="0.35">
      <c r="A9" s="18"/>
      <c r="B9" s="49" t="s">
        <v>24</v>
      </c>
      <c r="C9" s="50"/>
      <c r="D9" s="51">
        <f>SUM(D8:D8)</f>
        <v>228132</v>
      </c>
      <c r="E9" s="51"/>
      <c r="F9" s="51"/>
      <c r="G9" s="51"/>
      <c r="H9" s="51">
        <f>SUM(H8:H8)</f>
        <v>0</v>
      </c>
      <c r="I9" s="51">
        <f>SUM(I8:I8)</f>
        <v>0</v>
      </c>
      <c r="J9" s="51">
        <f>SUM(J8:J8)</f>
        <v>0</v>
      </c>
      <c r="K9" s="52"/>
      <c r="L9" s="51"/>
      <c r="M9" s="51">
        <f>SUM(M8:M8)</f>
        <v>228132</v>
      </c>
      <c r="N9" s="51"/>
      <c r="O9" s="51"/>
      <c r="P9" s="51"/>
      <c r="Q9" s="51">
        <f>SUM(Q8:Q8)</f>
        <v>0</v>
      </c>
      <c r="R9" s="51">
        <f>SUM(R8:R8)</f>
        <v>0</v>
      </c>
      <c r="S9" s="51">
        <f>SUM(S8:S8)</f>
        <v>0</v>
      </c>
      <c r="T9" s="30"/>
      <c r="U9" s="31"/>
      <c r="V9" s="31"/>
      <c r="W9" s="32"/>
      <c r="X9" s="32"/>
      <c r="Y9" s="32"/>
      <c r="AB9" s="34"/>
    </row>
    <row r="10" spans="1:33" s="33" customFormat="1" ht="25.2" thickTop="1" x14ac:dyDescent="0.3">
      <c r="A10" s="18"/>
      <c r="B10" s="53" t="s">
        <v>40</v>
      </c>
      <c r="C10" s="54"/>
      <c r="D10" s="55"/>
      <c r="E10" s="55"/>
      <c r="F10" s="55"/>
      <c r="G10" s="56"/>
      <c r="H10" s="56"/>
      <c r="I10" s="56"/>
      <c r="J10" s="56"/>
      <c r="K10" s="57"/>
      <c r="L10" s="58"/>
      <c r="M10" s="59"/>
      <c r="N10" s="60"/>
      <c r="O10" s="61"/>
      <c r="P10" s="62"/>
      <c r="Q10" s="62"/>
      <c r="R10" s="62"/>
      <c r="S10" s="63"/>
      <c r="T10" s="30"/>
      <c r="U10" s="31"/>
      <c r="V10" s="31"/>
      <c r="W10" s="32"/>
      <c r="X10" s="32"/>
      <c r="Y10" s="32"/>
      <c r="AB10" s="34"/>
    </row>
    <row r="11" spans="1:33" x14ac:dyDescent="0.3">
      <c r="A11" s="64">
        <v>1</v>
      </c>
      <c r="B11" s="36" t="s">
        <v>31</v>
      </c>
      <c r="C11" s="65"/>
      <c r="D11" s="66">
        <v>11900</v>
      </c>
      <c r="E11" s="4"/>
      <c r="F11" s="10"/>
      <c r="G11" s="10"/>
      <c r="H11" s="10"/>
      <c r="I11" s="10"/>
      <c r="J11" s="67">
        <v>0</v>
      </c>
      <c r="K11" s="41">
        <v>46027</v>
      </c>
      <c r="L11" s="68" t="s">
        <v>64</v>
      </c>
      <c r="M11" s="69">
        <v>11900</v>
      </c>
      <c r="O11" s="10"/>
      <c r="P11" s="10"/>
      <c r="Q11" s="10"/>
      <c r="R11" s="10"/>
      <c r="S11" s="44">
        <f>+D11-M11</f>
        <v>0</v>
      </c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1"/>
      <c r="AF11" s="47" t="s">
        <v>42</v>
      </c>
      <c r="AG11" s="48">
        <v>42983</v>
      </c>
    </row>
    <row r="12" spans="1:33" s="33" customFormat="1" ht="25.2" thickBot="1" x14ac:dyDescent="0.35">
      <c r="A12" s="18"/>
      <c r="B12" s="49" t="s">
        <v>24</v>
      </c>
      <c r="C12" s="50"/>
      <c r="D12" s="51">
        <f>SUM(D11)</f>
        <v>11900</v>
      </c>
      <c r="E12" s="51"/>
      <c r="F12" s="51"/>
      <c r="G12" s="51"/>
      <c r="H12" s="51">
        <f t="shared" ref="H12:J12" si="0">SUM(H11)</f>
        <v>0</v>
      </c>
      <c r="I12" s="51">
        <f t="shared" si="0"/>
        <v>0</v>
      </c>
      <c r="J12" s="51">
        <f t="shared" si="0"/>
        <v>0</v>
      </c>
      <c r="K12" s="52"/>
      <c r="L12" s="51"/>
      <c r="M12" s="51">
        <f t="shared" ref="M12" si="1">SUM(M11)</f>
        <v>11900</v>
      </c>
      <c r="N12" s="51"/>
      <c r="O12" s="51"/>
      <c r="P12" s="51"/>
      <c r="Q12" s="51">
        <f t="shared" ref="Q12:S12" si="2">SUM(Q11)</f>
        <v>0</v>
      </c>
      <c r="R12" s="51">
        <f t="shared" si="2"/>
        <v>0</v>
      </c>
      <c r="S12" s="51">
        <f t="shared" si="2"/>
        <v>0</v>
      </c>
      <c r="T12" s="30"/>
      <c r="U12" s="31"/>
      <c r="V12" s="31"/>
      <c r="W12" s="32"/>
      <c r="X12" s="32"/>
      <c r="Y12" s="32"/>
      <c r="AB12" s="34"/>
    </row>
    <row r="13" spans="1:33" s="33" customFormat="1" ht="25.8" thickTop="1" thickBot="1" x14ac:dyDescent="0.35">
      <c r="A13" s="72"/>
      <c r="B13" s="73" t="s">
        <v>43</v>
      </c>
      <c r="C13" s="74"/>
      <c r="D13" s="75">
        <f>D9+D12</f>
        <v>240032</v>
      </c>
      <c r="E13" s="76"/>
      <c r="F13" s="76"/>
      <c r="G13" s="76"/>
      <c r="H13" s="76">
        <f>H9+H12</f>
        <v>0</v>
      </c>
      <c r="I13" s="76">
        <f t="shared" ref="I13:J13" si="3">I9+I12</f>
        <v>0</v>
      </c>
      <c r="J13" s="76">
        <f t="shared" si="3"/>
        <v>0</v>
      </c>
      <c r="K13" s="76"/>
      <c r="L13" s="76"/>
      <c r="M13" s="75">
        <f>M9+M12</f>
        <v>240032</v>
      </c>
      <c r="N13" s="76"/>
      <c r="O13" s="76"/>
      <c r="P13" s="76"/>
      <c r="Q13" s="76">
        <f>Q9+Q12</f>
        <v>0</v>
      </c>
      <c r="R13" s="76">
        <f t="shared" ref="R13:S13" si="4">R9+R12</f>
        <v>0</v>
      </c>
      <c r="S13" s="76">
        <f t="shared" si="4"/>
        <v>0</v>
      </c>
      <c r="T13" s="77"/>
      <c r="U13" s="78"/>
      <c r="V13" s="78"/>
      <c r="W13" s="76"/>
      <c r="X13" s="76"/>
      <c r="Y13" s="76"/>
    </row>
    <row r="14" spans="1:33" ht="25.2" thickTop="1" x14ac:dyDescent="0.3">
      <c r="E14" s="4"/>
      <c r="F14" s="8"/>
      <c r="G14" s="8"/>
      <c r="H14" s="8"/>
      <c r="I14" s="8"/>
      <c r="J14" s="2"/>
      <c r="K14" s="2"/>
      <c r="L14" s="2"/>
    </row>
    <row r="15" spans="1:33" x14ac:dyDescent="0.3">
      <c r="E15" s="4"/>
      <c r="F15" s="8"/>
      <c r="G15" s="8"/>
      <c r="H15" s="8"/>
      <c r="I15" s="8"/>
      <c r="J15" s="2"/>
      <c r="K15" s="2"/>
      <c r="L15" s="2"/>
    </row>
    <row r="16" spans="1:33" x14ac:dyDescent="0.3">
      <c r="E16" s="4"/>
      <c r="F16" s="8"/>
      <c r="G16" s="8"/>
      <c r="H16" s="8"/>
      <c r="I16" s="8"/>
      <c r="J16" s="2"/>
      <c r="K16" s="2"/>
      <c r="L16" s="2"/>
    </row>
    <row r="17" spans="2:30" s="3" customFormat="1" x14ac:dyDescent="0.3">
      <c r="B17" s="79"/>
      <c r="C17" s="4"/>
      <c r="D17" s="80"/>
      <c r="E17" s="4"/>
      <c r="F17" s="8"/>
      <c r="G17" s="8"/>
      <c r="H17" s="8"/>
      <c r="I17" s="8"/>
      <c r="J17" s="2"/>
      <c r="K17" s="2"/>
      <c r="L17" s="2"/>
      <c r="M17" s="81"/>
      <c r="N17" s="4"/>
      <c r="O17" s="8"/>
      <c r="P17" s="8"/>
      <c r="Q17" s="8"/>
      <c r="R17" s="8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2"/>
    </row>
    <row r="18" spans="2:30" s="3" customFormat="1" x14ac:dyDescent="0.3">
      <c r="B18" s="47"/>
      <c r="C18" s="4"/>
      <c r="D18" s="80"/>
      <c r="E18" s="83"/>
      <c r="F18" s="83"/>
      <c r="G18" s="83"/>
      <c r="H18" s="83"/>
      <c r="I18" s="83"/>
      <c r="J18" s="84"/>
      <c r="K18" s="84"/>
      <c r="L18" s="84"/>
      <c r="M18" s="81"/>
      <c r="N18" s="4"/>
      <c r="O18" s="8"/>
      <c r="P18" s="8"/>
      <c r="Q18" s="8"/>
      <c r="R18" s="8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2"/>
    </row>
    <row r="19" spans="2:30" s="3" customFormat="1" x14ac:dyDescent="0.7">
      <c r="B19" s="119" t="s">
        <v>44</v>
      </c>
      <c r="C19" s="119"/>
      <c r="D19" s="119"/>
      <c r="E19" s="85"/>
      <c r="F19" s="86"/>
      <c r="G19" s="119" t="s">
        <v>44</v>
      </c>
      <c r="H19" s="119"/>
      <c r="I19" s="119"/>
      <c r="J19" s="119"/>
      <c r="K19" s="119"/>
      <c r="L19" s="87"/>
      <c r="M19" s="87"/>
      <c r="N19" s="119" t="s">
        <v>44</v>
      </c>
      <c r="O19" s="119"/>
      <c r="P19" s="119"/>
      <c r="Q19" s="119"/>
      <c r="R19" s="119"/>
      <c r="S19" s="82"/>
      <c r="T19" s="88"/>
      <c r="U19" s="88"/>
      <c r="V19" s="88"/>
      <c r="W19" s="82"/>
      <c r="X19" s="82"/>
      <c r="Y19" s="82"/>
      <c r="Z19" s="82"/>
      <c r="AA19" s="82"/>
      <c r="AB19" s="82"/>
      <c r="AC19" s="82"/>
      <c r="AD19" s="2"/>
    </row>
    <row r="20" spans="2:30" s="3" customFormat="1" x14ac:dyDescent="0.7">
      <c r="B20" s="119" t="s">
        <v>45</v>
      </c>
      <c r="C20" s="119"/>
      <c r="D20" s="119"/>
      <c r="E20" s="87"/>
      <c r="F20" s="87"/>
      <c r="G20" s="119" t="s">
        <v>46</v>
      </c>
      <c r="H20" s="119"/>
      <c r="I20" s="119"/>
      <c r="J20" s="119"/>
      <c r="K20" s="119"/>
      <c r="L20" s="87"/>
      <c r="M20" s="87"/>
      <c r="N20" s="119" t="s">
        <v>47</v>
      </c>
      <c r="O20" s="119"/>
      <c r="P20" s="119"/>
      <c r="Q20" s="119"/>
      <c r="R20" s="119"/>
      <c r="S20" s="4"/>
      <c r="T20" s="120"/>
      <c r="U20" s="120"/>
      <c r="V20" s="120"/>
      <c r="W20" s="120"/>
      <c r="X20" s="4"/>
      <c r="Y20" s="4"/>
      <c r="Z20" s="4"/>
      <c r="AA20" s="4"/>
      <c r="AB20" s="4"/>
      <c r="AC20" s="4"/>
      <c r="AD20" s="4"/>
    </row>
    <row r="21" spans="2:30" s="3" customFormat="1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33" spans="2:34" x14ac:dyDescent="0.3">
      <c r="B33" s="4"/>
      <c r="D33" s="4"/>
      <c r="E33" s="4"/>
      <c r="F33" s="4"/>
      <c r="G33" s="4"/>
      <c r="H33" s="4"/>
      <c r="I33" s="4"/>
      <c r="J33" s="4"/>
      <c r="K33" s="4"/>
      <c r="L33" s="4"/>
      <c r="M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H33" s="79" t="s">
        <v>21</v>
      </c>
    </row>
    <row r="34" spans="2:34" x14ac:dyDescent="0.3">
      <c r="B34" s="4"/>
      <c r="D34" s="4"/>
      <c r="E34" s="4"/>
      <c r="F34" s="4"/>
      <c r="G34" s="4"/>
      <c r="H34" s="4"/>
      <c r="I34" s="4"/>
      <c r="J34" s="4"/>
      <c r="K34" s="4"/>
      <c r="L34" s="4"/>
      <c r="M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H34" s="79" t="s">
        <v>48</v>
      </c>
    </row>
    <row r="35" spans="2:34" x14ac:dyDescent="0.3">
      <c r="B35" s="4"/>
      <c r="D35" s="4"/>
      <c r="E35" s="4"/>
      <c r="F35" s="4"/>
      <c r="G35" s="4"/>
      <c r="H35" s="4"/>
      <c r="I35" s="4"/>
      <c r="J35" s="4"/>
      <c r="K35" s="4"/>
      <c r="L35" s="4"/>
      <c r="M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H35" s="79" t="s">
        <v>49</v>
      </c>
    </row>
  </sheetData>
  <mergeCells count="26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B20:D20"/>
    <mergeCell ref="G20:K20"/>
    <mergeCell ref="N20:R20"/>
    <mergeCell ref="T20:W20"/>
    <mergeCell ref="N5:N6"/>
    <mergeCell ref="O5:O6"/>
    <mergeCell ref="Q5:S5"/>
    <mergeCell ref="B19:D19"/>
    <mergeCell ref="G19:K19"/>
    <mergeCell ref="N19:R19"/>
    <mergeCell ref="E5:E6"/>
    <mergeCell ref="F5:F6"/>
    <mergeCell ref="H5:J5"/>
    <mergeCell ref="K5:K6"/>
    <mergeCell ref="L5:L6"/>
    <mergeCell ref="M5:M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6810-BD20-4E9B-BB28-8386617652D6}">
  <sheetPr>
    <tabColor rgb="FF92D050"/>
  </sheetPr>
  <dimension ref="A1:G35"/>
  <sheetViews>
    <sheetView workbookViewId="0">
      <selection activeCell="J12" sqref="J12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0.44140625" style="84" customWidth="1"/>
    <col min="5" max="5" width="11" style="84" customWidth="1"/>
    <col min="6" max="6" width="17.88671875" style="81" customWidth="1"/>
    <col min="7" max="16384" width="10.33203125" style="4"/>
  </cols>
  <sheetData>
    <row r="1" spans="1:6" x14ac:dyDescent="0.3">
      <c r="A1" s="101" t="s">
        <v>51</v>
      </c>
      <c r="B1" s="101"/>
      <c r="C1" s="101"/>
      <c r="D1" s="101"/>
      <c r="E1" s="101"/>
      <c r="F1" s="101"/>
    </row>
    <row r="2" spans="1:6" x14ac:dyDescent="0.3">
      <c r="A2" s="101" t="s">
        <v>1</v>
      </c>
      <c r="B2" s="101"/>
      <c r="C2" s="101"/>
      <c r="D2" s="101"/>
      <c r="E2" s="101"/>
      <c r="F2" s="101"/>
    </row>
    <row r="3" spans="1:6" x14ac:dyDescent="0.3">
      <c r="A3" s="102" t="s">
        <v>62</v>
      </c>
      <c r="B3" s="102"/>
      <c r="C3" s="102"/>
      <c r="D3" s="102"/>
      <c r="E3" s="102"/>
      <c r="F3" s="102"/>
    </row>
    <row r="4" spans="1:6" x14ac:dyDescent="0.3">
      <c r="A4" s="103" t="s">
        <v>3</v>
      </c>
      <c r="B4" s="106" t="s">
        <v>4</v>
      </c>
      <c r="C4" s="106" t="s">
        <v>5</v>
      </c>
      <c r="D4" s="118" t="s">
        <v>8</v>
      </c>
      <c r="E4" s="118"/>
      <c r="F4" s="118"/>
    </row>
    <row r="5" spans="1:6" x14ac:dyDescent="0.3">
      <c r="A5" s="104"/>
      <c r="B5" s="107"/>
      <c r="C5" s="107"/>
      <c r="D5" s="122" t="s">
        <v>14</v>
      </c>
      <c r="E5" s="123" t="s">
        <v>15</v>
      </c>
      <c r="F5" s="118" t="s">
        <v>16</v>
      </c>
    </row>
    <row r="6" spans="1:6" x14ac:dyDescent="0.3">
      <c r="A6" s="105"/>
      <c r="B6" s="108"/>
      <c r="C6" s="108"/>
      <c r="D6" s="122"/>
      <c r="E6" s="123"/>
      <c r="F6" s="118"/>
    </row>
    <row r="7" spans="1:6" s="33" customFormat="1" x14ac:dyDescent="0.3">
      <c r="A7" s="18"/>
      <c r="B7" s="19" t="s">
        <v>30</v>
      </c>
      <c r="C7" s="20"/>
      <c r="D7" s="23"/>
      <c r="E7" s="24"/>
      <c r="F7" s="25"/>
    </row>
    <row r="8" spans="1:6" x14ac:dyDescent="0.3">
      <c r="A8" s="35">
        <v>1</v>
      </c>
      <c r="B8" s="36" t="s">
        <v>31</v>
      </c>
      <c r="C8" s="37" t="s">
        <v>32</v>
      </c>
      <c r="D8" s="41">
        <v>46027</v>
      </c>
      <c r="E8" s="42" t="s">
        <v>63</v>
      </c>
      <c r="F8" s="43">
        <v>228132</v>
      </c>
    </row>
    <row r="9" spans="1:6" s="33" customFormat="1" ht="25.2" thickBot="1" x14ac:dyDescent="0.35">
      <c r="A9" s="18"/>
      <c r="B9" s="49" t="s">
        <v>24</v>
      </c>
      <c r="C9" s="50"/>
      <c r="D9" s="52"/>
      <c r="E9" s="51"/>
      <c r="F9" s="51">
        <v>228132</v>
      </c>
    </row>
    <row r="10" spans="1:6" s="33" customFormat="1" ht="25.2" thickTop="1" x14ac:dyDescent="0.3">
      <c r="A10" s="18"/>
      <c r="B10" s="53" t="s">
        <v>40</v>
      </c>
      <c r="C10" s="54"/>
      <c r="D10" s="57"/>
      <c r="E10" s="58"/>
      <c r="F10" s="59"/>
    </row>
    <row r="11" spans="1:6" x14ac:dyDescent="0.3">
      <c r="A11" s="64">
        <v>1</v>
      </c>
      <c r="B11" s="36" t="s">
        <v>31</v>
      </c>
      <c r="C11" s="65"/>
      <c r="D11" s="41">
        <v>46027</v>
      </c>
      <c r="E11" s="68" t="s">
        <v>64</v>
      </c>
      <c r="F11" s="69">
        <v>11900</v>
      </c>
    </row>
    <row r="12" spans="1:6" s="33" customFormat="1" ht="25.2" thickBot="1" x14ac:dyDescent="0.35">
      <c r="A12" s="18"/>
      <c r="B12" s="49" t="s">
        <v>24</v>
      </c>
      <c r="C12" s="50"/>
      <c r="D12" s="52"/>
      <c r="E12" s="51"/>
      <c r="F12" s="51">
        <v>11900</v>
      </c>
    </row>
    <row r="13" spans="1:6" s="33" customFormat="1" ht="25.8" thickTop="1" thickBot="1" x14ac:dyDescent="0.35">
      <c r="A13" s="72"/>
      <c r="B13" s="73" t="s">
        <v>43</v>
      </c>
      <c r="C13" s="74"/>
      <c r="D13" s="76"/>
      <c r="E13" s="76"/>
      <c r="F13" s="75">
        <v>240032</v>
      </c>
    </row>
    <row r="14" spans="1:6" ht="25.2" thickTop="1" x14ac:dyDescent="0.3">
      <c r="D14" s="2"/>
      <c r="E14" s="2"/>
    </row>
    <row r="15" spans="1:6" x14ac:dyDescent="0.3">
      <c r="D15" s="2"/>
      <c r="E15" s="2"/>
    </row>
    <row r="16" spans="1:6" x14ac:dyDescent="0.3">
      <c r="D16" s="2"/>
      <c r="E16" s="2"/>
    </row>
    <row r="17" spans="2:6" s="3" customFormat="1" x14ac:dyDescent="0.3">
      <c r="B17" s="79"/>
      <c r="C17" s="4"/>
      <c r="D17" s="2"/>
      <c r="E17" s="2"/>
      <c r="F17" s="81"/>
    </row>
    <row r="18" spans="2:6" s="3" customFormat="1" x14ac:dyDescent="0.3">
      <c r="B18" s="47"/>
      <c r="C18" s="4"/>
      <c r="D18" s="84"/>
      <c r="E18" s="84"/>
      <c r="F18" s="81"/>
    </row>
    <row r="19" spans="2:6" s="3" customFormat="1" x14ac:dyDescent="0.6">
      <c r="B19" s="119" t="s">
        <v>44</v>
      </c>
      <c r="C19" s="119"/>
      <c r="D19" s="89"/>
      <c r="E19" s="87"/>
      <c r="F19" s="87"/>
    </row>
    <row r="20" spans="2:6" s="3" customFormat="1" x14ac:dyDescent="0.6">
      <c r="B20" s="119" t="s">
        <v>45</v>
      </c>
      <c r="C20" s="119"/>
      <c r="D20" s="89"/>
      <c r="E20" s="87"/>
      <c r="F20" s="87"/>
    </row>
    <row r="21" spans="2:6" s="3" customFormat="1" x14ac:dyDescent="0.3">
      <c r="B21" s="4"/>
      <c r="C21" s="4"/>
      <c r="D21" s="4"/>
      <c r="E21" s="4"/>
      <c r="F21" s="4"/>
    </row>
    <row r="33" spans="2:7" x14ac:dyDescent="0.3">
      <c r="B33" s="4"/>
      <c r="D33" s="4"/>
      <c r="E33" s="4"/>
      <c r="F33" s="4"/>
      <c r="G33" s="79" t="s">
        <v>21</v>
      </c>
    </row>
    <row r="34" spans="2:7" x14ac:dyDescent="0.3">
      <c r="B34" s="4"/>
      <c r="D34" s="4"/>
      <c r="E34" s="4"/>
      <c r="F34" s="4"/>
      <c r="G34" s="79" t="s">
        <v>48</v>
      </c>
    </row>
    <row r="35" spans="2:7" x14ac:dyDescent="0.3">
      <c r="B35" s="4"/>
      <c r="D35" s="4"/>
      <c r="E35" s="4"/>
      <c r="F35" s="4"/>
      <c r="G35" s="79" t="s">
        <v>49</v>
      </c>
    </row>
  </sheetData>
  <mergeCells count="12">
    <mergeCell ref="B19:C19"/>
    <mergeCell ref="B20:C20"/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F5:F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1E33-2CD4-4BD4-A355-6A9C369C94C2}">
  <sheetPr>
    <tabColor rgb="FF92D050"/>
  </sheetPr>
  <dimension ref="A1:G19"/>
  <sheetViews>
    <sheetView workbookViewId="0">
      <selection activeCell="I17" sqref="I17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4" width="11.44140625" style="4" customWidth="1"/>
    <col min="5" max="5" width="7.5546875" style="4" customWidth="1"/>
    <col min="6" max="6" width="7.5546875" style="8" customWidth="1"/>
    <col min="7" max="7" width="14.109375" style="82" customWidth="1"/>
    <col min="8" max="16384" width="10.33203125" style="4"/>
  </cols>
  <sheetData>
    <row r="1" spans="1:7" x14ac:dyDescent="0.3">
      <c r="A1" s="101" t="s">
        <v>51</v>
      </c>
      <c r="B1" s="101"/>
      <c r="C1" s="101"/>
      <c r="D1" s="101"/>
      <c r="E1" s="101"/>
      <c r="F1" s="101"/>
      <c r="G1" s="101"/>
    </row>
    <row r="2" spans="1:7" x14ac:dyDescent="0.3">
      <c r="A2" s="101" t="s">
        <v>1</v>
      </c>
      <c r="B2" s="101"/>
      <c r="C2" s="101"/>
      <c r="D2" s="101"/>
      <c r="E2" s="101"/>
      <c r="F2" s="101"/>
      <c r="G2" s="101"/>
    </row>
    <row r="3" spans="1:7" x14ac:dyDescent="0.3">
      <c r="A3" s="102" t="s">
        <v>62</v>
      </c>
      <c r="B3" s="102"/>
      <c r="C3" s="102"/>
      <c r="D3" s="102"/>
      <c r="E3" s="102"/>
      <c r="F3" s="102"/>
      <c r="G3" s="102"/>
    </row>
    <row r="4" spans="1:7" x14ac:dyDescent="0.3">
      <c r="A4" s="103" t="s">
        <v>3</v>
      </c>
      <c r="B4" s="106" t="s">
        <v>4</v>
      </c>
      <c r="C4" s="106" t="s">
        <v>5</v>
      </c>
      <c r="D4" s="93"/>
      <c r="E4" s="109" t="s">
        <v>9</v>
      </c>
      <c r="F4" s="110"/>
      <c r="G4" s="111"/>
    </row>
    <row r="5" spans="1:7" x14ac:dyDescent="0.3">
      <c r="A5" s="104"/>
      <c r="B5" s="107"/>
      <c r="C5" s="107"/>
      <c r="D5" s="90" t="s">
        <v>54</v>
      </c>
      <c r="E5" s="103" t="s">
        <v>10</v>
      </c>
      <c r="F5" s="112" t="s">
        <v>11</v>
      </c>
      <c r="G5" s="92"/>
    </row>
    <row r="6" spans="1:7" x14ac:dyDescent="0.3">
      <c r="A6" s="105"/>
      <c r="B6" s="108"/>
      <c r="C6" s="108"/>
      <c r="D6" s="91"/>
      <c r="E6" s="105"/>
      <c r="F6" s="113"/>
      <c r="G6" s="9" t="s">
        <v>24</v>
      </c>
    </row>
    <row r="7" spans="1:7" s="33" customFormat="1" x14ac:dyDescent="0.3">
      <c r="A7" s="18"/>
      <c r="B7" s="19" t="s">
        <v>55</v>
      </c>
      <c r="C7" s="20"/>
      <c r="D7" s="20"/>
      <c r="E7" s="26"/>
      <c r="F7" s="27"/>
      <c r="G7" s="29"/>
    </row>
    <row r="8" spans="1:7" x14ac:dyDescent="0.3">
      <c r="A8" s="35"/>
      <c r="B8" s="36"/>
      <c r="C8" s="37"/>
      <c r="D8" s="37"/>
      <c r="E8" s="36"/>
      <c r="F8" s="39"/>
      <c r="G8" s="44">
        <v>0</v>
      </c>
    </row>
    <row r="9" spans="1:7" s="33" customFormat="1" ht="25.2" thickBot="1" x14ac:dyDescent="0.35">
      <c r="A9" s="18"/>
      <c r="B9" s="49" t="s">
        <v>24</v>
      </c>
      <c r="C9" s="50"/>
      <c r="D9" s="50"/>
      <c r="E9" s="51"/>
      <c r="F9" s="51"/>
      <c r="G9" s="51">
        <v>0</v>
      </c>
    </row>
    <row r="10" spans="1:7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G1"/>
    <mergeCell ref="A2:G2"/>
    <mergeCell ref="A3:G3"/>
    <mergeCell ref="A4:A6"/>
    <mergeCell ref="B4:B6"/>
    <mergeCell ref="C4:C6"/>
    <mergeCell ref="E4:G4"/>
    <mergeCell ref="E5:E6"/>
    <mergeCell ref="F5:F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0D0D-6485-4F21-B66F-B393E425738B}">
  <sheetPr>
    <tabColor rgb="FF92D050"/>
  </sheetPr>
  <dimension ref="A1:F19"/>
  <sheetViews>
    <sheetView topLeftCell="A2" workbookViewId="0">
      <selection activeCell="H20" sqref="H20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11.44140625" style="4" customWidth="1"/>
    <col min="4" max="4" width="7.5546875" style="4" customWidth="1"/>
    <col min="5" max="5" width="7.5546875" style="8" customWidth="1"/>
    <col min="6" max="6" width="14.109375" style="82" customWidth="1"/>
    <col min="7" max="16384" width="10.33203125" style="4"/>
  </cols>
  <sheetData>
    <row r="1" spans="1:6" x14ac:dyDescent="0.3">
      <c r="A1" s="101" t="s">
        <v>51</v>
      </c>
      <c r="B1" s="101"/>
      <c r="C1" s="101"/>
      <c r="D1" s="101"/>
      <c r="E1" s="101"/>
      <c r="F1" s="101"/>
    </row>
    <row r="2" spans="1:6" x14ac:dyDescent="0.3">
      <c r="A2" s="101" t="s">
        <v>1</v>
      </c>
      <c r="B2" s="101"/>
      <c r="C2" s="101"/>
      <c r="D2" s="101"/>
      <c r="E2" s="101"/>
      <c r="F2" s="101"/>
    </row>
    <row r="3" spans="1:6" x14ac:dyDescent="0.3">
      <c r="A3" s="102" t="s">
        <v>62</v>
      </c>
      <c r="B3" s="102"/>
      <c r="C3" s="102"/>
      <c r="D3" s="102"/>
      <c r="E3" s="102"/>
      <c r="F3" s="102"/>
    </row>
    <row r="4" spans="1:6" x14ac:dyDescent="0.3">
      <c r="A4" s="103" t="s">
        <v>3</v>
      </c>
      <c r="B4" s="106" t="s">
        <v>4</v>
      </c>
      <c r="C4" s="106" t="s">
        <v>5</v>
      </c>
      <c r="D4" s="109" t="s">
        <v>9</v>
      </c>
      <c r="E4" s="110"/>
      <c r="F4" s="111"/>
    </row>
    <row r="5" spans="1:6" x14ac:dyDescent="0.3">
      <c r="A5" s="104"/>
      <c r="B5" s="107"/>
      <c r="C5" s="107"/>
      <c r="D5" s="103" t="s">
        <v>10</v>
      </c>
      <c r="E5" s="112" t="s">
        <v>11</v>
      </c>
      <c r="F5" s="92"/>
    </row>
    <row r="6" spans="1:6" x14ac:dyDescent="0.3">
      <c r="A6" s="105"/>
      <c r="B6" s="108"/>
      <c r="C6" s="108"/>
      <c r="D6" s="105"/>
      <c r="E6" s="113"/>
      <c r="F6" s="9" t="s">
        <v>24</v>
      </c>
    </row>
    <row r="7" spans="1:6" s="33" customFormat="1" x14ac:dyDescent="0.3">
      <c r="A7" s="18"/>
      <c r="B7" s="19" t="s">
        <v>55</v>
      </c>
      <c r="C7" s="20"/>
      <c r="D7" s="26"/>
      <c r="E7" s="27"/>
      <c r="F7" s="29"/>
    </row>
    <row r="8" spans="1:6" x14ac:dyDescent="0.3">
      <c r="A8" s="35"/>
      <c r="B8" s="36"/>
      <c r="C8" s="37"/>
      <c r="D8" s="36"/>
      <c r="E8" s="39"/>
      <c r="F8" s="44">
        <v>0</v>
      </c>
    </row>
    <row r="9" spans="1:6" s="33" customFormat="1" ht="25.2" thickBot="1" x14ac:dyDescent="0.35">
      <c r="A9" s="18"/>
      <c r="B9" s="49" t="s">
        <v>24</v>
      </c>
      <c r="C9" s="50"/>
      <c r="D9" s="51"/>
      <c r="E9" s="51"/>
      <c r="F9" s="51">
        <v>0</v>
      </c>
    </row>
    <row r="10" spans="1:6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63BC-6C23-41AF-B6B9-8AA592D2BD61}">
  <sheetPr>
    <tabColor rgb="FFFFFF00"/>
  </sheetPr>
  <dimension ref="A1:AH35"/>
  <sheetViews>
    <sheetView workbookViewId="0">
      <selection activeCell="D17" sqref="D17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8.44140625" style="80" customWidth="1"/>
    <col min="5" max="5" width="6.44140625" style="83" customWidth="1"/>
    <col min="6" max="6" width="3.109375" style="83" customWidth="1"/>
    <col min="7" max="7" width="3.44140625" style="83" customWidth="1"/>
    <col min="8" max="8" width="7.6640625" style="83" customWidth="1"/>
    <col min="9" max="9" width="7" style="83" customWidth="1"/>
    <col min="10" max="10" width="6.88671875" style="84" customWidth="1"/>
    <col min="11" max="11" width="10.44140625" style="84" customWidth="1"/>
    <col min="12" max="12" width="11" style="84" customWidth="1"/>
    <col min="13" max="13" width="17.88671875" style="81" customWidth="1"/>
    <col min="14" max="14" width="3.5546875" style="4" customWidth="1"/>
    <col min="15" max="15" width="3.5546875" style="8" customWidth="1"/>
    <col min="16" max="16" width="3.6640625" style="8" customWidth="1"/>
    <col min="17" max="17" width="7.109375" style="8" customWidth="1"/>
    <col min="18" max="18" width="5.44140625" style="8" customWidth="1"/>
    <col min="19" max="19" width="14.109375" style="82" customWidth="1"/>
    <col min="20" max="20" width="4.109375" style="82" customWidth="1"/>
    <col min="21" max="21" width="6.6640625" style="82" customWidth="1"/>
    <col min="22" max="22" width="7.44140625" style="82" customWidth="1"/>
    <col min="23" max="23" width="18.88671875" style="82" customWidth="1"/>
    <col min="24" max="24" width="7.44140625" style="82" customWidth="1"/>
    <col min="25" max="27" width="9.88671875" style="82" customWidth="1"/>
    <col min="28" max="28" width="11.44140625" style="82" bestFit="1" customWidth="1"/>
    <col min="29" max="29" width="9.88671875" style="82" customWidth="1"/>
    <col min="30" max="30" width="10.33203125" style="2"/>
    <col min="31" max="31" width="10.44140625" style="3" bestFit="1" customWidth="1"/>
    <col min="32" max="32" width="10.33203125" style="4"/>
    <col min="33" max="33" width="11.6640625" style="4" bestFit="1" customWidth="1"/>
    <col min="34" max="16384" width="10.33203125" style="4"/>
  </cols>
  <sheetData>
    <row r="1" spans="1:33" x14ac:dyDescent="0.3">
      <c r="A1" s="101" t="s">
        <v>51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x14ac:dyDescent="0.3">
      <c r="A2" s="101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3" x14ac:dyDescent="0.3">
      <c r="A3" s="102" t="s">
        <v>59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33" x14ac:dyDescent="0.3">
      <c r="A4" s="103" t="s">
        <v>3</v>
      </c>
      <c r="B4" s="106" t="s">
        <v>4</v>
      </c>
      <c r="C4" s="106" t="s">
        <v>5</v>
      </c>
      <c r="D4" s="114" t="s">
        <v>6</v>
      </c>
      <c r="E4" s="117" t="s">
        <v>7</v>
      </c>
      <c r="F4" s="117"/>
      <c r="G4" s="117"/>
      <c r="H4" s="117"/>
      <c r="I4" s="117"/>
      <c r="J4" s="117"/>
      <c r="K4" s="118" t="s">
        <v>8</v>
      </c>
      <c r="L4" s="118"/>
      <c r="M4" s="118"/>
      <c r="N4" s="117" t="s">
        <v>9</v>
      </c>
      <c r="O4" s="117"/>
      <c r="P4" s="117"/>
      <c r="Q4" s="117"/>
      <c r="R4" s="117"/>
      <c r="S4" s="117"/>
      <c r="T4" s="7"/>
      <c r="U4" s="7"/>
      <c r="V4" s="7"/>
      <c r="W4" s="7"/>
      <c r="X4" s="7"/>
      <c r="Y4" s="8"/>
      <c r="Z4" s="8"/>
      <c r="AA4" s="8"/>
      <c r="AB4" s="8"/>
      <c r="AC4" s="8"/>
    </row>
    <row r="5" spans="1:33" x14ac:dyDescent="0.3">
      <c r="A5" s="104"/>
      <c r="B5" s="107"/>
      <c r="C5" s="107"/>
      <c r="D5" s="115"/>
      <c r="E5" s="121" t="s">
        <v>10</v>
      </c>
      <c r="F5" s="117" t="s">
        <v>11</v>
      </c>
      <c r="G5" s="7" t="s">
        <v>12</v>
      </c>
      <c r="H5" s="117" t="s">
        <v>13</v>
      </c>
      <c r="I5" s="117"/>
      <c r="J5" s="117"/>
      <c r="K5" s="122" t="s">
        <v>14</v>
      </c>
      <c r="L5" s="123" t="s">
        <v>15</v>
      </c>
      <c r="M5" s="118" t="s">
        <v>16</v>
      </c>
      <c r="N5" s="121" t="s">
        <v>10</v>
      </c>
      <c r="O5" s="117" t="s">
        <v>11</v>
      </c>
      <c r="P5" s="7" t="s">
        <v>12</v>
      </c>
      <c r="Q5" s="117" t="s">
        <v>13</v>
      </c>
      <c r="R5" s="117"/>
      <c r="S5" s="117"/>
      <c r="T5" s="10" t="s">
        <v>17</v>
      </c>
      <c r="U5" s="10" t="s">
        <v>18</v>
      </c>
      <c r="V5" s="10" t="s">
        <v>19</v>
      </c>
      <c r="W5" s="10" t="s">
        <v>20</v>
      </c>
      <c r="X5" s="10" t="s">
        <v>21</v>
      </c>
      <c r="Y5" s="8"/>
      <c r="Z5" s="8"/>
      <c r="AA5" s="8"/>
      <c r="AB5" s="8"/>
      <c r="AC5" s="8"/>
    </row>
    <row r="6" spans="1:33" ht="73.8" x14ac:dyDescent="0.3">
      <c r="A6" s="105"/>
      <c r="B6" s="108"/>
      <c r="C6" s="108"/>
      <c r="D6" s="116"/>
      <c r="E6" s="121"/>
      <c r="F6" s="117"/>
      <c r="G6" s="11" t="s">
        <v>22</v>
      </c>
      <c r="H6" s="6" t="s">
        <v>16</v>
      </c>
      <c r="I6" s="12" t="s">
        <v>23</v>
      </c>
      <c r="J6" s="9" t="s">
        <v>24</v>
      </c>
      <c r="K6" s="122"/>
      <c r="L6" s="123"/>
      <c r="M6" s="118"/>
      <c r="N6" s="121"/>
      <c r="O6" s="117"/>
      <c r="P6" s="11" t="s">
        <v>22</v>
      </c>
      <c r="Q6" s="6" t="s">
        <v>16</v>
      </c>
      <c r="R6" s="13" t="s">
        <v>23</v>
      </c>
      <c r="S6" s="9" t="s">
        <v>24</v>
      </c>
      <c r="T6" s="14" t="s">
        <v>25</v>
      </c>
      <c r="U6" s="14"/>
      <c r="V6" s="14"/>
      <c r="W6" s="14"/>
      <c r="X6" s="14"/>
      <c r="Y6" s="15" t="s">
        <v>26</v>
      </c>
      <c r="Z6" s="15" t="s">
        <v>27</v>
      </c>
      <c r="AA6" s="15"/>
      <c r="AB6" s="15"/>
      <c r="AC6" s="15" t="s">
        <v>28</v>
      </c>
      <c r="AD6" s="16"/>
      <c r="AF6" s="17" t="s">
        <v>29</v>
      </c>
    </row>
    <row r="7" spans="1:33" s="33" customFormat="1" x14ac:dyDescent="0.3">
      <c r="A7" s="18"/>
      <c r="B7" s="19" t="s">
        <v>30</v>
      </c>
      <c r="C7" s="20"/>
      <c r="D7" s="21"/>
      <c r="E7" s="21"/>
      <c r="F7" s="21"/>
      <c r="G7" s="22"/>
      <c r="H7" s="22"/>
      <c r="I7" s="22"/>
      <c r="J7" s="22"/>
      <c r="K7" s="23"/>
      <c r="L7" s="24"/>
      <c r="M7" s="25"/>
      <c r="N7" s="26"/>
      <c r="O7" s="27"/>
      <c r="P7" s="28"/>
      <c r="Q7" s="28"/>
      <c r="R7" s="28"/>
      <c r="S7" s="29"/>
      <c r="T7" s="30"/>
      <c r="U7" s="31"/>
      <c r="V7" s="31"/>
      <c r="W7" s="32"/>
      <c r="X7" s="32"/>
      <c r="Y7" s="32"/>
      <c r="AB7" s="34"/>
    </row>
    <row r="8" spans="1:33" x14ac:dyDescent="0.3">
      <c r="A8" s="35">
        <v>1</v>
      </c>
      <c r="B8" s="36" t="s">
        <v>31</v>
      </c>
      <c r="C8" s="37" t="s">
        <v>32</v>
      </c>
      <c r="D8" s="38">
        <v>228132</v>
      </c>
      <c r="E8" s="36"/>
      <c r="F8" s="39"/>
      <c r="G8" s="39"/>
      <c r="H8" s="39"/>
      <c r="I8" s="39"/>
      <c r="J8" s="40">
        <v>0</v>
      </c>
      <c r="K8" s="41">
        <v>45997</v>
      </c>
      <c r="L8" s="42" t="s">
        <v>60</v>
      </c>
      <c r="M8" s="43">
        <v>228132</v>
      </c>
      <c r="N8" s="36"/>
      <c r="O8" s="39"/>
      <c r="P8" s="39"/>
      <c r="Q8" s="39"/>
      <c r="R8" s="39"/>
      <c r="S8" s="44">
        <f>+D8-M8</f>
        <v>0</v>
      </c>
      <c r="T8" s="44" t="s">
        <v>34</v>
      </c>
      <c r="U8" s="44" t="s">
        <v>35</v>
      </c>
      <c r="V8" s="44" t="s">
        <v>36</v>
      </c>
      <c r="W8" s="44">
        <v>300000</v>
      </c>
      <c r="X8" s="44"/>
      <c r="Y8" s="44">
        <v>150000</v>
      </c>
      <c r="Z8" s="44"/>
      <c r="AA8" s="44"/>
      <c r="AB8" s="45" t="s">
        <v>37</v>
      </c>
      <c r="AC8" s="44" t="s">
        <v>38</v>
      </c>
      <c r="AD8" s="46"/>
      <c r="AE8" s="3">
        <f>+S8-AD8</f>
        <v>0</v>
      </c>
      <c r="AF8" s="47" t="s">
        <v>39</v>
      </c>
      <c r="AG8" s="48">
        <v>42983</v>
      </c>
    </row>
    <row r="9" spans="1:33" s="33" customFormat="1" ht="25.2" thickBot="1" x14ac:dyDescent="0.35">
      <c r="A9" s="18"/>
      <c r="B9" s="49" t="s">
        <v>24</v>
      </c>
      <c r="C9" s="50"/>
      <c r="D9" s="51">
        <f>SUM(D8:D8)</f>
        <v>228132</v>
      </c>
      <c r="E9" s="51"/>
      <c r="F9" s="51"/>
      <c r="G9" s="51"/>
      <c r="H9" s="51">
        <f>SUM(H8:H8)</f>
        <v>0</v>
      </c>
      <c r="I9" s="51">
        <f>SUM(I8:I8)</f>
        <v>0</v>
      </c>
      <c r="J9" s="51">
        <f>SUM(J8:J8)</f>
        <v>0</v>
      </c>
      <c r="K9" s="52"/>
      <c r="L9" s="51"/>
      <c r="M9" s="51">
        <f>SUM(M8:M8)</f>
        <v>228132</v>
      </c>
      <c r="N9" s="51"/>
      <c r="O9" s="51"/>
      <c r="P9" s="51"/>
      <c r="Q9" s="51">
        <f>SUM(Q8:Q8)</f>
        <v>0</v>
      </c>
      <c r="R9" s="51">
        <f>SUM(R8:R8)</f>
        <v>0</v>
      </c>
      <c r="S9" s="51">
        <f>SUM(S8:S8)</f>
        <v>0</v>
      </c>
      <c r="T9" s="30"/>
      <c r="U9" s="31"/>
      <c r="V9" s="31"/>
      <c r="W9" s="32"/>
      <c r="X9" s="32"/>
      <c r="Y9" s="32"/>
      <c r="AB9" s="34"/>
    </row>
    <row r="10" spans="1:33" s="33" customFormat="1" ht="25.2" thickTop="1" x14ac:dyDescent="0.3">
      <c r="A10" s="18"/>
      <c r="B10" s="53" t="s">
        <v>40</v>
      </c>
      <c r="C10" s="54"/>
      <c r="D10" s="55"/>
      <c r="E10" s="55"/>
      <c r="F10" s="55"/>
      <c r="G10" s="56"/>
      <c r="H10" s="56"/>
      <c r="I10" s="56"/>
      <c r="J10" s="56"/>
      <c r="K10" s="57"/>
      <c r="L10" s="58"/>
      <c r="M10" s="59"/>
      <c r="N10" s="60"/>
      <c r="O10" s="61"/>
      <c r="P10" s="62"/>
      <c r="Q10" s="62"/>
      <c r="R10" s="62"/>
      <c r="S10" s="63"/>
      <c r="T10" s="30"/>
      <c r="U10" s="31"/>
      <c r="V10" s="31"/>
      <c r="W10" s="32"/>
      <c r="X10" s="32"/>
      <c r="Y10" s="32"/>
      <c r="AB10" s="34"/>
    </row>
    <row r="11" spans="1:33" x14ac:dyDescent="0.3">
      <c r="A11" s="64">
        <v>1</v>
      </c>
      <c r="B11" s="36" t="s">
        <v>31</v>
      </c>
      <c r="C11" s="65"/>
      <c r="D11" s="66">
        <v>11900</v>
      </c>
      <c r="E11" s="4"/>
      <c r="F11" s="10"/>
      <c r="G11" s="10"/>
      <c r="H11" s="10"/>
      <c r="I11" s="10"/>
      <c r="J11" s="67">
        <v>0</v>
      </c>
      <c r="K11" s="41">
        <v>45997</v>
      </c>
      <c r="L11" s="68" t="s">
        <v>61</v>
      </c>
      <c r="M11" s="69">
        <v>11900</v>
      </c>
      <c r="O11" s="10"/>
      <c r="P11" s="10"/>
      <c r="Q11" s="10"/>
      <c r="R11" s="10"/>
      <c r="S11" s="44">
        <f>+D11-M11</f>
        <v>0</v>
      </c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1"/>
      <c r="AF11" s="47" t="s">
        <v>42</v>
      </c>
      <c r="AG11" s="48">
        <v>42983</v>
      </c>
    </row>
    <row r="12" spans="1:33" s="33" customFormat="1" ht="25.2" thickBot="1" x14ac:dyDescent="0.35">
      <c r="A12" s="18"/>
      <c r="B12" s="49" t="s">
        <v>24</v>
      </c>
      <c r="C12" s="50"/>
      <c r="D12" s="51">
        <f>SUM(D11)</f>
        <v>11900</v>
      </c>
      <c r="E12" s="51"/>
      <c r="F12" s="51"/>
      <c r="G12" s="51"/>
      <c r="H12" s="51">
        <f t="shared" ref="H12:J12" si="0">SUM(H11)</f>
        <v>0</v>
      </c>
      <c r="I12" s="51">
        <f t="shared" si="0"/>
        <v>0</v>
      </c>
      <c r="J12" s="51">
        <f t="shared" si="0"/>
        <v>0</v>
      </c>
      <c r="K12" s="52"/>
      <c r="L12" s="51"/>
      <c r="M12" s="51">
        <f t="shared" ref="M12" si="1">SUM(M11)</f>
        <v>11900</v>
      </c>
      <c r="N12" s="51"/>
      <c r="O12" s="51"/>
      <c r="P12" s="51"/>
      <c r="Q12" s="51">
        <f t="shared" ref="Q12:S12" si="2">SUM(Q11)</f>
        <v>0</v>
      </c>
      <c r="R12" s="51">
        <f t="shared" si="2"/>
        <v>0</v>
      </c>
      <c r="S12" s="51">
        <f t="shared" si="2"/>
        <v>0</v>
      </c>
      <c r="T12" s="30"/>
      <c r="U12" s="31"/>
      <c r="V12" s="31"/>
      <c r="W12" s="32"/>
      <c r="X12" s="32"/>
      <c r="Y12" s="32"/>
      <c r="AB12" s="34"/>
    </row>
    <row r="13" spans="1:33" s="33" customFormat="1" ht="25.8" thickTop="1" thickBot="1" x14ac:dyDescent="0.35">
      <c r="A13" s="72"/>
      <c r="B13" s="73" t="s">
        <v>43</v>
      </c>
      <c r="C13" s="74"/>
      <c r="D13" s="75">
        <f>D9+D12</f>
        <v>240032</v>
      </c>
      <c r="E13" s="76"/>
      <c r="F13" s="76"/>
      <c r="G13" s="76"/>
      <c r="H13" s="76">
        <f>H9+H12</f>
        <v>0</v>
      </c>
      <c r="I13" s="76">
        <f t="shared" ref="I13:J13" si="3">I9+I12</f>
        <v>0</v>
      </c>
      <c r="J13" s="76">
        <f t="shared" si="3"/>
        <v>0</v>
      </c>
      <c r="K13" s="76"/>
      <c r="L13" s="76"/>
      <c r="M13" s="75">
        <f>M9+M12</f>
        <v>240032</v>
      </c>
      <c r="N13" s="76"/>
      <c r="O13" s="76"/>
      <c r="P13" s="76"/>
      <c r="Q13" s="76">
        <f>Q9+Q12</f>
        <v>0</v>
      </c>
      <c r="R13" s="76">
        <f t="shared" ref="R13:S13" si="4">R9+R12</f>
        <v>0</v>
      </c>
      <c r="S13" s="76">
        <f t="shared" si="4"/>
        <v>0</v>
      </c>
      <c r="T13" s="77"/>
      <c r="U13" s="78"/>
      <c r="V13" s="78"/>
      <c r="W13" s="76"/>
      <c r="X13" s="76"/>
      <c r="Y13" s="76"/>
    </row>
    <row r="14" spans="1:33" ht="25.2" thickTop="1" x14ac:dyDescent="0.3">
      <c r="E14" s="4"/>
      <c r="F14" s="8"/>
      <c r="G14" s="8"/>
      <c r="H14" s="8"/>
      <c r="I14" s="8"/>
      <c r="J14" s="2"/>
      <c r="K14" s="2"/>
      <c r="L14" s="2"/>
    </row>
    <row r="15" spans="1:33" x14ac:dyDescent="0.3">
      <c r="E15" s="4"/>
      <c r="F15" s="8"/>
      <c r="G15" s="8"/>
      <c r="H15" s="8"/>
      <c r="I15" s="8"/>
      <c r="J15" s="2"/>
      <c r="K15" s="2"/>
      <c r="L15" s="2"/>
    </row>
    <row r="16" spans="1:33" x14ac:dyDescent="0.3">
      <c r="E16" s="4"/>
      <c r="F16" s="8"/>
      <c r="G16" s="8"/>
      <c r="H16" s="8"/>
      <c r="I16" s="8"/>
      <c r="J16" s="2"/>
      <c r="K16" s="2"/>
      <c r="L16" s="2"/>
    </row>
    <row r="17" spans="2:30" s="3" customFormat="1" x14ac:dyDescent="0.3">
      <c r="B17" s="79"/>
      <c r="C17" s="4"/>
      <c r="D17" s="80"/>
      <c r="E17" s="4"/>
      <c r="F17" s="8"/>
      <c r="G17" s="8"/>
      <c r="H17" s="8"/>
      <c r="I17" s="8"/>
      <c r="J17" s="2"/>
      <c r="K17" s="2"/>
      <c r="L17" s="2"/>
      <c r="M17" s="81"/>
      <c r="N17" s="4"/>
      <c r="O17" s="8"/>
      <c r="P17" s="8"/>
      <c r="Q17" s="8"/>
      <c r="R17" s="8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2"/>
    </row>
    <row r="18" spans="2:30" s="3" customFormat="1" x14ac:dyDescent="0.3">
      <c r="B18" s="47"/>
      <c r="C18" s="4"/>
      <c r="D18" s="80"/>
      <c r="E18" s="83"/>
      <c r="F18" s="83"/>
      <c r="G18" s="83"/>
      <c r="H18" s="83"/>
      <c r="I18" s="83"/>
      <c r="J18" s="84"/>
      <c r="K18" s="84"/>
      <c r="L18" s="84"/>
      <c r="M18" s="81"/>
      <c r="N18" s="4"/>
      <c r="O18" s="8"/>
      <c r="P18" s="8"/>
      <c r="Q18" s="8"/>
      <c r="R18" s="8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2"/>
    </row>
    <row r="19" spans="2:30" s="3" customFormat="1" x14ac:dyDescent="0.7">
      <c r="B19" s="119" t="s">
        <v>44</v>
      </c>
      <c r="C19" s="119"/>
      <c r="D19" s="119"/>
      <c r="E19" s="85"/>
      <c r="F19" s="86"/>
      <c r="G19" s="119" t="s">
        <v>44</v>
      </c>
      <c r="H19" s="119"/>
      <c r="I19" s="119"/>
      <c r="J19" s="119"/>
      <c r="K19" s="119"/>
      <c r="L19" s="87"/>
      <c r="M19" s="87"/>
      <c r="N19" s="119" t="s">
        <v>44</v>
      </c>
      <c r="O19" s="119"/>
      <c r="P19" s="119"/>
      <c r="Q19" s="119"/>
      <c r="R19" s="119"/>
      <c r="S19" s="82"/>
      <c r="T19" s="88"/>
      <c r="U19" s="88"/>
      <c r="V19" s="88"/>
      <c r="W19" s="82"/>
      <c r="X19" s="82"/>
      <c r="Y19" s="82"/>
      <c r="Z19" s="82"/>
      <c r="AA19" s="82"/>
      <c r="AB19" s="82"/>
      <c r="AC19" s="82"/>
      <c r="AD19" s="2"/>
    </row>
    <row r="20" spans="2:30" s="3" customFormat="1" x14ac:dyDescent="0.7">
      <c r="B20" s="119" t="s">
        <v>45</v>
      </c>
      <c r="C20" s="119"/>
      <c r="D20" s="119"/>
      <c r="E20" s="87"/>
      <c r="F20" s="87"/>
      <c r="G20" s="119" t="s">
        <v>46</v>
      </c>
      <c r="H20" s="119"/>
      <c r="I20" s="119"/>
      <c r="J20" s="119"/>
      <c r="K20" s="119"/>
      <c r="L20" s="87"/>
      <c r="M20" s="87"/>
      <c r="N20" s="119" t="s">
        <v>47</v>
      </c>
      <c r="O20" s="119"/>
      <c r="P20" s="119"/>
      <c r="Q20" s="119"/>
      <c r="R20" s="119"/>
      <c r="S20" s="4"/>
      <c r="T20" s="120"/>
      <c r="U20" s="120"/>
      <c r="V20" s="120"/>
      <c r="W20" s="120"/>
      <c r="X20" s="4"/>
      <c r="Y20" s="4"/>
      <c r="Z20" s="4"/>
      <c r="AA20" s="4"/>
      <c r="AB20" s="4"/>
      <c r="AC20" s="4"/>
      <c r="AD20" s="4"/>
    </row>
    <row r="21" spans="2:30" s="3" customFormat="1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33" spans="2:34" x14ac:dyDescent="0.3">
      <c r="B33" s="4"/>
      <c r="D33" s="4"/>
      <c r="E33" s="4"/>
      <c r="F33" s="4"/>
      <c r="G33" s="4"/>
      <c r="H33" s="4"/>
      <c r="I33" s="4"/>
      <c r="J33" s="4"/>
      <c r="K33" s="4"/>
      <c r="L33" s="4"/>
      <c r="M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H33" s="79" t="s">
        <v>21</v>
      </c>
    </row>
    <row r="34" spans="2:34" x14ac:dyDescent="0.3">
      <c r="B34" s="4"/>
      <c r="D34" s="4"/>
      <c r="E34" s="4"/>
      <c r="F34" s="4"/>
      <c r="G34" s="4"/>
      <c r="H34" s="4"/>
      <c r="I34" s="4"/>
      <c r="J34" s="4"/>
      <c r="K34" s="4"/>
      <c r="L34" s="4"/>
      <c r="M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H34" s="79" t="s">
        <v>48</v>
      </c>
    </row>
    <row r="35" spans="2:34" x14ac:dyDescent="0.3">
      <c r="B35" s="4"/>
      <c r="D35" s="4"/>
      <c r="E35" s="4"/>
      <c r="F35" s="4"/>
      <c r="G35" s="4"/>
      <c r="H35" s="4"/>
      <c r="I35" s="4"/>
      <c r="J35" s="4"/>
      <c r="K35" s="4"/>
      <c r="L35" s="4"/>
      <c r="M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H35" s="79" t="s">
        <v>49</v>
      </c>
    </row>
  </sheetData>
  <mergeCells count="26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B20:D20"/>
    <mergeCell ref="G20:K20"/>
    <mergeCell ref="N20:R20"/>
    <mergeCell ref="T20:W20"/>
    <mergeCell ref="N5:N6"/>
    <mergeCell ref="O5:O6"/>
    <mergeCell ref="Q5:S5"/>
    <mergeCell ref="B19:D19"/>
    <mergeCell ref="G19:K19"/>
    <mergeCell ref="N19:R19"/>
    <mergeCell ref="E5:E6"/>
    <mergeCell ref="F5:F6"/>
    <mergeCell ref="H5:J5"/>
    <mergeCell ref="K5:K6"/>
    <mergeCell ref="L5:L6"/>
    <mergeCell ref="M5:M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BE89-323B-4DA0-A8F8-A55AE8098F58}">
  <sheetPr>
    <tabColor rgb="FFFFFF00"/>
  </sheetPr>
  <dimension ref="A1:G35"/>
  <sheetViews>
    <sheetView workbookViewId="0">
      <selection activeCell="E19" sqref="E19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0.44140625" style="84" customWidth="1"/>
    <col min="5" max="5" width="11" style="84" customWidth="1"/>
    <col min="6" max="6" width="17.88671875" style="81" customWidth="1"/>
    <col min="7" max="16384" width="10.33203125" style="4"/>
  </cols>
  <sheetData>
    <row r="1" spans="1:6" x14ac:dyDescent="0.3">
      <c r="A1" s="101" t="s">
        <v>51</v>
      </c>
      <c r="B1" s="101"/>
      <c r="C1" s="101"/>
      <c r="D1" s="101"/>
      <c r="E1" s="101"/>
      <c r="F1" s="101"/>
    </row>
    <row r="2" spans="1:6" x14ac:dyDescent="0.3">
      <c r="A2" s="101" t="s">
        <v>1</v>
      </c>
      <c r="B2" s="101"/>
      <c r="C2" s="101"/>
      <c r="D2" s="101"/>
      <c r="E2" s="101"/>
      <c r="F2" s="101"/>
    </row>
    <row r="3" spans="1:6" x14ac:dyDescent="0.3">
      <c r="A3" s="102" t="s">
        <v>59</v>
      </c>
      <c r="B3" s="102"/>
      <c r="C3" s="102"/>
      <c r="D3" s="102"/>
      <c r="E3" s="102"/>
      <c r="F3" s="102"/>
    </row>
    <row r="4" spans="1:6" x14ac:dyDescent="0.3">
      <c r="A4" s="103" t="s">
        <v>3</v>
      </c>
      <c r="B4" s="106" t="s">
        <v>4</v>
      </c>
      <c r="C4" s="106" t="s">
        <v>5</v>
      </c>
      <c r="D4" s="118" t="s">
        <v>8</v>
      </c>
      <c r="E4" s="118"/>
      <c r="F4" s="118"/>
    </row>
    <row r="5" spans="1:6" x14ac:dyDescent="0.3">
      <c r="A5" s="104"/>
      <c r="B5" s="107"/>
      <c r="C5" s="107"/>
      <c r="D5" s="122" t="s">
        <v>14</v>
      </c>
      <c r="E5" s="123" t="s">
        <v>15</v>
      </c>
      <c r="F5" s="118" t="s">
        <v>16</v>
      </c>
    </row>
    <row r="6" spans="1:6" x14ac:dyDescent="0.3">
      <c r="A6" s="105"/>
      <c r="B6" s="108"/>
      <c r="C6" s="108"/>
      <c r="D6" s="122"/>
      <c r="E6" s="123"/>
      <c r="F6" s="118"/>
    </row>
    <row r="7" spans="1:6" s="33" customFormat="1" x14ac:dyDescent="0.3">
      <c r="A7" s="18"/>
      <c r="B7" s="19" t="s">
        <v>30</v>
      </c>
      <c r="C7" s="20"/>
      <c r="D7" s="23"/>
      <c r="E7" s="24"/>
      <c r="F7" s="25"/>
    </row>
    <row r="8" spans="1:6" x14ac:dyDescent="0.3">
      <c r="A8" s="35">
        <v>1</v>
      </c>
      <c r="B8" s="36" t="s">
        <v>31</v>
      </c>
      <c r="C8" s="37" t="s">
        <v>32</v>
      </c>
      <c r="D8" s="41">
        <v>45997</v>
      </c>
      <c r="E8" s="42" t="s">
        <v>60</v>
      </c>
      <c r="F8" s="43">
        <v>228132</v>
      </c>
    </row>
    <row r="9" spans="1:6" s="33" customFormat="1" ht="25.2" thickBot="1" x14ac:dyDescent="0.35">
      <c r="A9" s="18"/>
      <c r="B9" s="49" t="s">
        <v>24</v>
      </c>
      <c r="C9" s="50"/>
      <c r="D9" s="52"/>
      <c r="E9" s="51"/>
      <c r="F9" s="51">
        <v>228132</v>
      </c>
    </row>
    <row r="10" spans="1:6" s="33" customFormat="1" ht="25.2" thickTop="1" x14ac:dyDescent="0.3">
      <c r="A10" s="18"/>
      <c r="B10" s="53" t="s">
        <v>40</v>
      </c>
      <c r="C10" s="54"/>
      <c r="D10" s="57"/>
      <c r="E10" s="58"/>
      <c r="F10" s="59"/>
    </row>
    <row r="11" spans="1:6" x14ac:dyDescent="0.3">
      <c r="A11" s="64">
        <v>1</v>
      </c>
      <c r="B11" s="36" t="s">
        <v>31</v>
      </c>
      <c r="C11" s="65"/>
      <c r="D11" s="41">
        <v>45997</v>
      </c>
      <c r="E11" s="68" t="s">
        <v>61</v>
      </c>
      <c r="F11" s="69">
        <v>11900</v>
      </c>
    </row>
    <row r="12" spans="1:6" s="33" customFormat="1" ht="25.2" thickBot="1" x14ac:dyDescent="0.35">
      <c r="A12" s="18"/>
      <c r="B12" s="49" t="s">
        <v>24</v>
      </c>
      <c r="C12" s="50"/>
      <c r="D12" s="52"/>
      <c r="E12" s="51"/>
      <c r="F12" s="51">
        <v>11900</v>
      </c>
    </row>
    <row r="13" spans="1:6" s="33" customFormat="1" ht="25.8" thickTop="1" thickBot="1" x14ac:dyDescent="0.35">
      <c r="A13" s="72"/>
      <c r="B13" s="73" t="s">
        <v>43</v>
      </c>
      <c r="C13" s="74"/>
      <c r="D13" s="76"/>
      <c r="E13" s="76"/>
      <c r="F13" s="75">
        <v>240032</v>
      </c>
    </row>
    <row r="14" spans="1:6" ht="25.2" thickTop="1" x14ac:dyDescent="0.3">
      <c r="D14" s="2"/>
      <c r="E14" s="2"/>
    </row>
    <row r="15" spans="1:6" x14ac:dyDescent="0.3">
      <c r="D15" s="2"/>
      <c r="E15" s="2"/>
    </row>
    <row r="16" spans="1:6" x14ac:dyDescent="0.3">
      <c r="D16" s="2"/>
      <c r="E16" s="2"/>
    </row>
    <row r="17" spans="2:6" s="3" customFormat="1" x14ac:dyDescent="0.3">
      <c r="B17" s="79"/>
      <c r="C17" s="4"/>
      <c r="D17" s="2"/>
      <c r="E17" s="2"/>
      <c r="F17" s="81"/>
    </row>
    <row r="18" spans="2:6" s="3" customFormat="1" x14ac:dyDescent="0.3">
      <c r="B18" s="47"/>
      <c r="C18" s="4"/>
      <c r="D18" s="84"/>
      <c r="E18" s="84"/>
      <c r="F18" s="81"/>
    </row>
    <row r="19" spans="2:6" s="3" customFormat="1" x14ac:dyDescent="0.6">
      <c r="B19" s="119" t="s">
        <v>44</v>
      </c>
      <c r="C19" s="119"/>
      <c r="D19" s="89"/>
      <c r="E19" s="87"/>
      <c r="F19" s="87"/>
    </row>
    <row r="20" spans="2:6" s="3" customFormat="1" x14ac:dyDescent="0.6">
      <c r="B20" s="119" t="s">
        <v>45</v>
      </c>
      <c r="C20" s="119"/>
      <c r="D20" s="89"/>
      <c r="E20" s="87"/>
      <c r="F20" s="87"/>
    </row>
    <row r="21" spans="2:6" s="3" customFormat="1" x14ac:dyDescent="0.3">
      <c r="B21" s="4"/>
      <c r="C21" s="4"/>
      <c r="D21" s="4"/>
      <c r="E21" s="4"/>
      <c r="F21" s="4"/>
    </row>
    <row r="33" spans="2:7" x14ac:dyDescent="0.3">
      <c r="B33" s="4"/>
      <c r="D33" s="4"/>
      <c r="E33" s="4"/>
      <c r="F33" s="4"/>
      <c r="G33" s="79" t="s">
        <v>21</v>
      </c>
    </row>
    <row r="34" spans="2:7" x14ac:dyDescent="0.3">
      <c r="B34" s="4"/>
      <c r="D34" s="4"/>
      <c r="E34" s="4"/>
      <c r="F34" s="4"/>
      <c r="G34" s="79" t="s">
        <v>48</v>
      </c>
    </row>
    <row r="35" spans="2:7" x14ac:dyDescent="0.3">
      <c r="B35" s="4"/>
      <c r="D35" s="4"/>
      <c r="E35" s="4"/>
      <c r="F35" s="4"/>
      <c r="G35" s="79" t="s">
        <v>49</v>
      </c>
    </row>
  </sheetData>
  <mergeCells count="12">
    <mergeCell ref="B20:C20"/>
    <mergeCell ref="B19:C19"/>
    <mergeCell ref="D5:D6"/>
    <mergeCell ref="E5:E6"/>
    <mergeCell ref="F5:F6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1215-B47F-4083-924D-9243C5A47730}">
  <sheetPr>
    <tabColor rgb="FFFFFF00"/>
  </sheetPr>
  <dimension ref="A1:G19"/>
  <sheetViews>
    <sheetView workbookViewId="0">
      <selection activeCell="E18" sqref="E18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4" width="11.44140625" style="4" customWidth="1"/>
    <col min="5" max="5" width="7.5546875" style="4" customWidth="1"/>
    <col min="6" max="6" width="7.5546875" style="8" customWidth="1"/>
    <col min="7" max="7" width="14.109375" style="82" customWidth="1"/>
    <col min="8" max="16384" width="10.33203125" style="4"/>
  </cols>
  <sheetData>
    <row r="1" spans="1:7" x14ac:dyDescent="0.3">
      <c r="A1" s="101" t="s">
        <v>51</v>
      </c>
      <c r="B1" s="101"/>
      <c r="C1" s="101"/>
      <c r="D1" s="101"/>
      <c r="E1" s="101"/>
      <c r="F1" s="101"/>
      <c r="G1" s="101"/>
    </row>
    <row r="2" spans="1:7" x14ac:dyDescent="0.3">
      <c r="A2" s="101" t="s">
        <v>1</v>
      </c>
      <c r="B2" s="101"/>
      <c r="C2" s="101"/>
      <c r="D2" s="101"/>
      <c r="E2" s="101"/>
      <c r="F2" s="101"/>
      <c r="G2" s="101"/>
    </row>
    <row r="3" spans="1:7" x14ac:dyDescent="0.3">
      <c r="A3" s="102" t="s">
        <v>59</v>
      </c>
      <c r="B3" s="102"/>
      <c r="C3" s="102"/>
      <c r="D3" s="102"/>
      <c r="E3" s="102"/>
      <c r="F3" s="102"/>
      <c r="G3" s="102"/>
    </row>
    <row r="4" spans="1:7" x14ac:dyDescent="0.3">
      <c r="A4" s="103" t="s">
        <v>3</v>
      </c>
      <c r="B4" s="106" t="s">
        <v>4</v>
      </c>
      <c r="C4" s="106" t="s">
        <v>5</v>
      </c>
      <c r="D4" s="93"/>
      <c r="E4" s="109" t="s">
        <v>9</v>
      </c>
      <c r="F4" s="110"/>
      <c r="G4" s="111"/>
    </row>
    <row r="5" spans="1:7" x14ac:dyDescent="0.3">
      <c r="A5" s="104"/>
      <c r="B5" s="107"/>
      <c r="C5" s="107"/>
      <c r="D5" s="90" t="s">
        <v>54</v>
      </c>
      <c r="E5" s="103" t="s">
        <v>10</v>
      </c>
      <c r="F5" s="112" t="s">
        <v>11</v>
      </c>
      <c r="G5" s="92"/>
    </row>
    <row r="6" spans="1:7" x14ac:dyDescent="0.3">
      <c r="A6" s="105"/>
      <c r="B6" s="108"/>
      <c r="C6" s="108"/>
      <c r="D6" s="91"/>
      <c r="E6" s="105"/>
      <c r="F6" s="113"/>
      <c r="G6" s="9" t="s">
        <v>24</v>
      </c>
    </row>
    <row r="7" spans="1:7" s="33" customFormat="1" x14ac:dyDescent="0.3">
      <c r="A7" s="18"/>
      <c r="B7" s="19" t="s">
        <v>55</v>
      </c>
      <c r="C7" s="20"/>
      <c r="D7" s="20"/>
      <c r="E7" s="26"/>
      <c r="F7" s="27"/>
      <c r="G7" s="29"/>
    </row>
    <row r="8" spans="1:7" x14ac:dyDescent="0.3">
      <c r="A8" s="35"/>
      <c r="B8" s="36"/>
      <c r="C8" s="37"/>
      <c r="D8" s="37"/>
      <c r="E8" s="36"/>
      <c r="F8" s="39"/>
      <c r="G8" s="44">
        <v>0</v>
      </c>
    </row>
    <row r="9" spans="1:7" s="33" customFormat="1" ht="25.2" thickBot="1" x14ac:dyDescent="0.35">
      <c r="A9" s="18"/>
      <c r="B9" s="49" t="s">
        <v>24</v>
      </c>
      <c r="C9" s="50"/>
      <c r="D9" s="50"/>
      <c r="E9" s="51"/>
      <c r="F9" s="51"/>
      <c r="G9" s="51">
        <v>0</v>
      </c>
    </row>
    <row r="10" spans="1:7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G1"/>
    <mergeCell ref="A2:G2"/>
    <mergeCell ref="A3:G3"/>
    <mergeCell ref="A4:A6"/>
    <mergeCell ref="B4:B6"/>
    <mergeCell ref="C4:C6"/>
    <mergeCell ref="E4:G4"/>
    <mergeCell ref="E5:E6"/>
    <mergeCell ref="F5:F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5E0C-B9DC-4D3C-AB6F-CFCBE7F45917}">
  <sheetPr>
    <tabColor rgb="FFFFFF00"/>
  </sheetPr>
  <dimension ref="A1:F19"/>
  <sheetViews>
    <sheetView workbookViewId="0">
      <selection activeCell="A4" sqref="A4:A6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11.44140625" style="4" customWidth="1"/>
    <col min="4" max="4" width="7.5546875" style="4" customWidth="1"/>
    <col min="5" max="5" width="7.5546875" style="8" customWidth="1"/>
    <col min="6" max="6" width="14.109375" style="82" customWidth="1"/>
    <col min="7" max="16384" width="10.33203125" style="4"/>
  </cols>
  <sheetData>
    <row r="1" spans="1:6" x14ac:dyDescent="0.3">
      <c r="A1" s="101" t="s">
        <v>51</v>
      </c>
      <c r="B1" s="101"/>
      <c r="C1" s="101"/>
      <c r="D1" s="101"/>
      <c r="E1" s="101"/>
      <c r="F1" s="101"/>
    </row>
    <row r="2" spans="1:6" x14ac:dyDescent="0.3">
      <c r="A2" s="101" t="s">
        <v>1</v>
      </c>
      <c r="B2" s="101"/>
      <c r="C2" s="101"/>
      <c r="D2" s="101"/>
      <c r="E2" s="101"/>
      <c r="F2" s="101"/>
    </row>
    <row r="3" spans="1:6" x14ac:dyDescent="0.3">
      <c r="A3" s="102" t="s">
        <v>59</v>
      </c>
      <c r="B3" s="102"/>
      <c r="C3" s="102"/>
      <c r="D3" s="102"/>
      <c r="E3" s="102"/>
      <c r="F3" s="102"/>
    </row>
    <row r="4" spans="1:6" x14ac:dyDescent="0.3">
      <c r="A4" s="103" t="s">
        <v>3</v>
      </c>
      <c r="B4" s="106" t="s">
        <v>4</v>
      </c>
      <c r="C4" s="106" t="s">
        <v>5</v>
      </c>
      <c r="D4" s="109" t="s">
        <v>9</v>
      </c>
      <c r="E4" s="110"/>
      <c r="F4" s="111"/>
    </row>
    <row r="5" spans="1:6" x14ac:dyDescent="0.3">
      <c r="A5" s="104"/>
      <c r="B5" s="107"/>
      <c r="C5" s="107"/>
      <c r="D5" s="103" t="s">
        <v>10</v>
      </c>
      <c r="E5" s="112" t="s">
        <v>11</v>
      </c>
      <c r="F5" s="92"/>
    </row>
    <row r="6" spans="1:6" x14ac:dyDescent="0.3">
      <c r="A6" s="105"/>
      <c r="B6" s="108"/>
      <c r="C6" s="108"/>
      <c r="D6" s="105"/>
      <c r="E6" s="113"/>
      <c r="F6" s="9" t="s">
        <v>24</v>
      </c>
    </row>
    <row r="7" spans="1:6" s="33" customFormat="1" x14ac:dyDescent="0.3">
      <c r="A7" s="18"/>
      <c r="B7" s="19" t="s">
        <v>55</v>
      </c>
      <c r="C7" s="20"/>
      <c r="D7" s="26"/>
      <c r="E7" s="27"/>
      <c r="F7" s="29"/>
    </row>
    <row r="8" spans="1:6" x14ac:dyDescent="0.3">
      <c r="A8" s="35"/>
      <c r="B8" s="36"/>
      <c r="C8" s="37"/>
      <c r="D8" s="36"/>
      <c r="E8" s="39"/>
      <c r="F8" s="44">
        <v>0</v>
      </c>
    </row>
    <row r="9" spans="1:6" s="33" customFormat="1" ht="25.2" thickBot="1" x14ac:dyDescent="0.35">
      <c r="A9" s="18"/>
      <c r="B9" s="49" t="s">
        <v>24</v>
      </c>
      <c r="C9" s="50"/>
      <c r="D9" s="51"/>
      <c r="E9" s="51"/>
      <c r="F9" s="51">
        <v>0</v>
      </c>
    </row>
    <row r="10" spans="1:6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5629-BCA4-4395-8A52-2BD22EEEE22A}">
  <sheetPr>
    <tabColor rgb="FF92D050"/>
  </sheetPr>
  <dimension ref="A1:AH35"/>
  <sheetViews>
    <sheetView workbookViewId="0">
      <selection activeCell="M14" sqref="M14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8.44140625" style="80" customWidth="1"/>
    <col min="5" max="5" width="6.44140625" style="83" customWidth="1"/>
    <col min="6" max="6" width="3.109375" style="83" customWidth="1"/>
    <col min="7" max="7" width="3.44140625" style="83" customWidth="1"/>
    <col min="8" max="8" width="7.6640625" style="83" customWidth="1"/>
    <col min="9" max="9" width="7" style="83" customWidth="1"/>
    <col min="10" max="10" width="6.88671875" style="84" customWidth="1"/>
    <col min="11" max="11" width="10.44140625" style="84" customWidth="1"/>
    <col min="12" max="12" width="11" style="84" customWidth="1"/>
    <col min="13" max="13" width="17.88671875" style="81" customWidth="1"/>
    <col min="14" max="14" width="3.5546875" style="4" customWidth="1"/>
    <col min="15" max="15" width="3.5546875" style="8" customWidth="1"/>
    <col min="16" max="16" width="3.6640625" style="8" customWidth="1"/>
    <col min="17" max="17" width="7.109375" style="8" customWidth="1"/>
    <col min="18" max="18" width="5.44140625" style="8" customWidth="1"/>
    <col min="19" max="19" width="14.109375" style="82" customWidth="1"/>
    <col min="20" max="20" width="4.109375" style="82" customWidth="1"/>
    <col min="21" max="21" width="6.6640625" style="82" customWidth="1"/>
    <col min="22" max="22" width="7.44140625" style="82" customWidth="1"/>
    <col min="23" max="23" width="18.88671875" style="82" customWidth="1"/>
    <col min="24" max="24" width="7.44140625" style="82" customWidth="1"/>
    <col min="25" max="27" width="9.88671875" style="82" customWidth="1"/>
    <col min="28" max="28" width="11.44140625" style="82" bestFit="1" customWidth="1"/>
    <col min="29" max="29" width="9.88671875" style="82" customWidth="1"/>
    <col min="30" max="30" width="10.33203125" style="2"/>
    <col min="31" max="31" width="10.44140625" style="3" bestFit="1" customWidth="1"/>
    <col min="32" max="32" width="10.33203125" style="4"/>
    <col min="33" max="33" width="11.6640625" style="4" bestFit="1" customWidth="1"/>
    <col min="34" max="16384" width="10.33203125" style="4"/>
  </cols>
  <sheetData>
    <row r="1" spans="1:33" x14ac:dyDescent="0.3">
      <c r="A1" s="101" t="s">
        <v>51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x14ac:dyDescent="0.3">
      <c r="A2" s="101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3" x14ac:dyDescent="0.3">
      <c r="A3" s="102" t="s">
        <v>56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33" x14ac:dyDescent="0.3">
      <c r="A4" s="103" t="s">
        <v>3</v>
      </c>
      <c r="B4" s="106" t="s">
        <v>4</v>
      </c>
      <c r="C4" s="106" t="s">
        <v>5</v>
      </c>
      <c r="D4" s="114" t="s">
        <v>6</v>
      </c>
      <c r="E4" s="117" t="s">
        <v>7</v>
      </c>
      <c r="F4" s="117"/>
      <c r="G4" s="117"/>
      <c r="H4" s="117"/>
      <c r="I4" s="117"/>
      <c r="J4" s="117"/>
      <c r="K4" s="118" t="s">
        <v>8</v>
      </c>
      <c r="L4" s="118"/>
      <c r="M4" s="118"/>
      <c r="N4" s="117" t="s">
        <v>9</v>
      </c>
      <c r="O4" s="117"/>
      <c r="P4" s="117"/>
      <c r="Q4" s="117"/>
      <c r="R4" s="117"/>
      <c r="S4" s="117"/>
      <c r="T4" s="7"/>
      <c r="U4" s="7"/>
      <c r="V4" s="7"/>
      <c r="W4" s="7"/>
      <c r="X4" s="7"/>
      <c r="Y4" s="8"/>
      <c r="Z4" s="8"/>
      <c r="AA4" s="8"/>
      <c r="AB4" s="8"/>
      <c r="AC4" s="8"/>
    </row>
    <row r="5" spans="1:33" x14ac:dyDescent="0.3">
      <c r="A5" s="104"/>
      <c r="B5" s="107"/>
      <c r="C5" s="107"/>
      <c r="D5" s="115"/>
      <c r="E5" s="121" t="s">
        <v>10</v>
      </c>
      <c r="F5" s="117" t="s">
        <v>11</v>
      </c>
      <c r="G5" s="7" t="s">
        <v>12</v>
      </c>
      <c r="H5" s="117" t="s">
        <v>13</v>
      </c>
      <c r="I5" s="117"/>
      <c r="J5" s="117"/>
      <c r="K5" s="122" t="s">
        <v>14</v>
      </c>
      <c r="L5" s="123" t="s">
        <v>15</v>
      </c>
      <c r="M5" s="118" t="s">
        <v>16</v>
      </c>
      <c r="N5" s="121" t="s">
        <v>10</v>
      </c>
      <c r="O5" s="117" t="s">
        <v>11</v>
      </c>
      <c r="P5" s="7" t="s">
        <v>12</v>
      </c>
      <c r="Q5" s="117" t="s">
        <v>13</v>
      </c>
      <c r="R5" s="117"/>
      <c r="S5" s="117"/>
      <c r="T5" s="10" t="s">
        <v>17</v>
      </c>
      <c r="U5" s="10" t="s">
        <v>18</v>
      </c>
      <c r="V5" s="10" t="s">
        <v>19</v>
      </c>
      <c r="W5" s="10" t="s">
        <v>20</v>
      </c>
      <c r="X5" s="10" t="s">
        <v>21</v>
      </c>
      <c r="Y5" s="8"/>
      <c r="Z5" s="8"/>
      <c r="AA5" s="8"/>
      <c r="AB5" s="8"/>
      <c r="AC5" s="8"/>
    </row>
    <row r="6" spans="1:33" ht="73.8" x14ac:dyDescent="0.3">
      <c r="A6" s="105"/>
      <c r="B6" s="108"/>
      <c r="C6" s="108"/>
      <c r="D6" s="116"/>
      <c r="E6" s="121"/>
      <c r="F6" s="117"/>
      <c r="G6" s="11" t="s">
        <v>22</v>
      </c>
      <c r="H6" s="6" t="s">
        <v>16</v>
      </c>
      <c r="I6" s="12" t="s">
        <v>23</v>
      </c>
      <c r="J6" s="9" t="s">
        <v>24</v>
      </c>
      <c r="K6" s="122"/>
      <c r="L6" s="123"/>
      <c r="M6" s="118"/>
      <c r="N6" s="121"/>
      <c r="O6" s="117"/>
      <c r="P6" s="11" t="s">
        <v>22</v>
      </c>
      <c r="Q6" s="6" t="s">
        <v>16</v>
      </c>
      <c r="R6" s="13" t="s">
        <v>23</v>
      </c>
      <c r="S6" s="9" t="s">
        <v>24</v>
      </c>
      <c r="T6" s="14" t="s">
        <v>25</v>
      </c>
      <c r="U6" s="14"/>
      <c r="V6" s="14"/>
      <c r="W6" s="14"/>
      <c r="X6" s="14"/>
      <c r="Y6" s="15" t="s">
        <v>26</v>
      </c>
      <c r="Z6" s="15" t="s">
        <v>27</v>
      </c>
      <c r="AA6" s="15"/>
      <c r="AB6" s="15"/>
      <c r="AC6" s="15" t="s">
        <v>28</v>
      </c>
      <c r="AD6" s="16"/>
      <c r="AF6" s="17" t="s">
        <v>29</v>
      </c>
    </row>
    <row r="7" spans="1:33" s="33" customFormat="1" x14ac:dyDescent="0.3">
      <c r="A7" s="18"/>
      <c r="B7" s="19" t="s">
        <v>30</v>
      </c>
      <c r="C7" s="20"/>
      <c r="D7" s="21"/>
      <c r="E7" s="21"/>
      <c r="F7" s="21"/>
      <c r="G7" s="22"/>
      <c r="H7" s="22"/>
      <c r="I7" s="22"/>
      <c r="J7" s="22"/>
      <c r="K7" s="23"/>
      <c r="L7" s="24"/>
      <c r="M7" s="25"/>
      <c r="N7" s="26"/>
      <c r="O7" s="27"/>
      <c r="P7" s="28"/>
      <c r="Q7" s="28"/>
      <c r="R7" s="28"/>
      <c r="S7" s="29"/>
      <c r="T7" s="30"/>
      <c r="U7" s="31"/>
      <c r="V7" s="31"/>
      <c r="W7" s="32"/>
      <c r="X7" s="32"/>
      <c r="Y7" s="32"/>
      <c r="AB7" s="34"/>
    </row>
    <row r="8" spans="1:33" x14ac:dyDescent="0.3">
      <c r="A8" s="35">
        <v>1</v>
      </c>
      <c r="B8" s="36" t="s">
        <v>31</v>
      </c>
      <c r="C8" s="37" t="s">
        <v>32</v>
      </c>
      <c r="D8" s="38">
        <v>228132</v>
      </c>
      <c r="E8" s="36"/>
      <c r="F8" s="39"/>
      <c r="G8" s="39"/>
      <c r="H8" s="39"/>
      <c r="I8" s="39"/>
      <c r="J8" s="40">
        <v>0</v>
      </c>
      <c r="K8" s="41">
        <v>45966</v>
      </c>
      <c r="L8" s="42" t="s">
        <v>57</v>
      </c>
      <c r="M8" s="43">
        <v>228132</v>
      </c>
      <c r="N8" s="36"/>
      <c r="O8" s="39"/>
      <c r="P8" s="39"/>
      <c r="Q8" s="39"/>
      <c r="R8" s="39"/>
      <c r="S8" s="44">
        <f>+D8-M8</f>
        <v>0</v>
      </c>
      <c r="T8" s="44" t="s">
        <v>34</v>
      </c>
      <c r="U8" s="44" t="s">
        <v>35</v>
      </c>
      <c r="V8" s="44" t="s">
        <v>36</v>
      </c>
      <c r="W8" s="44">
        <v>300000</v>
      </c>
      <c r="X8" s="44"/>
      <c r="Y8" s="44">
        <v>150000</v>
      </c>
      <c r="Z8" s="44"/>
      <c r="AA8" s="44"/>
      <c r="AB8" s="45" t="s">
        <v>37</v>
      </c>
      <c r="AC8" s="44" t="s">
        <v>38</v>
      </c>
      <c r="AD8" s="46"/>
      <c r="AE8" s="3">
        <f>+S8-AD8</f>
        <v>0</v>
      </c>
      <c r="AF8" s="47" t="s">
        <v>39</v>
      </c>
      <c r="AG8" s="48">
        <v>42983</v>
      </c>
    </row>
    <row r="9" spans="1:33" s="33" customFormat="1" ht="25.2" thickBot="1" x14ac:dyDescent="0.35">
      <c r="A9" s="18"/>
      <c r="B9" s="49" t="s">
        <v>24</v>
      </c>
      <c r="C9" s="50"/>
      <c r="D9" s="51">
        <f>SUM(D8:D8)</f>
        <v>228132</v>
      </c>
      <c r="E9" s="51"/>
      <c r="F9" s="51"/>
      <c r="G9" s="51"/>
      <c r="H9" s="51">
        <f>SUM(H8:H8)</f>
        <v>0</v>
      </c>
      <c r="I9" s="51">
        <f>SUM(I8:I8)</f>
        <v>0</v>
      </c>
      <c r="J9" s="51">
        <f>SUM(J8:J8)</f>
        <v>0</v>
      </c>
      <c r="K9" s="52"/>
      <c r="L9" s="51"/>
      <c r="M9" s="51">
        <f>SUM(M8:M8)</f>
        <v>228132</v>
      </c>
      <c r="N9" s="51"/>
      <c r="O9" s="51"/>
      <c r="P9" s="51"/>
      <c r="Q9" s="51">
        <f>SUM(Q8:Q8)</f>
        <v>0</v>
      </c>
      <c r="R9" s="51">
        <f>SUM(R8:R8)</f>
        <v>0</v>
      </c>
      <c r="S9" s="51">
        <f>SUM(S8:S8)</f>
        <v>0</v>
      </c>
      <c r="T9" s="30"/>
      <c r="U9" s="31"/>
      <c r="V9" s="31"/>
      <c r="W9" s="32"/>
      <c r="X9" s="32"/>
      <c r="Y9" s="32"/>
      <c r="AB9" s="34"/>
    </row>
    <row r="10" spans="1:33" s="33" customFormat="1" ht="25.2" thickTop="1" x14ac:dyDescent="0.3">
      <c r="A10" s="18"/>
      <c r="B10" s="53" t="s">
        <v>40</v>
      </c>
      <c r="C10" s="54"/>
      <c r="D10" s="55"/>
      <c r="E10" s="55"/>
      <c r="F10" s="55"/>
      <c r="G10" s="56"/>
      <c r="H10" s="56"/>
      <c r="I10" s="56"/>
      <c r="J10" s="56"/>
      <c r="K10" s="57"/>
      <c r="L10" s="58"/>
      <c r="M10" s="59"/>
      <c r="N10" s="60"/>
      <c r="O10" s="61"/>
      <c r="P10" s="62"/>
      <c r="Q10" s="62"/>
      <c r="R10" s="62"/>
      <c r="S10" s="63"/>
      <c r="T10" s="30"/>
      <c r="U10" s="31"/>
      <c r="V10" s="31"/>
      <c r="W10" s="32"/>
      <c r="X10" s="32"/>
      <c r="Y10" s="32"/>
      <c r="AB10" s="34"/>
    </row>
    <row r="11" spans="1:33" x14ac:dyDescent="0.3">
      <c r="A11" s="64">
        <v>1</v>
      </c>
      <c r="B11" s="36" t="s">
        <v>31</v>
      </c>
      <c r="C11" s="65"/>
      <c r="D11" s="66">
        <v>11900</v>
      </c>
      <c r="E11" s="4"/>
      <c r="F11" s="10"/>
      <c r="G11" s="10"/>
      <c r="H11" s="10"/>
      <c r="I11" s="10"/>
      <c r="J11" s="67">
        <v>0</v>
      </c>
      <c r="K11" s="41">
        <v>45966</v>
      </c>
      <c r="L11" s="68" t="s">
        <v>58</v>
      </c>
      <c r="M11" s="69">
        <v>11900</v>
      </c>
      <c r="O11" s="10"/>
      <c r="P11" s="10"/>
      <c r="Q11" s="10"/>
      <c r="R11" s="10"/>
      <c r="S11" s="44">
        <f>+D11-M11</f>
        <v>0</v>
      </c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1"/>
      <c r="AF11" s="47" t="s">
        <v>42</v>
      </c>
      <c r="AG11" s="48">
        <v>42983</v>
      </c>
    </row>
    <row r="12" spans="1:33" s="33" customFormat="1" ht="25.2" thickBot="1" x14ac:dyDescent="0.35">
      <c r="A12" s="18"/>
      <c r="B12" s="49" t="s">
        <v>24</v>
      </c>
      <c r="C12" s="50"/>
      <c r="D12" s="51">
        <f>SUM(D11)</f>
        <v>11900</v>
      </c>
      <c r="E12" s="51"/>
      <c r="F12" s="51"/>
      <c r="G12" s="51"/>
      <c r="H12" s="51">
        <f t="shared" ref="H12:J12" si="0">SUM(H11)</f>
        <v>0</v>
      </c>
      <c r="I12" s="51">
        <f t="shared" si="0"/>
        <v>0</v>
      </c>
      <c r="J12" s="51">
        <f t="shared" si="0"/>
        <v>0</v>
      </c>
      <c r="K12" s="52"/>
      <c r="L12" s="51"/>
      <c r="M12" s="51">
        <f t="shared" ref="M12" si="1">SUM(M11)</f>
        <v>11900</v>
      </c>
      <c r="N12" s="51"/>
      <c r="O12" s="51"/>
      <c r="P12" s="51"/>
      <c r="Q12" s="51">
        <f t="shared" ref="Q12:S12" si="2">SUM(Q11)</f>
        <v>0</v>
      </c>
      <c r="R12" s="51">
        <f t="shared" si="2"/>
        <v>0</v>
      </c>
      <c r="S12" s="51">
        <f t="shared" si="2"/>
        <v>0</v>
      </c>
      <c r="T12" s="30"/>
      <c r="U12" s="31"/>
      <c r="V12" s="31"/>
      <c r="W12" s="32"/>
      <c r="X12" s="32"/>
      <c r="Y12" s="32"/>
      <c r="AB12" s="34"/>
    </row>
    <row r="13" spans="1:33" s="33" customFormat="1" ht="25.8" thickTop="1" thickBot="1" x14ac:dyDescent="0.35">
      <c r="A13" s="72"/>
      <c r="B13" s="73" t="s">
        <v>43</v>
      </c>
      <c r="C13" s="74"/>
      <c r="D13" s="75">
        <f>D9+D12</f>
        <v>240032</v>
      </c>
      <c r="E13" s="76"/>
      <c r="F13" s="76"/>
      <c r="G13" s="76"/>
      <c r="H13" s="76">
        <f>H9+H12</f>
        <v>0</v>
      </c>
      <c r="I13" s="76">
        <f t="shared" ref="I13:J13" si="3">I9+I12</f>
        <v>0</v>
      </c>
      <c r="J13" s="76">
        <f t="shared" si="3"/>
        <v>0</v>
      </c>
      <c r="K13" s="76"/>
      <c r="L13" s="76"/>
      <c r="M13" s="75">
        <f>M9+M12</f>
        <v>240032</v>
      </c>
      <c r="N13" s="76"/>
      <c r="O13" s="76"/>
      <c r="P13" s="76"/>
      <c r="Q13" s="76">
        <f>Q9+Q12</f>
        <v>0</v>
      </c>
      <c r="R13" s="76">
        <f t="shared" ref="R13:S13" si="4">R9+R12</f>
        <v>0</v>
      </c>
      <c r="S13" s="76">
        <f t="shared" si="4"/>
        <v>0</v>
      </c>
      <c r="T13" s="77"/>
      <c r="U13" s="78"/>
      <c r="V13" s="78"/>
      <c r="W13" s="76"/>
      <c r="X13" s="76"/>
      <c r="Y13" s="76"/>
    </row>
    <row r="14" spans="1:33" ht="25.2" thickTop="1" x14ac:dyDescent="0.3">
      <c r="E14" s="4"/>
      <c r="F14" s="8"/>
      <c r="G14" s="8"/>
      <c r="H14" s="8"/>
      <c r="I14" s="8"/>
      <c r="J14" s="2"/>
      <c r="K14" s="2"/>
      <c r="L14" s="2"/>
    </row>
    <row r="15" spans="1:33" x14ac:dyDescent="0.3">
      <c r="E15" s="4"/>
      <c r="F15" s="8"/>
      <c r="G15" s="8"/>
      <c r="H15" s="8"/>
      <c r="I15" s="8"/>
      <c r="J15" s="2"/>
      <c r="K15" s="2"/>
      <c r="L15" s="2"/>
    </row>
    <row r="16" spans="1:33" x14ac:dyDescent="0.3">
      <c r="E16" s="4"/>
      <c r="F16" s="8"/>
      <c r="G16" s="8"/>
      <c r="H16" s="8"/>
      <c r="I16" s="8"/>
      <c r="J16" s="2"/>
      <c r="K16" s="2"/>
      <c r="L16" s="2"/>
    </row>
    <row r="17" spans="2:30" s="3" customFormat="1" x14ac:dyDescent="0.3">
      <c r="B17" s="79"/>
      <c r="C17" s="4"/>
      <c r="D17" s="80"/>
      <c r="E17" s="4"/>
      <c r="F17" s="8"/>
      <c r="G17" s="8"/>
      <c r="H17" s="8"/>
      <c r="I17" s="8"/>
      <c r="J17" s="2"/>
      <c r="K17" s="2"/>
      <c r="L17" s="2"/>
      <c r="M17" s="81"/>
      <c r="N17" s="4"/>
      <c r="O17" s="8"/>
      <c r="P17" s="8"/>
      <c r="Q17" s="8"/>
      <c r="R17" s="8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2"/>
    </row>
    <row r="18" spans="2:30" s="3" customFormat="1" x14ac:dyDescent="0.3">
      <c r="B18" s="47"/>
      <c r="C18" s="4"/>
      <c r="D18" s="80"/>
      <c r="E18" s="83"/>
      <c r="F18" s="83"/>
      <c r="G18" s="83"/>
      <c r="H18" s="83"/>
      <c r="I18" s="83"/>
      <c r="J18" s="84"/>
      <c r="K18" s="84"/>
      <c r="L18" s="84"/>
      <c r="M18" s="81"/>
      <c r="N18" s="4"/>
      <c r="O18" s="8"/>
      <c r="P18" s="8"/>
      <c r="Q18" s="8"/>
      <c r="R18" s="8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2"/>
    </row>
    <row r="19" spans="2:30" s="3" customFormat="1" x14ac:dyDescent="0.7">
      <c r="B19" s="119" t="s">
        <v>44</v>
      </c>
      <c r="C19" s="119"/>
      <c r="D19" s="119"/>
      <c r="E19" s="85"/>
      <c r="F19" s="86"/>
      <c r="G19" s="119" t="s">
        <v>44</v>
      </c>
      <c r="H19" s="119"/>
      <c r="I19" s="119"/>
      <c r="J19" s="119"/>
      <c r="K19" s="119"/>
      <c r="L19" s="87"/>
      <c r="M19" s="87"/>
      <c r="N19" s="119" t="s">
        <v>44</v>
      </c>
      <c r="O19" s="119"/>
      <c r="P19" s="119"/>
      <c r="Q19" s="119"/>
      <c r="R19" s="119"/>
      <c r="S19" s="82"/>
      <c r="T19" s="88"/>
      <c r="U19" s="88"/>
      <c r="V19" s="88"/>
      <c r="W19" s="82"/>
      <c r="X19" s="82"/>
      <c r="Y19" s="82"/>
      <c r="Z19" s="82"/>
      <c r="AA19" s="82"/>
      <c r="AB19" s="82"/>
      <c r="AC19" s="82"/>
      <c r="AD19" s="2"/>
    </row>
    <row r="20" spans="2:30" s="3" customFormat="1" x14ac:dyDescent="0.7">
      <c r="B20" s="119" t="s">
        <v>45</v>
      </c>
      <c r="C20" s="119"/>
      <c r="D20" s="119"/>
      <c r="E20" s="87"/>
      <c r="F20" s="87"/>
      <c r="G20" s="119" t="s">
        <v>46</v>
      </c>
      <c r="H20" s="119"/>
      <c r="I20" s="119"/>
      <c r="J20" s="119"/>
      <c r="K20" s="119"/>
      <c r="L20" s="87"/>
      <c r="M20" s="87"/>
      <c r="N20" s="119" t="s">
        <v>47</v>
      </c>
      <c r="O20" s="119"/>
      <c r="P20" s="119"/>
      <c r="Q20" s="119"/>
      <c r="R20" s="119"/>
      <c r="S20" s="4"/>
      <c r="T20" s="120"/>
      <c r="U20" s="120"/>
      <c r="V20" s="120"/>
      <c r="W20" s="120"/>
      <c r="X20" s="4"/>
      <c r="Y20" s="4"/>
      <c r="Z20" s="4"/>
      <c r="AA20" s="4"/>
      <c r="AB20" s="4"/>
      <c r="AC20" s="4"/>
      <c r="AD20" s="4"/>
    </row>
    <row r="21" spans="2:30" s="3" customFormat="1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33" spans="2:34" x14ac:dyDescent="0.3">
      <c r="B33" s="4"/>
      <c r="D33" s="4"/>
      <c r="E33" s="4"/>
      <c r="F33" s="4"/>
      <c r="G33" s="4"/>
      <c r="H33" s="4"/>
      <c r="I33" s="4"/>
      <c r="J33" s="4"/>
      <c r="K33" s="4"/>
      <c r="L33" s="4"/>
      <c r="M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H33" s="79" t="s">
        <v>21</v>
      </c>
    </row>
    <row r="34" spans="2:34" x14ac:dyDescent="0.3">
      <c r="B34" s="4"/>
      <c r="D34" s="4"/>
      <c r="E34" s="4"/>
      <c r="F34" s="4"/>
      <c r="G34" s="4"/>
      <c r="H34" s="4"/>
      <c r="I34" s="4"/>
      <c r="J34" s="4"/>
      <c r="K34" s="4"/>
      <c r="L34" s="4"/>
      <c r="M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H34" s="79" t="s">
        <v>48</v>
      </c>
    </row>
    <row r="35" spans="2:34" x14ac:dyDescent="0.3">
      <c r="B35" s="4"/>
      <c r="D35" s="4"/>
      <c r="E35" s="4"/>
      <c r="F35" s="4"/>
      <c r="G35" s="4"/>
      <c r="H35" s="4"/>
      <c r="I35" s="4"/>
      <c r="J35" s="4"/>
      <c r="K35" s="4"/>
      <c r="L35" s="4"/>
      <c r="M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H35" s="79" t="s">
        <v>49</v>
      </c>
    </row>
  </sheetData>
  <mergeCells count="26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B20:D20"/>
    <mergeCell ref="G20:K20"/>
    <mergeCell ref="N20:R20"/>
    <mergeCell ref="T20:W20"/>
    <mergeCell ref="N5:N6"/>
    <mergeCell ref="O5:O6"/>
    <mergeCell ref="Q5:S5"/>
    <mergeCell ref="B19:D19"/>
    <mergeCell ref="G19:K19"/>
    <mergeCell ref="N19:R19"/>
    <mergeCell ref="E5:E6"/>
    <mergeCell ref="F5:F6"/>
    <mergeCell ref="H5:J5"/>
    <mergeCell ref="K5:K6"/>
    <mergeCell ref="L5:L6"/>
    <mergeCell ref="M5:M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CA33-4215-4597-8B6E-935733083F95}">
  <sheetPr>
    <tabColor rgb="FF92D050"/>
  </sheetPr>
  <dimension ref="A1:G35"/>
  <sheetViews>
    <sheetView workbookViewId="0">
      <selection activeCell="F19" sqref="F19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8.44140625" style="80" customWidth="1"/>
    <col min="5" max="5" width="10.44140625" style="84" customWidth="1"/>
    <col min="6" max="6" width="11" style="84" customWidth="1"/>
    <col min="7" max="7" width="17.88671875" style="81" customWidth="1"/>
    <col min="8" max="16384" width="10.33203125" style="4"/>
  </cols>
  <sheetData>
    <row r="1" spans="1:7" x14ac:dyDescent="0.3">
      <c r="A1" s="101" t="s">
        <v>51</v>
      </c>
      <c r="B1" s="101"/>
      <c r="C1" s="101"/>
      <c r="D1" s="101"/>
      <c r="E1" s="101"/>
      <c r="F1" s="101"/>
      <c r="G1" s="101"/>
    </row>
    <row r="2" spans="1:7" x14ac:dyDescent="0.3">
      <c r="A2" s="101" t="s">
        <v>1</v>
      </c>
      <c r="B2" s="101"/>
      <c r="C2" s="101"/>
      <c r="D2" s="101"/>
      <c r="E2" s="101"/>
      <c r="F2" s="101"/>
      <c r="G2" s="101"/>
    </row>
    <row r="3" spans="1:7" x14ac:dyDescent="0.3">
      <c r="A3" s="102" t="s">
        <v>56</v>
      </c>
      <c r="B3" s="102"/>
      <c r="C3" s="102"/>
      <c r="D3" s="102"/>
      <c r="E3" s="102"/>
      <c r="F3" s="102"/>
      <c r="G3" s="102"/>
    </row>
    <row r="4" spans="1:7" x14ac:dyDescent="0.3">
      <c r="A4" s="103" t="s">
        <v>3</v>
      </c>
      <c r="B4" s="106" t="s">
        <v>4</v>
      </c>
      <c r="C4" s="106" t="s">
        <v>5</v>
      </c>
      <c r="D4" s="114" t="s">
        <v>6</v>
      </c>
      <c r="E4" s="118" t="s">
        <v>8</v>
      </c>
      <c r="F4" s="118"/>
      <c r="G4" s="118"/>
    </row>
    <row r="5" spans="1:7" x14ac:dyDescent="0.3">
      <c r="A5" s="104"/>
      <c r="B5" s="107"/>
      <c r="C5" s="107"/>
      <c r="D5" s="115"/>
      <c r="E5" s="122" t="s">
        <v>14</v>
      </c>
      <c r="F5" s="123" t="s">
        <v>15</v>
      </c>
      <c r="G5" s="118" t="s">
        <v>16</v>
      </c>
    </row>
    <row r="6" spans="1:7" x14ac:dyDescent="0.3">
      <c r="A6" s="105"/>
      <c r="B6" s="108"/>
      <c r="C6" s="108"/>
      <c r="D6" s="116"/>
      <c r="E6" s="122"/>
      <c r="F6" s="123"/>
      <c r="G6" s="118"/>
    </row>
    <row r="7" spans="1:7" s="33" customFormat="1" x14ac:dyDescent="0.3">
      <c r="A7" s="18"/>
      <c r="B7" s="19" t="s">
        <v>30</v>
      </c>
      <c r="C7" s="20"/>
      <c r="D7" s="21"/>
      <c r="E7" s="23"/>
      <c r="F7" s="24"/>
      <c r="G7" s="25"/>
    </row>
    <row r="8" spans="1:7" x14ac:dyDescent="0.3">
      <c r="A8" s="35">
        <v>1</v>
      </c>
      <c r="B8" s="36" t="s">
        <v>31</v>
      </c>
      <c r="C8" s="37" t="s">
        <v>32</v>
      </c>
      <c r="D8" s="38">
        <v>228132</v>
      </c>
      <c r="E8" s="41">
        <v>45966</v>
      </c>
      <c r="F8" s="42" t="s">
        <v>57</v>
      </c>
      <c r="G8" s="43">
        <v>228132</v>
      </c>
    </row>
    <row r="9" spans="1:7" s="33" customFormat="1" ht="25.2" thickBot="1" x14ac:dyDescent="0.35">
      <c r="A9" s="18"/>
      <c r="B9" s="49" t="s">
        <v>24</v>
      </c>
      <c r="C9" s="50"/>
      <c r="D9" s="51">
        <v>228132</v>
      </c>
      <c r="E9" s="52"/>
      <c r="F9" s="51"/>
      <c r="G9" s="51">
        <v>228132</v>
      </c>
    </row>
    <row r="10" spans="1:7" s="33" customFormat="1" ht="25.2" thickTop="1" x14ac:dyDescent="0.3">
      <c r="A10" s="18"/>
      <c r="B10" s="53" t="s">
        <v>40</v>
      </c>
      <c r="C10" s="54"/>
      <c r="D10" s="55"/>
      <c r="E10" s="57"/>
      <c r="F10" s="58"/>
      <c r="G10" s="59"/>
    </row>
    <row r="11" spans="1:7" x14ac:dyDescent="0.3">
      <c r="A11" s="64">
        <v>1</v>
      </c>
      <c r="B11" s="36" t="s">
        <v>31</v>
      </c>
      <c r="C11" s="65"/>
      <c r="D11" s="66">
        <v>11900</v>
      </c>
      <c r="E11" s="41">
        <v>45966</v>
      </c>
      <c r="F11" s="68" t="s">
        <v>58</v>
      </c>
      <c r="G11" s="69">
        <v>11900</v>
      </c>
    </row>
    <row r="12" spans="1:7" s="33" customFormat="1" ht="25.2" thickBot="1" x14ac:dyDescent="0.35">
      <c r="A12" s="18"/>
      <c r="B12" s="49" t="s">
        <v>24</v>
      </c>
      <c r="C12" s="50"/>
      <c r="D12" s="51">
        <v>11900</v>
      </c>
      <c r="E12" s="52"/>
      <c r="F12" s="51"/>
      <c r="G12" s="51">
        <v>11900</v>
      </c>
    </row>
    <row r="13" spans="1:7" s="33" customFormat="1" ht="25.8" thickTop="1" thickBot="1" x14ac:dyDescent="0.35">
      <c r="A13" s="72"/>
      <c r="B13" s="73" t="s">
        <v>43</v>
      </c>
      <c r="C13" s="74"/>
      <c r="D13" s="75">
        <v>240032</v>
      </c>
      <c r="E13" s="76"/>
      <c r="F13" s="76"/>
      <c r="G13" s="75">
        <v>240032</v>
      </c>
    </row>
    <row r="14" spans="1:7" ht="25.2" thickTop="1" x14ac:dyDescent="0.3">
      <c r="E14" s="2"/>
      <c r="F14" s="2"/>
    </row>
    <row r="15" spans="1:7" x14ac:dyDescent="0.3">
      <c r="E15" s="2"/>
      <c r="F15" s="2"/>
    </row>
    <row r="16" spans="1:7" x14ac:dyDescent="0.3">
      <c r="E16" s="2"/>
      <c r="F16" s="2"/>
    </row>
    <row r="17" spans="2:7" s="3" customFormat="1" x14ac:dyDescent="0.3">
      <c r="B17" s="79"/>
      <c r="C17" s="4"/>
      <c r="D17" s="80"/>
      <c r="E17" s="2"/>
      <c r="F17" s="2"/>
      <c r="G17" s="81"/>
    </row>
    <row r="18" spans="2:7" s="3" customFormat="1" x14ac:dyDescent="0.3">
      <c r="B18" s="47"/>
      <c r="C18" s="4"/>
      <c r="D18" s="80"/>
      <c r="E18" s="84"/>
      <c r="F18" s="84"/>
      <c r="G18" s="81"/>
    </row>
    <row r="19" spans="2:7" s="3" customFormat="1" x14ac:dyDescent="0.6">
      <c r="B19" s="119" t="s">
        <v>44</v>
      </c>
      <c r="C19" s="119"/>
      <c r="D19" s="119"/>
      <c r="E19" s="89"/>
      <c r="F19" s="87"/>
      <c r="G19" s="87"/>
    </row>
    <row r="20" spans="2:7" s="3" customFormat="1" x14ac:dyDescent="0.6">
      <c r="B20" s="119" t="s">
        <v>45</v>
      </c>
      <c r="C20" s="119"/>
      <c r="D20" s="119"/>
      <c r="E20" s="89"/>
      <c r="F20" s="87"/>
      <c r="G20" s="87"/>
    </row>
    <row r="21" spans="2:7" s="3" customFormat="1" x14ac:dyDescent="0.3">
      <c r="B21" s="4"/>
      <c r="C21" s="4"/>
      <c r="D21" s="4"/>
      <c r="E21" s="4"/>
      <c r="F21" s="4"/>
      <c r="G21" s="4"/>
    </row>
    <row r="33" s="4" customFormat="1" x14ac:dyDescent="0.3"/>
    <row r="34" s="4" customFormat="1" x14ac:dyDescent="0.3"/>
    <row r="35" s="4" customFormat="1" x14ac:dyDescent="0.3"/>
  </sheetData>
  <mergeCells count="13">
    <mergeCell ref="B20:D20"/>
    <mergeCell ref="B19:D19"/>
    <mergeCell ref="E5:E6"/>
    <mergeCell ref="F5:F6"/>
    <mergeCell ref="G5:G6"/>
    <mergeCell ref="A1:G1"/>
    <mergeCell ref="A2:G2"/>
    <mergeCell ref="A3:G3"/>
    <mergeCell ref="A4:A6"/>
    <mergeCell ref="B4:B6"/>
    <mergeCell ref="C4:C6"/>
    <mergeCell ref="D4:D6"/>
    <mergeCell ref="E4:G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5BD3F-C5C0-4BEC-AA1C-F1CD15ED2511}">
  <sheetPr>
    <tabColor rgb="FF92D050"/>
  </sheetPr>
  <dimension ref="A1:G19"/>
  <sheetViews>
    <sheetView workbookViewId="0">
      <selection activeCell="F16" sqref="F16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4" width="11.44140625" style="4" customWidth="1"/>
    <col min="5" max="5" width="7.5546875" style="4" customWidth="1"/>
    <col min="6" max="6" width="7.5546875" style="8" customWidth="1"/>
    <col min="7" max="7" width="14.109375" style="82" customWidth="1"/>
    <col min="8" max="16384" width="10.33203125" style="4"/>
  </cols>
  <sheetData>
    <row r="1" spans="1:7" x14ac:dyDescent="0.3">
      <c r="A1" s="101" t="s">
        <v>51</v>
      </c>
      <c r="B1" s="101"/>
      <c r="C1" s="101"/>
      <c r="D1" s="101"/>
      <c r="E1" s="101"/>
      <c r="F1" s="101"/>
      <c r="G1" s="101"/>
    </row>
    <row r="2" spans="1:7" x14ac:dyDescent="0.3">
      <c r="A2" s="101" t="s">
        <v>1</v>
      </c>
      <c r="B2" s="101"/>
      <c r="C2" s="101"/>
      <c r="D2" s="101"/>
      <c r="E2" s="101"/>
      <c r="F2" s="101"/>
      <c r="G2" s="101"/>
    </row>
    <row r="3" spans="1:7" x14ac:dyDescent="0.3">
      <c r="A3" s="102" t="s">
        <v>50</v>
      </c>
      <c r="B3" s="102"/>
      <c r="C3" s="102"/>
      <c r="D3" s="102"/>
      <c r="E3" s="102"/>
      <c r="F3" s="102"/>
      <c r="G3" s="102"/>
    </row>
    <row r="4" spans="1:7" x14ac:dyDescent="0.3">
      <c r="A4" s="103" t="s">
        <v>3</v>
      </c>
      <c r="B4" s="106" t="s">
        <v>4</v>
      </c>
      <c r="C4" s="106" t="s">
        <v>5</v>
      </c>
      <c r="D4" s="93"/>
      <c r="E4" s="109" t="s">
        <v>9</v>
      </c>
      <c r="F4" s="110"/>
      <c r="G4" s="111"/>
    </row>
    <row r="5" spans="1:7" x14ac:dyDescent="0.3">
      <c r="A5" s="104"/>
      <c r="B5" s="107"/>
      <c r="C5" s="107"/>
      <c r="D5" s="90" t="s">
        <v>54</v>
      </c>
      <c r="E5" s="103" t="s">
        <v>10</v>
      </c>
      <c r="F5" s="112" t="s">
        <v>11</v>
      </c>
      <c r="G5" s="92"/>
    </row>
    <row r="6" spans="1:7" x14ac:dyDescent="0.3">
      <c r="A6" s="105"/>
      <c r="B6" s="108"/>
      <c r="C6" s="108"/>
      <c r="D6" s="91"/>
      <c r="E6" s="105"/>
      <c r="F6" s="113"/>
      <c r="G6" s="9" t="s">
        <v>24</v>
      </c>
    </row>
    <row r="7" spans="1:7" s="33" customFormat="1" x14ac:dyDescent="0.3">
      <c r="A7" s="18"/>
      <c r="B7" s="19" t="s">
        <v>55</v>
      </c>
      <c r="C7" s="20"/>
      <c r="D7" s="20"/>
      <c r="E7" s="26"/>
      <c r="F7" s="27"/>
      <c r="G7" s="29"/>
    </row>
    <row r="8" spans="1:7" x14ac:dyDescent="0.3">
      <c r="A8" s="35"/>
      <c r="B8" s="36"/>
      <c r="C8" s="37"/>
      <c r="D8" s="37"/>
      <c r="E8" s="36"/>
      <c r="F8" s="39"/>
      <c r="G8" s="44">
        <v>0</v>
      </c>
    </row>
    <row r="9" spans="1:7" s="33" customFormat="1" ht="25.2" thickBot="1" x14ac:dyDescent="0.35">
      <c r="A9" s="18"/>
      <c r="B9" s="49" t="s">
        <v>24</v>
      </c>
      <c r="C9" s="50"/>
      <c r="D9" s="50"/>
      <c r="E9" s="51"/>
      <c r="F9" s="51"/>
      <c r="G9" s="51">
        <v>0</v>
      </c>
    </row>
    <row r="10" spans="1:7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G1"/>
    <mergeCell ref="A2:G2"/>
    <mergeCell ref="A3:G3"/>
    <mergeCell ref="A4:A6"/>
    <mergeCell ref="B4:B6"/>
    <mergeCell ref="C4:C6"/>
    <mergeCell ref="E4:G4"/>
    <mergeCell ref="E5:E6"/>
    <mergeCell ref="F5:F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AE27-F3F5-4CA0-BB91-60042384C5A6}">
  <sheetPr>
    <tabColor rgb="FF92D050"/>
  </sheetPr>
  <dimension ref="A1:F19"/>
  <sheetViews>
    <sheetView workbookViewId="0">
      <selection activeCell="D21" sqref="D21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11.44140625" style="4" customWidth="1"/>
    <col min="4" max="4" width="7.5546875" style="4" customWidth="1"/>
    <col min="5" max="5" width="7.5546875" style="8" customWidth="1"/>
    <col min="6" max="6" width="14.109375" style="82" customWidth="1"/>
    <col min="7" max="16384" width="10.33203125" style="4"/>
  </cols>
  <sheetData>
    <row r="1" spans="1:6" x14ac:dyDescent="0.3">
      <c r="A1" s="101" t="s">
        <v>51</v>
      </c>
      <c r="B1" s="101"/>
      <c r="C1" s="101"/>
      <c r="D1" s="101"/>
      <c r="E1" s="101"/>
      <c r="F1" s="101"/>
    </row>
    <row r="2" spans="1:6" x14ac:dyDescent="0.3">
      <c r="A2" s="101" t="s">
        <v>1</v>
      </c>
      <c r="B2" s="101"/>
      <c r="C2" s="101"/>
      <c r="D2" s="101"/>
      <c r="E2" s="101"/>
      <c r="F2" s="101"/>
    </row>
    <row r="3" spans="1:6" x14ac:dyDescent="0.3">
      <c r="A3" s="102" t="s">
        <v>50</v>
      </c>
      <c r="B3" s="102"/>
      <c r="C3" s="102"/>
      <c r="D3" s="102"/>
      <c r="E3" s="102"/>
      <c r="F3" s="102"/>
    </row>
    <row r="4" spans="1:6" x14ac:dyDescent="0.3">
      <c r="A4" s="103" t="s">
        <v>3</v>
      </c>
      <c r="B4" s="106" t="s">
        <v>4</v>
      </c>
      <c r="C4" s="106" t="s">
        <v>5</v>
      </c>
      <c r="D4" s="109" t="s">
        <v>9</v>
      </c>
      <c r="E4" s="110"/>
      <c r="F4" s="111"/>
    </row>
    <row r="5" spans="1:6" x14ac:dyDescent="0.3">
      <c r="A5" s="104"/>
      <c r="B5" s="107"/>
      <c r="C5" s="107"/>
      <c r="D5" s="103" t="s">
        <v>10</v>
      </c>
      <c r="E5" s="112" t="s">
        <v>11</v>
      </c>
      <c r="F5" s="92"/>
    </row>
    <row r="6" spans="1:6" x14ac:dyDescent="0.3">
      <c r="A6" s="105"/>
      <c r="B6" s="108"/>
      <c r="C6" s="108"/>
      <c r="D6" s="105"/>
      <c r="E6" s="113"/>
      <c r="F6" s="9" t="s">
        <v>24</v>
      </c>
    </row>
    <row r="7" spans="1:6" s="33" customFormat="1" x14ac:dyDescent="0.3">
      <c r="A7" s="18"/>
      <c r="B7" s="19" t="s">
        <v>55</v>
      </c>
      <c r="C7" s="20"/>
      <c r="D7" s="26"/>
      <c r="E7" s="27"/>
      <c r="F7" s="29"/>
    </row>
    <row r="8" spans="1:6" x14ac:dyDescent="0.3">
      <c r="A8" s="35"/>
      <c r="B8" s="36"/>
      <c r="C8" s="37"/>
      <c r="D8" s="36"/>
      <c r="E8" s="39"/>
      <c r="F8" s="44">
        <v>0</v>
      </c>
    </row>
    <row r="9" spans="1:6" s="33" customFormat="1" ht="25.2" thickBot="1" x14ac:dyDescent="0.35">
      <c r="A9" s="18"/>
      <c r="B9" s="49" t="s">
        <v>24</v>
      </c>
      <c r="C9" s="50"/>
      <c r="D9" s="51"/>
      <c r="E9" s="51"/>
      <c r="F9" s="51">
        <v>0</v>
      </c>
    </row>
    <row r="10" spans="1:6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1C90-6A27-474F-A3A9-AE035375D93E}">
  <sheetPr>
    <tabColor rgb="FF92D050"/>
  </sheetPr>
  <dimension ref="A1:AH35"/>
  <sheetViews>
    <sheetView workbookViewId="0">
      <selection activeCell="B20" sqref="B20:D20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8.44140625" style="80" customWidth="1"/>
    <col min="5" max="5" width="6.44140625" style="83" customWidth="1"/>
    <col min="6" max="6" width="3.109375" style="83" customWidth="1"/>
    <col min="7" max="7" width="3.44140625" style="83" customWidth="1"/>
    <col min="8" max="8" width="7.6640625" style="83" customWidth="1"/>
    <col min="9" max="9" width="7" style="83" customWidth="1"/>
    <col min="10" max="10" width="6.88671875" style="84" customWidth="1"/>
    <col min="11" max="11" width="10.44140625" style="84" customWidth="1"/>
    <col min="12" max="12" width="11" style="84" customWidth="1"/>
    <col min="13" max="13" width="17.88671875" style="81" customWidth="1"/>
    <col min="14" max="14" width="3.5546875" style="4" customWidth="1"/>
    <col min="15" max="15" width="3.5546875" style="8" customWidth="1"/>
    <col min="16" max="16" width="3.6640625" style="8" customWidth="1"/>
    <col min="17" max="17" width="7.109375" style="8" customWidth="1"/>
    <col min="18" max="18" width="5.44140625" style="8" customWidth="1"/>
    <col min="19" max="19" width="14.109375" style="82" customWidth="1"/>
    <col min="20" max="20" width="4.109375" style="82" customWidth="1"/>
    <col min="21" max="21" width="6.6640625" style="82" customWidth="1"/>
    <col min="22" max="22" width="7.44140625" style="82" customWidth="1"/>
    <col min="23" max="23" width="18.88671875" style="82" customWidth="1"/>
    <col min="24" max="24" width="7.44140625" style="82" customWidth="1"/>
    <col min="25" max="27" width="9.88671875" style="82" customWidth="1"/>
    <col min="28" max="28" width="11.44140625" style="82" bestFit="1" customWidth="1"/>
    <col min="29" max="29" width="9.88671875" style="82" customWidth="1"/>
    <col min="30" max="30" width="10.33203125" style="2"/>
    <col min="31" max="31" width="10.44140625" style="3" bestFit="1" customWidth="1"/>
    <col min="32" max="32" width="10.33203125" style="4"/>
    <col min="33" max="33" width="11.6640625" style="4" bestFit="1" customWidth="1"/>
    <col min="34" max="16384" width="10.33203125" style="4"/>
  </cols>
  <sheetData>
    <row r="1" spans="1:33" x14ac:dyDescent="0.3">
      <c r="A1" s="101" t="s">
        <v>51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x14ac:dyDescent="0.3">
      <c r="A2" s="101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3" x14ac:dyDescent="0.3">
      <c r="A3" s="102" t="s">
        <v>50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33" x14ac:dyDescent="0.3">
      <c r="A4" s="103" t="s">
        <v>3</v>
      </c>
      <c r="B4" s="106" t="s">
        <v>4</v>
      </c>
      <c r="C4" s="106" t="s">
        <v>5</v>
      </c>
      <c r="D4" s="114" t="s">
        <v>6</v>
      </c>
      <c r="E4" s="117" t="s">
        <v>7</v>
      </c>
      <c r="F4" s="117"/>
      <c r="G4" s="117"/>
      <c r="H4" s="117"/>
      <c r="I4" s="117"/>
      <c r="J4" s="117"/>
      <c r="K4" s="118" t="s">
        <v>8</v>
      </c>
      <c r="L4" s="118"/>
      <c r="M4" s="118"/>
      <c r="N4" s="117" t="s">
        <v>9</v>
      </c>
      <c r="O4" s="117"/>
      <c r="P4" s="117"/>
      <c r="Q4" s="117"/>
      <c r="R4" s="117"/>
      <c r="S4" s="117"/>
      <c r="T4" s="7"/>
      <c r="U4" s="7"/>
      <c r="V4" s="7"/>
      <c r="W4" s="7"/>
      <c r="X4" s="7"/>
      <c r="Y4" s="8"/>
      <c r="Z4" s="8"/>
      <c r="AA4" s="8"/>
      <c r="AB4" s="8"/>
      <c r="AC4" s="8"/>
    </row>
    <row r="5" spans="1:33" x14ac:dyDescent="0.3">
      <c r="A5" s="104"/>
      <c r="B5" s="107"/>
      <c r="C5" s="107"/>
      <c r="D5" s="115"/>
      <c r="E5" s="121" t="s">
        <v>10</v>
      </c>
      <c r="F5" s="117" t="s">
        <v>11</v>
      </c>
      <c r="G5" s="7" t="s">
        <v>12</v>
      </c>
      <c r="H5" s="117" t="s">
        <v>13</v>
      </c>
      <c r="I5" s="117"/>
      <c r="J5" s="117"/>
      <c r="K5" s="122" t="s">
        <v>14</v>
      </c>
      <c r="L5" s="123" t="s">
        <v>15</v>
      </c>
      <c r="M5" s="118" t="s">
        <v>16</v>
      </c>
      <c r="N5" s="121" t="s">
        <v>10</v>
      </c>
      <c r="O5" s="117" t="s">
        <v>11</v>
      </c>
      <c r="P5" s="7" t="s">
        <v>12</v>
      </c>
      <c r="Q5" s="117" t="s">
        <v>13</v>
      </c>
      <c r="R5" s="117"/>
      <c r="S5" s="117"/>
      <c r="T5" s="10" t="s">
        <v>17</v>
      </c>
      <c r="U5" s="10" t="s">
        <v>18</v>
      </c>
      <c r="V5" s="10" t="s">
        <v>19</v>
      </c>
      <c r="W5" s="10" t="s">
        <v>20</v>
      </c>
      <c r="X5" s="10" t="s">
        <v>21</v>
      </c>
      <c r="Y5" s="8"/>
      <c r="Z5" s="8"/>
      <c r="AA5" s="8"/>
      <c r="AB5" s="8"/>
      <c r="AC5" s="8"/>
    </row>
    <row r="6" spans="1:33" ht="73.8" x14ac:dyDescent="0.3">
      <c r="A6" s="105"/>
      <c r="B6" s="108"/>
      <c r="C6" s="108"/>
      <c r="D6" s="116"/>
      <c r="E6" s="121"/>
      <c r="F6" s="117"/>
      <c r="G6" s="11" t="s">
        <v>22</v>
      </c>
      <c r="H6" s="6" t="s">
        <v>16</v>
      </c>
      <c r="I6" s="12" t="s">
        <v>23</v>
      </c>
      <c r="J6" s="9" t="s">
        <v>24</v>
      </c>
      <c r="K6" s="122"/>
      <c r="L6" s="123"/>
      <c r="M6" s="118"/>
      <c r="N6" s="121"/>
      <c r="O6" s="117"/>
      <c r="P6" s="11" t="s">
        <v>22</v>
      </c>
      <c r="Q6" s="6" t="s">
        <v>16</v>
      </c>
      <c r="R6" s="13" t="s">
        <v>23</v>
      </c>
      <c r="S6" s="9" t="s">
        <v>24</v>
      </c>
      <c r="T6" s="14" t="s">
        <v>25</v>
      </c>
      <c r="U6" s="14"/>
      <c r="V6" s="14"/>
      <c r="W6" s="14"/>
      <c r="X6" s="14"/>
      <c r="Y6" s="15" t="s">
        <v>26</v>
      </c>
      <c r="Z6" s="15" t="s">
        <v>27</v>
      </c>
      <c r="AA6" s="15"/>
      <c r="AB6" s="15"/>
      <c r="AC6" s="15" t="s">
        <v>28</v>
      </c>
      <c r="AD6" s="16"/>
      <c r="AF6" s="17" t="s">
        <v>29</v>
      </c>
    </row>
    <row r="7" spans="1:33" s="33" customFormat="1" x14ac:dyDescent="0.3">
      <c r="A7" s="18"/>
      <c r="B7" s="19" t="s">
        <v>30</v>
      </c>
      <c r="C7" s="20"/>
      <c r="D7" s="21"/>
      <c r="E7" s="21"/>
      <c r="F7" s="21"/>
      <c r="G7" s="22"/>
      <c r="H7" s="22"/>
      <c r="I7" s="22"/>
      <c r="J7" s="22"/>
      <c r="K7" s="23"/>
      <c r="L7" s="24"/>
      <c r="M7" s="25"/>
      <c r="N7" s="26"/>
      <c r="O7" s="27"/>
      <c r="P7" s="28"/>
      <c r="Q7" s="28"/>
      <c r="R7" s="28"/>
      <c r="S7" s="29"/>
      <c r="T7" s="30"/>
      <c r="U7" s="31"/>
      <c r="V7" s="31"/>
      <c r="W7" s="32"/>
      <c r="X7" s="32"/>
      <c r="Y7" s="32"/>
      <c r="AB7" s="34"/>
    </row>
    <row r="8" spans="1:33" x14ac:dyDescent="0.3">
      <c r="A8" s="35">
        <v>1</v>
      </c>
      <c r="B8" s="36" t="s">
        <v>31</v>
      </c>
      <c r="C8" s="37" t="s">
        <v>32</v>
      </c>
      <c r="D8" s="38">
        <v>228132</v>
      </c>
      <c r="E8" s="36"/>
      <c r="F8" s="39"/>
      <c r="G8" s="39"/>
      <c r="H8" s="39"/>
      <c r="I8" s="39"/>
      <c r="J8" s="40">
        <v>0</v>
      </c>
      <c r="K8" s="41">
        <v>45936</v>
      </c>
      <c r="L8" s="42" t="s">
        <v>52</v>
      </c>
      <c r="M8" s="43">
        <v>228132</v>
      </c>
      <c r="N8" s="36"/>
      <c r="O8" s="39"/>
      <c r="P8" s="39"/>
      <c r="Q8" s="39"/>
      <c r="R8" s="39"/>
      <c r="S8" s="44">
        <f>+D8-M8</f>
        <v>0</v>
      </c>
      <c r="T8" s="44" t="s">
        <v>34</v>
      </c>
      <c r="U8" s="44" t="s">
        <v>35</v>
      </c>
      <c r="V8" s="44" t="s">
        <v>36</v>
      </c>
      <c r="W8" s="44">
        <v>300000</v>
      </c>
      <c r="X8" s="44"/>
      <c r="Y8" s="44">
        <v>150000</v>
      </c>
      <c r="Z8" s="44"/>
      <c r="AA8" s="44"/>
      <c r="AB8" s="45" t="s">
        <v>37</v>
      </c>
      <c r="AC8" s="44" t="s">
        <v>38</v>
      </c>
      <c r="AD8" s="46"/>
      <c r="AE8" s="3">
        <f>+S8-AD8</f>
        <v>0</v>
      </c>
      <c r="AF8" s="47" t="s">
        <v>39</v>
      </c>
      <c r="AG8" s="48">
        <v>42983</v>
      </c>
    </row>
    <row r="9" spans="1:33" s="33" customFormat="1" ht="25.2" thickBot="1" x14ac:dyDescent="0.35">
      <c r="A9" s="18"/>
      <c r="B9" s="49" t="s">
        <v>24</v>
      </c>
      <c r="C9" s="50"/>
      <c r="D9" s="51">
        <f>SUM(D8:D8)</f>
        <v>228132</v>
      </c>
      <c r="E9" s="51"/>
      <c r="F9" s="51"/>
      <c r="G9" s="51"/>
      <c r="H9" s="51">
        <f>SUM(H8:H8)</f>
        <v>0</v>
      </c>
      <c r="I9" s="51">
        <f>SUM(I8:I8)</f>
        <v>0</v>
      </c>
      <c r="J9" s="51">
        <f>SUM(J8:J8)</f>
        <v>0</v>
      </c>
      <c r="K9" s="52"/>
      <c r="L9" s="51"/>
      <c r="M9" s="51">
        <f>SUM(M8:M8)</f>
        <v>228132</v>
      </c>
      <c r="N9" s="51"/>
      <c r="O9" s="51"/>
      <c r="P9" s="51"/>
      <c r="Q9" s="51">
        <f>SUM(Q8:Q8)</f>
        <v>0</v>
      </c>
      <c r="R9" s="51">
        <f>SUM(R8:R8)</f>
        <v>0</v>
      </c>
      <c r="S9" s="51">
        <f>SUM(S8:S8)</f>
        <v>0</v>
      </c>
      <c r="T9" s="30"/>
      <c r="U9" s="31"/>
      <c r="V9" s="31"/>
      <c r="W9" s="32"/>
      <c r="X9" s="32"/>
      <c r="Y9" s="32"/>
      <c r="AB9" s="34"/>
    </row>
    <row r="10" spans="1:33" s="33" customFormat="1" ht="25.2" thickTop="1" x14ac:dyDescent="0.3">
      <c r="A10" s="18"/>
      <c r="B10" s="53" t="s">
        <v>40</v>
      </c>
      <c r="C10" s="54"/>
      <c r="D10" s="55"/>
      <c r="E10" s="55"/>
      <c r="F10" s="55"/>
      <c r="G10" s="56"/>
      <c r="H10" s="56"/>
      <c r="I10" s="56"/>
      <c r="J10" s="56"/>
      <c r="K10" s="57"/>
      <c r="L10" s="58"/>
      <c r="M10" s="59"/>
      <c r="N10" s="60"/>
      <c r="O10" s="61"/>
      <c r="P10" s="62"/>
      <c r="Q10" s="62"/>
      <c r="R10" s="62"/>
      <c r="S10" s="63"/>
      <c r="T10" s="30"/>
      <c r="U10" s="31"/>
      <c r="V10" s="31"/>
      <c r="W10" s="32"/>
      <c r="X10" s="32"/>
      <c r="Y10" s="32"/>
      <c r="AB10" s="34"/>
    </row>
    <row r="11" spans="1:33" x14ac:dyDescent="0.3">
      <c r="A11" s="64">
        <v>1</v>
      </c>
      <c r="B11" s="36" t="s">
        <v>31</v>
      </c>
      <c r="C11" s="65"/>
      <c r="D11" s="66">
        <v>11900</v>
      </c>
      <c r="E11" s="4"/>
      <c r="F11" s="10"/>
      <c r="G11" s="10"/>
      <c r="H11" s="10"/>
      <c r="I11" s="10"/>
      <c r="J11" s="67">
        <v>0</v>
      </c>
      <c r="K11" s="41">
        <v>45936</v>
      </c>
      <c r="L11" s="68" t="s">
        <v>53</v>
      </c>
      <c r="M11" s="69">
        <v>11900</v>
      </c>
      <c r="O11" s="10"/>
      <c r="P11" s="10"/>
      <c r="Q11" s="10"/>
      <c r="R11" s="10"/>
      <c r="S11" s="44">
        <f>+D11-M11</f>
        <v>0</v>
      </c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1"/>
      <c r="AF11" s="47" t="s">
        <v>42</v>
      </c>
      <c r="AG11" s="48">
        <v>42983</v>
      </c>
    </row>
    <row r="12" spans="1:33" s="33" customFormat="1" ht="25.2" thickBot="1" x14ac:dyDescent="0.35">
      <c r="A12" s="18"/>
      <c r="B12" s="49" t="s">
        <v>24</v>
      </c>
      <c r="C12" s="50"/>
      <c r="D12" s="51">
        <f>SUM(D11)</f>
        <v>11900</v>
      </c>
      <c r="E12" s="51"/>
      <c r="F12" s="51"/>
      <c r="G12" s="51"/>
      <c r="H12" s="51">
        <f t="shared" ref="H12:J12" si="0">SUM(H11)</f>
        <v>0</v>
      </c>
      <c r="I12" s="51">
        <f t="shared" si="0"/>
        <v>0</v>
      </c>
      <c r="J12" s="51">
        <f t="shared" si="0"/>
        <v>0</v>
      </c>
      <c r="K12" s="52"/>
      <c r="L12" s="51"/>
      <c r="M12" s="51">
        <f t="shared" ref="M12" si="1">SUM(M11)</f>
        <v>11900</v>
      </c>
      <c r="N12" s="51"/>
      <c r="O12" s="51"/>
      <c r="P12" s="51"/>
      <c r="Q12" s="51">
        <f t="shared" ref="Q12:S12" si="2">SUM(Q11)</f>
        <v>0</v>
      </c>
      <c r="R12" s="51">
        <f t="shared" si="2"/>
        <v>0</v>
      </c>
      <c r="S12" s="51">
        <f t="shared" si="2"/>
        <v>0</v>
      </c>
      <c r="T12" s="30"/>
      <c r="U12" s="31"/>
      <c r="V12" s="31"/>
      <c r="W12" s="32"/>
      <c r="X12" s="32"/>
      <c r="Y12" s="32"/>
      <c r="AB12" s="34"/>
    </row>
    <row r="13" spans="1:33" s="33" customFormat="1" ht="25.8" thickTop="1" thickBot="1" x14ac:dyDescent="0.35">
      <c r="A13" s="72"/>
      <c r="B13" s="73" t="s">
        <v>43</v>
      </c>
      <c r="C13" s="74"/>
      <c r="D13" s="75">
        <f>D9+D12</f>
        <v>240032</v>
      </c>
      <c r="E13" s="76"/>
      <c r="F13" s="76"/>
      <c r="G13" s="76"/>
      <c r="H13" s="76">
        <f>H9+H12</f>
        <v>0</v>
      </c>
      <c r="I13" s="76">
        <f t="shared" ref="I13:J13" si="3">I9+I12</f>
        <v>0</v>
      </c>
      <c r="J13" s="76">
        <f t="shared" si="3"/>
        <v>0</v>
      </c>
      <c r="K13" s="76"/>
      <c r="L13" s="76"/>
      <c r="M13" s="75">
        <f>M9+M12</f>
        <v>240032</v>
      </c>
      <c r="N13" s="76"/>
      <c r="O13" s="76"/>
      <c r="P13" s="76"/>
      <c r="Q13" s="76">
        <f>Q9+Q12</f>
        <v>0</v>
      </c>
      <c r="R13" s="76">
        <f t="shared" ref="R13:S13" si="4">R9+R12</f>
        <v>0</v>
      </c>
      <c r="S13" s="76">
        <f t="shared" si="4"/>
        <v>0</v>
      </c>
      <c r="T13" s="77"/>
      <c r="U13" s="78"/>
      <c r="V13" s="78"/>
      <c r="W13" s="76"/>
      <c r="X13" s="76"/>
      <c r="Y13" s="76"/>
    </row>
    <row r="14" spans="1:33" ht="25.2" thickTop="1" x14ac:dyDescent="0.3">
      <c r="E14" s="4"/>
      <c r="F14" s="8"/>
      <c r="G14" s="8"/>
      <c r="H14" s="8"/>
      <c r="I14" s="8"/>
      <c r="J14" s="2"/>
      <c r="K14" s="2"/>
      <c r="L14" s="2"/>
    </row>
    <row r="15" spans="1:33" x14ac:dyDescent="0.3">
      <c r="E15" s="4"/>
      <c r="F15" s="8"/>
      <c r="G15" s="8"/>
      <c r="H15" s="8"/>
      <c r="I15" s="8"/>
      <c r="J15" s="2"/>
      <c r="K15" s="2"/>
      <c r="L15" s="2"/>
    </row>
    <row r="16" spans="1:33" x14ac:dyDescent="0.3">
      <c r="E16" s="4"/>
      <c r="F16" s="8"/>
      <c r="G16" s="8"/>
      <c r="H16" s="8"/>
      <c r="I16" s="8"/>
      <c r="J16" s="2"/>
      <c r="K16" s="2"/>
      <c r="L16" s="2"/>
    </row>
    <row r="17" spans="2:30" s="3" customFormat="1" x14ac:dyDescent="0.3">
      <c r="B17" s="79"/>
      <c r="C17" s="4"/>
      <c r="D17" s="80"/>
      <c r="E17" s="4"/>
      <c r="F17" s="8"/>
      <c r="G17" s="8"/>
      <c r="H17" s="8"/>
      <c r="I17" s="8"/>
      <c r="J17" s="2"/>
      <c r="K17" s="2"/>
      <c r="L17" s="2"/>
      <c r="M17" s="81"/>
      <c r="N17" s="4"/>
      <c r="O17" s="8"/>
      <c r="P17" s="8"/>
      <c r="Q17" s="8"/>
      <c r="R17" s="8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2"/>
    </row>
    <row r="18" spans="2:30" s="3" customFormat="1" x14ac:dyDescent="0.3">
      <c r="B18" s="47"/>
      <c r="C18" s="4"/>
      <c r="D18" s="80"/>
      <c r="E18" s="83"/>
      <c r="F18" s="83"/>
      <c r="G18" s="83"/>
      <c r="H18" s="83"/>
      <c r="I18" s="83"/>
      <c r="J18" s="84"/>
      <c r="K18" s="84"/>
      <c r="L18" s="84"/>
      <c r="M18" s="81"/>
      <c r="N18" s="4"/>
      <c r="O18" s="8"/>
      <c r="P18" s="8"/>
      <c r="Q18" s="8"/>
      <c r="R18" s="8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2"/>
    </row>
    <row r="19" spans="2:30" s="3" customFormat="1" x14ac:dyDescent="0.7">
      <c r="B19" s="119" t="s">
        <v>44</v>
      </c>
      <c r="C19" s="119"/>
      <c r="D19" s="119"/>
      <c r="E19" s="85"/>
      <c r="F19" s="86"/>
      <c r="G19" s="119" t="s">
        <v>44</v>
      </c>
      <c r="H19" s="119"/>
      <c r="I19" s="119"/>
      <c r="J19" s="119"/>
      <c r="K19" s="119"/>
      <c r="L19" s="87"/>
      <c r="M19" s="87"/>
      <c r="N19" s="119" t="s">
        <v>44</v>
      </c>
      <c r="O19" s="119"/>
      <c r="P19" s="119"/>
      <c r="Q19" s="119"/>
      <c r="R19" s="119"/>
      <c r="S19" s="82"/>
      <c r="T19" s="88"/>
      <c r="U19" s="88"/>
      <c r="V19" s="88"/>
      <c r="W19" s="82"/>
      <c r="X19" s="82"/>
      <c r="Y19" s="82"/>
      <c r="Z19" s="82"/>
      <c r="AA19" s="82"/>
      <c r="AB19" s="82"/>
      <c r="AC19" s="82"/>
      <c r="AD19" s="2"/>
    </row>
    <row r="20" spans="2:30" s="3" customFormat="1" x14ac:dyDescent="0.7">
      <c r="B20" s="119" t="s">
        <v>45</v>
      </c>
      <c r="C20" s="119"/>
      <c r="D20" s="119"/>
      <c r="E20" s="87"/>
      <c r="F20" s="87"/>
      <c r="G20" s="119" t="s">
        <v>46</v>
      </c>
      <c r="H20" s="119"/>
      <c r="I20" s="119"/>
      <c r="J20" s="119"/>
      <c r="K20" s="119"/>
      <c r="L20" s="87"/>
      <c r="M20" s="87"/>
      <c r="N20" s="119" t="s">
        <v>47</v>
      </c>
      <c r="O20" s="119"/>
      <c r="P20" s="119"/>
      <c r="Q20" s="119"/>
      <c r="R20" s="119"/>
      <c r="S20" s="4"/>
      <c r="T20" s="120"/>
      <c r="U20" s="120"/>
      <c r="V20" s="120"/>
      <c r="W20" s="120"/>
      <c r="X20" s="4"/>
      <c r="Y20" s="4"/>
      <c r="Z20" s="4"/>
      <c r="AA20" s="4"/>
      <c r="AB20" s="4"/>
      <c r="AC20" s="4"/>
      <c r="AD20" s="4"/>
    </row>
    <row r="21" spans="2:30" s="3" customFormat="1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33" spans="2:34" x14ac:dyDescent="0.3">
      <c r="B33" s="4"/>
      <c r="D33" s="4"/>
      <c r="E33" s="4"/>
      <c r="F33" s="4"/>
      <c r="G33" s="4"/>
      <c r="H33" s="4"/>
      <c r="I33" s="4"/>
      <c r="J33" s="4"/>
      <c r="K33" s="4"/>
      <c r="L33" s="4"/>
      <c r="M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H33" s="79" t="s">
        <v>21</v>
      </c>
    </row>
    <row r="34" spans="2:34" x14ac:dyDescent="0.3">
      <c r="B34" s="4"/>
      <c r="D34" s="4"/>
      <c r="E34" s="4"/>
      <c r="F34" s="4"/>
      <c r="G34" s="4"/>
      <c r="H34" s="4"/>
      <c r="I34" s="4"/>
      <c r="J34" s="4"/>
      <c r="K34" s="4"/>
      <c r="L34" s="4"/>
      <c r="M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H34" s="79" t="s">
        <v>48</v>
      </c>
    </row>
    <row r="35" spans="2:34" x14ac:dyDescent="0.3">
      <c r="B35" s="4"/>
      <c r="D35" s="4"/>
      <c r="E35" s="4"/>
      <c r="F35" s="4"/>
      <c r="G35" s="4"/>
      <c r="H35" s="4"/>
      <c r="I35" s="4"/>
      <c r="J35" s="4"/>
      <c r="K35" s="4"/>
      <c r="L35" s="4"/>
      <c r="M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H35" s="79" t="s">
        <v>49</v>
      </c>
    </row>
  </sheetData>
  <mergeCells count="26">
    <mergeCell ref="B20:D20"/>
    <mergeCell ref="G20:K20"/>
    <mergeCell ref="N20:R20"/>
    <mergeCell ref="T20:W20"/>
    <mergeCell ref="N5:N6"/>
    <mergeCell ref="O5:O6"/>
    <mergeCell ref="Q5:S5"/>
    <mergeCell ref="B19:D19"/>
    <mergeCell ref="G19:K19"/>
    <mergeCell ref="N19:R19"/>
    <mergeCell ref="E5:E6"/>
    <mergeCell ref="F5:F6"/>
    <mergeCell ref="H5:J5"/>
    <mergeCell ref="K5:K6"/>
    <mergeCell ref="L5:L6"/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A205-2489-43CE-84A9-47F5CE7DD6E2}">
  <sheetPr>
    <tabColor rgb="FF92D050"/>
  </sheetPr>
  <dimension ref="A1:H35"/>
  <sheetViews>
    <sheetView workbookViewId="0">
      <selection activeCell="G21" sqref="G21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8.44140625" style="80" customWidth="1"/>
    <col min="5" max="5" width="10.44140625" style="84" customWidth="1"/>
    <col min="6" max="6" width="11" style="84" customWidth="1"/>
    <col min="7" max="7" width="17.88671875" style="81" customWidth="1"/>
    <col min="8" max="16384" width="10.33203125" style="4"/>
  </cols>
  <sheetData>
    <row r="1" spans="1:7" x14ac:dyDescent="0.3">
      <c r="A1" s="101" t="s">
        <v>51</v>
      </c>
      <c r="B1" s="101"/>
      <c r="C1" s="101"/>
      <c r="D1" s="101"/>
      <c r="E1" s="101"/>
      <c r="F1" s="101"/>
      <c r="G1" s="101"/>
    </row>
    <row r="2" spans="1:7" x14ac:dyDescent="0.3">
      <c r="A2" s="101" t="s">
        <v>1</v>
      </c>
      <c r="B2" s="101"/>
      <c r="C2" s="101"/>
      <c r="D2" s="101"/>
      <c r="E2" s="101"/>
      <c r="F2" s="101"/>
      <c r="G2" s="101"/>
    </row>
    <row r="3" spans="1:7" x14ac:dyDescent="0.3">
      <c r="A3" s="102" t="s">
        <v>50</v>
      </c>
      <c r="B3" s="102"/>
      <c r="C3" s="102"/>
      <c r="D3" s="102"/>
      <c r="E3" s="102"/>
      <c r="F3" s="102"/>
      <c r="G3" s="102"/>
    </row>
    <row r="4" spans="1:7" x14ac:dyDescent="0.3">
      <c r="A4" s="103" t="s">
        <v>3</v>
      </c>
      <c r="B4" s="106" t="s">
        <v>4</v>
      </c>
      <c r="C4" s="106" t="s">
        <v>5</v>
      </c>
      <c r="D4" s="114" t="s">
        <v>6</v>
      </c>
      <c r="E4" s="118" t="s">
        <v>8</v>
      </c>
      <c r="F4" s="118"/>
      <c r="G4" s="118"/>
    </row>
    <row r="5" spans="1:7" x14ac:dyDescent="0.3">
      <c r="A5" s="104"/>
      <c r="B5" s="107"/>
      <c r="C5" s="107"/>
      <c r="D5" s="115"/>
      <c r="E5" s="122" t="s">
        <v>14</v>
      </c>
      <c r="F5" s="123" t="s">
        <v>15</v>
      </c>
      <c r="G5" s="118" t="s">
        <v>16</v>
      </c>
    </row>
    <row r="6" spans="1:7" x14ac:dyDescent="0.3">
      <c r="A6" s="105"/>
      <c r="B6" s="108"/>
      <c r="C6" s="108"/>
      <c r="D6" s="116"/>
      <c r="E6" s="122"/>
      <c r="F6" s="123"/>
      <c r="G6" s="118"/>
    </row>
    <row r="7" spans="1:7" s="33" customFormat="1" x14ac:dyDescent="0.3">
      <c r="A7" s="18"/>
      <c r="B7" s="19" t="s">
        <v>30</v>
      </c>
      <c r="C7" s="20"/>
      <c r="D7" s="21"/>
      <c r="E7" s="23"/>
      <c r="F7" s="24"/>
      <c r="G7" s="25"/>
    </row>
    <row r="8" spans="1:7" x14ac:dyDescent="0.3">
      <c r="A8" s="35">
        <v>1</v>
      </c>
      <c r="B8" s="36" t="s">
        <v>31</v>
      </c>
      <c r="C8" s="37" t="s">
        <v>32</v>
      </c>
      <c r="D8" s="38">
        <v>228132</v>
      </c>
      <c r="E8" s="41">
        <v>45936</v>
      </c>
      <c r="F8" s="42" t="s">
        <v>52</v>
      </c>
      <c r="G8" s="43">
        <v>228132</v>
      </c>
    </row>
    <row r="9" spans="1:7" s="33" customFormat="1" ht="25.2" thickBot="1" x14ac:dyDescent="0.35">
      <c r="A9" s="18"/>
      <c r="B9" s="49" t="s">
        <v>24</v>
      </c>
      <c r="C9" s="50"/>
      <c r="D9" s="51">
        <v>228132</v>
      </c>
      <c r="E9" s="52"/>
      <c r="F9" s="51"/>
      <c r="G9" s="51">
        <f>SUM(G8)</f>
        <v>228132</v>
      </c>
    </row>
    <row r="10" spans="1:7" s="33" customFormat="1" ht="25.2" thickTop="1" x14ac:dyDescent="0.3">
      <c r="A10" s="18"/>
      <c r="B10" s="53" t="s">
        <v>40</v>
      </c>
      <c r="C10" s="54"/>
      <c r="D10" s="55"/>
      <c r="E10" s="57"/>
      <c r="F10" s="58"/>
      <c r="G10" s="59"/>
    </row>
    <row r="11" spans="1:7" x14ac:dyDescent="0.3">
      <c r="A11" s="64">
        <v>1</v>
      </c>
      <c r="B11" s="36" t="s">
        <v>31</v>
      </c>
      <c r="C11" s="65"/>
      <c r="D11" s="66">
        <v>11900</v>
      </c>
      <c r="E11" s="41">
        <v>45936</v>
      </c>
      <c r="F11" s="68" t="s">
        <v>53</v>
      </c>
      <c r="G11" s="69">
        <v>11900</v>
      </c>
    </row>
    <row r="12" spans="1:7" s="33" customFormat="1" ht="25.2" thickBot="1" x14ac:dyDescent="0.35">
      <c r="A12" s="18"/>
      <c r="B12" s="49" t="s">
        <v>24</v>
      </c>
      <c r="C12" s="50"/>
      <c r="D12" s="51">
        <v>11900</v>
      </c>
      <c r="E12" s="52"/>
      <c r="F12" s="51"/>
      <c r="G12" s="51">
        <f>SUM(G11)</f>
        <v>11900</v>
      </c>
    </row>
    <row r="13" spans="1:7" s="33" customFormat="1" ht="25.8" thickTop="1" thickBot="1" x14ac:dyDescent="0.35">
      <c r="A13" s="72"/>
      <c r="B13" s="73" t="s">
        <v>43</v>
      </c>
      <c r="C13" s="74"/>
      <c r="D13" s="75">
        <v>240032</v>
      </c>
      <c r="E13" s="76"/>
      <c r="F13" s="76"/>
      <c r="G13" s="75">
        <f>SUM(G9+G12)</f>
        <v>240032</v>
      </c>
    </row>
    <row r="14" spans="1:7" ht="25.2" thickTop="1" x14ac:dyDescent="0.3">
      <c r="E14" s="2"/>
      <c r="F14" s="2"/>
    </row>
    <row r="15" spans="1:7" x14ac:dyDescent="0.3">
      <c r="E15" s="2"/>
      <c r="F15" s="2"/>
    </row>
    <row r="16" spans="1:7" x14ac:dyDescent="0.3">
      <c r="E16" s="2"/>
      <c r="F16" s="2"/>
    </row>
    <row r="17" spans="2:7" s="3" customFormat="1" x14ac:dyDescent="0.3">
      <c r="B17" s="79"/>
      <c r="C17" s="4"/>
      <c r="D17" s="80"/>
      <c r="E17" s="2"/>
      <c r="F17" s="2"/>
      <c r="G17" s="81"/>
    </row>
    <row r="18" spans="2:7" s="3" customFormat="1" x14ac:dyDescent="0.3">
      <c r="B18" s="47"/>
      <c r="C18" s="4"/>
      <c r="D18" s="80"/>
      <c r="E18" s="84"/>
      <c r="F18" s="84"/>
      <c r="G18" s="81"/>
    </row>
    <row r="19" spans="2:7" s="3" customFormat="1" x14ac:dyDescent="0.6">
      <c r="B19" s="119"/>
      <c r="C19" s="119"/>
      <c r="D19" s="119"/>
      <c r="E19" s="89"/>
      <c r="F19" s="87"/>
      <c r="G19" s="87"/>
    </row>
    <row r="20" spans="2:7" s="3" customFormat="1" x14ac:dyDescent="0.6">
      <c r="B20" s="119"/>
      <c r="C20" s="119"/>
      <c r="D20" s="119"/>
      <c r="E20" s="89"/>
      <c r="F20" s="87"/>
      <c r="G20" s="87"/>
    </row>
    <row r="21" spans="2:7" s="3" customFormat="1" x14ac:dyDescent="0.3">
      <c r="B21" s="4"/>
      <c r="C21" s="4"/>
      <c r="D21" s="4"/>
      <c r="E21" s="4"/>
      <c r="F21" s="4"/>
      <c r="G21" s="4"/>
    </row>
    <row r="33" spans="2:8" x14ac:dyDescent="0.3">
      <c r="B33" s="4"/>
      <c r="D33" s="4"/>
      <c r="E33" s="4"/>
      <c r="F33" s="4"/>
      <c r="G33" s="4"/>
      <c r="H33" s="79" t="s">
        <v>21</v>
      </c>
    </row>
    <row r="34" spans="2:8" x14ac:dyDescent="0.3">
      <c r="B34" s="4"/>
      <c r="D34" s="4"/>
      <c r="E34" s="4"/>
      <c r="F34" s="4"/>
      <c r="G34" s="4"/>
      <c r="H34" s="79" t="s">
        <v>48</v>
      </c>
    </row>
    <row r="35" spans="2:8" x14ac:dyDescent="0.3">
      <c r="B35" s="4"/>
      <c r="D35" s="4"/>
      <c r="E35" s="4"/>
      <c r="F35" s="4"/>
      <c r="G35" s="4"/>
      <c r="H35" s="79" t="s">
        <v>49</v>
      </c>
    </row>
  </sheetData>
  <mergeCells count="13">
    <mergeCell ref="A1:G1"/>
    <mergeCell ref="A2:G2"/>
    <mergeCell ref="A3:G3"/>
    <mergeCell ref="A4:A6"/>
    <mergeCell ref="B4:B6"/>
    <mergeCell ref="C4:C6"/>
    <mergeCell ref="D4:D6"/>
    <mergeCell ref="E4:G4"/>
    <mergeCell ref="B20:D20"/>
    <mergeCell ref="B19:D19"/>
    <mergeCell ref="E5:E6"/>
    <mergeCell ref="F5:F6"/>
    <mergeCell ref="G5:G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E22A-DD71-4147-B630-25AB98678117}">
  <sheetPr>
    <tabColor rgb="FF92D050"/>
  </sheetPr>
  <dimension ref="A1:G19"/>
  <sheetViews>
    <sheetView workbookViewId="0">
      <selection activeCell="H14" sqref="H14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4" width="11.44140625" style="4" customWidth="1"/>
    <col min="5" max="5" width="7.5546875" style="4" customWidth="1"/>
    <col min="6" max="6" width="7.5546875" style="8" customWidth="1"/>
    <col min="7" max="7" width="14.109375" style="82" customWidth="1"/>
    <col min="8" max="16384" width="10.33203125" style="4"/>
  </cols>
  <sheetData>
    <row r="1" spans="1:7" x14ac:dyDescent="0.3">
      <c r="A1" s="101" t="s">
        <v>51</v>
      </c>
      <c r="B1" s="101"/>
      <c r="C1" s="101"/>
      <c r="D1" s="101"/>
      <c r="E1" s="101"/>
      <c r="F1" s="101"/>
      <c r="G1" s="101"/>
    </row>
    <row r="2" spans="1:7" x14ac:dyDescent="0.3">
      <c r="A2" s="101" t="s">
        <v>1</v>
      </c>
      <c r="B2" s="101"/>
      <c r="C2" s="101"/>
      <c r="D2" s="101"/>
      <c r="E2" s="101"/>
      <c r="F2" s="101"/>
      <c r="G2" s="101"/>
    </row>
    <row r="3" spans="1:7" x14ac:dyDescent="0.3">
      <c r="A3" s="102" t="s">
        <v>50</v>
      </c>
      <c r="B3" s="102"/>
      <c r="C3" s="102"/>
      <c r="D3" s="102"/>
      <c r="E3" s="102"/>
      <c r="F3" s="102"/>
      <c r="G3" s="102"/>
    </row>
    <row r="4" spans="1:7" x14ac:dyDescent="0.3">
      <c r="A4" s="103" t="s">
        <v>3</v>
      </c>
      <c r="B4" s="106" t="s">
        <v>4</v>
      </c>
      <c r="C4" s="106" t="s">
        <v>5</v>
      </c>
      <c r="D4" s="93"/>
      <c r="E4" s="109" t="s">
        <v>9</v>
      </c>
      <c r="F4" s="110"/>
      <c r="G4" s="111"/>
    </row>
    <row r="5" spans="1:7" x14ac:dyDescent="0.3">
      <c r="A5" s="104"/>
      <c r="B5" s="107"/>
      <c r="C5" s="107"/>
      <c r="D5" s="90" t="s">
        <v>54</v>
      </c>
      <c r="E5" s="103" t="s">
        <v>10</v>
      </c>
      <c r="F5" s="112" t="s">
        <v>11</v>
      </c>
      <c r="G5" s="92"/>
    </row>
    <row r="6" spans="1:7" x14ac:dyDescent="0.3">
      <c r="A6" s="105"/>
      <c r="B6" s="108"/>
      <c r="C6" s="108"/>
      <c r="D6" s="91"/>
      <c r="E6" s="105"/>
      <c r="F6" s="113"/>
      <c r="G6" s="9" t="s">
        <v>24</v>
      </c>
    </row>
    <row r="7" spans="1:7" s="33" customFormat="1" x14ac:dyDescent="0.3">
      <c r="A7" s="18"/>
      <c r="B7" s="19" t="s">
        <v>55</v>
      </c>
      <c r="C7" s="20"/>
      <c r="D7" s="20"/>
      <c r="E7" s="26"/>
      <c r="F7" s="27"/>
      <c r="G7" s="29"/>
    </row>
    <row r="8" spans="1:7" x14ac:dyDescent="0.3">
      <c r="A8" s="35"/>
      <c r="B8" s="36"/>
      <c r="C8" s="37"/>
      <c r="D8" s="37"/>
      <c r="E8" s="36"/>
      <c r="F8" s="39"/>
      <c r="G8" s="44">
        <v>0</v>
      </c>
    </row>
    <row r="9" spans="1:7" s="33" customFormat="1" ht="25.2" thickBot="1" x14ac:dyDescent="0.35">
      <c r="A9" s="18"/>
      <c r="B9" s="49" t="s">
        <v>24</v>
      </c>
      <c r="C9" s="50"/>
      <c r="D9" s="50"/>
      <c r="E9" s="51"/>
      <c r="F9" s="51"/>
      <c r="G9" s="51">
        <v>0</v>
      </c>
    </row>
    <row r="10" spans="1:7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E5:E6"/>
    <mergeCell ref="F5:F6"/>
    <mergeCell ref="A1:G1"/>
    <mergeCell ref="A2:G2"/>
    <mergeCell ref="A3:G3"/>
    <mergeCell ref="A4:A6"/>
    <mergeCell ref="B4:B6"/>
    <mergeCell ref="C4:C6"/>
    <mergeCell ref="E4:G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4589-EE2B-4D01-A252-941A41C3555E}">
  <sheetPr>
    <tabColor rgb="FF92D050"/>
  </sheetPr>
  <dimension ref="A1:F19"/>
  <sheetViews>
    <sheetView workbookViewId="0">
      <selection activeCell="L9" sqref="L9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11.44140625" style="4" customWidth="1"/>
    <col min="4" max="4" width="7.5546875" style="4" customWidth="1"/>
    <col min="5" max="5" width="7.5546875" style="8" customWidth="1"/>
    <col min="6" max="6" width="14.109375" style="82" customWidth="1"/>
    <col min="7" max="16384" width="10.33203125" style="4"/>
  </cols>
  <sheetData>
    <row r="1" spans="1:6" x14ac:dyDescent="0.3">
      <c r="A1" s="101" t="s">
        <v>51</v>
      </c>
      <c r="B1" s="101"/>
      <c r="C1" s="101"/>
      <c r="D1" s="101"/>
      <c r="E1" s="101"/>
      <c r="F1" s="101"/>
    </row>
    <row r="2" spans="1:6" x14ac:dyDescent="0.3">
      <c r="A2" s="101" t="s">
        <v>1</v>
      </c>
      <c r="B2" s="101"/>
      <c r="C2" s="101"/>
      <c r="D2" s="101"/>
      <c r="E2" s="101"/>
      <c r="F2" s="101"/>
    </row>
    <row r="3" spans="1:6" x14ac:dyDescent="0.3">
      <c r="A3" s="102" t="s">
        <v>50</v>
      </c>
      <c r="B3" s="102"/>
      <c r="C3" s="102"/>
      <c r="D3" s="102"/>
      <c r="E3" s="102"/>
      <c r="F3" s="102"/>
    </row>
    <row r="4" spans="1:6" x14ac:dyDescent="0.3">
      <c r="A4" s="103" t="s">
        <v>3</v>
      </c>
      <c r="B4" s="106" t="s">
        <v>4</v>
      </c>
      <c r="C4" s="106" t="s">
        <v>5</v>
      </c>
      <c r="D4" s="109" t="s">
        <v>9</v>
      </c>
      <c r="E4" s="110"/>
      <c r="F4" s="111"/>
    </row>
    <row r="5" spans="1:6" x14ac:dyDescent="0.3">
      <c r="A5" s="104"/>
      <c r="B5" s="107"/>
      <c r="C5" s="107"/>
      <c r="D5" s="103" t="s">
        <v>10</v>
      </c>
      <c r="E5" s="112" t="s">
        <v>11</v>
      </c>
      <c r="F5" s="92"/>
    </row>
    <row r="6" spans="1:6" x14ac:dyDescent="0.3">
      <c r="A6" s="105"/>
      <c r="B6" s="108"/>
      <c r="C6" s="108"/>
      <c r="D6" s="105"/>
      <c r="E6" s="113"/>
      <c r="F6" s="9" t="s">
        <v>24</v>
      </c>
    </row>
    <row r="7" spans="1:6" s="33" customFormat="1" x14ac:dyDescent="0.3">
      <c r="A7" s="18"/>
      <c r="B7" s="19" t="s">
        <v>55</v>
      </c>
      <c r="C7" s="20"/>
      <c r="D7" s="26"/>
      <c r="E7" s="27"/>
      <c r="F7" s="29"/>
    </row>
    <row r="8" spans="1:6" x14ac:dyDescent="0.3">
      <c r="A8" s="35"/>
      <c r="B8" s="36"/>
      <c r="C8" s="37"/>
      <c r="D8" s="36"/>
      <c r="E8" s="39"/>
      <c r="F8" s="44">
        <v>0</v>
      </c>
    </row>
    <row r="9" spans="1:6" s="33" customFormat="1" ht="25.2" thickBot="1" x14ac:dyDescent="0.35">
      <c r="A9" s="18"/>
      <c r="B9" s="49" t="s">
        <v>24</v>
      </c>
      <c r="C9" s="50"/>
      <c r="D9" s="51"/>
      <c r="E9" s="51"/>
      <c r="F9" s="51">
        <v>0</v>
      </c>
    </row>
    <row r="10" spans="1:6" ht="25.2" thickTop="1" x14ac:dyDescent="0.3"/>
    <row r="17" s="4" customFormat="1" x14ac:dyDescent="0.3"/>
    <row r="18" s="4" customFormat="1" x14ac:dyDescent="0.3"/>
    <row r="19" s="4" customFormat="1" x14ac:dyDescent="0.3"/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ABF1-80E1-4554-A6A1-861FA6BC1157}">
  <dimension ref="A1:AH35"/>
  <sheetViews>
    <sheetView workbookViewId="0">
      <selection activeCell="D18" sqref="D18"/>
    </sheetView>
  </sheetViews>
  <sheetFormatPr defaultColWidth="10.33203125" defaultRowHeight="24.6" x14ac:dyDescent="0.3"/>
  <cols>
    <col min="1" max="1" width="3.44140625" style="4" customWidth="1"/>
    <col min="2" max="2" width="17.44140625" style="79" customWidth="1"/>
    <col min="3" max="3" width="6.44140625" style="4" customWidth="1"/>
    <col min="4" max="4" width="18.44140625" style="80" customWidth="1"/>
    <col min="5" max="5" width="6.44140625" style="83" customWidth="1"/>
    <col min="6" max="6" width="3.109375" style="83" customWidth="1"/>
    <col min="7" max="7" width="3.44140625" style="83" customWidth="1"/>
    <col min="8" max="8" width="7.6640625" style="83" customWidth="1"/>
    <col min="9" max="9" width="7" style="83" customWidth="1"/>
    <col min="10" max="10" width="6.88671875" style="84" customWidth="1"/>
    <col min="11" max="11" width="10.44140625" style="84" customWidth="1"/>
    <col min="12" max="12" width="11" style="84" customWidth="1"/>
    <col min="13" max="13" width="17.88671875" style="81" customWidth="1"/>
    <col min="14" max="14" width="3.5546875" style="4" customWidth="1"/>
    <col min="15" max="15" width="3.5546875" style="8" customWidth="1"/>
    <col min="16" max="16" width="3.6640625" style="8" customWidth="1"/>
    <col min="17" max="17" width="7.109375" style="8" customWidth="1"/>
    <col min="18" max="18" width="5.44140625" style="8" customWidth="1"/>
    <col min="19" max="19" width="14.109375" style="82" customWidth="1"/>
    <col min="20" max="20" width="4.109375" style="82" customWidth="1"/>
    <col min="21" max="21" width="6.6640625" style="82" customWidth="1"/>
    <col min="22" max="22" width="7.44140625" style="82" customWidth="1"/>
    <col min="23" max="23" width="18.88671875" style="82" customWidth="1"/>
    <col min="24" max="24" width="7.44140625" style="82" customWidth="1"/>
    <col min="25" max="27" width="9.88671875" style="82" customWidth="1"/>
    <col min="28" max="28" width="11.44140625" style="82" bestFit="1" customWidth="1"/>
    <col min="29" max="29" width="9.88671875" style="82" customWidth="1"/>
    <col min="30" max="30" width="10.33203125" style="2"/>
    <col min="31" max="31" width="10.44140625" style="3" bestFit="1" customWidth="1"/>
    <col min="32" max="32" width="10.33203125" style="4"/>
    <col min="33" max="33" width="11.6640625" style="4" bestFit="1" customWidth="1"/>
    <col min="34" max="16384" width="10.33203125" style="4"/>
  </cols>
  <sheetData>
    <row r="1" spans="1:33" x14ac:dyDescent="0.3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x14ac:dyDescent="0.3">
      <c r="A2" s="101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3" x14ac:dyDescent="0.3">
      <c r="A3" s="102" t="s">
        <v>2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33" x14ac:dyDescent="0.3">
      <c r="A4" s="103" t="s">
        <v>3</v>
      </c>
      <c r="B4" s="106" t="s">
        <v>4</v>
      </c>
      <c r="C4" s="106" t="s">
        <v>5</v>
      </c>
      <c r="D4" s="114" t="s">
        <v>6</v>
      </c>
      <c r="E4" s="117" t="s">
        <v>7</v>
      </c>
      <c r="F4" s="117"/>
      <c r="G4" s="117"/>
      <c r="H4" s="117"/>
      <c r="I4" s="117"/>
      <c r="J4" s="117"/>
      <c r="K4" s="118" t="s">
        <v>8</v>
      </c>
      <c r="L4" s="118"/>
      <c r="M4" s="118"/>
      <c r="N4" s="117" t="s">
        <v>9</v>
      </c>
      <c r="O4" s="117"/>
      <c r="P4" s="117"/>
      <c r="Q4" s="117"/>
      <c r="R4" s="117"/>
      <c r="S4" s="117"/>
      <c r="T4" s="7"/>
      <c r="U4" s="7"/>
      <c r="V4" s="7"/>
      <c r="W4" s="7"/>
      <c r="X4" s="7"/>
      <c r="Y4" s="8"/>
      <c r="Z4" s="8"/>
      <c r="AA4" s="8"/>
      <c r="AB4" s="8"/>
      <c r="AC4" s="8"/>
    </row>
    <row r="5" spans="1:33" x14ac:dyDescent="0.3">
      <c r="A5" s="104"/>
      <c r="B5" s="107"/>
      <c r="C5" s="107"/>
      <c r="D5" s="115"/>
      <c r="E5" s="121" t="s">
        <v>10</v>
      </c>
      <c r="F5" s="117" t="s">
        <v>11</v>
      </c>
      <c r="G5" s="7" t="s">
        <v>12</v>
      </c>
      <c r="H5" s="117" t="s">
        <v>13</v>
      </c>
      <c r="I5" s="117"/>
      <c r="J5" s="117"/>
      <c r="K5" s="122" t="s">
        <v>14</v>
      </c>
      <c r="L5" s="123" t="s">
        <v>15</v>
      </c>
      <c r="M5" s="118" t="s">
        <v>16</v>
      </c>
      <c r="N5" s="121" t="s">
        <v>10</v>
      </c>
      <c r="O5" s="117" t="s">
        <v>11</v>
      </c>
      <c r="P5" s="7" t="s">
        <v>12</v>
      </c>
      <c r="Q5" s="117" t="s">
        <v>13</v>
      </c>
      <c r="R5" s="117"/>
      <c r="S5" s="117"/>
      <c r="T5" s="10" t="s">
        <v>17</v>
      </c>
      <c r="U5" s="10" t="s">
        <v>18</v>
      </c>
      <c r="V5" s="10" t="s">
        <v>19</v>
      </c>
      <c r="W5" s="10" t="s">
        <v>20</v>
      </c>
      <c r="X5" s="10" t="s">
        <v>21</v>
      </c>
      <c r="Y5" s="8"/>
      <c r="Z5" s="8"/>
      <c r="AA5" s="8"/>
      <c r="AB5" s="8"/>
      <c r="AC5" s="8"/>
    </row>
    <row r="6" spans="1:33" ht="73.8" x14ac:dyDescent="0.3">
      <c r="A6" s="105"/>
      <c r="B6" s="108"/>
      <c r="C6" s="108"/>
      <c r="D6" s="116"/>
      <c r="E6" s="121"/>
      <c r="F6" s="117"/>
      <c r="G6" s="11" t="s">
        <v>22</v>
      </c>
      <c r="H6" s="6" t="s">
        <v>16</v>
      </c>
      <c r="I6" s="12" t="s">
        <v>23</v>
      </c>
      <c r="J6" s="9" t="s">
        <v>24</v>
      </c>
      <c r="K6" s="122"/>
      <c r="L6" s="123"/>
      <c r="M6" s="118"/>
      <c r="N6" s="121"/>
      <c r="O6" s="117"/>
      <c r="P6" s="11" t="s">
        <v>22</v>
      </c>
      <c r="Q6" s="6" t="s">
        <v>16</v>
      </c>
      <c r="R6" s="13" t="s">
        <v>23</v>
      </c>
      <c r="S6" s="9" t="s">
        <v>24</v>
      </c>
      <c r="T6" s="14" t="s">
        <v>25</v>
      </c>
      <c r="U6" s="14"/>
      <c r="V6" s="14"/>
      <c r="W6" s="14"/>
      <c r="X6" s="14"/>
      <c r="Y6" s="15" t="s">
        <v>26</v>
      </c>
      <c r="Z6" s="15" t="s">
        <v>27</v>
      </c>
      <c r="AA6" s="15"/>
      <c r="AB6" s="15"/>
      <c r="AC6" s="15" t="s">
        <v>28</v>
      </c>
      <c r="AD6" s="16"/>
      <c r="AF6" s="17" t="s">
        <v>29</v>
      </c>
    </row>
    <row r="7" spans="1:33" s="33" customFormat="1" x14ac:dyDescent="0.3">
      <c r="A7" s="18"/>
      <c r="B7" s="19" t="s">
        <v>30</v>
      </c>
      <c r="C7" s="20"/>
      <c r="D7" s="21"/>
      <c r="E7" s="21"/>
      <c r="F7" s="21"/>
      <c r="G7" s="22"/>
      <c r="H7" s="22"/>
      <c r="I7" s="22"/>
      <c r="J7" s="22"/>
      <c r="K7" s="23"/>
      <c r="L7" s="24"/>
      <c r="M7" s="25"/>
      <c r="N7" s="26"/>
      <c r="O7" s="27"/>
      <c r="P7" s="28"/>
      <c r="Q7" s="28"/>
      <c r="R7" s="28"/>
      <c r="S7" s="29"/>
      <c r="T7" s="30"/>
      <c r="U7" s="31"/>
      <c r="V7" s="31"/>
      <c r="W7" s="32"/>
      <c r="X7" s="32"/>
      <c r="Y7" s="32"/>
      <c r="AB7" s="34"/>
    </row>
    <row r="8" spans="1:33" x14ac:dyDescent="0.3">
      <c r="A8" s="35">
        <v>1</v>
      </c>
      <c r="B8" s="36" t="s">
        <v>31</v>
      </c>
      <c r="C8" s="37" t="s">
        <v>32</v>
      </c>
      <c r="D8" s="38">
        <v>228132</v>
      </c>
      <c r="E8" s="36"/>
      <c r="F8" s="39"/>
      <c r="G8" s="39"/>
      <c r="H8" s="39"/>
      <c r="I8" s="39"/>
      <c r="J8" s="40">
        <v>0</v>
      </c>
      <c r="K8" s="41">
        <v>45905</v>
      </c>
      <c r="L8" s="42" t="s">
        <v>33</v>
      </c>
      <c r="M8" s="43">
        <v>228132</v>
      </c>
      <c r="N8" s="36"/>
      <c r="O8" s="39"/>
      <c r="P8" s="39"/>
      <c r="Q8" s="39"/>
      <c r="R8" s="39"/>
      <c r="S8" s="44">
        <f>+D8-M8</f>
        <v>0</v>
      </c>
      <c r="T8" s="44" t="s">
        <v>34</v>
      </c>
      <c r="U8" s="44" t="s">
        <v>35</v>
      </c>
      <c r="V8" s="44" t="s">
        <v>36</v>
      </c>
      <c r="W8" s="44">
        <v>300000</v>
      </c>
      <c r="X8" s="44"/>
      <c r="Y8" s="44">
        <v>150000</v>
      </c>
      <c r="Z8" s="44"/>
      <c r="AA8" s="44"/>
      <c r="AB8" s="45" t="s">
        <v>37</v>
      </c>
      <c r="AC8" s="44" t="s">
        <v>38</v>
      </c>
      <c r="AD8" s="46"/>
      <c r="AE8" s="3">
        <f>+S8-AD8</f>
        <v>0</v>
      </c>
      <c r="AF8" s="47" t="s">
        <v>39</v>
      </c>
      <c r="AG8" s="48">
        <v>42983</v>
      </c>
    </row>
    <row r="9" spans="1:33" s="33" customFormat="1" ht="25.2" thickBot="1" x14ac:dyDescent="0.35">
      <c r="A9" s="18"/>
      <c r="B9" s="49" t="s">
        <v>24</v>
      </c>
      <c r="C9" s="50"/>
      <c r="D9" s="51">
        <f>SUM(D8:D8)</f>
        <v>228132</v>
      </c>
      <c r="E9" s="51"/>
      <c r="F9" s="51"/>
      <c r="G9" s="51"/>
      <c r="H9" s="51">
        <f>SUM(H8:H8)</f>
        <v>0</v>
      </c>
      <c r="I9" s="51">
        <f>SUM(I8:I8)</f>
        <v>0</v>
      </c>
      <c r="J9" s="51">
        <f>SUM(J8:J8)</f>
        <v>0</v>
      </c>
      <c r="K9" s="52"/>
      <c r="L9" s="51"/>
      <c r="M9" s="51">
        <f>SUM(M8:M8)</f>
        <v>228132</v>
      </c>
      <c r="N9" s="51"/>
      <c r="O9" s="51"/>
      <c r="P9" s="51"/>
      <c r="Q9" s="51">
        <f>SUM(Q8:Q8)</f>
        <v>0</v>
      </c>
      <c r="R9" s="51">
        <f>SUM(R8:R8)</f>
        <v>0</v>
      </c>
      <c r="S9" s="51">
        <f>SUM(S8:S8)</f>
        <v>0</v>
      </c>
      <c r="T9" s="30"/>
      <c r="U9" s="31"/>
      <c r="V9" s="31"/>
      <c r="W9" s="32"/>
      <c r="X9" s="32"/>
      <c r="Y9" s="32"/>
      <c r="AB9" s="34"/>
    </row>
    <row r="10" spans="1:33" s="33" customFormat="1" ht="25.2" thickTop="1" x14ac:dyDescent="0.3">
      <c r="A10" s="18"/>
      <c r="B10" s="53" t="s">
        <v>40</v>
      </c>
      <c r="C10" s="54"/>
      <c r="D10" s="55"/>
      <c r="E10" s="55"/>
      <c r="F10" s="55"/>
      <c r="G10" s="56"/>
      <c r="H10" s="56"/>
      <c r="I10" s="56"/>
      <c r="J10" s="56"/>
      <c r="K10" s="57"/>
      <c r="L10" s="58"/>
      <c r="M10" s="59"/>
      <c r="N10" s="60"/>
      <c r="O10" s="61"/>
      <c r="P10" s="62"/>
      <c r="Q10" s="62"/>
      <c r="R10" s="62"/>
      <c r="S10" s="63"/>
      <c r="T10" s="30"/>
      <c r="U10" s="31"/>
      <c r="V10" s="31"/>
      <c r="W10" s="32"/>
      <c r="X10" s="32"/>
      <c r="Y10" s="32"/>
      <c r="AB10" s="34"/>
    </row>
    <row r="11" spans="1:33" x14ac:dyDescent="0.3">
      <c r="A11" s="64">
        <v>1</v>
      </c>
      <c r="B11" s="36" t="s">
        <v>31</v>
      </c>
      <c r="C11" s="65"/>
      <c r="D11" s="66">
        <v>11900</v>
      </c>
      <c r="E11" s="4"/>
      <c r="F11" s="10"/>
      <c r="G11" s="10"/>
      <c r="H11" s="10"/>
      <c r="I11" s="10"/>
      <c r="J11" s="67">
        <v>0</v>
      </c>
      <c r="K11" s="41">
        <v>45905</v>
      </c>
      <c r="L11" s="68" t="s">
        <v>41</v>
      </c>
      <c r="M11" s="69">
        <v>11900</v>
      </c>
      <c r="O11" s="10"/>
      <c r="P11" s="10"/>
      <c r="Q11" s="10"/>
      <c r="R11" s="10"/>
      <c r="S11" s="44">
        <f>+D11-M11</f>
        <v>0</v>
      </c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1"/>
      <c r="AF11" s="47" t="s">
        <v>42</v>
      </c>
      <c r="AG11" s="48">
        <v>42983</v>
      </c>
    </row>
    <row r="12" spans="1:33" s="33" customFormat="1" ht="25.2" thickBot="1" x14ac:dyDescent="0.35">
      <c r="A12" s="18"/>
      <c r="B12" s="49" t="s">
        <v>24</v>
      </c>
      <c r="C12" s="50"/>
      <c r="D12" s="51">
        <f>SUM(D11)</f>
        <v>11900</v>
      </c>
      <c r="E12" s="51"/>
      <c r="F12" s="51"/>
      <c r="G12" s="51"/>
      <c r="H12" s="51">
        <f t="shared" ref="H12:J12" si="0">SUM(H11)</f>
        <v>0</v>
      </c>
      <c r="I12" s="51">
        <f t="shared" si="0"/>
        <v>0</v>
      </c>
      <c r="J12" s="51">
        <f t="shared" si="0"/>
        <v>0</v>
      </c>
      <c r="K12" s="52"/>
      <c r="L12" s="51"/>
      <c r="M12" s="51">
        <f t="shared" ref="M12" si="1">SUM(M11)</f>
        <v>11900</v>
      </c>
      <c r="N12" s="51"/>
      <c r="O12" s="51"/>
      <c r="P12" s="51"/>
      <c r="Q12" s="51">
        <f t="shared" ref="Q12:S12" si="2">SUM(Q11)</f>
        <v>0</v>
      </c>
      <c r="R12" s="51">
        <f t="shared" si="2"/>
        <v>0</v>
      </c>
      <c r="S12" s="51">
        <f t="shared" si="2"/>
        <v>0</v>
      </c>
      <c r="T12" s="30"/>
      <c r="U12" s="31"/>
      <c r="V12" s="31"/>
      <c r="W12" s="32"/>
      <c r="X12" s="32"/>
      <c r="Y12" s="32"/>
      <c r="AB12" s="34"/>
    </row>
    <row r="13" spans="1:33" s="33" customFormat="1" ht="25.8" thickTop="1" thickBot="1" x14ac:dyDescent="0.35">
      <c r="A13" s="72"/>
      <c r="B13" s="73" t="s">
        <v>43</v>
      </c>
      <c r="C13" s="74"/>
      <c r="D13" s="75">
        <f>D9+D12</f>
        <v>240032</v>
      </c>
      <c r="E13" s="76"/>
      <c r="F13" s="76"/>
      <c r="G13" s="76"/>
      <c r="H13" s="76">
        <f>H9+H12</f>
        <v>0</v>
      </c>
      <c r="I13" s="76">
        <f t="shared" ref="I13:J13" si="3">I9+I12</f>
        <v>0</v>
      </c>
      <c r="J13" s="76">
        <f t="shared" si="3"/>
        <v>0</v>
      </c>
      <c r="K13" s="76"/>
      <c r="L13" s="76"/>
      <c r="M13" s="75">
        <f>M9+M12</f>
        <v>240032</v>
      </c>
      <c r="N13" s="76"/>
      <c r="O13" s="76"/>
      <c r="P13" s="76"/>
      <c r="Q13" s="76">
        <f>Q9+Q12</f>
        <v>0</v>
      </c>
      <c r="R13" s="76">
        <f t="shared" ref="R13:S13" si="4">R9+R12</f>
        <v>0</v>
      </c>
      <c r="S13" s="76">
        <f t="shared" si="4"/>
        <v>0</v>
      </c>
      <c r="T13" s="77"/>
      <c r="U13" s="78"/>
      <c r="V13" s="78"/>
      <c r="W13" s="76"/>
      <c r="X13" s="76"/>
      <c r="Y13" s="76"/>
    </row>
    <row r="14" spans="1:33" ht="25.2" thickTop="1" x14ac:dyDescent="0.3">
      <c r="E14" s="4"/>
      <c r="F14" s="8"/>
      <c r="G14" s="8"/>
      <c r="H14" s="8"/>
      <c r="I14" s="8"/>
      <c r="J14" s="2"/>
      <c r="K14" s="2"/>
      <c r="L14" s="2"/>
    </row>
    <row r="15" spans="1:33" x14ac:dyDescent="0.3">
      <c r="E15" s="4"/>
      <c r="F15" s="8"/>
      <c r="G15" s="8"/>
      <c r="H15" s="8"/>
      <c r="I15" s="8"/>
      <c r="J15" s="2"/>
      <c r="K15" s="2"/>
      <c r="L15" s="2"/>
    </row>
    <row r="16" spans="1:33" x14ac:dyDescent="0.3">
      <c r="E16" s="4"/>
      <c r="F16" s="8"/>
      <c r="G16" s="8"/>
      <c r="H16" s="8"/>
      <c r="I16" s="8"/>
      <c r="J16" s="2"/>
      <c r="K16" s="2"/>
      <c r="L16" s="2"/>
    </row>
    <row r="17" spans="2:30" s="3" customFormat="1" x14ac:dyDescent="0.3">
      <c r="B17" s="79"/>
      <c r="C17" s="4"/>
      <c r="D17" s="80"/>
      <c r="E17" s="4"/>
      <c r="F17" s="8"/>
      <c r="G17" s="8"/>
      <c r="H17" s="8"/>
      <c r="I17" s="8"/>
      <c r="J17" s="2"/>
      <c r="K17" s="2"/>
      <c r="L17" s="2"/>
      <c r="M17" s="81"/>
      <c r="N17" s="4"/>
      <c r="O17" s="8"/>
      <c r="P17" s="8"/>
      <c r="Q17" s="8"/>
      <c r="R17" s="8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2"/>
    </row>
    <row r="18" spans="2:30" s="3" customFormat="1" x14ac:dyDescent="0.3">
      <c r="B18" s="47"/>
      <c r="C18" s="4"/>
      <c r="D18" s="80"/>
      <c r="E18" s="83"/>
      <c r="F18" s="83"/>
      <c r="G18" s="83"/>
      <c r="H18" s="83"/>
      <c r="I18" s="83"/>
      <c r="J18" s="84"/>
      <c r="K18" s="84"/>
      <c r="L18" s="84"/>
      <c r="M18" s="81"/>
      <c r="N18" s="4"/>
      <c r="O18" s="8"/>
      <c r="P18" s="8"/>
      <c r="Q18" s="8"/>
      <c r="R18" s="8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2"/>
    </row>
    <row r="19" spans="2:30" s="3" customFormat="1" x14ac:dyDescent="0.7">
      <c r="B19" s="119" t="s">
        <v>44</v>
      </c>
      <c r="C19" s="119"/>
      <c r="D19" s="119"/>
      <c r="E19" s="85"/>
      <c r="F19" s="86"/>
      <c r="G19" s="119" t="s">
        <v>44</v>
      </c>
      <c r="H19" s="119"/>
      <c r="I19" s="119"/>
      <c r="J19" s="119"/>
      <c r="K19" s="119"/>
      <c r="L19" s="87"/>
      <c r="M19" s="87"/>
      <c r="N19" s="119" t="s">
        <v>44</v>
      </c>
      <c r="O19" s="119"/>
      <c r="P19" s="119"/>
      <c r="Q19" s="119"/>
      <c r="R19" s="119"/>
      <c r="S19" s="82"/>
      <c r="T19" s="88"/>
      <c r="U19" s="88"/>
      <c r="V19" s="88"/>
      <c r="W19" s="82"/>
      <c r="X19" s="82"/>
      <c r="Y19" s="82"/>
      <c r="Z19" s="82"/>
      <c r="AA19" s="82"/>
      <c r="AB19" s="82"/>
      <c r="AC19" s="82"/>
      <c r="AD19" s="2"/>
    </row>
    <row r="20" spans="2:30" s="3" customFormat="1" x14ac:dyDescent="0.7">
      <c r="B20" s="119" t="s">
        <v>45</v>
      </c>
      <c r="C20" s="119"/>
      <c r="D20" s="119"/>
      <c r="E20" s="87"/>
      <c r="F20" s="87"/>
      <c r="G20" s="119" t="s">
        <v>46</v>
      </c>
      <c r="H20" s="119"/>
      <c r="I20" s="119"/>
      <c r="J20" s="119"/>
      <c r="K20" s="119"/>
      <c r="L20" s="87"/>
      <c r="M20" s="87"/>
      <c r="N20" s="119" t="s">
        <v>47</v>
      </c>
      <c r="O20" s="119"/>
      <c r="P20" s="119"/>
      <c r="Q20" s="119"/>
      <c r="R20" s="119"/>
      <c r="S20" s="4"/>
      <c r="T20" s="120"/>
      <c r="U20" s="120"/>
      <c r="V20" s="120"/>
      <c r="W20" s="120"/>
      <c r="X20" s="4"/>
      <c r="Y20" s="4"/>
      <c r="Z20" s="4"/>
      <c r="AA20" s="4"/>
      <c r="AB20" s="4"/>
      <c r="AC20" s="4"/>
      <c r="AD20" s="4"/>
    </row>
    <row r="21" spans="2:30" s="3" customFormat="1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33" spans="2:34" x14ac:dyDescent="0.3">
      <c r="B33" s="4"/>
      <c r="D33" s="4"/>
      <c r="E33" s="4"/>
      <c r="F33" s="4"/>
      <c r="G33" s="4"/>
      <c r="H33" s="4"/>
      <c r="I33" s="4"/>
      <c r="J33" s="4"/>
      <c r="K33" s="4"/>
      <c r="L33" s="4"/>
      <c r="M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H33" s="79" t="s">
        <v>21</v>
      </c>
    </row>
    <row r="34" spans="2:34" x14ac:dyDescent="0.3">
      <c r="B34" s="4"/>
      <c r="D34" s="4"/>
      <c r="E34" s="4"/>
      <c r="F34" s="4"/>
      <c r="G34" s="4"/>
      <c r="H34" s="4"/>
      <c r="I34" s="4"/>
      <c r="J34" s="4"/>
      <c r="K34" s="4"/>
      <c r="L34" s="4"/>
      <c r="M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H34" s="79" t="s">
        <v>48</v>
      </c>
    </row>
    <row r="35" spans="2:34" x14ac:dyDescent="0.3">
      <c r="B35" s="4"/>
      <c r="D35" s="4"/>
      <c r="E35" s="4"/>
      <c r="F35" s="4"/>
      <c r="G35" s="4"/>
      <c r="H35" s="4"/>
      <c r="I35" s="4"/>
      <c r="J35" s="4"/>
      <c r="K35" s="4"/>
      <c r="L35" s="4"/>
      <c r="M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H35" s="79" t="s">
        <v>49</v>
      </c>
    </row>
  </sheetData>
  <mergeCells count="26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B20:D20"/>
    <mergeCell ref="G20:K20"/>
    <mergeCell ref="N20:R20"/>
    <mergeCell ref="T20:W20"/>
    <mergeCell ref="N5:N6"/>
    <mergeCell ref="O5:O6"/>
    <mergeCell ref="Q5:S5"/>
    <mergeCell ref="B19:D19"/>
    <mergeCell ref="G19:K19"/>
    <mergeCell ref="N19:R19"/>
    <mergeCell ref="E5:E6"/>
    <mergeCell ref="F5:F6"/>
    <mergeCell ref="H5:J5"/>
    <mergeCell ref="K5:K6"/>
    <mergeCell ref="L5:L6"/>
    <mergeCell ref="M5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มิย.69</vt:lpstr>
      <vt:lpstr>รับชำระ มิย.69</vt:lpstr>
      <vt:lpstr>แนบ มิย.69</vt:lpstr>
      <vt:lpstr>เรียง มิย.69</vt:lpstr>
      <vt:lpstr>พค.69</vt:lpstr>
      <vt:lpstr>รับชำระ พค.69</vt:lpstr>
      <vt:lpstr>แนบ พค.69</vt:lpstr>
      <vt:lpstr>เรียง พค.69</vt:lpstr>
      <vt:lpstr>เมย. 69</vt:lpstr>
      <vt:lpstr>รับชำระ เมย.69</vt:lpstr>
      <vt:lpstr>แนบ เมย.69</vt:lpstr>
      <vt:lpstr>เรียง เมย.69</vt:lpstr>
      <vt:lpstr>มีค.69</vt:lpstr>
      <vt:lpstr>รับชำระ มีค.69</vt:lpstr>
      <vt:lpstr>แนบ มีค.69</vt:lpstr>
      <vt:lpstr>เรียง มีค.69</vt:lpstr>
      <vt:lpstr>กพ.69</vt:lpstr>
      <vt:lpstr>รับชำระ กพ.69</vt:lpstr>
      <vt:lpstr>แนบ กพ.69</vt:lpstr>
      <vt:lpstr>เรียง กพ.69</vt:lpstr>
      <vt:lpstr>มค.69</vt:lpstr>
      <vt:lpstr>รับชำระ มค.69</vt:lpstr>
      <vt:lpstr>แนบ มค.69</vt:lpstr>
      <vt:lpstr>เรียง มค.69</vt:lpstr>
      <vt:lpstr>ธค.68</vt:lpstr>
      <vt:lpstr>รับชำระ ธค.68</vt:lpstr>
      <vt:lpstr>แนบ ธค.68</vt:lpstr>
      <vt:lpstr>เรียง ธค.68 </vt:lpstr>
      <vt:lpstr>พย.68</vt:lpstr>
      <vt:lpstr>รับชำระ พย.68</vt:lpstr>
      <vt:lpstr>แนบ พย.68</vt:lpstr>
      <vt:lpstr>เรียง พย.68</vt:lpstr>
      <vt:lpstr>ตค.68</vt:lpstr>
      <vt:lpstr>รับชำระ ตค.68</vt:lpstr>
      <vt:lpstr>แนบ ตค.68</vt:lpstr>
      <vt:lpstr>เรียง ตค.68</vt:lpstr>
      <vt:lpstr>กย.68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สนง.บริหารหนี้</dc:creator>
  <cp:lastModifiedBy>สนง.บริหารหนี้</cp:lastModifiedBy>
  <cp:lastPrinted>2026-08-14T07:02:03Z</cp:lastPrinted>
  <dcterms:created xsi:type="dcterms:W3CDTF">2025-10-06T08:30:09Z</dcterms:created>
  <dcterms:modified xsi:type="dcterms:W3CDTF">2026-08-14T07:02:21Z</dcterms:modified>
</cp:coreProperties>
</file>