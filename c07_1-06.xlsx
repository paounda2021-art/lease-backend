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หนี้ มิย.69 ส่งให้พี่หนี้\ไฟล์ส่ง พี่หนิง\"/>
    </mc:Choice>
  </mc:AlternateContent>
  <xr:revisionPtr revIDLastSave="0" documentId="8_{5C304E52-3604-4253-A789-D56F3E899C8F}" xr6:coauthVersionLast="47" xr6:coauthVersionMax="47" xr10:uidLastSave="{00000000-0000-0000-0000-000000000000}"/>
  <bookViews>
    <workbookView xWindow="-108" yWindow="-108" windowWidth="23256" windowHeight="12456" xr2:uid="{974AA34A-22A5-4E26-8133-1354070BD2EC}"/>
  </bookViews>
  <sheets>
    <sheet name="มิย.69" sheetId="35" r:id="rId1"/>
    <sheet name="รับชำระ มิย.69" sheetId="36" r:id="rId2"/>
    <sheet name="แนบ มิย.69" sheetId="37" r:id="rId3"/>
    <sheet name="เรียง มิย.69" sheetId="38" r:id="rId4"/>
    <sheet name="พ.ค.69" sheetId="31" r:id="rId5"/>
    <sheet name="รับชำระ พ.ค.69" sheetId="32" r:id="rId6"/>
    <sheet name="แนบ พ.ค.69" sheetId="33" r:id="rId7"/>
    <sheet name="เรียง พค.69" sheetId="34" r:id="rId8"/>
    <sheet name="เมย.69" sheetId="27" r:id="rId9"/>
    <sheet name="รับชำระ เมย.69" sheetId="28" r:id="rId10"/>
    <sheet name="แนบ เมย.69" sheetId="29" r:id="rId11"/>
    <sheet name="เรียง เมย.69" sheetId="30" r:id="rId12"/>
    <sheet name="มีค.69" sheetId="23" r:id="rId13"/>
    <sheet name="รับชำระ มีค.69" sheetId="24" r:id="rId14"/>
    <sheet name="แนบ มีค.69" sheetId="25" r:id="rId15"/>
    <sheet name="เรียง มีค.69" sheetId="26" r:id="rId16"/>
    <sheet name="กพ.69" sheetId="19" r:id="rId17"/>
    <sheet name="รับชำระ กพ.69" sheetId="20" r:id="rId18"/>
    <sheet name="แนบ กพ.69" sheetId="21" r:id="rId19"/>
    <sheet name="เรียง กพ.69" sheetId="22" r:id="rId20"/>
    <sheet name="มค.69" sheetId="15" r:id="rId21"/>
    <sheet name="รับชำระ มค.69" sheetId="16" r:id="rId22"/>
    <sheet name="แนบ มค.69" sheetId="17" r:id="rId23"/>
    <sheet name="เรียง มค.69" sheetId="18" r:id="rId24"/>
    <sheet name="ธค.68" sheetId="11" r:id="rId25"/>
    <sheet name="รับชำระ ธค.68" sheetId="12" r:id="rId26"/>
    <sheet name="แนบ ธค.68" sheetId="13" r:id="rId27"/>
    <sheet name="เรียง ธค.68 " sheetId="14" r:id="rId28"/>
    <sheet name="พย.68" sheetId="7" r:id="rId29"/>
    <sheet name="รับชำระ พย.68" sheetId="8" r:id="rId30"/>
    <sheet name="แนบ พย.68" sheetId="9" r:id="rId31"/>
    <sheet name="เรียง พย.68" sheetId="10" r:id="rId32"/>
    <sheet name="ตค.68" sheetId="2" r:id="rId33"/>
    <sheet name="รับชำระ ตค.68" sheetId="3" r:id="rId34"/>
    <sheet name="แนบ ตค.68" sheetId="4" r:id="rId35"/>
    <sheet name="เรียง ตค.68" sheetId="5" r:id="rId36"/>
    <sheet name="กย.68" sheetId="1" r:id="rId37"/>
  </sheets>
  <definedNames>
    <definedName name="_xlnm.Print_Titles" localSheetId="8">เมย.69!$4:$6</definedName>
    <definedName name="_xlnm.Print_Titles" localSheetId="11">'เรียง เมย.69'!$4:$6</definedName>
    <definedName name="_xlnm.Print_Titles" localSheetId="7">'เรียง พค.69'!$4:$6</definedName>
    <definedName name="_xlnm.Print_Titles" localSheetId="3">'เรียง มิย.69'!$4:$6</definedName>
    <definedName name="_xlnm.Print_Titles" localSheetId="10">'แนบ เมย.69'!$4:$6</definedName>
    <definedName name="_xlnm.Print_Titles" localSheetId="6">'แนบ พ.ค.69'!$4:$6</definedName>
    <definedName name="_xlnm.Print_Titles" localSheetId="2">'แนบ มิย.69'!$4:$6</definedName>
    <definedName name="_xlnm.Print_Titles" localSheetId="4">'พ.ค.69'!$4:$6</definedName>
    <definedName name="_xlnm.Print_Titles" localSheetId="0">มิย.69!$4:$6</definedName>
    <definedName name="_xlnm.Print_Titles" localSheetId="12">มีค.69!$4:$6</definedName>
    <definedName name="_xlnm.Print_Titles" localSheetId="9">'รับชำระ เมย.69'!$4:$6</definedName>
    <definedName name="_xlnm.Print_Titles" localSheetId="5">'รับชำระ พ.ค.69'!$4:$6</definedName>
    <definedName name="_xlnm.Print_Titles" localSheetId="1">'รับชำระ มิย.69'!$4:$6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9" i="36" l="1"/>
  <c r="I93" i="36"/>
  <c r="H92" i="36"/>
  <c r="H79" i="36"/>
  <c r="H66" i="36"/>
  <c r="H59" i="36"/>
  <c r="H11" i="36"/>
  <c r="H15" i="36"/>
  <c r="H38" i="36"/>
  <c r="H55" i="36"/>
  <c r="E248" i="35"/>
  <c r="F248" i="35"/>
  <c r="G248" i="35"/>
  <c r="H248" i="35"/>
  <c r="I248" i="35"/>
  <c r="J248" i="35"/>
  <c r="K248" i="35"/>
  <c r="L248" i="35"/>
  <c r="M248" i="35"/>
  <c r="N248" i="35"/>
  <c r="O248" i="35"/>
  <c r="P248" i="35"/>
  <c r="Q248" i="35"/>
  <c r="R248" i="35"/>
  <c r="S248" i="35"/>
  <c r="D248" i="35"/>
  <c r="M247" i="35" l="1"/>
  <c r="J247" i="35"/>
  <c r="H247" i="35"/>
  <c r="R214" i="35"/>
  <c r="M214" i="35"/>
  <c r="D214" i="35"/>
  <c r="Q213" i="35"/>
  <c r="S213" i="35" s="1"/>
  <c r="Q212" i="35"/>
  <c r="S212" i="35" s="1"/>
  <c r="Q211" i="35"/>
  <c r="S211" i="35" s="1"/>
  <c r="Q210" i="35"/>
  <c r="S210" i="35" s="1"/>
  <c r="Q209" i="35"/>
  <c r="S209" i="35" s="1"/>
  <c r="Q208" i="35"/>
  <c r="S208" i="35" s="1"/>
  <c r="Q207" i="35"/>
  <c r="S207" i="35" s="1"/>
  <c r="Q206" i="35"/>
  <c r="S206" i="35" s="1"/>
  <c r="Q202" i="35"/>
  <c r="S202" i="35" s="1"/>
  <c r="Q201" i="35"/>
  <c r="S201" i="35" s="1"/>
  <c r="Q200" i="35"/>
  <c r="S200" i="35" s="1"/>
  <c r="Q199" i="35"/>
  <c r="S199" i="35" s="1"/>
  <c r="Q198" i="35"/>
  <c r="S198" i="35" s="1"/>
  <c r="Q197" i="35"/>
  <c r="S197" i="35" s="1"/>
  <c r="Q196" i="35"/>
  <c r="S196" i="35" s="1"/>
  <c r="Q195" i="35"/>
  <c r="S195" i="35" s="1"/>
  <c r="Q194" i="35"/>
  <c r="S194" i="35" s="1"/>
  <c r="Q193" i="35"/>
  <c r="S193" i="35" s="1"/>
  <c r="Q192" i="35"/>
  <c r="S192" i="35" s="1"/>
  <c r="Q191" i="35"/>
  <c r="S191" i="35" s="1"/>
  <c r="Q188" i="35"/>
  <c r="S188" i="35" s="1"/>
  <c r="Q187" i="35"/>
  <c r="S187" i="35" s="1"/>
  <c r="Q186" i="35"/>
  <c r="S186" i="35" s="1"/>
  <c r="Q185" i="35"/>
  <c r="S185" i="35" s="1"/>
  <c r="Q184" i="35"/>
  <c r="S184" i="35" s="1"/>
  <c r="Q183" i="35"/>
  <c r="S183" i="35" s="1"/>
  <c r="Q182" i="35"/>
  <c r="S182" i="35" s="1"/>
  <c r="Q181" i="35"/>
  <c r="S181" i="35" s="1"/>
  <c r="Q180" i="35"/>
  <c r="S180" i="35" s="1"/>
  <c r="Q179" i="35"/>
  <c r="S179" i="35" s="1"/>
  <c r="Q178" i="35"/>
  <c r="S178" i="35" s="1"/>
  <c r="Q177" i="35"/>
  <c r="S177" i="35" s="1"/>
  <c r="Q176" i="35"/>
  <c r="S176" i="35" s="1"/>
  <c r="Q175" i="35"/>
  <c r="S175" i="35" s="1"/>
  <c r="Q174" i="35"/>
  <c r="S174" i="35" s="1"/>
  <c r="Q173" i="35"/>
  <c r="S173" i="35" s="1"/>
  <c r="Q172" i="35"/>
  <c r="S172" i="35" s="1"/>
  <c r="Q171" i="35"/>
  <c r="S171" i="35" s="1"/>
  <c r="Q170" i="35"/>
  <c r="S170" i="35" s="1"/>
  <c r="Q169" i="35"/>
  <c r="S169" i="35" s="1"/>
  <c r="Q168" i="35"/>
  <c r="S168" i="35" s="1"/>
  <c r="Q167" i="35"/>
  <c r="S167" i="35" s="1"/>
  <c r="Q166" i="35"/>
  <c r="S166" i="35" s="1"/>
  <c r="Q165" i="35"/>
  <c r="S165" i="35" s="1"/>
  <c r="M163" i="35"/>
  <c r="M160" i="35"/>
  <c r="J160" i="35"/>
  <c r="I160" i="35"/>
  <c r="H160" i="35"/>
  <c r="D160" i="35"/>
  <c r="Q159" i="35"/>
  <c r="S158" i="35"/>
  <c r="Q158" i="35"/>
  <c r="S157" i="35"/>
  <c r="R157" i="35"/>
  <c r="R160" i="35" s="1"/>
  <c r="S156" i="35"/>
  <c r="Q156" i="35"/>
  <c r="S155" i="35"/>
  <c r="Q155" i="35"/>
  <c r="S154" i="35"/>
  <c r="Q154" i="35"/>
  <c r="S153" i="35"/>
  <c r="Q153" i="35"/>
  <c r="S152" i="35"/>
  <c r="Q152" i="35"/>
  <c r="S151" i="35"/>
  <c r="Q151" i="35"/>
  <c r="S150" i="35"/>
  <c r="Q150" i="35"/>
  <c r="S149" i="35"/>
  <c r="Q149" i="35"/>
  <c r="S148" i="35"/>
  <c r="Q148" i="35"/>
  <c r="S147" i="35"/>
  <c r="Q147" i="35"/>
  <c r="M146" i="35"/>
  <c r="J146" i="35"/>
  <c r="H146" i="35"/>
  <c r="D146" i="35"/>
  <c r="S145" i="35"/>
  <c r="Q145" i="35"/>
  <c r="S144" i="35"/>
  <c r="Q144" i="35"/>
  <c r="S143" i="35"/>
  <c r="Q143" i="35"/>
  <c r="S142" i="35"/>
  <c r="Q142" i="35"/>
  <c r="S141" i="35"/>
  <c r="Q141" i="35"/>
  <c r="S140" i="35"/>
  <c r="Q140" i="35"/>
  <c r="S139" i="35"/>
  <c r="Q139" i="35"/>
  <c r="S138" i="35"/>
  <c r="Q138" i="35"/>
  <c r="S137" i="35"/>
  <c r="Q137" i="35"/>
  <c r="S136" i="35"/>
  <c r="Q136" i="35"/>
  <c r="S135" i="35"/>
  <c r="Q135" i="35"/>
  <c r="S134" i="35"/>
  <c r="Q134" i="35"/>
  <c r="S133" i="35"/>
  <c r="Q133" i="35"/>
  <c r="R131" i="35"/>
  <c r="M131" i="35"/>
  <c r="D131" i="35"/>
  <c r="S129" i="35"/>
  <c r="S128" i="35"/>
  <c r="Q127" i="35"/>
  <c r="S127" i="35" s="1"/>
  <c r="Q126" i="35"/>
  <c r="S126" i="35" s="1"/>
  <c r="Q125" i="35"/>
  <c r="S125" i="35" s="1"/>
  <c r="Q124" i="35"/>
  <c r="S124" i="35" s="1"/>
  <c r="Q120" i="35"/>
  <c r="S120" i="35" s="1"/>
  <c r="Q119" i="35"/>
  <c r="S119" i="35" s="1"/>
  <c r="Q118" i="35"/>
  <c r="S118" i="35" s="1"/>
  <c r="Q117" i="35"/>
  <c r="S117" i="35" s="1"/>
  <c r="Q116" i="35"/>
  <c r="S116" i="35" s="1"/>
  <c r="Q115" i="35"/>
  <c r="S115" i="35" s="1"/>
  <c r="Q114" i="35"/>
  <c r="S114" i="35" s="1"/>
  <c r="Q110" i="35"/>
  <c r="S110" i="35" s="1"/>
  <c r="Q109" i="35"/>
  <c r="S109" i="35" s="1"/>
  <c r="Q108" i="35"/>
  <c r="S108" i="35" s="1"/>
  <c r="Q107" i="35"/>
  <c r="S107" i="35" s="1"/>
  <c r="Q106" i="35"/>
  <c r="S106" i="35" s="1"/>
  <c r="Q105" i="35"/>
  <c r="S105" i="35" s="1"/>
  <c r="Q104" i="35"/>
  <c r="S104" i="35" s="1"/>
  <c r="Q103" i="35"/>
  <c r="S103" i="35" s="1"/>
  <c r="Q102" i="35"/>
  <c r="S102" i="35" s="1"/>
  <c r="Q101" i="35"/>
  <c r="S101" i="35" s="1"/>
  <c r="Q100" i="35"/>
  <c r="S100" i="35" s="1"/>
  <c r="Q99" i="35"/>
  <c r="S99" i="35" s="1"/>
  <c r="R97" i="35"/>
  <c r="M97" i="35"/>
  <c r="J97" i="35"/>
  <c r="Q95" i="35"/>
  <c r="S95" i="35" s="1"/>
  <c r="Q94" i="35"/>
  <c r="S94" i="35" s="1"/>
  <c r="Q93" i="35"/>
  <c r="S92" i="35"/>
  <c r="Q92" i="35"/>
  <c r="Q91" i="35"/>
  <c r="S91" i="35" s="1"/>
  <c r="Q90" i="35"/>
  <c r="S90" i="35" s="1"/>
  <c r="Q89" i="35"/>
  <c r="S89" i="35" s="1"/>
  <c r="Q88" i="35"/>
  <c r="S88" i="35" s="1"/>
  <c r="Q87" i="35"/>
  <c r="S87" i="35" s="1"/>
  <c r="Q86" i="35"/>
  <c r="S86" i="35" s="1"/>
  <c r="Q85" i="35"/>
  <c r="S85" i="35" s="1"/>
  <c r="Q84" i="35"/>
  <c r="S84" i="35" s="1"/>
  <c r="Q83" i="35"/>
  <c r="S83" i="35" s="1"/>
  <c r="Q82" i="35"/>
  <c r="S82" i="35" s="1"/>
  <c r="Q81" i="35"/>
  <c r="S81" i="35" s="1"/>
  <c r="Q80" i="35"/>
  <c r="S80" i="35" s="1"/>
  <c r="Q79" i="35"/>
  <c r="S79" i="35" s="1"/>
  <c r="Q78" i="35"/>
  <c r="S78" i="35" s="1"/>
  <c r="Q77" i="35"/>
  <c r="S77" i="35" s="1"/>
  <c r="Q76" i="35"/>
  <c r="S76" i="35" s="1"/>
  <c r="Q75" i="35"/>
  <c r="S75" i="35" s="1"/>
  <c r="Q74" i="35"/>
  <c r="S74" i="35" s="1"/>
  <c r="Q73" i="35"/>
  <c r="S73" i="35" s="1"/>
  <c r="Q72" i="35"/>
  <c r="S72" i="35" s="1"/>
  <c r="S71" i="35"/>
  <c r="Q71" i="35"/>
  <c r="Q70" i="35"/>
  <c r="S70" i="35" s="1"/>
  <c r="Q69" i="35"/>
  <c r="S69" i="35" s="1"/>
  <c r="Q68" i="35"/>
  <c r="S68" i="35" s="1"/>
  <c r="Q67" i="35"/>
  <c r="S67" i="35" s="1"/>
  <c r="Q66" i="35"/>
  <c r="S66" i="35" s="1"/>
  <c r="Q65" i="35"/>
  <c r="S65" i="35" s="1"/>
  <c r="M52" i="35"/>
  <c r="D52" i="35"/>
  <c r="M21" i="35"/>
  <c r="D21" i="35"/>
  <c r="M16" i="35"/>
  <c r="D16" i="35"/>
  <c r="H90" i="32"/>
  <c r="H88" i="32"/>
  <c r="H76" i="32"/>
  <c r="H63" i="32"/>
  <c r="H56" i="32"/>
  <c r="H39" i="32"/>
  <c r="H16" i="32"/>
  <c r="H12" i="32"/>
  <c r="J146" i="31"/>
  <c r="H146" i="31"/>
  <c r="H280" i="31"/>
  <c r="D246" i="31"/>
  <c r="S160" i="35" l="1"/>
  <c r="Q157" i="35"/>
  <c r="Q97" i="35"/>
  <c r="Q160" i="35"/>
  <c r="S93" i="35"/>
  <c r="S97" i="35" s="1"/>
  <c r="H97" i="35"/>
  <c r="P280" i="31"/>
  <c r="O280" i="31"/>
  <c r="N280" i="31"/>
  <c r="G280" i="31"/>
  <c r="F280" i="31"/>
  <c r="E280" i="31"/>
  <c r="M279" i="31"/>
  <c r="J279" i="31"/>
  <c r="H279" i="31"/>
  <c r="R246" i="31"/>
  <c r="M246" i="31"/>
  <c r="Q245" i="31"/>
  <c r="S245" i="31" s="1"/>
  <c r="Q244" i="31"/>
  <c r="S244" i="31" s="1"/>
  <c r="Q243" i="31"/>
  <c r="S243" i="31" s="1"/>
  <c r="Q242" i="31"/>
  <c r="S242" i="31" s="1"/>
  <c r="Q241" i="31"/>
  <c r="S241" i="31" s="1"/>
  <c r="Q240" i="31"/>
  <c r="S240" i="31" s="1"/>
  <c r="Q239" i="31"/>
  <c r="S239" i="31" s="1"/>
  <c r="Q238" i="31"/>
  <c r="S238" i="31" s="1"/>
  <c r="Q234" i="31"/>
  <c r="S234" i="31" s="1"/>
  <c r="S233" i="31"/>
  <c r="Q233" i="31"/>
  <c r="Q232" i="31"/>
  <c r="S232" i="31" s="1"/>
  <c r="Q231" i="31"/>
  <c r="S231" i="31" s="1"/>
  <c r="Q230" i="31"/>
  <c r="S230" i="31" s="1"/>
  <c r="Q229" i="31"/>
  <c r="S229" i="31" s="1"/>
  <c r="Q228" i="31"/>
  <c r="S228" i="31" s="1"/>
  <c r="Q227" i="31"/>
  <c r="S227" i="31" s="1"/>
  <c r="S226" i="31"/>
  <c r="Q226" i="31"/>
  <c r="Q225" i="31"/>
  <c r="S225" i="31" s="1"/>
  <c r="Q224" i="31"/>
  <c r="S224" i="31" s="1"/>
  <c r="Q223" i="31"/>
  <c r="S223" i="31" s="1"/>
  <c r="Q220" i="31"/>
  <c r="S220" i="31" s="1"/>
  <c r="Q219" i="31"/>
  <c r="S219" i="31" s="1"/>
  <c r="Q218" i="31"/>
  <c r="S218" i="31" s="1"/>
  <c r="S217" i="31"/>
  <c r="Q217" i="31"/>
  <c r="Q216" i="31"/>
  <c r="S216" i="31" s="1"/>
  <c r="Q215" i="31"/>
  <c r="S215" i="31" s="1"/>
  <c r="Q214" i="31"/>
  <c r="S214" i="31" s="1"/>
  <c r="Q213" i="31"/>
  <c r="S213" i="31" s="1"/>
  <c r="Q212" i="31"/>
  <c r="S212" i="31" s="1"/>
  <c r="Q211" i="31"/>
  <c r="S211" i="31" s="1"/>
  <c r="S210" i="31"/>
  <c r="Q210" i="31"/>
  <c r="Q209" i="31"/>
  <c r="S209" i="31" s="1"/>
  <c r="Q208" i="31"/>
  <c r="S208" i="31" s="1"/>
  <c r="Q207" i="31"/>
  <c r="S207" i="31" s="1"/>
  <c r="Q206" i="31"/>
  <c r="S206" i="31" s="1"/>
  <c r="Q205" i="31"/>
  <c r="S205" i="31" s="1"/>
  <c r="Q204" i="31"/>
  <c r="S204" i="31" s="1"/>
  <c r="Q203" i="31"/>
  <c r="S203" i="31" s="1"/>
  <c r="Q202" i="31"/>
  <c r="S202" i="31" s="1"/>
  <c r="Q201" i="31"/>
  <c r="S201" i="31" s="1"/>
  <c r="Q200" i="31"/>
  <c r="S200" i="31" s="1"/>
  <c r="Q199" i="31"/>
  <c r="S199" i="31" s="1"/>
  <c r="Q198" i="31"/>
  <c r="S198" i="31" s="1"/>
  <c r="Q197" i="31"/>
  <c r="S197" i="31" s="1"/>
  <c r="M195" i="31"/>
  <c r="M192" i="31"/>
  <c r="L192" i="31"/>
  <c r="L280" i="31" s="1"/>
  <c r="K192" i="31"/>
  <c r="K280" i="31" s="1"/>
  <c r="J192" i="31"/>
  <c r="I192" i="31"/>
  <c r="H192" i="31"/>
  <c r="M160" i="31"/>
  <c r="J160" i="31"/>
  <c r="I160" i="31"/>
  <c r="I280" i="31" s="1"/>
  <c r="H160" i="31"/>
  <c r="D160" i="31"/>
  <c r="Q159" i="31"/>
  <c r="S158" i="31"/>
  <c r="Q158" i="31"/>
  <c r="S157" i="31"/>
  <c r="R157" i="31" s="1"/>
  <c r="S156" i="31"/>
  <c r="Q156" i="31"/>
  <c r="S155" i="31"/>
  <c r="Q155" i="31"/>
  <c r="S154" i="31"/>
  <c r="Q154" i="31"/>
  <c r="S153" i="31"/>
  <c r="Q153" i="31"/>
  <c r="S152" i="31"/>
  <c r="Q152" i="31"/>
  <c r="S151" i="31"/>
  <c r="Q151" i="31"/>
  <c r="S150" i="31"/>
  <c r="Q150" i="31"/>
  <c r="S149" i="31"/>
  <c r="Q149" i="31"/>
  <c r="S148" i="31"/>
  <c r="Q148" i="31"/>
  <c r="S147" i="31"/>
  <c r="Q147" i="31"/>
  <c r="M146" i="31"/>
  <c r="D146" i="31"/>
  <c r="S145" i="31"/>
  <c r="Q145" i="31"/>
  <c r="S144" i="31"/>
  <c r="Q144" i="31"/>
  <c r="S143" i="31"/>
  <c r="Q143" i="31"/>
  <c r="S142" i="31"/>
  <c r="Q142" i="31"/>
  <c r="S141" i="31"/>
  <c r="Q141" i="31"/>
  <c r="S140" i="31"/>
  <c r="Q140" i="31"/>
  <c r="S139" i="31"/>
  <c r="Q139" i="31"/>
  <c r="S138" i="31"/>
  <c r="Q138" i="31"/>
  <c r="S137" i="31"/>
  <c r="Q137" i="31"/>
  <c r="S136" i="31"/>
  <c r="Q136" i="31"/>
  <c r="S135" i="31"/>
  <c r="Q135" i="31"/>
  <c r="S134" i="31"/>
  <c r="Q134" i="31"/>
  <c r="S133" i="31"/>
  <c r="Q133" i="31"/>
  <c r="R131" i="31"/>
  <c r="M131" i="31"/>
  <c r="D131" i="31"/>
  <c r="S129" i="31"/>
  <c r="S128" i="31"/>
  <c r="Q127" i="31"/>
  <c r="S127" i="31" s="1"/>
  <c r="S126" i="31"/>
  <c r="Q126" i="31"/>
  <c r="Q125" i="31"/>
  <c r="S125" i="31" s="1"/>
  <c r="Q124" i="31"/>
  <c r="S124" i="31" s="1"/>
  <c r="Q120" i="31"/>
  <c r="S120" i="31" s="1"/>
  <c r="Q119" i="31"/>
  <c r="S119" i="31" s="1"/>
  <c r="Q118" i="31"/>
  <c r="S118" i="31" s="1"/>
  <c r="Q117" i="31"/>
  <c r="S117" i="31" s="1"/>
  <c r="S116" i="31"/>
  <c r="Q116" i="31"/>
  <c r="Q115" i="31"/>
  <c r="S115" i="31" s="1"/>
  <c r="Q114" i="31"/>
  <c r="S114" i="31" s="1"/>
  <c r="Q110" i="31"/>
  <c r="S110" i="31" s="1"/>
  <c r="Q109" i="31"/>
  <c r="S109" i="31" s="1"/>
  <c r="S108" i="31"/>
  <c r="Q108" i="31"/>
  <c r="Q107" i="31"/>
  <c r="S107" i="31" s="1"/>
  <c r="Q106" i="31"/>
  <c r="S106" i="31" s="1"/>
  <c r="Q105" i="31"/>
  <c r="S105" i="31" s="1"/>
  <c r="S104" i="31"/>
  <c r="Q104" i="31"/>
  <c r="S103" i="31"/>
  <c r="Q103" i="31"/>
  <c r="Q102" i="31"/>
  <c r="S102" i="31" s="1"/>
  <c r="Q101" i="31"/>
  <c r="S101" i="31" s="1"/>
  <c r="Q100" i="31"/>
  <c r="S100" i="31" s="1"/>
  <c r="Q99" i="31"/>
  <c r="S99" i="31" s="1"/>
  <c r="R97" i="31"/>
  <c r="M97" i="31"/>
  <c r="J97" i="31"/>
  <c r="H97" i="31" s="1"/>
  <c r="Q95" i="31"/>
  <c r="S95" i="31" s="1"/>
  <c r="Q94" i="31"/>
  <c r="S94" i="31" s="1"/>
  <c r="Q93" i="31"/>
  <c r="S93" i="31" s="1"/>
  <c r="Q92" i="31"/>
  <c r="S92" i="31" s="1"/>
  <c r="Q91" i="31"/>
  <c r="S91" i="31" s="1"/>
  <c r="Q90" i="31"/>
  <c r="S90" i="31" s="1"/>
  <c r="Q89" i="31"/>
  <c r="S89" i="31" s="1"/>
  <c r="Q88" i="31"/>
  <c r="S88" i="31" s="1"/>
  <c r="Q87" i="31"/>
  <c r="S87" i="31" s="1"/>
  <c r="Q86" i="31"/>
  <c r="S86" i="31" s="1"/>
  <c r="Q85" i="31"/>
  <c r="S85" i="31" s="1"/>
  <c r="Q84" i="31"/>
  <c r="S84" i="31" s="1"/>
  <c r="Q83" i="31"/>
  <c r="S83" i="31" s="1"/>
  <c r="Q82" i="31"/>
  <c r="S82" i="31" s="1"/>
  <c r="Q81" i="31"/>
  <c r="S81" i="31" s="1"/>
  <c r="Q80" i="31"/>
  <c r="S80" i="31" s="1"/>
  <c r="Q79" i="31"/>
  <c r="S79" i="31" s="1"/>
  <c r="Q78" i="31"/>
  <c r="S78" i="31" s="1"/>
  <c r="S77" i="31"/>
  <c r="Q77" i="31"/>
  <c r="Q76" i="31"/>
  <c r="S76" i="31" s="1"/>
  <c r="Q75" i="31"/>
  <c r="S75" i="31" s="1"/>
  <c r="S74" i="31"/>
  <c r="Q74" i="31"/>
  <c r="Q73" i="31"/>
  <c r="S73" i="31" s="1"/>
  <c r="Q72" i="31"/>
  <c r="S72" i="31" s="1"/>
  <c r="Q71" i="31"/>
  <c r="S71" i="31" s="1"/>
  <c r="Q70" i="31"/>
  <c r="S70" i="31" s="1"/>
  <c r="Q69" i="31"/>
  <c r="S69" i="31" s="1"/>
  <c r="Q68" i="31"/>
  <c r="S68" i="31" s="1"/>
  <c r="S67" i="31"/>
  <c r="Q67" i="31"/>
  <c r="Q66" i="31"/>
  <c r="S66" i="31" s="1"/>
  <c r="Q65" i="31"/>
  <c r="S65" i="31" s="1"/>
  <c r="M52" i="31"/>
  <c r="D52" i="31"/>
  <c r="M21" i="31"/>
  <c r="D21" i="31"/>
  <c r="M16" i="31"/>
  <c r="D16" i="31"/>
  <c r="H88" i="28"/>
  <c r="H87" i="28"/>
  <c r="H75" i="28"/>
  <c r="H63" i="28"/>
  <c r="H56" i="28"/>
  <c r="H39" i="28"/>
  <c r="H15" i="28"/>
  <c r="H11" i="28"/>
  <c r="M52" i="27"/>
  <c r="P280" i="27"/>
  <c r="O280" i="27"/>
  <c r="N280" i="27"/>
  <c r="G280" i="27"/>
  <c r="F280" i="27"/>
  <c r="E280" i="27"/>
  <c r="M279" i="27"/>
  <c r="J279" i="27"/>
  <c r="H279" i="27"/>
  <c r="R246" i="27"/>
  <c r="M246" i="27"/>
  <c r="Q245" i="27"/>
  <c r="S245" i="27" s="1"/>
  <c r="Q244" i="27"/>
  <c r="S244" i="27" s="1"/>
  <c r="Q243" i="27"/>
  <c r="S243" i="27" s="1"/>
  <c r="Q242" i="27"/>
  <c r="S242" i="27" s="1"/>
  <c r="Q241" i="27"/>
  <c r="S241" i="27" s="1"/>
  <c r="Q240" i="27"/>
  <c r="S240" i="27" s="1"/>
  <c r="Q239" i="27"/>
  <c r="S239" i="27" s="1"/>
  <c r="Q238" i="27"/>
  <c r="S238" i="27" s="1"/>
  <c r="Q234" i="27"/>
  <c r="S234" i="27" s="1"/>
  <c r="Q233" i="27"/>
  <c r="S233" i="27" s="1"/>
  <c r="Q232" i="27"/>
  <c r="S232" i="27" s="1"/>
  <c r="Q231" i="27"/>
  <c r="S231" i="27" s="1"/>
  <c r="Q230" i="27"/>
  <c r="S230" i="27" s="1"/>
  <c r="Q229" i="27"/>
  <c r="S229" i="27" s="1"/>
  <c r="Q228" i="27"/>
  <c r="S228" i="27" s="1"/>
  <c r="Q227" i="27"/>
  <c r="S227" i="27" s="1"/>
  <c r="Q226" i="27"/>
  <c r="S226" i="27" s="1"/>
  <c r="Q225" i="27"/>
  <c r="S225" i="27" s="1"/>
  <c r="Q224" i="27"/>
  <c r="S224" i="27" s="1"/>
  <c r="Q223" i="27"/>
  <c r="S223" i="27" s="1"/>
  <c r="Q220" i="27"/>
  <c r="S220" i="27" s="1"/>
  <c r="Q219" i="27"/>
  <c r="S219" i="27" s="1"/>
  <c r="Q218" i="27"/>
  <c r="S218" i="27" s="1"/>
  <c r="Q217" i="27"/>
  <c r="S217" i="27" s="1"/>
  <c r="Q216" i="27"/>
  <c r="S216" i="27" s="1"/>
  <c r="Q215" i="27"/>
  <c r="S215" i="27" s="1"/>
  <c r="Q214" i="27"/>
  <c r="S214" i="27" s="1"/>
  <c r="Q213" i="27"/>
  <c r="S213" i="27" s="1"/>
  <c r="Q212" i="27"/>
  <c r="S212" i="27" s="1"/>
  <c r="Q211" i="27"/>
  <c r="S211" i="27" s="1"/>
  <c r="Q210" i="27"/>
  <c r="S210" i="27" s="1"/>
  <c r="Q209" i="27"/>
  <c r="S209" i="27" s="1"/>
  <c r="Q208" i="27"/>
  <c r="S208" i="27" s="1"/>
  <c r="Q207" i="27"/>
  <c r="S207" i="27" s="1"/>
  <c r="Q206" i="27"/>
  <c r="S206" i="27" s="1"/>
  <c r="Q205" i="27"/>
  <c r="S205" i="27" s="1"/>
  <c r="Q204" i="27"/>
  <c r="S204" i="27" s="1"/>
  <c r="Q203" i="27"/>
  <c r="S203" i="27" s="1"/>
  <c r="Q202" i="27"/>
  <c r="S202" i="27" s="1"/>
  <c r="Q201" i="27"/>
  <c r="S201" i="27" s="1"/>
  <c r="Q200" i="27"/>
  <c r="S200" i="27" s="1"/>
  <c r="Q199" i="27"/>
  <c r="S199" i="27" s="1"/>
  <c r="Q198" i="27"/>
  <c r="S198" i="27" s="1"/>
  <c r="Q197" i="27"/>
  <c r="S197" i="27" s="1"/>
  <c r="M195" i="27"/>
  <c r="M192" i="27"/>
  <c r="L192" i="27"/>
  <c r="L280" i="27" s="1"/>
  <c r="K192" i="27"/>
  <c r="K280" i="27" s="1"/>
  <c r="J192" i="27"/>
  <c r="I192" i="27"/>
  <c r="H192" i="27"/>
  <c r="M160" i="27"/>
  <c r="J160" i="27"/>
  <c r="I160" i="27"/>
  <c r="I280" i="27" s="1"/>
  <c r="H160" i="27"/>
  <c r="D160" i="27"/>
  <c r="Q159" i="27"/>
  <c r="S158" i="27"/>
  <c r="Q158" i="27"/>
  <c r="S157" i="27"/>
  <c r="R157" i="27" s="1"/>
  <c r="S156" i="27"/>
  <c r="Q156" i="27"/>
  <c r="S155" i="27"/>
  <c r="Q155" i="27"/>
  <c r="S154" i="27"/>
  <c r="Q154" i="27"/>
  <c r="S153" i="27"/>
  <c r="Q153" i="27"/>
  <c r="S152" i="27"/>
  <c r="Q152" i="27"/>
  <c r="S151" i="27"/>
  <c r="Q151" i="27"/>
  <c r="S150" i="27"/>
  <c r="Q150" i="27"/>
  <c r="S149" i="27"/>
  <c r="Q149" i="27"/>
  <c r="S148" i="27"/>
  <c r="Q148" i="27"/>
  <c r="S147" i="27"/>
  <c r="Q147" i="27"/>
  <c r="M146" i="27"/>
  <c r="J146" i="27"/>
  <c r="H146" i="27"/>
  <c r="D146" i="27"/>
  <c r="S145" i="27"/>
  <c r="Q145" i="27"/>
  <c r="S144" i="27"/>
  <c r="Q144" i="27"/>
  <c r="S143" i="27"/>
  <c r="Q143" i="27"/>
  <c r="S142" i="27"/>
  <c r="Q142" i="27"/>
  <c r="S141" i="27"/>
  <c r="Q141" i="27"/>
  <c r="S140" i="27"/>
  <c r="Q140" i="27"/>
  <c r="S139" i="27"/>
  <c r="Q139" i="27"/>
  <c r="S138" i="27"/>
  <c r="Q138" i="27"/>
  <c r="S137" i="27"/>
  <c r="Q137" i="27"/>
  <c r="S136" i="27"/>
  <c r="Q136" i="27"/>
  <c r="S135" i="27"/>
  <c r="Q135" i="27"/>
  <c r="S134" i="27"/>
  <c r="Q134" i="27"/>
  <c r="S133" i="27"/>
  <c r="Q133" i="27"/>
  <c r="R131" i="27"/>
  <c r="M131" i="27"/>
  <c r="D131" i="27"/>
  <c r="S129" i="27"/>
  <c r="S128" i="27"/>
  <c r="Q127" i="27"/>
  <c r="S127" i="27" s="1"/>
  <c r="Q126" i="27"/>
  <c r="S126" i="27" s="1"/>
  <c r="Q125" i="27"/>
  <c r="S125" i="27" s="1"/>
  <c r="Q124" i="27"/>
  <c r="S124" i="27" s="1"/>
  <c r="Q120" i="27"/>
  <c r="S120" i="27" s="1"/>
  <c r="Q119" i="27"/>
  <c r="S119" i="27" s="1"/>
  <c r="Q118" i="27"/>
  <c r="S118" i="27" s="1"/>
  <c r="Q117" i="27"/>
  <c r="S117" i="27" s="1"/>
  <c r="Q116" i="27"/>
  <c r="S116" i="27" s="1"/>
  <c r="Q115" i="27"/>
  <c r="S115" i="27" s="1"/>
  <c r="Q114" i="27"/>
  <c r="S114" i="27" s="1"/>
  <c r="Q110" i="27"/>
  <c r="S110" i="27" s="1"/>
  <c r="Q109" i="27"/>
  <c r="S109" i="27" s="1"/>
  <c r="Q108" i="27"/>
  <c r="S108" i="27" s="1"/>
  <c r="Q107" i="27"/>
  <c r="S107" i="27" s="1"/>
  <c r="Q106" i="27"/>
  <c r="S106" i="27" s="1"/>
  <c r="Q105" i="27"/>
  <c r="S105" i="27" s="1"/>
  <c r="Q104" i="27"/>
  <c r="S104" i="27" s="1"/>
  <c r="Q103" i="27"/>
  <c r="S103" i="27" s="1"/>
  <c r="Q102" i="27"/>
  <c r="S102" i="27" s="1"/>
  <c r="Q101" i="27"/>
  <c r="S101" i="27" s="1"/>
  <c r="Q100" i="27"/>
  <c r="S100" i="27" s="1"/>
  <c r="Q99" i="27"/>
  <c r="S99" i="27" s="1"/>
  <c r="R97" i="27"/>
  <c r="M97" i="27"/>
  <c r="J97" i="27"/>
  <c r="H97" i="27"/>
  <c r="Q95" i="27"/>
  <c r="S95" i="27" s="1"/>
  <c r="Q94" i="27"/>
  <c r="S94" i="27" s="1"/>
  <c r="Q93" i="27"/>
  <c r="Q92" i="27"/>
  <c r="S92" i="27" s="1"/>
  <c r="Q91" i="27"/>
  <c r="S91" i="27" s="1"/>
  <c r="Q90" i="27"/>
  <c r="S90" i="27" s="1"/>
  <c r="Q89" i="27"/>
  <c r="S89" i="27" s="1"/>
  <c r="Q88" i="27"/>
  <c r="S88" i="27" s="1"/>
  <c r="Q87" i="27"/>
  <c r="S87" i="27" s="1"/>
  <c r="Q86" i="27"/>
  <c r="S86" i="27" s="1"/>
  <c r="Q85" i="27"/>
  <c r="S85" i="27" s="1"/>
  <c r="Q84" i="27"/>
  <c r="S84" i="27" s="1"/>
  <c r="Q83" i="27"/>
  <c r="S83" i="27" s="1"/>
  <c r="Q82" i="27"/>
  <c r="S82" i="27" s="1"/>
  <c r="Q81" i="27"/>
  <c r="S81" i="27" s="1"/>
  <c r="Q80" i="27"/>
  <c r="S80" i="27" s="1"/>
  <c r="Q79" i="27"/>
  <c r="S79" i="27" s="1"/>
  <c r="Q78" i="27"/>
  <c r="S78" i="27" s="1"/>
  <c r="Q77" i="27"/>
  <c r="S77" i="27" s="1"/>
  <c r="Q76" i="27"/>
  <c r="S76" i="27" s="1"/>
  <c r="Q75" i="27"/>
  <c r="S75" i="27" s="1"/>
  <c r="Q74" i="27"/>
  <c r="S74" i="27" s="1"/>
  <c r="Q73" i="27"/>
  <c r="S73" i="27" s="1"/>
  <c r="Q72" i="27"/>
  <c r="S72" i="27" s="1"/>
  <c r="Q71" i="27"/>
  <c r="S71" i="27" s="1"/>
  <c r="Q70" i="27"/>
  <c r="S70" i="27" s="1"/>
  <c r="Q69" i="27"/>
  <c r="S69" i="27" s="1"/>
  <c r="Q68" i="27"/>
  <c r="S68" i="27" s="1"/>
  <c r="Q67" i="27"/>
  <c r="S67" i="27" s="1"/>
  <c r="Q66" i="27"/>
  <c r="S66" i="27" s="1"/>
  <c r="Q65" i="27"/>
  <c r="S65" i="27" s="1"/>
  <c r="D52" i="27"/>
  <c r="M21" i="27"/>
  <c r="D21" i="27"/>
  <c r="M16" i="27"/>
  <c r="D16" i="27"/>
  <c r="F9" i="26"/>
  <c r="I106" i="24"/>
  <c r="H105" i="24"/>
  <c r="H88" i="24"/>
  <c r="H74" i="24"/>
  <c r="H67" i="24"/>
  <c r="H60" i="24"/>
  <c r="H43" i="24"/>
  <c r="H15" i="24"/>
  <c r="H11" i="24"/>
  <c r="Q157" i="23"/>
  <c r="J247" i="23"/>
  <c r="H247" i="23"/>
  <c r="S147" i="23"/>
  <c r="S148" i="23"/>
  <c r="S149" i="23"/>
  <c r="S150" i="23"/>
  <c r="S151" i="23"/>
  <c r="S152" i="23"/>
  <c r="S153" i="23"/>
  <c r="S154" i="23"/>
  <c r="S155" i="23"/>
  <c r="S156" i="23"/>
  <c r="S157" i="23"/>
  <c r="R157" i="23" s="1"/>
  <c r="S158" i="23"/>
  <c r="Q147" i="23"/>
  <c r="Q148" i="23"/>
  <c r="Q149" i="23"/>
  <c r="Q150" i="23"/>
  <c r="Q151" i="23"/>
  <c r="Q152" i="23"/>
  <c r="Q153" i="23"/>
  <c r="Q154" i="23"/>
  <c r="Q155" i="23"/>
  <c r="Q156" i="23"/>
  <c r="Q158" i="23"/>
  <c r="Q159" i="23"/>
  <c r="Q160" i="23"/>
  <c r="J131" i="23"/>
  <c r="H131" i="23"/>
  <c r="D131" i="23"/>
  <c r="D280" i="31" l="1"/>
  <c r="S160" i="31"/>
  <c r="M280" i="31"/>
  <c r="S97" i="31"/>
  <c r="S280" i="31" s="1"/>
  <c r="R160" i="31"/>
  <c r="R280" i="31" s="1"/>
  <c r="Q157" i="31"/>
  <c r="Q160" i="31" s="1"/>
  <c r="J280" i="31"/>
  <c r="Q97" i="31"/>
  <c r="J280" i="27"/>
  <c r="H280" i="27"/>
  <c r="D280" i="27"/>
  <c r="M280" i="27"/>
  <c r="S160" i="27"/>
  <c r="R160" i="27"/>
  <c r="R280" i="27" s="1"/>
  <c r="Q157" i="27"/>
  <c r="Q160" i="27" s="1"/>
  <c r="Q97" i="27"/>
  <c r="S93" i="27"/>
  <c r="S97" i="27" s="1"/>
  <c r="S280" i="27" s="1"/>
  <c r="P281" i="23"/>
  <c r="O281" i="23"/>
  <c r="N281" i="23"/>
  <c r="G281" i="23"/>
  <c r="F281" i="23"/>
  <c r="E281" i="23"/>
  <c r="M280" i="23"/>
  <c r="J280" i="23"/>
  <c r="H280" i="23"/>
  <c r="R247" i="23"/>
  <c r="M247" i="23"/>
  <c r="I247" i="23"/>
  <c r="Q246" i="23"/>
  <c r="S246" i="23" s="1"/>
  <c r="Q245" i="23"/>
  <c r="S245" i="23" s="1"/>
  <c r="Q244" i="23"/>
  <c r="S244" i="23" s="1"/>
  <c r="Q243" i="23"/>
  <c r="S243" i="23" s="1"/>
  <c r="Q242" i="23"/>
  <c r="S242" i="23" s="1"/>
  <c r="Q241" i="23"/>
  <c r="S241" i="23" s="1"/>
  <c r="Q240" i="23"/>
  <c r="S240" i="23" s="1"/>
  <c r="Q239" i="23"/>
  <c r="S239" i="23" s="1"/>
  <c r="Q235" i="23"/>
  <c r="S235" i="23" s="1"/>
  <c r="Q234" i="23"/>
  <c r="S234" i="23" s="1"/>
  <c r="Q233" i="23"/>
  <c r="Q232" i="23"/>
  <c r="S232" i="23" s="1"/>
  <c r="Q231" i="23"/>
  <c r="S231" i="23" s="1"/>
  <c r="Q230" i="23"/>
  <c r="S230" i="23" s="1"/>
  <c r="Q229" i="23"/>
  <c r="S229" i="23" s="1"/>
  <c r="Q228" i="23"/>
  <c r="S228" i="23" s="1"/>
  <c r="Q227" i="23"/>
  <c r="S227" i="23" s="1"/>
  <c r="Q226" i="23"/>
  <c r="S226" i="23" s="1"/>
  <c r="Q225" i="23"/>
  <c r="S225" i="23" s="1"/>
  <c r="Q224" i="23"/>
  <c r="S224" i="23" s="1"/>
  <c r="Q221" i="23"/>
  <c r="S221" i="23" s="1"/>
  <c r="Q220" i="23"/>
  <c r="S220" i="23" s="1"/>
  <c r="Q219" i="23"/>
  <c r="S219" i="23" s="1"/>
  <c r="Q218" i="23"/>
  <c r="S218" i="23" s="1"/>
  <c r="Q217" i="23"/>
  <c r="S217" i="23" s="1"/>
  <c r="Q216" i="23"/>
  <c r="S216" i="23" s="1"/>
  <c r="Q215" i="23"/>
  <c r="S215" i="23" s="1"/>
  <c r="Q214" i="23"/>
  <c r="S214" i="23" s="1"/>
  <c r="Q213" i="23"/>
  <c r="S213" i="23" s="1"/>
  <c r="Q212" i="23"/>
  <c r="S212" i="23" s="1"/>
  <c r="Q211" i="23"/>
  <c r="S211" i="23" s="1"/>
  <c r="Q210" i="23"/>
  <c r="S210" i="23" s="1"/>
  <c r="Q209" i="23"/>
  <c r="S209" i="23" s="1"/>
  <c r="Q208" i="23"/>
  <c r="S208" i="23" s="1"/>
  <c r="Q207" i="23"/>
  <c r="S207" i="23" s="1"/>
  <c r="Q206" i="23"/>
  <c r="S206" i="23" s="1"/>
  <c r="Q205" i="23"/>
  <c r="S205" i="23" s="1"/>
  <c r="Q204" i="23"/>
  <c r="S204" i="23" s="1"/>
  <c r="Q203" i="23"/>
  <c r="S203" i="23" s="1"/>
  <c r="Q202" i="23"/>
  <c r="S202" i="23" s="1"/>
  <c r="Q201" i="23"/>
  <c r="S201" i="23" s="1"/>
  <c r="Q200" i="23"/>
  <c r="S200" i="23" s="1"/>
  <c r="Q199" i="23"/>
  <c r="S199" i="23" s="1"/>
  <c r="Q198" i="23"/>
  <c r="S198" i="23" s="1"/>
  <c r="M196" i="23"/>
  <c r="M193" i="23"/>
  <c r="L193" i="23"/>
  <c r="L281" i="23" s="1"/>
  <c r="K193" i="23"/>
  <c r="K281" i="23" s="1"/>
  <c r="J193" i="23"/>
  <c r="I193" i="23"/>
  <c r="H193" i="23"/>
  <c r="S161" i="23"/>
  <c r="R161" i="23"/>
  <c r="Q161" i="23"/>
  <c r="Q281" i="23" s="1"/>
  <c r="M161" i="23"/>
  <c r="J161" i="23"/>
  <c r="I161" i="23"/>
  <c r="H161" i="23"/>
  <c r="D161" i="23"/>
  <c r="M146" i="23"/>
  <c r="J146" i="23"/>
  <c r="H146" i="23"/>
  <c r="D146" i="23"/>
  <c r="S145" i="23"/>
  <c r="Q145" i="23"/>
  <c r="S144" i="23"/>
  <c r="Q144" i="23"/>
  <c r="S143" i="23"/>
  <c r="Q143" i="23"/>
  <c r="S142" i="23"/>
  <c r="Q142" i="23"/>
  <c r="S141" i="23"/>
  <c r="Q141" i="23"/>
  <c r="S140" i="23"/>
  <c r="Q140" i="23"/>
  <c r="S139" i="23"/>
  <c r="Q139" i="23"/>
  <c r="S138" i="23"/>
  <c r="Q138" i="23"/>
  <c r="S137" i="23"/>
  <c r="Q137" i="23"/>
  <c r="S136" i="23"/>
  <c r="Q136" i="23"/>
  <c r="S135" i="23"/>
  <c r="Q135" i="23"/>
  <c r="S134" i="23"/>
  <c r="Q134" i="23"/>
  <c r="S133" i="23"/>
  <c r="Q133" i="23"/>
  <c r="R131" i="23"/>
  <c r="M131" i="23"/>
  <c r="I131" i="23"/>
  <c r="S129" i="23"/>
  <c r="S128" i="23"/>
  <c r="Q127" i="23"/>
  <c r="S127" i="23" s="1"/>
  <c r="Q126" i="23"/>
  <c r="S126" i="23" s="1"/>
  <c r="Q125" i="23"/>
  <c r="S125" i="23" s="1"/>
  <c r="Q124" i="23"/>
  <c r="S124" i="23" s="1"/>
  <c r="Q120" i="23"/>
  <c r="S120" i="23" s="1"/>
  <c r="Q119" i="23"/>
  <c r="S119" i="23" s="1"/>
  <c r="Q118" i="23"/>
  <c r="S118" i="23" s="1"/>
  <c r="Q117" i="23"/>
  <c r="S117" i="23" s="1"/>
  <c r="Q116" i="23"/>
  <c r="S116" i="23" s="1"/>
  <c r="Q115" i="23"/>
  <c r="S115" i="23" s="1"/>
  <c r="Q114" i="23"/>
  <c r="S114" i="23" s="1"/>
  <c r="Q110" i="23"/>
  <c r="S110" i="23" s="1"/>
  <c r="Q109" i="23"/>
  <c r="S109" i="23" s="1"/>
  <c r="Q108" i="23"/>
  <c r="S108" i="23" s="1"/>
  <c r="Q107" i="23"/>
  <c r="S107" i="23" s="1"/>
  <c r="Q106" i="23"/>
  <c r="S106" i="23" s="1"/>
  <c r="Q105" i="23"/>
  <c r="S105" i="23" s="1"/>
  <c r="Q104" i="23"/>
  <c r="S104" i="23" s="1"/>
  <c r="Q103" i="23"/>
  <c r="S103" i="23" s="1"/>
  <c r="Q102" i="23"/>
  <c r="S102" i="23" s="1"/>
  <c r="Q101" i="23"/>
  <c r="S101" i="23" s="1"/>
  <c r="Q100" i="23"/>
  <c r="S100" i="23" s="1"/>
  <c r="Q99" i="23"/>
  <c r="S99" i="23" s="1"/>
  <c r="R97" i="23"/>
  <c r="M97" i="23"/>
  <c r="J97" i="23"/>
  <c r="H97" i="23" s="1"/>
  <c r="Q95" i="23"/>
  <c r="S95" i="23" s="1"/>
  <c r="Q94" i="23"/>
  <c r="S94" i="23" s="1"/>
  <c r="Q93" i="23"/>
  <c r="S93" i="23" s="1"/>
  <c r="Q92" i="23"/>
  <c r="S92" i="23" s="1"/>
  <c r="Q91" i="23"/>
  <c r="S91" i="23" s="1"/>
  <c r="Q90" i="23"/>
  <c r="S90" i="23" s="1"/>
  <c r="Q89" i="23"/>
  <c r="S89" i="23" s="1"/>
  <c r="Q88" i="23"/>
  <c r="S88" i="23" s="1"/>
  <c r="Q87" i="23"/>
  <c r="S87" i="23" s="1"/>
  <c r="Q86" i="23"/>
  <c r="S86" i="23" s="1"/>
  <c r="Q85" i="23"/>
  <c r="S85" i="23" s="1"/>
  <c r="Q84" i="23"/>
  <c r="S84" i="23" s="1"/>
  <c r="Q83" i="23"/>
  <c r="S83" i="23" s="1"/>
  <c r="Q82" i="23"/>
  <c r="S82" i="23" s="1"/>
  <c r="Q81" i="23"/>
  <c r="S81" i="23" s="1"/>
  <c r="Q80" i="23"/>
  <c r="S80" i="23" s="1"/>
  <c r="Q79" i="23"/>
  <c r="S79" i="23" s="1"/>
  <c r="Q78" i="23"/>
  <c r="S78" i="23" s="1"/>
  <c r="Q77" i="23"/>
  <c r="S77" i="23" s="1"/>
  <c r="Q76" i="23"/>
  <c r="S76" i="23" s="1"/>
  <c r="Q75" i="23"/>
  <c r="S75" i="23" s="1"/>
  <c r="Q74" i="23"/>
  <c r="S74" i="23" s="1"/>
  <c r="Q73" i="23"/>
  <c r="S73" i="23" s="1"/>
  <c r="Q72" i="23"/>
  <c r="S72" i="23" s="1"/>
  <c r="Q71" i="23"/>
  <c r="S71" i="23" s="1"/>
  <c r="Q70" i="23"/>
  <c r="Q69" i="23"/>
  <c r="S69" i="23" s="1"/>
  <c r="Q68" i="23"/>
  <c r="S68" i="23" s="1"/>
  <c r="Q67" i="23"/>
  <c r="S67" i="23" s="1"/>
  <c r="Q66" i="23"/>
  <c r="S66" i="23" s="1"/>
  <c r="Q65" i="23"/>
  <c r="S65" i="23" s="1"/>
  <c r="M52" i="23"/>
  <c r="D52" i="23"/>
  <c r="M21" i="23"/>
  <c r="D21" i="23"/>
  <c r="M16" i="23"/>
  <c r="D16" i="23"/>
  <c r="I35" i="21"/>
  <c r="I96" i="20"/>
  <c r="H95" i="20"/>
  <c r="H83" i="20"/>
  <c r="H69" i="20"/>
  <c r="H62" i="20"/>
  <c r="H45" i="20"/>
  <c r="H15" i="20"/>
  <c r="H11" i="20"/>
  <c r="R237" i="19"/>
  <c r="S237" i="19"/>
  <c r="Q237" i="19"/>
  <c r="R126" i="19"/>
  <c r="S126" i="19"/>
  <c r="Q126" i="19"/>
  <c r="Q280" i="31" l="1"/>
  <c r="Q280" i="27"/>
  <c r="J281" i="23"/>
  <c r="H281" i="23"/>
  <c r="R281" i="23"/>
  <c r="I281" i="23"/>
  <c r="Q97" i="23"/>
  <c r="M281" i="23"/>
  <c r="D281" i="23"/>
  <c r="S233" i="23"/>
  <c r="S70" i="23"/>
  <c r="S97" i="23" s="1"/>
  <c r="Q84" i="19"/>
  <c r="S84" i="19" s="1"/>
  <c r="Q85" i="19"/>
  <c r="S85" i="19" s="1"/>
  <c r="Q86" i="19"/>
  <c r="S86" i="19" s="1"/>
  <c r="Q87" i="19"/>
  <c r="S87" i="19" s="1"/>
  <c r="Q88" i="19"/>
  <c r="S88" i="19" s="1"/>
  <c r="Q89" i="19"/>
  <c r="S89" i="19" s="1"/>
  <c r="Q90" i="19"/>
  <c r="S90" i="19" s="1"/>
  <c r="Q91" i="19"/>
  <c r="S91" i="19" s="1"/>
  <c r="Q92" i="19"/>
  <c r="S92" i="19" s="1"/>
  <c r="Q93" i="19"/>
  <c r="S93" i="19" s="1"/>
  <c r="Q94" i="19"/>
  <c r="S94" i="19" s="1"/>
  <c r="Q95" i="19"/>
  <c r="S95" i="19" s="1"/>
  <c r="Q70" i="19"/>
  <c r="S70" i="19" s="1"/>
  <c r="Q71" i="19"/>
  <c r="S71" i="19" s="1"/>
  <c r="Q72" i="19"/>
  <c r="S72" i="19" s="1"/>
  <c r="Q73" i="19"/>
  <c r="S73" i="19" s="1"/>
  <c r="Q74" i="19"/>
  <c r="S74" i="19" s="1"/>
  <c r="Q75" i="19"/>
  <c r="S75" i="19" s="1"/>
  <c r="Q76" i="19"/>
  <c r="S76" i="19" s="1"/>
  <c r="Q77" i="19"/>
  <c r="S77" i="19" s="1"/>
  <c r="Q78" i="19"/>
  <c r="S78" i="19" s="1"/>
  <c r="Q79" i="19"/>
  <c r="S79" i="19" s="1"/>
  <c r="Q80" i="19"/>
  <c r="S80" i="19" s="1"/>
  <c r="Q81" i="19"/>
  <c r="S81" i="19" s="1"/>
  <c r="Q82" i="19"/>
  <c r="S82" i="19" s="1"/>
  <c r="Q83" i="19"/>
  <c r="S83" i="19" s="1"/>
  <c r="Q65" i="19"/>
  <c r="S65" i="19" s="1"/>
  <c r="Q66" i="19"/>
  <c r="S66" i="19" s="1"/>
  <c r="Q67" i="19"/>
  <c r="S67" i="19" s="1"/>
  <c r="Q68" i="19"/>
  <c r="S68" i="19" s="1"/>
  <c r="P271" i="19"/>
  <c r="O271" i="19"/>
  <c r="N271" i="19"/>
  <c r="G271" i="19"/>
  <c r="F271" i="19"/>
  <c r="E271" i="19"/>
  <c r="M270" i="19"/>
  <c r="J270" i="19"/>
  <c r="H270" i="19"/>
  <c r="M237" i="19"/>
  <c r="J237" i="19"/>
  <c r="I237" i="19"/>
  <c r="H237" i="19"/>
  <c r="Q236" i="19"/>
  <c r="S236" i="19" s="1"/>
  <c r="Q235" i="19"/>
  <c r="S235" i="19" s="1"/>
  <c r="Q234" i="19"/>
  <c r="S234" i="19" s="1"/>
  <c r="Q233" i="19"/>
  <c r="S233" i="19" s="1"/>
  <c r="Q232" i="19"/>
  <c r="S232" i="19" s="1"/>
  <c r="Q231" i="19"/>
  <c r="S231" i="19" s="1"/>
  <c r="Q230" i="19"/>
  <c r="S230" i="19" s="1"/>
  <c r="Q229" i="19"/>
  <c r="S229" i="19" s="1"/>
  <c r="Q228" i="19"/>
  <c r="S228" i="19" s="1"/>
  <c r="Q227" i="19"/>
  <c r="S227" i="19" s="1"/>
  <c r="Q226" i="19"/>
  <c r="S226" i="19" s="1"/>
  <c r="Q225" i="19"/>
  <c r="S225" i="19" s="1"/>
  <c r="Q224" i="19"/>
  <c r="S224" i="19" s="1"/>
  <c r="Q223" i="19"/>
  <c r="S223" i="19" s="1"/>
  <c r="Q222" i="19"/>
  <c r="S222" i="19" s="1"/>
  <c r="Q221" i="19"/>
  <c r="S221" i="19" s="1"/>
  <c r="Q220" i="19"/>
  <c r="S220" i="19" s="1"/>
  <c r="Q219" i="19"/>
  <c r="S219" i="19" s="1"/>
  <c r="Q218" i="19"/>
  <c r="S218" i="19" s="1"/>
  <c r="Q217" i="19"/>
  <c r="S217" i="19" s="1"/>
  <c r="Q216" i="19"/>
  <c r="S216" i="19" s="1"/>
  <c r="Q215" i="19"/>
  <c r="S215" i="19" s="1"/>
  <c r="Q214" i="19"/>
  <c r="S214" i="19" s="1"/>
  <c r="Q213" i="19"/>
  <c r="S213" i="19" s="1"/>
  <c r="Q212" i="19"/>
  <c r="S212" i="19" s="1"/>
  <c r="Q211" i="19"/>
  <c r="S211" i="19" s="1"/>
  <c r="Q210" i="19"/>
  <c r="S210" i="19" s="1"/>
  <c r="Q209" i="19"/>
  <c r="S209" i="19" s="1"/>
  <c r="Q208" i="19"/>
  <c r="S208" i="19" s="1"/>
  <c r="Q207" i="19"/>
  <c r="S207" i="19" s="1"/>
  <c r="Q206" i="19"/>
  <c r="S206" i="19" s="1"/>
  <c r="Q205" i="19"/>
  <c r="S205" i="19" s="1"/>
  <c r="Q204" i="19"/>
  <c r="S204" i="19" s="1"/>
  <c r="Q203" i="19"/>
  <c r="S203" i="19" s="1"/>
  <c r="Q202" i="19"/>
  <c r="S202" i="19" s="1"/>
  <c r="Q201" i="19"/>
  <c r="S201" i="19" s="1"/>
  <c r="Q200" i="19"/>
  <c r="S200" i="19" s="1"/>
  <c r="Q199" i="19"/>
  <c r="S199" i="19" s="1"/>
  <c r="Q198" i="19"/>
  <c r="S198" i="19" s="1"/>
  <c r="Q197" i="19"/>
  <c r="S197" i="19" s="1"/>
  <c r="Q196" i="19"/>
  <c r="S196" i="19" s="1"/>
  <c r="Q195" i="19"/>
  <c r="S195" i="19" s="1"/>
  <c r="Q194" i="19"/>
  <c r="S194" i="19" s="1"/>
  <c r="Q193" i="19"/>
  <c r="S193" i="19" s="1"/>
  <c r="M191" i="19"/>
  <c r="M188" i="19"/>
  <c r="L188" i="19"/>
  <c r="L271" i="19" s="1"/>
  <c r="K188" i="19"/>
  <c r="K271" i="19" s="1"/>
  <c r="J188" i="19"/>
  <c r="I188" i="19"/>
  <c r="H188" i="19"/>
  <c r="S156" i="19"/>
  <c r="S271" i="19" s="1"/>
  <c r="R156" i="19"/>
  <c r="Q156" i="19"/>
  <c r="M156" i="19"/>
  <c r="J156" i="19"/>
  <c r="I156" i="19"/>
  <c r="H156" i="19"/>
  <c r="D156" i="19"/>
  <c r="M141" i="19"/>
  <c r="J141" i="19"/>
  <c r="H141" i="19"/>
  <c r="D141" i="19"/>
  <c r="S140" i="19"/>
  <c r="Q140" i="19"/>
  <c r="S139" i="19"/>
  <c r="Q139" i="19"/>
  <c r="S138" i="19"/>
  <c r="Q138" i="19"/>
  <c r="S137" i="19"/>
  <c r="Q137" i="19"/>
  <c r="S136" i="19"/>
  <c r="Q136" i="19"/>
  <c r="S135" i="19"/>
  <c r="Q135" i="19"/>
  <c r="S134" i="19"/>
  <c r="Q134" i="19"/>
  <c r="S133" i="19"/>
  <c r="Q133" i="19"/>
  <c r="S132" i="19"/>
  <c r="Q132" i="19"/>
  <c r="S131" i="19"/>
  <c r="Q131" i="19"/>
  <c r="S130" i="19"/>
  <c r="Q130" i="19"/>
  <c r="S129" i="19"/>
  <c r="Q129" i="19"/>
  <c r="S128" i="19"/>
  <c r="Q128" i="19"/>
  <c r="M126" i="19"/>
  <c r="J126" i="19"/>
  <c r="I126" i="19"/>
  <c r="H126" i="19"/>
  <c r="D126" i="19"/>
  <c r="S123" i="19"/>
  <c r="S122" i="19"/>
  <c r="Q121" i="19"/>
  <c r="S121" i="19" s="1"/>
  <c r="Q120" i="19"/>
  <c r="S120" i="19" s="1"/>
  <c r="Q119" i="19"/>
  <c r="S119" i="19" s="1"/>
  <c r="Q118" i="19"/>
  <c r="S118" i="19" s="1"/>
  <c r="Q117" i="19"/>
  <c r="S117" i="19" s="1"/>
  <c r="Q116" i="19"/>
  <c r="S116" i="19" s="1"/>
  <c r="Q115" i="19"/>
  <c r="S115" i="19" s="1"/>
  <c r="Q114" i="19"/>
  <c r="S114" i="19" s="1"/>
  <c r="Q113" i="19"/>
  <c r="S113" i="19" s="1"/>
  <c r="Q112" i="19"/>
  <c r="S112" i="19" s="1"/>
  <c r="Q111" i="19"/>
  <c r="S111" i="19" s="1"/>
  <c r="Q110" i="19"/>
  <c r="S110" i="19" s="1"/>
  <c r="Q109" i="19"/>
  <c r="S109" i="19" s="1"/>
  <c r="Q108" i="19"/>
  <c r="S108" i="19" s="1"/>
  <c r="Q107" i="19"/>
  <c r="S107" i="19" s="1"/>
  <c r="Q106" i="19"/>
  <c r="S106" i="19" s="1"/>
  <c r="Q105" i="19"/>
  <c r="S105" i="19" s="1"/>
  <c r="Q104" i="19"/>
  <c r="S104" i="19" s="1"/>
  <c r="Q103" i="19"/>
  <c r="S103" i="19" s="1"/>
  <c r="Q102" i="19"/>
  <c r="S102" i="19" s="1"/>
  <c r="Q101" i="19"/>
  <c r="S101" i="19" s="1"/>
  <c r="Q100" i="19"/>
  <c r="S100" i="19" s="1"/>
  <c r="Q99" i="19"/>
  <c r="R97" i="19"/>
  <c r="M97" i="19"/>
  <c r="J97" i="19"/>
  <c r="H97" i="19" s="1"/>
  <c r="Q69" i="19"/>
  <c r="M52" i="19"/>
  <c r="D52" i="19"/>
  <c r="M21" i="19"/>
  <c r="D21" i="19"/>
  <c r="M16" i="19"/>
  <c r="D16" i="19"/>
  <c r="H86" i="16"/>
  <c r="H85" i="16"/>
  <c r="H73" i="16"/>
  <c r="H59" i="16"/>
  <c r="H52" i="16"/>
  <c r="H35" i="16"/>
  <c r="H15" i="16"/>
  <c r="H11" i="16"/>
  <c r="D261" i="15"/>
  <c r="Q227" i="15"/>
  <c r="I227" i="15"/>
  <c r="J227" i="15"/>
  <c r="H227" i="15"/>
  <c r="I116" i="15"/>
  <c r="J116" i="15"/>
  <c r="H116" i="15"/>
  <c r="Q111" i="15"/>
  <c r="S111" i="15" s="1"/>
  <c r="Q110" i="15"/>
  <c r="S110" i="15" s="1"/>
  <c r="Q109" i="15"/>
  <c r="S109" i="15" s="1"/>
  <c r="Q108" i="15"/>
  <c r="S108" i="15" s="1"/>
  <c r="Q107" i="15"/>
  <c r="S107" i="15" s="1"/>
  <c r="Q106" i="15"/>
  <c r="S106" i="15" s="1"/>
  <c r="Q105" i="15"/>
  <c r="S105" i="15" s="1"/>
  <c r="Q104" i="15"/>
  <c r="S104" i="15" s="1"/>
  <c r="Q103" i="15"/>
  <c r="S103" i="15" s="1"/>
  <c r="Q102" i="15"/>
  <c r="S102" i="15" s="1"/>
  <c r="Q101" i="15"/>
  <c r="S101" i="15" s="1"/>
  <c r="Q100" i="15"/>
  <c r="S100" i="15" s="1"/>
  <c r="Q99" i="15"/>
  <c r="S99" i="15" s="1"/>
  <c r="Q98" i="15"/>
  <c r="S98" i="15" s="1"/>
  <c r="Q97" i="15"/>
  <c r="S97" i="15" s="1"/>
  <c r="Q96" i="15"/>
  <c r="S96" i="15" s="1"/>
  <c r="Q95" i="15"/>
  <c r="S95" i="15" s="1"/>
  <c r="Q94" i="15"/>
  <c r="S94" i="15" s="1"/>
  <c r="Q93" i="15"/>
  <c r="S93" i="15" s="1"/>
  <c r="Q92" i="15"/>
  <c r="S92" i="15" s="1"/>
  <c r="Q91" i="15"/>
  <c r="S91" i="15" s="1"/>
  <c r="Q90" i="15"/>
  <c r="S90" i="15" s="1"/>
  <c r="P261" i="15"/>
  <c r="O261" i="15"/>
  <c r="N261" i="15"/>
  <c r="G261" i="15"/>
  <c r="F261" i="15"/>
  <c r="E261" i="15"/>
  <c r="M260" i="15"/>
  <c r="J260" i="15"/>
  <c r="H260" i="15"/>
  <c r="R227" i="15"/>
  <c r="M227" i="15"/>
  <c r="Q226" i="15"/>
  <c r="S226" i="15" s="1"/>
  <c r="Q225" i="15"/>
  <c r="S225" i="15" s="1"/>
  <c r="Q224" i="15"/>
  <c r="S224" i="15" s="1"/>
  <c r="Q223" i="15"/>
  <c r="S223" i="15" s="1"/>
  <c r="Q222" i="15"/>
  <c r="S222" i="15" s="1"/>
  <c r="Q221" i="15"/>
  <c r="S221" i="15" s="1"/>
  <c r="Q220" i="15"/>
  <c r="S220" i="15" s="1"/>
  <c r="Q219" i="15"/>
  <c r="S219" i="15" s="1"/>
  <c r="Q218" i="15"/>
  <c r="S218" i="15" s="1"/>
  <c r="Q217" i="15"/>
  <c r="S217" i="15" s="1"/>
  <c r="Q216" i="15"/>
  <c r="S216" i="15" s="1"/>
  <c r="S215" i="15"/>
  <c r="Q215" i="15"/>
  <c r="Q214" i="15"/>
  <c r="S214" i="15" s="1"/>
  <c r="S213" i="15"/>
  <c r="Q213" i="15"/>
  <c r="Q212" i="15"/>
  <c r="S212" i="15" s="1"/>
  <c r="Q211" i="15"/>
  <c r="S211" i="15" s="1"/>
  <c r="Q210" i="15"/>
  <c r="S210" i="15" s="1"/>
  <c r="S209" i="15"/>
  <c r="Q209" i="15"/>
  <c r="Q208" i="15"/>
  <c r="S208" i="15" s="1"/>
  <c r="Q207" i="15"/>
  <c r="S207" i="15" s="1"/>
  <c r="Q206" i="15"/>
  <c r="S206" i="15" s="1"/>
  <c r="Q205" i="15"/>
  <c r="S205" i="15" s="1"/>
  <c r="Q204" i="15"/>
  <c r="S204" i="15" s="1"/>
  <c r="Q203" i="15"/>
  <c r="S203" i="15" s="1"/>
  <c r="Q202" i="15"/>
  <c r="S202" i="15" s="1"/>
  <c r="Q201" i="15"/>
  <c r="S201" i="15" s="1"/>
  <c r="Q200" i="15"/>
  <c r="S200" i="15" s="1"/>
  <c r="Q199" i="15"/>
  <c r="S199" i="15" s="1"/>
  <c r="Q198" i="15"/>
  <c r="S198" i="15" s="1"/>
  <c r="Q197" i="15"/>
  <c r="S197" i="15" s="1"/>
  <c r="Q196" i="15"/>
  <c r="S196" i="15" s="1"/>
  <c r="Q195" i="15"/>
  <c r="S195" i="15" s="1"/>
  <c r="Q194" i="15"/>
  <c r="S194" i="15" s="1"/>
  <c r="Q193" i="15"/>
  <c r="S193" i="15" s="1"/>
  <c r="Q192" i="15"/>
  <c r="S192" i="15" s="1"/>
  <c r="S191" i="15"/>
  <c r="Q191" i="15"/>
  <c r="Q190" i="15"/>
  <c r="S190" i="15" s="1"/>
  <c r="Q189" i="15"/>
  <c r="S189" i="15" s="1"/>
  <c r="Q188" i="15"/>
  <c r="S188" i="15" s="1"/>
  <c r="Q187" i="15"/>
  <c r="S187" i="15" s="1"/>
  <c r="Q186" i="15"/>
  <c r="S186" i="15" s="1"/>
  <c r="Q185" i="15"/>
  <c r="S185" i="15" s="1"/>
  <c r="Q184" i="15"/>
  <c r="S184" i="15" s="1"/>
  <c r="Q183" i="15"/>
  <c r="S183" i="15" s="1"/>
  <c r="M181" i="15"/>
  <c r="M178" i="15"/>
  <c r="L178" i="15"/>
  <c r="L261" i="15" s="1"/>
  <c r="K178" i="15"/>
  <c r="K261" i="15" s="1"/>
  <c r="J178" i="15"/>
  <c r="I178" i="15"/>
  <c r="H178" i="15"/>
  <c r="S146" i="15"/>
  <c r="R146" i="15"/>
  <c r="Q146" i="15"/>
  <c r="M146" i="15"/>
  <c r="J146" i="15"/>
  <c r="I146" i="15"/>
  <c r="H146" i="15"/>
  <c r="D146" i="15"/>
  <c r="M131" i="15"/>
  <c r="J131" i="15"/>
  <c r="H131" i="15"/>
  <c r="D131" i="15"/>
  <c r="S130" i="15"/>
  <c r="Q130" i="15"/>
  <c r="S129" i="15"/>
  <c r="Q129" i="15"/>
  <c r="S128" i="15"/>
  <c r="Q128" i="15"/>
  <c r="S127" i="15"/>
  <c r="Q127" i="15"/>
  <c r="S126" i="15"/>
  <c r="Q126" i="15"/>
  <c r="S125" i="15"/>
  <c r="Q125" i="15"/>
  <c r="S124" i="15"/>
  <c r="Q124" i="15"/>
  <c r="S123" i="15"/>
  <c r="Q123" i="15"/>
  <c r="S122" i="15"/>
  <c r="Q122" i="15"/>
  <c r="S121" i="15"/>
  <c r="Q121" i="15"/>
  <c r="S120" i="15"/>
  <c r="Q120" i="15"/>
  <c r="S119" i="15"/>
  <c r="Q119" i="15"/>
  <c r="S118" i="15"/>
  <c r="Q118" i="15"/>
  <c r="M116" i="15"/>
  <c r="D116" i="15"/>
  <c r="S113" i="15"/>
  <c r="S112" i="15"/>
  <c r="R87" i="15"/>
  <c r="M87" i="15"/>
  <c r="J87" i="15"/>
  <c r="H87" i="15"/>
  <c r="Q59" i="15"/>
  <c r="S59" i="15" s="1"/>
  <c r="S87" i="15" s="1"/>
  <c r="M42" i="15"/>
  <c r="D42" i="15"/>
  <c r="M21" i="15"/>
  <c r="D21" i="15"/>
  <c r="M16" i="15"/>
  <c r="D16" i="15"/>
  <c r="I35" i="13"/>
  <c r="I25" i="13"/>
  <c r="H93" i="12"/>
  <c r="H92" i="12"/>
  <c r="H78" i="12"/>
  <c r="H75" i="12"/>
  <c r="H61" i="12"/>
  <c r="H54" i="12"/>
  <c r="H11" i="12"/>
  <c r="H15" i="12"/>
  <c r="H33" i="12"/>
  <c r="H50" i="12"/>
  <c r="R227" i="11"/>
  <c r="S227" i="11"/>
  <c r="Q227" i="11"/>
  <c r="H116" i="11"/>
  <c r="I116" i="11"/>
  <c r="J116" i="11"/>
  <c r="Q116" i="11"/>
  <c r="R261" i="11"/>
  <c r="P261" i="11"/>
  <c r="O261" i="11"/>
  <c r="N261" i="11"/>
  <c r="K261" i="11"/>
  <c r="G261" i="11"/>
  <c r="F261" i="11"/>
  <c r="E261" i="11"/>
  <c r="M260" i="11"/>
  <c r="J260" i="11"/>
  <c r="H260" i="11"/>
  <c r="M227" i="11"/>
  <c r="J227" i="11"/>
  <c r="H227" i="11"/>
  <c r="Q226" i="11"/>
  <c r="S226" i="11" s="1"/>
  <c r="Q225" i="11"/>
  <c r="S225" i="11" s="1"/>
  <c r="Q224" i="11"/>
  <c r="S224" i="11" s="1"/>
  <c r="Q223" i="11"/>
  <c r="S223" i="11" s="1"/>
  <c r="Q222" i="11"/>
  <c r="S222" i="11" s="1"/>
  <c r="Q221" i="11"/>
  <c r="S221" i="11" s="1"/>
  <c r="Q220" i="11"/>
  <c r="S220" i="11" s="1"/>
  <c r="Q219" i="11"/>
  <c r="S219" i="11" s="1"/>
  <c r="Q218" i="11"/>
  <c r="S218" i="11" s="1"/>
  <c r="Q217" i="11"/>
  <c r="S217" i="11" s="1"/>
  <c r="Q216" i="11"/>
  <c r="S216" i="11" s="1"/>
  <c r="Q215" i="11"/>
  <c r="S215" i="11" s="1"/>
  <c r="Q214" i="11"/>
  <c r="S214" i="11" s="1"/>
  <c r="Q213" i="11"/>
  <c r="S213" i="11" s="1"/>
  <c r="Q212" i="11"/>
  <c r="S212" i="11" s="1"/>
  <c r="Q211" i="11"/>
  <c r="S211" i="11" s="1"/>
  <c r="Q210" i="11"/>
  <c r="S210" i="11" s="1"/>
  <c r="Q209" i="11"/>
  <c r="S209" i="11" s="1"/>
  <c r="Q208" i="11"/>
  <c r="S208" i="11" s="1"/>
  <c r="Q207" i="11"/>
  <c r="S207" i="11" s="1"/>
  <c r="Q206" i="11"/>
  <c r="S206" i="11" s="1"/>
  <c r="Q205" i="11"/>
  <c r="S205" i="11" s="1"/>
  <c r="Q204" i="11"/>
  <c r="S204" i="11" s="1"/>
  <c r="Q203" i="11"/>
  <c r="S203" i="11" s="1"/>
  <c r="Q202" i="11"/>
  <c r="S202" i="11" s="1"/>
  <c r="Q201" i="11"/>
  <c r="S201" i="11" s="1"/>
  <c r="Q200" i="11"/>
  <c r="S200" i="11" s="1"/>
  <c r="Q199" i="11"/>
  <c r="S199" i="11" s="1"/>
  <c r="Q198" i="11"/>
  <c r="S198" i="11" s="1"/>
  <c r="Q197" i="11"/>
  <c r="S197" i="11" s="1"/>
  <c r="Q196" i="11"/>
  <c r="S196" i="11" s="1"/>
  <c r="Q195" i="11"/>
  <c r="S195" i="11" s="1"/>
  <c r="Q194" i="11"/>
  <c r="S194" i="11" s="1"/>
  <c r="Q193" i="11"/>
  <c r="S193" i="11" s="1"/>
  <c r="Q192" i="11"/>
  <c r="S192" i="11" s="1"/>
  <c r="Q191" i="11"/>
  <c r="S191" i="11" s="1"/>
  <c r="Q190" i="11"/>
  <c r="S190" i="11" s="1"/>
  <c r="Q189" i="11"/>
  <c r="S189" i="11" s="1"/>
  <c r="Q188" i="11"/>
  <c r="S188" i="11" s="1"/>
  <c r="Q187" i="11"/>
  <c r="S187" i="11" s="1"/>
  <c r="Q186" i="11"/>
  <c r="S186" i="11" s="1"/>
  <c r="Q185" i="11"/>
  <c r="S185" i="11" s="1"/>
  <c r="Q184" i="11"/>
  <c r="S184" i="11" s="1"/>
  <c r="Q183" i="11"/>
  <c r="S183" i="11" s="1"/>
  <c r="M181" i="11"/>
  <c r="M178" i="11"/>
  <c r="L178" i="11"/>
  <c r="L261" i="11" s="1"/>
  <c r="K178" i="11"/>
  <c r="J178" i="11"/>
  <c r="I178" i="11"/>
  <c r="H178" i="11"/>
  <c r="S146" i="11"/>
  <c r="R146" i="11"/>
  <c r="Q146" i="11"/>
  <c r="M146" i="11"/>
  <c r="J146" i="11"/>
  <c r="I146" i="11"/>
  <c r="I261" i="11" s="1"/>
  <c r="H146" i="11"/>
  <c r="D146" i="11"/>
  <c r="M131" i="11"/>
  <c r="J131" i="11"/>
  <c r="H131" i="11"/>
  <c r="D131" i="11"/>
  <c r="S130" i="11"/>
  <c r="Q130" i="11"/>
  <c r="S129" i="11"/>
  <c r="Q129" i="11"/>
  <c r="S128" i="11"/>
  <c r="Q128" i="11"/>
  <c r="S127" i="11"/>
  <c r="Q127" i="11"/>
  <c r="S126" i="11"/>
  <c r="Q126" i="11"/>
  <c r="S125" i="11"/>
  <c r="Q125" i="11"/>
  <c r="S124" i="11"/>
  <c r="Q124" i="11"/>
  <c r="S123" i="11"/>
  <c r="Q123" i="11"/>
  <c r="S122" i="11"/>
  <c r="Q122" i="11"/>
  <c r="S121" i="11"/>
  <c r="Q121" i="11"/>
  <c r="S120" i="11"/>
  <c r="Q120" i="11"/>
  <c r="S119" i="11"/>
  <c r="Q119" i="11"/>
  <c r="S118" i="11"/>
  <c r="Q118" i="11"/>
  <c r="M116" i="11"/>
  <c r="D116" i="11"/>
  <c r="S113" i="11"/>
  <c r="S112" i="11"/>
  <c r="Q111" i="11"/>
  <c r="S111" i="11" s="1"/>
  <c r="Q110" i="11"/>
  <c r="S110" i="11" s="1"/>
  <c r="Q109" i="11"/>
  <c r="S109" i="11" s="1"/>
  <c r="Q108" i="11"/>
  <c r="S108" i="11" s="1"/>
  <c r="Q107" i="11"/>
  <c r="S107" i="11" s="1"/>
  <c r="Q106" i="11"/>
  <c r="S106" i="11" s="1"/>
  <c r="Q105" i="11"/>
  <c r="S105" i="11" s="1"/>
  <c r="Q104" i="11"/>
  <c r="S104" i="11" s="1"/>
  <c r="Q103" i="11"/>
  <c r="S103" i="11" s="1"/>
  <c r="Q102" i="11"/>
  <c r="S102" i="11" s="1"/>
  <c r="Q101" i="11"/>
  <c r="S101" i="11" s="1"/>
  <c r="Q100" i="11"/>
  <c r="S100" i="11" s="1"/>
  <c r="Q99" i="11"/>
  <c r="S99" i="11" s="1"/>
  <c r="Q98" i="11"/>
  <c r="S98" i="11" s="1"/>
  <c r="Q97" i="11"/>
  <c r="S97" i="11" s="1"/>
  <c r="Q96" i="11"/>
  <c r="S96" i="11" s="1"/>
  <c r="Q95" i="11"/>
  <c r="S95" i="11" s="1"/>
  <c r="Q94" i="11"/>
  <c r="S94" i="11" s="1"/>
  <c r="Q93" i="11"/>
  <c r="S93" i="11" s="1"/>
  <c r="Q92" i="11"/>
  <c r="S92" i="11" s="1"/>
  <c r="Q91" i="11"/>
  <c r="S91" i="11" s="1"/>
  <c r="Q90" i="11"/>
  <c r="S90" i="11" s="1"/>
  <c r="S89" i="11"/>
  <c r="Q89" i="11"/>
  <c r="R87" i="11"/>
  <c r="M87" i="11"/>
  <c r="J87" i="11"/>
  <c r="H87" i="11" s="1"/>
  <c r="Q59" i="11"/>
  <c r="S59" i="11" s="1"/>
  <c r="S87" i="11" s="1"/>
  <c r="M42" i="11"/>
  <c r="D42" i="11"/>
  <c r="M21" i="11"/>
  <c r="D21" i="11"/>
  <c r="M16" i="11"/>
  <c r="D16" i="11"/>
  <c r="I27" i="9"/>
  <c r="I37" i="9" s="1"/>
  <c r="I36" i="9"/>
  <c r="I18" i="9"/>
  <c r="H34" i="8"/>
  <c r="H88" i="8" s="1"/>
  <c r="H15" i="8"/>
  <c r="H11" i="8"/>
  <c r="H87" i="8"/>
  <c r="H75" i="8"/>
  <c r="H72" i="8"/>
  <c r="H58" i="8"/>
  <c r="H51" i="8"/>
  <c r="S227" i="7"/>
  <c r="Q227" i="7"/>
  <c r="H227" i="7"/>
  <c r="J227" i="7"/>
  <c r="D131" i="7"/>
  <c r="D116" i="7"/>
  <c r="H116" i="7"/>
  <c r="J116" i="7"/>
  <c r="H87" i="7"/>
  <c r="J87" i="7"/>
  <c r="D42" i="7"/>
  <c r="S281" i="23" l="1"/>
  <c r="R271" i="19"/>
  <c r="D271" i="19"/>
  <c r="I271" i="19"/>
  <c r="S141" i="19"/>
  <c r="Q141" i="19"/>
  <c r="H271" i="19"/>
  <c r="Q97" i="19"/>
  <c r="M271" i="19"/>
  <c r="S99" i="19"/>
  <c r="Q271" i="19"/>
  <c r="J271" i="19"/>
  <c r="S69" i="19"/>
  <c r="S97" i="19" s="1"/>
  <c r="R261" i="15"/>
  <c r="I261" i="15"/>
  <c r="Q131" i="15"/>
  <c r="S131" i="15"/>
  <c r="H261" i="15"/>
  <c r="Q87" i="15"/>
  <c r="M261" i="15"/>
  <c r="S227" i="15"/>
  <c r="D261" i="11"/>
  <c r="H261" i="11"/>
  <c r="Q131" i="11"/>
  <c r="S131" i="11"/>
  <c r="Q87" i="11"/>
  <c r="M261" i="11"/>
  <c r="J261" i="11"/>
  <c r="S130" i="7"/>
  <c r="S128" i="7"/>
  <c r="S127" i="7"/>
  <c r="S126" i="7"/>
  <c r="Q125" i="7"/>
  <c r="Q124" i="7"/>
  <c r="Q123" i="7"/>
  <c r="S122" i="7"/>
  <c r="S121" i="7"/>
  <c r="S120" i="7"/>
  <c r="S119" i="7"/>
  <c r="J131" i="7"/>
  <c r="Q59" i="7"/>
  <c r="S59" i="7" s="1"/>
  <c r="S87" i="7" s="1"/>
  <c r="P261" i="7"/>
  <c r="O261" i="7"/>
  <c r="N261" i="7"/>
  <c r="L261" i="7"/>
  <c r="K261" i="7"/>
  <c r="I261" i="7"/>
  <c r="G261" i="7"/>
  <c r="F261" i="7"/>
  <c r="E261" i="7"/>
  <c r="M260" i="7"/>
  <c r="J260" i="7"/>
  <c r="H260" i="7"/>
  <c r="R227" i="7"/>
  <c r="M227" i="7"/>
  <c r="Q226" i="7"/>
  <c r="S226" i="7" s="1"/>
  <c r="Q225" i="7"/>
  <c r="S225" i="7" s="1"/>
  <c r="Q224" i="7"/>
  <c r="S224" i="7" s="1"/>
  <c r="Q223" i="7"/>
  <c r="S223" i="7" s="1"/>
  <c r="Q222" i="7"/>
  <c r="S222" i="7" s="1"/>
  <c r="Q221" i="7"/>
  <c r="S221" i="7" s="1"/>
  <c r="Q220" i="7"/>
  <c r="S220" i="7" s="1"/>
  <c r="Q219" i="7"/>
  <c r="S219" i="7" s="1"/>
  <c r="Q218" i="7"/>
  <c r="S218" i="7" s="1"/>
  <c r="Q217" i="7"/>
  <c r="S217" i="7" s="1"/>
  <c r="Q216" i="7"/>
  <c r="S216" i="7" s="1"/>
  <c r="Q215" i="7"/>
  <c r="S215" i="7" s="1"/>
  <c r="Q214" i="7"/>
  <c r="S214" i="7" s="1"/>
  <c r="Q213" i="7"/>
  <c r="S213" i="7" s="1"/>
  <c r="Q212" i="7"/>
  <c r="S212" i="7" s="1"/>
  <c r="Q211" i="7"/>
  <c r="S211" i="7" s="1"/>
  <c r="Q210" i="7"/>
  <c r="S210" i="7" s="1"/>
  <c r="Q209" i="7"/>
  <c r="S209" i="7" s="1"/>
  <c r="Q208" i="7"/>
  <c r="S208" i="7" s="1"/>
  <c r="Q207" i="7"/>
  <c r="S207" i="7" s="1"/>
  <c r="Q206" i="7"/>
  <c r="S206" i="7" s="1"/>
  <c r="Q205" i="7"/>
  <c r="S205" i="7" s="1"/>
  <c r="Q204" i="7"/>
  <c r="S204" i="7" s="1"/>
  <c r="Q203" i="7"/>
  <c r="S203" i="7" s="1"/>
  <c r="Q202" i="7"/>
  <c r="S202" i="7" s="1"/>
  <c r="Q201" i="7"/>
  <c r="S201" i="7" s="1"/>
  <c r="Q200" i="7"/>
  <c r="S200" i="7" s="1"/>
  <c r="Q199" i="7"/>
  <c r="S199" i="7" s="1"/>
  <c r="Q198" i="7"/>
  <c r="S198" i="7" s="1"/>
  <c r="Q197" i="7"/>
  <c r="S197" i="7" s="1"/>
  <c r="Q196" i="7"/>
  <c r="S196" i="7" s="1"/>
  <c r="Q195" i="7"/>
  <c r="S195" i="7" s="1"/>
  <c r="Q194" i="7"/>
  <c r="S194" i="7" s="1"/>
  <c r="Q193" i="7"/>
  <c r="S193" i="7" s="1"/>
  <c r="Q192" i="7"/>
  <c r="S192" i="7" s="1"/>
  <c r="Q191" i="7"/>
  <c r="S191" i="7" s="1"/>
  <c r="Q190" i="7"/>
  <c r="S190" i="7" s="1"/>
  <c r="Q189" i="7"/>
  <c r="S189" i="7" s="1"/>
  <c r="Q188" i="7"/>
  <c r="S188" i="7" s="1"/>
  <c r="Q187" i="7"/>
  <c r="S187" i="7" s="1"/>
  <c r="Q186" i="7"/>
  <c r="S186" i="7" s="1"/>
  <c r="Q185" i="7"/>
  <c r="S185" i="7" s="1"/>
  <c r="Q184" i="7"/>
  <c r="S184" i="7" s="1"/>
  <c r="Q183" i="7"/>
  <c r="S183" i="7" s="1"/>
  <c r="M181" i="7"/>
  <c r="M178" i="7"/>
  <c r="L178" i="7"/>
  <c r="K178" i="7"/>
  <c r="J178" i="7"/>
  <c r="I178" i="7"/>
  <c r="H178" i="7"/>
  <c r="S146" i="7"/>
  <c r="R146" i="7"/>
  <c r="Q146" i="7"/>
  <c r="M146" i="7"/>
  <c r="J146" i="7"/>
  <c r="I146" i="7"/>
  <c r="H146" i="7"/>
  <c r="D146" i="7"/>
  <c r="M131" i="7"/>
  <c r="H131" i="7"/>
  <c r="S129" i="7"/>
  <c r="Q129" i="7"/>
  <c r="S123" i="7"/>
  <c r="M116" i="7"/>
  <c r="S113" i="7"/>
  <c r="S112" i="7"/>
  <c r="Q111" i="7"/>
  <c r="S111" i="7" s="1"/>
  <c r="Q110" i="7"/>
  <c r="S110" i="7" s="1"/>
  <c r="Q109" i="7"/>
  <c r="S109" i="7" s="1"/>
  <c r="Q108" i="7"/>
  <c r="S108" i="7" s="1"/>
  <c r="Q107" i="7"/>
  <c r="S107" i="7" s="1"/>
  <c r="Q106" i="7"/>
  <c r="S106" i="7" s="1"/>
  <c r="Q105" i="7"/>
  <c r="Q104" i="7"/>
  <c r="S104" i="7" s="1"/>
  <c r="Q103" i="7"/>
  <c r="S103" i="7" s="1"/>
  <c r="Q102" i="7"/>
  <c r="S102" i="7" s="1"/>
  <c r="Q101" i="7"/>
  <c r="S101" i="7" s="1"/>
  <c r="Q100" i="7"/>
  <c r="S100" i="7" s="1"/>
  <c r="Q99" i="7"/>
  <c r="S99" i="7" s="1"/>
  <c r="Q98" i="7"/>
  <c r="S98" i="7" s="1"/>
  <c r="Q97" i="7"/>
  <c r="S97" i="7" s="1"/>
  <c r="Q96" i="7"/>
  <c r="S96" i="7" s="1"/>
  <c r="Q95" i="7"/>
  <c r="S95" i="7" s="1"/>
  <c r="Q94" i="7"/>
  <c r="S94" i="7" s="1"/>
  <c r="Q93" i="7"/>
  <c r="S93" i="7" s="1"/>
  <c r="Q92" i="7"/>
  <c r="S92" i="7" s="1"/>
  <c r="Q91" i="7"/>
  <c r="S91" i="7" s="1"/>
  <c r="Q90" i="7"/>
  <c r="S90" i="7" s="1"/>
  <c r="Q89" i="7"/>
  <c r="S89" i="7" s="1"/>
  <c r="R87" i="7"/>
  <c r="M87" i="7"/>
  <c r="M42" i="7"/>
  <c r="M21" i="7"/>
  <c r="D21" i="7"/>
  <c r="M16" i="7"/>
  <c r="D16" i="7"/>
  <c r="I12" i="5"/>
  <c r="J33" i="4"/>
  <c r="I32" i="4"/>
  <c r="I24" i="4"/>
  <c r="I21" i="4"/>
  <c r="Q89" i="15" l="1"/>
  <c r="J261" i="15"/>
  <c r="Q261" i="11"/>
  <c r="S116" i="11"/>
  <c r="S261" i="11" s="1"/>
  <c r="S105" i="7"/>
  <c r="Q116" i="7"/>
  <c r="S116" i="7" s="1"/>
  <c r="J59" i="7"/>
  <c r="R261" i="7"/>
  <c r="J261" i="7"/>
  <c r="D261" i="7"/>
  <c r="H261" i="7"/>
  <c r="Q118" i="7"/>
  <c r="Q130" i="7"/>
  <c r="S124" i="7"/>
  <c r="Q119" i="7"/>
  <c r="S125" i="7"/>
  <c r="Q120" i="7"/>
  <c r="Q126" i="7"/>
  <c r="Q127" i="7"/>
  <c r="Q128" i="7"/>
  <c r="S118" i="7"/>
  <c r="Q121" i="7"/>
  <c r="Q122" i="7"/>
  <c r="M261" i="7"/>
  <c r="Q87" i="7"/>
  <c r="I11" i="4"/>
  <c r="I87" i="3"/>
  <c r="H86" i="3"/>
  <c r="H83" i="3"/>
  <c r="H72" i="3"/>
  <c r="H69" i="3"/>
  <c r="H61" i="3"/>
  <c r="H50" i="3"/>
  <c r="H43" i="3"/>
  <c r="H27" i="3"/>
  <c r="H15" i="3"/>
  <c r="H11" i="3"/>
  <c r="H257" i="2"/>
  <c r="D39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D258" i="2"/>
  <c r="M257" i="2"/>
  <c r="I175" i="2"/>
  <c r="J175" i="2"/>
  <c r="K175" i="2"/>
  <c r="L175" i="2"/>
  <c r="M175" i="2"/>
  <c r="H175" i="2"/>
  <c r="R224" i="2"/>
  <c r="Q181" i="2"/>
  <c r="S181" i="2" s="1"/>
  <c r="Q182" i="2"/>
  <c r="S182" i="2" s="1"/>
  <c r="Q183" i="2"/>
  <c r="S183" i="2" s="1"/>
  <c r="Q184" i="2"/>
  <c r="S184" i="2" s="1"/>
  <c r="Q185" i="2"/>
  <c r="S185" i="2" s="1"/>
  <c r="S224" i="2" s="1"/>
  <c r="Q186" i="2"/>
  <c r="S186" i="2" s="1"/>
  <c r="Q187" i="2"/>
  <c r="S187" i="2" s="1"/>
  <c r="Q188" i="2"/>
  <c r="S188" i="2" s="1"/>
  <c r="Q189" i="2"/>
  <c r="S189" i="2" s="1"/>
  <c r="Q190" i="2"/>
  <c r="S190" i="2" s="1"/>
  <c r="Q191" i="2"/>
  <c r="S191" i="2" s="1"/>
  <c r="Q192" i="2"/>
  <c r="S192" i="2" s="1"/>
  <c r="Q193" i="2"/>
  <c r="S193" i="2" s="1"/>
  <c r="Q194" i="2"/>
  <c r="S194" i="2" s="1"/>
  <c r="Q195" i="2"/>
  <c r="S195" i="2" s="1"/>
  <c r="Q196" i="2"/>
  <c r="S196" i="2" s="1"/>
  <c r="Q197" i="2"/>
  <c r="S197" i="2" s="1"/>
  <c r="Q198" i="2"/>
  <c r="S198" i="2" s="1"/>
  <c r="Q199" i="2"/>
  <c r="S199" i="2" s="1"/>
  <c r="Q200" i="2"/>
  <c r="S200" i="2" s="1"/>
  <c r="Q201" i="2"/>
  <c r="S201" i="2" s="1"/>
  <c r="Q202" i="2"/>
  <c r="S202" i="2" s="1"/>
  <c r="Q203" i="2"/>
  <c r="S203" i="2" s="1"/>
  <c r="Q204" i="2"/>
  <c r="S204" i="2" s="1"/>
  <c r="Q205" i="2"/>
  <c r="S205" i="2" s="1"/>
  <c r="Q206" i="2"/>
  <c r="S206" i="2" s="1"/>
  <c r="Q207" i="2"/>
  <c r="S207" i="2" s="1"/>
  <c r="Q208" i="2"/>
  <c r="S208" i="2" s="1"/>
  <c r="Q209" i="2"/>
  <c r="S209" i="2" s="1"/>
  <c r="Q210" i="2"/>
  <c r="S210" i="2" s="1"/>
  <c r="Q211" i="2"/>
  <c r="S211" i="2" s="1"/>
  <c r="Q212" i="2"/>
  <c r="S212" i="2" s="1"/>
  <c r="Q213" i="2"/>
  <c r="S213" i="2" s="1"/>
  <c r="Q214" i="2"/>
  <c r="S214" i="2" s="1"/>
  <c r="Q215" i="2"/>
  <c r="S215" i="2" s="1"/>
  <c r="Q216" i="2"/>
  <c r="S216" i="2" s="1"/>
  <c r="Q217" i="2"/>
  <c r="S217" i="2" s="1"/>
  <c r="Q218" i="2"/>
  <c r="S218" i="2" s="1"/>
  <c r="Q219" i="2"/>
  <c r="S219" i="2" s="1"/>
  <c r="Q220" i="2"/>
  <c r="S220" i="2" s="1"/>
  <c r="Q221" i="2"/>
  <c r="S221" i="2" s="1"/>
  <c r="Q222" i="2"/>
  <c r="S222" i="2" s="1"/>
  <c r="Q223" i="2"/>
  <c r="S223" i="2" s="1"/>
  <c r="Q180" i="2"/>
  <c r="S180" i="2" s="1"/>
  <c r="D143" i="2"/>
  <c r="R143" i="2"/>
  <c r="R258" i="2" s="1"/>
  <c r="S143" i="2"/>
  <c r="S258" i="2" s="1"/>
  <c r="M128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15" i="2"/>
  <c r="S109" i="2"/>
  <c r="S110" i="2"/>
  <c r="Q103" i="2"/>
  <c r="S103" i="2" s="1"/>
  <c r="Q104" i="2"/>
  <c r="S104" i="2" s="1"/>
  <c r="Q105" i="2"/>
  <c r="S105" i="2" s="1"/>
  <c r="Q106" i="2"/>
  <c r="S106" i="2" s="1"/>
  <c r="Q107" i="2"/>
  <c r="S107" i="2" s="1"/>
  <c r="Q108" i="2"/>
  <c r="S108" i="2" s="1"/>
  <c r="Q87" i="2"/>
  <c r="S87" i="2" s="1"/>
  <c r="Q88" i="2"/>
  <c r="S88" i="2" s="1"/>
  <c r="Q89" i="2"/>
  <c r="S89" i="2" s="1"/>
  <c r="Q90" i="2"/>
  <c r="S90" i="2" s="1"/>
  <c r="Q91" i="2"/>
  <c r="S91" i="2" s="1"/>
  <c r="Q92" i="2"/>
  <c r="S92" i="2" s="1"/>
  <c r="Q93" i="2"/>
  <c r="S93" i="2" s="1"/>
  <c r="Q94" i="2"/>
  <c r="S94" i="2" s="1"/>
  <c r="Q95" i="2"/>
  <c r="S95" i="2" s="1"/>
  <c r="Q96" i="2"/>
  <c r="S96" i="2" s="1"/>
  <c r="Q97" i="2"/>
  <c r="S97" i="2" s="1"/>
  <c r="Q98" i="2"/>
  <c r="S98" i="2" s="1"/>
  <c r="Q99" i="2"/>
  <c r="S99" i="2" s="1"/>
  <c r="Q100" i="2"/>
  <c r="S100" i="2" s="1"/>
  <c r="Q101" i="2"/>
  <c r="S101" i="2" s="1"/>
  <c r="Q102" i="2"/>
  <c r="S102" i="2" s="1"/>
  <c r="Q86" i="2"/>
  <c r="S86" i="2" s="1"/>
  <c r="R84" i="2"/>
  <c r="Q56" i="2"/>
  <c r="S56" i="2" s="1"/>
  <c r="S84" i="2" s="1"/>
  <c r="M84" i="2"/>
  <c r="M39" i="2"/>
  <c r="D21" i="2"/>
  <c r="M21" i="2"/>
  <c r="D16" i="2"/>
  <c r="S89" i="15" l="1"/>
  <c r="Q116" i="15"/>
  <c r="S131" i="7"/>
  <c r="S261" i="7" s="1"/>
  <c r="Q131" i="7"/>
  <c r="Q261" i="7" s="1"/>
  <c r="Q143" i="2"/>
  <c r="Q258" i="2" s="1"/>
  <c r="Q128" i="2"/>
  <c r="Q224" i="2"/>
  <c r="S128" i="2"/>
  <c r="Q84" i="2"/>
  <c r="S116" i="15" l="1"/>
  <c r="S261" i="15" s="1"/>
  <c r="Q261" i="15"/>
  <c r="J257" i="2"/>
  <c r="M224" i="2"/>
  <c r="M178" i="2"/>
  <c r="J143" i="2"/>
  <c r="I143" i="2"/>
  <c r="H143" i="2"/>
  <c r="M143" i="2"/>
  <c r="J128" i="2"/>
  <c r="H128" i="2"/>
  <c r="M113" i="2"/>
  <c r="M16" i="2"/>
  <c r="M230" i="1"/>
  <c r="J230" i="1"/>
  <c r="I230" i="1"/>
  <c r="H230" i="1"/>
  <c r="D230" i="1"/>
  <c r="R220" i="1"/>
  <c r="Q220" i="1"/>
  <c r="M220" i="1"/>
  <c r="J220" i="1"/>
  <c r="I220" i="1"/>
  <c r="H220" i="1"/>
  <c r="D220" i="1"/>
  <c r="S219" i="1"/>
  <c r="Q219" i="1"/>
  <c r="S218" i="1"/>
  <c r="Q218" i="1"/>
  <c r="S217" i="1"/>
  <c r="Q217" i="1"/>
  <c r="S216" i="1"/>
  <c r="Q216" i="1"/>
  <c r="S215" i="1"/>
  <c r="Q215" i="1"/>
  <c r="S214" i="1"/>
  <c r="Q214" i="1"/>
  <c r="S213" i="1"/>
  <c r="Q213" i="1"/>
  <c r="S212" i="1"/>
  <c r="Q212" i="1"/>
  <c r="S211" i="1"/>
  <c r="Q211" i="1"/>
  <c r="S210" i="1"/>
  <c r="Q210" i="1"/>
  <c r="S209" i="1"/>
  <c r="Q209" i="1"/>
  <c r="S208" i="1"/>
  <c r="Q208" i="1"/>
  <c r="S207" i="1"/>
  <c r="Q207" i="1"/>
  <c r="S206" i="1"/>
  <c r="Q206" i="1"/>
  <c r="S205" i="1"/>
  <c r="Q205" i="1"/>
  <c r="S204" i="1"/>
  <c r="Q204" i="1"/>
  <c r="S203" i="1"/>
  <c r="Q203" i="1"/>
  <c r="S202" i="1"/>
  <c r="Q202" i="1"/>
  <c r="S201" i="1"/>
  <c r="Q201" i="1"/>
  <c r="S200" i="1"/>
  <c r="S220" i="1" s="1"/>
  <c r="Q200" i="1"/>
  <c r="R198" i="1"/>
  <c r="M198" i="1"/>
  <c r="J198" i="1"/>
  <c r="I198" i="1"/>
  <c r="H198" i="1"/>
  <c r="D198" i="1"/>
  <c r="S197" i="1"/>
  <c r="Q197" i="1"/>
  <c r="S196" i="1"/>
  <c r="S195" i="1"/>
  <c r="Q195" i="1"/>
  <c r="S193" i="1"/>
  <c r="Q193" i="1"/>
  <c r="S192" i="1"/>
  <c r="Q192" i="1"/>
  <c r="S191" i="1"/>
  <c r="Q191" i="1"/>
  <c r="S190" i="1"/>
  <c r="Q190" i="1"/>
  <c r="S189" i="1"/>
  <c r="Q189" i="1"/>
  <c r="S188" i="1"/>
  <c r="Q188" i="1"/>
  <c r="S187" i="1"/>
  <c r="Q187" i="1"/>
  <c r="S185" i="1"/>
  <c r="Q185" i="1"/>
  <c r="S184" i="1"/>
  <c r="Q184" i="1"/>
  <c r="S183" i="1"/>
  <c r="Q183" i="1"/>
  <c r="S181" i="1"/>
  <c r="Q181" i="1"/>
  <c r="S180" i="1"/>
  <c r="Q180" i="1"/>
  <c r="S179" i="1"/>
  <c r="Q179" i="1"/>
  <c r="S178" i="1"/>
  <c r="Q178" i="1"/>
  <c r="S177" i="1"/>
  <c r="Q177" i="1"/>
  <c r="S176" i="1"/>
  <c r="Q176" i="1"/>
  <c r="S175" i="1"/>
  <c r="Q175" i="1"/>
  <c r="Q172" i="1"/>
  <c r="S172" i="1" s="1"/>
  <c r="S198" i="1" s="1"/>
  <c r="S171" i="1"/>
  <c r="Q171" i="1"/>
  <c r="S170" i="1"/>
  <c r="Q170" i="1"/>
  <c r="S169" i="1"/>
  <c r="Q169" i="1"/>
  <c r="S168" i="1"/>
  <c r="Q168" i="1"/>
  <c r="S167" i="1"/>
  <c r="Q167" i="1"/>
  <c r="S166" i="1"/>
  <c r="Q166" i="1"/>
  <c r="S165" i="1"/>
  <c r="Q165" i="1"/>
  <c r="S164" i="1"/>
  <c r="Q164" i="1"/>
  <c r="S163" i="1"/>
  <c r="Q163" i="1"/>
  <c r="S162" i="1"/>
  <c r="Q162" i="1"/>
  <c r="S161" i="1"/>
  <c r="Q161" i="1"/>
  <c r="S160" i="1"/>
  <c r="Q160" i="1" s="1"/>
  <c r="S159" i="1"/>
  <c r="Q159" i="1"/>
  <c r="S158" i="1"/>
  <c r="Q158" i="1" s="1"/>
  <c r="S157" i="1"/>
  <c r="Q157" i="1"/>
  <c r="S156" i="1"/>
  <c r="Q156" i="1" s="1"/>
  <c r="S155" i="1"/>
  <c r="Q155" i="1"/>
  <c r="Q154" i="1"/>
  <c r="M152" i="1"/>
  <c r="D152" i="1"/>
  <c r="S149" i="1"/>
  <c r="M149" i="1"/>
  <c r="J149" i="1"/>
  <c r="I149" i="1"/>
  <c r="H149" i="1"/>
  <c r="S142" i="1"/>
  <c r="Q142" i="1"/>
  <c r="Q149" i="1" s="1"/>
  <c r="M140" i="1"/>
  <c r="J140" i="1"/>
  <c r="I140" i="1"/>
  <c r="H140" i="1"/>
  <c r="D140" i="1"/>
  <c r="S138" i="1"/>
  <c r="Q138" i="1" s="1"/>
  <c r="S137" i="1"/>
  <c r="Q137" i="1"/>
  <c r="S136" i="1"/>
  <c r="Q136" i="1" s="1"/>
  <c r="R136" i="1" s="1"/>
  <c r="R140" i="1" s="1"/>
  <c r="S135" i="1"/>
  <c r="Q135" i="1"/>
  <c r="S134" i="1"/>
  <c r="Q134" i="1" s="1"/>
  <c r="S133" i="1"/>
  <c r="Q133" i="1"/>
  <c r="R125" i="1"/>
  <c r="M125" i="1"/>
  <c r="D125" i="1"/>
  <c r="S116" i="1"/>
  <c r="S125" i="1" s="1"/>
  <c r="Q116" i="1"/>
  <c r="Q125" i="1" s="1"/>
  <c r="R113" i="1"/>
  <c r="P113" i="1"/>
  <c r="O113" i="1"/>
  <c r="M113" i="1"/>
  <c r="L113" i="1"/>
  <c r="K113" i="1"/>
  <c r="J113" i="1"/>
  <c r="I113" i="1"/>
  <c r="H113" i="1"/>
  <c r="D113" i="1"/>
  <c r="S112" i="1"/>
  <c r="Q112" i="1" s="1"/>
  <c r="S111" i="1"/>
  <c r="Q111" i="1"/>
  <c r="S110" i="1"/>
  <c r="Q110" i="1" s="1"/>
  <c r="S109" i="1"/>
  <c r="Q109" i="1"/>
  <c r="S108" i="1"/>
  <c r="Q108" i="1" s="1"/>
  <c r="S107" i="1"/>
  <c r="Q107" i="1"/>
  <c r="S106" i="1"/>
  <c r="Q106" i="1" s="1"/>
  <c r="S105" i="1"/>
  <c r="Q105" i="1"/>
  <c r="S104" i="1"/>
  <c r="Q104" i="1" s="1"/>
  <c r="S103" i="1"/>
  <c r="Q103" i="1"/>
  <c r="S102" i="1"/>
  <c r="Q102" i="1" s="1"/>
  <c r="Q100" i="1"/>
  <c r="S100" i="1" s="1"/>
  <c r="Q99" i="1"/>
  <c r="S98" i="1"/>
  <c r="Q98" i="1"/>
  <c r="S95" i="1"/>
  <c r="Q95" i="1"/>
  <c r="S92" i="1"/>
  <c r="Q92" i="1"/>
  <c r="Q86" i="1"/>
  <c r="R84" i="1"/>
  <c r="M84" i="1"/>
  <c r="M231" i="1" s="1"/>
  <c r="J84" i="1"/>
  <c r="J231" i="1" s="1"/>
  <c r="I84" i="1"/>
  <c r="I231" i="1" s="1"/>
  <c r="H84" i="1"/>
  <c r="H231" i="1" s="1"/>
  <c r="D84" i="1"/>
  <c r="S83" i="1"/>
  <c r="Q83" i="1"/>
  <c r="S82" i="1"/>
  <c r="Q82" i="1"/>
  <c r="S81" i="1"/>
  <c r="Q81" i="1"/>
  <c r="S80" i="1"/>
  <c r="S84" i="1" s="1"/>
  <c r="Q80" i="1"/>
  <c r="S79" i="1"/>
  <c r="Q79" i="1" s="1"/>
  <c r="S78" i="1"/>
  <c r="Q78" i="1"/>
  <c r="S77" i="1"/>
  <c r="Q77" i="1" s="1"/>
  <c r="S76" i="1"/>
  <c r="Q76" i="1"/>
  <c r="S75" i="1"/>
  <c r="Q75" i="1" s="1"/>
  <c r="S74" i="1"/>
  <c r="Q74" i="1"/>
  <c r="S73" i="1"/>
  <c r="Q73" i="1" s="1"/>
  <c r="S72" i="1"/>
  <c r="Q72" i="1"/>
  <c r="S71" i="1"/>
  <c r="Q71" i="1" s="1"/>
  <c r="S70" i="1"/>
  <c r="Q70" i="1"/>
  <c r="S69" i="1"/>
  <c r="Q69" i="1" s="1"/>
  <c r="S68" i="1"/>
  <c r="Q68" i="1"/>
  <c r="S67" i="1"/>
  <c r="Q67" i="1" s="1"/>
  <c r="S66" i="1"/>
  <c r="Q66" i="1"/>
  <c r="S65" i="1"/>
  <c r="Q65" i="1" s="1"/>
  <c r="S64" i="1"/>
  <c r="Q64" i="1"/>
  <c r="S63" i="1"/>
  <c r="Q63" i="1" s="1"/>
  <c r="S62" i="1"/>
  <c r="Q62" i="1"/>
  <c r="S61" i="1"/>
  <c r="Q61" i="1" s="1"/>
  <c r="S60" i="1"/>
  <c r="Q60" i="1"/>
  <c r="S59" i="1"/>
  <c r="Q59" i="1" s="1"/>
  <c r="S58" i="1"/>
  <c r="Q58" i="1"/>
  <c r="S57" i="1"/>
  <c r="Q57" i="1" s="1"/>
  <c r="S56" i="1"/>
  <c r="Q56" i="1"/>
  <c r="S55" i="1"/>
  <c r="Q55" i="1" s="1"/>
  <c r="S54" i="1"/>
  <c r="Q54" i="1"/>
  <c r="S53" i="1"/>
  <c r="Q53" i="1" s="1"/>
  <c r="S52" i="1"/>
  <c r="Q52" i="1"/>
  <c r="S51" i="1"/>
  <c r="Q51" i="1" s="1"/>
  <c r="M39" i="1"/>
  <c r="D39" i="1"/>
  <c r="D231" i="1" s="1"/>
  <c r="S38" i="1"/>
  <c r="R38" i="1" s="1"/>
  <c r="Q38" i="1" s="1"/>
  <c r="S37" i="1"/>
  <c r="R37" i="1" s="1"/>
  <c r="S36" i="1"/>
  <c r="Q36" i="1" s="1"/>
  <c r="R36" i="1"/>
  <c r="S35" i="1"/>
  <c r="R35" i="1"/>
  <c r="Q35" i="1"/>
  <c r="S34" i="1"/>
  <c r="R34" i="1" s="1"/>
  <c r="Q34" i="1" s="1"/>
  <c r="S33" i="1"/>
  <c r="R33" i="1" s="1"/>
  <c r="S32" i="1"/>
  <c r="Q32" i="1" s="1"/>
  <c r="R32" i="1"/>
  <c r="M21" i="1"/>
  <c r="D21" i="1"/>
  <c r="S19" i="1"/>
  <c r="R19" i="1" s="1"/>
  <c r="S18" i="1"/>
  <c r="Q18" i="1" s="1"/>
  <c r="R18" i="1"/>
  <c r="M16" i="1"/>
  <c r="D16" i="1"/>
  <c r="S13" i="1"/>
  <c r="R13" i="1" s="1"/>
  <c r="S12" i="1"/>
  <c r="Q12" i="1" s="1"/>
  <c r="R12" i="1"/>
  <c r="S11" i="1"/>
  <c r="R11" i="1"/>
  <c r="Q11" i="1"/>
  <c r="Q84" i="1" l="1"/>
  <c r="R231" i="1"/>
  <c r="Q113" i="1"/>
  <c r="Q140" i="1"/>
  <c r="Q198" i="1"/>
  <c r="S140" i="1"/>
  <c r="S86" i="1"/>
  <c r="S113" i="1" s="1"/>
  <c r="S231" i="1" s="1"/>
  <c r="Q13" i="1"/>
  <c r="Q19" i="1"/>
  <c r="Q33" i="1"/>
  <c r="Q37" i="1"/>
  <c r="Q23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C91F06FC-3B5B-42EF-AA92-A99A4BE161F1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79B9F422-B7D8-467D-B3FC-058EAAC71E44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BB32FCB8-CE61-43C8-8DF4-36A1879A507C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6B26EEC8-D70E-4D43-8D17-5DB34DAA88DD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E15CBAEB-95A5-41EC-AFA2-B937FD5B1DF3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E0E8AB64-04B5-46AC-9796-F4773E5CB719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6E00EC7-05D8-4E6E-881E-D5F2FB049DFB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479F96E3-13ED-4AE5-9408-2C809873F98F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AB64FDA-5727-4012-843A-49AC10B627CA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8D8B6C09-681E-4E90-B47E-FADADAD1EEF0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54DE11E-CB93-4194-A6BE-6A8F2E6FCFFD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430B821F-DD37-4406-91C4-44F669F29AE5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1B5A0463-B3BE-4901-8A86-950E8485273F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09B009CD-3796-4C49-A52A-0AC27625E1D6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24E27ECA-7AFD-473D-8821-EB47D2FF76AF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A3076DB9-5880-4F84-A5B0-31BB422C3F33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0CC6012-DF00-4E78-896A-4CC2B877413A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1551EDEE-5033-46CC-92A5-38EC4B9320CA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F35757D0-BE26-4F96-89AE-14EAF0240D8F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D590AF98-1430-4A47-A73D-C777F3B75066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517A466-C59D-46A0-8962-9DE2F7AA2712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1E409A69-26DB-43FD-BD65-3FF99212404F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6EC2CA60-61E5-41A0-8A6B-A429CFFCE6E0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BFE90816-7F46-4822-8027-5D409AA0EB64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0C10CF1-1192-4ED8-B6D3-EB63EF8B0C3F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6E251E53-060B-47C1-8702-3B35FD5AFC80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DEFF4C5-BD4E-40AC-A065-0DE6EC3E528D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D378E0A5-B7F9-4ADE-ACE4-967782D793C2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39CB35B-4CE3-49BA-8650-EBA63DD5D20F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DF515063-BCAF-4DD5-8263-09C6B16C8806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4D474273-D68D-4E0F-B8E4-C7692C3BD635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1369A7DF-A7C3-43BC-9A54-C76971EFC0D3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BBD5CDE5-BD82-430F-BFC1-68B7B70594A7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67BCAB67-FB74-4FBD-A21E-3BD4E52B4902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55547B2C-93D2-411C-89CD-3228F2A4A4CB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12C6E55A-9050-4E4A-8ED1-21520E97B792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124FC73-7940-4904-911D-3AA4ED5D7C54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D8D59639-BC5C-46AB-AA6B-916531BDD3AA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FFF84A6E-F267-4F51-8F58-472FBD204A72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4BD053C0-AC28-484D-B973-D45464E0BFE1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1174A89D-31EA-4E2A-A9AE-A3DD5EC72F0F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B4E0147D-5664-4CCC-9213-0CF2FDE726A5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DBE4C611-3F34-46DA-B9C0-D2EECE2EB44D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18160742-A48F-41C3-AF74-48411231D22C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A52F4DD2-52E9-4208-A606-2271D1BA15C5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B3C64A85-725E-493B-85C6-5D87FE736C40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BDA5BC1-4D3E-42B1-AF83-F6CACC209134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0F65027B-8BCE-4DE3-8733-83319CA85D60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F88F8787-3964-4D52-840A-DF47B91805F1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392B95D5-C772-4636-8A25-26628D8143B3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DF0D4752-A7FF-4C1B-9589-0E1BEBEC7540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1728BA9C-5120-4FFA-A035-91CCCEDB461E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2379D43D-A4F0-41F5-9875-AFD256A72791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4C891F5C-BEA1-43AA-A65F-3EE92D5E6F09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65F7F3B3-B010-4B4A-BF6F-FB016C42B0C6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A0B41E41-771D-4766-BC63-62FE773E0BD5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EB7B9D31-A036-4103-85C3-3109C0061961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5E01FCF2-A0E3-4605-9D7E-34F6312D3FE5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F91BF6D-C2C5-4BB1-9C52-753EBCD455E6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DF3681E6-F444-41E0-893B-42F75DBA5973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6128FB3-94BB-4383-AE86-B551AA40F937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B33DA7CB-2ED3-4D60-8121-CF2D2D1E85CB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B5BAD8C0-0E93-475C-92F4-9C986A274388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A7D9EBCD-C7FC-4C7F-8F81-818ECC965355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4D46FFA-E758-485C-98AB-D84756F3A12A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3AF87BF3-8BD3-4C2C-9167-A24030B7C6B5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678C463-2301-4859-9658-EE4E4866E795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81D3E083-AD5B-49D4-8919-E9C4151D35AF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A4D6F0A6-1708-40C4-BE99-77900CEA7518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68E0B68C-496D-4BCA-B386-8306BA667199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AE519400-F2E3-4BE0-A041-01B3A2AD0396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BE8C4A18-7DB1-4A17-81CB-9945AD59DC74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DF75B899-F716-48BB-8012-D260B6349EF0}">
      <text>
        <r>
          <rPr>
            <sz val="14"/>
            <color rgb="FF000000"/>
            <rFont val="Calibri"/>
            <family val="2"/>
            <scheme val="minor"/>
          </rPr>
          <t>ทร.ตร. ดำเนินการลงรายงานหนี้ค้าง เป็นปัจจุบัน ณ วันที่ 13 ก.ค.66 เรียบร้อยแล้วคาบ
	-ธนะโชติ เอี่ยมสุวรรณ</t>
        </r>
      </text>
    </comment>
    <comment ref="A3" authorId="0" shapeId="0" xr:uid="{FC2FEF4E-9DD1-4D8E-A064-7B06E105EF8E}">
      <text>
        <r>
          <rPr>
            <sz val="14"/>
            <color rgb="FF000000"/>
            <rFont val="Calibri"/>
            <family val="2"/>
            <scheme val="minor"/>
          </rPr>
          <t>======
ID#AAAA2w7ORf4
    (2023-08-11 15:10:20)
รายงานหนี้ค้าง ทร.ตร. ประจำเดือน พฤษภาคม 2566 เรียบร้อยแล้ว จัดเก็บ ณ วันที่ 31 พ.ค. 66
	-ธนะโชติ เอี่ยมสุวรรณ</t>
        </r>
      </text>
    </comment>
  </commentList>
</comments>
</file>

<file path=xl/sharedStrings.xml><?xml version="1.0" encoding="utf-8"?>
<sst xmlns="http://schemas.openxmlformats.org/spreadsheetml/2006/main" count="8273" uniqueCount="1001">
  <si>
    <t>สำนักงานท่าเทียบเรือประมงตราด</t>
  </si>
  <si>
    <t>รายละเอียดหนี้ค้างชำระค่าเช่าอาคารและที่ดิน</t>
  </si>
  <si>
    <t>ณ กันยายน 2568</t>
  </si>
  <si>
    <t>ลำดับ</t>
  </si>
  <si>
    <t>รายชื่อ</t>
  </si>
  <si>
    <t>สถานที่ตั้ง</t>
  </si>
  <si>
    <t>อัตราค่าเช่า</t>
  </si>
  <si>
    <t>ค้างชำระยกมา</t>
  </si>
  <si>
    <t>รับชำระ</t>
  </si>
  <si>
    <t>ค้างชำระยกไป</t>
  </si>
  <si>
    <t>ค้างตั้งแต่</t>
  </si>
  <si>
    <t>งวด</t>
  </si>
  <si>
    <t>อายุ</t>
  </si>
  <si>
    <t>ยอดหนี้</t>
  </si>
  <si>
    <t>วดป</t>
  </si>
  <si>
    <t>เลขที่ใบเสร็จ</t>
  </si>
  <si>
    <t>จำนวนเงิน</t>
  </si>
  <si>
    <t>หนี้</t>
  </si>
  <si>
    <t>ภาษีมูลค่าเพิ่ม</t>
  </si>
  <si>
    <t>รวม</t>
  </si>
  <si>
    <t>ค่าบริการสัตว์น้ำ 4600100</t>
  </si>
  <si>
    <t>-ไม่มี-</t>
  </si>
  <si>
    <t>ค่าธรรมเนียมสัตว์น้ำผ่านท่า 4600200</t>
  </si>
  <si>
    <t>นายจีระศักดิ์ สุขศรี</t>
  </si>
  <si>
    <t xml:space="preserve">ค่าธรรมเนียมสัตว์น้ำผ่านท่า </t>
  </si>
  <si>
    <t>25กย.68</t>
  </si>
  <si>
    <t>794/39670</t>
  </si>
  <si>
    <t>นายธเนษฐ์ ชูเมือง</t>
  </si>
  <si>
    <t>29กย.68</t>
  </si>
  <si>
    <t>794/39671</t>
  </si>
  <si>
    <t>นส.พิชชานันท์ ทองนุเคราะห์</t>
  </si>
  <si>
    <t>794/39673</t>
  </si>
  <si>
    <t>ค่าธรรมเนียมรถผ่านท่า 4600300</t>
  </si>
  <si>
    <t>รถผ่านท่า</t>
  </si>
  <si>
    <t>7222/361073</t>
  </si>
  <si>
    <t>7222/361074</t>
  </si>
  <si>
    <t>28.มิ.ย.67</t>
  </si>
  <si>
    <t>7221/361016</t>
  </si>
  <si>
    <t>7221/361015</t>
  </si>
  <si>
    <t>ค่าธรรมเนียมน้ำมันผ่านท่า 4600500</t>
  </si>
  <si>
    <t>ค่าธรรมเนียมใช้เครื่องชั่ง 4600600</t>
  </si>
  <si>
    <t>ค่าธรรมเนียมใช้สถานที่ 4600700</t>
  </si>
  <si>
    <t>นายสุเทพ เที่ยงธรรม</t>
  </si>
  <si>
    <t>ใข้สถานที่(จอดเรือ)</t>
  </si>
  <si>
    <t>เรือ พรรุ่งเรือง 9</t>
  </si>
  <si>
    <t>เรือ แสงจรรยา</t>
  </si>
  <si>
    <t>เดือนสิงหาคม 2568 ไม่มีเรือเข้า</t>
  </si>
  <si>
    <t>ค่าธรรมเนียมอื่นๆ 4600800</t>
  </si>
  <si>
    <t>ค่าเช่าที่จำหน่ายน้ำแข็งและเครื่องโม่ 4601100</t>
  </si>
  <si>
    <t>ค่าธรรมเนียมใช้เครน 4601300</t>
  </si>
  <si>
    <t>ค่าเช่าอาคารและที่ดิน 4700400</t>
  </si>
  <si>
    <t>ค่าเช่า เดือนละ2,070 บาท ตั้งแต่ 1พ.ย.64-31ต.ค.67</t>
  </si>
  <si>
    <t>นายพีระพงษ์  สุขสวัสดิ์</t>
  </si>
  <si>
    <t>อาคาร411-412</t>
  </si>
  <si>
    <t>ชำระล่วงหน้า</t>
  </si>
  <si>
    <t>5กย.68</t>
  </si>
  <si>
    <t>037/1841</t>
  </si>
  <si>
    <t>ชำระล่วงหน้า*</t>
  </si>
  <si>
    <t>นายพีระพงษ์  สุขสวัสดิ์ (ยกเลิกสัญญา 30 ก.ย.67)</t>
  </si>
  <si>
    <t>อาคาร413 / (ขออนุมัติยกเลิก ตั้งแต่ 30 ก.ย.67)</t>
  </si>
  <si>
    <t>นส.อรพรรณ อินทรประเสริฐ์</t>
  </si>
  <si>
    <t>อาคาร414</t>
  </si>
  <si>
    <t>6กย.68</t>
  </si>
  <si>
    <t>038/1856</t>
  </si>
  <si>
    <t>อาคาร415</t>
  </si>
  <si>
    <t>2กย.68</t>
  </si>
  <si>
    <t>037/1834</t>
  </si>
  <si>
    <t>อาคาร416</t>
  </si>
  <si>
    <t>037/1839</t>
  </si>
  <si>
    <t>นายชิต ทองเรือง</t>
  </si>
  <si>
    <t>อาคาร417</t>
  </si>
  <si>
    <t>สค.68</t>
  </si>
  <si>
    <t>เดือน</t>
  </si>
  <si>
    <t>30กย.68</t>
  </si>
  <si>
    <t>038/1870-1871</t>
  </si>
  <si>
    <t>ว่าง</t>
  </si>
  <si>
    <t>อาคาร418</t>
  </si>
  <si>
    <t>นายชาตรี  กิมสร้อย</t>
  </si>
  <si>
    <t>อาคาร419</t>
  </si>
  <si>
    <t>9กย.68</t>
  </si>
  <si>
    <t>038/1858</t>
  </si>
  <si>
    <t>อาคาร420</t>
  </si>
  <si>
    <t>อาคาร421</t>
  </si>
  <si>
    <t>นายประดิษฐ์  อุตสาหะ</t>
  </si>
  <si>
    <t>อาคาร422</t>
  </si>
  <si>
    <t>1กย.68</t>
  </si>
  <si>
    <t>037/1832</t>
  </si>
  <si>
    <t>นส.ปาริยา ขำสม</t>
  </si>
  <si>
    <t>อาคาร423</t>
  </si>
  <si>
    <t>23กย.68</t>
  </si>
  <si>
    <t>038/1868</t>
  </si>
  <si>
    <t>อาคาร424-425</t>
  </si>
  <si>
    <t>สำนักงานทร.ตราด</t>
  </si>
  <si>
    <t>อาคาร426-427</t>
  </si>
  <si>
    <t>อาคาร428</t>
  </si>
  <si>
    <t>นายธนาวุธ โสดา</t>
  </si>
  <si>
    <t>อาคาร429 / (ขออนุมัติยกเลิก ตั้งแต่ 31 ธ.ค.67)1708.8/8</t>
  </si>
  <si>
    <t>น.ส.อิสรา ผลเสนา (ยกเลิกสัญญาเช่า 30 ก.ย.67)</t>
  </si>
  <si>
    <t>อาคาร430 / (ขออนุมัติยกเลิก ตั้งแต่ 30 ก.ย.67)</t>
  </si>
  <si>
    <t>บริษัท วนการ จำกัด</t>
  </si>
  <si>
    <t>เช่าอาคารโรงน้ำแข็ง</t>
  </si>
  <si>
    <t>037/1837</t>
  </si>
  <si>
    <t>ค่าเช่ารายเดือน อัตรา 37,375บาท ตั้งแต่ 1 ม.ค.65-31ธ.ค.67</t>
  </si>
  <si>
    <t>นายสุทัศน์  ทศดารา</t>
  </si>
  <si>
    <t>เช่าที่ดิน</t>
  </si>
  <si>
    <t>038/1867</t>
  </si>
  <si>
    <t>ค่าเช่ารายเดือน อัตรา 15,525บาท ตั้งแต่ 1 ม.ค.62-31ก.ค.65 (อยู่ระหว่างจัดทำสัญญาใหม่)</t>
  </si>
  <si>
    <t>นายพรณรง โชคอุดมพร</t>
  </si>
  <si>
    <t>เช่าที่ดิน 800 ตรว.</t>
  </si>
  <si>
    <t>038/1853</t>
  </si>
  <si>
    <t>ค่าเช่ารายเดือน อัตรา 14,000บาท ตั้งแต่ 1 ม.ค.64-31 ส.ค.67</t>
  </si>
  <si>
    <t>หจก.โชคธารทองการก่อสร้าง</t>
  </si>
  <si>
    <t>ค่าเช่าที่ดิน 225 ตรว.</t>
  </si>
  <si>
    <t>037/1843</t>
  </si>
  <si>
    <t>ค่าเช่ารายเดือน อัตรา 7,000บาท ตั้งแต่ 1 ม.ค.64-31 ส.ค.67</t>
  </si>
  <si>
    <t>เนื้อที่ 27 ตรว.</t>
  </si>
  <si>
    <t>19กย.68</t>
  </si>
  <si>
    <t>038/1861</t>
  </si>
  <si>
    <t>ค่าเช่ารายเดือน อัตรา 3,970 บาท/เดือน สัญญาเช่าใหม่เริ่มตั้งแต่ วันที่ 1 ธ.ค.67 - 30 พ.ย.70</t>
  </si>
  <si>
    <t>ปรับเพิ่มค่าเช่าใหม่ 15 % จากเดือนละ 3,450 บาท/เดือน ปรับเพิ่มขึ้นเป็นอัตรา 3,970 บาท/เดือน ตั้งแต่เดือน ธ.ค.67 เป็นต้นไป</t>
  </si>
  <si>
    <t>ค่าเช่าที่ดิน(เพิ่มเติม) ตั้งแต่เดือน ธ.ค.67 ถึง ส.ค.68 จำนวน 9 เดือนๆละ 520 บาท จากการปรับอัตราค่าเช่าใหม่</t>
  </si>
  <si>
    <t>ธค.67-สค.68</t>
  </si>
  <si>
    <t>038/1862</t>
  </si>
  <si>
    <t>ชำระค่าเช่าเดือน ต.ค.68 (บางส่วน) ใบเสร็จเล่มที่ 038/1865 ลว.19 กย.68 จำนวน 520 บาท</t>
  </si>
  <si>
    <t>038/1865</t>
  </si>
  <si>
    <t>ตค.68</t>
  </si>
  <si>
    <t>เช่าที่ดิน 30 ตรว.</t>
  </si>
  <si>
    <t>038/1855</t>
  </si>
  <si>
    <t>ค่าเช่ารายเดือน อัตรา 3,450บาท ตั้งแต่ 1 ก.พ.64-31 ม.ค.67</t>
  </si>
  <si>
    <t>ค่าเช่าที่รายปี (ค่าเช่าอาคารและที่ดิน) 4700400</t>
  </si>
  <si>
    <t>นายพล เจริญรัตน์</t>
  </si>
  <si>
    <t>เนื้อที่ 22 ตรว.</t>
  </si>
  <si>
    <t>( อัตราค่าเช่า 2,100.00 บาท/ปี ) สัญญาเริ่มตั้งแต่ 17 ก.ย.67 ถึง 16 ก.ย.68</t>
  </si>
  <si>
    <t>1.1 ปรับเพิ่มอัตราค่าเช่าปีที่ 1 ใหม่ 15% ในอัตราปีละ 2,415 บาท/ปี วันที่ 17 ก.ย.66 ถึง 16 ก.ย.67</t>
  </si>
  <si>
    <t>ปี</t>
  </si>
  <si>
    <t>037/1844</t>
  </si>
  <si>
    <t>1.2 ปรับเพิ่มอัตราค่าเช่าปีที่ 2 ใหม่ 15% ในอัตราปีละ 2,415 บาท/ปี วันที่ 17 ก.ย.67 ถึง 16 ก.ย.68</t>
  </si>
  <si>
    <t>037/1845</t>
  </si>
  <si>
    <t>1.3 ชำระค่าเช่าที่ดินปีที่ 3 อัตรา 2,415 บาท วันที่ 17 ก.ย.68 ถึง 16 ก.ย.69</t>
  </si>
  <si>
    <t>037/1846</t>
  </si>
  <si>
    <t>ชำระเรียบร้อยแล้วตามใบเสร็จ 1349/67444 ลว.12 ธ.ค.67= 2,100.-</t>
  </si>
  <si>
    <t>นส.หทัยรัตน์ ดาราพงษ์</t>
  </si>
  <si>
    <t>เนื้อที่ 110 ตรว.</t>
  </si>
  <si>
    <t xml:space="preserve">(อัตราเช่าปีละ 9,775.- บาท) เริ่มตั้งแต่ 1 พย.64-31ตค.67 ระยะเวลา 3 ปี / โดยชำระค่าเช่าปีที่ 1 ตั้งแต่ 1พ.ย.64-31ต.ค.65 เมื่อ 22 มีค.65 จำนวน 9,775 บาท 885/88458 , ชำระค่าเช่าปีที่ 2 ตั้งแต่ 1 พ.ย.65-31ต.ค.66 เมื่อวันที่ 22 พ.ย.65 จำนวน 9,775.- บาท 889/88880 , ชำระค่าเช่าปีที่ 3 ตั้งแต่ 1 พ.ย.66-31ต.ค.67 เมื่อวันที่ 8 พ.ย.66 จำนวน 9,775.- บาท 1327/66305 </t>
  </si>
  <si>
    <t>ชำระล่วงหน้าสัญญาใหม่ปีที่ 1 (เริ่มวันที่ 1 พ.ย.67 ถึง 31 ต.ค.68) ตามใบเสร็จเล่มที่ 1351/67509 เมื่อวันที่ 17 ก.พ.67 = 9,775.00 บาท/เพิ่มเติม ตามใบเสร็จ 1352/67560 ลว.3เมย.68 ยอด 1,470.- บาท</t>
  </si>
  <si>
    <t>นางบุญยิ่ง จันทร (นายสุทิน วิเศษพันธ์)</t>
  </si>
  <si>
    <t>เนื้อที่ 30 ตรว.</t>
  </si>
  <si>
    <t xml:space="preserve">ปีละ 2,800.- ชำระ 1 ปี ตามใบเสร็จ 036/1752 ลว.16 มิย.68 ชำระ 1กพ.67-31มค.68 เดือนละ 233.33 </t>
  </si>
  <si>
    <t xml:space="preserve">ปีละ 2,800.- ชำระ 1 ปี ตามใบเสร็จ 036/1753 ลว.16 มิย.68 ชำระ 1กพ.68-31มค.69 เดือนละ 233.33 </t>
  </si>
  <si>
    <t>นส.มโนรส หนูแก้ว</t>
  </si>
  <si>
    <t>ที่ริมตลิ่งทิศตะวันออกข้างโรงคลุม</t>
  </si>
  <si>
    <t>เก็บเงินก่อนทำสัญญา ยอด14,547.50 เป็นยอดสัญญาเก่า หากมีการอนุมัติแล้ว จะปรับตามสัญญา และจัดเก็บเพิ่มเติมอีกครั้ง</t>
  </si>
  <si>
    <t>นายฉลอม สุขสมบูรณ์</t>
  </si>
  <si>
    <t>เนื้อที่ 76 ตรว.</t>
  </si>
  <si>
    <t xml:space="preserve">ผออ.อนุมัติต่อสัญญาเช่าใหม่ ในอัตราค่าเช่าปีละ 8,050 บาท/ปี หรือ ( 670.84 บาท/เดือน ) เริ่มตั้งแต่ 1 มิ.ย.68-31 พ.ค.69 </t>
  </si>
  <si>
    <t>เนื้อที่ 16 ตรว.</t>
  </si>
  <si>
    <t>ปีละ 1,300.- (887/88662 ลว 4 สค.65 )1 พย.64-31ตค.65   ภาษีเดือนละ 138 บาท</t>
  </si>
  <si>
    <t>อยู่ในพื้นที่ ตั้งหนี้ พ.ย.66 - ต.ค.67 เดือนละ 108.34 บาท หมดสัญญา 31 ต.ค.67</t>
  </si>
  <si>
    <t>นางสาวชไมพร รัตนวาร</t>
  </si>
  <si>
    <t>ที่ดิน</t>
  </si>
  <si>
    <t>888/88722 ลว.6 กย.65 1 กค.65-30มิย.66  2,000.- (เดือนละ 166.67)</t>
  </si>
  <si>
    <t>จ่ายมาในวันที่ 28 ก.พ.67 เลขที่ใบเสร็จ1329/66417 จำนวน 2,000 บาท</t>
  </si>
  <si>
    <t>จ่าย 8 พ.ค.67 เลขที่ใบเสร็จ 1344/6715 จำนวน 2,000 บาท จ่ายก่อนทำสัญญา รอบ 1 ก.ค.66 - 30 มิ.ย.69</t>
  </si>
  <si>
    <t>สัญญาใหม่ปรับเพิ่ม 15% จากปีละ 2,000 บาท / เป็น ปีละ 2,300 บาท (ระยะเวลา 3 ปี)</t>
  </si>
  <si>
    <t>ปีที่ 1 /เริ่มตั้งแต่ 1 ก.ค.66 ถึง 30 มิ.ย.67 ชำระค่าเช่า(เพิ่มเติม) 300 บาท เล่มที่ 037/1818 ลว.30 ส.ค.68</t>
  </si>
  <si>
    <t>ปีที่ 2 / เริ่มตั้งแต่ 1 ก.ค.67 ถึง 30 มิ.ย.68 ชำระยอดใหม่ 2,300 บาท/ปี เล่มที่ 037/1819 ลว. 30 ส.ค.68</t>
  </si>
  <si>
    <t>ปีที่ 3 / เริ่มตั้งแต่ 1 ก.ค.68 ถึง 30 มิ.ย.69 ชำระยอดใหม่ 2,300 บาท/ปี เล่มที่ 037/1819 ลว. 30 ส.ค.68</t>
  </si>
  <si>
    <t>ค่าเช่าที่อื่นๆ 4700700</t>
  </si>
  <si>
    <t>โรงคลุม 1-2</t>
  </si>
  <si>
    <t>038/1854</t>
  </si>
  <si>
    <t>โรงคลุม3</t>
  </si>
  <si>
    <t>038/1872</t>
  </si>
  <si>
    <t>โรงคลุม4</t>
  </si>
  <si>
    <t>037/1835</t>
  </si>
  <si>
    <t>โรงคลุม5</t>
  </si>
  <si>
    <t>038/1859</t>
  </si>
  <si>
    <t>นายธีรวัจน์ ทองคำ</t>
  </si>
  <si>
    <t>โรงคลุม6</t>
  </si>
  <si>
    <t>038/1852</t>
  </si>
  <si>
    <t>โรงคลุม7</t>
  </si>
  <si>
    <t>โรงคลุม8</t>
  </si>
  <si>
    <t>โรงคลุม9</t>
  </si>
  <si>
    <t>โรงคลุม10</t>
  </si>
  <si>
    <t>โรงคลุม11-12</t>
  </si>
  <si>
    <t>ค่าสุขาภิบาล 4701420</t>
  </si>
  <si>
    <t>ค่าจำหน่ายน้ำประปา 4700200</t>
  </si>
  <si>
    <t>ค่าจำหน่ายไฟฟ้า 4700300</t>
  </si>
  <si>
    <t>จำหน่ายไฟฟ้า/(เหมาจ่าย)</t>
  </si>
  <si>
    <t>794/39667</t>
  </si>
  <si>
    <t>จำหน่ายไฟฟ้า/(มิเตอร์ไฟฟ้า3เฟส)</t>
  </si>
  <si>
    <t>22กย.68</t>
  </si>
  <si>
    <t>794/39669</t>
  </si>
  <si>
    <t>นางสาวพิชชานันท์ ทองนุเคราะห์</t>
  </si>
  <si>
    <t>จำหน่ายไฟฟ้า/(ชั่วคราว)</t>
  </si>
  <si>
    <t>794/39672</t>
  </si>
  <si>
    <t>เรือตรวจการประมงทะเล 612</t>
  </si>
  <si>
    <t>15กย.68</t>
  </si>
  <si>
    <t>794/39668</t>
  </si>
  <si>
    <t>ค่าต่ออายุสัญญา/สิทธิการเช่าโอนเป็นรายได้ 4700900</t>
  </si>
  <si>
    <t>**หมายเหตุุ**ผ่อนชำระค่าต่อสัญญาเช่าใหม่ จำนวน 6 งวดๆละ 1,368.00 บาท รวมทั้งสิ้นเป็นเงิน 8,208.00 บาท</t>
  </si>
  <si>
    <t>นางสาวชญาภา บุญญสุวรรณ (ชื่อเดิม) นางสาวหทัยรัตน์ ดาราพงษ์</t>
  </si>
  <si>
    <t>ค่าต่ออายุสัญญาเช่า (เริ่มตั้งแต่ 1 พ.ย.67 สิ้นสุด 31 ต.ค.70) ระยะเวลา 3 ปี</t>
  </si>
  <si>
    <t>ชำระวันที่ 25 ก.ค.68 เล่มที่.036/1786 ลว. 25.ก.ค.68 จำนวน 11,880.00 บาท</t>
  </si>
  <si>
    <t>17กย.66-16กย.69</t>
  </si>
  <si>
    <t>037/1850</t>
  </si>
  <si>
    <t>ค่าต่สัญญาเช่าที่ดิน 22 ตารางวา เริ่มตั้งแต่ 17 ก..ย.66 ถึง 16 ก.ย.69 ระยะเวลา 3 ปี</t>
  </si>
  <si>
    <t>ชำระมาเมื่อวันที่ 5 ก.ย.68 เล่มที่ 037/1850 ลว. 5 ก.ย.68 จำนวน 2,376 บาท</t>
  </si>
  <si>
    <t>รายได้ค่าปรับ 4701400</t>
  </si>
  <si>
    <t>ค่าปรับชำระเงินล่าช้า อาคาร417</t>
  </si>
  <si>
    <t>038/1876-1877</t>
  </si>
  <si>
    <t xml:space="preserve">ค่าภาษีโรงเรือน </t>
  </si>
  <si>
    <t>ภาษีโรงเรือน411-412</t>
  </si>
  <si>
    <t>037/1842</t>
  </si>
  <si>
    <t>นายพีระพงษ์  สุขสวัสดิ์ (ยกเลิกสัญญาเช่า 30 ก.ย.67)</t>
  </si>
  <si>
    <t>ภาษีโรงเรือน413 / (ขออนุมัติยกเลิก ตั้งแต่ 30 ก.ย.67)</t>
  </si>
  <si>
    <t>ภาษีโรงเรือน414</t>
  </si>
  <si>
    <t>038/1857</t>
  </si>
  <si>
    <t>ภาษีโรงเรือน415</t>
  </si>
  <si>
    <t>037/1836</t>
  </si>
  <si>
    <t>ภาษีโรงเรือน416</t>
  </si>
  <si>
    <t>037/1840</t>
  </si>
  <si>
    <t>ภาษีโรงเรือน417</t>
  </si>
  <si>
    <t>038/1874-1875</t>
  </si>
  <si>
    <t>ภาษีโรงเรือน418</t>
  </si>
  <si>
    <t>ภาษีโรงเรือน419</t>
  </si>
  <si>
    <t>038/1860</t>
  </si>
  <si>
    <t>ภาษีโรงเรือน420</t>
  </si>
  <si>
    <t>ภาษีโรงเรือน421</t>
  </si>
  <si>
    <t>ภาษีโรงเรือน422</t>
  </si>
  <si>
    <t>037/1833</t>
  </si>
  <si>
    <t>ภาษีโรงเรือน423</t>
  </si>
  <si>
    <t>038/1869</t>
  </si>
  <si>
    <t>ภาษีโรงเรือน424-425</t>
  </si>
  <si>
    <t>ภาษีโรงเรือน426-427</t>
  </si>
  <si>
    <t>ภาษีโรงเรือน428</t>
  </si>
  <si>
    <t>ภาษีโรงเรือน429  (ขออนุมัติยกเลิก ตั้งแต่ 31 ธ.ค.67)</t>
  </si>
  <si>
    <t xml:space="preserve">น.ส.อิสรา ผลเสนา </t>
  </si>
  <si>
    <t>ภาษีโรงเรือน430 (ขออนุมัติยกเลิก ตั้งแต่ 30 ก.ย.67)</t>
  </si>
  <si>
    <t>ภาษีโรงเรือนเช่าอาคารโรงน้ำแข็ง</t>
  </si>
  <si>
    <t>037/1838</t>
  </si>
  <si>
    <t>ภาษีโรงเรือนเนื้อที่ 110 ตรว.  (รายปี)</t>
  </si>
  <si>
    <t>สัญญาเริ่ม 1 พ.ย.67 - 31 ต.ค.70 จำนวน 3 ปี/ ภาษีรายปีๆละ 1,222.00 บาท</t>
  </si>
  <si>
    <t>(ชำระล่วงหน้าปีที่1) 1พ.ย.67-31ต.ค.68 เล่มที่ 1351/67510 เมื่อ 17.ก.พ.68 จำนวน 1,222 บาท/ ชำระเพิ่มเติม ตามใบเสร็จ 1352/67561 ลว.3เม.ย.68 ยอด 152.- บาท</t>
  </si>
  <si>
    <t>ภาษีโรงเรือนเนื้อที่ 16 ตรว.(รายปี)</t>
  </si>
  <si>
    <t>สัญญาใหม่เริ่ม 1 พ.ย.67 - 31 ต.ค.70 ชำระล่วงหน้า 3 ปี</t>
  </si>
  <si>
    <t>ชำระล่วงหน้า 1 ปี (ตั้งแต่วันที่ 1 พ.ย.67 ถึง 31 ต.ค.68) เลขที่ใบเสร็จ 135/67478 เมื่อวันที่ 21 ม.ค.68 จำนวน 138 บาท</t>
  </si>
  <si>
    <t>ภาษีโรงเรือนเนื้อที่ 76 ตรว.(รายปี)</t>
  </si>
  <si>
    <t>สัญญาเริ่ม 1 มิ.ย.67 -31 ก.ค.68 (ชำระปี 2568 ตามใบเสร็จ 1348/67381 ลว.31 ตค.67 ยอด 845.00บาท)</t>
  </si>
  <si>
    <t>อยู่ระหว่างต่อสัญญา ขาดยอดภาษีส่วนต่าง 120 บาท</t>
  </si>
  <si>
    <r>
      <t xml:space="preserve">รอบ 1 มิ.ย.66 -31 พ.ค.67 (ปีที่3) / </t>
    </r>
    <r>
      <rPr>
        <b/>
        <sz val="16"/>
        <color rgb="FFFF0000"/>
        <rFont val="AngsanaUPC"/>
        <family val="1"/>
      </rPr>
      <t>ปรับภาษีที่ดินจากสัญญาเก่าในอัตรา 750.00 บาท/ปี สัญญาใหม่(ปรับเพิ่มขึ้น 12.5%) เป็นเงิน 845.00 บาท/ปี  (ชำระมาเมื่อวันที่ 31 ต.ค.67 เล่มที่ 1348/67381 จำนวน 845.00 บาท)</t>
    </r>
  </si>
  <si>
    <t>ภาษีโรงเรือนเนื้อที่ 22 ตรว.</t>
  </si>
  <si>
    <t>ภาษีที่ดินปีที่ 1 (เพิ่มเติม) 17 ก.ย.66 ถึง 16 ก.ย.67 (สัญญาใหม่เริ่มตั้งแต่ 17 ก.ย.66 สิ้นสุด 16 ก.ย.69) ปรับภาษีใหม่ 310 บาท/ปี จากอัตราเดิม 263 บาท/ปี</t>
  </si>
  <si>
    <t>037/1847</t>
  </si>
  <si>
    <t>ภาษีที่ดินปีที่ 2 (เพิ่มเติม) 17 ก.ย.67 ถึง 16 ก.ย.68 (สัญญาใหม่เริ่มตั้งแต่ 17 ก.ย.66 สิ้นสุด 16 ก.ย.69) ปรับภาษีใหม่ 310 บาท/ปี จากอัตราเดิม 263 บาท/ปี</t>
  </si>
  <si>
    <t>037/1848</t>
  </si>
  <si>
    <t>ภาษีที่ดินปีที่ 3 (เพิ่มเติม) 17 ก.ย.68 ถึง 16 ก.ย.69 (สัญญาใหม่เริ่มตั้งแต่ 17 ก.ย.66 สิ้นสุด 16 ก.ย.69) ปรับภาษีใหม่ 310 บาท/ปี จากอัตราเดิม 263 บาท/ปี</t>
  </si>
  <si>
    <t>037/1849</t>
  </si>
  <si>
    <t>( สัญญาเก่าเริ่มตั้งแต่วันที่ 17 ก.ย.66 - 16 ก.ย.67 ) อัตรา 263 บาท/ปี</t>
  </si>
  <si>
    <t>ภาษีโรงเรือนเนื้อที่ 30 ตรว.</t>
  </si>
  <si>
    <t>สัญญาเริ่ม 1 กพ.67 - 31 ม.ค.69  จ่ายรอบค่าภาษีปีที่1 ตั้งแต่ 1ก.พ.67 - 31 ม.ค.68 ลงวันที่ 16 มิย.68 เลขที่ ใบเสร็จ 036/1754 จำนวน 350 บาท</t>
  </si>
  <si>
    <t>จ่ายรอบค่าภาษีปีที่1 ตั้งแต่ 1ก.พ.68 - 31 ม.ค.69 ลงวันที่ 16 มิย.68 เลขที่ ใบเสร็จ 036/1755 จำนวน 350 บาท</t>
  </si>
  <si>
    <t>ภาษีโรงเรือนที่ดินและสิ่งปลูกสร้าง</t>
  </si>
  <si>
    <t>ภาษีฯสัญญาใหม่ / ปีที่ 1 (เริ่ม 1 ก.ค.66 - 30 มิ.ย.67) ภาษีฯปีละ 250 บาท (ปรับเพิ่มขึ้น) = 40 บาท/เดือน เป็นอัตราปีละ 290 บาท</t>
  </si>
  <si>
    <t xml:space="preserve">ชำระเยอด(เพิ่มเติม) / ปีที่ 1 ( ตามใบเสร็จ 037/1821 ลว. 30 ส.ค.68 จำนวน 40 บาท ) </t>
  </si>
  <si>
    <t xml:space="preserve">ภาษีฯสัญญาใหม่ / ปีที่ 2 (เริ่ม 1 ก.ค.67 - 30 มิ.ย.68) อัตราปีละ 290 บาท ( ตามใบเสร็จ 037/1822 ลว. 30 ส.ค.68 จำนวน 290 บาท ) </t>
  </si>
  <si>
    <t xml:space="preserve">ภาษีฯสัญญาใหม่ / ปีที่ 1 (เริ่ม 1 ก.ค.68 - 30 มิ.ย.69) อัตราปีละ 290 บาท ( ตามใบเสร็จ 037/1823 ลว. 30 ส.ค.68 จำนวน 290 บาท ) </t>
  </si>
  <si>
    <t>สัญญาเริ่ม 1 ก.ค.63 - 30 มิ.ย.66  วันที่ 8 พ.ค.67 ลว.1344/67176-177 จำนวน 500 บาท</t>
  </si>
  <si>
    <t>จ่ายรอบตั้งแต่ 1 ก.ค.65 - 30 มิ.ย.66 เป็นเงิน 250 บาทจ่ายภาษีล่วงหน้ารอทำสัญญาใหม่</t>
  </si>
  <si>
    <t>ภาษีโรงเรือนเช่าที่ดิน 30 ตรว.</t>
  </si>
  <si>
    <t>ค่าประกันอัคคีภัย</t>
  </si>
  <si>
    <t>อาคารโรงน้ำแข็ง</t>
  </si>
  <si>
    <t>อาคารบ้านไม้ชั้นเดียว</t>
  </si>
  <si>
    <t>อาคารโรงน้ำแข็งไม้</t>
  </si>
  <si>
    <t>นายพีรพงษ์ สุขสวัสดิ์</t>
  </si>
  <si>
    <t>อาคารเลขที่ 411-412</t>
  </si>
  <si>
    <t>อาคารเลขที่ 413</t>
  </si>
  <si>
    <t>นางสาวอรพรรณ อินทรประเสริฐ</t>
  </si>
  <si>
    <t>อาคารเลขที่ 414</t>
  </si>
  <si>
    <t>อาคารเลขที่ 415</t>
  </si>
  <si>
    <t>อาคารเลขที่ 416</t>
  </si>
  <si>
    <t>อาคารเลขที่ 417</t>
  </si>
  <si>
    <t>อาคารเลขที่ 418</t>
  </si>
  <si>
    <t>อาคารเลขที่ 419</t>
  </si>
  <si>
    <t>อาคารเลขที่ 420</t>
  </si>
  <si>
    <t>อาคารเลขที่ 421</t>
  </si>
  <si>
    <t>อาคารเลขที่ 422</t>
  </si>
  <si>
    <t>อาคารเลขที่ 423</t>
  </si>
  <si>
    <t>อาคารเลขที่ 424-425</t>
  </si>
  <si>
    <t>อาคารเลขที่ 426-427</t>
  </si>
  <si>
    <t>อาคารเลขที่ 428</t>
  </si>
  <si>
    <t>อาคารเลขที่ 429</t>
  </si>
  <si>
    <t>อาคารเลขที่ 430</t>
  </si>
  <si>
    <t>เงินประกันสัญญา</t>
  </si>
  <si>
    <t>ที่ดินพื้นที่ 76 ตาราวา</t>
  </si>
  <si>
    <t>นส.ชญาภา บุญญสุวรรณ ชื่อเดิม นส.หทัยรัตน์ ดาราพงษ์</t>
  </si>
  <si>
    <t>ที่ดินพื้นที่ 110 ตาราวา</t>
  </si>
  <si>
    <t>-</t>
  </si>
  <si>
    <t>ค่าเงินประกันสัญญาเช่า(เพิ่มเติม) มียอดเงินประกันเก่า จำนวน 15,795.00 บาท เริ่มตั้งแต่ 1พ.ย.67 ถึง 31 ต.ค.70</t>
  </si>
  <si>
    <t>ชำระเงินประกัน(เพิ่มเติม)สัญญาใหม่ เมื่อวันที่ 25 ก.ค.68 เล่มที่036/1787 ลว.25ก.ค.68 จำนวน 17,940 บาท</t>
  </si>
  <si>
    <t>ที่ดินเนื้อที่ 22 ตารางวา</t>
  </si>
  <si>
    <t>17กย.66-16ก.ย.69</t>
  </si>
  <si>
    <t>038/1851</t>
  </si>
  <si>
    <t>อาคารพาณิชย์(เลขที่414)</t>
  </si>
  <si>
    <t>1พย.66-31ตค.70</t>
  </si>
  <si>
    <t>20กย.68</t>
  </si>
  <si>
    <t>038/1866</t>
  </si>
  <si>
    <t>ที่ดินเนื้อที่ 27 ตารางวา</t>
  </si>
  <si>
    <t>1ธค.67-30พย.70</t>
  </si>
  <si>
    <t>038/1864</t>
  </si>
  <si>
    <t>รวมเป็นเงินทั้งสิ้น</t>
  </si>
  <si>
    <t>ณ ตุลาคม 2568</t>
  </si>
  <si>
    <t>29ตค.68</t>
  </si>
  <si>
    <t>795/39704</t>
  </si>
  <si>
    <t>795/39705</t>
  </si>
  <si>
    <t>31ตค.68</t>
  </si>
  <si>
    <t>795/39706</t>
  </si>
  <si>
    <t>7223/361101</t>
  </si>
  <si>
    <t>7223/361102</t>
  </si>
  <si>
    <t xml:space="preserve">เรือ ป.โชคทรัพย์สมบัติ 8 </t>
  </si>
  <si>
    <t>795/39703</t>
  </si>
  <si>
    <t>7ตค.68</t>
  </si>
  <si>
    <t>039/1912</t>
  </si>
  <si>
    <t>039/1910</t>
  </si>
  <si>
    <t>4ตค.68</t>
  </si>
  <si>
    <t>039/1907</t>
  </si>
  <si>
    <t>2ตค.68</t>
  </si>
  <si>
    <t>039/1905</t>
  </si>
  <si>
    <t>9ตค.68</t>
  </si>
  <si>
    <t>039/1919</t>
  </si>
  <si>
    <t>039/1901</t>
  </si>
  <si>
    <t>30ตค.68</t>
  </si>
  <si>
    <t>039/1933</t>
  </si>
  <si>
    <t>039/1903</t>
  </si>
  <si>
    <t>15ตค.68</t>
  </si>
  <si>
    <t>039/1922</t>
  </si>
  <si>
    <t>039/1916</t>
  </si>
  <si>
    <t>039/1914</t>
  </si>
  <si>
    <t>21ตค.68</t>
  </si>
  <si>
    <t>039/1928</t>
  </si>
  <si>
    <t>039/1918</t>
  </si>
  <si>
    <t>( อัตราค่าเช่า 2,100.00 บาท/ปี ) สัญญาเริ่มตั้งแต่ 17 ก.ย.67 ถึง 16 ก.ย.68ชำระเรียบร้อยแล้วตามใบเสร็จ 1349/67444 ลว.12 ธ.ค.67= 2,100.- บาท</t>
  </si>
  <si>
    <t>ปรับค่าเช่าเพิ่ขึ้น 15% จากอัตราเดิม 920 บาท</t>
  </si>
  <si>
    <t>ปรับเป็น 1,100 บาท/เดือน ตั้งแต่เดือน ก.ย.68</t>
  </si>
  <si>
    <t>สิ้นสุดเดือน ส.ค.69 ระยะเวลา 1 ปี</t>
  </si>
  <si>
    <t>กย.68 - ตค.68</t>
  </si>
  <si>
    <t>039/1917</t>
  </si>
  <si>
    <t>039/1908</t>
  </si>
  <si>
    <t>21ตค.68,25ตค.68</t>
  </si>
  <si>
    <t>039/1927,'039/1932</t>
  </si>
  <si>
    <t>039/1920</t>
  </si>
  <si>
    <t>039/1915</t>
  </si>
  <si>
    <t>795/39701</t>
  </si>
  <si>
    <t>25ตค.68</t>
  </si>
  <si>
    <t>795/39702</t>
  </si>
  <si>
    <t>795/39707</t>
  </si>
  <si>
    <t>039/1913</t>
  </si>
  <si>
    <t>039/1911</t>
  </si>
  <si>
    <t>039/1909</t>
  </si>
  <si>
    <t>039/1906</t>
  </si>
  <si>
    <t>039/1921</t>
  </si>
  <si>
    <t>039/1902</t>
  </si>
  <si>
    <t>039/1934</t>
  </si>
  <si>
    <t>039/1904</t>
  </si>
  <si>
    <t>ชำระเมื่อวันที่ 5 ก.ย.68 เล่มที่ 037/1850 ลว. 5 ก.ย.68 จำนวน 2,376 บาท</t>
  </si>
  <si>
    <t>นายพีรพงษ์ สุขสวัสดิ์ เช่าอาคารพาณิชย์ (เลขที่ 411-412) / 2 คูหา</t>
  </si>
  <si>
    <t>1พย.67-31ตค.70</t>
  </si>
  <si>
    <t>039/1923</t>
  </si>
  <si>
    <t>ค่าธรรมเนียมต่อสัญญาเช่า เริ่มตั้งแต่ 1.พ.ย.67 ถึง 31.ต.ค.70 ระยะเวลา 3 ปี</t>
  </si>
  <si>
    <t>ชำระเมื่อวันที่ 21ตค.68 เล่มที่ 039/1923 จำนวนเงิน 10,400 บาท</t>
  </si>
  <si>
    <t>นางสาวอรพรรณ  อินทรประเสริฐ์ เช่าอาคารพาณิชย์ (เลขที่414) / 1 คูหา</t>
  </si>
  <si>
    <t>23ตค.68</t>
  </si>
  <si>
    <t>039/1931</t>
  </si>
  <si>
    <t>ชำระเมื่อวันที่ 23ตค.68 เล่มที่ 039/1931 จำนวนเงิน 5,200 บาท</t>
  </si>
  <si>
    <t>นายธเนษฐ  ชูเมือง เช่าอาคารพาณิชย์ (เลขที่415) / 1 คูหา</t>
  </si>
  <si>
    <t>039/1924</t>
  </si>
  <si>
    <t>ชำระเมื่อวันที่ 21ตค.68 เล่มที่ 039/1924 จำนวนเงิน 5,200 บาท</t>
  </si>
  <si>
    <t>นายสุเทพ เที่ยงธรรม เช่าอาคารพาณิชย์ (เลขที่416) / 1 คูหา</t>
  </si>
  <si>
    <t>039/1930</t>
  </si>
  <si>
    <t>ชำระเมื่อวันที่ 21ตค.68 เล่มที่ 039/1930 จำนวนเงิน 5,200 บาท</t>
  </si>
  <si>
    <t>นายชิต  ทองเรือง เช่าอาคารพาณิชย์ (เลขที่ 417) / 1 คูหา</t>
  </si>
  <si>
    <t>นายชาตรี  กิมสร้อย เช่าอาคารพาณิชย์ (เลขที่ 419-420 ) / 2 คูหา</t>
  </si>
  <si>
    <t>039/1935</t>
  </si>
  <si>
    <t>ชำระเมื่อวันที่ 31ตค.68 เล่มที่ 039/1935 จำนวนเงิน 10,400 บาท</t>
  </si>
  <si>
    <t>นายประดิษฐ์ อุสาหะ เช่าอาคารพาณิชย์ (เลขที่ 422 ) / 1 คูหา</t>
  </si>
  <si>
    <t>039/1929</t>
  </si>
  <si>
    <t>ชำระเมื่อวันที่ 21ตค.68 เล่มที่ 039/1929 จำนวนเงิน 5,200 บาท</t>
  </si>
  <si>
    <t>นางสาวปริยา  ขำสม เช่าอาคารพาณิชย์ (เลขที่ 423 ) / 1 คูหา</t>
  </si>
  <si>
    <t>นายธเนษฐ ชูเมือง</t>
  </si>
  <si>
    <t>เช่าพื้นที่โรงคลุม(ล็อคที่4)</t>
  </si>
  <si>
    <t>1.กย.68 - 31ส.ค.69</t>
  </si>
  <si>
    <t>039/1925</t>
  </si>
  <si>
    <t xml:space="preserve">เงินประกันสัญญาเช่าพื้นที่(ชั่วคราว) ระยะเวลา 1 ปี </t>
  </si>
  <si>
    <t>รับล่วงหน้า</t>
  </si>
  <si>
    <t>หนี้ค้าง 1 เดือน</t>
  </si>
  <si>
    <t>ณ พฤศจิกายน 2568</t>
  </si>
  <si>
    <t>28พย.68</t>
  </si>
  <si>
    <t>795/39722</t>
  </si>
  <si>
    <t>795/39721</t>
  </si>
  <si>
    <t>7223/361104</t>
  </si>
  <si>
    <t>7223/361103</t>
  </si>
  <si>
    <t>ใช้สถานที่(จอดเรือ)</t>
  </si>
  <si>
    <t>เรือ ส.ลาภเจริญชัย  , ส.ลาภเจริญชัย 9</t>
  </si>
  <si>
    <t>เรือ โชควงศ์นาวา 2</t>
  </si>
  <si>
    <t>เรือ กุญชรโชค 57 , กุญชรโชค 89</t>
  </si>
  <si>
    <t>เรือ เพชรมณี 5</t>
  </si>
  <si>
    <t>เรือ ป.ทรัพย์สมบัติ 8</t>
  </si>
  <si>
    <t>เรือ ทรัพย์รุ่งวัฒนา</t>
  </si>
  <si>
    <t>10พย.68</t>
  </si>
  <si>
    <t>795/39709</t>
  </si>
  <si>
    <t>795/39710</t>
  </si>
  <si>
    <t>795/39711</t>
  </si>
  <si>
    <t>12พย.68</t>
  </si>
  <si>
    <t>795/39712</t>
  </si>
  <si>
    <t>14พย.68</t>
  </si>
  <si>
    <t>795/39715</t>
  </si>
  <si>
    <t>23พย.68</t>
  </si>
  <si>
    <t>795/39716</t>
  </si>
  <si>
    <t>24พย.68</t>
  </si>
  <si>
    <t>795/39717</t>
  </si>
  <si>
    <t>25พย.68</t>
  </si>
  <si>
    <t>795/39720</t>
  </si>
  <si>
    <t>7พย.68</t>
  </si>
  <si>
    <t>039/1949</t>
  </si>
  <si>
    <t>040/1951</t>
  </si>
  <si>
    <t>4พย.68</t>
  </si>
  <si>
    <t>039/1939</t>
  </si>
  <si>
    <t>6พย.68</t>
  </si>
  <si>
    <t>039/1946</t>
  </si>
  <si>
    <t>10,30พย.68</t>
  </si>
  <si>
    <t>040/1955,1968</t>
  </si>
  <si>
    <t>11พย.68</t>
  </si>
  <si>
    <t>040/1959</t>
  </si>
  <si>
    <t>3พย.68</t>
  </si>
  <si>
    <t>039/1937</t>
  </si>
  <si>
    <t>040/1965</t>
  </si>
  <si>
    <t>039/1942</t>
  </si>
  <si>
    <t>040/1962</t>
  </si>
  <si>
    <t>8พย.68</t>
  </si>
  <si>
    <t>040/1953</t>
  </si>
  <si>
    <t>039/1948</t>
  </si>
  <si>
    <t>040/1964</t>
  </si>
  <si>
    <t>039/1945</t>
  </si>
  <si>
    <t>พย.68</t>
  </si>
  <si>
    <t>039/1944</t>
  </si>
  <si>
    <t>040/1956,1969</t>
  </si>
  <si>
    <t>039/1940</t>
  </si>
  <si>
    <t>040/1960</t>
  </si>
  <si>
    <t>040/1954</t>
  </si>
  <si>
    <t>795/39708</t>
  </si>
  <si>
    <t>795/39718</t>
  </si>
  <si>
    <t>795/39723</t>
  </si>
  <si>
    <t>795/39713,39714</t>
  </si>
  <si>
    <t>795/39719</t>
  </si>
  <si>
    <t>795/39725</t>
  </si>
  <si>
    <t>040/1958</t>
  </si>
  <si>
    <t>039/1950</t>
  </si>
  <si>
    <t>039/1952</t>
  </si>
  <si>
    <t>039/1941</t>
  </si>
  <si>
    <t>039/1947</t>
  </si>
  <si>
    <t>040/1957,1970</t>
  </si>
  <si>
    <t>040/1961</t>
  </si>
  <si>
    <t>039/1938</t>
  </si>
  <si>
    <t>040/1966</t>
  </si>
  <si>
    <t>039/1943</t>
  </si>
  <si>
    <t>ณ ธันวาคม 2568</t>
  </si>
  <si>
    <t>29ธค.68</t>
  </si>
  <si>
    <t>795/39738</t>
  </si>
  <si>
    <t>795/39739</t>
  </si>
  <si>
    <t>30ธค.68</t>
  </si>
  <si>
    <t>795/39740</t>
  </si>
  <si>
    <t>7223/361105</t>
  </si>
  <si>
    <t>7223/361106</t>
  </si>
  <si>
    <t>8ธค.68</t>
  </si>
  <si>
    <t>795/39727</t>
  </si>
  <si>
    <t>10ธค.68</t>
  </si>
  <si>
    <t>795/39728</t>
  </si>
  <si>
    <t>795/39729</t>
  </si>
  <si>
    <t>795/39730</t>
  </si>
  <si>
    <t>795/39731</t>
  </si>
  <si>
    <t>24ธค.68</t>
  </si>
  <si>
    <t>795/39736</t>
  </si>
  <si>
    <t>795/39737</t>
  </si>
  <si>
    <t>นางสาวมณทนาฯ เรือ เพชรมณี 5</t>
  </si>
  <si>
    <t xml:space="preserve">เรือ ส.ลาภเจริญชัย  </t>
  </si>
  <si>
    <t>เรือ ส.ลาภเจริญชัย 9</t>
  </si>
  <si>
    <t>เรือ กุญชรโชค 89</t>
  </si>
  <si>
    <t>เรือ กุญชรโชค 57</t>
  </si>
  <si>
    <t>เรือ ลาภบุญหยง 333</t>
  </si>
  <si>
    <t>เรือ บ.บุญหยง 5</t>
  </si>
  <si>
    <t>5ธค.68</t>
  </si>
  <si>
    <t>040/1985</t>
  </si>
  <si>
    <t>4ธค.68</t>
  </si>
  <si>
    <t>040/1974</t>
  </si>
  <si>
    <t>040/1976</t>
  </si>
  <si>
    <t>040/1983</t>
  </si>
  <si>
    <t>31ธค.68</t>
  </si>
  <si>
    <t>041/2001</t>
  </si>
  <si>
    <t>040/1989</t>
  </si>
  <si>
    <t>040/1981</t>
  </si>
  <si>
    <t>040/1999</t>
  </si>
  <si>
    <t>040/1979</t>
  </si>
  <si>
    <t>26ธค.68</t>
  </si>
  <si>
    <t>040/1996</t>
  </si>
  <si>
    <t>040/1971</t>
  </si>
  <si>
    <t>040/1987</t>
  </si>
  <si>
    <t>040/1998</t>
  </si>
  <si>
    <t>040/1973</t>
  </si>
  <si>
    <t>22ธค.68</t>
  </si>
  <si>
    <t>040/1992</t>
  </si>
  <si>
    <t>23ธค.68</t>
  </si>
  <si>
    <t>040/1994</t>
  </si>
  <si>
    <t>040/1972</t>
  </si>
  <si>
    <t>041/2002</t>
  </si>
  <si>
    <t>040/1977</t>
  </si>
  <si>
    <t>040/1990</t>
  </si>
  <si>
    <t>7ธค.68</t>
  </si>
  <si>
    <t>040/1988</t>
  </si>
  <si>
    <t>795/39726</t>
  </si>
  <si>
    <t>21ธค.68</t>
  </si>
  <si>
    <t>795/39733</t>
  </si>
  <si>
    <t>795/39741</t>
  </si>
  <si>
    <t>18ธค.68</t>
  </si>
  <si>
    <t>795/39732</t>
  </si>
  <si>
    <t>ธค.68</t>
  </si>
  <si>
    <t>795/39735</t>
  </si>
  <si>
    <t>795/39734</t>
  </si>
  <si>
    <t>เรือ โชคบุญหยง 18</t>
  </si>
  <si>
    <t>040/1986</t>
  </si>
  <si>
    <t>040/1975</t>
  </si>
  <si>
    <t>040/1978</t>
  </si>
  <si>
    <t>040/1984</t>
  </si>
  <si>
    <t>041/2003</t>
  </si>
  <si>
    <t>040/1991</t>
  </si>
  <si>
    <t>040/1982</t>
  </si>
  <si>
    <t>040/2000</t>
  </si>
  <si>
    <t>040/1980</t>
  </si>
  <si>
    <t>040/1993</t>
  </si>
  <si>
    <t>040/1995</t>
  </si>
  <si>
    <t>ณ มกราคม 2569</t>
  </si>
  <si>
    <t>29มค.69</t>
  </si>
  <si>
    <t>1281/64007</t>
  </si>
  <si>
    <t>1281/64006</t>
  </si>
  <si>
    <t>1281/64009</t>
  </si>
  <si>
    <t>7223/361108</t>
  </si>
  <si>
    <t>7223/361107</t>
  </si>
  <si>
    <t>เรือ ส.โชคนาวานำทรัพย์</t>
  </si>
  <si>
    <t>เรือ ก.ทรัพย์เกรียงไกร , ก.ทรัพย์เกรียงไกร 8</t>
  </si>
  <si>
    <t>เรือ โชควงศ์นาวา 2 (ส.โชคนาวานำทรัพย์)</t>
  </si>
  <si>
    <t>เรือ บุญหยง 8</t>
  </si>
  <si>
    <t>5มค.69</t>
  </si>
  <si>
    <t>795/39742</t>
  </si>
  <si>
    <t>7มค.69</t>
  </si>
  <si>
    <t>795/39744</t>
  </si>
  <si>
    <t>795/39745</t>
  </si>
  <si>
    <t>9มค.69</t>
  </si>
  <si>
    <t>795/39746</t>
  </si>
  <si>
    <t>795/39747</t>
  </si>
  <si>
    <t>10มค.69</t>
  </si>
  <si>
    <t>795/39748</t>
  </si>
  <si>
    <t>13มค.69</t>
  </si>
  <si>
    <t>795/39749</t>
  </si>
  <si>
    <t>14มค.69</t>
  </si>
  <si>
    <t>795/39750</t>
  </si>
  <si>
    <t>16มค.69</t>
  </si>
  <si>
    <t>1281/64001</t>
  </si>
  <si>
    <t>041/2006</t>
  </si>
  <si>
    <t>041/2015</t>
  </si>
  <si>
    <t>041/2008</t>
  </si>
  <si>
    <t>041/2018</t>
  </si>
  <si>
    <t>30มค.69</t>
  </si>
  <si>
    <t>041/2030</t>
  </si>
  <si>
    <t>8มค.69</t>
  </si>
  <si>
    <t>041/2021</t>
  </si>
  <si>
    <t>041/2011</t>
  </si>
  <si>
    <t>27มค.69</t>
  </si>
  <si>
    <t>041/2025</t>
  </si>
  <si>
    <t>041/2004</t>
  </si>
  <si>
    <t>041/2028</t>
  </si>
  <si>
    <t>6มค.69</t>
  </si>
  <si>
    <t>041/2020</t>
  </si>
  <si>
    <t>041/2017</t>
  </si>
  <si>
    <t>041/2027</t>
  </si>
  <si>
    <t>041/2014</t>
  </si>
  <si>
    <t>041/2013</t>
  </si>
  <si>
    <t>041/2031</t>
  </si>
  <si>
    <t>041/2010</t>
  </si>
  <si>
    <t>041/2022</t>
  </si>
  <si>
    <t>041/2024</t>
  </si>
  <si>
    <t>795/39743</t>
  </si>
  <si>
    <t>21มค.69</t>
  </si>
  <si>
    <t>1281/64003</t>
  </si>
  <si>
    <t>1281/64008</t>
  </si>
  <si>
    <t>20มค.69</t>
  </si>
  <si>
    <t>1281/64002</t>
  </si>
  <si>
    <t>มค.69</t>
  </si>
  <si>
    <t>22มค.69</t>
  </si>
  <si>
    <t>1281/64004</t>
  </si>
  <si>
    <t>25มค.69</t>
  </si>
  <si>
    <t>1281/64005</t>
  </si>
  <si>
    <t>041/2007</t>
  </si>
  <si>
    <t>041/2016</t>
  </si>
  <si>
    <t>041/2009</t>
  </si>
  <si>
    <t>041/2019</t>
  </si>
  <si>
    <t>041/2032</t>
  </si>
  <si>
    <t>041/2023</t>
  </si>
  <si>
    <t>041/2012</t>
  </si>
  <si>
    <t>041/2026</t>
  </si>
  <si>
    <t>041/2005</t>
  </si>
  <si>
    <t>หนี้ 1 เดือน</t>
  </si>
  <si>
    <t>ณ กุมภาพันธ์ 2569</t>
  </si>
  <si>
    <t>26กพ.69</t>
  </si>
  <si>
    <t>1281/64027</t>
  </si>
  <si>
    <t>1281/64026</t>
  </si>
  <si>
    <t>27กพ.69</t>
  </si>
  <si>
    <t>1281/64036</t>
  </si>
  <si>
    <t>7223/361110</t>
  </si>
  <si>
    <t>7223/361109</t>
  </si>
  <si>
    <t>6กพ.69</t>
  </si>
  <si>
    <t>1281/64011</t>
  </si>
  <si>
    <t>7กพ.69</t>
  </si>
  <si>
    <t>1281/64013</t>
  </si>
  <si>
    <t>1281/64014</t>
  </si>
  <si>
    <t>8กพ.69</t>
  </si>
  <si>
    <t>1281/64015</t>
  </si>
  <si>
    <t>เรือ ป.โชคทรัพย์สมบัติ 8</t>
  </si>
  <si>
    <t>1281/64016</t>
  </si>
  <si>
    <t>เรือ ส.ภิญโญสิน 2</t>
  </si>
  <si>
    <t>13กพ.69</t>
  </si>
  <si>
    <t>1281/64017</t>
  </si>
  <si>
    <t>1281/64018</t>
  </si>
  <si>
    <t xml:space="preserve">เรือ ก.ทรัพย์เกรียงไกร </t>
  </si>
  <si>
    <t>20กพ.69</t>
  </si>
  <si>
    <t>1281/64021</t>
  </si>
  <si>
    <t>เรือ ก.ทรัพย์เกรียงไกร 8</t>
  </si>
  <si>
    <t>1281/64022</t>
  </si>
  <si>
    <t>1281/64023</t>
  </si>
  <si>
    <t>1281/64024</t>
  </si>
  <si>
    <t>26กพ69</t>
  </si>
  <si>
    <t>1281/64028</t>
  </si>
  <si>
    <t>เรือ กุญชรโชค 10</t>
  </si>
  <si>
    <t>1281/64029</t>
  </si>
  <si>
    <t xml:space="preserve">เรือ เพชรมณี </t>
  </si>
  <si>
    <t>1281/64030</t>
  </si>
  <si>
    <t>เรือ บุญหยง 11</t>
  </si>
  <si>
    <t>1281/64031</t>
  </si>
  <si>
    <t>เรือ บ.บุญหยง 9</t>
  </si>
  <si>
    <t>1281/64032</t>
  </si>
  <si>
    <t>1281/64033</t>
  </si>
  <si>
    <t>1281/64034</t>
  </si>
  <si>
    <t>เรือ อ.ธมลวรรณ 4</t>
  </si>
  <si>
    <t>28กพ.69</t>
  </si>
  <si>
    <t>1281/64037</t>
  </si>
  <si>
    <t>9กพ.69</t>
  </si>
  <si>
    <t>041/2052</t>
  </si>
  <si>
    <t>5กพ.69</t>
  </si>
  <si>
    <t>041/2039</t>
  </si>
  <si>
    <t>4กพ.69</t>
  </si>
  <si>
    <t>041/2033</t>
  </si>
  <si>
    <t>041/2043</t>
  </si>
  <si>
    <t>042/2056</t>
  </si>
  <si>
    <t>041/2049</t>
  </si>
  <si>
    <t>041/2041</t>
  </si>
  <si>
    <t>042/2060</t>
  </si>
  <si>
    <t>041/2037</t>
  </si>
  <si>
    <t>042/2054</t>
  </si>
  <si>
    <t>041/2036</t>
  </si>
  <si>
    <t>041/2048</t>
  </si>
  <si>
    <t>042/2059</t>
  </si>
  <si>
    <t>041/2046</t>
  </si>
  <si>
    <t>กพ.69</t>
  </si>
  <si>
    <t>041/2045</t>
  </si>
  <si>
    <t>042/2057</t>
  </si>
  <si>
    <t>041/2035</t>
  </si>
  <si>
    <t>042/2051</t>
  </si>
  <si>
    <t>041/2047</t>
  </si>
  <si>
    <t>1281/64012</t>
  </si>
  <si>
    <t>18กพ.69</t>
  </si>
  <si>
    <t>1281/64019</t>
  </si>
  <si>
    <t>1281/64035</t>
  </si>
  <si>
    <t>1281/64010</t>
  </si>
  <si>
    <t>19กพ.69</t>
  </si>
  <si>
    <t>1281/64020</t>
  </si>
  <si>
    <t>24กพ.69</t>
  </si>
  <si>
    <t>1281/64025</t>
  </si>
  <si>
    <t>041/2053</t>
  </si>
  <si>
    <t>041/2040</t>
  </si>
  <si>
    <t>4กพ69</t>
  </si>
  <si>
    <t>041/2034</t>
  </si>
  <si>
    <t>041/2044</t>
  </si>
  <si>
    <t>042/2058</t>
  </si>
  <si>
    <t>041/2050</t>
  </si>
  <si>
    <t>041/2042</t>
  </si>
  <si>
    <t>042/2061</t>
  </si>
  <si>
    <t>041/2038</t>
  </si>
  <si>
    <t>ณ มีนาคม 2569</t>
  </si>
  <si>
    <t>22มีค.69</t>
  </si>
  <si>
    <t>1282/64060</t>
  </si>
  <si>
    <t>28มีค.69</t>
  </si>
  <si>
    <t>1282/64059</t>
  </si>
  <si>
    <t>29มีค.69</t>
  </si>
  <si>
    <t>1282/64061</t>
  </si>
  <si>
    <t>7223/361112</t>
  </si>
  <si>
    <t>7223/361111</t>
  </si>
  <si>
    <t>เรือ จ.ธนาวุธนาวี 9</t>
  </si>
  <si>
    <t>1มีค.69</t>
  </si>
  <si>
    <t>1281/64038</t>
  </si>
  <si>
    <t>7มีค.69</t>
  </si>
  <si>
    <t>1281/64041</t>
  </si>
  <si>
    <t>1281/64042</t>
  </si>
  <si>
    <t>เรือ ส.ลาภเจริญชัย</t>
  </si>
  <si>
    <t>1281/64043</t>
  </si>
  <si>
    <t>1281/64044</t>
  </si>
  <si>
    <t>1281/64045</t>
  </si>
  <si>
    <t>9มีค.69</t>
  </si>
  <si>
    <t>1281/64048</t>
  </si>
  <si>
    <t>25มีค.69</t>
  </si>
  <si>
    <t>1282/64052</t>
  </si>
  <si>
    <t>เรือ เพชรมณี</t>
  </si>
  <si>
    <t>26มีค.69</t>
  </si>
  <si>
    <t>1282/64053</t>
  </si>
  <si>
    <t>27มีค.69</t>
  </si>
  <si>
    <t>1282/64055</t>
  </si>
  <si>
    <t>เรือ ส.ภิญโญสิน 24</t>
  </si>
  <si>
    <t>1282/64054</t>
  </si>
  <si>
    <t>1282/64058</t>
  </si>
  <si>
    <t>1282/64057</t>
  </si>
  <si>
    <t xml:space="preserve">เรือ กุญชรโชค 57 </t>
  </si>
  <si>
    <t>1282/64056</t>
  </si>
  <si>
    <t>30มีค.69</t>
  </si>
  <si>
    <t>1282/64063</t>
  </si>
  <si>
    <t>เรือ ส.แสงจรรยา 5</t>
  </si>
  <si>
    <t>1282/64064</t>
  </si>
  <si>
    <t>10มีค.69</t>
  </si>
  <si>
    <t>042/2082</t>
  </si>
  <si>
    <t>5มีค.69</t>
  </si>
  <si>
    <t>042/2074</t>
  </si>
  <si>
    <t>042/2066</t>
  </si>
  <si>
    <t>042/2069</t>
  </si>
  <si>
    <t>31มีค.69</t>
  </si>
  <si>
    <t>043/2104</t>
  </si>
  <si>
    <t>042/2077</t>
  </si>
  <si>
    <t>042/2072</t>
  </si>
  <si>
    <t>043/2101</t>
  </si>
  <si>
    <t>042/2064</t>
  </si>
  <si>
    <t>043/2103</t>
  </si>
  <si>
    <t>6มีค.69</t>
  </si>
  <si>
    <t>042/2071</t>
  </si>
  <si>
    <t>042/2081</t>
  </si>
  <si>
    <t>042/2100</t>
  </si>
  <si>
    <t>042/2063</t>
  </si>
  <si>
    <t>20มีค.69</t>
  </si>
  <si>
    <t>042/2092</t>
  </si>
  <si>
    <t>ปรับเพิ่มค่าเช่าใหม่ 15 % เป็นเดือนละ 3,220 บาท/ปี ตั้งแต่เดือน 1ก.พ.67 ถึง 31 ม.ค.68 (ปีที่1) หรือ เดือนละ 268.34 บาท</t>
  </si>
  <si>
    <t>1กพ.67-31มค.68</t>
  </si>
  <si>
    <t>042/2090</t>
  </si>
  <si>
    <t>ปรับเพิ่มค่าเช่าใหม่ 15 % เป็นเดือนละ 3,220 บาท/ปี ตั้งแต่เดือน 1ก.พ.68 ถึง 31 ม.ค.69 (ปีที่2) หรือ เดือนละ 268.34 บาท</t>
  </si>
  <si>
    <t>1กพ.68-31มค.69</t>
  </si>
  <si>
    <t>042/2091</t>
  </si>
  <si>
    <t>(ขออนุมัติ ผออ. ต่อสัญญาเช่าใหม่ เริ่มตั้งแต่วันที่ 1กพ.67 ถึง 31มค.70 ระยะเวลา 3 ปี ค่าเช่าปีละ 3,220 บาท) / โดยผู้เช่าชำระค่าเช่าล่วงหน้าประจำปีที่ 3 เริ่มตั้งแต่วันที่ 1กพ.69 ถึง 31มค.70 จำนวน 3,220 บาท ตามใบเสร็จเล่มที่ 042/2092 ลว. 20 มีค.69</t>
  </si>
  <si>
    <t>ค่าเช่าปีที่ 1 ปรับเพิ่ม 15% เป็นอัตราค่าเช่าปีละ 1,500 บาท/ปี (เริ่มตั้งแต่วันที่ 1พย.67 ถึง 31ตค.68)</t>
  </si>
  <si>
    <t>1พย.67-31ตค.68</t>
  </si>
  <si>
    <t>17มีค.69</t>
  </si>
  <si>
    <t>042/2084</t>
  </si>
  <si>
    <t>ค่าเช่าปีที่ 2 ปรับเพิ่ม 15% เป็นอัตราค่าเช่าปีละ 1,500 บาท/ปี (เริ่มตั้งแต่วันที่ 1พย.68 ถึง 31ตค.69)</t>
  </si>
  <si>
    <t>1พย.68-31ตค.69</t>
  </si>
  <si>
    <t>042/2085</t>
  </si>
  <si>
    <t xml:space="preserve">(ขออนุมัติ ผออ. ต่อสัญญาเช่าใหม่ เริ่มตั้งแต่วันที่ 1พย.67 ถึง 31ตค.70 ระยะเวลา 3 ปี ค่าเช่าปีละ 1,500 บาท) / โดยผู้เช่าชำระค่าเช่าล่วงหน้าประจำปีที่ 2 เริ่มตั้งแต่วันที่ 1พย.68 ถึง 31ตค.69 จำนวน 1,300 บาท </t>
  </si>
  <si>
    <t>สัญญาเช่าเดิมอัตราปีละ 1,300.- บาท (887/88662 ลว 4 สค.65 ) ตั้งแต่วันที่ 1 พย.64 - 31ตค.67   / ภาษีที่ดินฯ อัตราปีละ 138 บาท/ปี</t>
  </si>
  <si>
    <t>อยู่ในพื้นที่ ตั้งหนี้ พ.ย.66 - ต.ค.67 เดือนละ 108.34 บาท หมดสัญญาวันที่ 31 ต.ค.67</t>
  </si>
  <si>
    <t>042/2062</t>
  </si>
  <si>
    <t>043/2106</t>
  </si>
  <si>
    <t>042/2080</t>
  </si>
  <si>
    <t>8มีค.69</t>
  </si>
  <si>
    <t>042/2076</t>
  </si>
  <si>
    <t>1281/64039</t>
  </si>
  <si>
    <t>23มีค.69</t>
  </si>
  <si>
    <t>1281/64050</t>
  </si>
  <si>
    <t>1282/64062</t>
  </si>
  <si>
    <t>1281/64040</t>
  </si>
  <si>
    <t>มีค.69</t>
  </si>
  <si>
    <t>1281/64047</t>
  </si>
  <si>
    <t>24มีค.69</t>
  </si>
  <si>
    <t>1282/64051</t>
  </si>
  <si>
    <t>042/2075</t>
  </si>
  <si>
    <t>042/2068</t>
  </si>
  <si>
    <t>042/2070</t>
  </si>
  <si>
    <t>043/2105</t>
  </si>
  <si>
    <t>042/2079</t>
  </si>
  <si>
    <t>042/2073</t>
  </si>
  <si>
    <t>043/2102</t>
  </si>
  <si>
    <t>042/2065</t>
  </si>
  <si>
    <t>(ปรับเพิ่ม) ภาษีที่ดินฯ ปีที่ 1 / ประจำปี 2568 เริ่มตั้งแต่วันที่ 1พย.67 ถึง 31ตค.68 ระยะเวลา 1 ปี จากอัตราเดิม 138 บาท/ปี ปรับเพิ่มขึ้นเป็น 188 บาท/ปี ( ใบเสร็จเล่มที่ 042/2086 ลว. 17 มีค.69 )</t>
  </si>
  <si>
    <t>042/2086</t>
  </si>
  <si>
    <t>(ปรับเพิ่ม) ภาษีที่ดินฯ ปีที่ 1 / ประจำปี 2569 เริ่มตั้งแต่วันที่ 1พย.68 ถึง 31ตค.69 ระยะเวลา 1 ปี จากอัตราเดิม 138 บาท/ปี ปรับเพิ่มขึ้นเป็น 188 บาท/ปี ( ใบเสร็จเล่มที่ 042/2087 ลว.17 มีค.69 )</t>
  </si>
  <si>
    <t>042/2087</t>
  </si>
  <si>
    <t>(ขออนุมัติ ผออ. ต่อสัญญาเช่าใหม่ ระยะเวลา 3 ปี เริ่มตั้งแต่วันที่ 1 พ.ย.67 ถึง 31 ต.ค.70 )</t>
  </si>
  <si>
    <t>042/2095</t>
  </si>
  <si>
    <t>ปรับเพิ่มภาษีที่ดินฯ ปีที่ 1 / ประจำปี 2568 ตั้งแต่วันที่ 1กพ.67 ถึง 31มค.68 จากเดิม 350 บาท/ปี ปรับเพิ่มเป็น 405 บาท/ปี (ส่วนต่างที่ปรับเพิ่มขี้น จำนวน 55 บาท/ปี)</t>
  </si>
  <si>
    <t>042/2093</t>
  </si>
  <si>
    <t>ปรับเพิ่มภาษีที่ดินฯ ปีที่ 2 / ประจำปี 2569 ตั้งแต่วันที่ 1กพ.68 ถึง 31มค.69 จากเดิม 350 บาท/ปี ปรับเพิ่มเป็น 405 บาท/ปี (ส่วนต่างที่ปรับเพิ่มขี้น จำนวน 55 บาท/ปี)</t>
  </si>
  <si>
    <t>042/2094</t>
  </si>
  <si>
    <t>ชำระค่าภาษีที่ดินฯ ปีที่ 3 / ประจำปี 2570 ตั้งแต่วันที่ 1กพ.69 ถึง 31มค.70 ชำระล่วงหน้ามา จำนวน 405 บาท ตามใบเสร็จเล่มที่ 042/2095 ลว. 20มีค.69</t>
  </si>
  <si>
    <t>ณ มีนาคม2569</t>
  </si>
  <si>
    <t>ณ เมษายน 2569</t>
  </si>
  <si>
    <t>27เมย.69</t>
  </si>
  <si>
    <t>1282/64080</t>
  </si>
  <si>
    <t>28เมย.69</t>
  </si>
  <si>
    <t>1282/64081</t>
  </si>
  <si>
    <t>1282/64083</t>
  </si>
  <si>
    <t>7223/361113</t>
  </si>
  <si>
    <t>7223/361114</t>
  </si>
  <si>
    <t>4เมย.69</t>
  </si>
  <si>
    <t>1282/64065</t>
  </si>
  <si>
    <t>6เมย.69</t>
  </si>
  <si>
    <t>1282/64066</t>
  </si>
  <si>
    <t>21เมย.69</t>
  </si>
  <si>
    <t>1282/64068</t>
  </si>
  <si>
    <t>26เมย.69</t>
  </si>
  <si>
    <t>1282/64071</t>
  </si>
  <si>
    <t>1282/64072</t>
  </si>
  <si>
    <t>1282/64073</t>
  </si>
  <si>
    <t>1282/64074</t>
  </si>
  <si>
    <t>1282/64075</t>
  </si>
  <si>
    <t>1282/64076</t>
  </si>
  <si>
    <t>1282/64077</t>
  </si>
  <si>
    <t>1282/64078</t>
  </si>
  <si>
    <t>1282/64079</t>
  </si>
  <si>
    <t>เรือ ว.พรทวีทรัพย์</t>
  </si>
  <si>
    <t>29เมย.69</t>
  </si>
  <si>
    <t>1282/64084</t>
  </si>
  <si>
    <t>7เมย.69</t>
  </si>
  <si>
    <t>043/2126</t>
  </si>
  <si>
    <t>5เมย.69</t>
  </si>
  <si>
    <t>043/2117</t>
  </si>
  <si>
    <t>043/2110</t>
  </si>
  <si>
    <t>043/2122</t>
  </si>
  <si>
    <t>30เมย.69</t>
  </si>
  <si>
    <t>043/2135</t>
  </si>
  <si>
    <t>043/2119</t>
  </si>
  <si>
    <t>043/2113</t>
  </si>
  <si>
    <t>043/2133</t>
  </si>
  <si>
    <t>043/2108</t>
  </si>
  <si>
    <t>043/2131</t>
  </si>
  <si>
    <t>043/2129</t>
  </si>
  <si>
    <t>043/2128</t>
  </si>
  <si>
    <t>043/2132</t>
  </si>
  <si>
    <t>043/2116</t>
  </si>
  <si>
    <t>043/2115</t>
  </si>
  <si>
    <t>043/2136</t>
  </si>
  <si>
    <t>043/2111</t>
  </si>
  <si>
    <t>043/2120</t>
  </si>
  <si>
    <t>043/2124,2125</t>
  </si>
  <si>
    <t>23เมย.69</t>
  </si>
  <si>
    <t>1282/64069</t>
  </si>
  <si>
    <t>1282/64082</t>
  </si>
  <si>
    <t>มีค.69-เมย.69</t>
  </si>
  <si>
    <t>25เมย.69</t>
  </si>
  <si>
    <t>1282/64070</t>
  </si>
  <si>
    <t>043/2127</t>
  </si>
  <si>
    <t>043/2118</t>
  </si>
  <si>
    <t>043/2112</t>
  </si>
  <si>
    <t>043/2123</t>
  </si>
  <si>
    <t>043/2137</t>
  </si>
  <si>
    <t>043/2121</t>
  </si>
  <si>
    <t>043/2114</t>
  </si>
  <si>
    <t>043/2134</t>
  </si>
  <si>
    <t>043/2109</t>
  </si>
  <si>
    <t>หนี้ต้าง 2 เดือน</t>
  </si>
  <si>
    <t>ณ พฤษภาคม 2569</t>
  </si>
  <si>
    <t>เรือ พิชิตสมุทร 333</t>
  </si>
  <si>
    <t>29พค.69</t>
  </si>
  <si>
    <t>1283/64103</t>
  </si>
  <si>
    <t>1282/64102</t>
  </si>
  <si>
    <t>31พค.69</t>
  </si>
  <si>
    <t>1283/64105</t>
  </si>
  <si>
    <t>13พค.69</t>
  </si>
  <si>
    <t>1283/64091</t>
  </si>
  <si>
    <t>7223/361116</t>
  </si>
  <si>
    <t>7223/361115</t>
  </si>
  <si>
    <t>4พค.69</t>
  </si>
  <si>
    <t>1282/64086</t>
  </si>
  <si>
    <t>1282/64087</t>
  </si>
  <si>
    <t>12พค.69</t>
  </si>
  <si>
    <t>1282/64090</t>
  </si>
  <si>
    <t>1282/64089</t>
  </si>
  <si>
    <t>18พค.69</t>
  </si>
  <si>
    <t>1282/64092</t>
  </si>
  <si>
    <t>22พค.69</t>
  </si>
  <si>
    <t>1282/64094</t>
  </si>
  <si>
    <t>25พค.69</t>
  </si>
  <si>
    <t>1282/64096</t>
  </si>
  <si>
    <t>1282/64097</t>
  </si>
  <si>
    <t>1282/64098</t>
  </si>
  <si>
    <t>1282/64099</t>
  </si>
  <si>
    <t>1282/64100</t>
  </si>
  <si>
    <t>28พค.69</t>
  </si>
  <si>
    <t>1283/64101</t>
  </si>
  <si>
    <t>5พค.69</t>
  </si>
  <si>
    <t>044/2154</t>
  </si>
  <si>
    <t>043/2150</t>
  </si>
  <si>
    <t>043/2140</t>
  </si>
  <si>
    <t>044/2157</t>
  </si>
  <si>
    <t>044/2171</t>
  </si>
  <si>
    <t>043/2145</t>
  </si>
  <si>
    <t>043/2148</t>
  </si>
  <si>
    <t>044/2169</t>
  </si>
  <si>
    <t>044/2152</t>
  </si>
  <si>
    <t>20พค.69</t>
  </si>
  <si>
    <t>044/2164</t>
  </si>
  <si>
    <t>4พต.69</t>
  </si>
  <si>
    <t>043/2139</t>
  </si>
  <si>
    <t>044/2156</t>
  </si>
  <si>
    <t>044/2176</t>
  </si>
  <si>
    <t>043/2144</t>
  </si>
  <si>
    <t>043/2143</t>
  </si>
  <si>
    <t>044/2172</t>
  </si>
  <si>
    <t>043/2146</t>
  </si>
  <si>
    <t>044/2159</t>
  </si>
  <si>
    <t>1282/64085</t>
  </si>
  <si>
    <t>21พค.69</t>
  </si>
  <si>
    <t>1282/64093</t>
  </si>
  <si>
    <t>1283/64104</t>
  </si>
  <si>
    <t>11พค.69</t>
  </si>
  <si>
    <t>1282/64088</t>
  </si>
  <si>
    <t>เมย.69</t>
  </si>
  <si>
    <t>24พค.69</t>
  </si>
  <si>
    <t>1282/64095</t>
  </si>
  <si>
    <t>044/2155</t>
  </si>
  <si>
    <t>044/2151</t>
  </si>
  <si>
    <t>043/2142</t>
  </si>
  <si>
    <t>044/2158</t>
  </si>
  <si>
    <t>044/2173</t>
  </si>
  <si>
    <t>043/2147</t>
  </si>
  <si>
    <t>043/2149</t>
  </si>
  <si>
    <t>044/2170</t>
  </si>
  <si>
    <t>044/2153</t>
  </si>
  <si>
    <t>หนี้  2 เดือน</t>
  </si>
  <si>
    <t>ณ มิถุนายน 2569</t>
  </si>
  <si>
    <t>29มิย.69</t>
  </si>
  <si>
    <t>1283/64118</t>
  </si>
  <si>
    <t>1283/64119</t>
  </si>
  <si>
    <t>30มิย.69</t>
  </si>
  <si>
    <t>1283/64126</t>
  </si>
  <si>
    <t>7223/361117</t>
  </si>
  <si>
    <t>7223/361118</t>
  </si>
  <si>
    <t>1มิย.69</t>
  </si>
  <si>
    <t>1283/64106</t>
  </si>
  <si>
    <t>1283/64107</t>
  </si>
  <si>
    <t>1283/64123</t>
  </si>
  <si>
    <t>1283/64122</t>
  </si>
  <si>
    <t>25มิย.69</t>
  </si>
  <si>
    <t>1283/64112</t>
  </si>
  <si>
    <t>1283/64113</t>
  </si>
  <si>
    <t>1283/64114</t>
  </si>
  <si>
    <t>1283/64115</t>
  </si>
  <si>
    <t>1283/64116</t>
  </si>
  <si>
    <t>26มิย.69</t>
  </si>
  <si>
    <t>1283/64117</t>
  </si>
  <si>
    <t>1283/64121</t>
  </si>
  <si>
    <t>1283/64124</t>
  </si>
  <si>
    <t>5มิย.69</t>
  </si>
  <si>
    <t>044/2191</t>
  </si>
  <si>
    <t>044/2189</t>
  </si>
  <si>
    <t>4มิย.69</t>
  </si>
  <si>
    <t>044/2179</t>
  </si>
  <si>
    <t>044/2187</t>
  </si>
  <si>
    <t>045/2206</t>
  </si>
  <si>
    <t>8มิย.69</t>
  </si>
  <si>
    <t>044/2195</t>
  </si>
  <si>
    <t>044/2177</t>
  </si>
  <si>
    <t>045/2202</t>
  </si>
  <si>
    <t>044/2182</t>
  </si>
  <si>
    <t>045/2201</t>
  </si>
  <si>
    <t>044/2184</t>
  </si>
  <si>
    <t>044/219</t>
  </si>
  <si>
    <t>045/2205</t>
  </si>
  <si>
    <t>044/2186</t>
  </si>
  <si>
    <t>2มิย.69</t>
  </si>
  <si>
    <t>044/2198</t>
  </si>
  <si>
    <t>24มิย.69</t>
  </si>
  <si>
    <t>044/2199</t>
  </si>
  <si>
    <t>044/2185</t>
  </si>
  <si>
    <t>045/2207</t>
  </si>
  <si>
    <t>044/2180</t>
  </si>
  <si>
    <t>044/2196</t>
  </si>
  <si>
    <t>044/2194</t>
  </si>
  <si>
    <t>1283/64108</t>
  </si>
  <si>
    <t>1283/64111</t>
  </si>
  <si>
    <t>1283/64125</t>
  </si>
  <si>
    <t>1283/64110</t>
  </si>
  <si>
    <t>มิย.69</t>
  </si>
  <si>
    <t>1283/64120</t>
  </si>
  <si>
    <t>044/2192</t>
  </si>
  <si>
    <t>044/2181</t>
  </si>
  <si>
    <t>044/2188</t>
  </si>
  <si>
    <t>045/2208</t>
  </si>
  <si>
    <t>044/2197</t>
  </si>
  <si>
    <t>044/2178</t>
  </si>
  <si>
    <t>044/2203</t>
  </si>
  <si>
    <t>044/2183</t>
  </si>
  <si>
    <t>044/2200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</si>
</sst>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-* #,##0.00_-;\-* #,##0.00_-;_-* &quot;-&quot;??_-;_-@"/>
    <numFmt numFmtId="166" formatCode="[$-107041E]d\ mmm\ yy"/>
    <numFmt numFmtId="167" formatCode="0_);\(0\)"/>
    <numFmt numFmtId="168" formatCode="_-* #,##0_-;\-* #,##0_-;_-* &quot;-&quot;??_-;_-@"/>
  </numFmts>
  <fonts count="57">
    <font>
      <sz val="11"/>
      <color theme="1"/>
      <name val="Calibri"/>
      <family val="2"/>
      <charset val="222"/>
      <scheme val="minor"/>
    </font>
    <font>
      <b/>
      <sz val="18"/>
      <name val="TH SarabunPSK"/>
      <family val="2"/>
    </font>
    <font>
      <sz val="11"/>
      <name val="TH SarabunPSK"/>
      <family val="2"/>
    </font>
    <font>
      <sz val="14"/>
      <name val="TH SarabunPSK"/>
      <family val="2"/>
    </font>
    <font>
      <b/>
      <u/>
      <sz val="18"/>
      <name val="TH SarabunPSK"/>
      <family val="2"/>
    </font>
    <font>
      <b/>
      <sz val="16"/>
      <color theme="1"/>
      <name val="TH SarabunPSK"/>
      <family val="2"/>
    </font>
    <font>
      <b/>
      <sz val="17"/>
      <color theme="1"/>
      <name val="TH Sarabun PSK"/>
    </font>
    <font>
      <sz val="18"/>
      <name val="TH SarabunPSK"/>
      <family val="2"/>
    </font>
    <font>
      <b/>
      <sz val="18"/>
      <color theme="1"/>
      <name val="TH SarabunPSK"/>
      <family val="2"/>
    </font>
    <font>
      <b/>
      <sz val="17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2"/>
      <color theme="1"/>
      <name val="TH SarabunPSK"/>
      <family val="2"/>
    </font>
    <font>
      <b/>
      <sz val="22"/>
      <color rgb="FF000000"/>
      <name val="TH SarabunPSK"/>
      <family val="2"/>
    </font>
    <font>
      <sz val="16"/>
      <color theme="1"/>
      <name val="TH Sarabun PSK"/>
      <charset val="222"/>
    </font>
    <font>
      <b/>
      <sz val="16"/>
      <color theme="1"/>
      <name val="TH Sarabun PSK"/>
    </font>
    <font>
      <sz val="17"/>
      <color theme="1"/>
      <name val="TH Sarabun PSK"/>
      <charset val="222"/>
    </font>
    <font>
      <b/>
      <sz val="20"/>
      <name val="TH SarabunPSK"/>
      <family val="2"/>
    </font>
    <font>
      <b/>
      <sz val="18"/>
      <color rgb="FFFF0000"/>
      <name val="TH SarabunPSK"/>
      <family val="2"/>
    </font>
    <font>
      <sz val="17"/>
      <color theme="1"/>
      <name val="TH SarabunPSK"/>
      <family val="2"/>
    </font>
    <font>
      <sz val="16"/>
      <color rgb="FFFF0000"/>
      <name val="TH SarabunPSK"/>
      <family val="2"/>
    </font>
    <font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7"/>
      <color rgb="FFFF0000"/>
      <name val="TH SarabunPSK"/>
      <family val="2"/>
    </font>
    <font>
      <sz val="16"/>
      <name val="AngsanaUPC"/>
      <family val="1"/>
    </font>
    <font>
      <sz val="16"/>
      <color rgb="FFFF0000"/>
      <name val="AngsanaUPC"/>
      <family val="1"/>
    </font>
    <font>
      <b/>
      <sz val="16"/>
      <color theme="1"/>
      <name val="AngsanaUPC"/>
      <family val="1"/>
    </font>
    <font>
      <b/>
      <sz val="16"/>
      <color rgb="FFFF0000"/>
      <name val="AngsanaUPC"/>
      <family val="1"/>
      <charset val="222"/>
    </font>
    <font>
      <b/>
      <sz val="16"/>
      <name val="AngsanaUPC"/>
      <family val="1"/>
      <charset val="222"/>
    </font>
    <font>
      <b/>
      <sz val="18"/>
      <color rgb="FFFF0000"/>
      <name val="TH SarabunPSK"/>
      <family val="2"/>
      <charset val="222"/>
    </font>
    <font>
      <sz val="16"/>
      <color theme="1"/>
      <name val="AngsanaUPC"/>
      <family val="1"/>
    </font>
    <font>
      <b/>
      <sz val="18"/>
      <color rgb="FFEE0000"/>
      <name val="TH SarabunPSK"/>
      <family val="2"/>
    </font>
    <font>
      <sz val="18"/>
      <color rgb="FFEE0000"/>
      <name val="TH SarabunPSK"/>
      <family val="2"/>
    </font>
    <font>
      <b/>
      <sz val="11"/>
      <name val="TH SarabunPSK"/>
      <family val="2"/>
    </font>
    <font>
      <b/>
      <sz val="20"/>
      <color rgb="FFFF0000"/>
      <name val="TH SarabunPSK"/>
      <family val="2"/>
    </font>
    <font>
      <sz val="16"/>
      <color rgb="FFFF0000"/>
      <name val="AngsanaUPC"/>
      <family val="1"/>
    </font>
    <font>
      <sz val="16"/>
      <color theme="1"/>
      <name val="AngsanaUPC"/>
      <family val="1"/>
    </font>
    <font>
      <b/>
      <sz val="17"/>
      <name val="TH SarabunPSK"/>
      <family val="2"/>
    </font>
    <font>
      <sz val="11"/>
      <color theme="1"/>
      <name val="TH SarabunPSK"/>
      <family val="2"/>
    </font>
    <font>
      <b/>
      <sz val="20"/>
      <color theme="1"/>
      <name val="TH SarabunPSK"/>
      <family val="2"/>
    </font>
    <font>
      <sz val="11"/>
      <name val="Aptos Narrow"/>
      <family val="2"/>
    </font>
    <font>
      <b/>
      <sz val="22"/>
      <color rgb="FFFF0000"/>
      <name val="TH SarabunPSK"/>
      <family val="2"/>
    </font>
    <font>
      <b/>
      <sz val="22"/>
      <color rgb="FFEE0000"/>
      <name val="TH SarabunPSK"/>
      <family val="2"/>
    </font>
    <font>
      <b/>
      <sz val="16"/>
      <color rgb="FFFF0000"/>
      <name val="AngsanaUPC"/>
      <family val="1"/>
    </font>
    <font>
      <sz val="14"/>
      <color rgb="FF000000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6"/>
      <name val="TH SarabunPSK"/>
      <family val="2"/>
    </font>
    <font>
      <sz val="20"/>
      <name val="TH SarabunPSK"/>
      <family val="2"/>
    </font>
    <font>
      <b/>
      <sz val="16"/>
      <name val="TH SarabunPSK"/>
      <family val="2"/>
    </font>
    <font>
      <b/>
      <sz val="18"/>
      <name val="TH SarabunPSK"/>
      <family val="2"/>
      <charset val="222"/>
    </font>
    <font>
      <sz val="14"/>
      <name val="TH SarabunPSK"/>
      <family val="2"/>
      <charset val="222"/>
    </font>
    <font>
      <sz val="16"/>
      <name val="AngsanaUPC"/>
      <family val="1"/>
      <charset val="222"/>
    </font>
    <font>
      <b/>
      <sz val="22"/>
      <name val="TH SarabunPSK"/>
      <family val="2"/>
      <charset val="222"/>
    </font>
    <font>
      <sz val="11"/>
      <name val="TH SarabunPSK"/>
      <family val="2"/>
      <charset val="222"/>
    </font>
    <font>
      <b/>
      <sz val="12"/>
      <name val="TH SarabunPSK"/>
      <family val="2"/>
    </font>
    <font>
      <sz val="16"/>
      <color rgb="FF000000"/>
      <name val="TH SarabunPSK"/>
      <family val="2"/>
    </font>
    <font>
      <sz val="16"/>
      <color theme="1"/>
      <name val="TH Sarabun PSK"/>
    </font>
    <font>
      <sz val="16"/>
      <color rgb="FFFF0000"/>
      <name val="AngsanaUPC"/>
      <family val="1"/>
      <charset val="222"/>
    </font>
  </fonts>
  <fills count="1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B3E5A1"/>
        <bgColor rgb="FFB3E5A1"/>
      </patternFill>
    </fill>
    <fill>
      <patternFill patternType="solid">
        <fgColor rgb="FFC5E0B3"/>
        <bgColor rgb="FFC5E0B3"/>
      </patternFill>
    </fill>
    <fill>
      <patternFill patternType="solid">
        <fgColor rgb="FFF4CCCC"/>
        <bgColor rgb="FFF4CC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CEEE"/>
        <bgColor rgb="FFF1CEEE"/>
      </patternFill>
    </fill>
    <fill>
      <patternFill patternType="solid">
        <fgColor rgb="FFD9F2D0"/>
        <bgColor rgb="FFD9F2D0"/>
      </patternFill>
    </fill>
    <fill>
      <patternFill patternType="solid">
        <fgColor rgb="FFB6D7A8"/>
        <bgColor rgb="FFB6D7A8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44" fillId="0" borderId="0" applyFont="0" applyFill="0" applyBorder="0" applyAlignment="0" applyProtection="0"/>
  </cellStyleXfs>
  <cellXfs count="681">
    <xf numFmtId="0" fontId="0" fillId="0" borderId="0" xfId="0"/>
    <xf numFmtId="39" fontId="1" fillId="0" borderId="0" xfId="0" applyNumberFormat="1" applyFont="1" applyAlignment="1">
      <alignment horizontal="center" vertical="center"/>
    </xf>
    <xf numFmtId="0" fontId="2" fillId="0" borderId="0" xfId="0" applyFont="1"/>
    <xf numFmtId="0" fontId="1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66" fontId="1" fillId="2" borderId="2" xfId="0" applyNumberFormat="1" applyFont="1" applyFill="1" applyBorder="1" applyAlignment="1">
      <alignment horizontal="center" vertical="center"/>
    </xf>
    <xf numFmtId="40" fontId="1" fillId="2" borderId="2" xfId="0" applyNumberFormat="1" applyFont="1" applyFill="1" applyBorder="1" applyAlignment="1">
      <alignment horizontal="center" vertical="center" shrinkToFit="1"/>
    </xf>
    <xf numFmtId="43" fontId="1" fillId="2" borderId="2" xfId="0" applyNumberFormat="1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vertical="center"/>
    </xf>
    <xf numFmtId="165" fontId="1" fillId="0" borderId="12" xfId="0" applyNumberFormat="1" applyFont="1" applyBorder="1" applyAlignment="1">
      <alignment horizontal="center" vertical="center"/>
    </xf>
    <xf numFmtId="43" fontId="1" fillId="0" borderId="12" xfId="0" applyNumberFormat="1" applyFont="1" applyBorder="1" applyAlignment="1">
      <alignment horizontal="center" vertical="center"/>
    </xf>
    <xf numFmtId="166" fontId="1" fillId="2" borderId="10" xfId="0" applyNumberFormat="1" applyFont="1" applyFill="1" applyBorder="1" applyAlignment="1">
      <alignment horizontal="center" vertical="center"/>
    </xf>
    <xf numFmtId="40" fontId="1" fillId="2" borderId="10" xfId="0" applyNumberFormat="1" applyFont="1" applyFill="1" applyBorder="1" applyAlignment="1">
      <alignment horizontal="center" vertical="center" shrinkToFit="1"/>
    </xf>
    <xf numFmtId="43" fontId="1" fillId="2" borderId="10" xfId="0" applyNumberFormat="1" applyFont="1" applyFill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 wrapText="1"/>
    </xf>
    <xf numFmtId="167" fontId="1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165" fontId="1" fillId="0" borderId="14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166" fontId="1" fillId="3" borderId="16" xfId="0" applyNumberFormat="1" applyFont="1" applyFill="1" applyBorder="1" applyAlignment="1">
      <alignment horizontal="center" vertical="center"/>
    </xf>
    <xf numFmtId="165" fontId="1" fillId="3" borderId="16" xfId="0" applyNumberFormat="1" applyFont="1" applyFill="1" applyBorder="1" applyAlignment="1">
      <alignment horizontal="center" vertical="center" shrinkToFit="1"/>
    </xf>
    <xf numFmtId="165" fontId="1" fillId="3" borderId="17" xfId="0" applyNumberFormat="1" applyFont="1" applyFill="1" applyBorder="1" applyAlignment="1">
      <alignment horizontal="right" vertical="center"/>
    </xf>
    <xf numFmtId="165" fontId="1" fillId="0" borderId="15" xfId="0" applyNumberFormat="1" applyFont="1" applyBorder="1" applyAlignment="1">
      <alignment horizontal="center" vertical="center"/>
    </xf>
    <xf numFmtId="43" fontId="1" fillId="0" borderId="15" xfId="0" applyNumberFormat="1" applyFont="1" applyBorder="1" applyAlignment="1">
      <alignment horizontal="right" vertical="center"/>
    </xf>
    <xf numFmtId="167" fontId="1" fillId="0" borderId="1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1" fontId="1" fillId="0" borderId="6" xfId="0" applyNumberFormat="1" applyFont="1" applyBorder="1" applyAlignment="1">
      <alignment horizontal="center" vertical="center"/>
    </xf>
    <xf numFmtId="166" fontId="1" fillId="3" borderId="18" xfId="0" applyNumberFormat="1" applyFont="1" applyFill="1" applyBorder="1" applyAlignment="1">
      <alignment horizontal="center" vertical="center"/>
    </xf>
    <xf numFmtId="165" fontId="1" fillId="3" borderId="18" xfId="0" applyNumberFormat="1" applyFont="1" applyFill="1" applyBorder="1" applyAlignment="1">
      <alignment horizontal="center" vertical="center" shrinkToFit="1"/>
    </xf>
    <xf numFmtId="165" fontId="1" fillId="3" borderId="19" xfId="0" applyNumberFormat="1" applyFont="1" applyFill="1" applyBorder="1" applyAlignment="1">
      <alignment horizontal="right" vertical="center"/>
    </xf>
    <xf numFmtId="1" fontId="1" fillId="0" borderId="20" xfId="0" applyNumberFormat="1" applyFont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 vertical="center"/>
    </xf>
    <xf numFmtId="43" fontId="1" fillId="0" borderId="20" xfId="0" applyNumberFormat="1" applyFont="1" applyBorder="1" applyAlignment="1">
      <alignment horizontal="right" vertical="center"/>
    </xf>
    <xf numFmtId="0" fontId="1" fillId="0" borderId="21" xfId="0" applyFont="1" applyBorder="1" applyAlignment="1">
      <alignment vertical="center"/>
    </xf>
    <xf numFmtId="165" fontId="1" fillId="0" borderId="21" xfId="0" applyNumberFormat="1" applyFont="1" applyBorder="1" applyAlignment="1">
      <alignment horizontal="right" vertical="center"/>
    </xf>
    <xf numFmtId="165" fontId="1" fillId="0" borderId="21" xfId="0" applyNumberFormat="1" applyFont="1" applyBorder="1" applyAlignment="1">
      <alignment horizontal="center" vertical="center"/>
    </xf>
    <xf numFmtId="1" fontId="1" fillId="0" borderId="21" xfId="0" applyNumberFormat="1" applyFont="1" applyBorder="1" applyAlignment="1">
      <alignment horizontal="center" vertical="center"/>
    </xf>
    <xf numFmtId="166" fontId="1" fillId="3" borderId="21" xfId="0" applyNumberFormat="1" applyFont="1" applyFill="1" applyBorder="1" applyAlignment="1">
      <alignment horizontal="center" vertical="center"/>
    </xf>
    <xf numFmtId="165" fontId="1" fillId="3" borderId="21" xfId="0" applyNumberFormat="1" applyFont="1" applyFill="1" applyBorder="1" applyAlignment="1">
      <alignment horizontal="center" vertical="center"/>
    </xf>
    <xf numFmtId="165" fontId="1" fillId="3" borderId="21" xfId="0" applyNumberFormat="1" applyFont="1" applyFill="1" applyBorder="1" applyAlignment="1">
      <alignment horizontal="right" vertical="center"/>
    </xf>
    <xf numFmtId="0" fontId="1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165" fontId="1" fillId="0" borderId="22" xfId="0" applyNumberFormat="1" applyFont="1" applyBorder="1" applyAlignment="1">
      <alignment horizontal="right" vertical="center"/>
    </xf>
    <xf numFmtId="165" fontId="1" fillId="0" borderId="22" xfId="0" applyNumberFormat="1" applyFont="1" applyBorder="1" applyAlignment="1">
      <alignment horizontal="center" vertical="center"/>
    </xf>
    <xf numFmtId="1" fontId="1" fillId="0" borderId="22" xfId="0" applyNumberFormat="1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right" vertical="center"/>
    </xf>
    <xf numFmtId="166" fontId="1" fillId="3" borderId="23" xfId="0" applyNumberFormat="1" applyFont="1" applyFill="1" applyBorder="1" applyAlignment="1">
      <alignment horizontal="center" vertical="center"/>
    </xf>
    <xf numFmtId="165" fontId="1" fillId="3" borderId="23" xfId="0" applyNumberFormat="1" applyFont="1" applyFill="1" applyBorder="1" applyAlignment="1">
      <alignment horizontal="center" vertical="center" shrinkToFit="1"/>
    </xf>
    <xf numFmtId="165" fontId="1" fillId="3" borderId="22" xfId="0" applyNumberFormat="1" applyFont="1" applyFill="1" applyBorder="1" applyAlignment="1">
      <alignment horizontal="right" vertical="center"/>
    </xf>
    <xf numFmtId="0" fontId="1" fillId="0" borderId="22" xfId="0" applyFont="1" applyBorder="1" applyAlignment="1">
      <alignment horizontal="center" vertical="center"/>
    </xf>
    <xf numFmtId="1" fontId="1" fillId="0" borderId="23" xfId="0" applyNumberFormat="1" applyFont="1" applyBorder="1" applyAlignment="1">
      <alignment horizontal="center" vertical="center"/>
    </xf>
    <xf numFmtId="43" fontId="1" fillId="0" borderId="23" xfId="0" applyNumberFormat="1" applyFont="1" applyBorder="1" applyAlignment="1">
      <alignment horizontal="right" vertical="center"/>
    </xf>
    <xf numFmtId="0" fontId="5" fillId="4" borderId="17" xfId="0" applyFont="1" applyFill="1" applyBorder="1" applyAlignment="1">
      <alignment vertical="center"/>
    </xf>
    <xf numFmtId="165" fontId="5" fillId="0" borderId="17" xfId="0" applyNumberFormat="1" applyFont="1" applyBorder="1" applyAlignment="1">
      <alignment horizontal="right" vertical="center"/>
    </xf>
    <xf numFmtId="165" fontId="1" fillId="0" borderId="20" xfId="0" applyNumberFormat="1" applyFont="1" applyBorder="1" applyAlignment="1">
      <alignment horizontal="right" vertical="center"/>
    </xf>
    <xf numFmtId="15" fontId="6" fillId="5" borderId="16" xfId="0" applyNumberFormat="1" applyFont="1" applyFill="1" applyBorder="1" applyAlignment="1">
      <alignment horizontal="center" vertical="center"/>
    </xf>
    <xf numFmtId="165" fontId="6" fillId="5" borderId="16" xfId="0" applyNumberFormat="1" applyFont="1" applyFill="1" applyBorder="1" applyAlignment="1">
      <alignment horizontal="center" vertical="center" shrinkToFit="1"/>
    </xf>
    <xf numFmtId="165" fontId="6" fillId="5" borderId="17" xfId="0" applyNumberFormat="1" applyFont="1" applyFill="1" applyBorder="1" applyAlignment="1">
      <alignment horizontal="right" vertical="center"/>
    </xf>
    <xf numFmtId="43" fontId="1" fillId="0" borderId="17" xfId="0" applyNumberFormat="1" applyFont="1" applyBorder="1" applyAlignment="1">
      <alignment horizontal="right" vertical="center"/>
    </xf>
    <xf numFmtId="0" fontId="7" fillId="0" borderId="0" xfId="0" applyFont="1"/>
    <xf numFmtId="0" fontId="8" fillId="0" borderId="17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165" fontId="8" fillId="0" borderId="14" xfId="0" applyNumberFormat="1" applyFont="1" applyBorder="1" applyAlignment="1">
      <alignment horizontal="right" vertical="center"/>
    </xf>
    <xf numFmtId="0" fontId="1" fillId="3" borderId="18" xfId="0" applyFont="1" applyFill="1" applyBorder="1" applyAlignment="1">
      <alignment horizontal="center" vertical="center"/>
    </xf>
    <xf numFmtId="166" fontId="1" fillId="3" borderId="24" xfId="0" applyNumberFormat="1" applyFont="1" applyFill="1" applyBorder="1" applyAlignment="1">
      <alignment horizontal="center" vertical="center"/>
    </xf>
    <xf numFmtId="165" fontId="1" fillId="3" borderId="24" xfId="0" applyNumberFormat="1" applyFont="1" applyFill="1" applyBorder="1" applyAlignment="1">
      <alignment horizontal="center" vertical="center" shrinkToFit="1"/>
    </xf>
    <xf numFmtId="1" fontId="1" fillId="0" borderId="24" xfId="0" applyNumberFormat="1" applyFont="1" applyBorder="1" applyAlignment="1">
      <alignment horizontal="center" vertical="center"/>
    </xf>
    <xf numFmtId="165" fontId="1" fillId="0" borderId="24" xfId="0" applyNumberFormat="1" applyFont="1" applyBorder="1" applyAlignment="1">
      <alignment horizontal="center" vertical="center"/>
    </xf>
    <xf numFmtId="43" fontId="1" fillId="0" borderId="24" xfId="0" applyNumberFormat="1" applyFont="1" applyBorder="1" applyAlignment="1">
      <alignment horizontal="right" vertical="center"/>
    </xf>
    <xf numFmtId="165" fontId="9" fillId="4" borderId="17" xfId="0" applyNumberFormat="1" applyFont="1" applyFill="1" applyBorder="1" applyAlignment="1">
      <alignment horizontal="right" vertical="center"/>
    </xf>
    <xf numFmtId="168" fontId="1" fillId="0" borderId="6" xfId="0" applyNumberFormat="1" applyFont="1" applyBorder="1" applyAlignment="1">
      <alignment horizontal="center" vertical="center"/>
    </xf>
    <xf numFmtId="165" fontId="6" fillId="5" borderId="18" xfId="0" applyNumberFormat="1" applyFont="1" applyFill="1" applyBorder="1" applyAlignment="1">
      <alignment horizontal="center" vertical="center" shrinkToFit="1"/>
    </xf>
    <xf numFmtId="165" fontId="1" fillId="0" borderId="19" xfId="0" applyNumberFormat="1" applyFont="1" applyBorder="1" applyAlignment="1">
      <alignment horizontal="center" vertical="center"/>
    </xf>
    <xf numFmtId="165" fontId="1" fillId="0" borderId="19" xfId="0" applyNumberFormat="1" applyFont="1" applyBorder="1" applyAlignment="1">
      <alignment horizontal="right" vertical="center"/>
    </xf>
    <xf numFmtId="0" fontId="1" fillId="0" borderId="25" xfId="0" applyFont="1" applyBorder="1"/>
    <xf numFmtId="0" fontId="6" fillId="5" borderId="16" xfId="0" applyFont="1" applyFill="1" applyBorder="1" applyAlignment="1">
      <alignment horizontal="center" vertical="center"/>
    </xf>
    <xf numFmtId="0" fontId="1" fillId="0" borderId="26" xfId="0" applyFont="1" applyBorder="1"/>
    <xf numFmtId="165" fontId="5" fillId="4" borderId="19" xfId="0" applyNumberFormat="1" applyFont="1" applyFill="1" applyBorder="1" applyAlignment="1">
      <alignment horizontal="right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2" fontId="10" fillId="6" borderId="16" xfId="0" applyNumberFormat="1" applyFont="1" applyFill="1" applyBorder="1" applyAlignment="1">
      <alignment horizontal="right"/>
    </xf>
    <xf numFmtId="43" fontId="1" fillId="0" borderId="6" xfId="0" applyNumberFormat="1" applyFont="1" applyBorder="1" applyAlignment="1">
      <alignment horizontal="right" vertical="center"/>
    </xf>
    <xf numFmtId="166" fontId="11" fillId="6" borderId="21" xfId="0" applyNumberFormat="1" applyFont="1" applyFill="1" applyBorder="1" applyAlignment="1">
      <alignment horizontal="center" vertical="center"/>
    </xf>
    <xf numFmtId="165" fontId="11" fillId="6" borderId="21" xfId="0" applyNumberFormat="1" applyFont="1" applyFill="1" applyBorder="1" applyAlignment="1">
      <alignment horizontal="center" vertical="center"/>
    </xf>
    <xf numFmtId="165" fontId="11" fillId="6" borderId="21" xfId="0" applyNumberFormat="1" applyFont="1" applyFill="1" applyBorder="1" applyAlignment="1">
      <alignment horizontal="right" vertical="center"/>
    </xf>
    <xf numFmtId="0" fontId="12" fillId="6" borderId="16" xfId="0" applyFont="1" applyFill="1" applyBorder="1" applyAlignment="1">
      <alignment horizontal="center"/>
    </xf>
    <xf numFmtId="2" fontId="12" fillId="6" borderId="16" xfId="0" applyNumberFormat="1" applyFont="1" applyFill="1" applyBorder="1" applyAlignment="1">
      <alignment horizontal="right"/>
    </xf>
    <xf numFmtId="167" fontId="1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165" fontId="13" fillId="0" borderId="17" xfId="0" applyNumberFormat="1" applyFont="1" applyBorder="1" applyAlignment="1">
      <alignment horizontal="right" vertical="center"/>
    </xf>
    <xf numFmtId="0" fontId="14" fillId="0" borderId="17" xfId="0" applyFont="1" applyBorder="1" applyAlignment="1">
      <alignment horizontal="center" vertical="center"/>
    </xf>
    <xf numFmtId="1" fontId="14" fillId="0" borderId="17" xfId="0" applyNumberFormat="1" applyFont="1" applyBorder="1" applyAlignment="1">
      <alignment horizontal="center" vertical="center"/>
    </xf>
    <xf numFmtId="165" fontId="14" fillId="0" borderId="19" xfId="0" applyNumberFormat="1" applyFont="1" applyBorder="1" applyAlignment="1">
      <alignment horizontal="center" vertical="center"/>
    </xf>
    <xf numFmtId="165" fontId="14" fillId="0" borderId="17" xfId="0" applyNumberFormat="1" applyFont="1" applyBorder="1" applyAlignment="1">
      <alignment horizontal="right" vertical="center"/>
    </xf>
    <xf numFmtId="40" fontId="14" fillId="0" borderId="17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167" fontId="1" fillId="0" borderId="19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vertical="center"/>
    </xf>
    <xf numFmtId="0" fontId="14" fillId="0" borderId="19" xfId="0" applyFont="1" applyBorder="1" applyAlignment="1">
      <alignment horizontal="center" vertical="center"/>
    </xf>
    <xf numFmtId="1" fontId="14" fillId="0" borderId="19" xfId="0" applyNumberFormat="1" applyFont="1" applyBorder="1" applyAlignment="1">
      <alignment horizontal="center" vertical="center"/>
    </xf>
    <xf numFmtId="165" fontId="14" fillId="0" borderId="19" xfId="0" applyNumberFormat="1" applyFont="1" applyBorder="1" applyAlignment="1">
      <alignment horizontal="right" vertical="center"/>
    </xf>
    <xf numFmtId="40" fontId="14" fillId="0" borderId="19" xfId="0" applyNumberFormat="1" applyFont="1" applyBorder="1" applyAlignment="1">
      <alignment horizontal="right" vertical="center"/>
    </xf>
    <xf numFmtId="1" fontId="1" fillId="0" borderId="19" xfId="0" applyNumberFormat="1" applyFont="1" applyBorder="1" applyAlignment="1">
      <alignment horizontal="center" vertical="center"/>
    </xf>
    <xf numFmtId="165" fontId="15" fillId="0" borderId="17" xfId="0" applyNumberFormat="1" applyFont="1" applyBorder="1" applyAlignment="1">
      <alignment horizontal="right" vertical="center"/>
    </xf>
    <xf numFmtId="165" fontId="14" fillId="0" borderId="17" xfId="0" applyNumberFormat="1" applyFont="1" applyBorder="1" applyAlignment="1">
      <alignment horizontal="center" vertical="center"/>
    </xf>
    <xf numFmtId="165" fontId="1" fillId="0" borderId="17" xfId="0" applyNumberFormat="1" applyFont="1" applyBorder="1" applyAlignment="1">
      <alignment horizontal="right" vertical="center"/>
    </xf>
    <xf numFmtId="165" fontId="14" fillId="0" borderId="14" xfId="0" applyNumberFormat="1" applyFont="1" applyBorder="1" applyAlignment="1">
      <alignment horizontal="center" vertical="center"/>
    </xf>
    <xf numFmtId="1" fontId="14" fillId="0" borderId="14" xfId="0" applyNumberFormat="1" applyFont="1" applyBorder="1" applyAlignment="1">
      <alignment horizontal="center" vertical="center"/>
    </xf>
    <xf numFmtId="165" fontId="14" fillId="0" borderId="14" xfId="0" applyNumberFormat="1" applyFont="1" applyBorder="1" applyAlignment="1">
      <alignment horizontal="right" vertical="center"/>
    </xf>
    <xf numFmtId="40" fontId="14" fillId="0" borderId="14" xfId="0" applyNumberFormat="1" applyFont="1" applyBorder="1" applyAlignment="1">
      <alignment horizontal="right" vertical="center"/>
    </xf>
    <xf numFmtId="0" fontId="5" fillId="0" borderId="17" xfId="0" applyFont="1" applyBorder="1" applyAlignment="1">
      <alignment vertical="center"/>
    </xf>
    <xf numFmtId="165" fontId="1" fillId="0" borderId="17" xfId="0" applyNumberFormat="1" applyFont="1" applyBorder="1" applyAlignment="1">
      <alignment horizontal="center" vertical="center"/>
    </xf>
    <xf numFmtId="40" fontId="1" fillId="0" borderId="17" xfId="0" applyNumberFormat="1" applyFont="1" applyBorder="1" applyAlignment="1">
      <alignment horizontal="right" vertical="center"/>
    </xf>
    <xf numFmtId="0" fontId="9" fillId="6" borderId="17" xfId="0" applyFont="1" applyFill="1" applyBorder="1" applyAlignment="1">
      <alignment horizontal="center" vertical="center"/>
    </xf>
    <xf numFmtId="165" fontId="9" fillId="6" borderId="17" xfId="0" applyNumberFormat="1" applyFont="1" applyFill="1" applyBorder="1" applyAlignment="1">
      <alignment horizontal="center" vertical="center" shrinkToFit="1"/>
    </xf>
    <xf numFmtId="165" fontId="9" fillId="6" borderId="17" xfId="0" applyNumberFormat="1" applyFont="1" applyFill="1" applyBorder="1" applyAlignment="1">
      <alignment horizontal="right" vertical="center"/>
    </xf>
    <xf numFmtId="40" fontId="1" fillId="0" borderId="6" xfId="0" applyNumberFormat="1" applyFont="1" applyBorder="1" applyAlignment="1">
      <alignment horizontal="right" vertical="center"/>
    </xf>
    <xf numFmtId="0" fontId="9" fillId="6" borderId="6" xfId="0" applyFont="1" applyFill="1" applyBorder="1" applyAlignment="1">
      <alignment horizontal="center" vertical="center"/>
    </xf>
    <xf numFmtId="165" fontId="9" fillId="6" borderId="6" xfId="0" applyNumberFormat="1" applyFont="1" applyFill="1" applyBorder="1" applyAlignment="1">
      <alignment horizontal="center" vertical="center" shrinkToFit="1"/>
    </xf>
    <xf numFmtId="165" fontId="9" fillId="6" borderId="6" xfId="0" applyNumberFormat="1" applyFont="1" applyFill="1" applyBorder="1" applyAlignment="1">
      <alignment horizontal="right" vertical="center"/>
    </xf>
    <xf numFmtId="165" fontId="16" fillId="3" borderId="21" xfId="0" applyNumberFormat="1" applyFont="1" applyFill="1" applyBorder="1" applyAlignment="1">
      <alignment horizontal="right" vertical="center"/>
    </xf>
    <xf numFmtId="0" fontId="4" fillId="0" borderId="17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65" fontId="1" fillId="0" borderId="16" xfId="0" applyNumberFormat="1" applyFont="1" applyBorder="1" applyAlignment="1">
      <alignment horizontal="right" vertical="center"/>
    </xf>
    <xf numFmtId="1" fontId="1" fillId="0" borderId="16" xfId="0" applyNumberFormat="1" applyFont="1" applyBorder="1" applyAlignment="1">
      <alignment horizontal="center" vertical="center"/>
    </xf>
    <xf numFmtId="43" fontId="1" fillId="0" borderId="16" xfId="0" applyNumberFormat="1" applyFont="1" applyBorder="1" applyAlignment="1">
      <alignment horizontal="right" vertical="center"/>
    </xf>
    <xf numFmtId="0" fontId="17" fillId="0" borderId="17" xfId="0" applyFont="1" applyBorder="1" applyAlignment="1">
      <alignment vertical="center"/>
    </xf>
    <xf numFmtId="165" fontId="1" fillId="0" borderId="18" xfId="0" applyNumberFormat="1" applyFont="1" applyBorder="1" applyAlignment="1">
      <alignment horizontal="center" vertical="center"/>
    </xf>
    <xf numFmtId="165" fontId="1" fillId="0" borderId="18" xfId="0" applyNumberFormat="1" applyFont="1" applyBorder="1" applyAlignment="1">
      <alignment horizontal="right" vertical="center"/>
    </xf>
    <xf numFmtId="1" fontId="1" fillId="0" borderId="18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65" fontId="1" fillId="0" borderId="17" xfId="0" applyNumberFormat="1" applyFont="1" applyBorder="1" applyAlignment="1">
      <alignment vertical="center"/>
    </xf>
    <xf numFmtId="39" fontId="17" fillId="0" borderId="17" xfId="0" applyNumberFormat="1" applyFont="1" applyBorder="1" applyAlignment="1">
      <alignment horizontal="center" vertical="center"/>
    </xf>
    <xf numFmtId="165" fontId="17" fillId="0" borderId="19" xfId="0" applyNumberFormat="1" applyFont="1" applyBorder="1" applyAlignment="1">
      <alignment horizontal="center" vertical="center"/>
    </xf>
    <xf numFmtId="15" fontId="18" fillId="5" borderId="18" xfId="0" applyNumberFormat="1" applyFont="1" applyFill="1" applyBorder="1" applyAlignment="1">
      <alignment horizontal="center" vertical="center"/>
    </xf>
    <xf numFmtId="40" fontId="18" fillId="5" borderId="17" xfId="0" applyNumberFormat="1" applyFont="1" applyFill="1" applyBorder="1" applyAlignment="1">
      <alignment horizontal="center" vertical="center" shrinkToFit="1"/>
    </xf>
    <xf numFmtId="40" fontId="18" fillId="5" borderId="17" xfId="0" applyNumberFormat="1" applyFont="1" applyFill="1" applyBorder="1" applyAlignment="1">
      <alignment horizontal="right" vertical="center"/>
    </xf>
    <xf numFmtId="0" fontId="19" fillId="0" borderId="17" xfId="0" applyFont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43" fontId="17" fillId="0" borderId="17" xfId="0" applyNumberFormat="1" applyFont="1" applyBorder="1" applyAlignment="1">
      <alignment horizontal="right" vertical="center"/>
    </xf>
    <xf numFmtId="0" fontId="3" fillId="0" borderId="0" xfId="0" applyFont="1"/>
    <xf numFmtId="0" fontId="21" fillId="7" borderId="17" xfId="0" applyFont="1" applyFill="1" applyBorder="1" applyAlignment="1">
      <alignment vertical="center"/>
    </xf>
    <xf numFmtId="0" fontId="22" fillId="7" borderId="17" xfId="0" applyFont="1" applyFill="1" applyBorder="1" applyAlignment="1">
      <alignment horizontal="left" vertical="center"/>
    </xf>
    <xf numFmtId="39" fontId="1" fillId="0" borderId="17" xfId="0" applyNumberFormat="1" applyFont="1" applyBorder="1" applyAlignment="1">
      <alignment horizontal="center" vertical="center"/>
    </xf>
    <xf numFmtId="15" fontId="20" fillId="5" borderId="18" xfId="0" applyNumberFormat="1" applyFont="1" applyFill="1" applyBorder="1" applyAlignment="1">
      <alignment horizontal="center" vertical="center"/>
    </xf>
    <xf numFmtId="40" fontId="20" fillId="5" borderId="17" xfId="0" applyNumberFormat="1" applyFont="1" applyFill="1" applyBorder="1" applyAlignment="1">
      <alignment horizontal="center" vertical="center" shrinkToFit="1"/>
    </xf>
    <xf numFmtId="40" fontId="20" fillId="5" borderId="17" xfId="0" applyNumberFormat="1" applyFont="1" applyFill="1" applyBorder="1" applyAlignment="1">
      <alignment horizontal="right" vertical="center"/>
    </xf>
    <xf numFmtId="0" fontId="20" fillId="0" borderId="17" xfId="0" applyFont="1" applyBorder="1" applyAlignment="1">
      <alignment horizontal="center" vertical="center"/>
    </xf>
    <xf numFmtId="39" fontId="1" fillId="0" borderId="17" xfId="0" applyNumberFormat="1" applyFont="1" applyBorder="1" applyAlignment="1">
      <alignment horizontal="left" vertical="center"/>
    </xf>
    <xf numFmtId="17" fontId="18" fillId="0" borderId="17" xfId="0" applyNumberFormat="1" applyFont="1" applyBorder="1" applyAlignment="1">
      <alignment horizontal="center" vertical="center"/>
    </xf>
    <xf numFmtId="0" fontId="17" fillId="0" borderId="17" xfId="0" applyFont="1" applyBorder="1" applyAlignment="1">
      <alignment horizontal="left" vertical="center"/>
    </xf>
    <xf numFmtId="0" fontId="18" fillId="5" borderId="17" xfId="0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left" vertical="center" shrinkToFit="1"/>
    </xf>
    <xf numFmtId="0" fontId="1" fillId="0" borderId="17" xfId="0" applyFont="1" applyBorder="1" applyAlignment="1">
      <alignment horizontal="left" vertical="center" shrinkToFit="1"/>
    </xf>
    <xf numFmtId="40" fontId="20" fillId="5" borderId="17" xfId="0" applyNumberFormat="1" applyFont="1" applyFill="1" applyBorder="1" applyAlignment="1">
      <alignment horizontal="center" vertical="center"/>
    </xf>
    <xf numFmtId="39" fontId="21" fillId="7" borderId="17" xfId="0" applyNumberFormat="1" applyFont="1" applyFill="1" applyBorder="1" applyAlignment="1">
      <alignment horizontal="left" vertical="center"/>
    </xf>
    <xf numFmtId="40" fontId="20" fillId="5" borderId="16" xfId="0" applyNumberFormat="1" applyFont="1" applyFill="1" applyBorder="1" applyAlignment="1">
      <alignment horizontal="right" vertical="center"/>
    </xf>
    <xf numFmtId="40" fontId="18" fillId="5" borderId="16" xfId="0" applyNumberFormat="1" applyFont="1" applyFill="1" applyBorder="1" applyAlignment="1">
      <alignment horizontal="right" vertical="center"/>
    </xf>
    <xf numFmtId="0" fontId="17" fillId="0" borderId="27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20" fillId="5" borderId="17" xfId="0" applyFont="1" applyFill="1" applyBorder="1" applyAlignment="1">
      <alignment horizontal="center"/>
    </xf>
    <xf numFmtId="0" fontId="20" fillId="5" borderId="28" xfId="0" applyFont="1" applyFill="1" applyBorder="1"/>
    <xf numFmtId="1" fontId="20" fillId="0" borderId="17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28" xfId="0" applyFont="1" applyBorder="1" applyAlignment="1">
      <alignment horizontal="left" vertical="center" shrinkToFit="1"/>
    </xf>
    <xf numFmtId="165" fontId="23" fillId="0" borderId="16" xfId="0" applyNumberFormat="1" applyFont="1" applyBorder="1" applyAlignment="1">
      <alignment vertical="center"/>
    </xf>
    <xf numFmtId="0" fontId="24" fillId="0" borderId="27" xfId="0" applyFont="1" applyBorder="1" applyAlignment="1">
      <alignment vertical="center"/>
    </xf>
    <xf numFmtId="39" fontId="1" fillId="0" borderId="6" xfId="0" applyNumberFormat="1" applyFont="1" applyBorder="1" applyAlignment="1">
      <alignment horizontal="center" vertical="center"/>
    </xf>
    <xf numFmtId="0" fontId="2" fillId="3" borderId="29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0" xfId="0" applyFont="1" applyFill="1"/>
    <xf numFmtId="0" fontId="1" fillId="0" borderId="19" xfId="0" applyFont="1" applyBorder="1" applyAlignment="1">
      <alignment vertical="center" shrinkToFit="1"/>
    </xf>
    <xf numFmtId="1" fontId="25" fillId="0" borderId="17" xfId="0" applyNumberFormat="1" applyFont="1" applyBorder="1" applyAlignment="1">
      <alignment horizontal="center" vertical="center"/>
    </xf>
    <xf numFmtId="165" fontId="25" fillId="0" borderId="17" xfId="0" applyNumberFormat="1" applyFont="1" applyBorder="1" applyAlignment="1">
      <alignment horizontal="center" vertical="center"/>
    </xf>
    <xf numFmtId="165" fontId="26" fillId="0" borderId="17" xfId="0" applyNumberFormat="1" applyFont="1" applyBorder="1" applyAlignment="1">
      <alignment horizontal="center" vertical="center"/>
    </xf>
    <xf numFmtId="165" fontId="27" fillId="0" borderId="17" xfId="0" applyNumberFormat="1" applyFont="1" applyBorder="1" applyAlignment="1">
      <alignment horizontal="right" vertical="center"/>
    </xf>
    <xf numFmtId="40" fontId="27" fillId="0" borderId="17" xfId="0" applyNumberFormat="1" applyFont="1" applyBorder="1" applyAlignment="1">
      <alignment horizontal="right" vertical="center"/>
    </xf>
    <xf numFmtId="166" fontId="27" fillId="3" borderId="17" xfId="0" applyNumberFormat="1" applyFont="1" applyFill="1" applyBorder="1" applyAlignment="1">
      <alignment horizontal="center" vertical="center"/>
    </xf>
    <xf numFmtId="40" fontId="27" fillId="3" borderId="17" xfId="0" applyNumberFormat="1" applyFont="1" applyFill="1" applyBorder="1" applyAlignment="1">
      <alignment horizontal="center" vertical="center" shrinkToFit="1"/>
    </xf>
    <xf numFmtId="165" fontId="27" fillId="3" borderId="17" xfId="0" applyNumberFormat="1" applyFont="1" applyFill="1" applyBorder="1" applyAlignment="1">
      <alignment horizontal="right" vertical="center"/>
    </xf>
    <xf numFmtId="0" fontId="28" fillId="0" borderId="17" xfId="0" applyFont="1" applyBorder="1" applyAlignment="1">
      <alignment horizontal="center" vertical="center"/>
    </xf>
    <xf numFmtId="1" fontId="28" fillId="0" borderId="17" xfId="0" applyNumberFormat="1" applyFont="1" applyBorder="1" applyAlignment="1">
      <alignment horizontal="center" vertical="center"/>
    </xf>
    <xf numFmtId="165" fontId="28" fillId="0" borderId="19" xfId="0" applyNumberFormat="1" applyFont="1" applyBorder="1" applyAlignment="1">
      <alignment horizontal="right" vertical="center"/>
    </xf>
    <xf numFmtId="165" fontId="28" fillId="0" borderId="19" xfId="0" applyNumberFormat="1" applyFont="1" applyBorder="1" applyAlignment="1">
      <alignment horizontal="center" vertical="center"/>
    </xf>
    <xf numFmtId="165" fontId="28" fillId="0" borderId="17" xfId="0" applyNumberFormat="1" applyFont="1" applyBorder="1" applyAlignment="1">
      <alignment horizontal="right" vertical="center"/>
    </xf>
    <xf numFmtId="43" fontId="28" fillId="0" borderId="17" xfId="0" applyNumberFormat="1" applyFont="1" applyBorder="1" applyAlignment="1">
      <alignment horizontal="right" vertical="center"/>
    </xf>
    <xf numFmtId="0" fontId="29" fillId="4" borderId="17" xfId="0" applyFont="1" applyFill="1" applyBorder="1" applyAlignment="1">
      <alignment vertical="center"/>
    </xf>
    <xf numFmtId="166" fontId="1" fillId="3" borderId="17" xfId="0" applyNumberFormat="1" applyFont="1" applyFill="1" applyBorder="1" applyAlignment="1">
      <alignment horizontal="center" vertical="center"/>
    </xf>
    <xf numFmtId="40" fontId="1" fillId="3" borderId="17" xfId="0" applyNumberFormat="1" applyFont="1" applyFill="1" applyBorder="1" applyAlignment="1">
      <alignment horizontal="center" vertical="center" shrinkToFit="1"/>
    </xf>
    <xf numFmtId="0" fontId="29" fillId="4" borderId="17" xfId="0" applyFont="1" applyFill="1" applyBorder="1" applyAlignment="1">
      <alignment horizontal="left" vertical="center"/>
    </xf>
    <xf numFmtId="1" fontId="17" fillId="0" borderId="17" xfId="0" applyNumberFormat="1" applyFont="1" applyBorder="1" applyAlignment="1">
      <alignment horizontal="center" vertical="center"/>
    </xf>
    <xf numFmtId="168" fontId="17" fillId="0" borderId="19" xfId="0" applyNumberFormat="1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168" fontId="17" fillId="0" borderId="19" xfId="0" applyNumberFormat="1" applyFont="1" applyBorder="1" applyAlignment="1">
      <alignment horizontal="right" vertical="center"/>
    </xf>
    <xf numFmtId="165" fontId="17" fillId="0" borderId="17" xfId="0" applyNumberFormat="1" applyFont="1" applyBorder="1" applyAlignment="1">
      <alignment horizontal="right" vertical="center"/>
    </xf>
    <xf numFmtId="168" fontId="1" fillId="0" borderId="19" xfId="0" applyNumberFormat="1" applyFont="1" applyBorder="1" applyAlignment="1">
      <alignment horizontal="center" vertical="center"/>
    </xf>
    <xf numFmtId="166" fontId="1" fillId="0" borderId="17" xfId="0" quotePrefix="1" applyNumberFormat="1" applyFont="1" applyBorder="1" applyAlignment="1">
      <alignment horizontal="center" vertical="center"/>
    </xf>
    <xf numFmtId="40" fontId="1" fillId="0" borderId="17" xfId="0" applyNumberFormat="1" applyFont="1" applyBorder="1" applyAlignment="1">
      <alignment horizontal="center" vertical="center" shrinkToFit="1"/>
    </xf>
    <xf numFmtId="0" fontId="30" fillId="0" borderId="17" xfId="0" applyFont="1" applyBorder="1" applyAlignment="1">
      <alignment horizontal="center" vertical="center"/>
    </xf>
    <xf numFmtId="168" fontId="1" fillId="0" borderId="19" xfId="0" applyNumberFormat="1" applyFont="1" applyBorder="1" applyAlignment="1">
      <alignment horizontal="right" vertical="center"/>
    </xf>
    <xf numFmtId="0" fontId="1" fillId="0" borderId="19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166" fontId="1" fillId="0" borderId="17" xfId="0" applyNumberFormat="1" applyFont="1" applyBorder="1" applyAlignment="1">
      <alignment horizontal="center" vertical="center"/>
    </xf>
    <xf numFmtId="40" fontId="17" fillId="0" borderId="17" xfId="0" applyNumberFormat="1" applyFont="1" applyBorder="1" applyAlignment="1">
      <alignment horizontal="right" vertical="center"/>
    </xf>
    <xf numFmtId="0" fontId="31" fillId="0" borderId="17" xfId="0" applyFont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right" vertical="center"/>
    </xf>
    <xf numFmtId="0" fontId="32" fillId="0" borderId="0" xfId="0" applyFont="1"/>
    <xf numFmtId="0" fontId="33" fillId="0" borderId="27" xfId="0" applyFont="1" applyBorder="1" applyAlignment="1">
      <alignment vertical="center"/>
    </xf>
    <xf numFmtId="0" fontId="33" fillId="0" borderId="28" xfId="0" applyFont="1" applyBorder="1" applyAlignment="1">
      <alignment vertical="center"/>
    </xf>
    <xf numFmtId="0" fontId="33" fillId="0" borderId="16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32" fillId="8" borderId="0" xfId="0" applyFont="1" applyFill="1"/>
    <xf numFmtId="43" fontId="31" fillId="0" borderId="17" xfId="0" applyNumberFormat="1" applyFont="1" applyBorder="1" applyAlignment="1">
      <alignment horizontal="right" vertical="center"/>
    </xf>
    <xf numFmtId="0" fontId="2" fillId="9" borderId="0" xfId="0" applyFont="1" applyFill="1"/>
    <xf numFmtId="0" fontId="17" fillId="0" borderId="19" xfId="0" applyFont="1" applyBorder="1" applyAlignment="1">
      <alignment vertical="center"/>
    </xf>
    <xf numFmtId="39" fontId="1" fillId="0" borderId="19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7" fontId="1" fillId="10" borderId="17" xfId="0" applyNumberFormat="1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vertical="center"/>
    </xf>
    <xf numFmtId="0" fontId="1" fillId="10" borderId="19" xfId="0" applyFont="1" applyFill="1" applyBorder="1" applyAlignment="1">
      <alignment vertical="center" shrinkToFit="1"/>
    </xf>
    <xf numFmtId="165" fontId="1" fillId="10" borderId="19" xfId="0" applyNumberFormat="1" applyFont="1" applyFill="1" applyBorder="1" applyAlignment="1">
      <alignment horizontal="right" vertical="center"/>
    </xf>
    <xf numFmtId="39" fontId="17" fillId="10" borderId="19" xfId="0" applyNumberFormat="1" applyFont="1" applyFill="1" applyBorder="1" applyAlignment="1">
      <alignment horizontal="center" vertical="center"/>
    </xf>
    <xf numFmtId="1" fontId="17" fillId="10" borderId="19" xfId="0" applyNumberFormat="1" applyFont="1" applyFill="1" applyBorder="1" applyAlignment="1">
      <alignment horizontal="center" vertical="center"/>
    </xf>
    <xf numFmtId="168" fontId="17" fillId="10" borderId="19" xfId="0" applyNumberFormat="1" applyFont="1" applyFill="1" applyBorder="1" applyAlignment="1">
      <alignment horizontal="center" vertical="center"/>
    </xf>
    <xf numFmtId="165" fontId="17" fillId="10" borderId="19" xfId="0" applyNumberFormat="1" applyFont="1" applyFill="1" applyBorder="1" applyAlignment="1">
      <alignment horizontal="center" vertical="center"/>
    </xf>
    <xf numFmtId="165" fontId="17" fillId="10" borderId="19" xfId="0" applyNumberFormat="1" applyFont="1" applyFill="1" applyBorder="1" applyAlignment="1">
      <alignment horizontal="right" vertical="center"/>
    </xf>
    <xf numFmtId="40" fontId="17" fillId="10" borderId="17" xfId="0" applyNumberFormat="1" applyFont="1" applyFill="1" applyBorder="1" applyAlignment="1">
      <alignment horizontal="right" vertical="center"/>
    </xf>
    <xf numFmtId="0" fontId="1" fillId="10" borderId="17" xfId="0" applyFont="1" applyFill="1" applyBorder="1" applyAlignment="1">
      <alignment horizontal="center" vertical="center"/>
    </xf>
    <xf numFmtId="40" fontId="1" fillId="10" borderId="17" xfId="0" applyNumberFormat="1" applyFont="1" applyFill="1" applyBorder="1" applyAlignment="1">
      <alignment horizontal="center" vertical="center" shrinkToFit="1"/>
    </xf>
    <xf numFmtId="165" fontId="1" fillId="10" borderId="17" xfId="0" applyNumberFormat="1" applyFont="1" applyFill="1" applyBorder="1" applyAlignment="1">
      <alignment horizontal="right" vertical="center"/>
    </xf>
    <xf numFmtId="0" fontId="17" fillId="10" borderId="17" xfId="0" applyFont="1" applyFill="1" applyBorder="1" applyAlignment="1">
      <alignment horizontal="center" vertical="center"/>
    </xf>
    <xf numFmtId="1" fontId="17" fillId="10" borderId="17" xfId="0" applyNumberFormat="1" applyFont="1" applyFill="1" applyBorder="1" applyAlignment="1">
      <alignment horizontal="center" vertical="center"/>
    </xf>
    <xf numFmtId="168" fontId="17" fillId="10" borderId="19" xfId="0" applyNumberFormat="1" applyFont="1" applyFill="1" applyBorder="1" applyAlignment="1">
      <alignment horizontal="right" vertical="center"/>
    </xf>
    <xf numFmtId="165" fontId="17" fillId="10" borderId="17" xfId="0" applyNumberFormat="1" applyFont="1" applyFill="1" applyBorder="1" applyAlignment="1">
      <alignment horizontal="right" vertical="center"/>
    </xf>
    <xf numFmtId="43" fontId="17" fillId="10" borderId="17" xfId="0" applyNumberFormat="1" applyFont="1" applyFill="1" applyBorder="1" applyAlignment="1">
      <alignment horizontal="right" vertical="center"/>
    </xf>
    <xf numFmtId="0" fontId="2" fillId="10" borderId="0" xfId="0" applyFont="1" applyFill="1"/>
    <xf numFmtId="167" fontId="1" fillId="10" borderId="19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/>
    </xf>
    <xf numFmtId="165" fontId="17" fillId="0" borderId="17" xfId="0" applyNumberFormat="1" applyFont="1" applyBorder="1" applyAlignment="1">
      <alignment horizontal="center" vertical="center"/>
    </xf>
    <xf numFmtId="165" fontId="1" fillId="11" borderId="17" xfId="0" applyNumberFormat="1" applyFont="1" applyFill="1" applyBorder="1" applyAlignment="1">
      <alignment horizontal="right" vertical="center"/>
    </xf>
    <xf numFmtId="167" fontId="1" fillId="0" borderId="6" xfId="0" applyNumberFormat="1" applyFont="1" applyBorder="1" applyAlignment="1">
      <alignment horizontal="center" vertical="center"/>
    </xf>
    <xf numFmtId="166" fontId="1" fillId="0" borderId="19" xfId="0" applyNumberFormat="1" applyFont="1" applyBorder="1" applyAlignment="1">
      <alignment horizontal="center" vertical="center"/>
    </xf>
    <xf numFmtId="40" fontId="1" fillId="0" borderId="19" xfId="0" applyNumberFormat="1" applyFont="1" applyBorder="1" applyAlignment="1">
      <alignment horizontal="center" vertical="center" shrinkToFit="1"/>
    </xf>
    <xf numFmtId="166" fontId="1" fillId="0" borderId="6" xfId="0" applyNumberFormat="1" applyFont="1" applyBorder="1" applyAlignment="1">
      <alignment horizontal="center" vertical="center"/>
    </xf>
    <xf numFmtId="40" fontId="1" fillId="0" borderId="6" xfId="0" applyNumberFormat="1" applyFont="1" applyBorder="1" applyAlignment="1">
      <alignment horizontal="center" vertical="center" shrinkToFit="1"/>
    </xf>
    <xf numFmtId="39" fontId="17" fillId="0" borderId="6" xfId="0" applyNumberFormat="1" applyFont="1" applyBorder="1" applyAlignment="1">
      <alignment horizontal="center" vertical="center"/>
    </xf>
    <xf numFmtId="1" fontId="17" fillId="0" borderId="6" xfId="0" applyNumberFormat="1" applyFont="1" applyBorder="1" applyAlignment="1">
      <alignment horizontal="center" vertical="center"/>
    </xf>
    <xf numFmtId="165" fontId="17" fillId="0" borderId="6" xfId="0" applyNumberFormat="1" applyFont="1" applyBorder="1" applyAlignment="1">
      <alignment horizontal="center" vertical="center"/>
    </xf>
    <xf numFmtId="165" fontId="17" fillId="0" borderId="6" xfId="0" applyNumberFormat="1" applyFont="1" applyBorder="1" applyAlignment="1">
      <alignment horizontal="right" vertical="center"/>
    </xf>
    <xf numFmtId="40" fontId="17" fillId="0" borderId="6" xfId="0" applyNumberFormat="1" applyFont="1" applyBorder="1" applyAlignment="1">
      <alignment horizontal="right" vertical="center"/>
    </xf>
    <xf numFmtId="0" fontId="17" fillId="0" borderId="6" xfId="0" applyFont="1" applyBorder="1" applyAlignment="1">
      <alignment horizontal="center" vertical="center"/>
    </xf>
    <xf numFmtId="0" fontId="34" fillId="12" borderId="17" xfId="0" applyFont="1" applyFill="1" applyBorder="1" applyAlignment="1">
      <alignment vertical="center"/>
    </xf>
    <xf numFmtId="15" fontId="9" fillId="5" borderId="17" xfId="0" applyNumberFormat="1" applyFont="1" applyFill="1" applyBorder="1" applyAlignment="1">
      <alignment horizontal="center" vertical="center"/>
    </xf>
    <xf numFmtId="40" fontId="9" fillId="5" borderId="17" xfId="0" applyNumberFormat="1" applyFont="1" applyFill="1" applyBorder="1" applyAlignment="1">
      <alignment horizontal="center" vertical="center" shrinkToFit="1"/>
    </xf>
    <xf numFmtId="40" fontId="9" fillId="5" borderId="17" xfId="0" applyNumberFormat="1" applyFont="1" applyFill="1" applyBorder="1" applyAlignment="1">
      <alignment horizontal="right" vertical="center"/>
    </xf>
    <xf numFmtId="0" fontId="5" fillId="0" borderId="17" xfId="0" applyFont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 vertical="center"/>
    </xf>
    <xf numFmtId="17" fontId="9" fillId="0" borderId="17" xfId="0" applyNumberFormat="1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40" fontId="1" fillId="3" borderId="17" xfId="0" applyNumberFormat="1" applyFont="1" applyFill="1" applyBorder="1" applyAlignment="1">
      <alignment horizontal="right" vertical="center"/>
    </xf>
    <xf numFmtId="166" fontId="1" fillId="3" borderId="20" xfId="0" applyNumberFormat="1" applyFont="1" applyFill="1" applyBorder="1" applyAlignment="1">
      <alignment horizontal="center" vertical="center"/>
    </xf>
    <xf numFmtId="165" fontId="1" fillId="3" borderId="20" xfId="0" applyNumberFormat="1" applyFont="1" applyFill="1" applyBorder="1" applyAlignment="1">
      <alignment horizontal="center" vertical="center" shrinkToFit="1"/>
    </xf>
    <xf numFmtId="165" fontId="1" fillId="3" borderId="6" xfId="0" applyNumberFormat="1" applyFont="1" applyFill="1" applyBorder="1" applyAlignment="1">
      <alignment horizontal="right" vertical="center"/>
    </xf>
    <xf numFmtId="165" fontId="35" fillId="0" borderId="17" xfId="0" applyNumberFormat="1" applyFont="1" applyBorder="1" applyAlignment="1">
      <alignment horizontal="right" vertical="center"/>
    </xf>
    <xf numFmtId="15" fontId="35" fillId="13" borderId="16" xfId="0" applyNumberFormat="1" applyFont="1" applyFill="1" applyBorder="1" applyAlignment="1">
      <alignment horizontal="center" vertical="center"/>
    </xf>
    <xf numFmtId="165" fontId="35" fillId="13" borderId="16" xfId="0" applyNumberFormat="1" applyFont="1" applyFill="1" applyBorder="1" applyAlignment="1">
      <alignment horizontal="center" vertical="center" shrinkToFit="1"/>
    </xf>
    <xf numFmtId="165" fontId="35" fillId="13" borderId="17" xfId="0" applyNumberFormat="1" applyFont="1" applyFill="1" applyBorder="1" applyAlignment="1">
      <alignment horizontal="right" vertical="center"/>
    </xf>
    <xf numFmtId="0" fontId="35" fillId="0" borderId="19" xfId="0" applyFont="1" applyBorder="1" applyAlignment="1">
      <alignment horizontal="center" vertical="center"/>
    </xf>
    <xf numFmtId="1" fontId="35" fillId="0" borderId="17" xfId="0" applyNumberFormat="1" applyFont="1" applyBorder="1" applyAlignment="1">
      <alignment horizontal="center" vertical="center"/>
    </xf>
    <xf numFmtId="165" fontId="35" fillId="0" borderId="19" xfId="0" applyNumberFormat="1" applyFont="1" applyBorder="1" applyAlignment="1">
      <alignment horizontal="right" vertical="center"/>
    </xf>
    <xf numFmtId="43" fontId="1" fillId="0" borderId="19" xfId="0" applyNumberFormat="1" applyFont="1" applyBorder="1" applyAlignment="1">
      <alignment horizontal="right" vertical="center"/>
    </xf>
    <xf numFmtId="168" fontId="1" fillId="0" borderId="17" xfId="0" applyNumberFormat="1" applyFont="1" applyBorder="1" applyAlignment="1">
      <alignment horizontal="center" vertical="center"/>
    </xf>
    <xf numFmtId="15" fontId="35" fillId="13" borderId="17" xfId="0" applyNumberFormat="1" applyFont="1" applyFill="1" applyBorder="1" applyAlignment="1">
      <alignment horizontal="center" vertical="center"/>
    </xf>
    <xf numFmtId="165" fontId="35" fillId="13" borderId="17" xfId="0" applyNumberFormat="1" applyFont="1" applyFill="1" applyBorder="1" applyAlignment="1">
      <alignment horizontal="center" vertical="center" shrinkToFit="1"/>
    </xf>
    <xf numFmtId="0" fontId="35" fillId="0" borderId="17" xfId="0" applyFont="1" applyBorder="1" applyAlignment="1">
      <alignment horizontal="center" vertical="center"/>
    </xf>
    <xf numFmtId="1" fontId="35" fillId="0" borderId="16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165" fontId="1" fillId="0" borderId="14" xfId="0" applyNumberFormat="1" applyFont="1" applyBorder="1" applyAlignment="1">
      <alignment horizontal="center" vertical="center"/>
    </xf>
    <xf numFmtId="17" fontId="35" fillId="0" borderId="14" xfId="0" applyNumberFormat="1" applyFont="1" applyBorder="1" applyAlignment="1">
      <alignment horizontal="center" vertical="center"/>
    </xf>
    <xf numFmtId="1" fontId="35" fillId="0" borderId="14" xfId="0" applyNumberFormat="1" applyFont="1" applyBorder="1" applyAlignment="1">
      <alignment horizontal="center" vertical="center"/>
    </xf>
    <xf numFmtId="1" fontId="35" fillId="0" borderId="15" xfId="0" applyNumberFormat="1" applyFont="1" applyBorder="1" applyAlignment="1">
      <alignment horizontal="center" vertical="center"/>
    </xf>
    <xf numFmtId="165" fontId="9" fillId="0" borderId="17" xfId="0" applyNumberFormat="1" applyFont="1" applyBorder="1" applyAlignment="1">
      <alignment horizontal="right" vertical="center"/>
    </xf>
    <xf numFmtId="15" fontId="9" fillId="5" borderId="16" xfId="0" applyNumberFormat="1" applyFont="1" applyFill="1" applyBorder="1" applyAlignment="1">
      <alignment horizontal="center" vertical="center"/>
    </xf>
    <xf numFmtId="165" fontId="9" fillId="5" borderId="16" xfId="0" applyNumberFormat="1" applyFont="1" applyFill="1" applyBorder="1" applyAlignment="1">
      <alignment horizontal="center" vertical="center" shrinkToFit="1"/>
    </xf>
    <xf numFmtId="165" fontId="9" fillId="5" borderId="17" xfId="0" applyNumberFormat="1" applyFont="1" applyFill="1" applyBorder="1" applyAlignment="1">
      <alignment horizontal="right" vertical="center"/>
    </xf>
    <xf numFmtId="40" fontId="1" fillId="0" borderId="14" xfId="0" applyNumberFormat="1" applyFont="1" applyBorder="1" applyAlignment="1">
      <alignment horizontal="right" vertical="center"/>
    </xf>
    <xf numFmtId="167" fontId="5" fillId="0" borderId="17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vertical="center" shrinkToFit="1"/>
    </xf>
    <xf numFmtId="0" fontId="2" fillId="0" borderId="16" xfId="0" applyFont="1" applyBorder="1"/>
    <xf numFmtId="39" fontId="5" fillId="0" borderId="17" xfId="0" applyNumberFormat="1" applyFont="1" applyBorder="1" applyAlignment="1">
      <alignment horizontal="center" vertical="center"/>
    </xf>
    <xf numFmtId="1" fontId="5" fillId="0" borderId="17" xfId="0" applyNumberFormat="1" applyFont="1" applyBorder="1" applyAlignment="1">
      <alignment horizontal="center" vertical="center"/>
    </xf>
    <xf numFmtId="165" fontId="5" fillId="0" borderId="17" xfId="0" applyNumberFormat="1" applyFont="1" applyBorder="1" applyAlignment="1">
      <alignment horizontal="center" vertical="center"/>
    </xf>
    <xf numFmtId="165" fontId="36" fillId="0" borderId="17" xfId="0" applyNumberFormat="1" applyFont="1" applyBorder="1" applyAlignment="1">
      <alignment horizontal="center" vertical="center"/>
    </xf>
    <xf numFmtId="40" fontId="9" fillId="0" borderId="17" xfId="0" applyNumberFormat="1" applyFont="1" applyBorder="1" applyAlignment="1">
      <alignment horizontal="right" vertical="center"/>
    </xf>
    <xf numFmtId="0" fontId="9" fillId="3" borderId="17" xfId="0" applyFont="1" applyFill="1" applyBorder="1" applyAlignment="1">
      <alignment horizontal="center" vertical="center"/>
    </xf>
    <xf numFmtId="40" fontId="9" fillId="3" borderId="17" xfId="0" applyNumberFormat="1" applyFont="1" applyFill="1" applyBorder="1" applyAlignment="1">
      <alignment horizontal="center" vertical="center" shrinkToFit="1"/>
    </xf>
    <xf numFmtId="165" fontId="9" fillId="3" borderId="17" xfId="0" applyNumberFormat="1" applyFont="1" applyFill="1" applyBorder="1" applyAlignment="1">
      <alignment horizontal="center" vertical="center"/>
    </xf>
    <xf numFmtId="168" fontId="5" fillId="0" borderId="17" xfId="0" applyNumberFormat="1" applyFont="1" applyBorder="1" applyAlignment="1">
      <alignment horizontal="right" vertical="center"/>
    </xf>
    <xf numFmtId="165" fontId="10" fillId="0" borderId="17" xfId="0" applyNumberFormat="1" applyFont="1" applyBorder="1" applyAlignment="1">
      <alignment horizontal="center" vertical="center"/>
    </xf>
    <xf numFmtId="165" fontId="10" fillId="0" borderId="17" xfId="0" applyNumberFormat="1" applyFont="1" applyBorder="1" applyAlignment="1">
      <alignment horizontal="right" vertical="center"/>
    </xf>
    <xf numFmtId="43" fontId="10" fillId="0" borderId="17" xfId="0" applyNumberFormat="1" applyFont="1" applyBorder="1" applyAlignment="1">
      <alignment horizontal="right" vertical="center"/>
    </xf>
    <xf numFmtId="0" fontId="18" fillId="0" borderId="0" xfId="0" applyFont="1"/>
    <xf numFmtId="0" fontId="20" fillId="0" borderId="0" xfId="0" applyFont="1"/>
    <xf numFmtId="0" fontId="37" fillId="0" borderId="0" xfId="0" applyFont="1"/>
    <xf numFmtId="167" fontId="5" fillId="0" borderId="14" xfId="0" applyNumberFormat="1" applyFont="1" applyBorder="1" applyAlignment="1">
      <alignment horizontal="center" vertical="center"/>
    </xf>
    <xf numFmtId="0" fontId="38" fillId="0" borderId="27" xfId="0" applyFont="1" applyBorder="1" applyAlignment="1">
      <alignment vertical="center" shrinkToFit="1"/>
    </xf>
    <xf numFmtId="0" fontId="38" fillId="0" borderId="16" xfId="0" applyFont="1" applyBorder="1" applyAlignment="1">
      <alignment vertical="center" shrinkToFit="1"/>
    </xf>
    <xf numFmtId="165" fontId="8" fillId="0" borderId="17" xfId="0" applyNumberFormat="1" applyFont="1" applyBorder="1" applyAlignment="1">
      <alignment horizontal="right" vertical="center"/>
    </xf>
    <xf numFmtId="39" fontId="8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65" fontId="22" fillId="0" borderId="17" xfId="0" applyNumberFormat="1" applyFont="1" applyBorder="1" applyAlignment="1">
      <alignment horizontal="center" vertical="center"/>
    </xf>
    <xf numFmtId="165" fontId="1" fillId="3" borderId="17" xfId="0" applyNumberFormat="1" applyFont="1" applyFill="1" applyBorder="1" applyAlignment="1">
      <alignment horizontal="center" vertical="center" shrinkToFit="1"/>
    </xf>
    <xf numFmtId="167" fontId="35" fillId="0" borderId="14" xfId="0" applyNumberFormat="1" applyFont="1" applyBorder="1" applyAlignment="1">
      <alignment horizontal="center" vertical="center"/>
    </xf>
    <xf numFmtId="0" fontId="35" fillId="0" borderId="27" xfId="0" applyFont="1" applyBorder="1" applyAlignment="1">
      <alignment vertical="center" shrinkToFit="1"/>
    </xf>
    <xf numFmtId="0" fontId="39" fillId="0" borderId="16" xfId="0" applyFont="1" applyBorder="1"/>
    <xf numFmtId="0" fontId="35" fillId="0" borderId="27" xfId="0" applyFont="1" applyBorder="1" applyAlignment="1">
      <alignment vertical="center"/>
    </xf>
    <xf numFmtId="0" fontId="35" fillId="0" borderId="31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15" fontId="9" fillId="5" borderId="18" xfId="0" applyNumberFormat="1" applyFont="1" applyFill="1" applyBorder="1" applyAlignment="1">
      <alignment horizontal="center" vertical="center"/>
    </xf>
    <xf numFmtId="165" fontId="9" fillId="5" borderId="18" xfId="0" applyNumberFormat="1" applyFont="1" applyFill="1" applyBorder="1" applyAlignment="1">
      <alignment horizontal="center" vertical="center" shrinkToFit="1"/>
    </xf>
    <xf numFmtId="165" fontId="9" fillId="5" borderId="19" xfId="0" applyNumberFormat="1" applyFont="1" applyFill="1" applyBorder="1" applyAlignment="1">
      <alignment horizontal="right" vertical="center"/>
    </xf>
    <xf numFmtId="1" fontId="17" fillId="0" borderId="19" xfId="0" applyNumberFormat="1" applyFont="1" applyBorder="1" applyAlignment="1">
      <alignment horizontal="center" vertical="center"/>
    </xf>
    <xf numFmtId="0" fontId="21" fillId="4" borderId="17" xfId="0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2" fillId="7" borderId="17" xfId="0" applyFont="1" applyFill="1" applyBorder="1" applyAlignment="1">
      <alignment horizontal="left" vertical="center" shrinkToFit="1"/>
    </xf>
    <xf numFmtId="40" fontId="5" fillId="5" borderId="17" xfId="0" applyNumberFormat="1" applyFont="1" applyFill="1" applyBorder="1" applyAlignment="1">
      <alignment horizontal="center" vertical="center" shrinkToFit="1"/>
    </xf>
    <xf numFmtId="40" fontId="5" fillId="5" borderId="17" xfId="0" applyNumberFormat="1" applyFont="1" applyFill="1" applyBorder="1" applyAlignment="1">
      <alignment horizontal="right" vertical="center"/>
    </xf>
    <xf numFmtId="0" fontId="5" fillId="4" borderId="17" xfId="0" applyFont="1" applyFill="1" applyBorder="1" applyAlignment="1">
      <alignment horizontal="center" vertical="center"/>
    </xf>
    <xf numFmtId="17" fontId="9" fillId="4" borderId="17" xfId="0" applyNumberFormat="1" applyFont="1" applyFill="1" applyBorder="1" applyAlignment="1">
      <alignment horizontal="center" vertical="center"/>
    </xf>
    <xf numFmtId="165" fontId="8" fillId="0" borderId="19" xfId="0" applyNumberFormat="1" applyFont="1" applyBorder="1" applyAlignment="1">
      <alignment horizontal="center" vertical="center"/>
    </xf>
    <xf numFmtId="43" fontId="8" fillId="0" borderId="17" xfId="0" applyNumberFormat="1" applyFont="1" applyBorder="1" applyAlignment="1">
      <alignment horizontal="right" vertical="center"/>
    </xf>
    <xf numFmtId="0" fontId="5" fillId="5" borderId="18" xfId="0" applyFont="1" applyFill="1" applyBorder="1" applyAlignment="1">
      <alignment horizontal="center" vertical="center"/>
    </xf>
    <xf numFmtId="167" fontId="17" fillId="0" borderId="17" xfId="0" applyNumberFormat="1" applyFont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40" fontId="11" fillId="6" borderId="17" xfId="0" applyNumberFormat="1" applyFont="1" applyFill="1" applyBorder="1" applyAlignment="1">
      <alignment horizontal="center" vertical="center" shrinkToFit="1"/>
    </xf>
    <xf numFmtId="40" fontId="11" fillId="6" borderId="17" xfId="0" applyNumberFormat="1" applyFont="1" applyFill="1" applyBorder="1" applyAlignment="1">
      <alignment horizontal="right" vertical="center"/>
    </xf>
    <xf numFmtId="0" fontId="11" fillId="4" borderId="17" xfId="0" applyFont="1" applyFill="1" applyBorder="1" applyAlignment="1">
      <alignment horizontal="center" vertical="center"/>
    </xf>
    <xf numFmtId="1" fontId="11" fillId="4" borderId="17" xfId="0" applyNumberFormat="1" applyFont="1" applyFill="1" applyBorder="1" applyAlignment="1">
      <alignment horizontal="center" vertical="center"/>
    </xf>
    <xf numFmtId="0" fontId="11" fillId="14" borderId="17" xfId="0" applyFont="1" applyFill="1" applyBorder="1" applyAlignment="1">
      <alignment horizontal="center" vertical="center"/>
    </xf>
    <xf numFmtId="40" fontId="11" fillId="14" borderId="17" xfId="0" applyNumberFormat="1" applyFont="1" applyFill="1" applyBorder="1" applyAlignment="1">
      <alignment horizontal="right" vertical="center"/>
    </xf>
    <xf numFmtId="39" fontId="22" fillId="7" borderId="17" xfId="0" applyNumberFormat="1" applyFont="1" applyFill="1" applyBorder="1" applyAlignment="1">
      <alignment horizontal="left" vertical="center"/>
    </xf>
    <xf numFmtId="40" fontId="11" fillId="14" borderId="17" xfId="0" applyNumberFormat="1" applyFont="1" applyFill="1" applyBorder="1" applyAlignment="1">
      <alignment horizontal="center" vertical="center" shrinkToFit="1"/>
    </xf>
    <xf numFmtId="165" fontId="11" fillId="14" borderId="17" xfId="0" applyNumberFormat="1" applyFont="1" applyFill="1" applyBorder="1" applyAlignment="1">
      <alignment horizontal="right" vertical="center"/>
    </xf>
    <xf numFmtId="0" fontId="40" fillId="4" borderId="17" xfId="0" applyFont="1" applyFill="1" applyBorder="1" applyAlignment="1">
      <alignment horizontal="center" vertical="center"/>
    </xf>
    <xf numFmtId="39" fontId="17" fillId="0" borderId="19" xfId="0" applyNumberFormat="1" applyFont="1" applyBorder="1" applyAlignment="1">
      <alignment horizontal="center" vertical="center"/>
    </xf>
    <xf numFmtId="165" fontId="17" fillId="0" borderId="19" xfId="0" applyNumberFormat="1" applyFont="1" applyBorder="1" applyAlignment="1">
      <alignment horizontal="right" vertical="center"/>
    </xf>
    <xf numFmtId="165" fontId="11" fillId="6" borderId="17" xfId="0" applyNumberFormat="1" applyFont="1" applyFill="1" applyBorder="1" applyAlignment="1">
      <alignment horizontal="right" vertical="center"/>
    </xf>
    <xf numFmtId="166" fontId="11" fillId="6" borderId="17" xfId="0" applyNumberFormat="1" applyFont="1" applyFill="1" applyBorder="1" applyAlignment="1">
      <alignment horizontal="center" vertical="center"/>
    </xf>
    <xf numFmtId="40" fontId="11" fillId="6" borderId="28" xfId="0" applyNumberFormat="1" applyFont="1" applyFill="1" applyBorder="1" applyAlignment="1">
      <alignment horizontal="center" vertical="center" shrinkToFit="1"/>
    </xf>
    <xf numFmtId="0" fontId="41" fillId="4" borderId="17" xfId="0" applyFont="1" applyFill="1" applyBorder="1" applyAlignment="1">
      <alignment horizontal="center" vertical="center"/>
    </xf>
    <xf numFmtId="0" fontId="25" fillId="0" borderId="17" xfId="0" applyFont="1" applyBorder="1" applyAlignment="1">
      <alignment vertical="center"/>
    </xf>
    <xf numFmtId="0" fontId="25" fillId="0" borderId="17" xfId="0" applyFont="1" applyBorder="1" applyAlignment="1">
      <alignment vertical="center" shrinkToFit="1"/>
    </xf>
    <xf numFmtId="165" fontId="25" fillId="0" borderId="17" xfId="0" applyNumberFormat="1" applyFont="1" applyBorder="1" applyAlignment="1">
      <alignment horizontal="right" vertical="center"/>
    </xf>
    <xf numFmtId="39" fontId="25" fillId="0" borderId="17" xfId="0" applyNumberFormat="1" applyFont="1" applyBorder="1" applyAlignment="1">
      <alignment horizontal="center" vertical="center"/>
    </xf>
    <xf numFmtId="40" fontId="25" fillId="0" borderId="17" xfId="0" applyNumberFormat="1" applyFont="1" applyBorder="1" applyAlignment="1">
      <alignment horizontal="right" vertical="center"/>
    </xf>
    <xf numFmtId="0" fontId="38" fillId="6" borderId="17" xfId="0" applyFont="1" applyFill="1" applyBorder="1" applyAlignment="1">
      <alignment horizontal="center" vertical="center"/>
    </xf>
    <xf numFmtId="40" fontId="38" fillId="6" borderId="17" xfId="0" applyNumberFormat="1" applyFont="1" applyFill="1" applyBorder="1" applyAlignment="1">
      <alignment horizontal="center" vertical="center" shrinkToFit="1"/>
    </xf>
    <xf numFmtId="165" fontId="38" fillId="6" borderId="17" xfId="0" applyNumberFormat="1" applyFont="1" applyFill="1" applyBorder="1" applyAlignment="1">
      <alignment horizontal="right" vertical="center"/>
    </xf>
    <xf numFmtId="165" fontId="7" fillId="0" borderId="19" xfId="0" applyNumberFormat="1" applyFont="1" applyBorder="1" applyAlignment="1">
      <alignment horizontal="center" vertical="center"/>
    </xf>
    <xf numFmtId="0" fontId="30" fillId="0" borderId="17" xfId="0" applyFont="1" applyBorder="1" applyAlignment="1">
      <alignment vertical="center"/>
    </xf>
    <xf numFmtId="0" fontId="30" fillId="0" borderId="19" xfId="0" applyFont="1" applyBorder="1" applyAlignment="1">
      <alignment vertical="center" shrinkToFit="1"/>
    </xf>
    <xf numFmtId="165" fontId="30" fillId="0" borderId="19" xfId="0" applyNumberFormat="1" applyFont="1" applyBorder="1" applyAlignment="1">
      <alignment horizontal="right" vertical="center"/>
    </xf>
    <xf numFmtId="39" fontId="30" fillId="0" borderId="19" xfId="0" applyNumberFormat="1" applyFont="1" applyBorder="1" applyAlignment="1">
      <alignment horizontal="center" vertical="center"/>
    </xf>
    <xf numFmtId="1" fontId="30" fillId="0" borderId="19" xfId="0" applyNumberFormat="1" applyFont="1" applyBorder="1" applyAlignment="1">
      <alignment horizontal="center" vertical="center"/>
    </xf>
    <xf numFmtId="165" fontId="30" fillId="0" borderId="19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shrinkToFit="1"/>
    </xf>
    <xf numFmtId="1" fontId="11" fillId="4" borderId="19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vertical="center" shrinkToFit="1"/>
    </xf>
    <xf numFmtId="166" fontId="29" fillId="13" borderId="18" xfId="0" applyNumberFormat="1" applyFont="1" applyFill="1" applyBorder="1" applyAlignment="1">
      <alignment horizontal="center" vertical="center"/>
    </xf>
    <xf numFmtId="165" fontId="29" fillId="13" borderId="18" xfId="0" applyNumberFormat="1" applyFont="1" applyFill="1" applyBorder="1" applyAlignment="1">
      <alignment horizontal="center" vertical="center" shrinkToFit="1"/>
    </xf>
    <xf numFmtId="165" fontId="29" fillId="13" borderId="19" xfId="0" applyNumberFormat="1" applyFont="1" applyFill="1" applyBorder="1" applyAlignment="1">
      <alignment horizontal="right" vertical="center"/>
    </xf>
    <xf numFmtId="167" fontId="1" fillId="2" borderId="33" xfId="0" applyNumberFormat="1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right" vertical="center"/>
    </xf>
    <xf numFmtId="0" fontId="1" fillId="2" borderId="34" xfId="0" applyFont="1" applyFill="1" applyBorder="1" applyAlignment="1">
      <alignment vertical="center"/>
    </xf>
    <xf numFmtId="165" fontId="1" fillId="2" borderId="21" xfId="0" applyNumberFormat="1" applyFont="1" applyFill="1" applyBorder="1" applyAlignment="1">
      <alignment vertical="center"/>
    </xf>
    <xf numFmtId="165" fontId="1" fillId="2" borderId="21" xfId="0" applyNumberFormat="1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166" fontId="1" fillId="2" borderId="21" xfId="0" applyNumberFormat="1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/>
    <xf numFmtId="1" fontId="1" fillId="0" borderId="0" xfId="0" applyNumberFormat="1" applyFont="1" applyAlignment="1">
      <alignment horizontal="center" vertical="center"/>
    </xf>
    <xf numFmtId="40" fontId="1" fillId="0" borderId="0" xfId="0" applyNumberFormat="1" applyFont="1" applyAlignment="1">
      <alignment vertical="center"/>
    </xf>
    <xf numFmtId="39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center" vertical="center"/>
    </xf>
    <xf numFmtId="40" fontId="1" fillId="0" borderId="0" xfId="0" applyNumberFormat="1" applyFont="1" applyAlignment="1">
      <alignment horizontal="center" vertical="center" shrinkToFit="1"/>
    </xf>
    <xf numFmtId="165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2" fillId="3" borderId="0" xfId="0" applyFont="1" applyFill="1" applyAlignment="1">
      <alignment horizontal="center"/>
    </xf>
    <xf numFmtId="3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49" fontId="1" fillId="0" borderId="6" xfId="0" applyNumberFormat="1" applyFont="1" applyBorder="1" applyAlignment="1">
      <alignment horizontal="center" vertical="center"/>
    </xf>
    <xf numFmtId="0" fontId="3" fillId="0" borderId="5" xfId="0" applyFont="1" applyBorder="1"/>
    <xf numFmtId="0" fontId="35" fillId="0" borderId="35" xfId="0" applyFont="1" applyBorder="1" applyAlignment="1">
      <alignment vertical="center"/>
    </xf>
    <xf numFmtId="0" fontId="35" fillId="0" borderId="20" xfId="0" applyFont="1" applyBorder="1" applyAlignment="1">
      <alignment vertical="center"/>
    </xf>
    <xf numFmtId="0" fontId="45" fillId="0" borderId="0" xfId="0" applyFont="1"/>
    <xf numFmtId="165" fontId="45" fillId="0" borderId="0" xfId="0" applyNumberFormat="1" applyFont="1"/>
    <xf numFmtId="40" fontId="45" fillId="0" borderId="0" xfId="0" applyNumberFormat="1" applyFont="1"/>
    <xf numFmtId="165" fontId="7" fillId="0" borderId="0" xfId="0" applyNumberFormat="1" applyFont="1"/>
    <xf numFmtId="164" fontId="1" fillId="0" borderId="9" xfId="1" applyFont="1" applyBorder="1" applyAlignment="1">
      <alignment horizontal="center" vertical="center"/>
    </xf>
    <xf numFmtId="164" fontId="1" fillId="0" borderId="6" xfId="1" applyFont="1" applyBorder="1" applyAlignment="1">
      <alignment horizontal="center" vertical="center"/>
    </xf>
    <xf numFmtId="164" fontId="1" fillId="0" borderId="10" xfId="1" applyFont="1" applyBorder="1" applyAlignment="1">
      <alignment horizontal="center" vertical="center"/>
    </xf>
    <xf numFmtId="164" fontId="1" fillId="0" borderId="17" xfId="1" applyFont="1" applyBorder="1" applyAlignment="1">
      <alignment vertical="center"/>
    </xf>
    <xf numFmtId="164" fontId="1" fillId="0" borderId="17" xfId="1" applyFont="1" applyBorder="1" applyAlignment="1">
      <alignment horizontal="left" vertical="center"/>
    </xf>
    <xf numFmtId="164" fontId="1" fillId="0" borderId="17" xfId="1" applyFont="1" applyBorder="1" applyAlignment="1">
      <alignment horizontal="left" vertical="center" shrinkToFit="1"/>
    </xf>
    <xf numFmtId="164" fontId="1" fillId="0" borderId="21" xfId="1" applyFont="1" applyBorder="1" applyAlignment="1">
      <alignment vertical="center"/>
    </xf>
    <xf numFmtId="164" fontId="1" fillId="0" borderId="19" xfId="1" applyFont="1" applyBorder="1" applyAlignment="1">
      <alignment vertical="center" shrinkToFit="1"/>
    </xf>
    <xf numFmtId="164" fontId="1" fillId="0" borderId="22" xfId="1" applyFont="1" applyBorder="1" applyAlignment="1">
      <alignment vertical="center"/>
    </xf>
    <xf numFmtId="164" fontId="1" fillId="0" borderId="14" xfId="1" applyFont="1" applyBorder="1" applyAlignment="1">
      <alignment vertical="center"/>
    </xf>
    <xf numFmtId="164" fontId="1" fillId="0" borderId="0" xfId="1" applyFont="1" applyBorder="1" applyAlignment="1">
      <alignment vertical="center" shrinkToFit="1"/>
    </xf>
    <xf numFmtId="164" fontId="1" fillId="0" borderId="19" xfId="1" applyFont="1" applyBorder="1" applyAlignment="1">
      <alignment horizontal="center" vertical="center" shrinkToFit="1"/>
    </xf>
    <xf numFmtId="164" fontId="1" fillId="2" borderId="7" xfId="1" applyFont="1" applyFill="1" applyBorder="1" applyAlignment="1">
      <alignment vertical="center"/>
    </xf>
    <xf numFmtId="164" fontId="2" fillId="0" borderId="0" xfId="1" applyFont="1"/>
    <xf numFmtId="164" fontId="1" fillId="0" borderId="0" xfId="1" applyFont="1" applyAlignment="1">
      <alignment horizontal="left" vertical="center"/>
    </xf>
    <xf numFmtId="164" fontId="1" fillId="0" borderId="0" xfId="1" applyFont="1" applyAlignment="1">
      <alignment vertical="center"/>
    </xf>
    <xf numFmtId="164" fontId="1" fillId="0" borderId="2" xfId="1" applyFont="1" applyBorder="1" applyAlignment="1">
      <alignment horizontal="center" vertical="center"/>
    </xf>
    <xf numFmtId="164" fontId="1" fillId="0" borderId="17" xfId="1" applyFont="1" applyBorder="1" applyAlignment="1">
      <alignment horizontal="center" vertical="center"/>
    </xf>
    <xf numFmtId="164" fontId="19" fillId="0" borderId="17" xfId="1" applyFont="1" applyBorder="1" applyAlignment="1">
      <alignment horizontal="center" vertical="center"/>
    </xf>
    <xf numFmtId="164" fontId="18" fillId="0" borderId="17" xfId="1" applyFont="1" applyBorder="1" applyAlignment="1">
      <alignment horizontal="center" vertical="center"/>
    </xf>
    <xf numFmtId="164" fontId="20" fillId="0" borderId="17" xfId="1" applyFont="1" applyBorder="1" applyAlignment="1">
      <alignment horizontal="center" vertical="center"/>
    </xf>
    <xf numFmtId="164" fontId="1" fillId="0" borderId="21" xfId="1" applyFont="1" applyBorder="1" applyAlignment="1">
      <alignment horizontal="center" vertical="center"/>
    </xf>
    <xf numFmtId="164" fontId="28" fillId="0" borderId="17" xfId="1" applyFont="1" applyBorder="1" applyAlignment="1">
      <alignment horizontal="center" vertical="center"/>
    </xf>
    <xf numFmtId="164" fontId="30" fillId="0" borderId="17" xfId="1" applyFont="1" applyBorder="1" applyAlignment="1">
      <alignment horizontal="center" vertical="center"/>
    </xf>
    <xf numFmtId="164" fontId="31" fillId="0" borderId="17" xfId="1" applyFont="1" applyBorder="1" applyAlignment="1">
      <alignment horizontal="center" vertical="center"/>
    </xf>
    <xf numFmtId="164" fontId="17" fillId="0" borderId="17" xfId="1" applyFont="1" applyBorder="1" applyAlignment="1">
      <alignment horizontal="center" vertical="center"/>
    </xf>
    <xf numFmtId="164" fontId="1" fillId="0" borderId="21" xfId="1" applyFont="1" applyBorder="1" applyAlignment="1">
      <alignment horizontal="right" vertical="center"/>
    </xf>
    <xf numFmtId="164" fontId="9" fillId="0" borderId="17" xfId="1" applyFont="1" applyBorder="1" applyAlignment="1">
      <alignment horizontal="center" vertical="center"/>
    </xf>
    <xf numFmtId="164" fontId="1" fillId="0" borderId="22" xfId="1" applyFont="1" applyBorder="1" applyAlignment="1">
      <alignment horizontal="center" vertical="center"/>
    </xf>
    <xf numFmtId="164" fontId="35" fillId="0" borderId="14" xfId="1" applyFont="1" applyBorder="1" applyAlignment="1">
      <alignment horizontal="center" vertical="center"/>
    </xf>
    <xf numFmtId="164" fontId="21" fillId="4" borderId="17" xfId="1" applyFont="1" applyFill="1" applyBorder="1" applyAlignment="1">
      <alignment horizontal="center" vertical="center"/>
    </xf>
    <xf numFmtId="164" fontId="9" fillId="4" borderId="17" xfId="1" applyFont="1" applyFill="1" applyBorder="1" applyAlignment="1">
      <alignment horizontal="center" vertical="center"/>
    </xf>
    <xf numFmtId="164" fontId="11" fillId="4" borderId="17" xfId="1" applyFont="1" applyFill="1" applyBorder="1" applyAlignment="1">
      <alignment horizontal="center" vertical="center"/>
    </xf>
    <xf numFmtId="164" fontId="41" fillId="4" borderId="17" xfId="1" applyFont="1" applyFill="1" applyBorder="1" applyAlignment="1">
      <alignment horizontal="center" vertical="center"/>
    </xf>
    <xf numFmtId="164" fontId="1" fillId="2" borderId="21" xfId="1" applyFont="1" applyFill="1" applyBorder="1" applyAlignment="1">
      <alignment vertical="center"/>
    </xf>
    <xf numFmtId="164" fontId="2" fillId="0" borderId="0" xfId="1" applyFont="1" applyAlignment="1">
      <alignment horizontal="center"/>
    </xf>
    <xf numFmtId="43" fontId="7" fillId="0" borderId="0" xfId="0" applyNumberFormat="1" applyFont="1"/>
    <xf numFmtId="0" fontId="1" fillId="0" borderId="0" xfId="0" applyFont="1"/>
    <xf numFmtId="43" fontId="46" fillId="11" borderId="0" xfId="0" applyNumberFormat="1" applyFont="1" applyFill="1"/>
    <xf numFmtId="43" fontId="1" fillId="0" borderId="6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40" fontId="7" fillId="0" borderId="0" xfId="0" applyNumberFormat="1" applyFont="1"/>
    <xf numFmtId="164" fontId="7" fillId="15" borderId="0" xfId="1" applyFont="1" applyFill="1"/>
    <xf numFmtId="164" fontId="1" fillId="0" borderId="19" xfId="1" applyFont="1" applyBorder="1" applyAlignment="1">
      <alignment vertical="center"/>
    </xf>
    <xf numFmtId="164" fontId="1" fillId="10" borderId="19" xfId="1" applyFont="1" applyFill="1" applyBorder="1" applyAlignment="1">
      <alignment vertical="center" shrinkToFit="1"/>
    </xf>
    <xf numFmtId="164" fontId="1" fillId="0" borderId="6" xfId="1" applyFont="1" applyBorder="1" applyAlignment="1">
      <alignment vertical="center"/>
    </xf>
    <xf numFmtId="43" fontId="2" fillId="0" borderId="0" xfId="0" applyNumberFormat="1" applyFont="1"/>
    <xf numFmtId="0" fontId="47" fillId="0" borderId="0" xfId="0" applyFont="1"/>
    <xf numFmtId="0" fontId="45" fillId="10" borderId="0" xfId="0" applyFont="1" applyFill="1"/>
    <xf numFmtId="43" fontId="45" fillId="0" borderId="0" xfId="0" applyNumberFormat="1" applyFont="1"/>
    <xf numFmtId="164" fontId="45" fillId="15" borderId="0" xfId="1" applyFont="1" applyFill="1"/>
    <xf numFmtId="0" fontId="49" fillId="0" borderId="5" xfId="0" applyFont="1" applyBorder="1"/>
    <xf numFmtId="0" fontId="48" fillId="0" borderId="2" xfId="0" applyFont="1" applyBorder="1" applyAlignment="1">
      <alignment horizontal="center" vertical="center"/>
    </xf>
    <xf numFmtId="1" fontId="48" fillId="0" borderId="2" xfId="0" applyNumberFormat="1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8" fillId="0" borderId="10" xfId="0" applyNumberFormat="1" applyFont="1" applyBorder="1" applyAlignment="1">
      <alignment horizontal="center" vertical="center"/>
    </xf>
    <xf numFmtId="43" fontId="48" fillId="0" borderId="12" xfId="0" applyNumberFormat="1" applyFont="1" applyBorder="1" applyAlignment="1">
      <alignment horizontal="center" vertical="center"/>
    </xf>
    <xf numFmtId="0" fontId="48" fillId="0" borderId="6" xfId="0" applyFont="1" applyBorder="1" applyAlignment="1">
      <alignment horizontal="center" vertical="center"/>
    </xf>
    <xf numFmtId="1" fontId="48" fillId="0" borderId="6" xfId="0" applyNumberFormat="1" applyFont="1" applyBorder="1" applyAlignment="1">
      <alignment horizontal="center" vertical="center"/>
    </xf>
    <xf numFmtId="43" fontId="48" fillId="0" borderId="6" xfId="0" applyNumberFormat="1" applyFont="1" applyBorder="1" applyAlignment="1">
      <alignment horizontal="center" vertical="center"/>
    </xf>
    <xf numFmtId="0" fontId="48" fillId="0" borderId="17" xfId="0" applyFont="1" applyBorder="1" applyAlignment="1">
      <alignment horizontal="center" vertical="center"/>
    </xf>
    <xf numFmtId="1" fontId="48" fillId="0" borderId="17" xfId="0" applyNumberFormat="1" applyFont="1" applyBorder="1" applyAlignment="1">
      <alignment horizontal="center" vertical="center"/>
    </xf>
    <xf numFmtId="43" fontId="48" fillId="0" borderId="17" xfId="0" applyNumberFormat="1" applyFont="1" applyBorder="1" applyAlignment="1">
      <alignment horizontal="right" vertical="center"/>
    </xf>
    <xf numFmtId="0" fontId="48" fillId="10" borderId="17" xfId="0" applyFont="1" applyFill="1" applyBorder="1" applyAlignment="1">
      <alignment horizontal="center" vertical="center"/>
    </xf>
    <xf numFmtId="1" fontId="48" fillId="10" borderId="17" xfId="0" applyNumberFormat="1" applyFont="1" applyFill="1" applyBorder="1" applyAlignment="1">
      <alignment horizontal="center" vertical="center"/>
    </xf>
    <xf numFmtId="17" fontId="50" fillId="0" borderId="14" xfId="0" applyNumberFormat="1" applyFont="1" applyBorder="1" applyAlignment="1">
      <alignment horizontal="center" vertical="center"/>
    </xf>
    <xf numFmtId="1" fontId="50" fillId="0" borderId="14" xfId="0" applyNumberFormat="1" applyFont="1" applyBorder="1" applyAlignment="1">
      <alignment horizontal="center" vertical="center"/>
    </xf>
    <xf numFmtId="0" fontId="51" fillId="4" borderId="17" xfId="0" applyFont="1" applyFill="1" applyBorder="1" applyAlignment="1">
      <alignment horizontal="center" vertical="center"/>
    </xf>
    <xf numFmtId="1" fontId="51" fillId="4" borderId="17" xfId="0" applyNumberFormat="1" applyFont="1" applyFill="1" applyBorder="1" applyAlignment="1">
      <alignment horizontal="center" vertical="center"/>
    </xf>
    <xf numFmtId="165" fontId="48" fillId="2" borderId="21" xfId="0" applyNumberFormat="1" applyFont="1" applyFill="1" applyBorder="1" applyAlignment="1">
      <alignment vertical="center"/>
    </xf>
    <xf numFmtId="0" fontId="52" fillId="0" borderId="0" xfId="0" applyFont="1" applyAlignment="1">
      <alignment horizontal="center"/>
    </xf>
    <xf numFmtId="1" fontId="52" fillId="0" borderId="0" xfId="0" applyNumberFormat="1" applyFont="1" applyAlignment="1">
      <alignment horizontal="center"/>
    </xf>
    <xf numFmtId="0" fontId="52" fillId="0" borderId="0" xfId="0" applyFont="1"/>
    <xf numFmtId="40" fontId="2" fillId="0" borderId="0" xfId="0" applyNumberFormat="1" applyFont="1"/>
    <xf numFmtId="165" fontId="2" fillId="11" borderId="0" xfId="0" applyNumberFormat="1" applyFont="1" applyFill="1"/>
    <xf numFmtId="165" fontId="14" fillId="0" borderId="6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/>
    </xf>
    <xf numFmtId="165" fontId="14" fillId="0" borderId="6" xfId="0" applyNumberFormat="1" applyFont="1" applyBorder="1" applyAlignment="1">
      <alignment horizontal="right" vertical="center"/>
    </xf>
    <xf numFmtId="40" fontId="14" fillId="0" borderId="6" xfId="0" applyNumberFormat="1" applyFont="1" applyBorder="1" applyAlignment="1">
      <alignment horizontal="right" vertical="center"/>
    </xf>
    <xf numFmtId="15" fontId="6" fillId="5" borderId="20" xfId="0" applyNumberFormat="1" applyFont="1" applyFill="1" applyBorder="1" applyAlignment="1">
      <alignment horizontal="center" vertical="center"/>
    </xf>
    <xf numFmtId="165" fontId="6" fillId="5" borderId="20" xfId="0" applyNumberFormat="1" applyFont="1" applyFill="1" applyBorder="1" applyAlignment="1">
      <alignment horizontal="center" vertical="center" shrinkToFit="1"/>
    </xf>
    <xf numFmtId="165" fontId="6" fillId="5" borderId="6" xfId="0" applyNumberFormat="1" applyFont="1" applyFill="1" applyBorder="1" applyAlignment="1">
      <alignment horizontal="right" vertical="center"/>
    </xf>
    <xf numFmtId="0" fontId="1" fillId="10" borderId="27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left" vertical="center"/>
    </xf>
    <xf numFmtId="0" fontId="1" fillId="0" borderId="36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164" fontId="8" fillId="0" borderId="16" xfId="1" applyFont="1" applyBorder="1" applyAlignment="1">
      <alignment vertical="center"/>
    </xf>
    <xf numFmtId="40" fontId="1" fillId="0" borderId="14" xfId="0" applyNumberFormat="1" applyFont="1" applyBorder="1" applyAlignment="1">
      <alignment horizontal="center" vertical="center" shrinkToFit="1"/>
    </xf>
    <xf numFmtId="166" fontId="8" fillId="0" borderId="37" xfId="0" applyNumberFormat="1" applyFont="1" applyBorder="1" applyAlignment="1">
      <alignment horizontal="center" vertical="center"/>
    </xf>
    <xf numFmtId="166" fontId="8" fillId="0" borderId="27" xfId="0" applyNumberFormat="1" applyFont="1" applyBorder="1" applyAlignment="1">
      <alignment horizontal="center" vertical="center"/>
    </xf>
    <xf numFmtId="0" fontId="1" fillId="10" borderId="27" xfId="0" applyFont="1" applyFill="1" applyBorder="1" applyAlignment="1">
      <alignment vertical="center"/>
    </xf>
    <xf numFmtId="0" fontId="1" fillId="10" borderId="16" xfId="0" applyFont="1" applyFill="1" applyBorder="1" applyAlignment="1">
      <alignment vertical="center"/>
    </xf>
    <xf numFmtId="43" fontId="1" fillId="0" borderId="14" xfId="0" applyNumberFormat="1" applyFont="1" applyBorder="1" applyAlignment="1">
      <alignment horizontal="right" vertical="center"/>
    </xf>
    <xf numFmtId="165" fontId="1" fillId="0" borderId="38" xfId="0" applyNumberFormat="1" applyFont="1" applyBorder="1" applyAlignment="1">
      <alignment horizontal="center" vertical="center"/>
    </xf>
    <xf numFmtId="165" fontId="1" fillId="0" borderId="38" xfId="0" applyNumberFormat="1" applyFont="1" applyBorder="1" applyAlignment="1">
      <alignment horizontal="right" vertical="center"/>
    </xf>
    <xf numFmtId="43" fontId="1" fillId="0" borderId="38" xfId="0" applyNumberFormat="1" applyFont="1" applyBorder="1" applyAlignment="1">
      <alignment horizontal="right" vertical="center"/>
    </xf>
    <xf numFmtId="0" fontId="53" fillId="0" borderId="19" xfId="0" applyFont="1" applyBorder="1" applyAlignment="1">
      <alignment vertical="center" shrinkToFit="1"/>
    </xf>
    <xf numFmtId="0" fontId="20" fillId="6" borderId="19" xfId="0" applyFont="1" applyFill="1" applyBorder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2" fontId="54" fillId="6" borderId="16" xfId="0" applyNumberFormat="1" applyFont="1" applyFill="1" applyBorder="1" applyAlignment="1">
      <alignment horizontal="right"/>
    </xf>
    <xf numFmtId="166" fontId="50" fillId="3" borderId="17" xfId="0" applyNumberFormat="1" applyFont="1" applyFill="1" applyBorder="1" applyAlignment="1">
      <alignment horizontal="center" vertical="center"/>
    </xf>
    <xf numFmtId="40" fontId="50" fillId="3" borderId="17" xfId="0" applyNumberFormat="1" applyFont="1" applyFill="1" applyBorder="1" applyAlignment="1">
      <alignment horizontal="center" vertical="center" shrinkToFit="1"/>
    </xf>
    <xf numFmtId="165" fontId="50" fillId="3" borderId="17" xfId="0" applyNumberFormat="1" applyFont="1" applyFill="1" applyBorder="1" applyAlignment="1">
      <alignment horizontal="right" vertical="center"/>
    </xf>
    <xf numFmtId="15" fontId="29" fillId="13" borderId="16" xfId="0" applyNumberFormat="1" applyFont="1" applyFill="1" applyBorder="1" applyAlignment="1">
      <alignment horizontal="center" vertical="center"/>
    </xf>
    <xf numFmtId="165" fontId="29" fillId="13" borderId="16" xfId="0" applyNumberFormat="1" applyFont="1" applyFill="1" applyBorder="1" applyAlignment="1">
      <alignment horizontal="center" vertical="center" shrinkToFit="1"/>
    </xf>
    <xf numFmtId="165" fontId="29" fillId="13" borderId="17" xfId="0" applyNumberFormat="1" applyFont="1" applyFill="1" applyBorder="1" applyAlignment="1">
      <alignment horizontal="right" vertical="center"/>
    </xf>
    <xf numFmtId="15" fontId="29" fillId="13" borderId="17" xfId="0" applyNumberFormat="1" applyFont="1" applyFill="1" applyBorder="1" applyAlignment="1">
      <alignment horizontal="center" vertical="center"/>
    </xf>
    <xf numFmtId="165" fontId="29" fillId="13" borderId="17" xfId="0" applyNumberFormat="1" applyFont="1" applyFill="1" applyBorder="1" applyAlignment="1">
      <alignment horizontal="center" vertical="center" shrinkToFit="1"/>
    </xf>
    <xf numFmtId="0" fontId="20" fillId="5" borderId="18" xfId="0" applyFont="1" applyFill="1" applyBorder="1" applyAlignment="1">
      <alignment horizontal="center" vertical="center"/>
    </xf>
    <xf numFmtId="166" fontId="45" fillId="2" borderId="2" xfId="0" applyNumberFormat="1" applyFont="1" applyFill="1" applyBorder="1" applyAlignment="1">
      <alignment horizontal="center" vertical="center"/>
    </xf>
    <xf numFmtId="40" fontId="45" fillId="2" borderId="2" xfId="0" applyNumberFormat="1" applyFont="1" applyFill="1" applyBorder="1" applyAlignment="1">
      <alignment horizontal="center" vertical="center" shrinkToFit="1"/>
    </xf>
    <xf numFmtId="43" fontId="45" fillId="2" borderId="2" xfId="0" applyNumberFormat="1" applyFont="1" applyFill="1" applyBorder="1" applyAlignment="1">
      <alignment horizontal="center" vertical="center"/>
    </xf>
    <xf numFmtId="166" fontId="45" fillId="2" borderId="10" xfId="0" applyNumberFormat="1" applyFont="1" applyFill="1" applyBorder="1" applyAlignment="1">
      <alignment horizontal="center" vertical="center"/>
    </xf>
    <xf numFmtId="40" fontId="45" fillId="2" borderId="10" xfId="0" applyNumberFormat="1" applyFont="1" applyFill="1" applyBorder="1" applyAlignment="1">
      <alignment horizontal="center" vertical="center" shrinkToFit="1"/>
    </xf>
    <xf numFmtId="43" fontId="45" fillId="2" borderId="10" xfId="0" applyNumberFormat="1" applyFont="1" applyFill="1" applyBorder="1" applyAlignment="1">
      <alignment horizontal="center" vertical="center"/>
    </xf>
    <xf numFmtId="166" fontId="45" fillId="3" borderId="16" xfId="0" applyNumberFormat="1" applyFont="1" applyFill="1" applyBorder="1" applyAlignment="1">
      <alignment horizontal="center" vertical="center"/>
    </xf>
    <xf numFmtId="165" fontId="45" fillId="3" borderId="16" xfId="0" applyNumberFormat="1" applyFont="1" applyFill="1" applyBorder="1" applyAlignment="1">
      <alignment horizontal="center" vertical="center" shrinkToFit="1"/>
    </xf>
    <xf numFmtId="165" fontId="45" fillId="3" borderId="17" xfId="0" applyNumberFormat="1" applyFont="1" applyFill="1" applyBorder="1" applyAlignment="1">
      <alignment horizontal="right" vertical="center"/>
    </xf>
    <xf numFmtId="166" fontId="45" fillId="3" borderId="18" xfId="0" applyNumberFormat="1" applyFont="1" applyFill="1" applyBorder="1" applyAlignment="1">
      <alignment horizontal="center" vertical="center"/>
    </xf>
    <xf numFmtId="165" fontId="45" fillId="3" borderId="18" xfId="0" applyNumberFormat="1" applyFont="1" applyFill="1" applyBorder="1" applyAlignment="1">
      <alignment horizontal="center" vertical="center" shrinkToFit="1"/>
    </xf>
    <xf numFmtId="165" fontId="45" fillId="3" borderId="19" xfId="0" applyNumberFormat="1" applyFont="1" applyFill="1" applyBorder="1" applyAlignment="1">
      <alignment horizontal="right" vertical="center"/>
    </xf>
    <xf numFmtId="166" fontId="45" fillId="3" borderId="21" xfId="0" applyNumberFormat="1" applyFont="1" applyFill="1" applyBorder="1" applyAlignment="1">
      <alignment horizontal="center" vertical="center"/>
    </xf>
    <xf numFmtId="165" fontId="45" fillId="3" borderId="21" xfId="0" applyNumberFormat="1" applyFont="1" applyFill="1" applyBorder="1" applyAlignment="1">
      <alignment horizontal="center" vertical="center"/>
    </xf>
    <xf numFmtId="165" fontId="45" fillId="3" borderId="21" xfId="0" applyNumberFormat="1" applyFont="1" applyFill="1" applyBorder="1" applyAlignment="1">
      <alignment horizontal="right" vertical="center"/>
    </xf>
    <xf numFmtId="166" fontId="45" fillId="3" borderId="23" xfId="0" applyNumberFormat="1" applyFont="1" applyFill="1" applyBorder="1" applyAlignment="1">
      <alignment horizontal="center" vertical="center"/>
    </xf>
    <xf numFmtId="165" fontId="45" fillId="3" borderId="23" xfId="0" applyNumberFormat="1" applyFont="1" applyFill="1" applyBorder="1" applyAlignment="1">
      <alignment horizontal="center" vertical="center" shrinkToFit="1"/>
    </xf>
    <xf numFmtId="165" fontId="45" fillId="3" borderId="22" xfId="0" applyNumberFormat="1" applyFont="1" applyFill="1" applyBorder="1" applyAlignment="1">
      <alignment horizontal="right" vertical="center"/>
    </xf>
    <xf numFmtId="15" fontId="55" fillId="5" borderId="16" xfId="0" applyNumberFormat="1" applyFont="1" applyFill="1" applyBorder="1" applyAlignment="1">
      <alignment horizontal="center" vertical="center"/>
    </xf>
    <xf numFmtId="165" fontId="55" fillId="5" borderId="16" xfId="0" applyNumberFormat="1" applyFont="1" applyFill="1" applyBorder="1" applyAlignment="1">
      <alignment horizontal="center" vertical="center" shrinkToFit="1"/>
    </xf>
    <xf numFmtId="165" fontId="55" fillId="5" borderId="17" xfId="0" applyNumberFormat="1" applyFont="1" applyFill="1" applyBorder="1" applyAlignment="1">
      <alignment horizontal="right" vertical="center"/>
    </xf>
    <xf numFmtId="0" fontId="45" fillId="3" borderId="18" xfId="0" applyFont="1" applyFill="1" applyBorder="1" applyAlignment="1">
      <alignment horizontal="center" vertical="center"/>
    </xf>
    <xf numFmtId="166" fontId="45" fillId="3" borderId="24" xfId="0" applyNumberFormat="1" applyFont="1" applyFill="1" applyBorder="1" applyAlignment="1">
      <alignment horizontal="center" vertical="center"/>
    </xf>
    <xf numFmtId="165" fontId="45" fillId="3" borderId="24" xfId="0" applyNumberFormat="1" applyFont="1" applyFill="1" applyBorder="1" applyAlignment="1">
      <alignment horizontal="center" vertical="center" shrinkToFit="1"/>
    </xf>
    <xf numFmtId="165" fontId="55" fillId="5" borderId="18" xfId="0" applyNumberFormat="1" applyFont="1" applyFill="1" applyBorder="1" applyAlignment="1">
      <alignment horizontal="center" vertical="center" shrinkToFit="1"/>
    </xf>
    <xf numFmtId="0" fontId="55" fillId="5" borderId="16" xfId="0" applyFont="1" applyFill="1" applyBorder="1" applyAlignment="1">
      <alignment horizontal="center" vertical="center"/>
    </xf>
    <xf numFmtId="166" fontId="20" fillId="6" borderId="21" xfId="0" applyNumberFormat="1" applyFont="1" applyFill="1" applyBorder="1" applyAlignment="1">
      <alignment horizontal="center" vertical="center"/>
    </xf>
    <xf numFmtId="165" fontId="20" fillId="6" borderId="21" xfId="0" applyNumberFormat="1" applyFont="1" applyFill="1" applyBorder="1" applyAlignment="1">
      <alignment horizontal="center" vertical="center"/>
    </xf>
    <xf numFmtId="165" fontId="20" fillId="6" borderId="21" xfId="0" applyNumberFormat="1" applyFont="1" applyFill="1" applyBorder="1" applyAlignment="1">
      <alignment horizontal="right" vertical="center"/>
    </xf>
    <xf numFmtId="15" fontId="55" fillId="5" borderId="20" xfId="0" applyNumberFormat="1" applyFont="1" applyFill="1" applyBorder="1" applyAlignment="1">
      <alignment horizontal="center" vertical="center"/>
    </xf>
    <xf numFmtId="165" fontId="55" fillId="5" borderId="20" xfId="0" applyNumberFormat="1" applyFont="1" applyFill="1" applyBorder="1" applyAlignment="1">
      <alignment horizontal="center" vertical="center" shrinkToFit="1"/>
    </xf>
    <xf numFmtId="165" fontId="55" fillId="5" borderId="6" xfId="0" applyNumberFormat="1" applyFont="1" applyFill="1" applyBorder="1" applyAlignment="1">
      <alignment horizontal="right" vertical="center"/>
    </xf>
    <xf numFmtId="0" fontId="45" fillId="3" borderId="29" xfId="0" applyFont="1" applyFill="1" applyBorder="1" applyAlignment="1">
      <alignment horizontal="center"/>
    </xf>
    <xf numFmtId="0" fontId="45" fillId="3" borderId="30" xfId="0" applyFont="1" applyFill="1" applyBorder="1" applyAlignment="1">
      <alignment horizontal="center"/>
    </xf>
    <xf numFmtId="0" fontId="45" fillId="3" borderId="0" xfId="0" applyFont="1" applyFill="1"/>
    <xf numFmtId="166" fontId="45" fillId="3" borderId="17" xfId="0" applyNumberFormat="1" applyFont="1" applyFill="1" applyBorder="1" applyAlignment="1">
      <alignment horizontal="center" vertical="center"/>
    </xf>
    <xf numFmtId="40" fontId="45" fillId="3" borderId="17" xfId="0" applyNumberFormat="1" applyFont="1" applyFill="1" applyBorder="1" applyAlignment="1">
      <alignment horizontal="center" vertical="center" shrinkToFit="1"/>
    </xf>
    <xf numFmtId="166" fontId="45" fillId="0" borderId="17" xfId="0" quotePrefix="1" applyNumberFormat="1" applyFont="1" applyBorder="1" applyAlignment="1">
      <alignment horizontal="center" vertical="center"/>
    </xf>
    <xf numFmtId="40" fontId="45" fillId="0" borderId="19" xfId="0" applyNumberFormat="1" applyFont="1" applyBorder="1" applyAlignment="1">
      <alignment horizontal="center" vertical="center" shrinkToFit="1"/>
    </xf>
    <xf numFmtId="165" fontId="45" fillId="0" borderId="17" xfId="0" applyNumberFormat="1" applyFont="1" applyBorder="1" applyAlignment="1">
      <alignment horizontal="right" vertical="center"/>
    </xf>
    <xf numFmtId="166" fontId="20" fillId="0" borderId="27" xfId="0" applyNumberFormat="1" applyFont="1" applyBorder="1" applyAlignment="1">
      <alignment horizontal="center" vertical="center"/>
    </xf>
    <xf numFmtId="166" fontId="20" fillId="0" borderId="37" xfId="0" applyNumberFormat="1" applyFont="1" applyBorder="1" applyAlignment="1">
      <alignment horizontal="center" vertical="center"/>
    </xf>
    <xf numFmtId="164" fontId="20" fillId="0" borderId="16" xfId="1" applyFont="1" applyBorder="1" applyAlignment="1">
      <alignment vertical="center"/>
    </xf>
    <xf numFmtId="166" fontId="45" fillId="0" borderId="17" xfId="0" applyNumberFormat="1" applyFont="1" applyBorder="1" applyAlignment="1">
      <alignment horizontal="center" vertical="center"/>
    </xf>
    <xf numFmtId="40" fontId="45" fillId="0" borderId="14" xfId="0" applyNumberFormat="1" applyFont="1" applyBorder="1" applyAlignment="1">
      <alignment horizontal="center" vertical="center" shrinkToFit="1"/>
    </xf>
    <xf numFmtId="40" fontId="45" fillId="0" borderId="17" xfId="0" applyNumberFormat="1" applyFont="1" applyBorder="1" applyAlignment="1">
      <alignment horizontal="center" vertical="center" shrinkToFit="1"/>
    </xf>
    <xf numFmtId="0" fontId="45" fillId="0" borderId="17" xfId="0" applyFont="1" applyBorder="1" applyAlignment="1">
      <alignment horizontal="center" vertical="center"/>
    </xf>
    <xf numFmtId="0" fontId="45" fillId="10" borderId="17" xfId="0" applyFont="1" applyFill="1" applyBorder="1" applyAlignment="1">
      <alignment horizontal="center" vertical="center"/>
    </xf>
    <xf numFmtId="40" fontId="45" fillId="10" borderId="17" xfId="0" applyNumberFormat="1" applyFont="1" applyFill="1" applyBorder="1" applyAlignment="1">
      <alignment horizontal="center" vertical="center" shrinkToFit="1"/>
    </xf>
    <xf numFmtId="165" fontId="45" fillId="10" borderId="17" xfId="0" applyNumberFormat="1" applyFont="1" applyFill="1" applyBorder="1" applyAlignment="1">
      <alignment horizontal="right" vertical="center"/>
    </xf>
    <xf numFmtId="165" fontId="45" fillId="11" borderId="17" xfId="0" applyNumberFormat="1" applyFont="1" applyFill="1" applyBorder="1" applyAlignment="1">
      <alignment horizontal="right" vertical="center"/>
    </xf>
    <xf numFmtId="166" fontId="45" fillId="0" borderId="19" xfId="0" applyNumberFormat="1" applyFont="1" applyBorder="1" applyAlignment="1">
      <alignment horizontal="center" vertical="center"/>
    </xf>
    <xf numFmtId="165" fontId="45" fillId="0" borderId="19" xfId="0" applyNumberFormat="1" applyFont="1" applyBorder="1" applyAlignment="1">
      <alignment horizontal="right" vertical="center"/>
    </xf>
    <xf numFmtId="166" fontId="45" fillId="0" borderId="6" xfId="0" applyNumberFormat="1" applyFont="1" applyBorder="1" applyAlignment="1">
      <alignment horizontal="center" vertical="center"/>
    </xf>
    <xf numFmtId="40" fontId="45" fillId="0" borderId="6" xfId="0" applyNumberFormat="1" applyFont="1" applyBorder="1" applyAlignment="1">
      <alignment horizontal="center" vertical="center" shrinkToFit="1"/>
    </xf>
    <xf numFmtId="165" fontId="45" fillId="0" borderId="6" xfId="0" applyNumberFormat="1" applyFont="1" applyBorder="1" applyAlignment="1">
      <alignment horizontal="right" vertical="center"/>
    </xf>
    <xf numFmtId="165" fontId="45" fillId="0" borderId="21" xfId="0" applyNumberFormat="1" applyFont="1" applyBorder="1" applyAlignment="1">
      <alignment horizontal="right" vertical="center"/>
    </xf>
    <xf numFmtId="15" fontId="20" fillId="5" borderId="17" xfId="0" applyNumberFormat="1" applyFont="1" applyFill="1" applyBorder="1" applyAlignment="1">
      <alignment horizontal="center" vertical="center"/>
    </xf>
    <xf numFmtId="0" fontId="45" fillId="3" borderId="17" xfId="0" applyFont="1" applyFill="1" applyBorder="1" applyAlignment="1">
      <alignment horizontal="center" vertical="center"/>
    </xf>
    <xf numFmtId="40" fontId="45" fillId="3" borderId="17" xfId="0" applyNumberFormat="1" applyFont="1" applyFill="1" applyBorder="1" applyAlignment="1">
      <alignment horizontal="right" vertical="center"/>
    </xf>
    <xf numFmtId="166" fontId="45" fillId="3" borderId="20" xfId="0" applyNumberFormat="1" applyFont="1" applyFill="1" applyBorder="1" applyAlignment="1">
      <alignment horizontal="center" vertical="center"/>
    </xf>
    <xf numFmtId="165" fontId="45" fillId="3" borderId="20" xfId="0" applyNumberFormat="1" applyFont="1" applyFill="1" applyBorder="1" applyAlignment="1">
      <alignment horizontal="center" vertical="center" shrinkToFit="1"/>
    </xf>
    <xf numFmtId="165" fontId="45" fillId="3" borderId="6" xfId="0" applyNumberFormat="1" applyFont="1" applyFill="1" applyBorder="1" applyAlignment="1">
      <alignment horizontal="right" vertical="center"/>
    </xf>
    <xf numFmtId="15" fontId="20" fillId="5" borderId="16" xfId="0" applyNumberFormat="1" applyFont="1" applyFill="1" applyBorder="1" applyAlignment="1">
      <alignment horizontal="center" vertical="center"/>
    </xf>
    <xf numFmtId="165" fontId="20" fillId="5" borderId="16" xfId="0" applyNumberFormat="1" applyFont="1" applyFill="1" applyBorder="1" applyAlignment="1">
      <alignment horizontal="center" vertical="center" shrinkToFit="1"/>
    </xf>
    <xf numFmtId="165" fontId="20" fillId="5" borderId="17" xfId="0" applyNumberFormat="1" applyFont="1" applyFill="1" applyBorder="1" applyAlignment="1">
      <alignment horizontal="right" vertical="center"/>
    </xf>
    <xf numFmtId="0" fontId="20" fillId="3" borderId="17" xfId="0" applyFont="1" applyFill="1" applyBorder="1" applyAlignment="1">
      <alignment horizontal="center" vertical="center"/>
    </xf>
    <xf numFmtId="40" fontId="20" fillId="3" borderId="17" xfId="0" applyNumberFormat="1" applyFont="1" applyFill="1" applyBorder="1" applyAlignment="1">
      <alignment horizontal="center" vertical="center" shrinkToFit="1"/>
    </xf>
    <xf numFmtId="165" fontId="20" fillId="3" borderId="17" xfId="0" applyNumberFormat="1" applyFont="1" applyFill="1" applyBorder="1" applyAlignment="1">
      <alignment horizontal="center" vertical="center"/>
    </xf>
    <xf numFmtId="165" fontId="45" fillId="3" borderId="17" xfId="0" applyNumberFormat="1" applyFont="1" applyFill="1" applyBorder="1" applyAlignment="1">
      <alignment horizontal="center" vertical="center" shrinkToFit="1"/>
    </xf>
    <xf numFmtId="165" fontId="20" fillId="5" borderId="18" xfId="0" applyNumberFormat="1" applyFont="1" applyFill="1" applyBorder="1" applyAlignment="1">
      <alignment horizontal="center" vertical="center" shrinkToFit="1"/>
    </xf>
    <xf numFmtId="165" fontId="20" fillId="5" borderId="19" xfId="0" applyNumberFormat="1" applyFont="1" applyFill="1" applyBorder="1" applyAlignment="1">
      <alignment horizontal="right" vertical="center"/>
    </xf>
    <xf numFmtId="0" fontId="20" fillId="6" borderId="17" xfId="0" applyFont="1" applyFill="1" applyBorder="1" applyAlignment="1">
      <alignment horizontal="center" vertical="center"/>
    </xf>
    <xf numFmtId="40" fontId="20" fillId="6" borderId="17" xfId="0" applyNumberFormat="1" applyFont="1" applyFill="1" applyBorder="1" applyAlignment="1">
      <alignment horizontal="center" vertical="center" shrinkToFit="1"/>
    </xf>
    <xf numFmtId="40" fontId="20" fillId="6" borderId="17" xfId="0" applyNumberFormat="1" applyFont="1" applyFill="1" applyBorder="1" applyAlignment="1">
      <alignment horizontal="right" vertical="center"/>
    </xf>
    <xf numFmtId="0" fontId="20" fillId="14" borderId="17" xfId="0" applyFont="1" applyFill="1" applyBorder="1" applyAlignment="1">
      <alignment horizontal="center" vertical="center"/>
    </xf>
    <xf numFmtId="40" fontId="20" fillId="14" borderId="17" xfId="0" applyNumberFormat="1" applyFont="1" applyFill="1" applyBorder="1" applyAlignment="1">
      <alignment horizontal="right" vertical="center"/>
    </xf>
    <xf numFmtId="40" fontId="20" fillId="14" borderId="17" xfId="0" applyNumberFormat="1" applyFont="1" applyFill="1" applyBorder="1" applyAlignment="1">
      <alignment horizontal="center" vertical="center" shrinkToFit="1"/>
    </xf>
    <xf numFmtId="165" fontId="20" fillId="14" borderId="17" xfId="0" applyNumberFormat="1" applyFont="1" applyFill="1" applyBorder="1" applyAlignment="1">
      <alignment horizontal="right" vertical="center"/>
    </xf>
    <xf numFmtId="165" fontId="20" fillId="6" borderId="17" xfId="0" applyNumberFormat="1" applyFont="1" applyFill="1" applyBorder="1" applyAlignment="1">
      <alignment horizontal="right" vertical="center"/>
    </xf>
    <xf numFmtId="166" fontId="20" fillId="6" borderId="17" xfId="0" applyNumberFormat="1" applyFont="1" applyFill="1" applyBorder="1" applyAlignment="1">
      <alignment horizontal="center" vertical="center"/>
    </xf>
    <xf numFmtId="40" fontId="20" fillId="6" borderId="28" xfId="0" applyNumberFormat="1" applyFont="1" applyFill="1" applyBorder="1" applyAlignment="1">
      <alignment horizontal="center" vertical="center" shrinkToFit="1"/>
    </xf>
    <xf numFmtId="165" fontId="45" fillId="2" borderId="21" xfId="0" applyNumberFormat="1" applyFont="1" applyFill="1" applyBorder="1" applyAlignment="1">
      <alignment vertical="center"/>
    </xf>
    <xf numFmtId="0" fontId="45" fillId="0" borderId="0" xfId="0" applyFont="1" applyAlignment="1">
      <alignment horizontal="center"/>
    </xf>
    <xf numFmtId="166" fontId="45" fillId="0" borderId="0" xfId="0" applyNumberFormat="1" applyFont="1" applyAlignment="1">
      <alignment horizontal="center" vertical="center"/>
    </xf>
    <xf numFmtId="40" fontId="45" fillId="0" borderId="0" xfId="0" applyNumberFormat="1" applyFont="1" applyAlignment="1">
      <alignment horizontal="center" vertical="center" shrinkToFit="1"/>
    </xf>
    <xf numFmtId="0" fontId="45" fillId="3" borderId="0" xfId="0" applyFont="1" applyFill="1" applyAlignment="1">
      <alignment horizontal="center"/>
    </xf>
    <xf numFmtId="165" fontId="2" fillId="15" borderId="0" xfId="0" applyNumberFormat="1" applyFont="1" applyFill="1"/>
    <xf numFmtId="49" fontId="4" fillId="0" borderId="6" xfId="0" applyNumberFormat="1" applyFont="1" applyBorder="1" applyAlignment="1">
      <alignment horizontal="center" vertical="center"/>
    </xf>
    <xf numFmtId="164" fontId="12" fillId="6" borderId="15" xfId="1" applyFont="1" applyFill="1" applyBorder="1" applyAlignment="1">
      <alignment horizontal="right"/>
    </xf>
    <xf numFmtId="164" fontId="12" fillId="6" borderId="20" xfId="1" applyFont="1" applyFill="1" applyBorder="1" applyAlignment="1">
      <alignment horizontal="right"/>
    </xf>
    <xf numFmtId="164" fontId="17" fillId="0" borderId="17" xfId="1" applyFont="1" applyBorder="1" applyAlignment="1">
      <alignment horizontal="left" vertical="center"/>
    </xf>
    <xf numFmtId="0" fontId="17" fillId="0" borderId="19" xfId="0" applyFont="1" applyBorder="1" applyAlignment="1">
      <alignment vertical="center" shrinkToFit="1"/>
    </xf>
    <xf numFmtId="164" fontId="17" fillId="0" borderId="19" xfId="1" applyFont="1" applyBorder="1" applyAlignment="1">
      <alignment vertical="center" shrinkToFit="1"/>
    </xf>
    <xf numFmtId="0" fontId="17" fillId="10" borderId="19" xfId="0" applyFont="1" applyFill="1" applyBorder="1" applyAlignment="1">
      <alignment vertical="center"/>
    </xf>
    <xf numFmtId="0" fontId="17" fillId="10" borderId="19" xfId="0" applyFont="1" applyFill="1" applyBorder="1" applyAlignment="1">
      <alignment vertical="center" shrinkToFit="1"/>
    </xf>
    <xf numFmtId="164" fontId="17" fillId="10" borderId="19" xfId="1" applyFont="1" applyFill="1" applyBorder="1" applyAlignment="1">
      <alignment vertical="center" shrinkToFit="1"/>
    </xf>
    <xf numFmtId="0" fontId="28" fillId="0" borderId="14" xfId="0" applyFont="1" applyBorder="1" applyAlignment="1">
      <alignment vertical="center"/>
    </xf>
    <xf numFmtId="164" fontId="28" fillId="0" borderId="14" xfId="1" applyFont="1" applyBorder="1" applyAlignment="1">
      <alignment vertical="center"/>
    </xf>
    <xf numFmtId="17" fontId="56" fillId="0" borderId="14" xfId="0" applyNumberFormat="1" applyFont="1" applyBorder="1" applyAlignment="1">
      <alignment horizontal="center" vertical="center"/>
    </xf>
    <xf numFmtId="1" fontId="56" fillId="0" borderId="14" xfId="0" applyNumberFormat="1" applyFont="1" applyBorder="1" applyAlignment="1">
      <alignment horizontal="center" vertical="center"/>
    </xf>
    <xf numFmtId="164" fontId="17" fillId="0" borderId="17" xfId="1" applyFont="1" applyBorder="1" applyAlignment="1">
      <alignment horizontal="left" vertical="center" shrinkToFit="1"/>
    </xf>
    <xf numFmtId="164" fontId="17" fillId="0" borderId="0" xfId="1" applyFont="1" applyBorder="1" applyAlignment="1">
      <alignment vertical="center" shrinkToFit="1"/>
    </xf>
    <xf numFmtId="0" fontId="17" fillId="0" borderId="21" xfId="0" applyFont="1" applyBorder="1" applyAlignment="1">
      <alignment vertical="center"/>
    </xf>
    <xf numFmtId="164" fontId="17" fillId="0" borderId="21" xfId="1" applyFont="1" applyBorder="1" applyAlignment="1">
      <alignment vertical="center"/>
    </xf>
    <xf numFmtId="164" fontId="2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39" fontId="1" fillId="0" borderId="0" xfId="0" applyNumberFormat="1" applyFont="1" applyAlignment="1">
      <alignment horizontal="center" vertical="center"/>
    </xf>
    <xf numFmtId="39" fontId="1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49" fontId="1" fillId="0" borderId="2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166" fontId="45" fillId="2" borderId="3" xfId="0" applyNumberFormat="1" applyFont="1" applyFill="1" applyBorder="1" applyAlignment="1">
      <alignment horizontal="center" vertical="center"/>
    </xf>
    <xf numFmtId="0" fontId="45" fillId="2" borderId="4" xfId="0" applyFont="1" applyFill="1" applyBorder="1"/>
    <xf numFmtId="0" fontId="45" fillId="2" borderId="5" xfId="0" applyFont="1" applyFill="1" applyBorder="1"/>
    <xf numFmtId="0" fontId="17" fillId="0" borderId="27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1" fontId="1" fillId="0" borderId="3" xfId="0" applyNumberFormat="1" applyFont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166" fontId="1" fillId="0" borderId="3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left" vertical="center"/>
    </xf>
    <xf numFmtId="0" fontId="23" fillId="0" borderId="28" xfId="0" applyFont="1" applyBorder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39" fontId="1" fillId="0" borderId="0" xfId="0" applyNumberFormat="1" applyFont="1" applyAlignment="1">
      <alignment vertical="center"/>
    </xf>
    <xf numFmtId="40" fontId="1" fillId="0" borderId="0" xfId="0" applyNumberFormat="1" applyFont="1" applyAlignment="1">
      <alignment vertical="center"/>
    </xf>
    <xf numFmtId="0" fontId="1" fillId="0" borderId="27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3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166" fontId="1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/>
    <xf numFmtId="0" fontId="3" fillId="2" borderId="5" xfId="0" applyFont="1" applyFill="1" applyBorder="1"/>
    <xf numFmtId="166" fontId="17" fillId="0" borderId="27" xfId="0" applyNumberFormat="1" applyFont="1" applyBorder="1" applyAlignment="1">
      <alignment horizontal="center" vertical="center"/>
    </xf>
    <xf numFmtId="166" fontId="17" fillId="0" borderId="28" xfId="0" applyNumberFormat="1" applyFont="1" applyBorder="1" applyAlignment="1">
      <alignment horizontal="center" vertical="center"/>
    </xf>
    <xf numFmtId="166" fontId="17" fillId="0" borderId="16" xfId="0" applyNumberFormat="1" applyFont="1" applyBorder="1" applyAlignment="1">
      <alignment horizontal="center" vertical="center"/>
    </xf>
    <xf numFmtId="0" fontId="1" fillId="10" borderId="27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left" vertical="center"/>
    </xf>
    <xf numFmtId="0" fontId="52" fillId="0" borderId="0" xfId="0" applyFont="1"/>
    <xf numFmtId="166" fontId="48" fillId="0" borderId="3" xfId="0" applyNumberFormat="1" applyFont="1" applyBorder="1" applyAlignment="1">
      <alignment horizontal="center" vertical="center"/>
    </xf>
    <xf numFmtId="0" fontId="49" fillId="0" borderId="4" xfId="0" applyFont="1" applyBorder="1"/>
    <xf numFmtId="0" fontId="49" fillId="0" borderId="5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5E90-4243-4928-AEFC-87394F524D2F}">
  <sheetPr>
    <tabColor rgb="FFFFFF00"/>
  </sheetPr>
  <dimension ref="A1:U256"/>
  <sheetViews>
    <sheetView tabSelected="1" zoomScale="60" zoomScaleNormal="60" workbookViewId="0">
      <pane ySplit="6" topLeftCell="A235" activePane="bottomLeft" state="frozen"/>
      <selection pane="bottomLeft" activeCell="H243" sqref="H243"/>
    </sheetView>
  </sheetViews>
  <sheetFormatPr defaultColWidth="12.5546875" defaultRowHeight="24.6"/>
  <cols>
    <col min="1" max="1" width="5.6640625" style="2" customWidth="1"/>
    <col min="2" max="2" width="42.5546875" style="2" customWidth="1"/>
    <col min="3" max="3" width="31.44140625" style="2" customWidth="1"/>
    <col min="4" max="4" width="17.88671875" style="2" customWidth="1"/>
    <col min="5" max="5" width="16.6640625" style="404" customWidth="1"/>
    <col min="6" max="6" width="10" style="405" customWidth="1"/>
    <col min="7" max="7" width="5.5546875" style="404" customWidth="1"/>
    <col min="8" max="8" width="16.6640625" style="2" customWidth="1"/>
    <col min="9" max="9" width="13.109375" style="2" customWidth="1"/>
    <col min="10" max="10" width="17.88671875" style="2" customWidth="1"/>
    <col min="11" max="11" width="17.6640625" style="621" customWidth="1"/>
    <col min="12" max="12" width="25" style="621" customWidth="1"/>
    <col min="13" max="13" width="16.109375" style="569" customWidth="1"/>
    <col min="14" max="14" width="20.5546875" style="404" customWidth="1"/>
    <col min="15" max="15" width="8.109375" style="405" customWidth="1"/>
    <col min="16" max="16" width="12.109375" style="2" customWidth="1"/>
    <col min="17" max="17" width="17.6640625" style="406" customWidth="1"/>
    <col min="18" max="18" width="11.33203125" style="406" customWidth="1"/>
    <col min="19" max="19" width="20" style="2" customWidth="1"/>
    <col min="20" max="16384" width="12.5546875" style="2"/>
  </cols>
  <sheetData>
    <row r="1" spans="1:19" ht="22.5" customHeight="1">
      <c r="A1" s="643" t="s">
        <v>0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</row>
    <row r="2" spans="1:19" ht="27" customHeight="1">
      <c r="A2" s="643" t="s">
        <v>1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642"/>
      <c r="S2" s="642"/>
    </row>
    <row r="3" spans="1:19" ht="22.5" customHeight="1">
      <c r="A3" s="644" t="s">
        <v>937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</row>
    <row r="4" spans="1:19" ht="34.5" customHeight="1">
      <c r="A4" s="3" t="s">
        <v>3</v>
      </c>
      <c r="B4" s="646" t="s">
        <v>4</v>
      </c>
      <c r="C4" s="646" t="s">
        <v>5</v>
      </c>
      <c r="D4" s="4" t="s">
        <v>6</v>
      </c>
      <c r="E4" s="655" t="s">
        <v>7</v>
      </c>
      <c r="F4" s="656"/>
      <c r="G4" s="656"/>
      <c r="H4" s="656"/>
      <c r="I4" s="656"/>
      <c r="J4" s="657"/>
      <c r="K4" s="649" t="s">
        <v>8</v>
      </c>
      <c r="L4" s="650"/>
      <c r="M4" s="651"/>
      <c r="N4" s="658" t="s">
        <v>9</v>
      </c>
      <c r="O4" s="656"/>
      <c r="P4" s="656"/>
      <c r="Q4" s="656"/>
      <c r="R4" s="656"/>
      <c r="S4" s="657"/>
    </row>
    <row r="5" spans="1:19" ht="24.75" customHeight="1">
      <c r="A5" s="5"/>
      <c r="B5" s="647"/>
      <c r="C5" s="647"/>
      <c r="D5" s="6"/>
      <c r="E5" s="3" t="s">
        <v>10</v>
      </c>
      <c r="F5" s="7" t="s">
        <v>11</v>
      </c>
      <c r="G5" s="8" t="s">
        <v>12</v>
      </c>
      <c r="H5" s="655" t="s">
        <v>13</v>
      </c>
      <c r="I5" s="656"/>
      <c r="J5" s="657"/>
      <c r="K5" s="535" t="s">
        <v>14</v>
      </c>
      <c r="L5" s="536" t="s">
        <v>15</v>
      </c>
      <c r="M5" s="537" t="s">
        <v>16</v>
      </c>
      <c r="N5" s="3" t="s">
        <v>10</v>
      </c>
      <c r="O5" s="12" t="s">
        <v>11</v>
      </c>
      <c r="P5" s="13" t="s">
        <v>12</v>
      </c>
      <c r="Q5" s="655" t="s">
        <v>13</v>
      </c>
      <c r="R5" s="656"/>
      <c r="S5" s="657"/>
    </row>
    <row r="6" spans="1:19" ht="27.75" customHeight="1">
      <c r="A6" s="14"/>
      <c r="B6" s="648"/>
      <c r="C6" s="648"/>
      <c r="D6" s="15"/>
      <c r="E6" s="14"/>
      <c r="F6" s="16"/>
      <c r="G6" s="17" t="s">
        <v>17</v>
      </c>
      <c r="H6" s="18" t="s">
        <v>16</v>
      </c>
      <c r="I6" s="19" t="s">
        <v>18</v>
      </c>
      <c r="J6" s="20" t="s">
        <v>19</v>
      </c>
      <c r="K6" s="538"/>
      <c r="L6" s="539"/>
      <c r="M6" s="540"/>
      <c r="N6" s="14"/>
      <c r="O6" s="24"/>
      <c r="P6" s="17" t="s">
        <v>17</v>
      </c>
      <c r="Q6" s="18" t="s">
        <v>16</v>
      </c>
      <c r="R6" s="25" t="s">
        <v>18</v>
      </c>
      <c r="S6" s="20" t="s">
        <v>19</v>
      </c>
    </row>
    <row r="7" spans="1:19" ht="32.25" customHeight="1">
      <c r="A7" s="26"/>
      <c r="B7" s="27" t="s">
        <v>20</v>
      </c>
      <c r="C7" s="28"/>
      <c r="D7" s="29"/>
      <c r="E7" s="30"/>
      <c r="F7" s="31"/>
      <c r="G7" s="32"/>
      <c r="H7" s="32"/>
      <c r="I7" s="32"/>
      <c r="J7" s="33"/>
      <c r="K7" s="541"/>
      <c r="L7" s="542"/>
      <c r="M7" s="543"/>
      <c r="N7" s="30"/>
      <c r="O7" s="31"/>
      <c r="P7" s="32"/>
      <c r="Q7" s="37"/>
      <c r="R7" s="37"/>
      <c r="S7" s="38"/>
    </row>
    <row r="8" spans="1:19" ht="32.25" customHeight="1">
      <c r="A8" s="39">
        <v>1</v>
      </c>
      <c r="B8" s="40" t="s">
        <v>21</v>
      </c>
      <c r="C8" s="41"/>
      <c r="D8" s="42"/>
      <c r="E8" s="6"/>
      <c r="F8" s="43"/>
      <c r="G8" s="6"/>
      <c r="H8" s="42"/>
      <c r="I8" s="42"/>
      <c r="J8" s="42"/>
      <c r="K8" s="544"/>
      <c r="L8" s="545"/>
      <c r="M8" s="546"/>
      <c r="N8" s="5"/>
      <c r="O8" s="43"/>
      <c r="P8" s="47"/>
      <c r="Q8" s="48"/>
      <c r="R8" s="48"/>
      <c r="S8" s="49"/>
    </row>
    <row r="9" spans="1:19" ht="32.25" customHeight="1" thickBot="1">
      <c r="A9" s="39"/>
      <c r="B9" s="50" t="s">
        <v>19</v>
      </c>
      <c r="C9" s="50"/>
      <c r="D9" s="51">
        <v>0</v>
      </c>
      <c r="E9" s="52"/>
      <c r="F9" s="53"/>
      <c r="G9" s="52"/>
      <c r="H9" s="51">
        <v>0</v>
      </c>
      <c r="I9" s="51">
        <v>0</v>
      </c>
      <c r="J9" s="51">
        <v>0</v>
      </c>
      <c r="K9" s="547"/>
      <c r="L9" s="548"/>
      <c r="M9" s="549">
        <v>0</v>
      </c>
      <c r="N9" s="57"/>
      <c r="O9" s="53"/>
      <c r="P9" s="51"/>
      <c r="Q9" s="51"/>
      <c r="R9" s="51"/>
      <c r="S9" s="51"/>
    </row>
    <row r="10" spans="1:19" ht="32.25" customHeight="1" thickTop="1">
      <c r="A10" s="39"/>
      <c r="B10" s="58" t="s">
        <v>22</v>
      </c>
      <c r="C10" s="59"/>
      <c r="D10" s="60"/>
      <c r="E10" s="61"/>
      <c r="F10" s="62"/>
      <c r="G10" s="63"/>
      <c r="H10" s="64"/>
      <c r="I10" s="64"/>
      <c r="J10" s="64"/>
      <c r="K10" s="550"/>
      <c r="L10" s="551"/>
      <c r="M10" s="552"/>
      <c r="N10" s="68"/>
      <c r="O10" s="62"/>
      <c r="P10" s="69"/>
      <c r="Q10" s="63"/>
      <c r="R10" s="63"/>
      <c r="S10" s="70"/>
    </row>
    <row r="11" spans="1:19" s="78" customFormat="1" ht="32.25" customHeight="1">
      <c r="A11" s="39">
        <v>1</v>
      </c>
      <c r="B11" s="71" t="s">
        <v>23</v>
      </c>
      <c r="C11" s="71" t="s">
        <v>24</v>
      </c>
      <c r="D11" s="72">
        <v>2182.8000000000002</v>
      </c>
      <c r="E11" s="6"/>
      <c r="F11" s="43"/>
      <c r="G11" s="48"/>
      <c r="H11" s="73">
        <v>0</v>
      </c>
      <c r="I11" s="73">
        <v>0</v>
      </c>
      <c r="J11" s="73">
        <v>0</v>
      </c>
      <c r="K11" s="553" t="s">
        <v>938</v>
      </c>
      <c r="L11" s="554" t="s">
        <v>939</v>
      </c>
      <c r="M11" s="555">
        <v>2182.8000000000002</v>
      </c>
      <c r="N11" s="5"/>
      <c r="O11" s="43"/>
      <c r="P11" s="47"/>
      <c r="Q11" s="48">
        <v>0</v>
      </c>
      <c r="R11" s="48">
        <v>0</v>
      </c>
      <c r="S11" s="77">
        <v>0</v>
      </c>
    </row>
    <row r="12" spans="1:19" s="78" customFormat="1" ht="32.25" customHeight="1">
      <c r="A12" s="39">
        <v>2</v>
      </c>
      <c r="B12" s="71" t="s">
        <v>27</v>
      </c>
      <c r="C12" s="71" t="s">
        <v>24</v>
      </c>
      <c r="D12" s="72">
        <v>434.42</v>
      </c>
      <c r="E12" s="6"/>
      <c r="F12" s="43"/>
      <c r="G12" s="48"/>
      <c r="H12" s="73">
        <v>0</v>
      </c>
      <c r="I12" s="73">
        <v>0</v>
      </c>
      <c r="J12" s="73">
        <v>0</v>
      </c>
      <c r="K12" s="553" t="s">
        <v>938</v>
      </c>
      <c r="L12" s="554" t="s">
        <v>940</v>
      </c>
      <c r="M12" s="555">
        <v>434.42</v>
      </c>
      <c r="N12" s="5"/>
      <c r="O12" s="43"/>
      <c r="P12" s="47"/>
      <c r="Q12" s="48">
        <v>0</v>
      </c>
      <c r="R12" s="48">
        <v>0</v>
      </c>
      <c r="S12" s="77">
        <v>0</v>
      </c>
    </row>
    <row r="13" spans="1:19" s="78" customFormat="1" ht="32.25" customHeight="1">
      <c r="A13" s="39">
        <v>3</v>
      </c>
      <c r="B13" s="71" t="s">
        <v>30</v>
      </c>
      <c r="C13" s="71" t="s">
        <v>24</v>
      </c>
      <c r="D13" s="72">
        <v>173.34</v>
      </c>
      <c r="E13" s="6"/>
      <c r="F13" s="43"/>
      <c r="G13" s="48"/>
      <c r="H13" s="73">
        <v>0</v>
      </c>
      <c r="I13" s="73">
        <v>0</v>
      </c>
      <c r="J13" s="73">
        <v>0</v>
      </c>
      <c r="K13" s="553" t="s">
        <v>941</v>
      </c>
      <c r="L13" s="554" t="s">
        <v>942</v>
      </c>
      <c r="M13" s="555">
        <v>173.34</v>
      </c>
      <c r="N13" s="5"/>
      <c r="O13" s="43"/>
      <c r="P13" s="47"/>
      <c r="Q13" s="48">
        <v>0</v>
      </c>
      <c r="R13" s="48">
        <v>0</v>
      </c>
      <c r="S13" s="77">
        <v>0</v>
      </c>
    </row>
    <row r="14" spans="1:19" s="78" customFormat="1" ht="32.25" customHeight="1">
      <c r="A14" s="39"/>
      <c r="B14" s="79"/>
      <c r="C14" s="80"/>
      <c r="D14" s="81"/>
      <c r="E14" s="6"/>
      <c r="F14" s="43"/>
      <c r="G14" s="48"/>
      <c r="H14" s="73"/>
      <c r="I14" s="73"/>
      <c r="J14" s="73"/>
      <c r="K14" s="556"/>
      <c r="L14" s="545"/>
      <c r="M14" s="546"/>
      <c r="N14" s="5"/>
      <c r="O14" s="43"/>
      <c r="P14" s="47"/>
      <c r="Q14" s="48"/>
      <c r="R14" s="48"/>
      <c r="S14" s="49"/>
    </row>
    <row r="15" spans="1:19" s="78" customFormat="1" ht="32.25" customHeight="1">
      <c r="A15" s="39"/>
      <c r="B15" s="80"/>
      <c r="C15" s="80"/>
      <c r="D15" s="81"/>
      <c r="E15" s="6"/>
      <c r="F15" s="43"/>
      <c r="G15" s="6"/>
      <c r="H15" s="42"/>
      <c r="I15" s="42"/>
      <c r="J15" s="42"/>
      <c r="K15" s="544"/>
      <c r="L15" s="545"/>
      <c r="M15" s="546"/>
      <c r="N15" s="5"/>
      <c r="O15" s="43"/>
      <c r="P15" s="47"/>
      <c r="Q15" s="48"/>
      <c r="R15" s="48"/>
      <c r="S15" s="49"/>
    </row>
    <row r="16" spans="1:19" ht="32.25" customHeight="1" thickBot="1">
      <c r="A16" s="39"/>
      <c r="B16" s="50" t="s">
        <v>19</v>
      </c>
      <c r="C16" s="50"/>
      <c r="D16" s="51">
        <f>SUM(D11:D15)</f>
        <v>2790.5600000000004</v>
      </c>
      <c r="E16" s="52"/>
      <c r="F16" s="53"/>
      <c r="G16" s="52"/>
      <c r="H16" s="51">
        <v>0</v>
      </c>
      <c r="I16" s="51">
        <v>0</v>
      </c>
      <c r="J16" s="51">
        <v>0</v>
      </c>
      <c r="K16" s="557"/>
      <c r="L16" s="558"/>
      <c r="M16" s="549">
        <f>SUM(M10:M15)</f>
        <v>2790.5600000000004</v>
      </c>
      <c r="N16" s="57"/>
      <c r="O16" s="53"/>
      <c r="P16" s="85"/>
      <c r="Q16" s="86"/>
      <c r="R16" s="86"/>
      <c r="S16" s="87"/>
    </row>
    <row r="17" spans="1:19" ht="32.25" customHeight="1" thickTop="1">
      <c r="A17" s="39"/>
      <c r="B17" s="58" t="s">
        <v>32</v>
      </c>
      <c r="C17" s="59"/>
      <c r="D17" s="60"/>
      <c r="E17" s="61"/>
      <c r="F17" s="62"/>
      <c r="G17" s="63"/>
      <c r="H17" s="64"/>
      <c r="I17" s="64"/>
      <c r="J17" s="64"/>
      <c r="K17" s="550"/>
      <c r="L17" s="551"/>
      <c r="M17" s="552"/>
      <c r="N17" s="68"/>
      <c r="O17" s="62"/>
      <c r="P17" s="69"/>
      <c r="Q17" s="63"/>
      <c r="R17" s="63"/>
      <c r="S17" s="70"/>
    </row>
    <row r="18" spans="1:19" s="78" customFormat="1" ht="32.25" customHeight="1">
      <c r="A18" s="39">
        <v>1</v>
      </c>
      <c r="B18" s="71" t="s">
        <v>23</v>
      </c>
      <c r="C18" s="71" t="s">
        <v>33</v>
      </c>
      <c r="D18" s="88">
        <v>780</v>
      </c>
      <c r="E18" s="6"/>
      <c r="F18" s="43"/>
      <c r="G18" s="89"/>
      <c r="H18" s="42">
        <v>0</v>
      </c>
      <c r="I18" s="42">
        <v>0</v>
      </c>
      <c r="J18" s="42">
        <v>0</v>
      </c>
      <c r="K18" s="553" t="s">
        <v>938</v>
      </c>
      <c r="L18" s="559" t="s">
        <v>943</v>
      </c>
      <c r="M18" s="555">
        <v>780</v>
      </c>
      <c r="N18" s="5"/>
      <c r="O18" s="43"/>
      <c r="P18" s="47"/>
      <c r="Q18" s="91">
        <v>0</v>
      </c>
      <c r="R18" s="92">
        <v>0</v>
      </c>
      <c r="S18" s="93">
        <v>0</v>
      </c>
    </row>
    <row r="19" spans="1:19" s="78" customFormat="1" ht="32.25" customHeight="1">
      <c r="A19" s="39">
        <v>2</v>
      </c>
      <c r="B19" s="71" t="s">
        <v>27</v>
      </c>
      <c r="C19" s="71" t="s">
        <v>33</v>
      </c>
      <c r="D19" s="88">
        <v>180</v>
      </c>
      <c r="E19" s="6"/>
      <c r="F19" s="43"/>
      <c r="G19" s="89"/>
      <c r="H19" s="42"/>
      <c r="I19" s="42"/>
      <c r="J19" s="42">
        <v>0</v>
      </c>
      <c r="K19" s="553" t="s">
        <v>938</v>
      </c>
      <c r="L19" s="560" t="s">
        <v>944</v>
      </c>
      <c r="M19" s="555">
        <v>180</v>
      </c>
      <c r="N19" s="5"/>
      <c r="O19" s="43"/>
      <c r="P19" s="47"/>
      <c r="Q19" s="91">
        <v>0</v>
      </c>
      <c r="R19" s="92">
        <v>0</v>
      </c>
      <c r="S19" s="95">
        <v>0</v>
      </c>
    </row>
    <row r="20" spans="1:19" s="78" customFormat="1" ht="32.25" customHeight="1">
      <c r="A20" s="39">
        <v>3</v>
      </c>
      <c r="B20" s="71" t="s">
        <v>30</v>
      </c>
      <c r="C20" s="71" t="s">
        <v>33</v>
      </c>
      <c r="D20" s="96">
        <v>0</v>
      </c>
      <c r="E20" s="6"/>
      <c r="F20" s="43"/>
      <c r="G20" s="89"/>
      <c r="H20" s="42"/>
      <c r="I20" s="42"/>
      <c r="J20" s="42"/>
      <c r="K20" s="523"/>
      <c r="L20" s="524"/>
      <c r="M20" s="525"/>
      <c r="N20" s="5"/>
      <c r="O20" s="43"/>
      <c r="P20" s="47"/>
      <c r="Q20" s="6"/>
      <c r="R20" s="42"/>
      <c r="S20" s="100"/>
    </row>
    <row r="21" spans="1:19" ht="32.25" customHeight="1" thickBot="1">
      <c r="A21" s="39"/>
      <c r="B21" s="50" t="s">
        <v>19</v>
      </c>
      <c r="C21" s="50"/>
      <c r="D21" s="51">
        <f>SUM(D18:D20)</f>
        <v>960</v>
      </c>
      <c r="E21" s="52"/>
      <c r="F21" s="53"/>
      <c r="G21" s="52"/>
      <c r="H21" s="51">
        <v>0</v>
      </c>
      <c r="I21" s="51">
        <v>0</v>
      </c>
      <c r="J21" s="51">
        <v>0</v>
      </c>
      <c r="K21" s="561"/>
      <c r="L21" s="562"/>
      <c r="M21" s="563">
        <f>SUM(M18:M20)</f>
        <v>960</v>
      </c>
      <c r="N21" s="57"/>
      <c r="O21" s="53"/>
      <c r="P21" s="51"/>
      <c r="Q21" s="51"/>
      <c r="R21" s="51"/>
      <c r="S21" s="51"/>
    </row>
    <row r="22" spans="1:19" ht="32.25" hidden="1" customHeight="1">
      <c r="A22" s="104" t="s">
        <v>36</v>
      </c>
      <c r="B22" s="104" t="s">
        <v>37</v>
      </c>
      <c r="C22" s="105">
        <v>780</v>
      </c>
      <c r="D22" s="60"/>
      <c r="E22" s="61"/>
      <c r="F22" s="62"/>
      <c r="G22" s="63"/>
      <c r="H22" s="64"/>
      <c r="I22" s="64"/>
      <c r="J22" s="64"/>
      <c r="K22" s="550"/>
      <c r="L22" s="551"/>
      <c r="M22" s="552"/>
      <c r="N22" s="68"/>
      <c r="O22" s="62"/>
      <c r="P22" s="69"/>
      <c r="Q22" s="63"/>
      <c r="R22" s="63"/>
      <c r="S22" s="70"/>
    </row>
    <row r="23" spans="1:19" ht="32.25" hidden="1" customHeight="1">
      <c r="A23" s="104" t="s">
        <v>36</v>
      </c>
      <c r="B23" s="104" t="s">
        <v>38</v>
      </c>
      <c r="C23" s="105">
        <v>180</v>
      </c>
      <c r="D23" s="42"/>
      <c r="E23" s="6"/>
      <c r="F23" s="43"/>
      <c r="G23" s="6"/>
      <c r="H23" s="42"/>
      <c r="I23" s="42"/>
      <c r="J23" s="42"/>
      <c r="K23" s="544"/>
      <c r="L23" s="545"/>
      <c r="M23" s="546"/>
      <c r="N23" s="5"/>
      <c r="O23" s="43"/>
      <c r="P23" s="47"/>
      <c r="Q23" s="48"/>
      <c r="R23" s="48"/>
      <c r="S23" s="49"/>
    </row>
    <row r="24" spans="1:19" ht="32.25" hidden="1" customHeight="1">
      <c r="A24" s="39"/>
      <c r="B24" s="50" t="s">
        <v>19</v>
      </c>
      <c r="C24" s="50"/>
      <c r="D24" s="51">
        <v>0</v>
      </c>
      <c r="E24" s="52"/>
      <c r="F24" s="53"/>
      <c r="G24" s="52"/>
      <c r="H24" s="51">
        <v>0</v>
      </c>
      <c r="I24" s="51">
        <v>0</v>
      </c>
      <c r="J24" s="51">
        <v>0</v>
      </c>
      <c r="K24" s="547"/>
      <c r="L24" s="548"/>
      <c r="M24" s="549"/>
      <c r="N24" s="57"/>
      <c r="O24" s="53"/>
      <c r="P24" s="51"/>
      <c r="Q24" s="51"/>
      <c r="R24" s="51"/>
      <c r="S24" s="51"/>
    </row>
    <row r="25" spans="1:19" ht="32.25" hidden="1" customHeight="1">
      <c r="A25" s="39"/>
      <c r="B25" s="58" t="s">
        <v>39</v>
      </c>
      <c r="C25" s="59"/>
      <c r="D25" s="60"/>
      <c r="E25" s="61"/>
      <c r="F25" s="62"/>
      <c r="G25" s="63"/>
      <c r="H25" s="64"/>
      <c r="I25" s="64"/>
      <c r="J25" s="64"/>
      <c r="K25" s="550"/>
      <c r="L25" s="551"/>
      <c r="M25" s="552"/>
      <c r="N25" s="68"/>
      <c r="O25" s="62"/>
      <c r="P25" s="69"/>
      <c r="Q25" s="63"/>
      <c r="R25" s="63"/>
      <c r="S25" s="70"/>
    </row>
    <row r="26" spans="1:19" ht="32.25" hidden="1" customHeight="1">
      <c r="A26" s="39">
        <v>1</v>
      </c>
      <c r="B26" s="40"/>
      <c r="C26" s="41"/>
      <c r="D26" s="42"/>
      <c r="E26" s="6"/>
      <c r="F26" s="43"/>
      <c r="G26" s="6"/>
      <c r="H26" s="42"/>
      <c r="I26" s="42"/>
      <c r="J26" s="42"/>
      <c r="K26" s="544"/>
      <c r="L26" s="545"/>
      <c r="M26" s="546"/>
      <c r="N26" s="5"/>
      <c r="O26" s="43"/>
      <c r="P26" s="47"/>
      <c r="Q26" s="48"/>
      <c r="R26" s="48"/>
      <c r="S26" s="49"/>
    </row>
    <row r="27" spans="1:19" ht="32.25" hidden="1" customHeight="1">
      <c r="A27" s="39"/>
      <c r="B27" s="50" t="s">
        <v>19</v>
      </c>
      <c r="C27" s="50"/>
      <c r="D27" s="51">
        <v>0</v>
      </c>
      <c r="E27" s="52"/>
      <c r="F27" s="53"/>
      <c r="G27" s="52"/>
      <c r="H27" s="51">
        <v>0</v>
      </c>
      <c r="I27" s="51">
        <v>0</v>
      </c>
      <c r="J27" s="51">
        <v>0</v>
      </c>
      <c r="K27" s="547"/>
      <c r="L27" s="548"/>
      <c r="M27" s="549"/>
      <c r="N27" s="57"/>
      <c r="O27" s="53"/>
      <c r="P27" s="51"/>
      <c r="Q27" s="51"/>
      <c r="R27" s="51"/>
      <c r="S27" s="51"/>
    </row>
    <row r="28" spans="1:19" ht="32.25" hidden="1" customHeight="1">
      <c r="A28" s="39"/>
      <c r="B28" s="58" t="s">
        <v>40</v>
      </c>
      <c r="C28" s="59"/>
      <c r="D28" s="60"/>
      <c r="E28" s="61"/>
      <c r="F28" s="62"/>
      <c r="G28" s="63"/>
      <c r="H28" s="64"/>
      <c r="I28" s="64"/>
      <c r="J28" s="64"/>
      <c r="K28" s="550"/>
      <c r="L28" s="551"/>
      <c r="M28" s="552"/>
      <c r="N28" s="68"/>
      <c r="O28" s="62"/>
      <c r="P28" s="69"/>
      <c r="Q28" s="63"/>
      <c r="R28" s="63"/>
      <c r="S28" s="70"/>
    </row>
    <row r="29" spans="1:19" ht="32.25" hidden="1" customHeight="1">
      <c r="A29" s="39">
        <v>1</v>
      </c>
      <c r="B29" s="40"/>
      <c r="C29" s="41"/>
      <c r="D29" s="42"/>
      <c r="E29" s="6"/>
      <c r="F29" s="43"/>
      <c r="G29" s="6"/>
      <c r="H29" s="42"/>
      <c r="I29" s="42"/>
      <c r="J29" s="42"/>
      <c r="K29" s="544"/>
      <c r="L29" s="545"/>
      <c r="M29" s="546"/>
      <c r="N29" s="5"/>
      <c r="O29" s="43"/>
      <c r="P29" s="47"/>
      <c r="Q29" s="48"/>
      <c r="R29" s="48"/>
      <c r="S29" s="49"/>
    </row>
    <row r="30" spans="1:19" ht="32.25" hidden="1" customHeight="1">
      <c r="A30" s="39"/>
      <c r="B30" s="50" t="s">
        <v>19</v>
      </c>
      <c r="C30" s="50"/>
      <c r="D30" s="51">
        <v>0</v>
      </c>
      <c r="E30" s="52"/>
      <c r="F30" s="53"/>
      <c r="G30" s="52"/>
      <c r="H30" s="51">
        <v>0</v>
      </c>
      <c r="I30" s="51">
        <v>0</v>
      </c>
      <c r="J30" s="51">
        <v>0</v>
      </c>
      <c r="K30" s="547"/>
      <c r="L30" s="548"/>
      <c r="M30" s="549"/>
      <c r="N30" s="57"/>
      <c r="O30" s="53"/>
      <c r="P30" s="51"/>
      <c r="Q30" s="51"/>
      <c r="R30" s="51"/>
      <c r="S30" s="51"/>
    </row>
    <row r="31" spans="1:19" ht="32.25" customHeight="1" thickTop="1">
      <c r="A31" s="39"/>
      <c r="B31" s="58" t="s">
        <v>41</v>
      </c>
      <c r="C31" s="59"/>
      <c r="D31" s="60"/>
      <c r="E31" s="61"/>
      <c r="F31" s="62"/>
      <c r="G31" s="63"/>
      <c r="H31" s="64"/>
      <c r="I31" s="64"/>
      <c r="J31" s="64"/>
      <c r="K31" s="550"/>
      <c r="L31" s="551"/>
      <c r="M31" s="552"/>
      <c r="N31" s="68"/>
      <c r="O31" s="62"/>
      <c r="P31" s="69"/>
      <c r="Q31" s="63"/>
      <c r="R31" s="63"/>
      <c r="S31" s="70"/>
    </row>
    <row r="32" spans="1:19" ht="32.25" customHeight="1">
      <c r="A32" s="106">
        <v>1</v>
      </c>
      <c r="B32" s="107" t="s">
        <v>404</v>
      </c>
      <c r="C32" s="107" t="s">
        <v>400</v>
      </c>
      <c r="D32" s="108">
        <v>642</v>
      </c>
      <c r="E32" s="109"/>
      <c r="F32" s="110"/>
      <c r="G32" s="111"/>
      <c r="H32" s="111">
        <v>0</v>
      </c>
      <c r="I32" s="112">
        <v>0</v>
      </c>
      <c r="J32" s="113">
        <v>0</v>
      </c>
      <c r="K32" s="553" t="s">
        <v>945</v>
      </c>
      <c r="L32" s="554" t="s">
        <v>946</v>
      </c>
      <c r="M32" s="555">
        <v>642</v>
      </c>
      <c r="N32" s="114"/>
      <c r="O32" s="115"/>
      <c r="P32" s="92"/>
      <c r="Q32" s="91">
        <v>0</v>
      </c>
      <c r="R32" s="92">
        <v>0</v>
      </c>
      <c r="S32" s="77">
        <v>0</v>
      </c>
    </row>
    <row r="33" spans="1:19" ht="32.25" customHeight="1">
      <c r="A33" s="106">
        <v>2</v>
      </c>
      <c r="B33" s="117" t="s">
        <v>484</v>
      </c>
      <c r="C33" s="107" t="s">
        <v>400</v>
      </c>
      <c r="D33" s="108">
        <v>642</v>
      </c>
      <c r="E33" s="118"/>
      <c r="F33" s="119"/>
      <c r="G33" s="111"/>
      <c r="H33" s="111">
        <v>0</v>
      </c>
      <c r="I33" s="120">
        <v>0</v>
      </c>
      <c r="J33" s="121">
        <v>0</v>
      </c>
      <c r="K33" s="553" t="s">
        <v>945</v>
      </c>
      <c r="L33" s="554" t="s">
        <v>947</v>
      </c>
      <c r="M33" s="555">
        <v>642</v>
      </c>
      <c r="N33" s="114"/>
      <c r="O33" s="122"/>
      <c r="P33" s="92"/>
      <c r="Q33" s="91">
        <v>0</v>
      </c>
      <c r="R33" s="92">
        <v>0</v>
      </c>
      <c r="S33" s="77">
        <v>0</v>
      </c>
    </row>
    <row r="34" spans="1:19" ht="32.25" customHeight="1">
      <c r="A34" s="106">
        <v>3</v>
      </c>
      <c r="B34" s="117" t="s">
        <v>485</v>
      </c>
      <c r="C34" s="107" t="s">
        <v>400</v>
      </c>
      <c r="D34" s="123">
        <v>321</v>
      </c>
      <c r="E34" s="109"/>
      <c r="F34" s="110"/>
      <c r="G34" s="124"/>
      <c r="H34" s="124">
        <v>0</v>
      </c>
      <c r="I34" s="112">
        <v>0</v>
      </c>
      <c r="J34" s="113">
        <v>0</v>
      </c>
      <c r="K34" s="553" t="s">
        <v>938</v>
      </c>
      <c r="L34" s="554" t="s">
        <v>948</v>
      </c>
      <c r="M34" s="555">
        <v>321</v>
      </c>
      <c r="N34" s="114"/>
      <c r="O34" s="115"/>
      <c r="P34" s="125"/>
      <c r="Q34" s="91">
        <v>0</v>
      </c>
      <c r="R34" s="92">
        <v>0</v>
      </c>
      <c r="S34" s="77">
        <v>0</v>
      </c>
    </row>
    <row r="35" spans="1:19" ht="32.25" customHeight="1">
      <c r="A35" s="106">
        <v>4</v>
      </c>
      <c r="B35" s="117" t="s">
        <v>486</v>
      </c>
      <c r="C35" s="107" t="s">
        <v>400</v>
      </c>
      <c r="D35" s="123">
        <v>321</v>
      </c>
      <c r="E35" s="466"/>
      <c r="F35" s="127"/>
      <c r="G35" s="126"/>
      <c r="H35" s="126">
        <v>0</v>
      </c>
      <c r="I35" s="128">
        <v>0</v>
      </c>
      <c r="J35" s="129">
        <v>0</v>
      </c>
      <c r="K35" s="553" t="s">
        <v>938</v>
      </c>
      <c r="L35" s="554" t="s">
        <v>949</v>
      </c>
      <c r="M35" s="555">
        <v>321</v>
      </c>
      <c r="N35" s="30"/>
      <c r="O35" s="31"/>
      <c r="P35" s="29"/>
      <c r="Q35" s="91"/>
      <c r="R35" s="92"/>
      <c r="S35" s="77"/>
    </row>
    <row r="36" spans="1:19" ht="32.25" customHeight="1">
      <c r="A36" s="106">
        <v>5</v>
      </c>
      <c r="B36" s="117" t="s">
        <v>827</v>
      </c>
      <c r="C36" s="107" t="s">
        <v>400</v>
      </c>
      <c r="D36" s="123">
        <v>642</v>
      </c>
      <c r="E36" s="126"/>
      <c r="F36" s="127"/>
      <c r="G36" s="126"/>
      <c r="H36" s="128">
        <v>0</v>
      </c>
      <c r="I36" s="128">
        <v>0</v>
      </c>
      <c r="J36" s="129">
        <v>0</v>
      </c>
      <c r="K36" s="553" t="s">
        <v>950</v>
      </c>
      <c r="L36" s="554" t="s">
        <v>951</v>
      </c>
      <c r="M36" s="555">
        <v>642</v>
      </c>
      <c r="N36" s="30"/>
      <c r="O36" s="31"/>
      <c r="P36" s="31"/>
      <c r="Q36" s="91">
        <v>0</v>
      </c>
      <c r="R36" s="92">
        <v>0</v>
      </c>
      <c r="S36" s="77">
        <v>0</v>
      </c>
    </row>
    <row r="37" spans="1:19" ht="32.25" customHeight="1">
      <c r="A37" s="106">
        <v>6</v>
      </c>
      <c r="B37" s="117" t="s">
        <v>869</v>
      </c>
      <c r="C37" s="107" t="s">
        <v>400</v>
      </c>
      <c r="D37" s="123">
        <v>321</v>
      </c>
      <c r="E37" s="126"/>
      <c r="F37" s="127"/>
      <c r="G37" s="126"/>
      <c r="H37" s="128">
        <v>0</v>
      </c>
      <c r="I37" s="128">
        <v>0</v>
      </c>
      <c r="J37" s="129">
        <v>0</v>
      </c>
      <c r="K37" s="553" t="s">
        <v>950</v>
      </c>
      <c r="L37" s="554" t="s">
        <v>952</v>
      </c>
      <c r="M37" s="555">
        <v>321</v>
      </c>
      <c r="N37" s="30"/>
      <c r="O37" s="31"/>
      <c r="P37" s="31"/>
      <c r="Q37" s="91"/>
      <c r="R37" s="92"/>
      <c r="S37" s="77"/>
    </row>
    <row r="38" spans="1:19" ht="32.25" customHeight="1">
      <c r="A38" s="106">
        <v>7</v>
      </c>
      <c r="B38" s="117" t="s">
        <v>722</v>
      </c>
      <c r="C38" s="107" t="s">
        <v>400</v>
      </c>
      <c r="D38" s="123">
        <v>642</v>
      </c>
      <c r="E38" s="126"/>
      <c r="F38" s="127"/>
      <c r="G38" s="126"/>
      <c r="H38" s="128">
        <v>0</v>
      </c>
      <c r="I38" s="128">
        <v>0</v>
      </c>
      <c r="J38" s="129">
        <v>0</v>
      </c>
      <c r="K38" s="553" t="s">
        <v>950</v>
      </c>
      <c r="L38" s="554" t="s">
        <v>953</v>
      </c>
      <c r="M38" s="555">
        <v>642</v>
      </c>
      <c r="N38" s="30"/>
      <c r="O38" s="31"/>
      <c r="P38" s="31"/>
      <c r="Q38" s="91"/>
      <c r="R38" s="92"/>
      <c r="S38" s="77"/>
    </row>
    <row r="39" spans="1:19" ht="32.25" customHeight="1">
      <c r="A39" s="106">
        <v>8</v>
      </c>
      <c r="B39" s="117" t="s">
        <v>641</v>
      </c>
      <c r="C39" s="107" t="s">
        <v>400</v>
      </c>
      <c r="D39" s="123">
        <v>642</v>
      </c>
      <c r="E39" s="126"/>
      <c r="F39" s="127"/>
      <c r="G39" s="126"/>
      <c r="H39" s="128">
        <v>0</v>
      </c>
      <c r="I39" s="128">
        <v>0</v>
      </c>
      <c r="J39" s="129">
        <v>0</v>
      </c>
      <c r="K39" s="553" t="s">
        <v>950</v>
      </c>
      <c r="L39" s="554" t="s">
        <v>954</v>
      </c>
      <c r="M39" s="555">
        <v>642</v>
      </c>
      <c r="N39" s="30"/>
      <c r="O39" s="31"/>
      <c r="P39" s="31"/>
      <c r="Q39" s="91"/>
      <c r="R39" s="92"/>
      <c r="S39" s="77"/>
    </row>
    <row r="40" spans="1:19" ht="32.25" customHeight="1">
      <c r="A40" s="106">
        <v>9</v>
      </c>
      <c r="B40" s="117" t="s">
        <v>730</v>
      </c>
      <c r="C40" s="107" t="s">
        <v>400</v>
      </c>
      <c r="D40" s="123">
        <v>642</v>
      </c>
      <c r="E40" s="126"/>
      <c r="F40" s="127"/>
      <c r="G40" s="126"/>
      <c r="H40" s="128">
        <v>0</v>
      </c>
      <c r="I40" s="128">
        <v>0</v>
      </c>
      <c r="J40" s="129">
        <v>0</v>
      </c>
      <c r="K40" s="553" t="s">
        <v>950</v>
      </c>
      <c r="L40" s="554" t="s">
        <v>955</v>
      </c>
      <c r="M40" s="555">
        <v>642</v>
      </c>
      <c r="N40" s="114"/>
      <c r="O40" s="115"/>
      <c r="P40" s="115"/>
      <c r="Q40" s="91">
        <v>0</v>
      </c>
      <c r="R40" s="92">
        <v>0</v>
      </c>
      <c r="S40" s="77">
        <v>0</v>
      </c>
    </row>
    <row r="41" spans="1:19" ht="32.25" customHeight="1">
      <c r="A41" s="116">
        <v>10</v>
      </c>
      <c r="B41" s="117" t="s">
        <v>526</v>
      </c>
      <c r="C41" s="107" t="s">
        <v>400</v>
      </c>
      <c r="D41" s="123">
        <v>642</v>
      </c>
      <c r="E41" s="501"/>
      <c r="F41" s="502"/>
      <c r="G41" s="501"/>
      <c r="H41" s="503">
        <v>0</v>
      </c>
      <c r="I41" s="503">
        <v>0</v>
      </c>
      <c r="J41" s="504">
        <v>0</v>
      </c>
      <c r="K41" s="564" t="s">
        <v>956</v>
      </c>
      <c r="L41" s="565" t="s">
        <v>957</v>
      </c>
      <c r="M41" s="566">
        <v>642</v>
      </c>
      <c r="N41" s="5"/>
      <c r="O41" s="43"/>
      <c r="P41" s="43"/>
      <c r="Q41" s="91"/>
      <c r="R41" s="92"/>
      <c r="S41" s="77"/>
    </row>
    <row r="42" spans="1:19" ht="32.25" customHeight="1">
      <c r="A42" s="116">
        <v>11</v>
      </c>
      <c r="B42" s="117" t="s">
        <v>649</v>
      </c>
      <c r="C42" s="107" t="s">
        <v>400</v>
      </c>
      <c r="D42" s="123">
        <v>642</v>
      </c>
      <c r="E42" s="501"/>
      <c r="F42" s="502"/>
      <c r="G42" s="501"/>
      <c r="H42" s="503">
        <v>0</v>
      </c>
      <c r="I42" s="503">
        <v>0</v>
      </c>
      <c r="J42" s="504">
        <v>0</v>
      </c>
      <c r="K42" s="564" t="s">
        <v>938</v>
      </c>
      <c r="L42" s="565" t="s">
        <v>958</v>
      </c>
      <c r="M42" s="566">
        <v>642</v>
      </c>
      <c r="N42" s="5"/>
      <c r="O42" s="43"/>
      <c r="P42" s="43"/>
      <c r="Q42" s="91"/>
      <c r="R42" s="92"/>
      <c r="S42" s="77"/>
    </row>
    <row r="43" spans="1:19" ht="32.25" customHeight="1">
      <c r="A43" s="116">
        <v>12</v>
      </c>
      <c r="B43" s="117" t="s">
        <v>639</v>
      </c>
      <c r="C43" s="107" t="s">
        <v>400</v>
      </c>
      <c r="D43" s="123">
        <v>642</v>
      </c>
      <c r="E43" s="501"/>
      <c r="F43" s="502"/>
      <c r="G43" s="501"/>
      <c r="H43" s="503">
        <v>0</v>
      </c>
      <c r="I43" s="503">
        <v>0</v>
      </c>
      <c r="J43" s="504">
        <v>0</v>
      </c>
      <c r="K43" s="564" t="s">
        <v>938</v>
      </c>
      <c r="L43" s="565" t="s">
        <v>959</v>
      </c>
      <c r="M43" s="566">
        <v>642</v>
      </c>
      <c r="N43" s="5"/>
      <c r="O43" s="43"/>
      <c r="P43" s="43"/>
      <c r="Q43" s="91"/>
      <c r="R43" s="92"/>
      <c r="S43" s="77"/>
    </row>
    <row r="44" spans="1:19" ht="32.25" customHeight="1">
      <c r="A44" s="116"/>
      <c r="B44" s="117"/>
      <c r="C44" s="107"/>
      <c r="D44" s="123"/>
      <c r="E44" s="501"/>
      <c r="F44" s="502"/>
      <c r="G44" s="501"/>
      <c r="H44" s="503"/>
      <c r="I44" s="503"/>
      <c r="J44" s="504"/>
      <c r="K44" s="564"/>
      <c r="L44" s="565"/>
      <c r="M44" s="566"/>
      <c r="N44" s="5"/>
      <c r="O44" s="43"/>
      <c r="P44" s="43"/>
      <c r="Q44" s="91"/>
      <c r="R44" s="92"/>
      <c r="S44" s="77"/>
    </row>
    <row r="45" spans="1:19" ht="32.25" customHeight="1">
      <c r="A45" s="116"/>
      <c r="B45" s="117"/>
      <c r="C45" s="107"/>
      <c r="D45" s="123"/>
      <c r="E45" s="501"/>
      <c r="F45" s="502"/>
      <c r="G45" s="501"/>
      <c r="H45" s="503"/>
      <c r="I45" s="503"/>
      <c r="J45" s="504"/>
      <c r="K45" s="564"/>
      <c r="L45" s="565"/>
      <c r="M45" s="566"/>
      <c r="N45" s="5"/>
      <c r="O45" s="43"/>
      <c r="P45" s="43"/>
      <c r="Q45" s="91"/>
      <c r="R45" s="92"/>
      <c r="S45" s="77"/>
    </row>
    <row r="46" spans="1:19" ht="32.25" customHeight="1">
      <c r="A46" s="116"/>
      <c r="B46" s="117"/>
      <c r="C46" s="107"/>
      <c r="D46" s="123"/>
      <c r="E46" s="501"/>
      <c r="F46" s="502"/>
      <c r="G46" s="501"/>
      <c r="H46" s="503"/>
      <c r="I46" s="503"/>
      <c r="J46" s="504"/>
      <c r="K46" s="564"/>
      <c r="L46" s="565"/>
      <c r="M46" s="566"/>
      <c r="N46" s="5"/>
      <c r="O46" s="43"/>
      <c r="P46" s="43"/>
      <c r="Q46" s="91"/>
      <c r="R46" s="92"/>
      <c r="S46" s="77"/>
    </row>
    <row r="47" spans="1:19" ht="32.25" customHeight="1">
      <c r="A47" s="116"/>
      <c r="B47" s="117"/>
      <c r="C47" s="107"/>
      <c r="D47" s="123"/>
      <c r="E47" s="501"/>
      <c r="F47" s="502"/>
      <c r="G47" s="501"/>
      <c r="H47" s="503"/>
      <c r="I47" s="503"/>
      <c r="J47" s="504"/>
      <c r="K47" s="564"/>
      <c r="L47" s="565"/>
      <c r="M47" s="566"/>
      <c r="N47" s="5"/>
      <c r="O47" s="43"/>
      <c r="P47" s="43"/>
      <c r="Q47" s="91"/>
      <c r="R47" s="92"/>
      <c r="S47" s="77"/>
    </row>
    <row r="48" spans="1:19" ht="32.25" customHeight="1">
      <c r="A48" s="116"/>
      <c r="B48" s="117"/>
      <c r="C48" s="107"/>
      <c r="D48" s="123"/>
      <c r="E48" s="501"/>
      <c r="F48" s="502"/>
      <c r="G48" s="501"/>
      <c r="H48" s="503"/>
      <c r="I48" s="503"/>
      <c r="J48" s="504"/>
      <c r="K48" s="564"/>
      <c r="L48" s="565"/>
      <c r="M48" s="566"/>
      <c r="N48" s="5"/>
      <c r="O48" s="43"/>
      <c r="P48" s="43"/>
      <c r="Q48" s="91"/>
      <c r="R48" s="92"/>
      <c r="S48" s="77"/>
    </row>
    <row r="49" spans="1:19" ht="32.25" customHeight="1">
      <c r="A49" s="116">
        <v>18</v>
      </c>
      <c r="B49" s="117"/>
      <c r="C49" s="107"/>
      <c r="D49" s="123"/>
      <c r="E49" s="501"/>
      <c r="F49" s="502"/>
      <c r="G49" s="501"/>
      <c r="H49" s="503"/>
      <c r="I49" s="503"/>
      <c r="J49" s="504"/>
      <c r="K49" s="564"/>
      <c r="L49" s="565"/>
      <c r="M49" s="566"/>
      <c r="N49" s="5"/>
      <c r="O49" s="43"/>
      <c r="P49" s="43"/>
      <c r="Q49" s="91"/>
      <c r="R49" s="92"/>
      <c r="S49" s="77"/>
    </row>
    <row r="50" spans="1:19" ht="32.25" customHeight="1">
      <c r="A50" s="116">
        <v>19</v>
      </c>
      <c r="B50" s="117"/>
      <c r="C50" s="107"/>
      <c r="D50" s="123"/>
      <c r="E50" s="501"/>
      <c r="F50" s="502"/>
      <c r="G50" s="501"/>
      <c r="H50" s="503"/>
      <c r="I50" s="503"/>
      <c r="J50" s="504"/>
      <c r="K50" s="564"/>
      <c r="L50" s="565"/>
      <c r="M50" s="566"/>
      <c r="N50" s="5"/>
      <c r="O50" s="43"/>
      <c r="P50" s="43"/>
      <c r="Q50" s="91"/>
      <c r="R50" s="92"/>
      <c r="S50" s="77"/>
    </row>
    <row r="51" spans="1:19" ht="32.25" customHeight="1">
      <c r="A51" s="116"/>
      <c r="B51" s="117"/>
      <c r="C51" s="107"/>
      <c r="D51" s="123"/>
      <c r="E51" s="501"/>
      <c r="F51" s="502"/>
      <c r="G51" s="501"/>
      <c r="H51" s="503"/>
      <c r="I51" s="503"/>
      <c r="J51" s="504"/>
      <c r="K51" s="564"/>
      <c r="L51" s="565"/>
      <c r="M51" s="566"/>
      <c r="N51" s="5"/>
      <c r="O51" s="43"/>
      <c r="P51" s="43"/>
      <c r="Q51" s="91"/>
      <c r="R51" s="92"/>
      <c r="S51" s="77"/>
    </row>
    <row r="52" spans="1:19" ht="32.25" customHeight="1" thickBot="1">
      <c r="A52" s="39"/>
      <c r="B52" s="50" t="s">
        <v>19</v>
      </c>
      <c r="C52" s="50"/>
      <c r="D52" s="51">
        <f>SUM(D32:D51)</f>
        <v>6741</v>
      </c>
      <c r="E52" s="52"/>
      <c r="F52" s="53"/>
      <c r="G52" s="52"/>
      <c r="H52" s="51">
        <v>0</v>
      </c>
      <c r="I52" s="51">
        <v>0</v>
      </c>
      <c r="J52" s="51">
        <v>0</v>
      </c>
      <c r="K52" s="548"/>
      <c r="L52" s="548"/>
      <c r="M52" s="549">
        <f>SUM(M32:M51)</f>
        <v>6741</v>
      </c>
      <c r="N52" s="57"/>
      <c r="O52" s="53"/>
      <c r="P52" s="51"/>
      <c r="Q52" s="51"/>
      <c r="R52" s="51"/>
      <c r="S52" s="51"/>
    </row>
    <row r="53" spans="1:19" ht="32.25" customHeight="1" thickTop="1">
      <c r="A53" s="39"/>
      <c r="B53" s="58" t="s">
        <v>47</v>
      </c>
      <c r="C53" s="59"/>
      <c r="D53" s="60"/>
      <c r="E53" s="61"/>
      <c r="F53" s="62"/>
      <c r="G53" s="63"/>
      <c r="H53" s="64"/>
      <c r="I53" s="64"/>
      <c r="J53" s="64"/>
      <c r="K53" s="550"/>
      <c r="L53" s="551"/>
      <c r="M53" s="552"/>
      <c r="N53" s="68"/>
      <c r="O53" s="62"/>
      <c r="P53" s="69"/>
      <c r="Q53" s="63"/>
      <c r="R53" s="63"/>
      <c r="S53" s="70"/>
    </row>
    <row r="54" spans="1:19" ht="32.25" customHeight="1">
      <c r="A54" s="39">
        <v>1</v>
      </c>
      <c r="B54" s="40"/>
      <c r="C54" s="41"/>
      <c r="D54" s="42"/>
      <c r="E54" s="6"/>
      <c r="F54" s="43"/>
      <c r="G54" s="6"/>
      <c r="H54" s="42"/>
      <c r="I54" s="42"/>
      <c r="J54" s="42"/>
      <c r="K54" s="544"/>
      <c r="L54" s="545"/>
      <c r="M54" s="546"/>
      <c r="N54" s="5"/>
      <c r="O54" s="43"/>
      <c r="P54" s="47"/>
      <c r="Q54" s="48"/>
      <c r="R54" s="48"/>
      <c r="S54" s="49"/>
    </row>
    <row r="55" spans="1:19" ht="32.25" customHeight="1" thickBot="1">
      <c r="A55" s="39"/>
      <c r="B55" s="50" t="s">
        <v>19</v>
      </c>
      <c r="C55" s="50"/>
      <c r="D55" s="51">
        <v>0</v>
      </c>
      <c r="E55" s="52"/>
      <c r="F55" s="53"/>
      <c r="G55" s="52"/>
      <c r="H55" s="51">
        <v>0</v>
      </c>
      <c r="I55" s="51">
        <v>0</v>
      </c>
      <c r="J55" s="51">
        <v>0</v>
      </c>
      <c r="K55" s="547"/>
      <c r="L55" s="548"/>
      <c r="M55" s="549"/>
      <c r="N55" s="57"/>
      <c r="O55" s="53"/>
      <c r="P55" s="51"/>
      <c r="Q55" s="51"/>
      <c r="R55" s="51"/>
      <c r="S55" s="51"/>
    </row>
    <row r="56" spans="1:19" ht="32.25" customHeight="1" thickTop="1">
      <c r="A56" s="39"/>
      <c r="B56" s="58" t="s">
        <v>48</v>
      </c>
      <c r="C56" s="59"/>
      <c r="D56" s="60"/>
      <c r="E56" s="61"/>
      <c r="F56" s="62"/>
      <c r="G56" s="63"/>
      <c r="H56" s="64"/>
      <c r="I56" s="64"/>
      <c r="J56" s="64"/>
      <c r="K56" s="550"/>
      <c r="L56" s="551"/>
      <c r="M56" s="552"/>
      <c r="N56" s="68"/>
      <c r="O56" s="62"/>
      <c r="P56" s="69"/>
      <c r="Q56" s="63"/>
      <c r="R56" s="63"/>
      <c r="S56" s="70"/>
    </row>
    <row r="57" spans="1:19" ht="32.25" customHeight="1">
      <c r="A57" s="39">
        <v>1</v>
      </c>
      <c r="B57" s="40"/>
      <c r="C57" s="41"/>
      <c r="D57" s="42"/>
      <c r="E57" s="6"/>
      <c r="F57" s="43"/>
      <c r="G57" s="6"/>
      <c r="H57" s="42"/>
      <c r="I57" s="42"/>
      <c r="J57" s="42"/>
      <c r="K57" s="544"/>
      <c r="L57" s="545"/>
      <c r="M57" s="546"/>
      <c r="N57" s="5"/>
      <c r="O57" s="43"/>
      <c r="P57" s="47"/>
      <c r="Q57" s="48"/>
      <c r="R57" s="48"/>
      <c r="S57" s="49"/>
    </row>
    <row r="58" spans="1:19" ht="32.25" customHeight="1" thickBot="1">
      <c r="A58" s="39"/>
      <c r="B58" s="50" t="s">
        <v>19</v>
      </c>
      <c r="C58" s="50"/>
      <c r="D58" s="51">
        <v>0</v>
      </c>
      <c r="E58" s="52"/>
      <c r="F58" s="53"/>
      <c r="G58" s="52"/>
      <c r="H58" s="51">
        <v>0</v>
      </c>
      <c r="I58" s="51">
        <v>0</v>
      </c>
      <c r="J58" s="51">
        <v>0</v>
      </c>
      <c r="K58" s="547"/>
      <c r="L58" s="548"/>
      <c r="M58" s="549"/>
      <c r="N58" s="57"/>
      <c r="O58" s="53"/>
      <c r="P58" s="51"/>
      <c r="Q58" s="51"/>
      <c r="R58" s="51"/>
      <c r="S58" s="51"/>
    </row>
    <row r="59" spans="1:19" ht="32.25" customHeight="1" thickTop="1">
      <c r="A59" s="39"/>
      <c r="B59" s="58" t="s">
        <v>49</v>
      </c>
      <c r="C59" s="59"/>
      <c r="D59" s="60"/>
      <c r="E59" s="61"/>
      <c r="F59" s="62"/>
      <c r="G59" s="63"/>
      <c r="H59" s="64"/>
      <c r="I59" s="64"/>
      <c r="J59" s="64"/>
      <c r="K59" s="550"/>
      <c r="L59" s="551"/>
      <c r="M59" s="552"/>
      <c r="N59" s="68"/>
      <c r="O59" s="62"/>
      <c r="P59" s="69"/>
      <c r="Q59" s="63"/>
      <c r="R59" s="63"/>
      <c r="S59" s="70"/>
    </row>
    <row r="60" spans="1:19" ht="32.25" customHeight="1">
      <c r="A60" s="39">
        <v>1</v>
      </c>
      <c r="B60" s="40"/>
      <c r="C60" s="41"/>
      <c r="D60" s="42"/>
      <c r="E60" s="6"/>
      <c r="F60" s="43"/>
      <c r="G60" s="6"/>
      <c r="H60" s="42"/>
      <c r="I60" s="42"/>
      <c r="J60" s="42"/>
      <c r="K60" s="544"/>
      <c r="L60" s="545"/>
      <c r="M60" s="546"/>
      <c r="N60" s="5"/>
      <c r="O60" s="43"/>
      <c r="P60" s="47"/>
      <c r="Q60" s="48"/>
      <c r="R60" s="48"/>
      <c r="S60" s="49"/>
    </row>
    <row r="61" spans="1:19" ht="32.25" customHeight="1" thickBot="1">
      <c r="A61" s="39"/>
      <c r="B61" s="50" t="s">
        <v>19</v>
      </c>
      <c r="C61" s="50"/>
      <c r="D61" s="51">
        <v>0</v>
      </c>
      <c r="E61" s="52"/>
      <c r="F61" s="53"/>
      <c r="G61" s="52"/>
      <c r="H61" s="51">
        <v>0</v>
      </c>
      <c r="I61" s="51">
        <v>0</v>
      </c>
      <c r="J61" s="51">
        <v>0</v>
      </c>
      <c r="K61" s="547"/>
      <c r="L61" s="548"/>
      <c r="M61" s="549">
        <v>0</v>
      </c>
      <c r="N61" s="57"/>
      <c r="O61" s="53"/>
      <c r="P61" s="51"/>
      <c r="Q61" s="51"/>
      <c r="R61" s="51"/>
      <c r="S61" s="51"/>
    </row>
    <row r="62" spans="1:19" ht="32.25" customHeight="1" thickTop="1">
      <c r="A62" s="39"/>
      <c r="B62" s="141" t="s">
        <v>50</v>
      </c>
      <c r="C62" s="142"/>
      <c r="D62" s="125"/>
      <c r="E62" s="131"/>
      <c r="F62" s="115"/>
      <c r="G62" s="33"/>
      <c r="H62" s="143"/>
      <c r="I62" s="143"/>
      <c r="J62" s="143"/>
      <c r="K62" s="541"/>
      <c r="L62" s="542"/>
      <c r="M62" s="543"/>
      <c r="N62" s="114"/>
      <c r="O62" s="115"/>
      <c r="P62" s="144"/>
      <c r="Q62" s="33"/>
      <c r="R62" s="33"/>
      <c r="S62" s="145"/>
    </row>
    <row r="63" spans="1:19" ht="32.25" customHeight="1">
      <c r="A63" s="39"/>
      <c r="B63" s="146" t="s">
        <v>51</v>
      </c>
      <c r="C63" s="146"/>
      <c r="D63" s="125"/>
      <c r="E63" s="131"/>
      <c r="F63" s="122"/>
      <c r="G63" s="147"/>
      <c r="H63" s="148"/>
      <c r="I63" s="148"/>
      <c r="J63" s="143"/>
      <c r="K63" s="541"/>
      <c r="L63" s="542"/>
      <c r="M63" s="543"/>
      <c r="N63" s="114"/>
      <c r="O63" s="122"/>
      <c r="P63" s="149"/>
      <c r="Q63" s="147"/>
      <c r="R63" s="147"/>
      <c r="S63" s="145"/>
    </row>
    <row r="64" spans="1:19" s="160" customFormat="1" ht="32.25" customHeight="1">
      <c r="A64" s="106">
        <v>1</v>
      </c>
      <c r="B64" s="142" t="s">
        <v>52</v>
      </c>
      <c r="C64" s="150" t="s">
        <v>53</v>
      </c>
      <c r="D64" s="151">
        <v>4140</v>
      </c>
      <c r="E64" s="157" t="s">
        <v>57</v>
      </c>
      <c r="F64" s="158"/>
      <c r="G64" s="158"/>
      <c r="H64" s="153">
        <v>-2070</v>
      </c>
      <c r="I64" s="153"/>
      <c r="J64" s="159">
        <v>-2070</v>
      </c>
      <c r="K64" s="164" t="s">
        <v>960</v>
      </c>
      <c r="L64" s="165" t="s">
        <v>961</v>
      </c>
      <c r="M64" s="166">
        <v>4140</v>
      </c>
      <c r="N64" s="157" t="s">
        <v>57</v>
      </c>
      <c r="O64" s="158"/>
      <c r="P64" s="158"/>
      <c r="Q64" s="153">
        <v>-2070</v>
      </c>
      <c r="R64" s="153"/>
      <c r="S64" s="159">
        <v>-2070</v>
      </c>
    </row>
    <row r="65" spans="1:19" s="160" customFormat="1" ht="32.25" customHeight="1">
      <c r="A65" s="106">
        <v>2</v>
      </c>
      <c r="B65" s="161" t="s">
        <v>58</v>
      </c>
      <c r="C65" s="162" t="s">
        <v>59</v>
      </c>
      <c r="D65" s="151">
        <v>0</v>
      </c>
      <c r="E65" s="167"/>
      <c r="F65" s="158"/>
      <c r="G65" s="158"/>
      <c r="H65" s="91">
        <v>0</v>
      </c>
      <c r="I65" s="91"/>
      <c r="J65" s="77">
        <v>0</v>
      </c>
      <c r="K65" s="164"/>
      <c r="L65" s="165"/>
      <c r="M65" s="166"/>
      <c r="N65" s="167"/>
      <c r="O65" s="158"/>
      <c r="P65" s="158"/>
      <c r="Q65" s="91">
        <f t="shared" ref="Q65:Q68" si="0">SUM(D65+H65-M65)</f>
        <v>0</v>
      </c>
      <c r="R65" s="91"/>
      <c r="S65" s="77">
        <f t="shared" ref="S65:S68" si="1">SUM(Q65)</f>
        <v>0</v>
      </c>
    </row>
    <row r="66" spans="1:19" s="160" customFormat="1" ht="32.25" customHeight="1">
      <c r="A66" s="106">
        <v>3</v>
      </c>
      <c r="B66" s="142" t="s">
        <v>60</v>
      </c>
      <c r="C66" s="150" t="s">
        <v>61</v>
      </c>
      <c r="D66" s="151">
        <v>2070</v>
      </c>
      <c r="E66" s="167"/>
      <c r="F66" s="158"/>
      <c r="G66" s="158"/>
      <c r="H66" s="91">
        <v>0</v>
      </c>
      <c r="I66" s="91"/>
      <c r="J66" s="77">
        <v>0</v>
      </c>
      <c r="K66" s="164" t="s">
        <v>960</v>
      </c>
      <c r="L66" s="165" t="s">
        <v>962</v>
      </c>
      <c r="M66" s="166">
        <v>2070</v>
      </c>
      <c r="N66" s="167"/>
      <c r="O66" s="158"/>
      <c r="P66" s="158"/>
      <c r="Q66" s="91">
        <f t="shared" si="0"/>
        <v>0</v>
      </c>
      <c r="R66" s="91"/>
      <c r="S66" s="77">
        <f t="shared" si="1"/>
        <v>0</v>
      </c>
    </row>
    <row r="67" spans="1:19" s="160" customFormat="1" ht="32.25" customHeight="1">
      <c r="A67" s="106">
        <v>4</v>
      </c>
      <c r="B67" s="142" t="s">
        <v>27</v>
      </c>
      <c r="C67" s="150" t="s">
        <v>64</v>
      </c>
      <c r="D67" s="151">
        <v>2070</v>
      </c>
      <c r="E67" s="167"/>
      <c r="F67" s="158"/>
      <c r="G67" s="158"/>
      <c r="H67" s="91">
        <v>0</v>
      </c>
      <c r="I67" s="91"/>
      <c r="J67" s="77">
        <v>0</v>
      </c>
      <c r="K67" s="164" t="s">
        <v>963</v>
      </c>
      <c r="L67" s="165" t="s">
        <v>964</v>
      </c>
      <c r="M67" s="166">
        <v>2070</v>
      </c>
      <c r="N67" s="167"/>
      <c r="O67" s="158"/>
      <c r="P67" s="158"/>
      <c r="Q67" s="91">
        <f t="shared" si="0"/>
        <v>0</v>
      </c>
      <c r="R67" s="91"/>
      <c r="S67" s="77">
        <f t="shared" si="1"/>
        <v>0</v>
      </c>
    </row>
    <row r="68" spans="1:19" s="160" customFormat="1" ht="32.25" customHeight="1">
      <c r="A68" s="106">
        <v>5</v>
      </c>
      <c r="B68" s="168" t="s">
        <v>42</v>
      </c>
      <c r="C68" s="150" t="s">
        <v>67</v>
      </c>
      <c r="D68" s="125">
        <v>2070</v>
      </c>
      <c r="E68" s="167"/>
      <c r="F68" s="158"/>
      <c r="G68" s="158"/>
      <c r="H68" s="91">
        <v>0</v>
      </c>
      <c r="I68" s="91"/>
      <c r="J68" s="77">
        <v>0</v>
      </c>
      <c r="K68" s="164" t="s">
        <v>963</v>
      </c>
      <c r="L68" s="165" t="s">
        <v>965</v>
      </c>
      <c r="M68" s="166">
        <v>2070</v>
      </c>
      <c r="N68" s="167"/>
      <c r="O68" s="158"/>
      <c r="P68" s="158"/>
      <c r="Q68" s="91">
        <f t="shared" si="0"/>
        <v>0</v>
      </c>
      <c r="R68" s="91"/>
      <c r="S68" s="77">
        <f t="shared" si="1"/>
        <v>0</v>
      </c>
    </row>
    <row r="69" spans="1:19" s="160" customFormat="1" ht="32.25" customHeight="1">
      <c r="A69" s="106">
        <v>6</v>
      </c>
      <c r="B69" s="142" t="s">
        <v>69</v>
      </c>
      <c r="C69" s="150" t="s">
        <v>70</v>
      </c>
      <c r="D69" s="151">
        <v>2070</v>
      </c>
      <c r="E69" s="169"/>
      <c r="F69" s="158"/>
      <c r="G69" s="158"/>
      <c r="H69" s="91">
        <v>0</v>
      </c>
      <c r="I69" s="91"/>
      <c r="J69" s="77">
        <v>0</v>
      </c>
      <c r="K69" s="164" t="s">
        <v>941</v>
      </c>
      <c r="L69" s="165" t="s">
        <v>966</v>
      </c>
      <c r="M69" s="166">
        <v>2070</v>
      </c>
      <c r="N69" s="169"/>
      <c r="O69" s="158"/>
      <c r="P69" s="158"/>
      <c r="Q69" s="91">
        <f>SUM(D69+H69-M69)</f>
        <v>0</v>
      </c>
      <c r="R69" s="91"/>
      <c r="S69" s="77">
        <f>SUM(Q69)</f>
        <v>0</v>
      </c>
    </row>
    <row r="70" spans="1:19" ht="32.25" customHeight="1">
      <c r="A70" s="106">
        <v>7</v>
      </c>
      <c r="B70" s="146" t="s">
        <v>75</v>
      </c>
      <c r="C70" s="170" t="s">
        <v>76</v>
      </c>
      <c r="D70" s="151"/>
      <c r="E70" s="167"/>
      <c r="F70" s="158"/>
      <c r="G70" s="158"/>
      <c r="H70" s="91">
        <v>0</v>
      </c>
      <c r="I70" s="91"/>
      <c r="J70" s="77">
        <v>0</v>
      </c>
      <c r="K70" s="164"/>
      <c r="L70" s="165"/>
      <c r="M70" s="166"/>
      <c r="N70" s="167"/>
      <c r="O70" s="158"/>
      <c r="P70" s="158"/>
      <c r="Q70" s="91">
        <f t="shared" ref="Q70:Q95" si="2">SUM(D70+H70-M70)</f>
        <v>0</v>
      </c>
      <c r="R70" s="91"/>
      <c r="S70" s="77">
        <f t="shared" ref="S70:S95" si="3">SUM(Q70)</f>
        <v>0</v>
      </c>
    </row>
    <row r="71" spans="1:19" s="160" customFormat="1" ht="32.25" customHeight="1">
      <c r="A71" s="106">
        <v>8</v>
      </c>
      <c r="B71" s="142" t="s">
        <v>77</v>
      </c>
      <c r="C71" s="150" t="s">
        <v>78</v>
      </c>
      <c r="D71" s="151">
        <v>2070</v>
      </c>
      <c r="E71" s="167"/>
      <c r="F71" s="158"/>
      <c r="G71" s="158"/>
      <c r="H71" s="91">
        <v>0</v>
      </c>
      <c r="I71" s="91"/>
      <c r="J71" s="77">
        <v>0</v>
      </c>
      <c r="K71" s="164" t="s">
        <v>967</v>
      </c>
      <c r="L71" s="172" t="s">
        <v>968</v>
      </c>
      <c r="M71" s="166">
        <v>2070</v>
      </c>
      <c r="N71" s="167"/>
      <c r="O71" s="158"/>
      <c r="P71" s="158"/>
      <c r="Q71" s="91">
        <f t="shared" si="2"/>
        <v>0</v>
      </c>
      <c r="R71" s="91"/>
      <c r="S71" s="77">
        <f t="shared" si="3"/>
        <v>0</v>
      </c>
    </row>
    <row r="72" spans="1:19" s="160" customFormat="1" ht="32.25" customHeight="1">
      <c r="A72" s="106">
        <v>9</v>
      </c>
      <c r="B72" s="142" t="s">
        <v>77</v>
      </c>
      <c r="C72" s="150" t="s">
        <v>81</v>
      </c>
      <c r="D72" s="151">
        <v>2070</v>
      </c>
      <c r="E72" s="167"/>
      <c r="F72" s="158"/>
      <c r="G72" s="158"/>
      <c r="H72" s="91">
        <v>0</v>
      </c>
      <c r="I72" s="91"/>
      <c r="J72" s="77">
        <v>0</v>
      </c>
      <c r="K72" s="164" t="s">
        <v>967</v>
      </c>
      <c r="L72" s="172" t="s">
        <v>968</v>
      </c>
      <c r="M72" s="166">
        <v>2070</v>
      </c>
      <c r="N72" s="167"/>
      <c r="O72" s="158"/>
      <c r="P72" s="158"/>
      <c r="Q72" s="91">
        <f t="shared" si="2"/>
        <v>0</v>
      </c>
      <c r="R72" s="91"/>
      <c r="S72" s="77">
        <f t="shared" si="3"/>
        <v>0</v>
      </c>
    </row>
    <row r="73" spans="1:19" ht="32.25" customHeight="1">
      <c r="A73" s="106">
        <v>10</v>
      </c>
      <c r="B73" s="146" t="s">
        <v>75</v>
      </c>
      <c r="C73" s="170" t="s">
        <v>82</v>
      </c>
      <c r="D73" s="151"/>
      <c r="E73" s="167"/>
      <c r="F73" s="158"/>
      <c r="G73" s="158"/>
      <c r="H73" s="91">
        <v>0</v>
      </c>
      <c r="I73" s="91"/>
      <c r="J73" s="77">
        <v>0</v>
      </c>
      <c r="K73" s="164"/>
      <c r="L73" s="172"/>
      <c r="M73" s="166"/>
      <c r="N73" s="167"/>
      <c r="O73" s="158"/>
      <c r="P73" s="158"/>
      <c r="Q73" s="91">
        <f t="shared" si="2"/>
        <v>0</v>
      </c>
      <c r="R73" s="91"/>
      <c r="S73" s="77">
        <f t="shared" si="3"/>
        <v>0</v>
      </c>
    </row>
    <row r="74" spans="1:19" s="160" customFormat="1" ht="32.25" customHeight="1">
      <c r="A74" s="106">
        <v>11</v>
      </c>
      <c r="B74" s="142" t="s">
        <v>83</v>
      </c>
      <c r="C74" s="150" t="s">
        <v>84</v>
      </c>
      <c r="D74" s="151">
        <v>2070</v>
      </c>
      <c r="E74" s="167"/>
      <c r="F74" s="158"/>
      <c r="G74" s="158"/>
      <c r="H74" s="91">
        <v>0</v>
      </c>
      <c r="I74" s="91"/>
      <c r="J74" s="77">
        <v>0</v>
      </c>
      <c r="K74" s="164" t="s">
        <v>963</v>
      </c>
      <c r="L74" s="165" t="s">
        <v>969</v>
      </c>
      <c r="M74" s="166">
        <v>2070</v>
      </c>
      <c r="N74" s="167"/>
      <c r="O74" s="158"/>
      <c r="P74" s="158"/>
      <c r="Q74" s="91">
        <f t="shared" si="2"/>
        <v>0</v>
      </c>
      <c r="R74" s="91"/>
      <c r="S74" s="77">
        <f t="shared" si="3"/>
        <v>0</v>
      </c>
    </row>
    <row r="75" spans="1:19" s="160" customFormat="1" ht="32.25" customHeight="1">
      <c r="A75" s="106">
        <v>12</v>
      </c>
      <c r="B75" s="142" t="s">
        <v>87</v>
      </c>
      <c r="C75" s="150" t="s">
        <v>88</v>
      </c>
      <c r="D75" s="151">
        <v>2070</v>
      </c>
      <c r="E75" s="167"/>
      <c r="F75" s="158"/>
      <c r="G75" s="158"/>
      <c r="H75" s="91">
        <v>0</v>
      </c>
      <c r="I75" s="91"/>
      <c r="J75" s="77">
        <v>0</v>
      </c>
      <c r="K75" s="164" t="s">
        <v>941</v>
      </c>
      <c r="L75" s="172" t="s">
        <v>970</v>
      </c>
      <c r="M75" s="166">
        <v>2070</v>
      </c>
      <c r="N75" s="167"/>
      <c r="O75" s="158"/>
      <c r="P75" s="158"/>
      <c r="Q75" s="91">
        <f t="shared" si="2"/>
        <v>0</v>
      </c>
      <c r="R75" s="91"/>
      <c r="S75" s="77">
        <f t="shared" si="3"/>
        <v>0</v>
      </c>
    </row>
    <row r="76" spans="1:19" ht="32.25" customHeight="1">
      <c r="A76" s="106">
        <v>13</v>
      </c>
      <c r="B76" s="146" t="s">
        <v>75</v>
      </c>
      <c r="C76" s="173" t="s">
        <v>91</v>
      </c>
      <c r="D76" s="151"/>
      <c r="E76" s="167"/>
      <c r="F76" s="158"/>
      <c r="G76" s="158"/>
      <c r="H76" s="91">
        <v>0</v>
      </c>
      <c r="I76" s="91"/>
      <c r="J76" s="77">
        <v>0</v>
      </c>
      <c r="K76" s="164"/>
      <c r="L76" s="165"/>
      <c r="M76" s="166"/>
      <c r="N76" s="167"/>
      <c r="O76" s="158"/>
      <c r="P76" s="158"/>
      <c r="Q76" s="91">
        <f t="shared" si="2"/>
        <v>0</v>
      </c>
      <c r="R76" s="91"/>
      <c r="S76" s="77">
        <f t="shared" si="3"/>
        <v>0</v>
      </c>
    </row>
    <row r="77" spans="1:19" ht="32.25" customHeight="1">
      <c r="A77" s="106">
        <v>14</v>
      </c>
      <c r="B77" s="142" t="s">
        <v>92</v>
      </c>
      <c r="C77" s="174" t="s">
        <v>93</v>
      </c>
      <c r="D77" s="151"/>
      <c r="E77" s="167"/>
      <c r="F77" s="158"/>
      <c r="G77" s="158"/>
      <c r="H77" s="91">
        <v>0</v>
      </c>
      <c r="I77" s="91"/>
      <c r="J77" s="77">
        <v>0</v>
      </c>
      <c r="K77" s="164"/>
      <c r="L77" s="165"/>
      <c r="M77" s="166"/>
      <c r="N77" s="167"/>
      <c r="O77" s="158"/>
      <c r="P77" s="158"/>
      <c r="Q77" s="91">
        <f t="shared" si="2"/>
        <v>0</v>
      </c>
      <c r="R77" s="91"/>
      <c r="S77" s="77">
        <f t="shared" si="3"/>
        <v>0</v>
      </c>
    </row>
    <row r="78" spans="1:19" ht="32.25" customHeight="1">
      <c r="A78" s="106">
        <v>15</v>
      </c>
      <c r="B78" s="146" t="s">
        <v>75</v>
      </c>
      <c r="C78" s="170" t="s">
        <v>94</v>
      </c>
      <c r="D78" s="151">
        <v>0</v>
      </c>
      <c r="E78" s="167"/>
      <c r="F78" s="158"/>
      <c r="G78" s="158"/>
      <c r="H78" s="91">
        <v>0</v>
      </c>
      <c r="I78" s="91"/>
      <c r="J78" s="77">
        <v>0</v>
      </c>
      <c r="K78" s="164"/>
      <c r="L78" s="165"/>
      <c r="M78" s="166"/>
      <c r="N78" s="167"/>
      <c r="O78" s="158"/>
      <c r="P78" s="158"/>
      <c r="Q78" s="91">
        <f t="shared" si="2"/>
        <v>0</v>
      </c>
      <c r="R78" s="91"/>
      <c r="S78" s="77">
        <f t="shared" si="3"/>
        <v>0</v>
      </c>
    </row>
    <row r="79" spans="1:19" s="160" customFormat="1" ht="32.25" customHeight="1">
      <c r="A79" s="106">
        <v>16</v>
      </c>
      <c r="B79" s="142" t="s">
        <v>95</v>
      </c>
      <c r="C79" s="150" t="s">
        <v>96</v>
      </c>
      <c r="D79" s="151">
        <v>0</v>
      </c>
      <c r="E79" s="167"/>
      <c r="F79" s="158"/>
      <c r="G79" s="158"/>
      <c r="H79" s="91">
        <v>0</v>
      </c>
      <c r="I79" s="91"/>
      <c r="J79" s="77">
        <v>0</v>
      </c>
      <c r="K79" s="164"/>
      <c r="L79" s="175"/>
      <c r="M79" s="166"/>
      <c r="N79" s="167"/>
      <c r="O79" s="158"/>
      <c r="P79" s="158"/>
      <c r="Q79" s="91">
        <f t="shared" si="2"/>
        <v>0</v>
      </c>
      <c r="R79" s="91"/>
      <c r="S79" s="77">
        <f t="shared" si="3"/>
        <v>0</v>
      </c>
    </row>
    <row r="80" spans="1:19" s="160" customFormat="1" ht="32.25" customHeight="1">
      <c r="A80" s="106">
        <v>17</v>
      </c>
      <c r="B80" s="176" t="s">
        <v>97</v>
      </c>
      <c r="C80" s="162" t="s">
        <v>98</v>
      </c>
      <c r="D80" s="151">
        <v>0</v>
      </c>
      <c r="E80" s="167"/>
      <c r="F80" s="158"/>
      <c r="G80" s="158"/>
      <c r="H80" s="91">
        <v>0</v>
      </c>
      <c r="I80" s="91"/>
      <c r="J80" s="77">
        <v>0</v>
      </c>
      <c r="K80" s="164"/>
      <c r="L80" s="165"/>
      <c r="M80" s="177"/>
      <c r="N80" s="167"/>
      <c r="O80" s="158"/>
      <c r="P80" s="158"/>
      <c r="Q80" s="91">
        <f t="shared" si="2"/>
        <v>0</v>
      </c>
      <c r="R80" s="91"/>
      <c r="S80" s="77">
        <f t="shared" si="3"/>
        <v>0</v>
      </c>
    </row>
    <row r="81" spans="1:19" s="160" customFormat="1" ht="32.25" customHeight="1">
      <c r="A81" s="106">
        <v>18</v>
      </c>
      <c r="B81" s="142" t="s">
        <v>99</v>
      </c>
      <c r="C81" s="174" t="s">
        <v>100</v>
      </c>
      <c r="D81" s="151">
        <v>37375</v>
      </c>
      <c r="E81" s="167"/>
      <c r="F81" s="158"/>
      <c r="G81" s="158"/>
      <c r="H81" s="91">
        <v>0</v>
      </c>
      <c r="I81" s="91"/>
      <c r="J81" s="77">
        <v>0</v>
      </c>
      <c r="K81" s="164" t="s">
        <v>963</v>
      </c>
      <c r="L81" s="172" t="s">
        <v>971</v>
      </c>
      <c r="M81" s="177">
        <v>37375</v>
      </c>
      <c r="N81" s="167"/>
      <c r="O81" s="158"/>
      <c r="P81" s="158"/>
      <c r="Q81" s="91">
        <f t="shared" si="2"/>
        <v>0</v>
      </c>
      <c r="R81" s="91"/>
      <c r="S81" s="77">
        <f t="shared" si="3"/>
        <v>0</v>
      </c>
    </row>
    <row r="82" spans="1:19" s="160" customFormat="1" ht="32.25" customHeight="1">
      <c r="A82" s="106"/>
      <c r="B82" s="652" t="s">
        <v>102</v>
      </c>
      <c r="C82" s="653"/>
      <c r="D82" s="654"/>
      <c r="E82" s="167"/>
      <c r="F82" s="158"/>
      <c r="G82" s="158"/>
      <c r="H82" s="91">
        <v>0</v>
      </c>
      <c r="I82" s="91"/>
      <c r="J82" s="77">
        <v>0</v>
      </c>
      <c r="K82" s="164"/>
      <c r="L82" s="182"/>
      <c r="M82" s="183"/>
      <c r="N82" s="167"/>
      <c r="O82" s="158"/>
      <c r="P82" s="158"/>
      <c r="Q82" s="91">
        <f t="shared" si="2"/>
        <v>0</v>
      </c>
      <c r="R82" s="91"/>
      <c r="S82" s="77">
        <f t="shared" si="3"/>
        <v>0</v>
      </c>
    </row>
    <row r="83" spans="1:19" s="160" customFormat="1" ht="32.25" customHeight="1">
      <c r="A83" s="106">
        <v>19</v>
      </c>
      <c r="B83" s="142" t="s">
        <v>103</v>
      </c>
      <c r="C83" s="174" t="s">
        <v>104</v>
      </c>
      <c r="D83" s="151">
        <v>15525</v>
      </c>
      <c r="E83" s="167"/>
      <c r="F83" s="158"/>
      <c r="G83" s="158"/>
      <c r="H83" s="91">
        <v>0</v>
      </c>
      <c r="I83" s="91"/>
      <c r="J83" s="77">
        <v>0</v>
      </c>
      <c r="K83" s="164" t="s">
        <v>938</v>
      </c>
      <c r="L83" s="172" t="s">
        <v>972</v>
      </c>
      <c r="M83" s="177">
        <v>15525</v>
      </c>
      <c r="N83" s="167"/>
      <c r="O83" s="158"/>
      <c r="P83" s="158"/>
      <c r="Q83" s="91">
        <f t="shared" si="2"/>
        <v>0</v>
      </c>
      <c r="R83" s="91"/>
      <c r="S83" s="77">
        <f t="shared" si="3"/>
        <v>0</v>
      </c>
    </row>
    <row r="84" spans="1:19" s="160" customFormat="1" ht="32.25" customHeight="1">
      <c r="A84" s="106"/>
      <c r="B84" s="652" t="s">
        <v>106</v>
      </c>
      <c r="C84" s="653"/>
      <c r="D84" s="654"/>
      <c r="E84" s="167"/>
      <c r="F84" s="158"/>
      <c r="G84" s="158"/>
      <c r="H84" s="91">
        <v>0</v>
      </c>
      <c r="I84" s="91"/>
      <c r="J84" s="77">
        <v>0</v>
      </c>
      <c r="K84" s="164"/>
      <c r="L84" s="182"/>
      <c r="M84" s="183"/>
      <c r="N84" s="167"/>
      <c r="O84" s="158"/>
      <c r="P84" s="158"/>
      <c r="Q84" s="91">
        <f t="shared" si="2"/>
        <v>0</v>
      </c>
      <c r="R84" s="91"/>
      <c r="S84" s="77">
        <f t="shared" si="3"/>
        <v>0</v>
      </c>
    </row>
    <row r="85" spans="1:19" s="160" customFormat="1" ht="32.25" customHeight="1">
      <c r="A85" s="106">
        <v>20</v>
      </c>
      <c r="B85" s="142" t="s">
        <v>107</v>
      </c>
      <c r="C85" s="174" t="s">
        <v>108</v>
      </c>
      <c r="D85" s="151">
        <v>14000</v>
      </c>
      <c r="E85" s="167"/>
      <c r="F85" s="158"/>
      <c r="G85" s="158"/>
      <c r="H85" s="91">
        <v>0</v>
      </c>
      <c r="I85" s="91"/>
      <c r="J85" s="77">
        <v>0</v>
      </c>
      <c r="K85" s="164" t="s">
        <v>963</v>
      </c>
      <c r="L85" s="165" t="s">
        <v>973</v>
      </c>
      <c r="M85" s="177">
        <v>14000</v>
      </c>
      <c r="N85" s="167"/>
      <c r="O85" s="158"/>
      <c r="P85" s="158"/>
      <c r="Q85" s="91">
        <f t="shared" si="2"/>
        <v>0</v>
      </c>
      <c r="R85" s="91"/>
      <c r="S85" s="77">
        <f t="shared" si="3"/>
        <v>0</v>
      </c>
    </row>
    <row r="86" spans="1:19" s="160" customFormat="1" ht="32.25" customHeight="1">
      <c r="A86" s="106"/>
      <c r="B86" s="652" t="s">
        <v>110</v>
      </c>
      <c r="C86" s="653"/>
      <c r="D86" s="654"/>
      <c r="E86" s="167"/>
      <c r="F86" s="158"/>
      <c r="G86" s="158"/>
      <c r="H86" s="91">
        <v>0</v>
      </c>
      <c r="I86" s="91"/>
      <c r="J86" s="77">
        <v>0</v>
      </c>
      <c r="K86" s="164"/>
      <c r="L86" s="182"/>
      <c r="M86" s="183"/>
      <c r="N86" s="167"/>
      <c r="O86" s="158"/>
      <c r="P86" s="158"/>
      <c r="Q86" s="91">
        <f t="shared" si="2"/>
        <v>0</v>
      </c>
      <c r="R86" s="91"/>
      <c r="S86" s="77">
        <f t="shared" si="3"/>
        <v>0</v>
      </c>
    </row>
    <row r="87" spans="1:19" s="160" customFormat="1" ht="32.25" customHeight="1">
      <c r="A87" s="106">
        <v>21</v>
      </c>
      <c r="B87" s="142" t="s">
        <v>111</v>
      </c>
      <c r="C87" s="142" t="s">
        <v>112</v>
      </c>
      <c r="D87" s="151">
        <v>7000</v>
      </c>
      <c r="E87" s="167"/>
      <c r="F87" s="158"/>
      <c r="G87" s="158"/>
      <c r="H87" s="91">
        <v>0</v>
      </c>
      <c r="I87" s="91"/>
      <c r="J87" s="77">
        <v>0</v>
      </c>
      <c r="K87" s="164" t="s">
        <v>960</v>
      </c>
      <c r="L87" s="165" t="s">
        <v>974</v>
      </c>
      <c r="M87" s="177">
        <v>7000</v>
      </c>
      <c r="N87" s="167"/>
      <c r="O87" s="158"/>
      <c r="P87" s="158"/>
      <c r="Q87" s="91">
        <f t="shared" si="2"/>
        <v>0</v>
      </c>
      <c r="R87" s="91"/>
      <c r="S87" s="77">
        <f t="shared" si="3"/>
        <v>0</v>
      </c>
    </row>
    <row r="88" spans="1:19" s="160" customFormat="1" ht="32.25" customHeight="1">
      <c r="A88" s="106"/>
      <c r="B88" s="652" t="s">
        <v>114</v>
      </c>
      <c r="C88" s="653"/>
      <c r="D88" s="654"/>
      <c r="E88" s="167"/>
      <c r="F88" s="158"/>
      <c r="G88" s="158"/>
      <c r="H88" s="91">
        <v>0</v>
      </c>
      <c r="I88" s="91"/>
      <c r="J88" s="77">
        <v>0</v>
      </c>
      <c r="K88" s="164"/>
      <c r="L88" s="165"/>
      <c r="M88" s="177"/>
      <c r="N88" s="167"/>
      <c r="O88" s="158"/>
      <c r="P88" s="158"/>
      <c r="Q88" s="91">
        <f t="shared" si="2"/>
        <v>0</v>
      </c>
      <c r="R88" s="91"/>
      <c r="S88" s="77">
        <f t="shared" si="3"/>
        <v>0</v>
      </c>
    </row>
    <row r="89" spans="1:19" s="160" customFormat="1" ht="32.25" customHeight="1">
      <c r="A89" s="106">
        <v>22</v>
      </c>
      <c r="B89" s="142" t="s">
        <v>30</v>
      </c>
      <c r="C89" s="174" t="s">
        <v>115</v>
      </c>
      <c r="D89" s="151">
        <v>3970</v>
      </c>
      <c r="E89" s="167"/>
      <c r="F89" s="184"/>
      <c r="G89" s="184"/>
      <c r="H89" s="91">
        <v>0</v>
      </c>
      <c r="I89" s="91"/>
      <c r="J89" s="77">
        <v>0</v>
      </c>
      <c r="K89" s="164" t="s">
        <v>941</v>
      </c>
      <c r="L89" s="165" t="s">
        <v>975</v>
      </c>
      <c r="M89" s="177">
        <v>3970</v>
      </c>
      <c r="N89" s="167"/>
      <c r="O89" s="184"/>
      <c r="P89" s="184"/>
      <c r="Q89" s="91">
        <f t="shared" si="2"/>
        <v>0</v>
      </c>
      <c r="R89" s="91"/>
      <c r="S89" s="77">
        <f t="shared" si="3"/>
        <v>0</v>
      </c>
    </row>
    <row r="90" spans="1:19" s="160" customFormat="1" ht="32.25" customHeight="1">
      <c r="A90" s="106"/>
      <c r="B90" s="659" t="s">
        <v>118</v>
      </c>
      <c r="C90" s="660"/>
      <c r="D90" s="661"/>
      <c r="E90" s="167"/>
      <c r="F90" s="184"/>
      <c r="G90" s="184"/>
      <c r="H90" s="91">
        <v>0</v>
      </c>
      <c r="I90" s="91"/>
      <c r="J90" s="77">
        <v>0</v>
      </c>
      <c r="K90" s="164"/>
      <c r="L90" s="182"/>
      <c r="M90" s="183"/>
      <c r="N90" s="167"/>
      <c r="O90" s="184"/>
      <c r="P90" s="184"/>
      <c r="Q90" s="91">
        <f t="shared" si="2"/>
        <v>0</v>
      </c>
      <c r="R90" s="91"/>
      <c r="S90" s="77">
        <f t="shared" si="3"/>
        <v>0</v>
      </c>
    </row>
    <row r="91" spans="1:19" s="160" customFormat="1" ht="32.25" customHeight="1">
      <c r="A91" s="106"/>
      <c r="B91" s="185" t="s">
        <v>119</v>
      </c>
      <c r="C91" s="186"/>
      <c r="D91" s="187"/>
      <c r="E91" s="167"/>
      <c r="F91" s="184"/>
      <c r="G91" s="184"/>
      <c r="H91" s="91">
        <v>0</v>
      </c>
      <c r="I91" s="91"/>
      <c r="J91" s="77">
        <v>0</v>
      </c>
      <c r="K91" s="164"/>
      <c r="L91" s="182"/>
      <c r="M91" s="183"/>
      <c r="N91" s="167"/>
      <c r="O91" s="184"/>
      <c r="P91" s="184"/>
      <c r="Q91" s="91">
        <f t="shared" si="2"/>
        <v>0</v>
      </c>
      <c r="R91" s="91"/>
      <c r="S91" s="77">
        <f t="shared" si="3"/>
        <v>0</v>
      </c>
    </row>
    <row r="92" spans="1:19" s="160" customFormat="1" ht="32.25" customHeight="1">
      <c r="A92" s="106"/>
      <c r="B92" s="185" t="s">
        <v>120</v>
      </c>
      <c r="C92" s="186"/>
      <c r="D92" s="187">
        <v>0</v>
      </c>
      <c r="E92" s="167"/>
      <c r="F92" s="184"/>
      <c r="G92" s="184"/>
      <c r="H92" s="91">
        <v>0</v>
      </c>
      <c r="I92" s="91"/>
      <c r="J92" s="77">
        <v>0</v>
      </c>
      <c r="K92" s="164"/>
      <c r="L92" s="182"/>
      <c r="M92" s="183"/>
      <c r="N92" s="167"/>
      <c r="O92" s="184"/>
      <c r="P92" s="184"/>
      <c r="Q92" s="91">
        <f t="shared" si="2"/>
        <v>0</v>
      </c>
      <c r="R92" s="91"/>
      <c r="S92" s="77">
        <f t="shared" si="3"/>
        <v>0</v>
      </c>
    </row>
    <row r="93" spans="1:19" s="160" customFormat="1" ht="32.25" customHeight="1">
      <c r="A93" s="106"/>
      <c r="B93" s="188" t="s">
        <v>123</v>
      </c>
      <c r="C93" s="186"/>
      <c r="D93" s="187">
        <v>0</v>
      </c>
      <c r="E93" s="167"/>
      <c r="F93" s="184"/>
      <c r="G93" s="184"/>
      <c r="H93" s="91">
        <v>0</v>
      </c>
      <c r="I93" s="91"/>
      <c r="J93" s="77">
        <v>0</v>
      </c>
      <c r="K93" s="164"/>
      <c r="L93" s="182"/>
      <c r="M93" s="183"/>
      <c r="N93" s="167"/>
      <c r="O93" s="184"/>
      <c r="P93" s="184"/>
      <c r="Q93" s="91">
        <f t="shared" si="2"/>
        <v>0</v>
      </c>
      <c r="R93" s="91"/>
      <c r="S93" s="77">
        <f t="shared" si="3"/>
        <v>0</v>
      </c>
    </row>
    <row r="94" spans="1:19" s="160" customFormat="1" ht="32.25" customHeight="1">
      <c r="A94" s="106"/>
      <c r="B94" s="179"/>
      <c r="C94" s="180"/>
      <c r="D94" s="181"/>
      <c r="E94" s="167"/>
      <c r="F94" s="184"/>
      <c r="G94" s="184"/>
      <c r="H94" s="91">
        <v>0</v>
      </c>
      <c r="I94" s="91"/>
      <c r="J94" s="77">
        <v>0</v>
      </c>
      <c r="K94" s="164"/>
      <c r="L94" s="182"/>
      <c r="M94" s="183"/>
      <c r="N94" s="167"/>
      <c r="O94" s="184"/>
      <c r="P94" s="184"/>
      <c r="Q94" s="91">
        <f t="shared" si="2"/>
        <v>0</v>
      </c>
      <c r="R94" s="91"/>
      <c r="S94" s="77">
        <f t="shared" si="3"/>
        <v>0</v>
      </c>
    </row>
    <row r="95" spans="1:19" s="160" customFormat="1" ht="32.25" customHeight="1">
      <c r="A95" s="106">
        <v>23</v>
      </c>
      <c r="B95" s="142" t="s">
        <v>23</v>
      </c>
      <c r="C95" s="174" t="s">
        <v>126</v>
      </c>
      <c r="D95" s="151">
        <v>4600</v>
      </c>
      <c r="E95" s="167"/>
      <c r="F95" s="184"/>
      <c r="G95" s="184"/>
      <c r="H95" s="91">
        <v>0</v>
      </c>
      <c r="I95" s="91"/>
      <c r="J95" s="77">
        <v>0</v>
      </c>
      <c r="K95" s="164" t="s">
        <v>963</v>
      </c>
      <c r="L95" s="165" t="s">
        <v>976</v>
      </c>
      <c r="M95" s="177">
        <v>4600</v>
      </c>
      <c r="N95" s="167"/>
      <c r="O95" s="184"/>
      <c r="P95" s="184"/>
      <c r="Q95" s="91">
        <f t="shared" si="2"/>
        <v>0</v>
      </c>
      <c r="R95" s="91"/>
      <c r="S95" s="77">
        <f t="shared" si="3"/>
        <v>0</v>
      </c>
    </row>
    <row r="96" spans="1:19" ht="32.25" customHeight="1">
      <c r="A96" s="39"/>
      <c r="B96" s="652" t="s">
        <v>128</v>
      </c>
      <c r="C96" s="653"/>
      <c r="D96" s="654"/>
      <c r="E96" s="5"/>
      <c r="F96" s="43"/>
      <c r="G96" s="43"/>
      <c r="H96" s="91">
        <v>0</v>
      </c>
      <c r="I96" s="91"/>
      <c r="J96" s="77">
        <v>0</v>
      </c>
      <c r="K96" s="567"/>
      <c r="L96" s="568"/>
      <c r="N96" s="5"/>
      <c r="O96" s="43"/>
      <c r="P96" s="43"/>
      <c r="Q96" s="91">
        <v>0</v>
      </c>
      <c r="R96" s="91"/>
      <c r="S96" s="77">
        <v>0</v>
      </c>
    </row>
    <row r="97" spans="1:19" ht="32.25" customHeight="1" thickBot="1">
      <c r="A97" s="39"/>
      <c r="B97" s="50" t="s">
        <v>19</v>
      </c>
      <c r="C97" s="50"/>
      <c r="D97" s="51">
        <v>103170</v>
      </c>
      <c r="E97" s="52"/>
      <c r="F97" s="53"/>
      <c r="G97" s="52"/>
      <c r="H97" s="51">
        <f>SUM(J97)</f>
        <v>0</v>
      </c>
      <c r="I97" s="51">
        <v>0</v>
      </c>
      <c r="J97" s="51">
        <f>SUM(J64:J96)-J64-J89</f>
        <v>0</v>
      </c>
      <c r="K97" s="547"/>
      <c r="L97" s="548"/>
      <c r="M97" s="549">
        <f>SUM(M64:M96)</f>
        <v>103170</v>
      </c>
      <c r="N97" s="57"/>
      <c r="O97" s="53"/>
      <c r="P97" s="51"/>
      <c r="Q97" s="51">
        <f>SUM(Q64:Q96)-Q64-Q93</f>
        <v>0</v>
      </c>
      <c r="R97" s="51">
        <f t="shared" ref="R97:S97" si="4">SUM(R64:R96)-R64-R93</f>
        <v>0</v>
      </c>
      <c r="S97" s="51">
        <f t="shared" si="4"/>
        <v>0</v>
      </c>
    </row>
    <row r="98" spans="1:19" ht="32.25" customHeight="1" thickTop="1">
      <c r="A98" s="39"/>
      <c r="B98" s="141" t="s">
        <v>129</v>
      </c>
      <c r="C98" s="142"/>
      <c r="D98" s="125"/>
      <c r="E98" s="131"/>
      <c r="F98" s="115"/>
      <c r="G98" s="33"/>
      <c r="H98" s="143"/>
      <c r="I98" s="143"/>
      <c r="J98" s="143"/>
      <c r="K98" s="541"/>
      <c r="L98" s="542"/>
      <c r="M98" s="543"/>
      <c r="N98" s="114"/>
      <c r="O98" s="115"/>
      <c r="P98" s="144"/>
      <c r="Q98" s="33"/>
      <c r="R98" s="33"/>
      <c r="S98" s="38"/>
    </row>
    <row r="99" spans="1:19" ht="30" customHeight="1">
      <c r="A99" s="106">
        <v>1</v>
      </c>
      <c r="B99" s="142" t="s">
        <v>130</v>
      </c>
      <c r="C99" s="193" t="s">
        <v>131</v>
      </c>
      <c r="D99" s="125">
        <v>201.25</v>
      </c>
      <c r="E99" s="152" t="s">
        <v>57</v>
      </c>
      <c r="F99" s="194"/>
      <c r="G99" s="195"/>
      <c r="H99" s="196">
        <v>-603.75</v>
      </c>
      <c r="I99" s="197"/>
      <c r="J99" s="198">
        <v>-603.75</v>
      </c>
      <c r="K99" s="526"/>
      <c r="L99" s="527"/>
      <c r="M99" s="528"/>
      <c r="N99" s="202" t="s">
        <v>57</v>
      </c>
      <c r="O99" s="203"/>
      <c r="P99" s="204"/>
      <c r="Q99" s="205">
        <f>SUM(D99+J99-M99)</f>
        <v>-402.5</v>
      </c>
      <c r="R99" s="206"/>
      <c r="S99" s="207">
        <f>SUM(Q99)</f>
        <v>-402.5</v>
      </c>
    </row>
    <row r="100" spans="1:19" ht="30" customHeight="1">
      <c r="A100" s="106"/>
      <c r="B100" s="208" t="s">
        <v>340</v>
      </c>
      <c r="C100" s="193"/>
      <c r="D100" s="125"/>
      <c r="E100" s="163"/>
      <c r="F100" s="115"/>
      <c r="G100" s="91"/>
      <c r="H100" s="91">
        <v>0</v>
      </c>
      <c r="I100" s="125"/>
      <c r="J100" s="132">
        <v>0</v>
      </c>
      <c r="K100" s="570"/>
      <c r="L100" s="571"/>
      <c r="M100" s="543"/>
      <c r="N100" s="114"/>
      <c r="O100" s="115"/>
      <c r="P100" s="92"/>
      <c r="Q100" s="205">
        <f t="shared" ref="Q100:Q127" si="5">SUM(D100+J100-M100)</f>
        <v>0</v>
      </c>
      <c r="R100" s="125"/>
      <c r="S100" s="207">
        <f t="shared" ref="S100:S129" si="6">SUM(Q100)</f>
        <v>0</v>
      </c>
    </row>
    <row r="101" spans="1:19" ht="30" customHeight="1">
      <c r="A101" s="106"/>
      <c r="B101" s="211" t="s">
        <v>133</v>
      </c>
      <c r="C101" s="193"/>
      <c r="D101" s="125"/>
      <c r="E101" s="163"/>
      <c r="F101" s="115"/>
      <c r="G101" s="91"/>
      <c r="H101" s="91">
        <v>0</v>
      </c>
      <c r="I101" s="125"/>
      <c r="J101" s="132">
        <v>0</v>
      </c>
      <c r="K101" s="570"/>
      <c r="L101" s="571"/>
      <c r="M101" s="543"/>
      <c r="N101" s="114"/>
      <c r="O101" s="115"/>
      <c r="P101" s="92"/>
      <c r="Q101" s="205">
        <f t="shared" si="5"/>
        <v>0</v>
      </c>
      <c r="R101" s="125"/>
      <c r="S101" s="207">
        <f t="shared" si="6"/>
        <v>0</v>
      </c>
    </row>
    <row r="102" spans="1:19" ht="30" customHeight="1">
      <c r="A102" s="106"/>
      <c r="B102" s="208" t="s">
        <v>136</v>
      </c>
      <c r="C102" s="193"/>
      <c r="D102" s="125"/>
      <c r="E102" s="163"/>
      <c r="F102" s="115"/>
      <c r="G102" s="91"/>
      <c r="H102" s="91">
        <v>0</v>
      </c>
      <c r="I102" s="125"/>
      <c r="J102" s="132">
        <v>0</v>
      </c>
      <c r="K102" s="570"/>
      <c r="L102" s="571"/>
      <c r="M102" s="543"/>
      <c r="N102" s="114"/>
      <c r="O102" s="115"/>
      <c r="P102" s="92"/>
      <c r="Q102" s="205">
        <f t="shared" si="5"/>
        <v>0</v>
      </c>
      <c r="R102" s="125"/>
      <c r="S102" s="207">
        <f t="shared" si="6"/>
        <v>0</v>
      </c>
    </row>
    <row r="103" spans="1:19" ht="30" customHeight="1">
      <c r="A103" s="106"/>
      <c r="B103" s="208" t="s">
        <v>138</v>
      </c>
      <c r="C103" s="193"/>
      <c r="D103" s="125"/>
      <c r="E103" s="163"/>
      <c r="F103" s="115"/>
      <c r="G103" s="91"/>
      <c r="H103" s="91">
        <v>0</v>
      </c>
      <c r="I103" s="125"/>
      <c r="J103" s="132">
        <v>0</v>
      </c>
      <c r="K103" s="570"/>
      <c r="L103" s="571"/>
      <c r="M103" s="543"/>
      <c r="N103" s="114"/>
      <c r="O103" s="115"/>
      <c r="P103" s="92"/>
      <c r="Q103" s="205">
        <f t="shared" si="5"/>
        <v>0</v>
      </c>
      <c r="R103" s="125"/>
      <c r="S103" s="207">
        <f t="shared" si="6"/>
        <v>0</v>
      </c>
    </row>
    <row r="104" spans="1:19" ht="30" customHeight="1">
      <c r="A104" s="106"/>
      <c r="B104" s="208" t="s">
        <v>140</v>
      </c>
      <c r="C104" s="193"/>
      <c r="D104" s="125"/>
      <c r="E104" s="163"/>
      <c r="F104" s="115"/>
      <c r="G104" s="91"/>
      <c r="H104" s="91">
        <v>0</v>
      </c>
      <c r="I104" s="125"/>
      <c r="J104" s="132">
        <v>0</v>
      </c>
      <c r="K104" s="570"/>
      <c r="L104" s="571"/>
      <c r="M104" s="543"/>
      <c r="N104" s="114"/>
      <c r="O104" s="115"/>
      <c r="P104" s="92"/>
      <c r="Q104" s="205">
        <f t="shared" si="5"/>
        <v>0</v>
      </c>
      <c r="R104" s="125"/>
      <c r="S104" s="207">
        <f t="shared" si="6"/>
        <v>0</v>
      </c>
    </row>
    <row r="105" spans="1:19" ht="32.25" customHeight="1">
      <c r="A105" s="106">
        <v>2</v>
      </c>
      <c r="B105" s="142" t="s">
        <v>141</v>
      </c>
      <c r="C105" s="193" t="s">
        <v>142</v>
      </c>
      <c r="D105" s="125">
        <v>937.09</v>
      </c>
      <c r="E105" s="152" t="s">
        <v>57</v>
      </c>
      <c r="F105" s="212"/>
      <c r="G105" s="213"/>
      <c r="H105" s="153">
        <v>-4685.369999999999</v>
      </c>
      <c r="I105" s="125"/>
      <c r="J105" s="132">
        <v>-4685.369999999999</v>
      </c>
      <c r="K105" s="570"/>
      <c r="L105" s="571"/>
      <c r="M105" s="543"/>
      <c r="N105" s="214" t="s">
        <v>57</v>
      </c>
      <c r="O105" s="212"/>
      <c r="P105" s="215"/>
      <c r="Q105" s="205">
        <f t="shared" si="5"/>
        <v>-3748.2799999999988</v>
      </c>
      <c r="R105" s="216"/>
      <c r="S105" s="207">
        <f t="shared" si="6"/>
        <v>-3748.2799999999988</v>
      </c>
    </row>
    <row r="106" spans="1:19" ht="32.25" customHeight="1">
      <c r="A106" s="106"/>
      <c r="B106" s="142" t="s">
        <v>143</v>
      </c>
      <c r="C106" s="193"/>
      <c r="D106" s="125"/>
      <c r="E106" s="163"/>
      <c r="F106" s="115"/>
      <c r="G106" s="91"/>
      <c r="H106" s="91">
        <v>0</v>
      </c>
      <c r="I106" s="125"/>
      <c r="J106" s="132">
        <v>0</v>
      </c>
      <c r="K106" s="570"/>
      <c r="L106" s="571"/>
      <c r="M106" s="543"/>
      <c r="N106" s="114"/>
      <c r="O106" s="115"/>
      <c r="P106" s="92"/>
      <c r="Q106" s="205">
        <f t="shared" si="5"/>
        <v>0</v>
      </c>
      <c r="R106" s="125"/>
      <c r="S106" s="207">
        <f t="shared" si="6"/>
        <v>0</v>
      </c>
    </row>
    <row r="107" spans="1:19" ht="32.25" customHeight="1">
      <c r="A107" s="106"/>
      <c r="B107" s="146" t="s">
        <v>144</v>
      </c>
      <c r="C107" s="193"/>
      <c r="D107" s="125"/>
      <c r="E107" s="163"/>
      <c r="F107" s="115"/>
      <c r="G107" s="91"/>
      <c r="H107" s="91">
        <v>0</v>
      </c>
      <c r="I107" s="125"/>
      <c r="J107" s="132">
        <v>0</v>
      </c>
      <c r="K107" s="570"/>
      <c r="L107" s="571"/>
      <c r="M107" s="543"/>
      <c r="N107" s="114"/>
      <c r="O107" s="115"/>
      <c r="P107" s="92"/>
      <c r="Q107" s="205">
        <f t="shared" si="5"/>
        <v>0</v>
      </c>
      <c r="R107" s="125"/>
      <c r="S107" s="207">
        <f t="shared" si="6"/>
        <v>0</v>
      </c>
    </row>
    <row r="108" spans="1:19" ht="32.25" customHeight="1">
      <c r="A108" s="106">
        <v>3</v>
      </c>
      <c r="B108" s="142" t="s">
        <v>145</v>
      </c>
      <c r="C108" s="193" t="s">
        <v>146</v>
      </c>
      <c r="D108" s="125">
        <v>268.33999999999997</v>
      </c>
      <c r="E108" s="163" t="s">
        <v>57</v>
      </c>
      <c r="F108" s="115"/>
      <c r="G108" s="217"/>
      <c r="H108" s="91">
        <v>-2146.64</v>
      </c>
      <c r="I108" s="125"/>
      <c r="J108" s="132">
        <v>-2146.64</v>
      </c>
      <c r="K108" s="572"/>
      <c r="L108" s="573"/>
      <c r="M108" s="574"/>
      <c r="N108" s="220" t="s">
        <v>57</v>
      </c>
      <c r="O108" s="115"/>
      <c r="P108" s="221"/>
      <c r="Q108" s="205">
        <f t="shared" si="5"/>
        <v>-1878.3</v>
      </c>
      <c r="R108" s="216"/>
      <c r="S108" s="207">
        <f t="shared" si="6"/>
        <v>-1878.3</v>
      </c>
    </row>
    <row r="109" spans="1:19" ht="32.25" customHeight="1">
      <c r="A109" s="106"/>
      <c r="B109" s="142" t="s">
        <v>752</v>
      </c>
      <c r="C109" s="222"/>
      <c r="D109" s="125"/>
      <c r="E109" s="163"/>
      <c r="F109" s="115"/>
      <c r="G109" s="91"/>
      <c r="H109" s="91">
        <v>0</v>
      </c>
      <c r="I109" s="125"/>
      <c r="J109" s="132">
        <v>0</v>
      </c>
      <c r="K109" s="575"/>
      <c r="L109" s="576"/>
      <c r="M109" s="577"/>
      <c r="N109" s="220"/>
      <c r="O109" s="115"/>
      <c r="P109" s="92"/>
      <c r="Q109" s="205">
        <f t="shared" si="5"/>
        <v>0</v>
      </c>
      <c r="R109" s="125"/>
      <c r="S109" s="207">
        <f t="shared" si="6"/>
        <v>0</v>
      </c>
    </row>
    <row r="110" spans="1:19" ht="32.25" customHeight="1">
      <c r="A110" s="106"/>
      <c r="B110" s="223" t="s">
        <v>755</v>
      </c>
      <c r="C110" s="224"/>
      <c r="D110" s="125"/>
      <c r="E110" s="163"/>
      <c r="F110" s="115"/>
      <c r="G110" s="91"/>
      <c r="H110" s="91">
        <v>0</v>
      </c>
      <c r="I110" s="125"/>
      <c r="J110" s="132">
        <v>0</v>
      </c>
      <c r="K110" s="578"/>
      <c r="L110" s="579"/>
      <c r="M110" s="574"/>
      <c r="N110" s="220"/>
      <c r="O110" s="115"/>
      <c r="P110" s="92"/>
      <c r="Q110" s="205">
        <f t="shared" si="5"/>
        <v>0</v>
      </c>
      <c r="R110" s="125"/>
      <c r="S110" s="207">
        <f t="shared" si="6"/>
        <v>0</v>
      </c>
    </row>
    <row r="111" spans="1:19" ht="32.25" customHeight="1">
      <c r="A111" s="106"/>
      <c r="B111" s="510" t="s">
        <v>758</v>
      </c>
      <c r="C111" s="511"/>
      <c r="D111" s="125"/>
      <c r="E111" s="163"/>
      <c r="F111" s="115"/>
      <c r="G111" s="91"/>
      <c r="H111" s="91"/>
      <c r="I111" s="125"/>
      <c r="J111" s="132"/>
      <c r="K111" s="578"/>
      <c r="L111" s="580"/>
      <c r="M111" s="574"/>
      <c r="N111" s="220"/>
      <c r="O111" s="115"/>
      <c r="P111" s="92"/>
      <c r="Q111" s="205"/>
      <c r="R111" s="125"/>
      <c r="S111" s="207"/>
    </row>
    <row r="112" spans="1:19" ht="32.25" customHeight="1">
      <c r="A112" s="106"/>
      <c r="B112" s="510" t="s">
        <v>147</v>
      </c>
      <c r="C112" s="511"/>
      <c r="D112" s="125"/>
      <c r="E112" s="163"/>
      <c r="F112" s="115"/>
      <c r="G112" s="91"/>
      <c r="H112" s="91"/>
      <c r="I112" s="125"/>
      <c r="J112" s="132"/>
      <c r="K112" s="578"/>
      <c r="L112" s="580"/>
      <c r="M112" s="574"/>
      <c r="N112" s="220"/>
      <c r="O112" s="115"/>
      <c r="P112" s="92"/>
      <c r="Q112" s="205"/>
      <c r="R112" s="125"/>
      <c r="S112" s="207"/>
    </row>
    <row r="113" spans="1:21" ht="32.25" customHeight="1">
      <c r="A113" s="106"/>
      <c r="B113" s="510" t="s">
        <v>148</v>
      </c>
      <c r="C113" s="511"/>
      <c r="D113" s="125"/>
      <c r="E113" s="163"/>
      <c r="F113" s="115"/>
      <c r="G113" s="91"/>
      <c r="H113" s="91"/>
      <c r="I113" s="125"/>
      <c r="J113" s="132"/>
      <c r="K113" s="578"/>
      <c r="L113" s="580"/>
      <c r="M113" s="574"/>
      <c r="N113" s="220"/>
      <c r="O113" s="115"/>
      <c r="P113" s="92"/>
      <c r="Q113" s="205"/>
      <c r="R113" s="125"/>
      <c r="S113" s="207"/>
    </row>
    <row r="114" spans="1:21" s="230" customFormat="1" ht="32.25" customHeight="1">
      <c r="A114" s="106">
        <v>4</v>
      </c>
      <c r="B114" s="222" t="s">
        <v>149</v>
      </c>
      <c r="C114" s="222" t="s">
        <v>150</v>
      </c>
      <c r="D114" s="125">
        <v>1395</v>
      </c>
      <c r="E114" s="163"/>
      <c r="F114" s="115"/>
      <c r="G114" s="91"/>
      <c r="H114" s="153">
        <v>0</v>
      </c>
      <c r="I114" s="216"/>
      <c r="J114" s="226">
        <v>0</v>
      </c>
      <c r="K114" s="581" t="s">
        <v>977</v>
      </c>
      <c r="L114" s="581" t="s">
        <v>978</v>
      </c>
      <c r="M114" s="574">
        <v>1395</v>
      </c>
      <c r="N114" s="227"/>
      <c r="O114" s="228"/>
      <c r="P114" s="92"/>
      <c r="Q114" s="205">
        <f t="shared" si="5"/>
        <v>0</v>
      </c>
      <c r="R114" s="229"/>
      <c r="S114" s="207">
        <f t="shared" si="6"/>
        <v>0</v>
      </c>
    </row>
    <row r="115" spans="1:21" s="235" customFormat="1" ht="32.25" customHeight="1">
      <c r="A115" s="106"/>
      <c r="B115" s="231" t="s">
        <v>151</v>
      </c>
      <c r="C115" s="232"/>
      <c r="D115" s="233"/>
      <c r="E115" s="163"/>
      <c r="F115" s="115"/>
      <c r="G115" s="91"/>
      <c r="H115" s="91">
        <v>0</v>
      </c>
      <c r="I115" s="125"/>
      <c r="J115" s="132">
        <v>0</v>
      </c>
      <c r="K115" s="578"/>
      <c r="L115" s="580"/>
      <c r="M115" s="574"/>
      <c r="N115" s="234"/>
      <c r="O115" s="228"/>
      <c r="P115" s="92"/>
      <c r="Q115" s="205">
        <f t="shared" si="5"/>
        <v>0</v>
      </c>
      <c r="R115" s="125"/>
      <c r="S115" s="207">
        <f t="shared" si="6"/>
        <v>0</v>
      </c>
      <c r="T115" s="230"/>
    </row>
    <row r="116" spans="1:21" s="237" customFormat="1" ht="32.25" customHeight="1">
      <c r="A116" s="106">
        <v>5</v>
      </c>
      <c r="B116" s="222" t="s">
        <v>152</v>
      </c>
      <c r="C116" s="193" t="s">
        <v>153</v>
      </c>
      <c r="D116" s="125">
        <v>670.84</v>
      </c>
      <c r="E116" s="163"/>
      <c r="F116" s="115"/>
      <c r="G116" s="91"/>
      <c r="H116" s="91">
        <v>0</v>
      </c>
      <c r="I116" s="125"/>
      <c r="J116" s="132">
        <v>0</v>
      </c>
      <c r="K116" s="578" t="s">
        <v>979</v>
      </c>
      <c r="L116" s="580" t="s">
        <v>980</v>
      </c>
      <c r="M116" s="574">
        <v>8050</v>
      </c>
      <c r="N116" s="227" t="s">
        <v>57</v>
      </c>
      <c r="O116" s="228"/>
      <c r="P116" s="92"/>
      <c r="Q116" s="205">
        <f t="shared" si="5"/>
        <v>-7379.16</v>
      </c>
      <c r="R116" s="229"/>
      <c r="S116" s="207">
        <f t="shared" si="6"/>
        <v>-7379.16</v>
      </c>
      <c r="T116" s="2"/>
      <c r="U116" s="2"/>
    </row>
    <row r="117" spans="1:21" s="237" customFormat="1" ht="32.25" customHeight="1">
      <c r="A117" s="106"/>
      <c r="B117" s="238" t="s">
        <v>154</v>
      </c>
      <c r="C117" s="193"/>
      <c r="D117" s="92"/>
      <c r="E117" s="239"/>
      <c r="F117" s="122"/>
      <c r="G117" s="91"/>
      <c r="H117" s="91">
        <v>0</v>
      </c>
      <c r="I117" s="92"/>
      <c r="J117" s="132">
        <v>0</v>
      </c>
      <c r="K117" s="578"/>
      <c r="L117" s="580"/>
      <c r="M117" s="574"/>
      <c r="N117" s="240"/>
      <c r="O117" s="122"/>
      <c r="P117" s="92"/>
      <c r="Q117" s="205">
        <f t="shared" si="5"/>
        <v>0</v>
      </c>
      <c r="R117" s="125"/>
      <c r="S117" s="207">
        <f t="shared" si="6"/>
        <v>0</v>
      </c>
      <c r="T117" s="2"/>
      <c r="U117" s="2"/>
    </row>
    <row r="118" spans="1:21" s="259" customFormat="1" ht="32.25" customHeight="1">
      <c r="A118" s="241">
        <v>6</v>
      </c>
      <c r="B118" s="242" t="s">
        <v>52</v>
      </c>
      <c r="C118" s="243" t="s">
        <v>155</v>
      </c>
      <c r="D118" s="244">
        <v>108.34</v>
      </c>
      <c r="E118" s="245" t="s">
        <v>57</v>
      </c>
      <c r="F118" s="246"/>
      <c r="G118" s="247"/>
      <c r="H118" s="248">
        <v>-541.61999999999989</v>
      </c>
      <c r="I118" s="249"/>
      <c r="J118" s="250">
        <v>-541.61999999999989</v>
      </c>
      <c r="K118" s="582"/>
      <c r="L118" s="583"/>
      <c r="M118" s="584"/>
      <c r="N118" s="254" t="s">
        <v>57</v>
      </c>
      <c r="O118" s="255"/>
      <c r="P118" s="256"/>
      <c r="Q118" s="205">
        <f t="shared" si="5"/>
        <v>-433.27999999999986</v>
      </c>
      <c r="R118" s="216"/>
      <c r="S118" s="207">
        <f t="shared" si="6"/>
        <v>-433.27999999999986</v>
      </c>
    </row>
    <row r="119" spans="1:21" s="259" customFormat="1" ht="32.25" customHeight="1">
      <c r="A119" s="260"/>
      <c r="B119" s="242" t="s">
        <v>759</v>
      </c>
      <c r="C119" s="242"/>
      <c r="D119" s="244"/>
      <c r="E119" s="245"/>
      <c r="F119" s="246"/>
      <c r="G119" s="248"/>
      <c r="H119" s="248">
        <v>0</v>
      </c>
      <c r="I119" s="249"/>
      <c r="J119" s="250">
        <v>0</v>
      </c>
      <c r="K119" s="582"/>
      <c r="L119" s="583"/>
      <c r="M119" s="584"/>
      <c r="N119" s="261"/>
      <c r="O119" s="246"/>
      <c r="P119" s="249"/>
      <c r="Q119" s="205">
        <f t="shared" si="5"/>
        <v>0</v>
      </c>
      <c r="R119" s="216"/>
      <c r="S119" s="207">
        <f t="shared" si="6"/>
        <v>0</v>
      </c>
    </row>
    <row r="120" spans="1:21" s="259" customFormat="1" ht="32.25" customHeight="1">
      <c r="A120" s="260"/>
      <c r="B120" s="516" t="s">
        <v>763</v>
      </c>
      <c r="C120" s="517"/>
      <c r="D120" s="244"/>
      <c r="E120" s="245"/>
      <c r="F120" s="246"/>
      <c r="G120" s="248"/>
      <c r="H120" s="248">
        <v>0</v>
      </c>
      <c r="I120" s="249"/>
      <c r="J120" s="250">
        <v>0</v>
      </c>
      <c r="K120" s="582"/>
      <c r="L120" s="583"/>
      <c r="M120" s="584"/>
      <c r="N120" s="261"/>
      <c r="O120" s="246"/>
      <c r="P120" s="249"/>
      <c r="Q120" s="205">
        <f t="shared" si="5"/>
        <v>0</v>
      </c>
      <c r="R120" s="216"/>
      <c r="S120" s="207">
        <f t="shared" si="6"/>
        <v>0</v>
      </c>
    </row>
    <row r="121" spans="1:21" s="259" customFormat="1" ht="32.25" customHeight="1">
      <c r="A121" s="260"/>
      <c r="B121" s="508" t="s">
        <v>766</v>
      </c>
      <c r="C121" s="509"/>
      <c r="D121" s="244"/>
      <c r="E121" s="245"/>
      <c r="F121" s="246"/>
      <c r="G121" s="248"/>
      <c r="H121" s="248"/>
      <c r="I121" s="249"/>
      <c r="J121" s="250"/>
      <c r="K121" s="582"/>
      <c r="L121" s="583"/>
      <c r="M121" s="584"/>
      <c r="N121" s="261"/>
      <c r="O121" s="246"/>
      <c r="P121" s="249"/>
      <c r="Q121" s="205"/>
      <c r="R121" s="216"/>
      <c r="S121" s="207"/>
    </row>
    <row r="122" spans="1:21" s="259" customFormat="1" ht="32.25" customHeight="1">
      <c r="A122" s="260"/>
      <c r="B122" s="508" t="s">
        <v>767</v>
      </c>
      <c r="C122" s="509"/>
      <c r="D122" s="244"/>
      <c r="E122" s="245"/>
      <c r="F122" s="246"/>
      <c r="G122" s="248"/>
      <c r="H122" s="248"/>
      <c r="I122" s="249"/>
      <c r="J122" s="250"/>
      <c r="K122" s="582"/>
      <c r="L122" s="583"/>
      <c r="M122" s="584"/>
      <c r="N122" s="261"/>
      <c r="O122" s="246"/>
      <c r="P122" s="249"/>
      <c r="Q122" s="205"/>
      <c r="R122" s="216"/>
      <c r="S122" s="207"/>
    </row>
    <row r="123" spans="1:21" s="259" customFormat="1" ht="32.25" customHeight="1">
      <c r="A123" s="260"/>
      <c r="B123" s="508" t="s">
        <v>768</v>
      </c>
      <c r="C123" s="509"/>
      <c r="D123" s="244"/>
      <c r="E123" s="245"/>
      <c r="F123" s="246"/>
      <c r="G123" s="248"/>
      <c r="H123" s="248"/>
      <c r="I123" s="249"/>
      <c r="J123" s="250"/>
      <c r="K123" s="582"/>
      <c r="L123" s="583"/>
      <c r="M123" s="584"/>
      <c r="N123" s="261"/>
      <c r="O123" s="246"/>
      <c r="P123" s="249"/>
      <c r="Q123" s="205"/>
      <c r="R123" s="216"/>
      <c r="S123" s="207"/>
    </row>
    <row r="124" spans="1:21" ht="41.25" customHeight="1">
      <c r="A124" s="106">
        <v>7</v>
      </c>
      <c r="B124" s="142" t="s">
        <v>158</v>
      </c>
      <c r="C124" s="142" t="s">
        <v>159</v>
      </c>
      <c r="D124" s="125">
        <v>191.67</v>
      </c>
      <c r="E124" s="152"/>
      <c r="F124" s="212"/>
      <c r="G124" s="262"/>
      <c r="H124" s="262">
        <v>-191.67</v>
      </c>
      <c r="I124" s="216"/>
      <c r="J124" s="226">
        <v>-191.67</v>
      </c>
      <c r="K124" s="578"/>
      <c r="L124" s="580"/>
      <c r="M124" s="585"/>
      <c r="N124" s="214"/>
      <c r="O124" s="212"/>
      <c r="P124" s="216"/>
      <c r="Q124" s="205">
        <f t="shared" si="5"/>
        <v>0</v>
      </c>
      <c r="R124" s="216"/>
      <c r="S124" s="207">
        <f t="shared" si="6"/>
        <v>0</v>
      </c>
    </row>
    <row r="125" spans="1:21" ht="39.75" customHeight="1">
      <c r="A125" s="264"/>
      <c r="B125" s="41" t="s">
        <v>163</v>
      </c>
      <c r="C125" s="41"/>
      <c r="D125" s="42"/>
      <c r="E125" s="189"/>
      <c r="F125" s="43"/>
      <c r="G125" s="6"/>
      <c r="H125" s="6">
        <v>0</v>
      </c>
      <c r="I125" s="42"/>
      <c r="J125" s="136">
        <v>0</v>
      </c>
      <c r="K125" s="586"/>
      <c r="L125" s="573"/>
      <c r="M125" s="587"/>
      <c r="N125" s="5"/>
      <c r="O125" s="43"/>
      <c r="P125" s="42"/>
      <c r="Q125" s="205">
        <f t="shared" si="5"/>
        <v>0</v>
      </c>
      <c r="R125" s="42"/>
      <c r="S125" s="207">
        <f t="shared" si="6"/>
        <v>0</v>
      </c>
    </row>
    <row r="126" spans="1:21" ht="41.25" customHeight="1">
      <c r="A126" s="264"/>
      <c r="B126" s="41" t="s">
        <v>164</v>
      </c>
      <c r="C126" s="41"/>
      <c r="D126" s="42"/>
      <c r="E126" s="189"/>
      <c r="F126" s="43"/>
      <c r="G126" s="6"/>
      <c r="H126" s="6">
        <v>0</v>
      </c>
      <c r="I126" s="42"/>
      <c r="J126" s="136">
        <v>0</v>
      </c>
      <c r="K126" s="588"/>
      <c r="L126" s="589"/>
      <c r="M126" s="590"/>
      <c r="N126" s="5"/>
      <c r="O126" s="43"/>
      <c r="P126" s="42"/>
      <c r="Q126" s="205">
        <f t="shared" si="5"/>
        <v>0</v>
      </c>
      <c r="R126" s="42"/>
      <c r="S126" s="207">
        <f t="shared" si="6"/>
        <v>0</v>
      </c>
    </row>
    <row r="127" spans="1:21" ht="41.25" customHeight="1">
      <c r="A127" s="264"/>
      <c r="B127" s="41" t="s">
        <v>165</v>
      </c>
      <c r="C127" s="41"/>
      <c r="D127" s="42"/>
      <c r="E127" s="189"/>
      <c r="F127" s="43"/>
      <c r="G127" s="6"/>
      <c r="H127" s="6">
        <v>0</v>
      </c>
      <c r="I127" s="42"/>
      <c r="J127" s="136">
        <v>0</v>
      </c>
      <c r="K127" s="588"/>
      <c r="L127" s="589"/>
      <c r="M127" s="590"/>
      <c r="N127" s="5"/>
      <c r="O127" s="43"/>
      <c r="P127" s="42"/>
      <c r="Q127" s="205">
        <f t="shared" si="5"/>
        <v>0</v>
      </c>
      <c r="R127" s="42"/>
      <c r="S127" s="207">
        <f t="shared" si="6"/>
        <v>0</v>
      </c>
    </row>
    <row r="128" spans="1:21" ht="41.25" customHeight="1">
      <c r="A128" s="264"/>
      <c r="B128" s="41" t="s">
        <v>166</v>
      </c>
      <c r="C128" s="41"/>
      <c r="D128" s="42"/>
      <c r="E128" s="269"/>
      <c r="F128" s="270"/>
      <c r="G128" s="271"/>
      <c r="H128" s="271">
        <v>0</v>
      </c>
      <c r="I128" s="272"/>
      <c r="J128" s="273">
        <v>0</v>
      </c>
      <c r="K128" s="586"/>
      <c r="L128" s="573"/>
      <c r="M128" s="587"/>
      <c r="N128" s="274"/>
      <c r="O128" s="270"/>
      <c r="P128" s="272"/>
      <c r="Q128" s="153">
        <v>0</v>
      </c>
      <c r="R128" s="272"/>
      <c r="S128" s="207">
        <f t="shared" si="6"/>
        <v>0</v>
      </c>
    </row>
    <row r="129" spans="1:19" ht="41.25" customHeight="1">
      <c r="A129" s="264"/>
      <c r="B129" s="275" t="s">
        <v>161</v>
      </c>
      <c r="C129" s="41"/>
      <c r="D129" s="42"/>
      <c r="E129" s="269"/>
      <c r="F129" s="270"/>
      <c r="G129" s="271"/>
      <c r="H129" s="271">
        <v>0</v>
      </c>
      <c r="I129" s="272"/>
      <c r="J129" s="273">
        <v>0</v>
      </c>
      <c r="K129" s="588"/>
      <c r="L129" s="589"/>
      <c r="M129" s="590"/>
      <c r="N129" s="274"/>
      <c r="O129" s="270"/>
      <c r="P129" s="272"/>
      <c r="Q129" s="153">
        <v>0</v>
      </c>
      <c r="R129" s="272"/>
      <c r="S129" s="207">
        <f t="shared" si="6"/>
        <v>0</v>
      </c>
    </row>
    <row r="130" spans="1:19" ht="41.25" customHeight="1">
      <c r="A130" s="264"/>
      <c r="B130" s="275" t="s">
        <v>162</v>
      </c>
      <c r="C130" s="41"/>
      <c r="D130" s="42">
        <v>0</v>
      </c>
      <c r="E130" s="269"/>
      <c r="F130" s="270"/>
      <c r="G130" s="271"/>
      <c r="H130" s="271">
        <v>0</v>
      </c>
      <c r="I130" s="272"/>
      <c r="J130" s="273">
        <v>0</v>
      </c>
      <c r="K130" s="588"/>
      <c r="L130" s="589"/>
      <c r="M130" s="590"/>
      <c r="N130" s="274"/>
      <c r="O130" s="270"/>
      <c r="P130" s="272"/>
      <c r="Q130" s="153">
        <v>0</v>
      </c>
      <c r="R130" s="272"/>
      <c r="S130" s="159">
        <v>0</v>
      </c>
    </row>
    <row r="131" spans="1:19" ht="32.25" customHeight="1" thickBot="1">
      <c r="A131" s="39"/>
      <c r="B131" s="50" t="s">
        <v>19</v>
      </c>
      <c r="C131" s="50"/>
      <c r="D131" s="51">
        <f>SUM(D99:D130)</f>
        <v>3772.5300000000007</v>
      </c>
      <c r="E131" s="52"/>
      <c r="F131" s="53"/>
      <c r="G131" s="52"/>
      <c r="H131" s="51"/>
      <c r="I131" s="51"/>
      <c r="J131" s="51"/>
      <c r="K131" s="591">
        <v>0</v>
      </c>
      <c r="L131" s="591">
        <v>0</v>
      </c>
      <c r="M131" s="591">
        <f>SUM(K99:M130)</f>
        <v>9445</v>
      </c>
      <c r="N131" s="51"/>
      <c r="O131" s="51">
        <v>0</v>
      </c>
      <c r="P131" s="51">
        <v>0</v>
      </c>
      <c r="Q131" s="51">
        <v>0</v>
      </c>
      <c r="R131" s="51">
        <f>SUM(R108)</f>
        <v>0</v>
      </c>
      <c r="S131" s="51">
        <v>0</v>
      </c>
    </row>
    <row r="132" spans="1:19" ht="32.25" customHeight="1" thickTop="1">
      <c r="A132" s="39"/>
      <c r="B132" s="141" t="s">
        <v>167</v>
      </c>
      <c r="C132" s="142"/>
      <c r="D132" s="125"/>
      <c r="E132" s="131"/>
      <c r="F132" s="115"/>
      <c r="G132" s="33"/>
      <c r="H132" s="143"/>
      <c r="I132" s="143"/>
      <c r="J132" s="143"/>
      <c r="K132" s="541"/>
      <c r="L132" s="542"/>
      <c r="M132" s="543"/>
      <c r="N132" s="114"/>
      <c r="O132" s="115"/>
      <c r="P132" s="144"/>
      <c r="Q132" s="33"/>
      <c r="R132" s="33"/>
      <c r="S132" s="145"/>
    </row>
    <row r="133" spans="1:19" s="160" customFormat="1" ht="32.25" customHeight="1">
      <c r="A133" s="106">
        <v>1</v>
      </c>
      <c r="B133" s="142" t="s">
        <v>23</v>
      </c>
      <c r="C133" s="142" t="s">
        <v>168</v>
      </c>
      <c r="D133" s="151">
        <v>10925</v>
      </c>
      <c r="E133" s="163"/>
      <c r="F133" s="122"/>
      <c r="G133" s="122"/>
      <c r="H133" s="91">
        <v>0</v>
      </c>
      <c r="I133" s="122"/>
      <c r="J133" s="132">
        <v>0</v>
      </c>
      <c r="K133" s="592" t="s">
        <v>963</v>
      </c>
      <c r="L133" s="165" t="s">
        <v>981</v>
      </c>
      <c r="M133" s="166">
        <v>10925</v>
      </c>
      <c r="N133" s="279"/>
      <c r="O133" s="280"/>
      <c r="P133" s="280"/>
      <c r="Q133" s="91">
        <f>SUM(D133+J133-M133)</f>
        <v>0</v>
      </c>
      <c r="R133" s="91"/>
      <c r="S133" s="77">
        <f>SUM(D133+J133-M133)</f>
        <v>0</v>
      </c>
    </row>
    <row r="134" spans="1:19" s="160" customFormat="1" ht="32.25" customHeight="1">
      <c r="A134" s="106">
        <v>2</v>
      </c>
      <c r="B134" s="142" t="s">
        <v>69</v>
      </c>
      <c r="C134" s="142" t="s">
        <v>170</v>
      </c>
      <c r="D134" s="151">
        <v>920</v>
      </c>
      <c r="E134" s="163"/>
      <c r="F134" s="122"/>
      <c r="G134" s="122"/>
      <c r="H134" s="91">
        <v>0</v>
      </c>
      <c r="I134" s="122"/>
      <c r="J134" s="132">
        <v>0</v>
      </c>
      <c r="K134" s="592" t="s">
        <v>941</v>
      </c>
      <c r="L134" s="165" t="s">
        <v>982</v>
      </c>
      <c r="M134" s="166">
        <v>920</v>
      </c>
      <c r="N134" s="281"/>
      <c r="O134" s="280"/>
      <c r="P134" s="280"/>
      <c r="Q134" s="91">
        <f t="shared" ref="Q134:Q159" si="7">SUM(D134+J134-M134)</f>
        <v>0</v>
      </c>
      <c r="R134" s="91"/>
      <c r="S134" s="77">
        <f t="shared" ref="S134:S144" si="8">SUM(D134+J134-M134)</f>
        <v>0</v>
      </c>
    </row>
    <row r="135" spans="1:19" s="160" customFormat="1" ht="32.25" customHeight="1">
      <c r="A135" s="106">
        <v>3</v>
      </c>
      <c r="B135" s="142" t="s">
        <v>27</v>
      </c>
      <c r="C135" s="142" t="s">
        <v>172</v>
      </c>
      <c r="D135" s="151">
        <v>1100</v>
      </c>
      <c r="E135" s="163"/>
      <c r="F135" s="122"/>
      <c r="G135" s="122"/>
      <c r="H135" s="91">
        <v>0</v>
      </c>
      <c r="I135" s="122"/>
      <c r="J135" s="132">
        <v>0</v>
      </c>
      <c r="K135" s="592" t="s">
        <v>963</v>
      </c>
      <c r="L135" s="165" t="s">
        <v>983</v>
      </c>
      <c r="M135" s="166">
        <v>1100</v>
      </c>
      <c r="N135" s="279"/>
      <c r="O135" s="280"/>
      <c r="P135" s="280"/>
      <c r="Q135" s="91">
        <f t="shared" si="7"/>
        <v>0</v>
      </c>
      <c r="R135" s="91"/>
      <c r="S135" s="77">
        <f t="shared" si="8"/>
        <v>0</v>
      </c>
    </row>
    <row r="136" spans="1:19" s="160" customFormat="1" ht="32.25" customHeight="1">
      <c r="A136" s="106"/>
      <c r="B136" s="142" t="s">
        <v>341</v>
      </c>
      <c r="C136" s="142"/>
      <c r="D136" s="151"/>
      <c r="E136" s="163"/>
      <c r="F136" s="122"/>
      <c r="G136" s="122"/>
      <c r="H136" s="91">
        <v>0</v>
      </c>
      <c r="I136" s="122"/>
      <c r="J136" s="132">
        <v>0</v>
      </c>
      <c r="K136" s="592"/>
      <c r="L136" s="165"/>
      <c r="M136" s="166"/>
      <c r="N136" s="279"/>
      <c r="O136" s="280"/>
      <c r="P136" s="280"/>
      <c r="Q136" s="91">
        <f t="shared" si="7"/>
        <v>0</v>
      </c>
      <c r="R136" s="91"/>
      <c r="S136" s="77">
        <f t="shared" si="8"/>
        <v>0</v>
      </c>
    </row>
    <row r="137" spans="1:19" s="160" customFormat="1" ht="32.25" customHeight="1">
      <c r="A137" s="106"/>
      <c r="B137" s="142" t="s">
        <v>342</v>
      </c>
      <c r="C137" s="142"/>
      <c r="D137" s="151"/>
      <c r="E137" s="163"/>
      <c r="F137" s="122"/>
      <c r="G137" s="122"/>
      <c r="H137" s="91">
        <v>0</v>
      </c>
      <c r="I137" s="122"/>
      <c r="J137" s="132">
        <v>0</v>
      </c>
      <c r="K137" s="592"/>
      <c r="L137" s="165"/>
      <c r="M137" s="166"/>
      <c r="N137" s="279"/>
      <c r="O137" s="280"/>
      <c r="P137" s="280"/>
      <c r="Q137" s="91">
        <f t="shared" si="7"/>
        <v>0</v>
      </c>
      <c r="R137" s="91"/>
      <c r="S137" s="77">
        <f t="shared" si="8"/>
        <v>0</v>
      </c>
    </row>
    <row r="138" spans="1:19" s="160" customFormat="1" ht="32.25" customHeight="1">
      <c r="A138" s="106"/>
      <c r="B138" s="142" t="s">
        <v>343</v>
      </c>
      <c r="C138" s="142"/>
      <c r="D138" s="151"/>
      <c r="E138" s="163"/>
      <c r="F138" s="122"/>
      <c r="G138" s="122"/>
      <c r="H138" s="91">
        <v>0</v>
      </c>
      <c r="I138" s="122"/>
      <c r="J138" s="132">
        <v>0</v>
      </c>
      <c r="K138" s="592"/>
      <c r="L138" s="165"/>
      <c r="M138" s="166"/>
      <c r="N138" s="279"/>
      <c r="O138" s="280"/>
      <c r="P138" s="280"/>
      <c r="Q138" s="91">
        <f t="shared" si="7"/>
        <v>0</v>
      </c>
      <c r="R138" s="91"/>
      <c r="S138" s="77">
        <f t="shared" si="8"/>
        <v>0</v>
      </c>
    </row>
    <row r="139" spans="1:19" s="160" customFormat="1" ht="32.25" customHeight="1">
      <c r="A139" s="106">
        <v>4</v>
      </c>
      <c r="B139" s="142" t="s">
        <v>77</v>
      </c>
      <c r="C139" s="142" t="s">
        <v>174</v>
      </c>
      <c r="D139" s="151">
        <v>920</v>
      </c>
      <c r="E139" s="163"/>
      <c r="F139" s="122"/>
      <c r="G139" s="122"/>
      <c r="H139" s="91">
        <v>0</v>
      </c>
      <c r="I139" s="122"/>
      <c r="J139" s="132">
        <v>0</v>
      </c>
      <c r="K139" s="592" t="s">
        <v>967</v>
      </c>
      <c r="L139" s="165" t="s">
        <v>984</v>
      </c>
      <c r="M139" s="166">
        <v>920</v>
      </c>
      <c r="N139" s="279"/>
      <c r="O139" s="280"/>
      <c r="P139" s="280"/>
      <c r="Q139" s="91">
        <f t="shared" si="7"/>
        <v>0</v>
      </c>
      <c r="R139" s="91"/>
      <c r="S139" s="77">
        <f t="shared" si="8"/>
        <v>0</v>
      </c>
    </row>
    <row r="140" spans="1:19" s="160" customFormat="1" ht="32.25" customHeight="1">
      <c r="A140" s="106">
        <v>5</v>
      </c>
      <c r="B140" s="142" t="s">
        <v>176</v>
      </c>
      <c r="C140" s="142" t="s">
        <v>177</v>
      </c>
      <c r="D140" s="151">
        <v>2300</v>
      </c>
      <c r="E140" s="163"/>
      <c r="F140" s="122"/>
      <c r="G140" s="122"/>
      <c r="H140" s="91"/>
      <c r="I140" s="122"/>
      <c r="J140" s="132">
        <v>0</v>
      </c>
      <c r="K140" s="592" t="s">
        <v>960</v>
      </c>
      <c r="L140" s="165" t="s">
        <v>985</v>
      </c>
      <c r="M140" s="166">
        <v>2300</v>
      </c>
      <c r="N140" s="279"/>
      <c r="O140" s="280"/>
      <c r="P140" s="280"/>
      <c r="Q140" s="91">
        <f t="shared" si="7"/>
        <v>0</v>
      </c>
      <c r="R140" s="91"/>
      <c r="S140" s="77">
        <f t="shared" si="8"/>
        <v>0</v>
      </c>
    </row>
    <row r="141" spans="1:19" ht="32.25" customHeight="1">
      <c r="A141" s="106">
        <v>6</v>
      </c>
      <c r="B141" s="142" t="s">
        <v>75</v>
      </c>
      <c r="C141" s="142" t="s">
        <v>179</v>
      </c>
      <c r="D141" s="151"/>
      <c r="E141" s="163"/>
      <c r="F141" s="115"/>
      <c r="G141" s="115"/>
      <c r="H141" s="131">
        <v>0</v>
      </c>
      <c r="I141" s="115"/>
      <c r="J141" s="132">
        <v>0</v>
      </c>
      <c r="K141" s="593"/>
      <c r="L141" s="571"/>
      <c r="M141" s="594"/>
      <c r="N141" s="114"/>
      <c r="O141" s="122"/>
      <c r="P141" s="122"/>
      <c r="Q141" s="91">
        <f t="shared" si="7"/>
        <v>0</v>
      </c>
      <c r="R141" s="91"/>
      <c r="S141" s="77">
        <f t="shared" si="8"/>
        <v>0</v>
      </c>
    </row>
    <row r="142" spans="1:19" ht="32.25" customHeight="1">
      <c r="A142" s="106">
        <v>7</v>
      </c>
      <c r="B142" s="142" t="s">
        <v>75</v>
      </c>
      <c r="C142" s="142" t="s">
        <v>180</v>
      </c>
      <c r="D142" s="151"/>
      <c r="E142" s="163"/>
      <c r="F142" s="115"/>
      <c r="G142" s="115"/>
      <c r="H142" s="131">
        <v>0</v>
      </c>
      <c r="I142" s="115"/>
      <c r="J142" s="132">
        <v>0</v>
      </c>
      <c r="K142" s="593"/>
      <c r="L142" s="571"/>
      <c r="M142" s="594"/>
      <c r="N142" s="114"/>
      <c r="O142" s="122"/>
      <c r="P142" s="122"/>
      <c r="Q142" s="91">
        <f t="shared" si="7"/>
        <v>0</v>
      </c>
      <c r="R142" s="91"/>
      <c r="S142" s="77">
        <f t="shared" si="8"/>
        <v>0</v>
      </c>
    </row>
    <row r="143" spans="1:19" ht="32.25" customHeight="1">
      <c r="A143" s="106">
        <v>8</v>
      </c>
      <c r="B143" s="142" t="s">
        <v>75</v>
      </c>
      <c r="C143" s="142" t="s">
        <v>181</v>
      </c>
      <c r="D143" s="151">
        <v>0</v>
      </c>
      <c r="E143" s="163"/>
      <c r="F143" s="115"/>
      <c r="G143" s="115"/>
      <c r="H143" s="131">
        <v>0</v>
      </c>
      <c r="I143" s="115"/>
      <c r="J143" s="132">
        <v>0</v>
      </c>
      <c r="K143" s="593"/>
      <c r="L143" s="571"/>
      <c r="M143" s="594"/>
      <c r="N143" s="114"/>
      <c r="O143" s="122"/>
      <c r="P143" s="122"/>
      <c r="Q143" s="91">
        <f t="shared" si="7"/>
        <v>0</v>
      </c>
      <c r="R143" s="91"/>
      <c r="S143" s="77">
        <f t="shared" si="8"/>
        <v>0</v>
      </c>
    </row>
    <row r="144" spans="1:19" ht="32.25" customHeight="1">
      <c r="A144" s="106">
        <v>9</v>
      </c>
      <c r="B144" s="142" t="s">
        <v>75</v>
      </c>
      <c r="C144" s="142" t="s">
        <v>182</v>
      </c>
      <c r="D144" s="151">
        <v>0</v>
      </c>
      <c r="E144" s="163"/>
      <c r="F144" s="115"/>
      <c r="G144" s="115"/>
      <c r="H144" s="131">
        <v>0</v>
      </c>
      <c r="I144" s="115"/>
      <c r="J144" s="132">
        <v>0</v>
      </c>
      <c r="K144" s="593"/>
      <c r="L144" s="571"/>
      <c r="M144" s="594"/>
      <c r="N144" s="114"/>
      <c r="O144" s="122"/>
      <c r="P144" s="122"/>
      <c r="Q144" s="91">
        <f t="shared" si="7"/>
        <v>0</v>
      </c>
      <c r="R144" s="91"/>
      <c r="S144" s="77">
        <f t="shared" si="8"/>
        <v>0</v>
      </c>
    </row>
    <row r="145" spans="1:19" ht="32.25" customHeight="1">
      <c r="A145" s="106">
        <v>10</v>
      </c>
      <c r="B145" s="142" t="s">
        <v>75</v>
      </c>
      <c r="C145" s="142" t="s">
        <v>183</v>
      </c>
      <c r="D145" s="151">
        <v>0</v>
      </c>
      <c r="E145" s="163"/>
      <c r="F145" s="115"/>
      <c r="G145" s="115"/>
      <c r="H145" s="131">
        <v>0</v>
      </c>
      <c r="I145" s="115"/>
      <c r="J145" s="132">
        <v>0</v>
      </c>
      <c r="K145" s="593"/>
      <c r="L145" s="571"/>
      <c r="M145" s="594"/>
      <c r="N145" s="114"/>
      <c r="O145" s="115"/>
      <c r="P145" s="168"/>
      <c r="Q145" s="91">
        <f t="shared" si="7"/>
        <v>0</v>
      </c>
      <c r="R145" s="91"/>
      <c r="S145" s="294">
        <f>SUM(D145+J145-M145)</f>
        <v>0</v>
      </c>
    </row>
    <row r="146" spans="1:19" ht="32.25" customHeight="1" thickBot="1">
      <c r="A146" s="39"/>
      <c r="B146" s="50" t="s">
        <v>19</v>
      </c>
      <c r="C146" s="50"/>
      <c r="D146" s="51">
        <f>SUM(D133:D145)</f>
        <v>16165</v>
      </c>
      <c r="E146" s="52"/>
      <c r="F146" s="53"/>
      <c r="G146" s="52"/>
      <c r="H146" s="51">
        <f>SUM(H133:H145)-H140</f>
        <v>0</v>
      </c>
      <c r="I146" s="51">
        <v>0</v>
      </c>
      <c r="J146" s="51">
        <f>SUM(J133:J145)-J140</f>
        <v>0</v>
      </c>
      <c r="K146" s="547"/>
      <c r="L146" s="548"/>
      <c r="M146" s="549">
        <f>SUM(M133:M145)</f>
        <v>16165</v>
      </c>
      <c r="N146" s="57"/>
      <c r="O146" s="53"/>
      <c r="P146" s="51"/>
      <c r="Q146" s="519">
        <v>0</v>
      </c>
      <c r="R146" s="520">
        <v>0</v>
      </c>
      <c r="S146" s="521">
        <v>0</v>
      </c>
    </row>
    <row r="147" spans="1:19" ht="32.25" hidden="1" customHeight="1">
      <c r="A147" s="39"/>
      <c r="B147" s="58" t="s">
        <v>184</v>
      </c>
      <c r="C147" s="59"/>
      <c r="D147" s="60"/>
      <c r="E147" s="61"/>
      <c r="F147" s="62"/>
      <c r="G147" s="63"/>
      <c r="H147" s="64"/>
      <c r="I147" s="64"/>
      <c r="J147" s="64"/>
      <c r="K147" s="550"/>
      <c r="L147" s="551"/>
      <c r="M147" s="552"/>
      <c r="N147" s="68"/>
      <c r="O147" s="62"/>
      <c r="P147" s="69"/>
      <c r="Q147" s="6">
        <f t="shared" si="7"/>
        <v>0</v>
      </c>
      <c r="R147" s="37"/>
      <c r="S147" s="518">
        <f t="shared" ref="S147:S158" si="9">SUM(D147+J147-M147)</f>
        <v>0</v>
      </c>
    </row>
    <row r="148" spans="1:19" ht="32.25" hidden="1" customHeight="1">
      <c r="A148" s="39">
        <v>1</v>
      </c>
      <c r="B148" s="40"/>
      <c r="C148" s="41"/>
      <c r="D148" s="42"/>
      <c r="E148" s="6"/>
      <c r="F148" s="43"/>
      <c r="G148" s="6"/>
      <c r="H148" s="42"/>
      <c r="I148" s="42"/>
      <c r="J148" s="42"/>
      <c r="K148" s="544"/>
      <c r="L148" s="545"/>
      <c r="M148" s="546"/>
      <c r="N148" s="5"/>
      <c r="O148" s="43"/>
      <c r="P148" s="47"/>
      <c r="Q148" s="91">
        <f t="shared" si="7"/>
        <v>0</v>
      </c>
      <c r="R148" s="48"/>
      <c r="S148" s="77">
        <f t="shared" si="9"/>
        <v>0</v>
      </c>
    </row>
    <row r="149" spans="1:19" ht="32.25" hidden="1" customHeight="1">
      <c r="A149" s="39"/>
      <c r="B149" s="50" t="s">
        <v>19</v>
      </c>
      <c r="C149" s="50"/>
      <c r="D149" s="51">
        <v>0</v>
      </c>
      <c r="E149" s="52"/>
      <c r="F149" s="53"/>
      <c r="G149" s="52"/>
      <c r="H149" s="51">
        <v>0</v>
      </c>
      <c r="I149" s="51">
        <v>0</v>
      </c>
      <c r="J149" s="51">
        <v>0</v>
      </c>
      <c r="K149" s="547"/>
      <c r="L149" s="548"/>
      <c r="M149" s="549"/>
      <c r="N149" s="57"/>
      <c r="O149" s="53"/>
      <c r="P149" s="51"/>
      <c r="Q149" s="91">
        <f t="shared" si="7"/>
        <v>0</v>
      </c>
      <c r="R149" s="51"/>
      <c r="S149" s="77">
        <f t="shared" si="9"/>
        <v>0</v>
      </c>
    </row>
    <row r="150" spans="1:19" ht="32.25" hidden="1" customHeight="1">
      <c r="A150" s="39"/>
      <c r="B150" s="58" t="s">
        <v>185</v>
      </c>
      <c r="C150" s="59"/>
      <c r="D150" s="60"/>
      <c r="E150" s="61"/>
      <c r="F150" s="62"/>
      <c r="G150" s="63"/>
      <c r="H150" s="64"/>
      <c r="I150" s="64"/>
      <c r="J150" s="64"/>
      <c r="K150" s="550"/>
      <c r="L150" s="551"/>
      <c r="M150" s="552"/>
      <c r="N150" s="68"/>
      <c r="O150" s="62"/>
      <c r="P150" s="69"/>
      <c r="Q150" s="91">
        <f t="shared" si="7"/>
        <v>0</v>
      </c>
      <c r="R150" s="63"/>
      <c r="S150" s="77">
        <f t="shared" si="9"/>
        <v>0</v>
      </c>
    </row>
    <row r="151" spans="1:19" ht="32.25" hidden="1" customHeight="1">
      <c r="A151" s="39">
        <v>1</v>
      </c>
      <c r="B151" s="40"/>
      <c r="C151" s="41"/>
      <c r="D151" s="42"/>
      <c r="E151" s="6"/>
      <c r="F151" s="43"/>
      <c r="G151" s="6"/>
      <c r="H151" s="42"/>
      <c r="I151" s="42"/>
      <c r="J151" s="42"/>
      <c r="K151" s="595"/>
      <c r="L151" s="596"/>
      <c r="M151" s="597"/>
      <c r="N151" s="5"/>
      <c r="O151" s="43"/>
      <c r="P151" s="47"/>
      <c r="Q151" s="91">
        <f t="shared" si="7"/>
        <v>0</v>
      </c>
      <c r="R151" s="48"/>
      <c r="S151" s="77">
        <f t="shared" si="9"/>
        <v>0</v>
      </c>
    </row>
    <row r="152" spans="1:19" ht="32.25" hidden="1" customHeight="1">
      <c r="A152" s="39"/>
      <c r="B152" s="50" t="s">
        <v>19</v>
      </c>
      <c r="C152" s="50"/>
      <c r="D152" s="51">
        <v>0</v>
      </c>
      <c r="E152" s="52"/>
      <c r="F152" s="53"/>
      <c r="G152" s="52"/>
      <c r="H152" s="51">
        <v>0</v>
      </c>
      <c r="I152" s="51">
        <v>0</v>
      </c>
      <c r="J152" s="51">
        <v>0</v>
      </c>
      <c r="K152" s="547"/>
      <c r="L152" s="548"/>
      <c r="M152" s="549"/>
      <c r="N152" s="57"/>
      <c r="O152" s="53"/>
      <c r="P152" s="51"/>
      <c r="Q152" s="91">
        <f t="shared" si="7"/>
        <v>0</v>
      </c>
      <c r="R152" s="51"/>
      <c r="S152" s="77">
        <f t="shared" si="9"/>
        <v>0</v>
      </c>
    </row>
    <row r="153" spans="1:19" ht="32.25" customHeight="1" thickTop="1">
      <c r="A153" s="39"/>
      <c r="B153" s="58" t="s">
        <v>186</v>
      </c>
      <c r="C153" s="59"/>
      <c r="D153" s="60"/>
      <c r="E153" s="61"/>
      <c r="F153" s="62"/>
      <c r="G153" s="63"/>
      <c r="H153" s="64"/>
      <c r="I153" s="64"/>
      <c r="J153" s="64"/>
      <c r="K153" s="550"/>
      <c r="L153" s="551"/>
      <c r="M153" s="552"/>
      <c r="N153" s="68"/>
      <c r="O153" s="62"/>
      <c r="P153" s="69"/>
      <c r="Q153" s="91">
        <f t="shared" si="7"/>
        <v>0</v>
      </c>
      <c r="R153" s="63"/>
      <c r="S153" s="77">
        <f t="shared" si="9"/>
        <v>0</v>
      </c>
    </row>
    <row r="154" spans="1:19" s="160" customFormat="1" ht="32.25" customHeight="1">
      <c r="A154" s="116">
        <v>1</v>
      </c>
      <c r="B154" s="41" t="s">
        <v>23</v>
      </c>
      <c r="C154" s="41" t="s">
        <v>187</v>
      </c>
      <c r="D154" s="287">
        <v>2140</v>
      </c>
      <c r="E154" s="240"/>
      <c r="F154" s="122"/>
      <c r="G154" s="91"/>
      <c r="H154" s="91">
        <v>0</v>
      </c>
      <c r="I154" s="92">
        <v>0</v>
      </c>
      <c r="J154" s="132">
        <v>0</v>
      </c>
      <c r="K154" s="529" t="s">
        <v>963</v>
      </c>
      <c r="L154" s="530" t="s">
        <v>986</v>
      </c>
      <c r="M154" s="531">
        <v>2140</v>
      </c>
      <c r="N154" s="291"/>
      <c r="O154" s="292"/>
      <c r="P154" s="293"/>
      <c r="Q154" s="91">
        <f t="shared" si="7"/>
        <v>0</v>
      </c>
      <c r="R154" s="92"/>
      <c r="S154" s="77">
        <f t="shared" si="9"/>
        <v>0</v>
      </c>
    </row>
    <row r="155" spans="1:19" s="160" customFormat="1" ht="32.25" customHeight="1">
      <c r="A155" s="116">
        <v>2</v>
      </c>
      <c r="B155" s="142" t="s">
        <v>23</v>
      </c>
      <c r="C155" s="142" t="s">
        <v>189</v>
      </c>
      <c r="D155" s="287">
        <v>23518.6</v>
      </c>
      <c r="E155" s="114"/>
      <c r="F155" s="115"/>
      <c r="G155" s="295"/>
      <c r="H155" s="131">
        <v>0</v>
      </c>
      <c r="I155" s="125">
        <v>0</v>
      </c>
      <c r="J155" s="132">
        <v>0</v>
      </c>
      <c r="K155" s="532" t="s">
        <v>950</v>
      </c>
      <c r="L155" s="533" t="s">
        <v>987</v>
      </c>
      <c r="M155" s="531">
        <v>23518.6</v>
      </c>
      <c r="N155" s="298"/>
      <c r="O155" s="292"/>
      <c r="P155" s="292"/>
      <c r="Q155" s="91">
        <f t="shared" si="7"/>
        <v>0</v>
      </c>
      <c r="R155" s="92"/>
      <c r="S155" s="77">
        <f t="shared" si="9"/>
        <v>0</v>
      </c>
    </row>
    <row r="156" spans="1:19" s="160" customFormat="1" ht="32.25" customHeight="1">
      <c r="A156" s="116">
        <v>3</v>
      </c>
      <c r="B156" s="142" t="s">
        <v>192</v>
      </c>
      <c r="C156" s="142" t="s">
        <v>193</v>
      </c>
      <c r="D156" s="293">
        <v>1048.5999999999999</v>
      </c>
      <c r="E156" s="114"/>
      <c r="F156" s="115"/>
      <c r="G156" s="131"/>
      <c r="H156" s="131">
        <v>0</v>
      </c>
      <c r="I156" s="125">
        <v>0</v>
      </c>
      <c r="J156" s="132">
        <v>0</v>
      </c>
      <c r="K156" s="529" t="s">
        <v>941</v>
      </c>
      <c r="L156" s="530" t="s">
        <v>988</v>
      </c>
      <c r="M156" s="531">
        <v>1048.5999999999999</v>
      </c>
      <c r="N156" s="298"/>
      <c r="O156" s="292"/>
      <c r="P156" s="299"/>
      <c r="Q156" s="91">
        <f t="shared" si="7"/>
        <v>0</v>
      </c>
      <c r="R156" s="92"/>
      <c r="S156" s="77">
        <f t="shared" si="9"/>
        <v>0</v>
      </c>
    </row>
    <row r="157" spans="1:19" ht="32.25" customHeight="1">
      <c r="A157" s="106">
        <v>4</v>
      </c>
      <c r="B157" s="300" t="s">
        <v>195</v>
      </c>
      <c r="C157" s="300" t="s">
        <v>193</v>
      </c>
      <c r="D157" s="287">
        <v>3306.3</v>
      </c>
      <c r="E157" s="301">
        <v>25294</v>
      </c>
      <c r="F157" s="31">
        <v>1</v>
      </c>
      <c r="G157" s="301" t="s">
        <v>72</v>
      </c>
      <c r="H157" s="29">
        <v>3470</v>
      </c>
      <c r="I157" s="29">
        <v>242.9</v>
      </c>
      <c r="J157" s="132">
        <v>3712.9</v>
      </c>
      <c r="K157" s="529" t="s">
        <v>950</v>
      </c>
      <c r="L157" s="530" t="s">
        <v>989</v>
      </c>
      <c r="M157" s="531">
        <v>3712.9</v>
      </c>
      <c r="N157" s="302" t="s">
        <v>990</v>
      </c>
      <c r="O157" s="303">
        <v>1</v>
      </c>
      <c r="P157" s="304"/>
      <c r="Q157" s="91">
        <f>SUM(S157-R157)</f>
        <v>3090.0000000000009</v>
      </c>
      <c r="R157" s="29">
        <f>+S157*0.0654205607476635</f>
        <v>216.29999999999987</v>
      </c>
      <c r="S157" s="77">
        <f t="shared" si="9"/>
        <v>3306.3000000000006</v>
      </c>
    </row>
    <row r="158" spans="1:19" ht="32.25" customHeight="1">
      <c r="A158" s="39">
        <v>5</v>
      </c>
      <c r="B158" s="142" t="s">
        <v>403</v>
      </c>
      <c r="C158" s="142" t="s">
        <v>193</v>
      </c>
      <c r="D158" s="305">
        <v>2696.4</v>
      </c>
      <c r="E158" s="131"/>
      <c r="F158" s="115"/>
      <c r="G158" s="131"/>
      <c r="H158" s="125">
        <v>0</v>
      </c>
      <c r="I158" s="125">
        <v>0</v>
      </c>
      <c r="J158" s="132">
        <v>0</v>
      </c>
      <c r="K158" s="598" t="s">
        <v>938</v>
      </c>
      <c r="L158" s="599" t="s">
        <v>991</v>
      </c>
      <c r="M158" s="600">
        <v>2696.4</v>
      </c>
      <c r="N158" s="114"/>
      <c r="O158" s="115"/>
      <c r="P158" s="144"/>
      <c r="Q158" s="91">
        <f t="shared" si="7"/>
        <v>0</v>
      </c>
      <c r="R158" s="125"/>
      <c r="S158" s="77">
        <f t="shared" si="9"/>
        <v>0</v>
      </c>
    </row>
    <row r="159" spans="1:19" ht="32.25" customHeight="1">
      <c r="A159" s="39"/>
      <c r="B159" s="41"/>
      <c r="C159" s="41"/>
      <c r="D159" s="42"/>
      <c r="E159" s="6"/>
      <c r="F159" s="43"/>
      <c r="G159" s="6"/>
      <c r="H159" s="42">
        <v>0</v>
      </c>
      <c r="I159" s="42"/>
      <c r="J159" s="309"/>
      <c r="K159" s="595"/>
      <c r="L159" s="596"/>
      <c r="M159" s="597"/>
      <c r="N159" s="5"/>
      <c r="O159" s="43"/>
      <c r="P159" s="47"/>
      <c r="Q159" s="91">
        <f t="shared" si="7"/>
        <v>0</v>
      </c>
      <c r="R159" s="42"/>
      <c r="S159" s="100"/>
    </row>
    <row r="160" spans="1:19" ht="32.25" customHeight="1" thickBot="1">
      <c r="A160" s="39"/>
      <c r="B160" s="50" t="s">
        <v>19</v>
      </c>
      <c r="C160" s="50"/>
      <c r="D160" s="51">
        <f>SUM(D154:D159)</f>
        <v>32709.899999999998</v>
      </c>
      <c r="E160" s="52"/>
      <c r="F160" s="53"/>
      <c r="G160" s="52"/>
      <c r="H160" s="51">
        <f>SUM(H154:H159)</f>
        <v>3470</v>
      </c>
      <c r="I160" s="51">
        <f>SUM(I154:I159)</f>
        <v>242.9</v>
      </c>
      <c r="J160" s="51">
        <f>SUM(J154:J159)</f>
        <v>3712.9</v>
      </c>
      <c r="K160" s="547"/>
      <c r="L160" s="548"/>
      <c r="M160" s="549">
        <f>SUM(M154:M158)</f>
        <v>33116.5</v>
      </c>
      <c r="N160" s="57"/>
      <c r="O160" s="53"/>
      <c r="P160" s="51"/>
      <c r="Q160" s="51">
        <f>SUM(Q154:Q159)</f>
        <v>3090.0000000000009</v>
      </c>
      <c r="R160" s="51">
        <f>SUM(R154:R159)</f>
        <v>216.29999999999987</v>
      </c>
      <c r="S160" s="51">
        <f>SUM(S154:S159)</f>
        <v>3306.3000000000006</v>
      </c>
    </row>
    <row r="161" spans="1:19" ht="32.25" customHeight="1" thickTop="1">
      <c r="A161" s="39"/>
      <c r="B161" s="58" t="s">
        <v>207</v>
      </c>
      <c r="C161" s="59"/>
      <c r="D161" s="60"/>
      <c r="E161" s="61"/>
      <c r="F161" s="62"/>
      <c r="G161" s="63"/>
      <c r="H161" s="64"/>
      <c r="I161" s="64"/>
      <c r="J161" s="64"/>
      <c r="K161" s="550"/>
      <c r="L161" s="551"/>
      <c r="M161" s="552"/>
      <c r="N161" s="68"/>
      <c r="O161" s="62"/>
      <c r="P161" s="69"/>
      <c r="Q161" s="63"/>
      <c r="R161" s="63"/>
      <c r="S161" s="70"/>
    </row>
    <row r="162" spans="1:19" ht="32.25" customHeight="1">
      <c r="A162" s="39"/>
      <c r="B162" s="40"/>
      <c r="C162" s="41"/>
      <c r="D162" s="42"/>
      <c r="E162" s="6"/>
      <c r="F162" s="43"/>
      <c r="G162" s="6"/>
      <c r="H162" s="42"/>
      <c r="I162" s="42"/>
      <c r="J162" s="42"/>
      <c r="K162" s="164"/>
      <c r="L162" s="605"/>
      <c r="M162" s="606"/>
      <c r="N162" s="5"/>
      <c r="O162" s="43"/>
      <c r="P162" s="47"/>
      <c r="Q162" s="48"/>
      <c r="R162" s="48"/>
      <c r="S162" s="49"/>
    </row>
    <row r="163" spans="1:19" ht="32.25" customHeight="1" thickBot="1">
      <c r="A163" s="39"/>
      <c r="B163" s="50" t="s">
        <v>19</v>
      </c>
      <c r="C163" s="50"/>
      <c r="D163" s="51">
        <v>0</v>
      </c>
      <c r="E163" s="52"/>
      <c r="F163" s="53"/>
      <c r="G163" s="52"/>
      <c r="H163" s="51">
        <v>0</v>
      </c>
      <c r="I163" s="51">
        <v>0</v>
      </c>
      <c r="J163" s="51">
        <v>0</v>
      </c>
      <c r="K163" s="547"/>
      <c r="L163" s="548"/>
      <c r="M163" s="549">
        <f>SUM(M162)</f>
        <v>0</v>
      </c>
      <c r="N163" s="57"/>
      <c r="O163" s="53"/>
      <c r="P163" s="51"/>
      <c r="Q163" s="51"/>
      <c r="R163" s="51"/>
      <c r="S163" s="51"/>
    </row>
    <row r="164" spans="1:19" ht="32.25" customHeight="1" thickTop="1">
      <c r="A164" s="39"/>
      <c r="B164" s="141" t="s">
        <v>210</v>
      </c>
      <c r="C164" s="142"/>
      <c r="D164" s="125"/>
      <c r="E164" s="131"/>
      <c r="F164" s="115"/>
      <c r="G164" s="33"/>
      <c r="H164" s="143"/>
      <c r="I164" s="143"/>
      <c r="J164" s="143"/>
      <c r="K164" s="541"/>
      <c r="L164" s="542"/>
      <c r="M164" s="543"/>
      <c r="N164" s="114"/>
      <c r="O164" s="115"/>
      <c r="P164" s="144"/>
      <c r="Q164" s="33"/>
      <c r="R164" s="33"/>
      <c r="S164" s="145"/>
    </row>
    <row r="165" spans="1:19" s="160" customFormat="1" ht="32.25" customHeight="1">
      <c r="A165" s="106">
        <v>1</v>
      </c>
      <c r="B165" s="142" t="s">
        <v>52</v>
      </c>
      <c r="C165" s="174" t="s">
        <v>211</v>
      </c>
      <c r="D165" s="151">
        <v>518</v>
      </c>
      <c r="E165" s="152" t="s">
        <v>57</v>
      </c>
      <c r="F165" s="346"/>
      <c r="G165" s="346"/>
      <c r="H165" s="153">
        <v>-259</v>
      </c>
      <c r="I165" s="346"/>
      <c r="J165" s="226">
        <v>-259</v>
      </c>
      <c r="K165" s="164" t="s">
        <v>960</v>
      </c>
      <c r="L165" s="165" t="s">
        <v>992</v>
      </c>
      <c r="M165" s="166">
        <v>518</v>
      </c>
      <c r="N165" s="347" t="s">
        <v>57</v>
      </c>
      <c r="O165" s="348"/>
      <c r="P165" s="280"/>
      <c r="Q165" s="153">
        <f>SUM(D165+J165-M165)</f>
        <v>-259</v>
      </c>
      <c r="R165" s="153"/>
      <c r="S165" s="159">
        <f>SUM(Q165)</f>
        <v>-259</v>
      </c>
    </row>
    <row r="166" spans="1:19" s="160" customFormat="1" ht="32.25" customHeight="1">
      <c r="A166" s="106">
        <v>2</v>
      </c>
      <c r="B166" s="161" t="s">
        <v>213</v>
      </c>
      <c r="C166" s="349" t="s">
        <v>214</v>
      </c>
      <c r="D166" s="151">
        <v>0</v>
      </c>
      <c r="E166" s="163"/>
      <c r="F166" s="122"/>
      <c r="G166" s="122"/>
      <c r="H166" s="91">
        <v>0</v>
      </c>
      <c r="I166" s="122"/>
      <c r="J166" s="132">
        <v>0</v>
      </c>
      <c r="K166" s="164"/>
      <c r="L166" s="165"/>
      <c r="M166" s="166"/>
      <c r="N166" s="352"/>
      <c r="O166" s="348"/>
      <c r="P166" s="280"/>
      <c r="Q166" s="153">
        <f t="shared" ref="Q166:Q213" si="10">SUM(D166+J166-M166)</f>
        <v>0</v>
      </c>
      <c r="R166" s="153"/>
      <c r="S166" s="159">
        <f t="shared" ref="S166:S213" si="11">SUM(Q166)</f>
        <v>0</v>
      </c>
    </row>
    <row r="167" spans="1:19" s="160" customFormat="1" ht="32.25" customHeight="1">
      <c r="A167" s="106">
        <v>3</v>
      </c>
      <c r="B167" s="142" t="s">
        <v>60</v>
      </c>
      <c r="C167" s="174" t="s">
        <v>215</v>
      </c>
      <c r="D167" s="151">
        <v>259</v>
      </c>
      <c r="E167" s="163"/>
      <c r="F167" s="122"/>
      <c r="G167" s="122"/>
      <c r="H167" s="91">
        <v>0</v>
      </c>
      <c r="I167" s="122"/>
      <c r="J167" s="132">
        <v>0</v>
      </c>
      <c r="K167" s="164" t="s">
        <v>960</v>
      </c>
      <c r="L167" s="165" t="s">
        <v>983</v>
      </c>
      <c r="M167" s="166">
        <v>259</v>
      </c>
      <c r="N167" s="352"/>
      <c r="O167" s="348"/>
      <c r="P167" s="280"/>
      <c r="Q167" s="91">
        <f t="shared" si="10"/>
        <v>0</v>
      </c>
      <c r="R167" s="91"/>
      <c r="S167" s="77">
        <f t="shared" si="11"/>
        <v>0</v>
      </c>
    </row>
    <row r="168" spans="1:19" s="160" customFormat="1" ht="32.25" customHeight="1">
      <c r="A168" s="106">
        <v>4</v>
      </c>
      <c r="B168" s="142" t="s">
        <v>27</v>
      </c>
      <c r="C168" s="174" t="s">
        <v>217</v>
      </c>
      <c r="D168" s="151">
        <v>259</v>
      </c>
      <c r="E168" s="163"/>
      <c r="F168" s="122"/>
      <c r="G168" s="122"/>
      <c r="H168" s="91">
        <v>0</v>
      </c>
      <c r="I168" s="122"/>
      <c r="J168" s="132">
        <v>0</v>
      </c>
      <c r="K168" s="164" t="s">
        <v>963</v>
      </c>
      <c r="L168" s="165" t="s">
        <v>993</v>
      </c>
      <c r="M168" s="166">
        <v>259</v>
      </c>
      <c r="N168" s="352"/>
      <c r="O168" s="348"/>
      <c r="P168" s="280"/>
      <c r="Q168" s="91">
        <f t="shared" si="10"/>
        <v>0</v>
      </c>
      <c r="R168" s="91"/>
      <c r="S168" s="77">
        <f t="shared" si="11"/>
        <v>0</v>
      </c>
    </row>
    <row r="169" spans="1:19" s="160" customFormat="1" ht="32.25" customHeight="1">
      <c r="A169" s="106">
        <v>5</v>
      </c>
      <c r="B169" s="168" t="s">
        <v>42</v>
      </c>
      <c r="C169" s="174" t="s">
        <v>219</v>
      </c>
      <c r="D169" s="125">
        <v>259</v>
      </c>
      <c r="E169" s="163"/>
      <c r="F169" s="122"/>
      <c r="G169" s="122"/>
      <c r="H169" s="91">
        <v>0</v>
      </c>
      <c r="I169" s="122"/>
      <c r="J169" s="132">
        <v>0</v>
      </c>
      <c r="K169" s="164" t="s">
        <v>963</v>
      </c>
      <c r="L169" s="165" t="s">
        <v>994</v>
      </c>
      <c r="M169" s="166">
        <v>259</v>
      </c>
      <c r="N169" s="352"/>
      <c r="O169" s="348"/>
      <c r="P169" s="280"/>
      <c r="Q169" s="91">
        <f t="shared" si="10"/>
        <v>0</v>
      </c>
      <c r="R169" s="91"/>
      <c r="S169" s="77">
        <f t="shared" si="11"/>
        <v>0</v>
      </c>
    </row>
    <row r="170" spans="1:19" s="160" customFormat="1" ht="32.25" customHeight="1">
      <c r="A170" s="106">
        <v>6</v>
      </c>
      <c r="B170" s="142" t="s">
        <v>69</v>
      </c>
      <c r="C170" s="174" t="s">
        <v>221</v>
      </c>
      <c r="D170" s="151">
        <v>259</v>
      </c>
      <c r="E170" s="163"/>
      <c r="F170" s="122"/>
      <c r="G170" s="122"/>
      <c r="H170" s="91">
        <v>0</v>
      </c>
      <c r="I170" s="122"/>
      <c r="J170" s="132">
        <v>0</v>
      </c>
      <c r="K170" s="164" t="s">
        <v>941</v>
      </c>
      <c r="L170" s="165" t="s">
        <v>995</v>
      </c>
      <c r="M170" s="166">
        <v>259</v>
      </c>
      <c r="N170" s="353"/>
      <c r="O170" s="348"/>
      <c r="P170" s="280"/>
      <c r="Q170" s="91">
        <f t="shared" si="10"/>
        <v>0</v>
      </c>
      <c r="R170" s="91"/>
      <c r="S170" s="77">
        <f t="shared" si="11"/>
        <v>0</v>
      </c>
    </row>
    <row r="171" spans="1:19" ht="32.25" customHeight="1">
      <c r="A171" s="106">
        <v>7</v>
      </c>
      <c r="B171" s="146" t="s">
        <v>75</v>
      </c>
      <c r="C171" s="173" t="s">
        <v>223</v>
      </c>
      <c r="D171" s="151"/>
      <c r="E171" s="163"/>
      <c r="F171" s="115"/>
      <c r="G171" s="115"/>
      <c r="H171" s="131">
        <v>0</v>
      </c>
      <c r="I171" s="115"/>
      <c r="J171" s="132">
        <v>0</v>
      </c>
      <c r="K171" s="534"/>
      <c r="L171" s="165"/>
      <c r="M171" s="166"/>
      <c r="N171" s="352"/>
      <c r="O171" s="348"/>
      <c r="P171" s="280"/>
      <c r="Q171" s="91">
        <f t="shared" si="10"/>
        <v>0</v>
      </c>
      <c r="R171" s="91"/>
      <c r="S171" s="77">
        <f t="shared" si="11"/>
        <v>0</v>
      </c>
    </row>
    <row r="172" spans="1:19" s="160" customFormat="1" ht="32.25" customHeight="1">
      <c r="A172" s="106">
        <v>8</v>
      </c>
      <c r="B172" s="142" t="s">
        <v>77</v>
      </c>
      <c r="C172" s="174" t="s">
        <v>224</v>
      </c>
      <c r="D172" s="151">
        <v>259</v>
      </c>
      <c r="E172" s="163"/>
      <c r="F172" s="122"/>
      <c r="G172" s="122"/>
      <c r="H172" s="91">
        <v>0</v>
      </c>
      <c r="I172" s="122"/>
      <c r="J172" s="132">
        <v>0</v>
      </c>
      <c r="K172" s="164" t="s">
        <v>967</v>
      </c>
      <c r="L172" s="165" t="s">
        <v>996</v>
      </c>
      <c r="M172" s="166">
        <v>259</v>
      </c>
      <c r="N172" s="352"/>
      <c r="O172" s="348"/>
      <c r="P172" s="280"/>
      <c r="Q172" s="91">
        <f t="shared" si="10"/>
        <v>0</v>
      </c>
      <c r="R172" s="91"/>
      <c r="S172" s="77">
        <f t="shared" si="11"/>
        <v>0</v>
      </c>
    </row>
    <row r="173" spans="1:19" s="160" customFormat="1" ht="32.25" customHeight="1">
      <c r="A173" s="106">
        <v>9</v>
      </c>
      <c r="B173" s="142" t="s">
        <v>77</v>
      </c>
      <c r="C173" s="174" t="s">
        <v>226</v>
      </c>
      <c r="D173" s="151">
        <v>259</v>
      </c>
      <c r="E173" s="163"/>
      <c r="F173" s="122"/>
      <c r="G173" s="122"/>
      <c r="H173" s="91">
        <v>0</v>
      </c>
      <c r="I173" s="122"/>
      <c r="J173" s="132">
        <v>0</v>
      </c>
      <c r="K173" s="164" t="s">
        <v>967</v>
      </c>
      <c r="L173" s="165" t="s">
        <v>996</v>
      </c>
      <c r="M173" s="166">
        <v>259</v>
      </c>
      <c r="N173" s="352"/>
      <c r="O173" s="348"/>
      <c r="P173" s="280"/>
      <c r="Q173" s="91">
        <f t="shared" si="10"/>
        <v>0</v>
      </c>
      <c r="R173" s="91"/>
      <c r="S173" s="77">
        <f t="shared" si="11"/>
        <v>0</v>
      </c>
    </row>
    <row r="174" spans="1:19" ht="32.25" customHeight="1">
      <c r="A174" s="106">
        <v>10</v>
      </c>
      <c r="B174" s="146" t="s">
        <v>75</v>
      </c>
      <c r="C174" s="173" t="s">
        <v>227</v>
      </c>
      <c r="D174" s="151"/>
      <c r="E174" s="163"/>
      <c r="F174" s="115"/>
      <c r="G174" s="115"/>
      <c r="H174" s="131">
        <v>0</v>
      </c>
      <c r="I174" s="115"/>
      <c r="J174" s="132">
        <v>0</v>
      </c>
      <c r="K174" s="534"/>
      <c r="L174" s="165"/>
      <c r="M174" s="166"/>
      <c r="N174" s="352"/>
      <c r="O174" s="348"/>
      <c r="P174" s="280"/>
      <c r="Q174" s="91">
        <f t="shared" si="10"/>
        <v>0</v>
      </c>
      <c r="R174" s="91"/>
      <c r="S174" s="77">
        <f t="shared" si="11"/>
        <v>0</v>
      </c>
    </row>
    <row r="175" spans="1:19" s="160" customFormat="1" ht="32.25" customHeight="1">
      <c r="A175" s="106">
        <v>11</v>
      </c>
      <c r="B175" s="142" t="s">
        <v>83</v>
      </c>
      <c r="C175" s="174" t="s">
        <v>228</v>
      </c>
      <c r="D175" s="151">
        <v>259</v>
      </c>
      <c r="E175" s="163"/>
      <c r="F175" s="122"/>
      <c r="G175" s="122"/>
      <c r="H175" s="91">
        <v>0</v>
      </c>
      <c r="I175" s="122"/>
      <c r="J175" s="132">
        <v>0</v>
      </c>
      <c r="K175" s="164" t="s">
        <v>963</v>
      </c>
      <c r="L175" s="165" t="s">
        <v>997</v>
      </c>
      <c r="M175" s="166">
        <v>259</v>
      </c>
      <c r="N175" s="352"/>
      <c r="O175" s="348"/>
      <c r="P175" s="280"/>
      <c r="Q175" s="91">
        <f t="shared" si="10"/>
        <v>0</v>
      </c>
      <c r="R175" s="91"/>
      <c r="S175" s="77">
        <f t="shared" si="11"/>
        <v>0</v>
      </c>
    </row>
    <row r="176" spans="1:19" s="160" customFormat="1" ht="32.25" customHeight="1">
      <c r="A176" s="106">
        <v>12</v>
      </c>
      <c r="B176" s="142" t="s">
        <v>87</v>
      </c>
      <c r="C176" s="174" t="s">
        <v>230</v>
      </c>
      <c r="D176" s="151">
        <v>259</v>
      </c>
      <c r="E176" s="163"/>
      <c r="F176" s="122"/>
      <c r="G176" s="122"/>
      <c r="H176" s="91">
        <v>0</v>
      </c>
      <c r="I176" s="122"/>
      <c r="J176" s="132">
        <v>0</v>
      </c>
      <c r="K176" s="164" t="s">
        <v>941</v>
      </c>
      <c r="L176" s="165" t="s">
        <v>998</v>
      </c>
      <c r="M176" s="166">
        <v>259</v>
      </c>
      <c r="N176" s="352"/>
      <c r="O176" s="348"/>
      <c r="P176" s="280"/>
      <c r="Q176" s="91">
        <f t="shared" si="10"/>
        <v>0</v>
      </c>
      <c r="R176" s="91"/>
      <c r="S176" s="77">
        <f t="shared" si="11"/>
        <v>0</v>
      </c>
    </row>
    <row r="177" spans="1:19" ht="32.25" customHeight="1">
      <c r="A177" s="357">
        <v>13</v>
      </c>
      <c r="B177" s="146" t="s">
        <v>75</v>
      </c>
      <c r="C177" s="173" t="s">
        <v>232</v>
      </c>
      <c r="D177" s="151"/>
      <c r="E177" s="163"/>
      <c r="F177" s="115"/>
      <c r="G177" s="115"/>
      <c r="H177" s="131">
        <v>0</v>
      </c>
      <c r="I177" s="115"/>
      <c r="J177" s="132">
        <v>0</v>
      </c>
      <c r="K177" s="607"/>
      <c r="L177" s="608"/>
      <c r="M177" s="609"/>
      <c r="N177" s="361"/>
      <c r="O177" s="362"/>
      <c r="P177" s="122"/>
      <c r="Q177" s="91">
        <f t="shared" si="10"/>
        <v>0</v>
      </c>
      <c r="R177" s="91"/>
      <c r="S177" s="77">
        <f t="shared" si="11"/>
        <v>0</v>
      </c>
    </row>
    <row r="178" spans="1:19" ht="32.25" customHeight="1">
      <c r="A178" s="106">
        <v>14</v>
      </c>
      <c r="B178" s="142" t="s">
        <v>92</v>
      </c>
      <c r="C178" s="174" t="s">
        <v>233</v>
      </c>
      <c r="D178" s="151"/>
      <c r="E178" s="163"/>
      <c r="F178" s="115"/>
      <c r="G178" s="115"/>
      <c r="H178" s="131">
        <v>0</v>
      </c>
      <c r="I178" s="115"/>
      <c r="J178" s="132">
        <v>0</v>
      </c>
      <c r="K178" s="607"/>
      <c r="L178" s="608"/>
      <c r="M178" s="609"/>
      <c r="N178" s="361"/>
      <c r="O178" s="362"/>
      <c r="P178" s="122"/>
      <c r="Q178" s="91">
        <f t="shared" si="10"/>
        <v>0</v>
      </c>
      <c r="R178" s="91"/>
      <c r="S178" s="77">
        <f t="shared" si="11"/>
        <v>0</v>
      </c>
    </row>
    <row r="179" spans="1:19" ht="32.25" customHeight="1">
      <c r="A179" s="106">
        <v>15</v>
      </c>
      <c r="B179" s="146" t="s">
        <v>75</v>
      </c>
      <c r="C179" s="173" t="s">
        <v>234</v>
      </c>
      <c r="D179" s="151">
        <v>0</v>
      </c>
      <c r="E179" s="163"/>
      <c r="F179" s="115"/>
      <c r="G179" s="115"/>
      <c r="H179" s="131">
        <v>0</v>
      </c>
      <c r="I179" s="115"/>
      <c r="J179" s="132">
        <v>0</v>
      </c>
      <c r="K179" s="607"/>
      <c r="L179" s="608"/>
      <c r="M179" s="609"/>
      <c r="N179" s="361"/>
      <c r="O179" s="362"/>
      <c r="P179" s="122"/>
      <c r="Q179" s="91">
        <f t="shared" si="10"/>
        <v>0</v>
      </c>
      <c r="R179" s="91"/>
      <c r="S179" s="77">
        <f t="shared" si="11"/>
        <v>0</v>
      </c>
    </row>
    <row r="180" spans="1:19" s="160" customFormat="1" ht="32.25" customHeight="1">
      <c r="A180" s="106">
        <v>16</v>
      </c>
      <c r="B180" s="142" t="s">
        <v>95</v>
      </c>
      <c r="C180" s="174" t="s">
        <v>235</v>
      </c>
      <c r="D180" s="151">
        <v>0</v>
      </c>
      <c r="E180" s="163"/>
      <c r="F180" s="122"/>
      <c r="G180" s="122"/>
      <c r="H180" s="91">
        <v>0</v>
      </c>
      <c r="I180" s="122"/>
      <c r="J180" s="132">
        <v>0</v>
      </c>
      <c r="K180" s="610"/>
      <c r="L180" s="610"/>
      <c r="M180" s="611"/>
      <c r="N180" s="361"/>
      <c r="O180" s="362"/>
      <c r="P180" s="122"/>
      <c r="Q180" s="153">
        <f t="shared" si="10"/>
        <v>0</v>
      </c>
      <c r="R180" s="153"/>
      <c r="S180" s="159">
        <f t="shared" si="11"/>
        <v>0</v>
      </c>
    </row>
    <row r="181" spans="1:19" s="160" customFormat="1" ht="32.25" customHeight="1">
      <c r="A181" s="106">
        <v>17</v>
      </c>
      <c r="B181" s="365" t="s">
        <v>236</v>
      </c>
      <c r="C181" s="174" t="s">
        <v>237</v>
      </c>
      <c r="D181" s="151">
        <v>0</v>
      </c>
      <c r="E181" s="163"/>
      <c r="F181" s="122"/>
      <c r="G181" s="122"/>
      <c r="H181" s="91">
        <v>0</v>
      </c>
      <c r="I181" s="122"/>
      <c r="J181" s="132">
        <v>0</v>
      </c>
      <c r="K181" s="607"/>
      <c r="L181" s="608"/>
      <c r="M181" s="609"/>
      <c r="N181" s="361"/>
      <c r="O181" s="362"/>
      <c r="P181" s="122"/>
      <c r="Q181" s="153">
        <f t="shared" si="10"/>
        <v>0</v>
      </c>
      <c r="R181" s="153"/>
      <c r="S181" s="159">
        <f t="shared" si="11"/>
        <v>0</v>
      </c>
    </row>
    <row r="182" spans="1:19" s="160" customFormat="1" ht="32.25" customHeight="1">
      <c r="A182" s="106">
        <v>18</v>
      </c>
      <c r="B182" s="142" t="s">
        <v>99</v>
      </c>
      <c r="C182" s="174" t="s">
        <v>238</v>
      </c>
      <c r="D182" s="151">
        <v>6750</v>
      </c>
      <c r="E182" s="163"/>
      <c r="F182" s="122"/>
      <c r="G182" s="122"/>
      <c r="H182" s="91">
        <v>0</v>
      </c>
      <c r="I182" s="122"/>
      <c r="J182" s="132">
        <v>0</v>
      </c>
      <c r="K182" s="164" t="s">
        <v>963</v>
      </c>
      <c r="L182" s="165" t="s">
        <v>999</v>
      </c>
      <c r="M182" s="166">
        <v>6750</v>
      </c>
      <c r="N182" s="361"/>
      <c r="O182" s="362"/>
      <c r="P182" s="122"/>
      <c r="Q182" s="153">
        <f t="shared" si="10"/>
        <v>0</v>
      </c>
      <c r="R182" s="153"/>
      <c r="S182" s="159">
        <f t="shared" si="11"/>
        <v>0</v>
      </c>
    </row>
    <row r="183" spans="1:19" s="160" customFormat="1" ht="32.25" customHeight="1">
      <c r="A183" s="106">
        <v>19</v>
      </c>
      <c r="B183" s="142" t="s">
        <v>141</v>
      </c>
      <c r="C183" s="193" t="s">
        <v>240</v>
      </c>
      <c r="D183" s="125">
        <v>114.5</v>
      </c>
      <c r="E183" s="152" t="s">
        <v>57</v>
      </c>
      <c r="F183" s="212"/>
      <c r="G183" s="213"/>
      <c r="H183" s="153">
        <v>-572.5</v>
      </c>
      <c r="I183" s="125"/>
      <c r="J183" s="132">
        <v>-572.5</v>
      </c>
      <c r="K183" s="610"/>
      <c r="L183" s="612"/>
      <c r="M183" s="613"/>
      <c r="N183" s="374" t="s">
        <v>57</v>
      </c>
      <c r="O183" s="362"/>
      <c r="P183" s="221"/>
      <c r="Q183" s="153">
        <f t="shared" si="10"/>
        <v>-458</v>
      </c>
      <c r="R183" s="153"/>
      <c r="S183" s="159">
        <f t="shared" si="11"/>
        <v>-458</v>
      </c>
    </row>
    <row r="184" spans="1:19" s="160" customFormat="1" ht="32.25" customHeight="1">
      <c r="A184" s="106"/>
      <c r="B184" s="222" t="s">
        <v>241</v>
      </c>
      <c r="C184" s="193"/>
      <c r="D184" s="92"/>
      <c r="E184" s="239"/>
      <c r="F184" s="122"/>
      <c r="G184" s="217"/>
      <c r="H184" s="91">
        <v>0</v>
      </c>
      <c r="I184" s="92"/>
      <c r="J184" s="132">
        <v>0</v>
      </c>
      <c r="K184" s="610"/>
      <c r="L184" s="612"/>
      <c r="M184" s="613"/>
      <c r="N184" s="361"/>
      <c r="O184" s="362"/>
      <c r="P184" s="221"/>
      <c r="Q184" s="153">
        <f t="shared" si="10"/>
        <v>0</v>
      </c>
      <c r="R184" s="153"/>
      <c r="S184" s="159">
        <f t="shared" si="11"/>
        <v>0</v>
      </c>
    </row>
    <row r="185" spans="1:19" s="160" customFormat="1" ht="32.25" customHeight="1">
      <c r="A185" s="106"/>
      <c r="B185" s="222" t="s">
        <v>242</v>
      </c>
      <c r="C185" s="193"/>
      <c r="D185" s="92"/>
      <c r="E185" s="239"/>
      <c r="F185" s="122"/>
      <c r="G185" s="217"/>
      <c r="H185" s="91">
        <v>0</v>
      </c>
      <c r="I185" s="92"/>
      <c r="J185" s="132">
        <v>0</v>
      </c>
      <c r="K185" s="610"/>
      <c r="L185" s="612"/>
      <c r="M185" s="613"/>
      <c r="N185" s="361"/>
      <c r="O185" s="362"/>
      <c r="P185" s="221"/>
      <c r="Q185" s="153">
        <f t="shared" si="10"/>
        <v>0</v>
      </c>
      <c r="R185" s="153"/>
      <c r="S185" s="159">
        <f t="shared" si="11"/>
        <v>0</v>
      </c>
    </row>
    <row r="186" spans="1:19" ht="32.25" customHeight="1">
      <c r="A186" s="106">
        <v>20</v>
      </c>
      <c r="B186" s="222" t="s">
        <v>52</v>
      </c>
      <c r="C186" s="193" t="s">
        <v>243</v>
      </c>
      <c r="D186" s="92">
        <v>15.67</v>
      </c>
      <c r="E186" s="369" t="s">
        <v>57</v>
      </c>
      <c r="F186" s="346"/>
      <c r="G186" s="213"/>
      <c r="H186" s="153">
        <v>-78.349999999999994</v>
      </c>
      <c r="I186" s="370"/>
      <c r="J186" s="226">
        <v>-78.349999999999994</v>
      </c>
      <c r="K186" s="607"/>
      <c r="L186" s="608"/>
      <c r="M186" s="614"/>
      <c r="N186" s="368" t="s">
        <v>57</v>
      </c>
      <c r="O186" s="362"/>
      <c r="P186" s="221"/>
      <c r="Q186" s="153">
        <f t="shared" si="10"/>
        <v>-62.679999999999993</v>
      </c>
      <c r="R186" s="153"/>
      <c r="S186" s="159">
        <f t="shared" si="11"/>
        <v>-62.679999999999993</v>
      </c>
    </row>
    <row r="187" spans="1:19" ht="32.25" customHeight="1">
      <c r="A187" s="116"/>
      <c r="B187" s="222" t="s">
        <v>791</v>
      </c>
      <c r="C187" s="193"/>
      <c r="D187" s="92">
        <v>0</v>
      </c>
      <c r="E187" s="239"/>
      <c r="F187" s="122"/>
      <c r="G187" s="217"/>
      <c r="H187" s="91">
        <v>0</v>
      </c>
      <c r="I187" s="92"/>
      <c r="J187" s="132">
        <v>0</v>
      </c>
      <c r="K187" s="607"/>
      <c r="L187" s="608"/>
      <c r="M187" s="614"/>
      <c r="N187" s="361"/>
      <c r="O187" s="362"/>
      <c r="P187" s="221"/>
      <c r="Q187" s="153">
        <f t="shared" si="10"/>
        <v>0</v>
      </c>
      <c r="R187" s="153"/>
      <c r="S187" s="159">
        <f t="shared" si="11"/>
        <v>0</v>
      </c>
    </row>
    <row r="188" spans="1:19" ht="32.25" customHeight="1">
      <c r="A188" s="116"/>
      <c r="B188" s="222" t="s">
        <v>793</v>
      </c>
      <c r="C188" s="193"/>
      <c r="D188" s="92">
        <v>0</v>
      </c>
      <c r="E188" s="239"/>
      <c r="F188" s="122"/>
      <c r="G188" s="91"/>
      <c r="H188" s="91">
        <v>0</v>
      </c>
      <c r="I188" s="92"/>
      <c r="J188" s="132">
        <v>0</v>
      </c>
      <c r="K188" s="615"/>
      <c r="L188" s="608"/>
      <c r="M188" s="614"/>
      <c r="N188" s="361"/>
      <c r="O188" s="362"/>
      <c r="P188" s="92"/>
      <c r="Q188" s="153">
        <f t="shared" si="10"/>
        <v>0</v>
      </c>
      <c r="R188" s="153"/>
      <c r="S188" s="159">
        <f t="shared" si="11"/>
        <v>0</v>
      </c>
    </row>
    <row r="189" spans="1:19" ht="32.25" customHeight="1">
      <c r="A189" s="116"/>
      <c r="B189" s="222" t="s">
        <v>795</v>
      </c>
      <c r="C189" s="193"/>
      <c r="D189" s="92"/>
      <c r="E189" s="239"/>
      <c r="F189" s="122"/>
      <c r="G189" s="91"/>
      <c r="H189" s="91"/>
      <c r="I189" s="92"/>
      <c r="J189" s="132"/>
      <c r="K189" s="615"/>
      <c r="L189" s="616"/>
      <c r="M189" s="614"/>
      <c r="N189" s="361"/>
      <c r="O189" s="362"/>
      <c r="P189" s="92"/>
      <c r="Q189" s="153"/>
      <c r="R189" s="153"/>
      <c r="S189" s="159"/>
    </row>
    <row r="190" spans="1:19" ht="32.25" customHeight="1">
      <c r="A190" s="116"/>
      <c r="B190" s="222" t="s">
        <v>245</v>
      </c>
      <c r="C190" s="193"/>
      <c r="D190" s="92"/>
      <c r="E190" s="239"/>
      <c r="F190" s="122"/>
      <c r="G190" s="91"/>
      <c r="H190" s="91"/>
      <c r="I190" s="92"/>
      <c r="J190" s="132"/>
      <c r="K190" s="615"/>
      <c r="L190" s="616"/>
      <c r="M190" s="614"/>
      <c r="N190" s="361"/>
      <c r="O190" s="362"/>
      <c r="P190" s="92"/>
      <c r="Q190" s="153"/>
      <c r="R190" s="153"/>
      <c r="S190" s="159"/>
    </row>
    <row r="191" spans="1:19" ht="32.25" customHeight="1">
      <c r="A191" s="106">
        <v>21</v>
      </c>
      <c r="B191" s="222" t="s">
        <v>152</v>
      </c>
      <c r="C191" s="193" t="s">
        <v>246</v>
      </c>
      <c r="D191" s="125">
        <v>70.42</v>
      </c>
      <c r="E191" s="163"/>
      <c r="F191" s="115"/>
      <c r="G191" s="91"/>
      <c r="H191" s="91">
        <v>0</v>
      </c>
      <c r="I191" s="125"/>
      <c r="J191" s="132">
        <v>0</v>
      </c>
      <c r="K191" s="615" t="s">
        <v>979</v>
      </c>
      <c r="L191" s="616" t="s">
        <v>1000</v>
      </c>
      <c r="M191" s="614">
        <v>845</v>
      </c>
      <c r="N191" s="374" t="s">
        <v>57</v>
      </c>
      <c r="O191" s="362"/>
      <c r="P191" s="92"/>
      <c r="Q191" s="153">
        <f t="shared" si="10"/>
        <v>-774.58</v>
      </c>
      <c r="R191" s="91"/>
      <c r="S191" s="159">
        <f t="shared" si="11"/>
        <v>-774.58</v>
      </c>
    </row>
    <row r="192" spans="1:19" ht="32.25" customHeight="1">
      <c r="A192" s="106"/>
      <c r="B192" s="664" t="s">
        <v>247</v>
      </c>
      <c r="C192" s="665"/>
      <c r="D192" s="92"/>
      <c r="E192" s="239"/>
      <c r="F192" s="122"/>
      <c r="G192" s="91"/>
      <c r="H192" s="91">
        <v>0</v>
      </c>
      <c r="I192" s="92"/>
      <c r="J192" s="132">
        <v>0</v>
      </c>
      <c r="K192" s="608"/>
      <c r="L192" s="607"/>
      <c r="M192" s="614"/>
      <c r="N192" s="361"/>
      <c r="O192" s="362"/>
      <c r="P192" s="92"/>
      <c r="Q192" s="153">
        <f t="shared" si="10"/>
        <v>0</v>
      </c>
      <c r="R192" s="91"/>
      <c r="S192" s="159">
        <f t="shared" si="11"/>
        <v>0</v>
      </c>
    </row>
    <row r="193" spans="1:19" ht="32.25" customHeight="1">
      <c r="A193" s="106"/>
      <c r="B193" s="652" t="s">
        <v>248</v>
      </c>
      <c r="C193" s="654"/>
      <c r="D193" s="92"/>
      <c r="E193" s="239"/>
      <c r="F193" s="122"/>
      <c r="G193" s="91"/>
      <c r="H193" s="91">
        <v>0</v>
      </c>
      <c r="I193" s="92"/>
      <c r="J193" s="132">
        <v>0</v>
      </c>
      <c r="K193" s="608"/>
      <c r="L193" s="607"/>
      <c r="M193" s="614"/>
      <c r="N193" s="361"/>
      <c r="O193" s="362"/>
      <c r="P193" s="92"/>
      <c r="Q193" s="153">
        <f t="shared" si="10"/>
        <v>0</v>
      </c>
      <c r="R193" s="91"/>
      <c r="S193" s="159">
        <f t="shared" si="11"/>
        <v>0</v>
      </c>
    </row>
    <row r="194" spans="1:19" ht="32.25" customHeight="1">
      <c r="A194" s="106"/>
      <c r="B194" s="375" t="s">
        <v>249</v>
      </c>
      <c r="C194" s="376"/>
      <c r="D194" s="377"/>
      <c r="E194" s="378"/>
      <c r="F194" s="194"/>
      <c r="G194" s="195"/>
      <c r="H194" s="195">
        <v>0</v>
      </c>
      <c r="I194" s="377"/>
      <c r="J194" s="379">
        <v>0</v>
      </c>
      <c r="K194" s="608"/>
      <c r="L194" s="607"/>
      <c r="M194" s="614"/>
      <c r="N194" s="361"/>
      <c r="O194" s="362"/>
      <c r="P194" s="92"/>
      <c r="Q194" s="153">
        <f t="shared" si="10"/>
        <v>0</v>
      </c>
      <c r="R194" s="91"/>
      <c r="S194" s="159">
        <f t="shared" si="11"/>
        <v>0</v>
      </c>
    </row>
    <row r="195" spans="1:19" ht="32.25" customHeight="1">
      <c r="A195" s="106">
        <v>22</v>
      </c>
      <c r="B195" s="222" t="s">
        <v>130</v>
      </c>
      <c r="C195" s="193" t="s">
        <v>250</v>
      </c>
      <c r="D195" s="92">
        <v>0</v>
      </c>
      <c r="E195" s="239"/>
      <c r="F195" s="122"/>
      <c r="G195" s="91"/>
      <c r="H195" s="91">
        <v>0</v>
      </c>
      <c r="I195" s="92"/>
      <c r="J195" s="132">
        <v>0</v>
      </c>
      <c r="K195" s="607"/>
      <c r="L195" s="608"/>
      <c r="M195" s="614"/>
      <c r="N195" s="2" t="s">
        <v>57</v>
      </c>
      <c r="O195" s="362"/>
      <c r="P195" s="92"/>
      <c r="Q195" s="153">
        <f t="shared" si="10"/>
        <v>0</v>
      </c>
      <c r="R195" s="91"/>
      <c r="S195" s="159">
        <f t="shared" si="11"/>
        <v>0</v>
      </c>
    </row>
    <row r="196" spans="1:19" ht="32.25" customHeight="1">
      <c r="A196" s="116"/>
      <c r="B196" s="222" t="s">
        <v>251</v>
      </c>
      <c r="C196" s="193"/>
      <c r="D196" s="92"/>
      <c r="E196" s="239"/>
      <c r="F196" s="122"/>
      <c r="G196" s="91"/>
      <c r="H196" s="91">
        <v>0</v>
      </c>
      <c r="I196" s="92"/>
      <c r="J196" s="132">
        <v>0</v>
      </c>
      <c r="K196" s="615"/>
      <c r="L196" s="608"/>
      <c r="M196" s="614"/>
      <c r="N196" s="361"/>
      <c r="O196" s="362"/>
      <c r="P196" s="92"/>
      <c r="Q196" s="153">
        <f t="shared" si="10"/>
        <v>0</v>
      </c>
      <c r="R196" s="383"/>
      <c r="S196" s="159">
        <f t="shared" si="11"/>
        <v>0</v>
      </c>
    </row>
    <row r="197" spans="1:19" ht="32.25" customHeight="1">
      <c r="A197" s="116"/>
      <c r="B197" s="222" t="s">
        <v>253</v>
      </c>
      <c r="C197" s="193"/>
      <c r="D197" s="92"/>
      <c r="E197" s="239"/>
      <c r="F197" s="122"/>
      <c r="G197" s="91"/>
      <c r="H197" s="91">
        <v>0</v>
      </c>
      <c r="I197" s="92"/>
      <c r="J197" s="132">
        <v>0</v>
      </c>
      <c r="K197" s="615"/>
      <c r="L197" s="608"/>
      <c r="M197" s="614"/>
      <c r="N197" s="361"/>
      <c r="O197" s="362"/>
      <c r="P197" s="92"/>
      <c r="Q197" s="153">
        <f t="shared" si="10"/>
        <v>0</v>
      </c>
      <c r="R197" s="383"/>
      <c r="S197" s="159">
        <f t="shared" si="11"/>
        <v>0</v>
      </c>
    </row>
    <row r="198" spans="1:19" ht="32.25" customHeight="1">
      <c r="A198" s="116"/>
      <c r="B198" s="222" t="s">
        <v>255</v>
      </c>
      <c r="C198" s="193"/>
      <c r="D198" s="92">
        <v>25.83</v>
      </c>
      <c r="E198" s="239" t="s">
        <v>57</v>
      </c>
      <c r="F198" s="122"/>
      <c r="G198" s="91"/>
      <c r="H198" s="91">
        <v>-77.530000000000115</v>
      </c>
      <c r="I198" s="92"/>
      <c r="J198" s="132">
        <v>-77.530000000000115</v>
      </c>
      <c r="K198" s="615"/>
      <c r="L198" s="608"/>
      <c r="M198" s="614"/>
      <c r="N198" s="374" t="s">
        <v>57</v>
      </c>
      <c r="O198" s="362"/>
      <c r="P198" s="92"/>
      <c r="Q198" s="153">
        <f t="shared" si="10"/>
        <v>-51.700000000000117</v>
      </c>
      <c r="R198" s="383"/>
      <c r="S198" s="159">
        <f t="shared" si="11"/>
        <v>-51.700000000000117</v>
      </c>
    </row>
    <row r="199" spans="1:19" ht="32.25" customHeight="1">
      <c r="A199" s="116"/>
      <c r="B199" s="222" t="s">
        <v>257</v>
      </c>
      <c r="C199" s="193"/>
      <c r="D199" s="92"/>
      <c r="E199" s="239"/>
      <c r="F199" s="122"/>
      <c r="G199" s="91"/>
      <c r="H199" s="91">
        <v>0</v>
      </c>
      <c r="I199" s="92"/>
      <c r="J199" s="132">
        <v>0</v>
      </c>
      <c r="K199" s="615"/>
      <c r="L199" s="608"/>
      <c r="M199" s="614"/>
      <c r="N199" s="361"/>
      <c r="O199" s="362"/>
      <c r="P199" s="92"/>
      <c r="Q199" s="153">
        <f t="shared" si="10"/>
        <v>0</v>
      </c>
      <c r="R199" s="383"/>
      <c r="S199" s="159">
        <f t="shared" si="11"/>
        <v>0</v>
      </c>
    </row>
    <row r="200" spans="1:19" ht="32.25" customHeight="1">
      <c r="A200" s="116">
        <v>23</v>
      </c>
      <c r="B200" s="142" t="s">
        <v>145</v>
      </c>
      <c r="C200" s="193" t="s">
        <v>258</v>
      </c>
      <c r="D200" s="92">
        <v>33.75</v>
      </c>
      <c r="E200" s="239" t="s">
        <v>57</v>
      </c>
      <c r="F200" s="122"/>
      <c r="G200" s="91"/>
      <c r="H200" s="91">
        <v>-270</v>
      </c>
      <c r="I200" s="92"/>
      <c r="J200" s="132">
        <v>-270</v>
      </c>
      <c r="K200" s="615"/>
      <c r="L200" s="608"/>
      <c r="M200" s="614"/>
      <c r="N200" s="361" t="s">
        <v>57</v>
      </c>
      <c r="O200" s="362"/>
      <c r="P200" s="92"/>
      <c r="Q200" s="153">
        <f t="shared" si="10"/>
        <v>-236.25</v>
      </c>
      <c r="R200" s="153"/>
      <c r="S200" s="159">
        <f t="shared" si="11"/>
        <v>-236.25</v>
      </c>
    </row>
    <row r="201" spans="1:19" ht="32.25" customHeight="1">
      <c r="A201" s="116"/>
      <c r="B201" s="384" t="s">
        <v>797</v>
      </c>
      <c r="C201" s="385"/>
      <c r="D201" s="386">
        <v>0</v>
      </c>
      <c r="E201" s="387"/>
      <c r="F201" s="388"/>
      <c r="G201" s="389"/>
      <c r="H201" s="389">
        <v>0</v>
      </c>
      <c r="I201" s="92"/>
      <c r="J201" s="132">
        <v>0</v>
      </c>
      <c r="K201" s="615"/>
      <c r="L201" s="608"/>
      <c r="M201" s="614"/>
      <c r="N201" s="361"/>
      <c r="O201" s="362"/>
      <c r="P201" s="92"/>
      <c r="Q201" s="153">
        <f t="shared" si="10"/>
        <v>0</v>
      </c>
      <c r="R201" s="153"/>
      <c r="S201" s="159">
        <f t="shared" si="11"/>
        <v>0</v>
      </c>
    </row>
    <row r="202" spans="1:19" ht="32.25" customHeight="1">
      <c r="A202" s="116"/>
      <c r="B202" s="384" t="s">
        <v>799</v>
      </c>
      <c r="C202" s="385"/>
      <c r="D202" s="386">
        <v>0</v>
      </c>
      <c r="E202" s="387"/>
      <c r="F202" s="388"/>
      <c r="G202" s="389"/>
      <c r="H202" s="389">
        <v>0</v>
      </c>
      <c r="I202" s="92"/>
      <c r="J202" s="132">
        <v>0</v>
      </c>
      <c r="K202" s="615"/>
      <c r="L202" s="608"/>
      <c r="M202" s="614"/>
      <c r="N202" s="361"/>
      <c r="O202" s="362"/>
      <c r="P202" s="92"/>
      <c r="Q202" s="153">
        <f t="shared" si="10"/>
        <v>0</v>
      </c>
      <c r="R202" s="153"/>
      <c r="S202" s="159">
        <f t="shared" si="11"/>
        <v>0</v>
      </c>
    </row>
    <row r="203" spans="1:19" ht="32.25" customHeight="1">
      <c r="A203" s="116"/>
      <c r="B203" s="384" t="s">
        <v>801</v>
      </c>
      <c r="C203" s="385"/>
      <c r="D203" s="386"/>
      <c r="E203" s="387"/>
      <c r="F203" s="388"/>
      <c r="G203" s="389"/>
      <c r="H203" s="389"/>
      <c r="I203" s="92"/>
      <c r="J203" s="132"/>
      <c r="K203" s="615"/>
      <c r="L203" s="608"/>
      <c r="M203" s="614"/>
      <c r="N203" s="361"/>
      <c r="O203" s="362"/>
      <c r="P203" s="92"/>
      <c r="Q203" s="153"/>
      <c r="R203" s="153"/>
      <c r="S203" s="159"/>
    </row>
    <row r="204" spans="1:19" ht="32.25" customHeight="1">
      <c r="A204" s="116"/>
      <c r="B204" s="384" t="s">
        <v>259</v>
      </c>
      <c r="C204" s="385"/>
      <c r="D204" s="386"/>
      <c r="E204" s="387"/>
      <c r="F204" s="388"/>
      <c r="G204" s="389"/>
      <c r="H204" s="389"/>
      <c r="I204" s="92"/>
      <c r="J204" s="132"/>
      <c r="K204" s="615"/>
      <c r="L204" s="608"/>
      <c r="M204" s="614"/>
      <c r="N204" s="361"/>
      <c r="O204" s="362"/>
      <c r="P204" s="92"/>
      <c r="Q204" s="153"/>
      <c r="R204" s="153"/>
      <c r="S204" s="159"/>
    </row>
    <row r="205" spans="1:19" ht="32.25" customHeight="1">
      <c r="A205" s="116"/>
      <c r="B205" s="384" t="s">
        <v>260</v>
      </c>
      <c r="C205" s="385"/>
      <c r="D205" s="386"/>
      <c r="E205" s="387"/>
      <c r="F205" s="388"/>
      <c r="G205" s="389"/>
      <c r="H205" s="389"/>
      <c r="I205" s="92"/>
      <c r="J205" s="132"/>
      <c r="K205" s="615"/>
      <c r="L205" s="608"/>
      <c r="M205" s="614"/>
      <c r="N205" s="361"/>
      <c r="O205" s="362"/>
      <c r="P205" s="92"/>
      <c r="Q205" s="153"/>
      <c r="R205" s="153"/>
      <c r="S205" s="159"/>
    </row>
    <row r="206" spans="1:19" ht="32.25" customHeight="1">
      <c r="A206" s="116">
        <v>24</v>
      </c>
      <c r="B206" s="142" t="s">
        <v>158</v>
      </c>
      <c r="C206" s="390" t="s">
        <v>261</v>
      </c>
      <c r="D206" s="92">
        <v>24.17</v>
      </c>
      <c r="E206" s="239" t="s">
        <v>57</v>
      </c>
      <c r="F206" s="122"/>
      <c r="G206" s="91"/>
      <c r="H206" s="91">
        <v>-24.17</v>
      </c>
      <c r="I206" s="92"/>
      <c r="J206" s="132">
        <v>-24.17</v>
      </c>
      <c r="K206" s="615"/>
      <c r="L206" s="608"/>
      <c r="M206" s="614"/>
      <c r="N206" s="361"/>
      <c r="O206" s="362"/>
      <c r="P206" s="92"/>
      <c r="Q206" s="153">
        <f t="shared" si="10"/>
        <v>0</v>
      </c>
      <c r="R206" s="354"/>
      <c r="S206" s="159">
        <f t="shared" si="11"/>
        <v>0</v>
      </c>
    </row>
    <row r="207" spans="1:19" ht="32.25" customHeight="1">
      <c r="A207" s="116"/>
      <c r="B207" s="275" t="s">
        <v>262</v>
      </c>
      <c r="C207" s="390"/>
      <c r="D207" s="92"/>
      <c r="E207" s="239"/>
      <c r="F207" s="122"/>
      <c r="G207" s="91"/>
      <c r="H207" s="91">
        <v>0</v>
      </c>
      <c r="I207" s="92"/>
      <c r="J207" s="132">
        <v>0</v>
      </c>
      <c r="K207" s="615"/>
      <c r="L207" s="608"/>
      <c r="M207" s="614"/>
      <c r="N207" s="361"/>
      <c r="O207" s="362"/>
      <c r="P207" s="92"/>
      <c r="Q207" s="153">
        <f t="shared" si="10"/>
        <v>0</v>
      </c>
      <c r="R207" s="354"/>
      <c r="S207" s="159">
        <f t="shared" si="11"/>
        <v>0</v>
      </c>
    </row>
    <row r="208" spans="1:19" ht="32.25" customHeight="1">
      <c r="A208" s="116"/>
      <c r="B208" s="275" t="s">
        <v>263</v>
      </c>
      <c r="C208" s="390"/>
      <c r="D208" s="92"/>
      <c r="E208" s="239"/>
      <c r="F208" s="122"/>
      <c r="G208" s="91"/>
      <c r="H208" s="91">
        <v>0</v>
      </c>
      <c r="I208" s="92"/>
      <c r="J208" s="132">
        <v>0</v>
      </c>
      <c r="K208" s="615"/>
      <c r="L208" s="608"/>
      <c r="M208" s="614"/>
      <c r="N208" s="361"/>
      <c r="O208" s="362"/>
      <c r="P208" s="92"/>
      <c r="Q208" s="153">
        <f t="shared" si="10"/>
        <v>0</v>
      </c>
      <c r="R208" s="354"/>
      <c r="S208" s="159">
        <f t="shared" si="11"/>
        <v>0</v>
      </c>
    </row>
    <row r="209" spans="1:19" ht="32.25" customHeight="1">
      <c r="A209" s="116"/>
      <c r="B209" s="275" t="s">
        <v>264</v>
      </c>
      <c r="C209" s="390"/>
      <c r="D209" s="92">
        <v>0</v>
      </c>
      <c r="E209" s="239"/>
      <c r="F209" s="122"/>
      <c r="G209" s="91"/>
      <c r="H209" s="91">
        <v>0</v>
      </c>
      <c r="I209" s="92"/>
      <c r="J209" s="132">
        <v>0</v>
      </c>
      <c r="K209" s="615"/>
      <c r="L209" s="608"/>
      <c r="M209" s="614"/>
      <c r="N209" s="361"/>
      <c r="O209" s="362"/>
      <c r="P209" s="92"/>
      <c r="Q209" s="153">
        <f t="shared" si="10"/>
        <v>0</v>
      </c>
      <c r="R209" s="354"/>
      <c r="S209" s="159">
        <f t="shared" si="11"/>
        <v>0</v>
      </c>
    </row>
    <row r="210" spans="1:19" ht="32.25" customHeight="1">
      <c r="A210" s="116"/>
      <c r="B210" s="275" t="s">
        <v>265</v>
      </c>
      <c r="C210" s="390"/>
      <c r="D210" s="92">
        <v>0</v>
      </c>
      <c r="E210" s="2"/>
      <c r="F210" s="2"/>
      <c r="G210" s="2"/>
      <c r="H210" s="2">
        <v>0</v>
      </c>
      <c r="J210" s="2">
        <v>0</v>
      </c>
      <c r="K210" s="615"/>
      <c r="L210" s="608"/>
      <c r="M210" s="614"/>
      <c r="N210" s="361"/>
      <c r="O210" s="362"/>
      <c r="P210" s="92"/>
      <c r="Q210" s="153">
        <f t="shared" si="10"/>
        <v>0</v>
      </c>
      <c r="R210" s="354"/>
      <c r="S210" s="159">
        <f t="shared" si="11"/>
        <v>0</v>
      </c>
    </row>
    <row r="211" spans="1:19" ht="32.25" customHeight="1">
      <c r="A211" s="116"/>
      <c r="B211" s="142" t="s">
        <v>266</v>
      </c>
      <c r="C211" s="390"/>
      <c r="D211" s="92"/>
      <c r="E211" s="239"/>
      <c r="F211" s="122"/>
      <c r="G211" s="91"/>
      <c r="H211" s="91">
        <v>0</v>
      </c>
      <c r="I211" s="92"/>
      <c r="J211" s="132">
        <v>0</v>
      </c>
      <c r="K211" s="615"/>
      <c r="L211" s="608"/>
      <c r="M211" s="614"/>
      <c r="N211" s="361"/>
      <c r="O211" s="362"/>
      <c r="P211" s="92"/>
      <c r="Q211" s="153">
        <f t="shared" si="10"/>
        <v>0</v>
      </c>
      <c r="R211" s="153"/>
      <c r="S211" s="159">
        <f t="shared" si="11"/>
        <v>0</v>
      </c>
    </row>
    <row r="212" spans="1:19" ht="32.25" customHeight="1">
      <c r="A212" s="116"/>
      <c r="B212" s="142" t="s">
        <v>267</v>
      </c>
      <c r="C212" s="390"/>
      <c r="D212" s="92"/>
      <c r="E212" s="239"/>
      <c r="F212" s="122"/>
      <c r="G212" s="91"/>
      <c r="H212" s="91">
        <v>0</v>
      </c>
      <c r="I212" s="92"/>
      <c r="J212" s="132">
        <v>0</v>
      </c>
      <c r="K212" s="615"/>
      <c r="L212" s="608"/>
      <c r="M212" s="614"/>
      <c r="N212" s="361"/>
      <c r="O212" s="362"/>
      <c r="P212" s="92"/>
      <c r="Q212" s="153">
        <f t="shared" si="10"/>
        <v>0</v>
      </c>
      <c r="R212" s="153"/>
      <c r="S212" s="159">
        <f t="shared" si="11"/>
        <v>0</v>
      </c>
    </row>
    <row r="213" spans="1:19" ht="32.25" customHeight="1">
      <c r="A213" s="106">
        <v>25</v>
      </c>
      <c r="B213" s="142" t="s">
        <v>23</v>
      </c>
      <c r="C213" s="174" t="s">
        <v>268</v>
      </c>
      <c r="D213" s="151"/>
      <c r="E213" s="163"/>
      <c r="F213" s="122"/>
      <c r="G213" s="122"/>
      <c r="H213" s="91">
        <v>0</v>
      </c>
      <c r="I213" s="122"/>
      <c r="J213" s="132">
        <v>0</v>
      </c>
      <c r="K213" s="615"/>
      <c r="L213" s="608"/>
      <c r="M213" s="609"/>
      <c r="N213" s="361"/>
      <c r="O213" s="391"/>
      <c r="P213" s="122"/>
      <c r="Q213" s="153">
        <f t="shared" si="10"/>
        <v>0</v>
      </c>
      <c r="R213" s="153"/>
      <c r="S213" s="159">
        <f t="shared" si="11"/>
        <v>0</v>
      </c>
    </row>
    <row r="214" spans="1:19" ht="32.25" customHeight="1" thickBot="1">
      <c r="A214" s="39"/>
      <c r="B214" s="50" t="s">
        <v>19</v>
      </c>
      <c r="C214" s="50"/>
      <c r="D214" s="51">
        <f>SUM(D165:D213)</f>
        <v>9624.34</v>
      </c>
      <c r="E214" s="52"/>
      <c r="F214" s="53"/>
      <c r="G214" s="52"/>
      <c r="H214" s="51"/>
      <c r="I214" s="51"/>
      <c r="J214" s="51"/>
      <c r="K214" s="547"/>
      <c r="L214" s="548"/>
      <c r="M214" s="549">
        <f>SUM(M165:M213)</f>
        <v>10185</v>
      </c>
      <c r="N214" s="57"/>
      <c r="O214" s="53"/>
      <c r="P214" s="51"/>
      <c r="Q214" s="51">
        <v>0</v>
      </c>
      <c r="R214" s="51">
        <f t="shared" ref="R214" si="12">SUM(R200)</f>
        <v>0</v>
      </c>
      <c r="S214" s="51">
        <v>0</v>
      </c>
    </row>
    <row r="215" spans="1:19" ht="32.25" customHeight="1" thickTop="1">
      <c r="A215" s="39"/>
      <c r="B215" s="58" t="s">
        <v>269</v>
      </c>
      <c r="C215" s="59"/>
      <c r="D215" s="60"/>
      <c r="E215" s="61"/>
      <c r="F215" s="62"/>
      <c r="G215" s="63"/>
      <c r="H215" s="64"/>
      <c r="I215" s="64"/>
      <c r="J215" s="64"/>
      <c r="K215" s="550"/>
      <c r="L215" s="551"/>
      <c r="M215" s="552"/>
      <c r="N215" s="68"/>
      <c r="O215" s="62"/>
      <c r="P215" s="69"/>
      <c r="Q215" s="63"/>
      <c r="R215" s="63"/>
      <c r="S215" s="70"/>
    </row>
    <row r="216" spans="1:19" ht="32.25" customHeight="1">
      <c r="A216" s="39">
        <v>1</v>
      </c>
      <c r="B216" s="142" t="s">
        <v>99</v>
      </c>
      <c r="C216" s="392" t="s">
        <v>270</v>
      </c>
      <c r="D216" s="125">
        <v>0</v>
      </c>
      <c r="E216" s="131"/>
      <c r="F216" s="115"/>
      <c r="G216" s="131"/>
      <c r="H216" s="125">
        <v>0</v>
      </c>
      <c r="I216" s="125"/>
      <c r="J216" s="125">
        <v>0</v>
      </c>
      <c r="K216" s="541"/>
      <c r="L216" s="542"/>
      <c r="M216" s="543"/>
      <c r="N216" s="114"/>
      <c r="O216" s="115"/>
      <c r="P216" s="144"/>
      <c r="Q216" s="131">
        <v>0</v>
      </c>
      <c r="R216" s="33"/>
      <c r="S216" s="77">
        <v>0</v>
      </c>
    </row>
    <row r="217" spans="1:19" ht="32.25" customHeight="1">
      <c r="A217" s="106">
        <v>2</v>
      </c>
      <c r="B217" s="142" t="s">
        <v>99</v>
      </c>
      <c r="C217" s="392" t="s">
        <v>271</v>
      </c>
      <c r="D217" s="125">
        <v>0</v>
      </c>
      <c r="E217" s="131"/>
      <c r="F217" s="115"/>
      <c r="G217" s="131"/>
      <c r="H217" s="125">
        <v>0</v>
      </c>
      <c r="I217" s="125"/>
      <c r="J217" s="125">
        <v>0</v>
      </c>
      <c r="K217" s="541"/>
      <c r="L217" s="542"/>
      <c r="M217" s="543"/>
      <c r="N217" s="114"/>
      <c r="O217" s="115"/>
      <c r="P217" s="144"/>
      <c r="Q217" s="131">
        <v>0</v>
      </c>
      <c r="R217" s="33"/>
      <c r="S217" s="77">
        <v>0</v>
      </c>
    </row>
    <row r="218" spans="1:19" ht="32.25" customHeight="1">
      <c r="A218" s="106">
        <v>3</v>
      </c>
      <c r="B218" s="142" t="s">
        <v>99</v>
      </c>
      <c r="C218" s="392" t="s">
        <v>272</v>
      </c>
      <c r="D218" s="125">
        <v>0</v>
      </c>
      <c r="E218" s="131"/>
      <c r="F218" s="115"/>
      <c r="G218" s="131"/>
      <c r="H218" s="125">
        <v>0</v>
      </c>
      <c r="I218" s="125"/>
      <c r="J218" s="125">
        <v>0</v>
      </c>
      <c r="K218" s="541"/>
      <c r="L218" s="542"/>
      <c r="M218" s="543"/>
      <c r="N218" s="114"/>
      <c r="O218" s="115"/>
      <c r="P218" s="144"/>
      <c r="Q218" s="131">
        <v>0</v>
      </c>
      <c r="R218" s="33"/>
      <c r="S218" s="77">
        <v>0</v>
      </c>
    </row>
    <row r="219" spans="1:19" ht="32.25" customHeight="1">
      <c r="A219" s="106">
        <v>4</v>
      </c>
      <c r="B219" s="142" t="s">
        <v>273</v>
      </c>
      <c r="C219" s="392" t="s">
        <v>274</v>
      </c>
      <c r="D219" s="125">
        <v>0</v>
      </c>
      <c r="E219" s="131"/>
      <c r="F219" s="115"/>
      <c r="G219" s="131"/>
      <c r="H219" s="125">
        <v>0</v>
      </c>
      <c r="I219" s="125"/>
      <c r="J219" s="125">
        <v>0</v>
      </c>
      <c r="K219" s="541"/>
      <c r="L219" s="542"/>
      <c r="M219" s="543"/>
      <c r="N219" s="114"/>
      <c r="O219" s="115"/>
      <c r="P219" s="144"/>
      <c r="Q219" s="131">
        <v>0</v>
      </c>
      <c r="R219" s="33"/>
      <c r="S219" s="77">
        <v>0</v>
      </c>
    </row>
    <row r="220" spans="1:19" ht="32.25" customHeight="1">
      <c r="A220" s="106">
        <v>5</v>
      </c>
      <c r="B220" s="142" t="s">
        <v>273</v>
      </c>
      <c r="C220" s="392" t="s">
        <v>275</v>
      </c>
      <c r="D220" s="125">
        <v>0</v>
      </c>
      <c r="E220" s="131"/>
      <c r="F220" s="115"/>
      <c r="G220" s="131"/>
      <c r="H220" s="125">
        <v>0</v>
      </c>
      <c r="I220" s="125"/>
      <c r="J220" s="125">
        <v>0</v>
      </c>
      <c r="K220" s="541"/>
      <c r="L220" s="542"/>
      <c r="M220" s="543"/>
      <c r="N220" s="114"/>
      <c r="O220" s="115"/>
      <c r="P220" s="144"/>
      <c r="Q220" s="131">
        <v>0</v>
      </c>
      <c r="R220" s="33"/>
      <c r="S220" s="77">
        <v>0</v>
      </c>
    </row>
    <row r="221" spans="1:19" ht="32.25" customHeight="1">
      <c r="A221" s="106">
        <v>6</v>
      </c>
      <c r="B221" s="142" t="s">
        <v>276</v>
      </c>
      <c r="C221" s="392" t="s">
        <v>277</v>
      </c>
      <c r="D221" s="125">
        <v>0</v>
      </c>
      <c r="E221" s="131"/>
      <c r="F221" s="115"/>
      <c r="G221" s="131"/>
      <c r="H221" s="125">
        <v>0</v>
      </c>
      <c r="I221" s="125"/>
      <c r="J221" s="125">
        <v>0</v>
      </c>
      <c r="K221" s="541"/>
      <c r="L221" s="542"/>
      <c r="M221" s="543"/>
      <c r="N221" s="114"/>
      <c r="O221" s="115"/>
      <c r="P221" s="144"/>
      <c r="Q221" s="131">
        <v>0</v>
      </c>
      <c r="R221" s="33"/>
      <c r="S221" s="77">
        <v>0</v>
      </c>
    </row>
    <row r="222" spans="1:19" ht="32.25" customHeight="1">
      <c r="A222" s="106">
        <v>7</v>
      </c>
      <c r="B222" s="142" t="s">
        <v>27</v>
      </c>
      <c r="C222" s="392" t="s">
        <v>278</v>
      </c>
      <c r="D222" s="125">
        <v>0</v>
      </c>
      <c r="E222" s="131"/>
      <c r="F222" s="115"/>
      <c r="G222" s="131"/>
      <c r="H222" s="125">
        <v>0</v>
      </c>
      <c r="I222" s="125"/>
      <c r="J222" s="125">
        <v>0</v>
      </c>
      <c r="K222" s="541"/>
      <c r="L222" s="542"/>
      <c r="M222" s="543"/>
      <c r="N222" s="114"/>
      <c r="O222" s="115"/>
      <c r="P222" s="144"/>
      <c r="Q222" s="131">
        <v>0</v>
      </c>
      <c r="R222" s="33"/>
      <c r="S222" s="77">
        <v>0</v>
      </c>
    </row>
    <row r="223" spans="1:19" ht="32.25" customHeight="1">
      <c r="A223" s="106">
        <v>8</v>
      </c>
      <c r="B223" s="142" t="s">
        <v>42</v>
      </c>
      <c r="C223" s="392" t="s">
        <v>279</v>
      </c>
      <c r="D223" s="125">
        <v>0</v>
      </c>
      <c r="E223" s="131"/>
      <c r="F223" s="115"/>
      <c r="G223" s="131"/>
      <c r="H223" s="125">
        <v>0</v>
      </c>
      <c r="I223" s="125"/>
      <c r="J223" s="125">
        <v>0</v>
      </c>
      <c r="K223" s="164"/>
      <c r="L223" s="599"/>
      <c r="M223" s="600"/>
      <c r="N223" s="114"/>
      <c r="O223" s="115"/>
      <c r="P223" s="144"/>
      <c r="Q223" s="131">
        <v>0</v>
      </c>
      <c r="R223" s="33"/>
      <c r="S223" s="77">
        <v>0</v>
      </c>
    </row>
    <row r="224" spans="1:19" ht="32.25" customHeight="1">
      <c r="A224" s="106">
        <v>9</v>
      </c>
      <c r="B224" s="142" t="s">
        <v>69</v>
      </c>
      <c r="C224" s="392" t="s">
        <v>280</v>
      </c>
      <c r="D224" s="125">
        <v>0</v>
      </c>
      <c r="E224" s="131"/>
      <c r="F224" s="115"/>
      <c r="G224" s="131"/>
      <c r="H224" s="125">
        <v>0</v>
      </c>
      <c r="I224" s="125"/>
      <c r="J224" s="125">
        <v>0</v>
      </c>
      <c r="K224" s="164"/>
      <c r="L224" s="599"/>
      <c r="M224" s="600"/>
      <c r="N224" s="114"/>
      <c r="O224" s="115"/>
      <c r="P224" s="144"/>
      <c r="Q224" s="131">
        <v>0</v>
      </c>
      <c r="R224" s="33"/>
      <c r="S224" s="77">
        <v>0</v>
      </c>
    </row>
    <row r="225" spans="1:19" ht="32.25" customHeight="1">
      <c r="A225" s="106">
        <v>10</v>
      </c>
      <c r="B225" s="142" t="s">
        <v>75</v>
      </c>
      <c r="C225" s="392" t="s">
        <v>281</v>
      </c>
      <c r="D225" s="125">
        <v>0</v>
      </c>
      <c r="E225" s="131"/>
      <c r="F225" s="115"/>
      <c r="G225" s="131"/>
      <c r="H225" s="125">
        <v>0</v>
      </c>
      <c r="I225" s="125"/>
      <c r="J225" s="125">
        <v>0</v>
      </c>
      <c r="K225" s="541"/>
      <c r="L225" s="542"/>
      <c r="M225" s="543"/>
      <c r="N225" s="114"/>
      <c r="O225" s="115"/>
      <c r="P225" s="144"/>
      <c r="Q225" s="131">
        <v>0</v>
      </c>
      <c r="R225" s="33"/>
      <c r="S225" s="77">
        <v>0</v>
      </c>
    </row>
    <row r="226" spans="1:19" ht="32.25" customHeight="1">
      <c r="A226" s="106">
        <v>11</v>
      </c>
      <c r="B226" s="142" t="s">
        <v>77</v>
      </c>
      <c r="C226" s="392" t="s">
        <v>282</v>
      </c>
      <c r="D226" s="125">
        <v>0</v>
      </c>
      <c r="E226" s="131"/>
      <c r="F226" s="115"/>
      <c r="G226" s="131"/>
      <c r="H226" s="125">
        <v>0</v>
      </c>
      <c r="I226" s="125"/>
      <c r="J226" s="125">
        <v>0</v>
      </c>
      <c r="K226" s="541"/>
      <c r="L226" s="542"/>
      <c r="M226" s="543"/>
      <c r="N226" s="114"/>
      <c r="O226" s="115"/>
      <c r="P226" s="144"/>
      <c r="Q226" s="131">
        <v>0</v>
      </c>
      <c r="R226" s="33"/>
      <c r="S226" s="77">
        <v>0</v>
      </c>
    </row>
    <row r="227" spans="1:19" ht="32.25" customHeight="1">
      <c r="A227" s="106">
        <v>12</v>
      </c>
      <c r="B227" s="142" t="s">
        <v>77</v>
      </c>
      <c r="C227" s="392" t="s">
        <v>283</v>
      </c>
      <c r="D227" s="125">
        <v>0</v>
      </c>
      <c r="E227" s="131"/>
      <c r="F227" s="115"/>
      <c r="G227" s="131"/>
      <c r="H227" s="125">
        <v>0</v>
      </c>
      <c r="I227" s="125"/>
      <c r="J227" s="125">
        <v>0</v>
      </c>
      <c r="K227" s="541"/>
      <c r="L227" s="542"/>
      <c r="M227" s="543"/>
      <c r="N227" s="114"/>
      <c r="O227" s="115"/>
      <c r="P227" s="144"/>
      <c r="Q227" s="131">
        <v>0</v>
      </c>
      <c r="R227" s="33"/>
      <c r="S227" s="77">
        <v>0</v>
      </c>
    </row>
    <row r="228" spans="1:19" ht="32.25" customHeight="1">
      <c r="A228" s="106">
        <v>13</v>
      </c>
      <c r="B228" s="142" t="s">
        <v>75</v>
      </c>
      <c r="C228" s="392" t="s">
        <v>284</v>
      </c>
      <c r="D228" s="125">
        <v>0</v>
      </c>
      <c r="E228" s="131"/>
      <c r="F228" s="115"/>
      <c r="G228" s="131"/>
      <c r="H228" s="125">
        <v>0</v>
      </c>
      <c r="I228" s="125"/>
      <c r="J228" s="125">
        <v>0</v>
      </c>
      <c r="K228" s="541"/>
      <c r="L228" s="542"/>
      <c r="M228" s="543"/>
      <c r="N228" s="114"/>
      <c r="O228" s="115"/>
      <c r="P228" s="144"/>
      <c r="Q228" s="131">
        <v>0</v>
      </c>
      <c r="R228" s="33"/>
      <c r="S228" s="77">
        <v>0</v>
      </c>
    </row>
    <row r="229" spans="1:19" ht="32.25" customHeight="1">
      <c r="A229" s="106">
        <v>14</v>
      </c>
      <c r="B229" s="142" t="s">
        <v>83</v>
      </c>
      <c r="C229" s="392" t="s">
        <v>285</v>
      </c>
      <c r="D229" s="125">
        <v>0</v>
      </c>
      <c r="E229" s="131"/>
      <c r="F229" s="115"/>
      <c r="G229" s="131"/>
      <c r="H229" s="125">
        <v>0</v>
      </c>
      <c r="I229" s="125"/>
      <c r="J229" s="125">
        <v>0</v>
      </c>
      <c r="K229" s="541"/>
      <c r="L229" s="542"/>
      <c r="M229" s="543"/>
      <c r="N229" s="114"/>
      <c r="O229" s="115"/>
      <c r="P229" s="144"/>
      <c r="Q229" s="131">
        <v>0</v>
      </c>
      <c r="R229" s="33"/>
      <c r="S229" s="77">
        <v>0</v>
      </c>
    </row>
    <row r="230" spans="1:19" ht="32.25" customHeight="1">
      <c r="A230" s="106">
        <v>15</v>
      </c>
      <c r="B230" s="142" t="s">
        <v>87</v>
      </c>
      <c r="C230" s="392" t="s">
        <v>286</v>
      </c>
      <c r="D230" s="125">
        <v>0</v>
      </c>
      <c r="E230" s="131"/>
      <c r="F230" s="115"/>
      <c r="G230" s="131"/>
      <c r="H230" s="125">
        <v>0</v>
      </c>
      <c r="I230" s="125"/>
      <c r="J230" s="125">
        <v>0</v>
      </c>
      <c r="K230" s="164"/>
      <c r="L230" s="599"/>
      <c r="M230" s="600"/>
      <c r="N230" s="114"/>
      <c r="O230" s="115"/>
      <c r="P230" s="144"/>
      <c r="Q230" s="131">
        <v>0</v>
      </c>
      <c r="R230" s="33"/>
      <c r="S230" s="77">
        <v>0</v>
      </c>
    </row>
    <row r="231" spans="1:19" ht="32.25" customHeight="1">
      <c r="A231" s="106">
        <v>16</v>
      </c>
      <c r="B231" s="142" t="s">
        <v>75</v>
      </c>
      <c r="C231" s="392" t="s">
        <v>287</v>
      </c>
      <c r="D231" s="125">
        <v>0</v>
      </c>
      <c r="E231" s="131"/>
      <c r="F231" s="115"/>
      <c r="G231" s="131"/>
      <c r="H231" s="125">
        <v>0</v>
      </c>
      <c r="I231" s="125"/>
      <c r="J231" s="125">
        <v>0</v>
      </c>
      <c r="K231" s="541"/>
      <c r="L231" s="542"/>
      <c r="M231" s="543"/>
      <c r="N231" s="114"/>
      <c r="O231" s="115"/>
      <c r="P231" s="144"/>
      <c r="Q231" s="131">
        <v>0</v>
      </c>
      <c r="R231" s="33"/>
      <c r="S231" s="77">
        <v>0</v>
      </c>
    </row>
    <row r="232" spans="1:19" ht="32.25" customHeight="1">
      <c r="A232" s="106">
        <v>17</v>
      </c>
      <c r="B232" s="142" t="s">
        <v>92</v>
      </c>
      <c r="C232" s="392" t="s">
        <v>288</v>
      </c>
      <c r="D232" s="125">
        <v>0</v>
      </c>
      <c r="E232" s="131"/>
      <c r="F232" s="115"/>
      <c r="G232" s="131"/>
      <c r="H232" s="125">
        <v>0</v>
      </c>
      <c r="I232" s="125"/>
      <c r="J232" s="125">
        <v>0</v>
      </c>
      <c r="K232" s="541"/>
      <c r="L232" s="542"/>
      <c r="M232" s="543"/>
      <c r="N232" s="114"/>
      <c r="O232" s="115"/>
      <c r="P232" s="144"/>
      <c r="Q232" s="131">
        <v>0</v>
      </c>
      <c r="R232" s="33"/>
      <c r="S232" s="77">
        <v>0</v>
      </c>
    </row>
    <row r="233" spans="1:19" ht="32.25" customHeight="1">
      <c r="A233" s="106">
        <v>18</v>
      </c>
      <c r="B233" s="142" t="s">
        <v>75</v>
      </c>
      <c r="C233" s="392" t="s">
        <v>289</v>
      </c>
      <c r="D233" s="125">
        <v>0</v>
      </c>
      <c r="E233" s="131"/>
      <c r="F233" s="115"/>
      <c r="G233" s="131"/>
      <c r="H233" s="125">
        <v>0</v>
      </c>
      <c r="I233" s="125"/>
      <c r="J233" s="125">
        <v>0</v>
      </c>
      <c r="K233" s="541"/>
      <c r="L233" s="542"/>
      <c r="M233" s="543"/>
      <c r="N233" s="114"/>
      <c r="O233" s="115"/>
      <c r="P233" s="144"/>
      <c r="Q233" s="131">
        <v>0</v>
      </c>
      <c r="R233" s="33"/>
      <c r="S233" s="77">
        <v>0</v>
      </c>
    </row>
    <row r="234" spans="1:19" ht="32.25" customHeight="1">
      <c r="A234" s="106">
        <v>19</v>
      </c>
      <c r="B234" s="142" t="s">
        <v>95</v>
      </c>
      <c r="C234" s="392" t="s">
        <v>290</v>
      </c>
      <c r="D234" s="125">
        <v>0</v>
      </c>
      <c r="E234" s="131"/>
      <c r="F234" s="115"/>
      <c r="G234" s="131"/>
      <c r="H234" s="125">
        <v>0</v>
      </c>
      <c r="I234" s="125"/>
      <c r="J234" s="125">
        <v>0</v>
      </c>
      <c r="K234" s="164"/>
      <c r="L234" s="599"/>
      <c r="M234" s="600"/>
      <c r="N234" s="114"/>
      <c r="O234" s="115"/>
      <c r="P234" s="144"/>
      <c r="Q234" s="131">
        <v>0</v>
      </c>
      <c r="R234" s="33"/>
      <c r="S234" s="77">
        <v>0</v>
      </c>
    </row>
    <row r="235" spans="1:19" ht="32.25" customHeight="1">
      <c r="A235" s="106">
        <v>20</v>
      </c>
      <c r="B235" s="142" t="s">
        <v>236</v>
      </c>
      <c r="C235" s="392" t="s">
        <v>291</v>
      </c>
      <c r="D235" s="125">
        <v>0</v>
      </c>
      <c r="E235" s="131"/>
      <c r="F235" s="115"/>
      <c r="G235" s="131"/>
      <c r="H235" s="125">
        <v>0</v>
      </c>
      <c r="I235" s="125"/>
      <c r="J235" s="125">
        <v>0</v>
      </c>
      <c r="K235" s="164"/>
      <c r="L235" s="599"/>
      <c r="M235" s="600"/>
      <c r="N235" s="114"/>
      <c r="O235" s="115"/>
      <c r="P235" s="144"/>
      <c r="Q235" s="131">
        <v>0</v>
      </c>
      <c r="R235" s="33"/>
      <c r="S235" s="77">
        <v>0</v>
      </c>
    </row>
    <row r="236" spans="1:19" ht="32.25" customHeight="1" thickBot="1">
      <c r="A236" s="39"/>
      <c r="B236" s="50" t="s">
        <v>19</v>
      </c>
      <c r="C236" s="50"/>
      <c r="D236" s="51">
        <v>0</v>
      </c>
      <c r="E236" s="52"/>
      <c r="F236" s="53"/>
      <c r="G236" s="52"/>
      <c r="H236" s="51">
        <v>0</v>
      </c>
      <c r="I236" s="51">
        <v>0</v>
      </c>
      <c r="J236" s="51">
        <v>0</v>
      </c>
      <c r="K236" s="547"/>
      <c r="L236" s="548"/>
      <c r="M236" s="549">
        <v>0</v>
      </c>
      <c r="N236" s="57"/>
      <c r="O236" s="53"/>
      <c r="P236" s="51"/>
      <c r="Q236" s="51">
        <v>0</v>
      </c>
      <c r="R236" s="51">
        <v>0</v>
      </c>
      <c r="S236" s="51">
        <v>0</v>
      </c>
    </row>
    <row r="237" spans="1:19" ht="32.25" customHeight="1" thickTop="1">
      <c r="A237" s="39"/>
      <c r="B237" s="141" t="s">
        <v>292</v>
      </c>
      <c r="C237" s="142"/>
      <c r="D237" s="125"/>
      <c r="E237" s="131"/>
      <c r="F237" s="115"/>
      <c r="G237" s="33"/>
      <c r="H237" s="143"/>
      <c r="I237" s="143"/>
      <c r="J237" s="143"/>
      <c r="K237" s="541"/>
      <c r="L237" s="542"/>
      <c r="M237" s="543"/>
      <c r="N237" s="114"/>
      <c r="O237" s="115"/>
      <c r="P237" s="144"/>
      <c r="Q237" s="33"/>
      <c r="R237" s="33"/>
      <c r="S237" s="145"/>
    </row>
    <row r="238" spans="1:19" ht="32.25" customHeight="1">
      <c r="A238" s="39">
        <v>1</v>
      </c>
      <c r="B238" s="41" t="s">
        <v>152</v>
      </c>
      <c r="C238" s="41" t="s">
        <v>293</v>
      </c>
      <c r="D238" s="42"/>
      <c r="E238" s="6"/>
      <c r="F238" s="43"/>
      <c r="G238" s="6"/>
      <c r="H238" s="42"/>
      <c r="I238" s="42"/>
      <c r="J238" s="42"/>
      <c r="K238" s="544"/>
      <c r="L238" s="545"/>
      <c r="M238" s="546"/>
      <c r="N238" s="5"/>
      <c r="O238" s="43"/>
      <c r="P238" s="47"/>
      <c r="Q238" s="48"/>
      <c r="R238" s="48"/>
      <c r="S238" s="49"/>
    </row>
    <row r="239" spans="1:19" ht="32.25" customHeight="1">
      <c r="A239" s="39">
        <v>2</v>
      </c>
      <c r="B239" s="41" t="s">
        <v>294</v>
      </c>
      <c r="C239" s="41" t="s">
        <v>295</v>
      </c>
      <c r="D239" s="42" t="s">
        <v>296</v>
      </c>
      <c r="E239" s="6"/>
      <c r="F239" s="43"/>
      <c r="G239" s="6"/>
      <c r="H239" s="42"/>
      <c r="I239" s="42"/>
      <c r="J239" s="42"/>
      <c r="K239" s="393"/>
      <c r="L239" s="394"/>
      <c r="M239" s="395"/>
      <c r="N239" s="5"/>
      <c r="O239" s="43"/>
      <c r="P239" s="47"/>
      <c r="Q239" s="48"/>
      <c r="R239" s="48"/>
      <c r="S239" s="49"/>
    </row>
    <row r="240" spans="1:19" ht="32.25" customHeight="1">
      <c r="A240" s="39"/>
      <c r="B240" s="40" t="s">
        <v>297</v>
      </c>
      <c r="C240" s="41"/>
      <c r="D240" s="42"/>
      <c r="E240" s="6"/>
      <c r="F240" s="43"/>
      <c r="G240" s="6"/>
      <c r="H240" s="42"/>
      <c r="I240" s="42"/>
      <c r="J240" s="42"/>
      <c r="K240" s="595"/>
      <c r="L240" s="596"/>
      <c r="M240" s="597"/>
      <c r="N240" s="5"/>
      <c r="O240" s="43"/>
      <c r="P240" s="47"/>
      <c r="Q240" s="48"/>
      <c r="R240" s="48"/>
      <c r="S240" s="49"/>
    </row>
    <row r="241" spans="1:19" ht="32.25" customHeight="1">
      <c r="A241" s="39"/>
      <c r="B241" s="40" t="s">
        <v>298</v>
      </c>
      <c r="C241" s="41"/>
      <c r="D241" s="42"/>
      <c r="E241" s="6"/>
      <c r="F241" s="43"/>
      <c r="G241" s="6"/>
      <c r="H241" s="42"/>
      <c r="I241" s="42"/>
      <c r="J241" s="42"/>
      <c r="K241" s="595"/>
      <c r="L241" s="596"/>
      <c r="M241" s="597"/>
      <c r="N241" s="5"/>
      <c r="O241" s="43"/>
      <c r="P241" s="47"/>
      <c r="Q241" s="48"/>
      <c r="R241" s="48"/>
      <c r="S241" s="49"/>
    </row>
    <row r="242" spans="1:19" ht="32.25" customHeight="1">
      <c r="A242" s="39">
        <v>3</v>
      </c>
      <c r="B242" s="40" t="s">
        <v>130</v>
      </c>
      <c r="C242" s="41" t="s">
        <v>299</v>
      </c>
      <c r="D242" s="42"/>
      <c r="E242" s="6"/>
      <c r="F242" s="43"/>
      <c r="G242" s="6"/>
      <c r="H242" s="42"/>
      <c r="I242" s="42"/>
      <c r="J242" s="42"/>
      <c r="K242" s="595"/>
      <c r="L242" s="596"/>
      <c r="M242" s="597"/>
      <c r="N242" s="5"/>
      <c r="O242" s="43"/>
      <c r="P242" s="47"/>
      <c r="Q242" s="48"/>
      <c r="R242" s="48"/>
      <c r="S242" s="49"/>
    </row>
    <row r="243" spans="1:19" ht="32.25" customHeight="1">
      <c r="A243" s="39">
        <v>4</v>
      </c>
      <c r="B243" s="40" t="s">
        <v>276</v>
      </c>
      <c r="C243" s="41" t="s">
        <v>302</v>
      </c>
      <c r="D243" s="42"/>
      <c r="E243" s="6"/>
      <c r="F243" s="43"/>
      <c r="G243" s="6"/>
      <c r="H243" s="42"/>
      <c r="I243" s="42"/>
      <c r="J243" s="42"/>
      <c r="K243" s="595"/>
      <c r="L243" s="596"/>
      <c r="M243" s="597"/>
      <c r="N243" s="5"/>
      <c r="O243" s="43"/>
      <c r="P243" s="47"/>
      <c r="Q243" s="48"/>
      <c r="R243" s="48"/>
      <c r="S243" s="49"/>
    </row>
    <row r="244" spans="1:19" ht="32.25" customHeight="1">
      <c r="A244" s="39">
        <v>5</v>
      </c>
      <c r="B244" s="40" t="s">
        <v>192</v>
      </c>
      <c r="C244" s="41" t="s">
        <v>306</v>
      </c>
      <c r="D244" s="42"/>
      <c r="E244" s="6"/>
      <c r="F244" s="43"/>
      <c r="G244" s="6"/>
      <c r="H244" s="42"/>
      <c r="I244" s="42"/>
      <c r="J244" s="42"/>
      <c r="K244" s="595"/>
      <c r="L244" s="596"/>
      <c r="M244" s="597"/>
      <c r="N244" s="5"/>
      <c r="O244" s="43"/>
      <c r="P244" s="47"/>
      <c r="Q244" s="48"/>
      <c r="R244" s="48"/>
      <c r="S244" s="49"/>
    </row>
    <row r="245" spans="1:19" ht="32.25" customHeight="1">
      <c r="A245" s="39">
        <v>6</v>
      </c>
      <c r="B245" s="40" t="s">
        <v>387</v>
      </c>
      <c r="C245" s="41" t="s">
        <v>388</v>
      </c>
      <c r="D245" s="42">
        <v>0</v>
      </c>
      <c r="E245" s="6"/>
      <c r="F245" s="43"/>
      <c r="G245" s="6"/>
      <c r="H245" s="42"/>
      <c r="I245" s="42"/>
      <c r="J245" s="42"/>
      <c r="K245" s="595"/>
      <c r="L245" s="596"/>
      <c r="M245" s="597"/>
      <c r="N245" s="5"/>
      <c r="O245" s="43"/>
      <c r="P245" s="47"/>
      <c r="Q245" s="48"/>
      <c r="R245" s="48"/>
      <c r="S245" s="49"/>
    </row>
    <row r="246" spans="1:19" ht="32.25" customHeight="1">
      <c r="A246" s="39"/>
      <c r="B246" s="40" t="s">
        <v>391</v>
      </c>
      <c r="C246" s="41"/>
      <c r="D246" s="42">
        <v>0</v>
      </c>
      <c r="E246" s="6"/>
      <c r="F246" s="43"/>
      <c r="G246" s="6"/>
      <c r="H246" s="42">
        <v>0</v>
      </c>
      <c r="I246" s="42">
        <v>0</v>
      </c>
      <c r="J246" s="42">
        <v>0</v>
      </c>
      <c r="K246" s="595"/>
      <c r="L246" s="596"/>
      <c r="M246" s="597"/>
      <c r="N246" s="5"/>
      <c r="O246" s="43"/>
      <c r="P246" s="47"/>
      <c r="Q246" s="48"/>
      <c r="R246" s="48"/>
      <c r="S246" s="49"/>
    </row>
    <row r="247" spans="1:19" ht="32.25" customHeight="1" thickBot="1">
      <c r="A247" s="39"/>
      <c r="B247" s="50" t="s">
        <v>19</v>
      </c>
      <c r="C247" s="50"/>
      <c r="D247" s="51">
        <v>0</v>
      </c>
      <c r="E247" s="52"/>
      <c r="F247" s="53"/>
      <c r="G247" s="52"/>
      <c r="H247" s="51">
        <f>SUM(H245:H246)</f>
        <v>0</v>
      </c>
      <c r="I247" s="51">
        <v>0</v>
      </c>
      <c r="J247" s="51">
        <f>SUM(J238:J246)</f>
        <v>0</v>
      </c>
      <c r="K247" s="547"/>
      <c r="L247" s="548"/>
      <c r="M247" s="549">
        <f>SUM(M245:M246)</f>
        <v>0</v>
      </c>
      <c r="N247" s="57"/>
      <c r="O247" s="53"/>
      <c r="P247" s="51"/>
      <c r="Q247" s="51"/>
      <c r="R247" s="51"/>
      <c r="S247" s="51"/>
    </row>
    <row r="248" spans="1:19" ht="32.25" customHeight="1" thickTop="1" thickBot="1">
      <c r="A248" s="396"/>
      <c r="B248" s="397" t="s">
        <v>309</v>
      </c>
      <c r="C248" s="398"/>
      <c r="D248" s="399">
        <f>SUM(D9+D16+D21+D52+D55+D58+D61+D97+D131+D146+D160+D163+D214+D236+D247)</f>
        <v>175933.33</v>
      </c>
      <c r="E248" s="399">
        <f t="shared" ref="E248:S248" si="13">SUM(E9+E16+E21+E52+E55+E58+E61+E97+E131+E146+E160+E163+E214+E236+E247)</f>
        <v>0</v>
      </c>
      <c r="F248" s="399">
        <f t="shared" si="13"/>
        <v>0</v>
      </c>
      <c r="G248" s="399">
        <f t="shared" si="13"/>
        <v>0</v>
      </c>
      <c r="H248" s="399">
        <f t="shared" si="13"/>
        <v>3470</v>
      </c>
      <c r="I248" s="399">
        <f t="shared" si="13"/>
        <v>242.9</v>
      </c>
      <c r="J248" s="399">
        <f t="shared" si="13"/>
        <v>3712.9</v>
      </c>
      <c r="K248" s="399">
        <f t="shared" si="13"/>
        <v>0</v>
      </c>
      <c r="L248" s="399">
        <f t="shared" si="13"/>
        <v>0</v>
      </c>
      <c r="M248" s="399">
        <f t="shared" si="13"/>
        <v>182573.06</v>
      </c>
      <c r="N248" s="399">
        <f t="shared" si="13"/>
        <v>0</v>
      </c>
      <c r="O248" s="399">
        <f t="shared" si="13"/>
        <v>0</v>
      </c>
      <c r="P248" s="399">
        <f t="shared" si="13"/>
        <v>0</v>
      </c>
      <c r="Q248" s="399">
        <f t="shared" si="13"/>
        <v>3090.0000000000009</v>
      </c>
      <c r="R248" s="399">
        <f t="shared" si="13"/>
        <v>216.29999999999987</v>
      </c>
      <c r="S248" s="399">
        <f t="shared" si="13"/>
        <v>3306.3000000000006</v>
      </c>
    </row>
    <row r="249" spans="1:19" ht="25.2" thickTop="1">
      <c r="K249" s="618"/>
      <c r="L249" s="618"/>
      <c r="M249" s="422"/>
    </row>
    <row r="250" spans="1:19">
      <c r="K250" s="618"/>
      <c r="L250" s="618"/>
      <c r="M250" s="422"/>
    </row>
    <row r="251" spans="1:19">
      <c r="K251" s="618"/>
      <c r="L251" s="618"/>
      <c r="M251" s="422"/>
    </row>
    <row r="252" spans="1:19">
      <c r="K252" s="618"/>
      <c r="L252" s="618"/>
      <c r="M252" s="422"/>
    </row>
    <row r="253" spans="1:19">
      <c r="K253" s="618"/>
      <c r="L253" s="618"/>
      <c r="M253" s="422"/>
    </row>
    <row r="254" spans="1:19" s="406" customFormat="1" ht="32.25" customHeight="1">
      <c r="A254" s="2"/>
      <c r="B254" s="643"/>
      <c r="C254" s="642"/>
      <c r="D254" s="642"/>
      <c r="E254" s="1"/>
      <c r="F254" s="407"/>
      <c r="G254" s="1"/>
      <c r="H254" s="408"/>
      <c r="I254" s="409"/>
      <c r="J254" s="408"/>
      <c r="K254" s="619"/>
      <c r="L254" s="620"/>
      <c r="M254" s="666"/>
      <c r="N254" s="642"/>
      <c r="O254" s="642"/>
      <c r="P254" s="642"/>
      <c r="Q254" s="412"/>
      <c r="S254" s="2"/>
    </row>
    <row r="255" spans="1:19" s="406" customFormat="1" ht="32.25" customHeight="1">
      <c r="A255" s="2"/>
      <c r="B255" s="413"/>
      <c r="C255" s="667"/>
      <c r="D255" s="642"/>
      <c r="E255" s="1"/>
      <c r="F255" s="407"/>
      <c r="G255" s="1"/>
      <c r="H255" s="667"/>
      <c r="I255" s="642"/>
      <c r="J255" s="642"/>
      <c r="K255" s="642"/>
      <c r="L255" s="620"/>
      <c r="M255" s="668"/>
      <c r="N255" s="642"/>
      <c r="O255" s="642"/>
      <c r="P255" s="642"/>
      <c r="Q255" s="412"/>
      <c r="S255" s="2"/>
    </row>
    <row r="256" spans="1:19" s="406" customFormat="1" ht="32.25" customHeight="1">
      <c r="A256" s="2"/>
      <c r="B256" s="413"/>
      <c r="C256" s="662"/>
      <c r="D256" s="642"/>
      <c r="E256" s="1"/>
      <c r="F256" s="407"/>
      <c r="G256" s="1"/>
      <c r="H256" s="663"/>
      <c r="I256" s="642"/>
      <c r="J256" s="642"/>
      <c r="K256" s="619"/>
      <c r="L256" s="641"/>
      <c r="M256" s="642"/>
      <c r="N256" s="642"/>
      <c r="O256" s="642"/>
      <c r="P256" s="642"/>
      <c r="Q256" s="642"/>
      <c r="S256" s="2"/>
    </row>
  </sheetData>
  <mergeCells count="26">
    <mergeCell ref="C256:D256"/>
    <mergeCell ref="H256:J256"/>
    <mergeCell ref="L256:Q256"/>
    <mergeCell ref="B192:C192"/>
    <mergeCell ref="B193:C193"/>
    <mergeCell ref="B254:D254"/>
    <mergeCell ref="M254:P254"/>
    <mergeCell ref="C255:D255"/>
    <mergeCell ref="H255:K255"/>
    <mergeCell ref="M255:P255"/>
    <mergeCell ref="B96:D96"/>
    <mergeCell ref="A1:S1"/>
    <mergeCell ref="A2:S2"/>
    <mergeCell ref="A3:S3"/>
    <mergeCell ref="B4:B6"/>
    <mergeCell ref="C4:C6"/>
    <mergeCell ref="E4:J4"/>
    <mergeCell ref="K4:M4"/>
    <mergeCell ref="N4:S4"/>
    <mergeCell ref="H5:J5"/>
    <mergeCell ref="Q5:S5"/>
    <mergeCell ref="B82:D82"/>
    <mergeCell ref="B84:D84"/>
    <mergeCell ref="B86:D86"/>
    <mergeCell ref="B88:D88"/>
    <mergeCell ref="B90:D90"/>
  </mergeCells>
  <pageMargins left="0.7" right="0.7" top="0.75" bottom="0.75" header="0.3" footer="0.3"/>
  <pageSetup paperSize="9" scale="4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D8090-ED6B-44E3-B6D9-88B36EC51C50}">
  <sheetPr>
    <tabColor rgb="FFFFFF00"/>
  </sheetPr>
  <dimension ref="A1:J101"/>
  <sheetViews>
    <sheetView zoomScale="60" zoomScaleNormal="60" workbookViewId="0">
      <pane ySplit="6" topLeftCell="A82" activePane="bottomLeft" state="frozen"/>
      <selection pane="bottomLeft" activeCell="F92" sqref="F92"/>
    </sheetView>
  </sheetViews>
  <sheetFormatPr defaultColWidth="12.5546875" defaultRowHeight="24.6"/>
  <cols>
    <col min="1" max="1" width="5.6640625" style="2" customWidth="1"/>
    <col min="2" max="2" width="42.5546875" style="2" customWidth="1"/>
    <col min="3" max="3" width="31.44140625" style="2" customWidth="1"/>
    <col min="4" max="4" width="17.6640625" style="621" customWidth="1"/>
    <col min="5" max="5" width="25" style="621" customWidth="1"/>
    <col min="6" max="6" width="16.109375" style="569" customWidth="1"/>
    <col min="7" max="9" width="12.5546875" style="2"/>
    <col min="10" max="10" width="29.77734375" style="2" customWidth="1"/>
    <col min="11" max="16384" width="12.5546875" style="2"/>
  </cols>
  <sheetData>
    <row r="1" spans="1:8" ht="22.5" customHeight="1">
      <c r="A1" s="643" t="s">
        <v>0</v>
      </c>
      <c r="B1" s="642"/>
      <c r="C1" s="642"/>
      <c r="D1" s="642"/>
      <c r="E1" s="642"/>
      <c r="F1" s="642"/>
    </row>
    <row r="2" spans="1:8" ht="27" customHeight="1">
      <c r="A2" s="643" t="s">
        <v>1</v>
      </c>
      <c r="B2" s="642"/>
      <c r="C2" s="642"/>
      <c r="D2" s="642"/>
      <c r="E2" s="642"/>
      <c r="F2" s="642"/>
    </row>
    <row r="3" spans="1:8" ht="22.5" customHeight="1">
      <c r="A3" s="644" t="s">
        <v>937</v>
      </c>
      <c r="B3" s="645"/>
      <c r="C3" s="645"/>
      <c r="D3" s="645"/>
      <c r="E3" s="645"/>
      <c r="F3" s="645"/>
    </row>
    <row r="4" spans="1:8" ht="34.5" customHeight="1">
      <c r="A4" s="3" t="s">
        <v>3</v>
      </c>
      <c r="B4" s="646" t="s">
        <v>4</v>
      </c>
      <c r="C4" s="646" t="s">
        <v>5</v>
      </c>
      <c r="D4" s="649" t="s">
        <v>8</v>
      </c>
      <c r="E4" s="650"/>
      <c r="F4" s="651"/>
    </row>
    <row r="5" spans="1:8" ht="24.75" customHeight="1">
      <c r="A5" s="5"/>
      <c r="B5" s="647"/>
      <c r="C5" s="647"/>
      <c r="D5" s="535" t="s">
        <v>14</v>
      </c>
      <c r="E5" s="536" t="s">
        <v>15</v>
      </c>
      <c r="F5" s="537" t="s">
        <v>16</v>
      </c>
    </row>
    <row r="6" spans="1:8" ht="27.75" customHeight="1" thickBot="1">
      <c r="A6" s="14"/>
      <c r="B6" s="648"/>
      <c r="C6" s="648"/>
      <c r="D6" s="538"/>
      <c r="E6" s="539"/>
      <c r="F6" s="540"/>
    </row>
    <row r="7" spans="1:8" ht="32.25" customHeight="1" thickTop="1">
      <c r="A7" s="39"/>
      <c r="B7" s="58" t="s">
        <v>22</v>
      </c>
      <c r="C7" s="59"/>
      <c r="D7" s="550"/>
      <c r="E7" s="551"/>
      <c r="F7" s="552"/>
    </row>
    <row r="8" spans="1:8" s="78" customFormat="1" ht="32.25" customHeight="1">
      <c r="A8" s="39">
        <v>1</v>
      </c>
      <c r="B8" s="71" t="s">
        <v>23</v>
      </c>
      <c r="C8" s="71" t="s">
        <v>24</v>
      </c>
      <c r="D8" s="553" t="s">
        <v>938</v>
      </c>
      <c r="E8" s="554" t="s">
        <v>939</v>
      </c>
      <c r="F8" s="555">
        <v>2182.8000000000002</v>
      </c>
    </row>
    <row r="9" spans="1:8" s="78" customFormat="1" ht="32.25" customHeight="1">
      <c r="A9" s="39">
        <v>2</v>
      </c>
      <c r="B9" s="71" t="s">
        <v>27</v>
      </c>
      <c r="C9" s="71" t="s">
        <v>24</v>
      </c>
      <c r="D9" s="553" t="s">
        <v>938</v>
      </c>
      <c r="E9" s="554" t="s">
        <v>940</v>
      </c>
      <c r="F9" s="555">
        <v>434.42</v>
      </c>
    </row>
    <row r="10" spans="1:8" s="78" customFormat="1" ht="32.25" customHeight="1">
      <c r="A10" s="39">
        <v>3</v>
      </c>
      <c r="B10" s="71" t="s">
        <v>30</v>
      </c>
      <c r="C10" s="71" t="s">
        <v>24</v>
      </c>
      <c r="D10" s="553" t="s">
        <v>941</v>
      </c>
      <c r="E10" s="554" t="s">
        <v>942</v>
      </c>
      <c r="F10" s="555">
        <v>173.34</v>
      </c>
    </row>
    <row r="11" spans="1:8" ht="32.25" customHeight="1" thickBot="1">
      <c r="A11" s="39"/>
      <c r="B11" s="50" t="s">
        <v>19</v>
      </c>
      <c r="C11" s="50"/>
      <c r="D11" s="557"/>
      <c r="E11" s="558"/>
      <c r="F11" s="549">
        <v>2790.5600000000004</v>
      </c>
      <c r="H11" s="406">
        <f>SUM(F8:F10)</f>
        <v>2790.5600000000004</v>
      </c>
    </row>
    <row r="12" spans="1:8" ht="32.25" customHeight="1" thickTop="1">
      <c r="A12" s="39"/>
      <c r="B12" s="58" t="s">
        <v>32</v>
      </c>
      <c r="C12" s="59"/>
      <c r="D12" s="550"/>
      <c r="E12" s="551"/>
      <c r="F12" s="552"/>
    </row>
    <row r="13" spans="1:8" s="78" customFormat="1" ht="32.25" customHeight="1">
      <c r="A13" s="39">
        <v>1</v>
      </c>
      <c r="B13" s="71" t="s">
        <v>23</v>
      </c>
      <c r="C13" s="71" t="s">
        <v>33</v>
      </c>
      <c r="D13" s="553" t="s">
        <v>938</v>
      </c>
      <c r="E13" s="559" t="s">
        <v>943</v>
      </c>
      <c r="F13" s="555">
        <v>780</v>
      </c>
    </row>
    <row r="14" spans="1:8" s="78" customFormat="1" ht="32.25" customHeight="1">
      <c r="A14" s="39">
        <v>2</v>
      </c>
      <c r="B14" s="71" t="s">
        <v>27</v>
      </c>
      <c r="C14" s="71" t="s">
        <v>33</v>
      </c>
      <c r="D14" s="553" t="s">
        <v>938</v>
      </c>
      <c r="E14" s="560" t="s">
        <v>944</v>
      </c>
      <c r="F14" s="555">
        <v>180</v>
      </c>
    </row>
    <row r="15" spans="1:8" ht="32.25" customHeight="1" thickBot="1">
      <c r="A15" s="39"/>
      <c r="B15" s="50" t="s">
        <v>19</v>
      </c>
      <c r="C15" s="50"/>
      <c r="D15" s="561"/>
      <c r="E15" s="562"/>
      <c r="F15" s="563">
        <v>960</v>
      </c>
      <c r="H15" s="406">
        <f>SUM(F13:F14)</f>
        <v>960</v>
      </c>
    </row>
    <row r="16" spans="1:8" ht="32.25" hidden="1" customHeight="1" thickBot="1">
      <c r="A16" s="104" t="s">
        <v>36</v>
      </c>
      <c r="B16" s="104" t="s">
        <v>37</v>
      </c>
      <c r="C16" s="105">
        <v>780</v>
      </c>
      <c r="D16" s="550"/>
      <c r="E16" s="551"/>
      <c r="F16" s="552"/>
    </row>
    <row r="17" spans="1:6" ht="32.25" hidden="1" customHeight="1" thickTop="1">
      <c r="A17" s="104" t="s">
        <v>36</v>
      </c>
      <c r="B17" s="104" t="s">
        <v>38</v>
      </c>
      <c r="C17" s="105">
        <v>180</v>
      </c>
      <c r="D17" s="544"/>
      <c r="E17" s="545"/>
      <c r="F17" s="546"/>
    </row>
    <row r="18" spans="1:6" ht="32.25" hidden="1" customHeight="1" thickTop="1">
      <c r="A18" s="39"/>
      <c r="B18" s="50" t="s">
        <v>19</v>
      </c>
      <c r="C18" s="50"/>
      <c r="D18" s="547"/>
      <c r="E18" s="548"/>
      <c r="F18" s="549"/>
    </row>
    <row r="19" spans="1:6" ht="32.25" hidden="1" customHeight="1" thickTop="1">
      <c r="A19" s="39"/>
      <c r="B19" s="58" t="s">
        <v>39</v>
      </c>
      <c r="C19" s="59"/>
      <c r="D19" s="550"/>
      <c r="E19" s="551"/>
      <c r="F19" s="552"/>
    </row>
    <row r="20" spans="1:6" ht="32.25" hidden="1" customHeight="1" thickTop="1">
      <c r="A20" s="39">
        <v>1</v>
      </c>
      <c r="B20" s="40"/>
      <c r="C20" s="41"/>
      <c r="D20" s="544"/>
      <c r="E20" s="545"/>
      <c r="F20" s="546"/>
    </row>
    <row r="21" spans="1:6" ht="32.25" hidden="1" customHeight="1" thickTop="1">
      <c r="A21" s="39"/>
      <c r="B21" s="50" t="s">
        <v>19</v>
      </c>
      <c r="C21" s="50"/>
      <c r="D21" s="547"/>
      <c r="E21" s="548"/>
      <c r="F21" s="549"/>
    </row>
    <row r="22" spans="1:6" ht="32.25" hidden="1" customHeight="1" thickTop="1">
      <c r="A22" s="39"/>
      <c r="B22" s="58" t="s">
        <v>40</v>
      </c>
      <c r="C22" s="59"/>
      <c r="D22" s="550"/>
      <c r="E22" s="551"/>
      <c r="F22" s="552"/>
    </row>
    <row r="23" spans="1:6" ht="32.25" hidden="1" customHeight="1" thickTop="1">
      <c r="A23" s="39">
        <v>1</v>
      </c>
      <c r="B23" s="40"/>
      <c r="C23" s="41"/>
      <c r="D23" s="544"/>
      <c r="E23" s="545"/>
      <c r="F23" s="546"/>
    </row>
    <row r="24" spans="1:6" ht="32.25" hidden="1" customHeight="1" thickTop="1">
      <c r="A24" s="39"/>
      <c r="B24" s="50" t="s">
        <v>19</v>
      </c>
      <c r="C24" s="50"/>
      <c r="D24" s="547"/>
      <c r="E24" s="548"/>
      <c r="F24" s="549"/>
    </row>
    <row r="25" spans="1:6" ht="32.25" customHeight="1" thickTop="1">
      <c r="A25" s="39"/>
      <c r="B25" s="58" t="s">
        <v>41</v>
      </c>
      <c r="C25" s="59"/>
      <c r="D25" s="550"/>
      <c r="E25" s="551"/>
      <c r="F25" s="552"/>
    </row>
    <row r="26" spans="1:6" ht="32.25" customHeight="1">
      <c r="A26" s="106">
        <v>1</v>
      </c>
      <c r="B26" s="107" t="s">
        <v>404</v>
      </c>
      <c r="C26" s="107" t="s">
        <v>400</v>
      </c>
      <c r="D26" s="553" t="s">
        <v>945</v>
      </c>
      <c r="E26" s="554" t="s">
        <v>946</v>
      </c>
      <c r="F26" s="555">
        <v>642</v>
      </c>
    </row>
    <row r="27" spans="1:6" ht="32.25" customHeight="1">
      <c r="A27" s="106">
        <v>2</v>
      </c>
      <c r="B27" s="117" t="s">
        <v>484</v>
      </c>
      <c r="C27" s="107" t="s">
        <v>400</v>
      </c>
      <c r="D27" s="553" t="s">
        <v>945</v>
      </c>
      <c r="E27" s="554" t="s">
        <v>947</v>
      </c>
      <c r="F27" s="555">
        <v>642</v>
      </c>
    </row>
    <row r="28" spans="1:6" ht="32.25" customHeight="1">
      <c r="A28" s="106">
        <v>3</v>
      </c>
      <c r="B28" s="117" t="s">
        <v>485</v>
      </c>
      <c r="C28" s="107" t="s">
        <v>400</v>
      </c>
      <c r="D28" s="553" t="s">
        <v>938</v>
      </c>
      <c r="E28" s="554" t="s">
        <v>948</v>
      </c>
      <c r="F28" s="555">
        <v>321</v>
      </c>
    </row>
    <row r="29" spans="1:6" ht="32.25" customHeight="1">
      <c r="A29" s="106">
        <v>4</v>
      </c>
      <c r="B29" s="117" t="s">
        <v>486</v>
      </c>
      <c r="C29" s="107" t="s">
        <v>400</v>
      </c>
      <c r="D29" s="553" t="s">
        <v>938</v>
      </c>
      <c r="E29" s="554" t="s">
        <v>949</v>
      </c>
      <c r="F29" s="555">
        <v>321</v>
      </c>
    </row>
    <row r="30" spans="1:6" ht="32.25" customHeight="1">
      <c r="A30" s="106">
        <v>5</v>
      </c>
      <c r="B30" s="117" t="s">
        <v>827</v>
      </c>
      <c r="C30" s="107" t="s">
        <v>400</v>
      </c>
      <c r="D30" s="553" t="s">
        <v>950</v>
      </c>
      <c r="E30" s="554" t="s">
        <v>951</v>
      </c>
      <c r="F30" s="555">
        <v>642</v>
      </c>
    </row>
    <row r="31" spans="1:6" ht="32.25" customHeight="1">
      <c r="A31" s="106">
        <v>6</v>
      </c>
      <c r="B31" s="117" t="s">
        <v>869</v>
      </c>
      <c r="C31" s="107" t="s">
        <v>400</v>
      </c>
      <c r="D31" s="553" t="s">
        <v>950</v>
      </c>
      <c r="E31" s="554" t="s">
        <v>952</v>
      </c>
      <c r="F31" s="555">
        <v>321</v>
      </c>
    </row>
    <row r="32" spans="1:6" ht="32.25" customHeight="1">
      <c r="A32" s="106">
        <v>7</v>
      </c>
      <c r="B32" s="117" t="s">
        <v>722</v>
      </c>
      <c r="C32" s="107" t="s">
        <v>400</v>
      </c>
      <c r="D32" s="553" t="s">
        <v>950</v>
      </c>
      <c r="E32" s="554" t="s">
        <v>953</v>
      </c>
      <c r="F32" s="555">
        <v>642</v>
      </c>
    </row>
    <row r="33" spans="1:8" ht="32.25" customHeight="1">
      <c r="A33" s="106">
        <v>8</v>
      </c>
      <c r="B33" s="117" t="s">
        <v>641</v>
      </c>
      <c r="C33" s="107" t="s">
        <v>400</v>
      </c>
      <c r="D33" s="553" t="s">
        <v>950</v>
      </c>
      <c r="E33" s="554" t="s">
        <v>954</v>
      </c>
      <c r="F33" s="555">
        <v>642</v>
      </c>
    </row>
    <row r="34" spans="1:8" ht="32.25" customHeight="1">
      <c r="A34" s="106">
        <v>9</v>
      </c>
      <c r="B34" s="117" t="s">
        <v>730</v>
      </c>
      <c r="C34" s="107" t="s">
        <v>400</v>
      </c>
      <c r="D34" s="553" t="s">
        <v>950</v>
      </c>
      <c r="E34" s="554" t="s">
        <v>955</v>
      </c>
      <c r="F34" s="555">
        <v>642</v>
      </c>
    </row>
    <row r="35" spans="1:8" ht="32.25" customHeight="1">
      <c r="A35" s="116">
        <v>10</v>
      </c>
      <c r="B35" s="117" t="s">
        <v>526</v>
      </c>
      <c r="C35" s="107" t="s">
        <v>400</v>
      </c>
      <c r="D35" s="564" t="s">
        <v>956</v>
      </c>
      <c r="E35" s="565" t="s">
        <v>957</v>
      </c>
      <c r="F35" s="566">
        <v>642</v>
      </c>
    </row>
    <row r="36" spans="1:8" ht="32.25" customHeight="1">
      <c r="A36" s="116">
        <v>11</v>
      </c>
      <c r="B36" s="117" t="s">
        <v>649</v>
      </c>
      <c r="C36" s="107" t="s">
        <v>400</v>
      </c>
      <c r="D36" s="564" t="s">
        <v>938</v>
      </c>
      <c r="E36" s="565" t="s">
        <v>958</v>
      </c>
      <c r="F36" s="566">
        <v>642</v>
      </c>
    </row>
    <row r="37" spans="1:8" ht="32.25" customHeight="1">
      <c r="A37" s="116">
        <v>12</v>
      </c>
      <c r="B37" s="117" t="s">
        <v>639</v>
      </c>
      <c r="C37" s="107" t="s">
        <v>400</v>
      </c>
      <c r="D37" s="564" t="s">
        <v>938</v>
      </c>
      <c r="E37" s="565" t="s">
        <v>959</v>
      </c>
      <c r="F37" s="566">
        <v>642</v>
      </c>
    </row>
    <row r="38" spans="1:8" ht="32.25" customHeight="1" thickBot="1">
      <c r="A38" s="39"/>
      <c r="B38" s="50" t="s">
        <v>19</v>
      </c>
      <c r="C38" s="50"/>
      <c r="D38" s="548"/>
      <c r="E38" s="548"/>
      <c r="F38" s="549">
        <v>6741</v>
      </c>
      <c r="H38" s="406">
        <f>SUM(F26:F37)</f>
        <v>6741</v>
      </c>
    </row>
    <row r="39" spans="1:8" ht="32.25" customHeight="1" thickTop="1">
      <c r="A39" s="39"/>
      <c r="B39" s="141" t="s">
        <v>50</v>
      </c>
      <c r="C39" s="142"/>
      <c r="D39" s="541"/>
      <c r="E39" s="542"/>
      <c r="F39" s="543"/>
    </row>
    <row r="40" spans="1:8" s="160" customFormat="1" ht="32.25" customHeight="1">
      <c r="A40" s="106">
        <v>1</v>
      </c>
      <c r="B40" s="142" t="s">
        <v>52</v>
      </c>
      <c r="C40" s="150" t="s">
        <v>53</v>
      </c>
      <c r="D40" s="164" t="s">
        <v>960</v>
      </c>
      <c r="E40" s="165" t="s">
        <v>961</v>
      </c>
      <c r="F40" s="166">
        <v>4140</v>
      </c>
    </row>
    <row r="41" spans="1:8" s="160" customFormat="1" ht="32.25" customHeight="1">
      <c r="A41" s="106">
        <v>3</v>
      </c>
      <c r="B41" s="142" t="s">
        <v>60</v>
      </c>
      <c r="C41" s="150" t="s">
        <v>61</v>
      </c>
      <c r="D41" s="164" t="s">
        <v>960</v>
      </c>
      <c r="E41" s="165" t="s">
        <v>962</v>
      </c>
      <c r="F41" s="166">
        <v>2070</v>
      </c>
    </row>
    <row r="42" spans="1:8" s="160" customFormat="1" ht="32.25" customHeight="1">
      <c r="A42" s="106">
        <v>4</v>
      </c>
      <c r="B42" s="142" t="s">
        <v>27</v>
      </c>
      <c r="C42" s="150" t="s">
        <v>64</v>
      </c>
      <c r="D42" s="164" t="s">
        <v>963</v>
      </c>
      <c r="E42" s="165" t="s">
        <v>964</v>
      </c>
      <c r="F42" s="166">
        <v>2070</v>
      </c>
    </row>
    <row r="43" spans="1:8" s="160" customFormat="1" ht="32.25" customHeight="1">
      <c r="A43" s="106">
        <v>5</v>
      </c>
      <c r="B43" s="168" t="s">
        <v>42</v>
      </c>
      <c r="C43" s="150" t="s">
        <v>67</v>
      </c>
      <c r="D43" s="164" t="s">
        <v>963</v>
      </c>
      <c r="E43" s="165" t="s">
        <v>965</v>
      </c>
      <c r="F43" s="166">
        <v>2070</v>
      </c>
    </row>
    <row r="44" spans="1:8" s="160" customFormat="1" ht="32.25" customHeight="1">
      <c r="A44" s="106">
        <v>6</v>
      </c>
      <c r="B44" s="142" t="s">
        <v>69</v>
      </c>
      <c r="C44" s="150" t="s">
        <v>70</v>
      </c>
      <c r="D44" s="164" t="s">
        <v>941</v>
      </c>
      <c r="E44" s="165" t="s">
        <v>966</v>
      </c>
      <c r="F44" s="166">
        <v>2070</v>
      </c>
    </row>
    <row r="45" spans="1:8" s="160" customFormat="1" ht="32.25" customHeight="1">
      <c r="A45" s="106">
        <v>8</v>
      </c>
      <c r="B45" s="142" t="s">
        <v>77</v>
      </c>
      <c r="C45" s="150" t="s">
        <v>78</v>
      </c>
      <c r="D45" s="164" t="s">
        <v>967</v>
      </c>
      <c r="E45" s="172" t="s">
        <v>968</v>
      </c>
      <c r="F45" s="166">
        <v>2070</v>
      </c>
    </row>
    <row r="46" spans="1:8" s="160" customFormat="1" ht="32.25" customHeight="1">
      <c r="A46" s="106">
        <v>9</v>
      </c>
      <c r="B46" s="142" t="s">
        <v>77</v>
      </c>
      <c r="C46" s="150" t="s">
        <v>81</v>
      </c>
      <c r="D46" s="164" t="s">
        <v>967</v>
      </c>
      <c r="E46" s="172" t="s">
        <v>968</v>
      </c>
      <c r="F46" s="166">
        <v>2070</v>
      </c>
    </row>
    <row r="47" spans="1:8" s="160" customFormat="1" ht="32.25" customHeight="1">
      <c r="A47" s="106">
        <v>11</v>
      </c>
      <c r="B47" s="142" t="s">
        <v>83</v>
      </c>
      <c r="C47" s="150" t="s">
        <v>84</v>
      </c>
      <c r="D47" s="164" t="s">
        <v>963</v>
      </c>
      <c r="E47" s="165" t="s">
        <v>969</v>
      </c>
      <c r="F47" s="166">
        <v>2070</v>
      </c>
    </row>
    <row r="48" spans="1:8" s="160" customFormat="1" ht="32.25" customHeight="1">
      <c r="A48" s="106">
        <v>12</v>
      </c>
      <c r="B48" s="142" t="s">
        <v>87</v>
      </c>
      <c r="C48" s="150" t="s">
        <v>88</v>
      </c>
      <c r="D48" s="164" t="s">
        <v>941</v>
      </c>
      <c r="E48" s="172" t="s">
        <v>970</v>
      </c>
      <c r="F48" s="166">
        <v>2070</v>
      </c>
    </row>
    <row r="49" spans="1:10" s="160" customFormat="1" ht="32.25" customHeight="1">
      <c r="A49" s="106">
        <v>18</v>
      </c>
      <c r="B49" s="142" t="s">
        <v>99</v>
      </c>
      <c r="C49" s="174" t="s">
        <v>100</v>
      </c>
      <c r="D49" s="164" t="s">
        <v>963</v>
      </c>
      <c r="E49" s="172" t="s">
        <v>971</v>
      </c>
      <c r="F49" s="177">
        <v>37375</v>
      </c>
    </row>
    <row r="50" spans="1:10" s="160" customFormat="1" ht="32.25" customHeight="1">
      <c r="A50" s="106">
        <v>19</v>
      </c>
      <c r="B50" s="142" t="s">
        <v>103</v>
      </c>
      <c r="C50" s="174" t="s">
        <v>104</v>
      </c>
      <c r="D50" s="164" t="s">
        <v>938</v>
      </c>
      <c r="E50" s="172" t="s">
        <v>972</v>
      </c>
      <c r="F50" s="177">
        <v>15525</v>
      </c>
    </row>
    <row r="51" spans="1:10" s="160" customFormat="1" ht="32.25" customHeight="1">
      <c r="A51" s="106">
        <v>20</v>
      </c>
      <c r="B51" s="142" t="s">
        <v>107</v>
      </c>
      <c r="C51" s="174" t="s">
        <v>108</v>
      </c>
      <c r="D51" s="164" t="s">
        <v>963</v>
      </c>
      <c r="E51" s="165" t="s">
        <v>973</v>
      </c>
      <c r="F51" s="177">
        <v>14000</v>
      </c>
    </row>
    <row r="52" spans="1:10" s="160" customFormat="1" ht="32.25" customHeight="1">
      <c r="A52" s="106">
        <v>21</v>
      </c>
      <c r="B52" s="142" t="s">
        <v>111</v>
      </c>
      <c r="C52" s="142" t="s">
        <v>112</v>
      </c>
      <c r="D52" s="164" t="s">
        <v>960</v>
      </c>
      <c r="E52" s="165" t="s">
        <v>974</v>
      </c>
      <c r="F52" s="177">
        <v>7000</v>
      </c>
    </row>
    <row r="53" spans="1:10" s="160" customFormat="1" ht="32.25" customHeight="1">
      <c r="A53" s="106">
        <v>22</v>
      </c>
      <c r="B53" s="142" t="s">
        <v>30</v>
      </c>
      <c r="C53" s="174" t="s">
        <v>115</v>
      </c>
      <c r="D53" s="164" t="s">
        <v>941</v>
      </c>
      <c r="E53" s="165" t="s">
        <v>975</v>
      </c>
      <c r="F53" s="177">
        <v>3970</v>
      </c>
    </row>
    <row r="54" spans="1:10" s="160" customFormat="1" ht="32.25" customHeight="1">
      <c r="A54" s="106">
        <v>23</v>
      </c>
      <c r="B54" s="142" t="s">
        <v>23</v>
      </c>
      <c r="C54" s="174" t="s">
        <v>126</v>
      </c>
      <c r="D54" s="164" t="s">
        <v>963</v>
      </c>
      <c r="E54" s="165" t="s">
        <v>976</v>
      </c>
      <c r="F54" s="177">
        <v>4600</v>
      </c>
    </row>
    <row r="55" spans="1:10" ht="32.25" customHeight="1" thickBot="1">
      <c r="A55" s="39"/>
      <c r="B55" s="50" t="s">
        <v>19</v>
      </c>
      <c r="C55" s="50"/>
      <c r="D55" s="547"/>
      <c r="E55" s="548"/>
      <c r="F55" s="549">
        <v>103170</v>
      </c>
      <c r="H55" s="499">
        <f>SUM(F40:F54)</f>
        <v>103170</v>
      </c>
    </row>
    <row r="56" spans="1:10" ht="32.25" customHeight="1" thickTop="1">
      <c r="A56" s="39"/>
      <c r="B56" s="141" t="s">
        <v>129</v>
      </c>
      <c r="C56" s="142"/>
      <c r="D56" s="541"/>
      <c r="E56" s="542"/>
      <c r="F56" s="543"/>
    </row>
    <row r="57" spans="1:10" s="230" customFormat="1" ht="32.25" customHeight="1">
      <c r="A57" s="106">
        <v>1</v>
      </c>
      <c r="B57" s="222" t="s">
        <v>149</v>
      </c>
      <c r="C57" s="222" t="s">
        <v>150</v>
      </c>
      <c r="D57" s="581" t="s">
        <v>977</v>
      </c>
      <c r="E57" s="581" t="s">
        <v>978</v>
      </c>
      <c r="F57" s="574">
        <v>1395</v>
      </c>
    </row>
    <row r="58" spans="1:10" s="237" customFormat="1" ht="32.25" customHeight="1">
      <c r="A58" s="106">
        <v>2</v>
      </c>
      <c r="B58" s="222" t="s">
        <v>152</v>
      </c>
      <c r="C58" s="193" t="s">
        <v>153</v>
      </c>
      <c r="D58" s="578" t="s">
        <v>979</v>
      </c>
      <c r="E58" s="580" t="s">
        <v>980</v>
      </c>
      <c r="F58" s="574">
        <v>8050</v>
      </c>
    </row>
    <row r="59" spans="1:10" ht="32.25" customHeight="1" thickBot="1">
      <c r="A59" s="39"/>
      <c r="B59" s="50" t="s">
        <v>19</v>
      </c>
      <c r="C59" s="50"/>
      <c r="D59" s="591">
        <v>0</v>
      </c>
      <c r="E59" s="591">
        <v>0</v>
      </c>
      <c r="F59" s="591">
        <v>9445</v>
      </c>
      <c r="H59" s="406">
        <f>SUM(F57:F58)</f>
        <v>9445</v>
      </c>
      <c r="J59" s="640">
        <f>+F55+F59</f>
        <v>112615</v>
      </c>
    </row>
    <row r="60" spans="1:10" ht="32.25" customHeight="1" thickTop="1">
      <c r="A60" s="39"/>
      <c r="B60" s="141" t="s">
        <v>167</v>
      </c>
      <c r="C60" s="142"/>
      <c r="D60" s="541"/>
      <c r="E60" s="542"/>
      <c r="F60" s="543"/>
    </row>
    <row r="61" spans="1:10" s="160" customFormat="1" ht="32.25" customHeight="1">
      <c r="A61" s="106">
        <v>1</v>
      </c>
      <c r="B61" s="142" t="s">
        <v>23</v>
      </c>
      <c r="C61" s="142" t="s">
        <v>168</v>
      </c>
      <c r="D61" s="592" t="s">
        <v>963</v>
      </c>
      <c r="E61" s="165" t="s">
        <v>981</v>
      </c>
      <c r="F61" s="166">
        <v>10925</v>
      </c>
    </row>
    <row r="62" spans="1:10" s="160" customFormat="1" ht="32.25" customHeight="1">
      <c r="A62" s="106">
        <v>2</v>
      </c>
      <c r="B62" s="142" t="s">
        <v>69</v>
      </c>
      <c r="C62" s="142" t="s">
        <v>170</v>
      </c>
      <c r="D62" s="592" t="s">
        <v>941</v>
      </c>
      <c r="E62" s="165" t="s">
        <v>982</v>
      </c>
      <c r="F62" s="166">
        <v>920</v>
      </c>
    </row>
    <row r="63" spans="1:10" s="160" customFormat="1" ht="32.25" customHeight="1">
      <c r="A63" s="106">
        <v>3</v>
      </c>
      <c r="B63" s="142" t="s">
        <v>27</v>
      </c>
      <c r="C63" s="142" t="s">
        <v>172</v>
      </c>
      <c r="D63" s="592" t="s">
        <v>963</v>
      </c>
      <c r="E63" s="165" t="s">
        <v>983</v>
      </c>
      <c r="F63" s="166">
        <v>1100</v>
      </c>
    </row>
    <row r="64" spans="1:10" s="160" customFormat="1" ht="32.25" customHeight="1">
      <c r="A64" s="106">
        <v>4</v>
      </c>
      <c r="B64" s="142" t="s">
        <v>77</v>
      </c>
      <c r="C64" s="142" t="s">
        <v>174</v>
      </c>
      <c r="D64" s="592" t="s">
        <v>967</v>
      </c>
      <c r="E64" s="165" t="s">
        <v>984</v>
      </c>
      <c r="F64" s="166">
        <v>920</v>
      </c>
    </row>
    <row r="65" spans="1:8" s="160" customFormat="1" ht="32.25" customHeight="1">
      <c r="A65" s="106">
        <v>5</v>
      </c>
      <c r="B65" s="142" t="s">
        <v>176</v>
      </c>
      <c r="C65" s="142" t="s">
        <v>177</v>
      </c>
      <c r="D65" s="592" t="s">
        <v>960</v>
      </c>
      <c r="E65" s="165" t="s">
        <v>985</v>
      </c>
      <c r="F65" s="166">
        <v>2300</v>
      </c>
    </row>
    <row r="66" spans="1:8" ht="32.25" customHeight="1" thickBot="1">
      <c r="A66" s="39"/>
      <c r="B66" s="50" t="s">
        <v>19</v>
      </c>
      <c r="C66" s="50"/>
      <c r="D66" s="547"/>
      <c r="E66" s="548"/>
      <c r="F66" s="549">
        <v>16165</v>
      </c>
      <c r="H66" s="499">
        <f>SUM(F61:F65)</f>
        <v>16165</v>
      </c>
    </row>
    <row r="67" spans="1:8" ht="32.25" hidden="1" customHeight="1" thickBot="1">
      <c r="A67" s="39"/>
      <c r="B67" s="58" t="s">
        <v>184</v>
      </c>
      <c r="C67" s="59"/>
      <c r="D67" s="550"/>
      <c r="E67" s="551"/>
      <c r="F67" s="552"/>
    </row>
    <row r="68" spans="1:8" ht="32.25" hidden="1" customHeight="1" thickTop="1">
      <c r="A68" s="39">
        <v>1</v>
      </c>
      <c r="B68" s="40"/>
      <c r="C68" s="41"/>
      <c r="D68" s="544"/>
      <c r="E68" s="545"/>
      <c r="F68" s="546"/>
    </row>
    <row r="69" spans="1:8" ht="32.25" hidden="1" customHeight="1" thickTop="1">
      <c r="A69" s="39"/>
      <c r="B69" s="50" t="s">
        <v>19</v>
      </c>
      <c r="C69" s="50"/>
      <c r="D69" s="547"/>
      <c r="E69" s="548"/>
      <c r="F69" s="549"/>
    </row>
    <row r="70" spans="1:8" ht="32.25" hidden="1" customHeight="1" thickTop="1">
      <c r="A70" s="39"/>
      <c r="B70" s="58" t="s">
        <v>185</v>
      </c>
      <c r="C70" s="59"/>
      <c r="D70" s="550"/>
      <c r="E70" s="551"/>
      <c r="F70" s="552"/>
    </row>
    <row r="71" spans="1:8" ht="32.25" hidden="1" customHeight="1" thickTop="1">
      <c r="A71" s="39">
        <v>1</v>
      </c>
      <c r="B71" s="40"/>
      <c r="C71" s="41"/>
      <c r="D71" s="595"/>
      <c r="E71" s="596"/>
      <c r="F71" s="597"/>
    </row>
    <row r="72" spans="1:8" ht="32.25" hidden="1" customHeight="1" thickTop="1">
      <c r="A72" s="39"/>
      <c r="B72" s="50" t="s">
        <v>19</v>
      </c>
      <c r="C72" s="50"/>
      <c r="D72" s="547"/>
      <c r="E72" s="548"/>
      <c r="F72" s="549"/>
    </row>
    <row r="73" spans="1:8" ht="32.25" customHeight="1" thickTop="1">
      <c r="A73" s="39"/>
      <c r="B73" s="58" t="s">
        <v>186</v>
      </c>
      <c r="C73" s="59"/>
      <c r="D73" s="550"/>
      <c r="E73" s="551"/>
      <c r="F73" s="552"/>
    </row>
    <row r="74" spans="1:8" s="160" customFormat="1" ht="32.25" customHeight="1">
      <c r="A74" s="116">
        <v>1</v>
      </c>
      <c r="B74" s="41" t="s">
        <v>23</v>
      </c>
      <c r="C74" s="41" t="s">
        <v>187</v>
      </c>
      <c r="D74" s="529" t="s">
        <v>963</v>
      </c>
      <c r="E74" s="530" t="s">
        <v>986</v>
      </c>
      <c r="F74" s="531">
        <v>2140</v>
      </c>
    </row>
    <row r="75" spans="1:8" s="160" customFormat="1" ht="32.25" customHeight="1">
      <c r="A75" s="116">
        <v>2</v>
      </c>
      <c r="B75" s="142" t="s">
        <v>23</v>
      </c>
      <c r="C75" s="142" t="s">
        <v>189</v>
      </c>
      <c r="D75" s="532" t="s">
        <v>950</v>
      </c>
      <c r="E75" s="533" t="s">
        <v>987</v>
      </c>
      <c r="F75" s="531">
        <v>23518.6</v>
      </c>
    </row>
    <row r="76" spans="1:8" s="160" customFormat="1" ht="32.25" customHeight="1">
      <c r="A76" s="116">
        <v>3</v>
      </c>
      <c r="B76" s="142" t="s">
        <v>192</v>
      </c>
      <c r="C76" s="142" t="s">
        <v>193</v>
      </c>
      <c r="D76" s="529" t="s">
        <v>941</v>
      </c>
      <c r="E76" s="530" t="s">
        <v>988</v>
      </c>
      <c r="F76" s="531">
        <v>1048.5999999999999</v>
      </c>
    </row>
    <row r="77" spans="1:8" ht="32.25" customHeight="1">
      <c r="A77" s="106">
        <v>4</v>
      </c>
      <c r="B77" s="300" t="s">
        <v>195</v>
      </c>
      <c r="C77" s="300" t="s">
        <v>193</v>
      </c>
      <c r="D77" s="529" t="s">
        <v>950</v>
      </c>
      <c r="E77" s="530" t="s">
        <v>989</v>
      </c>
      <c r="F77" s="531">
        <v>3712.9</v>
      </c>
    </row>
    <row r="78" spans="1:8" ht="32.25" customHeight="1">
      <c r="A78" s="39">
        <v>5</v>
      </c>
      <c r="B78" s="142" t="s">
        <v>403</v>
      </c>
      <c r="C78" s="142" t="s">
        <v>193</v>
      </c>
      <c r="D78" s="598" t="s">
        <v>938</v>
      </c>
      <c r="E78" s="599" t="s">
        <v>991</v>
      </c>
      <c r="F78" s="600">
        <v>2696.4</v>
      </c>
    </row>
    <row r="79" spans="1:8" ht="32.25" customHeight="1" thickBot="1">
      <c r="A79" s="39"/>
      <c r="B79" s="50" t="s">
        <v>19</v>
      </c>
      <c r="C79" s="50"/>
      <c r="D79" s="547"/>
      <c r="E79" s="548"/>
      <c r="F79" s="549">
        <v>33116.5</v>
      </c>
      <c r="H79" s="406">
        <f>SUM(F74:F78)</f>
        <v>33116.5</v>
      </c>
    </row>
    <row r="80" spans="1:8" ht="32.25" customHeight="1" thickTop="1">
      <c r="A80" s="39"/>
      <c r="B80" s="141" t="s">
        <v>210</v>
      </c>
      <c r="C80" s="142"/>
      <c r="D80" s="541"/>
      <c r="E80" s="542"/>
      <c r="F80" s="543"/>
    </row>
    <row r="81" spans="1:9" s="160" customFormat="1" ht="32.25" customHeight="1">
      <c r="A81" s="106">
        <v>1</v>
      </c>
      <c r="B81" s="142" t="s">
        <v>52</v>
      </c>
      <c r="C81" s="174" t="s">
        <v>211</v>
      </c>
      <c r="D81" s="164" t="s">
        <v>960</v>
      </c>
      <c r="E81" s="165" t="s">
        <v>992</v>
      </c>
      <c r="F81" s="166">
        <v>518</v>
      </c>
    </row>
    <row r="82" spans="1:9" s="160" customFormat="1" ht="32.25" customHeight="1">
      <c r="A82" s="106">
        <v>2</v>
      </c>
      <c r="B82" s="142" t="s">
        <v>60</v>
      </c>
      <c r="C82" s="174" t="s">
        <v>215</v>
      </c>
      <c r="D82" s="164" t="s">
        <v>960</v>
      </c>
      <c r="E82" s="165" t="s">
        <v>983</v>
      </c>
      <c r="F82" s="166">
        <v>259</v>
      </c>
    </row>
    <row r="83" spans="1:9" s="160" customFormat="1" ht="32.25" customHeight="1">
      <c r="A83" s="106">
        <v>3</v>
      </c>
      <c r="B83" s="142" t="s">
        <v>27</v>
      </c>
      <c r="C83" s="174" t="s">
        <v>217</v>
      </c>
      <c r="D83" s="164" t="s">
        <v>963</v>
      </c>
      <c r="E83" s="165" t="s">
        <v>993</v>
      </c>
      <c r="F83" s="166">
        <v>259</v>
      </c>
    </row>
    <row r="84" spans="1:9" s="160" customFormat="1" ht="32.25" customHeight="1">
      <c r="A84" s="106">
        <v>4</v>
      </c>
      <c r="B84" s="168" t="s">
        <v>42</v>
      </c>
      <c r="C84" s="174" t="s">
        <v>219</v>
      </c>
      <c r="D84" s="164" t="s">
        <v>963</v>
      </c>
      <c r="E84" s="165" t="s">
        <v>994</v>
      </c>
      <c r="F84" s="166">
        <v>259</v>
      </c>
    </row>
    <row r="85" spans="1:9" s="160" customFormat="1" ht="32.25" customHeight="1">
      <c r="A85" s="106">
        <v>5</v>
      </c>
      <c r="B85" s="142" t="s">
        <v>69</v>
      </c>
      <c r="C85" s="174" t="s">
        <v>221</v>
      </c>
      <c r="D85" s="164" t="s">
        <v>941</v>
      </c>
      <c r="E85" s="165" t="s">
        <v>995</v>
      </c>
      <c r="F85" s="166">
        <v>259</v>
      </c>
    </row>
    <row r="86" spans="1:9" s="160" customFormat="1" ht="32.25" customHeight="1">
      <c r="A86" s="106">
        <v>6</v>
      </c>
      <c r="B86" s="142" t="s">
        <v>77</v>
      </c>
      <c r="C86" s="174" t="s">
        <v>224</v>
      </c>
      <c r="D86" s="164" t="s">
        <v>967</v>
      </c>
      <c r="E86" s="165" t="s">
        <v>996</v>
      </c>
      <c r="F86" s="166">
        <v>259</v>
      </c>
    </row>
    <row r="87" spans="1:9" s="160" customFormat="1" ht="32.25" customHeight="1">
      <c r="A87" s="106">
        <v>7</v>
      </c>
      <c r="B87" s="142" t="s">
        <v>77</v>
      </c>
      <c r="C87" s="174" t="s">
        <v>226</v>
      </c>
      <c r="D87" s="164" t="s">
        <v>967</v>
      </c>
      <c r="E87" s="165" t="s">
        <v>996</v>
      </c>
      <c r="F87" s="166">
        <v>259</v>
      </c>
    </row>
    <row r="88" spans="1:9" s="160" customFormat="1" ht="32.25" customHeight="1">
      <c r="A88" s="106">
        <v>8</v>
      </c>
      <c r="B88" s="142" t="s">
        <v>83</v>
      </c>
      <c r="C88" s="174" t="s">
        <v>228</v>
      </c>
      <c r="D88" s="164" t="s">
        <v>963</v>
      </c>
      <c r="E88" s="165" t="s">
        <v>997</v>
      </c>
      <c r="F88" s="166">
        <v>259</v>
      </c>
    </row>
    <row r="89" spans="1:9" s="160" customFormat="1" ht="32.25" customHeight="1">
      <c r="A89" s="106">
        <v>9</v>
      </c>
      <c r="B89" s="142" t="s">
        <v>87</v>
      </c>
      <c r="C89" s="174" t="s">
        <v>230</v>
      </c>
      <c r="D89" s="164" t="s">
        <v>941</v>
      </c>
      <c r="E89" s="165" t="s">
        <v>998</v>
      </c>
      <c r="F89" s="166">
        <v>259</v>
      </c>
    </row>
    <row r="90" spans="1:9" s="160" customFormat="1" ht="32.25" customHeight="1">
      <c r="A90" s="106">
        <v>10</v>
      </c>
      <c r="B90" s="142" t="s">
        <v>99</v>
      </c>
      <c r="C90" s="174" t="s">
        <v>238</v>
      </c>
      <c r="D90" s="164" t="s">
        <v>963</v>
      </c>
      <c r="E90" s="165" t="s">
        <v>999</v>
      </c>
      <c r="F90" s="166">
        <v>6750</v>
      </c>
    </row>
    <row r="91" spans="1:9" ht="32.25" customHeight="1">
      <c r="A91" s="106">
        <v>11</v>
      </c>
      <c r="B91" s="222" t="s">
        <v>152</v>
      </c>
      <c r="C91" s="193" t="s">
        <v>246</v>
      </c>
      <c r="D91" s="615" t="s">
        <v>979</v>
      </c>
      <c r="E91" s="616" t="s">
        <v>1000</v>
      </c>
      <c r="F91" s="614">
        <v>845</v>
      </c>
    </row>
    <row r="92" spans="1:9" ht="32.25" customHeight="1" thickBot="1">
      <c r="A92" s="39"/>
      <c r="B92" s="50" t="s">
        <v>19</v>
      </c>
      <c r="C92" s="50"/>
      <c r="D92" s="547"/>
      <c r="E92" s="548"/>
      <c r="F92" s="549">
        <v>10185</v>
      </c>
      <c r="H92" s="499">
        <f>SUM(F81:F91)</f>
        <v>10185</v>
      </c>
    </row>
    <row r="93" spans="1:9" ht="32.25" customHeight="1" thickTop="1" thickBot="1">
      <c r="A93" s="396"/>
      <c r="B93" s="397" t="s">
        <v>309</v>
      </c>
      <c r="C93" s="398"/>
      <c r="D93" s="399">
        <v>0</v>
      </c>
      <c r="E93" s="399">
        <v>0</v>
      </c>
      <c r="F93" s="399">
        <v>182573.06</v>
      </c>
      <c r="I93" s="622">
        <f>SUM(H11:H93)</f>
        <v>182573.06</v>
      </c>
    </row>
    <row r="94" spans="1:9" ht="25.2" thickTop="1">
      <c r="D94" s="618"/>
      <c r="E94" s="618"/>
      <c r="F94" s="422"/>
    </row>
    <row r="95" spans="1:9">
      <c r="D95" s="618"/>
      <c r="E95" s="618"/>
      <c r="F95" s="422"/>
    </row>
    <row r="96" spans="1:9">
      <c r="D96" s="618"/>
      <c r="E96" s="618"/>
      <c r="F96" s="422"/>
    </row>
    <row r="97" spans="1:6">
      <c r="D97" s="618"/>
      <c r="E97" s="618"/>
      <c r="F97" s="422"/>
    </row>
    <row r="98" spans="1:6">
      <c r="D98" s="618"/>
      <c r="E98" s="618"/>
      <c r="F98" s="422"/>
    </row>
    <row r="99" spans="1:6" s="406" customFormat="1" ht="32.25" customHeight="1">
      <c r="A99" s="2"/>
      <c r="B99" s="643"/>
      <c r="C99" s="642"/>
      <c r="D99" s="619"/>
      <c r="E99" s="620"/>
      <c r="F99" s="417"/>
    </row>
    <row r="100" spans="1:6" s="406" customFormat="1" ht="32.25" customHeight="1">
      <c r="A100" s="2"/>
      <c r="B100" s="413"/>
      <c r="C100" s="415"/>
      <c r="D100" s="2"/>
      <c r="E100" s="620"/>
      <c r="F100" s="416"/>
    </row>
    <row r="101" spans="1:6" s="406" customFormat="1" ht="32.25" customHeight="1">
      <c r="A101" s="2"/>
      <c r="B101" s="413"/>
      <c r="C101" s="409"/>
      <c r="D101" s="619"/>
      <c r="E101" s="641"/>
      <c r="F101" s="642"/>
    </row>
  </sheetData>
  <mergeCells count="8">
    <mergeCell ref="E101:F101"/>
    <mergeCell ref="B99:C99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scale="4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54AE-7713-4C26-BD0E-5F93A82D6B21}">
  <sheetPr>
    <tabColor rgb="FFFFFF00"/>
  </sheetPr>
  <dimension ref="A1:I51"/>
  <sheetViews>
    <sheetView zoomScale="60" zoomScaleNormal="60" workbookViewId="0">
      <pane ySplit="6" topLeftCell="A24" activePane="bottomLeft" state="frozen"/>
      <selection pane="bottomLeft" activeCell="B36" sqref="B36:D42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31.44140625" style="439" customWidth="1"/>
    <col min="5" max="5" width="20.5546875" style="404" customWidth="1"/>
    <col min="6" max="6" width="8.109375" style="405" customWidth="1"/>
    <col min="7" max="7" width="20" style="2" customWidth="1"/>
    <col min="8" max="16384" width="12.5546875" style="2"/>
  </cols>
  <sheetData>
    <row r="1" spans="1:7" ht="22.5" customHeight="1">
      <c r="A1" s="643" t="s">
        <v>0</v>
      </c>
      <c r="B1" s="642"/>
      <c r="C1" s="642"/>
      <c r="D1" s="642"/>
      <c r="E1" s="642"/>
      <c r="F1" s="642"/>
      <c r="G1" s="642"/>
    </row>
    <row r="2" spans="1:7" ht="27" customHeight="1">
      <c r="A2" s="643" t="s">
        <v>1</v>
      </c>
      <c r="B2" s="642"/>
      <c r="C2" s="642"/>
      <c r="D2" s="642"/>
      <c r="E2" s="642"/>
      <c r="F2" s="642"/>
      <c r="G2" s="642"/>
    </row>
    <row r="3" spans="1:7" ht="22.5" customHeight="1">
      <c r="A3" s="644" t="s">
        <v>937</v>
      </c>
      <c r="B3" s="645"/>
      <c r="C3" s="645"/>
      <c r="D3" s="645"/>
      <c r="E3" s="645"/>
      <c r="F3" s="645"/>
      <c r="G3" s="645"/>
    </row>
    <row r="4" spans="1:7" ht="34.5" customHeight="1">
      <c r="A4" s="3" t="s">
        <v>3</v>
      </c>
      <c r="B4" s="646" t="s">
        <v>4</v>
      </c>
      <c r="C4" s="646" t="s">
        <v>5</v>
      </c>
      <c r="D4" s="426"/>
      <c r="E4" s="658" t="s">
        <v>9</v>
      </c>
      <c r="F4" s="656"/>
      <c r="G4" s="657"/>
    </row>
    <row r="5" spans="1:7" ht="24.75" customHeight="1">
      <c r="A5" s="5"/>
      <c r="B5" s="647"/>
      <c r="C5" s="647"/>
      <c r="D5" s="427" t="s">
        <v>392</v>
      </c>
      <c r="E5" s="3" t="s">
        <v>10</v>
      </c>
      <c r="F5" s="12" t="s">
        <v>11</v>
      </c>
      <c r="G5" s="419"/>
    </row>
    <row r="6" spans="1:7" ht="27.75" customHeight="1">
      <c r="A6" s="14"/>
      <c r="B6" s="648"/>
      <c r="C6" s="648"/>
      <c r="D6" s="428"/>
      <c r="E6" s="14"/>
      <c r="F6" s="24"/>
      <c r="G6" s="20" t="s">
        <v>19</v>
      </c>
    </row>
    <row r="7" spans="1:7" ht="32.25" hidden="1" customHeight="1" thickBot="1">
      <c r="A7" s="104" t="s">
        <v>36</v>
      </c>
      <c r="B7" s="104" t="s">
        <v>37</v>
      </c>
      <c r="C7" s="105">
        <v>780</v>
      </c>
      <c r="D7" s="624"/>
      <c r="E7" s="68"/>
      <c r="F7" s="62"/>
      <c r="G7" s="70"/>
    </row>
    <row r="8" spans="1:7" ht="32.25" hidden="1" customHeight="1" thickTop="1">
      <c r="A8" s="104" t="s">
        <v>36</v>
      </c>
      <c r="B8" s="104" t="s">
        <v>38</v>
      </c>
      <c r="C8" s="105">
        <v>180</v>
      </c>
      <c r="D8" s="625"/>
      <c r="E8" s="5"/>
      <c r="F8" s="43"/>
      <c r="G8" s="49"/>
    </row>
    <row r="9" spans="1:7" ht="32.25" hidden="1" customHeight="1" thickTop="1">
      <c r="A9" s="39"/>
      <c r="B9" s="50" t="s">
        <v>19</v>
      </c>
      <c r="C9" s="50"/>
      <c r="D9" s="432"/>
      <c r="E9" s="57"/>
      <c r="F9" s="53"/>
      <c r="G9" s="51"/>
    </row>
    <row r="10" spans="1:7" ht="32.25" hidden="1" customHeight="1" thickTop="1">
      <c r="A10" s="39"/>
      <c r="B10" s="58" t="s">
        <v>39</v>
      </c>
      <c r="C10" s="59"/>
      <c r="D10" s="434"/>
      <c r="E10" s="68"/>
      <c r="F10" s="62"/>
      <c r="G10" s="70"/>
    </row>
    <row r="11" spans="1:7" ht="32.25" hidden="1" customHeight="1" thickTop="1">
      <c r="A11" s="39">
        <v>1</v>
      </c>
      <c r="B11" s="40"/>
      <c r="C11" s="41"/>
      <c r="D11" s="471"/>
      <c r="E11" s="5"/>
      <c r="F11" s="43"/>
      <c r="G11" s="49"/>
    </row>
    <row r="12" spans="1:7" ht="32.25" hidden="1" customHeight="1" thickTop="1">
      <c r="A12" s="39"/>
      <c r="B12" s="50" t="s">
        <v>19</v>
      </c>
      <c r="C12" s="50"/>
      <c r="D12" s="432"/>
      <c r="E12" s="57"/>
      <c r="F12" s="53"/>
      <c r="G12" s="51"/>
    </row>
    <row r="13" spans="1:7" ht="32.25" hidden="1" customHeight="1" thickTop="1">
      <c r="A13" s="39"/>
      <c r="B13" s="58" t="s">
        <v>40</v>
      </c>
      <c r="C13" s="59"/>
      <c r="D13" s="434"/>
      <c r="E13" s="68"/>
      <c r="F13" s="62"/>
      <c r="G13" s="70"/>
    </row>
    <row r="14" spans="1:7" ht="32.25" hidden="1" customHeight="1" thickTop="1">
      <c r="A14" s="39">
        <v>1</v>
      </c>
      <c r="B14" s="40"/>
      <c r="C14" s="41"/>
      <c r="D14" s="471"/>
      <c r="E14" s="5"/>
      <c r="F14" s="43"/>
      <c r="G14" s="49"/>
    </row>
    <row r="15" spans="1:7" ht="32.25" hidden="1" customHeight="1" thickTop="1">
      <c r="A15" s="39"/>
      <c r="B15" s="50" t="s">
        <v>19</v>
      </c>
      <c r="C15" s="50"/>
      <c r="D15" s="432"/>
      <c r="E15" s="57"/>
      <c r="F15" s="53"/>
      <c r="G15" s="51"/>
    </row>
    <row r="16" spans="1:7" ht="32.25" customHeight="1">
      <c r="A16" s="39"/>
      <c r="B16" s="141" t="s">
        <v>50</v>
      </c>
      <c r="C16" s="142"/>
      <c r="D16" s="429"/>
      <c r="E16" s="114"/>
      <c r="F16" s="115"/>
      <c r="G16" s="145"/>
    </row>
    <row r="17" spans="1:9" s="160" customFormat="1" ht="32.25" customHeight="1">
      <c r="A17" s="106">
        <v>1</v>
      </c>
      <c r="B17" s="146" t="s">
        <v>52</v>
      </c>
      <c r="C17" s="170" t="s">
        <v>53</v>
      </c>
      <c r="D17" s="626">
        <v>2070</v>
      </c>
      <c r="E17" s="157"/>
      <c r="F17" s="158"/>
      <c r="G17" s="159"/>
    </row>
    <row r="18" spans="1:9" ht="32.25" customHeight="1" thickBot="1">
      <c r="A18" s="39"/>
      <c r="B18" s="50" t="s">
        <v>19</v>
      </c>
      <c r="C18" s="50"/>
      <c r="D18" s="432"/>
      <c r="E18" s="57"/>
      <c r="F18" s="53"/>
      <c r="G18" s="51">
        <v>0</v>
      </c>
    </row>
    <row r="19" spans="1:9" ht="32.25" customHeight="1" thickTop="1">
      <c r="A19" s="39"/>
      <c r="B19" s="141" t="s">
        <v>129</v>
      </c>
      <c r="C19" s="142"/>
      <c r="D19" s="429"/>
      <c r="E19" s="114"/>
      <c r="F19" s="115"/>
      <c r="G19" s="38"/>
    </row>
    <row r="20" spans="1:9" ht="30" customHeight="1">
      <c r="A20" s="106">
        <v>1</v>
      </c>
      <c r="B20" s="146" t="s">
        <v>130</v>
      </c>
      <c r="C20" s="627" t="s">
        <v>131</v>
      </c>
      <c r="D20" s="628">
        <v>402.5</v>
      </c>
      <c r="E20" s="202"/>
      <c r="F20" s="203"/>
      <c r="G20" s="207"/>
    </row>
    <row r="21" spans="1:9" ht="32.25" customHeight="1">
      <c r="A21" s="106">
        <v>2</v>
      </c>
      <c r="B21" s="146" t="s">
        <v>141</v>
      </c>
      <c r="C21" s="627" t="s">
        <v>142</v>
      </c>
      <c r="D21" s="628">
        <v>3748.28</v>
      </c>
      <c r="E21" s="214"/>
      <c r="F21" s="212"/>
      <c r="G21" s="207"/>
    </row>
    <row r="22" spans="1:9" ht="32.25" customHeight="1">
      <c r="A22" s="106">
        <v>3</v>
      </c>
      <c r="B22" s="146" t="s">
        <v>145</v>
      </c>
      <c r="C22" s="627" t="s">
        <v>146</v>
      </c>
      <c r="D22" s="628">
        <v>1878.3</v>
      </c>
      <c r="E22" s="220"/>
      <c r="F22" s="115"/>
      <c r="G22" s="207"/>
    </row>
    <row r="23" spans="1:9" s="237" customFormat="1" ht="32.25" customHeight="1">
      <c r="A23" s="106">
        <v>4</v>
      </c>
      <c r="B23" s="238" t="s">
        <v>152</v>
      </c>
      <c r="C23" s="627" t="s">
        <v>153</v>
      </c>
      <c r="D23" s="628">
        <v>7379.16</v>
      </c>
      <c r="E23" s="227"/>
      <c r="F23" s="228"/>
      <c r="G23" s="207"/>
      <c r="H23" s="2"/>
      <c r="I23" s="2"/>
    </row>
    <row r="24" spans="1:9" s="259" customFormat="1" ht="32.25" customHeight="1">
      <c r="A24" s="106">
        <v>5</v>
      </c>
      <c r="B24" s="629" t="s">
        <v>52</v>
      </c>
      <c r="C24" s="630" t="s">
        <v>155</v>
      </c>
      <c r="D24" s="631">
        <v>433.28</v>
      </c>
      <c r="E24" s="254"/>
      <c r="F24" s="255"/>
      <c r="G24" s="207"/>
    </row>
    <row r="25" spans="1:9" ht="32.25" customHeight="1" thickBot="1">
      <c r="A25" s="39"/>
      <c r="B25" s="50" t="s">
        <v>19</v>
      </c>
      <c r="C25" s="50"/>
      <c r="D25" s="432"/>
      <c r="E25" s="51"/>
      <c r="F25" s="51">
        <v>0</v>
      </c>
      <c r="G25" s="51">
        <v>0</v>
      </c>
    </row>
    <row r="26" spans="1:9" ht="32.25" hidden="1" customHeight="1" thickBot="1">
      <c r="A26" s="39"/>
      <c r="B26" s="58" t="s">
        <v>184</v>
      </c>
      <c r="C26" s="59"/>
      <c r="D26" s="434"/>
      <c r="E26" s="68"/>
      <c r="F26" s="62"/>
      <c r="G26" s="518">
        <v>0</v>
      </c>
    </row>
    <row r="27" spans="1:9" ht="32.25" hidden="1" customHeight="1" thickTop="1">
      <c r="A27" s="39">
        <v>1</v>
      </c>
      <c r="B27" s="40"/>
      <c r="C27" s="41"/>
      <c r="D27" s="471"/>
      <c r="E27" s="5"/>
      <c r="F27" s="43"/>
      <c r="G27" s="77">
        <v>0</v>
      </c>
    </row>
    <row r="28" spans="1:9" ht="32.25" hidden="1" customHeight="1" thickTop="1">
      <c r="A28" s="39"/>
      <c r="B28" s="50" t="s">
        <v>19</v>
      </c>
      <c r="C28" s="50"/>
      <c r="D28" s="432"/>
      <c r="E28" s="57"/>
      <c r="F28" s="53"/>
      <c r="G28" s="77">
        <v>0</v>
      </c>
    </row>
    <row r="29" spans="1:9" ht="32.25" hidden="1" customHeight="1" thickTop="1">
      <c r="A29" s="39"/>
      <c r="B29" s="58" t="s">
        <v>185</v>
      </c>
      <c r="C29" s="59"/>
      <c r="D29" s="434"/>
      <c r="E29" s="68"/>
      <c r="F29" s="62"/>
      <c r="G29" s="77">
        <v>0</v>
      </c>
    </row>
    <row r="30" spans="1:9" ht="32.25" hidden="1" customHeight="1" thickTop="1">
      <c r="A30" s="39">
        <v>1</v>
      </c>
      <c r="B30" s="40"/>
      <c r="C30" s="41"/>
      <c r="D30" s="471"/>
      <c r="E30" s="5"/>
      <c r="F30" s="43"/>
      <c r="G30" s="77">
        <v>0</v>
      </c>
    </row>
    <row r="31" spans="1:9" ht="32.25" hidden="1" customHeight="1" thickTop="1">
      <c r="A31" s="39"/>
      <c r="B31" s="50" t="s">
        <v>19</v>
      </c>
      <c r="C31" s="50"/>
      <c r="D31" s="432"/>
      <c r="E31" s="57"/>
      <c r="F31" s="53"/>
      <c r="G31" s="77">
        <v>0</v>
      </c>
    </row>
    <row r="32" spans="1:9" ht="32.25" customHeight="1" thickTop="1">
      <c r="A32" s="39"/>
      <c r="B32" s="58" t="s">
        <v>186</v>
      </c>
      <c r="C32" s="59"/>
      <c r="D32" s="434"/>
      <c r="E32" s="68"/>
      <c r="F32" s="62"/>
      <c r="G32" s="77">
        <v>0</v>
      </c>
    </row>
    <row r="33" spans="1:7" ht="32.25" customHeight="1">
      <c r="A33" s="106">
        <v>1</v>
      </c>
      <c r="B33" s="632" t="s">
        <v>195</v>
      </c>
      <c r="C33" s="632" t="s">
        <v>193</v>
      </c>
      <c r="D33" s="633"/>
      <c r="E33" s="634" t="s">
        <v>990</v>
      </c>
      <c r="F33" s="635">
        <v>1</v>
      </c>
      <c r="G33" s="207">
        <v>3306.3000000000006</v>
      </c>
    </row>
    <row r="34" spans="1:7" ht="32.25" customHeight="1" thickBot="1">
      <c r="A34" s="39"/>
      <c r="B34" s="50" t="s">
        <v>19</v>
      </c>
      <c r="C34" s="50"/>
      <c r="D34" s="432"/>
      <c r="E34" s="57"/>
      <c r="F34" s="53"/>
      <c r="G34" s="51">
        <v>3306.3000000000006</v>
      </c>
    </row>
    <row r="35" spans="1:7" ht="32.25" customHeight="1" thickTop="1">
      <c r="A35" s="39"/>
      <c r="B35" s="141" t="s">
        <v>210</v>
      </c>
      <c r="C35" s="142"/>
      <c r="D35" s="429"/>
      <c r="E35" s="114"/>
      <c r="F35" s="115"/>
      <c r="G35" s="145"/>
    </row>
    <row r="36" spans="1:7" s="160" customFormat="1" ht="32.25" customHeight="1">
      <c r="A36" s="106">
        <v>1</v>
      </c>
      <c r="B36" s="146" t="s">
        <v>52</v>
      </c>
      <c r="C36" s="173" t="s">
        <v>211</v>
      </c>
      <c r="D36" s="636">
        <v>259</v>
      </c>
      <c r="E36" s="347"/>
      <c r="F36" s="348"/>
      <c r="G36" s="159"/>
    </row>
    <row r="37" spans="1:7" s="160" customFormat="1" ht="32.25" customHeight="1">
      <c r="A37" s="106">
        <v>19</v>
      </c>
      <c r="B37" s="146" t="s">
        <v>141</v>
      </c>
      <c r="C37" s="627" t="s">
        <v>240</v>
      </c>
      <c r="D37" s="628">
        <v>458</v>
      </c>
      <c r="E37" s="374"/>
      <c r="F37" s="362"/>
      <c r="G37" s="159"/>
    </row>
    <row r="38" spans="1:7" ht="32.25" customHeight="1">
      <c r="A38" s="106">
        <v>20</v>
      </c>
      <c r="B38" s="238" t="s">
        <v>52</v>
      </c>
      <c r="C38" s="627" t="s">
        <v>243</v>
      </c>
      <c r="D38" s="628">
        <v>62.68</v>
      </c>
      <c r="E38" s="368"/>
      <c r="F38" s="362"/>
      <c r="G38" s="159"/>
    </row>
    <row r="39" spans="1:7" ht="32.25" customHeight="1">
      <c r="A39" s="106">
        <v>21</v>
      </c>
      <c r="B39" s="238" t="s">
        <v>152</v>
      </c>
      <c r="C39" s="627" t="s">
        <v>246</v>
      </c>
      <c r="D39" s="628">
        <v>774.58</v>
      </c>
      <c r="E39" s="374"/>
      <c r="F39" s="362"/>
      <c r="G39" s="159"/>
    </row>
    <row r="40" spans="1:7" ht="32.25" customHeight="1">
      <c r="A40" s="106">
        <v>22</v>
      </c>
      <c r="B40" s="238" t="s">
        <v>130</v>
      </c>
      <c r="C40" s="627" t="s">
        <v>250</v>
      </c>
      <c r="D40" s="637">
        <v>51.7</v>
      </c>
      <c r="E40" s="2"/>
      <c r="F40" s="362"/>
      <c r="G40" s="159"/>
    </row>
    <row r="41" spans="1:7" ht="32.25" customHeight="1">
      <c r="A41" s="116">
        <v>23</v>
      </c>
      <c r="B41" s="146" t="s">
        <v>145</v>
      </c>
      <c r="C41" s="627" t="s">
        <v>258</v>
      </c>
      <c r="D41" s="628">
        <v>236.25</v>
      </c>
      <c r="E41" s="361"/>
      <c r="F41" s="362"/>
      <c r="G41" s="159"/>
    </row>
    <row r="42" spans="1:7" ht="32.25" customHeight="1" thickBot="1">
      <c r="A42" s="39"/>
      <c r="B42" s="638" t="s">
        <v>19</v>
      </c>
      <c r="C42" s="638"/>
      <c r="D42" s="639"/>
      <c r="E42" s="57"/>
      <c r="F42" s="53"/>
      <c r="G42" s="51">
        <v>0</v>
      </c>
    </row>
    <row r="43" spans="1:7" ht="32.25" customHeight="1" thickTop="1" thickBot="1">
      <c r="A43" s="396"/>
      <c r="B43" s="397" t="s">
        <v>309</v>
      </c>
      <c r="C43" s="398"/>
      <c r="D43" s="438"/>
      <c r="E43" s="399">
        <v>0</v>
      </c>
      <c r="F43" s="399">
        <v>0</v>
      </c>
      <c r="G43" s="399">
        <v>3306.3000000000006</v>
      </c>
    </row>
    <row r="44" spans="1:7" ht="17.399999999999999" thickTop="1"/>
    <row r="49" spans="1:7" s="406" customFormat="1" ht="32.25" customHeight="1">
      <c r="A49" s="2"/>
      <c r="B49" s="643"/>
      <c r="C49" s="642"/>
      <c r="D49" s="439"/>
      <c r="E49" s="642"/>
      <c r="F49" s="642"/>
      <c r="G49" s="2"/>
    </row>
    <row r="50" spans="1:7" s="406" customFormat="1" ht="32.25" customHeight="1">
      <c r="A50" s="2"/>
      <c r="B50" s="413"/>
      <c r="C50" s="415"/>
      <c r="D50" s="440"/>
      <c r="E50" s="642"/>
      <c r="F50" s="642"/>
      <c r="G50" s="2"/>
    </row>
    <row r="51" spans="1:7" s="406" customFormat="1" ht="32.25" customHeight="1">
      <c r="A51" s="2"/>
      <c r="B51" s="413"/>
      <c r="C51" s="409"/>
      <c r="D51" s="441"/>
      <c r="E51" s="642"/>
      <c r="F51" s="642"/>
      <c r="G51" s="2"/>
    </row>
  </sheetData>
  <mergeCells count="10">
    <mergeCell ref="E51:F51"/>
    <mergeCell ref="B49:C49"/>
    <mergeCell ref="E49:F49"/>
    <mergeCell ref="E50:F50"/>
    <mergeCell ref="A1:G1"/>
    <mergeCell ref="A2:G2"/>
    <mergeCell ref="A3:G3"/>
    <mergeCell ref="B4:B6"/>
    <mergeCell ref="C4:C6"/>
    <mergeCell ref="E4:G4"/>
  </mergeCells>
  <pageMargins left="0.7" right="0.7" top="0.75" bottom="0.75" header="0.3" footer="0.3"/>
  <pageSetup paperSize="9" scale="4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F171-2885-43B4-AF36-C5AC27F72FA9}">
  <sheetPr>
    <tabColor rgb="FFFFFF00"/>
  </sheetPr>
  <dimension ref="A1:F26"/>
  <sheetViews>
    <sheetView zoomScale="60" zoomScaleNormal="60" workbookViewId="0">
      <pane ySplit="6" topLeftCell="A16" activePane="bottomLeft" state="frozen"/>
      <selection pane="bottomLeft" activeCell="B17" sqref="B17:F17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20.5546875" style="404" customWidth="1"/>
    <col min="5" max="5" width="8.109375" style="405" customWidth="1"/>
    <col min="6" max="6" width="20" style="2" customWidth="1"/>
    <col min="7" max="16384" width="12.5546875" style="2"/>
  </cols>
  <sheetData>
    <row r="1" spans="1:6" ht="22.5" customHeight="1">
      <c r="A1" s="643" t="s">
        <v>0</v>
      </c>
      <c r="B1" s="642"/>
      <c r="C1" s="642"/>
      <c r="D1" s="642"/>
      <c r="E1" s="642"/>
      <c r="F1" s="642"/>
    </row>
    <row r="2" spans="1:6" ht="27" customHeight="1">
      <c r="A2" s="643" t="s">
        <v>1</v>
      </c>
      <c r="B2" s="642"/>
      <c r="C2" s="642"/>
      <c r="D2" s="642"/>
      <c r="E2" s="642"/>
      <c r="F2" s="642"/>
    </row>
    <row r="3" spans="1:6" ht="22.5" customHeight="1">
      <c r="A3" s="644" t="s">
        <v>937</v>
      </c>
      <c r="B3" s="645"/>
      <c r="C3" s="645"/>
      <c r="D3" s="645"/>
      <c r="E3" s="645"/>
      <c r="F3" s="645"/>
    </row>
    <row r="4" spans="1:6" ht="34.5" customHeight="1">
      <c r="A4" s="3" t="s">
        <v>3</v>
      </c>
      <c r="B4" s="646" t="s">
        <v>4</v>
      </c>
      <c r="C4" s="646" t="s">
        <v>5</v>
      </c>
      <c r="D4" s="658" t="s">
        <v>9</v>
      </c>
      <c r="E4" s="656"/>
      <c r="F4" s="657"/>
    </row>
    <row r="5" spans="1:6" ht="24.75" customHeight="1">
      <c r="A5" s="5"/>
      <c r="B5" s="647"/>
      <c r="C5" s="647"/>
      <c r="D5" s="3" t="s">
        <v>10</v>
      </c>
      <c r="E5" s="12" t="s">
        <v>11</v>
      </c>
      <c r="F5" s="419"/>
    </row>
    <row r="6" spans="1:6" ht="27.75" customHeight="1">
      <c r="A6" s="14"/>
      <c r="B6" s="648"/>
      <c r="C6" s="648"/>
      <c r="D6" s="14"/>
      <c r="E6" s="24"/>
      <c r="F6" s="20" t="s">
        <v>19</v>
      </c>
    </row>
    <row r="7" spans="1:6" ht="32.25" hidden="1" customHeight="1">
      <c r="A7" s="104" t="s">
        <v>36</v>
      </c>
      <c r="B7" s="104" t="s">
        <v>37</v>
      </c>
      <c r="C7" s="105">
        <v>780</v>
      </c>
      <c r="D7" s="68"/>
      <c r="E7" s="62"/>
      <c r="F7" s="70"/>
    </row>
    <row r="8" spans="1:6" ht="32.25" hidden="1" customHeight="1">
      <c r="A8" s="104" t="s">
        <v>36</v>
      </c>
      <c r="B8" s="104" t="s">
        <v>38</v>
      </c>
      <c r="C8" s="105">
        <v>180</v>
      </c>
      <c r="D8" s="5"/>
      <c r="E8" s="43"/>
      <c r="F8" s="49"/>
    </row>
    <row r="9" spans="1:6" ht="32.25" hidden="1" customHeight="1">
      <c r="A9" s="39"/>
      <c r="B9" s="50" t="s">
        <v>19</v>
      </c>
      <c r="C9" s="50"/>
      <c r="D9" s="57"/>
      <c r="E9" s="53"/>
      <c r="F9" s="51"/>
    </row>
    <row r="10" spans="1:6" ht="32.25" hidden="1" customHeight="1">
      <c r="A10" s="39"/>
      <c r="B10" s="58" t="s">
        <v>39</v>
      </c>
      <c r="C10" s="59"/>
      <c r="D10" s="68"/>
      <c r="E10" s="62"/>
      <c r="F10" s="70"/>
    </row>
    <row r="11" spans="1:6" ht="32.25" hidden="1" customHeight="1">
      <c r="A11" s="39">
        <v>1</v>
      </c>
      <c r="B11" s="40"/>
      <c r="C11" s="41"/>
      <c r="D11" s="5"/>
      <c r="E11" s="43"/>
      <c r="F11" s="49"/>
    </row>
    <row r="12" spans="1:6" ht="32.25" hidden="1" customHeight="1">
      <c r="A12" s="39"/>
      <c r="B12" s="50" t="s">
        <v>19</v>
      </c>
      <c r="C12" s="50"/>
      <c r="D12" s="57"/>
      <c r="E12" s="53"/>
      <c r="F12" s="51"/>
    </row>
    <row r="13" spans="1:6" ht="32.25" hidden="1" customHeight="1">
      <c r="A13" s="39"/>
      <c r="B13" s="58" t="s">
        <v>40</v>
      </c>
      <c r="C13" s="59"/>
      <c r="D13" s="68"/>
      <c r="E13" s="62"/>
      <c r="F13" s="70"/>
    </row>
    <row r="14" spans="1:6" ht="32.25" hidden="1" customHeight="1">
      <c r="A14" s="39">
        <v>1</v>
      </c>
      <c r="B14" s="40"/>
      <c r="C14" s="41"/>
      <c r="D14" s="5"/>
      <c r="E14" s="43"/>
      <c r="F14" s="49"/>
    </row>
    <row r="15" spans="1:6" ht="32.25" hidden="1" customHeight="1">
      <c r="A15" s="39"/>
      <c r="B15" s="50" t="s">
        <v>19</v>
      </c>
      <c r="C15" s="50"/>
      <c r="D15" s="57"/>
      <c r="E15" s="53"/>
      <c r="F15" s="51"/>
    </row>
    <row r="16" spans="1:6" ht="32.25" customHeight="1">
      <c r="A16" s="39"/>
      <c r="B16" s="5" t="s">
        <v>608</v>
      </c>
      <c r="C16" s="41"/>
      <c r="D16" s="5"/>
      <c r="E16" s="43"/>
      <c r="F16" s="42"/>
    </row>
    <row r="17" spans="1:6" ht="32.25" customHeight="1">
      <c r="A17" s="106">
        <v>1</v>
      </c>
      <c r="B17" s="300" t="s">
        <v>195</v>
      </c>
      <c r="C17" s="300" t="s">
        <v>193</v>
      </c>
      <c r="D17" s="302" t="s">
        <v>990</v>
      </c>
      <c r="E17" s="303">
        <v>1</v>
      </c>
      <c r="F17" s="77">
        <v>3306.3000000000006</v>
      </c>
    </row>
    <row r="18" spans="1:6" ht="32.25" customHeight="1" thickBot="1">
      <c r="A18" s="396"/>
      <c r="B18" s="397" t="s">
        <v>309</v>
      </c>
      <c r="C18" s="398"/>
      <c r="D18" s="399">
        <v>0</v>
      </c>
      <c r="E18" s="399">
        <v>0</v>
      </c>
      <c r="F18" s="399">
        <v>3306.3000000000006</v>
      </c>
    </row>
    <row r="19" spans="1:6" ht="17.399999999999999" thickTop="1"/>
    <row r="24" spans="1:6" s="406" customFormat="1" ht="32.25" customHeight="1">
      <c r="A24" s="2"/>
      <c r="B24" s="643"/>
      <c r="C24" s="642"/>
      <c r="D24" s="642"/>
      <c r="E24" s="642"/>
      <c r="F24" s="2"/>
    </row>
    <row r="25" spans="1:6" s="406" customFormat="1" ht="32.25" customHeight="1">
      <c r="A25" s="2"/>
      <c r="B25" s="413"/>
      <c r="C25" s="415"/>
      <c r="D25" s="642"/>
      <c r="E25" s="642"/>
      <c r="F25" s="2"/>
    </row>
    <row r="26" spans="1:6" s="406" customFormat="1" ht="32.25" customHeight="1">
      <c r="A26" s="2"/>
      <c r="B26" s="413"/>
      <c r="C26" s="409"/>
      <c r="D26" s="642"/>
      <c r="E26" s="642"/>
      <c r="F26" s="2"/>
    </row>
  </sheetData>
  <mergeCells count="10">
    <mergeCell ref="B24:C24"/>
    <mergeCell ref="D24:E24"/>
    <mergeCell ref="D25:E25"/>
    <mergeCell ref="D26:E26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scale="4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5E54-2016-4CC8-937C-137E684DAB6F}">
  <sheetPr>
    <tabColor rgb="FF00B0F0"/>
  </sheetPr>
  <dimension ref="A1:Z288"/>
  <sheetViews>
    <sheetView zoomScale="60" zoomScaleNormal="60" workbookViewId="0">
      <pane ySplit="6" topLeftCell="A165" activePane="bottomLeft" state="frozen"/>
      <selection pane="bottomLeft" activeCell="L145" sqref="L145"/>
    </sheetView>
  </sheetViews>
  <sheetFormatPr defaultColWidth="12.5546875" defaultRowHeight="24.6"/>
  <cols>
    <col min="1" max="1" width="5.6640625" style="2" customWidth="1"/>
    <col min="2" max="2" width="42.5546875" style="2" customWidth="1"/>
    <col min="3" max="3" width="31.44140625" style="2" customWidth="1"/>
    <col min="4" max="4" width="17.88671875" style="2" customWidth="1"/>
    <col min="5" max="5" width="16.6640625" style="404" customWidth="1"/>
    <col min="6" max="6" width="10" style="405" customWidth="1"/>
    <col min="7" max="7" width="5.5546875" style="404" customWidth="1"/>
    <col min="8" max="8" width="16.6640625" style="2" customWidth="1"/>
    <col min="9" max="9" width="13.109375" style="2" customWidth="1"/>
    <col min="10" max="10" width="17.88671875" style="2" customWidth="1"/>
    <col min="11" max="11" width="17.6640625" style="621" customWidth="1"/>
    <col min="12" max="12" width="25" style="621" customWidth="1"/>
    <col min="13" max="13" width="16.109375" style="569" customWidth="1"/>
    <col min="14" max="14" width="20.5546875" style="404" customWidth="1"/>
    <col min="15" max="15" width="8.109375" style="405" customWidth="1"/>
    <col min="16" max="16" width="12.109375" style="2" customWidth="1"/>
    <col min="17" max="17" width="17.6640625" style="406" customWidth="1"/>
    <col min="18" max="18" width="11.33203125" style="406" customWidth="1"/>
    <col min="19" max="19" width="20" style="2" customWidth="1"/>
    <col min="20" max="16384" width="12.5546875" style="2"/>
  </cols>
  <sheetData>
    <row r="1" spans="1:19" ht="22.5" customHeight="1">
      <c r="A1" s="643" t="s">
        <v>0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</row>
    <row r="2" spans="1:19" ht="27" customHeight="1">
      <c r="A2" s="643" t="s">
        <v>1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642"/>
      <c r="S2" s="642"/>
    </row>
    <row r="3" spans="1:19" ht="22.5" customHeight="1">
      <c r="A3" s="644" t="s">
        <v>868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</row>
    <row r="4" spans="1:19" ht="34.5" customHeight="1">
      <c r="A4" s="3" t="s">
        <v>3</v>
      </c>
      <c r="B4" s="646" t="s">
        <v>4</v>
      </c>
      <c r="C4" s="646" t="s">
        <v>5</v>
      </c>
      <c r="D4" s="4" t="s">
        <v>6</v>
      </c>
      <c r="E4" s="655" t="s">
        <v>7</v>
      </c>
      <c r="F4" s="656"/>
      <c r="G4" s="656"/>
      <c r="H4" s="656"/>
      <c r="I4" s="656"/>
      <c r="J4" s="657"/>
      <c r="K4" s="649" t="s">
        <v>8</v>
      </c>
      <c r="L4" s="650"/>
      <c r="M4" s="651"/>
      <c r="N4" s="658" t="s">
        <v>9</v>
      </c>
      <c r="O4" s="656"/>
      <c r="P4" s="656"/>
      <c r="Q4" s="656"/>
      <c r="R4" s="656"/>
      <c r="S4" s="657"/>
    </row>
    <row r="5" spans="1:19" ht="24.75" customHeight="1">
      <c r="A5" s="5"/>
      <c r="B5" s="647"/>
      <c r="C5" s="647"/>
      <c r="D5" s="6"/>
      <c r="E5" s="3" t="s">
        <v>10</v>
      </c>
      <c r="F5" s="7" t="s">
        <v>11</v>
      </c>
      <c r="G5" s="8" t="s">
        <v>12</v>
      </c>
      <c r="H5" s="655" t="s">
        <v>13</v>
      </c>
      <c r="I5" s="656"/>
      <c r="J5" s="657"/>
      <c r="K5" s="535" t="s">
        <v>14</v>
      </c>
      <c r="L5" s="536" t="s">
        <v>15</v>
      </c>
      <c r="M5" s="537" t="s">
        <v>16</v>
      </c>
      <c r="N5" s="3" t="s">
        <v>10</v>
      </c>
      <c r="O5" s="12" t="s">
        <v>11</v>
      </c>
      <c r="P5" s="13" t="s">
        <v>12</v>
      </c>
      <c r="Q5" s="655" t="s">
        <v>13</v>
      </c>
      <c r="R5" s="656"/>
      <c r="S5" s="657"/>
    </row>
    <row r="6" spans="1:19" ht="27.75" customHeight="1">
      <c r="A6" s="14"/>
      <c r="B6" s="648"/>
      <c r="C6" s="648"/>
      <c r="D6" s="15"/>
      <c r="E6" s="14"/>
      <c r="F6" s="16"/>
      <c r="G6" s="17" t="s">
        <v>17</v>
      </c>
      <c r="H6" s="18" t="s">
        <v>16</v>
      </c>
      <c r="I6" s="19" t="s">
        <v>18</v>
      </c>
      <c r="J6" s="20" t="s">
        <v>19</v>
      </c>
      <c r="K6" s="538"/>
      <c r="L6" s="539"/>
      <c r="M6" s="540"/>
      <c r="N6" s="14"/>
      <c r="O6" s="24"/>
      <c r="P6" s="17" t="s">
        <v>17</v>
      </c>
      <c r="Q6" s="18" t="s">
        <v>16</v>
      </c>
      <c r="R6" s="25" t="s">
        <v>18</v>
      </c>
      <c r="S6" s="20" t="s">
        <v>19</v>
      </c>
    </row>
    <row r="7" spans="1:19" ht="32.25" customHeight="1">
      <c r="A7" s="26"/>
      <c r="B7" s="27" t="s">
        <v>20</v>
      </c>
      <c r="C7" s="28"/>
      <c r="D7" s="29"/>
      <c r="E7" s="30"/>
      <c r="F7" s="31"/>
      <c r="G7" s="32"/>
      <c r="H7" s="32"/>
      <c r="I7" s="32"/>
      <c r="J7" s="33"/>
      <c r="K7" s="541"/>
      <c r="L7" s="542"/>
      <c r="M7" s="543"/>
      <c r="N7" s="30"/>
      <c r="O7" s="31"/>
      <c r="P7" s="32"/>
      <c r="Q7" s="37"/>
      <c r="R7" s="37"/>
      <c r="S7" s="38"/>
    </row>
    <row r="8" spans="1:19" ht="32.25" customHeight="1">
      <c r="A8" s="39">
        <v>1</v>
      </c>
      <c r="B8" s="40" t="s">
        <v>21</v>
      </c>
      <c r="C8" s="41"/>
      <c r="D8" s="42"/>
      <c r="E8" s="6"/>
      <c r="F8" s="43"/>
      <c r="G8" s="6"/>
      <c r="H8" s="42"/>
      <c r="I8" s="42"/>
      <c r="J8" s="42"/>
      <c r="K8" s="544"/>
      <c r="L8" s="545"/>
      <c r="M8" s="546"/>
      <c r="N8" s="5"/>
      <c r="O8" s="43"/>
      <c r="P8" s="47"/>
      <c r="Q8" s="48"/>
      <c r="R8" s="48"/>
      <c r="S8" s="49"/>
    </row>
    <row r="9" spans="1:19" ht="32.25" customHeight="1" thickBot="1">
      <c r="A9" s="39"/>
      <c r="B9" s="50" t="s">
        <v>19</v>
      </c>
      <c r="C9" s="50"/>
      <c r="D9" s="51">
        <v>0</v>
      </c>
      <c r="E9" s="52"/>
      <c r="F9" s="53"/>
      <c r="G9" s="52"/>
      <c r="H9" s="51">
        <v>0</v>
      </c>
      <c r="I9" s="51">
        <v>0</v>
      </c>
      <c r="J9" s="51">
        <v>0</v>
      </c>
      <c r="K9" s="547"/>
      <c r="L9" s="548"/>
      <c r="M9" s="549">
        <v>0</v>
      </c>
      <c r="N9" s="57"/>
      <c r="O9" s="53"/>
      <c r="P9" s="51"/>
      <c r="Q9" s="51"/>
      <c r="R9" s="51"/>
      <c r="S9" s="51"/>
    </row>
    <row r="10" spans="1:19" ht="32.25" customHeight="1" thickTop="1">
      <c r="A10" s="39"/>
      <c r="B10" s="58" t="s">
        <v>22</v>
      </c>
      <c r="C10" s="59"/>
      <c r="D10" s="60"/>
      <c r="E10" s="61"/>
      <c r="F10" s="62"/>
      <c r="G10" s="63"/>
      <c r="H10" s="64"/>
      <c r="I10" s="64"/>
      <c r="J10" s="64"/>
      <c r="K10" s="550"/>
      <c r="L10" s="551"/>
      <c r="M10" s="552"/>
      <c r="N10" s="68"/>
      <c r="O10" s="62"/>
      <c r="P10" s="69"/>
      <c r="Q10" s="63"/>
      <c r="R10" s="63"/>
      <c r="S10" s="70"/>
    </row>
    <row r="11" spans="1:19" s="78" customFormat="1" ht="32.25" customHeight="1">
      <c r="A11" s="39">
        <v>1</v>
      </c>
      <c r="B11" s="71" t="s">
        <v>23</v>
      </c>
      <c r="C11" s="71" t="s">
        <v>24</v>
      </c>
      <c r="D11" s="72">
        <v>2182.8000000000002</v>
      </c>
      <c r="E11" s="6"/>
      <c r="F11" s="43"/>
      <c r="G11" s="48"/>
      <c r="H11" s="73">
        <v>0</v>
      </c>
      <c r="I11" s="73">
        <v>0</v>
      </c>
      <c r="J11" s="73">
        <v>0</v>
      </c>
      <c r="K11" s="553" t="s">
        <v>870</v>
      </c>
      <c r="L11" s="554" t="s">
        <v>871</v>
      </c>
      <c r="M11" s="555">
        <v>2182.8000000000002</v>
      </c>
      <c r="N11" s="5"/>
      <c r="O11" s="43"/>
      <c r="P11" s="47"/>
      <c r="Q11" s="48">
        <v>0</v>
      </c>
      <c r="R11" s="48">
        <v>0</v>
      </c>
      <c r="S11" s="77">
        <v>0</v>
      </c>
    </row>
    <row r="12" spans="1:19" s="78" customFormat="1" ht="32.25" customHeight="1">
      <c r="A12" s="39">
        <v>2</v>
      </c>
      <c r="B12" s="71" t="s">
        <v>27</v>
      </c>
      <c r="C12" s="71" t="s">
        <v>24</v>
      </c>
      <c r="D12" s="72">
        <v>239.68</v>
      </c>
      <c r="E12" s="6"/>
      <c r="F12" s="43"/>
      <c r="G12" s="48"/>
      <c r="H12" s="73">
        <v>0</v>
      </c>
      <c r="I12" s="73">
        <v>0</v>
      </c>
      <c r="J12" s="73">
        <v>0</v>
      </c>
      <c r="K12" s="553" t="s">
        <v>870</v>
      </c>
      <c r="L12" s="554" t="s">
        <v>872</v>
      </c>
      <c r="M12" s="555">
        <v>239.68</v>
      </c>
      <c r="N12" s="5"/>
      <c r="O12" s="43"/>
      <c r="P12" s="47"/>
      <c r="Q12" s="48">
        <v>0</v>
      </c>
      <c r="R12" s="48">
        <v>0</v>
      </c>
      <c r="S12" s="77">
        <v>0</v>
      </c>
    </row>
    <row r="13" spans="1:19" s="78" customFormat="1" ht="32.25" customHeight="1">
      <c r="A13" s="39">
        <v>3</v>
      </c>
      <c r="B13" s="71" t="s">
        <v>30</v>
      </c>
      <c r="C13" s="71" t="s">
        <v>24</v>
      </c>
      <c r="D13" s="72">
        <v>163.71</v>
      </c>
      <c r="E13" s="6"/>
      <c r="F13" s="43"/>
      <c r="G13" s="48"/>
      <c r="H13" s="73">
        <v>0</v>
      </c>
      <c r="I13" s="73">
        <v>0</v>
      </c>
      <c r="J13" s="73">
        <v>0</v>
      </c>
      <c r="K13" s="553" t="s">
        <v>873</v>
      </c>
      <c r="L13" s="554" t="s">
        <v>874</v>
      </c>
      <c r="M13" s="555">
        <v>163.71</v>
      </c>
      <c r="N13" s="5"/>
      <c r="O13" s="43"/>
      <c r="P13" s="47"/>
      <c r="Q13" s="48">
        <v>0</v>
      </c>
      <c r="R13" s="48">
        <v>0</v>
      </c>
      <c r="S13" s="77">
        <v>0</v>
      </c>
    </row>
    <row r="14" spans="1:19" s="78" customFormat="1" ht="32.25" customHeight="1">
      <c r="A14" s="39">
        <v>4</v>
      </c>
      <c r="B14" s="79" t="s">
        <v>869</v>
      </c>
      <c r="C14" s="80" t="s">
        <v>24</v>
      </c>
      <c r="D14" s="81">
        <v>200.3</v>
      </c>
      <c r="E14" s="6"/>
      <c r="F14" s="43"/>
      <c r="G14" s="48"/>
      <c r="H14" s="73"/>
      <c r="I14" s="73"/>
      <c r="J14" s="73"/>
      <c r="K14" s="556" t="s">
        <v>875</v>
      </c>
      <c r="L14" s="545" t="s">
        <v>876</v>
      </c>
      <c r="M14" s="546">
        <v>200.3</v>
      </c>
      <c r="N14" s="5"/>
      <c r="O14" s="43"/>
      <c r="P14" s="47"/>
      <c r="Q14" s="48"/>
      <c r="R14" s="48"/>
      <c r="S14" s="49"/>
    </row>
    <row r="15" spans="1:19" s="78" customFormat="1" ht="32.25" customHeight="1">
      <c r="A15" s="39">
        <v>5</v>
      </c>
      <c r="B15" s="80"/>
      <c r="C15" s="80"/>
      <c r="D15" s="81"/>
      <c r="E15" s="6"/>
      <c r="F15" s="43"/>
      <c r="G15" s="6"/>
      <c r="H15" s="42"/>
      <c r="I15" s="42"/>
      <c r="J15" s="42"/>
      <c r="K15" s="544"/>
      <c r="L15" s="545"/>
      <c r="M15" s="546"/>
      <c r="N15" s="5"/>
      <c r="O15" s="43"/>
      <c r="P15" s="47"/>
      <c r="Q15" s="48"/>
      <c r="R15" s="48"/>
      <c r="S15" s="49"/>
    </row>
    <row r="16" spans="1:19" ht="32.25" customHeight="1" thickBot="1">
      <c r="A16" s="39"/>
      <c r="B16" s="50" t="s">
        <v>19</v>
      </c>
      <c r="C16" s="50"/>
      <c r="D16" s="51">
        <f>SUM(D11:D15)</f>
        <v>2786.4900000000002</v>
      </c>
      <c r="E16" s="52"/>
      <c r="F16" s="53"/>
      <c r="G16" s="52"/>
      <c r="H16" s="51">
        <v>0</v>
      </c>
      <c r="I16" s="51">
        <v>0</v>
      </c>
      <c r="J16" s="51">
        <v>0</v>
      </c>
      <c r="K16" s="557"/>
      <c r="L16" s="558"/>
      <c r="M16" s="549">
        <f>SUM(M10:M15)</f>
        <v>2786.4900000000002</v>
      </c>
      <c r="N16" s="57"/>
      <c r="O16" s="53"/>
      <c r="P16" s="85"/>
      <c r="Q16" s="86"/>
      <c r="R16" s="86"/>
      <c r="S16" s="87"/>
    </row>
    <row r="17" spans="1:19" ht="32.25" customHeight="1" thickTop="1">
      <c r="A17" s="39"/>
      <c r="B17" s="58" t="s">
        <v>32</v>
      </c>
      <c r="C17" s="59"/>
      <c r="D17" s="60"/>
      <c r="E17" s="61"/>
      <c r="F17" s="62"/>
      <c r="G17" s="63"/>
      <c r="H17" s="64"/>
      <c r="I17" s="64"/>
      <c r="J17" s="64"/>
      <c r="K17" s="550"/>
      <c r="L17" s="551"/>
      <c r="M17" s="552"/>
      <c r="N17" s="68"/>
      <c r="O17" s="62"/>
      <c r="P17" s="69"/>
      <c r="Q17" s="63"/>
      <c r="R17" s="63"/>
      <c r="S17" s="70"/>
    </row>
    <row r="18" spans="1:19" s="78" customFormat="1" ht="32.25" customHeight="1">
      <c r="A18" s="39">
        <v>1</v>
      </c>
      <c r="B18" s="71" t="s">
        <v>23</v>
      </c>
      <c r="C18" s="71" t="s">
        <v>33</v>
      </c>
      <c r="D18" s="88">
        <v>780</v>
      </c>
      <c r="E18" s="6"/>
      <c r="F18" s="43"/>
      <c r="G18" s="89"/>
      <c r="H18" s="42">
        <v>0</v>
      </c>
      <c r="I18" s="42">
        <v>0</v>
      </c>
      <c r="J18" s="42">
        <v>0</v>
      </c>
      <c r="K18" s="553" t="s">
        <v>870</v>
      </c>
      <c r="L18" s="559" t="s">
        <v>877</v>
      </c>
      <c r="M18" s="555">
        <v>780</v>
      </c>
      <c r="N18" s="5"/>
      <c r="O18" s="43"/>
      <c r="P18" s="47"/>
      <c r="Q18" s="91">
        <v>0</v>
      </c>
      <c r="R18" s="92">
        <v>0</v>
      </c>
      <c r="S18" s="93">
        <v>0</v>
      </c>
    </row>
    <row r="19" spans="1:19" s="78" customFormat="1" ht="32.25" customHeight="1">
      <c r="A19" s="39">
        <v>2</v>
      </c>
      <c r="B19" s="71" t="s">
        <v>27</v>
      </c>
      <c r="C19" s="71" t="s">
        <v>33</v>
      </c>
      <c r="D19" s="88">
        <v>90</v>
      </c>
      <c r="E19" s="6"/>
      <c r="F19" s="43"/>
      <c r="G19" s="89"/>
      <c r="H19" s="42"/>
      <c r="I19" s="42"/>
      <c r="J19" s="42">
        <v>0</v>
      </c>
      <c r="K19" s="553" t="s">
        <v>870</v>
      </c>
      <c r="L19" s="560" t="s">
        <v>878</v>
      </c>
      <c r="M19" s="555">
        <v>90</v>
      </c>
      <c r="N19" s="5"/>
      <c r="O19" s="43"/>
      <c r="P19" s="47"/>
      <c r="Q19" s="91">
        <v>0</v>
      </c>
      <c r="R19" s="92">
        <v>0</v>
      </c>
      <c r="S19" s="95">
        <v>0</v>
      </c>
    </row>
    <row r="20" spans="1:19" s="78" customFormat="1" ht="32.25" customHeight="1">
      <c r="A20" s="39">
        <v>3</v>
      </c>
      <c r="B20" s="71" t="s">
        <v>30</v>
      </c>
      <c r="C20" s="71" t="s">
        <v>33</v>
      </c>
      <c r="D20" s="96">
        <v>0</v>
      </c>
      <c r="E20" s="6"/>
      <c r="F20" s="43"/>
      <c r="G20" s="89"/>
      <c r="H20" s="42"/>
      <c r="I20" s="42"/>
      <c r="J20" s="42"/>
      <c r="K20" s="523"/>
      <c r="L20" s="524"/>
      <c r="M20" s="525"/>
      <c r="N20" s="5"/>
      <c r="O20" s="43"/>
      <c r="P20" s="47"/>
      <c r="Q20" s="6"/>
      <c r="R20" s="42"/>
      <c r="S20" s="100"/>
    </row>
    <row r="21" spans="1:19" ht="32.25" customHeight="1" thickBot="1">
      <c r="A21" s="39"/>
      <c r="B21" s="50" t="s">
        <v>19</v>
      </c>
      <c r="C21" s="50"/>
      <c r="D21" s="51">
        <f>SUM(D18:D20)</f>
        <v>870</v>
      </c>
      <c r="E21" s="52"/>
      <c r="F21" s="53"/>
      <c r="G21" s="52"/>
      <c r="H21" s="51">
        <v>0</v>
      </c>
      <c r="I21" s="51">
        <v>0</v>
      </c>
      <c r="J21" s="51">
        <v>0</v>
      </c>
      <c r="K21" s="561"/>
      <c r="L21" s="562"/>
      <c r="M21" s="563">
        <f>SUM(M18:M20)</f>
        <v>870</v>
      </c>
      <c r="N21" s="57"/>
      <c r="O21" s="53"/>
      <c r="P21" s="51"/>
      <c r="Q21" s="51"/>
      <c r="R21" s="51"/>
      <c r="S21" s="51"/>
    </row>
    <row r="22" spans="1:19" ht="32.25" hidden="1" customHeight="1">
      <c r="A22" s="104" t="s">
        <v>36</v>
      </c>
      <c r="B22" s="104" t="s">
        <v>37</v>
      </c>
      <c r="C22" s="105">
        <v>780</v>
      </c>
      <c r="D22" s="60"/>
      <c r="E22" s="61"/>
      <c r="F22" s="62"/>
      <c r="G22" s="63"/>
      <c r="H22" s="64"/>
      <c r="I22" s="64"/>
      <c r="J22" s="64"/>
      <c r="K22" s="550"/>
      <c r="L22" s="551"/>
      <c r="M22" s="552"/>
      <c r="N22" s="68"/>
      <c r="O22" s="62"/>
      <c r="P22" s="69"/>
      <c r="Q22" s="63"/>
      <c r="R22" s="63"/>
      <c r="S22" s="70"/>
    </row>
    <row r="23" spans="1:19" ht="32.25" hidden="1" customHeight="1">
      <c r="A23" s="104" t="s">
        <v>36</v>
      </c>
      <c r="B23" s="104" t="s">
        <v>38</v>
      </c>
      <c r="C23" s="105">
        <v>180</v>
      </c>
      <c r="D23" s="42"/>
      <c r="E23" s="6"/>
      <c r="F23" s="43"/>
      <c r="G23" s="6"/>
      <c r="H23" s="42"/>
      <c r="I23" s="42"/>
      <c r="J23" s="42"/>
      <c r="K23" s="544"/>
      <c r="L23" s="545"/>
      <c r="M23" s="546"/>
      <c r="N23" s="5"/>
      <c r="O23" s="43"/>
      <c r="P23" s="47"/>
      <c r="Q23" s="48"/>
      <c r="R23" s="48"/>
      <c r="S23" s="49"/>
    </row>
    <row r="24" spans="1:19" ht="32.25" hidden="1" customHeight="1">
      <c r="A24" s="39"/>
      <c r="B24" s="50" t="s">
        <v>19</v>
      </c>
      <c r="C24" s="50"/>
      <c r="D24" s="51">
        <v>0</v>
      </c>
      <c r="E24" s="52"/>
      <c r="F24" s="53"/>
      <c r="G24" s="52"/>
      <c r="H24" s="51">
        <v>0</v>
      </c>
      <c r="I24" s="51">
        <v>0</v>
      </c>
      <c r="J24" s="51">
        <v>0</v>
      </c>
      <c r="K24" s="547"/>
      <c r="L24" s="548"/>
      <c r="M24" s="549"/>
      <c r="N24" s="57"/>
      <c r="O24" s="53"/>
      <c r="P24" s="51"/>
      <c r="Q24" s="51"/>
      <c r="R24" s="51"/>
      <c r="S24" s="51"/>
    </row>
    <row r="25" spans="1:19" ht="32.25" hidden="1" customHeight="1">
      <c r="A25" s="39"/>
      <c r="B25" s="58" t="s">
        <v>39</v>
      </c>
      <c r="C25" s="59"/>
      <c r="D25" s="60"/>
      <c r="E25" s="61"/>
      <c r="F25" s="62"/>
      <c r="G25" s="63"/>
      <c r="H25" s="64"/>
      <c r="I25" s="64"/>
      <c r="J25" s="64"/>
      <c r="K25" s="550"/>
      <c r="L25" s="551"/>
      <c r="M25" s="552"/>
      <c r="N25" s="68"/>
      <c r="O25" s="62"/>
      <c r="P25" s="69"/>
      <c r="Q25" s="63"/>
      <c r="R25" s="63"/>
      <c r="S25" s="70"/>
    </row>
    <row r="26" spans="1:19" ht="32.25" hidden="1" customHeight="1">
      <c r="A26" s="39">
        <v>1</v>
      </c>
      <c r="B26" s="40"/>
      <c r="C26" s="41"/>
      <c r="D26" s="42"/>
      <c r="E26" s="6"/>
      <c r="F26" s="43"/>
      <c r="G26" s="6"/>
      <c r="H26" s="42"/>
      <c r="I26" s="42"/>
      <c r="J26" s="42"/>
      <c r="K26" s="544"/>
      <c r="L26" s="545"/>
      <c r="M26" s="546"/>
      <c r="N26" s="5"/>
      <c r="O26" s="43"/>
      <c r="P26" s="47"/>
      <c r="Q26" s="48"/>
      <c r="R26" s="48"/>
      <c r="S26" s="49"/>
    </row>
    <row r="27" spans="1:19" ht="32.25" hidden="1" customHeight="1">
      <c r="A27" s="39"/>
      <c r="B27" s="50" t="s">
        <v>19</v>
      </c>
      <c r="C27" s="50"/>
      <c r="D27" s="51">
        <v>0</v>
      </c>
      <c r="E27" s="52"/>
      <c r="F27" s="53"/>
      <c r="G27" s="52"/>
      <c r="H27" s="51">
        <v>0</v>
      </c>
      <c r="I27" s="51">
        <v>0</v>
      </c>
      <c r="J27" s="51">
        <v>0</v>
      </c>
      <c r="K27" s="547"/>
      <c r="L27" s="548"/>
      <c r="M27" s="549"/>
      <c r="N27" s="57"/>
      <c r="O27" s="53"/>
      <c r="P27" s="51"/>
      <c r="Q27" s="51"/>
      <c r="R27" s="51"/>
      <c r="S27" s="51"/>
    </row>
    <row r="28" spans="1:19" ht="32.25" hidden="1" customHeight="1">
      <c r="A28" s="39"/>
      <c r="B28" s="58" t="s">
        <v>40</v>
      </c>
      <c r="C28" s="59"/>
      <c r="D28" s="60"/>
      <c r="E28" s="61"/>
      <c r="F28" s="62"/>
      <c r="G28" s="63"/>
      <c r="H28" s="64"/>
      <c r="I28" s="64"/>
      <c r="J28" s="64"/>
      <c r="K28" s="550"/>
      <c r="L28" s="551"/>
      <c r="M28" s="552"/>
      <c r="N28" s="68"/>
      <c r="O28" s="62"/>
      <c r="P28" s="69"/>
      <c r="Q28" s="63"/>
      <c r="R28" s="63"/>
      <c r="S28" s="70"/>
    </row>
    <row r="29" spans="1:19" ht="32.25" hidden="1" customHeight="1">
      <c r="A29" s="39">
        <v>1</v>
      </c>
      <c r="B29" s="40"/>
      <c r="C29" s="41"/>
      <c r="D29" s="42"/>
      <c r="E29" s="6"/>
      <c r="F29" s="43"/>
      <c r="G29" s="6"/>
      <c r="H29" s="42"/>
      <c r="I29" s="42"/>
      <c r="J29" s="42"/>
      <c r="K29" s="544"/>
      <c r="L29" s="545"/>
      <c r="M29" s="546"/>
      <c r="N29" s="5"/>
      <c r="O29" s="43"/>
      <c r="P29" s="47"/>
      <c r="Q29" s="48"/>
      <c r="R29" s="48"/>
      <c r="S29" s="49"/>
    </row>
    <row r="30" spans="1:19" ht="32.25" hidden="1" customHeight="1">
      <c r="A30" s="39"/>
      <c r="B30" s="50" t="s">
        <v>19</v>
      </c>
      <c r="C30" s="50"/>
      <c r="D30" s="51">
        <v>0</v>
      </c>
      <c r="E30" s="52"/>
      <c r="F30" s="53"/>
      <c r="G30" s="52"/>
      <c r="H30" s="51">
        <v>0</v>
      </c>
      <c r="I30" s="51">
        <v>0</v>
      </c>
      <c r="J30" s="51">
        <v>0</v>
      </c>
      <c r="K30" s="547"/>
      <c r="L30" s="548"/>
      <c r="M30" s="549"/>
      <c r="N30" s="57"/>
      <c r="O30" s="53"/>
      <c r="P30" s="51"/>
      <c r="Q30" s="51"/>
      <c r="R30" s="51"/>
      <c r="S30" s="51"/>
    </row>
    <row r="31" spans="1:19" ht="32.25" customHeight="1" thickTop="1">
      <c r="A31" s="39"/>
      <c r="B31" s="58" t="s">
        <v>41</v>
      </c>
      <c r="C31" s="59"/>
      <c r="D31" s="60"/>
      <c r="E31" s="61"/>
      <c r="F31" s="62"/>
      <c r="G31" s="63"/>
      <c r="H31" s="64"/>
      <c r="I31" s="64"/>
      <c r="J31" s="64"/>
      <c r="K31" s="550"/>
      <c r="L31" s="551"/>
      <c r="M31" s="552"/>
      <c r="N31" s="68"/>
      <c r="O31" s="62"/>
      <c r="P31" s="69"/>
      <c r="Q31" s="63"/>
      <c r="R31" s="63"/>
      <c r="S31" s="70"/>
    </row>
    <row r="32" spans="1:19" ht="32.25" customHeight="1">
      <c r="A32" s="106">
        <v>1</v>
      </c>
      <c r="B32" s="107" t="s">
        <v>404</v>
      </c>
      <c r="C32" s="107" t="s">
        <v>400</v>
      </c>
      <c r="D32" s="108">
        <v>321</v>
      </c>
      <c r="E32" s="109"/>
      <c r="F32" s="110"/>
      <c r="G32" s="111"/>
      <c r="H32" s="111">
        <v>0</v>
      </c>
      <c r="I32" s="112">
        <v>0</v>
      </c>
      <c r="J32" s="113">
        <v>0</v>
      </c>
      <c r="K32" s="553" t="s">
        <v>879</v>
      </c>
      <c r="L32" s="554" t="s">
        <v>880</v>
      </c>
      <c r="M32" s="555">
        <v>321</v>
      </c>
      <c r="N32" s="114"/>
      <c r="O32" s="115"/>
      <c r="P32" s="92"/>
      <c r="Q32" s="91">
        <v>0</v>
      </c>
      <c r="R32" s="92">
        <v>0</v>
      </c>
      <c r="S32" s="77">
        <v>0</v>
      </c>
    </row>
    <row r="33" spans="1:19" ht="32.25" customHeight="1">
      <c r="A33" s="106">
        <v>2</v>
      </c>
      <c r="B33" s="117" t="s">
        <v>484</v>
      </c>
      <c r="C33" s="107" t="s">
        <v>400</v>
      </c>
      <c r="D33" s="108">
        <v>321</v>
      </c>
      <c r="E33" s="118"/>
      <c r="F33" s="119"/>
      <c r="G33" s="111"/>
      <c r="H33" s="111">
        <v>0</v>
      </c>
      <c r="I33" s="120">
        <v>0</v>
      </c>
      <c r="J33" s="121">
        <v>0</v>
      </c>
      <c r="K33" s="553" t="s">
        <v>879</v>
      </c>
      <c r="L33" s="554" t="s">
        <v>881</v>
      </c>
      <c r="M33" s="555">
        <v>321</v>
      </c>
      <c r="N33" s="114"/>
      <c r="O33" s="122"/>
      <c r="P33" s="92"/>
      <c r="Q33" s="91">
        <v>0</v>
      </c>
      <c r="R33" s="92">
        <v>0</v>
      </c>
      <c r="S33" s="77">
        <v>0</v>
      </c>
    </row>
    <row r="34" spans="1:19" ht="32.25" customHeight="1">
      <c r="A34" s="106">
        <v>3</v>
      </c>
      <c r="B34" s="117" t="s">
        <v>485</v>
      </c>
      <c r="C34" s="107" t="s">
        <v>400</v>
      </c>
      <c r="D34" s="123">
        <v>321</v>
      </c>
      <c r="E34" s="109"/>
      <c r="F34" s="110"/>
      <c r="G34" s="124"/>
      <c r="H34" s="124">
        <v>0</v>
      </c>
      <c r="I34" s="112">
        <v>0</v>
      </c>
      <c r="J34" s="113">
        <v>0</v>
      </c>
      <c r="K34" s="553" t="s">
        <v>882</v>
      </c>
      <c r="L34" s="554" t="s">
        <v>883</v>
      </c>
      <c r="M34" s="555">
        <v>321</v>
      </c>
      <c r="N34" s="114"/>
      <c r="O34" s="115"/>
      <c r="P34" s="125"/>
      <c r="Q34" s="91">
        <v>0</v>
      </c>
      <c r="R34" s="92">
        <v>0</v>
      </c>
      <c r="S34" s="77">
        <v>0</v>
      </c>
    </row>
    <row r="35" spans="1:19" ht="32.25" customHeight="1">
      <c r="A35" s="106">
        <v>4</v>
      </c>
      <c r="B35" s="117" t="s">
        <v>486</v>
      </c>
      <c r="C35" s="107" t="s">
        <v>400</v>
      </c>
      <c r="D35" s="123">
        <v>321</v>
      </c>
      <c r="E35" s="466"/>
      <c r="F35" s="127"/>
      <c r="G35" s="126"/>
      <c r="H35" s="126">
        <v>0</v>
      </c>
      <c r="I35" s="128">
        <v>0</v>
      </c>
      <c r="J35" s="129">
        <v>0</v>
      </c>
      <c r="K35" s="553" t="s">
        <v>882</v>
      </c>
      <c r="L35" s="554" t="s">
        <v>884</v>
      </c>
      <c r="M35" s="555">
        <v>321</v>
      </c>
      <c r="N35" s="30"/>
      <c r="O35" s="31"/>
      <c r="P35" s="29"/>
      <c r="Q35" s="91"/>
      <c r="R35" s="92"/>
      <c r="S35" s="77"/>
    </row>
    <row r="36" spans="1:19" ht="32.25" customHeight="1">
      <c r="A36" s="106">
        <v>5</v>
      </c>
      <c r="B36" s="117" t="s">
        <v>827</v>
      </c>
      <c r="C36" s="107" t="s">
        <v>400</v>
      </c>
      <c r="D36" s="123">
        <v>642</v>
      </c>
      <c r="E36" s="126"/>
      <c r="F36" s="127"/>
      <c r="G36" s="126"/>
      <c r="H36" s="128">
        <v>0</v>
      </c>
      <c r="I36" s="128">
        <v>0</v>
      </c>
      <c r="J36" s="129">
        <v>0</v>
      </c>
      <c r="K36" s="553" t="s">
        <v>885</v>
      </c>
      <c r="L36" s="554" t="s">
        <v>886</v>
      </c>
      <c r="M36" s="555">
        <v>642</v>
      </c>
      <c r="N36" s="30"/>
      <c r="O36" s="31"/>
      <c r="P36" s="31"/>
      <c r="Q36" s="91">
        <v>0</v>
      </c>
      <c r="R36" s="92">
        <v>0</v>
      </c>
      <c r="S36" s="77">
        <v>0</v>
      </c>
    </row>
    <row r="37" spans="1:19" ht="32.25" customHeight="1">
      <c r="A37" s="106">
        <v>6</v>
      </c>
      <c r="B37" s="117" t="s">
        <v>869</v>
      </c>
      <c r="C37" s="107" t="s">
        <v>400</v>
      </c>
      <c r="D37" s="123">
        <v>321</v>
      </c>
      <c r="E37" s="126"/>
      <c r="F37" s="127"/>
      <c r="G37" s="126"/>
      <c r="H37" s="128">
        <v>0</v>
      </c>
      <c r="I37" s="128">
        <v>0</v>
      </c>
      <c r="J37" s="129">
        <v>0</v>
      </c>
      <c r="K37" s="553" t="s">
        <v>887</v>
      </c>
      <c r="L37" s="554" t="s">
        <v>888</v>
      </c>
      <c r="M37" s="555">
        <v>321</v>
      </c>
      <c r="N37" s="30"/>
      <c r="O37" s="31"/>
      <c r="P37" s="31"/>
      <c r="Q37" s="91"/>
      <c r="R37" s="92"/>
      <c r="S37" s="77"/>
    </row>
    <row r="38" spans="1:19" ht="32.25" customHeight="1">
      <c r="A38" s="106">
        <v>7</v>
      </c>
      <c r="B38" s="117" t="s">
        <v>722</v>
      </c>
      <c r="C38" s="107" t="s">
        <v>400</v>
      </c>
      <c r="D38" s="123">
        <v>642</v>
      </c>
      <c r="E38" s="126"/>
      <c r="F38" s="127"/>
      <c r="G38" s="126"/>
      <c r="H38" s="128">
        <v>0</v>
      </c>
      <c r="I38" s="128">
        <v>0</v>
      </c>
      <c r="J38" s="129">
        <v>0</v>
      </c>
      <c r="K38" s="553" t="s">
        <v>889</v>
      </c>
      <c r="L38" s="554" t="s">
        <v>890</v>
      </c>
      <c r="M38" s="555">
        <v>642</v>
      </c>
      <c r="N38" s="30"/>
      <c r="O38" s="31"/>
      <c r="P38" s="31"/>
      <c r="Q38" s="91"/>
      <c r="R38" s="92"/>
      <c r="S38" s="77"/>
    </row>
    <row r="39" spans="1:19" ht="32.25" customHeight="1">
      <c r="A39" s="106">
        <v>8</v>
      </c>
      <c r="B39" s="117" t="s">
        <v>641</v>
      </c>
      <c r="C39" s="107" t="s">
        <v>400</v>
      </c>
      <c r="D39" s="123">
        <v>642</v>
      </c>
      <c r="E39" s="126"/>
      <c r="F39" s="127"/>
      <c r="G39" s="126"/>
      <c r="H39" s="128">
        <v>0</v>
      </c>
      <c r="I39" s="128">
        <v>0</v>
      </c>
      <c r="J39" s="129">
        <v>0</v>
      </c>
      <c r="K39" s="553" t="s">
        <v>889</v>
      </c>
      <c r="L39" s="554" t="s">
        <v>891</v>
      </c>
      <c r="M39" s="555">
        <v>642</v>
      </c>
      <c r="N39" s="30"/>
      <c r="O39" s="31"/>
      <c r="P39" s="31"/>
      <c r="Q39" s="91"/>
      <c r="R39" s="92"/>
      <c r="S39" s="77"/>
    </row>
    <row r="40" spans="1:19" ht="32.25" customHeight="1">
      <c r="A40" s="106">
        <v>9</v>
      </c>
      <c r="B40" s="117" t="s">
        <v>730</v>
      </c>
      <c r="C40" s="107" t="s">
        <v>400</v>
      </c>
      <c r="D40" s="123">
        <v>642</v>
      </c>
      <c r="E40" s="126"/>
      <c r="F40" s="127"/>
      <c r="G40" s="126"/>
      <c r="H40" s="128">
        <v>0</v>
      </c>
      <c r="I40" s="128">
        <v>0</v>
      </c>
      <c r="J40" s="129">
        <v>0</v>
      </c>
      <c r="K40" s="553" t="s">
        <v>889</v>
      </c>
      <c r="L40" s="554" t="s">
        <v>892</v>
      </c>
      <c r="M40" s="555">
        <v>642</v>
      </c>
      <c r="N40" s="114"/>
      <c r="O40" s="115"/>
      <c r="P40" s="115"/>
      <c r="Q40" s="91">
        <v>0</v>
      </c>
      <c r="R40" s="92">
        <v>0</v>
      </c>
      <c r="S40" s="77">
        <v>0</v>
      </c>
    </row>
    <row r="41" spans="1:19" ht="32.25" customHeight="1">
      <c r="A41" s="116">
        <v>10</v>
      </c>
      <c r="B41" s="117" t="s">
        <v>526</v>
      </c>
      <c r="C41" s="107" t="s">
        <v>400</v>
      </c>
      <c r="D41" s="123">
        <v>642</v>
      </c>
      <c r="E41" s="501"/>
      <c r="F41" s="502"/>
      <c r="G41" s="501"/>
      <c r="H41" s="503">
        <v>0</v>
      </c>
      <c r="I41" s="503">
        <v>0</v>
      </c>
      <c r="J41" s="504">
        <v>0</v>
      </c>
      <c r="K41" s="564" t="s">
        <v>889</v>
      </c>
      <c r="L41" s="565" t="s">
        <v>893</v>
      </c>
      <c r="M41" s="566">
        <v>642</v>
      </c>
      <c r="N41" s="5"/>
      <c r="O41" s="43"/>
      <c r="P41" s="43"/>
      <c r="Q41" s="91"/>
      <c r="R41" s="92"/>
      <c r="S41" s="77"/>
    </row>
    <row r="42" spans="1:19" ht="32.25" customHeight="1">
      <c r="A42" s="116">
        <v>11</v>
      </c>
      <c r="B42" s="117" t="s">
        <v>649</v>
      </c>
      <c r="C42" s="107" t="s">
        <v>400</v>
      </c>
      <c r="D42" s="123">
        <v>642</v>
      </c>
      <c r="E42" s="501"/>
      <c r="F42" s="502"/>
      <c r="G42" s="501"/>
      <c r="H42" s="503">
        <v>0</v>
      </c>
      <c r="I42" s="503">
        <v>0</v>
      </c>
      <c r="J42" s="504">
        <v>0</v>
      </c>
      <c r="K42" s="564" t="s">
        <v>889</v>
      </c>
      <c r="L42" s="565" t="s">
        <v>894</v>
      </c>
      <c r="M42" s="566">
        <v>642</v>
      </c>
      <c r="N42" s="5"/>
      <c r="O42" s="43"/>
      <c r="P42" s="43"/>
      <c r="Q42" s="91"/>
      <c r="R42" s="92"/>
      <c r="S42" s="77"/>
    </row>
    <row r="43" spans="1:19" ht="32.25" customHeight="1">
      <c r="A43" s="116">
        <v>12</v>
      </c>
      <c r="B43" s="117" t="s">
        <v>639</v>
      </c>
      <c r="C43" s="107" t="s">
        <v>400</v>
      </c>
      <c r="D43" s="123">
        <v>642</v>
      </c>
      <c r="E43" s="501"/>
      <c r="F43" s="502"/>
      <c r="G43" s="501"/>
      <c r="H43" s="503">
        <v>0</v>
      </c>
      <c r="I43" s="503">
        <v>0</v>
      </c>
      <c r="J43" s="504">
        <v>0</v>
      </c>
      <c r="K43" s="564" t="s">
        <v>895</v>
      </c>
      <c r="L43" s="565" t="s">
        <v>896</v>
      </c>
      <c r="M43" s="566">
        <v>642</v>
      </c>
      <c r="N43" s="5"/>
      <c r="O43" s="43"/>
      <c r="P43" s="43"/>
      <c r="Q43" s="91"/>
      <c r="R43" s="92"/>
      <c r="S43" s="77"/>
    </row>
    <row r="44" spans="1:19" ht="32.25" customHeight="1">
      <c r="A44" s="116"/>
      <c r="B44" s="117"/>
      <c r="C44" s="107"/>
      <c r="D44" s="123"/>
      <c r="E44" s="501"/>
      <c r="F44" s="502"/>
      <c r="G44" s="501"/>
      <c r="H44" s="503"/>
      <c r="I44" s="503"/>
      <c r="J44" s="504"/>
      <c r="K44" s="564"/>
      <c r="L44" s="565"/>
      <c r="M44" s="566"/>
      <c r="N44" s="5"/>
      <c r="O44" s="43"/>
      <c r="P44" s="43"/>
      <c r="Q44" s="91"/>
      <c r="R44" s="92"/>
      <c r="S44" s="77"/>
    </row>
    <row r="45" spans="1:19" ht="32.25" customHeight="1">
      <c r="A45" s="116"/>
      <c r="B45" s="117"/>
      <c r="C45" s="107"/>
      <c r="D45" s="123"/>
      <c r="E45" s="501"/>
      <c r="F45" s="502"/>
      <c r="G45" s="501"/>
      <c r="H45" s="503"/>
      <c r="I45" s="503"/>
      <c r="J45" s="504"/>
      <c r="K45" s="564"/>
      <c r="L45" s="565"/>
      <c r="M45" s="566"/>
      <c r="N45" s="5"/>
      <c r="O45" s="43"/>
      <c r="P45" s="43"/>
      <c r="Q45" s="91"/>
      <c r="R45" s="92"/>
      <c r="S45" s="77"/>
    </row>
    <row r="46" spans="1:19" ht="32.25" customHeight="1">
      <c r="A46" s="116"/>
      <c r="B46" s="117"/>
      <c r="C46" s="107"/>
      <c r="D46" s="123"/>
      <c r="E46" s="501"/>
      <c r="F46" s="502"/>
      <c r="G46" s="501"/>
      <c r="H46" s="503"/>
      <c r="I46" s="503"/>
      <c r="J46" s="504"/>
      <c r="K46" s="564"/>
      <c r="L46" s="565"/>
      <c r="M46" s="566"/>
      <c r="N46" s="5"/>
      <c r="O46" s="43"/>
      <c r="P46" s="43"/>
      <c r="Q46" s="91"/>
      <c r="R46" s="92"/>
      <c r="S46" s="77"/>
    </row>
    <row r="47" spans="1:19" ht="32.25" customHeight="1">
      <c r="A47" s="116"/>
      <c r="B47" s="117"/>
      <c r="C47" s="107"/>
      <c r="D47" s="123"/>
      <c r="E47" s="501"/>
      <c r="F47" s="502"/>
      <c r="G47" s="501"/>
      <c r="H47" s="503"/>
      <c r="I47" s="503"/>
      <c r="J47" s="504"/>
      <c r="K47" s="564"/>
      <c r="L47" s="565"/>
      <c r="M47" s="566"/>
      <c r="N47" s="5"/>
      <c r="O47" s="43"/>
      <c r="P47" s="43"/>
      <c r="Q47" s="91"/>
      <c r="R47" s="92"/>
      <c r="S47" s="77"/>
    </row>
    <row r="48" spans="1:19" ht="32.25" customHeight="1">
      <c r="A48" s="116"/>
      <c r="B48" s="117"/>
      <c r="C48" s="107"/>
      <c r="D48" s="123"/>
      <c r="E48" s="501"/>
      <c r="F48" s="502"/>
      <c r="G48" s="501"/>
      <c r="H48" s="503"/>
      <c r="I48" s="503"/>
      <c r="J48" s="504"/>
      <c r="K48" s="564"/>
      <c r="L48" s="565"/>
      <c r="M48" s="566"/>
      <c r="N48" s="5"/>
      <c r="O48" s="43"/>
      <c r="P48" s="43"/>
      <c r="Q48" s="91"/>
      <c r="R48" s="92"/>
      <c r="S48" s="77"/>
    </row>
    <row r="49" spans="1:19" ht="32.25" customHeight="1">
      <c r="A49" s="116">
        <v>18</v>
      </c>
      <c r="B49" s="117"/>
      <c r="C49" s="107"/>
      <c r="D49" s="123"/>
      <c r="E49" s="501"/>
      <c r="F49" s="502"/>
      <c r="G49" s="501"/>
      <c r="H49" s="503"/>
      <c r="I49" s="503"/>
      <c r="J49" s="504"/>
      <c r="K49" s="564"/>
      <c r="L49" s="565"/>
      <c r="M49" s="566"/>
      <c r="N49" s="5"/>
      <c r="O49" s="43"/>
      <c r="P49" s="43"/>
      <c r="Q49" s="91"/>
      <c r="R49" s="92"/>
      <c r="S49" s="77"/>
    </row>
    <row r="50" spans="1:19" ht="32.25" customHeight="1">
      <c r="A50" s="116">
        <v>19</v>
      </c>
      <c r="B50" s="117"/>
      <c r="C50" s="107"/>
      <c r="D50" s="123"/>
      <c r="E50" s="501"/>
      <c r="F50" s="502"/>
      <c r="G50" s="501"/>
      <c r="H50" s="503"/>
      <c r="I50" s="503"/>
      <c r="J50" s="504"/>
      <c r="K50" s="564"/>
      <c r="L50" s="565"/>
      <c r="M50" s="566"/>
      <c r="N50" s="5"/>
      <c r="O50" s="43"/>
      <c r="P50" s="43"/>
      <c r="Q50" s="91"/>
      <c r="R50" s="92"/>
      <c r="S50" s="77"/>
    </row>
    <row r="51" spans="1:19" ht="32.25" customHeight="1">
      <c r="A51" s="116"/>
      <c r="B51" s="117"/>
      <c r="C51" s="107"/>
      <c r="D51" s="123"/>
      <c r="E51" s="501"/>
      <c r="F51" s="502"/>
      <c r="G51" s="501"/>
      <c r="H51" s="503"/>
      <c r="I51" s="503"/>
      <c r="J51" s="504"/>
      <c r="K51" s="564"/>
      <c r="L51" s="565"/>
      <c r="M51" s="566"/>
      <c r="N51" s="5"/>
      <c r="O51" s="43"/>
      <c r="P51" s="43"/>
      <c r="Q51" s="91"/>
      <c r="R51" s="92"/>
      <c r="S51" s="77"/>
    </row>
    <row r="52" spans="1:19" ht="32.25" customHeight="1" thickBot="1">
      <c r="A52" s="39"/>
      <c r="B52" s="50" t="s">
        <v>19</v>
      </c>
      <c r="C52" s="50"/>
      <c r="D52" s="51">
        <f>SUM(D32:D51)</f>
        <v>6099</v>
      </c>
      <c r="E52" s="52"/>
      <c r="F52" s="53"/>
      <c r="G52" s="52"/>
      <c r="H52" s="51">
        <v>0</v>
      </c>
      <c r="I52" s="51">
        <v>0</v>
      </c>
      <c r="J52" s="51">
        <v>0</v>
      </c>
      <c r="K52" s="548"/>
      <c r="L52" s="548"/>
      <c r="M52" s="549">
        <f>SUM(M32:M51)</f>
        <v>6099</v>
      </c>
      <c r="N52" s="57"/>
      <c r="O52" s="53"/>
      <c r="P52" s="51"/>
      <c r="Q52" s="51"/>
      <c r="R52" s="51"/>
      <c r="S52" s="51"/>
    </row>
    <row r="53" spans="1:19" ht="32.25" customHeight="1" thickTop="1">
      <c r="A53" s="39"/>
      <c r="B53" s="58" t="s">
        <v>47</v>
      </c>
      <c r="C53" s="59"/>
      <c r="D53" s="60"/>
      <c r="E53" s="61"/>
      <c r="F53" s="62"/>
      <c r="G53" s="63"/>
      <c r="H53" s="64"/>
      <c r="I53" s="64"/>
      <c r="J53" s="64"/>
      <c r="K53" s="550"/>
      <c r="L53" s="551"/>
      <c r="M53" s="552"/>
      <c r="N53" s="68"/>
      <c r="O53" s="62"/>
      <c r="P53" s="69"/>
      <c r="Q53" s="63"/>
      <c r="R53" s="63"/>
      <c r="S53" s="70"/>
    </row>
    <row r="54" spans="1:19" ht="32.25" customHeight="1">
      <c r="A54" s="39">
        <v>1</v>
      </c>
      <c r="B54" s="40"/>
      <c r="C54" s="41"/>
      <c r="D54" s="42"/>
      <c r="E54" s="6"/>
      <c r="F54" s="43"/>
      <c r="G54" s="6"/>
      <c r="H54" s="42"/>
      <c r="I54" s="42"/>
      <c r="J54" s="42"/>
      <c r="K54" s="544"/>
      <c r="L54" s="545"/>
      <c r="M54" s="546"/>
      <c r="N54" s="5"/>
      <c r="O54" s="43"/>
      <c r="P54" s="47"/>
      <c r="Q54" s="48"/>
      <c r="R54" s="48"/>
      <c r="S54" s="49"/>
    </row>
    <row r="55" spans="1:19" ht="32.25" customHeight="1" thickBot="1">
      <c r="A55" s="39"/>
      <c r="B55" s="50" t="s">
        <v>19</v>
      </c>
      <c r="C55" s="50"/>
      <c r="D55" s="51">
        <v>0</v>
      </c>
      <c r="E55" s="52"/>
      <c r="F55" s="53"/>
      <c r="G55" s="52"/>
      <c r="H55" s="51">
        <v>0</v>
      </c>
      <c r="I55" s="51">
        <v>0</v>
      </c>
      <c r="J55" s="51">
        <v>0</v>
      </c>
      <c r="K55" s="547"/>
      <c r="L55" s="548"/>
      <c r="M55" s="549"/>
      <c r="N55" s="57"/>
      <c r="O55" s="53"/>
      <c r="P55" s="51"/>
      <c r="Q55" s="51"/>
      <c r="R55" s="51"/>
      <c r="S55" s="51"/>
    </row>
    <row r="56" spans="1:19" ht="32.25" customHeight="1" thickTop="1">
      <c r="A56" s="39"/>
      <c r="B56" s="58" t="s">
        <v>48</v>
      </c>
      <c r="C56" s="59"/>
      <c r="D56" s="60"/>
      <c r="E56" s="61"/>
      <c r="F56" s="62"/>
      <c r="G56" s="63"/>
      <c r="H56" s="64"/>
      <c r="I56" s="64"/>
      <c r="J56" s="64"/>
      <c r="K56" s="550"/>
      <c r="L56" s="551"/>
      <c r="M56" s="552"/>
      <c r="N56" s="68"/>
      <c r="O56" s="62"/>
      <c r="P56" s="69"/>
      <c r="Q56" s="63"/>
      <c r="R56" s="63"/>
      <c r="S56" s="70"/>
    </row>
    <row r="57" spans="1:19" ht="32.25" customHeight="1">
      <c r="A57" s="39">
        <v>1</v>
      </c>
      <c r="B57" s="40"/>
      <c r="C57" s="41"/>
      <c r="D57" s="42"/>
      <c r="E57" s="6"/>
      <c r="F57" s="43"/>
      <c r="G57" s="6"/>
      <c r="H57" s="42"/>
      <c r="I57" s="42"/>
      <c r="J57" s="42"/>
      <c r="K57" s="544"/>
      <c r="L57" s="545"/>
      <c r="M57" s="546"/>
      <c r="N57" s="5"/>
      <c r="O57" s="43"/>
      <c r="P57" s="47"/>
      <c r="Q57" s="48"/>
      <c r="R57" s="48"/>
      <c r="S57" s="49"/>
    </row>
    <row r="58" spans="1:19" ht="32.25" customHeight="1" thickBot="1">
      <c r="A58" s="39"/>
      <c r="B58" s="50" t="s">
        <v>19</v>
      </c>
      <c r="C58" s="50"/>
      <c r="D58" s="51">
        <v>0</v>
      </c>
      <c r="E58" s="52"/>
      <c r="F58" s="53"/>
      <c r="G58" s="52"/>
      <c r="H58" s="51">
        <v>0</v>
      </c>
      <c r="I58" s="51">
        <v>0</v>
      </c>
      <c r="J58" s="51">
        <v>0</v>
      </c>
      <c r="K58" s="547"/>
      <c r="L58" s="548"/>
      <c r="M58" s="549"/>
      <c r="N58" s="57"/>
      <c r="O58" s="53"/>
      <c r="P58" s="51"/>
      <c r="Q58" s="51"/>
      <c r="R58" s="51"/>
      <c r="S58" s="51"/>
    </row>
    <row r="59" spans="1:19" ht="32.25" customHeight="1" thickTop="1">
      <c r="A59" s="39"/>
      <c r="B59" s="58" t="s">
        <v>49</v>
      </c>
      <c r="C59" s="59"/>
      <c r="D59" s="60"/>
      <c r="E59" s="61"/>
      <c r="F59" s="62"/>
      <c r="G59" s="63"/>
      <c r="H59" s="64"/>
      <c r="I59" s="64"/>
      <c r="J59" s="64"/>
      <c r="K59" s="550"/>
      <c r="L59" s="551"/>
      <c r="M59" s="552"/>
      <c r="N59" s="68"/>
      <c r="O59" s="62"/>
      <c r="P59" s="69"/>
      <c r="Q59" s="63"/>
      <c r="R59" s="63"/>
      <c r="S59" s="70"/>
    </row>
    <row r="60" spans="1:19" ht="32.25" customHeight="1">
      <c r="A60" s="39">
        <v>1</v>
      </c>
      <c r="B60" s="40"/>
      <c r="C60" s="41"/>
      <c r="D60" s="42"/>
      <c r="E60" s="6"/>
      <c r="F60" s="43"/>
      <c r="G60" s="6"/>
      <c r="H60" s="42"/>
      <c r="I60" s="42"/>
      <c r="J60" s="42"/>
      <c r="K60" s="544"/>
      <c r="L60" s="545"/>
      <c r="M60" s="546"/>
      <c r="N60" s="5"/>
      <c r="O60" s="43"/>
      <c r="P60" s="47"/>
      <c r="Q60" s="48"/>
      <c r="R60" s="48"/>
      <c r="S60" s="49"/>
    </row>
    <row r="61" spans="1:19" ht="32.25" customHeight="1" thickBot="1">
      <c r="A61" s="39"/>
      <c r="B61" s="50" t="s">
        <v>19</v>
      </c>
      <c r="C61" s="50"/>
      <c r="D61" s="51">
        <v>0</v>
      </c>
      <c r="E61" s="52"/>
      <c r="F61" s="53"/>
      <c r="G61" s="52"/>
      <c r="H61" s="51">
        <v>0</v>
      </c>
      <c r="I61" s="51">
        <v>0</v>
      </c>
      <c r="J61" s="51">
        <v>0</v>
      </c>
      <c r="K61" s="547"/>
      <c r="L61" s="548"/>
      <c r="M61" s="549">
        <v>0</v>
      </c>
      <c r="N61" s="57"/>
      <c r="O61" s="53"/>
      <c r="P61" s="51"/>
      <c r="Q61" s="51"/>
      <c r="R61" s="51"/>
      <c r="S61" s="51"/>
    </row>
    <row r="62" spans="1:19" ht="32.25" customHeight="1" thickTop="1">
      <c r="A62" s="39"/>
      <c r="B62" s="141" t="s">
        <v>50</v>
      </c>
      <c r="C62" s="142"/>
      <c r="D62" s="125"/>
      <c r="E62" s="131"/>
      <c r="F62" s="115"/>
      <c r="G62" s="33"/>
      <c r="H62" s="143"/>
      <c r="I62" s="143"/>
      <c r="J62" s="143"/>
      <c r="K62" s="541"/>
      <c r="L62" s="542"/>
      <c r="M62" s="543"/>
      <c r="N62" s="114"/>
      <c r="O62" s="115"/>
      <c r="P62" s="144"/>
      <c r="Q62" s="33"/>
      <c r="R62" s="33"/>
      <c r="S62" s="145"/>
    </row>
    <row r="63" spans="1:19" ht="32.25" customHeight="1">
      <c r="A63" s="39"/>
      <c r="B63" s="146" t="s">
        <v>51</v>
      </c>
      <c r="C63" s="146"/>
      <c r="D63" s="125"/>
      <c r="E63" s="131"/>
      <c r="F63" s="122"/>
      <c r="G63" s="147"/>
      <c r="H63" s="148"/>
      <c r="I63" s="148"/>
      <c r="J63" s="143"/>
      <c r="K63" s="541"/>
      <c r="L63" s="542"/>
      <c r="M63" s="543"/>
      <c r="N63" s="114"/>
      <c r="O63" s="122"/>
      <c r="P63" s="149"/>
      <c r="Q63" s="147"/>
      <c r="R63" s="147"/>
      <c r="S63" s="145"/>
    </row>
    <row r="64" spans="1:19" s="160" customFormat="1" ht="32.25" customHeight="1">
      <c r="A64" s="106">
        <v>1</v>
      </c>
      <c r="B64" s="142" t="s">
        <v>52</v>
      </c>
      <c r="C64" s="150" t="s">
        <v>53</v>
      </c>
      <c r="D64" s="151">
        <v>4140</v>
      </c>
      <c r="E64" s="157" t="s">
        <v>57</v>
      </c>
      <c r="F64" s="158"/>
      <c r="G64" s="158"/>
      <c r="H64" s="153">
        <v>-2070</v>
      </c>
      <c r="I64" s="153"/>
      <c r="J64" s="159">
        <v>-2070</v>
      </c>
      <c r="K64" s="164" t="s">
        <v>897</v>
      </c>
      <c r="L64" s="165" t="s">
        <v>898</v>
      </c>
      <c r="M64" s="166">
        <v>4140</v>
      </c>
      <c r="N64" s="157" t="s">
        <v>57</v>
      </c>
      <c r="O64" s="158"/>
      <c r="P64" s="158"/>
      <c r="Q64" s="153">
        <v>-2070</v>
      </c>
      <c r="R64" s="153"/>
      <c r="S64" s="159">
        <v>-2070</v>
      </c>
    </row>
    <row r="65" spans="1:19" s="160" customFormat="1" ht="32.25" customHeight="1">
      <c r="A65" s="106">
        <v>2</v>
      </c>
      <c r="B65" s="161" t="s">
        <v>58</v>
      </c>
      <c r="C65" s="162" t="s">
        <v>59</v>
      </c>
      <c r="D65" s="151">
        <v>0</v>
      </c>
      <c r="E65" s="167"/>
      <c r="F65" s="158"/>
      <c r="G65" s="158"/>
      <c r="H65" s="91">
        <v>0</v>
      </c>
      <c r="I65" s="91"/>
      <c r="J65" s="77">
        <v>0</v>
      </c>
      <c r="K65" s="164"/>
      <c r="L65" s="165"/>
      <c r="M65" s="166"/>
      <c r="N65" s="167"/>
      <c r="O65" s="158"/>
      <c r="P65" s="158"/>
      <c r="Q65" s="91">
        <f t="shared" ref="Q65:Q68" si="0">SUM(D65+H65-M65)</f>
        <v>0</v>
      </c>
      <c r="R65" s="91"/>
      <c r="S65" s="77">
        <f t="shared" ref="S65:S68" si="1">SUM(Q65)</f>
        <v>0</v>
      </c>
    </row>
    <row r="66" spans="1:19" s="160" customFormat="1" ht="32.25" customHeight="1">
      <c r="A66" s="106">
        <v>3</v>
      </c>
      <c r="B66" s="142" t="s">
        <v>60</v>
      </c>
      <c r="C66" s="150" t="s">
        <v>61</v>
      </c>
      <c r="D66" s="151">
        <v>2070</v>
      </c>
      <c r="E66" s="167"/>
      <c r="F66" s="158"/>
      <c r="G66" s="158"/>
      <c r="H66" s="91">
        <v>0</v>
      </c>
      <c r="I66" s="91"/>
      <c r="J66" s="77">
        <v>0</v>
      </c>
      <c r="K66" s="164" t="s">
        <v>879</v>
      </c>
      <c r="L66" s="165" t="s">
        <v>899</v>
      </c>
      <c r="M66" s="166">
        <v>2070</v>
      </c>
      <c r="N66" s="167"/>
      <c r="O66" s="158"/>
      <c r="P66" s="158"/>
      <c r="Q66" s="91">
        <f t="shared" si="0"/>
        <v>0</v>
      </c>
      <c r="R66" s="91"/>
      <c r="S66" s="77">
        <f t="shared" si="1"/>
        <v>0</v>
      </c>
    </row>
    <row r="67" spans="1:19" s="160" customFormat="1" ht="32.25" customHeight="1">
      <c r="A67" s="106">
        <v>4</v>
      </c>
      <c r="B67" s="142" t="s">
        <v>27</v>
      </c>
      <c r="C67" s="150" t="s">
        <v>64</v>
      </c>
      <c r="D67" s="151">
        <v>2070</v>
      </c>
      <c r="E67" s="167"/>
      <c r="F67" s="158"/>
      <c r="G67" s="158"/>
      <c r="H67" s="91">
        <v>0</v>
      </c>
      <c r="I67" s="91"/>
      <c r="J67" s="77">
        <v>0</v>
      </c>
      <c r="K67" s="164" t="s">
        <v>879</v>
      </c>
      <c r="L67" s="165" t="s">
        <v>900</v>
      </c>
      <c r="M67" s="166">
        <v>2070</v>
      </c>
      <c r="N67" s="167"/>
      <c r="O67" s="158"/>
      <c r="P67" s="158"/>
      <c r="Q67" s="91">
        <f t="shared" si="0"/>
        <v>0</v>
      </c>
      <c r="R67" s="91"/>
      <c r="S67" s="77">
        <f t="shared" si="1"/>
        <v>0</v>
      </c>
    </row>
    <row r="68" spans="1:19" s="160" customFormat="1" ht="32.25" customHeight="1">
      <c r="A68" s="106">
        <v>5</v>
      </c>
      <c r="B68" s="168" t="s">
        <v>42</v>
      </c>
      <c r="C68" s="150" t="s">
        <v>67</v>
      </c>
      <c r="D68" s="125">
        <v>2070</v>
      </c>
      <c r="E68" s="167"/>
      <c r="F68" s="158"/>
      <c r="G68" s="158"/>
      <c r="H68" s="91">
        <v>0</v>
      </c>
      <c r="I68" s="91"/>
      <c r="J68" s="77">
        <v>0</v>
      </c>
      <c r="K68" s="164" t="s">
        <v>897</v>
      </c>
      <c r="L68" s="165" t="s">
        <v>901</v>
      </c>
      <c r="M68" s="166">
        <v>2070</v>
      </c>
      <c r="N68" s="167"/>
      <c r="O68" s="158"/>
      <c r="P68" s="158"/>
      <c r="Q68" s="91">
        <f t="shared" si="0"/>
        <v>0</v>
      </c>
      <c r="R68" s="91"/>
      <c r="S68" s="77">
        <f t="shared" si="1"/>
        <v>0</v>
      </c>
    </row>
    <row r="69" spans="1:19" s="160" customFormat="1" ht="32.25" customHeight="1">
      <c r="A69" s="106">
        <v>6</v>
      </c>
      <c r="B69" s="142" t="s">
        <v>69</v>
      </c>
      <c r="C69" s="150" t="s">
        <v>70</v>
      </c>
      <c r="D69" s="151">
        <v>2070</v>
      </c>
      <c r="E69" s="169"/>
      <c r="F69" s="158"/>
      <c r="G69" s="158"/>
      <c r="H69" s="91">
        <v>0</v>
      </c>
      <c r="I69" s="91"/>
      <c r="J69" s="77">
        <v>0</v>
      </c>
      <c r="K69" s="164" t="s">
        <v>873</v>
      </c>
      <c r="L69" s="165" t="s">
        <v>902</v>
      </c>
      <c r="M69" s="166">
        <v>2070</v>
      </c>
      <c r="N69" s="169"/>
      <c r="O69" s="158"/>
      <c r="P69" s="158"/>
      <c r="Q69" s="91">
        <f>SUM(D69+H69-M69)</f>
        <v>0</v>
      </c>
      <c r="R69" s="91"/>
      <c r="S69" s="77">
        <f>SUM(Q69)</f>
        <v>0</v>
      </c>
    </row>
    <row r="70" spans="1:19" ht="32.25" customHeight="1">
      <c r="A70" s="106">
        <v>7</v>
      </c>
      <c r="B70" s="146" t="s">
        <v>75</v>
      </c>
      <c r="C70" s="170" t="s">
        <v>76</v>
      </c>
      <c r="D70" s="151"/>
      <c r="E70" s="167"/>
      <c r="F70" s="158"/>
      <c r="G70" s="158"/>
      <c r="H70" s="91">
        <v>0</v>
      </c>
      <c r="I70" s="91"/>
      <c r="J70" s="77">
        <v>0</v>
      </c>
      <c r="K70" s="164"/>
      <c r="L70" s="165"/>
      <c r="M70" s="166"/>
      <c r="N70" s="167"/>
      <c r="O70" s="158"/>
      <c r="P70" s="158"/>
      <c r="Q70" s="91">
        <f t="shared" ref="Q70:Q95" si="2">SUM(D70+H70-M70)</f>
        <v>0</v>
      </c>
      <c r="R70" s="91"/>
      <c r="S70" s="77">
        <f t="shared" ref="S70:S95" si="3">SUM(Q70)</f>
        <v>0</v>
      </c>
    </row>
    <row r="71" spans="1:19" s="160" customFormat="1" ht="32.25" customHeight="1">
      <c r="A71" s="106">
        <v>8</v>
      </c>
      <c r="B71" s="142" t="s">
        <v>77</v>
      </c>
      <c r="C71" s="150" t="s">
        <v>78</v>
      </c>
      <c r="D71" s="151">
        <v>2070</v>
      </c>
      <c r="E71" s="167"/>
      <c r="F71" s="158"/>
      <c r="G71" s="158"/>
      <c r="H71" s="91">
        <v>0</v>
      </c>
      <c r="I71" s="91"/>
      <c r="J71" s="77">
        <v>0</v>
      </c>
      <c r="K71" s="164" t="s">
        <v>879</v>
      </c>
      <c r="L71" s="172" t="s">
        <v>903</v>
      </c>
      <c r="M71" s="166">
        <v>2070</v>
      </c>
      <c r="N71" s="167"/>
      <c r="O71" s="158"/>
      <c r="P71" s="158"/>
      <c r="Q71" s="91">
        <f t="shared" si="2"/>
        <v>0</v>
      </c>
      <c r="R71" s="91"/>
      <c r="S71" s="77">
        <f t="shared" si="3"/>
        <v>0</v>
      </c>
    </row>
    <row r="72" spans="1:19" s="160" customFormat="1" ht="32.25" customHeight="1">
      <c r="A72" s="106">
        <v>9</v>
      </c>
      <c r="B72" s="142" t="s">
        <v>77</v>
      </c>
      <c r="C72" s="150" t="s">
        <v>81</v>
      </c>
      <c r="D72" s="151">
        <v>2070</v>
      </c>
      <c r="E72" s="167"/>
      <c r="F72" s="158"/>
      <c r="G72" s="158"/>
      <c r="H72" s="91">
        <v>0</v>
      </c>
      <c r="I72" s="91"/>
      <c r="J72" s="77">
        <v>0</v>
      </c>
      <c r="K72" s="164" t="s">
        <v>879</v>
      </c>
      <c r="L72" s="172" t="s">
        <v>903</v>
      </c>
      <c r="M72" s="166">
        <v>2070</v>
      </c>
      <c r="N72" s="167"/>
      <c r="O72" s="158"/>
      <c r="P72" s="158"/>
      <c r="Q72" s="91">
        <f t="shared" si="2"/>
        <v>0</v>
      </c>
      <c r="R72" s="91"/>
      <c r="S72" s="77">
        <f t="shared" si="3"/>
        <v>0</v>
      </c>
    </row>
    <row r="73" spans="1:19" ht="32.25" customHeight="1">
      <c r="A73" s="106">
        <v>10</v>
      </c>
      <c r="B73" s="146" t="s">
        <v>75</v>
      </c>
      <c r="C73" s="170" t="s">
        <v>82</v>
      </c>
      <c r="D73" s="151"/>
      <c r="E73" s="167"/>
      <c r="F73" s="158"/>
      <c r="G73" s="158"/>
      <c r="H73" s="91">
        <v>0</v>
      </c>
      <c r="I73" s="91"/>
      <c r="J73" s="77">
        <v>0</v>
      </c>
      <c r="K73" s="164"/>
      <c r="L73" s="172"/>
      <c r="M73" s="166"/>
      <c r="N73" s="167"/>
      <c r="O73" s="158"/>
      <c r="P73" s="158"/>
      <c r="Q73" s="91">
        <f t="shared" si="2"/>
        <v>0</v>
      </c>
      <c r="R73" s="91"/>
      <c r="S73" s="77">
        <f t="shared" si="3"/>
        <v>0</v>
      </c>
    </row>
    <row r="74" spans="1:19" s="160" customFormat="1" ht="32.25" customHeight="1">
      <c r="A74" s="106">
        <v>11</v>
      </c>
      <c r="B74" s="142" t="s">
        <v>83</v>
      </c>
      <c r="C74" s="150" t="s">
        <v>84</v>
      </c>
      <c r="D74" s="151">
        <v>2070</v>
      </c>
      <c r="E74" s="167"/>
      <c r="F74" s="158"/>
      <c r="G74" s="158"/>
      <c r="H74" s="91">
        <v>0</v>
      </c>
      <c r="I74" s="91"/>
      <c r="J74" s="77">
        <v>0</v>
      </c>
      <c r="K74" s="164" t="s">
        <v>879</v>
      </c>
      <c r="L74" s="165" t="s">
        <v>904</v>
      </c>
      <c r="M74" s="166">
        <v>2070</v>
      </c>
      <c r="N74" s="167"/>
      <c r="O74" s="158"/>
      <c r="P74" s="158"/>
      <c r="Q74" s="91">
        <f t="shared" si="2"/>
        <v>0</v>
      </c>
      <c r="R74" s="91"/>
      <c r="S74" s="77">
        <f t="shared" si="3"/>
        <v>0</v>
      </c>
    </row>
    <row r="75" spans="1:19" s="160" customFormat="1" ht="32.25" customHeight="1">
      <c r="A75" s="106">
        <v>12</v>
      </c>
      <c r="B75" s="142" t="s">
        <v>87</v>
      </c>
      <c r="C75" s="150" t="s">
        <v>88</v>
      </c>
      <c r="D75" s="151">
        <v>2070</v>
      </c>
      <c r="E75" s="167"/>
      <c r="F75" s="158"/>
      <c r="G75" s="158"/>
      <c r="H75" s="91">
        <v>0</v>
      </c>
      <c r="I75" s="91"/>
      <c r="J75" s="77">
        <v>0</v>
      </c>
      <c r="K75" s="164" t="s">
        <v>873</v>
      </c>
      <c r="L75" s="172" t="s">
        <v>905</v>
      </c>
      <c r="M75" s="166">
        <v>2070</v>
      </c>
      <c r="N75" s="167"/>
      <c r="O75" s="158"/>
      <c r="P75" s="158"/>
      <c r="Q75" s="91">
        <f t="shared" si="2"/>
        <v>0</v>
      </c>
      <c r="R75" s="91"/>
      <c r="S75" s="77">
        <f t="shared" si="3"/>
        <v>0</v>
      </c>
    </row>
    <row r="76" spans="1:19" ht="32.25" customHeight="1">
      <c r="A76" s="106">
        <v>13</v>
      </c>
      <c r="B76" s="146" t="s">
        <v>75</v>
      </c>
      <c r="C76" s="173" t="s">
        <v>91</v>
      </c>
      <c r="D76" s="151"/>
      <c r="E76" s="167"/>
      <c r="F76" s="158"/>
      <c r="G76" s="158"/>
      <c r="H76" s="91">
        <v>0</v>
      </c>
      <c r="I76" s="91"/>
      <c r="J76" s="77">
        <v>0</v>
      </c>
      <c r="K76" s="164"/>
      <c r="L76" s="165"/>
      <c r="M76" s="166"/>
      <c r="N76" s="167"/>
      <c r="O76" s="158"/>
      <c r="P76" s="158"/>
      <c r="Q76" s="91">
        <f t="shared" si="2"/>
        <v>0</v>
      </c>
      <c r="R76" s="91"/>
      <c r="S76" s="77">
        <f t="shared" si="3"/>
        <v>0</v>
      </c>
    </row>
    <row r="77" spans="1:19" ht="32.25" customHeight="1">
      <c r="A77" s="106">
        <v>14</v>
      </c>
      <c r="B77" s="142" t="s">
        <v>92</v>
      </c>
      <c r="C77" s="174" t="s">
        <v>93</v>
      </c>
      <c r="D77" s="151"/>
      <c r="E77" s="167"/>
      <c r="F77" s="158"/>
      <c r="G77" s="158"/>
      <c r="H77" s="91">
        <v>0</v>
      </c>
      <c r="I77" s="91"/>
      <c r="J77" s="77">
        <v>0</v>
      </c>
      <c r="K77" s="164"/>
      <c r="L77" s="165"/>
      <c r="M77" s="166"/>
      <c r="N77" s="167"/>
      <c r="O77" s="158"/>
      <c r="P77" s="158"/>
      <c r="Q77" s="91">
        <f t="shared" si="2"/>
        <v>0</v>
      </c>
      <c r="R77" s="91"/>
      <c r="S77" s="77">
        <f t="shared" si="3"/>
        <v>0</v>
      </c>
    </row>
    <row r="78" spans="1:19" ht="32.25" customHeight="1">
      <c r="A78" s="106">
        <v>15</v>
      </c>
      <c r="B78" s="146" t="s">
        <v>75</v>
      </c>
      <c r="C78" s="170" t="s">
        <v>94</v>
      </c>
      <c r="D78" s="151">
        <v>0</v>
      </c>
      <c r="E78" s="167"/>
      <c r="F78" s="158"/>
      <c r="G78" s="158"/>
      <c r="H78" s="91">
        <v>0</v>
      </c>
      <c r="I78" s="91"/>
      <c r="J78" s="77">
        <v>0</v>
      </c>
      <c r="K78" s="164"/>
      <c r="L78" s="165"/>
      <c r="M78" s="166"/>
      <c r="N78" s="167"/>
      <c r="O78" s="158"/>
      <c r="P78" s="158"/>
      <c r="Q78" s="91">
        <f t="shared" si="2"/>
        <v>0</v>
      </c>
      <c r="R78" s="91"/>
      <c r="S78" s="77">
        <f t="shared" si="3"/>
        <v>0</v>
      </c>
    </row>
    <row r="79" spans="1:19" s="160" customFormat="1" ht="32.25" customHeight="1">
      <c r="A79" s="106">
        <v>16</v>
      </c>
      <c r="B79" s="142" t="s">
        <v>95</v>
      </c>
      <c r="C79" s="150" t="s">
        <v>96</v>
      </c>
      <c r="D79" s="151">
        <v>0</v>
      </c>
      <c r="E79" s="167"/>
      <c r="F79" s="158"/>
      <c r="G79" s="158"/>
      <c r="H79" s="91">
        <v>0</v>
      </c>
      <c r="I79" s="91"/>
      <c r="J79" s="77">
        <v>0</v>
      </c>
      <c r="K79" s="164"/>
      <c r="L79" s="175"/>
      <c r="M79" s="166"/>
      <c r="N79" s="167"/>
      <c r="O79" s="158"/>
      <c r="P79" s="158"/>
      <c r="Q79" s="91">
        <f t="shared" si="2"/>
        <v>0</v>
      </c>
      <c r="R79" s="91"/>
      <c r="S79" s="77">
        <f t="shared" si="3"/>
        <v>0</v>
      </c>
    </row>
    <row r="80" spans="1:19" s="160" customFormat="1" ht="32.25" customHeight="1">
      <c r="A80" s="106">
        <v>17</v>
      </c>
      <c r="B80" s="176" t="s">
        <v>97</v>
      </c>
      <c r="C80" s="162" t="s">
        <v>98</v>
      </c>
      <c r="D80" s="151">
        <v>0</v>
      </c>
      <c r="E80" s="167"/>
      <c r="F80" s="158"/>
      <c r="G80" s="158"/>
      <c r="H80" s="91">
        <v>0</v>
      </c>
      <c r="I80" s="91"/>
      <c r="J80" s="77">
        <v>0</v>
      </c>
      <c r="K80" s="164"/>
      <c r="L80" s="165"/>
      <c r="M80" s="177"/>
      <c r="N80" s="167"/>
      <c r="O80" s="158"/>
      <c r="P80" s="158"/>
      <c r="Q80" s="91">
        <f t="shared" si="2"/>
        <v>0</v>
      </c>
      <c r="R80" s="91"/>
      <c r="S80" s="77">
        <f t="shared" si="3"/>
        <v>0</v>
      </c>
    </row>
    <row r="81" spans="1:19" s="160" customFormat="1" ht="32.25" customHeight="1">
      <c r="A81" s="106">
        <v>18</v>
      </c>
      <c r="B81" s="142" t="s">
        <v>99</v>
      </c>
      <c r="C81" s="174" t="s">
        <v>100</v>
      </c>
      <c r="D81" s="151">
        <v>37375</v>
      </c>
      <c r="E81" s="167"/>
      <c r="F81" s="158"/>
      <c r="G81" s="158"/>
      <c r="H81" s="91">
        <v>0</v>
      </c>
      <c r="I81" s="91"/>
      <c r="J81" s="77">
        <v>0</v>
      </c>
      <c r="K81" s="164" t="s">
        <v>879</v>
      </c>
      <c r="L81" s="172" t="s">
        <v>906</v>
      </c>
      <c r="M81" s="177">
        <v>37375</v>
      </c>
      <c r="N81" s="167"/>
      <c r="O81" s="158"/>
      <c r="P81" s="158"/>
      <c r="Q81" s="91">
        <f t="shared" si="2"/>
        <v>0</v>
      </c>
      <c r="R81" s="91"/>
      <c r="S81" s="77">
        <f t="shared" si="3"/>
        <v>0</v>
      </c>
    </row>
    <row r="82" spans="1:19" s="160" customFormat="1" ht="32.25" customHeight="1">
      <c r="A82" s="106"/>
      <c r="B82" s="652" t="s">
        <v>102</v>
      </c>
      <c r="C82" s="653"/>
      <c r="D82" s="654"/>
      <c r="E82" s="167"/>
      <c r="F82" s="158"/>
      <c r="G82" s="158"/>
      <c r="H82" s="91">
        <v>0</v>
      </c>
      <c r="I82" s="91"/>
      <c r="J82" s="77">
        <v>0</v>
      </c>
      <c r="K82" s="164"/>
      <c r="L82" s="182"/>
      <c r="M82" s="183"/>
      <c r="N82" s="167"/>
      <c r="O82" s="158"/>
      <c r="P82" s="158"/>
      <c r="Q82" s="91">
        <f t="shared" si="2"/>
        <v>0</v>
      </c>
      <c r="R82" s="91"/>
      <c r="S82" s="77">
        <f t="shared" si="3"/>
        <v>0</v>
      </c>
    </row>
    <row r="83" spans="1:19" s="160" customFormat="1" ht="32.25" customHeight="1">
      <c r="A83" s="106">
        <v>19</v>
      </c>
      <c r="B83" s="142" t="s">
        <v>103</v>
      </c>
      <c r="C83" s="174" t="s">
        <v>104</v>
      </c>
      <c r="D83" s="151">
        <v>15525</v>
      </c>
      <c r="E83" s="167"/>
      <c r="F83" s="158"/>
      <c r="G83" s="158"/>
      <c r="H83" s="91">
        <v>0</v>
      </c>
      <c r="I83" s="91"/>
      <c r="J83" s="77">
        <v>0</v>
      </c>
      <c r="K83" s="164" t="s">
        <v>907</v>
      </c>
      <c r="L83" s="172" t="s">
        <v>908</v>
      </c>
      <c r="M83" s="177">
        <v>15525</v>
      </c>
      <c r="N83" s="167"/>
      <c r="O83" s="158"/>
      <c r="P83" s="158"/>
      <c r="Q83" s="91">
        <f t="shared" si="2"/>
        <v>0</v>
      </c>
      <c r="R83" s="91"/>
      <c r="S83" s="77">
        <f t="shared" si="3"/>
        <v>0</v>
      </c>
    </row>
    <row r="84" spans="1:19" s="160" customFormat="1" ht="32.25" customHeight="1">
      <c r="A84" s="106"/>
      <c r="B84" s="652" t="s">
        <v>106</v>
      </c>
      <c r="C84" s="653"/>
      <c r="D84" s="654"/>
      <c r="E84" s="167"/>
      <c r="F84" s="158"/>
      <c r="G84" s="158"/>
      <c r="H84" s="91">
        <v>0</v>
      </c>
      <c r="I84" s="91"/>
      <c r="J84" s="77">
        <v>0</v>
      </c>
      <c r="K84" s="164"/>
      <c r="L84" s="182"/>
      <c r="M84" s="183"/>
      <c r="N84" s="167"/>
      <c r="O84" s="158"/>
      <c r="P84" s="158"/>
      <c r="Q84" s="91">
        <f t="shared" si="2"/>
        <v>0</v>
      </c>
      <c r="R84" s="91"/>
      <c r="S84" s="77">
        <f t="shared" si="3"/>
        <v>0</v>
      </c>
    </row>
    <row r="85" spans="1:19" s="160" customFormat="1" ht="32.25" customHeight="1">
      <c r="A85" s="106">
        <v>20</v>
      </c>
      <c r="B85" s="142" t="s">
        <v>107</v>
      </c>
      <c r="C85" s="174" t="s">
        <v>108</v>
      </c>
      <c r="D85" s="151">
        <v>14000</v>
      </c>
      <c r="E85" s="167"/>
      <c r="F85" s="158"/>
      <c r="G85" s="158"/>
      <c r="H85" s="91">
        <v>0</v>
      </c>
      <c r="I85" s="91"/>
      <c r="J85" s="77">
        <v>0</v>
      </c>
      <c r="K85" s="164" t="s">
        <v>909</v>
      </c>
      <c r="L85" s="165" t="s">
        <v>910</v>
      </c>
      <c r="M85" s="177">
        <v>14000</v>
      </c>
      <c r="N85" s="167"/>
      <c r="O85" s="158"/>
      <c r="P85" s="158"/>
      <c r="Q85" s="91">
        <f t="shared" si="2"/>
        <v>0</v>
      </c>
      <c r="R85" s="91"/>
      <c r="S85" s="77">
        <f t="shared" si="3"/>
        <v>0</v>
      </c>
    </row>
    <row r="86" spans="1:19" s="160" customFormat="1" ht="32.25" customHeight="1">
      <c r="A86" s="106"/>
      <c r="B86" s="652" t="s">
        <v>110</v>
      </c>
      <c r="C86" s="653"/>
      <c r="D86" s="654"/>
      <c r="E86" s="167"/>
      <c r="F86" s="158"/>
      <c r="G86" s="158"/>
      <c r="H86" s="91">
        <v>0</v>
      </c>
      <c r="I86" s="91"/>
      <c r="J86" s="77">
        <v>0</v>
      </c>
      <c r="K86" s="164"/>
      <c r="L86" s="182"/>
      <c r="M86" s="183"/>
      <c r="N86" s="167"/>
      <c r="O86" s="158"/>
      <c r="P86" s="158"/>
      <c r="Q86" s="91">
        <f t="shared" si="2"/>
        <v>0</v>
      </c>
      <c r="R86" s="91"/>
      <c r="S86" s="77">
        <f t="shared" si="3"/>
        <v>0</v>
      </c>
    </row>
    <row r="87" spans="1:19" s="160" customFormat="1" ht="32.25" customHeight="1">
      <c r="A87" s="106">
        <v>21</v>
      </c>
      <c r="B87" s="142" t="s">
        <v>111</v>
      </c>
      <c r="C87" s="142" t="s">
        <v>112</v>
      </c>
      <c r="D87" s="151">
        <v>7000</v>
      </c>
      <c r="E87" s="167"/>
      <c r="F87" s="158"/>
      <c r="G87" s="158"/>
      <c r="H87" s="91">
        <v>0</v>
      </c>
      <c r="I87" s="91"/>
      <c r="J87" s="77">
        <v>0</v>
      </c>
      <c r="K87" s="164" t="s">
        <v>897</v>
      </c>
      <c r="L87" s="165" t="s">
        <v>911</v>
      </c>
      <c r="M87" s="177">
        <v>7000</v>
      </c>
      <c r="N87" s="167"/>
      <c r="O87" s="158"/>
      <c r="P87" s="158"/>
      <c r="Q87" s="91">
        <f t="shared" si="2"/>
        <v>0</v>
      </c>
      <c r="R87" s="91"/>
      <c r="S87" s="77">
        <f t="shared" si="3"/>
        <v>0</v>
      </c>
    </row>
    <row r="88" spans="1:19" s="160" customFormat="1" ht="32.25" customHeight="1">
      <c r="A88" s="106"/>
      <c r="B88" s="652" t="s">
        <v>114</v>
      </c>
      <c r="C88" s="653"/>
      <c r="D88" s="654"/>
      <c r="E88" s="167"/>
      <c r="F88" s="158"/>
      <c r="G88" s="158"/>
      <c r="H88" s="91">
        <v>0</v>
      </c>
      <c r="I88" s="91"/>
      <c r="J88" s="77">
        <v>0</v>
      </c>
      <c r="K88" s="164"/>
      <c r="L88" s="165"/>
      <c r="M88" s="177"/>
      <c r="N88" s="167"/>
      <c r="O88" s="158"/>
      <c r="P88" s="158"/>
      <c r="Q88" s="91">
        <f t="shared" si="2"/>
        <v>0</v>
      </c>
      <c r="R88" s="91"/>
      <c r="S88" s="77">
        <f t="shared" si="3"/>
        <v>0</v>
      </c>
    </row>
    <row r="89" spans="1:19" s="160" customFormat="1" ht="32.25" customHeight="1">
      <c r="A89" s="106">
        <v>22</v>
      </c>
      <c r="B89" s="142" t="s">
        <v>30</v>
      </c>
      <c r="C89" s="174" t="s">
        <v>115</v>
      </c>
      <c r="D89" s="151">
        <v>3970</v>
      </c>
      <c r="E89" s="167"/>
      <c r="F89" s="184"/>
      <c r="G89" s="184"/>
      <c r="H89" s="91">
        <v>0</v>
      </c>
      <c r="I89" s="91"/>
      <c r="J89" s="77">
        <v>0</v>
      </c>
      <c r="K89" s="164" t="s">
        <v>873</v>
      </c>
      <c r="L89" s="165" t="s">
        <v>912</v>
      </c>
      <c r="M89" s="177">
        <v>3970</v>
      </c>
      <c r="N89" s="167"/>
      <c r="O89" s="184"/>
      <c r="P89" s="184"/>
      <c r="Q89" s="91">
        <f t="shared" si="2"/>
        <v>0</v>
      </c>
      <c r="R89" s="91"/>
      <c r="S89" s="77">
        <f t="shared" si="3"/>
        <v>0</v>
      </c>
    </row>
    <row r="90" spans="1:19" s="160" customFormat="1" ht="32.25" customHeight="1">
      <c r="A90" s="106"/>
      <c r="B90" s="659" t="s">
        <v>118</v>
      </c>
      <c r="C90" s="660"/>
      <c r="D90" s="661"/>
      <c r="E90" s="167"/>
      <c r="F90" s="184"/>
      <c r="G90" s="184"/>
      <c r="H90" s="91">
        <v>0</v>
      </c>
      <c r="I90" s="91"/>
      <c r="J90" s="77">
        <v>0</v>
      </c>
      <c r="K90" s="164"/>
      <c r="L90" s="182"/>
      <c r="M90" s="183"/>
      <c r="N90" s="167"/>
      <c r="O90" s="184"/>
      <c r="P90" s="184"/>
      <c r="Q90" s="91">
        <f t="shared" si="2"/>
        <v>0</v>
      </c>
      <c r="R90" s="91"/>
      <c r="S90" s="77">
        <f t="shared" si="3"/>
        <v>0</v>
      </c>
    </row>
    <row r="91" spans="1:19" s="160" customFormat="1" ht="32.25" customHeight="1">
      <c r="A91" s="106"/>
      <c r="B91" s="185" t="s">
        <v>119</v>
      </c>
      <c r="C91" s="186"/>
      <c r="D91" s="187"/>
      <c r="E91" s="167"/>
      <c r="F91" s="184"/>
      <c r="G91" s="184"/>
      <c r="H91" s="91">
        <v>0</v>
      </c>
      <c r="I91" s="91"/>
      <c r="J91" s="77">
        <v>0</v>
      </c>
      <c r="K91" s="164"/>
      <c r="L91" s="182"/>
      <c r="M91" s="183"/>
      <c r="N91" s="167"/>
      <c r="O91" s="184"/>
      <c r="P91" s="184"/>
      <c r="Q91" s="91">
        <f t="shared" si="2"/>
        <v>0</v>
      </c>
      <c r="R91" s="91"/>
      <c r="S91" s="77">
        <f t="shared" si="3"/>
        <v>0</v>
      </c>
    </row>
    <row r="92" spans="1:19" s="160" customFormat="1" ht="32.25" customHeight="1">
      <c r="A92" s="106"/>
      <c r="B92" s="185" t="s">
        <v>120</v>
      </c>
      <c r="C92" s="186"/>
      <c r="D92" s="187">
        <v>0</v>
      </c>
      <c r="E92" s="167"/>
      <c r="F92" s="184"/>
      <c r="G92" s="184"/>
      <c r="H92" s="91">
        <v>0</v>
      </c>
      <c r="I92" s="91"/>
      <c r="J92" s="77">
        <v>0</v>
      </c>
      <c r="K92" s="164"/>
      <c r="L92" s="182"/>
      <c r="M92" s="183"/>
      <c r="N92" s="167"/>
      <c r="O92" s="184"/>
      <c r="P92" s="184"/>
      <c r="Q92" s="91">
        <f t="shared" si="2"/>
        <v>0</v>
      </c>
      <c r="R92" s="91"/>
      <c r="S92" s="77">
        <f t="shared" si="3"/>
        <v>0</v>
      </c>
    </row>
    <row r="93" spans="1:19" s="160" customFormat="1" ht="32.25" customHeight="1">
      <c r="A93" s="106"/>
      <c r="B93" s="188" t="s">
        <v>123</v>
      </c>
      <c r="C93" s="186"/>
      <c r="D93" s="187">
        <v>0</v>
      </c>
      <c r="E93" s="167"/>
      <c r="F93" s="184"/>
      <c r="G93" s="184"/>
      <c r="H93" s="91">
        <v>0</v>
      </c>
      <c r="I93" s="91"/>
      <c r="J93" s="77">
        <v>0</v>
      </c>
      <c r="K93" s="164"/>
      <c r="L93" s="182"/>
      <c r="M93" s="183"/>
      <c r="N93" s="167"/>
      <c r="O93" s="184"/>
      <c r="P93" s="184"/>
      <c r="Q93" s="91">
        <f t="shared" si="2"/>
        <v>0</v>
      </c>
      <c r="R93" s="91"/>
      <c r="S93" s="77">
        <f t="shared" si="3"/>
        <v>0</v>
      </c>
    </row>
    <row r="94" spans="1:19" s="160" customFormat="1" ht="32.25" customHeight="1">
      <c r="A94" s="106"/>
      <c r="B94" s="179"/>
      <c r="C94" s="180"/>
      <c r="D94" s="181"/>
      <c r="E94" s="167"/>
      <c r="F94" s="184"/>
      <c r="G94" s="184"/>
      <c r="H94" s="91">
        <v>0</v>
      </c>
      <c r="I94" s="91"/>
      <c r="J94" s="77">
        <v>0</v>
      </c>
      <c r="K94" s="164"/>
      <c r="L94" s="182"/>
      <c r="M94" s="183"/>
      <c r="N94" s="167"/>
      <c r="O94" s="184"/>
      <c r="P94" s="184"/>
      <c r="Q94" s="91">
        <f t="shared" si="2"/>
        <v>0</v>
      </c>
      <c r="R94" s="91"/>
      <c r="S94" s="77">
        <f t="shared" si="3"/>
        <v>0</v>
      </c>
    </row>
    <row r="95" spans="1:19" s="160" customFormat="1" ht="32.25" customHeight="1">
      <c r="A95" s="106">
        <v>23</v>
      </c>
      <c r="B95" s="142" t="s">
        <v>23</v>
      </c>
      <c r="C95" s="174" t="s">
        <v>126</v>
      </c>
      <c r="D95" s="151">
        <v>4600</v>
      </c>
      <c r="E95" s="167"/>
      <c r="F95" s="184"/>
      <c r="G95" s="184"/>
      <c r="H95" s="91">
        <v>0</v>
      </c>
      <c r="I95" s="91"/>
      <c r="J95" s="77">
        <v>0</v>
      </c>
      <c r="K95" s="164" t="s">
        <v>879</v>
      </c>
      <c r="L95" s="165" t="s">
        <v>913</v>
      </c>
      <c r="M95" s="177">
        <v>4600</v>
      </c>
      <c r="N95" s="167"/>
      <c r="O95" s="184"/>
      <c r="P95" s="184"/>
      <c r="Q95" s="91">
        <f t="shared" si="2"/>
        <v>0</v>
      </c>
      <c r="R95" s="91"/>
      <c r="S95" s="77">
        <f t="shared" si="3"/>
        <v>0</v>
      </c>
    </row>
    <row r="96" spans="1:19" ht="32.25" customHeight="1">
      <c r="A96" s="39"/>
      <c r="B96" s="652" t="s">
        <v>128</v>
      </c>
      <c r="C96" s="653"/>
      <c r="D96" s="654"/>
      <c r="E96" s="5"/>
      <c r="F96" s="43"/>
      <c r="G96" s="43"/>
      <c r="H96" s="91">
        <v>0</v>
      </c>
      <c r="I96" s="91"/>
      <c r="J96" s="77">
        <v>0</v>
      </c>
      <c r="K96" s="567"/>
      <c r="L96" s="568"/>
      <c r="N96" s="5"/>
      <c r="O96" s="43"/>
      <c r="P96" s="43"/>
      <c r="Q96" s="91">
        <v>0</v>
      </c>
      <c r="R96" s="91"/>
      <c r="S96" s="77">
        <v>0</v>
      </c>
    </row>
    <row r="97" spans="1:19" ht="32.25" customHeight="1" thickBot="1">
      <c r="A97" s="39"/>
      <c r="B97" s="50" t="s">
        <v>19</v>
      </c>
      <c r="C97" s="50"/>
      <c r="D97" s="51">
        <v>103170</v>
      </c>
      <c r="E97" s="52"/>
      <c r="F97" s="53"/>
      <c r="G97" s="52"/>
      <c r="H97" s="51">
        <f>SUM(J97)</f>
        <v>0</v>
      </c>
      <c r="I97" s="51">
        <v>0</v>
      </c>
      <c r="J97" s="51">
        <f>SUM(J64:J96)-J64-J89</f>
        <v>0</v>
      </c>
      <c r="K97" s="547"/>
      <c r="L97" s="548"/>
      <c r="M97" s="549">
        <f>SUM(M64:M96)</f>
        <v>103170</v>
      </c>
      <c r="N97" s="57"/>
      <c r="O97" s="53"/>
      <c r="P97" s="51"/>
      <c r="Q97" s="51">
        <f>SUM(Q64:Q96)-Q64-Q93</f>
        <v>0</v>
      </c>
      <c r="R97" s="51">
        <f t="shared" ref="R97:S97" si="4">SUM(R64:R96)-R64-R93</f>
        <v>0</v>
      </c>
      <c r="S97" s="51">
        <f t="shared" si="4"/>
        <v>0</v>
      </c>
    </row>
    <row r="98" spans="1:19" ht="32.25" customHeight="1" thickTop="1">
      <c r="A98" s="39"/>
      <c r="B98" s="141" t="s">
        <v>129</v>
      </c>
      <c r="C98" s="142"/>
      <c r="D98" s="125"/>
      <c r="E98" s="131"/>
      <c r="F98" s="115"/>
      <c r="G98" s="33"/>
      <c r="H98" s="143"/>
      <c r="I98" s="143"/>
      <c r="J98" s="143"/>
      <c r="K98" s="541"/>
      <c r="L98" s="542"/>
      <c r="M98" s="543"/>
      <c r="N98" s="114"/>
      <c r="O98" s="115"/>
      <c r="P98" s="144"/>
      <c r="Q98" s="33"/>
      <c r="R98" s="33"/>
      <c r="S98" s="38"/>
    </row>
    <row r="99" spans="1:19" ht="30" customHeight="1">
      <c r="A99" s="106">
        <v>1</v>
      </c>
      <c r="B99" s="142" t="s">
        <v>130</v>
      </c>
      <c r="C99" s="193" t="s">
        <v>131</v>
      </c>
      <c r="D99" s="125">
        <v>201.25</v>
      </c>
      <c r="E99" s="152" t="s">
        <v>57</v>
      </c>
      <c r="F99" s="194"/>
      <c r="G99" s="195"/>
      <c r="H99" s="196">
        <v>-805</v>
      </c>
      <c r="I99" s="197"/>
      <c r="J99" s="198">
        <v>-805</v>
      </c>
      <c r="K99" s="526"/>
      <c r="L99" s="527"/>
      <c r="M99" s="528"/>
      <c r="N99" s="202" t="s">
        <v>57</v>
      </c>
      <c r="O99" s="203"/>
      <c r="P99" s="204"/>
      <c r="Q99" s="205">
        <f>SUM(D99+J99-M99)</f>
        <v>-603.75</v>
      </c>
      <c r="R99" s="206"/>
      <c r="S99" s="207">
        <f>SUM(Q99)</f>
        <v>-603.75</v>
      </c>
    </row>
    <row r="100" spans="1:19" ht="30" customHeight="1">
      <c r="A100" s="106"/>
      <c r="B100" s="208" t="s">
        <v>340</v>
      </c>
      <c r="C100" s="193"/>
      <c r="D100" s="125"/>
      <c r="E100" s="163"/>
      <c r="F100" s="115"/>
      <c r="G100" s="91"/>
      <c r="H100" s="91">
        <v>0</v>
      </c>
      <c r="I100" s="125"/>
      <c r="J100" s="132">
        <v>0</v>
      </c>
      <c r="K100" s="570"/>
      <c r="L100" s="571"/>
      <c r="M100" s="543"/>
      <c r="N100" s="114"/>
      <c r="O100" s="115"/>
      <c r="P100" s="92"/>
      <c r="Q100" s="205">
        <f t="shared" ref="Q100:Q127" si="5">SUM(D100+J100-M100)</f>
        <v>0</v>
      </c>
      <c r="R100" s="125"/>
      <c r="S100" s="207">
        <f t="shared" ref="S100:S129" si="6">SUM(Q100)</f>
        <v>0</v>
      </c>
    </row>
    <row r="101" spans="1:19" ht="30" customHeight="1">
      <c r="A101" s="106"/>
      <c r="B101" s="211" t="s">
        <v>133</v>
      </c>
      <c r="C101" s="193"/>
      <c r="D101" s="125"/>
      <c r="E101" s="163"/>
      <c r="F101" s="115"/>
      <c r="G101" s="91"/>
      <c r="H101" s="91">
        <v>0</v>
      </c>
      <c r="I101" s="125"/>
      <c r="J101" s="132">
        <v>0</v>
      </c>
      <c r="K101" s="570"/>
      <c r="L101" s="571"/>
      <c r="M101" s="543"/>
      <c r="N101" s="114"/>
      <c r="O101" s="115"/>
      <c r="P101" s="92"/>
      <c r="Q101" s="205">
        <f t="shared" si="5"/>
        <v>0</v>
      </c>
      <c r="R101" s="125"/>
      <c r="S101" s="207">
        <f t="shared" si="6"/>
        <v>0</v>
      </c>
    </row>
    <row r="102" spans="1:19" ht="30" customHeight="1">
      <c r="A102" s="106"/>
      <c r="B102" s="208" t="s">
        <v>136</v>
      </c>
      <c r="C102" s="193"/>
      <c r="D102" s="125"/>
      <c r="E102" s="163"/>
      <c r="F102" s="115"/>
      <c r="G102" s="91"/>
      <c r="H102" s="91">
        <v>0</v>
      </c>
      <c r="I102" s="125"/>
      <c r="J102" s="132">
        <v>0</v>
      </c>
      <c r="K102" s="570"/>
      <c r="L102" s="571"/>
      <c r="M102" s="543"/>
      <c r="N102" s="114"/>
      <c r="O102" s="115"/>
      <c r="P102" s="92"/>
      <c r="Q102" s="205">
        <f t="shared" si="5"/>
        <v>0</v>
      </c>
      <c r="R102" s="125"/>
      <c r="S102" s="207">
        <f t="shared" si="6"/>
        <v>0</v>
      </c>
    </row>
    <row r="103" spans="1:19" ht="30" customHeight="1">
      <c r="A103" s="106"/>
      <c r="B103" s="208" t="s">
        <v>138</v>
      </c>
      <c r="C103" s="193"/>
      <c r="D103" s="125"/>
      <c r="E103" s="163"/>
      <c r="F103" s="115"/>
      <c r="G103" s="91"/>
      <c r="H103" s="91">
        <v>0</v>
      </c>
      <c r="I103" s="125"/>
      <c r="J103" s="132">
        <v>0</v>
      </c>
      <c r="K103" s="570"/>
      <c r="L103" s="571"/>
      <c r="M103" s="543"/>
      <c r="N103" s="114"/>
      <c r="O103" s="115"/>
      <c r="P103" s="92"/>
      <c r="Q103" s="205">
        <f t="shared" si="5"/>
        <v>0</v>
      </c>
      <c r="R103" s="125"/>
      <c r="S103" s="207">
        <f t="shared" si="6"/>
        <v>0</v>
      </c>
    </row>
    <row r="104" spans="1:19" ht="30" customHeight="1">
      <c r="A104" s="106"/>
      <c r="B104" s="208" t="s">
        <v>140</v>
      </c>
      <c r="C104" s="193"/>
      <c r="D104" s="125"/>
      <c r="E104" s="163"/>
      <c r="F104" s="115"/>
      <c r="G104" s="91"/>
      <c r="H104" s="91">
        <v>0</v>
      </c>
      <c r="I104" s="125"/>
      <c r="J104" s="132">
        <v>0</v>
      </c>
      <c r="K104" s="570"/>
      <c r="L104" s="571"/>
      <c r="M104" s="543"/>
      <c r="N104" s="114"/>
      <c r="O104" s="115"/>
      <c r="P104" s="92"/>
      <c r="Q104" s="205">
        <f t="shared" si="5"/>
        <v>0</v>
      </c>
      <c r="R104" s="125"/>
      <c r="S104" s="207">
        <f t="shared" si="6"/>
        <v>0</v>
      </c>
    </row>
    <row r="105" spans="1:19" ht="32.25" customHeight="1">
      <c r="A105" s="106">
        <v>2</v>
      </c>
      <c r="B105" s="142" t="s">
        <v>141</v>
      </c>
      <c r="C105" s="193" t="s">
        <v>142</v>
      </c>
      <c r="D105" s="125">
        <v>937.09</v>
      </c>
      <c r="E105" s="152" t="s">
        <v>57</v>
      </c>
      <c r="F105" s="212"/>
      <c r="G105" s="213"/>
      <c r="H105" s="153">
        <v>-5622.4599999999991</v>
      </c>
      <c r="I105" s="125"/>
      <c r="J105" s="132">
        <v>-5622.4599999999991</v>
      </c>
      <c r="K105" s="570"/>
      <c r="L105" s="571"/>
      <c r="M105" s="543"/>
      <c r="N105" s="214" t="s">
        <v>57</v>
      </c>
      <c r="O105" s="212"/>
      <c r="P105" s="215"/>
      <c r="Q105" s="205">
        <f t="shared" si="5"/>
        <v>-4685.369999999999</v>
      </c>
      <c r="R105" s="216"/>
      <c r="S105" s="207">
        <f t="shared" si="6"/>
        <v>-4685.369999999999</v>
      </c>
    </row>
    <row r="106" spans="1:19" ht="32.25" customHeight="1">
      <c r="A106" s="106"/>
      <c r="B106" s="142" t="s">
        <v>143</v>
      </c>
      <c r="C106" s="193"/>
      <c r="D106" s="125"/>
      <c r="E106" s="163"/>
      <c r="F106" s="115"/>
      <c r="G106" s="91"/>
      <c r="H106" s="91">
        <v>0</v>
      </c>
      <c r="I106" s="125"/>
      <c r="J106" s="132">
        <v>0</v>
      </c>
      <c r="K106" s="570"/>
      <c r="L106" s="571"/>
      <c r="M106" s="543"/>
      <c r="N106" s="114"/>
      <c r="O106" s="115"/>
      <c r="P106" s="92"/>
      <c r="Q106" s="205">
        <f t="shared" si="5"/>
        <v>0</v>
      </c>
      <c r="R106" s="125"/>
      <c r="S106" s="207">
        <f t="shared" si="6"/>
        <v>0</v>
      </c>
    </row>
    <row r="107" spans="1:19" ht="32.25" customHeight="1">
      <c r="A107" s="106"/>
      <c r="B107" s="146" t="s">
        <v>144</v>
      </c>
      <c r="C107" s="193"/>
      <c r="D107" s="125"/>
      <c r="E107" s="163"/>
      <c r="F107" s="115"/>
      <c r="G107" s="91"/>
      <c r="H107" s="91">
        <v>0</v>
      </c>
      <c r="I107" s="125"/>
      <c r="J107" s="132">
        <v>0</v>
      </c>
      <c r="K107" s="570"/>
      <c r="L107" s="571"/>
      <c r="M107" s="543"/>
      <c r="N107" s="114"/>
      <c r="O107" s="115"/>
      <c r="P107" s="92"/>
      <c r="Q107" s="205">
        <f t="shared" si="5"/>
        <v>0</v>
      </c>
      <c r="R107" s="125"/>
      <c r="S107" s="207">
        <f t="shared" si="6"/>
        <v>0</v>
      </c>
    </row>
    <row r="108" spans="1:19" ht="32.25" customHeight="1">
      <c r="A108" s="106">
        <v>3</v>
      </c>
      <c r="B108" s="142" t="s">
        <v>145</v>
      </c>
      <c r="C108" s="193" t="s">
        <v>146</v>
      </c>
      <c r="D108" s="125">
        <v>268.33999999999997</v>
      </c>
      <c r="E108" s="163" t="s">
        <v>57</v>
      </c>
      <c r="F108" s="115"/>
      <c r="G108" s="217"/>
      <c r="H108" s="91">
        <v>-2414.98</v>
      </c>
      <c r="I108" s="125"/>
      <c r="J108" s="132">
        <v>-2414.98</v>
      </c>
      <c r="K108" s="572"/>
      <c r="L108" s="573"/>
      <c r="M108" s="574"/>
      <c r="N108" s="220" t="s">
        <v>57</v>
      </c>
      <c r="O108" s="115"/>
      <c r="P108" s="221"/>
      <c r="Q108" s="205">
        <f t="shared" si="5"/>
        <v>-2146.64</v>
      </c>
      <c r="R108" s="216"/>
      <c r="S108" s="207">
        <f t="shared" si="6"/>
        <v>-2146.64</v>
      </c>
    </row>
    <row r="109" spans="1:19" ht="32.25" customHeight="1">
      <c r="A109" s="106"/>
      <c r="B109" s="142" t="s">
        <v>752</v>
      </c>
      <c r="C109" s="222"/>
      <c r="D109" s="125"/>
      <c r="E109" s="163"/>
      <c r="F109" s="115"/>
      <c r="G109" s="91"/>
      <c r="H109" s="91">
        <v>0</v>
      </c>
      <c r="I109" s="125"/>
      <c r="J109" s="132">
        <v>0</v>
      </c>
      <c r="K109" s="575"/>
      <c r="L109" s="576"/>
      <c r="M109" s="577"/>
      <c r="N109" s="220"/>
      <c r="O109" s="115"/>
      <c r="P109" s="92"/>
      <c r="Q109" s="205">
        <f t="shared" si="5"/>
        <v>0</v>
      </c>
      <c r="R109" s="125"/>
      <c r="S109" s="207">
        <f t="shared" si="6"/>
        <v>0</v>
      </c>
    </row>
    <row r="110" spans="1:19" ht="32.25" customHeight="1">
      <c r="A110" s="106"/>
      <c r="B110" s="223" t="s">
        <v>755</v>
      </c>
      <c r="C110" s="224"/>
      <c r="D110" s="125"/>
      <c r="E110" s="163"/>
      <c r="F110" s="115"/>
      <c r="G110" s="91"/>
      <c r="H110" s="91">
        <v>0</v>
      </c>
      <c r="I110" s="125"/>
      <c r="J110" s="132">
        <v>0</v>
      </c>
      <c r="K110" s="578"/>
      <c r="L110" s="579"/>
      <c r="M110" s="574"/>
      <c r="N110" s="220"/>
      <c r="O110" s="115"/>
      <c r="P110" s="92"/>
      <c r="Q110" s="205">
        <f t="shared" si="5"/>
        <v>0</v>
      </c>
      <c r="R110" s="125"/>
      <c r="S110" s="207">
        <f t="shared" si="6"/>
        <v>0</v>
      </c>
    </row>
    <row r="111" spans="1:19" ht="32.25" customHeight="1">
      <c r="A111" s="106"/>
      <c r="B111" s="510" t="s">
        <v>758</v>
      </c>
      <c r="C111" s="511"/>
      <c r="D111" s="125"/>
      <c r="E111" s="163"/>
      <c r="F111" s="115"/>
      <c r="G111" s="91"/>
      <c r="H111" s="91"/>
      <c r="I111" s="125"/>
      <c r="J111" s="132"/>
      <c r="K111" s="578"/>
      <c r="L111" s="580"/>
      <c r="M111" s="574"/>
      <c r="N111" s="220"/>
      <c r="O111" s="115"/>
      <c r="P111" s="92"/>
      <c r="Q111" s="205"/>
      <c r="R111" s="125"/>
      <c r="S111" s="207"/>
    </row>
    <row r="112" spans="1:19" ht="32.25" customHeight="1">
      <c r="A112" s="106"/>
      <c r="B112" s="510" t="s">
        <v>147</v>
      </c>
      <c r="C112" s="511"/>
      <c r="D112" s="125"/>
      <c r="E112" s="163"/>
      <c r="F112" s="115"/>
      <c r="G112" s="91"/>
      <c r="H112" s="91"/>
      <c r="I112" s="125"/>
      <c r="J112" s="132"/>
      <c r="K112" s="578"/>
      <c r="L112" s="580"/>
      <c r="M112" s="574"/>
      <c r="N112" s="220"/>
      <c r="O112" s="115"/>
      <c r="P112" s="92"/>
      <c r="Q112" s="205"/>
      <c r="R112" s="125"/>
      <c r="S112" s="207"/>
    </row>
    <row r="113" spans="1:21" ht="32.25" customHeight="1">
      <c r="A113" s="106"/>
      <c r="B113" s="510" t="s">
        <v>148</v>
      </c>
      <c r="C113" s="511"/>
      <c r="D113" s="125"/>
      <c r="E113" s="163"/>
      <c r="F113" s="115"/>
      <c r="G113" s="91"/>
      <c r="H113" s="91"/>
      <c r="I113" s="125"/>
      <c r="J113" s="132"/>
      <c r="K113" s="578"/>
      <c r="L113" s="580"/>
      <c r="M113" s="574"/>
      <c r="N113" s="220"/>
      <c r="O113" s="115"/>
      <c r="P113" s="92"/>
      <c r="Q113" s="205"/>
      <c r="R113" s="125"/>
      <c r="S113" s="207"/>
    </row>
    <row r="114" spans="1:21" s="230" customFormat="1" ht="32.25" customHeight="1">
      <c r="A114" s="106">
        <v>4</v>
      </c>
      <c r="B114" s="222" t="s">
        <v>149</v>
      </c>
      <c r="C114" s="222" t="s">
        <v>150</v>
      </c>
      <c r="D114" s="125">
        <v>1212.29</v>
      </c>
      <c r="E114" s="163" t="s">
        <v>57</v>
      </c>
      <c r="F114" s="115"/>
      <c r="G114" s="91"/>
      <c r="H114" s="153">
        <v>-1212.29</v>
      </c>
      <c r="I114" s="216"/>
      <c r="J114" s="226">
        <v>-1212.29</v>
      </c>
      <c r="K114" s="581"/>
      <c r="L114" s="581"/>
      <c r="M114" s="574"/>
      <c r="N114" s="227"/>
      <c r="O114" s="228"/>
      <c r="P114" s="92"/>
      <c r="Q114" s="205">
        <f t="shared" si="5"/>
        <v>0</v>
      </c>
      <c r="R114" s="229"/>
      <c r="S114" s="207">
        <f t="shared" si="6"/>
        <v>0</v>
      </c>
    </row>
    <row r="115" spans="1:21" s="235" customFormat="1" ht="32.25" customHeight="1">
      <c r="A115" s="106"/>
      <c r="B115" s="231" t="s">
        <v>151</v>
      </c>
      <c r="C115" s="232"/>
      <c r="D115" s="233"/>
      <c r="E115" s="163"/>
      <c r="F115" s="115"/>
      <c r="G115" s="91"/>
      <c r="H115" s="91">
        <v>0</v>
      </c>
      <c r="I115" s="125"/>
      <c r="J115" s="132">
        <v>0</v>
      </c>
      <c r="K115" s="578"/>
      <c r="L115" s="580"/>
      <c r="M115" s="574"/>
      <c r="N115" s="234"/>
      <c r="O115" s="228"/>
      <c r="P115" s="92"/>
      <c r="Q115" s="205">
        <f t="shared" si="5"/>
        <v>0</v>
      </c>
      <c r="R115" s="125"/>
      <c r="S115" s="207">
        <f t="shared" si="6"/>
        <v>0</v>
      </c>
      <c r="T115" s="230"/>
    </row>
    <row r="116" spans="1:21" s="237" customFormat="1" ht="32.25" customHeight="1">
      <c r="A116" s="106">
        <v>5</v>
      </c>
      <c r="B116" s="222" t="s">
        <v>152</v>
      </c>
      <c r="C116" s="193" t="s">
        <v>153</v>
      </c>
      <c r="D116" s="125">
        <v>670.84</v>
      </c>
      <c r="E116" s="163" t="s">
        <v>57</v>
      </c>
      <c r="F116" s="115"/>
      <c r="G116" s="91"/>
      <c r="H116" s="91">
        <v>-670.84</v>
      </c>
      <c r="I116" s="125"/>
      <c r="J116" s="132">
        <v>-670.84</v>
      </c>
      <c r="K116" s="578"/>
      <c r="L116" s="580"/>
      <c r="M116" s="574"/>
      <c r="N116" s="227"/>
      <c r="O116" s="228"/>
      <c r="P116" s="92"/>
      <c r="Q116" s="205">
        <f t="shared" si="5"/>
        <v>0</v>
      </c>
      <c r="R116" s="229"/>
      <c r="S116" s="207">
        <f t="shared" si="6"/>
        <v>0</v>
      </c>
      <c r="T116" s="2"/>
      <c r="U116" s="2"/>
    </row>
    <row r="117" spans="1:21" s="237" customFormat="1" ht="32.25" customHeight="1">
      <c r="A117" s="106"/>
      <c r="B117" s="238" t="s">
        <v>154</v>
      </c>
      <c r="C117" s="193"/>
      <c r="D117" s="92"/>
      <c r="E117" s="239"/>
      <c r="F117" s="122"/>
      <c r="G117" s="91"/>
      <c r="H117" s="91">
        <v>0</v>
      </c>
      <c r="I117" s="92"/>
      <c r="J117" s="132">
        <v>0</v>
      </c>
      <c r="K117" s="578"/>
      <c r="L117" s="580"/>
      <c r="M117" s="574"/>
      <c r="N117" s="240"/>
      <c r="O117" s="122"/>
      <c r="P117" s="92"/>
      <c r="Q117" s="205">
        <f t="shared" si="5"/>
        <v>0</v>
      </c>
      <c r="R117" s="125"/>
      <c r="S117" s="207">
        <f t="shared" si="6"/>
        <v>0</v>
      </c>
      <c r="T117" s="2"/>
      <c r="U117" s="2"/>
    </row>
    <row r="118" spans="1:21" s="259" customFormat="1" ht="32.25" customHeight="1">
      <c r="A118" s="241">
        <v>6</v>
      </c>
      <c r="B118" s="242" t="s">
        <v>52</v>
      </c>
      <c r="C118" s="243" t="s">
        <v>155</v>
      </c>
      <c r="D118" s="244">
        <v>108.34</v>
      </c>
      <c r="E118" s="245" t="s">
        <v>57</v>
      </c>
      <c r="F118" s="246"/>
      <c r="G118" s="247"/>
      <c r="H118" s="248">
        <v>-649.95999999999992</v>
      </c>
      <c r="I118" s="249"/>
      <c r="J118" s="250">
        <v>-649.95999999999992</v>
      </c>
      <c r="K118" s="582"/>
      <c r="L118" s="583"/>
      <c r="M118" s="584"/>
      <c r="N118" s="254" t="s">
        <v>57</v>
      </c>
      <c r="O118" s="255"/>
      <c r="P118" s="256"/>
      <c r="Q118" s="205">
        <f t="shared" si="5"/>
        <v>-541.61999999999989</v>
      </c>
      <c r="R118" s="216"/>
      <c r="S118" s="207">
        <f t="shared" si="6"/>
        <v>-541.61999999999989</v>
      </c>
    </row>
    <row r="119" spans="1:21" s="259" customFormat="1" ht="32.25" customHeight="1">
      <c r="A119" s="260"/>
      <c r="B119" s="242" t="s">
        <v>759</v>
      </c>
      <c r="C119" s="242"/>
      <c r="D119" s="244"/>
      <c r="E119" s="245"/>
      <c r="F119" s="246"/>
      <c r="G119" s="248"/>
      <c r="H119" s="248">
        <v>0</v>
      </c>
      <c r="I119" s="249"/>
      <c r="J119" s="250">
        <v>0</v>
      </c>
      <c r="K119" s="582"/>
      <c r="L119" s="583"/>
      <c r="M119" s="584"/>
      <c r="N119" s="261"/>
      <c r="O119" s="246"/>
      <c r="P119" s="249"/>
      <c r="Q119" s="205">
        <f t="shared" si="5"/>
        <v>0</v>
      </c>
      <c r="R119" s="216"/>
      <c r="S119" s="207">
        <f t="shared" si="6"/>
        <v>0</v>
      </c>
    </row>
    <row r="120" spans="1:21" s="259" customFormat="1" ht="32.25" customHeight="1">
      <c r="A120" s="260"/>
      <c r="B120" s="516" t="s">
        <v>763</v>
      </c>
      <c r="C120" s="517"/>
      <c r="D120" s="244"/>
      <c r="E120" s="245"/>
      <c r="F120" s="246"/>
      <c r="G120" s="248"/>
      <c r="H120" s="248">
        <v>0</v>
      </c>
      <c r="I120" s="249"/>
      <c r="J120" s="250">
        <v>0</v>
      </c>
      <c r="K120" s="582"/>
      <c r="L120" s="583"/>
      <c r="M120" s="584"/>
      <c r="N120" s="261"/>
      <c r="O120" s="246"/>
      <c r="P120" s="249"/>
      <c r="Q120" s="205">
        <f t="shared" si="5"/>
        <v>0</v>
      </c>
      <c r="R120" s="216"/>
      <c r="S120" s="207">
        <f t="shared" si="6"/>
        <v>0</v>
      </c>
    </row>
    <row r="121" spans="1:21" s="259" customFormat="1" ht="32.25" customHeight="1">
      <c r="A121" s="260"/>
      <c r="B121" s="508" t="s">
        <v>766</v>
      </c>
      <c r="C121" s="509"/>
      <c r="D121" s="244"/>
      <c r="E121" s="245"/>
      <c r="F121" s="246"/>
      <c r="G121" s="248"/>
      <c r="H121" s="248"/>
      <c r="I121" s="249"/>
      <c r="J121" s="250"/>
      <c r="K121" s="582"/>
      <c r="L121" s="583"/>
      <c r="M121" s="584"/>
      <c r="N121" s="261"/>
      <c r="O121" s="246"/>
      <c r="P121" s="249"/>
      <c r="Q121" s="205"/>
      <c r="R121" s="216"/>
      <c r="S121" s="207"/>
    </row>
    <row r="122" spans="1:21" s="259" customFormat="1" ht="32.25" customHeight="1">
      <c r="A122" s="260"/>
      <c r="B122" s="508" t="s">
        <v>767</v>
      </c>
      <c r="C122" s="509"/>
      <c r="D122" s="244"/>
      <c r="E122" s="245"/>
      <c r="F122" s="246"/>
      <c r="G122" s="248"/>
      <c r="H122" s="248"/>
      <c r="I122" s="249"/>
      <c r="J122" s="250"/>
      <c r="K122" s="582"/>
      <c r="L122" s="583"/>
      <c r="M122" s="584"/>
      <c r="N122" s="261"/>
      <c r="O122" s="246"/>
      <c r="P122" s="249"/>
      <c r="Q122" s="205"/>
      <c r="R122" s="216"/>
      <c r="S122" s="207"/>
    </row>
    <row r="123" spans="1:21" s="259" customFormat="1" ht="32.25" customHeight="1">
      <c r="A123" s="260"/>
      <c r="B123" s="508" t="s">
        <v>768</v>
      </c>
      <c r="C123" s="509"/>
      <c r="D123" s="244"/>
      <c r="E123" s="245"/>
      <c r="F123" s="246"/>
      <c r="G123" s="248"/>
      <c r="H123" s="248"/>
      <c r="I123" s="249"/>
      <c r="J123" s="250"/>
      <c r="K123" s="582"/>
      <c r="L123" s="583"/>
      <c r="M123" s="584"/>
      <c r="N123" s="261"/>
      <c r="O123" s="246"/>
      <c r="P123" s="249"/>
      <c r="Q123" s="205"/>
      <c r="R123" s="216"/>
      <c r="S123" s="207"/>
    </row>
    <row r="124" spans="1:21" ht="41.25" customHeight="1">
      <c r="A124" s="106">
        <v>7</v>
      </c>
      <c r="B124" s="142" t="s">
        <v>158</v>
      </c>
      <c r="C124" s="142" t="s">
        <v>159</v>
      </c>
      <c r="D124" s="125">
        <v>191.67</v>
      </c>
      <c r="E124" s="152"/>
      <c r="F124" s="212"/>
      <c r="G124" s="262"/>
      <c r="H124" s="262">
        <v>-383.29999999999995</v>
      </c>
      <c r="I124" s="216"/>
      <c r="J124" s="226">
        <v>-383.29999999999995</v>
      </c>
      <c r="K124" s="578"/>
      <c r="L124" s="580"/>
      <c r="M124" s="585"/>
      <c r="N124" s="214"/>
      <c r="O124" s="212"/>
      <c r="P124" s="216"/>
      <c r="Q124" s="205">
        <f t="shared" si="5"/>
        <v>-191.62999999999997</v>
      </c>
      <c r="R124" s="216"/>
      <c r="S124" s="207">
        <f t="shared" si="6"/>
        <v>-191.62999999999997</v>
      </c>
    </row>
    <row r="125" spans="1:21" ht="39.75" customHeight="1">
      <c r="A125" s="264"/>
      <c r="B125" s="41" t="s">
        <v>163</v>
      </c>
      <c r="C125" s="41"/>
      <c r="D125" s="42"/>
      <c r="E125" s="189"/>
      <c r="F125" s="43"/>
      <c r="G125" s="6"/>
      <c r="H125" s="6">
        <v>0</v>
      </c>
      <c r="I125" s="42"/>
      <c r="J125" s="136">
        <v>0</v>
      </c>
      <c r="K125" s="586"/>
      <c r="L125" s="573"/>
      <c r="M125" s="587"/>
      <c r="N125" s="5"/>
      <c r="O125" s="43"/>
      <c r="P125" s="42"/>
      <c r="Q125" s="205">
        <f t="shared" si="5"/>
        <v>0</v>
      </c>
      <c r="R125" s="42"/>
      <c r="S125" s="207">
        <f t="shared" si="6"/>
        <v>0</v>
      </c>
    </row>
    <row r="126" spans="1:21" ht="41.25" customHeight="1">
      <c r="A126" s="264"/>
      <c r="B126" s="41" t="s">
        <v>164</v>
      </c>
      <c r="C126" s="41"/>
      <c r="D126" s="42"/>
      <c r="E126" s="189"/>
      <c r="F126" s="43"/>
      <c r="G126" s="6"/>
      <c r="H126" s="6">
        <v>0</v>
      </c>
      <c r="I126" s="42"/>
      <c r="J126" s="136">
        <v>0</v>
      </c>
      <c r="K126" s="588"/>
      <c r="L126" s="589"/>
      <c r="M126" s="590"/>
      <c r="N126" s="5"/>
      <c r="O126" s="43"/>
      <c r="P126" s="42"/>
      <c r="Q126" s="205">
        <f t="shared" si="5"/>
        <v>0</v>
      </c>
      <c r="R126" s="42"/>
      <c r="S126" s="207">
        <f t="shared" si="6"/>
        <v>0</v>
      </c>
    </row>
    <row r="127" spans="1:21" ht="41.25" customHeight="1">
      <c r="A127" s="264"/>
      <c r="B127" s="41" t="s">
        <v>165</v>
      </c>
      <c r="C127" s="41"/>
      <c r="D127" s="42"/>
      <c r="E127" s="189"/>
      <c r="F127" s="43"/>
      <c r="G127" s="6"/>
      <c r="H127" s="6">
        <v>0</v>
      </c>
      <c r="I127" s="42"/>
      <c r="J127" s="136">
        <v>0</v>
      </c>
      <c r="K127" s="588"/>
      <c r="L127" s="589"/>
      <c r="M127" s="590"/>
      <c r="N127" s="5"/>
      <c r="O127" s="43"/>
      <c r="P127" s="42"/>
      <c r="Q127" s="205">
        <f t="shared" si="5"/>
        <v>0</v>
      </c>
      <c r="R127" s="42"/>
      <c r="S127" s="207">
        <f t="shared" si="6"/>
        <v>0</v>
      </c>
    </row>
    <row r="128" spans="1:21" ht="41.25" customHeight="1">
      <c r="A128" s="264"/>
      <c r="B128" s="41" t="s">
        <v>166</v>
      </c>
      <c r="C128" s="41"/>
      <c r="D128" s="42"/>
      <c r="E128" s="269"/>
      <c r="F128" s="270"/>
      <c r="G128" s="271"/>
      <c r="H128" s="271">
        <v>0</v>
      </c>
      <c r="I128" s="272"/>
      <c r="J128" s="273">
        <v>0</v>
      </c>
      <c r="K128" s="586"/>
      <c r="L128" s="573"/>
      <c r="M128" s="587"/>
      <c r="N128" s="274"/>
      <c r="O128" s="270"/>
      <c r="P128" s="272"/>
      <c r="Q128" s="153">
        <v>0</v>
      </c>
      <c r="R128" s="272"/>
      <c r="S128" s="207">
        <f t="shared" si="6"/>
        <v>0</v>
      </c>
    </row>
    <row r="129" spans="1:19" ht="41.25" customHeight="1">
      <c r="A129" s="264"/>
      <c r="B129" s="275" t="s">
        <v>161</v>
      </c>
      <c r="C129" s="41"/>
      <c r="D129" s="42"/>
      <c r="E129" s="269"/>
      <c r="F129" s="270"/>
      <c r="G129" s="271"/>
      <c r="H129" s="271">
        <v>0</v>
      </c>
      <c r="I129" s="272"/>
      <c r="J129" s="273">
        <v>0</v>
      </c>
      <c r="K129" s="588"/>
      <c r="L129" s="589"/>
      <c r="M129" s="590"/>
      <c r="N129" s="274"/>
      <c r="O129" s="270"/>
      <c r="P129" s="272"/>
      <c r="Q129" s="153">
        <v>0</v>
      </c>
      <c r="R129" s="272"/>
      <c r="S129" s="207">
        <f t="shared" si="6"/>
        <v>0</v>
      </c>
    </row>
    <row r="130" spans="1:19" ht="41.25" customHeight="1">
      <c r="A130" s="264"/>
      <c r="B130" s="275" t="s">
        <v>162</v>
      </c>
      <c r="C130" s="41"/>
      <c r="D130" s="42">
        <v>0</v>
      </c>
      <c r="E130" s="269"/>
      <c r="F130" s="270"/>
      <c r="G130" s="271"/>
      <c r="H130" s="271">
        <v>0</v>
      </c>
      <c r="I130" s="272"/>
      <c r="J130" s="273">
        <v>0</v>
      </c>
      <c r="K130" s="588"/>
      <c r="L130" s="589"/>
      <c r="M130" s="590"/>
      <c r="N130" s="274"/>
      <c r="O130" s="270"/>
      <c r="P130" s="272"/>
      <c r="Q130" s="153">
        <v>0</v>
      </c>
      <c r="R130" s="272"/>
      <c r="S130" s="159">
        <v>0</v>
      </c>
    </row>
    <row r="131" spans="1:19" ht="32.25" customHeight="1" thickBot="1">
      <c r="A131" s="39"/>
      <c r="B131" s="50" t="s">
        <v>19</v>
      </c>
      <c r="C131" s="50"/>
      <c r="D131" s="51">
        <f>SUM(D99:D130)</f>
        <v>3589.8200000000006</v>
      </c>
      <c r="E131" s="52"/>
      <c r="F131" s="53"/>
      <c r="G131" s="52"/>
      <c r="H131" s="51"/>
      <c r="I131" s="51"/>
      <c r="J131" s="51"/>
      <c r="K131" s="591">
        <v>0</v>
      </c>
      <c r="L131" s="591">
        <v>0</v>
      </c>
      <c r="M131" s="591">
        <f>SUM(K99:M130)</f>
        <v>0</v>
      </c>
      <c r="N131" s="51"/>
      <c r="O131" s="51">
        <v>0</v>
      </c>
      <c r="P131" s="51">
        <v>0</v>
      </c>
      <c r="Q131" s="51">
        <v>0</v>
      </c>
      <c r="R131" s="51">
        <f>SUM(R108)</f>
        <v>0</v>
      </c>
      <c r="S131" s="51">
        <v>0</v>
      </c>
    </row>
    <row r="132" spans="1:19" ht="32.25" customHeight="1" thickTop="1">
      <c r="A132" s="39"/>
      <c r="B132" s="141" t="s">
        <v>167</v>
      </c>
      <c r="C132" s="142"/>
      <c r="D132" s="125"/>
      <c r="E132" s="131"/>
      <c r="F132" s="115"/>
      <c r="G132" s="33"/>
      <c r="H132" s="143"/>
      <c r="I132" s="143"/>
      <c r="J132" s="143"/>
      <c r="K132" s="541"/>
      <c r="L132" s="542"/>
      <c r="M132" s="543"/>
      <c r="N132" s="114"/>
      <c r="O132" s="115"/>
      <c r="P132" s="144"/>
      <c r="Q132" s="33"/>
      <c r="R132" s="33"/>
      <c r="S132" s="145"/>
    </row>
    <row r="133" spans="1:19" s="160" customFormat="1" ht="32.25" customHeight="1">
      <c r="A133" s="106">
        <v>1</v>
      </c>
      <c r="B133" s="142" t="s">
        <v>23</v>
      </c>
      <c r="C133" s="142" t="s">
        <v>168</v>
      </c>
      <c r="D133" s="151">
        <v>10925</v>
      </c>
      <c r="E133" s="163"/>
      <c r="F133" s="122"/>
      <c r="G133" s="122"/>
      <c r="H133" s="91">
        <v>0</v>
      </c>
      <c r="I133" s="122"/>
      <c r="J133" s="132">
        <v>0</v>
      </c>
      <c r="K133" s="592" t="s">
        <v>879</v>
      </c>
      <c r="L133" s="165" t="s">
        <v>914</v>
      </c>
      <c r="M133" s="166">
        <v>10925</v>
      </c>
      <c r="N133" s="279"/>
      <c r="O133" s="280"/>
      <c r="P133" s="280"/>
      <c r="Q133" s="91">
        <f>SUM(D133+J133-M133)</f>
        <v>0</v>
      </c>
      <c r="R133" s="91"/>
      <c r="S133" s="77">
        <f>SUM(D133+J133-M133)</f>
        <v>0</v>
      </c>
    </row>
    <row r="134" spans="1:19" s="160" customFormat="1" ht="32.25" customHeight="1">
      <c r="A134" s="106">
        <v>2</v>
      </c>
      <c r="B134" s="142" t="s">
        <v>69</v>
      </c>
      <c r="C134" s="142" t="s">
        <v>170</v>
      </c>
      <c r="D134" s="151">
        <v>920</v>
      </c>
      <c r="E134" s="163"/>
      <c r="F134" s="122"/>
      <c r="G134" s="122"/>
      <c r="H134" s="91">
        <v>0</v>
      </c>
      <c r="I134" s="122"/>
      <c r="J134" s="132">
        <v>0</v>
      </c>
      <c r="K134" s="592" t="s">
        <v>873</v>
      </c>
      <c r="L134" s="165" t="s">
        <v>915</v>
      </c>
      <c r="M134" s="166">
        <v>920</v>
      </c>
      <c r="N134" s="281"/>
      <c r="O134" s="280"/>
      <c r="P134" s="280"/>
      <c r="Q134" s="91">
        <f t="shared" ref="Q134:Q159" si="7">SUM(D134+J134-M134)</f>
        <v>0</v>
      </c>
      <c r="R134" s="91"/>
      <c r="S134" s="77">
        <f t="shared" ref="S134:S144" si="8">SUM(D134+J134-M134)</f>
        <v>0</v>
      </c>
    </row>
    <row r="135" spans="1:19" s="160" customFormat="1" ht="32.25" customHeight="1">
      <c r="A135" s="106">
        <v>3</v>
      </c>
      <c r="B135" s="142" t="s">
        <v>27</v>
      </c>
      <c r="C135" s="142" t="s">
        <v>172</v>
      </c>
      <c r="D135" s="151">
        <v>1100</v>
      </c>
      <c r="E135" s="163"/>
      <c r="F135" s="122"/>
      <c r="G135" s="122"/>
      <c r="H135" s="91">
        <v>0</v>
      </c>
      <c r="I135" s="122"/>
      <c r="J135" s="132">
        <v>0</v>
      </c>
      <c r="K135" s="592" t="s">
        <v>879</v>
      </c>
      <c r="L135" s="165" t="s">
        <v>900</v>
      </c>
      <c r="M135" s="166">
        <v>1100</v>
      </c>
      <c r="N135" s="279"/>
      <c r="O135" s="280"/>
      <c r="P135" s="280"/>
      <c r="Q135" s="91">
        <f t="shared" si="7"/>
        <v>0</v>
      </c>
      <c r="R135" s="91"/>
      <c r="S135" s="77">
        <f t="shared" si="8"/>
        <v>0</v>
      </c>
    </row>
    <row r="136" spans="1:19" s="160" customFormat="1" ht="32.25" customHeight="1">
      <c r="A136" s="106"/>
      <c r="B136" s="142" t="s">
        <v>341</v>
      </c>
      <c r="C136" s="142"/>
      <c r="D136" s="151"/>
      <c r="E136" s="163"/>
      <c r="F136" s="122"/>
      <c r="G136" s="122"/>
      <c r="H136" s="91">
        <v>0</v>
      </c>
      <c r="I136" s="122"/>
      <c r="J136" s="132">
        <v>0</v>
      </c>
      <c r="K136" s="592"/>
      <c r="L136" s="165"/>
      <c r="M136" s="166"/>
      <c r="N136" s="279"/>
      <c r="O136" s="280"/>
      <c r="P136" s="280"/>
      <c r="Q136" s="91">
        <f t="shared" si="7"/>
        <v>0</v>
      </c>
      <c r="R136" s="91"/>
      <c r="S136" s="77">
        <f t="shared" si="8"/>
        <v>0</v>
      </c>
    </row>
    <row r="137" spans="1:19" s="160" customFormat="1" ht="32.25" customHeight="1">
      <c r="A137" s="106"/>
      <c r="B137" s="142" t="s">
        <v>342</v>
      </c>
      <c r="C137" s="142"/>
      <c r="D137" s="151"/>
      <c r="E137" s="163"/>
      <c r="F137" s="122"/>
      <c r="G137" s="122"/>
      <c r="H137" s="91">
        <v>0</v>
      </c>
      <c r="I137" s="122"/>
      <c r="J137" s="132">
        <v>0</v>
      </c>
      <c r="K137" s="592"/>
      <c r="L137" s="165"/>
      <c r="M137" s="166"/>
      <c r="N137" s="279"/>
      <c r="O137" s="280"/>
      <c r="P137" s="280"/>
      <c r="Q137" s="91">
        <f t="shared" si="7"/>
        <v>0</v>
      </c>
      <c r="R137" s="91"/>
      <c r="S137" s="77">
        <f t="shared" si="8"/>
        <v>0</v>
      </c>
    </row>
    <row r="138" spans="1:19" s="160" customFormat="1" ht="32.25" customHeight="1">
      <c r="A138" s="106"/>
      <c r="B138" s="142" t="s">
        <v>343</v>
      </c>
      <c r="C138" s="142"/>
      <c r="D138" s="151"/>
      <c r="E138" s="163"/>
      <c r="F138" s="122"/>
      <c r="G138" s="122"/>
      <c r="H138" s="91">
        <v>0</v>
      </c>
      <c r="I138" s="122"/>
      <c r="J138" s="132">
        <v>0</v>
      </c>
      <c r="K138" s="592"/>
      <c r="L138" s="165"/>
      <c r="M138" s="166"/>
      <c r="N138" s="279"/>
      <c r="O138" s="280"/>
      <c r="P138" s="280"/>
      <c r="Q138" s="91">
        <f t="shared" si="7"/>
        <v>0</v>
      </c>
      <c r="R138" s="91"/>
      <c r="S138" s="77">
        <f t="shared" si="8"/>
        <v>0</v>
      </c>
    </row>
    <row r="139" spans="1:19" s="160" customFormat="1" ht="32.25" customHeight="1">
      <c r="A139" s="106">
        <v>4</v>
      </c>
      <c r="B139" s="142" t="s">
        <v>77</v>
      </c>
      <c r="C139" s="142" t="s">
        <v>174</v>
      </c>
      <c r="D139" s="151">
        <v>920</v>
      </c>
      <c r="E139" s="163"/>
      <c r="F139" s="122"/>
      <c r="G139" s="122"/>
      <c r="H139" s="91">
        <v>0</v>
      </c>
      <c r="I139" s="122"/>
      <c r="J139" s="132">
        <v>0</v>
      </c>
      <c r="K139" s="592" t="s">
        <v>879</v>
      </c>
      <c r="L139" s="165" t="s">
        <v>916</v>
      </c>
      <c r="M139" s="166">
        <v>920</v>
      </c>
      <c r="N139" s="279"/>
      <c r="O139" s="280"/>
      <c r="P139" s="280"/>
      <c r="Q139" s="91">
        <f t="shared" si="7"/>
        <v>0</v>
      </c>
      <c r="R139" s="91"/>
      <c r="S139" s="77">
        <f t="shared" si="8"/>
        <v>0</v>
      </c>
    </row>
    <row r="140" spans="1:19" s="160" customFormat="1" ht="32.25" customHeight="1">
      <c r="A140" s="106">
        <v>5</v>
      </c>
      <c r="B140" s="142" t="s">
        <v>176</v>
      </c>
      <c r="C140" s="142" t="s">
        <v>177</v>
      </c>
      <c r="D140" s="151">
        <v>2300</v>
      </c>
      <c r="E140" s="163" t="s">
        <v>57</v>
      </c>
      <c r="F140" s="122"/>
      <c r="G140" s="122"/>
      <c r="H140" s="91">
        <v>-1000</v>
      </c>
      <c r="I140" s="122"/>
      <c r="J140" s="132">
        <v>-1000</v>
      </c>
      <c r="K140" s="592" t="s">
        <v>897</v>
      </c>
      <c r="L140" s="165" t="s">
        <v>917</v>
      </c>
      <c r="M140" s="166">
        <v>1300</v>
      </c>
      <c r="N140" s="279"/>
      <c r="O140" s="280"/>
      <c r="P140" s="280"/>
      <c r="Q140" s="91">
        <f t="shared" si="7"/>
        <v>0</v>
      </c>
      <c r="R140" s="91"/>
      <c r="S140" s="77">
        <f t="shared" si="8"/>
        <v>0</v>
      </c>
    </row>
    <row r="141" spans="1:19" ht="32.25" customHeight="1">
      <c r="A141" s="106">
        <v>6</v>
      </c>
      <c r="B141" s="142" t="s">
        <v>75</v>
      </c>
      <c r="C141" s="142" t="s">
        <v>179</v>
      </c>
      <c r="D141" s="151"/>
      <c r="E141" s="163"/>
      <c r="F141" s="115"/>
      <c r="G141" s="115"/>
      <c r="H141" s="131">
        <v>0</v>
      </c>
      <c r="I141" s="115"/>
      <c r="J141" s="132">
        <v>0</v>
      </c>
      <c r="K141" s="593"/>
      <c r="L141" s="571"/>
      <c r="M141" s="594"/>
      <c r="N141" s="114"/>
      <c r="O141" s="122"/>
      <c r="P141" s="122"/>
      <c r="Q141" s="91">
        <f t="shared" si="7"/>
        <v>0</v>
      </c>
      <c r="R141" s="91"/>
      <c r="S141" s="77">
        <f t="shared" si="8"/>
        <v>0</v>
      </c>
    </row>
    <row r="142" spans="1:19" ht="32.25" customHeight="1">
      <c r="A142" s="106">
        <v>7</v>
      </c>
      <c r="B142" s="142" t="s">
        <v>75</v>
      </c>
      <c r="C142" s="142" t="s">
        <v>180</v>
      </c>
      <c r="D142" s="151"/>
      <c r="E142" s="163"/>
      <c r="F142" s="115"/>
      <c r="G142" s="115"/>
      <c r="H142" s="131">
        <v>0</v>
      </c>
      <c r="I142" s="115"/>
      <c r="J142" s="132">
        <v>0</v>
      </c>
      <c r="K142" s="593"/>
      <c r="L142" s="571"/>
      <c r="M142" s="594"/>
      <c r="N142" s="114"/>
      <c r="O142" s="122"/>
      <c r="P142" s="122"/>
      <c r="Q142" s="91">
        <f t="shared" si="7"/>
        <v>0</v>
      </c>
      <c r="R142" s="91"/>
      <c r="S142" s="77">
        <f t="shared" si="8"/>
        <v>0</v>
      </c>
    </row>
    <row r="143" spans="1:19" ht="32.25" customHeight="1">
      <c r="A143" s="106">
        <v>8</v>
      </c>
      <c r="B143" s="142" t="s">
        <v>75</v>
      </c>
      <c r="C143" s="142" t="s">
        <v>181</v>
      </c>
      <c r="D143" s="151">
        <v>0</v>
      </c>
      <c r="E143" s="163"/>
      <c r="F143" s="115"/>
      <c r="G143" s="115"/>
      <c r="H143" s="131">
        <v>0</v>
      </c>
      <c r="I143" s="115"/>
      <c r="J143" s="132">
        <v>0</v>
      </c>
      <c r="K143" s="593"/>
      <c r="L143" s="571"/>
      <c r="M143" s="594"/>
      <c r="N143" s="114"/>
      <c r="O143" s="122"/>
      <c r="P143" s="122"/>
      <c r="Q143" s="91">
        <f t="shared" si="7"/>
        <v>0</v>
      </c>
      <c r="R143" s="91"/>
      <c r="S143" s="77">
        <f t="shared" si="8"/>
        <v>0</v>
      </c>
    </row>
    <row r="144" spans="1:19" ht="32.25" customHeight="1">
      <c r="A144" s="106">
        <v>9</v>
      </c>
      <c r="B144" s="142" t="s">
        <v>75</v>
      </c>
      <c r="C144" s="142" t="s">
        <v>182</v>
      </c>
      <c r="D144" s="151">
        <v>0</v>
      </c>
      <c r="E144" s="163"/>
      <c r="F144" s="115"/>
      <c r="G144" s="115"/>
      <c r="H144" s="131">
        <v>0</v>
      </c>
      <c r="I144" s="115"/>
      <c r="J144" s="132">
        <v>0</v>
      </c>
      <c r="K144" s="593"/>
      <c r="L144" s="571"/>
      <c r="M144" s="594"/>
      <c r="N144" s="114"/>
      <c r="O144" s="122"/>
      <c r="P144" s="122"/>
      <c r="Q144" s="91">
        <f t="shared" si="7"/>
        <v>0</v>
      </c>
      <c r="R144" s="91"/>
      <c r="S144" s="77">
        <f t="shared" si="8"/>
        <v>0</v>
      </c>
    </row>
    <row r="145" spans="1:19" ht="32.25" customHeight="1">
      <c r="A145" s="106">
        <v>10</v>
      </c>
      <c r="B145" s="142" t="s">
        <v>75</v>
      </c>
      <c r="C145" s="142" t="s">
        <v>183</v>
      </c>
      <c r="D145" s="151">
        <v>0</v>
      </c>
      <c r="E145" s="163"/>
      <c r="F145" s="115"/>
      <c r="G145" s="115"/>
      <c r="H145" s="131">
        <v>0</v>
      </c>
      <c r="I145" s="115"/>
      <c r="J145" s="132">
        <v>0</v>
      </c>
      <c r="K145" s="593"/>
      <c r="L145" s="571"/>
      <c r="M145" s="594"/>
      <c r="N145" s="114"/>
      <c r="O145" s="115"/>
      <c r="P145" s="168"/>
      <c r="Q145" s="91">
        <f t="shared" si="7"/>
        <v>0</v>
      </c>
      <c r="R145" s="91"/>
      <c r="S145" s="294">
        <f>SUM(D145+J145-M145)</f>
        <v>0</v>
      </c>
    </row>
    <row r="146" spans="1:19" ht="32.25" customHeight="1" thickBot="1">
      <c r="A146" s="39"/>
      <c r="B146" s="50" t="s">
        <v>19</v>
      </c>
      <c r="C146" s="50"/>
      <c r="D146" s="51">
        <f>SUM(D133:D145)</f>
        <v>16165</v>
      </c>
      <c r="E146" s="52"/>
      <c r="F146" s="53"/>
      <c r="G146" s="52"/>
      <c r="H146" s="51">
        <f>SUM(H133:H145)-H140</f>
        <v>0</v>
      </c>
      <c r="I146" s="51">
        <v>0</v>
      </c>
      <c r="J146" s="51">
        <f>SUM(J133:J145)-J140</f>
        <v>0</v>
      </c>
      <c r="K146" s="547"/>
      <c r="L146" s="548"/>
      <c r="M146" s="549">
        <f>SUM(M133:M145)</f>
        <v>15165</v>
      </c>
      <c r="N146" s="57"/>
      <c r="O146" s="53"/>
      <c r="P146" s="51"/>
      <c r="Q146" s="519">
        <v>0</v>
      </c>
      <c r="R146" s="520">
        <v>0</v>
      </c>
      <c r="S146" s="521">
        <v>0</v>
      </c>
    </row>
    <row r="147" spans="1:19" ht="32.25" hidden="1" customHeight="1">
      <c r="A147" s="39"/>
      <c r="B147" s="58" t="s">
        <v>184</v>
      </c>
      <c r="C147" s="59"/>
      <c r="D147" s="60"/>
      <c r="E147" s="61"/>
      <c r="F147" s="62"/>
      <c r="G147" s="63"/>
      <c r="H147" s="64"/>
      <c r="I147" s="64"/>
      <c r="J147" s="64"/>
      <c r="K147" s="550"/>
      <c r="L147" s="551"/>
      <c r="M147" s="552"/>
      <c r="N147" s="68"/>
      <c r="O147" s="62"/>
      <c r="P147" s="69"/>
      <c r="Q147" s="6">
        <f t="shared" si="7"/>
        <v>0</v>
      </c>
      <c r="R147" s="37"/>
      <c r="S147" s="518">
        <f t="shared" ref="S147:S158" si="9">SUM(D147+J147-M147)</f>
        <v>0</v>
      </c>
    </row>
    <row r="148" spans="1:19" ht="32.25" hidden="1" customHeight="1">
      <c r="A148" s="39">
        <v>1</v>
      </c>
      <c r="B148" s="40"/>
      <c r="C148" s="41"/>
      <c r="D148" s="42"/>
      <c r="E148" s="6"/>
      <c r="F148" s="43"/>
      <c r="G148" s="6"/>
      <c r="H148" s="42"/>
      <c r="I148" s="42"/>
      <c r="J148" s="42"/>
      <c r="K148" s="544"/>
      <c r="L148" s="545"/>
      <c r="M148" s="546"/>
      <c r="N148" s="5"/>
      <c r="O148" s="43"/>
      <c r="P148" s="47"/>
      <c r="Q148" s="91">
        <f t="shared" si="7"/>
        <v>0</v>
      </c>
      <c r="R148" s="48"/>
      <c r="S148" s="77">
        <f t="shared" si="9"/>
        <v>0</v>
      </c>
    </row>
    <row r="149" spans="1:19" ht="32.25" hidden="1" customHeight="1">
      <c r="A149" s="39"/>
      <c r="B149" s="50" t="s">
        <v>19</v>
      </c>
      <c r="C149" s="50"/>
      <c r="D149" s="51">
        <v>0</v>
      </c>
      <c r="E149" s="52"/>
      <c r="F149" s="53"/>
      <c r="G149" s="52"/>
      <c r="H149" s="51">
        <v>0</v>
      </c>
      <c r="I149" s="51">
        <v>0</v>
      </c>
      <c r="J149" s="51">
        <v>0</v>
      </c>
      <c r="K149" s="547"/>
      <c r="L149" s="548"/>
      <c r="M149" s="549"/>
      <c r="N149" s="57"/>
      <c r="O149" s="53"/>
      <c r="P149" s="51"/>
      <c r="Q149" s="91">
        <f t="shared" si="7"/>
        <v>0</v>
      </c>
      <c r="R149" s="51"/>
      <c r="S149" s="77">
        <f t="shared" si="9"/>
        <v>0</v>
      </c>
    </row>
    <row r="150" spans="1:19" ht="32.25" hidden="1" customHeight="1">
      <c r="A150" s="39"/>
      <c r="B150" s="58" t="s">
        <v>185</v>
      </c>
      <c r="C150" s="59"/>
      <c r="D150" s="60"/>
      <c r="E150" s="61"/>
      <c r="F150" s="62"/>
      <c r="G150" s="63"/>
      <c r="H150" s="64"/>
      <c r="I150" s="64"/>
      <c r="J150" s="64"/>
      <c r="K150" s="550"/>
      <c r="L150" s="551"/>
      <c r="M150" s="552"/>
      <c r="N150" s="68"/>
      <c r="O150" s="62"/>
      <c r="P150" s="69"/>
      <c r="Q150" s="91">
        <f t="shared" si="7"/>
        <v>0</v>
      </c>
      <c r="R150" s="63"/>
      <c r="S150" s="77">
        <f t="shared" si="9"/>
        <v>0</v>
      </c>
    </row>
    <row r="151" spans="1:19" ht="32.25" hidden="1" customHeight="1">
      <c r="A151" s="39">
        <v>1</v>
      </c>
      <c r="B151" s="40"/>
      <c r="C151" s="41"/>
      <c r="D151" s="42"/>
      <c r="E151" s="6"/>
      <c r="F151" s="43"/>
      <c r="G151" s="6"/>
      <c r="H151" s="42"/>
      <c r="I151" s="42"/>
      <c r="J151" s="42"/>
      <c r="K151" s="595"/>
      <c r="L151" s="596"/>
      <c r="M151" s="597"/>
      <c r="N151" s="5"/>
      <c r="O151" s="43"/>
      <c r="P151" s="47"/>
      <c r="Q151" s="91">
        <f t="shared" si="7"/>
        <v>0</v>
      </c>
      <c r="R151" s="48"/>
      <c r="S151" s="77">
        <f t="shared" si="9"/>
        <v>0</v>
      </c>
    </row>
    <row r="152" spans="1:19" ht="32.25" hidden="1" customHeight="1">
      <c r="A152" s="39"/>
      <c r="B152" s="50" t="s">
        <v>19</v>
      </c>
      <c r="C152" s="50"/>
      <c r="D152" s="51">
        <v>0</v>
      </c>
      <c r="E152" s="52"/>
      <c r="F152" s="53"/>
      <c r="G152" s="52"/>
      <c r="H152" s="51">
        <v>0</v>
      </c>
      <c r="I152" s="51">
        <v>0</v>
      </c>
      <c r="J152" s="51">
        <v>0</v>
      </c>
      <c r="K152" s="547"/>
      <c r="L152" s="548"/>
      <c r="M152" s="549"/>
      <c r="N152" s="57"/>
      <c r="O152" s="53"/>
      <c r="P152" s="51"/>
      <c r="Q152" s="91">
        <f t="shared" si="7"/>
        <v>0</v>
      </c>
      <c r="R152" s="51"/>
      <c r="S152" s="77">
        <f t="shared" si="9"/>
        <v>0</v>
      </c>
    </row>
    <row r="153" spans="1:19" ht="32.25" customHeight="1" thickTop="1">
      <c r="A153" s="39"/>
      <c r="B153" s="58" t="s">
        <v>186</v>
      </c>
      <c r="C153" s="59"/>
      <c r="D153" s="60"/>
      <c r="E153" s="61"/>
      <c r="F153" s="62"/>
      <c r="G153" s="63"/>
      <c r="H153" s="64"/>
      <c r="I153" s="64"/>
      <c r="J153" s="64"/>
      <c r="K153" s="550"/>
      <c r="L153" s="551"/>
      <c r="M153" s="552"/>
      <c r="N153" s="68"/>
      <c r="O153" s="62"/>
      <c r="P153" s="69"/>
      <c r="Q153" s="91">
        <f t="shared" si="7"/>
        <v>0</v>
      </c>
      <c r="R153" s="63"/>
      <c r="S153" s="77">
        <f t="shared" si="9"/>
        <v>0</v>
      </c>
    </row>
    <row r="154" spans="1:19" s="160" customFormat="1" ht="32.25" customHeight="1">
      <c r="A154" s="116">
        <v>1</v>
      </c>
      <c r="B154" s="41" t="s">
        <v>23</v>
      </c>
      <c r="C154" s="41" t="s">
        <v>187</v>
      </c>
      <c r="D154" s="287">
        <v>2140</v>
      </c>
      <c r="E154" s="240"/>
      <c r="F154" s="122"/>
      <c r="G154" s="91"/>
      <c r="H154" s="91">
        <v>0</v>
      </c>
      <c r="I154" s="92"/>
      <c r="J154" s="132">
        <v>0</v>
      </c>
      <c r="K154" s="529" t="s">
        <v>879</v>
      </c>
      <c r="L154" s="530" t="s">
        <v>918</v>
      </c>
      <c r="M154" s="531">
        <v>2140</v>
      </c>
      <c r="N154" s="291"/>
      <c r="O154" s="292"/>
      <c r="P154" s="293"/>
      <c r="Q154" s="91">
        <f t="shared" si="7"/>
        <v>0</v>
      </c>
      <c r="R154" s="92"/>
      <c r="S154" s="77">
        <f t="shared" si="9"/>
        <v>0</v>
      </c>
    </row>
    <row r="155" spans="1:19" s="160" customFormat="1" ht="32.25" customHeight="1">
      <c r="A155" s="116">
        <v>2</v>
      </c>
      <c r="B155" s="142" t="s">
        <v>23</v>
      </c>
      <c r="C155" s="142" t="s">
        <v>189</v>
      </c>
      <c r="D155" s="287">
        <v>20148.099999999999</v>
      </c>
      <c r="E155" s="114"/>
      <c r="F155" s="115"/>
      <c r="G155" s="295"/>
      <c r="H155" s="131">
        <v>0</v>
      </c>
      <c r="I155" s="125"/>
      <c r="J155" s="132">
        <v>0</v>
      </c>
      <c r="K155" s="532" t="s">
        <v>919</v>
      </c>
      <c r="L155" s="533" t="s">
        <v>920</v>
      </c>
      <c r="M155" s="531">
        <v>20148.099999999999</v>
      </c>
      <c r="N155" s="298"/>
      <c r="O155" s="292"/>
      <c r="P155" s="292"/>
      <c r="Q155" s="91">
        <f t="shared" si="7"/>
        <v>0</v>
      </c>
      <c r="R155" s="92"/>
      <c r="S155" s="77">
        <f t="shared" si="9"/>
        <v>0</v>
      </c>
    </row>
    <row r="156" spans="1:19" s="160" customFormat="1" ht="32.25" customHeight="1">
      <c r="A156" s="116">
        <v>3</v>
      </c>
      <c r="B156" s="142" t="s">
        <v>192</v>
      </c>
      <c r="C156" s="142" t="s">
        <v>193</v>
      </c>
      <c r="D156" s="293">
        <v>920.2</v>
      </c>
      <c r="E156" s="114"/>
      <c r="F156" s="115"/>
      <c r="G156" s="131"/>
      <c r="H156" s="131">
        <v>0</v>
      </c>
      <c r="I156" s="125"/>
      <c r="J156" s="132">
        <v>0</v>
      </c>
      <c r="K156" s="529" t="s">
        <v>873</v>
      </c>
      <c r="L156" s="530" t="s">
        <v>921</v>
      </c>
      <c r="M156" s="531">
        <v>920.2</v>
      </c>
      <c r="N156" s="298"/>
      <c r="O156" s="292"/>
      <c r="P156" s="299"/>
      <c r="Q156" s="91">
        <f t="shared" si="7"/>
        <v>0</v>
      </c>
      <c r="R156" s="92"/>
      <c r="S156" s="77">
        <f t="shared" si="9"/>
        <v>0</v>
      </c>
    </row>
    <row r="157" spans="1:19" ht="32.25" customHeight="1">
      <c r="A157" s="106">
        <v>4</v>
      </c>
      <c r="B157" s="300" t="s">
        <v>195</v>
      </c>
      <c r="C157" s="300" t="s">
        <v>193</v>
      </c>
      <c r="D157" s="287">
        <v>0</v>
      </c>
      <c r="E157" s="301" t="s">
        <v>855</v>
      </c>
      <c r="F157" s="31">
        <v>2</v>
      </c>
      <c r="G157" s="301" t="s">
        <v>72</v>
      </c>
      <c r="H157" s="29">
        <v>8720.0000000000018</v>
      </c>
      <c r="I157" s="29">
        <v>610.39999999999964</v>
      </c>
      <c r="J157" s="132">
        <v>9330.4000000000015</v>
      </c>
      <c r="K157" s="529" t="s">
        <v>922</v>
      </c>
      <c r="L157" s="530" t="s">
        <v>923</v>
      </c>
      <c r="M157" s="531">
        <v>5617.5</v>
      </c>
      <c r="N157" s="302" t="s">
        <v>924</v>
      </c>
      <c r="O157" s="303">
        <v>1</v>
      </c>
      <c r="P157" s="304" t="s">
        <v>72</v>
      </c>
      <c r="Q157" s="91">
        <f>SUM(S157-R157)</f>
        <v>3470.0000000000014</v>
      </c>
      <c r="R157" s="29">
        <f>+S157*0.0654205607476635</f>
        <v>242.89999999999992</v>
      </c>
      <c r="S157" s="77">
        <f t="shared" si="9"/>
        <v>3712.9000000000015</v>
      </c>
    </row>
    <row r="158" spans="1:19" ht="32.25" customHeight="1">
      <c r="A158" s="39">
        <v>5</v>
      </c>
      <c r="B158" s="142" t="s">
        <v>403</v>
      </c>
      <c r="C158" s="142" t="s">
        <v>193</v>
      </c>
      <c r="D158" s="305">
        <v>2482.4</v>
      </c>
      <c r="E158" s="131"/>
      <c r="F158" s="115"/>
      <c r="G158" s="131"/>
      <c r="H158" s="125">
        <v>0</v>
      </c>
      <c r="I158" s="125"/>
      <c r="J158" s="132">
        <v>0</v>
      </c>
      <c r="K158" s="598" t="s">
        <v>925</v>
      </c>
      <c r="L158" s="599" t="s">
        <v>926</v>
      </c>
      <c r="M158" s="600">
        <v>2482.4</v>
      </c>
      <c r="N158" s="114"/>
      <c r="O158" s="115"/>
      <c r="P158" s="144"/>
      <c r="Q158" s="91">
        <f t="shared" si="7"/>
        <v>0</v>
      </c>
      <c r="R158" s="125"/>
      <c r="S158" s="77">
        <f t="shared" si="9"/>
        <v>0</v>
      </c>
    </row>
    <row r="159" spans="1:19" ht="32.25" customHeight="1">
      <c r="A159" s="39"/>
      <c r="B159" s="41"/>
      <c r="C159" s="41"/>
      <c r="D159" s="42"/>
      <c r="E159" s="6"/>
      <c r="F159" s="43"/>
      <c r="G159" s="6"/>
      <c r="H159" s="42">
        <v>0</v>
      </c>
      <c r="I159" s="42"/>
      <c r="J159" s="309"/>
      <c r="K159" s="595"/>
      <c r="L159" s="596"/>
      <c r="M159" s="597"/>
      <c r="N159" s="5"/>
      <c r="O159" s="43"/>
      <c r="P159" s="47"/>
      <c r="Q159" s="91">
        <f t="shared" si="7"/>
        <v>0</v>
      </c>
      <c r="R159" s="42"/>
      <c r="S159" s="100"/>
    </row>
    <row r="160" spans="1:19" ht="32.25" customHeight="1" thickBot="1">
      <c r="A160" s="39"/>
      <c r="B160" s="50" t="s">
        <v>19</v>
      </c>
      <c r="C160" s="50"/>
      <c r="D160" s="51">
        <f>SUM(D154:D159)</f>
        <v>25690.7</v>
      </c>
      <c r="E160" s="52"/>
      <c r="F160" s="53"/>
      <c r="G160" s="52"/>
      <c r="H160" s="51">
        <f>SUM(H154:H159)</f>
        <v>8720.0000000000018</v>
      </c>
      <c r="I160" s="51">
        <f>SUM(I154:I159)</f>
        <v>610.39999999999964</v>
      </c>
      <c r="J160" s="51">
        <f>SUM(J154:J159)</f>
        <v>9330.4000000000015</v>
      </c>
      <c r="K160" s="547"/>
      <c r="L160" s="548"/>
      <c r="M160" s="549">
        <f>SUM(M154:M158)</f>
        <v>31308.2</v>
      </c>
      <c r="N160" s="57"/>
      <c r="O160" s="53"/>
      <c r="P160" s="51"/>
      <c r="Q160" s="51">
        <f>SUM(Q154:Q159)</f>
        <v>3470.0000000000014</v>
      </c>
      <c r="R160" s="51">
        <f>SUM(R154:R159)</f>
        <v>242.89999999999992</v>
      </c>
      <c r="S160" s="51">
        <f>SUM(S154:S159)</f>
        <v>3712.9000000000015</v>
      </c>
    </row>
    <row r="161" spans="1:26" ht="32.25" customHeight="1" thickTop="1">
      <c r="A161" s="39"/>
      <c r="B161" s="58" t="s">
        <v>198</v>
      </c>
      <c r="C161" s="59"/>
      <c r="D161" s="60"/>
      <c r="E161" s="61"/>
      <c r="F161" s="62"/>
      <c r="G161" s="63"/>
      <c r="H161" s="64"/>
      <c r="I161" s="64"/>
      <c r="J161" s="64"/>
      <c r="K161" s="550"/>
      <c r="L161" s="551"/>
      <c r="M161" s="552"/>
      <c r="N161" s="68"/>
      <c r="O161" s="62"/>
      <c r="P161" s="69"/>
      <c r="Q161" s="63"/>
      <c r="R161" s="63"/>
      <c r="S161" s="70"/>
    </row>
    <row r="162" spans="1:26" s="327" customFormat="1" ht="32.25" customHeight="1">
      <c r="A162" s="310">
        <v>1</v>
      </c>
      <c r="B162" s="311" t="s">
        <v>152</v>
      </c>
      <c r="C162" s="312"/>
      <c r="D162" s="305">
        <v>0</v>
      </c>
      <c r="E162" s="313"/>
      <c r="F162" s="314"/>
      <c r="G162" s="315"/>
      <c r="H162" s="316">
        <v>0</v>
      </c>
      <c r="I162" s="72">
        <v>0</v>
      </c>
      <c r="J162" s="317">
        <v>0</v>
      </c>
      <c r="K162" s="601"/>
      <c r="L162" s="602"/>
      <c r="M162" s="603"/>
      <c r="N162" s="313"/>
      <c r="O162" s="314"/>
      <c r="P162" s="321"/>
      <c r="Q162" s="322">
        <v>0</v>
      </c>
      <c r="R162" s="323"/>
      <c r="S162" s="324">
        <v>0</v>
      </c>
      <c r="T162" s="325" t="s">
        <v>199</v>
      </c>
      <c r="U162" s="326"/>
      <c r="V162" s="326"/>
      <c r="W162" s="326"/>
      <c r="X162" s="326"/>
      <c r="Y162" s="326"/>
      <c r="Z162" s="326"/>
    </row>
    <row r="163" spans="1:26" s="327" customFormat="1" ht="32.25" customHeight="1">
      <c r="A163" s="328">
        <v>2</v>
      </c>
      <c r="B163" s="329" t="s">
        <v>200</v>
      </c>
      <c r="C163" s="330"/>
      <c r="D163" s="331">
        <v>0</v>
      </c>
      <c r="E163" s="332"/>
      <c r="F163" s="333"/>
      <c r="G163" s="334"/>
      <c r="H163" s="335">
        <v>0</v>
      </c>
      <c r="I163" s="72">
        <v>0</v>
      </c>
      <c r="J163" s="317">
        <v>0</v>
      </c>
      <c r="K163" s="601"/>
      <c r="L163" s="602"/>
      <c r="M163" s="603"/>
      <c r="N163" s="313"/>
      <c r="O163" s="314"/>
      <c r="P163" s="321"/>
      <c r="Q163" s="322">
        <v>0</v>
      </c>
      <c r="R163" s="323"/>
      <c r="S163" s="324">
        <v>0</v>
      </c>
      <c r="T163" s="325"/>
      <c r="U163" s="326"/>
      <c r="V163" s="326"/>
      <c r="W163" s="326"/>
      <c r="X163" s="326"/>
      <c r="Y163" s="326"/>
      <c r="Z163" s="326"/>
    </row>
    <row r="164" spans="1:26" ht="32.25" customHeight="1">
      <c r="A164" s="39"/>
      <c r="B164" s="223" t="s">
        <v>201</v>
      </c>
      <c r="C164" s="224"/>
      <c r="D164" s="125">
        <v>0</v>
      </c>
      <c r="E164" s="131"/>
      <c r="F164" s="115"/>
      <c r="G164" s="131"/>
      <c r="H164" s="125">
        <v>0</v>
      </c>
      <c r="I164" s="125">
        <v>0</v>
      </c>
      <c r="J164" s="125">
        <v>0</v>
      </c>
      <c r="K164" s="570"/>
      <c r="L164" s="604"/>
      <c r="M164" s="543"/>
      <c r="N164" s="114"/>
      <c r="O164" s="115"/>
      <c r="P164" s="115"/>
      <c r="Q164" s="131">
        <v>0</v>
      </c>
      <c r="R164" s="131"/>
      <c r="S164" s="77">
        <v>0</v>
      </c>
    </row>
    <row r="165" spans="1:26" ht="32.25" customHeight="1">
      <c r="A165" s="39"/>
      <c r="B165" s="223" t="s">
        <v>202</v>
      </c>
      <c r="C165" s="224"/>
      <c r="D165" s="42">
        <v>0</v>
      </c>
      <c r="E165" s="6"/>
      <c r="F165" s="43"/>
      <c r="G165" s="6"/>
      <c r="H165" s="42">
        <v>0</v>
      </c>
      <c r="I165" s="42">
        <v>0</v>
      </c>
      <c r="J165" s="125">
        <v>0</v>
      </c>
      <c r="K165" s="544"/>
      <c r="L165" s="545"/>
      <c r="M165" s="546"/>
      <c r="N165" s="114"/>
      <c r="O165" s="115"/>
      <c r="P165" s="47"/>
      <c r="Q165" s="131">
        <v>0</v>
      </c>
      <c r="R165" s="131"/>
      <c r="S165" s="77">
        <v>0</v>
      </c>
    </row>
    <row r="166" spans="1:26" ht="32.25" customHeight="1">
      <c r="A166" s="337">
        <v>3</v>
      </c>
      <c r="B166" s="338" t="s">
        <v>130</v>
      </c>
      <c r="C166" s="339"/>
      <c r="D166" s="42">
        <v>0</v>
      </c>
      <c r="E166" s="6"/>
      <c r="F166" s="43"/>
      <c r="G166" s="6"/>
      <c r="H166" s="42">
        <v>0</v>
      </c>
      <c r="I166" s="42">
        <v>0</v>
      </c>
      <c r="J166" s="42">
        <v>0</v>
      </c>
      <c r="K166" s="595"/>
      <c r="L166" s="596"/>
      <c r="M166" s="597"/>
      <c r="N166" s="5"/>
      <c r="O166" s="43"/>
      <c r="P166" s="47"/>
      <c r="Q166" s="6">
        <v>0</v>
      </c>
      <c r="R166" s="6"/>
      <c r="S166" s="100">
        <v>0</v>
      </c>
    </row>
    <row r="167" spans="1:26" ht="32.25" customHeight="1">
      <c r="A167" s="337"/>
      <c r="B167" s="340" t="s">
        <v>205</v>
      </c>
      <c r="C167" s="339"/>
      <c r="D167" s="42">
        <v>0</v>
      </c>
      <c r="E167" s="6"/>
      <c r="F167" s="43"/>
      <c r="G167" s="6"/>
      <c r="H167" s="42">
        <v>0</v>
      </c>
      <c r="I167" s="42">
        <v>0</v>
      </c>
      <c r="J167" s="42">
        <v>0</v>
      </c>
      <c r="K167" s="595"/>
      <c r="L167" s="596"/>
      <c r="M167" s="597"/>
      <c r="N167" s="5"/>
      <c r="O167" s="43"/>
      <c r="P167" s="47"/>
      <c r="Q167" s="6">
        <v>0</v>
      </c>
      <c r="R167" s="6"/>
      <c r="S167" s="100">
        <v>0</v>
      </c>
    </row>
    <row r="168" spans="1:26" ht="32.25" customHeight="1">
      <c r="A168" s="337"/>
      <c r="B168" s="341" t="s">
        <v>363</v>
      </c>
      <c r="C168" s="342"/>
      <c r="D168" s="42">
        <v>0</v>
      </c>
      <c r="E168" s="6"/>
      <c r="F168" s="43"/>
      <c r="G168" s="6"/>
      <c r="H168" s="42">
        <v>0</v>
      </c>
      <c r="I168" s="42">
        <v>0</v>
      </c>
      <c r="J168" s="42">
        <v>0</v>
      </c>
      <c r="K168" s="595"/>
      <c r="L168" s="596"/>
      <c r="M168" s="597"/>
      <c r="N168" s="5"/>
      <c r="O168" s="43"/>
      <c r="P168" s="47"/>
      <c r="Q168" s="6">
        <v>0</v>
      </c>
      <c r="R168" s="6"/>
      <c r="S168" s="100">
        <v>0</v>
      </c>
    </row>
    <row r="169" spans="1:26" ht="32.25" customHeight="1">
      <c r="A169" s="337">
        <v>4</v>
      </c>
      <c r="B169" s="420" t="s">
        <v>364</v>
      </c>
      <c r="C169" s="421"/>
      <c r="D169" s="42">
        <v>0</v>
      </c>
      <c r="E169" s="6"/>
      <c r="F169" s="43"/>
      <c r="G169" s="6"/>
      <c r="H169" s="42"/>
      <c r="I169" s="42"/>
      <c r="J169" s="42"/>
      <c r="K169" s="595"/>
      <c r="L169" s="596"/>
      <c r="M169" s="597"/>
      <c r="N169" s="5"/>
      <c r="O169" s="43"/>
      <c r="P169" s="47"/>
      <c r="Q169" s="6">
        <v>0</v>
      </c>
      <c r="R169" s="6"/>
      <c r="S169" s="100">
        <v>0</v>
      </c>
    </row>
    <row r="170" spans="1:26" ht="32.25" customHeight="1">
      <c r="A170" s="337"/>
      <c r="B170" s="420" t="s">
        <v>367</v>
      </c>
      <c r="C170" s="421"/>
      <c r="D170" s="42">
        <v>0</v>
      </c>
      <c r="E170" s="6"/>
      <c r="F170" s="43"/>
      <c r="G170" s="6"/>
      <c r="H170" s="42"/>
      <c r="I170" s="42"/>
      <c r="J170" s="42"/>
      <c r="K170" s="595"/>
      <c r="L170" s="596"/>
      <c r="M170" s="597"/>
      <c r="N170" s="5"/>
      <c r="O170" s="43"/>
      <c r="P170" s="47"/>
      <c r="Q170" s="6">
        <v>0</v>
      </c>
      <c r="R170" s="6"/>
      <c r="S170" s="100">
        <v>0</v>
      </c>
    </row>
    <row r="171" spans="1:26" ht="32.25" customHeight="1">
      <c r="A171" s="337"/>
      <c r="B171" s="420" t="s">
        <v>368</v>
      </c>
      <c r="C171" s="421"/>
      <c r="D171" s="42">
        <v>0</v>
      </c>
      <c r="E171" s="6"/>
      <c r="F171" s="43"/>
      <c r="G171" s="6"/>
      <c r="H171" s="42"/>
      <c r="I171" s="42"/>
      <c r="J171" s="42"/>
      <c r="K171" s="595"/>
      <c r="L171" s="596"/>
      <c r="M171" s="597"/>
      <c r="N171" s="5"/>
      <c r="O171" s="43"/>
      <c r="P171" s="47"/>
      <c r="Q171" s="6">
        <v>0</v>
      </c>
      <c r="R171" s="6"/>
      <c r="S171" s="100">
        <v>0</v>
      </c>
    </row>
    <row r="172" spans="1:26" ht="32.25" customHeight="1">
      <c r="A172" s="337">
        <v>5</v>
      </c>
      <c r="B172" s="420" t="s">
        <v>369</v>
      </c>
      <c r="C172" s="421"/>
      <c r="D172" s="42">
        <v>0</v>
      </c>
      <c r="E172" s="6"/>
      <c r="F172" s="43"/>
      <c r="G172" s="6"/>
      <c r="H172" s="42"/>
      <c r="I172" s="42"/>
      <c r="J172" s="42"/>
      <c r="K172" s="595"/>
      <c r="L172" s="596"/>
      <c r="M172" s="597"/>
      <c r="N172" s="5"/>
      <c r="O172" s="43"/>
      <c r="P172" s="47"/>
      <c r="Q172" s="6">
        <v>0</v>
      </c>
      <c r="R172" s="6"/>
      <c r="S172" s="100">
        <v>0</v>
      </c>
    </row>
    <row r="173" spans="1:26" ht="32.25" customHeight="1">
      <c r="A173" s="337"/>
      <c r="B173" s="420" t="s">
        <v>367</v>
      </c>
      <c r="C173" s="421"/>
      <c r="D173" s="42">
        <v>0</v>
      </c>
      <c r="E173" s="6"/>
      <c r="F173" s="43"/>
      <c r="G173" s="6"/>
      <c r="H173" s="42"/>
      <c r="I173" s="42"/>
      <c r="J173" s="42"/>
      <c r="K173" s="595"/>
      <c r="L173" s="596"/>
      <c r="M173" s="597"/>
      <c r="N173" s="5"/>
      <c r="O173" s="43"/>
      <c r="P173" s="47"/>
      <c r="Q173" s="6">
        <v>0</v>
      </c>
      <c r="R173" s="6"/>
      <c r="S173" s="100">
        <v>0</v>
      </c>
    </row>
    <row r="174" spans="1:26" ht="32.25" customHeight="1">
      <c r="A174" s="337"/>
      <c r="B174" s="420" t="s">
        <v>372</v>
      </c>
      <c r="C174" s="421"/>
      <c r="D174" s="42">
        <v>0</v>
      </c>
      <c r="E174" s="6"/>
      <c r="F174" s="43"/>
      <c r="G174" s="6"/>
      <c r="H174" s="42"/>
      <c r="I174" s="42"/>
      <c r="J174" s="42"/>
      <c r="K174" s="595"/>
      <c r="L174" s="596"/>
      <c r="M174" s="597"/>
      <c r="N174" s="5"/>
      <c r="O174" s="43"/>
      <c r="P174" s="47"/>
      <c r="Q174" s="6">
        <v>0</v>
      </c>
      <c r="R174" s="6"/>
      <c r="S174" s="100">
        <v>0</v>
      </c>
    </row>
    <row r="175" spans="1:26" ht="32.25" customHeight="1">
      <c r="A175" s="337">
        <v>6</v>
      </c>
      <c r="B175" s="420" t="s">
        <v>373</v>
      </c>
      <c r="C175" s="421"/>
      <c r="D175" s="42">
        <v>0</v>
      </c>
      <c r="E175" s="6"/>
      <c r="F175" s="43"/>
      <c r="G175" s="6"/>
      <c r="H175" s="42"/>
      <c r="I175" s="42"/>
      <c r="J175" s="42"/>
      <c r="K175" s="595"/>
      <c r="L175" s="596"/>
      <c r="M175" s="597"/>
      <c r="N175" s="5"/>
      <c r="O175" s="43"/>
      <c r="P175" s="47"/>
      <c r="Q175" s="6">
        <v>0</v>
      </c>
      <c r="R175" s="6"/>
      <c r="S175" s="100">
        <v>0</v>
      </c>
    </row>
    <row r="176" spans="1:26" ht="32.25" customHeight="1">
      <c r="A176" s="337"/>
      <c r="B176" s="420" t="s">
        <v>367</v>
      </c>
      <c r="C176" s="421"/>
      <c r="D176" s="42">
        <v>0</v>
      </c>
      <c r="E176" s="6"/>
      <c r="F176" s="43"/>
      <c r="G176" s="6"/>
      <c r="H176" s="42"/>
      <c r="I176" s="42"/>
      <c r="J176" s="42"/>
      <c r="K176" s="595"/>
      <c r="L176" s="596"/>
      <c r="M176" s="597"/>
      <c r="N176" s="5"/>
      <c r="O176" s="43"/>
      <c r="P176" s="47"/>
      <c r="Q176" s="6">
        <v>0</v>
      </c>
      <c r="R176" s="6"/>
      <c r="S176" s="100">
        <v>0</v>
      </c>
    </row>
    <row r="177" spans="1:19" ht="32.25" customHeight="1">
      <c r="A177" s="337"/>
      <c r="B177" s="420" t="s">
        <v>375</v>
      </c>
      <c r="C177" s="421"/>
      <c r="D177" s="42">
        <v>0</v>
      </c>
      <c r="E177" s="6"/>
      <c r="F177" s="43"/>
      <c r="G177" s="6"/>
      <c r="H177" s="42"/>
      <c r="I177" s="42"/>
      <c r="J177" s="42"/>
      <c r="K177" s="595"/>
      <c r="L177" s="596"/>
      <c r="M177" s="597"/>
      <c r="N177" s="5"/>
      <c r="O177" s="43"/>
      <c r="P177" s="47"/>
      <c r="Q177" s="6">
        <v>0</v>
      </c>
      <c r="R177" s="6"/>
      <c r="S177" s="100">
        <v>0</v>
      </c>
    </row>
    <row r="178" spans="1:19" ht="32.25" customHeight="1">
      <c r="A178" s="337">
        <v>7</v>
      </c>
      <c r="B178" s="420" t="s">
        <v>376</v>
      </c>
      <c r="C178" s="421"/>
      <c r="D178" s="42">
        <v>0</v>
      </c>
      <c r="E178" s="6"/>
      <c r="F178" s="43"/>
      <c r="G178" s="6"/>
      <c r="H178" s="42"/>
      <c r="I178" s="42"/>
      <c r="J178" s="42"/>
      <c r="K178" s="595"/>
      <c r="L178" s="596"/>
      <c r="M178" s="597"/>
      <c r="N178" s="5"/>
      <c r="O178" s="43"/>
      <c r="P178" s="47"/>
      <c r="Q178" s="6">
        <v>0</v>
      </c>
      <c r="R178" s="6"/>
      <c r="S178" s="100">
        <v>0</v>
      </c>
    </row>
    <row r="179" spans="1:19" ht="32.25" customHeight="1">
      <c r="A179" s="337"/>
      <c r="B179" s="420" t="s">
        <v>367</v>
      </c>
      <c r="C179" s="421"/>
      <c r="D179" s="42">
        <v>0</v>
      </c>
      <c r="E179" s="6"/>
      <c r="F179" s="43"/>
      <c r="G179" s="6"/>
      <c r="H179" s="42"/>
      <c r="I179" s="42"/>
      <c r="J179" s="42"/>
      <c r="K179" s="595"/>
      <c r="L179" s="596"/>
      <c r="M179" s="597"/>
      <c r="N179" s="5"/>
      <c r="O179" s="43"/>
      <c r="P179" s="47"/>
      <c r="Q179" s="6">
        <v>0</v>
      </c>
      <c r="R179" s="6"/>
      <c r="S179" s="100">
        <v>0</v>
      </c>
    </row>
    <row r="180" spans="1:19" ht="32.25" customHeight="1">
      <c r="A180" s="337"/>
      <c r="B180" s="420" t="s">
        <v>378</v>
      </c>
      <c r="C180" s="421"/>
      <c r="D180" s="42">
        <v>0</v>
      </c>
      <c r="E180" s="6"/>
      <c r="F180" s="43"/>
      <c r="G180" s="6"/>
      <c r="H180" s="42"/>
      <c r="I180" s="42"/>
      <c r="J180" s="42"/>
      <c r="K180" s="595"/>
      <c r="L180" s="596"/>
      <c r="M180" s="597"/>
      <c r="N180" s="5"/>
      <c r="O180" s="43"/>
      <c r="P180" s="47"/>
      <c r="Q180" s="6">
        <v>0</v>
      </c>
      <c r="R180" s="6"/>
      <c r="S180" s="100">
        <v>0</v>
      </c>
    </row>
    <row r="181" spans="1:19" ht="32.25" customHeight="1">
      <c r="A181" s="337">
        <v>8</v>
      </c>
      <c r="B181" s="420" t="s">
        <v>379</v>
      </c>
      <c r="C181" s="421"/>
      <c r="D181" s="42">
        <v>0</v>
      </c>
      <c r="E181" s="6"/>
      <c r="F181" s="43"/>
      <c r="G181" s="6"/>
      <c r="H181" s="42"/>
      <c r="I181" s="42"/>
      <c r="J181" s="42"/>
      <c r="K181" s="595"/>
      <c r="L181" s="596"/>
      <c r="M181" s="597"/>
      <c r="N181" s="5"/>
      <c r="O181" s="43"/>
      <c r="P181" s="47"/>
      <c r="Q181" s="6">
        <v>0</v>
      </c>
      <c r="R181" s="6"/>
      <c r="S181" s="100">
        <v>0</v>
      </c>
    </row>
    <row r="182" spans="1:19" ht="32.25" customHeight="1">
      <c r="A182" s="337"/>
      <c r="B182" s="420" t="s">
        <v>367</v>
      </c>
      <c r="C182" s="421"/>
      <c r="D182" s="42">
        <v>0</v>
      </c>
      <c r="E182" s="6"/>
      <c r="F182" s="43"/>
      <c r="G182" s="6"/>
      <c r="H182" s="42"/>
      <c r="I182" s="42"/>
      <c r="J182" s="42"/>
      <c r="K182" s="595"/>
      <c r="L182" s="596"/>
      <c r="M182" s="597"/>
      <c r="N182" s="5"/>
      <c r="O182" s="43"/>
      <c r="P182" s="47"/>
      <c r="Q182" s="6">
        <v>0</v>
      </c>
      <c r="R182" s="6"/>
      <c r="S182" s="100">
        <v>0</v>
      </c>
    </row>
    <row r="183" spans="1:19" ht="32.25" customHeight="1">
      <c r="A183" s="337"/>
      <c r="B183" s="420"/>
      <c r="C183" s="421"/>
      <c r="D183" s="42">
        <v>0</v>
      </c>
      <c r="E183" s="6"/>
      <c r="F183" s="43"/>
      <c r="G183" s="6"/>
      <c r="H183" s="42"/>
      <c r="I183" s="42"/>
      <c r="J183" s="42"/>
      <c r="K183" s="595"/>
      <c r="L183" s="596"/>
      <c r="M183" s="597"/>
      <c r="N183" s="5"/>
      <c r="O183" s="43"/>
      <c r="P183" s="47"/>
      <c r="Q183" s="6">
        <v>0</v>
      </c>
      <c r="R183" s="6"/>
      <c r="S183" s="100">
        <v>0</v>
      </c>
    </row>
    <row r="184" spans="1:19" ht="32.25" customHeight="1">
      <c r="A184" s="337">
        <v>9</v>
      </c>
      <c r="B184" s="420" t="s">
        <v>380</v>
      </c>
      <c r="C184" s="421"/>
      <c r="D184" s="42">
        <v>0</v>
      </c>
      <c r="E184" s="6"/>
      <c r="F184" s="43"/>
      <c r="G184" s="6"/>
      <c r="H184" s="42"/>
      <c r="I184" s="42"/>
      <c r="J184" s="42"/>
      <c r="K184" s="595"/>
      <c r="L184" s="596"/>
      <c r="M184" s="597"/>
      <c r="N184" s="5"/>
      <c r="O184" s="43"/>
      <c r="P184" s="47"/>
      <c r="Q184" s="6">
        <v>0</v>
      </c>
      <c r="R184" s="6"/>
      <c r="S184" s="100">
        <v>0</v>
      </c>
    </row>
    <row r="185" spans="1:19" ht="32.25" customHeight="1">
      <c r="A185" s="337"/>
      <c r="B185" s="420" t="s">
        <v>367</v>
      </c>
      <c r="C185" s="421"/>
      <c r="D185" s="42">
        <v>0</v>
      </c>
      <c r="E185" s="6"/>
      <c r="F185" s="43"/>
      <c r="G185" s="6"/>
      <c r="H185" s="42"/>
      <c r="I185" s="42"/>
      <c r="J185" s="42"/>
      <c r="K185" s="595"/>
      <c r="L185" s="596"/>
      <c r="M185" s="597"/>
      <c r="N185" s="5"/>
      <c r="O185" s="43"/>
      <c r="P185" s="47"/>
      <c r="Q185" s="6">
        <v>0</v>
      </c>
      <c r="R185" s="6"/>
      <c r="S185" s="100">
        <v>0</v>
      </c>
    </row>
    <row r="186" spans="1:19" ht="32.25" customHeight="1">
      <c r="A186" s="337"/>
      <c r="B186" s="420" t="s">
        <v>382</v>
      </c>
      <c r="C186" s="421"/>
      <c r="D186" s="42">
        <v>0</v>
      </c>
      <c r="E186" s="6"/>
      <c r="F186" s="43"/>
      <c r="G186" s="6"/>
      <c r="H186" s="42"/>
      <c r="I186" s="42"/>
      <c r="J186" s="42"/>
      <c r="K186" s="595"/>
      <c r="L186" s="596"/>
      <c r="M186" s="597"/>
      <c r="N186" s="5"/>
      <c r="O186" s="43"/>
      <c r="P186" s="47"/>
      <c r="Q186" s="6">
        <v>0</v>
      </c>
      <c r="R186" s="6"/>
      <c r="S186" s="100">
        <v>0</v>
      </c>
    </row>
    <row r="187" spans="1:19" ht="32.25" customHeight="1">
      <c r="A187" s="337">
        <v>10</v>
      </c>
      <c r="B187" s="420" t="s">
        <v>383</v>
      </c>
      <c r="C187" s="421"/>
      <c r="D187" s="42">
        <v>0</v>
      </c>
      <c r="E187" s="6"/>
      <c r="F187" s="43"/>
      <c r="G187" s="6"/>
      <c r="H187" s="42"/>
      <c r="I187" s="42"/>
      <c r="J187" s="42"/>
      <c r="K187" s="595"/>
      <c r="L187" s="596"/>
      <c r="M187" s="597"/>
      <c r="N187" s="5"/>
      <c r="O187" s="43"/>
      <c r="P187" s="47"/>
      <c r="Q187" s="6">
        <v>0</v>
      </c>
      <c r="R187" s="6"/>
      <c r="S187" s="100">
        <v>0</v>
      </c>
    </row>
    <row r="188" spans="1:19" ht="32.25" customHeight="1">
      <c r="A188" s="337"/>
      <c r="B188" s="420" t="s">
        <v>367</v>
      </c>
      <c r="C188" s="421"/>
      <c r="D188" s="42">
        <v>0</v>
      </c>
      <c r="E188" s="6"/>
      <c r="F188" s="43"/>
      <c r="G188" s="6"/>
      <c r="H188" s="42"/>
      <c r="I188" s="42"/>
      <c r="J188" s="42"/>
      <c r="K188" s="595"/>
      <c r="L188" s="596"/>
      <c r="M188" s="597"/>
      <c r="N188" s="5"/>
      <c r="O188" s="43"/>
      <c r="P188" s="47"/>
      <c r="Q188" s="6">
        <v>0</v>
      </c>
      <c r="R188" s="6"/>
      <c r="S188" s="100">
        <v>0</v>
      </c>
    </row>
    <row r="189" spans="1:19" ht="32.25" customHeight="1">
      <c r="A189" s="337"/>
      <c r="B189" s="420" t="s">
        <v>385</v>
      </c>
      <c r="C189" s="421"/>
      <c r="D189" s="42">
        <v>0</v>
      </c>
      <c r="E189" s="6"/>
      <c r="F189" s="43"/>
      <c r="G189" s="6"/>
      <c r="H189" s="42"/>
      <c r="I189" s="42"/>
      <c r="J189" s="42"/>
      <c r="K189" s="595"/>
      <c r="L189" s="596"/>
      <c r="M189" s="597"/>
      <c r="N189" s="5"/>
      <c r="O189" s="43"/>
      <c r="P189" s="47"/>
      <c r="Q189" s="6">
        <v>0</v>
      </c>
      <c r="R189" s="6"/>
      <c r="S189" s="100">
        <v>0</v>
      </c>
    </row>
    <row r="190" spans="1:19" ht="32.25" customHeight="1">
      <c r="A190" s="337">
        <v>11</v>
      </c>
      <c r="B190" s="420" t="s">
        <v>386</v>
      </c>
      <c r="C190" s="421"/>
      <c r="D190" s="42">
        <v>0</v>
      </c>
      <c r="E190" s="6"/>
      <c r="F190" s="43"/>
      <c r="G190" s="6"/>
      <c r="H190" s="42"/>
      <c r="I190" s="42"/>
      <c r="J190" s="42"/>
      <c r="K190" s="595"/>
      <c r="L190" s="596"/>
      <c r="M190" s="597"/>
      <c r="N190" s="5"/>
      <c r="O190" s="43"/>
      <c r="P190" s="47"/>
      <c r="Q190" s="6">
        <v>0</v>
      </c>
      <c r="R190" s="6"/>
      <c r="S190" s="100">
        <v>0</v>
      </c>
    </row>
    <row r="191" spans="1:19" ht="32.25" customHeight="1">
      <c r="A191" s="337"/>
      <c r="B191" s="420" t="s">
        <v>367</v>
      </c>
      <c r="C191" s="421"/>
      <c r="D191" s="42">
        <v>0</v>
      </c>
      <c r="E191" s="6"/>
      <c r="F191" s="43"/>
      <c r="G191" s="6"/>
      <c r="H191" s="42"/>
      <c r="I191" s="42"/>
      <c r="J191" s="42"/>
      <c r="K191" s="595"/>
      <c r="L191" s="596"/>
      <c r="M191" s="597"/>
      <c r="N191" s="5"/>
      <c r="O191" s="43"/>
      <c r="P191" s="47"/>
      <c r="Q191" s="6">
        <v>0</v>
      </c>
      <c r="R191" s="6"/>
      <c r="S191" s="100">
        <v>0</v>
      </c>
    </row>
    <row r="192" spans="1:19" ht="32.25" customHeight="1" thickBot="1">
      <c r="A192" s="39"/>
      <c r="B192" s="50" t="s">
        <v>19</v>
      </c>
      <c r="C192" s="50"/>
      <c r="D192" s="51">
        <v>0</v>
      </c>
      <c r="E192" s="52"/>
      <c r="F192" s="53"/>
      <c r="G192" s="52"/>
      <c r="H192" s="51">
        <f>SUM(H162:H191)</f>
        <v>0</v>
      </c>
      <c r="I192" s="51">
        <f t="shared" ref="I192:M192" si="10">SUM(I162:I191)</f>
        <v>0</v>
      </c>
      <c r="J192" s="51">
        <f t="shared" si="10"/>
        <v>0</v>
      </c>
      <c r="K192" s="591">
        <f t="shared" si="10"/>
        <v>0</v>
      </c>
      <c r="L192" s="591">
        <f t="shared" si="10"/>
        <v>0</v>
      </c>
      <c r="M192" s="591">
        <f t="shared" si="10"/>
        <v>0</v>
      </c>
      <c r="N192" s="57"/>
      <c r="O192" s="53"/>
      <c r="P192" s="51"/>
      <c r="Q192" s="51">
        <v>0</v>
      </c>
      <c r="R192" s="51"/>
      <c r="S192" s="51">
        <v>0</v>
      </c>
    </row>
    <row r="193" spans="1:19" ht="32.25" customHeight="1" thickTop="1">
      <c r="A193" s="39"/>
      <c r="B193" s="58" t="s">
        <v>207</v>
      </c>
      <c r="C193" s="59"/>
      <c r="D193" s="60"/>
      <c r="E193" s="61"/>
      <c r="F193" s="62"/>
      <c r="G193" s="63"/>
      <c r="H193" s="64"/>
      <c r="I193" s="64"/>
      <c r="J193" s="64"/>
      <c r="K193" s="550"/>
      <c r="L193" s="551"/>
      <c r="M193" s="552"/>
      <c r="N193" s="68"/>
      <c r="O193" s="62"/>
      <c r="P193" s="69"/>
      <c r="Q193" s="63"/>
      <c r="R193" s="63"/>
      <c r="S193" s="70"/>
    </row>
    <row r="194" spans="1:19" ht="32.25" customHeight="1">
      <c r="A194" s="39"/>
      <c r="B194" s="40"/>
      <c r="C194" s="41"/>
      <c r="D194" s="42"/>
      <c r="E194" s="6"/>
      <c r="F194" s="43"/>
      <c r="G194" s="6"/>
      <c r="H194" s="42"/>
      <c r="I194" s="42"/>
      <c r="J194" s="42"/>
      <c r="K194" s="164"/>
      <c r="L194" s="605"/>
      <c r="M194" s="606"/>
      <c r="N194" s="5"/>
      <c r="O194" s="43"/>
      <c r="P194" s="47"/>
      <c r="Q194" s="48"/>
      <c r="R194" s="48"/>
      <c r="S194" s="49"/>
    </row>
    <row r="195" spans="1:19" ht="32.25" customHeight="1" thickBot="1">
      <c r="A195" s="39"/>
      <c r="B195" s="50" t="s">
        <v>19</v>
      </c>
      <c r="C195" s="50"/>
      <c r="D195" s="51">
        <v>0</v>
      </c>
      <c r="E195" s="52"/>
      <c r="F195" s="53"/>
      <c r="G195" s="52"/>
      <c r="H195" s="51">
        <v>0</v>
      </c>
      <c r="I195" s="51">
        <v>0</v>
      </c>
      <c r="J195" s="51">
        <v>0</v>
      </c>
      <c r="K195" s="547"/>
      <c r="L195" s="548"/>
      <c r="M195" s="549">
        <f>SUM(M194)</f>
        <v>0</v>
      </c>
      <c r="N195" s="57"/>
      <c r="O195" s="53"/>
      <c r="P195" s="51"/>
      <c r="Q195" s="51"/>
      <c r="R195" s="51"/>
      <c r="S195" s="51"/>
    </row>
    <row r="196" spans="1:19" ht="32.25" customHeight="1" thickTop="1">
      <c r="A196" s="39"/>
      <c r="B196" s="141" t="s">
        <v>210</v>
      </c>
      <c r="C196" s="142"/>
      <c r="D196" s="125"/>
      <c r="E196" s="131"/>
      <c r="F196" s="115"/>
      <c r="G196" s="33"/>
      <c r="H196" s="143"/>
      <c r="I196" s="143"/>
      <c r="J196" s="143"/>
      <c r="K196" s="541"/>
      <c r="L196" s="542"/>
      <c r="M196" s="543"/>
      <c r="N196" s="114"/>
      <c r="O196" s="115"/>
      <c r="P196" s="144"/>
      <c r="Q196" s="33"/>
      <c r="R196" s="33"/>
      <c r="S196" s="145"/>
    </row>
    <row r="197" spans="1:19" s="160" customFormat="1" ht="32.25" customHeight="1">
      <c r="A197" s="106">
        <v>1</v>
      </c>
      <c r="B197" s="142" t="s">
        <v>52</v>
      </c>
      <c r="C197" s="174" t="s">
        <v>211</v>
      </c>
      <c r="D197" s="151">
        <v>518</v>
      </c>
      <c r="E197" s="152" t="s">
        <v>57</v>
      </c>
      <c r="F197" s="346"/>
      <c r="G197" s="346"/>
      <c r="H197" s="153">
        <v>-259</v>
      </c>
      <c r="I197" s="346"/>
      <c r="J197" s="226">
        <v>-259</v>
      </c>
      <c r="K197" s="164" t="s">
        <v>897</v>
      </c>
      <c r="L197" s="165" t="s">
        <v>927</v>
      </c>
      <c r="M197" s="166">
        <v>518</v>
      </c>
      <c r="N197" s="347" t="s">
        <v>57</v>
      </c>
      <c r="O197" s="348"/>
      <c r="P197" s="280"/>
      <c r="Q197" s="153">
        <f>SUM(D197+J197-M197)</f>
        <v>-259</v>
      </c>
      <c r="R197" s="153"/>
      <c r="S197" s="159">
        <f>SUM(Q197)</f>
        <v>-259</v>
      </c>
    </row>
    <row r="198" spans="1:19" s="160" customFormat="1" ht="32.25" customHeight="1">
      <c r="A198" s="106">
        <v>2</v>
      </c>
      <c r="B198" s="161" t="s">
        <v>213</v>
      </c>
      <c r="C198" s="349" t="s">
        <v>214</v>
      </c>
      <c r="D198" s="151">
        <v>0</v>
      </c>
      <c r="E198" s="163"/>
      <c r="F198" s="122"/>
      <c r="G198" s="122"/>
      <c r="H198" s="91">
        <v>0</v>
      </c>
      <c r="I198" s="122"/>
      <c r="J198" s="132">
        <v>0</v>
      </c>
      <c r="K198" s="164"/>
      <c r="L198" s="165"/>
      <c r="M198" s="166"/>
      <c r="N198" s="352"/>
      <c r="O198" s="348"/>
      <c r="P198" s="280"/>
      <c r="Q198" s="153">
        <f t="shared" ref="Q198:Q245" si="11">SUM(D198+J198-M198)</f>
        <v>0</v>
      </c>
      <c r="R198" s="153"/>
      <c r="S198" s="159">
        <f t="shared" ref="S198:S245" si="12">SUM(Q198)</f>
        <v>0</v>
      </c>
    </row>
    <row r="199" spans="1:19" s="160" customFormat="1" ht="32.25" customHeight="1">
      <c r="A199" s="106">
        <v>3</v>
      </c>
      <c r="B199" s="142" t="s">
        <v>60</v>
      </c>
      <c r="C199" s="174" t="s">
        <v>215</v>
      </c>
      <c r="D199" s="151">
        <v>259</v>
      </c>
      <c r="E199" s="163"/>
      <c r="F199" s="122"/>
      <c r="G199" s="122"/>
      <c r="H199" s="91">
        <v>0</v>
      </c>
      <c r="I199" s="122"/>
      <c r="J199" s="132">
        <v>0</v>
      </c>
      <c r="K199" s="164" t="s">
        <v>879</v>
      </c>
      <c r="L199" s="165" t="s">
        <v>928</v>
      </c>
      <c r="M199" s="166">
        <v>259</v>
      </c>
      <c r="N199" s="352"/>
      <c r="O199" s="348"/>
      <c r="P199" s="280"/>
      <c r="Q199" s="91">
        <f t="shared" si="11"/>
        <v>0</v>
      </c>
      <c r="R199" s="91"/>
      <c r="S199" s="77">
        <f t="shared" si="12"/>
        <v>0</v>
      </c>
    </row>
    <row r="200" spans="1:19" s="160" customFormat="1" ht="32.25" customHeight="1">
      <c r="A200" s="106">
        <v>4</v>
      </c>
      <c r="B200" s="142" t="s">
        <v>27</v>
      </c>
      <c r="C200" s="174" t="s">
        <v>217</v>
      </c>
      <c r="D200" s="151">
        <v>259</v>
      </c>
      <c r="E200" s="163"/>
      <c r="F200" s="122"/>
      <c r="G200" s="122"/>
      <c r="H200" s="91">
        <v>0</v>
      </c>
      <c r="I200" s="122"/>
      <c r="J200" s="132">
        <v>0</v>
      </c>
      <c r="K200" s="164" t="s">
        <v>879</v>
      </c>
      <c r="L200" s="165" t="s">
        <v>929</v>
      </c>
      <c r="M200" s="166">
        <v>259</v>
      </c>
      <c r="N200" s="352"/>
      <c r="O200" s="348"/>
      <c r="P200" s="280"/>
      <c r="Q200" s="91">
        <f t="shared" si="11"/>
        <v>0</v>
      </c>
      <c r="R200" s="91"/>
      <c r="S200" s="77">
        <f t="shared" si="12"/>
        <v>0</v>
      </c>
    </row>
    <row r="201" spans="1:19" s="160" customFormat="1" ht="32.25" customHeight="1">
      <c r="A201" s="106">
        <v>5</v>
      </c>
      <c r="B201" s="168" t="s">
        <v>42</v>
      </c>
      <c r="C201" s="174" t="s">
        <v>219</v>
      </c>
      <c r="D201" s="125">
        <v>259</v>
      </c>
      <c r="E201" s="163"/>
      <c r="F201" s="122"/>
      <c r="G201" s="122"/>
      <c r="H201" s="91">
        <v>0</v>
      </c>
      <c r="I201" s="122"/>
      <c r="J201" s="132">
        <v>0</v>
      </c>
      <c r="K201" s="164" t="s">
        <v>897</v>
      </c>
      <c r="L201" s="165" t="s">
        <v>930</v>
      </c>
      <c r="M201" s="166">
        <v>259</v>
      </c>
      <c r="N201" s="352"/>
      <c r="O201" s="348"/>
      <c r="P201" s="280"/>
      <c r="Q201" s="91">
        <f t="shared" si="11"/>
        <v>0</v>
      </c>
      <c r="R201" s="91"/>
      <c r="S201" s="77">
        <f t="shared" si="12"/>
        <v>0</v>
      </c>
    </row>
    <row r="202" spans="1:19" s="160" customFormat="1" ht="32.25" customHeight="1">
      <c r="A202" s="106">
        <v>6</v>
      </c>
      <c r="B202" s="142" t="s">
        <v>69</v>
      </c>
      <c r="C202" s="174" t="s">
        <v>221</v>
      </c>
      <c r="D202" s="151">
        <v>259</v>
      </c>
      <c r="E202" s="163"/>
      <c r="F202" s="122"/>
      <c r="G202" s="122"/>
      <c r="H202" s="91">
        <v>0</v>
      </c>
      <c r="I202" s="122"/>
      <c r="J202" s="132">
        <v>0</v>
      </c>
      <c r="K202" s="164" t="s">
        <v>873</v>
      </c>
      <c r="L202" s="165" t="s">
        <v>931</v>
      </c>
      <c r="M202" s="166">
        <v>259</v>
      </c>
      <c r="N202" s="353"/>
      <c r="O202" s="348"/>
      <c r="P202" s="280"/>
      <c r="Q202" s="91">
        <f t="shared" si="11"/>
        <v>0</v>
      </c>
      <c r="R202" s="91"/>
      <c r="S202" s="77">
        <f t="shared" si="12"/>
        <v>0</v>
      </c>
    </row>
    <row r="203" spans="1:19" ht="32.25" customHeight="1">
      <c r="A203" s="106">
        <v>7</v>
      </c>
      <c r="B203" s="146" t="s">
        <v>75</v>
      </c>
      <c r="C203" s="173" t="s">
        <v>223</v>
      </c>
      <c r="D203" s="151"/>
      <c r="E203" s="163"/>
      <c r="F203" s="115"/>
      <c r="G203" s="115"/>
      <c r="H203" s="131">
        <v>0</v>
      </c>
      <c r="I203" s="115"/>
      <c r="J203" s="132">
        <v>0</v>
      </c>
      <c r="K203" s="534"/>
      <c r="L203" s="165"/>
      <c r="M203" s="166"/>
      <c r="N203" s="352"/>
      <c r="O203" s="348"/>
      <c r="P203" s="280"/>
      <c r="Q203" s="91">
        <f t="shared" si="11"/>
        <v>0</v>
      </c>
      <c r="R203" s="91"/>
      <c r="S203" s="77">
        <f t="shared" si="12"/>
        <v>0</v>
      </c>
    </row>
    <row r="204" spans="1:19" s="160" customFormat="1" ht="32.25" customHeight="1">
      <c r="A204" s="106">
        <v>8</v>
      </c>
      <c r="B204" s="142" t="s">
        <v>77</v>
      </c>
      <c r="C204" s="174" t="s">
        <v>224</v>
      </c>
      <c r="D204" s="151">
        <v>259</v>
      </c>
      <c r="E204" s="163"/>
      <c r="F204" s="122"/>
      <c r="G204" s="122"/>
      <c r="H204" s="91">
        <v>0</v>
      </c>
      <c r="I204" s="122"/>
      <c r="J204" s="132">
        <v>0</v>
      </c>
      <c r="K204" s="164" t="s">
        <v>879</v>
      </c>
      <c r="L204" s="165" t="s">
        <v>932</v>
      </c>
      <c r="M204" s="166">
        <v>259</v>
      </c>
      <c r="N204" s="352"/>
      <c r="O204" s="348"/>
      <c r="P204" s="280"/>
      <c r="Q204" s="91">
        <f t="shared" si="11"/>
        <v>0</v>
      </c>
      <c r="R204" s="91"/>
      <c r="S204" s="77">
        <f t="shared" si="12"/>
        <v>0</v>
      </c>
    </row>
    <row r="205" spans="1:19" s="160" customFormat="1" ht="32.25" customHeight="1">
      <c r="A205" s="106">
        <v>9</v>
      </c>
      <c r="B205" s="142" t="s">
        <v>77</v>
      </c>
      <c r="C205" s="174" t="s">
        <v>226</v>
      </c>
      <c r="D205" s="151">
        <v>259</v>
      </c>
      <c r="E205" s="163"/>
      <c r="F205" s="122"/>
      <c r="G205" s="122"/>
      <c r="H205" s="91">
        <v>0</v>
      </c>
      <c r="I205" s="122"/>
      <c r="J205" s="132">
        <v>0</v>
      </c>
      <c r="K205" s="164" t="s">
        <v>879</v>
      </c>
      <c r="L205" s="165" t="s">
        <v>932</v>
      </c>
      <c r="M205" s="166">
        <v>259</v>
      </c>
      <c r="N205" s="352"/>
      <c r="O205" s="348"/>
      <c r="P205" s="280"/>
      <c r="Q205" s="91">
        <f t="shared" si="11"/>
        <v>0</v>
      </c>
      <c r="R205" s="91"/>
      <c r="S205" s="77">
        <f t="shared" si="12"/>
        <v>0</v>
      </c>
    </row>
    <row r="206" spans="1:19" ht="32.25" customHeight="1">
      <c r="A206" s="106">
        <v>10</v>
      </c>
      <c r="B206" s="146" t="s">
        <v>75</v>
      </c>
      <c r="C206" s="173" t="s">
        <v>227</v>
      </c>
      <c r="D206" s="151"/>
      <c r="E206" s="163"/>
      <c r="F206" s="115"/>
      <c r="G206" s="115"/>
      <c r="H206" s="131">
        <v>0</v>
      </c>
      <c r="I206" s="115"/>
      <c r="J206" s="132">
        <v>0</v>
      </c>
      <c r="K206" s="534"/>
      <c r="L206" s="165"/>
      <c r="M206" s="166"/>
      <c r="N206" s="352"/>
      <c r="O206" s="348"/>
      <c r="P206" s="280"/>
      <c r="Q206" s="91">
        <f t="shared" si="11"/>
        <v>0</v>
      </c>
      <c r="R206" s="91"/>
      <c r="S206" s="77">
        <f t="shared" si="12"/>
        <v>0</v>
      </c>
    </row>
    <row r="207" spans="1:19" s="160" customFormat="1" ht="32.25" customHeight="1">
      <c r="A207" s="106">
        <v>11</v>
      </c>
      <c r="B207" s="142" t="s">
        <v>83</v>
      </c>
      <c r="C207" s="174" t="s">
        <v>228</v>
      </c>
      <c r="D207" s="151">
        <v>259</v>
      </c>
      <c r="E207" s="163"/>
      <c r="F207" s="122"/>
      <c r="G207" s="122"/>
      <c r="H207" s="91">
        <v>0</v>
      </c>
      <c r="I207" s="122"/>
      <c r="J207" s="132">
        <v>0</v>
      </c>
      <c r="K207" s="164" t="s">
        <v>879</v>
      </c>
      <c r="L207" s="165" t="s">
        <v>933</v>
      </c>
      <c r="M207" s="166">
        <v>259</v>
      </c>
      <c r="N207" s="352"/>
      <c r="O207" s="348"/>
      <c r="P207" s="280"/>
      <c r="Q207" s="91">
        <f t="shared" si="11"/>
        <v>0</v>
      </c>
      <c r="R207" s="91"/>
      <c r="S207" s="77">
        <f t="shared" si="12"/>
        <v>0</v>
      </c>
    </row>
    <row r="208" spans="1:19" s="160" customFormat="1" ht="32.25" customHeight="1">
      <c r="A208" s="106">
        <v>12</v>
      </c>
      <c r="B208" s="142" t="s">
        <v>87</v>
      </c>
      <c r="C208" s="174" t="s">
        <v>230</v>
      </c>
      <c r="D208" s="151">
        <v>259</v>
      </c>
      <c r="E208" s="163"/>
      <c r="F208" s="122"/>
      <c r="G208" s="122"/>
      <c r="H208" s="91">
        <v>0</v>
      </c>
      <c r="I208" s="122"/>
      <c r="J208" s="132">
        <v>0</v>
      </c>
      <c r="K208" s="164" t="s">
        <v>873</v>
      </c>
      <c r="L208" s="165" t="s">
        <v>934</v>
      </c>
      <c r="M208" s="166">
        <v>259</v>
      </c>
      <c r="N208" s="352"/>
      <c r="O208" s="348"/>
      <c r="P208" s="280"/>
      <c r="Q208" s="91">
        <f t="shared" si="11"/>
        <v>0</v>
      </c>
      <c r="R208" s="91"/>
      <c r="S208" s="77">
        <f t="shared" si="12"/>
        <v>0</v>
      </c>
    </row>
    <row r="209" spans="1:19" ht="32.25" customHeight="1">
      <c r="A209" s="357">
        <v>13</v>
      </c>
      <c r="B209" s="146" t="s">
        <v>75</v>
      </c>
      <c r="C209" s="173" t="s">
        <v>232</v>
      </c>
      <c r="D209" s="151"/>
      <c r="E209" s="163"/>
      <c r="F209" s="115"/>
      <c r="G209" s="115"/>
      <c r="H209" s="131">
        <v>0</v>
      </c>
      <c r="I209" s="115"/>
      <c r="J209" s="132">
        <v>0</v>
      </c>
      <c r="K209" s="607"/>
      <c r="L209" s="608"/>
      <c r="M209" s="609"/>
      <c r="N209" s="361"/>
      <c r="O209" s="362"/>
      <c r="P209" s="122"/>
      <c r="Q209" s="91">
        <f t="shared" si="11"/>
        <v>0</v>
      </c>
      <c r="R209" s="91"/>
      <c r="S209" s="77">
        <f t="shared" si="12"/>
        <v>0</v>
      </c>
    </row>
    <row r="210" spans="1:19" ht="32.25" customHeight="1">
      <c r="A210" s="106">
        <v>14</v>
      </c>
      <c r="B210" s="142" t="s">
        <v>92</v>
      </c>
      <c r="C210" s="174" t="s">
        <v>233</v>
      </c>
      <c r="D210" s="151"/>
      <c r="E210" s="163"/>
      <c r="F210" s="115"/>
      <c r="G210" s="115"/>
      <c r="H210" s="131">
        <v>0</v>
      </c>
      <c r="I210" s="115"/>
      <c r="J210" s="132">
        <v>0</v>
      </c>
      <c r="K210" s="607"/>
      <c r="L210" s="608"/>
      <c r="M210" s="609"/>
      <c r="N210" s="361"/>
      <c r="O210" s="362"/>
      <c r="P210" s="122"/>
      <c r="Q210" s="91">
        <f t="shared" si="11"/>
        <v>0</v>
      </c>
      <c r="R210" s="91"/>
      <c r="S210" s="77">
        <f t="shared" si="12"/>
        <v>0</v>
      </c>
    </row>
    <row r="211" spans="1:19" ht="32.25" customHeight="1">
      <c r="A211" s="106">
        <v>15</v>
      </c>
      <c r="B211" s="146" t="s">
        <v>75</v>
      </c>
      <c r="C211" s="173" t="s">
        <v>234</v>
      </c>
      <c r="D211" s="151">
        <v>0</v>
      </c>
      <c r="E211" s="163"/>
      <c r="F211" s="115"/>
      <c r="G211" s="115"/>
      <c r="H211" s="131">
        <v>0</v>
      </c>
      <c r="I211" s="115"/>
      <c r="J211" s="132">
        <v>0</v>
      </c>
      <c r="K211" s="607"/>
      <c r="L211" s="608"/>
      <c r="M211" s="609"/>
      <c r="N211" s="361"/>
      <c r="O211" s="362"/>
      <c r="P211" s="122"/>
      <c r="Q211" s="91">
        <f t="shared" si="11"/>
        <v>0</v>
      </c>
      <c r="R211" s="91"/>
      <c r="S211" s="77">
        <f t="shared" si="12"/>
        <v>0</v>
      </c>
    </row>
    <row r="212" spans="1:19" s="160" customFormat="1" ht="32.25" customHeight="1">
      <c r="A212" s="106">
        <v>16</v>
      </c>
      <c r="B212" s="142" t="s">
        <v>95</v>
      </c>
      <c r="C212" s="174" t="s">
        <v>235</v>
      </c>
      <c r="D212" s="151">
        <v>0</v>
      </c>
      <c r="E212" s="163"/>
      <c r="F212" s="122"/>
      <c r="G212" s="122"/>
      <c r="H212" s="91">
        <v>0</v>
      </c>
      <c r="I212" s="122"/>
      <c r="J212" s="132">
        <v>0</v>
      </c>
      <c r="K212" s="610"/>
      <c r="L212" s="610"/>
      <c r="M212" s="611"/>
      <c r="N212" s="361"/>
      <c r="O212" s="362"/>
      <c r="P212" s="122"/>
      <c r="Q212" s="153">
        <f t="shared" si="11"/>
        <v>0</v>
      </c>
      <c r="R212" s="153"/>
      <c r="S212" s="159">
        <f t="shared" si="12"/>
        <v>0</v>
      </c>
    </row>
    <row r="213" spans="1:19" s="160" customFormat="1" ht="32.25" customHeight="1">
      <c r="A213" s="106">
        <v>17</v>
      </c>
      <c r="B213" s="365" t="s">
        <v>236</v>
      </c>
      <c r="C213" s="174" t="s">
        <v>237</v>
      </c>
      <c r="D213" s="151">
        <v>0</v>
      </c>
      <c r="E213" s="163"/>
      <c r="F213" s="122"/>
      <c r="G213" s="122"/>
      <c r="H213" s="91">
        <v>0</v>
      </c>
      <c r="I213" s="122"/>
      <c r="J213" s="132">
        <v>0</v>
      </c>
      <c r="K213" s="607"/>
      <c r="L213" s="608"/>
      <c r="M213" s="609"/>
      <c r="N213" s="361"/>
      <c r="O213" s="362"/>
      <c r="P213" s="122"/>
      <c r="Q213" s="153">
        <f t="shared" si="11"/>
        <v>0</v>
      </c>
      <c r="R213" s="153"/>
      <c r="S213" s="159">
        <f t="shared" si="12"/>
        <v>0</v>
      </c>
    </row>
    <row r="214" spans="1:19" s="160" customFormat="1" ht="32.25" customHeight="1">
      <c r="A214" s="106">
        <v>18</v>
      </c>
      <c r="B214" s="142" t="s">
        <v>99</v>
      </c>
      <c r="C214" s="174" t="s">
        <v>238</v>
      </c>
      <c r="D214" s="151">
        <v>6750</v>
      </c>
      <c r="E214" s="163"/>
      <c r="F214" s="122"/>
      <c r="G214" s="122"/>
      <c r="H214" s="91">
        <v>0</v>
      </c>
      <c r="I214" s="122"/>
      <c r="J214" s="132">
        <v>0</v>
      </c>
      <c r="K214" s="164" t="s">
        <v>879</v>
      </c>
      <c r="L214" s="165" t="s">
        <v>935</v>
      </c>
      <c r="M214" s="166">
        <v>6750</v>
      </c>
      <c r="N214" s="361"/>
      <c r="O214" s="362"/>
      <c r="P214" s="122"/>
      <c r="Q214" s="153">
        <f t="shared" si="11"/>
        <v>0</v>
      </c>
      <c r="R214" s="153"/>
      <c r="S214" s="159">
        <f t="shared" si="12"/>
        <v>0</v>
      </c>
    </row>
    <row r="215" spans="1:19" s="160" customFormat="1" ht="32.25" customHeight="1">
      <c r="A215" s="106">
        <v>19</v>
      </c>
      <c r="B215" s="142" t="s">
        <v>141</v>
      </c>
      <c r="C215" s="193" t="s">
        <v>240</v>
      </c>
      <c r="D215" s="125">
        <v>114.5</v>
      </c>
      <c r="E215" s="152" t="s">
        <v>57</v>
      </c>
      <c r="F215" s="212"/>
      <c r="G215" s="213"/>
      <c r="H215" s="153">
        <v>-687</v>
      </c>
      <c r="I215" s="125"/>
      <c r="J215" s="132">
        <v>-687</v>
      </c>
      <c r="K215" s="610"/>
      <c r="L215" s="612"/>
      <c r="M215" s="613"/>
      <c r="N215" s="374" t="s">
        <v>57</v>
      </c>
      <c r="O215" s="362"/>
      <c r="P215" s="221"/>
      <c r="Q215" s="153">
        <f t="shared" si="11"/>
        <v>-572.5</v>
      </c>
      <c r="R215" s="153"/>
      <c r="S215" s="159">
        <f t="shared" si="12"/>
        <v>-572.5</v>
      </c>
    </row>
    <row r="216" spans="1:19" s="160" customFormat="1" ht="32.25" customHeight="1">
      <c r="A216" s="106"/>
      <c r="B216" s="222" t="s">
        <v>241</v>
      </c>
      <c r="C216" s="193"/>
      <c r="D216" s="92"/>
      <c r="E216" s="239"/>
      <c r="F216" s="122"/>
      <c r="G216" s="217"/>
      <c r="H216" s="91">
        <v>0</v>
      </c>
      <c r="I216" s="92"/>
      <c r="J216" s="132">
        <v>0</v>
      </c>
      <c r="K216" s="610"/>
      <c r="L216" s="612"/>
      <c r="M216" s="613"/>
      <c r="N216" s="361"/>
      <c r="O216" s="362"/>
      <c r="P216" s="221"/>
      <c r="Q216" s="153">
        <f t="shared" si="11"/>
        <v>0</v>
      </c>
      <c r="R216" s="153"/>
      <c r="S216" s="159">
        <f t="shared" si="12"/>
        <v>0</v>
      </c>
    </row>
    <row r="217" spans="1:19" s="160" customFormat="1" ht="32.25" customHeight="1">
      <c r="A217" s="106"/>
      <c r="B217" s="222" t="s">
        <v>242</v>
      </c>
      <c r="C217" s="193"/>
      <c r="D217" s="92"/>
      <c r="E217" s="239"/>
      <c r="F217" s="122"/>
      <c r="G217" s="217"/>
      <c r="H217" s="91">
        <v>0</v>
      </c>
      <c r="I217" s="92"/>
      <c r="J217" s="132">
        <v>0</v>
      </c>
      <c r="K217" s="610"/>
      <c r="L217" s="612"/>
      <c r="M217" s="613"/>
      <c r="N217" s="361"/>
      <c r="O217" s="362"/>
      <c r="P217" s="221"/>
      <c r="Q217" s="153">
        <f t="shared" si="11"/>
        <v>0</v>
      </c>
      <c r="R217" s="153"/>
      <c r="S217" s="159">
        <f t="shared" si="12"/>
        <v>0</v>
      </c>
    </row>
    <row r="218" spans="1:19" ht="32.25" customHeight="1">
      <c r="A218" s="106">
        <v>20</v>
      </c>
      <c r="B218" s="222" t="s">
        <v>52</v>
      </c>
      <c r="C218" s="193" t="s">
        <v>243</v>
      </c>
      <c r="D218" s="92">
        <v>15.67</v>
      </c>
      <c r="E218" s="369" t="s">
        <v>57</v>
      </c>
      <c r="F218" s="346"/>
      <c r="G218" s="213"/>
      <c r="H218" s="153">
        <v>-94.02</v>
      </c>
      <c r="I218" s="370"/>
      <c r="J218" s="226">
        <v>-94.02</v>
      </c>
      <c r="K218" s="607"/>
      <c r="L218" s="608"/>
      <c r="M218" s="614"/>
      <c r="N218" s="368" t="s">
        <v>57</v>
      </c>
      <c r="O218" s="362"/>
      <c r="P218" s="221"/>
      <c r="Q218" s="153">
        <f t="shared" si="11"/>
        <v>-78.349999999999994</v>
      </c>
      <c r="R218" s="153"/>
      <c r="S218" s="159">
        <f t="shared" si="12"/>
        <v>-78.349999999999994</v>
      </c>
    </row>
    <row r="219" spans="1:19" ht="32.25" customHeight="1">
      <c r="A219" s="116"/>
      <c r="B219" s="222" t="s">
        <v>791</v>
      </c>
      <c r="C219" s="193"/>
      <c r="D219" s="92">
        <v>0</v>
      </c>
      <c r="E219" s="239"/>
      <c r="F219" s="122"/>
      <c r="G219" s="217"/>
      <c r="H219" s="91">
        <v>0</v>
      </c>
      <c r="I219" s="92"/>
      <c r="J219" s="132">
        <v>0</v>
      </c>
      <c r="K219" s="607"/>
      <c r="L219" s="608"/>
      <c r="M219" s="614"/>
      <c r="N219" s="361"/>
      <c r="O219" s="362"/>
      <c r="P219" s="221"/>
      <c r="Q219" s="153">
        <f t="shared" si="11"/>
        <v>0</v>
      </c>
      <c r="R219" s="153"/>
      <c r="S219" s="159">
        <f t="shared" si="12"/>
        <v>0</v>
      </c>
    </row>
    <row r="220" spans="1:19" ht="32.25" customHeight="1">
      <c r="A220" s="116"/>
      <c r="B220" s="222" t="s">
        <v>793</v>
      </c>
      <c r="C220" s="193"/>
      <c r="D220" s="92">
        <v>0</v>
      </c>
      <c r="E220" s="239"/>
      <c r="F220" s="122"/>
      <c r="G220" s="91"/>
      <c r="H220" s="91">
        <v>0</v>
      </c>
      <c r="I220" s="92"/>
      <c r="J220" s="132">
        <v>0</v>
      </c>
      <c r="K220" s="615"/>
      <c r="L220" s="608"/>
      <c r="M220" s="614"/>
      <c r="N220" s="361"/>
      <c r="O220" s="362"/>
      <c r="P220" s="92"/>
      <c r="Q220" s="153">
        <f t="shared" si="11"/>
        <v>0</v>
      </c>
      <c r="R220" s="153"/>
      <c r="S220" s="159">
        <f t="shared" si="12"/>
        <v>0</v>
      </c>
    </row>
    <row r="221" spans="1:19" ht="32.25" customHeight="1">
      <c r="A221" s="116"/>
      <c r="B221" s="222" t="s">
        <v>795</v>
      </c>
      <c r="C221" s="193"/>
      <c r="D221" s="92"/>
      <c r="E221" s="239"/>
      <c r="F221" s="122"/>
      <c r="G221" s="91"/>
      <c r="H221" s="91"/>
      <c r="I221" s="92"/>
      <c r="J221" s="132"/>
      <c r="K221" s="615"/>
      <c r="L221" s="616"/>
      <c r="M221" s="614"/>
      <c r="N221" s="361"/>
      <c r="O221" s="362"/>
      <c r="P221" s="92"/>
      <c r="Q221" s="153"/>
      <c r="R221" s="153"/>
      <c r="S221" s="159"/>
    </row>
    <row r="222" spans="1:19" ht="32.25" customHeight="1">
      <c r="A222" s="116"/>
      <c r="B222" s="222" t="s">
        <v>245</v>
      </c>
      <c r="C222" s="193"/>
      <c r="D222" s="92"/>
      <c r="E222" s="239"/>
      <c r="F222" s="122"/>
      <c r="G222" s="91"/>
      <c r="H222" s="91"/>
      <c r="I222" s="92"/>
      <c r="J222" s="132"/>
      <c r="K222" s="615"/>
      <c r="L222" s="616"/>
      <c r="M222" s="614"/>
      <c r="N222" s="361"/>
      <c r="O222" s="362"/>
      <c r="P222" s="92"/>
      <c r="Q222" s="153"/>
      <c r="R222" s="153"/>
      <c r="S222" s="159"/>
    </row>
    <row r="223" spans="1:19" ht="32.25" customHeight="1">
      <c r="A223" s="106">
        <v>21</v>
      </c>
      <c r="B223" s="222" t="s">
        <v>152</v>
      </c>
      <c r="C223" s="193" t="s">
        <v>246</v>
      </c>
      <c r="D223" s="125">
        <v>70.42</v>
      </c>
      <c r="E223" s="163" t="s">
        <v>57</v>
      </c>
      <c r="F223" s="115"/>
      <c r="G223" s="91"/>
      <c r="H223" s="91">
        <v>-70.42</v>
      </c>
      <c r="I223" s="125"/>
      <c r="J223" s="132">
        <v>-70.42</v>
      </c>
      <c r="K223" s="615"/>
      <c r="L223" s="616"/>
      <c r="M223" s="614"/>
      <c r="N223" s="374"/>
      <c r="O223" s="362"/>
      <c r="P223" s="92"/>
      <c r="Q223" s="153">
        <f t="shared" si="11"/>
        <v>0</v>
      </c>
      <c r="R223" s="91"/>
      <c r="S223" s="159">
        <f t="shared" si="12"/>
        <v>0</v>
      </c>
    </row>
    <row r="224" spans="1:19" ht="32.25" customHeight="1">
      <c r="A224" s="106"/>
      <c r="B224" s="664" t="s">
        <v>247</v>
      </c>
      <c r="C224" s="665"/>
      <c r="D224" s="92"/>
      <c r="E224" s="239"/>
      <c r="F224" s="122"/>
      <c r="G224" s="91"/>
      <c r="H224" s="91">
        <v>0</v>
      </c>
      <c r="I224" s="92"/>
      <c r="J224" s="132">
        <v>0</v>
      </c>
      <c r="K224" s="608"/>
      <c r="L224" s="607"/>
      <c r="M224" s="614"/>
      <c r="N224" s="361"/>
      <c r="O224" s="362"/>
      <c r="P224" s="92"/>
      <c r="Q224" s="153">
        <f t="shared" si="11"/>
        <v>0</v>
      </c>
      <c r="R224" s="91"/>
      <c r="S224" s="159">
        <f t="shared" si="12"/>
        <v>0</v>
      </c>
    </row>
    <row r="225" spans="1:19" ht="32.25" customHeight="1">
      <c r="A225" s="106"/>
      <c r="B225" s="652" t="s">
        <v>248</v>
      </c>
      <c r="C225" s="654"/>
      <c r="D225" s="92"/>
      <c r="E225" s="239"/>
      <c r="F225" s="122"/>
      <c r="G225" s="91"/>
      <c r="H225" s="91">
        <v>0</v>
      </c>
      <c r="I225" s="92"/>
      <c r="J225" s="132">
        <v>0</v>
      </c>
      <c r="K225" s="608"/>
      <c r="L225" s="607"/>
      <c r="M225" s="614"/>
      <c r="N225" s="361"/>
      <c r="O225" s="362"/>
      <c r="P225" s="92"/>
      <c r="Q225" s="153">
        <f t="shared" si="11"/>
        <v>0</v>
      </c>
      <c r="R225" s="91"/>
      <c r="S225" s="159">
        <f t="shared" si="12"/>
        <v>0</v>
      </c>
    </row>
    <row r="226" spans="1:19" ht="32.25" customHeight="1">
      <c r="A226" s="106"/>
      <c r="B226" s="375" t="s">
        <v>249</v>
      </c>
      <c r="C226" s="376"/>
      <c r="D226" s="377"/>
      <c r="E226" s="378"/>
      <c r="F226" s="194"/>
      <c r="G226" s="195"/>
      <c r="H226" s="195">
        <v>0</v>
      </c>
      <c r="I226" s="377"/>
      <c r="J226" s="379">
        <v>0</v>
      </c>
      <c r="K226" s="608"/>
      <c r="L226" s="607"/>
      <c r="M226" s="614"/>
      <c r="N226" s="361"/>
      <c r="O226" s="362"/>
      <c r="P226" s="92"/>
      <c r="Q226" s="153">
        <f t="shared" si="11"/>
        <v>0</v>
      </c>
      <c r="R226" s="91"/>
      <c r="S226" s="159">
        <f t="shared" si="12"/>
        <v>0</v>
      </c>
    </row>
    <row r="227" spans="1:19" ht="32.25" customHeight="1">
      <c r="A227" s="106">
        <v>22</v>
      </c>
      <c r="B227" s="222" t="s">
        <v>130</v>
      </c>
      <c r="C227" s="193" t="s">
        <v>250</v>
      </c>
      <c r="D227" s="92">
        <v>0</v>
      </c>
      <c r="E227" s="239" t="s">
        <v>57</v>
      </c>
      <c r="F227" s="122"/>
      <c r="G227" s="91"/>
      <c r="H227" s="91">
        <v>0</v>
      </c>
      <c r="I227" s="92"/>
      <c r="J227" s="132">
        <v>0</v>
      </c>
      <c r="K227" s="607"/>
      <c r="L227" s="608"/>
      <c r="M227" s="614"/>
      <c r="N227" s="2"/>
      <c r="O227" s="362"/>
      <c r="P227" s="92"/>
      <c r="Q227" s="153">
        <f t="shared" si="11"/>
        <v>0</v>
      </c>
      <c r="R227" s="91"/>
      <c r="S227" s="159">
        <f t="shared" si="12"/>
        <v>0</v>
      </c>
    </row>
    <row r="228" spans="1:19" ht="32.25" customHeight="1">
      <c r="A228" s="116"/>
      <c r="B228" s="222" t="s">
        <v>251</v>
      </c>
      <c r="C228" s="193"/>
      <c r="D228" s="92"/>
      <c r="E228" s="239"/>
      <c r="F228" s="122"/>
      <c r="G228" s="91"/>
      <c r="H228" s="91">
        <v>0</v>
      </c>
      <c r="I228" s="92"/>
      <c r="J228" s="132">
        <v>0</v>
      </c>
      <c r="K228" s="615"/>
      <c r="L228" s="608"/>
      <c r="M228" s="614"/>
      <c r="N228" s="361"/>
      <c r="O228" s="362"/>
      <c r="P228" s="92"/>
      <c r="Q228" s="153">
        <f t="shared" si="11"/>
        <v>0</v>
      </c>
      <c r="R228" s="383"/>
      <c r="S228" s="159">
        <f t="shared" si="12"/>
        <v>0</v>
      </c>
    </row>
    <row r="229" spans="1:19" ht="32.25" customHeight="1">
      <c r="A229" s="116"/>
      <c r="B229" s="222" t="s">
        <v>253</v>
      </c>
      <c r="C229" s="193"/>
      <c r="D229" s="92"/>
      <c r="E229" s="239"/>
      <c r="F229" s="122"/>
      <c r="G229" s="91"/>
      <c r="H229" s="91">
        <v>0</v>
      </c>
      <c r="I229" s="92"/>
      <c r="J229" s="132">
        <v>0</v>
      </c>
      <c r="K229" s="615"/>
      <c r="L229" s="608"/>
      <c r="M229" s="614"/>
      <c r="N229" s="361"/>
      <c r="O229" s="362"/>
      <c r="P229" s="92"/>
      <c r="Q229" s="153">
        <f t="shared" si="11"/>
        <v>0</v>
      </c>
      <c r="R229" s="383"/>
      <c r="S229" s="159">
        <f t="shared" si="12"/>
        <v>0</v>
      </c>
    </row>
    <row r="230" spans="1:19" ht="32.25" customHeight="1">
      <c r="A230" s="116"/>
      <c r="B230" s="222" t="s">
        <v>255</v>
      </c>
      <c r="C230" s="193"/>
      <c r="D230" s="92">
        <v>25.83</v>
      </c>
      <c r="E230" s="239"/>
      <c r="F230" s="122"/>
      <c r="G230" s="91"/>
      <c r="H230" s="91">
        <v>-103.36000000000011</v>
      </c>
      <c r="I230" s="92"/>
      <c r="J230" s="132">
        <v>-103.36000000000011</v>
      </c>
      <c r="K230" s="615"/>
      <c r="L230" s="608"/>
      <c r="M230" s="614"/>
      <c r="N230" s="374" t="s">
        <v>57</v>
      </c>
      <c r="O230" s="362"/>
      <c r="P230" s="92"/>
      <c r="Q230" s="153">
        <f t="shared" si="11"/>
        <v>-77.530000000000115</v>
      </c>
      <c r="R230" s="383"/>
      <c r="S230" s="159">
        <f t="shared" si="12"/>
        <v>-77.530000000000115</v>
      </c>
    </row>
    <row r="231" spans="1:19" ht="32.25" customHeight="1">
      <c r="A231" s="116"/>
      <c r="B231" s="222" t="s">
        <v>257</v>
      </c>
      <c r="C231" s="193"/>
      <c r="D231" s="92"/>
      <c r="E231" s="239"/>
      <c r="F231" s="122"/>
      <c r="G231" s="91"/>
      <c r="H231" s="91">
        <v>0</v>
      </c>
      <c r="I231" s="92"/>
      <c r="J231" s="132">
        <v>0</v>
      </c>
      <c r="K231" s="615"/>
      <c r="L231" s="608"/>
      <c r="M231" s="614"/>
      <c r="N231" s="361"/>
      <c r="O231" s="362"/>
      <c r="P231" s="92"/>
      <c r="Q231" s="153">
        <f t="shared" si="11"/>
        <v>0</v>
      </c>
      <c r="R231" s="383"/>
      <c r="S231" s="159">
        <f t="shared" si="12"/>
        <v>0</v>
      </c>
    </row>
    <row r="232" spans="1:19" ht="32.25" customHeight="1">
      <c r="A232" s="116">
        <v>23</v>
      </c>
      <c r="B232" s="142" t="s">
        <v>145</v>
      </c>
      <c r="C232" s="193" t="s">
        <v>258</v>
      </c>
      <c r="D232" s="92">
        <v>33.75</v>
      </c>
      <c r="E232" s="239" t="s">
        <v>57</v>
      </c>
      <c r="F232" s="122"/>
      <c r="G232" s="91"/>
      <c r="H232" s="91">
        <v>-303.75</v>
      </c>
      <c r="I232" s="92"/>
      <c r="J232" s="132">
        <v>-303.75</v>
      </c>
      <c r="K232" s="615"/>
      <c r="L232" s="608"/>
      <c r="M232" s="614"/>
      <c r="N232" s="361" t="s">
        <v>57</v>
      </c>
      <c r="O232" s="362"/>
      <c r="P232" s="92"/>
      <c r="Q232" s="153">
        <f t="shared" si="11"/>
        <v>-270</v>
      </c>
      <c r="R232" s="153"/>
      <c r="S232" s="159">
        <f t="shared" si="12"/>
        <v>-270</v>
      </c>
    </row>
    <row r="233" spans="1:19" ht="32.25" customHeight="1">
      <c r="A233" s="116"/>
      <c r="B233" s="384" t="s">
        <v>797</v>
      </c>
      <c r="C233" s="385"/>
      <c r="D233" s="386">
        <v>0</v>
      </c>
      <c r="E233" s="387"/>
      <c r="F233" s="388"/>
      <c r="G233" s="389"/>
      <c r="H233" s="389">
        <v>0</v>
      </c>
      <c r="I233" s="92"/>
      <c r="J233" s="132">
        <v>0</v>
      </c>
      <c r="K233" s="615"/>
      <c r="L233" s="608"/>
      <c r="M233" s="614"/>
      <c r="N233" s="361"/>
      <c r="O233" s="362"/>
      <c r="P233" s="92"/>
      <c r="Q233" s="153">
        <f t="shared" si="11"/>
        <v>0</v>
      </c>
      <c r="R233" s="153"/>
      <c r="S233" s="159">
        <f t="shared" si="12"/>
        <v>0</v>
      </c>
    </row>
    <row r="234" spans="1:19" ht="32.25" customHeight="1">
      <c r="A234" s="116"/>
      <c r="B234" s="384" t="s">
        <v>799</v>
      </c>
      <c r="C234" s="385"/>
      <c r="D234" s="386">
        <v>0</v>
      </c>
      <c r="E234" s="387"/>
      <c r="F234" s="388"/>
      <c r="G234" s="389"/>
      <c r="H234" s="389">
        <v>0</v>
      </c>
      <c r="I234" s="92"/>
      <c r="J234" s="132">
        <v>0</v>
      </c>
      <c r="K234" s="615"/>
      <c r="L234" s="608"/>
      <c r="M234" s="614"/>
      <c r="N234" s="361"/>
      <c r="O234" s="362"/>
      <c r="P234" s="92"/>
      <c r="Q234" s="153">
        <f t="shared" si="11"/>
        <v>0</v>
      </c>
      <c r="R234" s="153"/>
      <c r="S234" s="159">
        <f t="shared" si="12"/>
        <v>0</v>
      </c>
    </row>
    <row r="235" spans="1:19" ht="32.25" customHeight="1">
      <c r="A235" s="116"/>
      <c r="B235" s="384" t="s">
        <v>801</v>
      </c>
      <c r="C235" s="385"/>
      <c r="D235" s="386"/>
      <c r="E235" s="387"/>
      <c r="F235" s="388"/>
      <c r="G235" s="389"/>
      <c r="H235" s="389"/>
      <c r="I235" s="92"/>
      <c r="J235" s="132"/>
      <c r="K235" s="615"/>
      <c r="L235" s="608"/>
      <c r="M235" s="614"/>
      <c r="N235" s="361"/>
      <c r="O235" s="362"/>
      <c r="P235" s="92"/>
      <c r="Q235" s="153"/>
      <c r="R235" s="153"/>
      <c r="S235" s="159"/>
    </row>
    <row r="236" spans="1:19" ht="32.25" customHeight="1">
      <c r="A236" s="116"/>
      <c r="B236" s="384" t="s">
        <v>259</v>
      </c>
      <c r="C236" s="385"/>
      <c r="D236" s="386"/>
      <c r="E236" s="387"/>
      <c r="F236" s="388"/>
      <c r="G236" s="389"/>
      <c r="H236" s="389"/>
      <c r="I236" s="92"/>
      <c r="J236" s="132"/>
      <c r="K236" s="615"/>
      <c r="L236" s="608"/>
      <c r="M236" s="614"/>
      <c r="N236" s="361"/>
      <c r="O236" s="362"/>
      <c r="P236" s="92"/>
      <c r="Q236" s="153"/>
      <c r="R236" s="153"/>
      <c r="S236" s="159"/>
    </row>
    <row r="237" spans="1:19" ht="32.25" customHeight="1">
      <c r="A237" s="116"/>
      <c r="B237" s="384" t="s">
        <v>260</v>
      </c>
      <c r="C237" s="385"/>
      <c r="D237" s="386"/>
      <c r="E237" s="387"/>
      <c r="F237" s="388"/>
      <c r="G237" s="389"/>
      <c r="H237" s="389"/>
      <c r="I237" s="92"/>
      <c r="J237" s="132"/>
      <c r="K237" s="615"/>
      <c r="L237" s="608"/>
      <c r="M237" s="614"/>
      <c r="N237" s="361"/>
      <c r="O237" s="362"/>
      <c r="P237" s="92"/>
      <c r="Q237" s="153"/>
      <c r="R237" s="153"/>
      <c r="S237" s="159"/>
    </row>
    <row r="238" spans="1:19" ht="32.25" customHeight="1">
      <c r="A238" s="116">
        <v>24</v>
      </c>
      <c r="B238" s="142" t="s">
        <v>158</v>
      </c>
      <c r="C238" s="390" t="s">
        <v>261</v>
      </c>
      <c r="D238" s="92">
        <v>24.17</v>
      </c>
      <c r="E238" s="239" t="s">
        <v>57</v>
      </c>
      <c r="F238" s="122"/>
      <c r="G238" s="91"/>
      <c r="H238" s="91">
        <v>-48.299999999999955</v>
      </c>
      <c r="I238" s="92"/>
      <c r="J238" s="132">
        <v>-48.299999999999955</v>
      </c>
      <c r="K238" s="615"/>
      <c r="L238" s="608"/>
      <c r="M238" s="614"/>
      <c r="N238" s="361" t="s">
        <v>57</v>
      </c>
      <c r="O238" s="362"/>
      <c r="P238" s="92"/>
      <c r="Q238" s="153">
        <f t="shared" si="11"/>
        <v>-24.129999999999953</v>
      </c>
      <c r="R238" s="354"/>
      <c r="S238" s="159">
        <f t="shared" si="12"/>
        <v>-24.129999999999953</v>
      </c>
    </row>
    <row r="239" spans="1:19" ht="32.25" customHeight="1">
      <c r="A239" s="116"/>
      <c r="B239" s="275" t="s">
        <v>262</v>
      </c>
      <c r="C239" s="390"/>
      <c r="D239" s="92"/>
      <c r="E239" s="239"/>
      <c r="F239" s="122"/>
      <c r="G239" s="91"/>
      <c r="H239" s="91">
        <v>0</v>
      </c>
      <c r="I239" s="92"/>
      <c r="J239" s="132">
        <v>0</v>
      </c>
      <c r="K239" s="615"/>
      <c r="L239" s="608"/>
      <c r="M239" s="614"/>
      <c r="N239" s="361"/>
      <c r="O239" s="362"/>
      <c r="P239" s="92"/>
      <c r="Q239" s="153">
        <f t="shared" si="11"/>
        <v>0</v>
      </c>
      <c r="R239" s="354"/>
      <c r="S239" s="159">
        <f t="shared" si="12"/>
        <v>0</v>
      </c>
    </row>
    <row r="240" spans="1:19" ht="32.25" customHeight="1">
      <c r="A240" s="116"/>
      <c r="B240" s="275" t="s">
        <v>263</v>
      </c>
      <c r="C240" s="390"/>
      <c r="D240" s="92"/>
      <c r="E240" s="239"/>
      <c r="F240" s="122"/>
      <c r="G240" s="91"/>
      <c r="H240" s="91">
        <v>0</v>
      </c>
      <c r="I240" s="92"/>
      <c r="J240" s="132">
        <v>0</v>
      </c>
      <c r="K240" s="615"/>
      <c r="L240" s="608"/>
      <c r="M240" s="614"/>
      <c r="N240" s="361"/>
      <c r="O240" s="362"/>
      <c r="P240" s="92"/>
      <c r="Q240" s="153">
        <f t="shared" si="11"/>
        <v>0</v>
      </c>
      <c r="R240" s="354"/>
      <c r="S240" s="159">
        <f t="shared" si="12"/>
        <v>0</v>
      </c>
    </row>
    <row r="241" spans="1:19" ht="32.25" customHeight="1">
      <c r="A241" s="116"/>
      <c r="B241" s="275" t="s">
        <v>264</v>
      </c>
      <c r="C241" s="390"/>
      <c r="D241" s="92">
        <v>0</v>
      </c>
      <c r="E241" s="239"/>
      <c r="F241" s="122"/>
      <c r="G241" s="91"/>
      <c r="H241" s="91">
        <v>0</v>
      </c>
      <c r="I241" s="92"/>
      <c r="J241" s="132">
        <v>0</v>
      </c>
      <c r="K241" s="615"/>
      <c r="L241" s="608"/>
      <c r="M241" s="614"/>
      <c r="N241" s="361"/>
      <c r="O241" s="362"/>
      <c r="P241" s="92"/>
      <c r="Q241" s="153">
        <f t="shared" si="11"/>
        <v>0</v>
      </c>
      <c r="R241" s="354"/>
      <c r="S241" s="159">
        <f t="shared" si="12"/>
        <v>0</v>
      </c>
    </row>
    <row r="242" spans="1:19" ht="32.25" customHeight="1">
      <c r="A242" s="116"/>
      <c r="B242" s="275" t="s">
        <v>265</v>
      </c>
      <c r="C242" s="390"/>
      <c r="D242" s="92">
        <v>0</v>
      </c>
      <c r="E242" s="2"/>
      <c r="F242" s="2"/>
      <c r="G242" s="2"/>
      <c r="H242" s="2">
        <v>0</v>
      </c>
      <c r="J242" s="2">
        <v>0</v>
      </c>
      <c r="K242" s="615"/>
      <c r="L242" s="608"/>
      <c r="M242" s="614"/>
      <c r="N242" s="361"/>
      <c r="O242" s="362"/>
      <c r="P242" s="92"/>
      <c r="Q242" s="153">
        <f t="shared" si="11"/>
        <v>0</v>
      </c>
      <c r="R242" s="354"/>
      <c r="S242" s="159">
        <f t="shared" si="12"/>
        <v>0</v>
      </c>
    </row>
    <row r="243" spans="1:19" ht="32.25" customHeight="1">
      <c r="A243" s="116"/>
      <c r="B243" s="142" t="s">
        <v>266</v>
      </c>
      <c r="C243" s="390"/>
      <c r="D243" s="92"/>
      <c r="E243" s="239"/>
      <c r="F243" s="122"/>
      <c r="G243" s="91"/>
      <c r="H243" s="91">
        <v>0</v>
      </c>
      <c r="I243" s="92"/>
      <c r="J243" s="132">
        <v>0</v>
      </c>
      <c r="K243" s="615"/>
      <c r="L243" s="608"/>
      <c r="M243" s="614"/>
      <c r="N243" s="361"/>
      <c r="O243" s="362"/>
      <c r="P243" s="92"/>
      <c r="Q243" s="153">
        <f t="shared" si="11"/>
        <v>0</v>
      </c>
      <c r="R243" s="153"/>
      <c r="S243" s="159">
        <f t="shared" si="12"/>
        <v>0</v>
      </c>
    </row>
    <row r="244" spans="1:19" ht="32.25" customHeight="1">
      <c r="A244" s="116"/>
      <c r="B244" s="142" t="s">
        <v>267</v>
      </c>
      <c r="C244" s="390"/>
      <c r="D244" s="92"/>
      <c r="E244" s="239"/>
      <c r="F244" s="122"/>
      <c r="G244" s="91"/>
      <c r="H244" s="91">
        <v>0</v>
      </c>
      <c r="I244" s="92"/>
      <c r="J244" s="132">
        <v>0</v>
      </c>
      <c r="K244" s="615"/>
      <c r="L244" s="608"/>
      <c r="M244" s="614"/>
      <c r="N244" s="361"/>
      <c r="O244" s="362"/>
      <c r="P244" s="92"/>
      <c r="Q244" s="153">
        <f t="shared" si="11"/>
        <v>0</v>
      </c>
      <c r="R244" s="153"/>
      <c r="S244" s="159">
        <f t="shared" si="12"/>
        <v>0</v>
      </c>
    </row>
    <row r="245" spans="1:19" ht="32.25" customHeight="1">
      <c r="A245" s="106">
        <v>25</v>
      </c>
      <c r="B245" s="142" t="s">
        <v>23</v>
      </c>
      <c r="C245" s="174" t="s">
        <v>268</v>
      </c>
      <c r="D245" s="151"/>
      <c r="E245" s="163"/>
      <c r="F245" s="122"/>
      <c r="G245" s="122"/>
      <c r="H245" s="91">
        <v>0</v>
      </c>
      <c r="I245" s="122"/>
      <c r="J245" s="132">
        <v>0</v>
      </c>
      <c r="K245" s="615"/>
      <c r="L245" s="608"/>
      <c r="M245" s="609"/>
      <c r="N245" s="361"/>
      <c r="O245" s="391"/>
      <c r="P245" s="122"/>
      <c r="Q245" s="153">
        <f t="shared" si="11"/>
        <v>0</v>
      </c>
      <c r="R245" s="153"/>
      <c r="S245" s="159">
        <f t="shared" si="12"/>
        <v>0</v>
      </c>
    </row>
    <row r="246" spans="1:19" ht="32.25" customHeight="1" thickBot="1">
      <c r="A246" s="39"/>
      <c r="B246" s="50" t="s">
        <v>19</v>
      </c>
      <c r="C246" s="50"/>
      <c r="D246" s="51">
        <f>SUM(D197:D245)</f>
        <v>9624.34</v>
      </c>
      <c r="E246" s="52"/>
      <c r="F246" s="53"/>
      <c r="G246" s="52"/>
      <c r="H246" s="51"/>
      <c r="I246" s="51"/>
      <c r="J246" s="51"/>
      <c r="K246" s="547"/>
      <c r="L246" s="548"/>
      <c r="M246" s="549">
        <f>SUM(M197:M245)</f>
        <v>9340</v>
      </c>
      <c r="N246" s="57"/>
      <c r="O246" s="53"/>
      <c r="P246" s="51"/>
      <c r="Q246" s="51">
        <v>0</v>
      </c>
      <c r="R246" s="51">
        <f t="shared" ref="R246" si="13">SUM(R232)</f>
        <v>0</v>
      </c>
      <c r="S246" s="51">
        <v>0</v>
      </c>
    </row>
    <row r="247" spans="1:19" ht="32.25" customHeight="1" thickTop="1">
      <c r="A247" s="39"/>
      <c r="B247" s="58" t="s">
        <v>269</v>
      </c>
      <c r="C247" s="59"/>
      <c r="D247" s="60"/>
      <c r="E247" s="61"/>
      <c r="F247" s="62"/>
      <c r="G247" s="63"/>
      <c r="H247" s="64"/>
      <c r="I247" s="64"/>
      <c r="J247" s="64"/>
      <c r="K247" s="550"/>
      <c r="L247" s="551"/>
      <c r="M247" s="552"/>
      <c r="N247" s="68"/>
      <c r="O247" s="62"/>
      <c r="P247" s="69"/>
      <c r="Q247" s="63"/>
      <c r="R247" s="63"/>
      <c r="S247" s="70"/>
    </row>
    <row r="248" spans="1:19" ht="32.25" customHeight="1">
      <c r="A248" s="39">
        <v>1</v>
      </c>
      <c r="B248" s="142" t="s">
        <v>99</v>
      </c>
      <c r="C248" s="392" t="s">
        <v>270</v>
      </c>
      <c r="D248" s="125">
        <v>0</v>
      </c>
      <c r="E248" s="131"/>
      <c r="F248" s="115"/>
      <c r="G248" s="131"/>
      <c r="H248" s="125">
        <v>0</v>
      </c>
      <c r="I248" s="125"/>
      <c r="J248" s="125">
        <v>0</v>
      </c>
      <c r="K248" s="541"/>
      <c r="L248" s="542"/>
      <c r="M248" s="543"/>
      <c r="N248" s="114"/>
      <c r="O248" s="115"/>
      <c r="P248" s="144"/>
      <c r="Q248" s="131">
        <v>0</v>
      </c>
      <c r="R248" s="33"/>
      <c r="S248" s="77">
        <v>0</v>
      </c>
    </row>
    <row r="249" spans="1:19" ht="32.25" customHeight="1">
      <c r="A249" s="106">
        <v>2</v>
      </c>
      <c r="B249" s="142" t="s">
        <v>99</v>
      </c>
      <c r="C249" s="392" t="s">
        <v>271</v>
      </c>
      <c r="D249" s="125">
        <v>0</v>
      </c>
      <c r="E249" s="131"/>
      <c r="F249" s="115"/>
      <c r="G249" s="131"/>
      <c r="H249" s="125">
        <v>0</v>
      </c>
      <c r="I249" s="125"/>
      <c r="J249" s="125">
        <v>0</v>
      </c>
      <c r="K249" s="541"/>
      <c r="L249" s="542"/>
      <c r="M249" s="543"/>
      <c r="N249" s="114"/>
      <c r="O249" s="115"/>
      <c r="P249" s="144"/>
      <c r="Q249" s="131">
        <v>0</v>
      </c>
      <c r="R249" s="33"/>
      <c r="S249" s="77">
        <v>0</v>
      </c>
    </row>
    <row r="250" spans="1:19" ht="32.25" customHeight="1">
      <c r="A250" s="106">
        <v>3</v>
      </c>
      <c r="B250" s="142" t="s">
        <v>99</v>
      </c>
      <c r="C250" s="392" t="s">
        <v>272</v>
      </c>
      <c r="D250" s="125">
        <v>0</v>
      </c>
      <c r="E250" s="131"/>
      <c r="F250" s="115"/>
      <c r="G250" s="131"/>
      <c r="H250" s="125">
        <v>0</v>
      </c>
      <c r="I250" s="125"/>
      <c r="J250" s="125">
        <v>0</v>
      </c>
      <c r="K250" s="541"/>
      <c r="L250" s="542"/>
      <c r="M250" s="543"/>
      <c r="N250" s="114"/>
      <c r="O250" s="115"/>
      <c r="P250" s="144"/>
      <c r="Q250" s="131">
        <v>0</v>
      </c>
      <c r="R250" s="33"/>
      <c r="S250" s="77">
        <v>0</v>
      </c>
    </row>
    <row r="251" spans="1:19" ht="32.25" customHeight="1">
      <c r="A251" s="106">
        <v>4</v>
      </c>
      <c r="B251" s="142" t="s">
        <v>273</v>
      </c>
      <c r="C251" s="392" t="s">
        <v>274</v>
      </c>
      <c r="D251" s="125">
        <v>0</v>
      </c>
      <c r="E251" s="131"/>
      <c r="F251" s="115"/>
      <c r="G251" s="131"/>
      <c r="H251" s="125">
        <v>0</v>
      </c>
      <c r="I251" s="125"/>
      <c r="J251" s="125">
        <v>0</v>
      </c>
      <c r="K251" s="541"/>
      <c r="L251" s="542"/>
      <c r="M251" s="543"/>
      <c r="N251" s="114"/>
      <c r="O251" s="115"/>
      <c r="P251" s="144"/>
      <c r="Q251" s="131">
        <v>0</v>
      </c>
      <c r="R251" s="33"/>
      <c r="S251" s="77">
        <v>0</v>
      </c>
    </row>
    <row r="252" spans="1:19" ht="32.25" customHeight="1">
      <c r="A252" s="106">
        <v>5</v>
      </c>
      <c r="B252" s="142" t="s">
        <v>273</v>
      </c>
      <c r="C252" s="392" t="s">
        <v>275</v>
      </c>
      <c r="D252" s="125">
        <v>0</v>
      </c>
      <c r="E252" s="131"/>
      <c r="F252" s="115"/>
      <c r="G252" s="131"/>
      <c r="H252" s="125">
        <v>0</v>
      </c>
      <c r="I252" s="125"/>
      <c r="J252" s="125">
        <v>0</v>
      </c>
      <c r="K252" s="541"/>
      <c r="L252" s="542"/>
      <c r="M252" s="543"/>
      <c r="N252" s="114"/>
      <c r="O252" s="115"/>
      <c r="P252" s="144"/>
      <c r="Q252" s="131">
        <v>0</v>
      </c>
      <c r="R252" s="33"/>
      <c r="S252" s="77">
        <v>0</v>
      </c>
    </row>
    <row r="253" spans="1:19" ht="32.25" customHeight="1">
      <c r="A253" s="106">
        <v>6</v>
      </c>
      <c r="B253" s="142" t="s">
        <v>276</v>
      </c>
      <c r="C253" s="392" t="s">
        <v>277</v>
      </c>
      <c r="D253" s="125">
        <v>0</v>
      </c>
      <c r="E253" s="131"/>
      <c r="F253" s="115"/>
      <c r="G253" s="131"/>
      <c r="H253" s="125">
        <v>0</v>
      </c>
      <c r="I253" s="125"/>
      <c r="J253" s="125">
        <v>0</v>
      </c>
      <c r="K253" s="541"/>
      <c r="L253" s="542"/>
      <c r="M253" s="543"/>
      <c r="N253" s="114"/>
      <c r="O253" s="115"/>
      <c r="P253" s="144"/>
      <c r="Q253" s="131">
        <v>0</v>
      </c>
      <c r="R253" s="33"/>
      <c r="S253" s="77">
        <v>0</v>
      </c>
    </row>
    <row r="254" spans="1:19" ht="32.25" customHeight="1">
      <c r="A254" s="106">
        <v>7</v>
      </c>
      <c r="B254" s="142" t="s">
        <v>27</v>
      </c>
      <c r="C254" s="392" t="s">
        <v>278</v>
      </c>
      <c r="D254" s="125">
        <v>0</v>
      </c>
      <c r="E254" s="131"/>
      <c r="F254" s="115"/>
      <c r="G254" s="131"/>
      <c r="H254" s="125">
        <v>0</v>
      </c>
      <c r="I254" s="125"/>
      <c r="J254" s="125">
        <v>0</v>
      </c>
      <c r="K254" s="541"/>
      <c r="L254" s="542"/>
      <c r="M254" s="543"/>
      <c r="N254" s="114"/>
      <c r="O254" s="115"/>
      <c r="P254" s="144"/>
      <c r="Q254" s="131">
        <v>0</v>
      </c>
      <c r="R254" s="33"/>
      <c r="S254" s="77">
        <v>0</v>
      </c>
    </row>
    <row r="255" spans="1:19" ht="32.25" customHeight="1">
      <c r="A255" s="106">
        <v>8</v>
      </c>
      <c r="B255" s="142" t="s">
        <v>42</v>
      </c>
      <c r="C255" s="392" t="s">
        <v>279</v>
      </c>
      <c r="D255" s="125">
        <v>0</v>
      </c>
      <c r="E255" s="131"/>
      <c r="F255" s="115"/>
      <c r="G255" s="131"/>
      <c r="H255" s="125">
        <v>0</v>
      </c>
      <c r="I255" s="125"/>
      <c r="J255" s="125">
        <v>0</v>
      </c>
      <c r="K255" s="164"/>
      <c r="L255" s="599"/>
      <c r="M255" s="600"/>
      <c r="N255" s="114"/>
      <c r="O255" s="115"/>
      <c r="P255" s="144"/>
      <c r="Q255" s="131">
        <v>0</v>
      </c>
      <c r="R255" s="33"/>
      <c r="S255" s="77">
        <v>0</v>
      </c>
    </row>
    <row r="256" spans="1:19" ht="32.25" customHeight="1">
      <c r="A256" s="106">
        <v>9</v>
      </c>
      <c r="B256" s="142" t="s">
        <v>69</v>
      </c>
      <c r="C256" s="392" t="s">
        <v>280</v>
      </c>
      <c r="D256" s="125">
        <v>0</v>
      </c>
      <c r="E256" s="131"/>
      <c r="F256" s="115"/>
      <c r="G256" s="131"/>
      <c r="H256" s="125">
        <v>0</v>
      </c>
      <c r="I256" s="125"/>
      <c r="J256" s="125">
        <v>0</v>
      </c>
      <c r="K256" s="164"/>
      <c r="L256" s="599"/>
      <c r="M256" s="600"/>
      <c r="N256" s="114"/>
      <c r="O256" s="115"/>
      <c r="P256" s="144"/>
      <c r="Q256" s="131">
        <v>0</v>
      </c>
      <c r="R256" s="33"/>
      <c r="S256" s="77">
        <v>0</v>
      </c>
    </row>
    <row r="257" spans="1:19" ht="32.25" customHeight="1">
      <c r="A257" s="106">
        <v>10</v>
      </c>
      <c r="B257" s="142" t="s">
        <v>75</v>
      </c>
      <c r="C257" s="392" t="s">
        <v>281</v>
      </c>
      <c r="D257" s="125">
        <v>0</v>
      </c>
      <c r="E257" s="131"/>
      <c r="F257" s="115"/>
      <c r="G257" s="131"/>
      <c r="H257" s="125">
        <v>0</v>
      </c>
      <c r="I257" s="125"/>
      <c r="J257" s="125">
        <v>0</v>
      </c>
      <c r="K257" s="541"/>
      <c r="L257" s="542"/>
      <c r="M257" s="543"/>
      <c r="N257" s="114"/>
      <c r="O257" s="115"/>
      <c r="P257" s="144"/>
      <c r="Q257" s="131">
        <v>0</v>
      </c>
      <c r="R257" s="33"/>
      <c r="S257" s="77">
        <v>0</v>
      </c>
    </row>
    <row r="258" spans="1:19" ht="32.25" customHeight="1">
      <c r="A258" s="106">
        <v>11</v>
      </c>
      <c r="B258" s="142" t="s">
        <v>77</v>
      </c>
      <c r="C258" s="392" t="s">
        <v>282</v>
      </c>
      <c r="D258" s="125">
        <v>0</v>
      </c>
      <c r="E258" s="131"/>
      <c r="F258" s="115"/>
      <c r="G258" s="131"/>
      <c r="H258" s="125">
        <v>0</v>
      </c>
      <c r="I258" s="125"/>
      <c r="J258" s="125">
        <v>0</v>
      </c>
      <c r="K258" s="541"/>
      <c r="L258" s="542"/>
      <c r="M258" s="543"/>
      <c r="N258" s="114"/>
      <c r="O258" s="115"/>
      <c r="P258" s="144"/>
      <c r="Q258" s="131">
        <v>0</v>
      </c>
      <c r="R258" s="33"/>
      <c r="S258" s="77">
        <v>0</v>
      </c>
    </row>
    <row r="259" spans="1:19" ht="32.25" customHeight="1">
      <c r="A259" s="106">
        <v>12</v>
      </c>
      <c r="B259" s="142" t="s">
        <v>77</v>
      </c>
      <c r="C259" s="392" t="s">
        <v>283</v>
      </c>
      <c r="D259" s="125">
        <v>0</v>
      </c>
      <c r="E259" s="131"/>
      <c r="F259" s="115"/>
      <c r="G259" s="131"/>
      <c r="H259" s="125">
        <v>0</v>
      </c>
      <c r="I259" s="125"/>
      <c r="J259" s="125">
        <v>0</v>
      </c>
      <c r="K259" s="541"/>
      <c r="L259" s="542"/>
      <c r="M259" s="543"/>
      <c r="N259" s="114"/>
      <c r="O259" s="115"/>
      <c r="P259" s="144"/>
      <c r="Q259" s="131">
        <v>0</v>
      </c>
      <c r="R259" s="33"/>
      <c r="S259" s="77">
        <v>0</v>
      </c>
    </row>
    <row r="260" spans="1:19" ht="32.25" customHeight="1">
      <c r="A260" s="106">
        <v>13</v>
      </c>
      <c r="B260" s="142" t="s">
        <v>75</v>
      </c>
      <c r="C260" s="392" t="s">
        <v>284</v>
      </c>
      <c r="D260" s="125">
        <v>0</v>
      </c>
      <c r="E260" s="131"/>
      <c r="F260" s="115"/>
      <c r="G260" s="131"/>
      <c r="H260" s="125">
        <v>0</v>
      </c>
      <c r="I260" s="125"/>
      <c r="J260" s="125">
        <v>0</v>
      </c>
      <c r="K260" s="541"/>
      <c r="L260" s="542"/>
      <c r="M260" s="543"/>
      <c r="N260" s="114"/>
      <c r="O260" s="115"/>
      <c r="P260" s="144"/>
      <c r="Q260" s="131">
        <v>0</v>
      </c>
      <c r="R260" s="33"/>
      <c r="S260" s="77">
        <v>0</v>
      </c>
    </row>
    <row r="261" spans="1:19" ht="32.25" customHeight="1">
      <c r="A261" s="106">
        <v>14</v>
      </c>
      <c r="B261" s="142" t="s">
        <v>83</v>
      </c>
      <c r="C261" s="392" t="s">
        <v>285</v>
      </c>
      <c r="D261" s="125">
        <v>0</v>
      </c>
      <c r="E261" s="131"/>
      <c r="F261" s="115"/>
      <c r="G261" s="131"/>
      <c r="H261" s="125">
        <v>0</v>
      </c>
      <c r="I261" s="125"/>
      <c r="J261" s="125">
        <v>0</v>
      </c>
      <c r="K261" s="541"/>
      <c r="L261" s="542"/>
      <c r="M261" s="543"/>
      <c r="N261" s="114"/>
      <c r="O261" s="115"/>
      <c r="P261" s="144"/>
      <c r="Q261" s="131">
        <v>0</v>
      </c>
      <c r="R261" s="33"/>
      <c r="S261" s="77">
        <v>0</v>
      </c>
    </row>
    <row r="262" spans="1:19" ht="32.25" customHeight="1">
      <c r="A262" s="106">
        <v>15</v>
      </c>
      <c r="B262" s="142" t="s">
        <v>87</v>
      </c>
      <c r="C262" s="392" t="s">
        <v>286</v>
      </c>
      <c r="D262" s="125">
        <v>0</v>
      </c>
      <c r="E262" s="131"/>
      <c r="F262" s="115"/>
      <c r="G262" s="131"/>
      <c r="H262" s="125">
        <v>0</v>
      </c>
      <c r="I262" s="125"/>
      <c r="J262" s="125">
        <v>0</v>
      </c>
      <c r="K262" s="164"/>
      <c r="L262" s="599"/>
      <c r="M262" s="600"/>
      <c r="N262" s="114"/>
      <c r="O262" s="115"/>
      <c r="P262" s="144"/>
      <c r="Q262" s="131">
        <v>0</v>
      </c>
      <c r="R262" s="33"/>
      <c r="S262" s="77">
        <v>0</v>
      </c>
    </row>
    <row r="263" spans="1:19" ht="32.25" customHeight="1">
      <c r="A263" s="106">
        <v>16</v>
      </c>
      <c r="B263" s="142" t="s">
        <v>75</v>
      </c>
      <c r="C263" s="392" t="s">
        <v>287</v>
      </c>
      <c r="D263" s="125">
        <v>0</v>
      </c>
      <c r="E263" s="131"/>
      <c r="F263" s="115"/>
      <c r="G263" s="131"/>
      <c r="H263" s="125">
        <v>0</v>
      </c>
      <c r="I263" s="125"/>
      <c r="J263" s="125">
        <v>0</v>
      </c>
      <c r="K263" s="541"/>
      <c r="L263" s="542"/>
      <c r="M263" s="543"/>
      <c r="N263" s="114"/>
      <c r="O263" s="115"/>
      <c r="P263" s="144"/>
      <c r="Q263" s="131">
        <v>0</v>
      </c>
      <c r="R263" s="33"/>
      <c r="S263" s="77">
        <v>0</v>
      </c>
    </row>
    <row r="264" spans="1:19" ht="32.25" customHeight="1">
      <c r="A264" s="106">
        <v>17</v>
      </c>
      <c r="B264" s="142" t="s">
        <v>92</v>
      </c>
      <c r="C264" s="392" t="s">
        <v>288</v>
      </c>
      <c r="D264" s="125">
        <v>0</v>
      </c>
      <c r="E264" s="131"/>
      <c r="F264" s="115"/>
      <c r="G264" s="131"/>
      <c r="H264" s="125">
        <v>0</v>
      </c>
      <c r="I264" s="125"/>
      <c r="J264" s="125">
        <v>0</v>
      </c>
      <c r="K264" s="541"/>
      <c r="L264" s="542"/>
      <c r="M264" s="543"/>
      <c r="N264" s="114"/>
      <c r="O264" s="115"/>
      <c r="P264" s="144"/>
      <c r="Q264" s="131">
        <v>0</v>
      </c>
      <c r="R264" s="33"/>
      <c r="S264" s="77">
        <v>0</v>
      </c>
    </row>
    <row r="265" spans="1:19" ht="32.25" customHeight="1">
      <c r="A265" s="106">
        <v>18</v>
      </c>
      <c r="B265" s="142" t="s">
        <v>75</v>
      </c>
      <c r="C265" s="392" t="s">
        <v>289</v>
      </c>
      <c r="D265" s="125">
        <v>0</v>
      </c>
      <c r="E265" s="131"/>
      <c r="F265" s="115"/>
      <c r="G265" s="131"/>
      <c r="H265" s="125">
        <v>0</v>
      </c>
      <c r="I265" s="125"/>
      <c r="J265" s="125">
        <v>0</v>
      </c>
      <c r="K265" s="541"/>
      <c r="L265" s="542"/>
      <c r="M265" s="543"/>
      <c r="N265" s="114"/>
      <c r="O265" s="115"/>
      <c r="P265" s="144"/>
      <c r="Q265" s="131">
        <v>0</v>
      </c>
      <c r="R265" s="33"/>
      <c r="S265" s="77">
        <v>0</v>
      </c>
    </row>
    <row r="266" spans="1:19" ht="32.25" customHeight="1">
      <c r="A266" s="106">
        <v>19</v>
      </c>
      <c r="B266" s="142" t="s">
        <v>95</v>
      </c>
      <c r="C266" s="392" t="s">
        <v>290</v>
      </c>
      <c r="D266" s="125">
        <v>0</v>
      </c>
      <c r="E266" s="131"/>
      <c r="F266" s="115"/>
      <c r="G266" s="131"/>
      <c r="H266" s="125">
        <v>0</v>
      </c>
      <c r="I266" s="125"/>
      <c r="J266" s="125">
        <v>0</v>
      </c>
      <c r="K266" s="164"/>
      <c r="L266" s="599"/>
      <c r="M266" s="600"/>
      <c r="N266" s="114"/>
      <c r="O266" s="115"/>
      <c r="P266" s="144"/>
      <c r="Q266" s="131">
        <v>0</v>
      </c>
      <c r="R266" s="33"/>
      <c r="S266" s="77">
        <v>0</v>
      </c>
    </row>
    <row r="267" spans="1:19" ht="32.25" customHeight="1">
      <c r="A267" s="106">
        <v>20</v>
      </c>
      <c r="B267" s="142" t="s">
        <v>236</v>
      </c>
      <c r="C267" s="392" t="s">
        <v>291</v>
      </c>
      <c r="D267" s="125">
        <v>0</v>
      </c>
      <c r="E267" s="131"/>
      <c r="F267" s="115"/>
      <c r="G267" s="131"/>
      <c r="H267" s="125">
        <v>0</v>
      </c>
      <c r="I267" s="125"/>
      <c r="J267" s="125">
        <v>0</v>
      </c>
      <c r="K267" s="164"/>
      <c r="L267" s="599"/>
      <c r="M267" s="600"/>
      <c r="N267" s="114"/>
      <c r="O267" s="115"/>
      <c r="P267" s="144"/>
      <c r="Q267" s="131">
        <v>0</v>
      </c>
      <c r="R267" s="33"/>
      <c r="S267" s="77">
        <v>0</v>
      </c>
    </row>
    <row r="268" spans="1:19" ht="32.25" customHeight="1" thickBot="1">
      <c r="A268" s="39"/>
      <c r="B268" s="50" t="s">
        <v>19</v>
      </c>
      <c r="C268" s="50"/>
      <c r="D268" s="51">
        <v>0</v>
      </c>
      <c r="E268" s="52"/>
      <c r="F268" s="53"/>
      <c r="G268" s="52"/>
      <c r="H268" s="51">
        <v>0</v>
      </c>
      <c r="I268" s="51">
        <v>0</v>
      </c>
      <c r="J268" s="51">
        <v>0</v>
      </c>
      <c r="K268" s="547"/>
      <c r="L268" s="548"/>
      <c r="M268" s="549">
        <v>0</v>
      </c>
      <c r="N268" s="57"/>
      <c r="O268" s="53"/>
      <c r="P268" s="51"/>
      <c r="Q268" s="51">
        <v>0</v>
      </c>
      <c r="R268" s="51">
        <v>0</v>
      </c>
      <c r="S268" s="51">
        <v>0</v>
      </c>
    </row>
    <row r="269" spans="1:19" ht="32.25" customHeight="1" thickTop="1">
      <c r="A269" s="39"/>
      <c r="B269" s="141" t="s">
        <v>292</v>
      </c>
      <c r="C269" s="142"/>
      <c r="D269" s="125"/>
      <c r="E269" s="131"/>
      <c r="F269" s="115"/>
      <c r="G269" s="33"/>
      <c r="H269" s="143"/>
      <c r="I269" s="143"/>
      <c r="J269" s="143"/>
      <c r="K269" s="541"/>
      <c r="L269" s="542"/>
      <c r="M269" s="543"/>
      <c r="N269" s="114"/>
      <c r="O269" s="115"/>
      <c r="P269" s="144"/>
      <c r="Q269" s="33"/>
      <c r="R269" s="33"/>
      <c r="S269" s="145"/>
    </row>
    <row r="270" spans="1:19" ht="32.25" customHeight="1">
      <c r="A270" s="39">
        <v>1</v>
      </c>
      <c r="B270" s="41" t="s">
        <v>152</v>
      </c>
      <c r="C270" s="41" t="s">
        <v>293</v>
      </c>
      <c r="D270" s="42"/>
      <c r="E270" s="6"/>
      <c r="F270" s="43"/>
      <c r="G270" s="6"/>
      <c r="H270" s="42"/>
      <c r="I270" s="42"/>
      <c r="J270" s="42"/>
      <c r="K270" s="544"/>
      <c r="L270" s="545"/>
      <c r="M270" s="546"/>
      <c r="N270" s="5"/>
      <c r="O270" s="43"/>
      <c r="P270" s="47"/>
      <c r="Q270" s="48"/>
      <c r="R270" s="48"/>
      <c r="S270" s="49"/>
    </row>
    <row r="271" spans="1:19" ht="32.25" customHeight="1">
      <c r="A271" s="39">
        <v>2</v>
      </c>
      <c r="B271" s="41" t="s">
        <v>294</v>
      </c>
      <c r="C271" s="41" t="s">
        <v>295</v>
      </c>
      <c r="D271" s="42" t="s">
        <v>296</v>
      </c>
      <c r="E271" s="6"/>
      <c r="F271" s="43"/>
      <c r="G271" s="6"/>
      <c r="H271" s="42"/>
      <c r="I271" s="42"/>
      <c r="J271" s="42"/>
      <c r="K271" s="393"/>
      <c r="L271" s="394"/>
      <c r="M271" s="395"/>
      <c r="N271" s="5"/>
      <c r="O271" s="43"/>
      <c r="P271" s="47"/>
      <c r="Q271" s="48"/>
      <c r="R271" s="48"/>
      <c r="S271" s="49"/>
    </row>
    <row r="272" spans="1:19" ht="32.25" customHeight="1">
      <c r="A272" s="39"/>
      <c r="B272" s="40" t="s">
        <v>297</v>
      </c>
      <c r="C272" s="41"/>
      <c r="D272" s="42"/>
      <c r="E272" s="6"/>
      <c r="F272" s="43"/>
      <c r="G272" s="6"/>
      <c r="H272" s="42"/>
      <c r="I272" s="42"/>
      <c r="J272" s="42"/>
      <c r="K272" s="595"/>
      <c r="L272" s="596"/>
      <c r="M272" s="597"/>
      <c r="N272" s="5"/>
      <c r="O272" s="43"/>
      <c r="P272" s="47"/>
      <c r="Q272" s="48"/>
      <c r="R272" s="48"/>
      <c r="S272" s="49"/>
    </row>
    <row r="273" spans="1:19" ht="32.25" customHeight="1">
      <c r="A273" s="39"/>
      <c r="B273" s="40" t="s">
        <v>298</v>
      </c>
      <c r="C273" s="41"/>
      <c r="D273" s="42"/>
      <c r="E273" s="6"/>
      <c r="F273" s="43"/>
      <c r="G273" s="6"/>
      <c r="H273" s="42"/>
      <c r="I273" s="42"/>
      <c r="J273" s="42"/>
      <c r="K273" s="595"/>
      <c r="L273" s="596"/>
      <c r="M273" s="597"/>
      <c r="N273" s="5"/>
      <c r="O273" s="43"/>
      <c r="P273" s="47"/>
      <c r="Q273" s="48"/>
      <c r="R273" s="48"/>
      <c r="S273" s="49"/>
    </row>
    <row r="274" spans="1:19" ht="32.25" customHeight="1">
      <c r="A274" s="39">
        <v>3</v>
      </c>
      <c r="B274" s="40" t="s">
        <v>130</v>
      </c>
      <c r="C274" s="41" t="s">
        <v>299</v>
      </c>
      <c r="D274" s="42"/>
      <c r="E274" s="6"/>
      <c r="F274" s="43"/>
      <c r="G274" s="6"/>
      <c r="H274" s="42"/>
      <c r="I274" s="42"/>
      <c r="J274" s="42"/>
      <c r="K274" s="595"/>
      <c r="L274" s="596"/>
      <c r="M274" s="597"/>
      <c r="N274" s="5"/>
      <c r="O274" s="43"/>
      <c r="P274" s="47"/>
      <c r="Q274" s="48"/>
      <c r="R274" s="48"/>
      <c r="S274" s="49"/>
    </row>
    <row r="275" spans="1:19" ht="32.25" customHeight="1">
      <c r="A275" s="39">
        <v>4</v>
      </c>
      <c r="B275" s="40" t="s">
        <v>276</v>
      </c>
      <c r="C275" s="41" t="s">
        <v>302</v>
      </c>
      <c r="D275" s="42"/>
      <c r="E275" s="6"/>
      <c r="F275" s="43"/>
      <c r="G275" s="6"/>
      <c r="H275" s="42"/>
      <c r="I275" s="42"/>
      <c r="J275" s="42"/>
      <c r="K275" s="595"/>
      <c r="L275" s="596"/>
      <c r="M275" s="597"/>
      <c r="N275" s="5"/>
      <c r="O275" s="43"/>
      <c r="P275" s="47"/>
      <c r="Q275" s="48"/>
      <c r="R275" s="48"/>
      <c r="S275" s="49"/>
    </row>
    <row r="276" spans="1:19" ht="32.25" customHeight="1">
      <c r="A276" s="39">
        <v>5</v>
      </c>
      <c r="B276" s="40" t="s">
        <v>192</v>
      </c>
      <c r="C276" s="41" t="s">
        <v>306</v>
      </c>
      <c r="D276" s="42"/>
      <c r="E276" s="6"/>
      <c r="F276" s="43"/>
      <c r="G276" s="6"/>
      <c r="H276" s="42"/>
      <c r="I276" s="42"/>
      <c r="J276" s="42"/>
      <c r="K276" s="595"/>
      <c r="L276" s="596"/>
      <c r="M276" s="597"/>
      <c r="N276" s="5"/>
      <c r="O276" s="43"/>
      <c r="P276" s="47"/>
      <c r="Q276" s="48"/>
      <c r="R276" s="48"/>
      <c r="S276" s="49"/>
    </row>
    <row r="277" spans="1:19" ht="32.25" customHeight="1">
      <c r="A277" s="39">
        <v>6</v>
      </c>
      <c r="B277" s="40" t="s">
        <v>387</v>
      </c>
      <c r="C277" s="41" t="s">
        <v>388</v>
      </c>
      <c r="D277" s="42">
        <v>0</v>
      </c>
      <c r="E277" s="6"/>
      <c r="F277" s="43"/>
      <c r="G277" s="6"/>
      <c r="H277" s="42"/>
      <c r="I277" s="42"/>
      <c r="J277" s="42"/>
      <c r="K277" s="595"/>
      <c r="L277" s="596"/>
      <c r="M277" s="597"/>
      <c r="N277" s="5"/>
      <c r="O277" s="43"/>
      <c r="P277" s="47"/>
      <c r="Q277" s="48"/>
      <c r="R277" s="48"/>
      <c r="S277" s="49"/>
    </row>
    <row r="278" spans="1:19" ht="32.25" customHeight="1">
      <c r="A278" s="39"/>
      <c r="B278" s="40" t="s">
        <v>391</v>
      </c>
      <c r="C278" s="41"/>
      <c r="D278" s="42">
        <v>0</v>
      </c>
      <c r="E278" s="6"/>
      <c r="F278" s="43"/>
      <c r="G278" s="6"/>
      <c r="H278" s="42">
        <v>0</v>
      </c>
      <c r="I278" s="42">
        <v>0</v>
      </c>
      <c r="J278" s="42">
        <v>0</v>
      </c>
      <c r="K278" s="595"/>
      <c r="L278" s="596"/>
      <c r="M278" s="597"/>
      <c r="N278" s="5"/>
      <c r="O278" s="43"/>
      <c r="P278" s="47"/>
      <c r="Q278" s="48"/>
      <c r="R278" s="48"/>
      <c r="S278" s="49"/>
    </row>
    <row r="279" spans="1:19" ht="32.25" customHeight="1" thickBot="1">
      <c r="A279" s="39"/>
      <c r="B279" s="50" t="s">
        <v>19</v>
      </c>
      <c r="C279" s="50"/>
      <c r="D279" s="51">
        <v>0</v>
      </c>
      <c r="E279" s="52"/>
      <c r="F279" s="53"/>
      <c r="G279" s="52"/>
      <c r="H279" s="51">
        <f>SUM(H277:H278)</f>
        <v>0</v>
      </c>
      <c r="I279" s="51">
        <v>0</v>
      </c>
      <c r="J279" s="51">
        <f>SUM(J270:J278)</f>
        <v>0</v>
      </c>
      <c r="K279" s="547"/>
      <c r="L279" s="548"/>
      <c r="M279" s="549">
        <f>SUM(M277:M278)</f>
        <v>0</v>
      </c>
      <c r="N279" s="57"/>
      <c r="O279" s="53"/>
      <c r="P279" s="51"/>
      <c r="Q279" s="51"/>
      <c r="R279" s="51"/>
      <c r="S279" s="51"/>
    </row>
    <row r="280" spans="1:19" ht="32.25" customHeight="1" thickTop="1" thickBot="1">
      <c r="A280" s="396"/>
      <c r="B280" s="397" t="s">
        <v>309</v>
      </c>
      <c r="C280" s="398"/>
      <c r="D280" s="399">
        <f t="shared" ref="D280:S280" si="14">SUM(D9+D16+D21+D52+D55+D58+D61+D97+D131+D146+D160+D192+D195+D246+D268+D279)</f>
        <v>167995.35</v>
      </c>
      <c r="E280" s="399">
        <f t="shared" si="14"/>
        <v>0</v>
      </c>
      <c r="F280" s="399">
        <f t="shared" si="14"/>
        <v>0</v>
      </c>
      <c r="G280" s="399">
        <f t="shared" si="14"/>
        <v>0</v>
      </c>
      <c r="H280" s="399">
        <f>SUM(H9+H16+H21+H52+H55+H58+H61+H97+H131+H146+H160+H192+H195+H246+H268+H279)</f>
        <v>8720.0000000000018</v>
      </c>
      <c r="I280" s="399">
        <f t="shared" si="14"/>
        <v>610.39999999999964</v>
      </c>
      <c r="J280" s="399">
        <f t="shared" si="14"/>
        <v>9330.4000000000015</v>
      </c>
      <c r="K280" s="617">
        <f t="shared" si="14"/>
        <v>0</v>
      </c>
      <c r="L280" s="617">
        <f t="shared" si="14"/>
        <v>0</v>
      </c>
      <c r="M280" s="617">
        <f t="shared" si="14"/>
        <v>168738.69</v>
      </c>
      <c r="N280" s="399">
        <f t="shared" si="14"/>
        <v>0</v>
      </c>
      <c r="O280" s="399">
        <f t="shared" si="14"/>
        <v>0</v>
      </c>
      <c r="P280" s="399">
        <f t="shared" si="14"/>
        <v>0</v>
      </c>
      <c r="Q280" s="399">
        <f t="shared" si="14"/>
        <v>3470.0000000000014</v>
      </c>
      <c r="R280" s="399">
        <f t="shared" si="14"/>
        <v>242.89999999999992</v>
      </c>
      <c r="S280" s="399">
        <f t="shared" si="14"/>
        <v>3712.9000000000015</v>
      </c>
    </row>
    <row r="281" spans="1:19" ht="25.2" thickTop="1">
      <c r="K281" s="618"/>
      <c r="L281" s="618"/>
      <c r="M281" s="422"/>
    </row>
    <row r="282" spans="1:19">
      <c r="K282" s="618"/>
      <c r="L282" s="618"/>
      <c r="M282" s="422"/>
    </row>
    <row r="283" spans="1:19">
      <c r="K283" s="618"/>
      <c r="L283" s="618"/>
      <c r="M283" s="422"/>
    </row>
    <row r="284" spans="1:19">
      <c r="K284" s="618"/>
      <c r="L284" s="618"/>
      <c r="M284" s="422"/>
    </row>
    <row r="285" spans="1:19">
      <c r="K285" s="618"/>
      <c r="L285" s="618"/>
      <c r="M285" s="422"/>
    </row>
    <row r="286" spans="1:19" s="406" customFormat="1" ht="32.25" customHeight="1">
      <c r="A286" s="2"/>
      <c r="B286" s="643"/>
      <c r="C286" s="642"/>
      <c r="D286" s="642"/>
      <c r="E286" s="1"/>
      <c r="F286" s="407"/>
      <c r="G286" s="1"/>
      <c r="H286" s="408"/>
      <c r="I286" s="409"/>
      <c r="J286" s="408"/>
      <c r="K286" s="619"/>
      <c r="L286" s="620"/>
      <c r="M286" s="666"/>
      <c r="N286" s="642"/>
      <c r="O286" s="642"/>
      <c r="P286" s="642"/>
      <c r="Q286" s="412"/>
      <c r="S286" s="2"/>
    </row>
    <row r="287" spans="1:19" s="406" customFormat="1" ht="32.25" customHeight="1">
      <c r="A287" s="2"/>
      <c r="B287" s="413"/>
      <c r="C287" s="667"/>
      <c r="D287" s="642"/>
      <c r="E287" s="1"/>
      <c r="F287" s="407"/>
      <c r="G287" s="1"/>
      <c r="H287" s="667"/>
      <c r="I287" s="642"/>
      <c r="J287" s="642"/>
      <c r="K287" s="642"/>
      <c r="L287" s="620"/>
      <c r="M287" s="668"/>
      <c r="N287" s="642"/>
      <c r="O287" s="642"/>
      <c r="P287" s="642"/>
      <c r="Q287" s="412"/>
      <c r="S287" s="2"/>
    </row>
    <row r="288" spans="1:19" s="406" customFormat="1" ht="32.25" customHeight="1">
      <c r="A288" s="2"/>
      <c r="B288" s="413"/>
      <c r="C288" s="662"/>
      <c r="D288" s="642"/>
      <c r="E288" s="1"/>
      <c r="F288" s="407"/>
      <c r="G288" s="1"/>
      <c r="H288" s="663"/>
      <c r="I288" s="642"/>
      <c r="J288" s="642"/>
      <c r="K288" s="619"/>
      <c r="L288" s="641"/>
      <c r="M288" s="642"/>
      <c r="N288" s="642"/>
      <c r="O288" s="642"/>
      <c r="P288" s="642"/>
      <c r="Q288" s="642"/>
      <c r="S288" s="2"/>
    </row>
  </sheetData>
  <mergeCells count="26">
    <mergeCell ref="B96:D96"/>
    <mergeCell ref="A1:S1"/>
    <mergeCell ref="A2:S2"/>
    <mergeCell ref="A3:S3"/>
    <mergeCell ref="B4:B6"/>
    <mergeCell ref="C4:C6"/>
    <mergeCell ref="E4:J4"/>
    <mergeCell ref="K4:M4"/>
    <mergeCell ref="N4:S4"/>
    <mergeCell ref="H5:J5"/>
    <mergeCell ref="Q5:S5"/>
    <mergeCell ref="B82:D82"/>
    <mergeCell ref="B84:D84"/>
    <mergeCell ref="B86:D86"/>
    <mergeCell ref="B88:D88"/>
    <mergeCell ref="B90:D90"/>
    <mergeCell ref="C288:D288"/>
    <mergeCell ref="H288:J288"/>
    <mergeCell ref="L288:Q288"/>
    <mergeCell ref="B224:C224"/>
    <mergeCell ref="B225:C225"/>
    <mergeCell ref="B286:D286"/>
    <mergeCell ref="M286:P286"/>
    <mergeCell ref="C287:D287"/>
    <mergeCell ref="H287:K287"/>
    <mergeCell ref="M287:P287"/>
  </mergeCells>
  <pageMargins left="0.7" right="0.7" top="0.75" bottom="0.75" header="0.3" footer="0.3"/>
  <pageSetup paperSize="9" scale="4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42D1-2BD1-4DC0-AEDD-E15983C3AE97}">
  <sheetPr>
    <tabColor rgb="FF00B0F0"/>
  </sheetPr>
  <dimension ref="A1:H97"/>
  <sheetViews>
    <sheetView zoomScale="70" zoomScaleNormal="70" workbookViewId="0">
      <pane ySplit="6" topLeftCell="A77" activePane="bottomLeft" state="frozen"/>
      <selection pane="bottomLeft" activeCell="J86" sqref="J86"/>
    </sheetView>
  </sheetViews>
  <sheetFormatPr defaultColWidth="12.5546875" defaultRowHeight="24.6"/>
  <cols>
    <col min="1" max="1" width="5.6640625" style="2" customWidth="1"/>
    <col min="2" max="2" width="42.5546875" style="2" customWidth="1"/>
    <col min="3" max="3" width="31.44140625" style="2" customWidth="1"/>
    <col min="4" max="4" width="17.6640625" style="621" customWidth="1"/>
    <col min="5" max="5" width="25" style="621" customWidth="1"/>
    <col min="6" max="6" width="16.109375" style="569" customWidth="1"/>
    <col min="7" max="7" width="12.5546875" style="2"/>
    <col min="8" max="8" width="18.6640625" style="2" customWidth="1"/>
    <col min="9" max="16384" width="12.5546875" style="2"/>
  </cols>
  <sheetData>
    <row r="1" spans="1:8" ht="22.5" customHeight="1">
      <c r="A1" s="643" t="s">
        <v>0</v>
      </c>
      <c r="B1" s="642"/>
      <c r="C1" s="642"/>
      <c r="D1" s="642"/>
      <c r="E1" s="642"/>
      <c r="F1" s="642"/>
    </row>
    <row r="2" spans="1:8" ht="27" customHeight="1">
      <c r="A2" s="643" t="s">
        <v>1</v>
      </c>
      <c r="B2" s="642"/>
      <c r="C2" s="642"/>
      <c r="D2" s="642"/>
      <c r="E2" s="642"/>
      <c r="F2" s="642"/>
    </row>
    <row r="3" spans="1:8" ht="22.5" customHeight="1">
      <c r="A3" s="644" t="s">
        <v>868</v>
      </c>
      <c r="B3" s="645"/>
      <c r="C3" s="645"/>
      <c r="D3" s="645"/>
      <c r="E3" s="645"/>
      <c r="F3" s="645"/>
    </row>
    <row r="4" spans="1:8" ht="34.5" customHeight="1">
      <c r="A4" s="3" t="s">
        <v>3</v>
      </c>
      <c r="B4" s="646" t="s">
        <v>4</v>
      </c>
      <c r="C4" s="646" t="s">
        <v>5</v>
      </c>
      <c r="D4" s="649" t="s">
        <v>8</v>
      </c>
      <c r="E4" s="650"/>
      <c r="F4" s="651"/>
    </row>
    <row r="5" spans="1:8" ht="24.75" customHeight="1">
      <c r="A5" s="5"/>
      <c r="B5" s="647"/>
      <c r="C5" s="647"/>
      <c r="D5" s="535" t="s">
        <v>14</v>
      </c>
      <c r="E5" s="536" t="s">
        <v>15</v>
      </c>
      <c r="F5" s="537" t="s">
        <v>16</v>
      </c>
    </row>
    <row r="6" spans="1:8" ht="27.75" customHeight="1" thickBot="1">
      <c r="A6" s="14"/>
      <c r="B6" s="648"/>
      <c r="C6" s="648"/>
      <c r="D6" s="538"/>
      <c r="E6" s="539"/>
      <c r="F6" s="540"/>
    </row>
    <row r="7" spans="1:8" ht="32.25" customHeight="1" thickTop="1">
      <c r="A7" s="39"/>
      <c r="B7" s="58" t="s">
        <v>22</v>
      </c>
      <c r="C7" s="59"/>
      <c r="D7" s="550"/>
      <c r="E7" s="551"/>
      <c r="F7" s="552"/>
    </row>
    <row r="8" spans="1:8" s="78" customFormat="1" ht="32.25" customHeight="1">
      <c r="A8" s="39">
        <v>1</v>
      </c>
      <c r="B8" s="71" t="s">
        <v>23</v>
      </c>
      <c r="C8" s="71" t="s">
        <v>24</v>
      </c>
      <c r="D8" s="553" t="s">
        <v>870</v>
      </c>
      <c r="E8" s="554" t="s">
        <v>871</v>
      </c>
      <c r="F8" s="555">
        <v>2182.8000000000002</v>
      </c>
    </row>
    <row r="9" spans="1:8" s="78" customFormat="1" ht="32.25" customHeight="1">
      <c r="A9" s="39">
        <v>2</v>
      </c>
      <c r="B9" s="71" t="s">
        <v>27</v>
      </c>
      <c r="C9" s="71" t="s">
        <v>24</v>
      </c>
      <c r="D9" s="553" t="s">
        <v>870</v>
      </c>
      <c r="E9" s="554" t="s">
        <v>872</v>
      </c>
      <c r="F9" s="555">
        <v>239.68</v>
      </c>
    </row>
    <row r="10" spans="1:8" s="78" customFormat="1" ht="32.25" customHeight="1">
      <c r="A10" s="39">
        <v>3</v>
      </c>
      <c r="B10" s="71" t="s">
        <v>30</v>
      </c>
      <c r="C10" s="71" t="s">
        <v>24</v>
      </c>
      <c r="D10" s="553" t="s">
        <v>873</v>
      </c>
      <c r="E10" s="554" t="s">
        <v>874</v>
      </c>
      <c r="F10" s="555">
        <v>163.71</v>
      </c>
    </row>
    <row r="11" spans="1:8" s="78" customFormat="1" ht="32.25" customHeight="1">
      <c r="A11" s="39">
        <v>4</v>
      </c>
      <c r="B11" s="79" t="s">
        <v>869</v>
      </c>
      <c r="C11" s="80" t="s">
        <v>24</v>
      </c>
      <c r="D11" s="556" t="s">
        <v>875</v>
      </c>
      <c r="E11" s="545" t="s">
        <v>876</v>
      </c>
      <c r="F11" s="546">
        <v>200.3</v>
      </c>
    </row>
    <row r="12" spans="1:8" ht="32.25" customHeight="1" thickBot="1">
      <c r="A12" s="39"/>
      <c r="B12" s="50" t="s">
        <v>19</v>
      </c>
      <c r="C12" s="50"/>
      <c r="D12" s="557"/>
      <c r="E12" s="558"/>
      <c r="F12" s="549">
        <v>2786.4900000000002</v>
      </c>
      <c r="H12" s="406">
        <f>SUM(F8:F11)</f>
        <v>2786.4900000000002</v>
      </c>
    </row>
    <row r="13" spans="1:8" ht="32.25" customHeight="1" thickTop="1">
      <c r="A13" s="39"/>
      <c r="B13" s="58" t="s">
        <v>32</v>
      </c>
      <c r="C13" s="59"/>
      <c r="D13" s="550"/>
      <c r="E13" s="551"/>
      <c r="F13" s="552"/>
    </row>
    <row r="14" spans="1:8" s="78" customFormat="1" ht="32.25" customHeight="1">
      <c r="A14" s="39">
        <v>1</v>
      </c>
      <c r="B14" s="71" t="s">
        <v>23</v>
      </c>
      <c r="C14" s="71" t="s">
        <v>33</v>
      </c>
      <c r="D14" s="553" t="s">
        <v>870</v>
      </c>
      <c r="E14" s="559" t="s">
        <v>877</v>
      </c>
      <c r="F14" s="555">
        <v>780</v>
      </c>
    </row>
    <row r="15" spans="1:8" s="78" customFormat="1" ht="32.25" customHeight="1">
      <c r="A15" s="39">
        <v>2</v>
      </c>
      <c r="B15" s="71" t="s">
        <v>27</v>
      </c>
      <c r="C15" s="71" t="s">
        <v>33</v>
      </c>
      <c r="D15" s="553" t="s">
        <v>870</v>
      </c>
      <c r="E15" s="560" t="s">
        <v>878</v>
      </c>
      <c r="F15" s="555">
        <v>90</v>
      </c>
    </row>
    <row r="16" spans="1:8" ht="32.25" customHeight="1" thickBot="1">
      <c r="A16" s="39"/>
      <c r="B16" s="50" t="s">
        <v>19</v>
      </c>
      <c r="C16" s="50"/>
      <c r="D16" s="561"/>
      <c r="E16" s="562"/>
      <c r="F16" s="563">
        <v>870</v>
      </c>
      <c r="H16" s="406">
        <f>SUM(F14:F15)</f>
        <v>870</v>
      </c>
    </row>
    <row r="17" spans="1:6" ht="32.25" hidden="1" customHeight="1" thickBot="1">
      <c r="A17" s="104" t="s">
        <v>36</v>
      </c>
      <c r="B17" s="104" t="s">
        <v>37</v>
      </c>
      <c r="C17" s="105">
        <v>780</v>
      </c>
      <c r="D17" s="550"/>
      <c r="E17" s="551"/>
      <c r="F17" s="552"/>
    </row>
    <row r="18" spans="1:6" ht="32.25" hidden="1" customHeight="1" thickTop="1">
      <c r="A18" s="104" t="s">
        <v>36</v>
      </c>
      <c r="B18" s="104" t="s">
        <v>38</v>
      </c>
      <c r="C18" s="105">
        <v>180</v>
      </c>
      <c r="D18" s="544"/>
      <c r="E18" s="545"/>
      <c r="F18" s="546"/>
    </row>
    <row r="19" spans="1:6" ht="32.25" hidden="1" customHeight="1" thickTop="1">
      <c r="A19" s="39"/>
      <c r="B19" s="50" t="s">
        <v>19</v>
      </c>
      <c r="C19" s="50"/>
      <c r="D19" s="547"/>
      <c r="E19" s="548"/>
      <c r="F19" s="549"/>
    </row>
    <row r="20" spans="1:6" ht="32.25" hidden="1" customHeight="1" thickTop="1">
      <c r="A20" s="39"/>
      <c r="B20" s="58" t="s">
        <v>39</v>
      </c>
      <c r="C20" s="59"/>
      <c r="D20" s="550"/>
      <c r="E20" s="551"/>
      <c r="F20" s="552"/>
    </row>
    <row r="21" spans="1:6" ht="32.25" hidden="1" customHeight="1" thickTop="1">
      <c r="A21" s="39">
        <v>1</v>
      </c>
      <c r="B21" s="40"/>
      <c r="C21" s="41"/>
      <c r="D21" s="544"/>
      <c r="E21" s="545"/>
      <c r="F21" s="546"/>
    </row>
    <row r="22" spans="1:6" ht="32.25" hidden="1" customHeight="1" thickTop="1">
      <c r="A22" s="39"/>
      <c r="B22" s="50" t="s">
        <v>19</v>
      </c>
      <c r="C22" s="50"/>
      <c r="D22" s="547"/>
      <c r="E22" s="548"/>
      <c r="F22" s="549"/>
    </row>
    <row r="23" spans="1:6" ht="32.25" hidden="1" customHeight="1" thickTop="1">
      <c r="A23" s="39"/>
      <c r="B23" s="58" t="s">
        <v>40</v>
      </c>
      <c r="C23" s="59"/>
      <c r="D23" s="550"/>
      <c r="E23" s="551"/>
      <c r="F23" s="552"/>
    </row>
    <row r="24" spans="1:6" ht="32.25" hidden="1" customHeight="1" thickTop="1">
      <c r="A24" s="39">
        <v>1</v>
      </c>
      <c r="B24" s="40"/>
      <c r="C24" s="41"/>
      <c r="D24" s="544"/>
      <c r="E24" s="545"/>
      <c r="F24" s="546"/>
    </row>
    <row r="25" spans="1:6" ht="32.25" hidden="1" customHeight="1" thickTop="1">
      <c r="A25" s="39"/>
      <c r="B25" s="50" t="s">
        <v>19</v>
      </c>
      <c r="C25" s="50"/>
      <c r="D25" s="547"/>
      <c r="E25" s="548"/>
      <c r="F25" s="549"/>
    </row>
    <row r="26" spans="1:6" ht="32.25" customHeight="1" thickTop="1">
      <c r="A26" s="39"/>
      <c r="B26" s="58" t="s">
        <v>41</v>
      </c>
      <c r="C26" s="59"/>
      <c r="D26" s="550"/>
      <c r="E26" s="551"/>
      <c r="F26" s="552"/>
    </row>
    <row r="27" spans="1:6" ht="32.25" customHeight="1">
      <c r="A27" s="106">
        <v>1</v>
      </c>
      <c r="B27" s="107" t="s">
        <v>404</v>
      </c>
      <c r="C27" s="107" t="s">
        <v>400</v>
      </c>
      <c r="D27" s="553" t="s">
        <v>879</v>
      </c>
      <c r="E27" s="554" t="s">
        <v>880</v>
      </c>
      <c r="F27" s="555">
        <v>321</v>
      </c>
    </row>
    <row r="28" spans="1:6" ht="32.25" customHeight="1">
      <c r="A28" s="106">
        <v>2</v>
      </c>
      <c r="B28" s="117" t="s">
        <v>484</v>
      </c>
      <c r="C28" s="107" t="s">
        <v>400</v>
      </c>
      <c r="D28" s="553" t="s">
        <v>879</v>
      </c>
      <c r="E28" s="554" t="s">
        <v>881</v>
      </c>
      <c r="F28" s="555">
        <v>321</v>
      </c>
    </row>
    <row r="29" spans="1:6" ht="32.25" customHeight="1">
      <c r="A29" s="106">
        <v>3</v>
      </c>
      <c r="B29" s="117" t="s">
        <v>485</v>
      </c>
      <c r="C29" s="107" t="s">
        <v>400</v>
      </c>
      <c r="D29" s="553" t="s">
        <v>882</v>
      </c>
      <c r="E29" s="554" t="s">
        <v>883</v>
      </c>
      <c r="F29" s="555">
        <v>321</v>
      </c>
    </row>
    <row r="30" spans="1:6" ht="32.25" customHeight="1">
      <c r="A30" s="106">
        <v>4</v>
      </c>
      <c r="B30" s="117" t="s">
        <v>486</v>
      </c>
      <c r="C30" s="107" t="s">
        <v>400</v>
      </c>
      <c r="D30" s="553" t="s">
        <v>882</v>
      </c>
      <c r="E30" s="554" t="s">
        <v>884</v>
      </c>
      <c r="F30" s="555">
        <v>321</v>
      </c>
    </row>
    <row r="31" spans="1:6" ht="32.25" customHeight="1">
      <c r="A31" s="106">
        <v>5</v>
      </c>
      <c r="B31" s="117" t="s">
        <v>827</v>
      </c>
      <c r="C31" s="107" t="s">
        <v>400</v>
      </c>
      <c r="D31" s="553" t="s">
        <v>885</v>
      </c>
      <c r="E31" s="554" t="s">
        <v>886</v>
      </c>
      <c r="F31" s="555">
        <v>642</v>
      </c>
    </row>
    <row r="32" spans="1:6" ht="32.25" customHeight="1">
      <c r="A32" s="106">
        <v>6</v>
      </c>
      <c r="B32" s="117" t="s">
        <v>869</v>
      </c>
      <c r="C32" s="107" t="s">
        <v>400</v>
      </c>
      <c r="D32" s="553" t="s">
        <v>887</v>
      </c>
      <c r="E32" s="554" t="s">
        <v>888</v>
      </c>
      <c r="F32" s="555">
        <v>321</v>
      </c>
    </row>
    <row r="33" spans="1:8" ht="32.25" customHeight="1">
      <c r="A33" s="106">
        <v>7</v>
      </c>
      <c r="B33" s="117" t="s">
        <v>722</v>
      </c>
      <c r="C33" s="107" t="s">
        <v>400</v>
      </c>
      <c r="D33" s="553" t="s">
        <v>889</v>
      </c>
      <c r="E33" s="554" t="s">
        <v>890</v>
      </c>
      <c r="F33" s="555">
        <v>642</v>
      </c>
    </row>
    <row r="34" spans="1:8" ht="32.25" customHeight="1">
      <c r="A34" s="106">
        <v>8</v>
      </c>
      <c r="B34" s="117" t="s">
        <v>641</v>
      </c>
      <c r="C34" s="107" t="s">
        <v>400</v>
      </c>
      <c r="D34" s="553" t="s">
        <v>889</v>
      </c>
      <c r="E34" s="554" t="s">
        <v>891</v>
      </c>
      <c r="F34" s="555">
        <v>642</v>
      </c>
    </row>
    <row r="35" spans="1:8" ht="32.25" customHeight="1">
      <c r="A35" s="106">
        <v>9</v>
      </c>
      <c r="B35" s="117" t="s">
        <v>730</v>
      </c>
      <c r="C35" s="107" t="s">
        <v>400</v>
      </c>
      <c r="D35" s="553" t="s">
        <v>889</v>
      </c>
      <c r="E35" s="554" t="s">
        <v>892</v>
      </c>
      <c r="F35" s="555">
        <v>642</v>
      </c>
    </row>
    <row r="36" spans="1:8" ht="32.25" customHeight="1">
      <c r="A36" s="116">
        <v>10</v>
      </c>
      <c r="B36" s="117" t="s">
        <v>526</v>
      </c>
      <c r="C36" s="107" t="s">
        <v>400</v>
      </c>
      <c r="D36" s="564" t="s">
        <v>889</v>
      </c>
      <c r="E36" s="565" t="s">
        <v>893</v>
      </c>
      <c r="F36" s="566">
        <v>642</v>
      </c>
    </row>
    <row r="37" spans="1:8" ht="32.25" customHeight="1">
      <c r="A37" s="116">
        <v>11</v>
      </c>
      <c r="B37" s="117" t="s">
        <v>649</v>
      </c>
      <c r="C37" s="107" t="s">
        <v>400</v>
      </c>
      <c r="D37" s="564" t="s">
        <v>889</v>
      </c>
      <c r="E37" s="565" t="s">
        <v>894</v>
      </c>
      <c r="F37" s="566">
        <v>642</v>
      </c>
    </row>
    <row r="38" spans="1:8" ht="32.25" customHeight="1">
      <c r="A38" s="116">
        <v>12</v>
      </c>
      <c r="B38" s="117" t="s">
        <v>639</v>
      </c>
      <c r="C38" s="107" t="s">
        <v>400</v>
      </c>
      <c r="D38" s="564" t="s">
        <v>895</v>
      </c>
      <c r="E38" s="565" t="s">
        <v>896</v>
      </c>
      <c r="F38" s="566">
        <v>642</v>
      </c>
    </row>
    <row r="39" spans="1:8" ht="32.25" customHeight="1" thickBot="1">
      <c r="A39" s="39"/>
      <c r="B39" s="50" t="s">
        <v>19</v>
      </c>
      <c r="C39" s="50"/>
      <c r="D39" s="548"/>
      <c r="E39" s="548"/>
      <c r="F39" s="549">
        <v>6099</v>
      </c>
      <c r="H39" s="406">
        <f>SUM(F27:F38)</f>
        <v>6099</v>
      </c>
    </row>
    <row r="40" spans="1:8" ht="32.25" customHeight="1" thickTop="1">
      <c r="A40" s="39"/>
      <c r="B40" s="141" t="s">
        <v>50</v>
      </c>
      <c r="C40" s="142"/>
      <c r="D40" s="541"/>
      <c r="E40" s="542"/>
      <c r="F40" s="543"/>
    </row>
    <row r="41" spans="1:8" s="160" customFormat="1" ht="32.25" customHeight="1">
      <c r="A41" s="106">
        <v>1</v>
      </c>
      <c r="B41" s="142" t="s">
        <v>52</v>
      </c>
      <c r="C41" s="150" t="s">
        <v>53</v>
      </c>
      <c r="D41" s="164" t="s">
        <v>897</v>
      </c>
      <c r="E41" s="165" t="s">
        <v>898</v>
      </c>
      <c r="F41" s="166">
        <v>4140</v>
      </c>
    </row>
    <row r="42" spans="1:8" s="160" customFormat="1" ht="32.25" customHeight="1">
      <c r="A42" s="106">
        <v>2</v>
      </c>
      <c r="B42" s="142" t="s">
        <v>60</v>
      </c>
      <c r="C42" s="150" t="s">
        <v>61</v>
      </c>
      <c r="D42" s="164" t="s">
        <v>879</v>
      </c>
      <c r="E42" s="165" t="s">
        <v>899</v>
      </c>
      <c r="F42" s="166">
        <v>2070</v>
      </c>
    </row>
    <row r="43" spans="1:8" s="160" customFormat="1" ht="32.25" customHeight="1">
      <c r="A43" s="106">
        <v>3</v>
      </c>
      <c r="B43" s="142" t="s">
        <v>27</v>
      </c>
      <c r="C43" s="150" t="s">
        <v>64</v>
      </c>
      <c r="D43" s="164" t="s">
        <v>879</v>
      </c>
      <c r="E43" s="165" t="s">
        <v>900</v>
      </c>
      <c r="F43" s="166">
        <v>2070</v>
      </c>
    </row>
    <row r="44" spans="1:8" s="160" customFormat="1" ht="32.25" customHeight="1">
      <c r="A44" s="106">
        <v>4</v>
      </c>
      <c r="B44" s="168" t="s">
        <v>42</v>
      </c>
      <c r="C44" s="150" t="s">
        <v>67</v>
      </c>
      <c r="D44" s="164" t="s">
        <v>897</v>
      </c>
      <c r="E44" s="165" t="s">
        <v>901</v>
      </c>
      <c r="F44" s="166">
        <v>2070</v>
      </c>
    </row>
    <row r="45" spans="1:8" s="160" customFormat="1" ht="32.25" customHeight="1">
      <c r="A45" s="106">
        <v>5</v>
      </c>
      <c r="B45" s="142" t="s">
        <v>69</v>
      </c>
      <c r="C45" s="150" t="s">
        <v>70</v>
      </c>
      <c r="D45" s="164" t="s">
        <v>873</v>
      </c>
      <c r="E45" s="165" t="s">
        <v>902</v>
      </c>
      <c r="F45" s="166">
        <v>2070</v>
      </c>
    </row>
    <row r="46" spans="1:8" s="160" customFormat="1" ht="32.25" customHeight="1">
      <c r="A46" s="106">
        <v>6</v>
      </c>
      <c r="B46" s="142" t="s">
        <v>77</v>
      </c>
      <c r="C46" s="150" t="s">
        <v>78</v>
      </c>
      <c r="D46" s="164" t="s">
        <v>879</v>
      </c>
      <c r="E46" s="172" t="s">
        <v>903</v>
      </c>
      <c r="F46" s="166">
        <v>2070</v>
      </c>
    </row>
    <row r="47" spans="1:8" s="160" customFormat="1" ht="32.25" customHeight="1">
      <c r="A47" s="106">
        <v>7</v>
      </c>
      <c r="B47" s="142" t="s">
        <v>77</v>
      </c>
      <c r="C47" s="150" t="s">
        <v>81</v>
      </c>
      <c r="D47" s="164" t="s">
        <v>879</v>
      </c>
      <c r="E47" s="172" t="s">
        <v>903</v>
      </c>
      <c r="F47" s="166">
        <v>2070</v>
      </c>
    </row>
    <row r="48" spans="1:8" s="160" customFormat="1" ht="32.25" customHeight="1">
      <c r="A48" s="106">
        <v>8</v>
      </c>
      <c r="B48" s="142" t="s">
        <v>83</v>
      </c>
      <c r="C48" s="150" t="s">
        <v>84</v>
      </c>
      <c r="D48" s="164" t="s">
        <v>879</v>
      </c>
      <c r="E48" s="165" t="s">
        <v>904</v>
      </c>
      <c r="F48" s="166">
        <v>2070</v>
      </c>
    </row>
    <row r="49" spans="1:8" s="160" customFormat="1" ht="32.25" customHeight="1">
      <c r="A49" s="106">
        <v>9</v>
      </c>
      <c r="B49" s="142" t="s">
        <v>87</v>
      </c>
      <c r="C49" s="150" t="s">
        <v>88</v>
      </c>
      <c r="D49" s="164" t="s">
        <v>873</v>
      </c>
      <c r="E49" s="172" t="s">
        <v>905</v>
      </c>
      <c r="F49" s="166">
        <v>2070</v>
      </c>
    </row>
    <row r="50" spans="1:8" s="160" customFormat="1" ht="32.25" customHeight="1">
      <c r="A50" s="106">
        <v>10</v>
      </c>
      <c r="B50" s="142" t="s">
        <v>99</v>
      </c>
      <c r="C50" s="174" t="s">
        <v>100</v>
      </c>
      <c r="D50" s="164" t="s">
        <v>879</v>
      </c>
      <c r="E50" s="172" t="s">
        <v>906</v>
      </c>
      <c r="F50" s="177">
        <v>37375</v>
      </c>
    </row>
    <row r="51" spans="1:8" s="160" customFormat="1" ht="32.25" customHeight="1">
      <c r="A51" s="106">
        <v>11</v>
      </c>
      <c r="B51" s="142" t="s">
        <v>103</v>
      </c>
      <c r="C51" s="174" t="s">
        <v>104</v>
      </c>
      <c r="D51" s="164" t="s">
        <v>907</v>
      </c>
      <c r="E51" s="172" t="s">
        <v>908</v>
      </c>
      <c r="F51" s="177">
        <v>15525</v>
      </c>
    </row>
    <row r="52" spans="1:8" s="160" customFormat="1" ht="32.25" customHeight="1">
      <c r="A52" s="106">
        <v>12</v>
      </c>
      <c r="B52" s="142" t="s">
        <v>107</v>
      </c>
      <c r="C52" s="174" t="s">
        <v>108</v>
      </c>
      <c r="D52" s="164" t="s">
        <v>909</v>
      </c>
      <c r="E52" s="165" t="s">
        <v>910</v>
      </c>
      <c r="F52" s="177">
        <v>14000</v>
      </c>
    </row>
    <row r="53" spans="1:8" s="160" customFormat="1" ht="32.25" customHeight="1">
      <c r="A53" s="106">
        <v>13</v>
      </c>
      <c r="B53" s="142" t="s">
        <v>111</v>
      </c>
      <c r="C53" s="142" t="s">
        <v>112</v>
      </c>
      <c r="D53" s="164" t="s">
        <v>897</v>
      </c>
      <c r="E53" s="165" t="s">
        <v>911</v>
      </c>
      <c r="F53" s="177">
        <v>7000</v>
      </c>
    </row>
    <row r="54" spans="1:8" s="160" customFormat="1" ht="32.25" customHeight="1">
      <c r="A54" s="106">
        <v>14</v>
      </c>
      <c r="B54" s="142" t="s">
        <v>30</v>
      </c>
      <c r="C54" s="174" t="s">
        <v>115</v>
      </c>
      <c r="D54" s="164" t="s">
        <v>873</v>
      </c>
      <c r="E54" s="165" t="s">
        <v>912</v>
      </c>
      <c r="F54" s="177">
        <v>3970</v>
      </c>
    </row>
    <row r="55" spans="1:8" s="160" customFormat="1" ht="32.25" customHeight="1">
      <c r="A55" s="106">
        <v>15</v>
      </c>
      <c r="B55" s="142" t="s">
        <v>23</v>
      </c>
      <c r="C55" s="174" t="s">
        <v>126</v>
      </c>
      <c r="D55" s="164" t="s">
        <v>879</v>
      </c>
      <c r="E55" s="165" t="s">
        <v>913</v>
      </c>
      <c r="F55" s="177">
        <v>4600</v>
      </c>
    </row>
    <row r="56" spans="1:8" ht="32.25" customHeight="1" thickBot="1">
      <c r="A56" s="39"/>
      <c r="B56" s="50" t="s">
        <v>19</v>
      </c>
      <c r="C56" s="50"/>
      <c r="D56" s="547"/>
      <c r="E56" s="548"/>
      <c r="F56" s="549">
        <v>103170</v>
      </c>
      <c r="H56" s="499">
        <f>SUM(F41:F55)</f>
        <v>103170</v>
      </c>
    </row>
    <row r="57" spans="1:8" ht="32.25" customHeight="1" thickTop="1">
      <c r="A57" s="39"/>
      <c r="B57" s="141" t="s">
        <v>167</v>
      </c>
      <c r="C57" s="142"/>
      <c r="D57" s="541"/>
      <c r="E57" s="542"/>
      <c r="F57" s="543"/>
    </row>
    <row r="58" spans="1:8" s="160" customFormat="1" ht="32.25" customHeight="1">
      <c r="A58" s="106">
        <v>1</v>
      </c>
      <c r="B58" s="142" t="s">
        <v>23</v>
      </c>
      <c r="C58" s="142" t="s">
        <v>168</v>
      </c>
      <c r="D58" s="592" t="s">
        <v>879</v>
      </c>
      <c r="E58" s="165" t="s">
        <v>914</v>
      </c>
      <c r="F58" s="166">
        <v>10925</v>
      </c>
    </row>
    <row r="59" spans="1:8" s="160" customFormat="1" ht="32.25" customHeight="1">
      <c r="A59" s="106">
        <v>2</v>
      </c>
      <c r="B59" s="142" t="s">
        <v>69</v>
      </c>
      <c r="C59" s="142" t="s">
        <v>170</v>
      </c>
      <c r="D59" s="592" t="s">
        <v>873</v>
      </c>
      <c r="E59" s="165" t="s">
        <v>915</v>
      </c>
      <c r="F59" s="166">
        <v>920</v>
      </c>
    </row>
    <row r="60" spans="1:8" s="160" customFormat="1" ht="32.25" customHeight="1">
      <c r="A60" s="106">
        <v>3</v>
      </c>
      <c r="B60" s="142" t="s">
        <v>27</v>
      </c>
      <c r="C60" s="142" t="s">
        <v>172</v>
      </c>
      <c r="D60" s="592" t="s">
        <v>879</v>
      </c>
      <c r="E60" s="165" t="s">
        <v>900</v>
      </c>
      <c r="F60" s="166">
        <v>1100</v>
      </c>
    </row>
    <row r="61" spans="1:8" s="160" customFormat="1" ht="32.25" customHeight="1">
      <c r="A61" s="106">
        <v>4</v>
      </c>
      <c r="B61" s="142" t="s">
        <v>77</v>
      </c>
      <c r="C61" s="142" t="s">
        <v>174</v>
      </c>
      <c r="D61" s="592" t="s">
        <v>879</v>
      </c>
      <c r="E61" s="165" t="s">
        <v>916</v>
      </c>
      <c r="F61" s="166">
        <v>920</v>
      </c>
    </row>
    <row r="62" spans="1:8" s="160" customFormat="1" ht="32.25" customHeight="1">
      <c r="A62" s="106">
        <v>5</v>
      </c>
      <c r="B62" s="142" t="s">
        <v>176</v>
      </c>
      <c r="C62" s="142" t="s">
        <v>177</v>
      </c>
      <c r="D62" s="592" t="s">
        <v>897</v>
      </c>
      <c r="E62" s="165" t="s">
        <v>917</v>
      </c>
      <c r="F62" s="166">
        <v>1300</v>
      </c>
    </row>
    <row r="63" spans="1:8" ht="32.25" customHeight="1" thickBot="1">
      <c r="A63" s="39"/>
      <c r="B63" s="50" t="s">
        <v>19</v>
      </c>
      <c r="C63" s="50"/>
      <c r="D63" s="547"/>
      <c r="E63" s="548"/>
      <c r="F63" s="549">
        <v>15165</v>
      </c>
      <c r="H63" s="499">
        <f>SUM(F58:F62)</f>
        <v>15165</v>
      </c>
    </row>
    <row r="64" spans="1:8" ht="32.25" hidden="1" customHeight="1" thickBot="1">
      <c r="A64" s="39"/>
      <c r="B64" s="58" t="s">
        <v>184</v>
      </c>
      <c r="C64" s="59"/>
      <c r="D64" s="550"/>
      <c r="E64" s="551"/>
      <c r="F64" s="552"/>
    </row>
    <row r="65" spans="1:8" ht="32.25" hidden="1" customHeight="1" thickTop="1">
      <c r="A65" s="39">
        <v>1</v>
      </c>
      <c r="B65" s="40"/>
      <c r="C65" s="41"/>
      <c r="D65" s="544"/>
      <c r="E65" s="545"/>
      <c r="F65" s="546"/>
    </row>
    <row r="66" spans="1:8" ht="32.25" hidden="1" customHeight="1" thickTop="1">
      <c r="A66" s="39"/>
      <c r="B66" s="50" t="s">
        <v>19</v>
      </c>
      <c r="C66" s="50"/>
      <c r="D66" s="547"/>
      <c r="E66" s="548"/>
      <c r="F66" s="549"/>
    </row>
    <row r="67" spans="1:8" ht="32.25" hidden="1" customHeight="1" thickTop="1">
      <c r="A67" s="39"/>
      <c r="B67" s="58" t="s">
        <v>185</v>
      </c>
      <c r="C67" s="59"/>
      <c r="D67" s="550"/>
      <c r="E67" s="551"/>
      <c r="F67" s="552"/>
    </row>
    <row r="68" spans="1:8" ht="32.25" hidden="1" customHeight="1" thickTop="1">
      <c r="A68" s="39">
        <v>1</v>
      </c>
      <c r="B68" s="40"/>
      <c r="C68" s="41"/>
      <c r="D68" s="595"/>
      <c r="E68" s="596"/>
      <c r="F68" s="597"/>
    </row>
    <row r="69" spans="1:8" ht="32.25" hidden="1" customHeight="1" thickTop="1">
      <c r="A69" s="39"/>
      <c r="B69" s="50" t="s">
        <v>19</v>
      </c>
      <c r="C69" s="50"/>
      <c r="D69" s="547"/>
      <c r="E69" s="548"/>
      <c r="F69" s="549"/>
    </row>
    <row r="70" spans="1:8" ht="32.25" customHeight="1" thickTop="1">
      <c r="A70" s="39"/>
      <c r="B70" s="58" t="s">
        <v>186</v>
      </c>
      <c r="C70" s="59"/>
      <c r="D70" s="550"/>
      <c r="E70" s="551"/>
      <c r="F70" s="552"/>
    </row>
    <row r="71" spans="1:8" s="160" customFormat="1" ht="32.25" customHeight="1">
      <c r="A71" s="116">
        <v>1</v>
      </c>
      <c r="B71" s="41" t="s">
        <v>23</v>
      </c>
      <c r="C71" s="41" t="s">
        <v>187</v>
      </c>
      <c r="D71" s="529" t="s">
        <v>879</v>
      </c>
      <c r="E71" s="530" t="s">
        <v>918</v>
      </c>
      <c r="F71" s="531">
        <v>2140</v>
      </c>
    </row>
    <row r="72" spans="1:8" s="160" customFormat="1" ht="32.25" customHeight="1">
      <c r="A72" s="116">
        <v>2</v>
      </c>
      <c r="B72" s="142" t="s">
        <v>23</v>
      </c>
      <c r="C72" s="142" t="s">
        <v>189</v>
      </c>
      <c r="D72" s="532" t="s">
        <v>919</v>
      </c>
      <c r="E72" s="533" t="s">
        <v>920</v>
      </c>
      <c r="F72" s="531">
        <v>20148.099999999999</v>
      </c>
    </row>
    <row r="73" spans="1:8" s="160" customFormat="1" ht="32.25" customHeight="1">
      <c r="A73" s="116">
        <v>3</v>
      </c>
      <c r="B73" s="142" t="s">
        <v>192</v>
      </c>
      <c r="C73" s="142" t="s">
        <v>193</v>
      </c>
      <c r="D73" s="529" t="s">
        <v>873</v>
      </c>
      <c r="E73" s="530" t="s">
        <v>921</v>
      </c>
      <c r="F73" s="531">
        <v>920.2</v>
      </c>
    </row>
    <row r="74" spans="1:8" ht="32.25" customHeight="1">
      <c r="A74" s="106">
        <v>4</v>
      </c>
      <c r="B74" s="300" t="s">
        <v>195</v>
      </c>
      <c r="C74" s="300" t="s">
        <v>193</v>
      </c>
      <c r="D74" s="529" t="s">
        <v>922</v>
      </c>
      <c r="E74" s="530" t="s">
        <v>923</v>
      </c>
      <c r="F74" s="531">
        <v>5617.5</v>
      </c>
    </row>
    <row r="75" spans="1:8" ht="32.25" customHeight="1">
      <c r="A75" s="39">
        <v>5</v>
      </c>
      <c r="B75" s="142" t="s">
        <v>403</v>
      </c>
      <c r="C75" s="142" t="s">
        <v>193</v>
      </c>
      <c r="D75" s="598" t="s">
        <v>925</v>
      </c>
      <c r="E75" s="599" t="s">
        <v>926</v>
      </c>
      <c r="F75" s="600">
        <v>2482.4</v>
      </c>
    </row>
    <row r="76" spans="1:8" ht="32.25" customHeight="1" thickBot="1">
      <c r="A76" s="39"/>
      <c r="B76" s="50" t="s">
        <v>19</v>
      </c>
      <c r="C76" s="50"/>
      <c r="D76" s="547"/>
      <c r="E76" s="548"/>
      <c r="F76" s="549">
        <v>31308.2</v>
      </c>
      <c r="H76" s="406">
        <f>SUM(F71:F75)</f>
        <v>31308.2</v>
      </c>
    </row>
    <row r="77" spans="1:8" ht="32.25" customHeight="1" thickTop="1">
      <c r="A77" s="39"/>
      <c r="B77" s="141" t="s">
        <v>210</v>
      </c>
      <c r="C77" s="142"/>
      <c r="D77" s="541"/>
      <c r="E77" s="542"/>
      <c r="F77" s="543"/>
    </row>
    <row r="78" spans="1:8" s="160" customFormat="1" ht="32.25" customHeight="1">
      <c r="A78" s="106">
        <v>1</v>
      </c>
      <c r="B78" s="142" t="s">
        <v>52</v>
      </c>
      <c r="C78" s="174" t="s">
        <v>211</v>
      </c>
      <c r="D78" s="164" t="s">
        <v>897</v>
      </c>
      <c r="E78" s="165" t="s">
        <v>927</v>
      </c>
      <c r="F78" s="166">
        <v>518</v>
      </c>
    </row>
    <row r="79" spans="1:8" s="160" customFormat="1" ht="32.25" customHeight="1">
      <c r="A79" s="106">
        <v>2</v>
      </c>
      <c r="B79" s="142" t="s">
        <v>60</v>
      </c>
      <c r="C79" s="174" t="s">
        <v>215</v>
      </c>
      <c r="D79" s="164" t="s">
        <v>879</v>
      </c>
      <c r="E79" s="165" t="s">
        <v>928</v>
      </c>
      <c r="F79" s="166">
        <v>259</v>
      </c>
    </row>
    <row r="80" spans="1:8" s="160" customFormat="1" ht="32.25" customHeight="1">
      <c r="A80" s="106">
        <v>3</v>
      </c>
      <c r="B80" s="142" t="s">
        <v>27</v>
      </c>
      <c r="C80" s="174" t="s">
        <v>217</v>
      </c>
      <c r="D80" s="164" t="s">
        <v>879</v>
      </c>
      <c r="E80" s="165" t="s">
        <v>929</v>
      </c>
      <c r="F80" s="166">
        <v>259</v>
      </c>
    </row>
    <row r="81" spans="1:8" s="160" customFormat="1" ht="32.25" customHeight="1">
      <c r="A81" s="106">
        <v>4</v>
      </c>
      <c r="B81" s="168" t="s">
        <v>42</v>
      </c>
      <c r="C81" s="174" t="s">
        <v>219</v>
      </c>
      <c r="D81" s="164" t="s">
        <v>897</v>
      </c>
      <c r="E81" s="165" t="s">
        <v>930</v>
      </c>
      <c r="F81" s="166">
        <v>259</v>
      </c>
    </row>
    <row r="82" spans="1:8" s="160" customFormat="1" ht="32.25" customHeight="1">
      <c r="A82" s="106">
        <v>5</v>
      </c>
      <c r="B82" s="142" t="s">
        <v>69</v>
      </c>
      <c r="C82" s="174" t="s">
        <v>221</v>
      </c>
      <c r="D82" s="164" t="s">
        <v>873</v>
      </c>
      <c r="E82" s="165" t="s">
        <v>931</v>
      </c>
      <c r="F82" s="166">
        <v>259</v>
      </c>
    </row>
    <row r="83" spans="1:8" s="160" customFormat="1" ht="32.25" customHeight="1">
      <c r="A83" s="106">
        <v>6</v>
      </c>
      <c r="B83" s="142" t="s">
        <v>77</v>
      </c>
      <c r="C83" s="174" t="s">
        <v>224</v>
      </c>
      <c r="D83" s="164" t="s">
        <v>879</v>
      </c>
      <c r="E83" s="165" t="s">
        <v>932</v>
      </c>
      <c r="F83" s="166">
        <v>259</v>
      </c>
    </row>
    <row r="84" spans="1:8" s="160" customFormat="1" ht="32.25" customHeight="1">
      <c r="A84" s="106">
        <v>7</v>
      </c>
      <c r="B84" s="142" t="s">
        <v>77</v>
      </c>
      <c r="C84" s="174" t="s">
        <v>226</v>
      </c>
      <c r="D84" s="164" t="s">
        <v>879</v>
      </c>
      <c r="E84" s="165" t="s">
        <v>932</v>
      </c>
      <c r="F84" s="166">
        <v>259</v>
      </c>
    </row>
    <row r="85" spans="1:8" s="160" customFormat="1" ht="32.25" customHeight="1">
      <c r="A85" s="106">
        <v>8</v>
      </c>
      <c r="B85" s="142" t="s">
        <v>83</v>
      </c>
      <c r="C85" s="174" t="s">
        <v>228</v>
      </c>
      <c r="D85" s="164" t="s">
        <v>879</v>
      </c>
      <c r="E85" s="165" t="s">
        <v>933</v>
      </c>
      <c r="F85" s="166">
        <v>259</v>
      </c>
    </row>
    <row r="86" spans="1:8" s="160" customFormat="1" ht="32.25" customHeight="1">
      <c r="A86" s="106">
        <v>9</v>
      </c>
      <c r="B86" s="142" t="s">
        <v>87</v>
      </c>
      <c r="C86" s="174" t="s">
        <v>230</v>
      </c>
      <c r="D86" s="164" t="s">
        <v>873</v>
      </c>
      <c r="E86" s="165" t="s">
        <v>934</v>
      </c>
      <c r="F86" s="166">
        <v>259</v>
      </c>
    </row>
    <row r="87" spans="1:8" s="160" customFormat="1" ht="32.25" customHeight="1">
      <c r="A87" s="106">
        <v>10</v>
      </c>
      <c r="B87" s="142" t="s">
        <v>99</v>
      </c>
      <c r="C87" s="174" t="s">
        <v>238</v>
      </c>
      <c r="D87" s="164" t="s">
        <v>879</v>
      </c>
      <c r="E87" s="165" t="s">
        <v>935</v>
      </c>
      <c r="F87" s="166">
        <v>6750</v>
      </c>
    </row>
    <row r="88" spans="1:8" ht="32.25" customHeight="1" thickBot="1">
      <c r="A88" s="39"/>
      <c r="B88" s="50" t="s">
        <v>19</v>
      </c>
      <c r="C88" s="50"/>
      <c r="D88" s="547"/>
      <c r="E88" s="548"/>
      <c r="F88" s="549">
        <v>9340</v>
      </c>
      <c r="H88" s="499">
        <f>SUM(F78:F87)</f>
        <v>9340</v>
      </c>
    </row>
    <row r="89" spans="1:8" ht="32.25" customHeight="1" thickTop="1" thickBot="1">
      <c r="A89" s="396"/>
      <c r="B89" s="397" t="s">
        <v>309</v>
      </c>
      <c r="C89" s="398"/>
      <c r="D89" s="617">
        <v>0</v>
      </c>
      <c r="E89" s="617">
        <v>0</v>
      </c>
      <c r="F89" s="617">
        <v>168738.69</v>
      </c>
    </row>
    <row r="90" spans="1:8" ht="25.2" thickTop="1">
      <c r="D90" s="618"/>
      <c r="E90" s="618"/>
      <c r="F90" s="422"/>
      <c r="H90" s="406">
        <f>SUM(H12:H88)</f>
        <v>168738.69</v>
      </c>
    </row>
    <row r="91" spans="1:8">
      <c r="D91" s="618"/>
      <c r="E91" s="618"/>
      <c r="F91" s="422"/>
    </row>
    <row r="92" spans="1:8">
      <c r="D92" s="618"/>
      <c r="E92" s="618"/>
      <c r="F92" s="422"/>
    </row>
    <row r="93" spans="1:8">
      <c r="D93" s="618"/>
      <c r="E93" s="618"/>
      <c r="F93" s="422"/>
    </row>
    <row r="94" spans="1:8">
      <c r="D94" s="618"/>
      <c r="E94" s="618"/>
      <c r="F94" s="422"/>
    </row>
    <row r="95" spans="1:8" s="406" customFormat="1" ht="32.25" customHeight="1">
      <c r="A95" s="2"/>
      <c r="B95" s="643"/>
      <c r="C95" s="642"/>
      <c r="D95" s="619"/>
      <c r="E95" s="620"/>
      <c r="F95" s="417"/>
    </row>
    <row r="96" spans="1:8" s="406" customFormat="1" ht="32.25" customHeight="1">
      <c r="A96" s="2"/>
      <c r="B96" s="413"/>
      <c r="C96" s="415"/>
      <c r="D96" s="2"/>
      <c r="E96" s="620"/>
      <c r="F96" s="416"/>
    </row>
    <row r="97" spans="1:6" s="406" customFormat="1" ht="32.25" customHeight="1">
      <c r="A97" s="2"/>
      <c r="B97" s="413"/>
      <c r="C97" s="409"/>
      <c r="D97" s="619"/>
      <c r="E97" s="641"/>
      <c r="F97" s="642"/>
    </row>
  </sheetData>
  <mergeCells count="8">
    <mergeCell ref="E97:F97"/>
    <mergeCell ref="B95:C95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scale="4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183ED-DB04-4ABA-9343-8E9BFDFC3778}">
  <sheetPr>
    <tabColor rgb="FF00B0F0"/>
  </sheetPr>
  <dimension ref="A1:G42"/>
  <sheetViews>
    <sheetView zoomScale="60" zoomScaleNormal="60" workbookViewId="0">
      <pane ySplit="6" topLeftCell="A7" activePane="bottomLeft" state="frozen"/>
      <selection pane="bottomLeft" activeCell="K46" sqref="K46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31.44140625" style="439" customWidth="1"/>
    <col min="5" max="5" width="20.5546875" style="404" customWidth="1"/>
    <col min="6" max="6" width="8.109375" style="405" customWidth="1"/>
    <col min="7" max="7" width="20" style="2" customWidth="1"/>
    <col min="8" max="16384" width="12.5546875" style="2"/>
  </cols>
  <sheetData>
    <row r="1" spans="1:7" ht="22.5" customHeight="1">
      <c r="A1" s="643" t="s">
        <v>0</v>
      </c>
      <c r="B1" s="642"/>
      <c r="C1" s="642"/>
      <c r="D1" s="642"/>
      <c r="E1" s="642"/>
      <c r="F1" s="642"/>
      <c r="G1" s="642"/>
    </row>
    <row r="2" spans="1:7" ht="27" customHeight="1">
      <c r="A2" s="643" t="s">
        <v>1</v>
      </c>
      <c r="B2" s="642"/>
      <c r="C2" s="642"/>
      <c r="D2" s="642"/>
      <c r="E2" s="642"/>
      <c r="F2" s="642"/>
      <c r="G2" s="642"/>
    </row>
    <row r="3" spans="1:7" ht="22.5" customHeight="1">
      <c r="A3" s="644" t="s">
        <v>868</v>
      </c>
      <c r="B3" s="645"/>
      <c r="C3" s="645"/>
      <c r="D3" s="645"/>
      <c r="E3" s="645"/>
      <c r="F3" s="645"/>
      <c r="G3" s="645"/>
    </row>
    <row r="4" spans="1:7" ht="34.5" customHeight="1">
      <c r="A4" s="3" t="s">
        <v>3</v>
      </c>
      <c r="B4" s="646" t="s">
        <v>4</v>
      </c>
      <c r="C4" s="646" t="s">
        <v>5</v>
      </c>
      <c r="D4" s="426"/>
      <c r="E4" s="658" t="s">
        <v>9</v>
      </c>
      <c r="F4" s="656"/>
      <c r="G4" s="657"/>
    </row>
    <row r="5" spans="1:7" ht="24.75" customHeight="1">
      <c r="A5" s="5"/>
      <c r="B5" s="647"/>
      <c r="C5" s="647"/>
      <c r="D5" s="427" t="s">
        <v>392</v>
      </c>
      <c r="E5" s="3" t="s">
        <v>10</v>
      </c>
      <c r="F5" s="12" t="s">
        <v>11</v>
      </c>
      <c r="G5" s="419"/>
    </row>
    <row r="6" spans="1:7" ht="27.75" customHeight="1">
      <c r="A6" s="14"/>
      <c r="B6" s="648"/>
      <c r="C6" s="648"/>
      <c r="D6" s="428"/>
      <c r="E6" s="14"/>
      <c r="F6" s="24"/>
      <c r="G6" s="20" t="s">
        <v>19</v>
      </c>
    </row>
    <row r="7" spans="1:7" ht="32.25" customHeight="1">
      <c r="A7" s="39"/>
      <c r="B7" s="141" t="s">
        <v>50</v>
      </c>
      <c r="C7" s="142"/>
      <c r="D7" s="429"/>
      <c r="E7" s="114"/>
      <c r="F7" s="115"/>
      <c r="G7" s="145"/>
    </row>
    <row r="8" spans="1:7" s="160" customFormat="1" ht="32.25" customHeight="1">
      <c r="A8" s="106">
        <v>1</v>
      </c>
      <c r="B8" s="142" t="s">
        <v>52</v>
      </c>
      <c r="C8" s="150" t="s">
        <v>53</v>
      </c>
      <c r="D8" s="430">
        <v>2070</v>
      </c>
      <c r="E8" s="157"/>
      <c r="F8" s="158"/>
      <c r="G8" s="159"/>
    </row>
    <row r="9" spans="1:7" ht="32.25" customHeight="1" thickBot="1">
      <c r="A9" s="39"/>
      <c r="B9" s="50" t="s">
        <v>19</v>
      </c>
      <c r="C9" s="50"/>
      <c r="D9" s="432"/>
      <c r="E9" s="57"/>
      <c r="F9" s="53"/>
      <c r="G9" s="51">
        <v>0</v>
      </c>
    </row>
    <row r="10" spans="1:7" ht="32.25" customHeight="1" thickTop="1">
      <c r="A10" s="39"/>
      <c r="B10" s="141" t="s">
        <v>129</v>
      </c>
      <c r="C10" s="142"/>
      <c r="D10" s="429"/>
      <c r="E10" s="114"/>
      <c r="F10" s="115"/>
      <c r="G10" s="38"/>
    </row>
    <row r="11" spans="1:7" ht="30" customHeight="1">
      <c r="A11" s="106">
        <v>1</v>
      </c>
      <c r="B11" s="142" t="s">
        <v>130</v>
      </c>
      <c r="C11" s="193" t="s">
        <v>131</v>
      </c>
      <c r="D11" s="433">
        <v>603.75</v>
      </c>
      <c r="E11" s="202"/>
      <c r="F11" s="203"/>
      <c r="G11" s="207"/>
    </row>
    <row r="12" spans="1:7" ht="32.25" customHeight="1">
      <c r="A12" s="106">
        <v>2</v>
      </c>
      <c r="B12" s="142" t="s">
        <v>141</v>
      </c>
      <c r="C12" s="193" t="s">
        <v>142</v>
      </c>
      <c r="D12" s="433">
        <v>4685.37</v>
      </c>
      <c r="E12" s="214"/>
      <c r="F12" s="212"/>
      <c r="G12" s="207"/>
    </row>
    <row r="13" spans="1:7" ht="32.25" customHeight="1">
      <c r="A13" s="106">
        <v>3</v>
      </c>
      <c r="B13" s="142" t="s">
        <v>145</v>
      </c>
      <c r="C13" s="193" t="s">
        <v>146</v>
      </c>
      <c r="D13" s="433">
        <v>2146.64</v>
      </c>
      <c r="E13" s="220"/>
      <c r="F13" s="115"/>
      <c r="G13" s="207"/>
    </row>
    <row r="14" spans="1:7" s="259" customFormat="1" ht="32.25" customHeight="1">
      <c r="A14" s="106">
        <v>4</v>
      </c>
      <c r="B14" s="242" t="s">
        <v>52</v>
      </c>
      <c r="C14" s="243" t="s">
        <v>155</v>
      </c>
      <c r="D14" s="470">
        <v>541.62</v>
      </c>
      <c r="E14" s="254"/>
      <c r="F14" s="255"/>
      <c r="G14" s="207"/>
    </row>
    <row r="15" spans="1:7" ht="41.25" customHeight="1">
      <c r="A15" s="106">
        <v>5</v>
      </c>
      <c r="B15" s="142" t="s">
        <v>158</v>
      </c>
      <c r="C15" s="142" t="s">
        <v>159</v>
      </c>
      <c r="D15" s="429">
        <v>191.63</v>
      </c>
      <c r="E15" s="214"/>
      <c r="F15" s="212"/>
      <c r="G15" s="207"/>
    </row>
    <row r="16" spans="1:7" ht="32.25" customHeight="1" thickBot="1">
      <c r="A16" s="39"/>
      <c r="B16" s="50" t="s">
        <v>19</v>
      </c>
      <c r="C16" s="50"/>
      <c r="D16" s="432"/>
      <c r="E16" s="51"/>
      <c r="F16" s="51">
        <v>0</v>
      </c>
      <c r="G16" s="51">
        <v>0</v>
      </c>
    </row>
    <row r="17" spans="1:7" ht="32.25" hidden="1" customHeight="1" thickBot="1">
      <c r="A17" s="39"/>
      <c r="B17" s="58" t="s">
        <v>184</v>
      </c>
      <c r="C17" s="59"/>
      <c r="D17" s="434"/>
      <c r="E17" s="68"/>
      <c r="F17" s="62"/>
      <c r="G17" s="518">
        <v>0</v>
      </c>
    </row>
    <row r="18" spans="1:7" ht="32.25" hidden="1" customHeight="1" thickTop="1">
      <c r="A18" s="39">
        <v>1</v>
      </c>
      <c r="B18" s="40"/>
      <c r="C18" s="41"/>
      <c r="D18" s="471"/>
      <c r="E18" s="5"/>
      <c r="F18" s="43"/>
      <c r="G18" s="77">
        <v>0</v>
      </c>
    </row>
    <row r="19" spans="1:7" ht="32.25" hidden="1" customHeight="1" thickTop="1">
      <c r="A19" s="39"/>
      <c r="B19" s="50" t="s">
        <v>19</v>
      </c>
      <c r="C19" s="50"/>
      <c r="D19" s="432"/>
      <c r="E19" s="57"/>
      <c r="F19" s="53"/>
      <c r="G19" s="77">
        <v>0</v>
      </c>
    </row>
    <row r="20" spans="1:7" ht="32.25" hidden="1" customHeight="1" thickTop="1">
      <c r="A20" s="39"/>
      <c r="B20" s="58" t="s">
        <v>185</v>
      </c>
      <c r="C20" s="59"/>
      <c r="D20" s="434"/>
      <c r="E20" s="68"/>
      <c r="F20" s="62"/>
      <c r="G20" s="77">
        <v>0</v>
      </c>
    </row>
    <row r="21" spans="1:7" ht="32.25" hidden="1" customHeight="1" thickTop="1">
      <c r="A21" s="39">
        <v>1</v>
      </c>
      <c r="B21" s="40"/>
      <c r="C21" s="41"/>
      <c r="D21" s="471"/>
      <c r="E21" s="5"/>
      <c r="F21" s="43"/>
      <c r="G21" s="77">
        <v>0</v>
      </c>
    </row>
    <row r="22" spans="1:7" ht="32.25" hidden="1" customHeight="1" thickTop="1">
      <c r="A22" s="39"/>
      <c r="B22" s="50" t="s">
        <v>19</v>
      </c>
      <c r="C22" s="50"/>
      <c r="D22" s="432"/>
      <c r="E22" s="57"/>
      <c r="F22" s="53"/>
      <c r="G22" s="77">
        <v>0</v>
      </c>
    </row>
    <row r="23" spans="1:7" ht="32.25" customHeight="1" thickTop="1">
      <c r="A23" s="39"/>
      <c r="B23" s="58" t="s">
        <v>186</v>
      </c>
      <c r="C23" s="59"/>
      <c r="D23" s="434"/>
      <c r="E23" s="68"/>
      <c r="F23" s="62"/>
      <c r="G23" s="77">
        <v>0</v>
      </c>
    </row>
    <row r="24" spans="1:7" ht="32.25" customHeight="1">
      <c r="A24" s="106">
        <v>1</v>
      </c>
      <c r="B24" s="300" t="s">
        <v>195</v>
      </c>
      <c r="C24" s="300" t="s">
        <v>193</v>
      </c>
      <c r="D24" s="435"/>
      <c r="E24" s="302" t="s">
        <v>924</v>
      </c>
      <c r="F24" s="303">
        <v>1</v>
      </c>
      <c r="G24" s="77">
        <v>3712.9000000000015</v>
      </c>
    </row>
    <row r="25" spans="1:7" ht="32.25" customHeight="1" thickBot="1">
      <c r="A25" s="39"/>
      <c r="B25" s="50" t="s">
        <v>19</v>
      </c>
      <c r="C25" s="50"/>
      <c r="D25" s="432"/>
      <c r="E25" s="57"/>
      <c r="F25" s="53"/>
      <c r="G25" s="51">
        <v>3712.9000000000015</v>
      </c>
    </row>
    <row r="26" spans="1:7" ht="32.25" customHeight="1" thickTop="1">
      <c r="A26" s="39"/>
      <c r="B26" s="141" t="s">
        <v>210</v>
      </c>
      <c r="C26" s="142"/>
      <c r="D26" s="429"/>
      <c r="E26" s="114"/>
      <c r="F26" s="115"/>
      <c r="G26" s="145"/>
    </row>
    <row r="27" spans="1:7" s="160" customFormat="1" ht="32.25" customHeight="1">
      <c r="A27" s="106">
        <v>1</v>
      </c>
      <c r="B27" s="142" t="s">
        <v>52</v>
      </c>
      <c r="C27" s="174" t="s">
        <v>211</v>
      </c>
      <c r="D27" s="431">
        <v>259</v>
      </c>
      <c r="E27" s="347"/>
      <c r="F27" s="348"/>
      <c r="G27" s="159"/>
    </row>
    <row r="28" spans="1:7" s="160" customFormat="1" ht="32.25" customHeight="1">
      <c r="A28" s="106">
        <v>2</v>
      </c>
      <c r="B28" s="142" t="s">
        <v>141</v>
      </c>
      <c r="C28" s="193" t="s">
        <v>240</v>
      </c>
      <c r="D28" s="433">
        <v>572.5</v>
      </c>
      <c r="E28" s="374"/>
      <c r="F28" s="362"/>
      <c r="G28" s="159"/>
    </row>
    <row r="29" spans="1:7" ht="32.25" customHeight="1">
      <c r="A29" s="106">
        <v>3</v>
      </c>
      <c r="B29" s="222" t="s">
        <v>52</v>
      </c>
      <c r="C29" s="193" t="s">
        <v>243</v>
      </c>
      <c r="D29" s="433">
        <v>78.349999999999994</v>
      </c>
      <c r="E29" s="368"/>
      <c r="F29" s="362"/>
      <c r="G29" s="159"/>
    </row>
    <row r="30" spans="1:7" ht="32.25" customHeight="1">
      <c r="A30" s="106">
        <v>4</v>
      </c>
      <c r="B30" s="222" t="s">
        <v>130</v>
      </c>
      <c r="C30" s="193" t="s">
        <v>250</v>
      </c>
      <c r="D30" s="436">
        <v>77.53</v>
      </c>
      <c r="E30" s="2"/>
      <c r="F30" s="362"/>
      <c r="G30" s="159">
        <v>0</v>
      </c>
    </row>
    <row r="31" spans="1:7" ht="32.25" customHeight="1">
      <c r="A31" s="106">
        <v>5</v>
      </c>
      <c r="B31" s="142" t="s">
        <v>145</v>
      </c>
      <c r="C31" s="193" t="s">
        <v>258</v>
      </c>
      <c r="D31" s="433">
        <v>270</v>
      </c>
      <c r="E31" s="361"/>
      <c r="F31" s="362"/>
      <c r="G31" s="159"/>
    </row>
    <row r="32" spans="1:7" ht="32.25" customHeight="1">
      <c r="A32" s="106">
        <v>6</v>
      </c>
      <c r="B32" s="142" t="s">
        <v>158</v>
      </c>
      <c r="C32" s="390" t="s">
        <v>261</v>
      </c>
      <c r="D32" s="437">
        <v>24.13</v>
      </c>
      <c r="E32" s="361"/>
      <c r="F32" s="362"/>
      <c r="G32" s="159"/>
    </row>
    <row r="33" spans="1:7" ht="32.25" customHeight="1" thickBot="1">
      <c r="A33" s="39"/>
      <c r="B33" s="50" t="s">
        <v>19</v>
      </c>
      <c r="C33" s="50"/>
      <c r="D33" s="432"/>
      <c r="E33" s="57"/>
      <c r="F33" s="53"/>
      <c r="G33" s="51">
        <v>0</v>
      </c>
    </row>
    <row r="34" spans="1:7" ht="32.25" customHeight="1" thickTop="1" thickBot="1">
      <c r="A34" s="396"/>
      <c r="B34" s="397" t="s">
        <v>309</v>
      </c>
      <c r="C34" s="398"/>
      <c r="D34" s="438"/>
      <c r="E34" s="399">
        <v>0</v>
      </c>
      <c r="F34" s="399">
        <v>0</v>
      </c>
      <c r="G34" s="399">
        <v>3712.9000000000015</v>
      </c>
    </row>
    <row r="35" spans="1:7" ht="17.399999999999999" thickTop="1"/>
    <row r="40" spans="1:7" s="406" customFormat="1" ht="32.25" customHeight="1">
      <c r="A40" s="2"/>
      <c r="B40" s="643"/>
      <c r="C40" s="642"/>
      <c r="D40" s="439"/>
      <c r="E40" s="642"/>
      <c r="F40" s="642"/>
      <c r="G40" s="2"/>
    </row>
    <row r="41" spans="1:7" s="406" customFormat="1" ht="32.25" customHeight="1">
      <c r="A41" s="2"/>
      <c r="B41" s="413"/>
      <c r="C41" s="415"/>
      <c r="D41" s="440"/>
      <c r="E41" s="642"/>
      <c r="F41" s="642"/>
      <c r="G41" s="2"/>
    </row>
    <row r="42" spans="1:7" s="406" customFormat="1" ht="32.25" customHeight="1">
      <c r="A42" s="2"/>
      <c r="B42" s="413"/>
      <c r="C42" s="409"/>
      <c r="D42" s="441"/>
      <c r="E42" s="642"/>
      <c r="F42" s="642"/>
      <c r="G42" s="2"/>
    </row>
  </sheetData>
  <mergeCells count="10">
    <mergeCell ref="E42:F42"/>
    <mergeCell ref="B40:C40"/>
    <mergeCell ref="E40:F40"/>
    <mergeCell ref="E41:F41"/>
    <mergeCell ref="A1:G1"/>
    <mergeCell ref="A2:G2"/>
    <mergeCell ref="A3:G3"/>
    <mergeCell ref="B4:B6"/>
    <mergeCell ref="C4:C6"/>
    <mergeCell ref="E4:G4"/>
  </mergeCells>
  <pageMargins left="0.7" right="0.7" top="0.75" bottom="0.75" header="0.3" footer="0.3"/>
  <pageSetup paperSize="9" scale="4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271D-D4D2-472E-9879-CA3E755F904A}">
  <sheetPr>
    <tabColor rgb="FF00B0F0"/>
  </sheetPr>
  <dimension ref="A1:F23"/>
  <sheetViews>
    <sheetView zoomScale="60" zoomScaleNormal="60" workbookViewId="0">
      <pane ySplit="6" topLeftCell="A13" activePane="bottomLeft" state="frozen"/>
      <selection pane="bottomLeft" activeCell="I23" sqref="I23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20.5546875" style="404" customWidth="1"/>
    <col min="5" max="5" width="8.109375" style="405" customWidth="1"/>
    <col min="6" max="6" width="20" style="2" customWidth="1"/>
    <col min="7" max="16384" width="12.5546875" style="2"/>
  </cols>
  <sheetData>
    <row r="1" spans="1:6" ht="22.5" customHeight="1">
      <c r="A1" s="643" t="s">
        <v>0</v>
      </c>
      <c r="B1" s="642"/>
      <c r="C1" s="642"/>
      <c r="D1" s="642"/>
      <c r="E1" s="642"/>
      <c r="F1" s="642"/>
    </row>
    <row r="2" spans="1:6" ht="27" customHeight="1">
      <c r="A2" s="643" t="s">
        <v>1</v>
      </c>
      <c r="B2" s="642"/>
      <c r="C2" s="642"/>
      <c r="D2" s="642"/>
      <c r="E2" s="642"/>
      <c r="F2" s="642"/>
    </row>
    <row r="3" spans="1:6" ht="22.5" customHeight="1">
      <c r="A3" s="644" t="s">
        <v>868</v>
      </c>
      <c r="B3" s="645"/>
      <c r="C3" s="645"/>
      <c r="D3" s="645"/>
      <c r="E3" s="645"/>
      <c r="F3" s="645"/>
    </row>
    <row r="4" spans="1:6" ht="34.5" customHeight="1">
      <c r="A4" s="3" t="s">
        <v>3</v>
      </c>
      <c r="B4" s="646" t="s">
        <v>4</v>
      </c>
      <c r="C4" s="646" t="s">
        <v>5</v>
      </c>
      <c r="D4" s="658" t="s">
        <v>9</v>
      </c>
      <c r="E4" s="656"/>
      <c r="F4" s="657"/>
    </row>
    <row r="5" spans="1:6" ht="24.75" customHeight="1">
      <c r="A5" s="5"/>
      <c r="B5" s="647"/>
      <c r="C5" s="647"/>
      <c r="D5" s="3" t="s">
        <v>10</v>
      </c>
      <c r="E5" s="12" t="s">
        <v>11</v>
      </c>
      <c r="F5" s="419"/>
    </row>
    <row r="6" spans="1:6" ht="27.75" customHeight="1" thickBot="1">
      <c r="A6" s="14"/>
      <c r="B6" s="648"/>
      <c r="C6" s="648"/>
      <c r="D6" s="14"/>
      <c r="E6" s="24"/>
      <c r="F6" s="20" t="s">
        <v>19</v>
      </c>
    </row>
    <row r="7" spans="1:6" ht="32.25" hidden="1" customHeight="1" thickBot="1">
      <c r="A7" s="39"/>
      <c r="B7" s="58" t="s">
        <v>184</v>
      </c>
      <c r="C7" s="59"/>
      <c r="D7" s="68"/>
      <c r="E7" s="62"/>
      <c r="F7" s="518">
        <v>0</v>
      </c>
    </row>
    <row r="8" spans="1:6" ht="32.25" hidden="1" customHeight="1" thickTop="1">
      <c r="A8" s="39">
        <v>1</v>
      </c>
      <c r="B8" s="40"/>
      <c r="C8" s="41"/>
      <c r="D8" s="5"/>
      <c r="E8" s="43"/>
      <c r="F8" s="77">
        <v>0</v>
      </c>
    </row>
    <row r="9" spans="1:6" ht="32.25" hidden="1" customHeight="1" thickTop="1">
      <c r="A9" s="39"/>
      <c r="B9" s="50" t="s">
        <v>19</v>
      </c>
      <c r="C9" s="50"/>
      <c r="D9" s="57"/>
      <c r="E9" s="53"/>
      <c r="F9" s="77">
        <v>0</v>
      </c>
    </row>
    <row r="10" spans="1:6" ht="32.25" hidden="1" customHeight="1" thickTop="1">
      <c r="A10" s="39"/>
      <c r="B10" s="58" t="s">
        <v>185</v>
      </c>
      <c r="C10" s="59"/>
      <c r="D10" s="68"/>
      <c r="E10" s="62"/>
      <c r="F10" s="77">
        <v>0</v>
      </c>
    </row>
    <row r="11" spans="1:6" ht="32.25" hidden="1" customHeight="1" thickTop="1">
      <c r="A11" s="39">
        <v>1</v>
      </c>
      <c r="B11" s="40"/>
      <c r="C11" s="41"/>
      <c r="D11" s="5"/>
      <c r="E11" s="43"/>
      <c r="F11" s="77">
        <v>0</v>
      </c>
    </row>
    <row r="12" spans="1:6" ht="32.25" hidden="1" customHeight="1" thickTop="1">
      <c r="A12" s="39"/>
      <c r="B12" s="50" t="s">
        <v>19</v>
      </c>
      <c r="C12" s="50"/>
      <c r="D12" s="57"/>
      <c r="E12" s="53"/>
      <c r="F12" s="77">
        <v>0</v>
      </c>
    </row>
    <row r="13" spans="1:6" ht="32.25" customHeight="1" thickTop="1">
      <c r="A13" s="39"/>
      <c r="B13" s="58" t="s">
        <v>936</v>
      </c>
      <c r="C13" s="59"/>
      <c r="D13" s="68"/>
      <c r="E13" s="62"/>
      <c r="F13" s="77">
        <v>0</v>
      </c>
    </row>
    <row r="14" spans="1:6" ht="32.25" customHeight="1">
      <c r="A14" s="106">
        <v>1</v>
      </c>
      <c r="B14" s="300" t="s">
        <v>195</v>
      </c>
      <c r="C14" s="300" t="s">
        <v>193</v>
      </c>
      <c r="D14" s="302" t="s">
        <v>924</v>
      </c>
      <c r="E14" s="303">
        <v>1</v>
      </c>
      <c r="F14" s="77">
        <v>3712.9000000000015</v>
      </c>
    </row>
    <row r="15" spans="1:6" ht="32.25" customHeight="1" thickBot="1">
      <c r="A15" s="396"/>
      <c r="B15" s="397" t="s">
        <v>309</v>
      </c>
      <c r="C15" s="398"/>
      <c r="D15" s="399">
        <v>0</v>
      </c>
      <c r="E15" s="399">
        <v>0</v>
      </c>
      <c r="F15" s="399">
        <v>3712.9000000000015</v>
      </c>
    </row>
    <row r="16" spans="1:6" ht="17.399999999999999" thickTop="1"/>
    <row r="21" spans="1:6" s="406" customFormat="1" ht="32.25" customHeight="1">
      <c r="A21" s="2"/>
      <c r="B21" s="643"/>
      <c r="C21" s="642"/>
      <c r="D21" s="642"/>
      <c r="E21" s="642"/>
      <c r="F21" s="2"/>
    </row>
    <row r="22" spans="1:6" s="406" customFormat="1" ht="32.25" customHeight="1">
      <c r="A22" s="2"/>
      <c r="B22" s="413"/>
      <c r="C22" s="415"/>
      <c r="D22" s="642"/>
      <c r="E22" s="642"/>
      <c r="F22" s="2"/>
    </row>
    <row r="23" spans="1:6" s="406" customFormat="1" ht="32.25" customHeight="1">
      <c r="A23" s="2"/>
      <c r="B23" s="413"/>
      <c r="C23" s="409"/>
      <c r="D23" s="642"/>
      <c r="E23" s="642"/>
      <c r="F23" s="2"/>
    </row>
  </sheetData>
  <mergeCells count="10">
    <mergeCell ref="B21:C21"/>
    <mergeCell ref="D21:E21"/>
    <mergeCell ref="D22:E22"/>
    <mergeCell ref="D23:E23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scale="4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7F45-F4F5-4711-B72D-28AF83114290}">
  <sheetPr>
    <tabColor rgb="FF92D050"/>
  </sheetPr>
  <dimension ref="A1:Z288"/>
  <sheetViews>
    <sheetView zoomScale="60" zoomScaleNormal="60" workbookViewId="0">
      <pane ySplit="6" topLeftCell="A31" activePane="bottomLeft" state="frozen"/>
      <selection pane="bottomLeft" activeCell="Z34" sqref="Z34"/>
    </sheetView>
  </sheetViews>
  <sheetFormatPr defaultColWidth="12.5546875" defaultRowHeight="24.6"/>
  <cols>
    <col min="1" max="1" width="5.6640625" style="2" customWidth="1"/>
    <col min="2" max="2" width="42.5546875" style="2" customWidth="1"/>
    <col min="3" max="3" width="31.44140625" style="2" customWidth="1"/>
    <col min="4" max="4" width="17.88671875" style="2" customWidth="1"/>
    <col min="5" max="5" width="16.6640625" style="404" customWidth="1"/>
    <col min="6" max="6" width="10" style="405" customWidth="1"/>
    <col min="7" max="7" width="5.5546875" style="404" customWidth="1"/>
    <col min="8" max="8" width="16.6640625" style="2" customWidth="1"/>
    <col min="9" max="9" width="13.109375" style="2" customWidth="1"/>
    <col min="10" max="10" width="17.88671875" style="2" customWidth="1"/>
    <col min="11" max="11" width="17.6640625" style="621" customWidth="1"/>
    <col min="12" max="12" width="25" style="621" customWidth="1"/>
    <col min="13" max="13" width="16.109375" style="569" customWidth="1"/>
    <col min="14" max="14" width="20.5546875" style="404" customWidth="1"/>
    <col min="15" max="15" width="8.109375" style="405" customWidth="1"/>
    <col min="16" max="16" width="12.109375" style="2" customWidth="1"/>
    <col min="17" max="17" width="17.6640625" style="406" customWidth="1"/>
    <col min="18" max="18" width="11.33203125" style="406" customWidth="1"/>
    <col min="19" max="19" width="20" style="2" customWidth="1"/>
    <col min="20" max="16384" width="12.5546875" style="2"/>
  </cols>
  <sheetData>
    <row r="1" spans="1:19" ht="22.5" customHeight="1">
      <c r="A1" s="643" t="s">
        <v>0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</row>
    <row r="2" spans="1:19" ht="27" customHeight="1">
      <c r="A2" s="643" t="s">
        <v>1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642"/>
      <c r="S2" s="642"/>
    </row>
    <row r="3" spans="1:19" ht="22.5" customHeight="1">
      <c r="A3" s="644" t="s">
        <v>803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</row>
    <row r="4" spans="1:19" ht="34.5" customHeight="1">
      <c r="A4" s="3" t="s">
        <v>3</v>
      </c>
      <c r="B4" s="646" t="s">
        <v>4</v>
      </c>
      <c r="C4" s="646" t="s">
        <v>5</v>
      </c>
      <c r="D4" s="4" t="s">
        <v>6</v>
      </c>
      <c r="E4" s="655" t="s">
        <v>7</v>
      </c>
      <c r="F4" s="656"/>
      <c r="G4" s="656"/>
      <c r="H4" s="656"/>
      <c r="I4" s="656"/>
      <c r="J4" s="657"/>
      <c r="K4" s="649" t="s">
        <v>8</v>
      </c>
      <c r="L4" s="650"/>
      <c r="M4" s="651"/>
      <c r="N4" s="658" t="s">
        <v>9</v>
      </c>
      <c r="O4" s="656"/>
      <c r="P4" s="656"/>
      <c r="Q4" s="656"/>
      <c r="R4" s="656"/>
      <c r="S4" s="657"/>
    </row>
    <row r="5" spans="1:19" ht="24.75" customHeight="1">
      <c r="A5" s="5"/>
      <c r="B5" s="647"/>
      <c r="C5" s="647"/>
      <c r="D5" s="6"/>
      <c r="E5" s="3" t="s">
        <v>10</v>
      </c>
      <c r="F5" s="7" t="s">
        <v>11</v>
      </c>
      <c r="G5" s="8" t="s">
        <v>12</v>
      </c>
      <c r="H5" s="655" t="s">
        <v>13</v>
      </c>
      <c r="I5" s="656"/>
      <c r="J5" s="657"/>
      <c r="K5" s="535" t="s">
        <v>14</v>
      </c>
      <c r="L5" s="536" t="s">
        <v>15</v>
      </c>
      <c r="M5" s="537" t="s">
        <v>16</v>
      </c>
      <c r="N5" s="3" t="s">
        <v>10</v>
      </c>
      <c r="O5" s="12" t="s">
        <v>11</v>
      </c>
      <c r="P5" s="13" t="s">
        <v>12</v>
      </c>
      <c r="Q5" s="655" t="s">
        <v>13</v>
      </c>
      <c r="R5" s="656"/>
      <c r="S5" s="657"/>
    </row>
    <row r="6" spans="1:19" ht="27.75" customHeight="1">
      <c r="A6" s="14"/>
      <c r="B6" s="648"/>
      <c r="C6" s="648"/>
      <c r="D6" s="15"/>
      <c r="E6" s="14"/>
      <c r="F6" s="16"/>
      <c r="G6" s="17" t="s">
        <v>17</v>
      </c>
      <c r="H6" s="18" t="s">
        <v>16</v>
      </c>
      <c r="I6" s="19" t="s">
        <v>18</v>
      </c>
      <c r="J6" s="20" t="s">
        <v>19</v>
      </c>
      <c r="K6" s="538"/>
      <c r="L6" s="539"/>
      <c r="M6" s="540"/>
      <c r="N6" s="14"/>
      <c r="O6" s="24"/>
      <c r="P6" s="17" t="s">
        <v>17</v>
      </c>
      <c r="Q6" s="18" t="s">
        <v>16</v>
      </c>
      <c r="R6" s="25" t="s">
        <v>18</v>
      </c>
      <c r="S6" s="20" t="s">
        <v>19</v>
      </c>
    </row>
    <row r="7" spans="1:19" ht="32.25" customHeight="1">
      <c r="A7" s="26"/>
      <c r="B7" s="27" t="s">
        <v>20</v>
      </c>
      <c r="C7" s="28"/>
      <c r="D7" s="29"/>
      <c r="E7" s="30"/>
      <c r="F7" s="31"/>
      <c r="G7" s="32"/>
      <c r="H7" s="32"/>
      <c r="I7" s="32"/>
      <c r="J7" s="33"/>
      <c r="K7" s="541"/>
      <c r="L7" s="542"/>
      <c r="M7" s="543"/>
      <c r="N7" s="30"/>
      <c r="O7" s="31"/>
      <c r="P7" s="32"/>
      <c r="Q7" s="37"/>
      <c r="R7" s="37"/>
      <c r="S7" s="38"/>
    </row>
    <row r="8" spans="1:19" ht="32.25" customHeight="1">
      <c r="A8" s="39">
        <v>1</v>
      </c>
      <c r="B8" s="40" t="s">
        <v>21</v>
      </c>
      <c r="C8" s="41"/>
      <c r="D8" s="42"/>
      <c r="E8" s="6"/>
      <c r="F8" s="43"/>
      <c r="G8" s="6"/>
      <c r="H8" s="42"/>
      <c r="I8" s="42"/>
      <c r="J8" s="42"/>
      <c r="K8" s="544"/>
      <c r="L8" s="545"/>
      <c r="M8" s="546"/>
      <c r="N8" s="5"/>
      <c r="O8" s="43"/>
      <c r="P8" s="47"/>
      <c r="Q8" s="48"/>
      <c r="R8" s="48"/>
      <c r="S8" s="49"/>
    </row>
    <row r="9" spans="1:19" ht="32.25" customHeight="1" thickBot="1">
      <c r="A9" s="39"/>
      <c r="B9" s="50" t="s">
        <v>19</v>
      </c>
      <c r="C9" s="50"/>
      <c r="D9" s="51">
        <v>0</v>
      </c>
      <c r="E9" s="52"/>
      <c r="F9" s="53"/>
      <c r="G9" s="52"/>
      <c r="H9" s="51">
        <v>0</v>
      </c>
      <c r="I9" s="51">
        <v>0</v>
      </c>
      <c r="J9" s="51">
        <v>0</v>
      </c>
      <c r="K9" s="547"/>
      <c r="L9" s="548"/>
      <c r="M9" s="549">
        <v>0</v>
      </c>
      <c r="N9" s="57"/>
      <c r="O9" s="53"/>
      <c r="P9" s="51"/>
      <c r="Q9" s="51"/>
      <c r="R9" s="51"/>
      <c r="S9" s="51"/>
    </row>
    <row r="10" spans="1:19" ht="32.25" customHeight="1" thickTop="1">
      <c r="A10" s="39"/>
      <c r="B10" s="58" t="s">
        <v>22</v>
      </c>
      <c r="C10" s="59"/>
      <c r="D10" s="60"/>
      <c r="E10" s="61"/>
      <c r="F10" s="62"/>
      <c r="G10" s="63"/>
      <c r="H10" s="64"/>
      <c r="I10" s="64"/>
      <c r="J10" s="64"/>
      <c r="K10" s="550"/>
      <c r="L10" s="551"/>
      <c r="M10" s="552"/>
      <c r="N10" s="68"/>
      <c r="O10" s="62"/>
      <c r="P10" s="69"/>
      <c r="Q10" s="63"/>
      <c r="R10" s="63"/>
      <c r="S10" s="70"/>
    </row>
    <row r="11" spans="1:19" s="78" customFormat="1" ht="32.25" customHeight="1">
      <c r="A11" s="39">
        <v>1</v>
      </c>
      <c r="B11" s="71" t="s">
        <v>23</v>
      </c>
      <c r="C11" s="71" t="s">
        <v>24</v>
      </c>
      <c r="D11" s="72">
        <v>2166.75</v>
      </c>
      <c r="E11" s="6"/>
      <c r="F11" s="43"/>
      <c r="G11" s="48"/>
      <c r="H11" s="73">
        <v>0</v>
      </c>
      <c r="I11" s="73">
        <v>0</v>
      </c>
      <c r="J11" s="73">
        <v>0</v>
      </c>
      <c r="K11" s="553" t="s">
        <v>804</v>
      </c>
      <c r="L11" s="554" t="s">
        <v>805</v>
      </c>
      <c r="M11" s="555">
        <v>2166.75</v>
      </c>
      <c r="N11" s="5"/>
      <c r="O11" s="43"/>
      <c r="P11" s="47"/>
      <c r="Q11" s="48">
        <v>0</v>
      </c>
      <c r="R11" s="48">
        <v>0</v>
      </c>
      <c r="S11" s="77">
        <v>0</v>
      </c>
    </row>
    <row r="12" spans="1:19" s="78" customFormat="1" ht="32.25" customHeight="1">
      <c r="A12" s="39">
        <v>2</v>
      </c>
      <c r="B12" s="71" t="s">
        <v>27</v>
      </c>
      <c r="C12" s="71" t="s">
        <v>24</v>
      </c>
      <c r="D12" s="72">
        <v>274.99</v>
      </c>
      <c r="E12" s="6"/>
      <c r="F12" s="43"/>
      <c r="G12" s="48"/>
      <c r="H12" s="73">
        <v>0</v>
      </c>
      <c r="I12" s="73">
        <v>0</v>
      </c>
      <c r="J12" s="73">
        <v>0</v>
      </c>
      <c r="K12" s="553" t="s">
        <v>806</v>
      </c>
      <c r="L12" s="554" t="s">
        <v>807</v>
      </c>
      <c r="M12" s="555">
        <v>274.99</v>
      </c>
      <c r="N12" s="5"/>
      <c r="O12" s="43"/>
      <c r="P12" s="47"/>
      <c r="Q12" s="48">
        <v>0</v>
      </c>
      <c r="R12" s="48">
        <v>0</v>
      </c>
      <c r="S12" s="77">
        <v>0</v>
      </c>
    </row>
    <row r="13" spans="1:19" s="78" customFormat="1" ht="32.25" customHeight="1">
      <c r="A13" s="39">
        <v>3</v>
      </c>
      <c r="B13" s="71" t="s">
        <v>30</v>
      </c>
      <c r="C13" s="71" t="s">
        <v>24</v>
      </c>
      <c r="D13" s="72">
        <v>189.39</v>
      </c>
      <c r="E13" s="6"/>
      <c r="F13" s="43"/>
      <c r="G13" s="48"/>
      <c r="H13" s="73">
        <v>0</v>
      </c>
      <c r="I13" s="73">
        <v>0</v>
      </c>
      <c r="J13" s="73">
        <v>0</v>
      </c>
      <c r="K13" s="553" t="s">
        <v>806</v>
      </c>
      <c r="L13" s="554" t="s">
        <v>808</v>
      </c>
      <c r="M13" s="555">
        <v>189.39</v>
      </c>
      <c r="N13" s="5"/>
      <c r="O13" s="43"/>
      <c r="P13" s="47"/>
      <c r="Q13" s="48">
        <v>0</v>
      </c>
      <c r="R13" s="48">
        <v>0</v>
      </c>
      <c r="S13" s="77">
        <v>0</v>
      </c>
    </row>
    <row r="14" spans="1:19" s="78" customFormat="1" ht="32.25" customHeight="1">
      <c r="A14" s="39">
        <v>4</v>
      </c>
      <c r="B14" s="79"/>
      <c r="C14" s="80"/>
      <c r="D14" s="81"/>
      <c r="E14" s="6"/>
      <c r="F14" s="43"/>
      <c r="G14" s="48"/>
      <c r="H14" s="73"/>
      <c r="I14" s="73"/>
      <c r="J14" s="73"/>
      <c r="K14" s="556"/>
      <c r="L14" s="545"/>
      <c r="M14" s="546"/>
      <c r="N14" s="5"/>
      <c r="O14" s="43"/>
      <c r="P14" s="47"/>
      <c r="Q14" s="48"/>
      <c r="R14" s="48"/>
      <c r="S14" s="49"/>
    </row>
    <row r="15" spans="1:19" s="78" customFormat="1" ht="32.25" customHeight="1">
      <c r="A15" s="39">
        <v>5</v>
      </c>
      <c r="B15" s="80"/>
      <c r="C15" s="80"/>
      <c r="D15" s="81"/>
      <c r="E15" s="6"/>
      <c r="F15" s="43"/>
      <c r="G15" s="6"/>
      <c r="H15" s="42"/>
      <c r="I15" s="42"/>
      <c r="J15" s="42"/>
      <c r="K15" s="544"/>
      <c r="L15" s="545"/>
      <c r="M15" s="546"/>
      <c r="N15" s="5"/>
      <c r="O15" s="43"/>
      <c r="P15" s="47"/>
      <c r="Q15" s="48"/>
      <c r="R15" s="48"/>
      <c r="S15" s="49"/>
    </row>
    <row r="16" spans="1:19" ht="32.25" customHeight="1" thickBot="1">
      <c r="A16" s="39"/>
      <c r="B16" s="50" t="s">
        <v>19</v>
      </c>
      <c r="C16" s="50"/>
      <c r="D16" s="51">
        <f>SUM(D11:D15)</f>
        <v>2631.1299999999997</v>
      </c>
      <c r="E16" s="52"/>
      <c r="F16" s="53"/>
      <c r="G16" s="52"/>
      <c r="H16" s="51">
        <v>0</v>
      </c>
      <c r="I16" s="51">
        <v>0</v>
      </c>
      <c r="J16" s="51">
        <v>0</v>
      </c>
      <c r="K16" s="557"/>
      <c r="L16" s="558"/>
      <c r="M16" s="549">
        <f>SUM(M10:M15)</f>
        <v>2631.1299999999997</v>
      </c>
      <c r="N16" s="57"/>
      <c r="O16" s="53"/>
      <c r="P16" s="85"/>
      <c r="Q16" s="86"/>
      <c r="R16" s="86"/>
      <c r="S16" s="87"/>
    </row>
    <row r="17" spans="1:19" ht="32.25" customHeight="1" thickTop="1">
      <c r="A17" s="39"/>
      <c r="B17" s="58" t="s">
        <v>32</v>
      </c>
      <c r="C17" s="59"/>
      <c r="D17" s="60"/>
      <c r="E17" s="61"/>
      <c r="F17" s="62"/>
      <c r="G17" s="63"/>
      <c r="H17" s="64"/>
      <c r="I17" s="64"/>
      <c r="J17" s="64"/>
      <c r="K17" s="550"/>
      <c r="L17" s="551"/>
      <c r="M17" s="552"/>
      <c r="N17" s="68"/>
      <c r="O17" s="62"/>
      <c r="P17" s="69"/>
      <c r="Q17" s="63"/>
      <c r="R17" s="63"/>
      <c r="S17" s="70"/>
    </row>
    <row r="18" spans="1:19" s="78" customFormat="1" ht="32.25" customHeight="1">
      <c r="A18" s="39">
        <v>1</v>
      </c>
      <c r="B18" s="71" t="s">
        <v>23</v>
      </c>
      <c r="C18" s="71" t="s">
        <v>33</v>
      </c>
      <c r="D18" s="88">
        <v>780</v>
      </c>
      <c r="E18" s="6"/>
      <c r="F18" s="43"/>
      <c r="G18" s="89"/>
      <c r="H18" s="42">
        <v>0</v>
      </c>
      <c r="I18" s="42">
        <v>0</v>
      </c>
      <c r="J18" s="42">
        <v>0</v>
      </c>
      <c r="K18" s="553" t="s">
        <v>804</v>
      </c>
      <c r="L18" s="559" t="s">
        <v>809</v>
      </c>
      <c r="M18" s="555">
        <v>780</v>
      </c>
      <c r="N18" s="5"/>
      <c r="O18" s="43"/>
      <c r="P18" s="47"/>
      <c r="Q18" s="91">
        <v>0</v>
      </c>
      <c r="R18" s="92">
        <v>0</v>
      </c>
      <c r="S18" s="93">
        <v>0</v>
      </c>
    </row>
    <row r="19" spans="1:19" s="78" customFormat="1" ht="32.25" customHeight="1">
      <c r="A19" s="39">
        <v>2</v>
      </c>
      <c r="B19" s="71" t="s">
        <v>27</v>
      </c>
      <c r="C19" s="71" t="s">
        <v>33</v>
      </c>
      <c r="D19" s="88">
        <v>120</v>
      </c>
      <c r="E19" s="6"/>
      <c r="F19" s="43"/>
      <c r="G19" s="89"/>
      <c r="H19" s="42"/>
      <c r="I19" s="42"/>
      <c r="J19" s="42">
        <v>0</v>
      </c>
      <c r="K19" s="553" t="s">
        <v>806</v>
      </c>
      <c r="L19" s="560" t="s">
        <v>810</v>
      </c>
      <c r="M19" s="555">
        <v>120</v>
      </c>
      <c r="N19" s="5"/>
      <c r="O19" s="43"/>
      <c r="P19" s="47"/>
      <c r="Q19" s="91">
        <v>0</v>
      </c>
      <c r="R19" s="92">
        <v>0</v>
      </c>
      <c r="S19" s="95">
        <v>0</v>
      </c>
    </row>
    <row r="20" spans="1:19" s="78" customFormat="1" ht="32.25" customHeight="1">
      <c r="A20" s="39">
        <v>3</v>
      </c>
      <c r="B20" s="71" t="s">
        <v>30</v>
      </c>
      <c r="C20" s="71" t="s">
        <v>33</v>
      </c>
      <c r="D20" s="96">
        <v>0</v>
      </c>
      <c r="E20" s="6"/>
      <c r="F20" s="43"/>
      <c r="G20" s="89"/>
      <c r="H20" s="42"/>
      <c r="I20" s="42"/>
      <c r="J20" s="42"/>
      <c r="K20" s="523"/>
      <c r="L20" s="524"/>
      <c r="M20" s="525"/>
      <c r="N20" s="5"/>
      <c r="O20" s="43"/>
      <c r="P20" s="47"/>
      <c r="Q20" s="6"/>
      <c r="R20" s="42"/>
      <c r="S20" s="100"/>
    </row>
    <row r="21" spans="1:19" ht="32.25" customHeight="1" thickBot="1">
      <c r="A21" s="39"/>
      <c r="B21" s="50" t="s">
        <v>19</v>
      </c>
      <c r="C21" s="50"/>
      <c r="D21" s="51">
        <f>SUM(D18:D20)</f>
        <v>900</v>
      </c>
      <c r="E21" s="52"/>
      <c r="F21" s="53"/>
      <c r="G21" s="52"/>
      <c r="H21" s="51">
        <v>0</v>
      </c>
      <c r="I21" s="51">
        <v>0</v>
      </c>
      <c r="J21" s="51">
        <v>0</v>
      </c>
      <c r="K21" s="561"/>
      <c r="L21" s="562"/>
      <c r="M21" s="563">
        <f>SUM(M18:M20)</f>
        <v>900</v>
      </c>
      <c r="N21" s="57"/>
      <c r="O21" s="53"/>
      <c r="P21" s="51"/>
      <c r="Q21" s="51"/>
      <c r="R21" s="51"/>
      <c r="S21" s="51"/>
    </row>
    <row r="22" spans="1:19" ht="32.25" hidden="1" customHeight="1">
      <c r="A22" s="104" t="s">
        <v>36</v>
      </c>
      <c r="B22" s="104" t="s">
        <v>37</v>
      </c>
      <c r="C22" s="105">
        <v>780</v>
      </c>
      <c r="D22" s="60"/>
      <c r="E22" s="61"/>
      <c r="F22" s="62"/>
      <c r="G22" s="63"/>
      <c r="H22" s="64"/>
      <c r="I22" s="64"/>
      <c r="J22" s="64"/>
      <c r="K22" s="550"/>
      <c r="L22" s="551"/>
      <c r="M22" s="552"/>
      <c r="N22" s="68"/>
      <c r="O22" s="62"/>
      <c r="P22" s="69"/>
      <c r="Q22" s="63"/>
      <c r="R22" s="63"/>
      <c r="S22" s="70"/>
    </row>
    <row r="23" spans="1:19" ht="32.25" hidden="1" customHeight="1">
      <c r="A23" s="104" t="s">
        <v>36</v>
      </c>
      <c r="B23" s="104" t="s">
        <v>38</v>
      </c>
      <c r="C23" s="105">
        <v>180</v>
      </c>
      <c r="D23" s="42"/>
      <c r="E23" s="6"/>
      <c r="F23" s="43"/>
      <c r="G23" s="6"/>
      <c r="H23" s="42"/>
      <c r="I23" s="42"/>
      <c r="J23" s="42"/>
      <c r="K23" s="544"/>
      <c r="L23" s="545"/>
      <c r="M23" s="546"/>
      <c r="N23" s="5"/>
      <c r="O23" s="43"/>
      <c r="P23" s="47"/>
      <c r="Q23" s="48"/>
      <c r="R23" s="48"/>
      <c r="S23" s="49"/>
    </row>
    <row r="24" spans="1:19" ht="32.25" hidden="1" customHeight="1">
      <c r="A24" s="39"/>
      <c r="B24" s="50" t="s">
        <v>19</v>
      </c>
      <c r="C24" s="50"/>
      <c r="D24" s="51">
        <v>0</v>
      </c>
      <c r="E24" s="52"/>
      <c r="F24" s="53"/>
      <c r="G24" s="52"/>
      <c r="H24" s="51">
        <v>0</v>
      </c>
      <c r="I24" s="51">
        <v>0</v>
      </c>
      <c r="J24" s="51">
        <v>0</v>
      </c>
      <c r="K24" s="547"/>
      <c r="L24" s="548"/>
      <c r="M24" s="549"/>
      <c r="N24" s="57"/>
      <c r="O24" s="53"/>
      <c r="P24" s="51"/>
      <c r="Q24" s="51"/>
      <c r="R24" s="51"/>
      <c r="S24" s="51"/>
    </row>
    <row r="25" spans="1:19" ht="32.25" hidden="1" customHeight="1">
      <c r="A25" s="39"/>
      <c r="B25" s="58" t="s">
        <v>39</v>
      </c>
      <c r="C25" s="59"/>
      <c r="D25" s="60"/>
      <c r="E25" s="61"/>
      <c r="F25" s="62"/>
      <c r="G25" s="63"/>
      <c r="H25" s="64"/>
      <c r="I25" s="64"/>
      <c r="J25" s="64"/>
      <c r="K25" s="550"/>
      <c r="L25" s="551"/>
      <c r="M25" s="552"/>
      <c r="N25" s="68"/>
      <c r="O25" s="62"/>
      <c r="P25" s="69"/>
      <c r="Q25" s="63"/>
      <c r="R25" s="63"/>
      <c r="S25" s="70"/>
    </row>
    <row r="26" spans="1:19" ht="32.25" hidden="1" customHeight="1">
      <c r="A26" s="39">
        <v>1</v>
      </c>
      <c r="B26" s="40"/>
      <c r="C26" s="41"/>
      <c r="D26" s="42"/>
      <c r="E26" s="6"/>
      <c r="F26" s="43"/>
      <c r="G26" s="6"/>
      <c r="H26" s="42"/>
      <c r="I26" s="42"/>
      <c r="J26" s="42"/>
      <c r="K26" s="544"/>
      <c r="L26" s="545"/>
      <c r="M26" s="546"/>
      <c r="N26" s="5"/>
      <c r="O26" s="43"/>
      <c r="P26" s="47"/>
      <c r="Q26" s="48"/>
      <c r="R26" s="48"/>
      <c r="S26" s="49"/>
    </row>
    <row r="27" spans="1:19" ht="32.25" hidden="1" customHeight="1">
      <c r="A27" s="39"/>
      <c r="B27" s="50" t="s">
        <v>19</v>
      </c>
      <c r="C27" s="50"/>
      <c r="D27" s="51">
        <v>0</v>
      </c>
      <c r="E27" s="52"/>
      <c r="F27" s="53"/>
      <c r="G27" s="52"/>
      <c r="H27" s="51">
        <v>0</v>
      </c>
      <c r="I27" s="51">
        <v>0</v>
      </c>
      <c r="J27" s="51">
        <v>0</v>
      </c>
      <c r="K27" s="547"/>
      <c r="L27" s="548"/>
      <c r="M27" s="549"/>
      <c r="N27" s="57"/>
      <c r="O27" s="53"/>
      <c r="P27" s="51"/>
      <c r="Q27" s="51"/>
      <c r="R27" s="51"/>
      <c r="S27" s="51"/>
    </row>
    <row r="28" spans="1:19" ht="32.25" hidden="1" customHeight="1">
      <c r="A28" s="39"/>
      <c r="B28" s="58" t="s">
        <v>40</v>
      </c>
      <c r="C28" s="59"/>
      <c r="D28" s="60"/>
      <c r="E28" s="61"/>
      <c r="F28" s="62"/>
      <c r="G28" s="63"/>
      <c r="H28" s="64"/>
      <c r="I28" s="64"/>
      <c r="J28" s="64"/>
      <c r="K28" s="550"/>
      <c r="L28" s="551"/>
      <c r="M28" s="552"/>
      <c r="N28" s="68"/>
      <c r="O28" s="62"/>
      <c r="P28" s="69"/>
      <c r="Q28" s="63"/>
      <c r="R28" s="63"/>
      <c r="S28" s="70"/>
    </row>
    <row r="29" spans="1:19" ht="32.25" hidden="1" customHeight="1">
      <c r="A29" s="39">
        <v>1</v>
      </c>
      <c r="B29" s="40"/>
      <c r="C29" s="41"/>
      <c r="D29" s="42"/>
      <c r="E29" s="6"/>
      <c r="F29" s="43"/>
      <c r="G29" s="6"/>
      <c r="H29" s="42"/>
      <c r="I29" s="42"/>
      <c r="J29" s="42"/>
      <c r="K29" s="544"/>
      <c r="L29" s="545"/>
      <c r="M29" s="546"/>
      <c r="N29" s="5"/>
      <c r="O29" s="43"/>
      <c r="P29" s="47"/>
      <c r="Q29" s="48"/>
      <c r="R29" s="48"/>
      <c r="S29" s="49"/>
    </row>
    <row r="30" spans="1:19" ht="32.25" hidden="1" customHeight="1">
      <c r="A30" s="39"/>
      <c r="B30" s="50" t="s">
        <v>19</v>
      </c>
      <c r="C30" s="50"/>
      <c r="D30" s="51">
        <v>0</v>
      </c>
      <c r="E30" s="52"/>
      <c r="F30" s="53"/>
      <c r="G30" s="52"/>
      <c r="H30" s="51">
        <v>0</v>
      </c>
      <c r="I30" s="51">
        <v>0</v>
      </c>
      <c r="J30" s="51">
        <v>0</v>
      </c>
      <c r="K30" s="547"/>
      <c r="L30" s="548"/>
      <c r="M30" s="549"/>
      <c r="N30" s="57"/>
      <c r="O30" s="53"/>
      <c r="P30" s="51"/>
      <c r="Q30" s="51"/>
      <c r="R30" s="51"/>
      <c r="S30" s="51"/>
    </row>
    <row r="31" spans="1:19" ht="32.25" customHeight="1" thickTop="1">
      <c r="A31" s="39"/>
      <c r="B31" s="58" t="s">
        <v>41</v>
      </c>
      <c r="C31" s="59"/>
      <c r="D31" s="60"/>
      <c r="E31" s="61"/>
      <c r="F31" s="62"/>
      <c r="G31" s="63"/>
      <c r="H31" s="64"/>
      <c r="I31" s="64"/>
      <c r="J31" s="64"/>
      <c r="K31" s="550"/>
      <c r="L31" s="551"/>
      <c r="M31" s="552"/>
      <c r="N31" s="68"/>
      <c r="O31" s="62"/>
      <c r="P31" s="69"/>
      <c r="Q31" s="63"/>
      <c r="R31" s="63"/>
      <c r="S31" s="70"/>
    </row>
    <row r="32" spans="1:19" ht="32.25" customHeight="1">
      <c r="A32" s="106">
        <v>1</v>
      </c>
      <c r="B32" s="107" t="s">
        <v>404</v>
      </c>
      <c r="C32" s="107" t="s">
        <v>400</v>
      </c>
      <c r="D32" s="108">
        <v>321</v>
      </c>
      <c r="E32" s="109"/>
      <c r="F32" s="110"/>
      <c r="G32" s="111"/>
      <c r="H32" s="111">
        <v>0</v>
      </c>
      <c r="I32" s="112">
        <v>0</v>
      </c>
      <c r="J32" s="113">
        <v>0</v>
      </c>
      <c r="K32" s="553" t="s">
        <v>811</v>
      </c>
      <c r="L32" s="554" t="s">
        <v>812</v>
      </c>
      <c r="M32" s="555">
        <v>321</v>
      </c>
      <c r="N32" s="114"/>
      <c r="O32" s="115"/>
      <c r="P32" s="92"/>
      <c r="Q32" s="91">
        <v>0</v>
      </c>
      <c r="R32" s="92">
        <v>0</v>
      </c>
      <c r="S32" s="77">
        <v>0</v>
      </c>
    </row>
    <row r="33" spans="1:19" ht="32.25" customHeight="1">
      <c r="A33" s="106">
        <v>2</v>
      </c>
      <c r="B33" s="117" t="s">
        <v>484</v>
      </c>
      <c r="C33" s="107" t="s">
        <v>400</v>
      </c>
      <c r="D33" s="108">
        <v>321</v>
      </c>
      <c r="E33" s="118"/>
      <c r="F33" s="119"/>
      <c r="G33" s="111"/>
      <c r="H33" s="111">
        <v>0</v>
      </c>
      <c r="I33" s="120">
        <v>0</v>
      </c>
      <c r="J33" s="121">
        <v>0</v>
      </c>
      <c r="K33" s="553" t="s">
        <v>813</v>
      </c>
      <c r="L33" s="554" t="s">
        <v>814</v>
      </c>
      <c r="M33" s="555">
        <v>321</v>
      </c>
      <c r="N33" s="114"/>
      <c r="O33" s="122"/>
      <c r="P33" s="92"/>
      <c r="Q33" s="91">
        <v>0</v>
      </c>
      <c r="R33" s="92">
        <v>0</v>
      </c>
      <c r="S33" s="77">
        <v>0</v>
      </c>
    </row>
    <row r="34" spans="1:19" ht="32.25" customHeight="1">
      <c r="A34" s="106">
        <v>3</v>
      </c>
      <c r="B34" s="117" t="s">
        <v>626</v>
      </c>
      <c r="C34" s="107" t="s">
        <v>400</v>
      </c>
      <c r="D34" s="123">
        <v>642</v>
      </c>
      <c r="E34" s="109"/>
      <c r="F34" s="110"/>
      <c r="G34" s="124"/>
      <c r="H34" s="124">
        <v>0</v>
      </c>
      <c r="I34" s="112">
        <v>0</v>
      </c>
      <c r="J34" s="113">
        <v>0</v>
      </c>
      <c r="K34" s="553" t="s">
        <v>815</v>
      </c>
      <c r="L34" s="554" t="s">
        <v>816</v>
      </c>
      <c r="M34" s="555">
        <v>642</v>
      </c>
      <c r="N34" s="114"/>
      <c r="O34" s="115"/>
      <c r="P34" s="125"/>
      <c r="Q34" s="91">
        <v>0</v>
      </c>
      <c r="R34" s="92">
        <v>0</v>
      </c>
      <c r="S34" s="77">
        <v>0</v>
      </c>
    </row>
    <row r="35" spans="1:19" ht="32.25" customHeight="1">
      <c r="A35" s="106">
        <v>4</v>
      </c>
      <c r="B35" s="117" t="s">
        <v>526</v>
      </c>
      <c r="C35" s="107" t="s">
        <v>400</v>
      </c>
      <c r="D35" s="123">
        <v>642</v>
      </c>
      <c r="E35" s="466"/>
      <c r="F35" s="127"/>
      <c r="G35" s="126"/>
      <c r="H35" s="126">
        <v>0</v>
      </c>
      <c r="I35" s="128">
        <v>0</v>
      </c>
      <c r="J35" s="129">
        <v>0</v>
      </c>
      <c r="K35" s="553" t="s">
        <v>817</v>
      </c>
      <c r="L35" s="554" t="s">
        <v>818</v>
      </c>
      <c r="M35" s="555">
        <v>642</v>
      </c>
      <c r="N35" s="30"/>
      <c r="O35" s="31"/>
      <c r="P35" s="29"/>
      <c r="Q35" s="91"/>
      <c r="R35" s="92"/>
      <c r="S35" s="77"/>
    </row>
    <row r="36" spans="1:19" ht="32.25" customHeight="1">
      <c r="A36" s="106">
        <v>5</v>
      </c>
      <c r="B36" s="117" t="s">
        <v>717</v>
      </c>
      <c r="C36" s="107" t="s">
        <v>400</v>
      </c>
      <c r="D36" s="123">
        <v>642</v>
      </c>
      <c r="E36" s="126"/>
      <c r="F36" s="127"/>
      <c r="G36" s="126"/>
      <c r="H36" s="128">
        <v>0</v>
      </c>
      <c r="I36" s="128">
        <v>0</v>
      </c>
      <c r="J36" s="129">
        <v>0</v>
      </c>
      <c r="K36" s="553" t="s">
        <v>817</v>
      </c>
      <c r="L36" s="554" t="s">
        <v>819</v>
      </c>
      <c r="M36" s="555">
        <v>642</v>
      </c>
      <c r="N36" s="30"/>
      <c r="O36" s="31"/>
      <c r="P36" s="31"/>
      <c r="Q36" s="91">
        <v>0</v>
      </c>
      <c r="R36" s="92">
        <v>0</v>
      </c>
      <c r="S36" s="77">
        <v>0</v>
      </c>
    </row>
    <row r="37" spans="1:19" ht="32.25" customHeight="1">
      <c r="A37" s="106">
        <v>6</v>
      </c>
      <c r="B37" s="117" t="s">
        <v>730</v>
      </c>
      <c r="C37" s="107" t="s">
        <v>400</v>
      </c>
      <c r="D37" s="123">
        <v>642</v>
      </c>
      <c r="E37" s="126"/>
      <c r="F37" s="127"/>
      <c r="G37" s="126"/>
      <c r="H37" s="128">
        <v>0</v>
      </c>
      <c r="I37" s="128">
        <v>0</v>
      </c>
      <c r="J37" s="129">
        <v>0</v>
      </c>
      <c r="K37" s="553" t="s">
        <v>817</v>
      </c>
      <c r="L37" s="554" t="s">
        <v>820</v>
      </c>
      <c r="M37" s="555">
        <v>642</v>
      </c>
      <c r="N37" s="30"/>
      <c r="O37" s="31"/>
      <c r="P37" s="31"/>
      <c r="Q37" s="91"/>
      <c r="R37" s="92"/>
      <c r="S37" s="77"/>
    </row>
    <row r="38" spans="1:19" ht="32.25" customHeight="1">
      <c r="A38" s="106">
        <v>7</v>
      </c>
      <c r="B38" s="117" t="s">
        <v>722</v>
      </c>
      <c r="C38" s="107" t="s">
        <v>400</v>
      </c>
      <c r="D38" s="123">
        <v>642</v>
      </c>
      <c r="E38" s="126"/>
      <c r="F38" s="127"/>
      <c r="G38" s="126"/>
      <c r="H38" s="128">
        <v>0</v>
      </c>
      <c r="I38" s="128">
        <v>0</v>
      </c>
      <c r="J38" s="129">
        <v>0</v>
      </c>
      <c r="K38" s="553" t="s">
        <v>817</v>
      </c>
      <c r="L38" s="554" t="s">
        <v>821</v>
      </c>
      <c r="M38" s="555">
        <v>642</v>
      </c>
      <c r="N38" s="30"/>
      <c r="O38" s="31"/>
      <c r="P38" s="31"/>
      <c r="Q38" s="91"/>
      <c r="R38" s="92"/>
      <c r="S38" s="77"/>
    </row>
    <row r="39" spans="1:19" ht="32.25" customHeight="1">
      <c r="A39" s="106">
        <v>8</v>
      </c>
      <c r="B39" s="117" t="s">
        <v>485</v>
      </c>
      <c r="C39" s="107" t="s">
        <v>400</v>
      </c>
      <c r="D39" s="123">
        <v>642</v>
      </c>
      <c r="E39" s="126"/>
      <c r="F39" s="127"/>
      <c r="G39" s="126"/>
      <c r="H39" s="128">
        <v>0</v>
      </c>
      <c r="I39" s="128">
        <v>0</v>
      </c>
      <c r="J39" s="129">
        <v>0</v>
      </c>
      <c r="K39" s="553" t="s">
        <v>804</v>
      </c>
      <c r="L39" s="554" t="s">
        <v>822</v>
      </c>
      <c r="M39" s="555">
        <v>642</v>
      </c>
      <c r="N39" s="30"/>
      <c r="O39" s="31"/>
      <c r="P39" s="31"/>
      <c r="Q39" s="91"/>
      <c r="R39" s="92"/>
      <c r="S39" s="77"/>
    </row>
    <row r="40" spans="1:19" ht="32.25" customHeight="1">
      <c r="A40" s="106">
        <v>9</v>
      </c>
      <c r="B40" s="117" t="s">
        <v>639</v>
      </c>
      <c r="C40" s="107" t="s">
        <v>400</v>
      </c>
      <c r="D40" s="123">
        <v>642</v>
      </c>
      <c r="E40" s="126"/>
      <c r="F40" s="127"/>
      <c r="G40" s="126"/>
      <c r="H40" s="128">
        <v>0</v>
      </c>
      <c r="I40" s="128">
        <v>0</v>
      </c>
      <c r="J40" s="129">
        <v>0</v>
      </c>
      <c r="K40" s="553" t="s">
        <v>804</v>
      </c>
      <c r="L40" s="554" t="s">
        <v>823</v>
      </c>
      <c r="M40" s="555">
        <v>642</v>
      </c>
      <c r="N40" s="114"/>
      <c r="O40" s="115"/>
      <c r="P40" s="115"/>
      <c r="Q40" s="91">
        <v>0</v>
      </c>
      <c r="R40" s="92">
        <v>0</v>
      </c>
      <c r="S40" s="77">
        <v>0</v>
      </c>
    </row>
    <row r="41" spans="1:19" ht="32.25" customHeight="1">
      <c r="A41" s="116">
        <v>10</v>
      </c>
      <c r="B41" s="117" t="s">
        <v>726</v>
      </c>
      <c r="C41" s="107" t="s">
        <v>400</v>
      </c>
      <c r="D41" s="123">
        <v>642</v>
      </c>
      <c r="E41" s="501"/>
      <c r="F41" s="502"/>
      <c r="G41" s="501"/>
      <c r="H41" s="503">
        <v>0</v>
      </c>
      <c r="I41" s="503">
        <v>0</v>
      </c>
      <c r="J41" s="504">
        <v>0</v>
      </c>
      <c r="K41" s="564" t="s">
        <v>804</v>
      </c>
      <c r="L41" s="565" t="s">
        <v>824</v>
      </c>
      <c r="M41" s="566">
        <v>642</v>
      </c>
      <c r="N41" s="5"/>
      <c r="O41" s="43"/>
      <c r="P41" s="43"/>
      <c r="Q41" s="91"/>
      <c r="R41" s="92"/>
      <c r="S41" s="77"/>
    </row>
    <row r="42" spans="1:19" ht="32.25" customHeight="1">
      <c r="A42" s="116">
        <v>11</v>
      </c>
      <c r="B42" s="117" t="s">
        <v>703</v>
      </c>
      <c r="C42" s="107" t="s">
        <v>400</v>
      </c>
      <c r="D42" s="123">
        <v>642</v>
      </c>
      <c r="E42" s="501"/>
      <c r="F42" s="502"/>
      <c r="G42" s="501"/>
      <c r="H42" s="503">
        <v>0</v>
      </c>
      <c r="I42" s="503">
        <v>0</v>
      </c>
      <c r="J42" s="504">
        <v>0</v>
      </c>
      <c r="K42" s="564" t="s">
        <v>804</v>
      </c>
      <c r="L42" s="565" t="s">
        <v>825</v>
      </c>
      <c r="M42" s="566">
        <v>642</v>
      </c>
      <c r="N42" s="5"/>
      <c r="O42" s="43"/>
      <c r="P42" s="43"/>
      <c r="Q42" s="91"/>
      <c r="R42" s="92"/>
      <c r="S42" s="77"/>
    </row>
    <row r="43" spans="1:19" ht="32.25" customHeight="1">
      <c r="A43" s="116">
        <v>12</v>
      </c>
      <c r="B43" s="117" t="s">
        <v>649</v>
      </c>
      <c r="C43" s="107" t="s">
        <v>400</v>
      </c>
      <c r="D43" s="123">
        <v>642</v>
      </c>
      <c r="E43" s="501"/>
      <c r="F43" s="502"/>
      <c r="G43" s="501"/>
      <c r="H43" s="503">
        <v>0</v>
      </c>
      <c r="I43" s="503">
        <v>0</v>
      </c>
      <c r="J43" s="504">
        <v>0</v>
      </c>
      <c r="K43" s="564" t="s">
        <v>804</v>
      </c>
      <c r="L43" s="565" t="s">
        <v>826</v>
      </c>
      <c r="M43" s="566">
        <v>642</v>
      </c>
      <c r="N43" s="5"/>
      <c r="O43" s="43"/>
      <c r="P43" s="43"/>
      <c r="Q43" s="91"/>
      <c r="R43" s="92"/>
      <c r="S43" s="77"/>
    </row>
    <row r="44" spans="1:19" ht="32.25" customHeight="1">
      <c r="A44" s="116">
        <v>13</v>
      </c>
      <c r="B44" s="117" t="s">
        <v>827</v>
      </c>
      <c r="C44" s="107" t="s">
        <v>400</v>
      </c>
      <c r="D44" s="123">
        <v>642</v>
      </c>
      <c r="E44" s="501"/>
      <c r="F44" s="502"/>
      <c r="G44" s="501"/>
      <c r="H44" s="503">
        <v>0</v>
      </c>
      <c r="I44" s="503">
        <v>0</v>
      </c>
      <c r="J44" s="504">
        <v>0</v>
      </c>
      <c r="K44" s="564" t="s">
        <v>828</v>
      </c>
      <c r="L44" s="565" t="s">
        <v>829</v>
      </c>
      <c r="M44" s="566">
        <v>642</v>
      </c>
      <c r="N44" s="5"/>
      <c r="O44" s="43"/>
      <c r="P44" s="43"/>
      <c r="Q44" s="91"/>
      <c r="R44" s="92"/>
      <c r="S44" s="77"/>
    </row>
    <row r="45" spans="1:19" ht="32.25" customHeight="1">
      <c r="A45" s="116"/>
      <c r="B45" s="117"/>
      <c r="C45" s="107"/>
      <c r="D45" s="123"/>
      <c r="E45" s="501"/>
      <c r="F45" s="502"/>
      <c r="G45" s="501"/>
      <c r="H45" s="503"/>
      <c r="I45" s="503"/>
      <c r="J45" s="504"/>
      <c r="K45" s="564"/>
      <c r="L45" s="565"/>
      <c r="M45" s="566"/>
      <c r="N45" s="5"/>
      <c r="O45" s="43"/>
      <c r="P45" s="43"/>
      <c r="Q45" s="91"/>
      <c r="R45" s="92"/>
      <c r="S45" s="77"/>
    </row>
    <row r="46" spans="1:19" ht="32.25" customHeight="1">
      <c r="A46" s="116"/>
      <c r="B46" s="117"/>
      <c r="C46" s="107"/>
      <c r="D46" s="123"/>
      <c r="E46" s="501"/>
      <c r="F46" s="502"/>
      <c r="G46" s="501"/>
      <c r="H46" s="503"/>
      <c r="I46" s="503"/>
      <c r="J46" s="504"/>
      <c r="K46" s="564"/>
      <c r="L46" s="565"/>
      <c r="M46" s="566"/>
      <c r="N46" s="5"/>
      <c r="O46" s="43"/>
      <c r="P46" s="43"/>
      <c r="Q46" s="91"/>
      <c r="R46" s="92"/>
      <c r="S46" s="77"/>
    </row>
    <row r="47" spans="1:19" ht="32.25" customHeight="1">
      <c r="A47" s="116"/>
      <c r="B47" s="117"/>
      <c r="C47" s="107"/>
      <c r="D47" s="123"/>
      <c r="E47" s="501"/>
      <c r="F47" s="502"/>
      <c r="G47" s="501"/>
      <c r="H47" s="503"/>
      <c r="I47" s="503"/>
      <c r="J47" s="504"/>
      <c r="K47" s="564"/>
      <c r="L47" s="565"/>
      <c r="M47" s="566"/>
      <c r="N47" s="5"/>
      <c r="O47" s="43"/>
      <c r="P47" s="43"/>
      <c r="Q47" s="91"/>
      <c r="R47" s="92"/>
      <c r="S47" s="77"/>
    </row>
    <row r="48" spans="1:19" ht="32.25" customHeight="1">
      <c r="A48" s="116"/>
      <c r="B48" s="117"/>
      <c r="C48" s="107"/>
      <c r="D48" s="123"/>
      <c r="E48" s="501"/>
      <c r="F48" s="502"/>
      <c r="G48" s="501"/>
      <c r="H48" s="503"/>
      <c r="I48" s="503"/>
      <c r="J48" s="504"/>
      <c r="K48" s="564"/>
      <c r="L48" s="565"/>
      <c r="M48" s="566"/>
      <c r="N48" s="5"/>
      <c r="O48" s="43"/>
      <c r="P48" s="43"/>
      <c r="Q48" s="91"/>
      <c r="R48" s="92"/>
      <c r="S48" s="77"/>
    </row>
    <row r="49" spans="1:19" ht="32.25" customHeight="1">
      <c r="A49" s="116">
        <v>18</v>
      </c>
      <c r="B49" s="117"/>
      <c r="C49" s="107"/>
      <c r="D49" s="123"/>
      <c r="E49" s="501"/>
      <c r="F49" s="502"/>
      <c r="G49" s="501"/>
      <c r="H49" s="503"/>
      <c r="I49" s="503"/>
      <c r="J49" s="504"/>
      <c r="K49" s="564"/>
      <c r="L49" s="565"/>
      <c r="M49" s="566"/>
      <c r="N49" s="5"/>
      <c r="O49" s="43"/>
      <c r="P49" s="43"/>
      <c r="Q49" s="91"/>
      <c r="R49" s="92"/>
      <c r="S49" s="77"/>
    </row>
    <row r="50" spans="1:19" ht="32.25" customHeight="1">
      <c r="A50" s="116">
        <v>19</v>
      </c>
      <c r="B50" s="117"/>
      <c r="C50" s="107"/>
      <c r="D50" s="123"/>
      <c r="E50" s="501"/>
      <c r="F50" s="502"/>
      <c r="G50" s="501"/>
      <c r="H50" s="503"/>
      <c r="I50" s="503"/>
      <c r="J50" s="504"/>
      <c r="K50" s="564"/>
      <c r="L50" s="565"/>
      <c r="M50" s="566"/>
      <c r="N50" s="5"/>
      <c r="O50" s="43"/>
      <c r="P50" s="43"/>
      <c r="Q50" s="91"/>
      <c r="R50" s="92"/>
      <c r="S50" s="77"/>
    </row>
    <row r="51" spans="1:19" ht="32.25" customHeight="1">
      <c r="A51" s="116"/>
      <c r="B51" s="117"/>
      <c r="C51" s="107"/>
      <c r="D51" s="123"/>
      <c r="E51" s="501"/>
      <c r="F51" s="502"/>
      <c r="G51" s="501"/>
      <c r="H51" s="503"/>
      <c r="I51" s="503"/>
      <c r="J51" s="504"/>
      <c r="K51" s="564"/>
      <c r="L51" s="565"/>
      <c r="M51" s="566"/>
      <c r="N51" s="5"/>
      <c r="O51" s="43"/>
      <c r="P51" s="43"/>
      <c r="Q51" s="91"/>
      <c r="R51" s="92"/>
      <c r="S51" s="77"/>
    </row>
    <row r="52" spans="1:19" ht="32.25" customHeight="1" thickBot="1">
      <c r="A52" s="39"/>
      <c r="B52" s="50" t="s">
        <v>19</v>
      </c>
      <c r="C52" s="50"/>
      <c r="D52" s="51">
        <f>SUM(D32:D51)</f>
        <v>7704</v>
      </c>
      <c r="E52" s="52"/>
      <c r="F52" s="53"/>
      <c r="G52" s="52"/>
      <c r="H52" s="51">
        <v>0</v>
      </c>
      <c r="I52" s="51">
        <v>0</v>
      </c>
      <c r="J52" s="51">
        <v>0</v>
      </c>
      <c r="K52" s="548"/>
      <c r="L52" s="548"/>
      <c r="M52" s="549">
        <f>SUM(M32:M51)</f>
        <v>7704</v>
      </c>
      <c r="N52" s="57"/>
      <c r="O52" s="53"/>
      <c r="P52" s="51"/>
      <c r="Q52" s="51"/>
      <c r="R52" s="51"/>
      <c r="S52" s="51"/>
    </row>
    <row r="53" spans="1:19" ht="32.25" customHeight="1" thickTop="1">
      <c r="A53" s="39"/>
      <c r="B53" s="58" t="s">
        <v>47</v>
      </c>
      <c r="C53" s="59"/>
      <c r="D53" s="60"/>
      <c r="E53" s="61"/>
      <c r="F53" s="62"/>
      <c r="G53" s="63"/>
      <c r="H53" s="64"/>
      <c r="I53" s="64"/>
      <c r="J53" s="64"/>
      <c r="K53" s="550"/>
      <c r="L53" s="551"/>
      <c r="M53" s="552"/>
      <c r="N53" s="68"/>
      <c r="O53" s="62"/>
      <c r="P53" s="69"/>
      <c r="Q53" s="63"/>
      <c r="R53" s="63"/>
      <c r="S53" s="70"/>
    </row>
    <row r="54" spans="1:19" ht="32.25" customHeight="1">
      <c r="A54" s="39">
        <v>1</v>
      </c>
      <c r="B54" s="40"/>
      <c r="C54" s="41"/>
      <c r="D54" s="42"/>
      <c r="E54" s="6"/>
      <c r="F54" s="43"/>
      <c r="G54" s="6"/>
      <c r="H54" s="42"/>
      <c r="I54" s="42"/>
      <c r="J54" s="42"/>
      <c r="K54" s="544"/>
      <c r="L54" s="545"/>
      <c r="M54" s="546"/>
      <c r="N54" s="5"/>
      <c r="O54" s="43"/>
      <c r="P54" s="47"/>
      <c r="Q54" s="48"/>
      <c r="R54" s="48"/>
      <c r="S54" s="49"/>
    </row>
    <row r="55" spans="1:19" ht="32.25" customHeight="1" thickBot="1">
      <c r="A55" s="39"/>
      <c r="B55" s="50" t="s">
        <v>19</v>
      </c>
      <c r="C55" s="50"/>
      <c r="D55" s="51">
        <v>0</v>
      </c>
      <c r="E55" s="52"/>
      <c r="F55" s="53"/>
      <c r="G55" s="52"/>
      <c r="H55" s="51">
        <v>0</v>
      </c>
      <c r="I55" s="51">
        <v>0</v>
      </c>
      <c r="J55" s="51">
        <v>0</v>
      </c>
      <c r="K55" s="547"/>
      <c r="L55" s="548"/>
      <c r="M55" s="549"/>
      <c r="N55" s="57"/>
      <c r="O55" s="53"/>
      <c r="P55" s="51"/>
      <c r="Q55" s="51"/>
      <c r="R55" s="51"/>
      <c r="S55" s="51"/>
    </row>
    <row r="56" spans="1:19" ht="32.25" customHeight="1" thickTop="1">
      <c r="A56" s="39"/>
      <c r="B56" s="58" t="s">
        <v>48</v>
      </c>
      <c r="C56" s="59"/>
      <c r="D56" s="60"/>
      <c r="E56" s="61"/>
      <c r="F56" s="62"/>
      <c r="G56" s="63"/>
      <c r="H56" s="64"/>
      <c r="I56" s="64"/>
      <c r="J56" s="64"/>
      <c r="K56" s="550"/>
      <c r="L56" s="551"/>
      <c r="M56" s="552"/>
      <c r="N56" s="68"/>
      <c r="O56" s="62"/>
      <c r="P56" s="69"/>
      <c r="Q56" s="63"/>
      <c r="R56" s="63"/>
      <c r="S56" s="70"/>
    </row>
    <row r="57" spans="1:19" ht="32.25" customHeight="1">
      <c r="A57" s="39">
        <v>1</v>
      </c>
      <c r="B57" s="40"/>
      <c r="C57" s="41"/>
      <c r="D57" s="42"/>
      <c r="E57" s="6"/>
      <c r="F57" s="43"/>
      <c r="G57" s="6"/>
      <c r="H57" s="42"/>
      <c r="I57" s="42"/>
      <c r="J57" s="42"/>
      <c r="K57" s="544"/>
      <c r="L57" s="545"/>
      <c r="M57" s="546"/>
      <c r="N57" s="5"/>
      <c r="O57" s="43"/>
      <c r="P57" s="47"/>
      <c r="Q57" s="48"/>
      <c r="R57" s="48"/>
      <c r="S57" s="49"/>
    </row>
    <row r="58" spans="1:19" ht="32.25" customHeight="1" thickBot="1">
      <c r="A58" s="39"/>
      <c r="B58" s="50" t="s">
        <v>19</v>
      </c>
      <c r="C58" s="50"/>
      <c r="D58" s="51">
        <v>0</v>
      </c>
      <c r="E58" s="52"/>
      <c r="F58" s="53"/>
      <c r="G58" s="52"/>
      <c r="H58" s="51">
        <v>0</v>
      </c>
      <c r="I58" s="51">
        <v>0</v>
      </c>
      <c r="J58" s="51">
        <v>0</v>
      </c>
      <c r="K58" s="547"/>
      <c r="L58" s="548"/>
      <c r="M58" s="549"/>
      <c r="N58" s="57"/>
      <c r="O58" s="53"/>
      <c r="P58" s="51"/>
      <c r="Q58" s="51"/>
      <c r="R58" s="51"/>
      <c r="S58" s="51"/>
    </row>
    <row r="59" spans="1:19" ht="32.25" customHeight="1" thickTop="1">
      <c r="A59" s="39"/>
      <c r="B59" s="58" t="s">
        <v>49</v>
      </c>
      <c r="C59" s="59"/>
      <c r="D59" s="60"/>
      <c r="E59" s="61"/>
      <c r="F59" s="62"/>
      <c r="G59" s="63"/>
      <c r="H59" s="64"/>
      <c r="I59" s="64"/>
      <c r="J59" s="64"/>
      <c r="K59" s="550"/>
      <c r="L59" s="551"/>
      <c r="M59" s="552"/>
      <c r="N59" s="68"/>
      <c r="O59" s="62"/>
      <c r="P59" s="69"/>
      <c r="Q59" s="63"/>
      <c r="R59" s="63"/>
      <c r="S59" s="70"/>
    </row>
    <row r="60" spans="1:19" ht="32.25" customHeight="1">
      <c r="A60" s="39">
        <v>1</v>
      </c>
      <c r="B60" s="40"/>
      <c r="C60" s="41"/>
      <c r="D60" s="42"/>
      <c r="E60" s="6"/>
      <c r="F60" s="43"/>
      <c r="G60" s="6"/>
      <c r="H60" s="42"/>
      <c r="I60" s="42"/>
      <c r="J60" s="42"/>
      <c r="K60" s="544"/>
      <c r="L60" s="545"/>
      <c r="M60" s="546"/>
      <c r="N60" s="5"/>
      <c r="O60" s="43"/>
      <c r="P60" s="47"/>
      <c r="Q60" s="48"/>
      <c r="R60" s="48"/>
      <c r="S60" s="49"/>
    </row>
    <row r="61" spans="1:19" ht="32.25" customHeight="1" thickBot="1">
      <c r="A61" s="39"/>
      <c r="B61" s="50" t="s">
        <v>19</v>
      </c>
      <c r="C61" s="50"/>
      <c r="D61" s="51">
        <v>0</v>
      </c>
      <c r="E61" s="52"/>
      <c r="F61" s="53"/>
      <c r="G61" s="52"/>
      <c r="H61" s="51">
        <v>0</v>
      </c>
      <c r="I61" s="51">
        <v>0</v>
      </c>
      <c r="J61" s="51">
        <v>0</v>
      </c>
      <c r="K61" s="547"/>
      <c r="L61" s="548"/>
      <c r="M61" s="549">
        <v>0</v>
      </c>
      <c r="N61" s="57"/>
      <c r="O61" s="53"/>
      <c r="P61" s="51"/>
      <c r="Q61" s="51"/>
      <c r="R61" s="51"/>
      <c r="S61" s="51"/>
    </row>
    <row r="62" spans="1:19" ht="32.25" customHeight="1" thickTop="1">
      <c r="A62" s="39"/>
      <c r="B62" s="141" t="s">
        <v>50</v>
      </c>
      <c r="C62" s="142"/>
      <c r="D62" s="125"/>
      <c r="E62" s="131"/>
      <c r="F62" s="115"/>
      <c r="G62" s="33"/>
      <c r="H62" s="143"/>
      <c r="I62" s="143"/>
      <c r="J62" s="143"/>
      <c r="K62" s="541"/>
      <c r="L62" s="542"/>
      <c r="M62" s="543"/>
      <c r="N62" s="114"/>
      <c r="O62" s="115"/>
      <c r="P62" s="144"/>
      <c r="Q62" s="33"/>
      <c r="R62" s="33"/>
      <c r="S62" s="145"/>
    </row>
    <row r="63" spans="1:19" ht="32.25" customHeight="1">
      <c r="A63" s="39"/>
      <c r="B63" s="146" t="s">
        <v>51</v>
      </c>
      <c r="C63" s="146"/>
      <c r="D63" s="125"/>
      <c r="E63" s="131"/>
      <c r="F63" s="122"/>
      <c r="G63" s="147"/>
      <c r="H63" s="148"/>
      <c r="I63" s="148"/>
      <c r="J63" s="143"/>
      <c r="K63" s="541"/>
      <c r="L63" s="542"/>
      <c r="M63" s="543"/>
      <c r="N63" s="114"/>
      <c r="O63" s="122"/>
      <c r="P63" s="149"/>
      <c r="Q63" s="147"/>
      <c r="R63" s="147"/>
      <c r="S63" s="145"/>
    </row>
    <row r="64" spans="1:19" s="160" customFormat="1" ht="32.25" customHeight="1">
      <c r="A64" s="106">
        <v>1</v>
      </c>
      <c r="B64" s="142" t="s">
        <v>52</v>
      </c>
      <c r="C64" s="150" t="s">
        <v>53</v>
      </c>
      <c r="D64" s="151">
        <v>4140</v>
      </c>
      <c r="E64" s="157" t="s">
        <v>57</v>
      </c>
      <c r="F64" s="158"/>
      <c r="G64" s="158"/>
      <c r="H64" s="153">
        <v>-2070</v>
      </c>
      <c r="I64" s="153"/>
      <c r="J64" s="159">
        <v>-2070</v>
      </c>
      <c r="K64" s="164" t="s">
        <v>830</v>
      </c>
      <c r="L64" s="165" t="s">
        <v>831</v>
      </c>
      <c r="M64" s="166">
        <v>4140</v>
      </c>
      <c r="N64" s="157" t="s">
        <v>57</v>
      </c>
      <c r="O64" s="158"/>
      <c r="P64" s="158"/>
      <c r="Q64" s="153">
        <v>-2070</v>
      </c>
      <c r="R64" s="153"/>
      <c r="S64" s="159">
        <v>-2070</v>
      </c>
    </row>
    <row r="65" spans="1:19" s="160" customFormat="1" ht="32.25" customHeight="1">
      <c r="A65" s="106">
        <v>2</v>
      </c>
      <c r="B65" s="161" t="s">
        <v>58</v>
      </c>
      <c r="C65" s="162" t="s">
        <v>59</v>
      </c>
      <c r="D65" s="151">
        <v>0</v>
      </c>
      <c r="E65" s="167"/>
      <c r="F65" s="158"/>
      <c r="G65" s="158"/>
      <c r="H65" s="91">
        <v>0</v>
      </c>
      <c r="I65" s="91"/>
      <c r="J65" s="77">
        <v>0</v>
      </c>
      <c r="K65" s="164"/>
      <c r="L65" s="165"/>
      <c r="M65" s="166"/>
      <c r="N65" s="167"/>
      <c r="O65" s="158"/>
      <c r="P65" s="158"/>
      <c r="Q65" s="91">
        <f t="shared" ref="Q65:Q68" si="0">SUM(D65+H65-M65)</f>
        <v>0</v>
      </c>
      <c r="R65" s="91"/>
      <c r="S65" s="77">
        <f t="shared" ref="S65:S68" si="1">SUM(Q65)</f>
        <v>0</v>
      </c>
    </row>
    <row r="66" spans="1:19" s="160" customFormat="1" ht="32.25" customHeight="1">
      <c r="A66" s="106">
        <v>3</v>
      </c>
      <c r="B66" s="142" t="s">
        <v>60</v>
      </c>
      <c r="C66" s="150" t="s">
        <v>61</v>
      </c>
      <c r="D66" s="151">
        <v>2070</v>
      </c>
      <c r="E66" s="167"/>
      <c r="F66" s="158"/>
      <c r="G66" s="158"/>
      <c r="H66" s="91">
        <v>0</v>
      </c>
      <c r="I66" s="91"/>
      <c r="J66" s="77">
        <v>0</v>
      </c>
      <c r="K66" s="164" t="s">
        <v>832</v>
      </c>
      <c r="L66" s="165" t="s">
        <v>833</v>
      </c>
      <c r="M66" s="166">
        <v>2070</v>
      </c>
      <c r="N66" s="167"/>
      <c r="O66" s="158"/>
      <c r="P66" s="158"/>
      <c r="Q66" s="91">
        <f t="shared" si="0"/>
        <v>0</v>
      </c>
      <c r="R66" s="91"/>
      <c r="S66" s="77">
        <f t="shared" si="1"/>
        <v>0</v>
      </c>
    </row>
    <row r="67" spans="1:19" s="160" customFormat="1" ht="32.25" customHeight="1">
      <c r="A67" s="106">
        <v>4</v>
      </c>
      <c r="B67" s="142" t="s">
        <v>27</v>
      </c>
      <c r="C67" s="150" t="s">
        <v>64</v>
      </c>
      <c r="D67" s="151">
        <v>2070</v>
      </c>
      <c r="E67" s="167"/>
      <c r="F67" s="158"/>
      <c r="G67" s="158"/>
      <c r="H67" s="91">
        <v>0</v>
      </c>
      <c r="I67" s="91"/>
      <c r="J67" s="77">
        <v>0</v>
      </c>
      <c r="K67" s="164" t="s">
        <v>832</v>
      </c>
      <c r="L67" s="165" t="s">
        <v>834</v>
      </c>
      <c r="M67" s="166">
        <v>2070</v>
      </c>
      <c r="N67" s="167"/>
      <c r="O67" s="158"/>
      <c r="P67" s="158"/>
      <c r="Q67" s="91">
        <f t="shared" si="0"/>
        <v>0</v>
      </c>
      <c r="R67" s="91"/>
      <c r="S67" s="77">
        <f t="shared" si="1"/>
        <v>0</v>
      </c>
    </row>
    <row r="68" spans="1:19" s="160" customFormat="1" ht="32.25" customHeight="1">
      <c r="A68" s="106">
        <v>5</v>
      </c>
      <c r="B68" s="168" t="s">
        <v>42</v>
      </c>
      <c r="C68" s="150" t="s">
        <v>67</v>
      </c>
      <c r="D68" s="125">
        <v>2070</v>
      </c>
      <c r="E68" s="167"/>
      <c r="F68" s="158"/>
      <c r="G68" s="158"/>
      <c r="H68" s="91">
        <v>0</v>
      </c>
      <c r="I68" s="91"/>
      <c r="J68" s="77">
        <v>0</v>
      </c>
      <c r="K68" s="164" t="s">
        <v>813</v>
      </c>
      <c r="L68" s="165" t="s">
        <v>835</v>
      </c>
      <c r="M68" s="166">
        <v>2070</v>
      </c>
      <c r="N68" s="167"/>
      <c r="O68" s="158"/>
      <c r="P68" s="158"/>
      <c r="Q68" s="91">
        <f t="shared" si="0"/>
        <v>0</v>
      </c>
      <c r="R68" s="91"/>
      <c r="S68" s="77">
        <f t="shared" si="1"/>
        <v>0</v>
      </c>
    </row>
    <row r="69" spans="1:19" s="160" customFormat="1" ht="32.25" customHeight="1">
      <c r="A69" s="106">
        <v>6</v>
      </c>
      <c r="B69" s="142" t="s">
        <v>69</v>
      </c>
      <c r="C69" s="150" t="s">
        <v>70</v>
      </c>
      <c r="D69" s="151">
        <v>2070</v>
      </c>
      <c r="E69" s="169"/>
      <c r="F69" s="158"/>
      <c r="G69" s="158"/>
      <c r="H69" s="91">
        <v>0</v>
      </c>
      <c r="I69" s="91"/>
      <c r="J69" s="77">
        <v>0</v>
      </c>
      <c r="K69" s="164" t="s">
        <v>836</v>
      </c>
      <c r="L69" s="165" t="s">
        <v>837</v>
      </c>
      <c r="M69" s="166">
        <v>2070</v>
      </c>
      <c r="N69" s="169"/>
      <c r="O69" s="158"/>
      <c r="P69" s="158"/>
      <c r="Q69" s="91">
        <f>SUM(D69+H69-M69)</f>
        <v>0</v>
      </c>
      <c r="R69" s="91"/>
      <c r="S69" s="77">
        <f>SUM(Q69)</f>
        <v>0</v>
      </c>
    </row>
    <row r="70" spans="1:19" ht="32.25" customHeight="1">
      <c r="A70" s="106">
        <v>7</v>
      </c>
      <c r="B70" s="146" t="s">
        <v>75</v>
      </c>
      <c r="C70" s="170" t="s">
        <v>76</v>
      </c>
      <c r="D70" s="151"/>
      <c r="E70" s="167"/>
      <c r="F70" s="158"/>
      <c r="G70" s="158"/>
      <c r="H70" s="91">
        <v>0</v>
      </c>
      <c r="I70" s="91"/>
      <c r="J70" s="77">
        <v>0</v>
      </c>
      <c r="K70" s="164"/>
      <c r="L70" s="165"/>
      <c r="M70" s="166"/>
      <c r="N70" s="167"/>
      <c r="O70" s="158"/>
      <c r="P70" s="158"/>
      <c r="Q70" s="91">
        <f t="shared" ref="Q70:Q95" si="2">SUM(D70+H70-M70)</f>
        <v>0</v>
      </c>
      <c r="R70" s="91"/>
      <c r="S70" s="77">
        <f t="shared" ref="S70:S95" si="3">SUM(Q70)</f>
        <v>0</v>
      </c>
    </row>
    <row r="71" spans="1:19" s="160" customFormat="1" ht="32.25" customHeight="1">
      <c r="A71" s="106">
        <v>8</v>
      </c>
      <c r="B71" s="142" t="s">
        <v>77</v>
      </c>
      <c r="C71" s="150" t="s">
        <v>78</v>
      </c>
      <c r="D71" s="151">
        <v>2070</v>
      </c>
      <c r="E71" s="167"/>
      <c r="F71" s="158"/>
      <c r="G71" s="158"/>
      <c r="H71" s="91">
        <v>0</v>
      </c>
      <c r="I71" s="91"/>
      <c r="J71" s="77">
        <v>0</v>
      </c>
      <c r="K71" s="164" t="s">
        <v>813</v>
      </c>
      <c r="L71" s="172" t="s">
        <v>838</v>
      </c>
      <c r="M71" s="166">
        <v>2070</v>
      </c>
      <c r="N71" s="167"/>
      <c r="O71" s="158"/>
      <c r="P71" s="158"/>
      <c r="Q71" s="91">
        <f t="shared" si="2"/>
        <v>0</v>
      </c>
      <c r="R71" s="91"/>
      <c r="S71" s="77">
        <f t="shared" si="3"/>
        <v>0</v>
      </c>
    </row>
    <row r="72" spans="1:19" s="160" customFormat="1" ht="32.25" customHeight="1">
      <c r="A72" s="106">
        <v>9</v>
      </c>
      <c r="B72" s="142" t="s">
        <v>77</v>
      </c>
      <c r="C72" s="150" t="s">
        <v>81</v>
      </c>
      <c r="D72" s="151">
        <v>2070</v>
      </c>
      <c r="E72" s="167"/>
      <c r="F72" s="158"/>
      <c r="G72" s="158"/>
      <c r="H72" s="91">
        <v>0</v>
      </c>
      <c r="I72" s="91"/>
      <c r="J72" s="77">
        <v>0</v>
      </c>
      <c r="K72" s="164" t="s">
        <v>813</v>
      </c>
      <c r="L72" s="172" t="s">
        <v>838</v>
      </c>
      <c r="M72" s="166">
        <v>2070</v>
      </c>
      <c r="N72" s="167"/>
      <c r="O72" s="158"/>
      <c r="P72" s="158"/>
      <c r="Q72" s="91">
        <f t="shared" si="2"/>
        <v>0</v>
      </c>
      <c r="R72" s="91"/>
      <c r="S72" s="77">
        <f t="shared" si="3"/>
        <v>0</v>
      </c>
    </row>
    <row r="73" spans="1:19" ht="32.25" customHeight="1">
      <c r="A73" s="106">
        <v>10</v>
      </c>
      <c r="B73" s="146" t="s">
        <v>75</v>
      </c>
      <c r="C73" s="170" t="s">
        <v>82</v>
      </c>
      <c r="D73" s="151"/>
      <c r="E73" s="167"/>
      <c r="F73" s="158"/>
      <c r="G73" s="158"/>
      <c r="H73" s="91">
        <v>0</v>
      </c>
      <c r="I73" s="91"/>
      <c r="J73" s="77">
        <v>0</v>
      </c>
      <c r="K73" s="164"/>
      <c r="L73" s="172"/>
      <c r="M73" s="166"/>
      <c r="N73" s="167"/>
      <c r="O73" s="158"/>
      <c r="P73" s="158"/>
      <c r="Q73" s="91">
        <f t="shared" si="2"/>
        <v>0</v>
      </c>
      <c r="R73" s="91"/>
      <c r="S73" s="77">
        <f t="shared" si="3"/>
        <v>0</v>
      </c>
    </row>
    <row r="74" spans="1:19" s="160" customFormat="1" ht="32.25" customHeight="1">
      <c r="A74" s="106">
        <v>11</v>
      </c>
      <c r="B74" s="142" t="s">
        <v>83</v>
      </c>
      <c r="C74" s="150" t="s">
        <v>84</v>
      </c>
      <c r="D74" s="151">
        <v>2070</v>
      </c>
      <c r="E74" s="167"/>
      <c r="F74" s="158"/>
      <c r="G74" s="158"/>
      <c r="H74" s="91">
        <v>0</v>
      </c>
      <c r="I74" s="91"/>
      <c r="J74" s="77">
        <v>0</v>
      </c>
      <c r="K74" s="164" t="s">
        <v>832</v>
      </c>
      <c r="L74" s="165" t="s">
        <v>839</v>
      </c>
      <c r="M74" s="166">
        <v>2070</v>
      </c>
      <c r="N74" s="167"/>
      <c r="O74" s="158"/>
      <c r="P74" s="158"/>
      <c r="Q74" s="91">
        <f t="shared" si="2"/>
        <v>0</v>
      </c>
      <c r="R74" s="91"/>
      <c r="S74" s="77">
        <f t="shared" si="3"/>
        <v>0</v>
      </c>
    </row>
    <row r="75" spans="1:19" s="160" customFormat="1" ht="32.25" customHeight="1">
      <c r="A75" s="106">
        <v>12</v>
      </c>
      <c r="B75" s="142" t="s">
        <v>87</v>
      </c>
      <c r="C75" s="150" t="s">
        <v>88</v>
      </c>
      <c r="D75" s="151">
        <v>2070</v>
      </c>
      <c r="E75" s="167"/>
      <c r="F75" s="158"/>
      <c r="G75" s="158"/>
      <c r="H75" s="91">
        <v>0</v>
      </c>
      <c r="I75" s="91"/>
      <c r="J75" s="77">
        <v>0</v>
      </c>
      <c r="K75" s="164" t="s">
        <v>836</v>
      </c>
      <c r="L75" s="172" t="s">
        <v>840</v>
      </c>
      <c r="M75" s="166">
        <v>2070</v>
      </c>
      <c r="N75" s="167"/>
      <c r="O75" s="158"/>
      <c r="P75" s="158"/>
      <c r="Q75" s="91">
        <f t="shared" si="2"/>
        <v>0</v>
      </c>
      <c r="R75" s="91"/>
      <c r="S75" s="77">
        <f t="shared" si="3"/>
        <v>0</v>
      </c>
    </row>
    <row r="76" spans="1:19" ht="32.25" customHeight="1">
      <c r="A76" s="106">
        <v>13</v>
      </c>
      <c r="B76" s="146" t="s">
        <v>75</v>
      </c>
      <c r="C76" s="173" t="s">
        <v>91</v>
      </c>
      <c r="D76" s="151"/>
      <c r="E76" s="167"/>
      <c r="F76" s="158"/>
      <c r="G76" s="158"/>
      <c r="H76" s="91">
        <v>0</v>
      </c>
      <c r="I76" s="91"/>
      <c r="J76" s="77">
        <v>0</v>
      </c>
      <c r="K76" s="164"/>
      <c r="L76" s="165"/>
      <c r="M76" s="166"/>
      <c r="N76" s="167"/>
      <c r="O76" s="158"/>
      <c r="P76" s="158"/>
      <c r="Q76" s="91">
        <f t="shared" si="2"/>
        <v>0</v>
      </c>
      <c r="R76" s="91"/>
      <c r="S76" s="77">
        <f t="shared" si="3"/>
        <v>0</v>
      </c>
    </row>
    <row r="77" spans="1:19" ht="32.25" customHeight="1">
      <c r="A77" s="106">
        <v>14</v>
      </c>
      <c r="B77" s="142" t="s">
        <v>92</v>
      </c>
      <c r="C77" s="174" t="s">
        <v>93</v>
      </c>
      <c r="D77" s="151"/>
      <c r="E77" s="167"/>
      <c r="F77" s="158"/>
      <c r="G77" s="158"/>
      <c r="H77" s="91">
        <v>0</v>
      </c>
      <c r="I77" s="91"/>
      <c r="J77" s="77">
        <v>0</v>
      </c>
      <c r="K77" s="164"/>
      <c r="L77" s="165"/>
      <c r="M77" s="166"/>
      <c r="N77" s="167"/>
      <c r="O77" s="158"/>
      <c r="P77" s="158"/>
      <c r="Q77" s="91">
        <f t="shared" si="2"/>
        <v>0</v>
      </c>
      <c r="R77" s="91"/>
      <c r="S77" s="77">
        <f t="shared" si="3"/>
        <v>0</v>
      </c>
    </row>
    <row r="78" spans="1:19" ht="32.25" customHeight="1">
      <c r="A78" s="106">
        <v>15</v>
      </c>
      <c r="B78" s="146" t="s">
        <v>75</v>
      </c>
      <c r="C78" s="170" t="s">
        <v>94</v>
      </c>
      <c r="D78" s="151">
        <v>0</v>
      </c>
      <c r="E78" s="167"/>
      <c r="F78" s="158"/>
      <c r="G78" s="158"/>
      <c r="H78" s="91">
        <v>0</v>
      </c>
      <c r="I78" s="91"/>
      <c r="J78" s="77">
        <v>0</v>
      </c>
      <c r="K78" s="164"/>
      <c r="L78" s="165"/>
      <c r="M78" s="166"/>
      <c r="N78" s="167"/>
      <c r="O78" s="158"/>
      <c r="P78" s="158"/>
      <c r="Q78" s="91">
        <f t="shared" si="2"/>
        <v>0</v>
      </c>
      <c r="R78" s="91"/>
      <c r="S78" s="77">
        <f t="shared" si="3"/>
        <v>0</v>
      </c>
    </row>
    <row r="79" spans="1:19" s="160" customFormat="1" ht="32.25" customHeight="1">
      <c r="A79" s="106">
        <v>16</v>
      </c>
      <c r="B79" s="142" t="s">
        <v>95</v>
      </c>
      <c r="C79" s="150" t="s">
        <v>96</v>
      </c>
      <c r="D79" s="151">
        <v>0</v>
      </c>
      <c r="E79" s="167"/>
      <c r="F79" s="158"/>
      <c r="G79" s="158"/>
      <c r="H79" s="91">
        <v>0</v>
      </c>
      <c r="I79" s="91"/>
      <c r="J79" s="77">
        <v>0</v>
      </c>
      <c r="K79" s="164"/>
      <c r="L79" s="175"/>
      <c r="M79" s="166"/>
      <c r="N79" s="167"/>
      <c r="O79" s="158"/>
      <c r="P79" s="158"/>
      <c r="Q79" s="91">
        <f t="shared" si="2"/>
        <v>0</v>
      </c>
      <c r="R79" s="91"/>
      <c r="S79" s="77">
        <f t="shared" si="3"/>
        <v>0</v>
      </c>
    </row>
    <row r="80" spans="1:19" s="160" customFormat="1" ht="32.25" customHeight="1">
      <c r="A80" s="106">
        <v>17</v>
      </c>
      <c r="B80" s="176" t="s">
        <v>97</v>
      </c>
      <c r="C80" s="162" t="s">
        <v>98</v>
      </c>
      <c r="D80" s="151">
        <v>0</v>
      </c>
      <c r="E80" s="167"/>
      <c r="F80" s="158"/>
      <c r="G80" s="158"/>
      <c r="H80" s="91">
        <v>0</v>
      </c>
      <c r="I80" s="91"/>
      <c r="J80" s="77">
        <v>0</v>
      </c>
      <c r="K80" s="164"/>
      <c r="L80" s="165"/>
      <c r="M80" s="177"/>
      <c r="N80" s="167"/>
      <c r="O80" s="158"/>
      <c r="P80" s="158"/>
      <c r="Q80" s="91">
        <f t="shared" si="2"/>
        <v>0</v>
      </c>
      <c r="R80" s="91"/>
      <c r="S80" s="77">
        <f t="shared" si="3"/>
        <v>0</v>
      </c>
    </row>
    <row r="81" spans="1:19" s="160" customFormat="1" ht="32.25" customHeight="1">
      <c r="A81" s="106">
        <v>18</v>
      </c>
      <c r="B81" s="142" t="s">
        <v>99</v>
      </c>
      <c r="C81" s="174" t="s">
        <v>100</v>
      </c>
      <c r="D81" s="151">
        <v>37375</v>
      </c>
      <c r="E81" s="167"/>
      <c r="F81" s="158"/>
      <c r="G81" s="158"/>
      <c r="H81" s="91">
        <v>0</v>
      </c>
      <c r="I81" s="91"/>
      <c r="J81" s="77">
        <v>0</v>
      </c>
      <c r="K81" s="164" t="s">
        <v>832</v>
      </c>
      <c r="L81" s="172" t="s">
        <v>841</v>
      </c>
      <c r="M81" s="177">
        <v>37375</v>
      </c>
      <c r="N81" s="167"/>
      <c r="O81" s="158"/>
      <c r="P81" s="158"/>
      <c r="Q81" s="91">
        <f t="shared" si="2"/>
        <v>0</v>
      </c>
      <c r="R81" s="91"/>
      <c r="S81" s="77">
        <f t="shared" si="3"/>
        <v>0</v>
      </c>
    </row>
    <row r="82" spans="1:19" s="160" customFormat="1" ht="32.25" customHeight="1">
      <c r="A82" s="106"/>
      <c r="B82" s="652" t="s">
        <v>102</v>
      </c>
      <c r="C82" s="653"/>
      <c r="D82" s="654"/>
      <c r="E82" s="167"/>
      <c r="F82" s="158"/>
      <c r="G82" s="158"/>
      <c r="H82" s="91">
        <v>0</v>
      </c>
      <c r="I82" s="91"/>
      <c r="J82" s="77">
        <v>0</v>
      </c>
      <c r="K82" s="164"/>
      <c r="L82" s="182"/>
      <c r="M82" s="183"/>
      <c r="N82" s="167"/>
      <c r="O82" s="158"/>
      <c r="P82" s="158"/>
      <c r="Q82" s="91">
        <f t="shared" si="2"/>
        <v>0</v>
      </c>
      <c r="R82" s="91"/>
      <c r="S82" s="77">
        <f t="shared" si="3"/>
        <v>0</v>
      </c>
    </row>
    <row r="83" spans="1:19" s="160" customFormat="1" ht="32.25" customHeight="1">
      <c r="A83" s="106">
        <v>19</v>
      </c>
      <c r="B83" s="142" t="s">
        <v>103</v>
      </c>
      <c r="C83" s="174" t="s">
        <v>104</v>
      </c>
      <c r="D83" s="151">
        <v>15525</v>
      </c>
      <c r="E83" s="167"/>
      <c r="F83" s="158"/>
      <c r="G83" s="158"/>
      <c r="H83" s="91">
        <v>0</v>
      </c>
      <c r="I83" s="91"/>
      <c r="J83" s="77">
        <v>0</v>
      </c>
      <c r="K83" s="164" t="s">
        <v>804</v>
      </c>
      <c r="L83" s="172" t="s">
        <v>842</v>
      </c>
      <c r="M83" s="177">
        <v>15525</v>
      </c>
      <c r="N83" s="167"/>
      <c r="O83" s="158"/>
      <c r="P83" s="158"/>
      <c r="Q83" s="91">
        <f t="shared" si="2"/>
        <v>0</v>
      </c>
      <c r="R83" s="91"/>
      <c r="S83" s="77">
        <f t="shared" si="3"/>
        <v>0</v>
      </c>
    </row>
    <row r="84" spans="1:19" s="160" customFormat="1" ht="32.25" customHeight="1">
      <c r="A84" s="106"/>
      <c r="B84" s="652" t="s">
        <v>106</v>
      </c>
      <c r="C84" s="653"/>
      <c r="D84" s="654"/>
      <c r="E84" s="167"/>
      <c r="F84" s="158"/>
      <c r="G84" s="158"/>
      <c r="H84" s="91">
        <v>0</v>
      </c>
      <c r="I84" s="91"/>
      <c r="J84" s="77">
        <v>0</v>
      </c>
      <c r="K84" s="164"/>
      <c r="L84" s="182"/>
      <c r="M84" s="183"/>
      <c r="N84" s="167"/>
      <c r="O84" s="158"/>
      <c r="P84" s="158"/>
      <c r="Q84" s="91">
        <f t="shared" si="2"/>
        <v>0</v>
      </c>
      <c r="R84" s="91"/>
      <c r="S84" s="77">
        <f t="shared" si="3"/>
        <v>0</v>
      </c>
    </row>
    <row r="85" spans="1:19" s="160" customFormat="1" ht="32.25" customHeight="1">
      <c r="A85" s="106">
        <v>20</v>
      </c>
      <c r="B85" s="142" t="s">
        <v>107</v>
      </c>
      <c r="C85" s="174" t="s">
        <v>108</v>
      </c>
      <c r="D85" s="151">
        <v>14000</v>
      </c>
      <c r="E85" s="167"/>
      <c r="F85" s="158"/>
      <c r="G85" s="158"/>
      <c r="H85" s="91">
        <v>0</v>
      </c>
      <c r="I85" s="91"/>
      <c r="J85" s="77">
        <v>0</v>
      </c>
      <c r="K85" s="164" t="s">
        <v>830</v>
      </c>
      <c r="L85" s="165" t="s">
        <v>843</v>
      </c>
      <c r="M85" s="177">
        <v>14000</v>
      </c>
      <c r="N85" s="167"/>
      <c r="O85" s="158"/>
      <c r="P85" s="158"/>
      <c r="Q85" s="91">
        <f t="shared" si="2"/>
        <v>0</v>
      </c>
      <c r="R85" s="91"/>
      <c r="S85" s="77">
        <f t="shared" si="3"/>
        <v>0</v>
      </c>
    </row>
    <row r="86" spans="1:19" s="160" customFormat="1" ht="32.25" customHeight="1">
      <c r="A86" s="106"/>
      <c r="B86" s="652" t="s">
        <v>110</v>
      </c>
      <c r="C86" s="653"/>
      <c r="D86" s="654"/>
      <c r="E86" s="167"/>
      <c r="F86" s="158"/>
      <c r="G86" s="158"/>
      <c r="H86" s="91">
        <v>0</v>
      </c>
      <c r="I86" s="91"/>
      <c r="J86" s="77">
        <v>0</v>
      </c>
      <c r="K86" s="164"/>
      <c r="L86" s="182"/>
      <c r="M86" s="183"/>
      <c r="N86" s="167"/>
      <c r="O86" s="158"/>
      <c r="P86" s="158"/>
      <c r="Q86" s="91">
        <f t="shared" si="2"/>
        <v>0</v>
      </c>
      <c r="R86" s="91"/>
      <c r="S86" s="77">
        <f t="shared" si="3"/>
        <v>0</v>
      </c>
    </row>
    <row r="87" spans="1:19" s="160" customFormat="1" ht="32.25" customHeight="1">
      <c r="A87" s="106">
        <v>21</v>
      </c>
      <c r="B87" s="142" t="s">
        <v>111</v>
      </c>
      <c r="C87" s="142" t="s">
        <v>112</v>
      </c>
      <c r="D87" s="151">
        <v>7000</v>
      </c>
      <c r="E87" s="167"/>
      <c r="F87" s="158"/>
      <c r="G87" s="158"/>
      <c r="H87" s="91">
        <v>0</v>
      </c>
      <c r="I87" s="91"/>
      <c r="J87" s="77">
        <v>0</v>
      </c>
      <c r="K87" s="164" t="s">
        <v>830</v>
      </c>
      <c r="L87" s="165" t="s">
        <v>844</v>
      </c>
      <c r="M87" s="177">
        <v>7000</v>
      </c>
      <c r="N87" s="167"/>
      <c r="O87" s="158"/>
      <c r="P87" s="158"/>
      <c r="Q87" s="91">
        <f t="shared" si="2"/>
        <v>0</v>
      </c>
      <c r="R87" s="91"/>
      <c r="S87" s="77">
        <f t="shared" si="3"/>
        <v>0</v>
      </c>
    </row>
    <row r="88" spans="1:19" s="160" customFormat="1" ht="32.25" customHeight="1">
      <c r="A88" s="106"/>
      <c r="B88" s="652" t="s">
        <v>114</v>
      </c>
      <c r="C88" s="653"/>
      <c r="D88" s="654"/>
      <c r="E88" s="167"/>
      <c r="F88" s="158"/>
      <c r="G88" s="158"/>
      <c r="H88" s="91">
        <v>0</v>
      </c>
      <c r="I88" s="91"/>
      <c r="J88" s="77">
        <v>0</v>
      </c>
      <c r="K88" s="164"/>
      <c r="L88" s="165"/>
      <c r="M88" s="177"/>
      <c r="N88" s="167"/>
      <c r="O88" s="158"/>
      <c r="P88" s="158"/>
      <c r="Q88" s="91">
        <f t="shared" si="2"/>
        <v>0</v>
      </c>
      <c r="R88" s="91"/>
      <c r="S88" s="77">
        <f t="shared" si="3"/>
        <v>0</v>
      </c>
    </row>
    <row r="89" spans="1:19" s="160" customFormat="1" ht="32.25" customHeight="1">
      <c r="A89" s="106">
        <v>22</v>
      </c>
      <c r="B89" s="142" t="s">
        <v>30</v>
      </c>
      <c r="C89" s="174" t="s">
        <v>115</v>
      </c>
      <c r="D89" s="151">
        <v>3970</v>
      </c>
      <c r="E89" s="167"/>
      <c r="F89" s="184"/>
      <c r="G89" s="184"/>
      <c r="H89" s="91">
        <v>0</v>
      </c>
      <c r="I89" s="91"/>
      <c r="J89" s="77">
        <v>0</v>
      </c>
      <c r="K89" s="164" t="s">
        <v>806</v>
      </c>
      <c r="L89" s="165" t="s">
        <v>845</v>
      </c>
      <c r="M89" s="177">
        <v>3970</v>
      </c>
      <c r="N89" s="167"/>
      <c r="O89" s="184"/>
      <c r="P89" s="184"/>
      <c r="Q89" s="91">
        <f t="shared" si="2"/>
        <v>0</v>
      </c>
      <c r="R89" s="91"/>
      <c r="S89" s="77">
        <f t="shared" si="3"/>
        <v>0</v>
      </c>
    </row>
    <row r="90" spans="1:19" s="160" customFormat="1" ht="32.25" customHeight="1">
      <c r="A90" s="106"/>
      <c r="B90" s="659" t="s">
        <v>118</v>
      </c>
      <c r="C90" s="660"/>
      <c r="D90" s="661"/>
      <c r="E90" s="167"/>
      <c r="F90" s="184"/>
      <c r="G90" s="184"/>
      <c r="H90" s="91">
        <v>0</v>
      </c>
      <c r="I90" s="91"/>
      <c r="J90" s="77">
        <v>0</v>
      </c>
      <c r="K90" s="164"/>
      <c r="L90" s="182"/>
      <c r="M90" s="183"/>
      <c r="N90" s="167"/>
      <c r="O90" s="184"/>
      <c r="P90" s="184"/>
      <c r="Q90" s="91">
        <f t="shared" si="2"/>
        <v>0</v>
      </c>
      <c r="R90" s="91"/>
      <c r="S90" s="77">
        <f t="shared" si="3"/>
        <v>0</v>
      </c>
    </row>
    <row r="91" spans="1:19" s="160" customFormat="1" ht="32.25" customHeight="1">
      <c r="A91" s="106"/>
      <c r="B91" s="185" t="s">
        <v>119</v>
      </c>
      <c r="C91" s="186"/>
      <c r="D91" s="187"/>
      <c r="E91" s="167"/>
      <c r="F91" s="184"/>
      <c r="G91" s="184"/>
      <c r="H91" s="91">
        <v>0</v>
      </c>
      <c r="I91" s="91"/>
      <c r="J91" s="77">
        <v>0</v>
      </c>
      <c r="K91" s="164"/>
      <c r="L91" s="182"/>
      <c r="M91" s="183"/>
      <c r="N91" s="167"/>
      <c r="O91" s="184"/>
      <c r="P91" s="184"/>
      <c r="Q91" s="91">
        <f t="shared" si="2"/>
        <v>0</v>
      </c>
      <c r="R91" s="91"/>
      <c r="S91" s="77">
        <f t="shared" si="3"/>
        <v>0</v>
      </c>
    </row>
    <row r="92" spans="1:19" s="160" customFormat="1" ht="32.25" customHeight="1">
      <c r="A92" s="106"/>
      <c r="B92" s="185" t="s">
        <v>120</v>
      </c>
      <c r="C92" s="186"/>
      <c r="D92" s="187">
        <v>0</v>
      </c>
      <c r="E92" s="167"/>
      <c r="F92" s="184"/>
      <c r="G92" s="184"/>
      <c r="H92" s="91">
        <v>0</v>
      </c>
      <c r="I92" s="91"/>
      <c r="J92" s="77">
        <v>0</v>
      </c>
      <c r="K92" s="164"/>
      <c r="L92" s="182"/>
      <c r="M92" s="183"/>
      <c r="N92" s="167"/>
      <c r="O92" s="184"/>
      <c r="P92" s="184"/>
      <c r="Q92" s="91">
        <f t="shared" si="2"/>
        <v>0</v>
      </c>
      <c r="R92" s="91"/>
      <c r="S92" s="77">
        <f t="shared" si="3"/>
        <v>0</v>
      </c>
    </row>
    <row r="93" spans="1:19" s="160" customFormat="1" ht="32.25" customHeight="1">
      <c r="A93" s="106"/>
      <c r="B93" s="188" t="s">
        <v>123</v>
      </c>
      <c r="C93" s="186"/>
      <c r="D93" s="187">
        <v>0</v>
      </c>
      <c r="E93" s="167"/>
      <c r="F93" s="184"/>
      <c r="G93" s="184"/>
      <c r="H93" s="91">
        <v>0</v>
      </c>
      <c r="I93" s="91"/>
      <c r="J93" s="77">
        <v>0</v>
      </c>
      <c r="K93" s="164"/>
      <c r="L93" s="182"/>
      <c r="M93" s="183"/>
      <c r="N93" s="167"/>
      <c r="O93" s="184"/>
      <c r="P93" s="184"/>
      <c r="Q93" s="91">
        <f t="shared" si="2"/>
        <v>0</v>
      </c>
      <c r="R93" s="91"/>
      <c r="S93" s="77">
        <f t="shared" si="3"/>
        <v>0</v>
      </c>
    </row>
    <row r="94" spans="1:19" s="160" customFormat="1" ht="32.25" customHeight="1">
      <c r="A94" s="106"/>
      <c r="B94" s="179"/>
      <c r="C94" s="180"/>
      <c r="D94" s="181"/>
      <c r="E94" s="167"/>
      <c r="F94" s="184"/>
      <c r="G94" s="184"/>
      <c r="H94" s="91">
        <v>0</v>
      </c>
      <c r="I94" s="91"/>
      <c r="J94" s="77">
        <v>0</v>
      </c>
      <c r="K94" s="164"/>
      <c r="L94" s="182"/>
      <c r="M94" s="183"/>
      <c r="N94" s="167"/>
      <c r="O94" s="184"/>
      <c r="P94" s="184"/>
      <c r="Q94" s="91">
        <f t="shared" si="2"/>
        <v>0</v>
      </c>
      <c r="R94" s="91"/>
      <c r="S94" s="77">
        <f t="shared" si="3"/>
        <v>0</v>
      </c>
    </row>
    <row r="95" spans="1:19" s="160" customFormat="1" ht="32.25" customHeight="1">
      <c r="A95" s="106">
        <v>23</v>
      </c>
      <c r="B95" s="142" t="s">
        <v>23</v>
      </c>
      <c r="C95" s="174" t="s">
        <v>126</v>
      </c>
      <c r="D95" s="151">
        <v>4600</v>
      </c>
      <c r="E95" s="167"/>
      <c r="F95" s="184"/>
      <c r="G95" s="184"/>
      <c r="H95" s="91">
        <v>0</v>
      </c>
      <c r="I95" s="91"/>
      <c r="J95" s="77">
        <v>0</v>
      </c>
      <c r="K95" s="164" t="s">
        <v>832</v>
      </c>
      <c r="L95" s="165" t="s">
        <v>846</v>
      </c>
      <c r="M95" s="177">
        <v>4600</v>
      </c>
      <c r="N95" s="167"/>
      <c r="O95" s="184"/>
      <c r="P95" s="184"/>
      <c r="Q95" s="91">
        <f t="shared" si="2"/>
        <v>0</v>
      </c>
      <c r="R95" s="91"/>
      <c r="S95" s="77">
        <f t="shared" si="3"/>
        <v>0</v>
      </c>
    </row>
    <row r="96" spans="1:19" ht="32.25" customHeight="1">
      <c r="A96" s="39"/>
      <c r="B96" s="652" t="s">
        <v>128</v>
      </c>
      <c r="C96" s="653"/>
      <c r="D96" s="654"/>
      <c r="E96" s="5"/>
      <c r="F96" s="43"/>
      <c r="G96" s="43"/>
      <c r="H96" s="91">
        <v>0</v>
      </c>
      <c r="I96" s="91"/>
      <c r="J96" s="77">
        <v>0</v>
      </c>
      <c r="K96" s="567"/>
      <c r="L96" s="568"/>
      <c r="N96" s="5"/>
      <c r="O96" s="43"/>
      <c r="P96" s="43"/>
      <c r="Q96" s="91">
        <v>0</v>
      </c>
      <c r="R96" s="91"/>
      <c r="S96" s="77">
        <v>0</v>
      </c>
    </row>
    <row r="97" spans="1:19" ht="32.25" customHeight="1" thickBot="1">
      <c r="A97" s="39"/>
      <c r="B97" s="50" t="s">
        <v>19</v>
      </c>
      <c r="C97" s="50"/>
      <c r="D97" s="51">
        <v>103170</v>
      </c>
      <c r="E97" s="52"/>
      <c r="F97" s="53"/>
      <c r="G97" s="52"/>
      <c r="H97" s="51">
        <f>SUM(J97)</f>
        <v>0</v>
      </c>
      <c r="I97" s="51">
        <v>0</v>
      </c>
      <c r="J97" s="51">
        <f>SUM(J64:J96)-J64-J89</f>
        <v>0</v>
      </c>
      <c r="K97" s="547"/>
      <c r="L97" s="548"/>
      <c r="M97" s="549">
        <f>SUM(M64:M96)</f>
        <v>103170</v>
      </c>
      <c r="N97" s="57"/>
      <c r="O97" s="53"/>
      <c r="P97" s="51"/>
      <c r="Q97" s="51">
        <f>SUM(Q64:Q96)-Q64-Q93</f>
        <v>0</v>
      </c>
      <c r="R97" s="51">
        <f t="shared" ref="R97:S97" si="4">SUM(R64:R96)-R64-R93</f>
        <v>0</v>
      </c>
      <c r="S97" s="51">
        <f t="shared" si="4"/>
        <v>0</v>
      </c>
    </row>
    <row r="98" spans="1:19" ht="32.25" customHeight="1" thickTop="1">
      <c r="A98" s="39"/>
      <c r="B98" s="141" t="s">
        <v>129</v>
      </c>
      <c r="C98" s="142"/>
      <c r="D98" s="125"/>
      <c r="E98" s="131"/>
      <c r="F98" s="115"/>
      <c r="G98" s="33"/>
      <c r="H98" s="143"/>
      <c r="I98" s="143"/>
      <c r="J98" s="143"/>
      <c r="K98" s="541"/>
      <c r="L98" s="542"/>
      <c r="M98" s="543"/>
      <c r="N98" s="114"/>
      <c r="O98" s="115"/>
      <c r="P98" s="144"/>
      <c r="Q98" s="33"/>
      <c r="R98" s="33"/>
      <c r="S98" s="38"/>
    </row>
    <row r="99" spans="1:19" ht="30" customHeight="1">
      <c r="A99" s="106">
        <v>1</v>
      </c>
      <c r="B99" s="142" t="s">
        <v>130</v>
      </c>
      <c r="C99" s="193" t="s">
        <v>131</v>
      </c>
      <c r="D99" s="125">
        <v>201.25</v>
      </c>
      <c r="E99" s="152"/>
      <c r="F99" s="194"/>
      <c r="G99" s="195"/>
      <c r="H99" s="196">
        <v>-1006.25</v>
      </c>
      <c r="I99" s="197"/>
      <c r="J99" s="198">
        <v>-1006.25</v>
      </c>
      <c r="K99" s="526"/>
      <c r="L99" s="527"/>
      <c r="M99" s="528"/>
      <c r="N99" s="202" t="s">
        <v>57</v>
      </c>
      <c r="O99" s="203"/>
      <c r="P99" s="204"/>
      <c r="Q99" s="205">
        <f>SUM(D99+J99-M99)</f>
        <v>-805</v>
      </c>
      <c r="R99" s="206"/>
      <c r="S99" s="207">
        <f>SUM(Q99)</f>
        <v>-805</v>
      </c>
    </row>
    <row r="100" spans="1:19" ht="30" customHeight="1">
      <c r="A100" s="106"/>
      <c r="B100" s="208" t="s">
        <v>340</v>
      </c>
      <c r="C100" s="193"/>
      <c r="D100" s="125"/>
      <c r="E100" s="163"/>
      <c r="F100" s="115"/>
      <c r="G100" s="91"/>
      <c r="H100" s="91">
        <v>0</v>
      </c>
      <c r="I100" s="125"/>
      <c r="J100" s="132">
        <v>0</v>
      </c>
      <c r="K100" s="570"/>
      <c r="L100" s="571"/>
      <c r="M100" s="543"/>
      <c r="N100" s="114"/>
      <c r="O100" s="115"/>
      <c r="P100" s="92"/>
      <c r="Q100" s="205">
        <f t="shared" ref="Q100:Q127" si="5">SUM(D100+J100-M100)</f>
        <v>0</v>
      </c>
      <c r="R100" s="125"/>
      <c r="S100" s="207">
        <f t="shared" ref="S100:S129" si="6">SUM(Q100)</f>
        <v>0</v>
      </c>
    </row>
    <row r="101" spans="1:19" ht="30" customHeight="1">
      <c r="A101" s="106"/>
      <c r="B101" s="211" t="s">
        <v>133</v>
      </c>
      <c r="C101" s="193"/>
      <c r="D101" s="125"/>
      <c r="E101" s="163"/>
      <c r="F101" s="115"/>
      <c r="G101" s="91"/>
      <c r="H101" s="91">
        <v>0</v>
      </c>
      <c r="I101" s="125"/>
      <c r="J101" s="132">
        <v>0</v>
      </c>
      <c r="K101" s="570"/>
      <c r="L101" s="571"/>
      <c r="M101" s="543"/>
      <c r="N101" s="114"/>
      <c r="O101" s="115"/>
      <c r="P101" s="92"/>
      <c r="Q101" s="205">
        <f t="shared" si="5"/>
        <v>0</v>
      </c>
      <c r="R101" s="125"/>
      <c r="S101" s="207">
        <f t="shared" si="6"/>
        <v>0</v>
      </c>
    </row>
    <row r="102" spans="1:19" ht="30" customHeight="1">
      <c r="A102" s="106"/>
      <c r="B102" s="208" t="s">
        <v>136</v>
      </c>
      <c r="C102" s="193"/>
      <c r="D102" s="125"/>
      <c r="E102" s="163"/>
      <c r="F102" s="115"/>
      <c r="G102" s="91"/>
      <c r="H102" s="91">
        <v>0</v>
      </c>
      <c r="I102" s="125"/>
      <c r="J102" s="132">
        <v>0</v>
      </c>
      <c r="K102" s="570"/>
      <c r="L102" s="571"/>
      <c r="M102" s="543"/>
      <c r="N102" s="114"/>
      <c r="O102" s="115"/>
      <c r="P102" s="92"/>
      <c r="Q102" s="205">
        <f t="shared" si="5"/>
        <v>0</v>
      </c>
      <c r="R102" s="125"/>
      <c r="S102" s="207">
        <f t="shared" si="6"/>
        <v>0</v>
      </c>
    </row>
    <row r="103" spans="1:19" ht="30" customHeight="1">
      <c r="A103" s="106"/>
      <c r="B103" s="208" t="s">
        <v>138</v>
      </c>
      <c r="C103" s="193"/>
      <c r="D103" s="125"/>
      <c r="E103" s="163"/>
      <c r="F103" s="115"/>
      <c r="G103" s="91"/>
      <c r="H103" s="91">
        <v>0</v>
      </c>
      <c r="I103" s="125"/>
      <c r="J103" s="132">
        <v>0</v>
      </c>
      <c r="K103" s="570"/>
      <c r="L103" s="571"/>
      <c r="M103" s="543"/>
      <c r="N103" s="114"/>
      <c r="O103" s="115"/>
      <c r="P103" s="92"/>
      <c r="Q103" s="205">
        <f t="shared" si="5"/>
        <v>0</v>
      </c>
      <c r="R103" s="125"/>
      <c r="S103" s="207">
        <f t="shared" si="6"/>
        <v>0</v>
      </c>
    </row>
    <row r="104" spans="1:19" ht="30" customHeight="1">
      <c r="A104" s="106"/>
      <c r="B104" s="208" t="s">
        <v>140</v>
      </c>
      <c r="C104" s="193"/>
      <c r="D104" s="125"/>
      <c r="E104" s="163"/>
      <c r="F104" s="115"/>
      <c r="G104" s="91"/>
      <c r="H104" s="91">
        <v>0</v>
      </c>
      <c r="I104" s="125"/>
      <c r="J104" s="132">
        <v>0</v>
      </c>
      <c r="K104" s="570"/>
      <c r="L104" s="571"/>
      <c r="M104" s="543"/>
      <c r="N104" s="114"/>
      <c r="O104" s="115"/>
      <c r="P104" s="92"/>
      <c r="Q104" s="205">
        <f t="shared" si="5"/>
        <v>0</v>
      </c>
      <c r="R104" s="125"/>
      <c r="S104" s="207">
        <f t="shared" si="6"/>
        <v>0</v>
      </c>
    </row>
    <row r="105" spans="1:19" ht="32.25" customHeight="1">
      <c r="A105" s="106">
        <v>2</v>
      </c>
      <c r="B105" s="142" t="s">
        <v>141</v>
      </c>
      <c r="C105" s="193" t="s">
        <v>142</v>
      </c>
      <c r="D105" s="125">
        <v>937.09</v>
      </c>
      <c r="E105" s="152" t="s">
        <v>57</v>
      </c>
      <c r="F105" s="212"/>
      <c r="G105" s="213"/>
      <c r="H105" s="153">
        <v>-6559.5499999999993</v>
      </c>
      <c r="I105" s="125"/>
      <c r="J105" s="132">
        <v>-6559.5499999999993</v>
      </c>
      <c r="K105" s="570"/>
      <c r="L105" s="571"/>
      <c r="M105" s="543"/>
      <c r="N105" s="214" t="s">
        <v>57</v>
      </c>
      <c r="O105" s="212"/>
      <c r="P105" s="215"/>
      <c r="Q105" s="205">
        <f t="shared" si="5"/>
        <v>-5622.4599999999991</v>
      </c>
      <c r="R105" s="216"/>
      <c r="S105" s="207">
        <f t="shared" si="6"/>
        <v>-5622.4599999999991</v>
      </c>
    </row>
    <row r="106" spans="1:19" ht="32.25" customHeight="1">
      <c r="A106" s="106"/>
      <c r="B106" s="142" t="s">
        <v>143</v>
      </c>
      <c r="C106" s="193"/>
      <c r="D106" s="125"/>
      <c r="E106" s="163"/>
      <c r="F106" s="115"/>
      <c r="G106" s="91"/>
      <c r="H106" s="91">
        <v>0</v>
      </c>
      <c r="I106" s="125"/>
      <c r="J106" s="132">
        <v>0</v>
      </c>
      <c r="K106" s="570"/>
      <c r="L106" s="571"/>
      <c r="M106" s="543"/>
      <c r="N106" s="114"/>
      <c r="O106" s="115"/>
      <c r="P106" s="92"/>
      <c r="Q106" s="205">
        <f t="shared" si="5"/>
        <v>0</v>
      </c>
      <c r="R106" s="125"/>
      <c r="S106" s="207">
        <f t="shared" si="6"/>
        <v>0</v>
      </c>
    </row>
    <row r="107" spans="1:19" ht="32.25" customHeight="1">
      <c r="A107" s="106"/>
      <c r="B107" s="146" t="s">
        <v>144</v>
      </c>
      <c r="C107" s="193"/>
      <c r="D107" s="125"/>
      <c r="E107" s="163"/>
      <c r="F107" s="115"/>
      <c r="G107" s="91"/>
      <c r="H107" s="91">
        <v>0</v>
      </c>
      <c r="I107" s="125"/>
      <c r="J107" s="132">
        <v>0</v>
      </c>
      <c r="K107" s="570"/>
      <c r="L107" s="571"/>
      <c r="M107" s="543"/>
      <c r="N107" s="114"/>
      <c r="O107" s="115"/>
      <c r="P107" s="92"/>
      <c r="Q107" s="205">
        <f t="shared" si="5"/>
        <v>0</v>
      </c>
      <c r="R107" s="125"/>
      <c r="S107" s="207">
        <f t="shared" si="6"/>
        <v>0</v>
      </c>
    </row>
    <row r="108" spans="1:19" ht="32.25" customHeight="1">
      <c r="A108" s="106">
        <v>3</v>
      </c>
      <c r="B108" s="142" t="s">
        <v>145</v>
      </c>
      <c r="C108" s="193" t="s">
        <v>146</v>
      </c>
      <c r="D108" s="125">
        <v>268.33999999999997</v>
      </c>
      <c r="E108" s="163" t="s">
        <v>57</v>
      </c>
      <c r="F108" s="115"/>
      <c r="G108" s="217"/>
      <c r="H108" s="91">
        <v>-2683.32</v>
      </c>
      <c r="I108" s="125"/>
      <c r="J108" s="132">
        <v>-2683.32</v>
      </c>
      <c r="K108" s="572"/>
      <c r="L108" s="573"/>
      <c r="M108" s="574"/>
      <c r="N108" s="220" t="s">
        <v>57</v>
      </c>
      <c r="O108" s="115"/>
      <c r="P108" s="221"/>
      <c r="Q108" s="205">
        <f t="shared" si="5"/>
        <v>-2414.98</v>
      </c>
      <c r="R108" s="216"/>
      <c r="S108" s="207">
        <f t="shared" si="6"/>
        <v>-2414.98</v>
      </c>
    </row>
    <row r="109" spans="1:19" ht="32.25" customHeight="1">
      <c r="A109" s="106"/>
      <c r="B109" s="142" t="s">
        <v>752</v>
      </c>
      <c r="C109" s="222"/>
      <c r="D109" s="125"/>
      <c r="E109" s="163"/>
      <c r="F109" s="115"/>
      <c r="G109" s="91"/>
      <c r="H109" s="91">
        <v>0</v>
      </c>
      <c r="I109" s="125"/>
      <c r="J109" s="132">
        <v>0</v>
      </c>
      <c r="K109" s="575"/>
      <c r="L109" s="576"/>
      <c r="M109" s="577"/>
      <c r="N109" s="220"/>
      <c r="O109" s="115"/>
      <c r="P109" s="92"/>
      <c r="Q109" s="205">
        <f t="shared" si="5"/>
        <v>0</v>
      </c>
      <c r="R109" s="125"/>
      <c r="S109" s="207">
        <f t="shared" si="6"/>
        <v>0</v>
      </c>
    </row>
    <row r="110" spans="1:19" ht="32.25" customHeight="1">
      <c r="A110" s="106"/>
      <c r="B110" s="223" t="s">
        <v>755</v>
      </c>
      <c r="C110" s="224"/>
      <c r="D110" s="125"/>
      <c r="E110" s="163"/>
      <c r="F110" s="115"/>
      <c r="G110" s="91"/>
      <c r="H110" s="91">
        <v>0</v>
      </c>
      <c r="I110" s="125"/>
      <c r="J110" s="132">
        <v>0</v>
      </c>
      <c r="K110" s="578"/>
      <c r="L110" s="579"/>
      <c r="M110" s="574"/>
      <c r="N110" s="220"/>
      <c r="O110" s="115"/>
      <c r="P110" s="92"/>
      <c r="Q110" s="205">
        <f t="shared" si="5"/>
        <v>0</v>
      </c>
      <c r="R110" s="125"/>
      <c r="S110" s="207">
        <f t="shared" si="6"/>
        <v>0</v>
      </c>
    </row>
    <row r="111" spans="1:19" ht="32.25" customHeight="1">
      <c r="A111" s="106"/>
      <c r="B111" s="510" t="s">
        <v>758</v>
      </c>
      <c r="C111" s="511"/>
      <c r="D111" s="125"/>
      <c r="E111" s="163"/>
      <c r="F111" s="115"/>
      <c r="G111" s="91"/>
      <c r="H111" s="91"/>
      <c r="I111" s="125"/>
      <c r="J111" s="132"/>
      <c r="K111" s="578"/>
      <c r="L111" s="580"/>
      <c r="M111" s="574"/>
      <c r="N111" s="220"/>
      <c r="O111" s="115"/>
      <c r="P111" s="92"/>
      <c r="Q111" s="205"/>
      <c r="R111" s="125"/>
      <c r="S111" s="207"/>
    </row>
    <row r="112" spans="1:19" ht="32.25" customHeight="1">
      <c r="A112" s="106"/>
      <c r="B112" s="510" t="s">
        <v>147</v>
      </c>
      <c r="C112" s="511"/>
      <c r="D112" s="125"/>
      <c r="E112" s="163"/>
      <c r="F112" s="115"/>
      <c r="G112" s="91"/>
      <c r="H112" s="91"/>
      <c r="I112" s="125"/>
      <c r="J112" s="132"/>
      <c r="K112" s="578"/>
      <c r="L112" s="580"/>
      <c r="M112" s="574"/>
      <c r="N112" s="220"/>
      <c r="O112" s="115"/>
      <c r="P112" s="92"/>
      <c r="Q112" s="205"/>
      <c r="R112" s="125"/>
      <c r="S112" s="207"/>
    </row>
    <row r="113" spans="1:21" ht="32.25" customHeight="1">
      <c r="A113" s="106"/>
      <c r="B113" s="510" t="s">
        <v>148</v>
      </c>
      <c r="C113" s="511"/>
      <c r="D113" s="125"/>
      <c r="E113" s="163"/>
      <c r="F113" s="115"/>
      <c r="G113" s="91"/>
      <c r="H113" s="91"/>
      <c r="I113" s="125"/>
      <c r="J113" s="132"/>
      <c r="K113" s="578"/>
      <c r="L113" s="580"/>
      <c r="M113" s="574"/>
      <c r="N113" s="220"/>
      <c r="O113" s="115"/>
      <c r="P113" s="92"/>
      <c r="Q113" s="205"/>
      <c r="R113" s="125"/>
      <c r="S113" s="207"/>
    </row>
    <row r="114" spans="1:21" s="230" customFormat="1" ht="32.25" customHeight="1">
      <c r="A114" s="106">
        <v>4</v>
      </c>
      <c r="B114" s="222" t="s">
        <v>149</v>
      </c>
      <c r="C114" s="222" t="s">
        <v>150</v>
      </c>
      <c r="D114" s="125">
        <v>1212.29</v>
      </c>
      <c r="E114" s="163" t="s">
        <v>57</v>
      </c>
      <c r="F114" s="115"/>
      <c r="G114" s="91"/>
      <c r="H114" s="153">
        <v>-2424.5999999999958</v>
      </c>
      <c r="I114" s="216"/>
      <c r="J114" s="226">
        <v>-2424.5999999999958</v>
      </c>
      <c r="K114" s="581"/>
      <c r="L114" s="581"/>
      <c r="M114" s="574"/>
      <c r="N114" s="227" t="s">
        <v>57</v>
      </c>
      <c r="O114" s="228"/>
      <c r="P114" s="92"/>
      <c r="Q114" s="205">
        <f t="shared" si="5"/>
        <v>-1212.3099999999959</v>
      </c>
      <c r="R114" s="229"/>
      <c r="S114" s="207">
        <f t="shared" si="6"/>
        <v>-1212.3099999999959</v>
      </c>
    </row>
    <row r="115" spans="1:21" s="235" customFormat="1" ht="32.25" customHeight="1">
      <c r="A115" s="106"/>
      <c r="B115" s="231" t="s">
        <v>151</v>
      </c>
      <c r="C115" s="232"/>
      <c r="D115" s="233"/>
      <c r="E115" s="163"/>
      <c r="F115" s="115"/>
      <c r="G115" s="91"/>
      <c r="H115" s="91">
        <v>0</v>
      </c>
      <c r="I115" s="125"/>
      <c r="J115" s="132">
        <v>0</v>
      </c>
      <c r="K115" s="578"/>
      <c r="L115" s="580"/>
      <c r="M115" s="574"/>
      <c r="N115" s="234"/>
      <c r="O115" s="228"/>
      <c r="P115" s="92"/>
      <c r="Q115" s="205">
        <f t="shared" si="5"/>
        <v>0</v>
      </c>
      <c r="R115" s="125"/>
      <c r="S115" s="207">
        <f t="shared" si="6"/>
        <v>0</v>
      </c>
      <c r="T115" s="230"/>
    </row>
    <row r="116" spans="1:21" s="237" customFormat="1" ht="32.25" customHeight="1">
      <c r="A116" s="106">
        <v>5</v>
      </c>
      <c r="B116" s="222" t="s">
        <v>152</v>
      </c>
      <c r="C116" s="193" t="s">
        <v>153</v>
      </c>
      <c r="D116" s="125">
        <v>670.84</v>
      </c>
      <c r="E116" s="163" t="s">
        <v>57</v>
      </c>
      <c r="F116" s="115"/>
      <c r="G116" s="91"/>
      <c r="H116" s="91">
        <v>-1341.5999999999985</v>
      </c>
      <c r="I116" s="125"/>
      <c r="J116" s="132">
        <v>-1341.5999999999985</v>
      </c>
      <c r="K116" s="578"/>
      <c r="L116" s="580"/>
      <c r="M116" s="574"/>
      <c r="N116" s="227" t="s">
        <v>57</v>
      </c>
      <c r="O116" s="228"/>
      <c r="P116" s="92"/>
      <c r="Q116" s="205">
        <f t="shared" si="5"/>
        <v>-670.75999999999851</v>
      </c>
      <c r="R116" s="229"/>
      <c r="S116" s="207">
        <f t="shared" si="6"/>
        <v>-670.75999999999851</v>
      </c>
      <c r="T116" s="2"/>
      <c r="U116" s="2"/>
    </row>
    <row r="117" spans="1:21" s="237" customFormat="1" ht="32.25" customHeight="1">
      <c r="A117" s="106"/>
      <c r="B117" s="238" t="s">
        <v>154</v>
      </c>
      <c r="C117" s="193"/>
      <c r="D117" s="92"/>
      <c r="E117" s="239"/>
      <c r="F117" s="122"/>
      <c r="G117" s="91"/>
      <c r="H117" s="91">
        <v>0</v>
      </c>
      <c r="I117" s="92"/>
      <c r="J117" s="132">
        <v>0</v>
      </c>
      <c r="K117" s="578"/>
      <c r="L117" s="580"/>
      <c r="M117" s="574"/>
      <c r="N117" s="240"/>
      <c r="O117" s="122"/>
      <c r="P117" s="92"/>
      <c r="Q117" s="205">
        <f t="shared" si="5"/>
        <v>0</v>
      </c>
      <c r="R117" s="125"/>
      <c r="S117" s="207">
        <f t="shared" si="6"/>
        <v>0</v>
      </c>
      <c r="T117" s="2"/>
      <c r="U117" s="2"/>
    </row>
    <row r="118" spans="1:21" s="259" customFormat="1" ht="32.25" customHeight="1">
      <c r="A118" s="241">
        <v>6</v>
      </c>
      <c r="B118" s="242" t="s">
        <v>52</v>
      </c>
      <c r="C118" s="243" t="s">
        <v>155</v>
      </c>
      <c r="D118" s="244">
        <v>108.34</v>
      </c>
      <c r="E118" s="245" t="s">
        <v>57</v>
      </c>
      <c r="F118" s="246"/>
      <c r="G118" s="247"/>
      <c r="H118" s="248">
        <v>-758.3</v>
      </c>
      <c r="I118" s="249"/>
      <c r="J118" s="250">
        <v>-758.3</v>
      </c>
      <c r="K118" s="582"/>
      <c r="L118" s="583"/>
      <c r="M118" s="584"/>
      <c r="N118" s="254" t="s">
        <v>57</v>
      </c>
      <c r="O118" s="255"/>
      <c r="P118" s="256"/>
      <c r="Q118" s="205">
        <f t="shared" si="5"/>
        <v>-649.95999999999992</v>
      </c>
      <c r="R118" s="216"/>
      <c r="S118" s="207">
        <f t="shared" si="6"/>
        <v>-649.95999999999992</v>
      </c>
    </row>
    <row r="119" spans="1:21" s="259" customFormat="1" ht="32.25" customHeight="1">
      <c r="A119" s="260"/>
      <c r="B119" s="242" t="s">
        <v>759</v>
      </c>
      <c r="C119" s="242"/>
      <c r="D119" s="244"/>
      <c r="E119" s="245"/>
      <c r="F119" s="246"/>
      <c r="G119" s="248"/>
      <c r="H119" s="248">
        <v>0</v>
      </c>
      <c r="I119" s="249"/>
      <c r="J119" s="250">
        <v>0</v>
      </c>
      <c r="K119" s="582"/>
      <c r="L119" s="583"/>
      <c r="M119" s="584"/>
      <c r="N119" s="261"/>
      <c r="O119" s="246"/>
      <c r="P119" s="249"/>
      <c r="Q119" s="205">
        <f t="shared" si="5"/>
        <v>0</v>
      </c>
      <c r="R119" s="216"/>
      <c r="S119" s="207">
        <f t="shared" si="6"/>
        <v>0</v>
      </c>
    </row>
    <row r="120" spans="1:21" s="259" customFormat="1" ht="32.25" customHeight="1">
      <c r="A120" s="260"/>
      <c r="B120" s="516" t="s">
        <v>763</v>
      </c>
      <c r="C120" s="517"/>
      <c r="D120" s="244"/>
      <c r="E120" s="245"/>
      <c r="F120" s="246"/>
      <c r="G120" s="248"/>
      <c r="H120" s="248">
        <v>0</v>
      </c>
      <c r="I120" s="249"/>
      <c r="J120" s="250">
        <v>0</v>
      </c>
      <c r="K120" s="582"/>
      <c r="L120" s="583"/>
      <c r="M120" s="584"/>
      <c r="N120" s="261"/>
      <c r="O120" s="246"/>
      <c r="P120" s="249"/>
      <c r="Q120" s="205">
        <f t="shared" si="5"/>
        <v>0</v>
      </c>
      <c r="R120" s="216"/>
      <c r="S120" s="207">
        <f t="shared" si="6"/>
        <v>0</v>
      </c>
    </row>
    <row r="121" spans="1:21" s="259" customFormat="1" ht="32.25" customHeight="1">
      <c r="A121" s="260"/>
      <c r="B121" s="508" t="s">
        <v>766</v>
      </c>
      <c r="C121" s="509"/>
      <c r="D121" s="244"/>
      <c r="E121" s="245"/>
      <c r="F121" s="246"/>
      <c r="G121" s="248"/>
      <c r="H121" s="248"/>
      <c r="I121" s="249"/>
      <c r="J121" s="250"/>
      <c r="K121" s="582"/>
      <c r="L121" s="583"/>
      <c r="M121" s="584"/>
      <c r="N121" s="261"/>
      <c r="O121" s="246"/>
      <c r="P121" s="249"/>
      <c r="Q121" s="205"/>
      <c r="R121" s="216"/>
      <c r="S121" s="207"/>
    </row>
    <row r="122" spans="1:21" s="259" customFormat="1" ht="32.25" customHeight="1">
      <c r="A122" s="260"/>
      <c r="B122" s="508" t="s">
        <v>767</v>
      </c>
      <c r="C122" s="509"/>
      <c r="D122" s="244"/>
      <c r="E122" s="245"/>
      <c r="F122" s="246"/>
      <c r="G122" s="248"/>
      <c r="H122" s="248"/>
      <c r="I122" s="249"/>
      <c r="J122" s="250"/>
      <c r="K122" s="582"/>
      <c r="L122" s="583"/>
      <c r="M122" s="584"/>
      <c r="N122" s="261"/>
      <c r="O122" s="246"/>
      <c r="P122" s="249"/>
      <c r="Q122" s="205"/>
      <c r="R122" s="216"/>
      <c r="S122" s="207"/>
    </row>
    <row r="123" spans="1:21" s="259" customFormat="1" ht="32.25" customHeight="1">
      <c r="A123" s="260"/>
      <c r="B123" s="508" t="s">
        <v>768</v>
      </c>
      <c r="C123" s="509"/>
      <c r="D123" s="244"/>
      <c r="E123" s="245"/>
      <c r="F123" s="246"/>
      <c r="G123" s="248"/>
      <c r="H123" s="248"/>
      <c r="I123" s="249"/>
      <c r="J123" s="250"/>
      <c r="K123" s="582"/>
      <c r="L123" s="583"/>
      <c r="M123" s="584"/>
      <c r="N123" s="261"/>
      <c r="O123" s="246"/>
      <c r="P123" s="249"/>
      <c r="Q123" s="205"/>
      <c r="R123" s="216"/>
      <c r="S123" s="207"/>
    </row>
    <row r="124" spans="1:21" ht="41.25" customHeight="1">
      <c r="A124" s="106">
        <v>7</v>
      </c>
      <c r="B124" s="142" t="s">
        <v>158</v>
      </c>
      <c r="C124" s="142" t="s">
        <v>159</v>
      </c>
      <c r="D124" s="125">
        <v>191.67</v>
      </c>
      <c r="E124" s="152"/>
      <c r="F124" s="212"/>
      <c r="G124" s="262"/>
      <c r="H124" s="262">
        <v>-574.96999999999991</v>
      </c>
      <c r="I124" s="216"/>
      <c r="J124" s="226">
        <v>-574.96999999999991</v>
      </c>
      <c r="K124" s="578"/>
      <c r="L124" s="580"/>
      <c r="M124" s="585"/>
      <c r="N124" s="214"/>
      <c r="O124" s="212"/>
      <c r="P124" s="216"/>
      <c r="Q124" s="205">
        <f t="shared" si="5"/>
        <v>-383.29999999999995</v>
      </c>
      <c r="R124" s="216"/>
      <c r="S124" s="207">
        <f t="shared" si="6"/>
        <v>-383.29999999999995</v>
      </c>
    </row>
    <row r="125" spans="1:21" ht="39.75" customHeight="1">
      <c r="A125" s="264"/>
      <c r="B125" s="41" t="s">
        <v>163</v>
      </c>
      <c r="C125" s="41"/>
      <c r="D125" s="42"/>
      <c r="E125" s="189"/>
      <c r="F125" s="43"/>
      <c r="G125" s="6"/>
      <c r="H125" s="6">
        <v>0</v>
      </c>
      <c r="I125" s="42"/>
      <c r="J125" s="136">
        <v>0</v>
      </c>
      <c r="K125" s="586"/>
      <c r="L125" s="573"/>
      <c r="M125" s="587"/>
      <c r="N125" s="5"/>
      <c r="O125" s="43"/>
      <c r="P125" s="42"/>
      <c r="Q125" s="205">
        <f t="shared" si="5"/>
        <v>0</v>
      </c>
      <c r="R125" s="42"/>
      <c r="S125" s="207">
        <f t="shared" si="6"/>
        <v>0</v>
      </c>
    </row>
    <row r="126" spans="1:21" ht="41.25" customHeight="1">
      <c r="A126" s="264"/>
      <c r="B126" s="41" t="s">
        <v>164</v>
      </c>
      <c r="C126" s="41"/>
      <c r="D126" s="42"/>
      <c r="E126" s="189"/>
      <c r="F126" s="43"/>
      <c r="G126" s="6"/>
      <c r="H126" s="6">
        <v>0</v>
      </c>
      <c r="I126" s="42"/>
      <c r="J126" s="136">
        <v>0</v>
      </c>
      <c r="K126" s="588"/>
      <c r="L126" s="589"/>
      <c r="M126" s="590"/>
      <c r="N126" s="5"/>
      <c r="O126" s="43"/>
      <c r="P126" s="42"/>
      <c r="Q126" s="205">
        <f t="shared" si="5"/>
        <v>0</v>
      </c>
      <c r="R126" s="42"/>
      <c r="S126" s="207">
        <f t="shared" si="6"/>
        <v>0</v>
      </c>
    </row>
    <row r="127" spans="1:21" ht="41.25" customHeight="1">
      <c r="A127" s="264"/>
      <c r="B127" s="41" t="s">
        <v>165</v>
      </c>
      <c r="C127" s="41"/>
      <c r="D127" s="42"/>
      <c r="E127" s="189"/>
      <c r="F127" s="43"/>
      <c r="G127" s="6"/>
      <c r="H127" s="6">
        <v>0</v>
      </c>
      <c r="I127" s="42"/>
      <c r="J127" s="136">
        <v>0</v>
      </c>
      <c r="K127" s="588"/>
      <c r="L127" s="589"/>
      <c r="M127" s="590"/>
      <c r="N127" s="5"/>
      <c r="O127" s="43"/>
      <c r="P127" s="42"/>
      <c r="Q127" s="205">
        <f t="shared" si="5"/>
        <v>0</v>
      </c>
      <c r="R127" s="42"/>
      <c r="S127" s="207">
        <f t="shared" si="6"/>
        <v>0</v>
      </c>
    </row>
    <row r="128" spans="1:21" ht="41.25" customHeight="1">
      <c r="A128" s="264"/>
      <c r="B128" s="41" t="s">
        <v>166</v>
      </c>
      <c r="C128" s="41"/>
      <c r="D128" s="42"/>
      <c r="E128" s="269"/>
      <c r="F128" s="270"/>
      <c r="G128" s="271"/>
      <c r="H128" s="271">
        <v>0</v>
      </c>
      <c r="I128" s="272"/>
      <c r="J128" s="273">
        <v>0</v>
      </c>
      <c r="K128" s="586"/>
      <c r="L128" s="573"/>
      <c r="M128" s="587"/>
      <c r="N128" s="274"/>
      <c r="O128" s="270"/>
      <c r="P128" s="272"/>
      <c r="Q128" s="153">
        <v>0</v>
      </c>
      <c r="R128" s="272"/>
      <c r="S128" s="207">
        <f t="shared" si="6"/>
        <v>0</v>
      </c>
    </row>
    <row r="129" spans="1:19" ht="41.25" customHeight="1">
      <c r="A129" s="264"/>
      <c r="B129" s="275" t="s">
        <v>161</v>
      </c>
      <c r="C129" s="41"/>
      <c r="D129" s="42"/>
      <c r="E129" s="269"/>
      <c r="F129" s="270"/>
      <c r="G129" s="271"/>
      <c r="H129" s="271">
        <v>0</v>
      </c>
      <c r="I129" s="272"/>
      <c r="J129" s="273">
        <v>0</v>
      </c>
      <c r="K129" s="588"/>
      <c r="L129" s="589"/>
      <c r="M129" s="590"/>
      <c r="N129" s="274"/>
      <c r="O129" s="270"/>
      <c r="P129" s="272"/>
      <c r="Q129" s="153">
        <v>0</v>
      </c>
      <c r="R129" s="272"/>
      <c r="S129" s="207">
        <f t="shared" si="6"/>
        <v>0</v>
      </c>
    </row>
    <row r="130" spans="1:19" ht="41.25" customHeight="1">
      <c r="A130" s="264"/>
      <c r="B130" s="275" t="s">
        <v>162</v>
      </c>
      <c r="C130" s="41"/>
      <c r="D130" s="42">
        <v>0</v>
      </c>
      <c r="E130" s="269"/>
      <c r="F130" s="270"/>
      <c r="G130" s="271"/>
      <c r="H130" s="271">
        <v>0</v>
      </c>
      <c r="I130" s="272"/>
      <c r="J130" s="273">
        <v>0</v>
      </c>
      <c r="K130" s="588"/>
      <c r="L130" s="589"/>
      <c r="M130" s="590"/>
      <c r="N130" s="274"/>
      <c r="O130" s="270"/>
      <c r="P130" s="272"/>
      <c r="Q130" s="153">
        <v>0</v>
      </c>
      <c r="R130" s="272"/>
      <c r="S130" s="159">
        <v>0</v>
      </c>
    </row>
    <row r="131" spans="1:19" ht="32.25" customHeight="1" thickBot="1">
      <c r="A131" s="39"/>
      <c r="B131" s="50" t="s">
        <v>19</v>
      </c>
      <c r="C131" s="50"/>
      <c r="D131" s="51">
        <f>SUM(D99:D130)</f>
        <v>3589.8200000000006</v>
      </c>
      <c r="E131" s="52"/>
      <c r="F131" s="53"/>
      <c r="G131" s="52"/>
      <c r="H131" s="51"/>
      <c r="I131" s="51"/>
      <c r="J131" s="51"/>
      <c r="K131" s="591">
        <v>0</v>
      </c>
      <c r="L131" s="591">
        <v>0</v>
      </c>
      <c r="M131" s="591">
        <f>SUM(K99:M130)</f>
        <v>0</v>
      </c>
      <c r="N131" s="51"/>
      <c r="O131" s="51">
        <v>0</v>
      </c>
      <c r="P131" s="51">
        <v>0</v>
      </c>
      <c r="Q131" s="51">
        <v>0</v>
      </c>
      <c r="R131" s="51">
        <f>SUM(R108)</f>
        <v>0</v>
      </c>
      <c r="S131" s="51">
        <v>0</v>
      </c>
    </row>
    <row r="132" spans="1:19" ht="32.25" customHeight="1" thickTop="1">
      <c r="A132" s="39"/>
      <c r="B132" s="141" t="s">
        <v>167</v>
      </c>
      <c r="C132" s="142"/>
      <c r="D132" s="125"/>
      <c r="E132" s="131"/>
      <c r="F132" s="115"/>
      <c r="G132" s="33"/>
      <c r="H132" s="143"/>
      <c r="I132" s="143"/>
      <c r="J132" s="143"/>
      <c r="K132" s="541"/>
      <c r="L132" s="542"/>
      <c r="M132" s="543"/>
      <c r="N132" s="114"/>
      <c r="O132" s="115"/>
      <c r="P132" s="144"/>
      <c r="Q132" s="33"/>
      <c r="R132" s="33"/>
      <c r="S132" s="145"/>
    </row>
    <row r="133" spans="1:19" s="160" customFormat="1" ht="32.25" customHeight="1">
      <c r="A133" s="106">
        <v>1</v>
      </c>
      <c r="B133" s="142" t="s">
        <v>23</v>
      </c>
      <c r="C133" s="142" t="s">
        <v>168</v>
      </c>
      <c r="D133" s="151">
        <v>10925</v>
      </c>
      <c r="E133" s="163"/>
      <c r="F133" s="122"/>
      <c r="G133" s="122"/>
      <c r="H133" s="91">
        <v>0</v>
      </c>
      <c r="I133" s="122"/>
      <c r="J133" s="132">
        <v>0</v>
      </c>
      <c r="K133" s="592" t="s">
        <v>832</v>
      </c>
      <c r="L133" s="165" t="s">
        <v>847</v>
      </c>
      <c r="M133" s="166">
        <v>10925</v>
      </c>
      <c r="N133" s="279"/>
      <c r="O133" s="280"/>
      <c r="P133" s="280"/>
      <c r="Q133" s="91">
        <f>SUM(D133+J133-M133)</f>
        <v>0</v>
      </c>
      <c r="R133" s="91"/>
      <c r="S133" s="77">
        <f>SUM(D133+J133-M133)</f>
        <v>0</v>
      </c>
    </row>
    <row r="134" spans="1:19" s="160" customFormat="1" ht="32.25" customHeight="1">
      <c r="A134" s="106">
        <v>2</v>
      </c>
      <c r="B134" s="142" t="s">
        <v>69</v>
      </c>
      <c r="C134" s="142" t="s">
        <v>170</v>
      </c>
      <c r="D134" s="151">
        <v>920</v>
      </c>
      <c r="E134" s="163"/>
      <c r="F134" s="122"/>
      <c r="G134" s="122"/>
      <c r="H134" s="91">
        <v>0</v>
      </c>
      <c r="I134" s="122"/>
      <c r="J134" s="132">
        <v>0</v>
      </c>
      <c r="K134" s="592" t="s">
        <v>836</v>
      </c>
      <c r="L134" s="165" t="s">
        <v>848</v>
      </c>
      <c r="M134" s="166">
        <v>920</v>
      </c>
      <c r="N134" s="281"/>
      <c r="O134" s="280"/>
      <c r="P134" s="280"/>
      <c r="Q134" s="91">
        <f t="shared" ref="Q134:Q159" si="7">SUM(D134+J134-M134)</f>
        <v>0</v>
      </c>
      <c r="R134" s="91"/>
      <c r="S134" s="77">
        <f t="shared" ref="S134:S144" si="8">SUM(D134+J134-M134)</f>
        <v>0</v>
      </c>
    </row>
    <row r="135" spans="1:19" s="160" customFormat="1" ht="32.25" customHeight="1">
      <c r="A135" s="106">
        <v>3</v>
      </c>
      <c r="B135" s="142" t="s">
        <v>27</v>
      </c>
      <c r="C135" s="142" t="s">
        <v>172</v>
      </c>
      <c r="D135" s="151">
        <v>1100</v>
      </c>
      <c r="E135" s="163"/>
      <c r="F135" s="122"/>
      <c r="G135" s="122"/>
      <c r="H135" s="91">
        <v>0</v>
      </c>
      <c r="I135" s="122"/>
      <c r="J135" s="132">
        <v>0</v>
      </c>
      <c r="K135" s="592" t="s">
        <v>832</v>
      </c>
      <c r="L135" s="165" t="s">
        <v>849</v>
      </c>
      <c r="M135" s="166">
        <v>1100</v>
      </c>
      <c r="N135" s="279"/>
      <c r="O135" s="280"/>
      <c r="P135" s="280"/>
      <c r="Q135" s="91">
        <f t="shared" si="7"/>
        <v>0</v>
      </c>
      <c r="R135" s="91"/>
      <c r="S135" s="77">
        <f t="shared" si="8"/>
        <v>0</v>
      </c>
    </row>
    <row r="136" spans="1:19" s="160" customFormat="1" ht="32.25" customHeight="1">
      <c r="A136" s="106"/>
      <c r="B136" s="142" t="s">
        <v>341</v>
      </c>
      <c r="C136" s="142"/>
      <c r="D136" s="151"/>
      <c r="E136" s="163"/>
      <c r="F136" s="122"/>
      <c r="G136" s="122"/>
      <c r="H136" s="91">
        <v>0</v>
      </c>
      <c r="I136" s="122"/>
      <c r="J136" s="132">
        <v>0</v>
      </c>
      <c r="K136" s="592"/>
      <c r="L136" s="165"/>
      <c r="M136" s="166"/>
      <c r="N136" s="279"/>
      <c r="O136" s="280"/>
      <c r="P136" s="280"/>
      <c r="Q136" s="91">
        <f t="shared" si="7"/>
        <v>0</v>
      </c>
      <c r="R136" s="91"/>
      <c r="S136" s="77">
        <f t="shared" si="8"/>
        <v>0</v>
      </c>
    </row>
    <row r="137" spans="1:19" s="160" customFormat="1" ht="32.25" customHeight="1">
      <c r="A137" s="106"/>
      <c r="B137" s="142" t="s">
        <v>342</v>
      </c>
      <c r="C137" s="142"/>
      <c r="D137" s="151"/>
      <c r="E137" s="163"/>
      <c r="F137" s="122"/>
      <c r="G137" s="122"/>
      <c r="H137" s="91">
        <v>0</v>
      </c>
      <c r="I137" s="122"/>
      <c r="J137" s="132">
        <v>0</v>
      </c>
      <c r="K137" s="592"/>
      <c r="L137" s="165"/>
      <c r="M137" s="166"/>
      <c r="N137" s="279"/>
      <c r="O137" s="280"/>
      <c r="P137" s="280"/>
      <c r="Q137" s="91">
        <f t="shared" si="7"/>
        <v>0</v>
      </c>
      <c r="R137" s="91"/>
      <c r="S137" s="77">
        <f t="shared" si="8"/>
        <v>0</v>
      </c>
    </row>
    <row r="138" spans="1:19" s="160" customFormat="1" ht="32.25" customHeight="1">
      <c r="A138" s="106"/>
      <c r="B138" s="142" t="s">
        <v>343</v>
      </c>
      <c r="C138" s="142"/>
      <c r="D138" s="151"/>
      <c r="E138" s="163"/>
      <c r="F138" s="122"/>
      <c r="G138" s="122"/>
      <c r="H138" s="91">
        <v>0</v>
      </c>
      <c r="I138" s="122"/>
      <c r="J138" s="132">
        <v>0</v>
      </c>
      <c r="K138" s="592"/>
      <c r="L138" s="165"/>
      <c r="M138" s="166"/>
      <c r="N138" s="279"/>
      <c r="O138" s="280"/>
      <c r="P138" s="280"/>
      <c r="Q138" s="91">
        <f t="shared" si="7"/>
        <v>0</v>
      </c>
      <c r="R138" s="91"/>
      <c r="S138" s="77">
        <f t="shared" si="8"/>
        <v>0</v>
      </c>
    </row>
    <row r="139" spans="1:19" s="160" customFormat="1" ht="32.25" customHeight="1">
      <c r="A139" s="106">
        <v>4</v>
      </c>
      <c r="B139" s="142" t="s">
        <v>77</v>
      </c>
      <c r="C139" s="142" t="s">
        <v>174</v>
      </c>
      <c r="D139" s="151">
        <v>920</v>
      </c>
      <c r="E139" s="163"/>
      <c r="F139" s="122"/>
      <c r="G139" s="122"/>
      <c r="H139" s="91">
        <v>0</v>
      </c>
      <c r="I139" s="122"/>
      <c r="J139" s="132">
        <v>0</v>
      </c>
      <c r="K139" s="592" t="s">
        <v>813</v>
      </c>
      <c r="L139" s="165" t="s">
        <v>850</v>
      </c>
      <c r="M139" s="166">
        <v>920</v>
      </c>
      <c r="N139" s="279"/>
      <c r="O139" s="280"/>
      <c r="P139" s="280"/>
      <c r="Q139" s="91">
        <f t="shared" si="7"/>
        <v>0</v>
      </c>
      <c r="R139" s="91"/>
      <c r="S139" s="77">
        <f t="shared" si="8"/>
        <v>0</v>
      </c>
    </row>
    <row r="140" spans="1:19" s="160" customFormat="1" ht="32.25" customHeight="1">
      <c r="A140" s="106">
        <v>5</v>
      </c>
      <c r="B140" s="142" t="s">
        <v>176</v>
      </c>
      <c r="C140" s="142" t="s">
        <v>177</v>
      </c>
      <c r="D140" s="151">
        <v>2300</v>
      </c>
      <c r="E140" s="163"/>
      <c r="F140" s="122"/>
      <c r="G140" s="122"/>
      <c r="H140" s="91">
        <v>0</v>
      </c>
      <c r="I140" s="122"/>
      <c r="J140" s="132">
        <v>0</v>
      </c>
      <c r="K140" s="592" t="s">
        <v>813</v>
      </c>
      <c r="L140" s="165" t="s">
        <v>851</v>
      </c>
      <c r="M140" s="166">
        <v>3300</v>
      </c>
      <c r="N140" s="279" t="s">
        <v>57</v>
      </c>
      <c r="O140" s="280"/>
      <c r="P140" s="280"/>
      <c r="Q140" s="91">
        <f t="shared" si="7"/>
        <v>-1000</v>
      </c>
      <c r="R140" s="91"/>
      <c r="S140" s="77">
        <f t="shared" si="8"/>
        <v>-1000</v>
      </c>
    </row>
    <row r="141" spans="1:19" ht="32.25" customHeight="1">
      <c r="A141" s="106">
        <v>6</v>
      </c>
      <c r="B141" s="142" t="s">
        <v>75</v>
      </c>
      <c r="C141" s="142" t="s">
        <v>179</v>
      </c>
      <c r="D141" s="151"/>
      <c r="E141" s="163"/>
      <c r="F141" s="115"/>
      <c r="G141" s="115"/>
      <c r="H141" s="131">
        <v>0</v>
      </c>
      <c r="I141" s="115"/>
      <c r="J141" s="132">
        <v>0</v>
      </c>
      <c r="K141" s="593"/>
      <c r="L141" s="571"/>
      <c r="M141" s="594"/>
      <c r="N141" s="114"/>
      <c r="O141" s="122"/>
      <c r="P141" s="122"/>
      <c r="Q141" s="91">
        <f t="shared" si="7"/>
        <v>0</v>
      </c>
      <c r="R141" s="91"/>
      <c r="S141" s="77">
        <f t="shared" si="8"/>
        <v>0</v>
      </c>
    </row>
    <row r="142" spans="1:19" ht="32.25" customHeight="1">
      <c r="A142" s="106">
        <v>7</v>
      </c>
      <c r="B142" s="142" t="s">
        <v>75</v>
      </c>
      <c r="C142" s="142" t="s">
        <v>180</v>
      </c>
      <c r="D142" s="151"/>
      <c r="E142" s="163"/>
      <c r="F142" s="115"/>
      <c r="G142" s="115"/>
      <c r="H142" s="131">
        <v>0</v>
      </c>
      <c r="I142" s="115"/>
      <c r="J142" s="132">
        <v>0</v>
      </c>
      <c r="K142" s="593"/>
      <c r="L142" s="571"/>
      <c r="M142" s="594"/>
      <c r="N142" s="114"/>
      <c r="O142" s="122"/>
      <c r="P142" s="122"/>
      <c r="Q142" s="91">
        <f t="shared" si="7"/>
        <v>0</v>
      </c>
      <c r="R142" s="91"/>
      <c r="S142" s="77">
        <f t="shared" si="8"/>
        <v>0</v>
      </c>
    </row>
    <row r="143" spans="1:19" ht="32.25" customHeight="1">
      <c r="A143" s="106">
        <v>8</v>
      </c>
      <c r="B143" s="142" t="s">
        <v>75</v>
      </c>
      <c r="C143" s="142" t="s">
        <v>181</v>
      </c>
      <c r="D143" s="151">
        <v>0</v>
      </c>
      <c r="E143" s="163"/>
      <c r="F143" s="115"/>
      <c r="G143" s="115"/>
      <c r="H143" s="131">
        <v>0</v>
      </c>
      <c r="I143" s="115"/>
      <c r="J143" s="132">
        <v>0</v>
      </c>
      <c r="K143" s="593"/>
      <c r="L143" s="571"/>
      <c r="M143" s="594"/>
      <c r="N143" s="114"/>
      <c r="O143" s="122"/>
      <c r="P143" s="122"/>
      <c r="Q143" s="91">
        <f t="shared" si="7"/>
        <v>0</v>
      </c>
      <c r="R143" s="91"/>
      <c r="S143" s="77">
        <f t="shared" si="8"/>
        <v>0</v>
      </c>
    </row>
    <row r="144" spans="1:19" ht="32.25" customHeight="1">
      <c r="A144" s="106">
        <v>9</v>
      </c>
      <c r="B144" s="142" t="s">
        <v>75</v>
      </c>
      <c r="C144" s="142" t="s">
        <v>182</v>
      </c>
      <c r="D144" s="151">
        <v>0</v>
      </c>
      <c r="E144" s="163"/>
      <c r="F144" s="115"/>
      <c r="G144" s="115"/>
      <c r="H144" s="131">
        <v>0</v>
      </c>
      <c r="I144" s="115"/>
      <c r="J144" s="132">
        <v>0</v>
      </c>
      <c r="K144" s="593"/>
      <c r="L144" s="571"/>
      <c r="M144" s="594"/>
      <c r="N144" s="114"/>
      <c r="O144" s="122"/>
      <c r="P144" s="122"/>
      <c r="Q144" s="91">
        <f t="shared" si="7"/>
        <v>0</v>
      </c>
      <c r="R144" s="91"/>
      <c r="S144" s="77">
        <f t="shared" si="8"/>
        <v>0</v>
      </c>
    </row>
    <row r="145" spans="1:19" ht="32.25" customHeight="1">
      <c r="A145" s="106">
        <v>10</v>
      </c>
      <c r="B145" s="142" t="s">
        <v>75</v>
      </c>
      <c r="C145" s="142" t="s">
        <v>183</v>
      </c>
      <c r="D145" s="151">
        <v>0</v>
      </c>
      <c r="E145" s="163"/>
      <c r="F145" s="115"/>
      <c r="G145" s="115"/>
      <c r="H145" s="131">
        <v>0</v>
      </c>
      <c r="I145" s="115"/>
      <c r="J145" s="132">
        <v>0</v>
      </c>
      <c r="K145" s="593"/>
      <c r="L145" s="571"/>
      <c r="M145" s="594"/>
      <c r="N145" s="114"/>
      <c r="O145" s="115"/>
      <c r="P145" s="168"/>
      <c r="Q145" s="91">
        <f t="shared" si="7"/>
        <v>0</v>
      </c>
      <c r="R145" s="91"/>
      <c r="S145" s="294">
        <f>SUM(D145+J145-M145)</f>
        <v>0</v>
      </c>
    </row>
    <row r="146" spans="1:19" ht="32.25" customHeight="1" thickBot="1">
      <c r="A146" s="39"/>
      <c r="B146" s="50" t="s">
        <v>19</v>
      </c>
      <c r="C146" s="50"/>
      <c r="D146" s="51">
        <f>SUM(D133:D145)</f>
        <v>16165</v>
      </c>
      <c r="E146" s="52"/>
      <c r="F146" s="53"/>
      <c r="G146" s="52"/>
      <c r="H146" s="51">
        <f>SUM(H133:H145)</f>
        <v>0</v>
      </c>
      <c r="I146" s="51">
        <v>0</v>
      </c>
      <c r="J146" s="51">
        <f>SUM(J133:J145)</f>
        <v>0</v>
      </c>
      <c r="K146" s="547"/>
      <c r="L146" s="548"/>
      <c r="M146" s="549">
        <f>SUM(M133:M145)</f>
        <v>17165</v>
      </c>
      <c r="N146" s="57"/>
      <c r="O146" s="53"/>
      <c r="P146" s="51"/>
      <c r="Q146" s="519">
        <v>0</v>
      </c>
      <c r="R146" s="520">
        <v>0</v>
      </c>
      <c r="S146" s="521">
        <v>0</v>
      </c>
    </row>
    <row r="147" spans="1:19" ht="32.25" hidden="1" customHeight="1">
      <c r="A147" s="39"/>
      <c r="B147" s="58" t="s">
        <v>184</v>
      </c>
      <c r="C147" s="59"/>
      <c r="D147" s="60"/>
      <c r="E147" s="61"/>
      <c r="F147" s="62"/>
      <c r="G147" s="63"/>
      <c r="H147" s="64"/>
      <c r="I147" s="64"/>
      <c r="J147" s="64"/>
      <c r="K147" s="550"/>
      <c r="L147" s="551"/>
      <c r="M147" s="552"/>
      <c r="N147" s="68"/>
      <c r="O147" s="62"/>
      <c r="P147" s="69"/>
      <c r="Q147" s="6">
        <f t="shared" si="7"/>
        <v>0</v>
      </c>
      <c r="R147" s="37"/>
      <c r="S147" s="518">
        <f t="shared" ref="S147:S158" si="9">SUM(D147+J147-M147)</f>
        <v>0</v>
      </c>
    </row>
    <row r="148" spans="1:19" ht="32.25" hidden="1" customHeight="1">
      <c r="A148" s="39">
        <v>1</v>
      </c>
      <c r="B148" s="40"/>
      <c r="C148" s="41"/>
      <c r="D148" s="42"/>
      <c r="E148" s="6"/>
      <c r="F148" s="43"/>
      <c r="G148" s="6"/>
      <c r="H148" s="42"/>
      <c r="I148" s="42"/>
      <c r="J148" s="42"/>
      <c r="K148" s="544"/>
      <c r="L148" s="545"/>
      <c r="M148" s="546"/>
      <c r="N148" s="5"/>
      <c r="O148" s="43"/>
      <c r="P148" s="47"/>
      <c r="Q148" s="91">
        <f t="shared" si="7"/>
        <v>0</v>
      </c>
      <c r="R148" s="48"/>
      <c r="S148" s="77">
        <f t="shared" si="9"/>
        <v>0</v>
      </c>
    </row>
    <row r="149" spans="1:19" ht="32.25" hidden="1" customHeight="1">
      <c r="A149" s="39"/>
      <c r="B149" s="50" t="s">
        <v>19</v>
      </c>
      <c r="C149" s="50"/>
      <c r="D149" s="51">
        <v>0</v>
      </c>
      <c r="E149" s="52"/>
      <c r="F149" s="53"/>
      <c r="G149" s="52"/>
      <c r="H149" s="51">
        <v>0</v>
      </c>
      <c r="I149" s="51">
        <v>0</v>
      </c>
      <c r="J149" s="51">
        <v>0</v>
      </c>
      <c r="K149" s="547"/>
      <c r="L149" s="548"/>
      <c r="M149" s="549"/>
      <c r="N149" s="57"/>
      <c r="O149" s="53"/>
      <c r="P149" s="51"/>
      <c r="Q149" s="91">
        <f t="shared" si="7"/>
        <v>0</v>
      </c>
      <c r="R149" s="51"/>
      <c r="S149" s="77">
        <f t="shared" si="9"/>
        <v>0</v>
      </c>
    </row>
    <row r="150" spans="1:19" ht="32.25" hidden="1" customHeight="1">
      <c r="A150" s="39"/>
      <c r="B150" s="58" t="s">
        <v>185</v>
      </c>
      <c r="C150" s="59"/>
      <c r="D150" s="60"/>
      <c r="E150" s="61"/>
      <c r="F150" s="62"/>
      <c r="G150" s="63"/>
      <c r="H150" s="64"/>
      <c r="I150" s="64"/>
      <c r="J150" s="64"/>
      <c r="K150" s="550"/>
      <c r="L150" s="551"/>
      <c r="M150" s="552"/>
      <c r="N150" s="68"/>
      <c r="O150" s="62"/>
      <c r="P150" s="69"/>
      <c r="Q150" s="91">
        <f t="shared" si="7"/>
        <v>0</v>
      </c>
      <c r="R150" s="63"/>
      <c r="S150" s="77">
        <f t="shared" si="9"/>
        <v>0</v>
      </c>
    </row>
    <row r="151" spans="1:19" ht="32.25" hidden="1" customHeight="1">
      <c r="A151" s="39">
        <v>1</v>
      </c>
      <c r="B151" s="40"/>
      <c r="C151" s="41"/>
      <c r="D151" s="42"/>
      <c r="E151" s="6"/>
      <c r="F151" s="43"/>
      <c r="G151" s="6"/>
      <c r="H151" s="42"/>
      <c r="I151" s="42"/>
      <c r="J151" s="42"/>
      <c r="K151" s="595"/>
      <c r="L151" s="596"/>
      <c r="M151" s="597"/>
      <c r="N151" s="5"/>
      <c r="O151" s="43"/>
      <c r="P151" s="47"/>
      <c r="Q151" s="91">
        <f t="shared" si="7"/>
        <v>0</v>
      </c>
      <c r="R151" s="48"/>
      <c r="S151" s="77">
        <f t="shared" si="9"/>
        <v>0</v>
      </c>
    </row>
    <row r="152" spans="1:19" ht="32.25" hidden="1" customHeight="1">
      <c r="A152" s="39"/>
      <c r="B152" s="50" t="s">
        <v>19</v>
      </c>
      <c r="C152" s="50"/>
      <c r="D152" s="51">
        <v>0</v>
      </c>
      <c r="E152" s="52"/>
      <c r="F152" s="53"/>
      <c r="G152" s="52"/>
      <c r="H152" s="51">
        <v>0</v>
      </c>
      <c r="I152" s="51">
        <v>0</v>
      </c>
      <c r="J152" s="51">
        <v>0</v>
      </c>
      <c r="K152" s="547"/>
      <c r="L152" s="548"/>
      <c r="M152" s="549"/>
      <c r="N152" s="57"/>
      <c r="O152" s="53"/>
      <c r="P152" s="51"/>
      <c r="Q152" s="91">
        <f t="shared" si="7"/>
        <v>0</v>
      </c>
      <c r="R152" s="51"/>
      <c r="S152" s="77">
        <f t="shared" si="9"/>
        <v>0</v>
      </c>
    </row>
    <row r="153" spans="1:19" ht="32.25" customHeight="1" thickTop="1">
      <c r="A153" s="39"/>
      <c r="B153" s="58" t="s">
        <v>186</v>
      </c>
      <c r="C153" s="59"/>
      <c r="D153" s="60"/>
      <c r="E153" s="61"/>
      <c r="F153" s="62"/>
      <c r="G153" s="63"/>
      <c r="H153" s="64"/>
      <c r="I153" s="64"/>
      <c r="J153" s="64"/>
      <c r="K153" s="550"/>
      <c r="L153" s="551"/>
      <c r="M153" s="552"/>
      <c r="N153" s="68"/>
      <c r="O153" s="62"/>
      <c r="P153" s="69"/>
      <c r="Q153" s="91">
        <f t="shared" si="7"/>
        <v>0</v>
      </c>
      <c r="R153" s="63"/>
      <c r="S153" s="77">
        <f t="shared" si="9"/>
        <v>0</v>
      </c>
    </row>
    <row r="154" spans="1:19" s="160" customFormat="1" ht="32.25" customHeight="1">
      <c r="A154" s="116">
        <v>1</v>
      </c>
      <c r="B154" s="41" t="s">
        <v>23</v>
      </c>
      <c r="C154" s="41" t="s">
        <v>187</v>
      </c>
      <c r="D154" s="287">
        <v>2140</v>
      </c>
      <c r="E154" s="240"/>
      <c r="F154" s="122"/>
      <c r="G154" s="91"/>
      <c r="H154" s="91">
        <v>0</v>
      </c>
      <c r="I154" s="92"/>
      <c r="J154" s="132">
        <v>0</v>
      </c>
      <c r="K154" s="529" t="s">
        <v>832</v>
      </c>
      <c r="L154" s="530" t="s">
        <v>814</v>
      </c>
      <c r="M154" s="531">
        <v>2140</v>
      </c>
      <c r="N154" s="291"/>
      <c r="O154" s="292"/>
      <c r="P154" s="293"/>
      <c r="Q154" s="91">
        <f t="shared" si="7"/>
        <v>0</v>
      </c>
      <c r="R154" s="92"/>
      <c r="S154" s="77">
        <f t="shared" si="9"/>
        <v>0</v>
      </c>
    </row>
    <row r="155" spans="1:19" s="160" customFormat="1" ht="32.25" customHeight="1">
      <c r="A155" s="116">
        <v>2</v>
      </c>
      <c r="B155" s="142" t="s">
        <v>23</v>
      </c>
      <c r="C155" s="142" t="s">
        <v>189</v>
      </c>
      <c r="D155" s="287">
        <v>26182.9</v>
      </c>
      <c r="E155" s="114"/>
      <c r="F155" s="115"/>
      <c r="G155" s="295"/>
      <c r="H155" s="131">
        <v>0</v>
      </c>
      <c r="I155" s="125"/>
      <c r="J155" s="132">
        <v>0</v>
      </c>
      <c r="K155" s="532" t="s">
        <v>852</v>
      </c>
      <c r="L155" s="533" t="s">
        <v>853</v>
      </c>
      <c r="M155" s="531">
        <v>26182.9</v>
      </c>
      <c r="N155" s="298"/>
      <c r="O155" s="292"/>
      <c r="P155" s="292"/>
      <c r="Q155" s="91">
        <f t="shared" si="7"/>
        <v>0</v>
      </c>
      <c r="R155" s="92"/>
      <c r="S155" s="77">
        <f t="shared" si="9"/>
        <v>0</v>
      </c>
    </row>
    <row r="156" spans="1:19" s="160" customFormat="1" ht="32.25" customHeight="1">
      <c r="A156" s="116">
        <v>3</v>
      </c>
      <c r="B156" s="142" t="s">
        <v>192</v>
      </c>
      <c r="C156" s="142" t="s">
        <v>193</v>
      </c>
      <c r="D156" s="293">
        <v>1091.4000000000001</v>
      </c>
      <c r="E156" s="114"/>
      <c r="F156" s="115"/>
      <c r="G156" s="131"/>
      <c r="H156" s="131">
        <v>0</v>
      </c>
      <c r="I156" s="125"/>
      <c r="J156" s="132">
        <v>0</v>
      </c>
      <c r="K156" s="529" t="s">
        <v>806</v>
      </c>
      <c r="L156" s="530" t="s">
        <v>854</v>
      </c>
      <c r="M156" s="531">
        <v>1091.4000000000001</v>
      </c>
      <c r="N156" s="298"/>
      <c r="O156" s="292"/>
      <c r="P156" s="299"/>
      <c r="Q156" s="91">
        <f t="shared" si="7"/>
        <v>0</v>
      </c>
      <c r="R156" s="92"/>
      <c r="S156" s="77">
        <f t="shared" si="9"/>
        <v>0</v>
      </c>
    </row>
    <row r="157" spans="1:19" ht="32.25" customHeight="1">
      <c r="A157" s="106">
        <v>4</v>
      </c>
      <c r="B157" s="300" t="s">
        <v>195</v>
      </c>
      <c r="C157" s="300" t="s">
        <v>193</v>
      </c>
      <c r="D157" s="287">
        <v>3712.9</v>
      </c>
      <c r="E157" s="301" t="s">
        <v>779</v>
      </c>
      <c r="F157" s="31">
        <v>1</v>
      </c>
      <c r="G157" s="301" t="s">
        <v>72</v>
      </c>
      <c r="H157" s="29">
        <v>5250.0000000000009</v>
      </c>
      <c r="I157" s="29">
        <v>367.49999999999977</v>
      </c>
      <c r="J157" s="132">
        <v>5617.5000000000009</v>
      </c>
      <c r="K157" s="529"/>
      <c r="L157" s="530"/>
      <c r="M157" s="531">
        <v>0</v>
      </c>
      <c r="N157" s="302" t="s">
        <v>855</v>
      </c>
      <c r="O157" s="303">
        <v>2</v>
      </c>
      <c r="P157" s="304" t="s">
        <v>72</v>
      </c>
      <c r="Q157" s="91">
        <f>SUM(S157-R157)</f>
        <v>8720.0000000000018</v>
      </c>
      <c r="R157" s="29">
        <f>+S157*0.0654205607476635</f>
        <v>610.39999999999964</v>
      </c>
      <c r="S157" s="77">
        <f t="shared" si="9"/>
        <v>9330.4000000000015</v>
      </c>
    </row>
    <row r="158" spans="1:19" ht="32.25" customHeight="1">
      <c r="A158" s="39">
        <v>5</v>
      </c>
      <c r="B158" s="142" t="s">
        <v>403</v>
      </c>
      <c r="C158" s="142" t="s">
        <v>193</v>
      </c>
      <c r="D158" s="305">
        <v>4333.5</v>
      </c>
      <c r="E158" s="131"/>
      <c r="F158" s="115"/>
      <c r="G158" s="131"/>
      <c r="H158" s="125">
        <v>0</v>
      </c>
      <c r="I158" s="125"/>
      <c r="J158" s="132">
        <v>0</v>
      </c>
      <c r="K158" s="598" t="s">
        <v>856</v>
      </c>
      <c r="L158" s="599" t="s">
        <v>857</v>
      </c>
      <c r="M158" s="600">
        <v>4333.5</v>
      </c>
      <c r="N158" s="114"/>
      <c r="O158" s="115"/>
      <c r="P158" s="144"/>
      <c r="Q158" s="91">
        <f t="shared" si="7"/>
        <v>0</v>
      </c>
      <c r="R158" s="125"/>
      <c r="S158" s="77">
        <f t="shared" si="9"/>
        <v>0</v>
      </c>
    </row>
    <row r="159" spans="1:19" ht="32.25" customHeight="1">
      <c r="A159" s="39"/>
      <c r="B159" s="41"/>
      <c r="C159" s="41"/>
      <c r="D159" s="42"/>
      <c r="E159" s="6"/>
      <c r="F159" s="43"/>
      <c r="G159" s="6"/>
      <c r="H159" s="42">
        <v>0</v>
      </c>
      <c r="I159" s="42"/>
      <c r="J159" s="309"/>
      <c r="K159" s="595"/>
      <c r="L159" s="596"/>
      <c r="M159" s="597"/>
      <c r="N159" s="5"/>
      <c r="O159" s="43"/>
      <c r="P159" s="47"/>
      <c r="Q159" s="91">
        <f t="shared" si="7"/>
        <v>0</v>
      </c>
      <c r="R159" s="42"/>
      <c r="S159" s="100"/>
    </row>
    <row r="160" spans="1:19" ht="32.25" customHeight="1" thickBot="1">
      <c r="A160" s="39"/>
      <c r="B160" s="50" t="s">
        <v>19</v>
      </c>
      <c r="C160" s="50"/>
      <c r="D160" s="51">
        <f>SUM(D154:D159)</f>
        <v>37460.700000000004</v>
      </c>
      <c r="E160" s="52"/>
      <c r="F160" s="53"/>
      <c r="G160" s="52"/>
      <c r="H160" s="51">
        <f>SUM(H154:H159)</f>
        <v>5250.0000000000009</v>
      </c>
      <c r="I160" s="51">
        <f>SUM(I154:I159)</f>
        <v>367.49999999999977</v>
      </c>
      <c r="J160" s="51">
        <f>SUM(J154:J159)</f>
        <v>5617.5000000000009</v>
      </c>
      <c r="K160" s="547"/>
      <c r="L160" s="548"/>
      <c r="M160" s="549">
        <f>SUM(M154:M158)</f>
        <v>33747.800000000003</v>
      </c>
      <c r="N160" s="57"/>
      <c r="O160" s="53"/>
      <c r="P160" s="51"/>
      <c r="Q160" s="51">
        <f>SUM(Q154:Q159)</f>
        <v>8720.0000000000018</v>
      </c>
      <c r="R160" s="51">
        <f>SUM(R154:R159)</f>
        <v>610.39999999999964</v>
      </c>
      <c r="S160" s="51">
        <f>SUM(S154:S159)</f>
        <v>9330.4000000000015</v>
      </c>
    </row>
    <row r="161" spans="1:26" ht="32.25" customHeight="1" thickTop="1">
      <c r="A161" s="39"/>
      <c r="B161" s="58" t="s">
        <v>198</v>
      </c>
      <c r="C161" s="59"/>
      <c r="D161" s="60"/>
      <c r="E161" s="61"/>
      <c r="F161" s="62"/>
      <c r="G161" s="63"/>
      <c r="H161" s="64"/>
      <c r="I161" s="64"/>
      <c r="J161" s="64"/>
      <c r="K161" s="550"/>
      <c r="L161" s="551"/>
      <c r="M161" s="552"/>
      <c r="N161" s="68"/>
      <c r="O161" s="62"/>
      <c r="P161" s="69"/>
      <c r="Q161" s="63"/>
      <c r="R161" s="63"/>
      <c r="S161" s="70"/>
    </row>
    <row r="162" spans="1:26" s="327" customFormat="1" ht="32.25" customHeight="1">
      <c r="A162" s="310">
        <v>1</v>
      </c>
      <c r="B162" s="311" t="s">
        <v>152</v>
      </c>
      <c r="C162" s="312"/>
      <c r="D162" s="305">
        <v>0</v>
      </c>
      <c r="E162" s="313"/>
      <c r="F162" s="314"/>
      <c r="G162" s="315"/>
      <c r="H162" s="316">
        <v>0</v>
      </c>
      <c r="I162" s="72">
        <v>0</v>
      </c>
      <c r="J162" s="317">
        <v>0</v>
      </c>
      <c r="K162" s="601"/>
      <c r="L162" s="602"/>
      <c r="M162" s="603"/>
      <c r="N162" s="313"/>
      <c r="O162" s="314"/>
      <c r="P162" s="321"/>
      <c r="Q162" s="322">
        <v>0</v>
      </c>
      <c r="R162" s="323"/>
      <c r="S162" s="324">
        <v>0</v>
      </c>
      <c r="T162" s="325" t="s">
        <v>199</v>
      </c>
      <c r="U162" s="326"/>
      <c r="V162" s="326"/>
      <c r="W162" s="326"/>
      <c r="X162" s="326"/>
      <c r="Y162" s="326"/>
      <c r="Z162" s="326"/>
    </row>
    <row r="163" spans="1:26" s="327" customFormat="1" ht="32.25" customHeight="1">
      <c r="A163" s="328">
        <v>2</v>
      </c>
      <c r="B163" s="329" t="s">
        <v>200</v>
      </c>
      <c r="C163" s="330"/>
      <c r="D163" s="331">
        <v>0</v>
      </c>
      <c r="E163" s="332"/>
      <c r="F163" s="333"/>
      <c r="G163" s="334"/>
      <c r="H163" s="335">
        <v>0</v>
      </c>
      <c r="I163" s="72">
        <v>0</v>
      </c>
      <c r="J163" s="317">
        <v>0</v>
      </c>
      <c r="K163" s="601"/>
      <c r="L163" s="602"/>
      <c r="M163" s="603"/>
      <c r="N163" s="313"/>
      <c r="O163" s="314"/>
      <c r="P163" s="321"/>
      <c r="Q163" s="322">
        <v>0</v>
      </c>
      <c r="R163" s="323"/>
      <c r="S163" s="324">
        <v>0</v>
      </c>
      <c r="T163" s="325"/>
      <c r="U163" s="326"/>
      <c r="V163" s="326"/>
      <c r="W163" s="326"/>
      <c r="X163" s="326"/>
      <c r="Y163" s="326"/>
      <c r="Z163" s="326"/>
    </row>
    <row r="164" spans="1:26" ht="32.25" customHeight="1">
      <c r="A164" s="39"/>
      <c r="B164" s="223" t="s">
        <v>201</v>
      </c>
      <c r="C164" s="224"/>
      <c r="D164" s="125">
        <v>0</v>
      </c>
      <c r="E164" s="131"/>
      <c r="F164" s="115"/>
      <c r="G164" s="131"/>
      <c r="H164" s="125">
        <v>0</v>
      </c>
      <c r="I164" s="125">
        <v>0</v>
      </c>
      <c r="J164" s="125">
        <v>0</v>
      </c>
      <c r="K164" s="570"/>
      <c r="L164" s="604"/>
      <c r="M164" s="543"/>
      <c r="N164" s="114"/>
      <c r="O164" s="115"/>
      <c r="P164" s="115"/>
      <c r="Q164" s="131">
        <v>0</v>
      </c>
      <c r="R164" s="131"/>
      <c r="S164" s="77">
        <v>0</v>
      </c>
    </row>
    <row r="165" spans="1:26" ht="32.25" customHeight="1">
      <c r="A165" s="39"/>
      <c r="B165" s="223" t="s">
        <v>202</v>
      </c>
      <c r="C165" s="224"/>
      <c r="D165" s="42">
        <v>0</v>
      </c>
      <c r="E165" s="6"/>
      <c r="F165" s="43"/>
      <c r="G165" s="6"/>
      <c r="H165" s="42">
        <v>0</v>
      </c>
      <c r="I165" s="42">
        <v>0</v>
      </c>
      <c r="J165" s="125">
        <v>0</v>
      </c>
      <c r="K165" s="544"/>
      <c r="L165" s="545"/>
      <c r="M165" s="546"/>
      <c r="N165" s="114"/>
      <c r="O165" s="115"/>
      <c r="P165" s="47"/>
      <c r="Q165" s="131">
        <v>0</v>
      </c>
      <c r="R165" s="131"/>
      <c r="S165" s="77">
        <v>0</v>
      </c>
    </row>
    <row r="166" spans="1:26" ht="32.25" customHeight="1">
      <c r="A166" s="337">
        <v>3</v>
      </c>
      <c r="B166" s="338" t="s">
        <v>130</v>
      </c>
      <c r="C166" s="339"/>
      <c r="D166" s="42">
        <v>0</v>
      </c>
      <c r="E166" s="6"/>
      <c r="F166" s="43"/>
      <c r="G166" s="6"/>
      <c r="H166" s="42">
        <v>0</v>
      </c>
      <c r="I166" s="42">
        <v>0</v>
      </c>
      <c r="J166" s="42">
        <v>0</v>
      </c>
      <c r="K166" s="595"/>
      <c r="L166" s="596"/>
      <c r="M166" s="597"/>
      <c r="N166" s="5"/>
      <c r="O166" s="43"/>
      <c r="P166" s="47"/>
      <c r="Q166" s="6">
        <v>0</v>
      </c>
      <c r="R166" s="6"/>
      <c r="S166" s="100">
        <v>0</v>
      </c>
    </row>
    <row r="167" spans="1:26" ht="32.25" customHeight="1">
      <c r="A167" s="337"/>
      <c r="B167" s="340" t="s">
        <v>205</v>
      </c>
      <c r="C167" s="339"/>
      <c r="D167" s="42">
        <v>0</v>
      </c>
      <c r="E167" s="6"/>
      <c r="F167" s="43"/>
      <c r="G167" s="6"/>
      <c r="H167" s="42">
        <v>0</v>
      </c>
      <c r="I167" s="42">
        <v>0</v>
      </c>
      <c r="J167" s="42">
        <v>0</v>
      </c>
      <c r="K167" s="595"/>
      <c r="L167" s="596"/>
      <c r="M167" s="597"/>
      <c r="N167" s="5"/>
      <c r="O167" s="43"/>
      <c r="P167" s="47"/>
      <c r="Q167" s="6">
        <v>0</v>
      </c>
      <c r="R167" s="6"/>
      <c r="S167" s="100">
        <v>0</v>
      </c>
    </row>
    <row r="168" spans="1:26" ht="32.25" customHeight="1">
      <c r="A168" s="337"/>
      <c r="B168" s="341" t="s">
        <v>363</v>
      </c>
      <c r="C168" s="342"/>
      <c r="D168" s="42">
        <v>0</v>
      </c>
      <c r="E168" s="6"/>
      <c r="F168" s="43"/>
      <c r="G168" s="6"/>
      <c r="H168" s="42">
        <v>0</v>
      </c>
      <c r="I168" s="42">
        <v>0</v>
      </c>
      <c r="J168" s="42">
        <v>0</v>
      </c>
      <c r="K168" s="595"/>
      <c r="L168" s="596"/>
      <c r="M168" s="597"/>
      <c r="N168" s="5"/>
      <c r="O168" s="43"/>
      <c r="P168" s="47"/>
      <c r="Q168" s="6">
        <v>0</v>
      </c>
      <c r="R168" s="6"/>
      <c r="S168" s="100">
        <v>0</v>
      </c>
    </row>
    <row r="169" spans="1:26" ht="32.25" customHeight="1">
      <c r="A169" s="337">
        <v>4</v>
      </c>
      <c r="B169" s="420" t="s">
        <v>364</v>
      </c>
      <c r="C169" s="421"/>
      <c r="D169" s="42">
        <v>0</v>
      </c>
      <c r="E169" s="6"/>
      <c r="F169" s="43"/>
      <c r="G169" s="6"/>
      <c r="H169" s="42"/>
      <c r="I169" s="42"/>
      <c r="J169" s="42"/>
      <c r="K169" s="595"/>
      <c r="L169" s="596"/>
      <c r="M169" s="597"/>
      <c r="N169" s="5"/>
      <c r="O169" s="43"/>
      <c r="P169" s="47"/>
      <c r="Q169" s="6">
        <v>0</v>
      </c>
      <c r="R169" s="6"/>
      <c r="S169" s="100">
        <v>0</v>
      </c>
    </row>
    <row r="170" spans="1:26" ht="32.25" customHeight="1">
      <c r="A170" s="337"/>
      <c r="B170" s="420" t="s">
        <v>367</v>
      </c>
      <c r="C170" s="421"/>
      <c r="D170" s="42">
        <v>0</v>
      </c>
      <c r="E170" s="6"/>
      <c r="F170" s="43"/>
      <c r="G170" s="6"/>
      <c r="H170" s="42"/>
      <c r="I170" s="42"/>
      <c r="J170" s="42"/>
      <c r="K170" s="595"/>
      <c r="L170" s="596"/>
      <c r="M170" s="597"/>
      <c r="N170" s="5"/>
      <c r="O170" s="43"/>
      <c r="P170" s="47"/>
      <c r="Q170" s="6">
        <v>0</v>
      </c>
      <c r="R170" s="6"/>
      <c r="S170" s="100">
        <v>0</v>
      </c>
    </row>
    <row r="171" spans="1:26" ht="32.25" customHeight="1">
      <c r="A171" s="337"/>
      <c r="B171" s="420" t="s">
        <v>368</v>
      </c>
      <c r="C171" s="421"/>
      <c r="D171" s="42">
        <v>0</v>
      </c>
      <c r="E171" s="6"/>
      <c r="F171" s="43"/>
      <c r="G171" s="6"/>
      <c r="H171" s="42"/>
      <c r="I171" s="42"/>
      <c r="J171" s="42"/>
      <c r="K171" s="595"/>
      <c r="L171" s="596"/>
      <c r="M171" s="597"/>
      <c r="N171" s="5"/>
      <c r="O171" s="43"/>
      <c r="P171" s="47"/>
      <c r="Q171" s="6">
        <v>0</v>
      </c>
      <c r="R171" s="6"/>
      <c r="S171" s="100">
        <v>0</v>
      </c>
    </row>
    <row r="172" spans="1:26" ht="32.25" customHeight="1">
      <c r="A172" s="337">
        <v>5</v>
      </c>
      <c r="B172" s="420" t="s">
        <v>369</v>
      </c>
      <c r="C172" s="421"/>
      <c r="D172" s="42">
        <v>0</v>
      </c>
      <c r="E172" s="6"/>
      <c r="F172" s="43"/>
      <c r="G172" s="6"/>
      <c r="H172" s="42"/>
      <c r="I172" s="42"/>
      <c r="J172" s="42"/>
      <c r="K172" s="595"/>
      <c r="L172" s="596"/>
      <c r="M172" s="597"/>
      <c r="N172" s="5"/>
      <c r="O172" s="43"/>
      <c r="P172" s="47"/>
      <c r="Q172" s="6">
        <v>0</v>
      </c>
      <c r="R172" s="6"/>
      <c r="S172" s="100">
        <v>0</v>
      </c>
    </row>
    <row r="173" spans="1:26" ht="32.25" customHeight="1">
      <c r="A173" s="337"/>
      <c r="B173" s="420" t="s">
        <v>367</v>
      </c>
      <c r="C173" s="421"/>
      <c r="D173" s="42">
        <v>0</v>
      </c>
      <c r="E173" s="6"/>
      <c r="F173" s="43"/>
      <c r="G173" s="6"/>
      <c r="H173" s="42"/>
      <c r="I173" s="42"/>
      <c r="J173" s="42"/>
      <c r="K173" s="595"/>
      <c r="L173" s="596"/>
      <c r="M173" s="597"/>
      <c r="N173" s="5"/>
      <c r="O173" s="43"/>
      <c r="P173" s="47"/>
      <c r="Q173" s="6">
        <v>0</v>
      </c>
      <c r="R173" s="6"/>
      <c r="S173" s="100">
        <v>0</v>
      </c>
    </row>
    <row r="174" spans="1:26" ht="32.25" customHeight="1">
      <c r="A174" s="337"/>
      <c r="B174" s="420" t="s">
        <v>372</v>
      </c>
      <c r="C174" s="421"/>
      <c r="D174" s="42">
        <v>0</v>
      </c>
      <c r="E174" s="6"/>
      <c r="F174" s="43"/>
      <c r="G174" s="6"/>
      <c r="H174" s="42"/>
      <c r="I174" s="42"/>
      <c r="J174" s="42"/>
      <c r="K174" s="595"/>
      <c r="L174" s="596"/>
      <c r="M174" s="597"/>
      <c r="N174" s="5"/>
      <c r="O174" s="43"/>
      <c r="P174" s="47"/>
      <c r="Q174" s="6">
        <v>0</v>
      </c>
      <c r="R174" s="6"/>
      <c r="S174" s="100">
        <v>0</v>
      </c>
    </row>
    <row r="175" spans="1:26" ht="32.25" customHeight="1">
      <c r="A175" s="337">
        <v>6</v>
      </c>
      <c r="B175" s="420" t="s">
        <v>373</v>
      </c>
      <c r="C175" s="421"/>
      <c r="D175" s="42">
        <v>0</v>
      </c>
      <c r="E175" s="6"/>
      <c r="F175" s="43"/>
      <c r="G175" s="6"/>
      <c r="H175" s="42"/>
      <c r="I175" s="42"/>
      <c r="J175" s="42"/>
      <c r="K175" s="595"/>
      <c r="L175" s="596"/>
      <c r="M175" s="597"/>
      <c r="N175" s="5"/>
      <c r="O175" s="43"/>
      <c r="P175" s="47"/>
      <c r="Q175" s="6">
        <v>0</v>
      </c>
      <c r="R175" s="6"/>
      <c r="S175" s="100">
        <v>0</v>
      </c>
    </row>
    <row r="176" spans="1:26" ht="32.25" customHeight="1">
      <c r="A176" s="337"/>
      <c r="B176" s="420" t="s">
        <v>367</v>
      </c>
      <c r="C176" s="421"/>
      <c r="D176" s="42">
        <v>0</v>
      </c>
      <c r="E176" s="6"/>
      <c r="F176" s="43"/>
      <c r="G176" s="6"/>
      <c r="H176" s="42"/>
      <c r="I176" s="42"/>
      <c r="J176" s="42"/>
      <c r="K176" s="595"/>
      <c r="L176" s="596"/>
      <c r="M176" s="597"/>
      <c r="N176" s="5"/>
      <c r="O176" s="43"/>
      <c r="P176" s="47"/>
      <c r="Q176" s="6">
        <v>0</v>
      </c>
      <c r="R176" s="6"/>
      <c r="S176" s="100">
        <v>0</v>
      </c>
    </row>
    <row r="177" spans="1:19" ht="32.25" customHeight="1">
      <c r="A177" s="337"/>
      <c r="B177" s="420" t="s">
        <v>375</v>
      </c>
      <c r="C177" s="421"/>
      <c r="D177" s="42">
        <v>0</v>
      </c>
      <c r="E177" s="6"/>
      <c r="F177" s="43"/>
      <c r="G177" s="6"/>
      <c r="H177" s="42"/>
      <c r="I177" s="42"/>
      <c r="J177" s="42"/>
      <c r="K177" s="595"/>
      <c r="L177" s="596"/>
      <c r="M177" s="597"/>
      <c r="N177" s="5"/>
      <c r="O177" s="43"/>
      <c r="P177" s="47"/>
      <c r="Q177" s="6">
        <v>0</v>
      </c>
      <c r="R177" s="6"/>
      <c r="S177" s="100">
        <v>0</v>
      </c>
    </row>
    <row r="178" spans="1:19" ht="32.25" customHeight="1">
      <c r="A178" s="337">
        <v>7</v>
      </c>
      <c r="B178" s="420" t="s">
        <v>376</v>
      </c>
      <c r="C178" s="421"/>
      <c r="D178" s="42">
        <v>0</v>
      </c>
      <c r="E178" s="6"/>
      <c r="F178" s="43"/>
      <c r="G178" s="6"/>
      <c r="H178" s="42"/>
      <c r="I178" s="42"/>
      <c r="J178" s="42"/>
      <c r="K178" s="595"/>
      <c r="L178" s="596"/>
      <c r="M178" s="597"/>
      <c r="N178" s="5"/>
      <c r="O178" s="43"/>
      <c r="P178" s="47"/>
      <c r="Q178" s="6">
        <v>0</v>
      </c>
      <c r="R178" s="6"/>
      <c r="S178" s="100">
        <v>0</v>
      </c>
    </row>
    <row r="179" spans="1:19" ht="32.25" customHeight="1">
      <c r="A179" s="337"/>
      <c r="B179" s="420" t="s">
        <v>367</v>
      </c>
      <c r="C179" s="421"/>
      <c r="D179" s="42">
        <v>0</v>
      </c>
      <c r="E179" s="6"/>
      <c r="F179" s="43"/>
      <c r="G179" s="6"/>
      <c r="H179" s="42"/>
      <c r="I179" s="42"/>
      <c r="J179" s="42"/>
      <c r="K179" s="595"/>
      <c r="L179" s="596"/>
      <c r="M179" s="597"/>
      <c r="N179" s="5"/>
      <c r="O179" s="43"/>
      <c r="P179" s="47"/>
      <c r="Q179" s="6">
        <v>0</v>
      </c>
      <c r="R179" s="6"/>
      <c r="S179" s="100">
        <v>0</v>
      </c>
    </row>
    <row r="180" spans="1:19" ht="32.25" customHeight="1">
      <c r="A180" s="337"/>
      <c r="B180" s="420" t="s">
        <v>378</v>
      </c>
      <c r="C180" s="421"/>
      <c r="D180" s="42">
        <v>0</v>
      </c>
      <c r="E180" s="6"/>
      <c r="F180" s="43"/>
      <c r="G180" s="6"/>
      <c r="H180" s="42"/>
      <c r="I180" s="42"/>
      <c r="J180" s="42"/>
      <c r="K180" s="595"/>
      <c r="L180" s="596"/>
      <c r="M180" s="597"/>
      <c r="N180" s="5"/>
      <c r="O180" s="43"/>
      <c r="P180" s="47"/>
      <c r="Q180" s="6">
        <v>0</v>
      </c>
      <c r="R180" s="6"/>
      <c r="S180" s="100">
        <v>0</v>
      </c>
    </row>
    <row r="181" spans="1:19" ht="32.25" customHeight="1">
      <c r="A181" s="337">
        <v>8</v>
      </c>
      <c r="B181" s="420" t="s">
        <v>379</v>
      </c>
      <c r="C181" s="421"/>
      <c r="D181" s="42">
        <v>0</v>
      </c>
      <c r="E181" s="6"/>
      <c r="F181" s="43"/>
      <c r="G181" s="6"/>
      <c r="H181" s="42"/>
      <c r="I181" s="42"/>
      <c r="J181" s="42"/>
      <c r="K181" s="595"/>
      <c r="L181" s="596"/>
      <c r="M181" s="597"/>
      <c r="N181" s="5"/>
      <c r="O181" s="43"/>
      <c r="P181" s="47"/>
      <c r="Q181" s="6">
        <v>0</v>
      </c>
      <c r="R181" s="6"/>
      <c r="S181" s="100">
        <v>0</v>
      </c>
    </row>
    <row r="182" spans="1:19" ht="32.25" customHeight="1">
      <c r="A182" s="337"/>
      <c r="B182" s="420" t="s">
        <v>367</v>
      </c>
      <c r="C182" s="421"/>
      <c r="D182" s="42">
        <v>0</v>
      </c>
      <c r="E182" s="6"/>
      <c r="F182" s="43"/>
      <c r="G182" s="6"/>
      <c r="H182" s="42"/>
      <c r="I182" s="42"/>
      <c r="J182" s="42"/>
      <c r="K182" s="595"/>
      <c r="L182" s="596"/>
      <c r="M182" s="597"/>
      <c r="N182" s="5"/>
      <c r="O182" s="43"/>
      <c r="P182" s="47"/>
      <c r="Q182" s="6">
        <v>0</v>
      </c>
      <c r="R182" s="6"/>
      <c r="S182" s="100">
        <v>0</v>
      </c>
    </row>
    <row r="183" spans="1:19" ht="32.25" customHeight="1">
      <c r="A183" s="337"/>
      <c r="B183" s="420"/>
      <c r="C183" s="421"/>
      <c r="D183" s="42">
        <v>0</v>
      </c>
      <c r="E183" s="6"/>
      <c r="F183" s="43"/>
      <c r="G183" s="6"/>
      <c r="H183" s="42"/>
      <c r="I183" s="42"/>
      <c r="J183" s="42"/>
      <c r="K183" s="595"/>
      <c r="L183" s="596"/>
      <c r="M183" s="597"/>
      <c r="N183" s="5"/>
      <c r="O183" s="43"/>
      <c r="P183" s="47"/>
      <c r="Q183" s="6">
        <v>0</v>
      </c>
      <c r="R183" s="6"/>
      <c r="S183" s="100">
        <v>0</v>
      </c>
    </row>
    <row r="184" spans="1:19" ht="32.25" customHeight="1">
      <c r="A184" s="337">
        <v>9</v>
      </c>
      <c r="B184" s="420" t="s">
        <v>380</v>
      </c>
      <c r="C184" s="421"/>
      <c r="D184" s="42">
        <v>0</v>
      </c>
      <c r="E184" s="6"/>
      <c r="F184" s="43"/>
      <c r="G184" s="6"/>
      <c r="H184" s="42"/>
      <c r="I184" s="42"/>
      <c r="J184" s="42"/>
      <c r="K184" s="595"/>
      <c r="L184" s="596"/>
      <c r="M184" s="597"/>
      <c r="N184" s="5"/>
      <c r="O184" s="43"/>
      <c r="P184" s="47"/>
      <c r="Q184" s="6">
        <v>0</v>
      </c>
      <c r="R184" s="6"/>
      <c r="S184" s="100">
        <v>0</v>
      </c>
    </row>
    <row r="185" spans="1:19" ht="32.25" customHeight="1">
      <c r="A185" s="337"/>
      <c r="B185" s="420" t="s">
        <v>367</v>
      </c>
      <c r="C185" s="421"/>
      <c r="D185" s="42">
        <v>0</v>
      </c>
      <c r="E185" s="6"/>
      <c r="F185" s="43"/>
      <c r="G185" s="6"/>
      <c r="H185" s="42"/>
      <c r="I185" s="42"/>
      <c r="J185" s="42"/>
      <c r="K185" s="595"/>
      <c r="L185" s="596"/>
      <c r="M185" s="597"/>
      <c r="N185" s="5"/>
      <c r="O185" s="43"/>
      <c r="P185" s="47"/>
      <c r="Q185" s="6">
        <v>0</v>
      </c>
      <c r="R185" s="6"/>
      <c r="S185" s="100">
        <v>0</v>
      </c>
    </row>
    <row r="186" spans="1:19" ht="32.25" customHeight="1">
      <c r="A186" s="337"/>
      <c r="B186" s="420" t="s">
        <v>382</v>
      </c>
      <c r="C186" s="421"/>
      <c r="D186" s="42">
        <v>0</v>
      </c>
      <c r="E186" s="6"/>
      <c r="F186" s="43"/>
      <c r="G186" s="6"/>
      <c r="H186" s="42"/>
      <c r="I186" s="42"/>
      <c r="J186" s="42"/>
      <c r="K186" s="595"/>
      <c r="L186" s="596"/>
      <c r="M186" s="597"/>
      <c r="N186" s="5"/>
      <c r="O186" s="43"/>
      <c r="P186" s="47"/>
      <c r="Q186" s="6">
        <v>0</v>
      </c>
      <c r="R186" s="6"/>
      <c r="S186" s="100">
        <v>0</v>
      </c>
    </row>
    <row r="187" spans="1:19" ht="32.25" customHeight="1">
      <c r="A187" s="337">
        <v>10</v>
      </c>
      <c r="B187" s="420" t="s">
        <v>383</v>
      </c>
      <c r="C187" s="421"/>
      <c r="D187" s="42">
        <v>0</v>
      </c>
      <c r="E187" s="6"/>
      <c r="F187" s="43"/>
      <c r="G187" s="6"/>
      <c r="H187" s="42"/>
      <c r="I187" s="42"/>
      <c r="J187" s="42"/>
      <c r="K187" s="595"/>
      <c r="L187" s="596"/>
      <c r="M187" s="597"/>
      <c r="N187" s="5"/>
      <c r="O187" s="43"/>
      <c r="P187" s="47"/>
      <c r="Q187" s="6">
        <v>0</v>
      </c>
      <c r="R187" s="6"/>
      <c r="S187" s="100">
        <v>0</v>
      </c>
    </row>
    <row r="188" spans="1:19" ht="32.25" customHeight="1">
      <c r="A188" s="337"/>
      <c r="B188" s="420" t="s">
        <v>367</v>
      </c>
      <c r="C188" s="421"/>
      <c r="D188" s="42">
        <v>0</v>
      </c>
      <c r="E188" s="6"/>
      <c r="F188" s="43"/>
      <c r="G188" s="6"/>
      <c r="H188" s="42"/>
      <c r="I188" s="42"/>
      <c r="J188" s="42"/>
      <c r="K188" s="595"/>
      <c r="L188" s="596"/>
      <c r="M188" s="597"/>
      <c r="N188" s="5"/>
      <c r="O188" s="43"/>
      <c r="P188" s="47"/>
      <c r="Q188" s="6">
        <v>0</v>
      </c>
      <c r="R188" s="6"/>
      <c r="S188" s="100">
        <v>0</v>
      </c>
    </row>
    <row r="189" spans="1:19" ht="32.25" customHeight="1">
      <c r="A189" s="337"/>
      <c r="B189" s="420" t="s">
        <v>385</v>
      </c>
      <c r="C189" s="421"/>
      <c r="D189" s="42">
        <v>0</v>
      </c>
      <c r="E189" s="6"/>
      <c r="F189" s="43"/>
      <c r="G189" s="6"/>
      <c r="H189" s="42"/>
      <c r="I189" s="42"/>
      <c r="J189" s="42"/>
      <c r="K189" s="595"/>
      <c r="L189" s="596"/>
      <c r="M189" s="597"/>
      <c r="N189" s="5"/>
      <c r="O189" s="43"/>
      <c r="P189" s="47"/>
      <c r="Q189" s="6">
        <v>0</v>
      </c>
      <c r="R189" s="6"/>
      <c r="S189" s="100">
        <v>0</v>
      </c>
    </row>
    <row r="190" spans="1:19" ht="32.25" customHeight="1">
      <c r="A190" s="337">
        <v>11</v>
      </c>
      <c r="B190" s="420" t="s">
        <v>386</v>
      </c>
      <c r="C190" s="421"/>
      <c r="D190" s="42">
        <v>0</v>
      </c>
      <c r="E190" s="6"/>
      <c r="F190" s="43"/>
      <c r="G190" s="6"/>
      <c r="H190" s="42"/>
      <c r="I190" s="42"/>
      <c r="J190" s="42"/>
      <c r="K190" s="595"/>
      <c r="L190" s="596"/>
      <c r="M190" s="597"/>
      <c r="N190" s="5"/>
      <c r="O190" s="43"/>
      <c r="P190" s="47"/>
      <c r="Q190" s="6">
        <v>0</v>
      </c>
      <c r="R190" s="6"/>
      <c r="S190" s="100">
        <v>0</v>
      </c>
    </row>
    <row r="191" spans="1:19" ht="32.25" customHeight="1">
      <c r="A191" s="337"/>
      <c r="B191" s="420" t="s">
        <v>367</v>
      </c>
      <c r="C191" s="421"/>
      <c r="D191" s="42">
        <v>0</v>
      </c>
      <c r="E191" s="6"/>
      <c r="F191" s="43"/>
      <c r="G191" s="6"/>
      <c r="H191" s="42"/>
      <c r="I191" s="42"/>
      <c r="J191" s="42"/>
      <c r="K191" s="595"/>
      <c r="L191" s="596"/>
      <c r="M191" s="597"/>
      <c r="N191" s="5"/>
      <c r="O191" s="43"/>
      <c r="P191" s="47"/>
      <c r="Q191" s="6">
        <v>0</v>
      </c>
      <c r="R191" s="6"/>
      <c r="S191" s="100">
        <v>0</v>
      </c>
    </row>
    <row r="192" spans="1:19" ht="32.25" customHeight="1" thickBot="1">
      <c r="A192" s="39"/>
      <c r="B192" s="50" t="s">
        <v>19</v>
      </c>
      <c r="C192" s="50"/>
      <c r="D192" s="51">
        <v>0</v>
      </c>
      <c r="E192" s="52"/>
      <c r="F192" s="53"/>
      <c r="G192" s="52"/>
      <c r="H192" s="51">
        <f>SUM(H162:H191)</f>
        <v>0</v>
      </c>
      <c r="I192" s="51">
        <f t="shared" ref="I192:M192" si="10">SUM(I162:I191)</f>
        <v>0</v>
      </c>
      <c r="J192" s="51">
        <f t="shared" si="10"/>
        <v>0</v>
      </c>
      <c r="K192" s="591">
        <f t="shared" si="10"/>
        <v>0</v>
      </c>
      <c r="L192" s="591">
        <f t="shared" si="10"/>
        <v>0</v>
      </c>
      <c r="M192" s="591">
        <f t="shared" si="10"/>
        <v>0</v>
      </c>
      <c r="N192" s="57"/>
      <c r="O192" s="53"/>
      <c r="P192" s="51"/>
      <c r="Q192" s="51">
        <v>0</v>
      </c>
      <c r="R192" s="51"/>
      <c r="S192" s="51">
        <v>0</v>
      </c>
    </row>
    <row r="193" spans="1:19" ht="32.25" customHeight="1" thickTop="1">
      <c r="A193" s="39"/>
      <c r="B193" s="58" t="s">
        <v>207</v>
      </c>
      <c r="C193" s="59"/>
      <c r="D193" s="60"/>
      <c r="E193" s="61"/>
      <c r="F193" s="62"/>
      <c r="G193" s="63"/>
      <c r="H193" s="64"/>
      <c r="I193" s="64"/>
      <c r="J193" s="64"/>
      <c r="K193" s="550"/>
      <c r="L193" s="551"/>
      <c r="M193" s="552"/>
      <c r="N193" s="68"/>
      <c r="O193" s="62"/>
      <c r="P193" s="69"/>
      <c r="Q193" s="63"/>
      <c r="R193" s="63"/>
      <c r="S193" s="70"/>
    </row>
    <row r="194" spans="1:19" ht="32.25" customHeight="1">
      <c r="A194" s="39"/>
      <c r="B194" s="40"/>
      <c r="C194" s="41"/>
      <c r="D194" s="42"/>
      <c r="E194" s="6"/>
      <c r="F194" s="43"/>
      <c r="G194" s="6"/>
      <c r="H194" s="42"/>
      <c r="I194" s="42"/>
      <c r="J194" s="42"/>
      <c r="K194" s="164"/>
      <c r="L194" s="605"/>
      <c r="M194" s="606"/>
      <c r="N194" s="5"/>
      <c r="O194" s="43"/>
      <c r="P194" s="47"/>
      <c r="Q194" s="48"/>
      <c r="R194" s="48"/>
      <c r="S194" s="49"/>
    </row>
    <row r="195" spans="1:19" ht="32.25" customHeight="1" thickBot="1">
      <c r="A195" s="39"/>
      <c r="B195" s="50" t="s">
        <v>19</v>
      </c>
      <c r="C195" s="50"/>
      <c r="D195" s="51">
        <v>0</v>
      </c>
      <c r="E195" s="52"/>
      <c r="F195" s="53"/>
      <c r="G195" s="52"/>
      <c r="H195" s="51">
        <v>0</v>
      </c>
      <c r="I195" s="51">
        <v>0</v>
      </c>
      <c r="J195" s="51">
        <v>0</v>
      </c>
      <c r="K195" s="547"/>
      <c r="L195" s="548"/>
      <c r="M195" s="549">
        <f>SUM(M194)</f>
        <v>0</v>
      </c>
      <c r="N195" s="57"/>
      <c r="O195" s="53"/>
      <c r="P195" s="51"/>
      <c r="Q195" s="51"/>
      <c r="R195" s="51"/>
      <c r="S195" s="51"/>
    </row>
    <row r="196" spans="1:19" ht="32.25" customHeight="1" thickTop="1">
      <c r="A196" s="39"/>
      <c r="B196" s="141" t="s">
        <v>210</v>
      </c>
      <c r="C196" s="142"/>
      <c r="D196" s="125"/>
      <c r="E196" s="131"/>
      <c r="F196" s="115"/>
      <c r="G196" s="33"/>
      <c r="H196" s="143"/>
      <c r="I196" s="143"/>
      <c r="J196" s="143"/>
      <c r="K196" s="541"/>
      <c r="L196" s="542"/>
      <c r="M196" s="543"/>
      <c r="N196" s="114"/>
      <c r="O196" s="115"/>
      <c r="P196" s="144"/>
      <c r="Q196" s="33"/>
      <c r="R196" s="33"/>
      <c r="S196" s="145"/>
    </row>
    <row r="197" spans="1:19" s="160" customFormat="1" ht="32.25" customHeight="1">
      <c r="A197" s="106">
        <v>1</v>
      </c>
      <c r="B197" s="142" t="s">
        <v>52</v>
      </c>
      <c r="C197" s="174" t="s">
        <v>211</v>
      </c>
      <c r="D197" s="151">
        <v>518</v>
      </c>
      <c r="E197" s="152" t="s">
        <v>57</v>
      </c>
      <c r="F197" s="346"/>
      <c r="G197" s="346"/>
      <c r="H197" s="153">
        <v>-259</v>
      </c>
      <c r="I197" s="346"/>
      <c r="J197" s="226">
        <v>-259</v>
      </c>
      <c r="K197" s="164" t="s">
        <v>830</v>
      </c>
      <c r="L197" s="165" t="s">
        <v>858</v>
      </c>
      <c r="M197" s="166">
        <v>518</v>
      </c>
      <c r="N197" s="347" t="s">
        <v>57</v>
      </c>
      <c r="O197" s="348"/>
      <c r="P197" s="280"/>
      <c r="Q197" s="153">
        <f>SUM(D197+J197-M197)</f>
        <v>-259</v>
      </c>
      <c r="R197" s="153"/>
      <c r="S197" s="159">
        <f>SUM(Q197)</f>
        <v>-259</v>
      </c>
    </row>
    <row r="198" spans="1:19" s="160" customFormat="1" ht="32.25" customHeight="1">
      <c r="A198" s="106">
        <v>2</v>
      </c>
      <c r="B198" s="161" t="s">
        <v>213</v>
      </c>
      <c r="C198" s="349" t="s">
        <v>214</v>
      </c>
      <c r="D198" s="151">
        <v>0</v>
      </c>
      <c r="E198" s="163"/>
      <c r="F198" s="122"/>
      <c r="G198" s="122"/>
      <c r="H198" s="91">
        <v>0</v>
      </c>
      <c r="I198" s="122"/>
      <c r="J198" s="132">
        <v>0</v>
      </c>
      <c r="K198" s="164"/>
      <c r="L198" s="165"/>
      <c r="M198" s="166"/>
      <c r="N198" s="352"/>
      <c r="O198" s="348"/>
      <c r="P198" s="280"/>
      <c r="Q198" s="153">
        <f t="shared" ref="Q198:Q245" si="11">SUM(D198+J198-M198)</f>
        <v>0</v>
      </c>
      <c r="R198" s="153"/>
      <c r="S198" s="159">
        <f t="shared" ref="S198:S245" si="12">SUM(Q198)</f>
        <v>0</v>
      </c>
    </row>
    <row r="199" spans="1:19" s="160" customFormat="1" ht="32.25" customHeight="1">
      <c r="A199" s="106">
        <v>3</v>
      </c>
      <c r="B199" s="142" t="s">
        <v>60</v>
      </c>
      <c r="C199" s="174" t="s">
        <v>215</v>
      </c>
      <c r="D199" s="151">
        <v>259</v>
      </c>
      <c r="E199" s="163"/>
      <c r="F199" s="122"/>
      <c r="G199" s="122"/>
      <c r="H199" s="91">
        <v>0</v>
      </c>
      <c r="I199" s="122"/>
      <c r="J199" s="132">
        <v>0</v>
      </c>
      <c r="K199" s="164" t="s">
        <v>832</v>
      </c>
      <c r="L199" s="165" t="s">
        <v>859</v>
      </c>
      <c r="M199" s="166">
        <v>259</v>
      </c>
      <c r="N199" s="352"/>
      <c r="O199" s="348"/>
      <c r="P199" s="280"/>
      <c r="Q199" s="91">
        <f t="shared" si="11"/>
        <v>0</v>
      </c>
      <c r="R199" s="91"/>
      <c r="S199" s="77">
        <f t="shared" si="12"/>
        <v>0</v>
      </c>
    </row>
    <row r="200" spans="1:19" s="160" customFormat="1" ht="32.25" customHeight="1">
      <c r="A200" s="106">
        <v>4</v>
      </c>
      <c r="B200" s="142" t="s">
        <v>27</v>
      </c>
      <c r="C200" s="174" t="s">
        <v>217</v>
      </c>
      <c r="D200" s="151">
        <v>259</v>
      </c>
      <c r="E200" s="163"/>
      <c r="F200" s="122"/>
      <c r="G200" s="122"/>
      <c r="H200" s="91">
        <v>0</v>
      </c>
      <c r="I200" s="122"/>
      <c r="J200" s="132">
        <v>0</v>
      </c>
      <c r="K200" s="164" t="s">
        <v>832</v>
      </c>
      <c r="L200" s="165" t="s">
        <v>860</v>
      </c>
      <c r="M200" s="166">
        <v>259</v>
      </c>
      <c r="N200" s="352"/>
      <c r="O200" s="348"/>
      <c r="P200" s="280"/>
      <c r="Q200" s="91">
        <f t="shared" si="11"/>
        <v>0</v>
      </c>
      <c r="R200" s="91"/>
      <c r="S200" s="77">
        <f t="shared" si="12"/>
        <v>0</v>
      </c>
    </row>
    <row r="201" spans="1:19" s="160" customFormat="1" ht="32.25" customHeight="1">
      <c r="A201" s="106">
        <v>5</v>
      </c>
      <c r="B201" s="168" t="s">
        <v>42</v>
      </c>
      <c r="C201" s="174" t="s">
        <v>219</v>
      </c>
      <c r="D201" s="125">
        <v>259</v>
      </c>
      <c r="E201" s="163"/>
      <c r="F201" s="122"/>
      <c r="G201" s="122"/>
      <c r="H201" s="91">
        <v>0</v>
      </c>
      <c r="I201" s="122"/>
      <c r="J201" s="132">
        <v>0</v>
      </c>
      <c r="K201" s="164" t="s">
        <v>813</v>
      </c>
      <c r="L201" s="165" t="s">
        <v>861</v>
      </c>
      <c r="M201" s="166">
        <v>259</v>
      </c>
      <c r="N201" s="352"/>
      <c r="O201" s="348"/>
      <c r="P201" s="280"/>
      <c r="Q201" s="91">
        <f t="shared" si="11"/>
        <v>0</v>
      </c>
      <c r="R201" s="91"/>
      <c r="S201" s="77">
        <f t="shared" si="12"/>
        <v>0</v>
      </c>
    </row>
    <row r="202" spans="1:19" s="160" customFormat="1" ht="32.25" customHeight="1">
      <c r="A202" s="106">
        <v>6</v>
      </c>
      <c r="B202" s="142" t="s">
        <v>69</v>
      </c>
      <c r="C202" s="174" t="s">
        <v>221</v>
      </c>
      <c r="D202" s="151">
        <v>259</v>
      </c>
      <c r="E202" s="163"/>
      <c r="F202" s="122"/>
      <c r="G202" s="122"/>
      <c r="H202" s="91">
        <v>0</v>
      </c>
      <c r="I202" s="122"/>
      <c r="J202" s="132">
        <v>0</v>
      </c>
      <c r="K202" s="164" t="s">
        <v>836</v>
      </c>
      <c r="L202" s="165" t="s">
        <v>862</v>
      </c>
      <c r="M202" s="166">
        <v>259</v>
      </c>
      <c r="N202" s="353"/>
      <c r="O202" s="348"/>
      <c r="P202" s="280"/>
      <c r="Q202" s="91">
        <f t="shared" si="11"/>
        <v>0</v>
      </c>
      <c r="R202" s="91"/>
      <c r="S202" s="77">
        <f t="shared" si="12"/>
        <v>0</v>
      </c>
    </row>
    <row r="203" spans="1:19" ht="32.25" customHeight="1">
      <c r="A203" s="106">
        <v>7</v>
      </c>
      <c r="B203" s="146" t="s">
        <v>75</v>
      </c>
      <c r="C203" s="173" t="s">
        <v>223</v>
      </c>
      <c r="D203" s="151"/>
      <c r="E203" s="163"/>
      <c r="F203" s="115"/>
      <c r="G203" s="115"/>
      <c r="H203" s="131">
        <v>0</v>
      </c>
      <c r="I203" s="115"/>
      <c r="J203" s="132">
        <v>0</v>
      </c>
      <c r="K203" s="534"/>
      <c r="L203" s="165"/>
      <c r="M203" s="166"/>
      <c r="N203" s="352"/>
      <c r="O203" s="348"/>
      <c r="P203" s="280"/>
      <c r="Q203" s="91">
        <f t="shared" si="11"/>
        <v>0</v>
      </c>
      <c r="R203" s="91"/>
      <c r="S203" s="77">
        <f t="shared" si="12"/>
        <v>0</v>
      </c>
    </row>
    <row r="204" spans="1:19" s="160" customFormat="1" ht="32.25" customHeight="1">
      <c r="A204" s="106">
        <v>8</v>
      </c>
      <c r="B204" s="142" t="s">
        <v>77</v>
      </c>
      <c r="C204" s="174" t="s">
        <v>224</v>
      </c>
      <c r="D204" s="151">
        <v>259</v>
      </c>
      <c r="E204" s="163"/>
      <c r="F204" s="122"/>
      <c r="G204" s="122"/>
      <c r="H204" s="91">
        <v>0</v>
      </c>
      <c r="I204" s="122"/>
      <c r="J204" s="132">
        <v>0</v>
      </c>
      <c r="K204" s="164" t="s">
        <v>813</v>
      </c>
      <c r="L204" s="165" t="s">
        <v>863</v>
      </c>
      <c r="M204" s="166">
        <v>259</v>
      </c>
      <c r="N204" s="352"/>
      <c r="O204" s="348"/>
      <c r="P204" s="280"/>
      <c r="Q204" s="91">
        <f t="shared" si="11"/>
        <v>0</v>
      </c>
      <c r="R204" s="91"/>
      <c r="S204" s="77">
        <f t="shared" si="12"/>
        <v>0</v>
      </c>
    </row>
    <row r="205" spans="1:19" s="160" customFormat="1" ht="32.25" customHeight="1">
      <c r="A205" s="106">
        <v>9</v>
      </c>
      <c r="B205" s="142" t="s">
        <v>77</v>
      </c>
      <c r="C205" s="174" t="s">
        <v>226</v>
      </c>
      <c r="D205" s="151">
        <v>259</v>
      </c>
      <c r="E205" s="163"/>
      <c r="F205" s="122"/>
      <c r="G205" s="122"/>
      <c r="H205" s="91">
        <v>0</v>
      </c>
      <c r="I205" s="122"/>
      <c r="J205" s="132">
        <v>0</v>
      </c>
      <c r="K205" s="164" t="s">
        <v>813</v>
      </c>
      <c r="L205" s="165" t="s">
        <v>863</v>
      </c>
      <c r="M205" s="166">
        <v>259</v>
      </c>
      <c r="N205" s="352"/>
      <c r="O205" s="348"/>
      <c r="P205" s="280"/>
      <c r="Q205" s="91">
        <f t="shared" si="11"/>
        <v>0</v>
      </c>
      <c r="R205" s="91"/>
      <c r="S205" s="77">
        <f t="shared" si="12"/>
        <v>0</v>
      </c>
    </row>
    <row r="206" spans="1:19" ht="32.25" customHeight="1">
      <c r="A206" s="106">
        <v>10</v>
      </c>
      <c r="B206" s="146" t="s">
        <v>75</v>
      </c>
      <c r="C206" s="173" t="s">
        <v>227</v>
      </c>
      <c r="D206" s="151"/>
      <c r="E206" s="163"/>
      <c r="F206" s="115"/>
      <c r="G206" s="115"/>
      <c r="H206" s="131">
        <v>0</v>
      </c>
      <c r="I206" s="115"/>
      <c r="J206" s="132">
        <v>0</v>
      </c>
      <c r="K206" s="534"/>
      <c r="L206" s="165"/>
      <c r="M206" s="166"/>
      <c r="N206" s="352"/>
      <c r="O206" s="348"/>
      <c r="P206" s="280"/>
      <c r="Q206" s="91">
        <f t="shared" si="11"/>
        <v>0</v>
      </c>
      <c r="R206" s="91"/>
      <c r="S206" s="77">
        <f t="shared" si="12"/>
        <v>0</v>
      </c>
    </row>
    <row r="207" spans="1:19" s="160" customFormat="1" ht="32.25" customHeight="1">
      <c r="A207" s="106">
        <v>11</v>
      </c>
      <c r="B207" s="142" t="s">
        <v>83</v>
      </c>
      <c r="C207" s="174" t="s">
        <v>228</v>
      </c>
      <c r="D207" s="151">
        <v>259</v>
      </c>
      <c r="E207" s="163"/>
      <c r="F207" s="122"/>
      <c r="G207" s="122"/>
      <c r="H207" s="91">
        <v>0</v>
      </c>
      <c r="I207" s="122"/>
      <c r="J207" s="132">
        <v>0</v>
      </c>
      <c r="K207" s="164" t="s">
        <v>832</v>
      </c>
      <c r="L207" s="165" t="s">
        <v>864</v>
      </c>
      <c r="M207" s="166">
        <v>259</v>
      </c>
      <c r="N207" s="352"/>
      <c r="O207" s="348"/>
      <c r="P207" s="280"/>
      <c r="Q207" s="91">
        <f t="shared" si="11"/>
        <v>0</v>
      </c>
      <c r="R207" s="91"/>
      <c r="S207" s="77">
        <f t="shared" si="12"/>
        <v>0</v>
      </c>
    </row>
    <row r="208" spans="1:19" s="160" customFormat="1" ht="32.25" customHeight="1">
      <c r="A208" s="106">
        <v>12</v>
      </c>
      <c r="B208" s="142" t="s">
        <v>87</v>
      </c>
      <c r="C208" s="174" t="s">
        <v>230</v>
      </c>
      <c r="D208" s="151">
        <v>259</v>
      </c>
      <c r="E208" s="163"/>
      <c r="F208" s="122"/>
      <c r="G208" s="122"/>
      <c r="H208" s="91">
        <v>0</v>
      </c>
      <c r="I208" s="122"/>
      <c r="J208" s="132">
        <v>0</v>
      </c>
      <c r="K208" s="164" t="s">
        <v>836</v>
      </c>
      <c r="L208" s="165" t="s">
        <v>865</v>
      </c>
      <c r="M208" s="166">
        <v>259</v>
      </c>
      <c r="N208" s="352"/>
      <c r="O208" s="348"/>
      <c r="P208" s="280"/>
      <c r="Q208" s="91">
        <f t="shared" si="11"/>
        <v>0</v>
      </c>
      <c r="R208" s="91"/>
      <c r="S208" s="77">
        <f t="shared" si="12"/>
        <v>0</v>
      </c>
    </row>
    <row r="209" spans="1:19" ht="32.25" customHeight="1">
      <c r="A209" s="357">
        <v>13</v>
      </c>
      <c r="B209" s="146" t="s">
        <v>75</v>
      </c>
      <c r="C209" s="173" t="s">
        <v>232</v>
      </c>
      <c r="D209" s="151"/>
      <c r="E209" s="163"/>
      <c r="F209" s="115"/>
      <c r="G209" s="115"/>
      <c r="H209" s="131">
        <v>0</v>
      </c>
      <c r="I209" s="115"/>
      <c r="J209" s="132">
        <v>0</v>
      </c>
      <c r="K209" s="607"/>
      <c r="L209" s="608"/>
      <c r="M209" s="609"/>
      <c r="N209" s="361"/>
      <c r="O209" s="362"/>
      <c r="P209" s="122"/>
      <c r="Q209" s="91">
        <f t="shared" si="11"/>
        <v>0</v>
      </c>
      <c r="R209" s="91"/>
      <c r="S209" s="77">
        <f t="shared" si="12"/>
        <v>0</v>
      </c>
    </row>
    <row r="210" spans="1:19" ht="32.25" customHeight="1">
      <c r="A210" s="106">
        <v>14</v>
      </c>
      <c r="B210" s="142" t="s">
        <v>92</v>
      </c>
      <c r="C210" s="174" t="s">
        <v>233</v>
      </c>
      <c r="D210" s="151"/>
      <c r="E210" s="163"/>
      <c r="F210" s="115"/>
      <c r="G210" s="115"/>
      <c r="H210" s="131">
        <v>0</v>
      </c>
      <c r="I210" s="115"/>
      <c r="J210" s="132">
        <v>0</v>
      </c>
      <c r="K210" s="607"/>
      <c r="L210" s="608"/>
      <c r="M210" s="609"/>
      <c r="N210" s="361"/>
      <c r="O210" s="362"/>
      <c r="P210" s="122"/>
      <c r="Q210" s="91">
        <f t="shared" si="11"/>
        <v>0</v>
      </c>
      <c r="R210" s="91"/>
      <c r="S210" s="77">
        <f t="shared" si="12"/>
        <v>0</v>
      </c>
    </row>
    <row r="211" spans="1:19" ht="32.25" customHeight="1">
      <c r="A211" s="106">
        <v>15</v>
      </c>
      <c r="B211" s="146" t="s">
        <v>75</v>
      </c>
      <c r="C211" s="173" t="s">
        <v>234</v>
      </c>
      <c r="D211" s="151">
        <v>0</v>
      </c>
      <c r="E211" s="163"/>
      <c r="F211" s="115"/>
      <c r="G211" s="115"/>
      <c r="H211" s="131">
        <v>0</v>
      </c>
      <c r="I211" s="115"/>
      <c r="J211" s="132">
        <v>0</v>
      </c>
      <c r="K211" s="607"/>
      <c r="L211" s="608"/>
      <c r="M211" s="609"/>
      <c r="N211" s="361"/>
      <c r="O211" s="362"/>
      <c r="P211" s="122"/>
      <c r="Q211" s="91">
        <f t="shared" si="11"/>
        <v>0</v>
      </c>
      <c r="R211" s="91"/>
      <c r="S211" s="77">
        <f t="shared" si="12"/>
        <v>0</v>
      </c>
    </row>
    <row r="212" spans="1:19" s="160" customFormat="1" ht="32.25" customHeight="1">
      <c r="A212" s="106">
        <v>16</v>
      </c>
      <c r="B212" s="142" t="s">
        <v>95</v>
      </c>
      <c r="C212" s="174" t="s">
        <v>235</v>
      </c>
      <c r="D212" s="151">
        <v>0</v>
      </c>
      <c r="E212" s="163"/>
      <c r="F212" s="122"/>
      <c r="G212" s="122"/>
      <c r="H212" s="91">
        <v>0</v>
      </c>
      <c r="I212" s="122"/>
      <c r="J212" s="132">
        <v>0</v>
      </c>
      <c r="K212" s="610"/>
      <c r="L212" s="610"/>
      <c r="M212" s="611"/>
      <c r="N212" s="361"/>
      <c r="O212" s="362"/>
      <c r="P212" s="122"/>
      <c r="Q212" s="153">
        <f t="shared" si="11"/>
        <v>0</v>
      </c>
      <c r="R212" s="153"/>
      <c r="S212" s="159">
        <f t="shared" si="12"/>
        <v>0</v>
      </c>
    </row>
    <row r="213" spans="1:19" s="160" customFormat="1" ht="32.25" customHeight="1">
      <c r="A213" s="106">
        <v>17</v>
      </c>
      <c r="B213" s="365" t="s">
        <v>236</v>
      </c>
      <c r="C213" s="174" t="s">
        <v>237</v>
      </c>
      <c r="D213" s="151">
        <v>0</v>
      </c>
      <c r="E213" s="163"/>
      <c r="F213" s="122"/>
      <c r="G213" s="122"/>
      <c r="H213" s="91">
        <v>0</v>
      </c>
      <c r="I213" s="122"/>
      <c r="J213" s="132">
        <v>0</v>
      </c>
      <c r="K213" s="607"/>
      <c r="L213" s="608"/>
      <c r="M213" s="609"/>
      <c r="N213" s="361"/>
      <c r="O213" s="362"/>
      <c r="P213" s="122"/>
      <c r="Q213" s="153">
        <f t="shared" si="11"/>
        <v>0</v>
      </c>
      <c r="R213" s="153"/>
      <c r="S213" s="159">
        <f t="shared" si="12"/>
        <v>0</v>
      </c>
    </row>
    <row r="214" spans="1:19" s="160" customFormat="1" ht="32.25" customHeight="1">
      <c r="A214" s="106">
        <v>18</v>
      </c>
      <c r="B214" s="142" t="s">
        <v>99</v>
      </c>
      <c r="C214" s="174" t="s">
        <v>238</v>
      </c>
      <c r="D214" s="151">
        <v>6750</v>
      </c>
      <c r="E214" s="163"/>
      <c r="F214" s="122"/>
      <c r="G214" s="122"/>
      <c r="H214" s="91">
        <v>0</v>
      </c>
      <c r="I214" s="122"/>
      <c r="J214" s="132">
        <v>0</v>
      </c>
      <c r="K214" s="164" t="s">
        <v>832</v>
      </c>
      <c r="L214" s="165" t="s">
        <v>866</v>
      </c>
      <c r="M214" s="166">
        <v>6750</v>
      </c>
      <c r="N214" s="361"/>
      <c r="O214" s="362"/>
      <c r="P214" s="122"/>
      <c r="Q214" s="153">
        <f t="shared" si="11"/>
        <v>0</v>
      </c>
      <c r="R214" s="153"/>
      <c r="S214" s="159">
        <f t="shared" si="12"/>
        <v>0</v>
      </c>
    </row>
    <row r="215" spans="1:19" s="160" customFormat="1" ht="32.25" customHeight="1">
      <c r="A215" s="106">
        <v>19</v>
      </c>
      <c r="B215" s="142" t="s">
        <v>141</v>
      </c>
      <c r="C215" s="193" t="s">
        <v>240</v>
      </c>
      <c r="D215" s="125">
        <v>114.5</v>
      </c>
      <c r="E215" s="152" t="s">
        <v>57</v>
      </c>
      <c r="F215" s="212"/>
      <c r="G215" s="213"/>
      <c r="H215" s="153">
        <v>-801.5</v>
      </c>
      <c r="I215" s="125"/>
      <c r="J215" s="132">
        <v>-801.5</v>
      </c>
      <c r="K215" s="610"/>
      <c r="L215" s="612"/>
      <c r="M215" s="613"/>
      <c r="N215" s="374" t="s">
        <v>57</v>
      </c>
      <c r="O215" s="362"/>
      <c r="P215" s="221"/>
      <c r="Q215" s="153">
        <f t="shared" si="11"/>
        <v>-687</v>
      </c>
      <c r="R215" s="153"/>
      <c r="S215" s="159">
        <f t="shared" si="12"/>
        <v>-687</v>
      </c>
    </row>
    <row r="216" spans="1:19" s="160" customFormat="1" ht="32.25" customHeight="1">
      <c r="A216" s="106"/>
      <c r="B216" s="222" t="s">
        <v>241</v>
      </c>
      <c r="C216" s="193"/>
      <c r="D216" s="92"/>
      <c r="E216" s="239"/>
      <c r="F216" s="122"/>
      <c r="G216" s="217"/>
      <c r="H216" s="91">
        <v>0</v>
      </c>
      <c r="I216" s="92"/>
      <c r="J216" s="132">
        <v>0</v>
      </c>
      <c r="K216" s="610"/>
      <c r="L216" s="612"/>
      <c r="M216" s="613"/>
      <c r="N216" s="361"/>
      <c r="O216" s="362"/>
      <c r="P216" s="221"/>
      <c r="Q216" s="153">
        <f t="shared" si="11"/>
        <v>0</v>
      </c>
      <c r="R216" s="153"/>
      <c r="S216" s="159">
        <f t="shared" si="12"/>
        <v>0</v>
      </c>
    </row>
    <row r="217" spans="1:19" s="160" customFormat="1" ht="32.25" customHeight="1">
      <c r="A217" s="106"/>
      <c r="B217" s="222" t="s">
        <v>242</v>
      </c>
      <c r="C217" s="193"/>
      <c r="D217" s="92"/>
      <c r="E217" s="239"/>
      <c r="F217" s="122"/>
      <c r="G217" s="217"/>
      <c r="H217" s="91">
        <v>0</v>
      </c>
      <c r="I217" s="92"/>
      <c r="J217" s="132">
        <v>0</v>
      </c>
      <c r="K217" s="610"/>
      <c r="L217" s="612"/>
      <c r="M217" s="613"/>
      <c r="N217" s="361"/>
      <c r="O217" s="362"/>
      <c r="P217" s="221"/>
      <c r="Q217" s="153">
        <f t="shared" si="11"/>
        <v>0</v>
      </c>
      <c r="R217" s="153"/>
      <c r="S217" s="159">
        <f t="shared" si="12"/>
        <v>0</v>
      </c>
    </row>
    <row r="218" spans="1:19" ht="32.25" customHeight="1">
      <c r="A218" s="106">
        <v>20</v>
      </c>
      <c r="B218" s="222" t="s">
        <v>52</v>
      </c>
      <c r="C218" s="193" t="s">
        <v>243</v>
      </c>
      <c r="D218" s="92">
        <v>15.67</v>
      </c>
      <c r="E218" s="369" t="s">
        <v>57</v>
      </c>
      <c r="F218" s="346"/>
      <c r="G218" s="213"/>
      <c r="H218" s="153">
        <v>-109.69</v>
      </c>
      <c r="I218" s="370"/>
      <c r="J218" s="226">
        <v>-109.69</v>
      </c>
      <c r="K218" s="607"/>
      <c r="L218" s="608"/>
      <c r="M218" s="614"/>
      <c r="N218" s="368" t="s">
        <v>57</v>
      </c>
      <c r="O218" s="362"/>
      <c r="P218" s="221"/>
      <c r="Q218" s="153">
        <f t="shared" si="11"/>
        <v>-94.02</v>
      </c>
      <c r="R218" s="153"/>
      <c r="S218" s="159">
        <f t="shared" si="12"/>
        <v>-94.02</v>
      </c>
    </row>
    <row r="219" spans="1:19" ht="32.25" customHeight="1">
      <c r="A219" s="116"/>
      <c r="B219" s="222" t="s">
        <v>791</v>
      </c>
      <c r="C219" s="193"/>
      <c r="D219" s="92">
        <v>0</v>
      </c>
      <c r="E219" s="239"/>
      <c r="F219" s="122"/>
      <c r="G219" s="217"/>
      <c r="H219" s="91">
        <v>0</v>
      </c>
      <c r="I219" s="92"/>
      <c r="J219" s="132">
        <v>0</v>
      </c>
      <c r="K219" s="607"/>
      <c r="L219" s="608"/>
      <c r="M219" s="614">
        <v>0</v>
      </c>
      <c r="N219" s="361"/>
      <c r="O219" s="362"/>
      <c r="P219" s="221"/>
      <c r="Q219" s="153">
        <f t="shared" si="11"/>
        <v>0</v>
      </c>
      <c r="R219" s="153"/>
      <c r="S219" s="159">
        <f t="shared" si="12"/>
        <v>0</v>
      </c>
    </row>
    <row r="220" spans="1:19" ht="32.25" customHeight="1">
      <c r="A220" s="116"/>
      <c r="B220" s="222" t="s">
        <v>793</v>
      </c>
      <c r="C220" s="193"/>
      <c r="D220" s="92">
        <v>0</v>
      </c>
      <c r="E220" s="239"/>
      <c r="F220" s="122"/>
      <c r="G220" s="91"/>
      <c r="H220" s="91">
        <v>0</v>
      </c>
      <c r="I220" s="92"/>
      <c r="J220" s="132">
        <v>0</v>
      </c>
      <c r="K220" s="615"/>
      <c r="L220" s="608"/>
      <c r="M220" s="614">
        <v>0</v>
      </c>
      <c r="N220" s="361"/>
      <c r="O220" s="362"/>
      <c r="P220" s="92"/>
      <c r="Q220" s="153">
        <f t="shared" si="11"/>
        <v>0</v>
      </c>
      <c r="R220" s="153"/>
      <c r="S220" s="159">
        <f t="shared" si="12"/>
        <v>0</v>
      </c>
    </row>
    <row r="221" spans="1:19" ht="32.25" customHeight="1">
      <c r="A221" s="116"/>
      <c r="B221" s="222" t="s">
        <v>795</v>
      </c>
      <c r="C221" s="193"/>
      <c r="D221" s="92"/>
      <c r="E221" s="239"/>
      <c r="F221" s="122"/>
      <c r="G221" s="91"/>
      <c r="H221" s="91"/>
      <c r="I221" s="92"/>
      <c r="J221" s="132"/>
      <c r="K221" s="615"/>
      <c r="L221" s="616"/>
      <c r="M221" s="614"/>
      <c r="N221" s="361"/>
      <c r="O221" s="362"/>
      <c r="P221" s="92"/>
      <c r="Q221" s="153"/>
      <c r="R221" s="153"/>
      <c r="S221" s="159"/>
    </row>
    <row r="222" spans="1:19" ht="32.25" customHeight="1">
      <c r="A222" s="116"/>
      <c r="B222" s="222" t="s">
        <v>245</v>
      </c>
      <c r="C222" s="193"/>
      <c r="D222" s="92"/>
      <c r="E222" s="239"/>
      <c r="F222" s="122"/>
      <c r="G222" s="91"/>
      <c r="H222" s="91"/>
      <c r="I222" s="92"/>
      <c r="J222" s="132"/>
      <c r="K222" s="615"/>
      <c r="L222" s="616"/>
      <c r="M222" s="614"/>
      <c r="N222" s="361"/>
      <c r="O222" s="362"/>
      <c r="P222" s="92"/>
      <c r="Q222" s="153"/>
      <c r="R222" s="153"/>
      <c r="S222" s="159"/>
    </row>
    <row r="223" spans="1:19" ht="32.25" customHeight="1">
      <c r="A223" s="106">
        <v>21</v>
      </c>
      <c r="B223" s="222" t="s">
        <v>152</v>
      </c>
      <c r="C223" s="193" t="s">
        <v>246</v>
      </c>
      <c r="D223" s="125">
        <v>70.42</v>
      </c>
      <c r="E223" s="163" t="s">
        <v>57</v>
      </c>
      <c r="F223" s="115"/>
      <c r="G223" s="91"/>
      <c r="H223" s="91">
        <v>-140.80000000000007</v>
      </c>
      <c r="I223" s="125"/>
      <c r="J223" s="132">
        <v>-140.80000000000007</v>
      </c>
      <c r="K223" s="615"/>
      <c r="L223" s="616"/>
      <c r="M223" s="614"/>
      <c r="N223" s="374" t="s">
        <v>57</v>
      </c>
      <c r="O223" s="362"/>
      <c r="P223" s="92"/>
      <c r="Q223" s="153">
        <f t="shared" si="11"/>
        <v>-70.380000000000067</v>
      </c>
      <c r="R223" s="91"/>
      <c r="S223" s="159">
        <f t="shared" si="12"/>
        <v>-70.380000000000067</v>
      </c>
    </row>
    <row r="224" spans="1:19" ht="32.25" customHeight="1">
      <c r="A224" s="106"/>
      <c r="B224" s="664" t="s">
        <v>247</v>
      </c>
      <c r="C224" s="665"/>
      <c r="D224" s="92"/>
      <c r="E224" s="239"/>
      <c r="F224" s="122"/>
      <c r="G224" s="91"/>
      <c r="H224" s="91">
        <v>0</v>
      </c>
      <c r="I224" s="92"/>
      <c r="J224" s="132">
        <v>0</v>
      </c>
      <c r="K224" s="608"/>
      <c r="L224" s="607"/>
      <c r="M224" s="614"/>
      <c r="N224" s="361"/>
      <c r="O224" s="362"/>
      <c r="P224" s="92"/>
      <c r="Q224" s="153">
        <f t="shared" si="11"/>
        <v>0</v>
      </c>
      <c r="R224" s="91"/>
      <c r="S224" s="159">
        <f t="shared" si="12"/>
        <v>0</v>
      </c>
    </row>
    <row r="225" spans="1:19" ht="32.25" customHeight="1">
      <c r="A225" s="106"/>
      <c r="B225" s="652" t="s">
        <v>248</v>
      </c>
      <c r="C225" s="654"/>
      <c r="D225" s="92"/>
      <c r="E225" s="239"/>
      <c r="F225" s="122"/>
      <c r="G225" s="91"/>
      <c r="H225" s="91">
        <v>0</v>
      </c>
      <c r="I225" s="92"/>
      <c r="J225" s="132">
        <v>0</v>
      </c>
      <c r="K225" s="608"/>
      <c r="L225" s="607"/>
      <c r="M225" s="614"/>
      <c r="N225" s="361"/>
      <c r="O225" s="362"/>
      <c r="P225" s="92"/>
      <c r="Q225" s="153">
        <f t="shared" si="11"/>
        <v>0</v>
      </c>
      <c r="R225" s="91"/>
      <c r="S225" s="159">
        <f t="shared" si="12"/>
        <v>0</v>
      </c>
    </row>
    <row r="226" spans="1:19" ht="32.25" customHeight="1">
      <c r="A226" s="106"/>
      <c r="B226" s="375" t="s">
        <v>249</v>
      </c>
      <c r="C226" s="376"/>
      <c r="D226" s="377"/>
      <c r="E226" s="378"/>
      <c r="F226" s="194"/>
      <c r="G226" s="195"/>
      <c r="H226" s="195">
        <v>0</v>
      </c>
      <c r="I226" s="377"/>
      <c r="J226" s="379">
        <v>0</v>
      </c>
      <c r="K226" s="608"/>
      <c r="L226" s="607"/>
      <c r="M226" s="614"/>
      <c r="N226" s="361"/>
      <c r="O226" s="362"/>
      <c r="P226" s="92"/>
      <c r="Q226" s="153">
        <f t="shared" si="11"/>
        <v>0</v>
      </c>
      <c r="R226" s="91"/>
      <c r="S226" s="159">
        <f t="shared" si="12"/>
        <v>0</v>
      </c>
    </row>
    <row r="227" spans="1:19" ht="32.25" customHeight="1">
      <c r="A227" s="106">
        <v>22</v>
      </c>
      <c r="B227" s="222" t="s">
        <v>130</v>
      </c>
      <c r="C227" s="193" t="s">
        <v>250</v>
      </c>
      <c r="D227" s="92">
        <v>0</v>
      </c>
      <c r="E227" s="239"/>
      <c r="F227" s="122"/>
      <c r="G227" s="91"/>
      <c r="H227" s="91">
        <v>0</v>
      </c>
      <c r="I227" s="92"/>
      <c r="J227" s="132">
        <v>0</v>
      </c>
      <c r="K227" s="607"/>
      <c r="L227" s="608"/>
      <c r="M227" s="614"/>
      <c r="N227" s="2" t="s">
        <v>57</v>
      </c>
      <c r="O227" s="362"/>
      <c r="P227" s="92"/>
      <c r="Q227" s="153">
        <f t="shared" si="11"/>
        <v>0</v>
      </c>
      <c r="R227" s="91"/>
      <c r="S227" s="159">
        <f t="shared" si="12"/>
        <v>0</v>
      </c>
    </row>
    <row r="228" spans="1:19" ht="32.25" customHeight="1">
      <c r="A228" s="116"/>
      <c r="B228" s="222" t="s">
        <v>251</v>
      </c>
      <c r="C228" s="193"/>
      <c r="D228" s="92"/>
      <c r="E228" s="239"/>
      <c r="F228" s="122"/>
      <c r="G228" s="91"/>
      <c r="H228" s="91">
        <v>0</v>
      </c>
      <c r="I228" s="92"/>
      <c r="J228" s="132">
        <v>0</v>
      </c>
      <c r="K228" s="615"/>
      <c r="L228" s="608"/>
      <c r="M228" s="614"/>
      <c r="N228" s="361"/>
      <c r="O228" s="362"/>
      <c r="P228" s="92"/>
      <c r="Q228" s="153">
        <f t="shared" si="11"/>
        <v>0</v>
      </c>
      <c r="R228" s="383"/>
      <c r="S228" s="159">
        <f t="shared" si="12"/>
        <v>0</v>
      </c>
    </row>
    <row r="229" spans="1:19" ht="32.25" customHeight="1">
      <c r="A229" s="116"/>
      <c r="B229" s="222" t="s">
        <v>253</v>
      </c>
      <c r="C229" s="193"/>
      <c r="D229" s="92"/>
      <c r="E229" s="239"/>
      <c r="F229" s="122"/>
      <c r="G229" s="91"/>
      <c r="H229" s="91">
        <v>0</v>
      </c>
      <c r="I229" s="92"/>
      <c r="J229" s="132">
        <v>0</v>
      </c>
      <c r="K229" s="615"/>
      <c r="L229" s="608"/>
      <c r="M229" s="614"/>
      <c r="N229" s="361"/>
      <c r="O229" s="362"/>
      <c r="P229" s="92"/>
      <c r="Q229" s="153">
        <f t="shared" si="11"/>
        <v>0</v>
      </c>
      <c r="R229" s="383"/>
      <c r="S229" s="159">
        <f t="shared" si="12"/>
        <v>0</v>
      </c>
    </row>
    <row r="230" spans="1:19" ht="32.25" customHeight="1">
      <c r="A230" s="116"/>
      <c r="B230" s="222" t="s">
        <v>255</v>
      </c>
      <c r="C230" s="193"/>
      <c r="D230" s="92">
        <v>25.83</v>
      </c>
      <c r="E230" s="239" t="s">
        <v>57</v>
      </c>
      <c r="F230" s="122"/>
      <c r="G230" s="91"/>
      <c r="H230" s="91">
        <v>-129.19000000000011</v>
      </c>
      <c r="I230" s="92"/>
      <c r="J230" s="132">
        <v>-129.19000000000011</v>
      </c>
      <c r="K230" s="615"/>
      <c r="L230" s="608"/>
      <c r="M230" s="614"/>
      <c r="N230" s="374"/>
      <c r="O230" s="362"/>
      <c r="P230" s="92"/>
      <c r="Q230" s="153">
        <f t="shared" si="11"/>
        <v>-103.36000000000011</v>
      </c>
      <c r="R230" s="383"/>
      <c r="S230" s="159">
        <f t="shared" si="12"/>
        <v>-103.36000000000011</v>
      </c>
    </row>
    <row r="231" spans="1:19" ht="32.25" customHeight="1">
      <c r="A231" s="116"/>
      <c r="B231" s="222" t="s">
        <v>257</v>
      </c>
      <c r="C231" s="193"/>
      <c r="D231" s="92"/>
      <c r="E231" s="239"/>
      <c r="F231" s="122"/>
      <c r="G231" s="91"/>
      <c r="H231" s="91">
        <v>0</v>
      </c>
      <c r="I231" s="92"/>
      <c r="J231" s="132">
        <v>0</v>
      </c>
      <c r="K231" s="615"/>
      <c r="L231" s="608"/>
      <c r="M231" s="614"/>
      <c r="N231" s="361"/>
      <c r="O231" s="362"/>
      <c r="P231" s="92"/>
      <c r="Q231" s="153">
        <f t="shared" si="11"/>
        <v>0</v>
      </c>
      <c r="R231" s="383"/>
      <c r="S231" s="159">
        <f t="shared" si="12"/>
        <v>0</v>
      </c>
    </row>
    <row r="232" spans="1:19" ht="32.25" customHeight="1">
      <c r="A232" s="116">
        <v>23</v>
      </c>
      <c r="B232" s="142" t="s">
        <v>145</v>
      </c>
      <c r="C232" s="193" t="s">
        <v>258</v>
      </c>
      <c r="D232" s="92">
        <v>33.75</v>
      </c>
      <c r="E232" s="239" t="s">
        <v>57</v>
      </c>
      <c r="F232" s="122"/>
      <c r="G232" s="91"/>
      <c r="H232" s="91">
        <v>-337.5</v>
      </c>
      <c r="I232" s="92"/>
      <c r="J232" s="132">
        <v>-337.5</v>
      </c>
      <c r="K232" s="615"/>
      <c r="L232" s="608"/>
      <c r="M232" s="614">
        <v>0</v>
      </c>
      <c r="N232" s="361" t="s">
        <v>57</v>
      </c>
      <c r="O232" s="362"/>
      <c r="P232" s="92"/>
      <c r="Q232" s="153">
        <f t="shared" si="11"/>
        <v>-303.75</v>
      </c>
      <c r="R232" s="153"/>
      <c r="S232" s="159">
        <f t="shared" si="12"/>
        <v>-303.75</v>
      </c>
    </row>
    <row r="233" spans="1:19" ht="32.25" customHeight="1">
      <c r="A233" s="116"/>
      <c r="B233" s="384" t="s">
        <v>797</v>
      </c>
      <c r="C233" s="385"/>
      <c r="D233" s="386">
        <v>0</v>
      </c>
      <c r="E233" s="387"/>
      <c r="F233" s="388"/>
      <c r="G233" s="389"/>
      <c r="H233" s="389">
        <v>0</v>
      </c>
      <c r="I233" s="92"/>
      <c r="J233" s="132">
        <v>0</v>
      </c>
      <c r="K233" s="615"/>
      <c r="L233" s="608"/>
      <c r="M233" s="614">
        <v>0</v>
      </c>
      <c r="N233" s="361"/>
      <c r="O233" s="362"/>
      <c r="P233" s="92"/>
      <c r="Q233" s="153">
        <f t="shared" si="11"/>
        <v>0</v>
      </c>
      <c r="R233" s="153"/>
      <c r="S233" s="159">
        <f t="shared" si="12"/>
        <v>0</v>
      </c>
    </row>
    <row r="234" spans="1:19" ht="32.25" customHeight="1">
      <c r="A234" s="116"/>
      <c r="B234" s="384" t="s">
        <v>799</v>
      </c>
      <c r="C234" s="385"/>
      <c r="D234" s="386">
        <v>0</v>
      </c>
      <c r="E234" s="387"/>
      <c r="F234" s="388"/>
      <c r="G234" s="389"/>
      <c r="H234" s="389">
        <v>0</v>
      </c>
      <c r="I234" s="92"/>
      <c r="J234" s="132">
        <v>0</v>
      </c>
      <c r="K234" s="615"/>
      <c r="L234" s="608"/>
      <c r="M234" s="614">
        <v>0</v>
      </c>
      <c r="N234" s="361"/>
      <c r="O234" s="362"/>
      <c r="P234" s="92"/>
      <c r="Q234" s="153">
        <f t="shared" si="11"/>
        <v>0</v>
      </c>
      <c r="R234" s="153"/>
      <c r="S234" s="159">
        <f t="shared" si="12"/>
        <v>0</v>
      </c>
    </row>
    <row r="235" spans="1:19" ht="32.25" customHeight="1">
      <c r="A235" s="116"/>
      <c r="B235" s="384" t="s">
        <v>801</v>
      </c>
      <c r="C235" s="385"/>
      <c r="D235" s="386"/>
      <c r="E235" s="387"/>
      <c r="F235" s="388"/>
      <c r="G235" s="389"/>
      <c r="H235" s="389"/>
      <c r="I235" s="92"/>
      <c r="J235" s="132"/>
      <c r="K235" s="615"/>
      <c r="L235" s="608"/>
      <c r="M235" s="614"/>
      <c r="N235" s="361"/>
      <c r="O235" s="362"/>
      <c r="P235" s="92"/>
      <c r="Q235" s="153"/>
      <c r="R235" s="153"/>
      <c r="S235" s="159"/>
    </row>
    <row r="236" spans="1:19" ht="32.25" customHeight="1">
      <c r="A236" s="116"/>
      <c r="B236" s="384" t="s">
        <v>259</v>
      </c>
      <c r="C236" s="385"/>
      <c r="D236" s="386"/>
      <c r="E236" s="387"/>
      <c r="F236" s="388"/>
      <c r="G236" s="389"/>
      <c r="H236" s="389"/>
      <c r="I236" s="92"/>
      <c r="J236" s="132"/>
      <c r="K236" s="615"/>
      <c r="L236" s="608"/>
      <c r="M236" s="614"/>
      <c r="N236" s="361"/>
      <c r="O236" s="362"/>
      <c r="P236" s="92"/>
      <c r="Q236" s="153"/>
      <c r="R236" s="153"/>
      <c r="S236" s="159"/>
    </row>
    <row r="237" spans="1:19" ht="32.25" customHeight="1">
      <c r="A237" s="116"/>
      <c r="B237" s="384" t="s">
        <v>260</v>
      </c>
      <c r="C237" s="385"/>
      <c r="D237" s="386"/>
      <c r="E237" s="387"/>
      <c r="F237" s="388"/>
      <c r="G237" s="389"/>
      <c r="H237" s="389"/>
      <c r="I237" s="92"/>
      <c r="J237" s="132"/>
      <c r="K237" s="615"/>
      <c r="L237" s="608"/>
      <c r="M237" s="614"/>
      <c r="N237" s="361"/>
      <c r="O237" s="362"/>
      <c r="P237" s="92"/>
      <c r="Q237" s="153"/>
      <c r="R237" s="153"/>
      <c r="S237" s="159"/>
    </row>
    <row r="238" spans="1:19" ht="32.25" customHeight="1">
      <c r="A238" s="116">
        <v>24</v>
      </c>
      <c r="B238" s="142" t="s">
        <v>158</v>
      </c>
      <c r="C238" s="390" t="s">
        <v>261</v>
      </c>
      <c r="D238" s="92">
        <v>24.17</v>
      </c>
      <c r="E238" s="239" t="s">
        <v>57</v>
      </c>
      <c r="F238" s="122"/>
      <c r="G238" s="91"/>
      <c r="H238" s="91">
        <v>-72.469999999999956</v>
      </c>
      <c r="I238" s="92"/>
      <c r="J238" s="132">
        <v>-72.469999999999956</v>
      </c>
      <c r="K238" s="615"/>
      <c r="L238" s="608"/>
      <c r="M238" s="614"/>
      <c r="N238" s="361" t="s">
        <v>57</v>
      </c>
      <c r="O238" s="362"/>
      <c r="P238" s="92"/>
      <c r="Q238" s="153">
        <f t="shared" si="11"/>
        <v>-48.299999999999955</v>
      </c>
      <c r="R238" s="354"/>
      <c r="S238" s="159">
        <f t="shared" si="12"/>
        <v>-48.299999999999955</v>
      </c>
    </row>
    <row r="239" spans="1:19" ht="32.25" customHeight="1">
      <c r="A239" s="116"/>
      <c r="B239" s="275" t="s">
        <v>262</v>
      </c>
      <c r="C239" s="390"/>
      <c r="D239" s="92"/>
      <c r="E239" s="239"/>
      <c r="F239" s="122"/>
      <c r="G239" s="91"/>
      <c r="H239" s="91">
        <v>0</v>
      </c>
      <c r="I239" s="92"/>
      <c r="J239" s="132">
        <v>0</v>
      </c>
      <c r="K239" s="615"/>
      <c r="L239" s="608"/>
      <c r="M239" s="614"/>
      <c r="N239" s="361"/>
      <c r="O239" s="362"/>
      <c r="P239" s="92"/>
      <c r="Q239" s="153">
        <f t="shared" si="11"/>
        <v>0</v>
      </c>
      <c r="R239" s="354"/>
      <c r="S239" s="159">
        <f t="shared" si="12"/>
        <v>0</v>
      </c>
    </row>
    <row r="240" spans="1:19" ht="32.25" customHeight="1">
      <c r="A240" s="116"/>
      <c r="B240" s="275" t="s">
        <v>263</v>
      </c>
      <c r="C240" s="390"/>
      <c r="D240" s="92"/>
      <c r="E240" s="239"/>
      <c r="F240" s="122"/>
      <c r="G240" s="91"/>
      <c r="H240" s="91">
        <v>0</v>
      </c>
      <c r="I240" s="92"/>
      <c r="J240" s="132">
        <v>0</v>
      </c>
      <c r="K240" s="615"/>
      <c r="L240" s="608"/>
      <c r="M240" s="614"/>
      <c r="N240" s="361"/>
      <c r="O240" s="362"/>
      <c r="P240" s="92"/>
      <c r="Q240" s="153">
        <f t="shared" si="11"/>
        <v>0</v>
      </c>
      <c r="R240" s="354"/>
      <c r="S240" s="159">
        <f t="shared" si="12"/>
        <v>0</v>
      </c>
    </row>
    <row r="241" spans="1:19" ht="32.25" customHeight="1">
      <c r="A241" s="116"/>
      <c r="B241" s="275" t="s">
        <v>264</v>
      </c>
      <c r="C241" s="390"/>
      <c r="D241" s="92">
        <v>0</v>
      </c>
      <c r="E241" s="239"/>
      <c r="F241" s="122"/>
      <c r="G241" s="91"/>
      <c r="H241" s="91">
        <v>0</v>
      </c>
      <c r="I241" s="92"/>
      <c r="J241" s="132">
        <v>0</v>
      </c>
      <c r="K241" s="615"/>
      <c r="L241" s="608"/>
      <c r="M241" s="614"/>
      <c r="N241" s="361"/>
      <c r="O241" s="362"/>
      <c r="P241" s="92"/>
      <c r="Q241" s="153">
        <f t="shared" si="11"/>
        <v>0</v>
      </c>
      <c r="R241" s="354"/>
      <c r="S241" s="159">
        <f t="shared" si="12"/>
        <v>0</v>
      </c>
    </row>
    <row r="242" spans="1:19" ht="32.25" customHeight="1">
      <c r="A242" s="116"/>
      <c r="B242" s="275" t="s">
        <v>265</v>
      </c>
      <c r="C242" s="390"/>
      <c r="D242" s="92">
        <v>0</v>
      </c>
      <c r="E242" s="2"/>
      <c r="F242" s="2"/>
      <c r="G242" s="2"/>
      <c r="H242" s="2">
        <v>0</v>
      </c>
      <c r="J242" s="2">
        <v>0</v>
      </c>
      <c r="K242" s="615"/>
      <c r="L242" s="608"/>
      <c r="M242" s="614"/>
      <c r="N242" s="361"/>
      <c r="O242" s="362"/>
      <c r="P242" s="92"/>
      <c r="Q242" s="153">
        <f t="shared" si="11"/>
        <v>0</v>
      </c>
      <c r="R242" s="354"/>
      <c r="S242" s="159">
        <f t="shared" si="12"/>
        <v>0</v>
      </c>
    </row>
    <row r="243" spans="1:19" ht="32.25" customHeight="1">
      <c r="A243" s="116"/>
      <c r="B243" s="142" t="s">
        <v>266</v>
      </c>
      <c r="C243" s="390"/>
      <c r="D243" s="92"/>
      <c r="E243" s="239"/>
      <c r="F243" s="122"/>
      <c r="G243" s="91"/>
      <c r="H243" s="91">
        <v>0</v>
      </c>
      <c r="I243" s="92"/>
      <c r="J243" s="132">
        <v>0</v>
      </c>
      <c r="K243" s="615"/>
      <c r="L243" s="608"/>
      <c r="M243" s="614"/>
      <c r="N243" s="361"/>
      <c r="O243" s="362"/>
      <c r="P243" s="92"/>
      <c r="Q243" s="153">
        <f t="shared" si="11"/>
        <v>0</v>
      </c>
      <c r="R243" s="153"/>
      <c r="S243" s="159">
        <f t="shared" si="12"/>
        <v>0</v>
      </c>
    </row>
    <row r="244" spans="1:19" ht="32.25" customHeight="1">
      <c r="A244" s="116"/>
      <c r="B244" s="142" t="s">
        <v>267</v>
      </c>
      <c r="C244" s="390"/>
      <c r="D244" s="92"/>
      <c r="E244" s="239"/>
      <c r="F244" s="122"/>
      <c r="G244" s="91"/>
      <c r="H244" s="91">
        <v>0</v>
      </c>
      <c r="I244" s="92"/>
      <c r="J244" s="132">
        <v>0</v>
      </c>
      <c r="K244" s="615"/>
      <c r="L244" s="608"/>
      <c r="M244" s="614"/>
      <c r="N244" s="361"/>
      <c r="O244" s="362"/>
      <c r="P244" s="92"/>
      <c r="Q244" s="153">
        <f t="shared" si="11"/>
        <v>0</v>
      </c>
      <c r="R244" s="153"/>
      <c r="S244" s="159">
        <f t="shared" si="12"/>
        <v>0</v>
      </c>
    </row>
    <row r="245" spans="1:19" ht="32.25" customHeight="1">
      <c r="A245" s="106">
        <v>25</v>
      </c>
      <c r="B245" s="142" t="s">
        <v>23</v>
      </c>
      <c r="C245" s="174" t="s">
        <v>268</v>
      </c>
      <c r="D245" s="151"/>
      <c r="E245" s="163"/>
      <c r="F245" s="122"/>
      <c r="G245" s="122"/>
      <c r="H245" s="91">
        <v>0</v>
      </c>
      <c r="I245" s="122"/>
      <c r="J245" s="132">
        <v>0</v>
      </c>
      <c r="K245" s="615"/>
      <c r="L245" s="608"/>
      <c r="M245" s="609"/>
      <c r="N245" s="361"/>
      <c r="O245" s="391"/>
      <c r="P245" s="122"/>
      <c r="Q245" s="153">
        <f t="shared" si="11"/>
        <v>0</v>
      </c>
      <c r="R245" s="153"/>
      <c r="S245" s="159">
        <f t="shared" si="12"/>
        <v>0</v>
      </c>
    </row>
    <row r="246" spans="1:19" ht="32.25" customHeight="1" thickBot="1">
      <c r="A246" s="39"/>
      <c r="B246" s="50" t="s">
        <v>19</v>
      </c>
      <c r="C246" s="50"/>
      <c r="D246" s="51">
        <v>9615.59</v>
      </c>
      <c r="E246" s="52"/>
      <c r="F246" s="53"/>
      <c r="G246" s="52"/>
      <c r="H246" s="51"/>
      <c r="I246" s="51"/>
      <c r="J246" s="51"/>
      <c r="K246" s="547"/>
      <c r="L246" s="548"/>
      <c r="M246" s="549">
        <f>SUM(M197:M245)</f>
        <v>9340</v>
      </c>
      <c r="N246" s="57"/>
      <c r="O246" s="53"/>
      <c r="P246" s="51"/>
      <c r="Q246" s="51">
        <v>0</v>
      </c>
      <c r="R246" s="51">
        <f t="shared" ref="R246" si="13">SUM(R232)</f>
        <v>0</v>
      </c>
      <c r="S246" s="51">
        <v>0</v>
      </c>
    </row>
    <row r="247" spans="1:19" ht="32.25" customHeight="1" thickTop="1">
      <c r="A247" s="39"/>
      <c r="B247" s="58" t="s">
        <v>269</v>
      </c>
      <c r="C247" s="59"/>
      <c r="D247" s="60"/>
      <c r="E247" s="61"/>
      <c r="F247" s="62"/>
      <c r="G247" s="63"/>
      <c r="H247" s="64"/>
      <c r="I247" s="64"/>
      <c r="J247" s="64"/>
      <c r="K247" s="550"/>
      <c r="L247" s="551"/>
      <c r="M247" s="552"/>
      <c r="N247" s="68"/>
      <c r="O247" s="62"/>
      <c r="P247" s="69"/>
      <c r="Q247" s="63"/>
      <c r="R247" s="63"/>
      <c r="S247" s="70"/>
    </row>
    <row r="248" spans="1:19" ht="32.25" customHeight="1">
      <c r="A248" s="39">
        <v>1</v>
      </c>
      <c r="B248" s="142" t="s">
        <v>99</v>
      </c>
      <c r="C248" s="392" t="s">
        <v>270</v>
      </c>
      <c r="D248" s="125">
        <v>0</v>
      </c>
      <c r="E248" s="131"/>
      <c r="F248" s="115"/>
      <c r="G248" s="131"/>
      <c r="H248" s="125">
        <v>0</v>
      </c>
      <c r="I248" s="125"/>
      <c r="J248" s="125">
        <v>0</v>
      </c>
      <c r="K248" s="541"/>
      <c r="L248" s="542"/>
      <c r="M248" s="543"/>
      <c r="N248" s="114"/>
      <c r="O248" s="115"/>
      <c r="P248" s="144"/>
      <c r="Q248" s="131">
        <v>0</v>
      </c>
      <c r="R248" s="33"/>
      <c r="S248" s="77">
        <v>0</v>
      </c>
    </row>
    <row r="249" spans="1:19" ht="32.25" customHeight="1">
      <c r="A249" s="106">
        <v>2</v>
      </c>
      <c r="B249" s="142" t="s">
        <v>99</v>
      </c>
      <c r="C249" s="392" t="s">
        <v>271</v>
      </c>
      <c r="D249" s="125">
        <v>0</v>
      </c>
      <c r="E249" s="131"/>
      <c r="F249" s="115"/>
      <c r="G249" s="131"/>
      <c r="H249" s="125">
        <v>0</v>
      </c>
      <c r="I249" s="125"/>
      <c r="J249" s="125">
        <v>0</v>
      </c>
      <c r="K249" s="541"/>
      <c r="L249" s="542"/>
      <c r="M249" s="543"/>
      <c r="N249" s="114"/>
      <c r="O249" s="115"/>
      <c r="P249" s="144"/>
      <c r="Q249" s="131">
        <v>0</v>
      </c>
      <c r="R249" s="33"/>
      <c r="S249" s="77">
        <v>0</v>
      </c>
    </row>
    <row r="250" spans="1:19" ht="32.25" customHeight="1">
      <c r="A250" s="106">
        <v>3</v>
      </c>
      <c r="B250" s="142" t="s">
        <v>99</v>
      </c>
      <c r="C250" s="392" t="s">
        <v>272</v>
      </c>
      <c r="D250" s="125">
        <v>0</v>
      </c>
      <c r="E250" s="131"/>
      <c r="F250" s="115"/>
      <c r="G250" s="131"/>
      <c r="H250" s="125">
        <v>0</v>
      </c>
      <c r="I250" s="125"/>
      <c r="J250" s="125">
        <v>0</v>
      </c>
      <c r="K250" s="541"/>
      <c r="L250" s="542"/>
      <c r="M250" s="543"/>
      <c r="N250" s="114"/>
      <c r="O250" s="115"/>
      <c r="P250" s="144"/>
      <c r="Q250" s="131">
        <v>0</v>
      </c>
      <c r="R250" s="33"/>
      <c r="S250" s="77">
        <v>0</v>
      </c>
    </row>
    <row r="251" spans="1:19" ht="32.25" customHeight="1">
      <c r="A251" s="106">
        <v>4</v>
      </c>
      <c r="B251" s="142" t="s">
        <v>273</v>
      </c>
      <c r="C251" s="392" t="s">
        <v>274</v>
      </c>
      <c r="D251" s="125">
        <v>0</v>
      </c>
      <c r="E251" s="131"/>
      <c r="F251" s="115"/>
      <c r="G251" s="131"/>
      <c r="H251" s="125">
        <v>0</v>
      </c>
      <c r="I251" s="125"/>
      <c r="J251" s="125">
        <v>0</v>
      </c>
      <c r="K251" s="541"/>
      <c r="L251" s="542"/>
      <c r="M251" s="543"/>
      <c r="N251" s="114"/>
      <c r="O251" s="115"/>
      <c r="P251" s="144"/>
      <c r="Q251" s="131">
        <v>0</v>
      </c>
      <c r="R251" s="33"/>
      <c r="S251" s="77">
        <v>0</v>
      </c>
    </row>
    <row r="252" spans="1:19" ht="32.25" customHeight="1">
      <c r="A252" s="106">
        <v>5</v>
      </c>
      <c r="B252" s="142" t="s">
        <v>273</v>
      </c>
      <c r="C252" s="392" t="s">
        <v>275</v>
      </c>
      <c r="D252" s="125">
        <v>0</v>
      </c>
      <c r="E252" s="131"/>
      <c r="F252" s="115"/>
      <c r="G252" s="131"/>
      <c r="H252" s="125">
        <v>0</v>
      </c>
      <c r="I252" s="125"/>
      <c r="J252" s="125">
        <v>0</v>
      </c>
      <c r="K252" s="541"/>
      <c r="L252" s="542"/>
      <c r="M252" s="543"/>
      <c r="N252" s="114"/>
      <c r="O252" s="115"/>
      <c r="P252" s="144"/>
      <c r="Q252" s="131">
        <v>0</v>
      </c>
      <c r="R252" s="33"/>
      <c r="S252" s="77">
        <v>0</v>
      </c>
    </row>
    <row r="253" spans="1:19" ht="32.25" customHeight="1">
      <c r="A253" s="106">
        <v>6</v>
      </c>
      <c r="B253" s="142" t="s">
        <v>276</v>
      </c>
      <c r="C253" s="392" t="s">
        <v>277</v>
      </c>
      <c r="D253" s="125">
        <v>0</v>
      </c>
      <c r="E253" s="131"/>
      <c r="F253" s="115"/>
      <c r="G253" s="131"/>
      <c r="H253" s="125">
        <v>0</v>
      </c>
      <c r="I253" s="125"/>
      <c r="J253" s="125">
        <v>0</v>
      </c>
      <c r="K253" s="541"/>
      <c r="L253" s="542"/>
      <c r="M253" s="543"/>
      <c r="N253" s="114"/>
      <c r="O253" s="115"/>
      <c r="P253" s="144"/>
      <c r="Q253" s="131">
        <v>0</v>
      </c>
      <c r="R253" s="33"/>
      <c r="S253" s="77">
        <v>0</v>
      </c>
    </row>
    <row r="254" spans="1:19" ht="32.25" customHeight="1">
      <c r="A254" s="106">
        <v>7</v>
      </c>
      <c r="B254" s="142" t="s">
        <v>27</v>
      </c>
      <c r="C254" s="392" t="s">
        <v>278</v>
      </c>
      <c r="D254" s="125">
        <v>0</v>
      </c>
      <c r="E254" s="131"/>
      <c r="F254" s="115"/>
      <c r="G254" s="131"/>
      <c r="H254" s="125">
        <v>0</v>
      </c>
      <c r="I254" s="125"/>
      <c r="J254" s="125">
        <v>0</v>
      </c>
      <c r="K254" s="541"/>
      <c r="L254" s="542"/>
      <c r="M254" s="543"/>
      <c r="N254" s="114"/>
      <c r="O254" s="115"/>
      <c r="P254" s="144"/>
      <c r="Q254" s="131">
        <v>0</v>
      </c>
      <c r="R254" s="33"/>
      <c r="S254" s="77">
        <v>0</v>
      </c>
    </row>
    <row r="255" spans="1:19" ht="32.25" customHeight="1">
      <c r="A255" s="106">
        <v>8</v>
      </c>
      <c r="B255" s="142" t="s">
        <v>42</v>
      </c>
      <c r="C255" s="392" t="s">
        <v>279</v>
      </c>
      <c r="D255" s="125">
        <v>0</v>
      </c>
      <c r="E255" s="131"/>
      <c r="F255" s="115"/>
      <c r="G255" s="131"/>
      <c r="H255" s="125">
        <v>0</v>
      </c>
      <c r="I255" s="125"/>
      <c r="J255" s="125">
        <v>0</v>
      </c>
      <c r="K255" s="164"/>
      <c r="L255" s="599"/>
      <c r="M255" s="600"/>
      <c r="N255" s="114"/>
      <c r="O255" s="115"/>
      <c r="P255" s="144"/>
      <c r="Q255" s="131">
        <v>0</v>
      </c>
      <c r="R255" s="33"/>
      <c r="S255" s="77">
        <v>0</v>
      </c>
    </row>
    <row r="256" spans="1:19" ht="32.25" customHeight="1">
      <c r="A256" s="106">
        <v>9</v>
      </c>
      <c r="B256" s="142" t="s">
        <v>69</v>
      </c>
      <c r="C256" s="392" t="s">
        <v>280</v>
      </c>
      <c r="D256" s="125">
        <v>0</v>
      </c>
      <c r="E256" s="131"/>
      <c r="F256" s="115"/>
      <c r="G256" s="131"/>
      <c r="H256" s="125">
        <v>0</v>
      </c>
      <c r="I256" s="125"/>
      <c r="J256" s="125">
        <v>0</v>
      </c>
      <c r="K256" s="164"/>
      <c r="L256" s="599"/>
      <c r="M256" s="600"/>
      <c r="N256" s="114"/>
      <c r="O256" s="115"/>
      <c r="P256" s="144"/>
      <c r="Q256" s="131">
        <v>0</v>
      </c>
      <c r="R256" s="33"/>
      <c r="S256" s="77">
        <v>0</v>
      </c>
    </row>
    <row r="257" spans="1:19" ht="32.25" customHeight="1">
      <c r="A257" s="106">
        <v>10</v>
      </c>
      <c r="B257" s="142" t="s">
        <v>75</v>
      </c>
      <c r="C257" s="392" t="s">
        <v>281</v>
      </c>
      <c r="D257" s="125">
        <v>0</v>
      </c>
      <c r="E257" s="131"/>
      <c r="F257" s="115"/>
      <c r="G257" s="131"/>
      <c r="H257" s="125">
        <v>0</v>
      </c>
      <c r="I257" s="125"/>
      <c r="J257" s="125">
        <v>0</v>
      </c>
      <c r="K257" s="541"/>
      <c r="L257" s="542"/>
      <c r="M257" s="543"/>
      <c r="N257" s="114"/>
      <c r="O257" s="115"/>
      <c r="P257" s="144"/>
      <c r="Q257" s="131">
        <v>0</v>
      </c>
      <c r="R257" s="33"/>
      <c r="S257" s="77">
        <v>0</v>
      </c>
    </row>
    <row r="258" spans="1:19" ht="32.25" customHeight="1">
      <c r="A258" s="106">
        <v>11</v>
      </c>
      <c r="B258" s="142" t="s">
        <v>77</v>
      </c>
      <c r="C258" s="392" t="s">
        <v>282</v>
      </c>
      <c r="D258" s="125">
        <v>0</v>
      </c>
      <c r="E258" s="131"/>
      <c r="F258" s="115"/>
      <c r="G258" s="131"/>
      <c r="H258" s="125">
        <v>0</v>
      </c>
      <c r="I258" s="125"/>
      <c r="J258" s="125">
        <v>0</v>
      </c>
      <c r="K258" s="541"/>
      <c r="L258" s="542"/>
      <c r="M258" s="543"/>
      <c r="N258" s="114"/>
      <c r="O258" s="115"/>
      <c r="P258" s="144"/>
      <c r="Q258" s="131">
        <v>0</v>
      </c>
      <c r="R258" s="33"/>
      <c r="S258" s="77">
        <v>0</v>
      </c>
    </row>
    <row r="259" spans="1:19" ht="32.25" customHeight="1">
      <c r="A259" s="106">
        <v>12</v>
      </c>
      <c r="B259" s="142" t="s">
        <v>77</v>
      </c>
      <c r="C259" s="392" t="s">
        <v>283</v>
      </c>
      <c r="D259" s="125">
        <v>0</v>
      </c>
      <c r="E259" s="131"/>
      <c r="F259" s="115"/>
      <c r="G259" s="131"/>
      <c r="H259" s="125">
        <v>0</v>
      </c>
      <c r="I259" s="125"/>
      <c r="J259" s="125">
        <v>0</v>
      </c>
      <c r="K259" s="541"/>
      <c r="L259" s="542"/>
      <c r="M259" s="543"/>
      <c r="N259" s="114"/>
      <c r="O259" s="115"/>
      <c r="P259" s="144"/>
      <c r="Q259" s="131">
        <v>0</v>
      </c>
      <c r="R259" s="33"/>
      <c r="S259" s="77">
        <v>0</v>
      </c>
    </row>
    <row r="260" spans="1:19" ht="32.25" customHeight="1">
      <c r="A260" s="106">
        <v>13</v>
      </c>
      <c r="B260" s="142" t="s">
        <v>75</v>
      </c>
      <c r="C260" s="392" t="s">
        <v>284</v>
      </c>
      <c r="D260" s="125">
        <v>0</v>
      </c>
      <c r="E260" s="131"/>
      <c r="F260" s="115"/>
      <c r="G260" s="131"/>
      <c r="H260" s="125">
        <v>0</v>
      </c>
      <c r="I260" s="125"/>
      <c r="J260" s="125">
        <v>0</v>
      </c>
      <c r="K260" s="541"/>
      <c r="L260" s="542"/>
      <c r="M260" s="543"/>
      <c r="N260" s="114"/>
      <c r="O260" s="115"/>
      <c r="P260" s="144"/>
      <c r="Q260" s="131">
        <v>0</v>
      </c>
      <c r="R260" s="33"/>
      <c r="S260" s="77">
        <v>0</v>
      </c>
    </row>
    <row r="261" spans="1:19" ht="32.25" customHeight="1">
      <c r="A261" s="106">
        <v>14</v>
      </c>
      <c r="B261" s="142" t="s">
        <v>83</v>
      </c>
      <c r="C261" s="392" t="s">
        <v>285</v>
      </c>
      <c r="D261" s="125">
        <v>0</v>
      </c>
      <c r="E261" s="131"/>
      <c r="F261" s="115"/>
      <c r="G261" s="131"/>
      <c r="H261" s="125">
        <v>0</v>
      </c>
      <c r="I261" s="125"/>
      <c r="J261" s="125">
        <v>0</v>
      </c>
      <c r="K261" s="541"/>
      <c r="L261" s="542"/>
      <c r="M261" s="543"/>
      <c r="N261" s="114"/>
      <c r="O261" s="115"/>
      <c r="P261" s="144"/>
      <c r="Q261" s="131">
        <v>0</v>
      </c>
      <c r="R261" s="33"/>
      <c r="S261" s="77">
        <v>0</v>
      </c>
    </row>
    <row r="262" spans="1:19" ht="32.25" customHeight="1">
      <c r="A262" s="106">
        <v>15</v>
      </c>
      <c r="B262" s="142" t="s">
        <v>87</v>
      </c>
      <c r="C262" s="392" t="s">
        <v>286</v>
      </c>
      <c r="D262" s="125">
        <v>0</v>
      </c>
      <c r="E262" s="131"/>
      <c r="F262" s="115"/>
      <c r="G262" s="131"/>
      <c r="H262" s="125">
        <v>0</v>
      </c>
      <c r="I262" s="125"/>
      <c r="J262" s="125">
        <v>0</v>
      </c>
      <c r="K262" s="164"/>
      <c r="L262" s="599"/>
      <c r="M262" s="600"/>
      <c r="N262" s="114"/>
      <c r="O262" s="115"/>
      <c r="P262" s="144"/>
      <c r="Q262" s="131">
        <v>0</v>
      </c>
      <c r="R262" s="33"/>
      <c r="S262" s="77">
        <v>0</v>
      </c>
    </row>
    <row r="263" spans="1:19" ht="32.25" customHeight="1">
      <c r="A263" s="106">
        <v>16</v>
      </c>
      <c r="B263" s="142" t="s">
        <v>75</v>
      </c>
      <c r="C263" s="392" t="s">
        <v>287</v>
      </c>
      <c r="D263" s="125">
        <v>0</v>
      </c>
      <c r="E263" s="131"/>
      <c r="F263" s="115"/>
      <c r="G263" s="131"/>
      <c r="H263" s="125">
        <v>0</v>
      </c>
      <c r="I263" s="125"/>
      <c r="J263" s="125">
        <v>0</v>
      </c>
      <c r="K263" s="541"/>
      <c r="L263" s="542"/>
      <c r="M263" s="543"/>
      <c r="N263" s="114"/>
      <c r="O263" s="115"/>
      <c r="P263" s="144"/>
      <c r="Q263" s="131">
        <v>0</v>
      </c>
      <c r="R263" s="33"/>
      <c r="S263" s="77">
        <v>0</v>
      </c>
    </row>
    <row r="264" spans="1:19" ht="32.25" customHeight="1">
      <c r="A264" s="106">
        <v>17</v>
      </c>
      <c r="B264" s="142" t="s">
        <v>92</v>
      </c>
      <c r="C264" s="392" t="s">
        <v>288</v>
      </c>
      <c r="D264" s="125">
        <v>0</v>
      </c>
      <c r="E264" s="131"/>
      <c r="F264" s="115"/>
      <c r="G264" s="131"/>
      <c r="H264" s="125">
        <v>0</v>
      </c>
      <c r="I264" s="125"/>
      <c r="J264" s="125">
        <v>0</v>
      </c>
      <c r="K264" s="541"/>
      <c r="L264" s="542"/>
      <c r="M264" s="543"/>
      <c r="N264" s="114"/>
      <c r="O264" s="115"/>
      <c r="P264" s="144"/>
      <c r="Q264" s="131">
        <v>0</v>
      </c>
      <c r="R264" s="33"/>
      <c r="S264" s="77">
        <v>0</v>
      </c>
    </row>
    <row r="265" spans="1:19" ht="32.25" customHeight="1">
      <c r="A265" s="106">
        <v>18</v>
      </c>
      <c r="B265" s="142" t="s">
        <v>75</v>
      </c>
      <c r="C265" s="392" t="s">
        <v>289</v>
      </c>
      <c r="D265" s="125">
        <v>0</v>
      </c>
      <c r="E265" s="131"/>
      <c r="F265" s="115"/>
      <c r="G265" s="131"/>
      <c r="H265" s="125">
        <v>0</v>
      </c>
      <c r="I265" s="125"/>
      <c r="J265" s="125">
        <v>0</v>
      </c>
      <c r="K265" s="541"/>
      <c r="L265" s="542"/>
      <c r="M265" s="543"/>
      <c r="N265" s="114"/>
      <c r="O265" s="115"/>
      <c r="P265" s="144"/>
      <c r="Q265" s="131">
        <v>0</v>
      </c>
      <c r="R265" s="33"/>
      <c r="S265" s="77">
        <v>0</v>
      </c>
    </row>
    <row r="266" spans="1:19" ht="32.25" customHeight="1">
      <c r="A266" s="106">
        <v>19</v>
      </c>
      <c r="B266" s="142" t="s">
        <v>95</v>
      </c>
      <c r="C266" s="392" t="s">
        <v>290</v>
      </c>
      <c r="D266" s="125">
        <v>0</v>
      </c>
      <c r="E266" s="131"/>
      <c r="F266" s="115"/>
      <c r="G266" s="131"/>
      <c r="H266" s="125">
        <v>0</v>
      </c>
      <c r="I266" s="125"/>
      <c r="J266" s="125">
        <v>0</v>
      </c>
      <c r="K266" s="164"/>
      <c r="L266" s="599"/>
      <c r="M266" s="600"/>
      <c r="N266" s="114"/>
      <c r="O266" s="115"/>
      <c r="P266" s="144"/>
      <c r="Q266" s="131">
        <v>0</v>
      </c>
      <c r="R266" s="33"/>
      <c r="S266" s="77">
        <v>0</v>
      </c>
    </row>
    <row r="267" spans="1:19" ht="32.25" customHeight="1">
      <c r="A267" s="106">
        <v>20</v>
      </c>
      <c r="B267" s="142" t="s">
        <v>236</v>
      </c>
      <c r="C267" s="392" t="s">
        <v>291</v>
      </c>
      <c r="D267" s="125">
        <v>0</v>
      </c>
      <c r="E267" s="131"/>
      <c r="F267" s="115"/>
      <c r="G267" s="131"/>
      <c r="H267" s="125">
        <v>0</v>
      </c>
      <c r="I267" s="125"/>
      <c r="J267" s="125">
        <v>0</v>
      </c>
      <c r="K267" s="164"/>
      <c r="L267" s="599"/>
      <c r="M267" s="600"/>
      <c r="N267" s="114"/>
      <c r="O267" s="115"/>
      <c r="P267" s="144"/>
      <c r="Q267" s="131">
        <v>0</v>
      </c>
      <c r="R267" s="33"/>
      <c r="S267" s="77">
        <v>0</v>
      </c>
    </row>
    <row r="268" spans="1:19" ht="32.25" customHeight="1" thickBot="1">
      <c r="A268" s="39"/>
      <c r="B268" s="50" t="s">
        <v>19</v>
      </c>
      <c r="C268" s="50"/>
      <c r="D268" s="51">
        <v>0</v>
      </c>
      <c r="E268" s="52"/>
      <c r="F268" s="53"/>
      <c r="G268" s="52"/>
      <c r="H268" s="51">
        <v>0</v>
      </c>
      <c r="I268" s="51">
        <v>0</v>
      </c>
      <c r="J268" s="51">
        <v>0</v>
      </c>
      <c r="K268" s="547"/>
      <c r="L268" s="548"/>
      <c r="M268" s="549">
        <v>0</v>
      </c>
      <c r="N268" s="57"/>
      <c r="O268" s="53"/>
      <c r="P268" s="51"/>
      <c r="Q268" s="51">
        <v>0</v>
      </c>
      <c r="R268" s="51">
        <v>0</v>
      </c>
      <c r="S268" s="51">
        <v>0</v>
      </c>
    </row>
    <row r="269" spans="1:19" ht="32.25" customHeight="1" thickTop="1">
      <c r="A269" s="39"/>
      <c r="B269" s="141" t="s">
        <v>292</v>
      </c>
      <c r="C269" s="142"/>
      <c r="D269" s="125"/>
      <c r="E269" s="131"/>
      <c r="F269" s="115"/>
      <c r="G269" s="33"/>
      <c r="H269" s="143"/>
      <c r="I269" s="143"/>
      <c r="J269" s="143"/>
      <c r="K269" s="541"/>
      <c r="L269" s="542"/>
      <c r="M269" s="543"/>
      <c r="N269" s="114"/>
      <c r="O269" s="115"/>
      <c r="P269" s="144"/>
      <c r="Q269" s="33"/>
      <c r="R269" s="33"/>
      <c r="S269" s="145"/>
    </row>
    <row r="270" spans="1:19" ht="32.25" customHeight="1">
      <c r="A270" s="39">
        <v>1</v>
      </c>
      <c r="B270" s="41" t="s">
        <v>152</v>
      </c>
      <c r="C270" s="41" t="s">
        <v>293</v>
      </c>
      <c r="D270" s="42"/>
      <c r="E270" s="6"/>
      <c r="F270" s="43"/>
      <c r="G270" s="6"/>
      <c r="H270" s="42"/>
      <c r="I270" s="42"/>
      <c r="J270" s="42"/>
      <c r="K270" s="544"/>
      <c r="L270" s="545"/>
      <c r="M270" s="546"/>
      <c r="N270" s="5"/>
      <c r="O270" s="43"/>
      <c r="P270" s="47"/>
      <c r="Q270" s="48"/>
      <c r="R270" s="48"/>
      <c r="S270" s="49"/>
    </row>
    <row r="271" spans="1:19" ht="32.25" customHeight="1">
      <c r="A271" s="39">
        <v>2</v>
      </c>
      <c r="B271" s="41" t="s">
        <v>294</v>
      </c>
      <c r="C271" s="41" t="s">
        <v>295</v>
      </c>
      <c r="D271" s="42" t="s">
        <v>296</v>
      </c>
      <c r="E271" s="6"/>
      <c r="F271" s="43"/>
      <c r="G271" s="6"/>
      <c r="H271" s="42"/>
      <c r="I271" s="42"/>
      <c r="J271" s="42"/>
      <c r="K271" s="393"/>
      <c r="L271" s="394"/>
      <c r="M271" s="395"/>
      <c r="N271" s="5"/>
      <c r="O271" s="43"/>
      <c r="P271" s="47"/>
      <c r="Q271" s="48"/>
      <c r="R271" s="48"/>
      <c r="S271" s="49"/>
    </row>
    <row r="272" spans="1:19" ht="32.25" customHeight="1">
      <c r="A272" s="39"/>
      <c r="B272" s="40" t="s">
        <v>297</v>
      </c>
      <c r="C272" s="41"/>
      <c r="D272" s="42"/>
      <c r="E272" s="6"/>
      <c r="F272" s="43"/>
      <c r="G272" s="6"/>
      <c r="H272" s="42"/>
      <c r="I272" s="42"/>
      <c r="J272" s="42"/>
      <c r="K272" s="595"/>
      <c r="L272" s="596"/>
      <c r="M272" s="597"/>
      <c r="N272" s="5"/>
      <c r="O272" s="43"/>
      <c r="P272" s="47"/>
      <c r="Q272" s="48"/>
      <c r="R272" s="48"/>
      <c r="S272" s="49"/>
    </row>
    <row r="273" spans="1:19" ht="32.25" customHeight="1">
      <c r="A273" s="39"/>
      <c r="B273" s="40" t="s">
        <v>298</v>
      </c>
      <c r="C273" s="41"/>
      <c r="D273" s="42"/>
      <c r="E273" s="6"/>
      <c r="F273" s="43"/>
      <c r="G273" s="6"/>
      <c r="H273" s="42"/>
      <c r="I273" s="42"/>
      <c r="J273" s="42"/>
      <c r="K273" s="595"/>
      <c r="L273" s="596"/>
      <c r="M273" s="597"/>
      <c r="N273" s="5"/>
      <c r="O273" s="43"/>
      <c r="P273" s="47"/>
      <c r="Q273" s="48"/>
      <c r="R273" s="48"/>
      <c r="S273" s="49"/>
    </row>
    <row r="274" spans="1:19" ht="32.25" customHeight="1">
      <c r="A274" s="39">
        <v>3</v>
      </c>
      <c r="B274" s="40" t="s">
        <v>130</v>
      </c>
      <c r="C274" s="41" t="s">
        <v>299</v>
      </c>
      <c r="D274" s="42"/>
      <c r="E274" s="6"/>
      <c r="F274" s="43"/>
      <c r="G274" s="6"/>
      <c r="H274" s="42"/>
      <c r="I274" s="42"/>
      <c r="J274" s="42"/>
      <c r="K274" s="595"/>
      <c r="L274" s="596"/>
      <c r="M274" s="597"/>
      <c r="N274" s="5"/>
      <c r="O274" s="43"/>
      <c r="P274" s="47"/>
      <c r="Q274" s="48"/>
      <c r="R274" s="48"/>
      <c r="S274" s="49"/>
    </row>
    <row r="275" spans="1:19" ht="32.25" customHeight="1">
      <c r="A275" s="39">
        <v>4</v>
      </c>
      <c r="B275" s="40" t="s">
        <v>276</v>
      </c>
      <c r="C275" s="41" t="s">
        <v>302</v>
      </c>
      <c r="D275" s="42"/>
      <c r="E275" s="6"/>
      <c r="F275" s="43"/>
      <c r="G275" s="6"/>
      <c r="H275" s="42"/>
      <c r="I275" s="42"/>
      <c r="J275" s="42"/>
      <c r="K275" s="595"/>
      <c r="L275" s="596"/>
      <c r="M275" s="597"/>
      <c r="N275" s="5"/>
      <c r="O275" s="43"/>
      <c r="P275" s="47"/>
      <c r="Q275" s="48"/>
      <c r="R275" s="48"/>
      <c r="S275" s="49"/>
    </row>
    <row r="276" spans="1:19" ht="32.25" customHeight="1">
      <c r="A276" s="39">
        <v>5</v>
      </c>
      <c r="B276" s="40" t="s">
        <v>192</v>
      </c>
      <c r="C276" s="41" t="s">
        <v>306</v>
      </c>
      <c r="D276" s="42"/>
      <c r="E276" s="6"/>
      <c r="F276" s="43"/>
      <c r="G276" s="6"/>
      <c r="H276" s="42"/>
      <c r="I276" s="42"/>
      <c r="J276" s="42"/>
      <c r="K276" s="595"/>
      <c r="L276" s="596"/>
      <c r="M276" s="597"/>
      <c r="N276" s="5"/>
      <c r="O276" s="43"/>
      <c r="P276" s="47"/>
      <c r="Q276" s="48"/>
      <c r="R276" s="48"/>
      <c r="S276" s="49"/>
    </row>
    <row r="277" spans="1:19" ht="32.25" customHeight="1">
      <c r="A277" s="39">
        <v>6</v>
      </c>
      <c r="B277" s="40" t="s">
        <v>387</v>
      </c>
      <c r="C277" s="41" t="s">
        <v>388</v>
      </c>
      <c r="D277" s="42">
        <v>0</v>
      </c>
      <c r="E277" s="6"/>
      <c r="F277" s="43"/>
      <c r="G277" s="6"/>
      <c r="H277" s="42"/>
      <c r="I277" s="42"/>
      <c r="J277" s="42"/>
      <c r="K277" s="595"/>
      <c r="L277" s="596"/>
      <c r="M277" s="597"/>
      <c r="N277" s="5"/>
      <c r="O277" s="43"/>
      <c r="P277" s="47"/>
      <c r="Q277" s="48"/>
      <c r="R277" s="48"/>
      <c r="S277" s="49"/>
    </row>
    <row r="278" spans="1:19" ht="32.25" customHeight="1">
      <c r="A278" s="39"/>
      <c r="B278" s="40" t="s">
        <v>391</v>
      </c>
      <c r="C278" s="41"/>
      <c r="D278" s="42">
        <v>0</v>
      </c>
      <c r="E278" s="6"/>
      <c r="F278" s="43"/>
      <c r="G278" s="6"/>
      <c r="H278" s="42">
        <v>0</v>
      </c>
      <c r="I278" s="42">
        <v>0</v>
      </c>
      <c r="J278" s="42">
        <v>0</v>
      </c>
      <c r="K278" s="595"/>
      <c r="L278" s="596"/>
      <c r="M278" s="597"/>
      <c r="N278" s="5"/>
      <c r="O278" s="43"/>
      <c r="P278" s="47"/>
      <c r="Q278" s="48"/>
      <c r="R278" s="48"/>
      <c r="S278" s="49"/>
    </row>
    <row r="279" spans="1:19" ht="32.25" customHeight="1" thickBot="1">
      <c r="A279" s="39"/>
      <c r="B279" s="50" t="s">
        <v>19</v>
      </c>
      <c r="C279" s="50"/>
      <c r="D279" s="51">
        <v>0</v>
      </c>
      <c r="E279" s="52"/>
      <c r="F279" s="53"/>
      <c r="G279" s="52"/>
      <c r="H279" s="51">
        <f>SUM(H277:H278)</f>
        <v>0</v>
      </c>
      <c r="I279" s="51">
        <v>0</v>
      </c>
      <c r="J279" s="51">
        <f>SUM(J270:J278)</f>
        <v>0</v>
      </c>
      <c r="K279" s="547"/>
      <c r="L279" s="548"/>
      <c r="M279" s="549">
        <f>SUM(M277:M278)</f>
        <v>0</v>
      </c>
      <c r="N279" s="57"/>
      <c r="O279" s="53"/>
      <c r="P279" s="51"/>
      <c r="Q279" s="51"/>
      <c r="R279" s="51"/>
      <c r="S279" s="51"/>
    </row>
    <row r="280" spans="1:19" ht="32.25" customHeight="1" thickTop="1" thickBot="1">
      <c r="A280" s="396"/>
      <c r="B280" s="397" t="s">
        <v>309</v>
      </c>
      <c r="C280" s="398"/>
      <c r="D280" s="399">
        <f t="shared" ref="D280:S280" si="14">SUM(D9+D16+D21+D52+D55+D58+D61+D97+D131+D146+D160+D192+D195+D246+D268+D279)</f>
        <v>181236.24000000002</v>
      </c>
      <c r="E280" s="399">
        <f t="shared" si="14"/>
        <v>0</v>
      </c>
      <c r="F280" s="399">
        <f t="shared" si="14"/>
        <v>0</v>
      </c>
      <c r="G280" s="399">
        <f t="shared" si="14"/>
        <v>0</v>
      </c>
      <c r="H280" s="399">
        <f t="shared" si="14"/>
        <v>5250.0000000000009</v>
      </c>
      <c r="I280" s="399">
        <f t="shared" si="14"/>
        <v>367.49999999999977</v>
      </c>
      <c r="J280" s="399">
        <f t="shared" si="14"/>
        <v>5617.5000000000009</v>
      </c>
      <c r="K280" s="617">
        <f t="shared" si="14"/>
        <v>0</v>
      </c>
      <c r="L280" s="617">
        <f t="shared" si="14"/>
        <v>0</v>
      </c>
      <c r="M280" s="617">
        <f t="shared" si="14"/>
        <v>174657.93</v>
      </c>
      <c r="N280" s="399">
        <f t="shared" si="14"/>
        <v>0</v>
      </c>
      <c r="O280" s="399">
        <f t="shared" si="14"/>
        <v>0</v>
      </c>
      <c r="P280" s="399">
        <f t="shared" si="14"/>
        <v>0</v>
      </c>
      <c r="Q280" s="399">
        <f t="shared" si="14"/>
        <v>8720.0000000000018</v>
      </c>
      <c r="R280" s="399">
        <f t="shared" si="14"/>
        <v>610.39999999999964</v>
      </c>
      <c r="S280" s="399">
        <f t="shared" si="14"/>
        <v>9330.4000000000015</v>
      </c>
    </row>
    <row r="281" spans="1:19" ht="25.2" thickTop="1">
      <c r="K281" s="618"/>
      <c r="L281" s="618"/>
      <c r="M281" s="422"/>
    </row>
    <row r="282" spans="1:19">
      <c r="K282" s="618"/>
      <c r="L282" s="618"/>
      <c r="M282" s="422"/>
    </row>
    <row r="283" spans="1:19">
      <c r="K283" s="618"/>
      <c r="L283" s="618"/>
      <c r="M283" s="422"/>
    </row>
    <row r="284" spans="1:19">
      <c r="K284" s="618"/>
      <c r="L284" s="618"/>
      <c r="M284" s="422"/>
    </row>
    <row r="285" spans="1:19">
      <c r="K285" s="618"/>
      <c r="L285" s="618"/>
      <c r="M285" s="422"/>
    </row>
    <row r="286" spans="1:19" s="406" customFormat="1" ht="32.25" customHeight="1">
      <c r="A286" s="2"/>
      <c r="B286" s="643"/>
      <c r="C286" s="642"/>
      <c r="D286" s="642"/>
      <c r="E286" s="1"/>
      <c r="F286" s="407"/>
      <c r="G286" s="1"/>
      <c r="H286" s="408"/>
      <c r="I286" s="409"/>
      <c r="J286" s="408"/>
      <c r="K286" s="619"/>
      <c r="L286" s="620"/>
      <c r="M286" s="666"/>
      <c r="N286" s="642"/>
      <c r="O286" s="642"/>
      <c r="P286" s="642"/>
      <c r="Q286" s="412"/>
      <c r="S286" s="2"/>
    </row>
    <row r="287" spans="1:19" s="406" customFormat="1" ht="32.25" customHeight="1">
      <c r="A287" s="2"/>
      <c r="B287" s="413"/>
      <c r="C287" s="667"/>
      <c r="D287" s="642"/>
      <c r="E287" s="1"/>
      <c r="F287" s="407"/>
      <c r="G287" s="1"/>
      <c r="H287" s="667"/>
      <c r="I287" s="642"/>
      <c r="J287" s="642"/>
      <c r="K287" s="642"/>
      <c r="L287" s="620"/>
      <c r="M287" s="668"/>
      <c r="N287" s="642"/>
      <c r="O287" s="642"/>
      <c r="P287" s="642"/>
      <c r="Q287" s="412"/>
      <c r="S287" s="2"/>
    </row>
    <row r="288" spans="1:19" s="406" customFormat="1" ht="32.25" customHeight="1">
      <c r="A288" s="2"/>
      <c r="B288" s="413"/>
      <c r="C288" s="662"/>
      <c r="D288" s="642"/>
      <c r="E288" s="1"/>
      <c r="F288" s="407"/>
      <c r="G288" s="1"/>
      <c r="H288" s="663"/>
      <c r="I288" s="642"/>
      <c r="J288" s="642"/>
      <c r="K288" s="619"/>
      <c r="L288" s="641"/>
      <c r="M288" s="642"/>
      <c r="N288" s="642"/>
      <c r="O288" s="642"/>
      <c r="P288" s="642"/>
      <c r="Q288" s="642"/>
      <c r="S288" s="2"/>
    </row>
  </sheetData>
  <mergeCells count="26">
    <mergeCell ref="C288:D288"/>
    <mergeCell ref="H288:J288"/>
    <mergeCell ref="L288:Q288"/>
    <mergeCell ref="B224:C224"/>
    <mergeCell ref="B225:C225"/>
    <mergeCell ref="B286:D286"/>
    <mergeCell ref="M286:P286"/>
    <mergeCell ref="C287:D287"/>
    <mergeCell ref="H287:K287"/>
    <mergeCell ref="M287:P287"/>
    <mergeCell ref="B96:D96"/>
    <mergeCell ref="A1:S1"/>
    <mergeCell ref="A2:S2"/>
    <mergeCell ref="A3:S3"/>
    <mergeCell ref="B4:B6"/>
    <mergeCell ref="C4:C6"/>
    <mergeCell ref="E4:J4"/>
    <mergeCell ref="K4:M4"/>
    <mergeCell ref="N4:S4"/>
    <mergeCell ref="H5:J5"/>
    <mergeCell ref="Q5:S5"/>
    <mergeCell ref="B82:D82"/>
    <mergeCell ref="B84:D84"/>
    <mergeCell ref="B86:D86"/>
    <mergeCell ref="B88:D88"/>
    <mergeCell ref="B90:D90"/>
  </mergeCells>
  <pageMargins left="0.7" right="0.7" top="0.75" bottom="0.75" header="0.3" footer="0.3"/>
  <pageSetup paperSize="9" scale="4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AAEF-697F-42CF-A08B-94EAE9C87957}">
  <sheetPr>
    <tabColor rgb="FF92D050"/>
  </sheetPr>
  <dimension ref="A1:H96"/>
  <sheetViews>
    <sheetView zoomScale="60" zoomScaleNormal="60" workbookViewId="0">
      <pane ySplit="6" topLeftCell="A76" activePane="bottomLeft" state="frozen"/>
      <selection pane="bottomLeft" activeCell="H91" sqref="H91"/>
    </sheetView>
  </sheetViews>
  <sheetFormatPr defaultColWidth="12.5546875" defaultRowHeight="24.6"/>
  <cols>
    <col min="1" max="1" width="5.6640625" style="2" customWidth="1"/>
    <col min="2" max="2" width="42.5546875" style="2" customWidth="1"/>
    <col min="3" max="3" width="31.44140625" style="2" customWidth="1"/>
    <col min="4" max="4" width="17.6640625" style="621" customWidth="1"/>
    <col min="5" max="5" width="25" style="621" customWidth="1"/>
    <col min="6" max="6" width="16.109375" style="569" customWidth="1"/>
    <col min="7" max="7" width="12.5546875" style="2"/>
    <col min="8" max="8" width="24.109375" style="2" customWidth="1"/>
    <col min="9" max="16384" width="12.5546875" style="2"/>
  </cols>
  <sheetData>
    <row r="1" spans="1:8" ht="22.5" customHeight="1">
      <c r="A1" s="643" t="s">
        <v>0</v>
      </c>
      <c r="B1" s="642"/>
      <c r="C1" s="642"/>
      <c r="D1" s="642"/>
      <c r="E1" s="642"/>
      <c r="F1" s="642"/>
    </row>
    <row r="2" spans="1:8" ht="27" customHeight="1">
      <c r="A2" s="643" t="s">
        <v>1</v>
      </c>
      <c r="B2" s="642"/>
      <c r="C2" s="642"/>
      <c r="D2" s="642"/>
      <c r="E2" s="642"/>
      <c r="F2" s="642"/>
    </row>
    <row r="3" spans="1:8" ht="22.5" customHeight="1">
      <c r="A3" s="644" t="s">
        <v>803</v>
      </c>
      <c r="B3" s="645"/>
      <c r="C3" s="645"/>
      <c r="D3" s="645"/>
      <c r="E3" s="645"/>
      <c r="F3" s="645"/>
    </row>
    <row r="4" spans="1:8" ht="34.5" customHeight="1">
      <c r="A4" s="3" t="s">
        <v>3</v>
      </c>
      <c r="B4" s="646" t="s">
        <v>4</v>
      </c>
      <c r="C4" s="646" t="s">
        <v>5</v>
      </c>
      <c r="D4" s="649" t="s">
        <v>8</v>
      </c>
      <c r="E4" s="650"/>
      <c r="F4" s="651"/>
    </row>
    <row r="5" spans="1:8" ht="24.75" customHeight="1">
      <c r="A5" s="5"/>
      <c r="B5" s="647"/>
      <c r="C5" s="647"/>
      <c r="D5" s="535" t="s">
        <v>14</v>
      </c>
      <c r="E5" s="536" t="s">
        <v>15</v>
      </c>
      <c r="F5" s="537" t="s">
        <v>16</v>
      </c>
    </row>
    <row r="6" spans="1:8" ht="27.75" customHeight="1" thickBot="1">
      <c r="A6" s="14"/>
      <c r="B6" s="648"/>
      <c r="C6" s="648"/>
      <c r="D6" s="538"/>
      <c r="E6" s="539"/>
      <c r="F6" s="540"/>
    </row>
    <row r="7" spans="1:8" ht="32.25" customHeight="1" thickTop="1">
      <c r="A7" s="39"/>
      <c r="B7" s="58" t="s">
        <v>22</v>
      </c>
      <c r="C7" s="59"/>
      <c r="D7" s="550"/>
      <c r="E7" s="551"/>
      <c r="F7" s="552"/>
    </row>
    <row r="8" spans="1:8" s="78" customFormat="1" ht="32.25" customHeight="1">
      <c r="A8" s="39">
        <v>1</v>
      </c>
      <c r="B8" s="71" t="s">
        <v>23</v>
      </c>
      <c r="C8" s="71" t="s">
        <v>24</v>
      </c>
      <c r="D8" s="553" t="s">
        <v>804</v>
      </c>
      <c r="E8" s="554" t="s">
        <v>805</v>
      </c>
      <c r="F8" s="555">
        <v>2166.75</v>
      </c>
    </row>
    <row r="9" spans="1:8" s="78" customFormat="1" ht="32.25" customHeight="1">
      <c r="A9" s="39">
        <v>2</v>
      </c>
      <c r="B9" s="71" t="s">
        <v>27</v>
      </c>
      <c r="C9" s="71" t="s">
        <v>24</v>
      </c>
      <c r="D9" s="553" t="s">
        <v>806</v>
      </c>
      <c r="E9" s="554" t="s">
        <v>807</v>
      </c>
      <c r="F9" s="555">
        <v>274.99</v>
      </c>
    </row>
    <row r="10" spans="1:8" s="78" customFormat="1" ht="32.25" customHeight="1">
      <c r="A10" s="39">
        <v>3</v>
      </c>
      <c r="B10" s="71" t="s">
        <v>30</v>
      </c>
      <c r="C10" s="71" t="s">
        <v>24</v>
      </c>
      <c r="D10" s="553" t="s">
        <v>806</v>
      </c>
      <c r="E10" s="554" t="s">
        <v>808</v>
      </c>
      <c r="F10" s="555">
        <v>189.39</v>
      </c>
    </row>
    <row r="11" spans="1:8" ht="32.25" customHeight="1" thickBot="1">
      <c r="A11" s="39"/>
      <c r="B11" s="50" t="s">
        <v>19</v>
      </c>
      <c r="C11" s="50"/>
      <c r="D11" s="557"/>
      <c r="E11" s="558"/>
      <c r="F11" s="549">
        <v>2631.1299999999997</v>
      </c>
      <c r="H11" s="406">
        <f>SUM(F8:F10)</f>
        <v>2631.1299999999997</v>
      </c>
    </row>
    <row r="12" spans="1:8" ht="32.25" customHeight="1" thickTop="1">
      <c r="A12" s="39"/>
      <c r="B12" s="58" t="s">
        <v>32</v>
      </c>
      <c r="C12" s="59"/>
      <c r="D12" s="550"/>
      <c r="E12" s="551"/>
      <c r="F12" s="552"/>
    </row>
    <row r="13" spans="1:8" s="78" customFormat="1" ht="32.25" customHeight="1">
      <c r="A13" s="39">
        <v>1</v>
      </c>
      <c r="B13" s="71" t="s">
        <v>23</v>
      </c>
      <c r="C13" s="71" t="s">
        <v>33</v>
      </c>
      <c r="D13" s="553" t="s">
        <v>804</v>
      </c>
      <c r="E13" s="559" t="s">
        <v>809</v>
      </c>
      <c r="F13" s="555">
        <v>780</v>
      </c>
    </row>
    <row r="14" spans="1:8" s="78" customFormat="1" ht="32.25" customHeight="1">
      <c r="A14" s="39">
        <v>2</v>
      </c>
      <c r="B14" s="71" t="s">
        <v>27</v>
      </c>
      <c r="C14" s="71" t="s">
        <v>33</v>
      </c>
      <c r="D14" s="553" t="s">
        <v>806</v>
      </c>
      <c r="E14" s="560" t="s">
        <v>810</v>
      </c>
      <c r="F14" s="555">
        <v>120</v>
      </c>
    </row>
    <row r="15" spans="1:8" ht="32.25" customHeight="1" thickBot="1">
      <c r="A15" s="39"/>
      <c r="B15" s="50" t="s">
        <v>19</v>
      </c>
      <c r="C15" s="50"/>
      <c r="D15" s="561"/>
      <c r="E15" s="562"/>
      <c r="F15" s="563">
        <v>900</v>
      </c>
      <c r="H15" s="406">
        <f>SUM(F13:F14)</f>
        <v>900</v>
      </c>
    </row>
    <row r="16" spans="1:8" ht="32.25" hidden="1" customHeight="1" thickBot="1">
      <c r="A16" s="104" t="s">
        <v>36</v>
      </c>
      <c r="B16" s="104" t="s">
        <v>37</v>
      </c>
      <c r="C16" s="105">
        <v>780</v>
      </c>
      <c r="D16" s="550"/>
      <c r="E16" s="551"/>
      <c r="F16" s="552"/>
    </row>
    <row r="17" spans="1:6" ht="32.25" hidden="1" customHeight="1" thickTop="1">
      <c r="A17" s="104" t="s">
        <v>36</v>
      </c>
      <c r="B17" s="104" t="s">
        <v>38</v>
      </c>
      <c r="C17" s="105">
        <v>180</v>
      </c>
      <c r="D17" s="544"/>
      <c r="E17" s="545"/>
      <c r="F17" s="546"/>
    </row>
    <row r="18" spans="1:6" ht="32.25" hidden="1" customHeight="1" thickTop="1">
      <c r="A18" s="39"/>
      <c r="B18" s="50" t="s">
        <v>19</v>
      </c>
      <c r="C18" s="50"/>
      <c r="D18" s="547"/>
      <c r="E18" s="548"/>
      <c r="F18" s="549"/>
    </row>
    <row r="19" spans="1:6" ht="32.25" hidden="1" customHeight="1" thickTop="1">
      <c r="A19" s="39"/>
      <c r="B19" s="58" t="s">
        <v>39</v>
      </c>
      <c r="C19" s="59"/>
      <c r="D19" s="550"/>
      <c r="E19" s="551"/>
      <c r="F19" s="552"/>
    </row>
    <row r="20" spans="1:6" ht="32.25" hidden="1" customHeight="1" thickTop="1">
      <c r="A20" s="39">
        <v>1</v>
      </c>
      <c r="B20" s="40"/>
      <c r="C20" s="41"/>
      <c r="D20" s="544"/>
      <c r="E20" s="545"/>
      <c r="F20" s="546"/>
    </row>
    <row r="21" spans="1:6" ht="32.25" hidden="1" customHeight="1" thickTop="1">
      <c r="A21" s="39"/>
      <c r="B21" s="50" t="s">
        <v>19</v>
      </c>
      <c r="C21" s="50"/>
      <c r="D21" s="547"/>
      <c r="E21" s="548"/>
      <c r="F21" s="549"/>
    </row>
    <row r="22" spans="1:6" ht="32.25" hidden="1" customHeight="1" thickTop="1">
      <c r="A22" s="39"/>
      <c r="B22" s="58" t="s">
        <v>40</v>
      </c>
      <c r="C22" s="59"/>
      <c r="D22" s="550"/>
      <c r="E22" s="551"/>
      <c r="F22" s="552"/>
    </row>
    <row r="23" spans="1:6" ht="32.25" hidden="1" customHeight="1" thickTop="1">
      <c r="A23" s="39">
        <v>1</v>
      </c>
      <c r="B23" s="40"/>
      <c r="C23" s="41"/>
      <c r="D23" s="544"/>
      <c r="E23" s="545"/>
      <c r="F23" s="546"/>
    </row>
    <row r="24" spans="1:6" ht="32.25" hidden="1" customHeight="1" thickTop="1">
      <c r="A24" s="39"/>
      <c r="B24" s="50" t="s">
        <v>19</v>
      </c>
      <c r="C24" s="50"/>
      <c r="D24" s="547"/>
      <c r="E24" s="548"/>
      <c r="F24" s="549"/>
    </row>
    <row r="25" spans="1:6" ht="32.25" customHeight="1" thickTop="1">
      <c r="A25" s="39"/>
      <c r="B25" s="58" t="s">
        <v>41</v>
      </c>
      <c r="C25" s="59"/>
      <c r="D25" s="550"/>
      <c r="E25" s="551"/>
      <c r="F25" s="552"/>
    </row>
    <row r="26" spans="1:6" ht="32.25" customHeight="1">
      <c r="A26" s="106">
        <v>1</v>
      </c>
      <c r="B26" s="107" t="s">
        <v>404</v>
      </c>
      <c r="C26" s="107" t="s">
        <v>400</v>
      </c>
      <c r="D26" s="553" t="s">
        <v>811</v>
      </c>
      <c r="E26" s="554" t="s">
        <v>812</v>
      </c>
      <c r="F26" s="555">
        <v>321</v>
      </c>
    </row>
    <row r="27" spans="1:6" ht="32.25" customHeight="1">
      <c r="A27" s="106">
        <v>2</v>
      </c>
      <c r="B27" s="117" t="s">
        <v>484</v>
      </c>
      <c r="C27" s="107" t="s">
        <v>400</v>
      </c>
      <c r="D27" s="553" t="s">
        <v>813</v>
      </c>
      <c r="E27" s="554" t="s">
        <v>814</v>
      </c>
      <c r="F27" s="555">
        <v>321</v>
      </c>
    </row>
    <row r="28" spans="1:6" ht="32.25" customHeight="1">
      <c r="A28" s="106">
        <v>3</v>
      </c>
      <c r="B28" s="117" t="s">
        <v>626</v>
      </c>
      <c r="C28" s="107" t="s">
        <v>400</v>
      </c>
      <c r="D28" s="553" t="s">
        <v>815</v>
      </c>
      <c r="E28" s="554" t="s">
        <v>816</v>
      </c>
      <c r="F28" s="555">
        <v>642</v>
      </c>
    </row>
    <row r="29" spans="1:6" ht="32.25" customHeight="1">
      <c r="A29" s="106">
        <v>4</v>
      </c>
      <c r="B29" s="117" t="s">
        <v>526</v>
      </c>
      <c r="C29" s="107" t="s">
        <v>400</v>
      </c>
      <c r="D29" s="553" t="s">
        <v>817</v>
      </c>
      <c r="E29" s="554" t="s">
        <v>818</v>
      </c>
      <c r="F29" s="555">
        <v>642</v>
      </c>
    </row>
    <row r="30" spans="1:6" ht="32.25" customHeight="1">
      <c r="A30" s="106">
        <v>5</v>
      </c>
      <c r="B30" s="117" t="s">
        <v>717</v>
      </c>
      <c r="C30" s="107" t="s">
        <v>400</v>
      </c>
      <c r="D30" s="553" t="s">
        <v>817</v>
      </c>
      <c r="E30" s="554" t="s">
        <v>819</v>
      </c>
      <c r="F30" s="555">
        <v>642</v>
      </c>
    </row>
    <row r="31" spans="1:6" ht="32.25" customHeight="1">
      <c r="A31" s="106">
        <v>6</v>
      </c>
      <c r="B31" s="117" t="s">
        <v>730</v>
      </c>
      <c r="C31" s="107" t="s">
        <v>400</v>
      </c>
      <c r="D31" s="553" t="s">
        <v>817</v>
      </c>
      <c r="E31" s="554" t="s">
        <v>820</v>
      </c>
      <c r="F31" s="555">
        <v>642</v>
      </c>
    </row>
    <row r="32" spans="1:6" ht="32.25" customHeight="1">
      <c r="A32" s="106">
        <v>7</v>
      </c>
      <c r="B32" s="117" t="s">
        <v>722</v>
      </c>
      <c r="C32" s="107" t="s">
        <v>400</v>
      </c>
      <c r="D32" s="553" t="s">
        <v>817</v>
      </c>
      <c r="E32" s="554" t="s">
        <v>821</v>
      </c>
      <c r="F32" s="555">
        <v>642</v>
      </c>
    </row>
    <row r="33" spans="1:8" ht="32.25" customHeight="1">
      <c r="A33" s="106">
        <v>8</v>
      </c>
      <c r="B33" s="117" t="s">
        <v>485</v>
      </c>
      <c r="C33" s="107" t="s">
        <v>400</v>
      </c>
      <c r="D33" s="553" t="s">
        <v>804</v>
      </c>
      <c r="E33" s="554" t="s">
        <v>822</v>
      </c>
      <c r="F33" s="555">
        <v>642</v>
      </c>
    </row>
    <row r="34" spans="1:8" ht="32.25" customHeight="1">
      <c r="A34" s="106">
        <v>9</v>
      </c>
      <c r="B34" s="117" t="s">
        <v>639</v>
      </c>
      <c r="C34" s="107" t="s">
        <v>400</v>
      </c>
      <c r="D34" s="553" t="s">
        <v>804</v>
      </c>
      <c r="E34" s="554" t="s">
        <v>823</v>
      </c>
      <c r="F34" s="555">
        <v>642</v>
      </c>
    </row>
    <row r="35" spans="1:8" ht="32.25" customHeight="1">
      <c r="A35" s="116">
        <v>10</v>
      </c>
      <c r="B35" s="117" t="s">
        <v>726</v>
      </c>
      <c r="C35" s="107" t="s">
        <v>400</v>
      </c>
      <c r="D35" s="564" t="s">
        <v>804</v>
      </c>
      <c r="E35" s="565" t="s">
        <v>824</v>
      </c>
      <c r="F35" s="566">
        <v>642</v>
      </c>
    </row>
    <row r="36" spans="1:8" ht="32.25" customHeight="1">
      <c r="A36" s="116">
        <v>11</v>
      </c>
      <c r="B36" s="117" t="s">
        <v>703</v>
      </c>
      <c r="C36" s="107" t="s">
        <v>400</v>
      </c>
      <c r="D36" s="564" t="s">
        <v>804</v>
      </c>
      <c r="E36" s="565" t="s">
        <v>825</v>
      </c>
      <c r="F36" s="566">
        <v>642</v>
      </c>
    </row>
    <row r="37" spans="1:8" ht="32.25" customHeight="1">
      <c r="A37" s="116">
        <v>12</v>
      </c>
      <c r="B37" s="117" t="s">
        <v>649</v>
      </c>
      <c r="C37" s="107" t="s">
        <v>400</v>
      </c>
      <c r="D37" s="564" t="s">
        <v>804</v>
      </c>
      <c r="E37" s="565" t="s">
        <v>826</v>
      </c>
      <c r="F37" s="566">
        <v>642</v>
      </c>
    </row>
    <row r="38" spans="1:8" ht="32.25" customHeight="1">
      <c r="A38" s="116">
        <v>13</v>
      </c>
      <c r="B38" s="117" t="s">
        <v>827</v>
      </c>
      <c r="C38" s="107" t="s">
        <v>400</v>
      </c>
      <c r="D38" s="564" t="s">
        <v>828</v>
      </c>
      <c r="E38" s="565" t="s">
        <v>829</v>
      </c>
      <c r="F38" s="566">
        <v>642</v>
      </c>
    </row>
    <row r="39" spans="1:8" ht="32.25" customHeight="1" thickBot="1">
      <c r="A39" s="39"/>
      <c r="B39" s="50" t="s">
        <v>19</v>
      </c>
      <c r="C39" s="50"/>
      <c r="D39" s="548"/>
      <c r="E39" s="548"/>
      <c r="F39" s="549">
        <v>7704</v>
      </c>
      <c r="H39" s="406">
        <f>SUM(F26:F38)</f>
        <v>7704</v>
      </c>
    </row>
    <row r="40" spans="1:8" ht="32.25" customHeight="1" thickTop="1">
      <c r="A40" s="39"/>
      <c r="B40" s="141" t="s">
        <v>50</v>
      </c>
      <c r="C40" s="142"/>
      <c r="D40" s="541"/>
      <c r="E40" s="542"/>
      <c r="F40" s="543"/>
    </row>
    <row r="41" spans="1:8" s="160" customFormat="1" ht="32.25" customHeight="1">
      <c r="A41" s="106">
        <v>1</v>
      </c>
      <c r="B41" s="142" t="s">
        <v>52</v>
      </c>
      <c r="C41" s="150" t="s">
        <v>53</v>
      </c>
      <c r="D41" s="164" t="s">
        <v>830</v>
      </c>
      <c r="E41" s="165" t="s">
        <v>831</v>
      </c>
      <c r="F41" s="166">
        <v>4140</v>
      </c>
    </row>
    <row r="42" spans="1:8" s="160" customFormat="1" ht="32.25" customHeight="1">
      <c r="A42" s="106">
        <v>2</v>
      </c>
      <c r="B42" s="142" t="s">
        <v>60</v>
      </c>
      <c r="C42" s="150" t="s">
        <v>61</v>
      </c>
      <c r="D42" s="164" t="s">
        <v>832</v>
      </c>
      <c r="E42" s="165" t="s">
        <v>833</v>
      </c>
      <c r="F42" s="166">
        <v>2070</v>
      </c>
    </row>
    <row r="43" spans="1:8" s="160" customFormat="1" ht="32.25" customHeight="1">
      <c r="A43" s="106">
        <v>3</v>
      </c>
      <c r="B43" s="142" t="s">
        <v>27</v>
      </c>
      <c r="C43" s="150" t="s">
        <v>64</v>
      </c>
      <c r="D43" s="164" t="s">
        <v>832</v>
      </c>
      <c r="E43" s="165" t="s">
        <v>834</v>
      </c>
      <c r="F43" s="166">
        <v>2070</v>
      </c>
    </row>
    <row r="44" spans="1:8" s="160" customFormat="1" ht="32.25" customHeight="1">
      <c r="A44" s="106">
        <v>4</v>
      </c>
      <c r="B44" s="168" t="s">
        <v>42</v>
      </c>
      <c r="C44" s="150" t="s">
        <v>67</v>
      </c>
      <c r="D44" s="164" t="s">
        <v>813</v>
      </c>
      <c r="E44" s="165" t="s">
        <v>835</v>
      </c>
      <c r="F44" s="166">
        <v>2070</v>
      </c>
    </row>
    <row r="45" spans="1:8" s="160" customFormat="1" ht="32.25" customHeight="1">
      <c r="A45" s="106">
        <v>5</v>
      </c>
      <c r="B45" s="142" t="s">
        <v>69</v>
      </c>
      <c r="C45" s="150" t="s">
        <v>70</v>
      </c>
      <c r="D45" s="164" t="s">
        <v>836</v>
      </c>
      <c r="E45" s="165" t="s">
        <v>837</v>
      </c>
      <c r="F45" s="166">
        <v>2070</v>
      </c>
    </row>
    <row r="46" spans="1:8" s="160" customFormat="1" ht="32.25" customHeight="1">
      <c r="A46" s="106">
        <v>6</v>
      </c>
      <c r="B46" s="142" t="s">
        <v>77</v>
      </c>
      <c r="C46" s="150" t="s">
        <v>78</v>
      </c>
      <c r="D46" s="164" t="s">
        <v>813</v>
      </c>
      <c r="E46" s="172" t="s">
        <v>838</v>
      </c>
      <c r="F46" s="166">
        <v>2070</v>
      </c>
    </row>
    <row r="47" spans="1:8" s="160" customFormat="1" ht="32.25" customHeight="1">
      <c r="A47" s="106">
        <v>7</v>
      </c>
      <c r="B47" s="142" t="s">
        <v>77</v>
      </c>
      <c r="C47" s="150" t="s">
        <v>81</v>
      </c>
      <c r="D47" s="164" t="s">
        <v>813</v>
      </c>
      <c r="E47" s="172" t="s">
        <v>838</v>
      </c>
      <c r="F47" s="166">
        <v>2070</v>
      </c>
    </row>
    <row r="48" spans="1:8" s="160" customFormat="1" ht="32.25" customHeight="1">
      <c r="A48" s="106">
        <v>8</v>
      </c>
      <c r="B48" s="142" t="s">
        <v>83</v>
      </c>
      <c r="C48" s="150" t="s">
        <v>84</v>
      </c>
      <c r="D48" s="164" t="s">
        <v>832</v>
      </c>
      <c r="E48" s="165" t="s">
        <v>839</v>
      </c>
      <c r="F48" s="166">
        <v>2070</v>
      </c>
    </row>
    <row r="49" spans="1:8" s="160" customFormat="1" ht="32.25" customHeight="1">
      <c r="A49" s="106">
        <v>9</v>
      </c>
      <c r="B49" s="142" t="s">
        <v>87</v>
      </c>
      <c r="C49" s="150" t="s">
        <v>88</v>
      </c>
      <c r="D49" s="164" t="s">
        <v>836</v>
      </c>
      <c r="E49" s="172" t="s">
        <v>840</v>
      </c>
      <c r="F49" s="166">
        <v>2070</v>
      </c>
    </row>
    <row r="50" spans="1:8" s="160" customFormat="1" ht="32.25" customHeight="1">
      <c r="A50" s="106">
        <v>10</v>
      </c>
      <c r="B50" s="142" t="s">
        <v>99</v>
      </c>
      <c r="C50" s="174" t="s">
        <v>100</v>
      </c>
      <c r="D50" s="164" t="s">
        <v>832</v>
      </c>
      <c r="E50" s="172" t="s">
        <v>841</v>
      </c>
      <c r="F50" s="177">
        <v>37375</v>
      </c>
    </row>
    <row r="51" spans="1:8" s="160" customFormat="1" ht="32.25" customHeight="1">
      <c r="A51" s="106">
        <v>11</v>
      </c>
      <c r="B51" s="142" t="s">
        <v>103</v>
      </c>
      <c r="C51" s="174" t="s">
        <v>104</v>
      </c>
      <c r="D51" s="164" t="s">
        <v>804</v>
      </c>
      <c r="E51" s="172" t="s">
        <v>842</v>
      </c>
      <c r="F51" s="177">
        <v>15525</v>
      </c>
    </row>
    <row r="52" spans="1:8" s="160" customFormat="1" ht="32.25" customHeight="1">
      <c r="A52" s="106">
        <v>12</v>
      </c>
      <c r="B52" s="142" t="s">
        <v>107</v>
      </c>
      <c r="C52" s="174" t="s">
        <v>108</v>
      </c>
      <c r="D52" s="164" t="s">
        <v>830</v>
      </c>
      <c r="E52" s="165" t="s">
        <v>843</v>
      </c>
      <c r="F52" s="177">
        <v>14000</v>
      </c>
    </row>
    <row r="53" spans="1:8" s="160" customFormat="1" ht="32.25" customHeight="1">
      <c r="A53" s="106">
        <v>13</v>
      </c>
      <c r="B53" s="142" t="s">
        <v>111</v>
      </c>
      <c r="C53" s="142" t="s">
        <v>112</v>
      </c>
      <c r="D53" s="164" t="s">
        <v>830</v>
      </c>
      <c r="E53" s="165" t="s">
        <v>844</v>
      </c>
      <c r="F53" s="177">
        <v>7000</v>
      </c>
    </row>
    <row r="54" spans="1:8" s="160" customFormat="1" ht="32.25" customHeight="1">
      <c r="A54" s="106">
        <v>14</v>
      </c>
      <c r="B54" s="142" t="s">
        <v>30</v>
      </c>
      <c r="C54" s="174" t="s">
        <v>115</v>
      </c>
      <c r="D54" s="164" t="s">
        <v>806</v>
      </c>
      <c r="E54" s="165" t="s">
        <v>845</v>
      </c>
      <c r="F54" s="177">
        <v>3970</v>
      </c>
    </row>
    <row r="55" spans="1:8" s="160" customFormat="1" ht="32.25" customHeight="1">
      <c r="A55" s="106">
        <v>15</v>
      </c>
      <c r="B55" s="142" t="s">
        <v>23</v>
      </c>
      <c r="C55" s="174" t="s">
        <v>126</v>
      </c>
      <c r="D55" s="164" t="s">
        <v>832</v>
      </c>
      <c r="E55" s="165" t="s">
        <v>846</v>
      </c>
      <c r="F55" s="177">
        <v>4600</v>
      </c>
    </row>
    <row r="56" spans="1:8" ht="32.25" customHeight="1" thickBot="1">
      <c r="A56" s="39"/>
      <c r="B56" s="50" t="s">
        <v>19</v>
      </c>
      <c r="C56" s="50"/>
      <c r="D56" s="547"/>
      <c r="E56" s="548"/>
      <c r="F56" s="549">
        <v>103170</v>
      </c>
      <c r="H56" s="499">
        <f>SUM(F41:F55)</f>
        <v>103170</v>
      </c>
    </row>
    <row r="57" spans="1:8" ht="32.25" customHeight="1" thickTop="1">
      <c r="A57" s="39"/>
      <c r="B57" s="141" t="s">
        <v>167</v>
      </c>
      <c r="C57" s="142"/>
      <c r="D57" s="541"/>
      <c r="E57" s="542"/>
      <c r="F57" s="543"/>
    </row>
    <row r="58" spans="1:8" s="160" customFormat="1" ht="32.25" customHeight="1">
      <c r="A58" s="106">
        <v>1</v>
      </c>
      <c r="B58" s="142" t="s">
        <v>23</v>
      </c>
      <c r="C58" s="142" t="s">
        <v>168</v>
      </c>
      <c r="D58" s="592" t="s">
        <v>832</v>
      </c>
      <c r="E58" s="165" t="s">
        <v>847</v>
      </c>
      <c r="F58" s="166">
        <v>10925</v>
      </c>
    </row>
    <row r="59" spans="1:8" s="160" customFormat="1" ht="32.25" customHeight="1">
      <c r="A59" s="106">
        <v>2</v>
      </c>
      <c r="B59" s="142" t="s">
        <v>69</v>
      </c>
      <c r="C59" s="142" t="s">
        <v>170</v>
      </c>
      <c r="D59" s="592" t="s">
        <v>836</v>
      </c>
      <c r="E59" s="165" t="s">
        <v>848</v>
      </c>
      <c r="F59" s="166">
        <v>920</v>
      </c>
    </row>
    <row r="60" spans="1:8" s="160" customFormat="1" ht="32.25" customHeight="1">
      <c r="A60" s="106">
        <v>3</v>
      </c>
      <c r="B60" s="142" t="s">
        <v>27</v>
      </c>
      <c r="C60" s="142" t="s">
        <v>172</v>
      </c>
      <c r="D60" s="592" t="s">
        <v>832</v>
      </c>
      <c r="E60" s="165" t="s">
        <v>849</v>
      </c>
      <c r="F60" s="166">
        <v>1100</v>
      </c>
    </row>
    <row r="61" spans="1:8" s="160" customFormat="1" ht="32.25" customHeight="1">
      <c r="A61" s="106">
        <v>4</v>
      </c>
      <c r="B61" s="142" t="s">
        <v>77</v>
      </c>
      <c r="C61" s="142" t="s">
        <v>174</v>
      </c>
      <c r="D61" s="592" t="s">
        <v>813</v>
      </c>
      <c r="E61" s="165" t="s">
        <v>850</v>
      </c>
      <c r="F61" s="166">
        <v>920</v>
      </c>
    </row>
    <row r="62" spans="1:8" s="160" customFormat="1" ht="32.25" customHeight="1">
      <c r="A62" s="106">
        <v>5</v>
      </c>
      <c r="B62" s="142" t="s">
        <v>176</v>
      </c>
      <c r="C62" s="142" t="s">
        <v>177</v>
      </c>
      <c r="D62" s="592" t="s">
        <v>813</v>
      </c>
      <c r="E62" s="165" t="s">
        <v>851</v>
      </c>
      <c r="F62" s="166">
        <v>3300</v>
      </c>
    </row>
    <row r="63" spans="1:8" ht="32.25" customHeight="1" thickBot="1">
      <c r="A63" s="39"/>
      <c r="B63" s="50" t="s">
        <v>19</v>
      </c>
      <c r="C63" s="50"/>
      <c r="D63" s="547"/>
      <c r="E63" s="548"/>
      <c r="F63" s="549">
        <v>17165</v>
      </c>
      <c r="H63" s="499">
        <f>SUM(F58:F62)</f>
        <v>17165</v>
      </c>
    </row>
    <row r="64" spans="1:8" ht="32.25" hidden="1" customHeight="1" thickBot="1">
      <c r="A64" s="39"/>
      <c r="B64" s="58" t="s">
        <v>184</v>
      </c>
      <c r="C64" s="59"/>
      <c r="D64" s="550"/>
      <c r="E64" s="551"/>
      <c r="F64" s="552"/>
    </row>
    <row r="65" spans="1:8" ht="32.25" hidden="1" customHeight="1" thickTop="1">
      <c r="A65" s="39">
        <v>1</v>
      </c>
      <c r="B65" s="40"/>
      <c r="C65" s="41"/>
      <c r="D65" s="544"/>
      <c r="E65" s="545"/>
      <c r="F65" s="546"/>
    </row>
    <row r="66" spans="1:8" ht="32.25" hidden="1" customHeight="1" thickTop="1">
      <c r="A66" s="39"/>
      <c r="B66" s="50" t="s">
        <v>19</v>
      </c>
      <c r="C66" s="50"/>
      <c r="D66" s="547"/>
      <c r="E66" s="548"/>
      <c r="F66" s="549"/>
    </row>
    <row r="67" spans="1:8" ht="32.25" hidden="1" customHeight="1" thickTop="1">
      <c r="A67" s="39"/>
      <c r="B67" s="58" t="s">
        <v>185</v>
      </c>
      <c r="C67" s="59"/>
      <c r="D67" s="550"/>
      <c r="E67" s="551"/>
      <c r="F67" s="552"/>
    </row>
    <row r="68" spans="1:8" ht="32.25" hidden="1" customHeight="1" thickTop="1">
      <c r="A68" s="39">
        <v>1</v>
      </c>
      <c r="B68" s="40"/>
      <c r="C68" s="41"/>
      <c r="D68" s="595"/>
      <c r="E68" s="596"/>
      <c r="F68" s="597"/>
    </row>
    <row r="69" spans="1:8" ht="32.25" hidden="1" customHeight="1" thickTop="1">
      <c r="A69" s="39"/>
      <c r="B69" s="50" t="s">
        <v>19</v>
      </c>
      <c r="C69" s="50"/>
      <c r="D69" s="547"/>
      <c r="E69" s="548"/>
      <c r="F69" s="549"/>
    </row>
    <row r="70" spans="1:8" ht="32.25" customHeight="1" thickTop="1">
      <c r="A70" s="39"/>
      <c r="B70" s="58" t="s">
        <v>186</v>
      </c>
      <c r="C70" s="59"/>
      <c r="D70" s="550"/>
      <c r="E70" s="551"/>
      <c r="F70" s="552"/>
    </row>
    <row r="71" spans="1:8" s="160" customFormat="1" ht="32.25" customHeight="1">
      <c r="A71" s="116">
        <v>1</v>
      </c>
      <c r="B71" s="41" t="s">
        <v>23</v>
      </c>
      <c r="C71" s="41" t="s">
        <v>187</v>
      </c>
      <c r="D71" s="529" t="s">
        <v>832</v>
      </c>
      <c r="E71" s="530" t="s">
        <v>814</v>
      </c>
      <c r="F71" s="531">
        <v>2140</v>
      </c>
    </row>
    <row r="72" spans="1:8" s="160" customFormat="1" ht="32.25" customHeight="1">
      <c r="A72" s="116">
        <v>2</v>
      </c>
      <c r="B72" s="142" t="s">
        <v>23</v>
      </c>
      <c r="C72" s="142" t="s">
        <v>189</v>
      </c>
      <c r="D72" s="532" t="s">
        <v>852</v>
      </c>
      <c r="E72" s="533" t="s">
        <v>853</v>
      </c>
      <c r="F72" s="531">
        <v>26182.9</v>
      </c>
    </row>
    <row r="73" spans="1:8" s="160" customFormat="1" ht="32.25" customHeight="1">
      <c r="A73" s="116">
        <v>3</v>
      </c>
      <c r="B73" s="142" t="s">
        <v>192</v>
      </c>
      <c r="C73" s="142" t="s">
        <v>193</v>
      </c>
      <c r="D73" s="529" t="s">
        <v>806</v>
      </c>
      <c r="E73" s="530" t="s">
        <v>854</v>
      </c>
      <c r="F73" s="531">
        <v>1091.4000000000001</v>
      </c>
    </row>
    <row r="74" spans="1:8" ht="32.25" customHeight="1">
      <c r="A74" s="116">
        <v>4</v>
      </c>
      <c r="B74" s="142" t="s">
        <v>403</v>
      </c>
      <c r="C74" s="142" t="s">
        <v>193</v>
      </c>
      <c r="D74" s="598" t="s">
        <v>856</v>
      </c>
      <c r="E74" s="599" t="s">
        <v>857</v>
      </c>
      <c r="F74" s="600">
        <v>4333.5</v>
      </c>
    </row>
    <row r="75" spans="1:8" ht="32.25" customHeight="1" thickBot="1">
      <c r="A75" s="39"/>
      <c r="B75" s="50" t="s">
        <v>19</v>
      </c>
      <c r="C75" s="50"/>
      <c r="D75" s="547"/>
      <c r="E75" s="548"/>
      <c r="F75" s="549">
        <v>33747.800000000003</v>
      </c>
      <c r="H75" s="406">
        <f>SUM(F71:F74)</f>
        <v>33747.800000000003</v>
      </c>
    </row>
    <row r="76" spans="1:8" ht="32.25" customHeight="1" thickTop="1">
      <c r="A76" s="39"/>
      <c r="B76" s="141" t="s">
        <v>210</v>
      </c>
      <c r="C76" s="142"/>
      <c r="D76" s="541"/>
      <c r="E76" s="542"/>
      <c r="F76" s="543"/>
    </row>
    <row r="77" spans="1:8" s="160" customFormat="1" ht="32.25" customHeight="1">
      <c r="A77" s="106">
        <v>1</v>
      </c>
      <c r="B77" s="142" t="s">
        <v>52</v>
      </c>
      <c r="C77" s="174" t="s">
        <v>211</v>
      </c>
      <c r="D77" s="164" t="s">
        <v>830</v>
      </c>
      <c r="E77" s="165" t="s">
        <v>858</v>
      </c>
      <c r="F77" s="166">
        <v>518</v>
      </c>
    </row>
    <row r="78" spans="1:8" s="160" customFormat="1" ht="32.25" customHeight="1">
      <c r="A78" s="106">
        <v>2</v>
      </c>
      <c r="B78" s="142" t="s">
        <v>60</v>
      </c>
      <c r="C78" s="174" t="s">
        <v>215</v>
      </c>
      <c r="D78" s="164" t="s">
        <v>832</v>
      </c>
      <c r="E78" s="165" t="s">
        <v>859</v>
      </c>
      <c r="F78" s="166">
        <v>259</v>
      </c>
    </row>
    <row r="79" spans="1:8" s="160" customFormat="1" ht="32.25" customHeight="1">
      <c r="A79" s="106">
        <v>3</v>
      </c>
      <c r="B79" s="142" t="s">
        <v>27</v>
      </c>
      <c r="C79" s="174" t="s">
        <v>217</v>
      </c>
      <c r="D79" s="164" t="s">
        <v>832</v>
      </c>
      <c r="E79" s="165" t="s">
        <v>860</v>
      </c>
      <c r="F79" s="166">
        <v>259</v>
      </c>
    </row>
    <row r="80" spans="1:8" s="160" customFormat="1" ht="32.25" customHeight="1">
      <c r="A80" s="106">
        <v>4</v>
      </c>
      <c r="B80" s="168" t="s">
        <v>42</v>
      </c>
      <c r="C80" s="174" t="s">
        <v>219</v>
      </c>
      <c r="D80" s="164" t="s">
        <v>813</v>
      </c>
      <c r="E80" s="165" t="s">
        <v>861</v>
      </c>
      <c r="F80" s="166">
        <v>259</v>
      </c>
    </row>
    <row r="81" spans="1:8" s="160" customFormat="1" ht="32.25" customHeight="1">
      <c r="A81" s="106">
        <v>5</v>
      </c>
      <c r="B81" s="142" t="s">
        <v>69</v>
      </c>
      <c r="C81" s="174" t="s">
        <v>221</v>
      </c>
      <c r="D81" s="164" t="s">
        <v>836</v>
      </c>
      <c r="E81" s="165" t="s">
        <v>862</v>
      </c>
      <c r="F81" s="166">
        <v>259</v>
      </c>
    </row>
    <row r="82" spans="1:8" s="160" customFormat="1" ht="32.25" customHeight="1">
      <c r="A82" s="106">
        <v>6</v>
      </c>
      <c r="B82" s="142" t="s">
        <v>77</v>
      </c>
      <c r="C82" s="174" t="s">
        <v>224</v>
      </c>
      <c r="D82" s="164" t="s">
        <v>813</v>
      </c>
      <c r="E82" s="165" t="s">
        <v>863</v>
      </c>
      <c r="F82" s="166">
        <v>259</v>
      </c>
    </row>
    <row r="83" spans="1:8" s="160" customFormat="1" ht="32.25" customHeight="1">
      <c r="A83" s="106">
        <v>7</v>
      </c>
      <c r="B83" s="142" t="s">
        <v>77</v>
      </c>
      <c r="C83" s="174" t="s">
        <v>226</v>
      </c>
      <c r="D83" s="164" t="s">
        <v>813</v>
      </c>
      <c r="E83" s="165" t="s">
        <v>863</v>
      </c>
      <c r="F83" s="166">
        <v>259</v>
      </c>
    </row>
    <row r="84" spans="1:8" s="160" customFormat="1" ht="32.25" customHeight="1">
      <c r="A84" s="106">
        <v>8</v>
      </c>
      <c r="B84" s="142" t="s">
        <v>83</v>
      </c>
      <c r="C84" s="174" t="s">
        <v>228</v>
      </c>
      <c r="D84" s="164" t="s">
        <v>832</v>
      </c>
      <c r="E84" s="165" t="s">
        <v>864</v>
      </c>
      <c r="F84" s="166">
        <v>259</v>
      </c>
    </row>
    <row r="85" spans="1:8" s="160" customFormat="1" ht="32.25" customHeight="1">
      <c r="A85" s="106">
        <v>9</v>
      </c>
      <c r="B85" s="142" t="s">
        <v>87</v>
      </c>
      <c r="C85" s="174" t="s">
        <v>230</v>
      </c>
      <c r="D85" s="164" t="s">
        <v>836</v>
      </c>
      <c r="E85" s="165" t="s">
        <v>865</v>
      </c>
      <c r="F85" s="166">
        <v>259</v>
      </c>
    </row>
    <row r="86" spans="1:8" s="160" customFormat="1" ht="32.25" customHeight="1">
      <c r="A86" s="106">
        <v>10</v>
      </c>
      <c r="B86" s="142" t="s">
        <v>99</v>
      </c>
      <c r="C86" s="174" t="s">
        <v>238</v>
      </c>
      <c r="D86" s="164" t="s">
        <v>832</v>
      </c>
      <c r="E86" s="165" t="s">
        <v>866</v>
      </c>
      <c r="F86" s="166">
        <v>6750</v>
      </c>
    </row>
    <row r="87" spans="1:8" ht="32.25" customHeight="1" thickBot="1">
      <c r="A87" s="39"/>
      <c r="B87" s="50" t="s">
        <v>19</v>
      </c>
      <c r="C87" s="50"/>
      <c r="D87" s="547"/>
      <c r="E87" s="548"/>
      <c r="F87" s="549">
        <v>9340</v>
      </c>
      <c r="H87" s="499">
        <f>SUM(F77:F86)</f>
        <v>9340</v>
      </c>
    </row>
    <row r="88" spans="1:8" ht="32.25" customHeight="1" thickTop="1" thickBot="1">
      <c r="A88" s="396"/>
      <c r="B88" s="397" t="s">
        <v>309</v>
      </c>
      <c r="C88" s="398"/>
      <c r="D88" s="617">
        <v>0</v>
      </c>
      <c r="E88" s="617">
        <v>0</v>
      </c>
      <c r="F88" s="617">
        <v>174657.93</v>
      </c>
      <c r="H88" s="622">
        <f>SUM(H11:H87)</f>
        <v>174657.93</v>
      </c>
    </row>
    <row r="89" spans="1:8" ht="25.2" thickTop="1">
      <c r="D89" s="618"/>
      <c r="E89" s="618"/>
      <c r="F89" s="422"/>
    </row>
    <row r="90" spans="1:8">
      <c r="D90" s="618"/>
      <c r="E90" s="618"/>
      <c r="F90" s="422"/>
    </row>
    <row r="91" spans="1:8">
      <c r="D91" s="618"/>
      <c r="E91" s="618"/>
      <c r="F91" s="422"/>
    </row>
    <row r="92" spans="1:8">
      <c r="D92" s="618"/>
      <c r="E92" s="618"/>
      <c r="F92" s="422"/>
    </row>
    <row r="93" spans="1:8">
      <c r="D93" s="618"/>
      <c r="E93" s="618"/>
      <c r="F93" s="422"/>
    </row>
    <row r="94" spans="1:8" s="406" customFormat="1" ht="32.25" customHeight="1">
      <c r="A94" s="2"/>
      <c r="B94" s="643"/>
      <c r="C94" s="642"/>
      <c r="D94" s="619"/>
      <c r="E94" s="620"/>
      <c r="F94" s="417"/>
    </row>
    <row r="95" spans="1:8" s="406" customFormat="1" ht="32.25" customHeight="1">
      <c r="A95" s="2"/>
      <c r="B95" s="413"/>
      <c r="C95" s="415"/>
      <c r="D95" s="2"/>
      <c r="E95" s="620"/>
      <c r="F95" s="416"/>
    </row>
    <row r="96" spans="1:8" s="406" customFormat="1" ht="32.25" customHeight="1">
      <c r="A96" s="2"/>
      <c r="B96" s="413"/>
      <c r="C96" s="409"/>
      <c r="D96" s="619"/>
      <c r="E96" s="641"/>
      <c r="F96" s="642"/>
    </row>
  </sheetData>
  <mergeCells count="8">
    <mergeCell ref="E96:F96"/>
    <mergeCell ref="B94:C94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scale="4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9D47-73F2-43A4-B922-92C4D0149AD6}">
  <sheetPr>
    <tabColor rgb="FF92D050"/>
  </sheetPr>
  <dimension ref="A1:I48"/>
  <sheetViews>
    <sheetView zoomScale="60" zoomScaleNormal="60" workbookViewId="0">
      <pane ySplit="6" topLeftCell="A11" activePane="bottomLeft" state="frozen"/>
      <selection pane="bottomLeft" activeCell="G37" sqref="G37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31.44140625" style="439" customWidth="1"/>
    <col min="5" max="5" width="20.5546875" style="404" customWidth="1"/>
    <col min="6" max="6" width="8.109375" style="405" customWidth="1"/>
    <col min="7" max="7" width="20" style="2" customWidth="1"/>
    <col min="8" max="16384" width="12.5546875" style="2"/>
  </cols>
  <sheetData>
    <row r="1" spans="1:9" ht="22.5" customHeight="1">
      <c r="A1" s="643" t="s">
        <v>0</v>
      </c>
      <c r="B1" s="642"/>
      <c r="C1" s="642"/>
      <c r="D1" s="642"/>
      <c r="E1" s="642"/>
      <c r="F1" s="642"/>
      <c r="G1" s="642"/>
    </row>
    <row r="2" spans="1:9" ht="27" customHeight="1">
      <c r="A2" s="643" t="s">
        <v>1</v>
      </c>
      <c r="B2" s="642"/>
      <c r="C2" s="642"/>
      <c r="D2" s="642"/>
      <c r="E2" s="642"/>
      <c r="F2" s="642"/>
      <c r="G2" s="642"/>
    </row>
    <row r="3" spans="1:9" ht="22.5" customHeight="1">
      <c r="A3" s="644" t="s">
        <v>803</v>
      </c>
      <c r="B3" s="645"/>
      <c r="C3" s="645"/>
      <c r="D3" s="645"/>
      <c r="E3" s="645"/>
      <c r="F3" s="645"/>
      <c r="G3" s="645"/>
    </row>
    <row r="4" spans="1:9" ht="34.5" customHeight="1">
      <c r="A4" s="3" t="s">
        <v>3</v>
      </c>
      <c r="B4" s="646" t="s">
        <v>4</v>
      </c>
      <c r="C4" s="646" t="s">
        <v>5</v>
      </c>
      <c r="D4" s="426"/>
      <c r="E4" s="658" t="s">
        <v>9</v>
      </c>
      <c r="F4" s="656"/>
      <c r="G4" s="657"/>
    </row>
    <row r="5" spans="1:9" ht="24.75" customHeight="1">
      <c r="A5" s="5"/>
      <c r="B5" s="647"/>
      <c r="C5" s="647"/>
      <c r="D5" s="427" t="s">
        <v>392</v>
      </c>
      <c r="E5" s="3" t="s">
        <v>10</v>
      </c>
      <c r="F5" s="12" t="s">
        <v>11</v>
      </c>
      <c r="G5" s="419"/>
    </row>
    <row r="6" spans="1:9" ht="27.75" customHeight="1">
      <c r="A6" s="14"/>
      <c r="B6" s="648"/>
      <c r="C6" s="648"/>
      <c r="D6" s="428"/>
      <c r="E6" s="14"/>
      <c r="F6" s="24"/>
      <c r="G6" s="20" t="s">
        <v>19</v>
      </c>
    </row>
    <row r="7" spans="1:9" ht="32.25" customHeight="1">
      <c r="A7" s="39"/>
      <c r="B7" s="141" t="s">
        <v>50</v>
      </c>
      <c r="C7" s="142"/>
      <c r="D7" s="429"/>
      <c r="E7" s="114"/>
      <c r="F7" s="115"/>
      <c r="G7" s="145"/>
    </row>
    <row r="8" spans="1:9" s="160" customFormat="1" ht="32.25" customHeight="1">
      <c r="A8" s="106">
        <v>1</v>
      </c>
      <c r="B8" s="142" t="s">
        <v>52</v>
      </c>
      <c r="C8" s="150" t="s">
        <v>53</v>
      </c>
      <c r="D8" s="430">
        <v>2070</v>
      </c>
      <c r="E8" s="157"/>
      <c r="F8" s="158"/>
      <c r="G8" s="159"/>
    </row>
    <row r="9" spans="1:9" ht="32.25" customHeight="1" thickBot="1">
      <c r="A9" s="39"/>
      <c r="B9" s="50" t="s">
        <v>19</v>
      </c>
      <c r="C9" s="50"/>
      <c r="D9" s="432"/>
      <c r="E9" s="57"/>
      <c r="F9" s="53"/>
      <c r="G9" s="51">
        <v>0</v>
      </c>
    </row>
    <row r="10" spans="1:9" ht="32.25" customHeight="1" thickTop="1">
      <c r="A10" s="39"/>
      <c r="B10" s="141" t="s">
        <v>129</v>
      </c>
      <c r="C10" s="142"/>
      <c r="D10" s="429"/>
      <c r="E10" s="114"/>
      <c r="F10" s="115"/>
      <c r="G10" s="38"/>
    </row>
    <row r="11" spans="1:9" ht="30" customHeight="1">
      <c r="A11" s="106">
        <v>1</v>
      </c>
      <c r="B11" s="142" t="s">
        <v>130</v>
      </c>
      <c r="C11" s="193" t="s">
        <v>131</v>
      </c>
      <c r="D11" s="433">
        <v>805</v>
      </c>
      <c r="E11" s="202"/>
      <c r="F11" s="203"/>
      <c r="G11" s="207"/>
    </row>
    <row r="12" spans="1:9" ht="32.25" customHeight="1">
      <c r="A12" s="106">
        <v>2</v>
      </c>
      <c r="B12" s="142" t="s">
        <v>141</v>
      </c>
      <c r="C12" s="193" t="s">
        <v>142</v>
      </c>
      <c r="D12" s="433">
        <v>5622.46</v>
      </c>
      <c r="E12" s="214"/>
      <c r="F12" s="212"/>
      <c r="G12" s="207"/>
    </row>
    <row r="13" spans="1:9" ht="32.25" customHeight="1">
      <c r="A13" s="106">
        <v>3</v>
      </c>
      <c r="B13" s="142" t="s">
        <v>145</v>
      </c>
      <c r="C13" s="193" t="s">
        <v>146</v>
      </c>
      <c r="D13" s="433">
        <v>2414.98</v>
      </c>
      <c r="E13" s="220"/>
      <c r="F13" s="115"/>
      <c r="G13" s="207"/>
    </row>
    <row r="14" spans="1:9" s="230" customFormat="1" ht="32.25" customHeight="1">
      <c r="A14" s="106">
        <v>4</v>
      </c>
      <c r="B14" s="222" t="s">
        <v>149</v>
      </c>
      <c r="C14" s="222" t="s">
        <v>150</v>
      </c>
      <c r="D14" s="469">
        <v>1212.31</v>
      </c>
      <c r="E14" s="227"/>
      <c r="F14" s="228"/>
      <c r="G14" s="207"/>
    </row>
    <row r="15" spans="1:9" s="237" customFormat="1" ht="32.25" customHeight="1">
      <c r="A15" s="106">
        <v>5</v>
      </c>
      <c r="B15" s="222" t="s">
        <v>152</v>
      </c>
      <c r="C15" s="193" t="s">
        <v>153</v>
      </c>
      <c r="D15" s="433">
        <v>670.76</v>
      </c>
      <c r="E15" s="227"/>
      <c r="F15" s="228"/>
      <c r="G15" s="207"/>
      <c r="H15" s="2"/>
      <c r="I15" s="2"/>
    </row>
    <row r="16" spans="1:9" s="259" customFormat="1" ht="32.25" customHeight="1">
      <c r="A16" s="241">
        <v>6</v>
      </c>
      <c r="B16" s="242" t="s">
        <v>52</v>
      </c>
      <c r="C16" s="243" t="s">
        <v>155</v>
      </c>
      <c r="D16" s="470">
        <v>649.96</v>
      </c>
      <c r="E16" s="254"/>
      <c r="F16" s="255"/>
      <c r="G16" s="207"/>
    </row>
    <row r="17" spans="1:7" ht="41.25" customHeight="1">
      <c r="A17" s="106">
        <v>7</v>
      </c>
      <c r="B17" s="142" t="s">
        <v>158</v>
      </c>
      <c r="C17" s="142" t="s">
        <v>159</v>
      </c>
      <c r="D17" s="429">
        <v>383.3</v>
      </c>
      <c r="E17" s="214"/>
      <c r="F17" s="212"/>
      <c r="G17" s="207"/>
    </row>
    <row r="18" spans="1:7" ht="32.25" customHeight="1" thickBot="1">
      <c r="A18" s="39"/>
      <c r="B18" s="50" t="s">
        <v>19</v>
      </c>
      <c r="C18" s="50"/>
      <c r="D18" s="432"/>
      <c r="E18" s="51"/>
      <c r="F18" s="51">
        <v>0</v>
      </c>
      <c r="G18" s="51">
        <v>0</v>
      </c>
    </row>
    <row r="19" spans="1:7" ht="32.25" customHeight="1" thickTop="1">
      <c r="A19" s="39"/>
      <c r="B19" s="141" t="s">
        <v>167</v>
      </c>
      <c r="C19" s="142"/>
      <c r="D19" s="429"/>
      <c r="E19" s="114"/>
      <c r="F19" s="115"/>
      <c r="G19" s="145"/>
    </row>
    <row r="20" spans="1:7" s="160" customFormat="1" ht="32.25" customHeight="1">
      <c r="A20" s="106">
        <v>1</v>
      </c>
      <c r="B20" s="142" t="s">
        <v>176</v>
      </c>
      <c r="C20" s="142" t="s">
        <v>177</v>
      </c>
      <c r="D20" s="429">
        <v>1000</v>
      </c>
      <c r="E20" s="279"/>
      <c r="F20" s="280"/>
      <c r="G20" s="77"/>
    </row>
    <row r="21" spans="1:7" ht="32.25" customHeight="1" thickBot="1">
      <c r="A21" s="39"/>
      <c r="B21" s="50" t="s">
        <v>19</v>
      </c>
      <c r="C21" s="50"/>
      <c r="D21" s="432"/>
      <c r="E21" s="57"/>
      <c r="F21" s="53"/>
      <c r="G21" s="521">
        <v>0</v>
      </c>
    </row>
    <row r="22" spans="1:7" ht="32.25" hidden="1" customHeight="1" thickBot="1">
      <c r="A22" s="39"/>
      <c r="B22" s="58" t="s">
        <v>184</v>
      </c>
      <c r="C22" s="59"/>
      <c r="D22" s="434"/>
      <c r="E22" s="68"/>
      <c r="F22" s="62"/>
      <c r="G22" s="518">
        <v>0</v>
      </c>
    </row>
    <row r="23" spans="1:7" ht="32.25" hidden="1" customHeight="1" thickTop="1">
      <c r="A23" s="39">
        <v>1</v>
      </c>
      <c r="B23" s="40"/>
      <c r="C23" s="41"/>
      <c r="D23" s="471"/>
      <c r="E23" s="5"/>
      <c r="F23" s="43"/>
      <c r="G23" s="77">
        <v>0</v>
      </c>
    </row>
    <row r="24" spans="1:7" ht="32.25" hidden="1" customHeight="1" thickTop="1">
      <c r="A24" s="39"/>
      <c r="B24" s="50" t="s">
        <v>19</v>
      </c>
      <c r="C24" s="50"/>
      <c r="D24" s="432"/>
      <c r="E24" s="57"/>
      <c r="F24" s="53"/>
      <c r="G24" s="77">
        <v>0</v>
      </c>
    </row>
    <row r="25" spans="1:7" ht="32.25" hidden="1" customHeight="1" thickTop="1">
      <c r="A25" s="39"/>
      <c r="B25" s="58" t="s">
        <v>185</v>
      </c>
      <c r="C25" s="59"/>
      <c r="D25" s="434"/>
      <c r="E25" s="68"/>
      <c r="F25" s="62"/>
      <c r="G25" s="77">
        <v>0</v>
      </c>
    </row>
    <row r="26" spans="1:7" ht="32.25" hidden="1" customHeight="1" thickTop="1">
      <c r="A26" s="39">
        <v>1</v>
      </c>
      <c r="B26" s="40"/>
      <c r="C26" s="41"/>
      <c r="D26" s="471"/>
      <c r="E26" s="5"/>
      <c r="F26" s="43"/>
      <c r="G26" s="77">
        <v>0</v>
      </c>
    </row>
    <row r="27" spans="1:7" ht="32.25" hidden="1" customHeight="1" thickTop="1">
      <c r="A27" s="39"/>
      <c r="B27" s="50" t="s">
        <v>19</v>
      </c>
      <c r="C27" s="50"/>
      <c r="D27" s="432"/>
      <c r="E27" s="57"/>
      <c r="F27" s="53"/>
      <c r="G27" s="77">
        <v>0</v>
      </c>
    </row>
    <row r="28" spans="1:7" ht="32.25" customHeight="1" thickTop="1">
      <c r="A28" s="39"/>
      <c r="B28" s="58" t="s">
        <v>186</v>
      </c>
      <c r="C28" s="59"/>
      <c r="D28" s="434"/>
      <c r="E28" s="68"/>
      <c r="F28" s="62"/>
      <c r="G28" s="77">
        <v>0</v>
      </c>
    </row>
    <row r="29" spans="1:7" ht="32.25" customHeight="1">
      <c r="A29" s="106">
        <v>1</v>
      </c>
      <c r="B29" s="300" t="s">
        <v>195</v>
      </c>
      <c r="C29" s="300" t="s">
        <v>193</v>
      </c>
      <c r="D29" s="435"/>
      <c r="E29" s="302" t="s">
        <v>855</v>
      </c>
      <c r="F29" s="303">
        <v>2</v>
      </c>
      <c r="G29" s="77">
        <v>9330.4000000000015</v>
      </c>
    </row>
    <row r="30" spans="1:7" ht="32.25" customHeight="1" thickBot="1">
      <c r="A30" s="39"/>
      <c r="B30" s="50" t="s">
        <v>19</v>
      </c>
      <c r="C30" s="50"/>
      <c r="D30" s="432"/>
      <c r="E30" s="57"/>
      <c r="F30" s="53"/>
      <c r="G30" s="51">
        <v>9330.4000000000015</v>
      </c>
    </row>
    <row r="31" spans="1:7" ht="32.25" customHeight="1" thickTop="1">
      <c r="A31" s="39"/>
      <c r="B31" s="141" t="s">
        <v>210</v>
      </c>
      <c r="C31" s="142"/>
      <c r="D31" s="429"/>
      <c r="E31" s="114"/>
      <c r="F31" s="115"/>
      <c r="G31" s="145"/>
    </row>
    <row r="32" spans="1:7" s="160" customFormat="1" ht="32.25" customHeight="1">
      <c r="A32" s="106">
        <v>1</v>
      </c>
      <c r="B32" s="142" t="s">
        <v>52</v>
      </c>
      <c r="C32" s="174" t="s">
        <v>211</v>
      </c>
      <c r="D32" s="431">
        <v>259</v>
      </c>
      <c r="E32" s="347"/>
      <c r="F32" s="348"/>
      <c r="G32" s="159"/>
    </row>
    <row r="33" spans="1:7" s="160" customFormat="1" ht="32.25" customHeight="1">
      <c r="A33" s="106">
        <v>2</v>
      </c>
      <c r="B33" s="142" t="s">
        <v>141</v>
      </c>
      <c r="C33" s="193" t="s">
        <v>240</v>
      </c>
      <c r="D33" s="433">
        <v>687</v>
      </c>
      <c r="E33" s="374"/>
      <c r="F33" s="362"/>
      <c r="G33" s="159"/>
    </row>
    <row r="34" spans="1:7" ht="32.25" customHeight="1">
      <c r="A34" s="106">
        <v>3</v>
      </c>
      <c r="B34" s="222" t="s">
        <v>52</v>
      </c>
      <c r="C34" s="193" t="s">
        <v>243</v>
      </c>
      <c r="D34" s="433">
        <v>94.02</v>
      </c>
      <c r="E34" s="368"/>
      <c r="F34" s="362"/>
      <c r="G34" s="159"/>
    </row>
    <row r="35" spans="1:7" ht="32.25" customHeight="1">
      <c r="A35" s="106">
        <v>4</v>
      </c>
      <c r="B35" s="222" t="s">
        <v>152</v>
      </c>
      <c r="C35" s="193" t="s">
        <v>246</v>
      </c>
      <c r="D35" s="433">
        <v>70.38</v>
      </c>
      <c r="E35" s="374"/>
      <c r="F35" s="362"/>
      <c r="G35" s="159"/>
    </row>
    <row r="36" spans="1:7" ht="32.25" customHeight="1">
      <c r="A36" s="106">
        <v>5</v>
      </c>
      <c r="B36" s="222" t="s">
        <v>130</v>
      </c>
      <c r="C36" s="193" t="s">
        <v>250</v>
      </c>
      <c r="D36" s="436">
        <v>103.36</v>
      </c>
      <c r="E36" s="2"/>
      <c r="F36" s="362"/>
      <c r="G36" s="159"/>
    </row>
    <row r="37" spans="1:7" ht="32.25" customHeight="1">
      <c r="A37" s="106">
        <v>6</v>
      </c>
      <c r="B37" s="142" t="s">
        <v>145</v>
      </c>
      <c r="C37" s="193" t="s">
        <v>258</v>
      </c>
      <c r="D37" s="433">
        <v>303.75</v>
      </c>
      <c r="E37" s="361"/>
      <c r="F37" s="362"/>
      <c r="G37" s="159"/>
    </row>
    <row r="38" spans="1:7" ht="32.25" customHeight="1">
      <c r="A38" s="106">
        <v>7</v>
      </c>
      <c r="B38" s="142" t="s">
        <v>158</v>
      </c>
      <c r="C38" s="390" t="s">
        <v>261</v>
      </c>
      <c r="D38" s="437">
        <v>48.3</v>
      </c>
      <c r="E38" s="361"/>
      <c r="F38" s="362"/>
      <c r="G38" s="159"/>
    </row>
    <row r="39" spans="1:7" ht="32.25" customHeight="1" thickBot="1">
      <c r="A39" s="39"/>
      <c r="B39" s="50" t="s">
        <v>19</v>
      </c>
      <c r="C39" s="50"/>
      <c r="D39" s="432"/>
      <c r="E39" s="57"/>
      <c r="F39" s="53"/>
      <c r="G39" s="51">
        <v>0</v>
      </c>
    </row>
    <row r="40" spans="1:7" ht="32.25" customHeight="1" thickTop="1" thickBot="1">
      <c r="A40" s="396"/>
      <c r="B40" s="397" t="s">
        <v>309</v>
      </c>
      <c r="C40" s="398"/>
      <c r="D40" s="438"/>
      <c r="E40" s="399">
        <v>0</v>
      </c>
      <c r="F40" s="399">
        <v>0</v>
      </c>
      <c r="G40" s="399">
        <v>9330.4000000000015</v>
      </c>
    </row>
    <row r="41" spans="1:7" ht="17.399999999999999" thickTop="1"/>
    <row r="46" spans="1:7" s="406" customFormat="1" ht="32.25" customHeight="1">
      <c r="A46" s="2"/>
      <c r="B46" s="643"/>
      <c r="C46" s="642"/>
      <c r="D46" s="439"/>
      <c r="E46" s="642"/>
      <c r="F46" s="642"/>
      <c r="G46" s="2"/>
    </row>
    <row r="47" spans="1:7" s="406" customFormat="1" ht="32.25" customHeight="1">
      <c r="A47" s="2"/>
      <c r="B47" s="413"/>
      <c r="C47" s="415"/>
      <c r="D47" s="440"/>
      <c r="E47" s="642"/>
      <c r="F47" s="642"/>
      <c r="G47" s="2"/>
    </row>
    <row r="48" spans="1:7" s="406" customFormat="1" ht="32.25" customHeight="1">
      <c r="A48" s="2"/>
      <c r="B48" s="413"/>
      <c r="C48" s="409"/>
      <c r="D48" s="441"/>
      <c r="E48" s="642"/>
      <c r="F48" s="642"/>
      <c r="G48" s="2"/>
    </row>
  </sheetData>
  <mergeCells count="10">
    <mergeCell ref="E48:F48"/>
    <mergeCell ref="B46:C46"/>
    <mergeCell ref="E46:F46"/>
    <mergeCell ref="E47:F47"/>
    <mergeCell ref="A1:G1"/>
    <mergeCell ref="A2:G2"/>
    <mergeCell ref="A3:G3"/>
    <mergeCell ref="B4:B6"/>
    <mergeCell ref="C4:C6"/>
    <mergeCell ref="E4:G4"/>
  </mergeCells>
  <pageMargins left="0.7" right="0.7" top="0.75" bottom="0.75" header="0.3" footer="0.3"/>
  <pageSetup paperSize="9" scale="4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DE0B-B2BC-4AFB-BE16-C78745341D90}">
  <sheetPr>
    <tabColor rgb="FF92D050"/>
  </sheetPr>
  <dimension ref="A1:F17"/>
  <sheetViews>
    <sheetView zoomScale="60" zoomScaleNormal="60" workbookViewId="0">
      <pane ySplit="6" topLeftCell="A7" activePane="bottomLeft" state="frozen"/>
      <selection pane="bottomLeft" activeCell="M32" sqref="M32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20.5546875" style="404" customWidth="1"/>
    <col min="5" max="5" width="8.109375" style="405" customWidth="1"/>
    <col min="6" max="6" width="20" style="2" customWidth="1"/>
    <col min="7" max="16384" width="12.5546875" style="2"/>
  </cols>
  <sheetData>
    <row r="1" spans="1:6" ht="22.5" customHeight="1">
      <c r="A1" s="643" t="s">
        <v>0</v>
      </c>
      <c r="B1" s="642"/>
      <c r="C1" s="642"/>
      <c r="D1" s="642"/>
      <c r="E1" s="642"/>
      <c r="F1" s="642"/>
    </row>
    <row r="2" spans="1:6" ht="27" customHeight="1">
      <c r="A2" s="643" t="s">
        <v>1</v>
      </c>
      <c r="B2" s="642"/>
      <c r="C2" s="642"/>
      <c r="D2" s="642"/>
      <c r="E2" s="642"/>
      <c r="F2" s="642"/>
    </row>
    <row r="3" spans="1:6" ht="22.5" customHeight="1">
      <c r="A3" s="644" t="s">
        <v>803</v>
      </c>
      <c r="B3" s="645"/>
      <c r="C3" s="645"/>
      <c r="D3" s="645"/>
      <c r="E3" s="645"/>
      <c r="F3" s="645"/>
    </row>
    <row r="4" spans="1:6" ht="34.5" customHeight="1">
      <c r="A4" s="3" t="s">
        <v>3</v>
      </c>
      <c r="B4" s="646" t="s">
        <v>4</v>
      </c>
      <c r="C4" s="646" t="s">
        <v>5</v>
      </c>
      <c r="D4" s="658" t="s">
        <v>9</v>
      </c>
      <c r="E4" s="656"/>
      <c r="F4" s="657"/>
    </row>
    <row r="5" spans="1:6" ht="24.75" customHeight="1">
      <c r="A5" s="5"/>
      <c r="B5" s="647"/>
      <c r="C5" s="647"/>
      <c r="D5" s="3" t="s">
        <v>10</v>
      </c>
      <c r="E5" s="12" t="s">
        <v>11</v>
      </c>
      <c r="F5" s="419"/>
    </row>
    <row r="6" spans="1:6" ht="27.75" customHeight="1">
      <c r="A6" s="14"/>
      <c r="B6" s="648"/>
      <c r="C6" s="648"/>
      <c r="D6" s="14"/>
      <c r="E6" s="24"/>
      <c r="F6" s="20" t="s">
        <v>19</v>
      </c>
    </row>
    <row r="7" spans="1:6" ht="27.75" customHeight="1">
      <c r="A7" s="5"/>
      <c r="B7" s="623" t="s">
        <v>867</v>
      </c>
      <c r="C7" s="418"/>
      <c r="D7" s="5"/>
      <c r="E7" s="43"/>
      <c r="F7" s="465"/>
    </row>
    <row r="8" spans="1:6" ht="32.25" customHeight="1">
      <c r="A8" s="106">
        <v>1</v>
      </c>
      <c r="B8" s="300" t="s">
        <v>195</v>
      </c>
      <c r="C8" s="300" t="s">
        <v>193</v>
      </c>
      <c r="D8" s="302" t="s">
        <v>855</v>
      </c>
      <c r="E8" s="303">
        <v>2</v>
      </c>
      <c r="F8" s="77">
        <v>9330.4000000000015</v>
      </c>
    </row>
    <row r="9" spans="1:6" ht="32.25" customHeight="1" thickBot="1">
      <c r="A9" s="396"/>
      <c r="B9" s="397" t="s">
        <v>309</v>
      </c>
      <c r="C9" s="398"/>
      <c r="D9" s="399">
        <v>0</v>
      </c>
      <c r="E9" s="399">
        <v>0</v>
      </c>
      <c r="F9" s="399">
        <v>9330.4000000000015</v>
      </c>
    </row>
    <row r="10" spans="1:6" ht="17.399999999999999" thickTop="1"/>
    <row r="15" spans="1:6" s="406" customFormat="1" ht="32.25" customHeight="1">
      <c r="A15" s="2"/>
      <c r="B15" s="643"/>
      <c r="C15" s="642"/>
      <c r="D15" s="642"/>
      <c r="E15" s="642"/>
      <c r="F15" s="2"/>
    </row>
    <row r="16" spans="1:6" s="406" customFormat="1" ht="32.25" customHeight="1">
      <c r="A16" s="2"/>
      <c r="B16" s="413"/>
      <c r="C16" s="415"/>
      <c r="D16" s="642"/>
      <c r="E16" s="642"/>
      <c r="F16" s="2"/>
    </row>
    <row r="17" spans="1:6" s="406" customFormat="1" ht="32.25" customHeight="1">
      <c r="A17" s="2"/>
      <c r="B17" s="413"/>
      <c r="C17" s="409"/>
      <c r="D17" s="642"/>
      <c r="E17" s="642"/>
      <c r="F17" s="2"/>
    </row>
  </sheetData>
  <mergeCells count="10">
    <mergeCell ref="B15:C15"/>
    <mergeCell ref="D15:E15"/>
    <mergeCell ref="D16:E16"/>
    <mergeCell ref="D17:E17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scale="4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FFA8-DC33-410D-B768-437EE5A1C534}">
  <sheetPr>
    <tabColor rgb="FFFFC000"/>
  </sheetPr>
  <dimension ref="A1:Z289"/>
  <sheetViews>
    <sheetView zoomScale="60" zoomScaleNormal="60" workbookViewId="0">
      <pane ySplit="6" topLeftCell="A16" activePane="bottomLeft" state="frozen"/>
      <selection pane="bottomLeft" activeCell="B38" sqref="B38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17.88671875" style="2" customWidth="1"/>
    <col min="5" max="5" width="16.6640625" style="404" customWidth="1"/>
    <col min="6" max="6" width="10" style="405" customWidth="1"/>
    <col min="7" max="7" width="5.5546875" style="404" customWidth="1"/>
    <col min="8" max="8" width="16.6640625" style="2" customWidth="1"/>
    <col min="9" max="9" width="13.109375" style="2" customWidth="1"/>
    <col min="10" max="10" width="17.88671875" style="2" customWidth="1"/>
    <col min="11" max="11" width="17.6640625" style="414" customWidth="1"/>
    <col min="12" max="12" width="25" style="414" customWidth="1"/>
    <col min="13" max="13" width="16.109375" style="192" customWidth="1"/>
    <col min="14" max="14" width="20.5546875" style="404" customWidth="1"/>
    <col min="15" max="15" width="8.109375" style="405" customWidth="1"/>
    <col min="16" max="16" width="12.109375" style="2" customWidth="1"/>
    <col min="17" max="17" width="17.6640625" style="406" customWidth="1"/>
    <col min="18" max="18" width="11.33203125" style="406" customWidth="1"/>
    <col min="19" max="19" width="20" style="2" customWidth="1"/>
    <col min="20" max="16384" width="12.5546875" style="2"/>
  </cols>
  <sheetData>
    <row r="1" spans="1:19" ht="22.5" customHeight="1">
      <c r="A1" s="643" t="s">
        <v>0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</row>
    <row r="2" spans="1:19" ht="27" customHeight="1">
      <c r="A2" s="643" t="s">
        <v>1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642"/>
      <c r="S2" s="642"/>
    </row>
    <row r="3" spans="1:19" ht="22.5" customHeight="1">
      <c r="A3" s="644" t="s">
        <v>694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</row>
    <row r="4" spans="1:19" ht="34.5" customHeight="1">
      <c r="A4" s="3" t="s">
        <v>3</v>
      </c>
      <c r="B4" s="646" t="s">
        <v>4</v>
      </c>
      <c r="C4" s="646" t="s">
        <v>5</v>
      </c>
      <c r="D4" s="4" t="s">
        <v>6</v>
      </c>
      <c r="E4" s="655" t="s">
        <v>7</v>
      </c>
      <c r="F4" s="656"/>
      <c r="G4" s="656"/>
      <c r="H4" s="656"/>
      <c r="I4" s="656"/>
      <c r="J4" s="657"/>
      <c r="K4" s="669" t="s">
        <v>8</v>
      </c>
      <c r="L4" s="670"/>
      <c r="M4" s="671"/>
      <c r="N4" s="658" t="s">
        <v>9</v>
      </c>
      <c r="O4" s="656"/>
      <c r="P4" s="656"/>
      <c r="Q4" s="656"/>
      <c r="R4" s="656"/>
      <c r="S4" s="657"/>
    </row>
    <row r="5" spans="1:19" ht="24.75" customHeight="1">
      <c r="A5" s="5"/>
      <c r="B5" s="647"/>
      <c r="C5" s="647"/>
      <c r="D5" s="6"/>
      <c r="E5" s="3" t="s">
        <v>10</v>
      </c>
      <c r="F5" s="7" t="s">
        <v>11</v>
      </c>
      <c r="G5" s="8" t="s">
        <v>12</v>
      </c>
      <c r="H5" s="655" t="s">
        <v>13</v>
      </c>
      <c r="I5" s="656"/>
      <c r="J5" s="657"/>
      <c r="K5" s="9" t="s">
        <v>14</v>
      </c>
      <c r="L5" s="10" t="s">
        <v>15</v>
      </c>
      <c r="M5" s="11" t="s">
        <v>16</v>
      </c>
      <c r="N5" s="3" t="s">
        <v>10</v>
      </c>
      <c r="O5" s="12" t="s">
        <v>11</v>
      </c>
      <c r="P5" s="13" t="s">
        <v>12</v>
      </c>
      <c r="Q5" s="655" t="s">
        <v>13</v>
      </c>
      <c r="R5" s="656"/>
      <c r="S5" s="657"/>
    </row>
    <row r="6" spans="1:19" ht="27.75" customHeight="1">
      <c r="A6" s="14"/>
      <c r="B6" s="648"/>
      <c r="C6" s="648"/>
      <c r="D6" s="15"/>
      <c r="E6" s="14"/>
      <c r="F6" s="16"/>
      <c r="G6" s="17" t="s">
        <v>17</v>
      </c>
      <c r="H6" s="18" t="s">
        <v>16</v>
      </c>
      <c r="I6" s="19" t="s">
        <v>18</v>
      </c>
      <c r="J6" s="20" t="s">
        <v>19</v>
      </c>
      <c r="K6" s="21"/>
      <c r="L6" s="22"/>
      <c r="M6" s="23"/>
      <c r="N6" s="14"/>
      <c r="O6" s="24"/>
      <c r="P6" s="17" t="s">
        <v>17</v>
      </c>
      <c r="Q6" s="18" t="s">
        <v>16</v>
      </c>
      <c r="R6" s="25" t="s">
        <v>18</v>
      </c>
      <c r="S6" s="20" t="s">
        <v>19</v>
      </c>
    </row>
    <row r="7" spans="1:19" ht="32.25" customHeight="1">
      <c r="A7" s="26"/>
      <c r="B7" s="27" t="s">
        <v>20</v>
      </c>
      <c r="C7" s="28"/>
      <c r="D7" s="29"/>
      <c r="E7" s="30"/>
      <c r="F7" s="31"/>
      <c r="G7" s="32"/>
      <c r="H7" s="32"/>
      <c r="I7" s="32"/>
      <c r="J7" s="33"/>
      <c r="K7" s="34"/>
      <c r="L7" s="35"/>
      <c r="M7" s="36"/>
      <c r="N7" s="30"/>
      <c r="O7" s="31"/>
      <c r="P7" s="32"/>
      <c r="Q7" s="37"/>
      <c r="R7" s="37"/>
      <c r="S7" s="38"/>
    </row>
    <row r="8" spans="1:19" ht="32.25" customHeight="1">
      <c r="A8" s="39">
        <v>1</v>
      </c>
      <c r="B8" s="40" t="s">
        <v>21</v>
      </c>
      <c r="C8" s="41"/>
      <c r="D8" s="42"/>
      <c r="E8" s="6"/>
      <c r="F8" s="43"/>
      <c r="G8" s="6"/>
      <c r="H8" s="42"/>
      <c r="I8" s="42"/>
      <c r="J8" s="42"/>
      <c r="K8" s="44"/>
      <c r="L8" s="45"/>
      <c r="M8" s="46"/>
      <c r="N8" s="5"/>
      <c r="O8" s="43"/>
      <c r="P8" s="47"/>
      <c r="Q8" s="48"/>
      <c r="R8" s="48"/>
      <c r="S8" s="49"/>
    </row>
    <row r="9" spans="1:19" ht="32.25" customHeight="1" thickBot="1">
      <c r="A9" s="39"/>
      <c r="B9" s="50" t="s">
        <v>19</v>
      </c>
      <c r="C9" s="50"/>
      <c r="D9" s="51">
        <v>0</v>
      </c>
      <c r="E9" s="52"/>
      <c r="F9" s="53"/>
      <c r="G9" s="52"/>
      <c r="H9" s="51">
        <v>0</v>
      </c>
      <c r="I9" s="51">
        <v>0</v>
      </c>
      <c r="J9" s="51">
        <v>0</v>
      </c>
      <c r="K9" s="54"/>
      <c r="L9" s="55"/>
      <c r="M9" s="56">
        <v>0</v>
      </c>
      <c r="N9" s="57"/>
      <c r="O9" s="53"/>
      <c r="P9" s="51"/>
      <c r="Q9" s="51"/>
      <c r="R9" s="51"/>
      <c r="S9" s="51"/>
    </row>
    <row r="10" spans="1:19" ht="32.25" customHeight="1" thickTop="1">
      <c r="A10" s="39"/>
      <c r="B10" s="58" t="s">
        <v>22</v>
      </c>
      <c r="C10" s="59"/>
      <c r="D10" s="60"/>
      <c r="E10" s="61"/>
      <c r="F10" s="62"/>
      <c r="G10" s="63"/>
      <c r="H10" s="64"/>
      <c r="I10" s="64"/>
      <c r="J10" s="64"/>
      <c r="K10" s="65"/>
      <c r="L10" s="66"/>
      <c r="M10" s="67"/>
      <c r="N10" s="68"/>
      <c r="O10" s="62"/>
      <c r="P10" s="69"/>
      <c r="Q10" s="63"/>
      <c r="R10" s="63"/>
      <c r="S10" s="70"/>
    </row>
    <row r="11" spans="1:19" s="78" customFormat="1" ht="32.25" customHeight="1">
      <c r="A11" s="39">
        <v>1</v>
      </c>
      <c r="B11" s="71" t="s">
        <v>23</v>
      </c>
      <c r="C11" s="71" t="s">
        <v>24</v>
      </c>
      <c r="D11" s="72">
        <v>2295.15</v>
      </c>
      <c r="E11" s="6"/>
      <c r="F11" s="43"/>
      <c r="G11" s="48"/>
      <c r="H11" s="73">
        <v>0</v>
      </c>
      <c r="I11" s="73">
        <v>0</v>
      </c>
      <c r="J11" s="73">
        <v>0</v>
      </c>
      <c r="K11" s="74" t="s">
        <v>695</v>
      </c>
      <c r="L11" s="75" t="s">
        <v>696</v>
      </c>
      <c r="M11" s="76">
        <v>2295.15</v>
      </c>
      <c r="N11" s="5"/>
      <c r="O11" s="43"/>
      <c r="P11" s="47"/>
      <c r="Q11" s="48">
        <v>0</v>
      </c>
      <c r="R11" s="48">
        <v>0</v>
      </c>
      <c r="S11" s="77">
        <v>0</v>
      </c>
    </row>
    <row r="12" spans="1:19" s="78" customFormat="1" ht="32.25" customHeight="1">
      <c r="A12" s="39">
        <v>2</v>
      </c>
      <c r="B12" s="71" t="s">
        <v>27</v>
      </c>
      <c r="C12" s="71" t="s">
        <v>24</v>
      </c>
      <c r="D12" s="72">
        <v>403.39</v>
      </c>
      <c r="E12" s="6"/>
      <c r="F12" s="43"/>
      <c r="G12" s="48"/>
      <c r="H12" s="73">
        <v>0</v>
      </c>
      <c r="I12" s="73">
        <v>0</v>
      </c>
      <c r="J12" s="73">
        <v>0</v>
      </c>
      <c r="K12" s="74" t="s">
        <v>697</v>
      </c>
      <c r="L12" s="75" t="s">
        <v>698</v>
      </c>
      <c r="M12" s="76">
        <v>403.39</v>
      </c>
      <c r="N12" s="5"/>
      <c r="O12" s="43"/>
      <c r="P12" s="47"/>
      <c r="Q12" s="48">
        <v>0</v>
      </c>
      <c r="R12" s="48">
        <v>0</v>
      </c>
      <c r="S12" s="77">
        <v>0</v>
      </c>
    </row>
    <row r="13" spans="1:19" s="78" customFormat="1" ht="32.25" customHeight="1">
      <c r="A13" s="39">
        <v>3</v>
      </c>
      <c r="B13" s="71" t="s">
        <v>30</v>
      </c>
      <c r="C13" s="71" t="s">
        <v>24</v>
      </c>
      <c r="D13" s="72">
        <v>221.49</v>
      </c>
      <c r="E13" s="6"/>
      <c r="F13" s="43"/>
      <c r="G13" s="48"/>
      <c r="H13" s="73">
        <v>0</v>
      </c>
      <c r="I13" s="73">
        <v>0</v>
      </c>
      <c r="J13" s="73">
        <v>0</v>
      </c>
      <c r="K13" s="74" t="s">
        <v>699</v>
      </c>
      <c r="L13" s="75" t="s">
        <v>700</v>
      </c>
      <c r="M13" s="76">
        <v>221.49</v>
      </c>
      <c r="N13" s="5"/>
      <c r="O13" s="43"/>
      <c r="P13" s="47"/>
      <c r="Q13" s="48">
        <v>0</v>
      </c>
      <c r="R13" s="48">
        <v>0</v>
      </c>
      <c r="S13" s="77">
        <v>0</v>
      </c>
    </row>
    <row r="14" spans="1:19" s="78" customFormat="1" ht="32.25" customHeight="1">
      <c r="A14" s="39">
        <v>4</v>
      </c>
      <c r="B14" s="79"/>
      <c r="C14" s="80"/>
      <c r="D14" s="81"/>
      <c r="E14" s="6"/>
      <c r="F14" s="43"/>
      <c r="G14" s="48"/>
      <c r="H14" s="73"/>
      <c r="I14" s="73"/>
      <c r="J14" s="73"/>
      <c r="K14" s="82"/>
      <c r="L14" s="45"/>
      <c r="M14" s="46"/>
      <c r="N14" s="5"/>
      <c r="O14" s="43"/>
      <c r="P14" s="47"/>
      <c r="Q14" s="48"/>
      <c r="R14" s="48"/>
      <c r="S14" s="49"/>
    </row>
    <row r="15" spans="1:19" s="78" customFormat="1" ht="32.25" customHeight="1">
      <c r="A15" s="39">
        <v>5</v>
      </c>
      <c r="B15" s="80"/>
      <c r="C15" s="80"/>
      <c r="D15" s="81"/>
      <c r="E15" s="6"/>
      <c r="F15" s="43"/>
      <c r="G15" s="6"/>
      <c r="H15" s="42"/>
      <c r="I15" s="42"/>
      <c r="J15" s="42"/>
      <c r="K15" s="44"/>
      <c r="L15" s="45"/>
      <c r="M15" s="46"/>
      <c r="N15" s="5"/>
      <c r="O15" s="43"/>
      <c r="P15" s="47"/>
      <c r="Q15" s="48"/>
      <c r="R15" s="48"/>
      <c r="S15" s="49"/>
    </row>
    <row r="16" spans="1:19" ht="32.25" customHeight="1" thickBot="1">
      <c r="A16" s="39"/>
      <c r="B16" s="50" t="s">
        <v>19</v>
      </c>
      <c r="C16" s="50"/>
      <c r="D16" s="51">
        <f>SUM(D11:D15)</f>
        <v>2920.0299999999997</v>
      </c>
      <c r="E16" s="52"/>
      <c r="F16" s="53"/>
      <c r="G16" s="52"/>
      <c r="H16" s="51">
        <v>0</v>
      </c>
      <c r="I16" s="51">
        <v>0</v>
      </c>
      <c r="J16" s="51">
        <v>0</v>
      </c>
      <c r="K16" s="83"/>
      <c r="L16" s="84"/>
      <c r="M16" s="56">
        <f>SUM(M10:M15)</f>
        <v>2920.0299999999997</v>
      </c>
      <c r="N16" s="57"/>
      <c r="O16" s="53"/>
      <c r="P16" s="85"/>
      <c r="Q16" s="86"/>
      <c r="R16" s="86"/>
      <c r="S16" s="87"/>
    </row>
    <row r="17" spans="1:19" ht="32.25" customHeight="1" thickTop="1">
      <c r="A17" s="39"/>
      <c r="B17" s="58" t="s">
        <v>32</v>
      </c>
      <c r="C17" s="59"/>
      <c r="D17" s="60"/>
      <c r="E17" s="61"/>
      <c r="F17" s="62"/>
      <c r="G17" s="63"/>
      <c r="H17" s="64"/>
      <c r="I17" s="64"/>
      <c r="J17" s="64"/>
      <c r="K17" s="65"/>
      <c r="L17" s="66"/>
      <c r="M17" s="67"/>
      <c r="N17" s="68"/>
      <c r="O17" s="62"/>
      <c r="P17" s="69"/>
      <c r="Q17" s="63"/>
      <c r="R17" s="63"/>
      <c r="S17" s="70"/>
    </row>
    <row r="18" spans="1:19" s="78" customFormat="1" ht="32.25" customHeight="1">
      <c r="A18" s="39">
        <v>1</v>
      </c>
      <c r="B18" s="71" t="s">
        <v>23</v>
      </c>
      <c r="C18" s="71" t="s">
        <v>33</v>
      </c>
      <c r="D18" s="88">
        <v>840</v>
      </c>
      <c r="E18" s="6"/>
      <c r="F18" s="43"/>
      <c r="G18" s="89"/>
      <c r="H18" s="42">
        <v>0</v>
      </c>
      <c r="I18" s="42">
        <v>0</v>
      </c>
      <c r="J18" s="42">
        <v>0</v>
      </c>
      <c r="K18" s="74" t="s">
        <v>697</v>
      </c>
      <c r="L18" s="90" t="s">
        <v>701</v>
      </c>
      <c r="M18" s="76">
        <v>840</v>
      </c>
      <c r="N18" s="5"/>
      <c r="O18" s="43"/>
      <c r="P18" s="47"/>
      <c r="Q18" s="91">
        <v>0</v>
      </c>
      <c r="R18" s="92">
        <v>0</v>
      </c>
      <c r="S18" s="93">
        <v>0</v>
      </c>
    </row>
    <row r="19" spans="1:19" s="78" customFormat="1" ht="32.25" customHeight="1">
      <c r="A19" s="39">
        <v>2</v>
      </c>
      <c r="B19" s="71" t="s">
        <v>27</v>
      </c>
      <c r="C19" s="71" t="s">
        <v>33</v>
      </c>
      <c r="D19" s="88">
        <v>180</v>
      </c>
      <c r="E19" s="6"/>
      <c r="F19" s="43"/>
      <c r="G19" s="89"/>
      <c r="H19" s="42"/>
      <c r="I19" s="42"/>
      <c r="J19" s="42">
        <v>0</v>
      </c>
      <c r="K19" s="74" t="s">
        <v>697</v>
      </c>
      <c r="L19" s="94" t="s">
        <v>702</v>
      </c>
      <c r="M19" s="76">
        <v>180</v>
      </c>
      <c r="N19" s="5"/>
      <c r="O19" s="43"/>
      <c r="P19" s="47"/>
      <c r="Q19" s="91">
        <v>0</v>
      </c>
      <c r="R19" s="92">
        <v>0</v>
      </c>
      <c r="S19" s="95">
        <v>0</v>
      </c>
    </row>
    <row r="20" spans="1:19" s="78" customFormat="1" ht="32.25" customHeight="1">
      <c r="A20" s="39">
        <v>3</v>
      </c>
      <c r="B20" s="71" t="s">
        <v>30</v>
      </c>
      <c r="C20" s="71" t="s">
        <v>33</v>
      </c>
      <c r="D20" s="96">
        <v>0</v>
      </c>
      <c r="E20" s="6"/>
      <c r="F20" s="43"/>
      <c r="G20" s="89"/>
      <c r="H20" s="42"/>
      <c r="I20" s="42"/>
      <c r="J20" s="42"/>
      <c r="K20" s="97"/>
      <c r="L20" s="98"/>
      <c r="M20" s="99"/>
      <c r="N20" s="5"/>
      <c r="O20" s="43"/>
      <c r="P20" s="47"/>
      <c r="Q20" s="6"/>
      <c r="R20" s="42"/>
      <c r="S20" s="100"/>
    </row>
    <row r="21" spans="1:19" ht="32.25" customHeight="1" thickBot="1">
      <c r="A21" s="39"/>
      <c r="B21" s="50" t="s">
        <v>19</v>
      </c>
      <c r="C21" s="50"/>
      <c r="D21" s="51">
        <f>SUM(D18:D20)</f>
        <v>1020</v>
      </c>
      <c r="E21" s="52"/>
      <c r="F21" s="53"/>
      <c r="G21" s="52"/>
      <c r="H21" s="51">
        <v>0</v>
      </c>
      <c r="I21" s="51">
        <v>0</v>
      </c>
      <c r="J21" s="51">
        <v>0</v>
      </c>
      <c r="K21" s="101"/>
      <c r="L21" s="102"/>
      <c r="M21" s="103">
        <f>SUM(M18:M20)</f>
        <v>1020</v>
      </c>
      <c r="N21" s="57"/>
      <c r="O21" s="53"/>
      <c r="P21" s="51"/>
      <c r="Q21" s="51"/>
      <c r="R21" s="51"/>
      <c r="S21" s="51"/>
    </row>
    <row r="22" spans="1:19" ht="32.25" hidden="1" customHeight="1">
      <c r="A22" s="104" t="s">
        <v>36</v>
      </c>
      <c r="B22" s="104" t="s">
        <v>37</v>
      </c>
      <c r="C22" s="105">
        <v>780</v>
      </c>
      <c r="D22" s="60"/>
      <c r="E22" s="61"/>
      <c r="F22" s="62"/>
      <c r="G22" s="63"/>
      <c r="H22" s="64"/>
      <c r="I22" s="64"/>
      <c r="J22" s="64"/>
      <c r="K22" s="65"/>
      <c r="L22" s="66"/>
      <c r="M22" s="67"/>
      <c r="N22" s="68"/>
      <c r="O22" s="62"/>
      <c r="P22" s="69"/>
      <c r="Q22" s="63"/>
      <c r="R22" s="63"/>
      <c r="S22" s="70"/>
    </row>
    <row r="23" spans="1:19" ht="32.25" hidden="1" customHeight="1">
      <c r="A23" s="104" t="s">
        <v>36</v>
      </c>
      <c r="B23" s="104" t="s">
        <v>38</v>
      </c>
      <c r="C23" s="105">
        <v>180</v>
      </c>
      <c r="D23" s="42"/>
      <c r="E23" s="6"/>
      <c r="F23" s="43"/>
      <c r="G23" s="6"/>
      <c r="H23" s="42"/>
      <c r="I23" s="42"/>
      <c r="J23" s="42"/>
      <c r="K23" s="44"/>
      <c r="L23" s="45"/>
      <c r="M23" s="46"/>
      <c r="N23" s="5"/>
      <c r="O23" s="43"/>
      <c r="P23" s="47"/>
      <c r="Q23" s="48"/>
      <c r="R23" s="48"/>
      <c r="S23" s="49"/>
    </row>
    <row r="24" spans="1:19" ht="32.25" hidden="1" customHeight="1">
      <c r="A24" s="39"/>
      <c r="B24" s="50" t="s">
        <v>19</v>
      </c>
      <c r="C24" s="50"/>
      <c r="D24" s="51">
        <v>0</v>
      </c>
      <c r="E24" s="52"/>
      <c r="F24" s="53"/>
      <c r="G24" s="52"/>
      <c r="H24" s="51">
        <v>0</v>
      </c>
      <c r="I24" s="51">
        <v>0</v>
      </c>
      <c r="J24" s="51">
        <v>0</v>
      </c>
      <c r="K24" s="54"/>
      <c r="L24" s="55"/>
      <c r="M24" s="56"/>
      <c r="N24" s="57"/>
      <c r="O24" s="53"/>
      <c r="P24" s="51"/>
      <c r="Q24" s="51"/>
      <c r="R24" s="51"/>
      <c r="S24" s="51"/>
    </row>
    <row r="25" spans="1:19" ht="32.25" hidden="1" customHeight="1">
      <c r="A25" s="39"/>
      <c r="B25" s="58" t="s">
        <v>39</v>
      </c>
      <c r="C25" s="59"/>
      <c r="D25" s="60"/>
      <c r="E25" s="61"/>
      <c r="F25" s="62"/>
      <c r="G25" s="63"/>
      <c r="H25" s="64"/>
      <c r="I25" s="64"/>
      <c r="J25" s="64"/>
      <c r="K25" s="65"/>
      <c r="L25" s="66"/>
      <c r="M25" s="67"/>
      <c r="N25" s="68"/>
      <c r="O25" s="62"/>
      <c r="P25" s="69"/>
      <c r="Q25" s="63"/>
      <c r="R25" s="63"/>
      <c r="S25" s="70"/>
    </row>
    <row r="26" spans="1:19" ht="32.25" hidden="1" customHeight="1">
      <c r="A26" s="39">
        <v>1</v>
      </c>
      <c r="B26" s="40"/>
      <c r="C26" s="41"/>
      <c r="D26" s="42"/>
      <c r="E26" s="6"/>
      <c r="F26" s="43"/>
      <c r="G26" s="6"/>
      <c r="H26" s="42"/>
      <c r="I26" s="42"/>
      <c r="J26" s="42"/>
      <c r="K26" s="44"/>
      <c r="L26" s="45"/>
      <c r="M26" s="46"/>
      <c r="N26" s="5"/>
      <c r="O26" s="43"/>
      <c r="P26" s="47"/>
      <c r="Q26" s="48"/>
      <c r="R26" s="48"/>
      <c r="S26" s="49"/>
    </row>
    <row r="27" spans="1:19" ht="32.25" hidden="1" customHeight="1">
      <c r="A27" s="39"/>
      <c r="B27" s="50" t="s">
        <v>19</v>
      </c>
      <c r="C27" s="50"/>
      <c r="D27" s="51">
        <v>0</v>
      </c>
      <c r="E27" s="52"/>
      <c r="F27" s="53"/>
      <c r="G27" s="52"/>
      <c r="H27" s="51">
        <v>0</v>
      </c>
      <c r="I27" s="51">
        <v>0</v>
      </c>
      <c r="J27" s="51">
        <v>0</v>
      </c>
      <c r="K27" s="54"/>
      <c r="L27" s="55"/>
      <c r="M27" s="56"/>
      <c r="N27" s="57"/>
      <c r="O27" s="53"/>
      <c r="P27" s="51"/>
      <c r="Q27" s="51"/>
      <c r="R27" s="51"/>
      <c r="S27" s="51"/>
    </row>
    <row r="28" spans="1:19" ht="32.25" hidden="1" customHeight="1">
      <c r="A28" s="39"/>
      <c r="B28" s="58" t="s">
        <v>40</v>
      </c>
      <c r="C28" s="59"/>
      <c r="D28" s="60"/>
      <c r="E28" s="61"/>
      <c r="F28" s="62"/>
      <c r="G28" s="63"/>
      <c r="H28" s="64"/>
      <c r="I28" s="64"/>
      <c r="J28" s="64"/>
      <c r="K28" s="65"/>
      <c r="L28" s="66"/>
      <c r="M28" s="67"/>
      <c r="N28" s="68"/>
      <c r="O28" s="62"/>
      <c r="P28" s="69"/>
      <c r="Q28" s="63"/>
      <c r="R28" s="63"/>
      <c r="S28" s="70"/>
    </row>
    <row r="29" spans="1:19" ht="32.25" hidden="1" customHeight="1">
      <c r="A29" s="39">
        <v>1</v>
      </c>
      <c r="B29" s="40"/>
      <c r="C29" s="41"/>
      <c r="D29" s="42"/>
      <c r="E29" s="6"/>
      <c r="F29" s="43"/>
      <c r="G29" s="6"/>
      <c r="H29" s="42"/>
      <c r="I29" s="42"/>
      <c r="J29" s="42"/>
      <c r="K29" s="44"/>
      <c r="L29" s="45"/>
      <c r="M29" s="46"/>
      <c r="N29" s="5"/>
      <c r="O29" s="43"/>
      <c r="P29" s="47"/>
      <c r="Q29" s="48"/>
      <c r="R29" s="48"/>
      <c r="S29" s="49"/>
    </row>
    <row r="30" spans="1:19" ht="32.25" hidden="1" customHeight="1">
      <c r="A30" s="39"/>
      <c r="B30" s="50" t="s">
        <v>19</v>
      </c>
      <c r="C30" s="50"/>
      <c r="D30" s="51">
        <v>0</v>
      </c>
      <c r="E30" s="52"/>
      <c r="F30" s="53"/>
      <c r="G30" s="52"/>
      <c r="H30" s="51">
        <v>0</v>
      </c>
      <c r="I30" s="51">
        <v>0</v>
      </c>
      <c r="J30" s="51">
        <v>0</v>
      </c>
      <c r="K30" s="54"/>
      <c r="L30" s="55"/>
      <c r="M30" s="56"/>
      <c r="N30" s="57"/>
      <c r="O30" s="53"/>
      <c r="P30" s="51"/>
      <c r="Q30" s="51"/>
      <c r="R30" s="51"/>
      <c r="S30" s="51"/>
    </row>
    <row r="31" spans="1:19" ht="32.25" customHeight="1" thickTop="1">
      <c r="A31" s="39"/>
      <c r="B31" s="58" t="s">
        <v>41</v>
      </c>
      <c r="C31" s="59"/>
      <c r="D31" s="60"/>
      <c r="E31" s="61"/>
      <c r="F31" s="62"/>
      <c r="G31" s="63"/>
      <c r="H31" s="64"/>
      <c r="I31" s="64"/>
      <c r="J31" s="64"/>
      <c r="K31" s="65"/>
      <c r="L31" s="66"/>
      <c r="M31" s="67"/>
      <c r="N31" s="68"/>
      <c r="O31" s="62"/>
      <c r="P31" s="69"/>
      <c r="Q31" s="63"/>
      <c r="R31" s="63"/>
      <c r="S31" s="70"/>
    </row>
    <row r="32" spans="1:19" ht="32.25" customHeight="1">
      <c r="A32" s="106">
        <v>1</v>
      </c>
      <c r="B32" s="107" t="s">
        <v>703</v>
      </c>
      <c r="C32" s="107" t="s">
        <v>400</v>
      </c>
      <c r="D32" s="108">
        <v>1284</v>
      </c>
      <c r="E32" s="109"/>
      <c r="F32" s="110"/>
      <c r="G32" s="111"/>
      <c r="H32" s="111">
        <v>0</v>
      </c>
      <c r="I32" s="112">
        <v>0</v>
      </c>
      <c r="J32" s="113">
        <v>0</v>
      </c>
      <c r="K32" s="74" t="s">
        <v>704</v>
      </c>
      <c r="L32" s="75" t="s">
        <v>705</v>
      </c>
      <c r="M32" s="76">
        <v>1284</v>
      </c>
      <c r="N32" s="114"/>
      <c r="O32" s="115"/>
      <c r="P32" s="92"/>
      <c r="Q32" s="91">
        <v>0</v>
      </c>
      <c r="R32" s="92">
        <v>0</v>
      </c>
      <c r="S32" s="77">
        <v>0</v>
      </c>
    </row>
    <row r="33" spans="1:19" ht="32.25" customHeight="1">
      <c r="A33" s="106">
        <v>2</v>
      </c>
      <c r="B33" s="117" t="s">
        <v>404</v>
      </c>
      <c r="C33" s="107" t="s">
        <v>400</v>
      </c>
      <c r="D33" s="108">
        <v>321</v>
      </c>
      <c r="E33" s="118"/>
      <c r="F33" s="119"/>
      <c r="G33" s="111"/>
      <c r="H33" s="111">
        <v>0</v>
      </c>
      <c r="I33" s="120">
        <v>0</v>
      </c>
      <c r="J33" s="121">
        <v>0</v>
      </c>
      <c r="K33" s="74" t="s">
        <v>706</v>
      </c>
      <c r="L33" s="75" t="s">
        <v>707</v>
      </c>
      <c r="M33" s="76">
        <v>321</v>
      </c>
      <c r="N33" s="114"/>
      <c r="O33" s="122"/>
      <c r="P33" s="92"/>
      <c r="Q33" s="91">
        <v>0</v>
      </c>
      <c r="R33" s="92">
        <v>0</v>
      </c>
      <c r="S33" s="77">
        <v>0</v>
      </c>
    </row>
    <row r="34" spans="1:19" ht="32.25" customHeight="1">
      <c r="A34" s="106">
        <v>3</v>
      </c>
      <c r="B34" s="117" t="s">
        <v>624</v>
      </c>
      <c r="C34" s="107" t="s">
        <v>400</v>
      </c>
      <c r="D34" s="123">
        <v>321</v>
      </c>
      <c r="E34" s="109"/>
      <c r="F34" s="110"/>
      <c r="G34" s="124"/>
      <c r="H34" s="124">
        <v>0</v>
      </c>
      <c r="I34" s="112">
        <v>0</v>
      </c>
      <c r="J34" s="113">
        <v>0</v>
      </c>
      <c r="K34" s="74" t="s">
        <v>706</v>
      </c>
      <c r="L34" s="75" t="s">
        <v>708</v>
      </c>
      <c r="M34" s="76">
        <v>321</v>
      </c>
      <c r="N34" s="114"/>
      <c r="O34" s="115"/>
      <c r="P34" s="125"/>
      <c r="Q34" s="91">
        <v>0</v>
      </c>
      <c r="R34" s="92">
        <v>0</v>
      </c>
      <c r="S34" s="77">
        <v>0</v>
      </c>
    </row>
    <row r="35" spans="1:19" ht="32.25" customHeight="1">
      <c r="A35" s="106">
        <v>4</v>
      </c>
      <c r="B35" s="117" t="s">
        <v>709</v>
      </c>
      <c r="C35" s="107" t="s">
        <v>400</v>
      </c>
      <c r="D35" s="123">
        <v>321</v>
      </c>
      <c r="E35" s="466"/>
      <c r="F35" s="127"/>
      <c r="G35" s="126"/>
      <c r="H35" s="126">
        <v>0</v>
      </c>
      <c r="I35" s="128">
        <v>0</v>
      </c>
      <c r="J35" s="129">
        <v>0</v>
      </c>
      <c r="K35" s="74" t="s">
        <v>706</v>
      </c>
      <c r="L35" s="75" t="s">
        <v>710</v>
      </c>
      <c r="M35" s="76">
        <v>321</v>
      </c>
      <c r="N35" s="30"/>
      <c r="O35" s="31"/>
      <c r="P35" s="29"/>
      <c r="Q35" s="91"/>
      <c r="R35" s="92"/>
      <c r="S35" s="77"/>
    </row>
    <row r="36" spans="1:19" ht="32.25" customHeight="1">
      <c r="A36" s="106">
        <v>5</v>
      </c>
      <c r="B36" s="117" t="s">
        <v>626</v>
      </c>
      <c r="C36" s="107" t="s">
        <v>400</v>
      </c>
      <c r="D36" s="123">
        <v>321</v>
      </c>
      <c r="E36" s="126"/>
      <c r="F36" s="127"/>
      <c r="G36" s="126"/>
      <c r="H36" s="128">
        <v>0</v>
      </c>
      <c r="I36" s="128">
        <v>0</v>
      </c>
      <c r="J36" s="129">
        <v>0</v>
      </c>
      <c r="K36" s="74" t="s">
        <v>706</v>
      </c>
      <c r="L36" s="75" t="s">
        <v>711</v>
      </c>
      <c r="M36" s="76">
        <v>321</v>
      </c>
      <c r="N36" s="30"/>
      <c r="O36" s="31"/>
      <c r="P36" s="31"/>
      <c r="Q36" s="91">
        <v>0</v>
      </c>
      <c r="R36" s="92">
        <v>0</v>
      </c>
      <c r="S36" s="77">
        <v>0</v>
      </c>
    </row>
    <row r="37" spans="1:19" ht="32.25" customHeight="1">
      <c r="A37" s="106">
        <v>6</v>
      </c>
      <c r="B37" s="117" t="s">
        <v>633</v>
      </c>
      <c r="C37" s="107" t="s">
        <v>400</v>
      </c>
      <c r="D37" s="123">
        <v>321</v>
      </c>
      <c r="E37" s="126"/>
      <c r="F37" s="127"/>
      <c r="G37" s="126"/>
      <c r="H37" s="128">
        <v>0</v>
      </c>
      <c r="I37" s="128">
        <v>0</v>
      </c>
      <c r="J37" s="129">
        <v>0</v>
      </c>
      <c r="K37" s="74" t="s">
        <v>706</v>
      </c>
      <c r="L37" s="75" t="s">
        <v>628</v>
      </c>
      <c r="M37" s="76">
        <v>321</v>
      </c>
      <c r="N37" s="30"/>
      <c r="O37" s="31"/>
      <c r="P37" s="31"/>
      <c r="Q37" s="91"/>
      <c r="R37" s="92"/>
      <c r="S37" s="77"/>
    </row>
    <row r="38" spans="1:19" ht="32.25" customHeight="1">
      <c r="A38" s="106">
        <v>7</v>
      </c>
      <c r="B38" s="117" t="s">
        <v>630</v>
      </c>
      <c r="C38" s="107" t="s">
        <v>400</v>
      </c>
      <c r="D38" s="123">
        <v>321</v>
      </c>
      <c r="E38" s="126"/>
      <c r="F38" s="127"/>
      <c r="G38" s="126"/>
      <c r="H38" s="128">
        <v>0</v>
      </c>
      <c r="I38" s="128">
        <v>0</v>
      </c>
      <c r="J38" s="129">
        <v>0</v>
      </c>
      <c r="K38" s="74" t="s">
        <v>706</v>
      </c>
      <c r="L38" s="75" t="s">
        <v>712</v>
      </c>
      <c r="M38" s="76">
        <v>321</v>
      </c>
      <c r="N38" s="30"/>
      <c r="O38" s="31"/>
      <c r="P38" s="31"/>
      <c r="Q38" s="91"/>
      <c r="R38" s="92"/>
      <c r="S38" s="77"/>
    </row>
    <row r="39" spans="1:19" ht="32.25" customHeight="1">
      <c r="A39" s="106">
        <v>8</v>
      </c>
      <c r="B39" s="117" t="s">
        <v>545</v>
      </c>
      <c r="C39" s="107" t="s">
        <v>400</v>
      </c>
      <c r="D39" s="123">
        <v>321</v>
      </c>
      <c r="E39" s="126"/>
      <c r="F39" s="127"/>
      <c r="G39" s="126"/>
      <c r="H39" s="128">
        <v>0</v>
      </c>
      <c r="I39" s="128">
        <v>0</v>
      </c>
      <c r="J39" s="129">
        <v>0</v>
      </c>
      <c r="K39" s="74" t="s">
        <v>713</v>
      </c>
      <c r="L39" s="75" t="s">
        <v>714</v>
      </c>
      <c r="M39" s="76">
        <v>321</v>
      </c>
      <c r="N39" s="30"/>
      <c r="O39" s="31"/>
      <c r="P39" s="31"/>
      <c r="Q39" s="91"/>
      <c r="R39" s="92"/>
      <c r="S39" s="77"/>
    </row>
    <row r="40" spans="1:19" ht="32.25" customHeight="1">
      <c r="A40" s="106">
        <v>9</v>
      </c>
      <c r="B40" s="117" t="s">
        <v>485</v>
      </c>
      <c r="C40" s="107" t="s">
        <v>400</v>
      </c>
      <c r="D40" s="123">
        <v>321</v>
      </c>
      <c r="E40" s="126"/>
      <c r="F40" s="127"/>
      <c r="G40" s="126"/>
      <c r="H40" s="128">
        <v>0</v>
      </c>
      <c r="I40" s="128">
        <v>0</v>
      </c>
      <c r="J40" s="129">
        <v>0</v>
      </c>
      <c r="K40" s="74" t="s">
        <v>715</v>
      </c>
      <c r="L40" s="75" t="s">
        <v>716</v>
      </c>
      <c r="M40" s="76">
        <v>321</v>
      </c>
      <c r="N40" s="114"/>
      <c r="O40" s="115"/>
      <c r="P40" s="115"/>
      <c r="Q40" s="91">
        <v>0</v>
      </c>
      <c r="R40" s="92">
        <v>0</v>
      </c>
      <c r="S40" s="77">
        <v>0</v>
      </c>
    </row>
    <row r="41" spans="1:19" ht="32.25" customHeight="1">
      <c r="A41" s="116">
        <v>10</v>
      </c>
      <c r="B41" s="117" t="s">
        <v>717</v>
      </c>
      <c r="C41" s="107" t="s">
        <v>400</v>
      </c>
      <c r="D41" s="123">
        <v>642</v>
      </c>
      <c r="E41" s="501"/>
      <c r="F41" s="502"/>
      <c r="G41" s="501"/>
      <c r="H41" s="503">
        <v>0</v>
      </c>
      <c r="I41" s="503">
        <v>0</v>
      </c>
      <c r="J41" s="504">
        <v>0</v>
      </c>
      <c r="K41" s="505" t="s">
        <v>718</v>
      </c>
      <c r="L41" s="506" t="s">
        <v>719</v>
      </c>
      <c r="M41" s="507">
        <v>642</v>
      </c>
      <c r="N41" s="5"/>
      <c r="O41" s="43"/>
      <c r="P41" s="43"/>
      <c r="Q41" s="91"/>
      <c r="R41" s="92"/>
      <c r="S41" s="77"/>
    </row>
    <row r="42" spans="1:19" ht="32.25" customHeight="1">
      <c r="A42" s="116">
        <v>11</v>
      </c>
      <c r="B42" s="117" t="s">
        <v>526</v>
      </c>
      <c r="C42" s="107" t="s">
        <v>400</v>
      </c>
      <c r="D42" s="123">
        <v>642</v>
      </c>
      <c r="E42" s="501"/>
      <c r="F42" s="502"/>
      <c r="G42" s="501"/>
      <c r="H42" s="503">
        <v>0</v>
      </c>
      <c r="I42" s="503">
        <v>0</v>
      </c>
      <c r="J42" s="504">
        <v>0</v>
      </c>
      <c r="K42" s="505" t="s">
        <v>720</v>
      </c>
      <c r="L42" s="506" t="s">
        <v>721</v>
      </c>
      <c r="M42" s="507">
        <v>642</v>
      </c>
      <c r="N42" s="5"/>
      <c r="O42" s="43"/>
      <c r="P42" s="43"/>
      <c r="Q42" s="91"/>
      <c r="R42" s="92"/>
      <c r="S42" s="77"/>
    </row>
    <row r="43" spans="1:19" ht="32.25" customHeight="1">
      <c r="A43" s="116">
        <v>12</v>
      </c>
      <c r="B43" s="117" t="s">
        <v>722</v>
      </c>
      <c r="C43" s="107" t="s">
        <v>400</v>
      </c>
      <c r="D43" s="123">
        <v>642</v>
      </c>
      <c r="E43" s="501"/>
      <c r="F43" s="502"/>
      <c r="G43" s="501"/>
      <c r="H43" s="503">
        <v>0</v>
      </c>
      <c r="I43" s="503">
        <v>0</v>
      </c>
      <c r="J43" s="504">
        <v>0</v>
      </c>
      <c r="K43" s="505" t="s">
        <v>720</v>
      </c>
      <c r="L43" s="506" t="s">
        <v>723</v>
      </c>
      <c r="M43" s="507">
        <v>642</v>
      </c>
      <c r="N43" s="5"/>
      <c r="O43" s="43"/>
      <c r="P43" s="43"/>
      <c r="Q43" s="91"/>
      <c r="R43" s="92"/>
      <c r="S43" s="77"/>
    </row>
    <row r="44" spans="1:19" ht="32.25" customHeight="1">
      <c r="A44" s="116">
        <v>13</v>
      </c>
      <c r="B44" s="117" t="s">
        <v>703</v>
      </c>
      <c r="C44" s="107" t="s">
        <v>400</v>
      </c>
      <c r="D44" s="123">
        <v>642</v>
      </c>
      <c r="E44" s="501"/>
      <c r="F44" s="502"/>
      <c r="G44" s="501"/>
      <c r="H44" s="503">
        <v>0</v>
      </c>
      <c r="I44" s="503">
        <v>0</v>
      </c>
      <c r="J44" s="504">
        <v>0</v>
      </c>
      <c r="K44" s="505" t="s">
        <v>697</v>
      </c>
      <c r="L44" s="506" t="s">
        <v>724</v>
      </c>
      <c r="M44" s="507">
        <v>642</v>
      </c>
      <c r="N44" s="5"/>
      <c r="O44" s="43"/>
      <c r="P44" s="43"/>
      <c r="Q44" s="91"/>
      <c r="R44" s="92"/>
      <c r="S44" s="77"/>
    </row>
    <row r="45" spans="1:19" ht="32.25" customHeight="1">
      <c r="A45" s="116">
        <v>14</v>
      </c>
      <c r="B45" s="117" t="s">
        <v>639</v>
      </c>
      <c r="C45" s="107" t="s">
        <v>400</v>
      </c>
      <c r="D45" s="123">
        <v>642</v>
      </c>
      <c r="E45" s="501"/>
      <c r="F45" s="502"/>
      <c r="G45" s="501"/>
      <c r="H45" s="503">
        <v>0</v>
      </c>
      <c r="I45" s="503">
        <v>0</v>
      </c>
      <c r="J45" s="504">
        <v>0</v>
      </c>
      <c r="K45" s="505" t="s">
        <v>697</v>
      </c>
      <c r="L45" s="506" t="s">
        <v>725</v>
      </c>
      <c r="M45" s="507">
        <v>642</v>
      </c>
      <c r="N45" s="5"/>
      <c r="O45" s="43"/>
      <c r="P45" s="43"/>
      <c r="Q45" s="91"/>
      <c r="R45" s="92"/>
      <c r="S45" s="77"/>
    </row>
    <row r="46" spans="1:19" ht="32.25" customHeight="1">
      <c r="A46" s="116">
        <v>15</v>
      </c>
      <c r="B46" s="117" t="s">
        <v>726</v>
      </c>
      <c r="C46" s="107" t="s">
        <v>400</v>
      </c>
      <c r="D46" s="123">
        <v>642</v>
      </c>
      <c r="E46" s="501"/>
      <c r="F46" s="502"/>
      <c r="G46" s="501"/>
      <c r="H46" s="503">
        <v>0</v>
      </c>
      <c r="I46" s="503">
        <v>0</v>
      </c>
      <c r="J46" s="504">
        <v>0</v>
      </c>
      <c r="K46" s="505" t="s">
        <v>697</v>
      </c>
      <c r="L46" s="506" t="s">
        <v>727</v>
      </c>
      <c r="M46" s="507">
        <v>642</v>
      </c>
      <c r="N46" s="5"/>
      <c r="O46" s="43"/>
      <c r="P46" s="43"/>
      <c r="Q46" s="91"/>
      <c r="R46" s="92"/>
      <c r="S46" s="77"/>
    </row>
    <row r="47" spans="1:19" ht="32.25" customHeight="1">
      <c r="A47" s="116">
        <v>16</v>
      </c>
      <c r="B47" s="117" t="s">
        <v>649</v>
      </c>
      <c r="C47" s="107" t="s">
        <v>400</v>
      </c>
      <c r="D47" s="123">
        <v>642</v>
      </c>
      <c r="E47" s="501"/>
      <c r="F47" s="502"/>
      <c r="G47" s="501"/>
      <c r="H47" s="503">
        <v>0</v>
      </c>
      <c r="I47" s="503">
        <v>0</v>
      </c>
      <c r="J47" s="504">
        <v>0</v>
      </c>
      <c r="K47" s="505" t="s">
        <v>728</v>
      </c>
      <c r="L47" s="506" t="s">
        <v>729</v>
      </c>
      <c r="M47" s="507">
        <v>642</v>
      </c>
      <c r="N47" s="5"/>
      <c r="O47" s="43"/>
      <c r="P47" s="43"/>
      <c r="Q47" s="91"/>
      <c r="R47" s="92"/>
      <c r="S47" s="77"/>
    </row>
    <row r="48" spans="1:19" ht="32.25" customHeight="1">
      <c r="A48" s="116">
        <v>17</v>
      </c>
      <c r="B48" s="117" t="s">
        <v>730</v>
      </c>
      <c r="C48" s="107" t="s">
        <v>400</v>
      </c>
      <c r="D48" s="123">
        <v>642</v>
      </c>
      <c r="E48" s="501"/>
      <c r="F48" s="502"/>
      <c r="G48" s="501"/>
      <c r="H48" s="503">
        <v>0</v>
      </c>
      <c r="I48" s="503">
        <v>0</v>
      </c>
      <c r="J48" s="504">
        <v>0</v>
      </c>
      <c r="K48" s="505" t="s">
        <v>728</v>
      </c>
      <c r="L48" s="506" t="s">
        <v>731</v>
      </c>
      <c r="M48" s="507">
        <v>642</v>
      </c>
      <c r="N48" s="5"/>
      <c r="O48" s="43"/>
      <c r="P48" s="43"/>
      <c r="Q48" s="91"/>
      <c r="R48" s="92"/>
      <c r="S48" s="77"/>
    </row>
    <row r="49" spans="1:19" ht="32.25" customHeight="1">
      <c r="A49" s="116">
        <v>18</v>
      </c>
      <c r="B49" s="117"/>
      <c r="C49" s="107"/>
      <c r="D49" s="123"/>
      <c r="E49" s="501"/>
      <c r="F49" s="502"/>
      <c r="G49" s="501"/>
      <c r="H49" s="503"/>
      <c r="I49" s="503"/>
      <c r="J49" s="504"/>
      <c r="K49" s="505"/>
      <c r="L49" s="506"/>
      <c r="M49" s="507"/>
      <c r="N49" s="5"/>
      <c r="O49" s="43"/>
      <c r="P49" s="43"/>
      <c r="Q49" s="91"/>
      <c r="R49" s="92"/>
      <c r="S49" s="77"/>
    </row>
    <row r="50" spans="1:19" ht="32.25" customHeight="1">
      <c r="A50" s="116">
        <v>19</v>
      </c>
      <c r="B50" s="117"/>
      <c r="C50" s="107"/>
      <c r="D50" s="123"/>
      <c r="E50" s="501"/>
      <c r="F50" s="502"/>
      <c r="G50" s="501"/>
      <c r="H50" s="503"/>
      <c r="I50" s="503"/>
      <c r="J50" s="504"/>
      <c r="K50" s="505"/>
      <c r="L50" s="506"/>
      <c r="M50" s="507"/>
      <c r="N50" s="5"/>
      <c r="O50" s="43"/>
      <c r="P50" s="43"/>
      <c r="Q50" s="91"/>
      <c r="R50" s="92"/>
      <c r="S50" s="77"/>
    </row>
    <row r="51" spans="1:19" ht="32.25" customHeight="1">
      <c r="A51" s="116"/>
      <c r="B51" s="117"/>
      <c r="C51" s="107"/>
      <c r="D51" s="123"/>
      <c r="E51" s="501"/>
      <c r="F51" s="502"/>
      <c r="G51" s="501"/>
      <c r="H51" s="503"/>
      <c r="I51" s="503"/>
      <c r="J51" s="504"/>
      <c r="K51" s="505"/>
      <c r="L51" s="506"/>
      <c r="M51" s="507"/>
      <c r="N51" s="5"/>
      <c r="O51" s="43"/>
      <c r="P51" s="43"/>
      <c r="Q51" s="91"/>
      <c r="R51" s="92"/>
      <c r="S51" s="77"/>
    </row>
    <row r="52" spans="1:19" ht="32.25" customHeight="1" thickBot="1">
      <c r="A52" s="39"/>
      <c r="B52" s="50" t="s">
        <v>19</v>
      </c>
      <c r="C52" s="50"/>
      <c r="D52" s="51">
        <f>SUM(D32:D51)</f>
        <v>8988</v>
      </c>
      <c r="E52" s="52"/>
      <c r="F52" s="53"/>
      <c r="G52" s="52"/>
      <c r="H52" s="51">
        <v>0</v>
      </c>
      <c r="I52" s="51">
        <v>0</v>
      </c>
      <c r="J52" s="51">
        <v>0</v>
      </c>
      <c r="K52" s="55"/>
      <c r="L52" s="55"/>
      <c r="M52" s="140">
        <f>SUM(M32:M51)</f>
        <v>8988</v>
      </c>
      <c r="N52" s="57"/>
      <c r="O52" s="53"/>
      <c r="P52" s="51"/>
      <c r="Q52" s="51"/>
      <c r="R52" s="51"/>
      <c r="S52" s="51"/>
    </row>
    <row r="53" spans="1:19" ht="32.25" customHeight="1" thickTop="1">
      <c r="A53" s="39"/>
      <c r="B53" s="58" t="s">
        <v>47</v>
      </c>
      <c r="C53" s="59"/>
      <c r="D53" s="60"/>
      <c r="E53" s="61"/>
      <c r="F53" s="62"/>
      <c r="G53" s="63"/>
      <c r="H53" s="64"/>
      <c r="I53" s="64"/>
      <c r="J53" s="64"/>
      <c r="K53" s="65"/>
      <c r="L53" s="66"/>
      <c r="M53" s="67"/>
      <c r="N53" s="68"/>
      <c r="O53" s="62"/>
      <c r="P53" s="69"/>
      <c r="Q53" s="63"/>
      <c r="R53" s="63"/>
      <c r="S53" s="70"/>
    </row>
    <row r="54" spans="1:19" ht="32.25" customHeight="1">
      <c r="A54" s="39">
        <v>1</v>
      </c>
      <c r="B54" s="40"/>
      <c r="C54" s="41"/>
      <c r="D54" s="42"/>
      <c r="E54" s="6"/>
      <c r="F54" s="43"/>
      <c r="G54" s="6"/>
      <c r="H54" s="42"/>
      <c r="I54" s="42"/>
      <c r="J54" s="42"/>
      <c r="K54" s="44"/>
      <c r="L54" s="45"/>
      <c r="M54" s="46"/>
      <c r="N54" s="5"/>
      <c r="O54" s="43"/>
      <c r="P54" s="47"/>
      <c r="Q54" s="48"/>
      <c r="R54" s="48"/>
      <c r="S54" s="49"/>
    </row>
    <row r="55" spans="1:19" ht="32.25" customHeight="1" thickBot="1">
      <c r="A55" s="39"/>
      <c r="B55" s="50" t="s">
        <v>19</v>
      </c>
      <c r="C55" s="50"/>
      <c r="D55" s="51">
        <v>0</v>
      </c>
      <c r="E55" s="52"/>
      <c r="F55" s="53"/>
      <c r="G55" s="52"/>
      <c r="H55" s="51">
        <v>0</v>
      </c>
      <c r="I55" s="51">
        <v>0</v>
      </c>
      <c r="J55" s="51">
        <v>0</v>
      </c>
      <c r="K55" s="54"/>
      <c r="L55" s="55"/>
      <c r="M55" s="56"/>
      <c r="N55" s="57"/>
      <c r="O55" s="53"/>
      <c r="P55" s="51"/>
      <c r="Q55" s="51"/>
      <c r="R55" s="51"/>
      <c r="S55" s="51"/>
    </row>
    <row r="56" spans="1:19" ht="32.25" customHeight="1" thickTop="1">
      <c r="A56" s="39"/>
      <c r="B56" s="58" t="s">
        <v>48</v>
      </c>
      <c r="C56" s="59"/>
      <c r="D56" s="60"/>
      <c r="E56" s="61"/>
      <c r="F56" s="62"/>
      <c r="G56" s="63"/>
      <c r="H56" s="64"/>
      <c r="I56" s="64"/>
      <c r="J56" s="64"/>
      <c r="K56" s="65"/>
      <c r="L56" s="66"/>
      <c r="M56" s="67"/>
      <c r="N56" s="68"/>
      <c r="O56" s="62"/>
      <c r="P56" s="69"/>
      <c r="Q56" s="63"/>
      <c r="R56" s="63"/>
      <c r="S56" s="70"/>
    </row>
    <row r="57" spans="1:19" ht="32.25" customHeight="1">
      <c r="A57" s="39">
        <v>1</v>
      </c>
      <c r="B57" s="40"/>
      <c r="C57" s="41"/>
      <c r="D57" s="42"/>
      <c r="E57" s="6"/>
      <c r="F57" s="43"/>
      <c r="G57" s="6"/>
      <c r="H57" s="42"/>
      <c r="I57" s="42"/>
      <c r="J57" s="42"/>
      <c r="K57" s="44"/>
      <c r="L57" s="45"/>
      <c r="M57" s="46"/>
      <c r="N57" s="5"/>
      <c r="O57" s="43"/>
      <c r="P57" s="47"/>
      <c r="Q57" s="48"/>
      <c r="R57" s="48"/>
      <c r="S57" s="49"/>
    </row>
    <row r="58" spans="1:19" ht="32.25" customHeight="1" thickBot="1">
      <c r="A58" s="39"/>
      <c r="B58" s="50" t="s">
        <v>19</v>
      </c>
      <c r="C58" s="50"/>
      <c r="D58" s="51">
        <v>0</v>
      </c>
      <c r="E58" s="52"/>
      <c r="F58" s="53"/>
      <c r="G58" s="52"/>
      <c r="H58" s="51">
        <v>0</v>
      </c>
      <c r="I58" s="51">
        <v>0</v>
      </c>
      <c r="J58" s="51">
        <v>0</v>
      </c>
      <c r="K58" s="54"/>
      <c r="L58" s="55"/>
      <c r="M58" s="56"/>
      <c r="N58" s="57"/>
      <c r="O58" s="53"/>
      <c r="P58" s="51"/>
      <c r="Q58" s="51"/>
      <c r="R58" s="51"/>
      <c r="S58" s="51"/>
    </row>
    <row r="59" spans="1:19" ht="32.25" customHeight="1" thickTop="1">
      <c r="A59" s="39"/>
      <c r="B59" s="58" t="s">
        <v>49</v>
      </c>
      <c r="C59" s="59"/>
      <c r="D59" s="60"/>
      <c r="E59" s="61"/>
      <c r="F59" s="62"/>
      <c r="G59" s="63"/>
      <c r="H59" s="64"/>
      <c r="I59" s="64"/>
      <c r="J59" s="64"/>
      <c r="K59" s="65"/>
      <c r="L59" s="66"/>
      <c r="M59" s="67"/>
      <c r="N59" s="68"/>
      <c r="O59" s="62"/>
      <c r="P59" s="69"/>
      <c r="Q59" s="63"/>
      <c r="R59" s="63"/>
      <c r="S59" s="70"/>
    </row>
    <row r="60" spans="1:19" ht="32.25" customHeight="1">
      <c r="A60" s="39">
        <v>1</v>
      </c>
      <c r="B60" s="40"/>
      <c r="C60" s="41"/>
      <c r="D60" s="42"/>
      <c r="E60" s="6"/>
      <c r="F60" s="43"/>
      <c r="G60" s="6"/>
      <c r="H60" s="42"/>
      <c r="I60" s="42"/>
      <c r="J60" s="42"/>
      <c r="K60" s="44"/>
      <c r="L60" s="45"/>
      <c r="M60" s="46"/>
      <c r="N60" s="5"/>
      <c r="O60" s="43"/>
      <c r="P60" s="47"/>
      <c r="Q60" s="48"/>
      <c r="R60" s="48"/>
      <c r="S60" s="49"/>
    </row>
    <row r="61" spans="1:19" ht="32.25" customHeight="1" thickBot="1">
      <c r="A61" s="39"/>
      <c r="B61" s="50" t="s">
        <v>19</v>
      </c>
      <c r="C61" s="50"/>
      <c r="D61" s="51">
        <v>0</v>
      </c>
      <c r="E61" s="52"/>
      <c r="F61" s="53"/>
      <c r="G61" s="52"/>
      <c r="H61" s="51">
        <v>0</v>
      </c>
      <c r="I61" s="51">
        <v>0</v>
      </c>
      <c r="J61" s="51">
        <v>0</v>
      </c>
      <c r="K61" s="54"/>
      <c r="L61" s="55"/>
      <c r="M61" s="56">
        <v>0</v>
      </c>
      <c r="N61" s="57"/>
      <c r="O61" s="53"/>
      <c r="P61" s="51"/>
      <c r="Q61" s="51"/>
      <c r="R61" s="51"/>
      <c r="S61" s="51"/>
    </row>
    <row r="62" spans="1:19" ht="32.25" customHeight="1" thickTop="1">
      <c r="A62" s="39"/>
      <c r="B62" s="141" t="s">
        <v>50</v>
      </c>
      <c r="C62" s="142"/>
      <c r="D62" s="125"/>
      <c r="E62" s="131"/>
      <c r="F62" s="115"/>
      <c r="G62" s="33"/>
      <c r="H62" s="143"/>
      <c r="I62" s="143"/>
      <c r="J62" s="143"/>
      <c r="K62" s="34"/>
      <c r="L62" s="35"/>
      <c r="M62" s="36"/>
      <c r="N62" s="114"/>
      <c r="O62" s="115"/>
      <c r="P62" s="144"/>
      <c r="Q62" s="33"/>
      <c r="R62" s="33"/>
      <c r="S62" s="145"/>
    </row>
    <row r="63" spans="1:19" ht="32.25" customHeight="1">
      <c r="A63" s="39"/>
      <c r="B63" s="146" t="s">
        <v>51</v>
      </c>
      <c r="C63" s="146"/>
      <c r="D63" s="125"/>
      <c r="E63" s="131"/>
      <c r="F63" s="122"/>
      <c r="G63" s="147"/>
      <c r="H63" s="148"/>
      <c r="I63" s="148"/>
      <c r="J63" s="143"/>
      <c r="K63" s="34"/>
      <c r="L63" s="35"/>
      <c r="M63" s="36"/>
      <c r="N63" s="114"/>
      <c r="O63" s="122"/>
      <c r="P63" s="149"/>
      <c r="Q63" s="147"/>
      <c r="R63" s="147"/>
      <c r="S63" s="145"/>
    </row>
    <row r="64" spans="1:19" s="160" customFormat="1" ht="32.25" customHeight="1">
      <c r="A64" s="106">
        <v>1</v>
      </c>
      <c r="B64" s="142" t="s">
        <v>52</v>
      </c>
      <c r="C64" s="150" t="s">
        <v>53</v>
      </c>
      <c r="D64" s="151">
        <v>4140</v>
      </c>
      <c r="E64" s="157" t="s">
        <v>57</v>
      </c>
      <c r="F64" s="158"/>
      <c r="G64" s="158"/>
      <c r="H64" s="153">
        <v>-2070</v>
      </c>
      <c r="I64" s="153"/>
      <c r="J64" s="159">
        <v>-2070</v>
      </c>
      <c r="K64" s="154" t="s">
        <v>732</v>
      </c>
      <c r="L64" s="155" t="s">
        <v>733</v>
      </c>
      <c r="M64" s="156">
        <v>4140</v>
      </c>
      <c r="N64" s="157" t="s">
        <v>57</v>
      </c>
      <c r="O64" s="158"/>
      <c r="P64" s="158"/>
      <c r="Q64" s="153">
        <v>-2070</v>
      </c>
      <c r="R64" s="153"/>
      <c r="S64" s="159">
        <v>-2070</v>
      </c>
    </row>
    <row r="65" spans="1:19" s="160" customFormat="1" ht="32.25" customHeight="1">
      <c r="A65" s="106">
        <v>2</v>
      </c>
      <c r="B65" s="161" t="s">
        <v>58</v>
      </c>
      <c r="C65" s="162" t="s">
        <v>59</v>
      </c>
      <c r="D65" s="151">
        <v>0</v>
      </c>
      <c r="E65" s="167"/>
      <c r="F65" s="158"/>
      <c r="G65" s="158"/>
      <c r="H65" s="91">
        <v>0</v>
      </c>
      <c r="I65" s="91"/>
      <c r="J65" s="77">
        <v>0</v>
      </c>
      <c r="K65" s="164"/>
      <c r="L65" s="165"/>
      <c r="M65" s="166"/>
      <c r="N65" s="167"/>
      <c r="O65" s="158"/>
      <c r="P65" s="158"/>
      <c r="Q65" s="91">
        <f t="shared" ref="Q65:Q68" si="0">SUM(D65+H65-M65)</f>
        <v>0</v>
      </c>
      <c r="R65" s="91"/>
      <c r="S65" s="77">
        <f t="shared" ref="S65:S68" si="1">SUM(Q65)</f>
        <v>0</v>
      </c>
    </row>
    <row r="66" spans="1:19" s="160" customFormat="1" ht="32.25" customHeight="1">
      <c r="A66" s="106">
        <v>3</v>
      </c>
      <c r="B66" s="142" t="s">
        <v>60</v>
      </c>
      <c r="C66" s="150" t="s">
        <v>61</v>
      </c>
      <c r="D66" s="151">
        <v>2070</v>
      </c>
      <c r="E66" s="167"/>
      <c r="F66" s="158"/>
      <c r="G66" s="158"/>
      <c r="H66" s="91">
        <v>0</v>
      </c>
      <c r="I66" s="91"/>
      <c r="J66" s="77">
        <v>0</v>
      </c>
      <c r="K66" s="154" t="s">
        <v>734</v>
      </c>
      <c r="L66" s="155" t="s">
        <v>735</v>
      </c>
      <c r="M66" s="156">
        <v>2070</v>
      </c>
      <c r="N66" s="167"/>
      <c r="O66" s="158"/>
      <c r="P66" s="158"/>
      <c r="Q66" s="91">
        <f t="shared" si="0"/>
        <v>0</v>
      </c>
      <c r="R66" s="91"/>
      <c r="S66" s="77">
        <f t="shared" si="1"/>
        <v>0</v>
      </c>
    </row>
    <row r="67" spans="1:19" s="160" customFormat="1" ht="32.25" customHeight="1">
      <c r="A67" s="106">
        <v>4</v>
      </c>
      <c r="B67" s="142" t="s">
        <v>27</v>
      </c>
      <c r="C67" s="150" t="s">
        <v>64</v>
      </c>
      <c r="D67" s="151">
        <v>2070</v>
      </c>
      <c r="E67" s="167"/>
      <c r="F67" s="158"/>
      <c r="G67" s="158"/>
      <c r="H67" s="91">
        <v>0</v>
      </c>
      <c r="I67" s="91"/>
      <c r="J67" s="77">
        <v>0</v>
      </c>
      <c r="K67" s="154" t="s">
        <v>734</v>
      </c>
      <c r="L67" s="155" t="s">
        <v>736</v>
      </c>
      <c r="M67" s="156">
        <v>2070</v>
      </c>
      <c r="N67" s="167"/>
      <c r="O67" s="158"/>
      <c r="P67" s="158"/>
      <c r="Q67" s="91">
        <f t="shared" si="0"/>
        <v>0</v>
      </c>
      <c r="R67" s="91"/>
      <c r="S67" s="77">
        <f t="shared" si="1"/>
        <v>0</v>
      </c>
    </row>
    <row r="68" spans="1:19" s="160" customFormat="1" ht="32.25" customHeight="1">
      <c r="A68" s="106">
        <v>5</v>
      </c>
      <c r="B68" s="168" t="s">
        <v>42</v>
      </c>
      <c r="C68" s="150" t="s">
        <v>67</v>
      </c>
      <c r="D68" s="125">
        <v>2070</v>
      </c>
      <c r="E68" s="167"/>
      <c r="F68" s="158"/>
      <c r="G68" s="158"/>
      <c r="H68" s="91">
        <v>0</v>
      </c>
      <c r="I68" s="91"/>
      <c r="J68" s="77">
        <v>0</v>
      </c>
      <c r="K68" s="154" t="s">
        <v>734</v>
      </c>
      <c r="L68" s="155" t="s">
        <v>737</v>
      </c>
      <c r="M68" s="156">
        <v>2070</v>
      </c>
      <c r="N68" s="167"/>
      <c r="O68" s="158"/>
      <c r="P68" s="158"/>
      <c r="Q68" s="91">
        <f t="shared" si="0"/>
        <v>0</v>
      </c>
      <c r="R68" s="91"/>
      <c r="S68" s="77">
        <f t="shared" si="1"/>
        <v>0</v>
      </c>
    </row>
    <row r="69" spans="1:19" s="160" customFormat="1" ht="32.25" customHeight="1">
      <c r="A69" s="106">
        <v>6</v>
      </c>
      <c r="B69" s="142" t="s">
        <v>69</v>
      </c>
      <c r="C69" s="150" t="s">
        <v>70</v>
      </c>
      <c r="D69" s="151">
        <v>2070</v>
      </c>
      <c r="E69" s="169"/>
      <c r="F69" s="158"/>
      <c r="G69" s="158"/>
      <c r="H69" s="91">
        <v>0</v>
      </c>
      <c r="I69" s="91"/>
      <c r="J69" s="77">
        <v>0</v>
      </c>
      <c r="K69" s="154" t="s">
        <v>738</v>
      </c>
      <c r="L69" s="155" t="s">
        <v>739</v>
      </c>
      <c r="M69" s="156">
        <v>2070</v>
      </c>
      <c r="N69" s="169"/>
      <c r="O69" s="158"/>
      <c r="P69" s="158"/>
      <c r="Q69" s="91">
        <f>SUM(D69+H69-M69)</f>
        <v>0</v>
      </c>
      <c r="R69" s="91"/>
      <c r="S69" s="77">
        <f>SUM(Q69)</f>
        <v>0</v>
      </c>
    </row>
    <row r="70" spans="1:19" ht="32.25" customHeight="1">
      <c r="A70" s="106">
        <v>7</v>
      </c>
      <c r="B70" s="146" t="s">
        <v>75</v>
      </c>
      <c r="C70" s="170" t="s">
        <v>76</v>
      </c>
      <c r="D70" s="151"/>
      <c r="E70" s="167"/>
      <c r="F70" s="158"/>
      <c r="G70" s="158"/>
      <c r="H70" s="91">
        <v>0</v>
      </c>
      <c r="I70" s="91"/>
      <c r="J70" s="77">
        <v>0</v>
      </c>
      <c r="K70" s="164"/>
      <c r="L70" s="165"/>
      <c r="M70" s="166"/>
      <c r="N70" s="167"/>
      <c r="O70" s="158"/>
      <c r="P70" s="158"/>
      <c r="Q70" s="91">
        <f t="shared" ref="Q70:Q95" si="2">SUM(D70+H70-M70)</f>
        <v>0</v>
      </c>
      <c r="R70" s="91"/>
      <c r="S70" s="77">
        <f t="shared" ref="S70:S95" si="3">SUM(Q70)</f>
        <v>0</v>
      </c>
    </row>
    <row r="71" spans="1:19" s="160" customFormat="1" ht="32.25" customHeight="1">
      <c r="A71" s="106">
        <v>8</v>
      </c>
      <c r="B71" s="142" t="s">
        <v>77</v>
      </c>
      <c r="C71" s="150" t="s">
        <v>78</v>
      </c>
      <c r="D71" s="151">
        <v>2070</v>
      </c>
      <c r="E71" s="167"/>
      <c r="F71" s="158"/>
      <c r="G71" s="158"/>
      <c r="H71" s="91">
        <v>0</v>
      </c>
      <c r="I71" s="91"/>
      <c r="J71" s="77">
        <v>0</v>
      </c>
      <c r="K71" s="154" t="s">
        <v>713</v>
      </c>
      <c r="L71" s="171" t="s">
        <v>740</v>
      </c>
      <c r="M71" s="156">
        <v>2070</v>
      </c>
      <c r="N71" s="167"/>
      <c r="O71" s="158"/>
      <c r="P71" s="158"/>
      <c r="Q71" s="91">
        <f t="shared" si="2"/>
        <v>0</v>
      </c>
      <c r="R71" s="91"/>
      <c r="S71" s="77">
        <f t="shared" si="3"/>
        <v>0</v>
      </c>
    </row>
    <row r="72" spans="1:19" s="160" customFormat="1" ht="32.25" customHeight="1">
      <c r="A72" s="106">
        <v>9</v>
      </c>
      <c r="B72" s="142" t="s">
        <v>77</v>
      </c>
      <c r="C72" s="150" t="s">
        <v>81</v>
      </c>
      <c r="D72" s="151">
        <v>2070</v>
      </c>
      <c r="E72" s="167"/>
      <c r="F72" s="158"/>
      <c r="G72" s="158"/>
      <c r="H72" s="91">
        <v>0</v>
      </c>
      <c r="I72" s="91"/>
      <c r="J72" s="77">
        <v>0</v>
      </c>
      <c r="K72" s="154" t="s">
        <v>713</v>
      </c>
      <c r="L72" s="171" t="s">
        <v>740</v>
      </c>
      <c r="M72" s="156">
        <v>2070</v>
      </c>
      <c r="N72" s="167"/>
      <c r="O72" s="158"/>
      <c r="P72" s="158"/>
      <c r="Q72" s="91">
        <f t="shared" si="2"/>
        <v>0</v>
      </c>
      <c r="R72" s="91"/>
      <c r="S72" s="77">
        <f t="shared" si="3"/>
        <v>0</v>
      </c>
    </row>
    <row r="73" spans="1:19" ht="32.25" customHeight="1">
      <c r="A73" s="106">
        <v>10</v>
      </c>
      <c r="B73" s="146" t="s">
        <v>75</v>
      </c>
      <c r="C73" s="170" t="s">
        <v>82</v>
      </c>
      <c r="D73" s="151"/>
      <c r="E73" s="167"/>
      <c r="F73" s="158"/>
      <c r="G73" s="158"/>
      <c r="H73" s="91">
        <v>0</v>
      </c>
      <c r="I73" s="91"/>
      <c r="J73" s="77">
        <v>0</v>
      </c>
      <c r="K73" s="164"/>
      <c r="L73" s="172"/>
      <c r="M73" s="166"/>
      <c r="N73" s="167"/>
      <c r="O73" s="158"/>
      <c r="P73" s="158"/>
      <c r="Q73" s="91">
        <f t="shared" si="2"/>
        <v>0</v>
      </c>
      <c r="R73" s="91"/>
      <c r="S73" s="77">
        <f t="shared" si="3"/>
        <v>0</v>
      </c>
    </row>
    <row r="74" spans="1:19" s="160" customFormat="1" ht="32.25" customHeight="1">
      <c r="A74" s="106">
        <v>11</v>
      </c>
      <c r="B74" s="142" t="s">
        <v>83</v>
      </c>
      <c r="C74" s="150" t="s">
        <v>84</v>
      </c>
      <c r="D74" s="151">
        <v>2070</v>
      </c>
      <c r="E74" s="167"/>
      <c r="F74" s="158"/>
      <c r="G74" s="158"/>
      <c r="H74" s="91">
        <v>0</v>
      </c>
      <c r="I74" s="91"/>
      <c r="J74" s="77">
        <v>0</v>
      </c>
      <c r="K74" s="154" t="s">
        <v>706</v>
      </c>
      <c r="L74" s="155" t="s">
        <v>741</v>
      </c>
      <c r="M74" s="156">
        <v>2070</v>
      </c>
      <c r="N74" s="167"/>
      <c r="O74" s="158"/>
      <c r="P74" s="158"/>
      <c r="Q74" s="91">
        <f t="shared" si="2"/>
        <v>0</v>
      </c>
      <c r="R74" s="91"/>
      <c r="S74" s="77">
        <f t="shared" si="3"/>
        <v>0</v>
      </c>
    </row>
    <row r="75" spans="1:19" s="160" customFormat="1" ht="32.25" customHeight="1">
      <c r="A75" s="106">
        <v>12</v>
      </c>
      <c r="B75" s="142" t="s">
        <v>87</v>
      </c>
      <c r="C75" s="150" t="s">
        <v>88</v>
      </c>
      <c r="D75" s="151">
        <v>2070</v>
      </c>
      <c r="E75" s="167"/>
      <c r="F75" s="158"/>
      <c r="G75" s="158"/>
      <c r="H75" s="91">
        <v>0</v>
      </c>
      <c r="I75" s="91"/>
      <c r="J75" s="77">
        <v>0</v>
      </c>
      <c r="K75" s="154" t="s">
        <v>738</v>
      </c>
      <c r="L75" s="171" t="s">
        <v>742</v>
      </c>
      <c r="M75" s="156">
        <v>2070</v>
      </c>
      <c r="N75" s="167"/>
      <c r="O75" s="158"/>
      <c r="P75" s="158"/>
      <c r="Q75" s="91">
        <f t="shared" si="2"/>
        <v>0</v>
      </c>
      <c r="R75" s="91"/>
      <c r="S75" s="77">
        <f t="shared" si="3"/>
        <v>0</v>
      </c>
    </row>
    <row r="76" spans="1:19" ht="32.25" customHeight="1">
      <c r="A76" s="106">
        <v>13</v>
      </c>
      <c r="B76" s="146" t="s">
        <v>75</v>
      </c>
      <c r="C76" s="173" t="s">
        <v>91</v>
      </c>
      <c r="D76" s="151"/>
      <c r="E76" s="167"/>
      <c r="F76" s="158"/>
      <c r="G76" s="158"/>
      <c r="H76" s="91">
        <v>0</v>
      </c>
      <c r="I76" s="91"/>
      <c r="J76" s="77">
        <v>0</v>
      </c>
      <c r="K76" s="164"/>
      <c r="L76" s="165"/>
      <c r="M76" s="166"/>
      <c r="N76" s="167"/>
      <c r="O76" s="158"/>
      <c r="P76" s="158"/>
      <c r="Q76" s="91">
        <f t="shared" si="2"/>
        <v>0</v>
      </c>
      <c r="R76" s="91"/>
      <c r="S76" s="77">
        <f t="shared" si="3"/>
        <v>0</v>
      </c>
    </row>
    <row r="77" spans="1:19" ht="32.25" customHeight="1">
      <c r="A77" s="106">
        <v>14</v>
      </c>
      <c r="B77" s="142" t="s">
        <v>92</v>
      </c>
      <c r="C77" s="174" t="s">
        <v>93</v>
      </c>
      <c r="D77" s="151"/>
      <c r="E77" s="167"/>
      <c r="F77" s="158"/>
      <c r="G77" s="158"/>
      <c r="H77" s="91">
        <v>0</v>
      </c>
      <c r="I77" s="91"/>
      <c r="J77" s="77">
        <v>0</v>
      </c>
      <c r="K77" s="164"/>
      <c r="L77" s="165"/>
      <c r="M77" s="166"/>
      <c r="N77" s="167"/>
      <c r="O77" s="158"/>
      <c r="P77" s="158"/>
      <c r="Q77" s="91">
        <f t="shared" si="2"/>
        <v>0</v>
      </c>
      <c r="R77" s="91"/>
      <c r="S77" s="77">
        <f t="shared" si="3"/>
        <v>0</v>
      </c>
    </row>
    <row r="78" spans="1:19" ht="32.25" customHeight="1">
      <c r="A78" s="106">
        <v>15</v>
      </c>
      <c r="B78" s="146" t="s">
        <v>75</v>
      </c>
      <c r="C78" s="170" t="s">
        <v>94</v>
      </c>
      <c r="D78" s="151">
        <v>0</v>
      </c>
      <c r="E78" s="167"/>
      <c r="F78" s="158"/>
      <c r="G78" s="158"/>
      <c r="H78" s="91">
        <v>0</v>
      </c>
      <c r="I78" s="91"/>
      <c r="J78" s="77">
        <v>0</v>
      </c>
      <c r="K78" s="164"/>
      <c r="L78" s="165"/>
      <c r="M78" s="166"/>
      <c r="N78" s="167"/>
      <c r="O78" s="158"/>
      <c r="P78" s="158"/>
      <c r="Q78" s="91">
        <f t="shared" si="2"/>
        <v>0</v>
      </c>
      <c r="R78" s="91"/>
      <c r="S78" s="77">
        <f t="shared" si="3"/>
        <v>0</v>
      </c>
    </row>
    <row r="79" spans="1:19" s="160" customFormat="1" ht="32.25" customHeight="1">
      <c r="A79" s="106">
        <v>16</v>
      </c>
      <c r="B79" s="142" t="s">
        <v>95</v>
      </c>
      <c r="C79" s="150" t="s">
        <v>96</v>
      </c>
      <c r="D79" s="151">
        <v>0</v>
      </c>
      <c r="E79" s="167"/>
      <c r="F79" s="158"/>
      <c r="G79" s="158"/>
      <c r="H79" s="91">
        <v>0</v>
      </c>
      <c r="I79" s="91"/>
      <c r="J79" s="77">
        <v>0</v>
      </c>
      <c r="K79" s="164"/>
      <c r="L79" s="175"/>
      <c r="M79" s="166"/>
      <c r="N79" s="167"/>
      <c r="O79" s="158"/>
      <c r="P79" s="158"/>
      <c r="Q79" s="91">
        <f t="shared" si="2"/>
        <v>0</v>
      </c>
      <c r="R79" s="91"/>
      <c r="S79" s="77">
        <f t="shared" si="3"/>
        <v>0</v>
      </c>
    </row>
    <row r="80" spans="1:19" s="160" customFormat="1" ht="32.25" customHeight="1">
      <c r="A80" s="106">
        <v>17</v>
      </c>
      <c r="B80" s="176" t="s">
        <v>97</v>
      </c>
      <c r="C80" s="162" t="s">
        <v>98</v>
      </c>
      <c r="D80" s="151">
        <v>0</v>
      </c>
      <c r="E80" s="167"/>
      <c r="F80" s="158"/>
      <c r="G80" s="158"/>
      <c r="H80" s="91">
        <v>0</v>
      </c>
      <c r="I80" s="91"/>
      <c r="J80" s="77">
        <v>0</v>
      </c>
      <c r="K80" s="164"/>
      <c r="L80" s="165"/>
      <c r="M80" s="177"/>
      <c r="N80" s="167"/>
      <c r="O80" s="158"/>
      <c r="P80" s="158"/>
      <c r="Q80" s="91">
        <f t="shared" si="2"/>
        <v>0</v>
      </c>
      <c r="R80" s="91"/>
      <c r="S80" s="77">
        <f t="shared" si="3"/>
        <v>0</v>
      </c>
    </row>
    <row r="81" spans="1:19" s="160" customFormat="1" ht="32.25" customHeight="1">
      <c r="A81" s="106">
        <v>18</v>
      </c>
      <c r="B81" s="142" t="s">
        <v>99</v>
      </c>
      <c r="C81" s="174" t="s">
        <v>100</v>
      </c>
      <c r="D81" s="151">
        <v>37375</v>
      </c>
      <c r="E81" s="167"/>
      <c r="F81" s="158"/>
      <c r="G81" s="158"/>
      <c r="H81" s="91">
        <v>0</v>
      </c>
      <c r="I81" s="91"/>
      <c r="J81" s="77">
        <v>0</v>
      </c>
      <c r="K81" s="154" t="s">
        <v>734</v>
      </c>
      <c r="L81" s="171" t="s">
        <v>743</v>
      </c>
      <c r="M81" s="178">
        <v>37375</v>
      </c>
      <c r="N81" s="167"/>
      <c r="O81" s="158"/>
      <c r="P81" s="158"/>
      <c r="Q81" s="91">
        <f t="shared" si="2"/>
        <v>0</v>
      </c>
      <c r="R81" s="91"/>
      <c r="S81" s="77">
        <f t="shared" si="3"/>
        <v>0</v>
      </c>
    </row>
    <row r="82" spans="1:19" s="160" customFormat="1" ht="32.25" customHeight="1">
      <c r="A82" s="106"/>
      <c r="B82" s="652" t="s">
        <v>102</v>
      </c>
      <c r="C82" s="653"/>
      <c r="D82" s="654"/>
      <c r="E82" s="167"/>
      <c r="F82" s="158"/>
      <c r="G82" s="158"/>
      <c r="H82" s="91">
        <v>0</v>
      </c>
      <c r="I82" s="91"/>
      <c r="J82" s="77">
        <v>0</v>
      </c>
      <c r="K82" s="164"/>
      <c r="L82" s="182"/>
      <c r="M82" s="183"/>
      <c r="N82" s="167"/>
      <c r="O82" s="158"/>
      <c r="P82" s="158"/>
      <c r="Q82" s="91">
        <f t="shared" si="2"/>
        <v>0</v>
      </c>
      <c r="R82" s="91"/>
      <c r="S82" s="77">
        <f t="shared" si="3"/>
        <v>0</v>
      </c>
    </row>
    <row r="83" spans="1:19" s="160" customFormat="1" ht="32.25" customHeight="1">
      <c r="A83" s="106">
        <v>19</v>
      </c>
      <c r="B83" s="142" t="s">
        <v>103</v>
      </c>
      <c r="C83" s="174" t="s">
        <v>104</v>
      </c>
      <c r="D83" s="151">
        <v>15525</v>
      </c>
      <c r="E83" s="167"/>
      <c r="F83" s="158"/>
      <c r="G83" s="158"/>
      <c r="H83" s="91">
        <v>0</v>
      </c>
      <c r="I83" s="91"/>
      <c r="J83" s="77">
        <v>0</v>
      </c>
      <c r="K83" s="154" t="s">
        <v>738</v>
      </c>
      <c r="L83" s="171" t="s">
        <v>744</v>
      </c>
      <c r="M83" s="178">
        <v>15525</v>
      </c>
      <c r="N83" s="167"/>
      <c r="O83" s="158"/>
      <c r="P83" s="158"/>
      <c r="Q83" s="91">
        <f t="shared" si="2"/>
        <v>0</v>
      </c>
      <c r="R83" s="91"/>
      <c r="S83" s="77">
        <f t="shared" si="3"/>
        <v>0</v>
      </c>
    </row>
    <row r="84" spans="1:19" s="160" customFormat="1" ht="32.25" customHeight="1">
      <c r="A84" s="106"/>
      <c r="B84" s="652" t="s">
        <v>106</v>
      </c>
      <c r="C84" s="653"/>
      <c r="D84" s="654"/>
      <c r="E84" s="167"/>
      <c r="F84" s="158"/>
      <c r="G84" s="158"/>
      <c r="H84" s="91">
        <v>0</v>
      </c>
      <c r="I84" s="91"/>
      <c r="J84" s="77">
        <v>0</v>
      </c>
      <c r="K84" s="164"/>
      <c r="L84" s="182"/>
      <c r="M84" s="183"/>
      <c r="N84" s="167"/>
      <c r="O84" s="158"/>
      <c r="P84" s="158"/>
      <c r="Q84" s="91">
        <f t="shared" si="2"/>
        <v>0</v>
      </c>
      <c r="R84" s="91"/>
      <c r="S84" s="77">
        <f t="shared" si="3"/>
        <v>0</v>
      </c>
    </row>
    <row r="85" spans="1:19" s="160" customFormat="1" ht="32.25" customHeight="1">
      <c r="A85" s="106">
        <v>20</v>
      </c>
      <c r="B85" s="142" t="s">
        <v>107</v>
      </c>
      <c r="C85" s="174" t="s">
        <v>108</v>
      </c>
      <c r="D85" s="151">
        <v>14000</v>
      </c>
      <c r="E85" s="167"/>
      <c r="F85" s="158"/>
      <c r="G85" s="158"/>
      <c r="H85" s="91">
        <v>0</v>
      </c>
      <c r="I85" s="91"/>
      <c r="J85" s="77">
        <v>0</v>
      </c>
      <c r="K85" s="154" t="s">
        <v>745</v>
      </c>
      <c r="L85" s="155" t="s">
        <v>746</v>
      </c>
      <c r="M85" s="178">
        <v>14000</v>
      </c>
      <c r="N85" s="167"/>
      <c r="O85" s="158"/>
      <c r="P85" s="158"/>
      <c r="Q85" s="91">
        <f t="shared" si="2"/>
        <v>0</v>
      </c>
      <c r="R85" s="91"/>
      <c r="S85" s="77">
        <f t="shared" si="3"/>
        <v>0</v>
      </c>
    </row>
    <row r="86" spans="1:19" s="160" customFormat="1" ht="32.25" customHeight="1">
      <c r="A86" s="106"/>
      <c r="B86" s="652" t="s">
        <v>110</v>
      </c>
      <c r="C86" s="653"/>
      <c r="D86" s="654"/>
      <c r="E86" s="167"/>
      <c r="F86" s="158"/>
      <c r="G86" s="158"/>
      <c r="H86" s="91">
        <v>0</v>
      </c>
      <c r="I86" s="91"/>
      <c r="J86" s="77">
        <v>0</v>
      </c>
      <c r="K86" s="164"/>
      <c r="L86" s="182"/>
      <c r="M86" s="183"/>
      <c r="N86" s="167"/>
      <c r="O86" s="158"/>
      <c r="P86" s="158"/>
      <c r="Q86" s="91">
        <f t="shared" si="2"/>
        <v>0</v>
      </c>
      <c r="R86" s="91"/>
      <c r="S86" s="77">
        <f t="shared" si="3"/>
        <v>0</v>
      </c>
    </row>
    <row r="87" spans="1:19" s="160" customFormat="1" ht="32.25" customHeight="1">
      <c r="A87" s="106">
        <v>21</v>
      </c>
      <c r="B87" s="142" t="s">
        <v>111</v>
      </c>
      <c r="C87" s="142" t="s">
        <v>112</v>
      </c>
      <c r="D87" s="151">
        <v>7000</v>
      </c>
      <c r="E87" s="167"/>
      <c r="F87" s="158"/>
      <c r="G87" s="158"/>
      <c r="H87" s="91">
        <v>0</v>
      </c>
      <c r="I87" s="91"/>
      <c r="J87" s="77">
        <v>0</v>
      </c>
      <c r="K87" s="154" t="s">
        <v>732</v>
      </c>
      <c r="L87" s="155" t="s">
        <v>747</v>
      </c>
      <c r="M87" s="178">
        <v>7000</v>
      </c>
      <c r="N87" s="167"/>
      <c r="O87" s="158"/>
      <c r="P87" s="158"/>
      <c r="Q87" s="91">
        <f t="shared" si="2"/>
        <v>0</v>
      </c>
      <c r="R87" s="91"/>
      <c r="S87" s="77">
        <f t="shared" si="3"/>
        <v>0</v>
      </c>
    </row>
    <row r="88" spans="1:19" s="160" customFormat="1" ht="32.25" customHeight="1">
      <c r="A88" s="106"/>
      <c r="B88" s="652" t="s">
        <v>114</v>
      </c>
      <c r="C88" s="653"/>
      <c r="D88" s="654"/>
      <c r="E88" s="167"/>
      <c r="F88" s="158"/>
      <c r="G88" s="158"/>
      <c r="H88" s="91">
        <v>0</v>
      </c>
      <c r="I88" s="91"/>
      <c r="J88" s="77">
        <v>0</v>
      </c>
      <c r="K88" s="164"/>
      <c r="L88" s="165"/>
      <c r="M88" s="177"/>
      <c r="N88" s="167"/>
      <c r="O88" s="158"/>
      <c r="P88" s="158"/>
      <c r="Q88" s="91">
        <f t="shared" si="2"/>
        <v>0</v>
      </c>
      <c r="R88" s="91"/>
      <c r="S88" s="77">
        <f t="shared" si="3"/>
        <v>0</v>
      </c>
    </row>
    <row r="89" spans="1:19" s="160" customFormat="1" ht="32.25" customHeight="1">
      <c r="A89" s="106">
        <v>22</v>
      </c>
      <c r="B89" s="142" t="s">
        <v>30</v>
      </c>
      <c r="C89" s="174" t="s">
        <v>115</v>
      </c>
      <c r="D89" s="151">
        <v>3970</v>
      </c>
      <c r="E89" s="167"/>
      <c r="F89" s="184"/>
      <c r="G89" s="184"/>
      <c r="H89" s="91">
        <v>0</v>
      </c>
      <c r="I89" s="91"/>
      <c r="J89" s="77">
        <v>0</v>
      </c>
      <c r="K89" s="154" t="s">
        <v>699</v>
      </c>
      <c r="L89" s="155" t="s">
        <v>748</v>
      </c>
      <c r="M89" s="178">
        <v>3970</v>
      </c>
      <c r="N89" s="167"/>
      <c r="O89" s="184"/>
      <c r="P89" s="184"/>
      <c r="Q89" s="91">
        <f t="shared" si="2"/>
        <v>0</v>
      </c>
      <c r="R89" s="91"/>
      <c r="S89" s="77">
        <f t="shared" si="3"/>
        <v>0</v>
      </c>
    </row>
    <row r="90" spans="1:19" s="160" customFormat="1" ht="32.25" customHeight="1">
      <c r="A90" s="106"/>
      <c r="B90" s="659" t="s">
        <v>118</v>
      </c>
      <c r="C90" s="660"/>
      <c r="D90" s="661"/>
      <c r="E90" s="167"/>
      <c r="F90" s="184"/>
      <c r="G90" s="184"/>
      <c r="H90" s="91">
        <v>0</v>
      </c>
      <c r="I90" s="91"/>
      <c r="J90" s="77">
        <v>0</v>
      </c>
      <c r="K90" s="164"/>
      <c r="L90" s="182"/>
      <c r="M90" s="183"/>
      <c r="N90" s="167"/>
      <c r="O90" s="184"/>
      <c r="P90" s="184"/>
      <c r="Q90" s="91">
        <f t="shared" si="2"/>
        <v>0</v>
      </c>
      <c r="R90" s="91"/>
      <c r="S90" s="77">
        <f t="shared" si="3"/>
        <v>0</v>
      </c>
    </row>
    <row r="91" spans="1:19" s="160" customFormat="1" ht="32.25" customHeight="1">
      <c r="A91" s="106"/>
      <c r="B91" s="185" t="s">
        <v>119</v>
      </c>
      <c r="C91" s="186"/>
      <c r="D91" s="187"/>
      <c r="E91" s="167"/>
      <c r="F91" s="184"/>
      <c r="G91" s="184"/>
      <c r="H91" s="91">
        <v>0</v>
      </c>
      <c r="I91" s="91"/>
      <c r="J91" s="77">
        <v>0</v>
      </c>
      <c r="K91" s="164"/>
      <c r="L91" s="182"/>
      <c r="M91" s="183"/>
      <c r="N91" s="167"/>
      <c r="O91" s="184"/>
      <c r="P91" s="184"/>
      <c r="Q91" s="91">
        <f t="shared" si="2"/>
        <v>0</v>
      </c>
      <c r="R91" s="91"/>
      <c r="S91" s="77">
        <f t="shared" si="3"/>
        <v>0</v>
      </c>
    </row>
    <row r="92" spans="1:19" s="160" customFormat="1" ht="32.25" customHeight="1">
      <c r="A92" s="106"/>
      <c r="B92" s="185" t="s">
        <v>120</v>
      </c>
      <c r="C92" s="186"/>
      <c r="D92" s="187">
        <v>0</v>
      </c>
      <c r="E92" s="167"/>
      <c r="F92" s="184"/>
      <c r="G92" s="184"/>
      <c r="H92" s="91">
        <v>0</v>
      </c>
      <c r="I92" s="91"/>
      <c r="J92" s="77">
        <v>0</v>
      </c>
      <c r="K92" s="164"/>
      <c r="L92" s="182"/>
      <c r="M92" s="183"/>
      <c r="N92" s="167"/>
      <c r="O92" s="184"/>
      <c r="P92" s="184"/>
      <c r="Q92" s="91">
        <f t="shared" si="2"/>
        <v>0</v>
      </c>
      <c r="R92" s="91"/>
      <c r="S92" s="77">
        <f t="shared" si="3"/>
        <v>0</v>
      </c>
    </row>
    <row r="93" spans="1:19" s="160" customFormat="1" ht="32.25" customHeight="1">
      <c r="A93" s="106"/>
      <c r="B93" s="188" t="s">
        <v>123</v>
      </c>
      <c r="C93" s="186"/>
      <c r="D93" s="187">
        <v>0</v>
      </c>
      <c r="E93" s="167"/>
      <c r="F93" s="184"/>
      <c r="G93" s="184"/>
      <c r="H93" s="91">
        <v>0</v>
      </c>
      <c r="I93" s="91"/>
      <c r="J93" s="77">
        <v>0</v>
      </c>
      <c r="K93" s="164"/>
      <c r="L93" s="182"/>
      <c r="M93" s="183"/>
      <c r="N93" s="167"/>
      <c r="O93" s="184"/>
      <c r="P93" s="184"/>
      <c r="Q93" s="91">
        <f t="shared" si="2"/>
        <v>0</v>
      </c>
      <c r="R93" s="91"/>
      <c r="S93" s="77">
        <f t="shared" si="3"/>
        <v>0</v>
      </c>
    </row>
    <row r="94" spans="1:19" s="160" customFormat="1" ht="32.25" customHeight="1">
      <c r="A94" s="106"/>
      <c r="B94" s="179"/>
      <c r="C94" s="180"/>
      <c r="D94" s="181"/>
      <c r="E94" s="167"/>
      <c r="F94" s="184"/>
      <c r="G94" s="184"/>
      <c r="H94" s="91">
        <v>0</v>
      </c>
      <c r="I94" s="91"/>
      <c r="J94" s="77">
        <v>0</v>
      </c>
      <c r="K94" s="164"/>
      <c r="L94" s="182"/>
      <c r="M94" s="183"/>
      <c r="N94" s="167"/>
      <c r="O94" s="184"/>
      <c r="P94" s="184"/>
      <c r="Q94" s="91">
        <f t="shared" si="2"/>
        <v>0</v>
      </c>
      <c r="R94" s="91"/>
      <c r="S94" s="77">
        <f t="shared" si="3"/>
        <v>0</v>
      </c>
    </row>
    <row r="95" spans="1:19" s="160" customFormat="1" ht="32.25" customHeight="1">
      <c r="A95" s="106">
        <v>23</v>
      </c>
      <c r="B95" s="142" t="s">
        <v>23</v>
      </c>
      <c r="C95" s="174" t="s">
        <v>126</v>
      </c>
      <c r="D95" s="151">
        <v>4600</v>
      </c>
      <c r="E95" s="167"/>
      <c r="F95" s="184"/>
      <c r="G95" s="184"/>
      <c r="H95" s="91">
        <v>0</v>
      </c>
      <c r="I95" s="91"/>
      <c r="J95" s="77">
        <v>0</v>
      </c>
      <c r="K95" s="154" t="s">
        <v>734</v>
      </c>
      <c r="L95" s="155" t="s">
        <v>749</v>
      </c>
      <c r="M95" s="178">
        <v>4600</v>
      </c>
      <c r="N95" s="167"/>
      <c r="O95" s="184"/>
      <c r="P95" s="184"/>
      <c r="Q95" s="91">
        <f t="shared" si="2"/>
        <v>0</v>
      </c>
      <c r="R95" s="91"/>
      <c r="S95" s="77">
        <f t="shared" si="3"/>
        <v>0</v>
      </c>
    </row>
    <row r="96" spans="1:19" ht="32.25" customHeight="1">
      <c r="A96" s="39"/>
      <c r="B96" s="652" t="s">
        <v>128</v>
      </c>
      <c r="C96" s="653"/>
      <c r="D96" s="654"/>
      <c r="E96" s="5"/>
      <c r="F96" s="43"/>
      <c r="G96" s="43"/>
      <c r="H96" s="91">
        <v>0</v>
      </c>
      <c r="I96" s="91"/>
      <c r="J96" s="77">
        <v>0</v>
      </c>
      <c r="K96" s="190"/>
      <c r="L96" s="191"/>
      <c r="N96" s="5"/>
      <c r="O96" s="43"/>
      <c r="P96" s="43"/>
      <c r="Q96" s="91">
        <v>0</v>
      </c>
      <c r="R96" s="91"/>
      <c r="S96" s="77">
        <v>0</v>
      </c>
    </row>
    <row r="97" spans="1:19" ht="32.25" customHeight="1" thickBot="1">
      <c r="A97" s="39"/>
      <c r="B97" s="50" t="s">
        <v>19</v>
      </c>
      <c r="C97" s="50"/>
      <c r="D97" s="51">
        <v>103170</v>
      </c>
      <c r="E97" s="52"/>
      <c r="F97" s="53"/>
      <c r="G97" s="52"/>
      <c r="H97" s="51">
        <f>SUM(J97)</f>
        <v>0</v>
      </c>
      <c r="I97" s="51">
        <v>0</v>
      </c>
      <c r="J97" s="51">
        <f>SUM(J64:J96)-J64-J89</f>
        <v>0</v>
      </c>
      <c r="K97" s="54"/>
      <c r="L97" s="55"/>
      <c r="M97" s="56">
        <f>SUM(M64:M96)</f>
        <v>103170</v>
      </c>
      <c r="N97" s="57"/>
      <c r="O97" s="53"/>
      <c r="P97" s="51"/>
      <c r="Q97" s="51">
        <f>SUM(Q64:Q96)-Q64-Q93</f>
        <v>0</v>
      </c>
      <c r="R97" s="51">
        <f t="shared" ref="R97:S97" si="4">SUM(R64:R96)-R64-R93</f>
        <v>0</v>
      </c>
      <c r="S97" s="51">
        <f t="shared" si="4"/>
        <v>0</v>
      </c>
    </row>
    <row r="98" spans="1:19" ht="32.25" customHeight="1" thickTop="1">
      <c r="A98" s="39"/>
      <c r="B98" s="141" t="s">
        <v>129</v>
      </c>
      <c r="C98" s="142"/>
      <c r="D98" s="125"/>
      <c r="E98" s="131"/>
      <c r="F98" s="115"/>
      <c r="G98" s="33"/>
      <c r="H98" s="143"/>
      <c r="I98" s="143"/>
      <c r="J98" s="143"/>
      <c r="K98" s="34"/>
      <c r="L98" s="35"/>
      <c r="M98" s="36"/>
      <c r="N98" s="114"/>
      <c r="O98" s="115"/>
      <c r="P98" s="144"/>
      <c r="Q98" s="33"/>
      <c r="R98" s="33"/>
      <c r="S98" s="38"/>
    </row>
    <row r="99" spans="1:19" ht="30" customHeight="1">
      <c r="A99" s="106">
        <v>1</v>
      </c>
      <c r="B99" s="142" t="s">
        <v>130</v>
      </c>
      <c r="C99" s="193" t="s">
        <v>131</v>
      </c>
      <c r="D99" s="125">
        <v>201.25</v>
      </c>
      <c r="E99" s="152"/>
      <c r="F99" s="194"/>
      <c r="G99" s="195"/>
      <c r="H99" s="196">
        <v>-1207.5</v>
      </c>
      <c r="I99" s="197"/>
      <c r="J99" s="198">
        <v>-1207.5</v>
      </c>
      <c r="K99" s="199"/>
      <c r="L99" s="200"/>
      <c r="M99" s="201"/>
      <c r="N99" s="202"/>
      <c r="O99" s="203"/>
      <c r="P99" s="204"/>
      <c r="Q99" s="205">
        <f>SUM(D99+J99-M99)</f>
        <v>-1006.25</v>
      </c>
      <c r="R99" s="206"/>
      <c r="S99" s="207">
        <f>SUM(Q99)</f>
        <v>-1006.25</v>
      </c>
    </row>
    <row r="100" spans="1:19" ht="30" customHeight="1">
      <c r="A100" s="106"/>
      <c r="B100" s="208" t="s">
        <v>340</v>
      </c>
      <c r="C100" s="193"/>
      <c r="D100" s="125"/>
      <c r="E100" s="163"/>
      <c r="F100" s="115"/>
      <c r="G100" s="91"/>
      <c r="H100" s="91">
        <v>0</v>
      </c>
      <c r="I100" s="125"/>
      <c r="J100" s="132">
        <v>0</v>
      </c>
      <c r="K100" s="209"/>
      <c r="L100" s="210"/>
      <c r="M100" s="36"/>
      <c r="N100" s="114"/>
      <c r="O100" s="115"/>
      <c r="P100" s="92"/>
      <c r="Q100" s="205">
        <f t="shared" ref="Q100:Q127" si="5">SUM(D100+J100-M100)</f>
        <v>0</v>
      </c>
      <c r="R100" s="125"/>
      <c r="S100" s="207">
        <f t="shared" ref="S100:S129" si="6">SUM(Q100)</f>
        <v>0</v>
      </c>
    </row>
    <row r="101" spans="1:19" ht="30" customHeight="1">
      <c r="A101" s="106"/>
      <c r="B101" s="211" t="s">
        <v>133</v>
      </c>
      <c r="C101" s="193"/>
      <c r="D101" s="125"/>
      <c r="E101" s="163"/>
      <c r="F101" s="115"/>
      <c r="G101" s="91"/>
      <c r="H101" s="91">
        <v>0</v>
      </c>
      <c r="I101" s="125"/>
      <c r="J101" s="132">
        <v>0</v>
      </c>
      <c r="K101" s="209"/>
      <c r="L101" s="210"/>
      <c r="M101" s="36"/>
      <c r="N101" s="114"/>
      <c r="O101" s="115"/>
      <c r="P101" s="92"/>
      <c r="Q101" s="205">
        <f t="shared" si="5"/>
        <v>0</v>
      </c>
      <c r="R101" s="125"/>
      <c r="S101" s="207">
        <f t="shared" si="6"/>
        <v>0</v>
      </c>
    </row>
    <row r="102" spans="1:19" ht="30" customHeight="1">
      <c r="A102" s="106"/>
      <c r="B102" s="208" t="s">
        <v>136</v>
      </c>
      <c r="C102" s="193"/>
      <c r="D102" s="125"/>
      <c r="E102" s="163"/>
      <c r="F102" s="115"/>
      <c r="G102" s="91"/>
      <c r="H102" s="91">
        <v>0</v>
      </c>
      <c r="I102" s="125"/>
      <c r="J102" s="132">
        <v>0</v>
      </c>
      <c r="K102" s="209"/>
      <c r="L102" s="210"/>
      <c r="M102" s="36"/>
      <c r="N102" s="114"/>
      <c r="O102" s="115"/>
      <c r="P102" s="92"/>
      <c r="Q102" s="205">
        <f t="shared" si="5"/>
        <v>0</v>
      </c>
      <c r="R102" s="125"/>
      <c r="S102" s="207">
        <f t="shared" si="6"/>
        <v>0</v>
      </c>
    </row>
    <row r="103" spans="1:19" ht="30" customHeight="1">
      <c r="A103" s="106"/>
      <c r="B103" s="208" t="s">
        <v>138</v>
      </c>
      <c r="C103" s="193"/>
      <c r="D103" s="125"/>
      <c r="E103" s="163"/>
      <c r="F103" s="115"/>
      <c r="G103" s="91"/>
      <c r="H103" s="91">
        <v>0</v>
      </c>
      <c r="I103" s="125"/>
      <c r="J103" s="132">
        <v>0</v>
      </c>
      <c r="K103" s="209"/>
      <c r="L103" s="210"/>
      <c r="M103" s="36"/>
      <c r="N103" s="114"/>
      <c r="O103" s="115"/>
      <c r="P103" s="92"/>
      <c r="Q103" s="205">
        <f t="shared" si="5"/>
        <v>0</v>
      </c>
      <c r="R103" s="125"/>
      <c r="S103" s="207">
        <f t="shared" si="6"/>
        <v>0</v>
      </c>
    </row>
    <row r="104" spans="1:19" ht="30" customHeight="1">
      <c r="A104" s="106"/>
      <c r="B104" s="208" t="s">
        <v>140</v>
      </c>
      <c r="C104" s="193"/>
      <c r="D104" s="125"/>
      <c r="E104" s="163"/>
      <c r="F104" s="115"/>
      <c r="G104" s="91"/>
      <c r="H104" s="91">
        <v>0</v>
      </c>
      <c r="I104" s="125"/>
      <c r="J104" s="132">
        <v>0</v>
      </c>
      <c r="K104" s="209"/>
      <c r="L104" s="210"/>
      <c r="M104" s="36"/>
      <c r="N104" s="114"/>
      <c r="O104" s="115"/>
      <c r="P104" s="92"/>
      <c r="Q104" s="205">
        <f t="shared" si="5"/>
        <v>0</v>
      </c>
      <c r="R104" s="125"/>
      <c r="S104" s="207">
        <f t="shared" si="6"/>
        <v>0</v>
      </c>
    </row>
    <row r="105" spans="1:19" ht="32.25" customHeight="1">
      <c r="A105" s="106">
        <v>2</v>
      </c>
      <c r="B105" s="142" t="s">
        <v>141</v>
      </c>
      <c r="C105" s="193" t="s">
        <v>142</v>
      </c>
      <c r="D105" s="125">
        <v>937.09</v>
      </c>
      <c r="E105" s="152"/>
      <c r="F105" s="212"/>
      <c r="G105" s="213"/>
      <c r="H105" s="153">
        <v>-7496.6399999999994</v>
      </c>
      <c r="I105" s="125"/>
      <c r="J105" s="132">
        <v>-7496.6399999999994</v>
      </c>
      <c r="K105" s="209"/>
      <c r="L105" s="210"/>
      <c r="M105" s="36"/>
      <c r="N105" s="214" t="s">
        <v>57</v>
      </c>
      <c r="O105" s="212"/>
      <c r="P105" s="215"/>
      <c r="Q105" s="205">
        <f t="shared" si="5"/>
        <v>-6559.5499999999993</v>
      </c>
      <c r="R105" s="216"/>
      <c r="S105" s="207">
        <f t="shared" si="6"/>
        <v>-6559.5499999999993</v>
      </c>
    </row>
    <row r="106" spans="1:19" ht="32.25" customHeight="1">
      <c r="A106" s="106"/>
      <c r="B106" s="142" t="s">
        <v>143</v>
      </c>
      <c r="C106" s="193"/>
      <c r="D106" s="125"/>
      <c r="E106" s="163"/>
      <c r="F106" s="115"/>
      <c r="G106" s="91"/>
      <c r="H106" s="91">
        <v>0</v>
      </c>
      <c r="I106" s="125"/>
      <c r="J106" s="132">
        <v>0</v>
      </c>
      <c r="K106" s="209"/>
      <c r="L106" s="210"/>
      <c r="M106" s="36"/>
      <c r="N106" s="114"/>
      <c r="O106" s="115"/>
      <c r="P106" s="92"/>
      <c r="Q106" s="205">
        <f t="shared" si="5"/>
        <v>0</v>
      </c>
      <c r="R106" s="125"/>
      <c r="S106" s="207">
        <f t="shared" si="6"/>
        <v>0</v>
      </c>
    </row>
    <row r="107" spans="1:19" ht="32.25" customHeight="1">
      <c r="A107" s="106"/>
      <c r="B107" s="146" t="s">
        <v>144</v>
      </c>
      <c r="C107" s="193"/>
      <c r="D107" s="125"/>
      <c r="E107" s="163"/>
      <c r="F107" s="115"/>
      <c r="G107" s="91"/>
      <c r="H107" s="91">
        <v>0</v>
      </c>
      <c r="I107" s="125"/>
      <c r="J107" s="132">
        <v>0</v>
      </c>
      <c r="K107" s="209"/>
      <c r="L107" s="210"/>
      <c r="M107" s="36"/>
      <c r="N107" s="114"/>
      <c r="O107" s="115"/>
      <c r="P107" s="92"/>
      <c r="Q107" s="205">
        <f t="shared" si="5"/>
        <v>0</v>
      </c>
      <c r="R107" s="125"/>
      <c r="S107" s="207">
        <f t="shared" si="6"/>
        <v>0</v>
      </c>
    </row>
    <row r="108" spans="1:19" ht="32.25" customHeight="1">
      <c r="A108" s="106">
        <v>3</v>
      </c>
      <c r="B108" s="142" t="s">
        <v>145</v>
      </c>
      <c r="C108" s="193" t="s">
        <v>146</v>
      </c>
      <c r="D108" s="125">
        <v>268.33999999999997</v>
      </c>
      <c r="E108" s="163" t="s">
        <v>669</v>
      </c>
      <c r="F108" s="115">
        <v>1</v>
      </c>
      <c r="G108" s="217" t="s">
        <v>72</v>
      </c>
      <c r="H108" s="91">
        <v>268.33999999999997</v>
      </c>
      <c r="I108" s="125"/>
      <c r="J108" s="132">
        <v>268.33999999999997</v>
      </c>
      <c r="K108" s="218" t="s">
        <v>750</v>
      </c>
      <c r="L108" s="266" t="s">
        <v>751</v>
      </c>
      <c r="M108" s="125">
        <v>3220</v>
      </c>
      <c r="N108" s="220" t="s">
        <v>57</v>
      </c>
      <c r="O108" s="115"/>
      <c r="P108" s="221"/>
      <c r="Q108" s="205">
        <f t="shared" si="5"/>
        <v>-2683.32</v>
      </c>
      <c r="R108" s="216"/>
      <c r="S108" s="207">
        <f t="shared" si="6"/>
        <v>-2683.32</v>
      </c>
    </row>
    <row r="109" spans="1:19" ht="32.25" customHeight="1">
      <c r="A109" s="106"/>
      <c r="B109" s="142" t="s">
        <v>752</v>
      </c>
      <c r="C109" s="222"/>
      <c r="D109" s="125">
        <v>420</v>
      </c>
      <c r="E109" s="163" t="s">
        <v>753</v>
      </c>
      <c r="F109" s="115">
        <v>12</v>
      </c>
      <c r="G109" s="91" t="s">
        <v>72</v>
      </c>
      <c r="H109" s="91">
        <v>0</v>
      </c>
      <c r="I109" s="125"/>
      <c r="J109" s="132">
        <v>0</v>
      </c>
      <c r="K109" s="515" t="s">
        <v>750</v>
      </c>
      <c r="L109" s="514" t="s">
        <v>754</v>
      </c>
      <c r="M109" s="512">
        <v>420</v>
      </c>
      <c r="N109" s="220"/>
      <c r="O109" s="115"/>
      <c r="P109" s="92"/>
      <c r="Q109" s="205">
        <f t="shared" si="5"/>
        <v>0</v>
      </c>
      <c r="R109" s="125"/>
      <c r="S109" s="207">
        <f t="shared" si="6"/>
        <v>0</v>
      </c>
    </row>
    <row r="110" spans="1:19" ht="32.25" customHeight="1">
      <c r="A110" s="106"/>
      <c r="B110" s="223" t="s">
        <v>755</v>
      </c>
      <c r="C110" s="224"/>
      <c r="D110" s="125">
        <v>420</v>
      </c>
      <c r="E110" s="163" t="s">
        <v>756</v>
      </c>
      <c r="F110" s="115">
        <v>12</v>
      </c>
      <c r="G110" s="91" t="s">
        <v>72</v>
      </c>
      <c r="H110" s="91">
        <v>0</v>
      </c>
      <c r="I110" s="125"/>
      <c r="J110" s="132">
        <v>0</v>
      </c>
      <c r="K110" s="225" t="s">
        <v>750</v>
      </c>
      <c r="L110" s="513" t="s">
        <v>757</v>
      </c>
      <c r="M110" s="125">
        <v>420</v>
      </c>
      <c r="N110" s="220"/>
      <c r="O110" s="115"/>
      <c r="P110" s="92"/>
      <c r="Q110" s="205">
        <f t="shared" si="5"/>
        <v>0</v>
      </c>
      <c r="R110" s="125"/>
      <c r="S110" s="207">
        <f t="shared" si="6"/>
        <v>0</v>
      </c>
    </row>
    <row r="111" spans="1:19" ht="32.25" customHeight="1">
      <c r="A111" s="106"/>
      <c r="B111" s="510" t="s">
        <v>758</v>
      </c>
      <c r="C111" s="511"/>
      <c r="D111" s="125"/>
      <c r="E111" s="163"/>
      <c r="F111" s="115"/>
      <c r="G111" s="91"/>
      <c r="H111" s="91"/>
      <c r="I111" s="125"/>
      <c r="J111" s="132"/>
      <c r="K111" s="225"/>
      <c r="L111" s="219"/>
      <c r="M111" s="125"/>
      <c r="N111" s="220"/>
      <c r="O111" s="115"/>
      <c r="P111" s="92"/>
      <c r="Q111" s="205"/>
      <c r="R111" s="125"/>
      <c r="S111" s="207"/>
    </row>
    <row r="112" spans="1:19" ht="32.25" customHeight="1">
      <c r="A112" s="106"/>
      <c r="B112" s="510" t="s">
        <v>147</v>
      </c>
      <c r="C112" s="511"/>
      <c r="D112" s="125"/>
      <c r="E112" s="163"/>
      <c r="F112" s="115"/>
      <c r="G112" s="91"/>
      <c r="H112" s="91"/>
      <c r="I112" s="125"/>
      <c r="J112" s="132"/>
      <c r="K112" s="225"/>
      <c r="L112" s="219"/>
      <c r="M112" s="125"/>
      <c r="N112" s="220"/>
      <c r="O112" s="115"/>
      <c r="P112" s="92"/>
      <c r="Q112" s="205"/>
      <c r="R112" s="125"/>
      <c r="S112" s="207"/>
    </row>
    <row r="113" spans="1:21" ht="32.25" customHeight="1">
      <c r="A113" s="106"/>
      <c r="B113" s="510" t="s">
        <v>148</v>
      </c>
      <c r="C113" s="511"/>
      <c r="D113" s="125"/>
      <c r="E113" s="163"/>
      <c r="F113" s="115"/>
      <c r="G113" s="91"/>
      <c r="H113" s="91"/>
      <c r="I113" s="125"/>
      <c r="J113" s="132"/>
      <c r="K113" s="225"/>
      <c r="L113" s="219"/>
      <c r="M113" s="125"/>
      <c r="N113" s="220"/>
      <c r="O113" s="115"/>
      <c r="P113" s="92"/>
      <c r="Q113" s="205"/>
      <c r="R113" s="125"/>
      <c r="S113" s="207"/>
    </row>
    <row r="114" spans="1:21" s="230" customFormat="1" ht="32.25" customHeight="1">
      <c r="A114" s="106">
        <v>4</v>
      </c>
      <c r="B114" s="222" t="s">
        <v>149</v>
      </c>
      <c r="C114" s="222" t="s">
        <v>150</v>
      </c>
      <c r="D114" s="125">
        <v>1212.29</v>
      </c>
      <c r="E114" s="163"/>
      <c r="F114" s="115"/>
      <c r="G114" s="91"/>
      <c r="H114" s="153">
        <v>-3636.8899999999958</v>
      </c>
      <c r="I114" s="216"/>
      <c r="J114" s="226">
        <v>-3636.8899999999958</v>
      </c>
      <c r="K114" s="114"/>
      <c r="L114" s="114"/>
      <c r="M114" s="125"/>
      <c r="N114" s="227" t="s">
        <v>57</v>
      </c>
      <c r="O114" s="228"/>
      <c r="P114" s="92"/>
      <c r="Q114" s="205">
        <f t="shared" si="5"/>
        <v>-2424.5999999999958</v>
      </c>
      <c r="R114" s="229"/>
      <c r="S114" s="207">
        <f t="shared" si="6"/>
        <v>-2424.5999999999958</v>
      </c>
    </row>
    <row r="115" spans="1:21" s="235" customFormat="1" ht="32.25" customHeight="1">
      <c r="A115" s="106"/>
      <c r="B115" s="231" t="s">
        <v>151</v>
      </c>
      <c r="C115" s="232"/>
      <c r="D115" s="233"/>
      <c r="E115" s="163"/>
      <c r="F115" s="115"/>
      <c r="G115" s="91"/>
      <c r="H115" s="91">
        <v>0</v>
      </c>
      <c r="I115" s="125"/>
      <c r="J115" s="132">
        <v>0</v>
      </c>
      <c r="K115" s="225"/>
      <c r="L115" s="219"/>
      <c r="M115" s="125"/>
      <c r="N115" s="234"/>
      <c r="O115" s="228"/>
      <c r="P115" s="92"/>
      <c r="Q115" s="205">
        <f t="shared" si="5"/>
        <v>0</v>
      </c>
      <c r="R115" s="125"/>
      <c r="S115" s="207">
        <f t="shared" si="6"/>
        <v>0</v>
      </c>
      <c r="T115" s="230"/>
    </row>
    <row r="116" spans="1:21" s="237" customFormat="1" ht="32.25" customHeight="1">
      <c r="A116" s="106">
        <v>5</v>
      </c>
      <c r="B116" s="222" t="s">
        <v>152</v>
      </c>
      <c r="C116" s="193" t="s">
        <v>153</v>
      </c>
      <c r="D116" s="125">
        <v>670.84</v>
      </c>
      <c r="E116" s="163"/>
      <c r="F116" s="115"/>
      <c r="G116" s="91"/>
      <c r="H116" s="91">
        <v>-2012.4399999999987</v>
      </c>
      <c r="I116" s="125"/>
      <c r="J116" s="132">
        <v>-2012.4399999999987</v>
      </c>
      <c r="K116" s="225"/>
      <c r="L116" s="219"/>
      <c r="M116" s="125"/>
      <c r="N116" s="227" t="s">
        <v>57</v>
      </c>
      <c r="O116" s="228"/>
      <c r="P116" s="92"/>
      <c r="Q116" s="205">
        <f t="shared" si="5"/>
        <v>-1341.5999999999985</v>
      </c>
      <c r="R116" s="229"/>
      <c r="S116" s="207">
        <f t="shared" si="6"/>
        <v>-1341.5999999999985</v>
      </c>
      <c r="T116" s="2"/>
      <c r="U116" s="2"/>
    </row>
    <row r="117" spans="1:21" s="237" customFormat="1" ht="32.25" customHeight="1">
      <c r="A117" s="106"/>
      <c r="B117" s="238" t="s">
        <v>154</v>
      </c>
      <c r="C117" s="193"/>
      <c r="D117" s="92"/>
      <c r="E117" s="239"/>
      <c r="F117" s="122"/>
      <c r="G117" s="91"/>
      <c r="H117" s="91">
        <v>0</v>
      </c>
      <c r="I117" s="92"/>
      <c r="J117" s="132">
        <v>0</v>
      </c>
      <c r="K117" s="225"/>
      <c r="L117" s="219"/>
      <c r="M117" s="125"/>
      <c r="N117" s="240"/>
      <c r="O117" s="122"/>
      <c r="P117" s="92"/>
      <c r="Q117" s="205">
        <f t="shared" si="5"/>
        <v>0</v>
      </c>
      <c r="R117" s="125"/>
      <c r="S117" s="207">
        <f t="shared" si="6"/>
        <v>0</v>
      </c>
      <c r="T117" s="2"/>
      <c r="U117" s="2"/>
    </row>
    <row r="118" spans="1:21" s="259" customFormat="1" ht="32.25" customHeight="1">
      <c r="A118" s="241">
        <v>6</v>
      </c>
      <c r="B118" s="242" t="s">
        <v>52</v>
      </c>
      <c r="C118" s="243" t="s">
        <v>155</v>
      </c>
      <c r="D118" s="244">
        <v>108.34</v>
      </c>
      <c r="E118" s="245" t="s">
        <v>57</v>
      </c>
      <c r="F118" s="246"/>
      <c r="G118" s="247"/>
      <c r="H118" s="248">
        <v>-866.64</v>
      </c>
      <c r="I118" s="249"/>
      <c r="J118" s="250">
        <v>-866.64</v>
      </c>
      <c r="K118" s="251"/>
      <c r="L118" s="252"/>
      <c r="M118" s="253"/>
      <c r="N118" s="254" t="s">
        <v>57</v>
      </c>
      <c r="O118" s="255"/>
      <c r="P118" s="256"/>
      <c r="Q118" s="205">
        <f t="shared" si="5"/>
        <v>-758.3</v>
      </c>
      <c r="R118" s="216"/>
      <c r="S118" s="207">
        <f t="shared" si="6"/>
        <v>-758.3</v>
      </c>
    </row>
    <row r="119" spans="1:21" s="259" customFormat="1" ht="32.25" customHeight="1">
      <c r="A119" s="260"/>
      <c r="B119" s="242" t="s">
        <v>759</v>
      </c>
      <c r="C119" s="242"/>
      <c r="D119" s="244">
        <v>200</v>
      </c>
      <c r="E119" s="245" t="s">
        <v>760</v>
      </c>
      <c r="F119" s="246">
        <v>12</v>
      </c>
      <c r="G119" s="248" t="s">
        <v>72</v>
      </c>
      <c r="H119" s="248">
        <v>0</v>
      </c>
      <c r="I119" s="249"/>
      <c r="J119" s="250">
        <v>0</v>
      </c>
      <c r="K119" s="251" t="s">
        <v>761</v>
      </c>
      <c r="L119" s="252" t="s">
        <v>762</v>
      </c>
      <c r="M119" s="253">
        <v>200</v>
      </c>
      <c r="N119" s="261"/>
      <c r="O119" s="246"/>
      <c r="P119" s="249"/>
      <c r="Q119" s="205">
        <f t="shared" si="5"/>
        <v>0</v>
      </c>
      <c r="R119" s="216"/>
      <c r="S119" s="207">
        <f t="shared" si="6"/>
        <v>0</v>
      </c>
    </row>
    <row r="120" spans="1:21" s="259" customFormat="1" ht="32.25" customHeight="1">
      <c r="A120" s="260"/>
      <c r="B120" s="516" t="s">
        <v>763</v>
      </c>
      <c r="C120" s="517"/>
      <c r="D120" s="244">
        <v>200</v>
      </c>
      <c r="E120" s="245" t="s">
        <v>764</v>
      </c>
      <c r="F120" s="246">
        <v>12</v>
      </c>
      <c r="G120" s="248" t="s">
        <v>72</v>
      </c>
      <c r="H120" s="248">
        <v>0</v>
      </c>
      <c r="I120" s="249"/>
      <c r="J120" s="250">
        <v>0</v>
      </c>
      <c r="K120" s="251" t="s">
        <v>761</v>
      </c>
      <c r="L120" s="252" t="s">
        <v>765</v>
      </c>
      <c r="M120" s="253">
        <v>200</v>
      </c>
      <c r="N120" s="261"/>
      <c r="O120" s="246"/>
      <c r="P120" s="249"/>
      <c r="Q120" s="205">
        <f t="shared" si="5"/>
        <v>0</v>
      </c>
      <c r="R120" s="216"/>
      <c r="S120" s="207">
        <f t="shared" si="6"/>
        <v>0</v>
      </c>
    </row>
    <row r="121" spans="1:21" s="259" customFormat="1" ht="32.25" customHeight="1">
      <c r="A121" s="260"/>
      <c r="B121" s="508" t="s">
        <v>766</v>
      </c>
      <c r="C121" s="509"/>
      <c r="D121" s="244"/>
      <c r="E121" s="245"/>
      <c r="F121" s="246"/>
      <c r="G121" s="248"/>
      <c r="H121" s="248"/>
      <c r="I121" s="249"/>
      <c r="J121" s="250"/>
      <c r="K121" s="251"/>
      <c r="L121" s="252"/>
      <c r="M121" s="253"/>
      <c r="N121" s="261"/>
      <c r="O121" s="246"/>
      <c r="P121" s="249"/>
      <c r="Q121" s="205"/>
      <c r="R121" s="216"/>
      <c r="S121" s="207"/>
    </row>
    <row r="122" spans="1:21" s="259" customFormat="1" ht="32.25" customHeight="1">
      <c r="A122" s="260"/>
      <c r="B122" s="508" t="s">
        <v>767</v>
      </c>
      <c r="C122" s="509"/>
      <c r="D122" s="244"/>
      <c r="E122" s="245"/>
      <c r="F122" s="246"/>
      <c r="G122" s="248"/>
      <c r="H122" s="248"/>
      <c r="I122" s="249"/>
      <c r="J122" s="250"/>
      <c r="K122" s="251"/>
      <c r="L122" s="252"/>
      <c r="M122" s="253"/>
      <c r="N122" s="261"/>
      <c r="O122" s="246"/>
      <c r="P122" s="249"/>
      <c r="Q122" s="205"/>
      <c r="R122" s="216"/>
      <c r="S122" s="207"/>
    </row>
    <row r="123" spans="1:21" s="259" customFormat="1" ht="32.25" customHeight="1">
      <c r="A123" s="260"/>
      <c r="B123" s="508" t="s">
        <v>768</v>
      </c>
      <c r="C123" s="509"/>
      <c r="D123" s="244"/>
      <c r="E123" s="245"/>
      <c r="F123" s="246"/>
      <c r="G123" s="248"/>
      <c r="H123" s="248"/>
      <c r="I123" s="249"/>
      <c r="J123" s="250"/>
      <c r="K123" s="251"/>
      <c r="L123" s="252"/>
      <c r="M123" s="253"/>
      <c r="N123" s="261"/>
      <c r="O123" s="246"/>
      <c r="P123" s="249"/>
      <c r="Q123" s="205"/>
      <c r="R123" s="216"/>
      <c r="S123" s="207"/>
    </row>
    <row r="124" spans="1:21" ht="41.25" customHeight="1">
      <c r="A124" s="106">
        <v>7</v>
      </c>
      <c r="B124" s="142" t="s">
        <v>158</v>
      </c>
      <c r="C124" s="142" t="s">
        <v>159</v>
      </c>
      <c r="D124" s="125">
        <v>191.67</v>
      </c>
      <c r="E124" s="152"/>
      <c r="F124" s="212"/>
      <c r="G124" s="262"/>
      <c r="H124" s="262">
        <v>-766.63999999999987</v>
      </c>
      <c r="I124" s="216"/>
      <c r="J124" s="226">
        <v>-766.63999999999987</v>
      </c>
      <c r="K124" s="225"/>
      <c r="L124" s="219"/>
      <c r="M124" s="263"/>
      <c r="N124" s="214"/>
      <c r="O124" s="212"/>
      <c r="P124" s="216"/>
      <c r="Q124" s="205">
        <f t="shared" si="5"/>
        <v>-574.96999999999991</v>
      </c>
      <c r="R124" s="216"/>
      <c r="S124" s="207">
        <f t="shared" si="6"/>
        <v>-574.96999999999991</v>
      </c>
    </row>
    <row r="125" spans="1:21" ht="39.75" customHeight="1">
      <c r="A125" s="264"/>
      <c r="B125" s="41" t="s">
        <v>163</v>
      </c>
      <c r="C125" s="41"/>
      <c r="D125" s="42"/>
      <c r="E125" s="189"/>
      <c r="F125" s="43"/>
      <c r="G125" s="6"/>
      <c r="H125" s="6">
        <v>0</v>
      </c>
      <c r="I125" s="42"/>
      <c r="J125" s="136">
        <v>0</v>
      </c>
      <c r="K125" s="265"/>
      <c r="L125" s="266"/>
      <c r="M125" s="92"/>
      <c r="N125" s="5"/>
      <c r="O125" s="43"/>
      <c r="P125" s="42"/>
      <c r="Q125" s="205">
        <f t="shared" si="5"/>
        <v>0</v>
      </c>
      <c r="R125" s="42"/>
      <c r="S125" s="207">
        <f t="shared" si="6"/>
        <v>0</v>
      </c>
    </row>
    <row r="126" spans="1:21" ht="41.25" customHeight="1">
      <c r="A126" s="264"/>
      <c r="B126" s="41" t="s">
        <v>164</v>
      </c>
      <c r="C126" s="41"/>
      <c r="D126" s="42"/>
      <c r="E126" s="189"/>
      <c r="F126" s="43"/>
      <c r="G126" s="6"/>
      <c r="H126" s="6">
        <v>0</v>
      </c>
      <c r="I126" s="42"/>
      <c r="J126" s="136">
        <v>0</v>
      </c>
      <c r="K126" s="267"/>
      <c r="L126" s="268"/>
      <c r="M126" s="42"/>
      <c r="N126" s="5"/>
      <c r="O126" s="43"/>
      <c r="P126" s="42"/>
      <c r="Q126" s="205">
        <f t="shared" si="5"/>
        <v>0</v>
      </c>
      <c r="R126" s="42"/>
      <c r="S126" s="207">
        <f t="shared" si="6"/>
        <v>0</v>
      </c>
    </row>
    <row r="127" spans="1:21" ht="41.25" customHeight="1">
      <c r="A127" s="264"/>
      <c r="B127" s="41" t="s">
        <v>165</v>
      </c>
      <c r="C127" s="41"/>
      <c r="D127" s="42"/>
      <c r="E127" s="189"/>
      <c r="F127" s="43"/>
      <c r="G127" s="6"/>
      <c r="H127" s="6">
        <v>0</v>
      </c>
      <c r="I127" s="42"/>
      <c r="J127" s="136">
        <v>0</v>
      </c>
      <c r="K127" s="267"/>
      <c r="L127" s="268"/>
      <c r="M127" s="42"/>
      <c r="N127" s="5"/>
      <c r="O127" s="43"/>
      <c r="P127" s="42"/>
      <c r="Q127" s="205">
        <f t="shared" si="5"/>
        <v>0</v>
      </c>
      <c r="R127" s="42"/>
      <c r="S127" s="207">
        <f t="shared" si="6"/>
        <v>0</v>
      </c>
    </row>
    <row r="128" spans="1:21" ht="41.25" customHeight="1">
      <c r="A128" s="264"/>
      <c r="B128" s="41" t="s">
        <v>166</v>
      </c>
      <c r="C128" s="41"/>
      <c r="D128" s="42"/>
      <c r="E128" s="269"/>
      <c r="F128" s="270"/>
      <c r="G128" s="271"/>
      <c r="H128" s="271">
        <v>0</v>
      </c>
      <c r="I128" s="272"/>
      <c r="J128" s="273">
        <v>0</v>
      </c>
      <c r="K128" s="265"/>
      <c r="L128" s="266"/>
      <c r="M128" s="92"/>
      <c r="N128" s="274"/>
      <c r="O128" s="270"/>
      <c r="P128" s="272"/>
      <c r="Q128" s="153">
        <v>0</v>
      </c>
      <c r="R128" s="272"/>
      <c r="S128" s="207">
        <f t="shared" si="6"/>
        <v>0</v>
      </c>
    </row>
    <row r="129" spans="1:19" ht="41.25" customHeight="1">
      <c r="A129" s="264"/>
      <c r="B129" s="275" t="s">
        <v>161</v>
      </c>
      <c r="C129" s="41"/>
      <c r="D129" s="42"/>
      <c r="E129" s="269"/>
      <c r="F129" s="270"/>
      <c r="G129" s="271"/>
      <c r="H129" s="271">
        <v>0</v>
      </c>
      <c r="I129" s="272"/>
      <c r="J129" s="273">
        <v>0</v>
      </c>
      <c r="K129" s="267"/>
      <c r="L129" s="268"/>
      <c r="M129" s="42"/>
      <c r="N129" s="274"/>
      <c r="O129" s="270"/>
      <c r="P129" s="272"/>
      <c r="Q129" s="153">
        <v>0</v>
      </c>
      <c r="R129" s="272"/>
      <c r="S129" s="207">
        <f t="shared" si="6"/>
        <v>0</v>
      </c>
    </row>
    <row r="130" spans="1:19" ht="41.25" customHeight="1">
      <c r="A130" s="264"/>
      <c r="B130" s="275" t="s">
        <v>162</v>
      </c>
      <c r="C130" s="41"/>
      <c r="D130" s="42">
        <v>0</v>
      </c>
      <c r="E130" s="269"/>
      <c r="F130" s="270"/>
      <c r="G130" s="271"/>
      <c r="H130" s="271">
        <v>0</v>
      </c>
      <c r="I130" s="272"/>
      <c r="J130" s="273">
        <v>0</v>
      </c>
      <c r="K130" s="267"/>
      <c r="L130" s="268"/>
      <c r="M130" s="42"/>
      <c r="N130" s="274"/>
      <c r="O130" s="270"/>
      <c r="P130" s="272"/>
      <c r="Q130" s="153">
        <v>0</v>
      </c>
      <c r="R130" s="272"/>
      <c r="S130" s="159">
        <v>0</v>
      </c>
    </row>
    <row r="131" spans="1:19" ht="32.25" customHeight="1" thickBot="1">
      <c r="A131" s="39"/>
      <c r="B131" s="50" t="s">
        <v>19</v>
      </c>
      <c r="C131" s="50"/>
      <c r="D131" s="51">
        <f>SUM(D99:D130)</f>
        <v>4829.8200000000006</v>
      </c>
      <c r="E131" s="52"/>
      <c r="F131" s="53"/>
      <c r="G131" s="52"/>
      <c r="H131" s="51">
        <f>SUM(H108)</f>
        <v>268.33999999999997</v>
      </c>
      <c r="I131" s="51">
        <f>SUM(I99:I130)-I99-I108-I114-I116-I124-I105-I118</f>
        <v>0</v>
      </c>
      <c r="J131" s="51">
        <f>SUM(J108)</f>
        <v>268.33999999999997</v>
      </c>
      <c r="K131" s="51">
        <v>0</v>
      </c>
      <c r="L131" s="51">
        <v>0</v>
      </c>
      <c r="M131" s="51">
        <f>SUM(K99:M130)</f>
        <v>4460</v>
      </c>
      <c r="N131" s="51"/>
      <c r="O131" s="51">
        <v>0</v>
      </c>
      <c r="P131" s="51">
        <v>0</v>
      </c>
      <c r="Q131" s="51">
        <v>0</v>
      </c>
      <c r="R131" s="51">
        <f>SUM(R108)</f>
        <v>0</v>
      </c>
      <c r="S131" s="51">
        <v>0</v>
      </c>
    </row>
    <row r="132" spans="1:19" ht="32.25" customHeight="1" thickTop="1">
      <c r="A132" s="39"/>
      <c r="B132" s="141" t="s">
        <v>167</v>
      </c>
      <c r="C132" s="142"/>
      <c r="D132" s="125"/>
      <c r="E132" s="131"/>
      <c r="F132" s="115"/>
      <c r="G132" s="33"/>
      <c r="H132" s="143"/>
      <c r="I132" s="143"/>
      <c r="J132" s="143"/>
      <c r="K132" s="34"/>
      <c r="L132" s="35"/>
      <c r="M132" s="36"/>
      <c r="N132" s="114"/>
      <c r="O132" s="115"/>
      <c r="P132" s="144"/>
      <c r="Q132" s="33"/>
      <c r="R132" s="33"/>
      <c r="S132" s="145"/>
    </row>
    <row r="133" spans="1:19" s="160" customFormat="1" ht="32.25" customHeight="1">
      <c r="A133" s="106">
        <v>1</v>
      </c>
      <c r="B133" s="142" t="s">
        <v>23</v>
      </c>
      <c r="C133" s="142" t="s">
        <v>168</v>
      </c>
      <c r="D133" s="151">
        <v>10925</v>
      </c>
      <c r="E133" s="163"/>
      <c r="F133" s="122"/>
      <c r="G133" s="122"/>
      <c r="H133" s="91">
        <v>0</v>
      </c>
      <c r="I133" s="122"/>
      <c r="J133" s="132">
        <v>0</v>
      </c>
      <c r="K133" s="276" t="s">
        <v>734</v>
      </c>
      <c r="L133" s="277" t="s">
        <v>769</v>
      </c>
      <c r="M133" s="278">
        <v>10925</v>
      </c>
      <c r="N133" s="279"/>
      <c r="O133" s="280"/>
      <c r="P133" s="280"/>
      <c r="Q133" s="91">
        <f>SUM(D133+J133-M133)</f>
        <v>0</v>
      </c>
      <c r="R133" s="91"/>
      <c r="S133" s="77">
        <f>SUM(D133+J133-M133)</f>
        <v>0</v>
      </c>
    </row>
    <row r="134" spans="1:19" s="160" customFormat="1" ht="32.25" customHeight="1">
      <c r="A134" s="106">
        <v>2</v>
      </c>
      <c r="B134" s="142" t="s">
        <v>69</v>
      </c>
      <c r="C134" s="142" t="s">
        <v>170</v>
      </c>
      <c r="D134" s="151">
        <v>920</v>
      </c>
      <c r="E134" s="163"/>
      <c r="F134" s="122"/>
      <c r="G134" s="122"/>
      <c r="H134" s="91">
        <v>0</v>
      </c>
      <c r="I134" s="122"/>
      <c r="J134" s="132">
        <v>0</v>
      </c>
      <c r="K134" s="276" t="s">
        <v>738</v>
      </c>
      <c r="L134" s="277" t="s">
        <v>770</v>
      </c>
      <c r="M134" s="278">
        <v>920</v>
      </c>
      <c r="N134" s="281"/>
      <c r="O134" s="280"/>
      <c r="P134" s="280"/>
      <c r="Q134" s="91">
        <f t="shared" ref="Q134:Q160" si="7">SUM(D134+J134-M134)</f>
        <v>0</v>
      </c>
      <c r="R134" s="91"/>
      <c r="S134" s="77">
        <f t="shared" ref="S134:S144" si="8">SUM(D134+J134-M134)</f>
        <v>0</v>
      </c>
    </row>
    <row r="135" spans="1:19" s="160" customFormat="1" ht="32.25" customHeight="1">
      <c r="A135" s="106">
        <v>3</v>
      </c>
      <c r="B135" s="142" t="s">
        <v>27</v>
      </c>
      <c r="C135" s="142" t="s">
        <v>172</v>
      </c>
      <c r="D135" s="151">
        <v>1100</v>
      </c>
      <c r="E135" s="163"/>
      <c r="F135" s="122"/>
      <c r="G135" s="122"/>
      <c r="H135" s="91">
        <v>0</v>
      </c>
      <c r="I135" s="122"/>
      <c r="J135" s="132">
        <v>0</v>
      </c>
      <c r="K135" s="276" t="s">
        <v>734</v>
      </c>
      <c r="L135" s="277" t="s">
        <v>736</v>
      </c>
      <c r="M135" s="278">
        <v>1100</v>
      </c>
      <c r="N135" s="279"/>
      <c r="O135" s="280"/>
      <c r="P135" s="280"/>
      <c r="Q135" s="91">
        <f t="shared" si="7"/>
        <v>0</v>
      </c>
      <c r="R135" s="91"/>
      <c r="S135" s="77">
        <f t="shared" si="8"/>
        <v>0</v>
      </c>
    </row>
    <row r="136" spans="1:19" s="160" customFormat="1" ht="32.25" customHeight="1">
      <c r="A136" s="106"/>
      <c r="B136" s="142" t="s">
        <v>341</v>
      </c>
      <c r="C136" s="142"/>
      <c r="D136" s="151"/>
      <c r="E136" s="163"/>
      <c r="F136" s="122"/>
      <c r="G136" s="122"/>
      <c r="H136" s="91">
        <v>0</v>
      </c>
      <c r="I136" s="122"/>
      <c r="J136" s="132">
        <v>0</v>
      </c>
      <c r="K136" s="276"/>
      <c r="L136" s="277"/>
      <c r="M136" s="278"/>
      <c r="N136" s="279"/>
      <c r="O136" s="280"/>
      <c r="P136" s="280"/>
      <c r="Q136" s="91">
        <f t="shared" si="7"/>
        <v>0</v>
      </c>
      <c r="R136" s="91"/>
      <c r="S136" s="77">
        <f t="shared" si="8"/>
        <v>0</v>
      </c>
    </row>
    <row r="137" spans="1:19" s="160" customFormat="1" ht="32.25" customHeight="1">
      <c r="A137" s="106"/>
      <c r="B137" s="142" t="s">
        <v>342</v>
      </c>
      <c r="C137" s="142"/>
      <c r="D137" s="151"/>
      <c r="E137" s="163"/>
      <c r="F137" s="122"/>
      <c r="G137" s="122"/>
      <c r="H137" s="91">
        <v>0</v>
      </c>
      <c r="I137" s="122"/>
      <c r="J137" s="132">
        <v>0</v>
      </c>
      <c r="K137" s="276"/>
      <c r="L137" s="277"/>
      <c r="M137" s="278"/>
      <c r="N137" s="279"/>
      <c r="O137" s="280"/>
      <c r="P137" s="280"/>
      <c r="Q137" s="91">
        <f t="shared" si="7"/>
        <v>0</v>
      </c>
      <c r="R137" s="91"/>
      <c r="S137" s="77">
        <f t="shared" si="8"/>
        <v>0</v>
      </c>
    </row>
    <row r="138" spans="1:19" s="160" customFormat="1" ht="32.25" customHeight="1">
      <c r="A138" s="106"/>
      <c r="B138" s="142" t="s">
        <v>343</v>
      </c>
      <c r="C138" s="142"/>
      <c r="D138" s="151"/>
      <c r="E138" s="163"/>
      <c r="F138" s="122"/>
      <c r="G138" s="122"/>
      <c r="H138" s="91">
        <v>0</v>
      </c>
      <c r="I138" s="122"/>
      <c r="J138" s="132">
        <v>0</v>
      </c>
      <c r="K138" s="276"/>
      <c r="L138" s="277"/>
      <c r="M138" s="278"/>
      <c r="N138" s="279"/>
      <c r="O138" s="280"/>
      <c r="P138" s="280"/>
      <c r="Q138" s="91">
        <f t="shared" si="7"/>
        <v>0</v>
      </c>
      <c r="R138" s="91"/>
      <c r="S138" s="77">
        <f t="shared" si="8"/>
        <v>0</v>
      </c>
    </row>
    <row r="139" spans="1:19" s="160" customFormat="1" ht="32.25" customHeight="1">
      <c r="A139" s="106">
        <v>4</v>
      </c>
      <c r="B139" s="142" t="s">
        <v>77</v>
      </c>
      <c r="C139" s="142" t="s">
        <v>174</v>
      </c>
      <c r="D139" s="151">
        <v>920</v>
      </c>
      <c r="E139" s="163"/>
      <c r="F139" s="122"/>
      <c r="G139" s="122"/>
      <c r="H139" s="91">
        <v>0</v>
      </c>
      <c r="I139" s="122"/>
      <c r="J139" s="132">
        <v>0</v>
      </c>
      <c r="K139" s="276" t="s">
        <v>713</v>
      </c>
      <c r="L139" s="277" t="s">
        <v>771</v>
      </c>
      <c r="M139" s="278">
        <v>920</v>
      </c>
      <c r="N139" s="279"/>
      <c r="O139" s="280"/>
      <c r="P139" s="280"/>
      <c r="Q139" s="91">
        <f t="shared" si="7"/>
        <v>0</v>
      </c>
      <c r="R139" s="91"/>
      <c r="S139" s="77">
        <f t="shared" si="8"/>
        <v>0</v>
      </c>
    </row>
    <row r="140" spans="1:19" s="160" customFormat="1" ht="32.25" customHeight="1">
      <c r="A140" s="106">
        <v>5</v>
      </c>
      <c r="B140" s="142" t="s">
        <v>176</v>
      </c>
      <c r="C140" s="142" t="s">
        <v>177</v>
      </c>
      <c r="D140" s="151">
        <v>2300</v>
      </c>
      <c r="E140" s="163"/>
      <c r="F140" s="122"/>
      <c r="G140" s="122"/>
      <c r="H140" s="91">
        <v>0</v>
      </c>
      <c r="I140" s="122"/>
      <c r="J140" s="132">
        <v>0</v>
      </c>
      <c r="K140" s="276" t="s">
        <v>772</v>
      </c>
      <c r="L140" s="277" t="s">
        <v>773</v>
      </c>
      <c r="M140" s="278">
        <v>2300</v>
      </c>
      <c r="N140" s="279"/>
      <c r="O140" s="280"/>
      <c r="P140" s="280"/>
      <c r="Q140" s="91">
        <f t="shared" si="7"/>
        <v>0</v>
      </c>
      <c r="R140" s="91"/>
      <c r="S140" s="77">
        <f t="shared" si="8"/>
        <v>0</v>
      </c>
    </row>
    <row r="141" spans="1:19" ht="32.25" customHeight="1">
      <c r="A141" s="106">
        <v>6</v>
      </c>
      <c r="B141" s="142" t="s">
        <v>75</v>
      </c>
      <c r="C141" s="142" t="s">
        <v>179</v>
      </c>
      <c r="D141" s="151"/>
      <c r="E141" s="163"/>
      <c r="F141" s="115"/>
      <c r="G141" s="115"/>
      <c r="H141" s="131">
        <v>0</v>
      </c>
      <c r="I141" s="115"/>
      <c r="J141" s="132">
        <v>0</v>
      </c>
      <c r="K141" s="282"/>
      <c r="L141" s="210"/>
      <c r="M141" s="283"/>
      <c r="N141" s="114"/>
      <c r="O141" s="122"/>
      <c r="P141" s="122"/>
      <c r="Q141" s="91">
        <f t="shared" si="7"/>
        <v>0</v>
      </c>
      <c r="R141" s="91"/>
      <c r="S141" s="77">
        <f t="shared" si="8"/>
        <v>0</v>
      </c>
    </row>
    <row r="142" spans="1:19" ht="32.25" customHeight="1">
      <c r="A142" s="106">
        <v>7</v>
      </c>
      <c r="B142" s="142" t="s">
        <v>75</v>
      </c>
      <c r="C142" s="142" t="s">
        <v>180</v>
      </c>
      <c r="D142" s="151"/>
      <c r="E142" s="163"/>
      <c r="F142" s="115"/>
      <c r="G142" s="115"/>
      <c r="H142" s="131">
        <v>0</v>
      </c>
      <c r="I142" s="115"/>
      <c r="J142" s="132">
        <v>0</v>
      </c>
      <c r="K142" s="282"/>
      <c r="L142" s="210"/>
      <c r="M142" s="283"/>
      <c r="N142" s="114"/>
      <c r="O142" s="122"/>
      <c r="P142" s="122"/>
      <c r="Q142" s="91">
        <f t="shared" si="7"/>
        <v>0</v>
      </c>
      <c r="R142" s="91"/>
      <c r="S142" s="77">
        <f t="shared" si="8"/>
        <v>0</v>
      </c>
    </row>
    <row r="143" spans="1:19" ht="32.25" customHeight="1">
      <c r="A143" s="106">
        <v>8</v>
      </c>
      <c r="B143" s="142" t="s">
        <v>75</v>
      </c>
      <c r="C143" s="142" t="s">
        <v>181</v>
      </c>
      <c r="D143" s="151">
        <v>0</v>
      </c>
      <c r="E143" s="163"/>
      <c r="F143" s="115"/>
      <c r="G143" s="115"/>
      <c r="H143" s="131">
        <v>0</v>
      </c>
      <c r="I143" s="115"/>
      <c r="J143" s="132">
        <v>0</v>
      </c>
      <c r="K143" s="282"/>
      <c r="L143" s="210"/>
      <c r="M143" s="283"/>
      <c r="N143" s="114"/>
      <c r="O143" s="122"/>
      <c r="P143" s="122"/>
      <c r="Q143" s="91">
        <f t="shared" si="7"/>
        <v>0</v>
      </c>
      <c r="R143" s="91"/>
      <c r="S143" s="77">
        <f t="shared" si="8"/>
        <v>0</v>
      </c>
    </row>
    <row r="144" spans="1:19" ht="32.25" customHeight="1">
      <c r="A144" s="106">
        <v>9</v>
      </c>
      <c r="B144" s="142" t="s">
        <v>75</v>
      </c>
      <c r="C144" s="142" t="s">
        <v>182</v>
      </c>
      <c r="D144" s="151">
        <v>0</v>
      </c>
      <c r="E144" s="163"/>
      <c r="F144" s="115"/>
      <c r="G144" s="115"/>
      <c r="H144" s="131">
        <v>0</v>
      </c>
      <c r="I144" s="115"/>
      <c r="J144" s="132">
        <v>0</v>
      </c>
      <c r="K144" s="282"/>
      <c r="L144" s="210"/>
      <c r="M144" s="283"/>
      <c r="N144" s="114"/>
      <c r="O144" s="122"/>
      <c r="P144" s="122"/>
      <c r="Q144" s="91">
        <f t="shared" si="7"/>
        <v>0</v>
      </c>
      <c r="R144" s="91"/>
      <c r="S144" s="77">
        <f t="shared" si="8"/>
        <v>0</v>
      </c>
    </row>
    <row r="145" spans="1:19" ht="32.25" customHeight="1">
      <c r="A145" s="106">
        <v>10</v>
      </c>
      <c r="B145" s="142" t="s">
        <v>75</v>
      </c>
      <c r="C145" s="142" t="s">
        <v>183</v>
      </c>
      <c r="D145" s="151">
        <v>0</v>
      </c>
      <c r="E145" s="163"/>
      <c r="F145" s="115"/>
      <c r="G145" s="115"/>
      <c r="H145" s="131">
        <v>0</v>
      </c>
      <c r="I145" s="115"/>
      <c r="J145" s="132">
        <v>0</v>
      </c>
      <c r="K145" s="282"/>
      <c r="L145" s="210"/>
      <c r="M145" s="283"/>
      <c r="N145" s="114"/>
      <c r="O145" s="115"/>
      <c r="P145" s="168"/>
      <c r="Q145" s="91">
        <f t="shared" si="7"/>
        <v>0</v>
      </c>
      <c r="R145" s="91"/>
      <c r="S145" s="294">
        <f>SUM(D145+J145-M145)</f>
        <v>0</v>
      </c>
    </row>
    <row r="146" spans="1:19" ht="32.25" customHeight="1" thickBot="1">
      <c r="A146" s="39"/>
      <c r="B146" s="50" t="s">
        <v>19</v>
      </c>
      <c r="C146" s="50"/>
      <c r="D146" s="51">
        <f>SUM(D133:D145)</f>
        <v>16165</v>
      </c>
      <c r="E146" s="52"/>
      <c r="F146" s="53"/>
      <c r="G146" s="52"/>
      <c r="H146" s="51">
        <f>SUM(H133:H145)</f>
        <v>0</v>
      </c>
      <c r="I146" s="51">
        <v>0</v>
      </c>
      <c r="J146" s="51">
        <f>SUM(J133:J145)</f>
        <v>0</v>
      </c>
      <c r="K146" s="54"/>
      <c r="L146" s="55"/>
      <c r="M146" s="56">
        <f>SUM(M133:M145)</f>
        <v>16165</v>
      </c>
      <c r="N146" s="57"/>
      <c r="O146" s="53"/>
      <c r="P146" s="51"/>
      <c r="Q146" s="519">
        <v>0</v>
      </c>
      <c r="R146" s="520">
        <v>0</v>
      </c>
      <c r="S146" s="521">
        <v>0</v>
      </c>
    </row>
    <row r="147" spans="1:19" ht="32.25" hidden="1" customHeight="1">
      <c r="A147" s="39"/>
      <c r="B147" s="58" t="s">
        <v>184</v>
      </c>
      <c r="C147" s="59"/>
      <c r="D147" s="60"/>
      <c r="E147" s="61"/>
      <c r="F147" s="62"/>
      <c r="G147" s="63"/>
      <c r="H147" s="64"/>
      <c r="I147" s="64"/>
      <c r="J147" s="64"/>
      <c r="K147" s="65"/>
      <c r="L147" s="66"/>
      <c r="M147" s="67"/>
      <c r="N147" s="68"/>
      <c r="O147" s="62"/>
      <c r="P147" s="69"/>
      <c r="Q147" s="6">
        <f t="shared" si="7"/>
        <v>0</v>
      </c>
      <c r="R147" s="37"/>
      <c r="S147" s="518">
        <f t="shared" ref="S147:S158" si="9">SUM(D147+J147-M147)</f>
        <v>0</v>
      </c>
    </row>
    <row r="148" spans="1:19" ht="32.25" hidden="1" customHeight="1">
      <c r="A148" s="39">
        <v>1</v>
      </c>
      <c r="B148" s="40"/>
      <c r="C148" s="41"/>
      <c r="D148" s="42"/>
      <c r="E148" s="6"/>
      <c r="F148" s="43"/>
      <c r="G148" s="6"/>
      <c r="H148" s="42"/>
      <c r="I148" s="42"/>
      <c r="J148" s="42"/>
      <c r="K148" s="44"/>
      <c r="L148" s="45"/>
      <c r="M148" s="46"/>
      <c r="N148" s="5"/>
      <c r="O148" s="43"/>
      <c r="P148" s="47"/>
      <c r="Q148" s="91">
        <f t="shared" si="7"/>
        <v>0</v>
      </c>
      <c r="R148" s="48"/>
      <c r="S148" s="77">
        <f t="shared" si="9"/>
        <v>0</v>
      </c>
    </row>
    <row r="149" spans="1:19" ht="32.25" hidden="1" customHeight="1">
      <c r="A149" s="39"/>
      <c r="B149" s="50" t="s">
        <v>19</v>
      </c>
      <c r="C149" s="50"/>
      <c r="D149" s="51">
        <v>0</v>
      </c>
      <c r="E149" s="52"/>
      <c r="F149" s="53"/>
      <c r="G149" s="52"/>
      <c r="H149" s="51">
        <v>0</v>
      </c>
      <c r="I149" s="51">
        <v>0</v>
      </c>
      <c r="J149" s="51">
        <v>0</v>
      </c>
      <c r="K149" s="54"/>
      <c r="L149" s="55"/>
      <c r="M149" s="56"/>
      <c r="N149" s="57"/>
      <c r="O149" s="53"/>
      <c r="P149" s="51"/>
      <c r="Q149" s="91">
        <f t="shared" si="7"/>
        <v>0</v>
      </c>
      <c r="R149" s="51"/>
      <c r="S149" s="77">
        <f t="shared" si="9"/>
        <v>0</v>
      </c>
    </row>
    <row r="150" spans="1:19" ht="32.25" hidden="1" customHeight="1">
      <c r="A150" s="39"/>
      <c r="B150" s="58" t="s">
        <v>185</v>
      </c>
      <c r="C150" s="59"/>
      <c r="D150" s="60"/>
      <c r="E150" s="61"/>
      <c r="F150" s="62"/>
      <c r="G150" s="63"/>
      <c r="H150" s="64"/>
      <c r="I150" s="64"/>
      <c r="J150" s="64"/>
      <c r="K150" s="65"/>
      <c r="L150" s="66"/>
      <c r="M150" s="67"/>
      <c r="N150" s="68"/>
      <c r="O150" s="62"/>
      <c r="P150" s="69"/>
      <c r="Q150" s="91">
        <f t="shared" si="7"/>
        <v>0</v>
      </c>
      <c r="R150" s="63"/>
      <c r="S150" s="77">
        <f t="shared" si="9"/>
        <v>0</v>
      </c>
    </row>
    <row r="151" spans="1:19" ht="32.25" hidden="1" customHeight="1">
      <c r="A151" s="39">
        <v>1</v>
      </c>
      <c r="B151" s="40"/>
      <c r="C151" s="41"/>
      <c r="D151" s="42"/>
      <c r="E151" s="6"/>
      <c r="F151" s="43"/>
      <c r="G151" s="6"/>
      <c r="H151" s="42"/>
      <c r="I151" s="42"/>
      <c r="J151" s="42"/>
      <c r="K151" s="284"/>
      <c r="L151" s="285"/>
      <c r="M151" s="286"/>
      <c r="N151" s="5"/>
      <c r="O151" s="43"/>
      <c r="P151" s="47"/>
      <c r="Q151" s="91">
        <f t="shared" si="7"/>
        <v>0</v>
      </c>
      <c r="R151" s="48"/>
      <c r="S151" s="77">
        <f t="shared" si="9"/>
        <v>0</v>
      </c>
    </row>
    <row r="152" spans="1:19" ht="32.25" hidden="1" customHeight="1">
      <c r="A152" s="39"/>
      <c r="B152" s="50" t="s">
        <v>19</v>
      </c>
      <c r="C152" s="50"/>
      <c r="D152" s="51">
        <v>0</v>
      </c>
      <c r="E152" s="52"/>
      <c r="F152" s="53"/>
      <c r="G152" s="52"/>
      <c r="H152" s="51">
        <v>0</v>
      </c>
      <c r="I152" s="51">
        <v>0</v>
      </c>
      <c r="J152" s="51">
        <v>0</v>
      </c>
      <c r="K152" s="54"/>
      <c r="L152" s="55"/>
      <c r="M152" s="56"/>
      <c r="N152" s="57"/>
      <c r="O152" s="53"/>
      <c r="P152" s="51"/>
      <c r="Q152" s="91">
        <f t="shared" si="7"/>
        <v>0</v>
      </c>
      <c r="R152" s="51"/>
      <c r="S152" s="77">
        <f t="shared" si="9"/>
        <v>0</v>
      </c>
    </row>
    <row r="153" spans="1:19" ht="32.25" customHeight="1" thickTop="1">
      <c r="A153" s="39"/>
      <c r="B153" s="58" t="s">
        <v>186</v>
      </c>
      <c r="C153" s="59"/>
      <c r="D153" s="60"/>
      <c r="E153" s="61"/>
      <c r="F153" s="62"/>
      <c r="G153" s="63"/>
      <c r="H153" s="64"/>
      <c r="I153" s="64"/>
      <c r="J153" s="64"/>
      <c r="K153" s="65"/>
      <c r="L153" s="66"/>
      <c r="M153" s="67"/>
      <c r="N153" s="68"/>
      <c r="O153" s="62"/>
      <c r="P153" s="69"/>
      <c r="Q153" s="91">
        <f t="shared" si="7"/>
        <v>0</v>
      </c>
      <c r="R153" s="63"/>
      <c r="S153" s="77">
        <f t="shared" si="9"/>
        <v>0</v>
      </c>
    </row>
    <row r="154" spans="1:19" s="160" customFormat="1" ht="32.25" customHeight="1">
      <c r="A154" s="116">
        <v>1</v>
      </c>
      <c r="B154" s="41" t="s">
        <v>23</v>
      </c>
      <c r="C154" s="41" t="s">
        <v>187</v>
      </c>
      <c r="D154" s="287">
        <v>2140</v>
      </c>
      <c r="E154" s="240"/>
      <c r="F154" s="122"/>
      <c r="G154" s="91"/>
      <c r="H154" s="91"/>
      <c r="I154" s="92"/>
      <c r="J154" s="132">
        <v>0</v>
      </c>
      <c r="K154" s="288" t="s">
        <v>734</v>
      </c>
      <c r="L154" s="289" t="s">
        <v>774</v>
      </c>
      <c r="M154" s="290">
        <v>2140</v>
      </c>
      <c r="N154" s="291"/>
      <c r="O154" s="292"/>
      <c r="P154" s="293"/>
      <c r="Q154" s="91">
        <f t="shared" si="7"/>
        <v>0</v>
      </c>
      <c r="R154" s="92"/>
      <c r="S154" s="77">
        <f t="shared" si="9"/>
        <v>0</v>
      </c>
    </row>
    <row r="155" spans="1:19" s="160" customFormat="1" ht="32.25" customHeight="1">
      <c r="A155" s="116">
        <v>2</v>
      </c>
      <c r="B155" s="142" t="s">
        <v>23</v>
      </c>
      <c r="C155" s="142" t="s">
        <v>189</v>
      </c>
      <c r="D155" s="287">
        <v>24417.4</v>
      </c>
      <c r="E155" s="114"/>
      <c r="F155" s="115"/>
      <c r="G155" s="295"/>
      <c r="H155" s="131">
        <v>0</v>
      </c>
      <c r="I155" s="125"/>
      <c r="J155" s="132">
        <v>0</v>
      </c>
      <c r="K155" s="296" t="s">
        <v>775</v>
      </c>
      <c r="L155" s="297" t="s">
        <v>776</v>
      </c>
      <c r="M155" s="290">
        <v>24417.4</v>
      </c>
      <c r="N155" s="298"/>
      <c r="O155" s="292"/>
      <c r="P155" s="292"/>
      <c r="Q155" s="91">
        <f t="shared" si="7"/>
        <v>0</v>
      </c>
      <c r="R155" s="92"/>
      <c r="S155" s="77">
        <f t="shared" si="9"/>
        <v>0</v>
      </c>
    </row>
    <row r="156" spans="1:19" s="160" customFormat="1" ht="32.25" customHeight="1">
      <c r="A156" s="116">
        <v>3</v>
      </c>
      <c r="B156" s="142" t="s">
        <v>192</v>
      </c>
      <c r="C156" s="142" t="s">
        <v>193</v>
      </c>
      <c r="D156" s="293">
        <v>963</v>
      </c>
      <c r="E156" s="114"/>
      <c r="F156" s="115"/>
      <c r="G156" s="131"/>
      <c r="H156" s="131">
        <v>0</v>
      </c>
      <c r="I156" s="125"/>
      <c r="J156" s="132">
        <v>0</v>
      </c>
      <c r="K156" s="288" t="s">
        <v>699</v>
      </c>
      <c r="L156" s="289" t="s">
        <v>777</v>
      </c>
      <c r="M156" s="290">
        <v>963</v>
      </c>
      <c r="N156" s="298"/>
      <c r="O156" s="292"/>
      <c r="P156" s="299"/>
      <c r="Q156" s="91">
        <f t="shared" si="7"/>
        <v>0</v>
      </c>
      <c r="R156" s="92"/>
      <c r="S156" s="77">
        <f t="shared" si="9"/>
        <v>0</v>
      </c>
    </row>
    <row r="157" spans="1:19" ht="32.25" customHeight="1">
      <c r="A157" s="106">
        <v>4</v>
      </c>
      <c r="B157" s="300" t="s">
        <v>195</v>
      </c>
      <c r="C157" s="300" t="s">
        <v>193</v>
      </c>
      <c r="D157" s="287">
        <v>5617.5</v>
      </c>
      <c r="E157" s="301" t="s">
        <v>669</v>
      </c>
      <c r="F157" s="31">
        <v>1</v>
      </c>
      <c r="G157" s="301" t="s">
        <v>72</v>
      </c>
      <c r="H157" s="29">
        <v>3110.0000000000005</v>
      </c>
      <c r="I157" s="29">
        <v>217.69999999999985</v>
      </c>
      <c r="J157" s="132">
        <v>3327.7000000000003</v>
      </c>
      <c r="K157" s="288" t="s">
        <v>745</v>
      </c>
      <c r="L157" s="289" t="s">
        <v>778</v>
      </c>
      <c r="M157" s="290">
        <v>3327.7</v>
      </c>
      <c r="N157" s="302" t="s">
        <v>779</v>
      </c>
      <c r="O157" s="303">
        <v>1</v>
      </c>
      <c r="P157" s="304" t="s">
        <v>72</v>
      </c>
      <c r="Q157" s="91">
        <f>SUM(S157-R157)</f>
        <v>5250.0000000000009</v>
      </c>
      <c r="R157" s="29">
        <f>+S157*0.0654205607476635</f>
        <v>367.49999999999977</v>
      </c>
      <c r="S157" s="77">
        <f t="shared" si="9"/>
        <v>5617.5000000000009</v>
      </c>
    </row>
    <row r="158" spans="1:19" ht="32.25" customHeight="1">
      <c r="A158" s="39">
        <v>5</v>
      </c>
      <c r="B158" s="142" t="s">
        <v>526</v>
      </c>
      <c r="C158" s="142" t="s">
        <v>193</v>
      </c>
      <c r="D158" s="305">
        <v>1433.8</v>
      </c>
      <c r="E158" s="131"/>
      <c r="F158" s="115"/>
      <c r="G158" s="131"/>
      <c r="H158" s="125">
        <v>0</v>
      </c>
      <c r="I158" s="125"/>
      <c r="J158" s="132">
        <v>0</v>
      </c>
      <c r="K158" s="306" t="s">
        <v>706</v>
      </c>
      <c r="L158" s="307" t="s">
        <v>780</v>
      </c>
      <c r="M158" s="308">
        <v>1433.8</v>
      </c>
      <c r="N158" s="114"/>
      <c r="O158" s="115"/>
      <c r="P158" s="144"/>
      <c r="Q158" s="91">
        <f t="shared" si="7"/>
        <v>0</v>
      </c>
      <c r="R158" s="125"/>
      <c r="S158" s="77">
        <f t="shared" si="9"/>
        <v>0</v>
      </c>
    </row>
    <row r="159" spans="1:19" ht="32.25" customHeight="1">
      <c r="A159" s="39">
        <v>6</v>
      </c>
      <c r="B159" s="142" t="s">
        <v>403</v>
      </c>
      <c r="C159" s="142" t="s">
        <v>193</v>
      </c>
      <c r="D159" s="125">
        <v>2075.8000000000002</v>
      </c>
      <c r="E159" s="131"/>
      <c r="F159" s="115"/>
      <c r="G159" s="131"/>
      <c r="H159" s="125">
        <v>0</v>
      </c>
      <c r="I159" s="125"/>
      <c r="J159" s="132">
        <v>0</v>
      </c>
      <c r="K159" s="34" t="s">
        <v>781</v>
      </c>
      <c r="L159" s="35" t="s">
        <v>782</v>
      </c>
      <c r="M159" s="36">
        <v>2075.8000000000002</v>
      </c>
      <c r="N159" s="114"/>
      <c r="O159" s="115"/>
      <c r="P159" s="144"/>
      <c r="Q159" s="91">
        <f t="shared" si="7"/>
        <v>0</v>
      </c>
      <c r="R159" s="125"/>
      <c r="S159" s="77">
        <v>0</v>
      </c>
    </row>
    <row r="160" spans="1:19" ht="32.25" customHeight="1">
      <c r="A160" s="39"/>
      <c r="B160" s="41"/>
      <c r="C160" s="41"/>
      <c r="D160" s="42"/>
      <c r="E160" s="6"/>
      <c r="F160" s="43"/>
      <c r="G160" s="6"/>
      <c r="H160" s="42"/>
      <c r="I160" s="42"/>
      <c r="J160" s="309"/>
      <c r="K160" s="284"/>
      <c r="L160" s="285"/>
      <c r="M160" s="286"/>
      <c r="N160" s="5"/>
      <c r="O160" s="43"/>
      <c r="P160" s="47"/>
      <c r="Q160" s="91">
        <f t="shared" si="7"/>
        <v>0</v>
      </c>
      <c r="R160" s="42"/>
      <c r="S160" s="100"/>
    </row>
    <row r="161" spans="1:26" ht="32.25" customHeight="1" thickBot="1">
      <c r="A161" s="39"/>
      <c r="B161" s="50" t="s">
        <v>19</v>
      </c>
      <c r="C161" s="50"/>
      <c r="D161" s="51">
        <f>SUM(D154:D160)</f>
        <v>36647.500000000007</v>
      </c>
      <c r="E161" s="52"/>
      <c r="F161" s="53"/>
      <c r="G161" s="52"/>
      <c r="H161" s="51">
        <f>SUM(H154:H160)</f>
        <v>3110.0000000000005</v>
      </c>
      <c r="I161" s="51">
        <f>SUM(I154:I160)</f>
        <v>217.69999999999985</v>
      </c>
      <c r="J161" s="51">
        <f>SUM(J154:J160)</f>
        <v>3327.7000000000003</v>
      </c>
      <c r="K161" s="54"/>
      <c r="L161" s="55"/>
      <c r="M161" s="56">
        <f>SUM(M154:M159)</f>
        <v>34357.700000000004</v>
      </c>
      <c r="N161" s="57"/>
      <c r="O161" s="53"/>
      <c r="P161" s="51"/>
      <c r="Q161" s="51">
        <f>SUM(Q154:Q160)</f>
        <v>5250.0000000000009</v>
      </c>
      <c r="R161" s="51">
        <f t="shared" ref="R161:S161" si="10">SUM(R154:R160)</f>
        <v>367.49999999999977</v>
      </c>
      <c r="S161" s="51">
        <f t="shared" si="10"/>
        <v>5617.5000000000009</v>
      </c>
    </row>
    <row r="162" spans="1:26" ht="32.25" customHeight="1" thickTop="1">
      <c r="A162" s="39"/>
      <c r="B162" s="58" t="s">
        <v>198</v>
      </c>
      <c r="C162" s="59"/>
      <c r="D162" s="60"/>
      <c r="E162" s="61"/>
      <c r="F162" s="62"/>
      <c r="G162" s="63"/>
      <c r="H162" s="64"/>
      <c r="I162" s="64"/>
      <c r="J162" s="64"/>
      <c r="K162" s="65"/>
      <c r="L162" s="66"/>
      <c r="M162" s="67"/>
      <c r="N162" s="68"/>
      <c r="O162" s="62"/>
      <c r="P162" s="69"/>
      <c r="Q162" s="63"/>
      <c r="R162" s="63"/>
      <c r="S162" s="70"/>
    </row>
    <row r="163" spans="1:26" s="327" customFormat="1" ht="32.25" customHeight="1">
      <c r="A163" s="310">
        <v>1</v>
      </c>
      <c r="B163" s="311" t="s">
        <v>152</v>
      </c>
      <c r="C163" s="312"/>
      <c r="D163" s="305">
        <v>0</v>
      </c>
      <c r="E163" s="313"/>
      <c r="F163" s="314"/>
      <c r="G163" s="315"/>
      <c r="H163" s="316">
        <v>0</v>
      </c>
      <c r="I163" s="72">
        <v>0</v>
      </c>
      <c r="J163" s="317">
        <v>0</v>
      </c>
      <c r="K163" s="318"/>
      <c r="L163" s="319"/>
      <c r="M163" s="320"/>
      <c r="N163" s="313"/>
      <c r="O163" s="314"/>
      <c r="P163" s="321"/>
      <c r="Q163" s="322">
        <v>0</v>
      </c>
      <c r="R163" s="323"/>
      <c r="S163" s="324">
        <v>0</v>
      </c>
      <c r="T163" s="325" t="s">
        <v>199</v>
      </c>
      <c r="U163" s="326"/>
      <c r="V163" s="326"/>
      <c r="W163" s="326"/>
      <c r="X163" s="326"/>
      <c r="Y163" s="326"/>
      <c r="Z163" s="326"/>
    </row>
    <row r="164" spans="1:26" s="327" customFormat="1" ht="32.25" customHeight="1">
      <c r="A164" s="328">
        <v>2</v>
      </c>
      <c r="B164" s="329" t="s">
        <v>200</v>
      </c>
      <c r="C164" s="330"/>
      <c r="D164" s="331">
        <v>0</v>
      </c>
      <c r="E164" s="332"/>
      <c r="F164" s="333"/>
      <c r="G164" s="334"/>
      <c r="H164" s="335">
        <v>0</v>
      </c>
      <c r="I164" s="72">
        <v>0</v>
      </c>
      <c r="J164" s="317">
        <v>0</v>
      </c>
      <c r="K164" s="318"/>
      <c r="L164" s="319"/>
      <c r="M164" s="320"/>
      <c r="N164" s="313"/>
      <c r="O164" s="314"/>
      <c r="P164" s="321"/>
      <c r="Q164" s="322">
        <v>0</v>
      </c>
      <c r="R164" s="323"/>
      <c r="S164" s="324">
        <v>0</v>
      </c>
      <c r="T164" s="325"/>
      <c r="U164" s="326"/>
      <c r="V164" s="326"/>
      <c r="W164" s="326"/>
      <c r="X164" s="326"/>
      <c r="Y164" s="326"/>
      <c r="Z164" s="326"/>
    </row>
    <row r="165" spans="1:26" ht="32.25" customHeight="1">
      <c r="A165" s="39"/>
      <c r="B165" s="223" t="s">
        <v>201</v>
      </c>
      <c r="C165" s="224"/>
      <c r="D165" s="125">
        <v>0</v>
      </c>
      <c r="E165" s="131"/>
      <c r="F165" s="115"/>
      <c r="G165" s="131"/>
      <c r="H165" s="125">
        <v>0</v>
      </c>
      <c r="I165" s="125">
        <v>0</v>
      </c>
      <c r="J165" s="125">
        <v>0</v>
      </c>
      <c r="K165" s="209"/>
      <c r="L165" s="336"/>
      <c r="M165" s="36"/>
      <c r="N165" s="114"/>
      <c r="O165" s="115"/>
      <c r="P165" s="115"/>
      <c r="Q165" s="131">
        <v>0</v>
      </c>
      <c r="R165" s="131"/>
      <c r="S165" s="77">
        <v>0</v>
      </c>
    </row>
    <row r="166" spans="1:26" ht="32.25" customHeight="1">
      <c r="A166" s="39"/>
      <c r="B166" s="223" t="s">
        <v>202</v>
      </c>
      <c r="C166" s="224"/>
      <c r="D166" s="42">
        <v>0</v>
      </c>
      <c r="E166" s="6"/>
      <c r="F166" s="43"/>
      <c r="G166" s="6"/>
      <c r="H166" s="42">
        <v>0</v>
      </c>
      <c r="I166" s="42">
        <v>0</v>
      </c>
      <c r="J166" s="125">
        <v>0</v>
      </c>
      <c r="K166" s="44"/>
      <c r="L166" s="45"/>
      <c r="M166" s="46"/>
      <c r="N166" s="114"/>
      <c r="O166" s="115"/>
      <c r="P166" s="47"/>
      <c r="Q166" s="131">
        <v>0</v>
      </c>
      <c r="R166" s="131"/>
      <c r="S166" s="77">
        <v>0</v>
      </c>
    </row>
    <row r="167" spans="1:26" ht="32.25" customHeight="1">
      <c r="A167" s="337">
        <v>3</v>
      </c>
      <c r="B167" s="338" t="s">
        <v>130</v>
      </c>
      <c r="C167" s="339"/>
      <c r="D167" s="42">
        <v>0</v>
      </c>
      <c r="E167" s="6"/>
      <c r="F167" s="43"/>
      <c r="G167" s="6"/>
      <c r="H167" s="42">
        <v>0</v>
      </c>
      <c r="I167" s="42">
        <v>0</v>
      </c>
      <c r="J167" s="42">
        <v>0</v>
      </c>
      <c r="K167" s="284"/>
      <c r="L167" s="285"/>
      <c r="M167" s="286"/>
      <c r="N167" s="5"/>
      <c r="O167" s="43"/>
      <c r="P167" s="47"/>
      <c r="Q167" s="6">
        <v>0</v>
      </c>
      <c r="R167" s="6"/>
      <c r="S167" s="100">
        <v>0</v>
      </c>
    </row>
    <row r="168" spans="1:26" ht="32.25" customHeight="1">
      <c r="A168" s="337"/>
      <c r="B168" s="340" t="s">
        <v>205</v>
      </c>
      <c r="C168" s="339"/>
      <c r="D168" s="42">
        <v>0</v>
      </c>
      <c r="E168" s="6"/>
      <c r="F168" s="43"/>
      <c r="G168" s="6"/>
      <c r="H168" s="42">
        <v>0</v>
      </c>
      <c r="I168" s="42">
        <v>0</v>
      </c>
      <c r="J168" s="42">
        <v>0</v>
      </c>
      <c r="K168" s="284"/>
      <c r="L168" s="285"/>
      <c r="M168" s="286"/>
      <c r="N168" s="5"/>
      <c r="O168" s="43"/>
      <c r="P168" s="47"/>
      <c r="Q168" s="6">
        <v>0</v>
      </c>
      <c r="R168" s="6"/>
      <c r="S168" s="100">
        <v>0</v>
      </c>
    </row>
    <row r="169" spans="1:26" ht="32.25" customHeight="1">
      <c r="A169" s="337"/>
      <c r="B169" s="341" t="s">
        <v>363</v>
      </c>
      <c r="C169" s="342"/>
      <c r="D169" s="42">
        <v>0</v>
      </c>
      <c r="E169" s="6"/>
      <c r="F169" s="43"/>
      <c r="G169" s="6"/>
      <c r="H169" s="42">
        <v>0</v>
      </c>
      <c r="I169" s="42">
        <v>0</v>
      </c>
      <c r="J169" s="42">
        <v>0</v>
      </c>
      <c r="K169" s="284"/>
      <c r="L169" s="285"/>
      <c r="M169" s="286"/>
      <c r="N169" s="5"/>
      <c r="O169" s="43"/>
      <c r="P169" s="47"/>
      <c r="Q169" s="6">
        <v>0</v>
      </c>
      <c r="R169" s="6"/>
      <c r="S169" s="100">
        <v>0</v>
      </c>
    </row>
    <row r="170" spans="1:26" ht="32.25" customHeight="1">
      <c r="A170" s="337">
        <v>4</v>
      </c>
      <c r="B170" s="420" t="s">
        <v>364</v>
      </c>
      <c r="C170" s="421"/>
      <c r="D170" s="42">
        <v>0</v>
      </c>
      <c r="E170" s="6"/>
      <c r="F170" s="43"/>
      <c r="G170" s="6"/>
      <c r="H170" s="42"/>
      <c r="I170" s="42"/>
      <c r="J170" s="42"/>
      <c r="K170" s="284"/>
      <c r="L170" s="285"/>
      <c r="M170" s="286"/>
      <c r="N170" s="5"/>
      <c r="O170" s="43"/>
      <c r="P170" s="47"/>
      <c r="Q170" s="6">
        <v>0</v>
      </c>
      <c r="R170" s="6"/>
      <c r="S170" s="100">
        <v>0</v>
      </c>
    </row>
    <row r="171" spans="1:26" ht="32.25" customHeight="1">
      <c r="A171" s="337"/>
      <c r="B171" s="420" t="s">
        <v>367</v>
      </c>
      <c r="C171" s="421"/>
      <c r="D171" s="42">
        <v>0</v>
      </c>
      <c r="E171" s="6"/>
      <c r="F171" s="43"/>
      <c r="G171" s="6"/>
      <c r="H171" s="42"/>
      <c r="I171" s="42"/>
      <c r="J171" s="42"/>
      <c r="K171" s="284"/>
      <c r="L171" s="285"/>
      <c r="M171" s="286"/>
      <c r="N171" s="5"/>
      <c r="O171" s="43"/>
      <c r="P171" s="47"/>
      <c r="Q171" s="6">
        <v>0</v>
      </c>
      <c r="R171" s="6"/>
      <c r="S171" s="100">
        <v>0</v>
      </c>
    </row>
    <row r="172" spans="1:26" ht="32.25" customHeight="1">
      <c r="A172" s="337"/>
      <c r="B172" s="420" t="s">
        <v>368</v>
      </c>
      <c r="C172" s="421"/>
      <c r="D172" s="42">
        <v>0</v>
      </c>
      <c r="E172" s="6"/>
      <c r="F172" s="43"/>
      <c r="G172" s="6"/>
      <c r="H172" s="42"/>
      <c r="I172" s="42"/>
      <c r="J172" s="42"/>
      <c r="K172" s="284"/>
      <c r="L172" s="285"/>
      <c r="M172" s="286"/>
      <c r="N172" s="5"/>
      <c r="O172" s="43"/>
      <c r="P172" s="47"/>
      <c r="Q172" s="6">
        <v>0</v>
      </c>
      <c r="R172" s="6"/>
      <c r="S172" s="100">
        <v>0</v>
      </c>
    </row>
    <row r="173" spans="1:26" ht="32.25" customHeight="1">
      <c r="A173" s="337">
        <v>5</v>
      </c>
      <c r="B173" s="420" t="s">
        <v>369</v>
      </c>
      <c r="C173" s="421"/>
      <c r="D173" s="42">
        <v>0</v>
      </c>
      <c r="E173" s="6"/>
      <c r="F173" s="43"/>
      <c r="G173" s="6"/>
      <c r="H173" s="42"/>
      <c r="I173" s="42"/>
      <c r="J173" s="42"/>
      <c r="K173" s="284"/>
      <c r="L173" s="285"/>
      <c r="M173" s="286"/>
      <c r="N173" s="5"/>
      <c r="O173" s="43"/>
      <c r="P173" s="47"/>
      <c r="Q173" s="6">
        <v>0</v>
      </c>
      <c r="R173" s="6"/>
      <c r="S173" s="100">
        <v>0</v>
      </c>
    </row>
    <row r="174" spans="1:26" ht="32.25" customHeight="1">
      <c r="A174" s="337"/>
      <c r="B174" s="420" t="s">
        <v>367</v>
      </c>
      <c r="C174" s="421"/>
      <c r="D174" s="42">
        <v>0</v>
      </c>
      <c r="E174" s="6"/>
      <c r="F174" s="43"/>
      <c r="G174" s="6"/>
      <c r="H174" s="42"/>
      <c r="I174" s="42"/>
      <c r="J174" s="42"/>
      <c r="K174" s="284"/>
      <c r="L174" s="285"/>
      <c r="M174" s="286"/>
      <c r="N174" s="5"/>
      <c r="O174" s="43"/>
      <c r="P174" s="47"/>
      <c r="Q174" s="6">
        <v>0</v>
      </c>
      <c r="R174" s="6"/>
      <c r="S174" s="100">
        <v>0</v>
      </c>
    </row>
    <row r="175" spans="1:26" ht="32.25" customHeight="1">
      <c r="A175" s="337"/>
      <c r="B175" s="420" t="s">
        <v>372</v>
      </c>
      <c r="C175" s="421"/>
      <c r="D175" s="42">
        <v>0</v>
      </c>
      <c r="E175" s="6"/>
      <c r="F175" s="43"/>
      <c r="G175" s="6"/>
      <c r="H175" s="42"/>
      <c r="I175" s="42"/>
      <c r="J175" s="42"/>
      <c r="K175" s="284"/>
      <c r="L175" s="285"/>
      <c r="M175" s="286"/>
      <c r="N175" s="5"/>
      <c r="O175" s="43"/>
      <c r="P175" s="47"/>
      <c r="Q175" s="6">
        <v>0</v>
      </c>
      <c r="R175" s="6"/>
      <c r="S175" s="100">
        <v>0</v>
      </c>
    </row>
    <row r="176" spans="1:26" ht="32.25" customHeight="1">
      <c r="A176" s="337">
        <v>6</v>
      </c>
      <c r="B176" s="420" t="s">
        <v>373</v>
      </c>
      <c r="C176" s="421"/>
      <c r="D176" s="42">
        <v>0</v>
      </c>
      <c r="E176" s="6"/>
      <c r="F176" s="43"/>
      <c r="G176" s="6"/>
      <c r="H176" s="42"/>
      <c r="I176" s="42"/>
      <c r="J176" s="42"/>
      <c r="K176" s="284"/>
      <c r="L176" s="285"/>
      <c r="M176" s="286"/>
      <c r="N176" s="5"/>
      <c r="O176" s="43"/>
      <c r="P176" s="47"/>
      <c r="Q176" s="6">
        <v>0</v>
      </c>
      <c r="R176" s="6"/>
      <c r="S176" s="100">
        <v>0</v>
      </c>
    </row>
    <row r="177" spans="1:19" ht="32.25" customHeight="1">
      <c r="A177" s="337"/>
      <c r="B177" s="420" t="s">
        <v>367</v>
      </c>
      <c r="C177" s="421"/>
      <c r="D177" s="42">
        <v>0</v>
      </c>
      <c r="E177" s="6"/>
      <c r="F177" s="43"/>
      <c r="G177" s="6"/>
      <c r="H177" s="42"/>
      <c r="I177" s="42"/>
      <c r="J177" s="42"/>
      <c r="K177" s="284"/>
      <c r="L177" s="285"/>
      <c r="M177" s="286"/>
      <c r="N177" s="5"/>
      <c r="O177" s="43"/>
      <c r="P177" s="47"/>
      <c r="Q177" s="6">
        <v>0</v>
      </c>
      <c r="R177" s="6"/>
      <c r="S177" s="100">
        <v>0</v>
      </c>
    </row>
    <row r="178" spans="1:19" ht="32.25" customHeight="1">
      <c r="A178" s="337"/>
      <c r="B178" s="420" t="s">
        <v>375</v>
      </c>
      <c r="C178" s="421"/>
      <c r="D178" s="42">
        <v>0</v>
      </c>
      <c r="E178" s="6"/>
      <c r="F178" s="43"/>
      <c r="G178" s="6"/>
      <c r="H178" s="42"/>
      <c r="I178" s="42"/>
      <c r="J178" s="42"/>
      <c r="K178" s="284"/>
      <c r="L178" s="285"/>
      <c r="M178" s="286"/>
      <c r="N178" s="5"/>
      <c r="O178" s="43"/>
      <c r="P178" s="47"/>
      <c r="Q178" s="6">
        <v>0</v>
      </c>
      <c r="R178" s="6"/>
      <c r="S178" s="100">
        <v>0</v>
      </c>
    </row>
    <row r="179" spans="1:19" ht="32.25" customHeight="1">
      <c r="A179" s="337">
        <v>7</v>
      </c>
      <c r="B179" s="420" t="s">
        <v>376</v>
      </c>
      <c r="C179" s="421"/>
      <c r="D179" s="42">
        <v>0</v>
      </c>
      <c r="E179" s="6"/>
      <c r="F179" s="43"/>
      <c r="G179" s="6"/>
      <c r="H179" s="42"/>
      <c r="I179" s="42"/>
      <c r="J179" s="42"/>
      <c r="K179" s="284"/>
      <c r="L179" s="285"/>
      <c r="M179" s="286"/>
      <c r="N179" s="5"/>
      <c r="O179" s="43"/>
      <c r="P179" s="47"/>
      <c r="Q179" s="6">
        <v>0</v>
      </c>
      <c r="R179" s="6"/>
      <c r="S179" s="100">
        <v>0</v>
      </c>
    </row>
    <row r="180" spans="1:19" ht="32.25" customHeight="1">
      <c r="A180" s="337"/>
      <c r="B180" s="420" t="s">
        <v>367</v>
      </c>
      <c r="C180" s="421"/>
      <c r="D180" s="42">
        <v>0</v>
      </c>
      <c r="E180" s="6"/>
      <c r="F180" s="43"/>
      <c r="G180" s="6"/>
      <c r="H180" s="42"/>
      <c r="I180" s="42"/>
      <c r="J180" s="42"/>
      <c r="K180" s="284"/>
      <c r="L180" s="285"/>
      <c r="M180" s="286"/>
      <c r="N180" s="5"/>
      <c r="O180" s="43"/>
      <c r="P180" s="47"/>
      <c r="Q180" s="6">
        <v>0</v>
      </c>
      <c r="R180" s="6"/>
      <c r="S180" s="100">
        <v>0</v>
      </c>
    </row>
    <row r="181" spans="1:19" ht="32.25" customHeight="1">
      <c r="A181" s="337"/>
      <c r="B181" s="420" t="s">
        <v>378</v>
      </c>
      <c r="C181" s="421"/>
      <c r="D181" s="42">
        <v>0</v>
      </c>
      <c r="E181" s="6"/>
      <c r="F181" s="43"/>
      <c r="G181" s="6"/>
      <c r="H181" s="42"/>
      <c r="I181" s="42"/>
      <c r="J181" s="42"/>
      <c r="K181" s="284"/>
      <c r="L181" s="285"/>
      <c r="M181" s="286"/>
      <c r="N181" s="5"/>
      <c r="O181" s="43"/>
      <c r="P181" s="47"/>
      <c r="Q181" s="6">
        <v>0</v>
      </c>
      <c r="R181" s="6"/>
      <c r="S181" s="100">
        <v>0</v>
      </c>
    </row>
    <row r="182" spans="1:19" ht="32.25" customHeight="1">
      <c r="A182" s="337">
        <v>8</v>
      </c>
      <c r="B182" s="420" t="s">
        <v>379</v>
      </c>
      <c r="C182" s="421"/>
      <c r="D182" s="42">
        <v>0</v>
      </c>
      <c r="E182" s="6"/>
      <c r="F182" s="43"/>
      <c r="G182" s="6"/>
      <c r="H182" s="42"/>
      <c r="I182" s="42"/>
      <c r="J182" s="42"/>
      <c r="K182" s="284"/>
      <c r="L182" s="285"/>
      <c r="M182" s="286"/>
      <c r="N182" s="5"/>
      <c r="O182" s="43"/>
      <c r="P182" s="47"/>
      <c r="Q182" s="6">
        <v>0</v>
      </c>
      <c r="R182" s="6"/>
      <c r="S182" s="100">
        <v>0</v>
      </c>
    </row>
    <row r="183" spans="1:19" ht="32.25" customHeight="1">
      <c r="A183" s="337"/>
      <c r="B183" s="420" t="s">
        <v>367</v>
      </c>
      <c r="C183" s="421"/>
      <c r="D183" s="42">
        <v>0</v>
      </c>
      <c r="E183" s="6"/>
      <c r="F183" s="43"/>
      <c r="G183" s="6"/>
      <c r="H183" s="42"/>
      <c r="I183" s="42"/>
      <c r="J183" s="42"/>
      <c r="K183" s="284"/>
      <c r="L183" s="285"/>
      <c r="M183" s="286"/>
      <c r="N183" s="5"/>
      <c r="O183" s="43"/>
      <c r="P183" s="47"/>
      <c r="Q183" s="6">
        <v>0</v>
      </c>
      <c r="R183" s="6"/>
      <c r="S183" s="100">
        <v>0</v>
      </c>
    </row>
    <row r="184" spans="1:19" ht="32.25" customHeight="1">
      <c r="A184" s="337"/>
      <c r="B184" s="420"/>
      <c r="C184" s="421"/>
      <c r="D184" s="42">
        <v>0</v>
      </c>
      <c r="E184" s="6"/>
      <c r="F184" s="43"/>
      <c r="G184" s="6"/>
      <c r="H184" s="42"/>
      <c r="I184" s="42"/>
      <c r="J184" s="42"/>
      <c r="K184" s="284"/>
      <c r="L184" s="285"/>
      <c r="M184" s="286"/>
      <c r="N184" s="5"/>
      <c r="O184" s="43"/>
      <c r="P184" s="47"/>
      <c r="Q184" s="6">
        <v>0</v>
      </c>
      <c r="R184" s="6"/>
      <c r="S184" s="100">
        <v>0</v>
      </c>
    </row>
    <row r="185" spans="1:19" ht="32.25" customHeight="1">
      <c r="A185" s="337">
        <v>9</v>
      </c>
      <c r="B185" s="420" t="s">
        <v>380</v>
      </c>
      <c r="C185" s="421"/>
      <c r="D185" s="42">
        <v>0</v>
      </c>
      <c r="E185" s="6"/>
      <c r="F185" s="43"/>
      <c r="G185" s="6"/>
      <c r="H185" s="42"/>
      <c r="I185" s="42"/>
      <c r="J185" s="42"/>
      <c r="K185" s="284"/>
      <c r="L185" s="285"/>
      <c r="M185" s="286"/>
      <c r="N185" s="5"/>
      <c r="O185" s="43"/>
      <c r="P185" s="47"/>
      <c r="Q185" s="6">
        <v>0</v>
      </c>
      <c r="R185" s="6"/>
      <c r="S185" s="100">
        <v>0</v>
      </c>
    </row>
    <row r="186" spans="1:19" ht="32.25" customHeight="1">
      <c r="A186" s="337"/>
      <c r="B186" s="420" t="s">
        <v>367</v>
      </c>
      <c r="C186" s="421"/>
      <c r="D186" s="42">
        <v>0</v>
      </c>
      <c r="E186" s="6"/>
      <c r="F186" s="43"/>
      <c r="G186" s="6"/>
      <c r="H186" s="42"/>
      <c r="I186" s="42"/>
      <c r="J186" s="42"/>
      <c r="K186" s="284"/>
      <c r="L186" s="285"/>
      <c r="M186" s="286"/>
      <c r="N186" s="5"/>
      <c r="O186" s="43"/>
      <c r="P186" s="47"/>
      <c r="Q186" s="6">
        <v>0</v>
      </c>
      <c r="R186" s="6"/>
      <c r="S186" s="100">
        <v>0</v>
      </c>
    </row>
    <row r="187" spans="1:19" ht="32.25" customHeight="1">
      <c r="A187" s="337"/>
      <c r="B187" s="420" t="s">
        <v>382</v>
      </c>
      <c r="C187" s="421"/>
      <c r="D187" s="42">
        <v>0</v>
      </c>
      <c r="E187" s="6"/>
      <c r="F187" s="43"/>
      <c r="G187" s="6"/>
      <c r="H187" s="42"/>
      <c r="I187" s="42"/>
      <c r="J187" s="42"/>
      <c r="K187" s="284"/>
      <c r="L187" s="285"/>
      <c r="M187" s="286"/>
      <c r="N187" s="5"/>
      <c r="O187" s="43"/>
      <c r="P187" s="47"/>
      <c r="Q187" s="6">
        <v>0</v>
      </c>
      <c r="R187" s="6"/>
      <c r="S187" s="100">
        <v>0</v>
      </c>
    </row>
    <row r="188" spans="1:19" ht="32.25" customHeight="1">
      <c r="A188" s="337">
        <v>10</v>
      </c>
      <c r="B188" s="420" t="s">
        <v>383</v>
      </c>
      <c r="C188" s="421"/>
      <c r="D188" s="42">
        <v>0</v>
      </c>
      <c r="E188" s="6"/>
      <c r="F188" s="43"/>
      <c r="G188" s="6"/>
      <c r="H188" s="42"/>
      <c r="I188" s="42"/>
      <c r="J188" s="42"/>
      <c r="K188" s="284"/>
      <c r="L188" s="285"/>
      <c r="M188" s="286"/>
      <c r="N188" s="5"/>
      <c r="O188" s="43"/>
      <c r="P188" s="47"/>
      <c r="Q188" s="6">
        <v>0</v>
      </c>
      <c r="R188" s="6"/>
      <c r="S188" s="100">
        <v>0</v>
      </c>
    </row>
    <row r="189" spans="1:19" ht="32.25" customHeight="1">
      <c r="A189" s="337"/>
      <c r="B189" s="420" t="s">
        <v>367</v>
      </c>
      <c r="C189" s="421"/>
      <c r="D189" s="42">
        <v>0</v>
      </c>
      <c r="E189" s="6"/>
      <c r="F189" s="43"/>
      <c r="G189" s="6"/>
      <c r="H189" s="42"/>
      <c r="I189" s="42"/>
      <c r="J189" s="42"/>
      <c r="K189" s="284"/>
      <c r="L189" s="285"/>
      <c r="M189" s="286"/>
      <c r="N189" s="5"/>
      <c r="O189" s="43"/>
      <c r="P189" s="47"/>
      <c r="Q189" s="6">
        <v>0</v>
      </c>
      <c r="R189" s="6"/>
      <c r="S189" s="100">
        <v>0</v>
      </c>
    </row>
    <row r="190" spans="1:19" ht="32.25" customHeight="1">
      <c r="A190" s="337"/>
      <c r="B190" s="420" t="s">
        <v>385</v>
      </c>
      <c r="C190" s="421"/>
      <c r="D190" s="42">
        <v>0</v>
      </c>
      <c r="E190" s="6"/>
      <c r="F190" s="43"/>
      <c r="G190" s="6"/>
      <c r="H190" s="42"/>
      <c r="I190" s="42"/>
      <c r="J190" s="42"/>
      <c r="K190" s="284"/>
      <c r="L190" s="285"/>
      <c r="M190" s="286"/>
      <c r="N190" s="5"/>
      <c r="O190" s="43"/>
      <c r="P190" s="47"/>
      <c r="Q190" s="6">
        <v>0</v>
      </c>
      <c r="R190" s="6"/>
      <c r="S190" s="100">
        <v>0</v>
      </c>
    </row>
    <row r="191" spans="1:19" ht="32.25" customHeight="1">
      <c r="A191" s="337">
        <v>11</v>
      </c>
      <c r="B191" s="420" t="s">
        <v>386</v>
      </c>
      <c r="C191" s="421"/>
      <c r="D191" s="42">
        <v>0</v>
      </c>
      <c r="E191" s="6"/>
      <c r="F191" s="43"/>
      <c r="G191" s="6"/>
      <c r="H191" s="42"/>
      <c r="I191" s="42"/>
      <c r="J191" s="42"/>
      <c r="K191" s="284"/>
      <c r="L191" s="285"/>
      <c r="M191" s="286"/>
      <c r="N191" s="5"/>
      <c r="O191" s="43"/>
      <c r="P191" s="47"/>
      <c r="Q191" s="6">
        <v>0</v>
      </c>
      <c r="R191" s="6"/>
      <c r="S191" s="100">
        <v>0</v>
      </c>
    </row>
    <row r="192" spans="1:19" ht="32.25" customHeight="1">
      <c r="A192" s="337"/>
      <c r="B192" s="420" t="s">
        <v>367</v>
      </c>
      <c r="C192" s="421"/>
      <c r="D192" s="42">
        <v>0</v>
      </c>
      <c r="E192" s="6"/>
      <c r="F192" s="43"/>
      <c r="G192" s="6"/>
      <c r="H192" s="42"/>
      <c r="I192" s="42"/>
      <c r="J192" s="42"/>
      <c r="K192" s="284"/>
      <c r="L192" s="285"/>
      <c r="M192" s="286"/>
      <c r="N192" s="5"/>
      <c r="O192" s="43"/>
      <c r="P192" s="47"/>
      <c r="Q192" s="6">
        <v>0</v>
      </c>
      <c r="R192" s="6"/>
      <c r="S192" s="100">
        <v>0</v>
      </c>
    </row>
    <row r="193" spans="1:19" ht="32.25" customHeight="1" thickBot="1">
      <c r="A193" s="39"/>
      <c r="B193" s="50" t="s">
        <v>19</v>
      </c>
      <c r="C193" s="50"/>
      <c r="D193" s="51">
        <v>0</v>
      </c>
      <c r="E193" s="52"/>
      <c r="F193" s="53"/>
      <c r="G193" s="52"/>
      <c r="H193" s="51">
        <f>SUM(H163:H192)</f>
        <v>0</v>
      </c>
      <c r="I193" s="51">
        <f t="shared" ref="I193:M193" si="11">SUM(I163:I192)</f>
        <v>0</v>
      </c>
      <c r="J193" s="51">
        <f t="shared" si="11"/>
        <v>0</v>
      </c>
      <c r="K193" s="51">
        <f t="shared" si="11"/>
        <v>0</v>
      </c>
      <c r="L193" s="51">
        <f t="shared" si="11"/>
        <v>0</v>
      </c>
      <c r="M193" s="51">
        <f t="shared" si="11"/>
        <v>0</v>
      </c>
      <c r="N193" s="57"/>
      <c r="O193" s="53"/>
      <c r="P193" s="51"/>
      <c r="Q193" s="51">
        <v>0</v>
      </c>
      <c r="R193" s="51"/>
      <c r="S193" s="51">
        <v>0</v>
      </c>
    </row>
    <row r="194" spans="1:19" ht="32.25" customHeight="1" thickTop="1">
      <c r="A194" s="39"/>
      <c r="B194" s="58" t="s">
        <v>207</v>
      </c>
      <c r="C194" s="59"/>
      <c r="D194" s="60"/>
      <c r="E194" s="61"/>
      <c r="F194" s="62"/>
      <c r="G194" s="63"/>
      <c r="H194" s="64"/>
      <c r="I194" s="64"/>
      <c r="J194" s="64"/>
      <c r="K194" s="65"/>
      <c r="L194" s="66"/>
      <c r="M194" s="67"/>
      <c r="N194" s="68"/>
      <c r="O194" s="62"/>
      <c r="P194" s="69"/>
      <c r="Q194" s="63"/>
      <c r="R194" s="63"/>
      <c r="S194" s="70"/>
    </row>
    <row r="195" spans="1:19" ht="32.25" customHeight="1">
      <c r="A195" s="39"/>
      <c r="B195" s="40"/>
      <c r="C195" s="41"/>
      <c r="D195" s="42"/>
      <c r="E195" s="6"/>
      <c r="F195" s="43"/>
      <c r="G195" s="6"/>
      <c r="H195" s="42"/>
      <c r="I195" s="42"/>
      <c r="J195" s="42"/>
      <c r="K195" s="343"/>
      <c r="L195" s="344"/>
      <c r="M195" s="345"/>
      <c r="N195" s="5"/>
      <c r="O195" s="43"/>
      <c r="P195" s="47"/>
      <c r="Q195" s="48"/>
      <c r="R195" s="48"/>
      <c r="S195" s="49"/>
    </row>
    <row r="196" spans="1:19" ht="32.25" customHeight="1" thickBot="1">
      <c r="A196" s="39"/>
      <c r="B196" s="50" t="s">
        <v>19</v>
      </c>
      <c r="C196" s="50"/>
      <c r="D196" s="51">
        <v>0</v>
      </c>
      <c r="E196" s="52"/>
      <c r="F196" s="53"/>
      <c r="G196" s="52"/>
      <c r="H196" s="51">
        <v>0</v>
      </c>
      <c r="I196" s="51">
        <v>0</v>
      </c>
      <c r="J196" s="51">
        <v>0</v>
      </c>
      <c r="K196" s="54"/>
      <c r="L196" s="55"/>
      <c r="M196" s="56">
        <f>SUM(M195)</f>
        <v>0</v>
      </c>
      <c r="N196" s="57"/>
      <c r="O196" s="53"/>
      <c r="P196" s="51"/>
      <c r="Q196" s="51"/>
      <c r="R196" s="51"/>
      <c r="S196" s="51"/>
    </row>
    <row r="197" spans="1:19" ht="32.25" customHeight="1" thickTop="1">
      <c r="A197" s="39"/>
      <c r="B197" s="141" t="s">
        <v>210</v>
      </c>
      <c r="C197" s="142"/>
      <c r="D197" s="125"/>
      <c r="E197" s="131"/>
      <c r="F197" s="115"/>
      <c r="G197" s="33"/>
      <c r="H197" s="143"/>
      <c r="I197" s="143"/>
      <c r="J197" s="143"/>
      <c r="K197" s="34"/>
      <c r="L197" s="35"/>
      <c r="M197" s="36"/>
      <c r="N197" s="114"/>
      <c r="O197" s="115"/>
      <c r="P197" s="144"/>
      <c r="Q197" s="33"/>
      <c r="R197" s="33"/>
      <c r="S197" s="145"/>
    </row>
    <row r="198" spans="1:19" s="160" customFormat="1" ht="32.25" customHeight="1">
      <c r="A198" s="106">
        <v>1</v>
      </c>
      <c r="B198" s="142" t="s">
        <v>52</v>
      </c>
      <c r="C198" s="174" t="s">
        <v>211</v>
      </c>
      <c r="D198" s="151">
        <v>518</v>
      </c>
      <c r="E198" s="152" t="s">
        <v>57</v>
      </c>
      <c r="F198" s="346"/>
      <c r="G198" s="346"/>
      <c r="H198" s="153">
        <v>-259</v>
      </c>
      <c r="I198" s="346"/>
      <c r="J198" s="226">
        <v>-259</v>
      </c>
      <c r="K198" s="343" t="s">
        <v>732</v>
      </c>
      <c r="L198" s="277" t="s">
        <v>733</v>
      </c>
      <c r="M198" s="278">
        <v>518</v>
      </c>
      <c r="N198" s="347" t="s">
        <v>57</v>
      </c>
      <c r="O198" s="348"/>
      <c r="P198" s="280"/>
      <c r="Q198" s="153">
        <f>SUM(D198+J198-M198)</f>
        <v>-259</v>
      </c>
      <c r="R198" s="153"/>
      <c r="S198" s="159">
        <f>SUM(Q198)</f>
        <v>-259</v>
      </c>
    </row>
    <row r="199" spans="1:19" s="160" customFormat="1" ht="32.25" customHeight="1">
      <c r="A199" s="106">
        <v>2</v>
      </c>
      <c r="B199" s="161" t="s">
        <v>213</v>
      </c>
      <c r="C199" s="349" t="s">
        <v>214</v>
      </c>
      <c r="D199" s="151">
        <v>0</v>
      </c>
      <c r="E199" s="163"/>
      <c r="F199" s="122"/>
      <c r="G199" s="122"/>
      <c r="H199" s="91">
        <v>0</v>
      </c>
      <c r="I199" s="122"/>
      <c r="J199" s="132">
        <v>0</v>
      </c>
      <c r="K199" s="343"/>
      <c r="L199" s="350"/>
      <c r="M199" s="351"/>
      <c r="N199" s="352"/>
      <c r="O199" s="348"/>
      <c r="P199" s="280"/>
      <c r="Q199" s="153">
        <f t="shared" ref="Q199:Q246" si="12">SUM(D199+J199-M199)</f>
        <v>0</v>
      </c>
      <c r="R199" s="153"/>
      <c r="S199" s="159">
        <f t="shared" ref="S199:S246" si="13">SUM(Q199)</f>
        <v>0</v>
      </c>
    </row>
    <row r="200" spans="1:19" s="160" customFormat="1" ht="32.25" customHeight="1">
      <c r="A200" s="106">
        <v>3</v>
      </c>
      <c r="B200" s="142" t="s">
        <v>60</v>
      </c>
      <c r="C200" s="174" t="s">
        <v>215</v>
      </c>
      <c r="D200" s="151">
        <v>259</v>
      </c>
      <c r="E200" s="163"/>
      <c r="F200" s="122"/>
      <c r="G200" s="122"/>
      <c r="H200" s="91">
        <v>0</v>
      </c>
      <c r="I200" s="122"/>
      <c r="J200" s="132">
        <v>0</v>
      </c>
      <c r="K200" s="343" t="s">
        <v>734</v>
      </c>
      <c r="L200" s="277" t="s">
        <v>783</v>
      </c>
      <c r="M200" s="278">
        <v>259</v>
      </c>
      <c r="N200" s="352"/>
      <c r="O200" s="348"/>
      <c r="P200" s="280"/>
      <c r="Q200" s="153">
        <f t="shared" si="12"/>
        <v>0</v>
      </c>
      <c r="R200" s="153"/>
      <c r="S200" s="159">
        <f t="shared" si="13"/>
        <v>0</v>
      </c>
    </row>
    <row r="201" spans="1:19" s="160" customFormat="1" ht="32.25" customHeight="1">
      <c r="A201" s="106">
        <v>4</v>
      </c>
      <c r="B201" s="142" t="s">
        <v>27</v>
      </c>
      <c r="C201" s="174" t="s">
        <v>217</v>
      </c>
      <c r="D201" s="151">
        <v>259</v>
      </c>
      <c r="E201" s="163"/>
      <c r="F201" s="122"/>
      <c r="G201" s="122"/>
      <c r="H201" s="91">
        <v>0</v>
      </c>
      <c r="I201" s="122"/>
      <c r="J201" s="132">
        <v>0</v>
      </c>
      <c r="K201" s="343" t="s">
        <v>734</v>
      </c>
      <c r="L201" s="277" t="s">
        <v>784</v>
      </c>
      <c r="M201" s="278">
        <v>259</v>
      </c>
      <c r="N201" s="352"/>
      <c r="O201" s="348"/>
      <c r="P201" s="280"/>
      <c r="Q201" s="153">
        <f t="shared" si="12"/>
        <v>0</v>
      </c>
      <c r="R201" s="153"/>
      <c r="S201" s="159">
        <f t="shared" si="13"/>
        <v>0</v>
      </c>
    </row>
    <row r="202" spans="1:19" s="160" customFormat="1" ht="32.25" customHeight="1">
      <c r="A202" s="106">
        <v>5</v>
      </c>
      <c r="B202" s="168" t="s">
        <v>42</v>
      </c>
      <c r="C202" s="174" t="s">
        <v>219</v>
      </c>
      <c r="D202" s="125">
        <v>259</v>
      </c>
      <c r="E202" s="163"/>
      <c r="F202" s="122"/>
      <c r="G202" s="122"/>
      <c r="H202" s="91">
        <v>0</v>
      </c>
      <c r="I202" s="122"/>
      <c r="J202" s="132">
        <v>0</v>
      </c>
      <c r="K202" s="343" t="s">
        <v>734</v>
      </c>
      <c r="L202" s="277" t="s">
        <v>785</v>
      </c>
      <c r="M202" s="278">
        <v>259</v>
      </c>
      <c r="N202" s="352"/>
      <c r="O202" s="348"/>
      <c r="P202" s="280"/>
      <c r="Q202" s="153">
        <f t="shared" si="12"/>
        <v>0</v>
      </c>
      <c r="R202" s="153"/>
      <c r="S202" s="159">
        <f t="shared" si="13"/>
        <v>0</v>
      </c>
    </row>
    <row r="203" spans="1:19" s="160" customFormat="1" ht="32.25" customHeight="1">
      <c r="A203" s="106">
        <v>6</v>
      </c>
      <c r="B203" s="142" t="s">
        <v>69</v>
      </c>
      <c r="C203" s="174" t="s">
        <v>221</v>
      </c>
      <c r="D203" s="151">
        <v>259</v>
      </c>
      <c r="E203" s="163"/>
      <c r="F203" s="122"/>
      <c r="G203" s="122"/>
      <c r="H203" s="91">
        <v>0</v>
      </c>
      <c r="I203" s="122"/>
      <c r="J203" s="132">
        <v>0</v>
      </c>
      <c r="K203" s="343" t="s">
        <v>738</v>
      </c>
      <c r="L203" s="277" t="s">
        <v>786</v>
      </c>
      <c r="M203" s="278">
        <v>259</v>
      </c>
      <c r="N203" s="353"/>
      <c r="O203" s="348"/>
      <c r="P203" s="280"/>
      <c r="Q203" s="91">
        <f t="shared" si="12"/>
        <v>0</v>
      </c>
      <c r="R203" s="91"/>
      <c r="S203" s="77">
        <f t="shared" si="13"/>
        <v>0</v>
      </c>
    </row>
    <row r="204" spans="1:19" ht="32.25" customHeight="1">
      <c r="A204" s="106">
        <v>7</v>
      </c>
      <c r="B204" s="146" t="s">
        <v>75</v>
      </c>
      <c r="C204" s="173" t="s">
        <v>223</v>
      </c>
      <c r="D204" s="151"/>
      <c r="E204" s="163"/>
      <c r="F204" s="115"/>
      <c r="G204" s="115"/>
      <c r="H204" s="131">
        <v>0</v>
      </c>
      <c r="I204" s="115"/>
      <c r="J204" s="132">
        <v>0</v>
      </c>
      <c r="K204" s="356"/>
      <c r="L204" s="350"/>
      <c r="M204" s="351"/>
      <c r="N204" s="352"/>
      <c r="O204" s="348"/>
      <c r="P204" s="280"/>
      <c r="Q204" s="153">
        <f t="shared" si="12"/>
        <v>0</v>
      </c>
      <c r="R204" s="153"/>
      <c r="S204" s="159">
        <f t="shared" si="13"/>
        <v>0</v>
      </c>
    </row>
    <row r="205" spans="1:19" s="160" customFormat="1" ht="32.25" customHeight="1">
      <c r="A205" s="106">
        <v>8</v>
      </c>
      <c r="B205" s="142" t="s">
        <v>77</v>
      </c>
      <c r="C205" s="174" t="s">
        <v>224</v>
      </c>
      <c r="D205" s="151">
        <v>259</v>
      </c>
      <c r="E205" s="163"/>
      <c r="F205" s="122"/>
      <c r="G205" s="122"/>
      <c r="H205" s="91">
        <v>0</v>
      </c>
      <c r="I205" s="122"/>
      <c r="J205" s="132">
        <v>0</v>
      </c>
      <c r="K205" s="343" t="s">
        <v>713</v>
      </c>
      <c r="L205" s="277" t="s">
        <v>787</v>
      </c>
      <c r="M205" s="278">
        <v>259</v>
      </c>
      <c r="N205" s="352"/>
      <c r="O205" s="348"/>
      <c r="P205" s="280"/>
      <c r="Q205" s="153">
        <f t="shared" si="12"/>
        <v>0</v>
      </c>
      <c r="R205" s="153"/>
      <c r="S205" s="159">
        <f t="shared" si="13"/>
        <v>0</v>
      </c>
    </row>
    <row r="206" spans="1:19" s="160" customFormat="1" ht="32.25" customHeight="1">
      <c r="A206" s="106">
        <v>9</v>
      </c>
      <c r="B206" s="142" t="s">
        <v>77</v>
      </c>
      <c r="C206" s="174" t="s">
        <v>226</v>
      </c>
      <c r="D206" s="151">
        <v>259</v>
      </c>
      <c r="E206" s="163"/>
      <c r="F206" s="122"/>
      <c r="G206" s="122"/>
      <c r="H206" s="91">
        <v>0</v>
      </c>
      <c r="I206" s="122"/>
      <c r="J206" s="132">
        <v>0</v>
      </c>
      <c r="K206" s="343" t="s">
        <v>713</v>
      </c>
      <c r="L206" s="277" t="s">
        <v>787</v>
      </c>
      <c r="M206" s="278">
        <v>259</v>
      </c>
      <c r="N206" s="352"/>
      <c r="O206" s="348"/>
      <c r="P206" s="280"/>
      <c r="Q206" s="153">
        <f t="shared" si="12"/>
        <v>0</v>
      </c>
      <c r="R206" s="153"/>
      <c r="S206" s="159">
        <f t="shared" si="13"/>
        <v>0</v>
      </c>
    </row>
    <row r="207" spans="1:19" ht="32.25" customHeight="1">
      <c r="A207" s="106">
        <v>10</v>
      </c>
      <c r="B207" s="146" t="s">
        <v>75</v>
      </c>
      <c r="C207" s="173" t="s">
        <v>227</v>
      </c>
      <c r="D207" s="151"/>
      <c r="E207" s="163"/>
      <c r="F207" s="115"/>
      <c r="G207" s="115"/>
      <c r="H207" s="131">
        <v>0</v>
      </c>
      <c r="I207" s="115"/>
      <c r="J207" s="132">
        <v>0</v>
      </c>
      <c r="K207" s="356"/>
      <c r="L207" s="350"/>
      <c r="M207" s="351"/>
      <c r="N207" s="352"/>
      <c r="O207" s="348"/>
      <c r="P207" s="280"/>
      <c r="Q207" s="153">
        <f t="shared" si="12"/>
        <v>0</v>
      </c>
      <c r="R207" s="153"/>
      <c r="S207" s="159">
        <f t="shared" si="13"/>
        <v>0</v>
      </c>
    </row>
    <row r="208" spans="1:19" s="160" customFormat="1" ht="32.25" customHeight="1">
      <c r="A208" s="106">
        <v>11</v>
      </c>
      <c r="B208" s="142" t="s">
        <v>83</v>
      </c>
      <c r="C208" s="174" t="s">
        <v>228</v>
      </c>
      <c r="D208" s="151">
        <v>259</v>
      </c>
      <c r="E208" s="163"/>
      <c r="F208" s="122"/>
      <c r="G208" s="122"/>
      <c r="H208" s="91">
        <v>0</v>
      </c>
      <c r="I208" s="122"/>
      <c r="J208" s="132">
        <v>0</v>
      </c>
      <c r="K208" s="343" t="s">
        <v>706</v>
      </c>
      <c r="L208" s="277" t="s">
        <v>788</v>
      </c>
      <c r="M208" s="278">
        <v>259</v>
      </c>
      <c r="N208" s="352"/>
      <c r="O208" s="348"/>
      <c r="P208" s="280"/>
      <c r="Q208" s="153">
        <f t="shared" si="12"/>
        <v>0</v>
      </c>
      <c r="R208" s="153"/>
      <c r="S208" s="159">
        <f t="shared" si="13"/>
        <v>0</v>
      </c>
    </row>
    <row r="209" spans="1:19" s="160" customFormat="1" ht="32.25" customHeight="1">
      <c r="A209" s="106">
        <v>12</v>
      </c>
      <c r="B209" s="142" t="s">
        <v>87</v>
      </c>
      <c r="C209" s="174" t="s">
        <v>230</v>
      </c>
      <c r="D209" s="151">
        <v>259</v>
      </c>
      <c r="E209" s="163"/>
      <c r="F209" s="122"/>
      <c r="G209" s="122"/>
      <c r="H209" s="91">
        <v>0</v>
      </c>
      <c r="I209" s="122"/>
      <c r="J209" s="132">
        <v>0</v>
      </c>
      <c r="K209" s="343" t="s">
        <v>738</v>
      </c>
      <c r="L209" s="277" t="s">
        <v>789</v>
      </c>
      <c r="M209" s="278">
        <v>259</v>
      </c>
      <c r="N209" s="352"/>
      <c r="O209" s="348"/>
      <c r="P209" s="280"/>
      <c r="Q209" s="153">
        <f t="shared" si="12"/>
        <v>0</v>
      </c>
      <c r="R209" s="153"/>
      <c r="S209" s="159">
        <f t="shared" si="13"/>
        <v>0</v>
      </c>
    </row>
    <row r="210" spans="1:19" ht="32.25" customHeight="1">
      <c r="A210" s="357">
        <v>13</v>
      </c>
      <c r="B210" s="146" t="s">
        <v>75</v>
      </c>
      <c r="C210" s="173" t="s">
        <v>232</v>
      </c>
      <c r="D210" s="151"/>
      <c r="E210" s="163"/>
      <c r="F210" s="115"/>
      <c r="G210" s="115"/>
      <c r="H210" s="131">
        <v>0</v>
      </c>
      <c r="I210" s="115"/>
      <c r="J210" s="132">
        <v>0</v>
      </c>
      <c r="K210" s="358"/>
      <c r="L210" s="359"/>
      <c r="M210" s="360"/>
      <c r="N210" s="361"/>
      <c r="O210" s="362"/>
      <c r="P210" s="122"/>
      <c r="Q210" s="153">
        <f t="shared" si="12"/>
        <v>0</v>
      </c>
      <c r="R210" s="153"/>
      <c r="S210" s="159">
        <f t="shared" si="13"/>
        <v>0</v>
      </c>
    </row>
    <row r="211" spans="1:19" ht="32.25" customHeight="1">
      <c r="A211" s="106">
        <v>14</v>
      </c>
      <c r="B211" s="142" t="s">
        <v>92</v>
      </c>
      <c r="C211" s="174" t="s">
        <v>233</v>
      </c>
      <c r="D211" s="151"/>
      <c r="E211" s="163"/>
      <c r="F211" s="115"/>
      <c r="G211" s="115"/>
      <c r="H211" s="131">
        <v>0</v>
      </c>
      <c r="I211" s="115"/>
      <c r="J211" s="132">
        <v>0</v>
      </c>
      <c r="K211" s="358"/>
      <c r="L211" s="359"/>
      <c r="M211" s="360"/>
      <c r="N211" s="361"/>
      <c r="O211" s="362"/>
      <c r="P211" s="122"/>
      <c r="Q211" s="153">
        <f t="shared" si="12"/>
        <v>0</v>
      </c>
      <c r="R211" s="153"/>
      <c r="S211" s="159">
        <f t="shared" si="13"/>
        <v>0</v>
      </c>
    </row>
    <row r="212" spans="1:19" ht="32.25" customHeight="1">
      <c r="A212" s="106">
        <v>15</v>
      </c>
      <c r="B212" s="146" t="s">
        <v>75</v>
      </c>
      <c r="C212" s="173" t="s">
        <v>234</v>
      </c>
      <c r="D212" s="151">
        <v>0</v>
      </c>
      <c r="E212" s="163"/>
      <c r="F212" s="115"/>
      <c r="G212" s="115"/>
      <c r="H212" s="131">
        <v>0</v>
      </c>
      <c r="I212" s="115"/>
      <c r="J212" s="132">
        <v>0</v>
      </c>
      <c r="K212" s="358"/>
      <c r="L212" s="359"/>
      <c r="M212" s="360"/>
      <c r="N212" s="361"/>
      <c r="O212" s="362"/>
      <c r="P212" s="122"/>
      <c r="Q212" s="153">
        <f t="shared" si="12"/>
        <v>0</v>
      </c>
      <c r="R212" s="153"/>
      <c r="S212" s="159">
        <f t="shared" si="13"/>
        <v>0</v>
      </c>
    </row>
    <row r="213" spans="1:19" s="160" customFormat="1" ht="32.25" customHeight="1">
      <c r="A213" s="106">
        <v>16</v>
      </c>
      <c r="B213" s="142" t="s">
        <v>95</v>
      </c>
      <c r="C213" s="174" t="s">
        <v>235</v>
      </c>
      <c r="D213" s="151">
        <v>0</v>
      </c>
      <c r="E213" s="163"/>
      <c r="F213" s="122"/>
      <c r="G213" s="122"/>
      <c r="H213" s="91">
        <v>0</v>
      </c>
      <c r="I213" s="122"/>
      <c r="J213" s="132">
        <v>0</v>
      </c>
      <c r="K213" s="363"/>
      <c r="L213" s="363"/>
      <c r="M213" s="364"/>
      <c r="N213" s="361"/>
      <c r="O213" s="362"/>
      <c r="P213" s="122"/>
      <c r="Q213" s="153">
        <f t="shared" si="12"/>
        <v>0</v>
      </c>
      <c r="R213" s="153"/>
      <c r="S213" s="159">
        <f t="shared" si="13"/>
        <v>0</v>
      </c>
    </row>
    <row r="214" spans="1:19" s="160" customFormat="1" ht="32.25" customHeight="1">
      <c r="A214" s="106">
        <v>17</v>
      </c>
      <c r="B214" s="365" t="s">
        <v>236</v>
      </c>
      <c r="C214" s="174" t="s">
        <v>237</v>
      </c>
      <c r="D214" s="151">
        <v>0</v>
      </c>
      <c r="E214" s="163"/>
      <c r="F214" s="122"/>
      <c r="G214" s="122"/>
      <c r="H214" s="91">
        <v>0</v>
      </c>
      <c r="I214" s="122"/>
      <c r="J214" s="132">
        <v>0</v>
      </c>
      <c r="K214" s="358"/>
      <c r="L214" s="359"/>
      <c r="M214" s="360"/>
      <c r="N214" s="361"/>
      <c r="O214" s="362"/>
      <c r="P214" s="122"/>
      <c r="Q214" s="153">
        <f t="shared" si="12"/>
        <v>0</v>
      </c>
      <c r="R214" s="153"/>
      <c r="S214" s="159">
        <f t="shared" si="13"/>
        <v>0</v>
      </c>
    </row>
    <row r="215" spans="1:19" s="160" customFormat="1" ht="32.25" customHeight="1">
      <c r="A215" s="106">
        <v>18</v>
      </c>
      <c r="B215" s="142" t="s">
        <v>99</v>
      </c>
      <c r="C215" s="174" t="s">
        <v>238</v>
      </c>
      <c r="D215" s="151">
        <v>6750</v>
      </c>
      <c r="E215" s="163"/>
      <c r="F215" s="122"/>
      <c r="G215" s="122"/>
      <c r="H215" s="91">
        <v>0</v>
      </c>
      <c r="I215" s="122"/>
      <c r="J215" s="132">
        <v>0</v>
      </c>
      <c r="K215" s="343" t="s">
        <v>734</v>
      </c>
      <c r="L215" s="277" t="s">
        <v>790</v>
      </c>
      <c r="M215" s="278">
        <v>6750</v>
      </c>
      <c r="N215" s="361"/>
      <c r="O215" s="362"/>
      <c r="P215" s="122"/>
      <c r="Q215" s="153">
        <f t="shared" si="12"/>
        <v>0</v>
      </c>
      <c r="R215" s="153"/>
      <c r="S215" s="159">
        <f t="shared" si="13"/>
        <v>0</v>
      </c>
    </row>
    <row r="216" spans="1:19" s="160" customFormat="1" ht="32.25" customHeight="1">
      <c r="A216" s="106">
        <v>19</v>
      </c>
      <c r="B216" s="142" t="s">
        <v>141</v>
      </c>
      <c r="C216" s="193" t="s">
        <v>240</v>
      </c>
      <c r="D216" s="125">
        <v>114.5</v>
      </c>
      <c r="E216" s="152" t="s">
        <v>57</v>
      </c>
      <c r="F216" s="212"/>
      <c r="G216" s="213"/>
      <c r="H216" s="153">
        <v>-916</v>
      </c>
      <c r="I216" s="125"/>
      <c r="J216" s="132">
        <v>-916</v>
      </c>
      <c r="K216" s="363"/>
      <c r="L216" s="366"/>
      <c r="M216" s="367"/>
      <c r="N216" s="374" t="s">
        <v>57</v>
      </c>
      <c r="O216" s="362"/>
      <c r="P216" s="221"/>
      <c r="Q216" s="153">
        <f t="shared" si="12"/>
        <v>-801.5</v>
      </c>
      <c r="R216" s="153"/>
      <c r="S216" s="159">
        <f t="shared" si="13"/>
        <v>-801.5</v>
      </c>
    </row>
    <row r="217" spans="1:19" s="160" customFormat="1" ht="32.25" customHeight="1">
      <c r="A217" s="106"/>
      <c r="B217" s="222" t="s">
        <v>241</v>
      </c>
      <c r="C217" s="193"/>
      <c r="D217" s="92"/>
      <c r="E217" s="239"/>
      <c r="F217" s="122"/>
      <c r="G217" s="217"/>
      <c r="H217" s="91">
        <v>0</v>
      </c>
      <c r="I217" s="92"/>
      <c r="J217" s="132">
        <v>0</v>
      </c>
      <c r="K217" s="363"/>
      <c r="L217" s="366"/>
      <c r="M217" s="367"/>
      <c r="N217" s="361"/>
      <c r="O217" s="362"/>
      <c r="P217" s="221"/>
      <c r="Q217" s="153">
        <f t="shared" si="12"/>
        <v>0</v>
      </c>
      <c r="R217" s="153"/>
      <c r="S217" s="159">
        <f t="shared" si="13"/>
        <v>0</v>
      </c>
    </row>
    <row r="218" spans="1:19" s="160" customFormat="1" ht="32.25" customHeight="1">
      <c r="A218" s="106"/>
      <c r="B218" s="222" t="s">
        <v>242</v>
      </c>
      <c r="C218" s="193"/>
      <c r="D218" s="92"/>
      <c r="E218" s="239"/>
      <c r="F218" s="122"/>
      <c r="G218" s="217"/>
      <c r="H218" s="91">
        <v>0</v>
      </c>
      <c r="I218" s="92"/>
      <c r="J218" s="132">
        <v>0</v>
      </c>
      <c r="K218" s="363"/>
      <c r="L218" s="366"/>
      <c r="M218" s="367"/>
      <c r="N218" s="361"/>
      <c r="O218" s="362"/>
      <c r="P218" s="221"/>
      <c r="Q218" s="153">
        <f t="shared" si="12"/>
        <v>0</v>
      </c>
      <c r="R218" s="153"/>
      <c r="S218" s="159">
        <f t="shared" si="13"/>
        <v>0</v>
      </c>
    </row>
    <row r="219" spans="1:19" ht="32.25" customHeight="1">
      <c r="A219" s="106">
        <v>20</v>
      </c>
      <c r="B219" s="222" t="s">
        <v>52</v>
      </c>
      <c r="C219" s="193" t="s">
        <v>243</v>
      </c>
      <c r="D219" s="92">
        <v>15.67</v>
      </c>
      <c r="E219" s="369" t="s">
        <v>57</v>
      </c>
      <c r="F219" s="346"/>
      <c r="G219" s="213"/>
      <c r="H219" s="153">
        <v>-125.36</v>
      </c>
      <c r="I219" s="370"/>
      <c r="J219" s="226">
        <v>-125.36</v>
      </c>
      <c r="K219" s="358"/>
      <c r="L219" s="359"/>
      <c r="M219" s="371"/>
      <c r="N219" s="368" t="s">
        <v>57</v>
      </c>
      <c r="O219" s="362"/>
      <c r="P219" s="221"/>
      <c r="Q219" s="153">
        <f t="shared" si="12"/>
        <v>-109.69</v>
      </c>
      <c r="R219" s="153"/>
      <c r="S219" s="159">
        <f t="shared" si="13"/>
        <v>-109.69</v>
      </c>
    </row>
    <row r="220" spans="1:19" ht="32.25" customHeight="1">
      <c r="A220" s="116"/>
      <c r="B220" s="222" t="s">
        <v>791</v>
      </c>
      <c r="C220" s="193"/>
      <c r="D220" s="92">
        <v>50</v>
      </c>
      <c r="E220" s="239"/>
      <c r="F220" s="122"/>
      <c r="G220" s="217"/>
      <c r="H220" s="91">
        <v>0</v>
      </c>
      <c r="I220" s="92"/>
      <c r="J220" s="132"/>
      <c r="K220" s="358" t="s">
        <v>761</v>
      </c>
      <c r="L220" s="359" t="s">
        <v>792</v>
      </c>
      <c r="M220" s="371">
        <v>50</v>
      </c>
      <c r="N220" s="361"/>
      <c r="O220" s="362"/>
      <c r="P220" s="221"/>
      <c r="Q220" s="153">
        <f t="shared" si="12"/>
        <v>0</v>
      </c>
      <c r="R220" s="153"/>
      <c r="S220" s="159">
        <f t="shared" si="13"/>
        <v>0</v>
      </c>
    </row>
    <row r="221" spans="1:19" ht="32.25" customHeight="1">
      <c r="A221" s="116"/>
      <c r="B221" s="222" t="s">
        <v>793</v>
      </c>
      <c r="C221" s="193"/>
      <c r="D221" s="92">
        <v>50</v>
      </c>
      <c r="E221" s="239"/>
      <c r="F221" s="122"/>
      <c r="G221" s="91"/>
      <c r="H221" s="91">
        <v>0</v>
      </c>
      <c r="I221" s="92"/>
      <c r="J221" s="132"/>
      <c r="K221" s="372" t="s">
        <v>761</v>
      </c>
      <c r="L221" s="359" t="s">
        <v>794</v>
      </c>
      <c r="M221" s="371">
        <v>50</v>
      </c>
      <c r="N221" s="361"/>
      <c r="O221" s="362"/>
      <c r="P221" s="92"/>
      <c r="Q221" s="153">
        <f t="shared" si="12"/>
        <v>0</v>
      </c>
      <c r="R221" s="153"/>
      <c r="S221" s="159">
        <f t="shared" si="13"/>
        <v>0</v>
      </c>
    </row>
    <row r="222" spans="1:19" ht="32.25" customHeight="1">
      <c r="A222" s="116"/>
      <c r="B222" s="222" t="s">
        <v>795</v>
      </c>
      <c r="C222" s="193"/>
      <c r="D222" s="92"/>
      <c r="E222" s="239"/>
      <c r="F222" s="122"/>
      <c r="G222" s="91"/>
      <c r="H222" s="91">
        <v>0</v>
      </c>
      <c r="I222" s="92"/>
      <c r="J222" s="132"/>
      <c r="K222" s="372"/>
      <c r="L222" s="373"/>
      <c r="M222" s="371"/>
      <c r="N222" s="361"/>
      <c r="O222" s="362"/>
      <c r="P222" s="92"/>
      <c r="Q222" s="153"/>
      <c r="R222" s="153"/>
      <c r="S222" s="159"/>
    </row>
    <row r="223" spans="1:19" ht="32.25" customHeight="1">
      <c r="A223" s="116"/>
      <c r="B223" s="222" t="s">
        <v>245</v>
      </c>
      <c r="C223" s="193"/>
      <c r="D223" s="92"/>
      <c r="E223" s="239"/>
      <c r="F223" s="122"/>
      <c r="G223" s="91"/>
      <c r="H223" s="91"/>
      <c r="I223" s="92"/>
      <c r="J223" s="132"/>
      <c r="K223" s="372"/>
      <c r="L223" s="373"/>
      <c r="M223" s="371"/>
      <c r="N223" s="361"/>
      <c r="O223" s="362"/>
      <c r="P223" s="92"/>
      <c r="Q223" s="153"/>
      <c r="R223" s="153"/>
      <c r="S223" s="159"/>
    </row>
    <row r="224" spans="1:19" ht="32.25" customHeight="1">
      <c r="A224" s="106">
        <v>21</v>
      </c>
      <c r="B224" s="222" t="s">
        <v>152</v>
      </c>
      <c r="C224" s="193" t="s">
        <v>246</v>
      </c>
      <c r="D224" s="125">
        <v>70.42</v>
      </c>
      <c r="E224" s="163" t="s">
        <v>57</v>
      </c>
      <c r="F224" s="115"/>
      <c r="G224" s="91"/>
      <c r="H224" s="91">
        <v>-211.22000000000008</v>
      </c>
      <c r="I224" s="125"/>
      <c r="J224" s="132">
        <v>-211.22000000000008</v>
      </c>
      <c r="K224" s="372"/>
      <c r="L224" s="373"/>
      <c r="M224" s="371"/>
      <c r="N224" s="374" t="s">
        <v>57</v>
      </c>
      <c r="O224" s="362"/>
      <c r="P224" s="92"/>
      <c r="Q224" s="153">
        <f t="shared" si="12"/>
        <v>-140.80000000000007</v>
      </c>
      <c r="R224" s="91"/>
      <c r="S224" s="159">
        <f t="shared" si="13"/>
        <v>-140.80000000000007</v>
      </c>
    </row>
    <row r="225" spans="1:19" ht="32.25" customHeight="1">
      <c r="A225" s="106"/>
      <c r="B225" s="664" t="s">
        <v>247</v>
      </c>
      <c r="C225" s="665"/>
      <c r="D225" s="92"/>
      <c r="E225" s="239"/>
      <c r="F225" s="122"/>
      <c r="G225" s="91"/>
      <c r="H225" s="91">
        <v>0</v>
      </c>
      <c r="I225" s="92"/>
      <c r="J225" s="132">
        <v>0</v>
      </c>
      <c r="K225" s="359"/>
      <c r="L225" s="358"/>
      <c r="M225" s="371"/>
      <c r="N225" s="361"/>
      <c r="O225" s="362"/>
      <c r="P225" s="92"/>
      <c r="Q225" s="153">
        <f t="shared" si="12"/>
        <v>0</v>
      </c>
      <c r="R225" s="91"/>
      <c r="S225" s="159">
        <f t="shared" si="13"/>
        <v>0</v>
      </c>
    </row>
    <row r="226" spans="1:19" ht="32.25" customHeight="1">
      <c r="A226" s="106"/>
      <c r="B226" s="652" t="s">
        <v>248</v>
      </c>
      <c r="C226" s="654"/>
      <c r="D226" s="92"/>
      <c r="E226" s="239"/>
      <c r="F226" s="122"/>
      <c r="G226" s="91"/>
      <c r="H226" s="91">
        <v>0</v>
      </c>
      <c r="I226" s="92"/>
      <c r="J226" s="132">
        <v>0</v>
      </c>
      <c r="K226" s="359"/>
      <c r="L226" s="358"/>
      <c r="M226" s="371"/>
      <c r="N226" s="361"/>
      <c r="O226" s="362"/>
      <c r="P226" s="92"/>
      <c r="Q226" s="153">
        <f t="shared" si="12"/>
        <v>0</v>
      </c>
      <c r="R226" s="91"/>
      <c r="S226" s="159">
        <f t="shared" si="13"/>
        <v>0</v>
      </c>
    </row>
    <row r="227" spans="1:19" ht="32.25" customHeight="1">
      <c r="A227" s="106"/>
      <c r="B227" s="375" t="s">
        <v>249</v>
      </c>
      <c r="C227" s="376"/>
      <c r="D227" s="377"/>
      <c r="E227" s="378"/>
      <c r="F227" s="194"/>
      <c r="G227" s="195"/>
      <c r="H227" s="195">
        <v>0</v>
      </c>
      <c r="I227" s="377"/>
      <c r="J227" s="379">
        <v>0</v>
      </c>
      <c r="K227" s="359"/>
      <c r="L227" s="358"/>
      <c r="M227" s="371"/>
      <c r="N227" s="361"/>
      <c r="O227" s="362"/>
      <c r="P227" s="92"/>
      <c r="Q227" s="153">
        <f t="shared" si="12"/>
        <v>0</v>
      </c>
      <c r="R227" s="91"/>
      <c r="S227" s="159">
        <f t="shared" si="13"/>
        <v>0</v>
      </c>
    </row>
    <row r="228" spans="1:19" ht="32.25" customHeight="1">
      <c r="A228" s="106">
        <v>22</v>
      </c>
      <c r="B228" s="222" t="s">
        <v>130</v>
      </c>
      <c r="C228" s="193" t="s">
        <v>250</v>
      </c>
      <c r="D228" s="92">
        <v>0</v>
      </c>
      <c r="E228" s="239"/>
      <c r="F228" s="122"/>
      <c r="G228" s="91"/>
      <c r="H228" s="91">
        <v>0</v>
      </c>
      <c r="I228" s="92"/>
      <c r="J228" s="132">
        <v>0</v>
      </c>
      <c r="K228" s="380"/>
      <c r="L228" s="381"/>
      <c r="M228" s="382"/>
      <c r="N228" s="2"/>
      <c r="O228" s="362"/>
      <c r="P228" s="92"/>
      <c r="Q228" s="153">
        <f t="shared" si="12"/>
        <v>0</v>
      </c>
      <c r="R228" s="91"/>
      <c r="S228" s="159">
        <f t="shared" si="13"/>
        <v>0</v>
      </c>
    </row>
    <row r="229" spans="1:19" ht="32.25" customHeight="1">
      <c r="A229" s="116"/>
      <c r="B229" s="222" t="s">
        <v>251</v>
      </c>
      <c r="C229" s="193"/>
      <c r="D229" s="92"/>
      <c r="E229" s="239"/>
      <c r="F229" s="122"/>
      <c r="G229" s="91"/>
      <c r="H229" s="91">
        <v>0</v>
      </c>
      <c r="I229" s="92"/>
      <c r="J229" s="132">
        <v>0</v>
      </c>
      <c r="K229" s="372"/>
      <c r="L229" s="359"/>
      <c r="M229" s="371"/>
      <c r="N229" s="361"/>
      <c r="O229" s="362"/>
      <c r="P229" s="92"/>
      <c r="Q229" s="153">
        <f t="shared" si="12"/>
        <v>0</v>
      </c>
      <c r="R229" s="383"/>
      <c r="S229" s="159">
        <f t="shared" si="13"/>
        <v>0</v>
      </c>
    </row>
    <row r="230" spans="1:19" ht="32.25" customHeight="1">
      <c r="A230" s="116"/>
      <c r="B230" s="222" t="s">
        <v>253</v>
      </c>
      <c r="C230" s="193"/>
      <c r="D230" s="92"/>
      <c r="E230" s="239"/>
      <c r="F230" s="122"/>
      <c r="G230" s="91"/>
      <c r="H230" s="91">
        <v>0</v>
      </c>
      <c r="I230" s="92"/>
      <c r="J230" s="132">
        <v>0</v>
      </c>
      <c r="K230" s="372"/>
      <c r="L230" s="359"/>
      <c r="M230" s="371"/>
      <c r="N230" s="361"/>
      <c r="O230" s="362"/>
      <c r="P230" s="92"/>
      <c r="Q230" s="153">
        <f t="shared" si="12"/>
        <v>0</v>
      </c>
      <c r="R230" s="383"/>
      <c r="S230" s="159">
        <f t="shared" si="13"/>
        <v>0</v>
      </c>
    </row>
    <row r="231" spans="1:19" ht="32.25" customHeight="1">
      <c r="A231" s="116"/>
      <c r="B231" s="222" t="s">
        <v>255</v>
      </c>
      <c r="C231" s="193"/>
      <c r="D231" s="92">
        <v>25.83</v>
      </c>
      <c r="E231" s="239" t="s">
        <v>57</v>
      </c>
      <c r="F231" s="122"/>
      <c r="G231" s="91"/>
      <c r="H231" s="91">
        <v>-155.0200000000001</v>
      </c>
      <c r="I231" s="92"/>
      <c r="J231" s="132">
        <v>-155.0200000000001</v>
      </c>
      <c r="K231" s="372"/>
      <c r="L231" s="359"/>
      <c r="M231" s="371"/>
      <c r="N231" s="374" t="s">
        <v>57</v>
      </c>
      <c r="O231" s="362"/>
      <c r="P231" s="92"/>
      <c r="Q231" s="153">
        <f t="shared" si="12"/>
        <v>-129.19000000000011</v>
      </c>
      <c r="R231" s="383"/>
      <c r="S231" s="159">
        <f t="shared" si="13"/>
        <v>-129.19000000000011</v>
      </c>
    </row>
    <row r="232" spans="1:19" ht="32.25" customHeight="1">
      <c r="A232" s="116"/>
      <c r="B232" s="222" t="s">
        <v>257</v>
      </c>
      <c r="C232" s="193"/>
      <c r="D232" s="92"/>
      <c r="E232" s="239"/>
      <c r="F232" s="122"/>
      <c r="G232" s="91"/>
      <c r="H232" s="91">
        <v>0</v>
      </c>
      <c r="I232" s="92"/>
      <c r="J232" s="132">
        <v>0</v>
      </c>
      <c r="K232" s="372"/>
      <c r="L232" s="359"/>
      <c r="M232" s="371"/>
      <c r="N232" s="361"/>
      <c r="O232" s="362"/>
      <c r="P232" s="92"/>
      <c r="Q232" s="153">
        <f t="shared" si="12"/>
        <v>0</v>
      </c>
      <c r="R232" s="383"/>
      <c r="S232" s="159">
        <f t="shared" si="13"/>
        <v>0</v>
      </c>
    </row>
    <row r="233" spans="1:19" ht="32.25" customHeight="1">
      <c r="A233" s="116">
        <v>23</v>
      </c>
      <c r="B233" s="142" t="s">
        <v>145</v>
      </c>
      <c r="C233" s="193" t="s">
        <v>258</v>
      </c>
      <c r="D233" s="92">
        <v>33.75</v>
      </c>
      <c r="E233" s="239" t="s">
        <v>669</v>
      </c>
      <c r="F233" s="122">
        <v>1</v>
      </c>
      <c r="G233" s="91" t="s">
        <v>72</v>
      </c>
      <c r="H233" s="91">
        <v>33.75</v>
      </c>
      <c r="I233" s="92"/>
      <c r="J233" s="132">
        <v>33.75</v>
      </c>
      <c r="K233" s="372" t="s">
        <v>750</v>
      </c>
      <c r="L233" s="359" t="s">
        <v>796</v>
      </c>
      <c r="M233" s="371">
        <v>405</v>
      </c>
      <c r="N233" s="361" t="s">
        <v>57</v>
      </c>
      <c r="O233" s="362"/>
      <c r="P233" s="92"/>
      <c r="Q233" s="153">
        <f t="shared" si="12"/>
        <v>-337.5</v>
      </c>
      <c r="R233" s="153"/>
      <c r="S233" s="159">
        <f t="shared" si="13"/>
        <v>-337.5</v>
      </c>
    </row>
    <row r="234" spans="1:19" ht="32.25" customHeight="1">
      <c r="A234" s="116"/>
      <c r="B234" s="384" t="s">
        <v>797</v>
      </c>
      <c r="C234" s="385"/>
      <c r="D234" s="386">
        <v>55</v>
      </c>
      <c r="E234" s="387" t="s">
        <v>753</v>
      </c>
      <c r="F234" s="388">
        <v>1</v>
      </c>
      <c r="G234" s="389" t="s">
        <v>134</v>
      </c>
      <c r="H234" s="389">
        <v>0</v>
      </c>
      <c r="I234" s="92"/>
      <c r="J234" s="132">
        <v>0</v>
      </c>
      <c r="K234" s="372" t="s">
        <v>750</v>
      </c>
      <c r="L234" s="359" t="s">
        <v>798</v>
      </c>
      <c r="M234" s="371">
        <v>55</v>
      </c>
      <c r="N234" s="361"/>
      <c r="O234" s="362"/>
      <c r="P234" s="92"/>
      <c r="Q234" s="153">
        <f t="shared" si="12"/>
        <v>0</v>
      </c>
      <c r="R234" s="153"/>
      <c r="S234" s="159">
        <f t="shared" si="13"/>
        <v>0</v>
      </c>
    </row>
    <row r="235" spans="1:19" ht="32.25" customHeight="1">
      <c r="A235" s="116"/>
      <c r="B235" s="384" t="s">
        <v>799</v>
      </c>
      <c r="C235" s="385"/>
      <c r="D235" s="386">
        <v>55</v>
      </c>
      <c r="E235" s="387" t="s">
        <v>756</v>
      </c>
      <c r="F235" s="388">
        <v>1</v>
      </c>
      <c r="G235" s="389" t="s">
        <v>134</v>
      </c>
      <c r="H235" s="389">
        <v>0</v>
      </c>
      <c r="I235" s="92"/>
      <c r="J235" s="132">
        <v>0</v>
      </c>
      <c r="K235" s="372" t="s">
        <v>750</v>
      </c>
      <c r="L235" s="359" t="s">
        <v>800</v>
      </c>
      <c r="M235" s="371">
        <v>55</v>
      </c>
      <c r="N235" s="361"/>
      <c r="O235" s="362"/>
      <c r="P235" s="92"/>
      <c r="Q235" s="153">
        <f t="shared" si="12"/>
        <v>0</v>
      </c>
      <c r="R235" s="153"/>
      <c r="S235" s="159">
        <f t="shared" si="13"/>
        <v>0</v>
      </c>
    </row>
    <row r="236" spans="1:19" ht="32.25" customHeight="1">
      <c r="A236" s="116"/>
      <c r="B236" s="384" t="s">
        <v>801</v>
      </c>
      <c r="C236" s="385"/>
      <c r="D236" s="386"/>
      <c r="E236" s="387"/>
      <c r="F236" s="388"/>
      <c r="G236" s="389"/>
      <c r="H236" s="389">
        <v>0</v>
      </c>
      <c r="I236" s="92"/>
      <c r="J236" s="132">
        <v>0</v>
      </c>
      <c r="K236" s="372"/>
      <c r="L236" s="359"/>
      <c r="M236" s="371"/>
      <c r="N236" s="361"/>
      <c r="O236" s="362"/>
      <c r="P236" s="92"/>
      <c r="Q236" s="153"/>
      <c r="R236" s="153"/>
      <c r="S236" s="159"/>
    </row>
    <row r="237" spans="1:19" ht="32.25" customHeight="1">
      <c r="A237" s="116"/>
      <c r="B237" s="384" t="s">
        <v>259</v>
      </c>
      <c r="C237" s="385"/>
      <c r="D237" s="386"/>
      <c r="E237" s="387"/>
      <c r="F237" s="388"/>
      <c r="G237" s="389"/>
      <c r="H237" s="389">
        <v>0</v>
      </c>
      <c r="I237" s="92"/>
      <c r="J237" s="132">
        <v>0</v>
      </c>
      <c r="K237" s="372"/>
      <c r="L237" s="359"/>
      <c r="M237" s="371"/>
      <c r="N237" s="361"/>
      <c r="O237" s="362"/>
      <c r="P237" s="92"/>
      <c r="Q237" s="153"/>
      <c r="R237" s="153"/>
      <c r="S237" s="159"/>
    </row>
    <row r="238" spans="1:19" ht="32.25" customHeight="1">
      <c r="A238" s="116"/>
      <c r="B238" s="384" t="s">
        <v>260</v>
      </c>
      <c r="C238" s="385"/>
      <c r="D238" s="386"/>
      <c r="E238" s="387"/>
      <c r="F238" s="388"/>
      <c r="G238" s="389"/>
      <c r="H238" s="389">
        <v>0</v>
      </c>
      <c r="I238" s="92"/>
      <c r="J238" s="132">
        <v>0</v>
      </c>
      <c r="K238" s="372"/>
      <c r="L238" s="359"/>
      <c r="M238" s="371"/>
      <c r="N238" s="361"/>
      <c r="O238" s="362"/>
      <c r="P238" s="92"/>
      <c r="Q238" s="153"/>
      <c r="R238" s="153"/>
      <c r="S238" s="159"/>
    </row>
    <row r="239" spans="1:19" ht="32.25" customHeight="1">
      <c r="A239" s="116">
        <v>24</v>
      </c>
      <c r="B239" s="142" t="s">
        <v>158</v>
      </c>
      <c r="C239" s="390" t="s">
        <v>261</v>
      </c>
      <c r="D239" s="92">
        <v>24.17</v>
      </c>
      <c r="E239" s="239" t="s">
        <v>57</v>
      </c>
      <c r="F239" s="122"/>
      <c r="G239" s="91"/>
      <c r="H239" s="91">
        <v>-96.639999999999958</v>
      </c>
      <c r="I239" s="92"/>
      <c r="J239" s="132">
        <v>-96.639999999999958</v>
      </c>
      <c r="K239" s="372"/>
      <c r="L239" s="359"/>
      <c r="M239" s="371"/>
      <c r="N239" s="361" t="s">
        <v>57</v>
      </c>
      <c r="O239" s="362"/>
      <c r="P239" s="92"/>
      <c r="Q239" s="153">
        <f t="shared" si="12"/>
        <v>-72.469999999999956</v>
      </c>
      <c r="R239" s="354"/>
      <c r="S239" s="159">
        <f t="shared" si="13"/>
        <v>-72.469999999999956</v>
      </c>
    </row>
    <row r="240" spans="1:19" ht="32.25" customHeight="1">
      <c r="A240" s="116"/>
      <c r="B240" s="275" t="s">
        <v>262</v>
      </c>
      <c r="C240" s="390"/>
      <c r="D240" s="92"/>
      <c r="E240" s="239"/>
      <c r="F240" s="122"/>
      <c r="G240" s="91"/>
      <c r="H240" s="91">
        <v>0</v>
      </c>
      <c r="I240" s="92"/>
      <c r="J240" s="132">
        <v>0</v>
      </c>
      <c r="K240" s="372"/>
      <c r="L240" s="359"/>
      <c r="M240" s="371"/>
      <c r="N240" s="361"/>
      <c r="O240" s="362"/>
      <c r="P240" s="92"/>
      <c r="Q240" s="153">
        <f t="shared" si="12"/>
        <v>0</v>
      </c>
      <c r="R240" s="354"/>
      <c r="S240" s="159">
        <f t="shared" si="13"/>
        <v>0</v>
      </c>
    </row>
    <row r="241" spans="1:19" ht="32.25" customHeight="1">
      <c r="A241" s="116"/>
      <c r="B241" s="275" t="s">
        <v>263</v>
      </c>
      <c r="C241" s="390"/>
      <c r="D241" s="92"/>
      <c r="E241" s="239"/>
      <c r="F241" s="122"/>
      <c r="G241" s="91"/>
      <c r="H241" s="91">
        <v>0</v>
      </c>
      <c r="I241" s="92"/>
      <c r="J241" s="132">
        <v>0</v>
      </c>
      <c r="K241" s="372"/>
      <c r="L241" s="359"/>
      <c r="M241" s="371"/>
      <c r="N241" s="361"/>
      <c r="O241" s="362"/>
      <c r="P241" s="92"/>
      <c r="Q241" s="153">
        <f t="shared" si="12"/>
        <v>0</v>
      </c>
      <c r="R241" s="354"/>
      <c r="S241" s="159">
        <f t="shared" si="13"/>
        <v>0</v>
      </c>
    </row>
    <row r="242" spans="1:19" ht="32.25" customHeight="1">
      <c r="A242" s="116"/>
      <c r="B242" s="275" t="s">
        <v>264</v>
      </c>
      <c r="C242" s="390"/>
      <c r="D242" s="92">
        <v>0</v>
      </c>
      <c r="E242" s="239"/>
      <c r="F242" s="122"/>
      <c r="G242" s="91"/>
      <c r="H242" s="91">
        <v>0</v>
      </c>
      <c r="I242" s="92"/>
      <c r="J242" s="132">
        <v>0</v>
      </c>
      <c r="K242" s="372"/>
      <c r="L242" s="359"/>
      <c r="M242" s="371"/>
      <c r="N242" s="361"/>
      <c r="O242" s="362"/>
      <c r="P242" s="92"/>
      <c r="Q242" s="153">
        <f t="shared" si="12"/>
        <v>0</v>
      </c>
      <c r="R242" s="354"/>
      <c r="S242" s="159">
        <f t="shared" si="13"/>
        <v>0</v>
      </c>
    </row>
    <row r="243" spans="1:19" ht="32.25" customHeight="1">
      <c r="A243" s="116"/>
      <c r="B243" s="275" t="s">
        <v>265</v>
      </c>
      <c r="C243" s="390"/>
      <c r="D243" s="92">
        <v>0</v>
      </c>
      <c r="E243" s="2"/>
      <c r="F243" s="2"/>
      <c r="G243" s="2"/>
      <c r="H243" s="2">
        <v>0</v>
      </c>
      <c r="J243" s="2">
        <v>0</v>
      </c>
      <c r="K243" s="372"/>
      <c r="L243" s="359"/>
      <c r="M243" s="371"/>
      <c r="N243" s="361"/>
      <c r="O243" s="362"/>
      <c r="P243" s="92"/>
      <c r="Q243" s="153">
        <f t="shared" si="12"/>
        <v>0</v>
      </c>
      <c r="R243" s="354"/>
      <c r="S243" s="159">
        <f t="shared" si="13"/>
        <v>0</v>
      </c>
    </row>
    <row r="244" spans="1:19" ht="32.25" customHeight="1">
      <c r="A244" s="116"/>
      <c r="B244" s="142" t="s">
        <v>266</v>
      </c>
      <c r="C244" s="390"/>
      <c r="D244" s="92"/>
      <c r="E244" s="239"/>
      <c r="F244" s="122"/>
      <c r="G244" s="91"/>
      <c r="H244" s="91">
        <v>0</v>
      </c>
      <c r="I244" s="92"/>
      <c r="J244" s="132">
        <v>0</v>
      </c>
      <c r="K244" s="372"/>
      <c r="L244" s="359"/>
      <c r="M244" s="371"/>
      <c r="N244" s="361"/>
      <c r="O244" s="362"/>
      <c r="P244" s="92"/>
      <c r="Q244" s="153">
        <f t="shared" si="12"/>
        <v>0</v>
      </c>
      <c r="R244" s="153"/>
      <c r="S244" s="159">
        <f t="shared" si="13"/>
        <v>0</v>
      </c>
    </row>
    <row r="245" spans="1:19" ht="32.25" customHeight="1">
      <c r="A245" s="116"/>
      <c r="B245" s="142" t="s">
        <v>267</v>
      </c>
      <c r="C245" s="390"/>
      <c r="D245" s="92"/>
      <c r="E245" s="239"/>
      <c r="F245" s="122"/>
      <c r="G245" s="91"/>
      <c r="H245" s="91">
        <v>0</v>
      </c>
      <c r="I245" s="92"/>
      <c r="J245" s="132">
        <v>0</v>
      </c>
      <c r="K245" s="372"/>
      <c r="L245" s="359"/>
      <c r="M245" s="371"/>
      <c r="N245" s="361"/>
      <c r="O245" s="362"/>
      <c r="P245" s="92"/>
      <c r="Q245" s="153">
        <f t="shared" si="12"/>
        <v>0</v>
      </c>
      <c r="R245" s="153"/>
      <c r="S245" s="159">
        <f t="shared" si="13"/>
        <v>0</v>
      </c>
    </row>
    <row r="246" spans="1:19" ht="32.25" customHeight="1">
      <c r="A246" s="106">
        <v>25</v>
      </c>
      <c r="B246" s="142" t="s">
        <v>23</v>
      </c>
      <c r="C246" s="174" t="s">
        <v>268</v>
      </c>
      <c r="D246" s="151"/>
      <c r="E246" s="163"/>
      <c r="F246" s="122"/>
      <c r="G246" s="122"/>
      <c r="H246" s="91">
        <v>0</v>
      </c>
      <c r="I246" s="122"/>
      <c r="J246" s="132">
        <v>0</v>
      </c>
      <c r="K246" s="372"/>
      <c r="L246" s="359"/>
      <c r="M246" s="360"/>
      <c r="N246" s="361"/>
      <c r="O246" s="391"/>
      <c r="P246" s="122"/>
      <c r="Q246" s="153">
        <f t="shared" si="12"/>
        <v>0</v>
      </c>
      <c r="R246" s="153"/>
      <c r="S246" s="159">
        <f t="shared" si="13"/>
        <v>0</v>
      </c>
    </row>
    <row r="247" spans="1:19" ht="32.25" customHeight="1" thickBot="1">
      <c r="A247" s="39"/>
      <c r="B247" s="50" t="s">
        <v>19</v>
      </c>
      <c r="C247" s="50"/>
      <c r="D247" s="51">
        <v>9615.59</v>
      </c>
      <c r="E247" s="52"/>
      <c r="F247" s="53"/>
      <c r="G247" s="52"/>
      <c r="H247" s="51">
        <f>SUM(H233)</f>
        <v>33.75</v>
      </c>
      <c r="I247" s="51">
        <f t="shared" ref="I247" si="14">SUM(I198:I246)-I198-I224-I231-I233-I239-I216-I219</f>
        <v>0</v>
      </c>
      <c r="J247" s="51">
        <f>SUM(J233)</f>
        <v>33.75</v>
      </c>
      <c r="K247" s="54"/>
      <c r="L247" s="55"/>
      <c r="M247" s="56">
        <f>SUM(M198:M246)</f>
        <v>9955</v>
      </c>
      <c r="N247" s="57"/>
      <c r="O247" s="53"/>
      <c r="P247" s="51"/>
      <c r="Q247" s="51">
        <v>0</v>
      </c>
      <c r="R247" s="51">
        <f t="shared" ref="R247" si="15">SUM(R233)</f>
        <v>0</v>
      </c>
      <c r="S247" s="51">
        <v>0</v>
      </c>
    </row>
    <row r="248" spans="1:19" ht="32.25" customHeight="1" thickTop="1">
      <c r="A248" s="39"/>
      <c r="B248" s="58" t="s">
        <v>269</v>
      </c>
      <c r="C248" s="59"/>
      <c r="D248" s="60"/>
      <c r="E248" s="61"/>
      <c r="F248" s="62"/>
      <c r="G248" s="63"/>
      <c r="H248" s="64"/>
      <c r="I248" s="64"/>
      <c r="J248" s="64"/>
      <c r="K248" s="65"/>
      <c r="L248" s="66"/>
      <c r="M248" s="67"/>
      <c r="N248" s="68"/>
      <c r="O248" s="62"/>
      <c r="P248" s="69"/>
      <c r="Q248" s="63"/>
      <c r="R248" s="63"/>
      <c r="S248" s="70"/>
    </row>
    <row r="249" spans="1:19" ht="32.25" customHeight="1">
      <c r="A249" s="39">
        <v>1</v>
      </c>
      <c r="B249" s="142" t="s">
        <v>99</v>
      </c>
      <c r="C249" s="392" t="s">
        <v>270</v>
      </c>
      <c r="D249" s="125">
        <v>0</v>
      </c>
      <c r="E249" s="131"/>
      <c r="F249" s="115"/>
      <c r="G249" s="131"/>
      <c r="H249" s="125">
        <v>0</v>
      </c>
      <c r="I249" s="125"/>
      <c r="J249" s="125">
        <v>0</v>
      </c>
      <c r="K249" s="34"/>
      <c r="L249" s="35"/>
      <c r="M249" s="36"/>
      <c r="N249" s="114"/>
      <c r="O249" s="115"/>
      <c r="P249" s="144"/>
      <c r="Q249" s="131">
        <v>0</v>
      </c>
      <c r="R249" s="33"/>
      <c r="S249" s="77">
        <v>0</v>
      </c>
    </row>
    <row r="250" spans="1:19" ht="32.25" customHeight="1">
      <c r="A250" s="106">
        <v>2</v>
      </c>
      <c r="B250" s="142" t="s">
        <v>99</v>
      </c>
      <c r="C250" s="392" t="s">
        <v>271</v>
      </c>
      <c r="D250" s="125">
        <v>0</v>
      </c>
      <c r="E250" s="131"/>
      <c r="F250" s="115"/>
      <c r="G250" s="131"/>
      <c r="H250" s="125">
        <v>0</v>
      </c>
      <c r="I250" s="125"/>
      <c r="J250" s="125">
        <v>0</v>
      </c>
      <c r="K250" s="34"/>
      <c r="L250" s="35"/>
      <c r="M250" s="36"/>
      <c r="N250" s="114"/>
      <c r="O250" s="115"/>
      <c r="P250" s="144"/>
      <c r="Q250" s="131">
        <v>0</v>
      </c>
      <c r="R250" s="33"/>
      <c r="S250" s="77">
        <v>0</v>
      </c>
    </row>
    <row r="251" spans="1:19" ht="32.25" customHeight="1">
      <c r="A251" s="106">
        <v>3</v>
      </c>
      <c r="B251" s="142" t="s">
        <v>99</v>
      </c>
      <c r="C251" s="392" t="s">
        <v>272</v>
      </c>
      <c r="D251" s="125">
        <v>0</v>
      </c>
      <c r="E251" s="131"/>
      <c r="F251" s="115"/>
      <c r="G251" s="131"/>
      <c r="H251" s="125">
        <v>0</v>
      </c>
      <c r="I251" s="125"/>
      <c r="J251" s="125">
        <v>0</v>
      </c>
      <c r="K251" s="34"/>
      <c r="L251" s="35"/>
      <c r="M251" s="36"/>
      <c r="N251" s="114"/>
      <c r="O251" s="115"/>
      <c r="P251" s="144"/>
      <c r="Q251" s="131">
        <v>0</v>
      </c>
      <c r="R251" s="33"/>
      <c r="S251" s="77">
        <v>0</v>
      </c>
    </row>
    <row r="252" spans="1:19" ht="32.25" customHeight="1">
      <c r="A252" s="106">
        <v>4</v>
      </c>
      <c r="B252" s="142" t="s">
        <v>273</v>
      </c>
      <c r="C252" s="392" t="s">
        <v>274</v>
      </c>
      <c r="D252" s="125">
        <v>0</v>
      </c>
      <c r="E252" s="131"/>
      <c r="F252" s="115"/>
      <c r="G252" s="131"/>
      <c r="H252" s="125">
        <v>0</v>
      </c>
      <c r="I252" s="125"/>
      <c r="J252" s="125">
        <v>0</v>
      </c>
      <c r="K252" s="34"/>
      <c r="L252" s="35"/>
      <c r="M252" s="36"/>
      <c r="N252" s="114"/>
      <c r="O252" s="115"/>
      <c r="P252" s="144"/>
      <c r="Q252" s="131">
        <v>0</v>
      </c>
      <c r="R252" s="33"/>
      <c r="S252" s="77">
        <v>0</v>
      </c>
    </row>
    <row r="253" spans="1:19" ht="32.25" customHeight="1">
      <c r="A253" s="106">
        <v>5</v>
      </c>
      <c r="B253" s="142" t="s">
        <v>273</v>
      </c>
      <c r="C253" s="392" t="s">
        <v>275</v>
      </c>
      <c r="D253" s="125">
        <v>0</v>
      </c>
      <c r="E253" s="131"/>
      <c r="F253" s="115"/>
      <c r="G253" s="131"/>
      <c r="H253" s="125">
        <v>0</v>
      </c>
      <c r="I253" s="125"/>
      <c r="J253" s="125">
        <v>0</v>
      </c>
      <c r="K253" s="34"/>
      <c r="L253" s="35"/>
      <c r="M253" s="36"/>
      <c r="N253" s="114"/>
      <c r="O253" s="115"/>
      <c r="P253" s="144"/>
      <c r="Q253" s="131">
        <v>0</v>
      </c>
      <c r="R253" s="33"/>
      <c r="S253" s="77">
        <v>0</v>
      </c>
    </row>
    <row r="254" spans="1:19" ht="32.25" customHeight="1">
      <c r="A254" s="106">
        <v>6</v>
      </c>
      <c r="B254" s="142" t="s">
        <v>276</v>
      </c>
      <c r="C254" s="392" t="s">
        <v>277</v>
      </c>
      <c r="D254" s="125">
        <v>0</v>
      </c>
      <c r="E254" s="131"/>
      <c r="F254" s="115"/>
      <c r="G254" s="131"/>
      <c r="H254" s="125">
        <v>0</v>
      </c>
      <c r="I254" s="125"/>
      <c r="J254" s="125">
        <v>0</v>
      </c>
      <c r="K254" s="34"/>
      <c r="L254" s="35"/>
      <c r="M254" s="36"/>
      <c r="N254" s="114"/>
      <c r="O254" s="115"/>
      <c r="P254" s="144"/>
      <c r="Q254" s="131">
        <v>0</v>
      </c>
      <c r="R254" s="33"/>
      <c r="S254" s="77">
        <v>0</v>
      </c>
    </row>
    <row r="255" spans="1:19" ht="32.25" customHeight="1">
      <c r="A255" s="106">
        <v>7</v>
      </c>
      <c r="B255" s="142" t="s">
        <v>27</v>
      </c>
      <c r="C255" s="392" t="s">
        <v>278</v>
      </c>
      <c r="D255" s="125">
        <v>0</v>
      </c>
      <c r="E255" s="131"/>
      <c r="F255" s="115"/>
      <c r="G255" s="131"/>
      <c r="H255" s="125">
        <v>0</v>
      </c>
      <c r="I255" s="125"/>
      <c r="J255" s="125">
        <v>0</v>
      </c>
      <c r="K255" s="34"/>
      <c r="L255" s="35"/>
      <c r="M255" s="36"/>
      <c r="N255" s="114"/>
      <c r="O255" s="115"/>
      <c r="P255" s="144"/>
      <c r="Q255" s="131">
        <v>0</v>
      </c>
      <c r="R255" s="33"/>
      <c r="S255" s="77">
        <v>0</v>
      </c>
    </row>
    <row r="256" spans="1:19" ht="32.25" customHeight="1">
      <c r="A256" s="106">
        <v>8</v>
      </c>
      <c r="B256" s="142" t="s">
        <v>42</v>
      </c>
      <c r="C256" s="392" t="s">
        <v>279</v>
      </c>
      <c r="D256" s="125">
        <v>0</v>
      </c>
      <c r="E256" s="131"/>
      <c r="F256" s="115"/>
      <c r="G256" s="131"/>
      <c r="H256" s="125">
        <v>0</v>
      </c>
      <c r="I256" s="125"/>
      <c r="J256" s="125">
        <v>0</v>
      </c>
      <c r="K256" s="343"/>
      <c r="L256" s="307"/>
      <c r="M256" s="308"/>
      <c r="N256" s="114"/>
      <c r="O256" s="115"/>
      <c r="P256" s="144"/>
      <c r="Q256" s="131">
        <v>0</v>
      </c>
      <c r="R256" s="33"/>
      <c r="S256" s="77">
        <v>0</v>
      </c>
    </row>
    <row r="257" spans="1:19" ht="32.25" customHeight="1">
      <c r="A257" s="106">
        <v>9</v>
      </c>
      <c r="B257" s="142" t="s">
        <v>69</v>
      </c>
      <c r="C257" s="392" t="s">
        <v>280</v>
      </c>
      <c r="D257" s="125">
        <v>0</v>
      </c>
      <c r="E257" s="131"/>
      <c r="F257" s="115"/>
      <c r="G257" s="131"/>
      <c r="H257" s="125">
        <v>0</v>
      </c>
      <c r="I257" s="125"/>
      <c r="J257" s="125">
        <v>0</v>
      </c>
      <c r="K257" s="343"/>
      <c r="L257" s="307"/>
      <c r="M257" s="308"/>
      <c r="N257" s="114"/>
      <c r="O257" s="115"/>
      <c r="P257" s="144"/>
      <c r="Q257" s="131">
        <v>0</v>
      </c>
      <c r="R257" s="33"/>
      <c r="S257" s="77">
        <v>0</v>
      </c>
    </row>
    <row r="258" spans="1:19" ht="32.25" customHeight="1">
      <c r="A258" s="106">
        <v>10</v>
      </c>
      <c r="B258" s="142" t="s">
        <v>75</v>
      </c>
      <c r="C258" s="392" t="s">
        <v>281</v>
      </c>
      <c r="D258" s="125">
        <v>0</v>
      </c>
      <c r="E258" s="131"/>
      <c r="F258" s="115"/>
      <c r="G258" s="131"/>
      <c r="H258" s="125">
        <v>0</v>
      </c>
      <c r="I258" s="125"/>
      <c r="J258" s="125">
        <v>0</v>
      </c>
      <c r="K258" s="34"/>
      <c r="L258" s="35"/>
      <c r="M258" s="36"/>
      <c r="N258" s="114"/>
      <c r="O258" s="115"/>
      <c r="P258" s="144"/>
      <c r="Q258" s="131">
        <v>0</v>
      </c>
      <c r="R258" s="33"/>
      <c r="S258" s="77">
        <v>0</v>
      </c>
    </row>
    <row r="259" spans="1:19" ht="32.25" customHeight="1">
      <c r="A259" s="106">
        <v>11</v>
      </c>
      <c r="B259" s="142" t="s">
        <v>77</v>
      </c>
      <c r="C259" s="392" t="s">
        <v>282</v>
      </c>
      <c r="D259" s="125">
        <v>0</v>
      </c>
      <c r="E259" s="131"/>
      <c r="F259" s="115"/>
      <c r="G259" s="131"/>
      <c r="H259" s="125">
        <v>0</v>
      </c>
      <c r="I259" s="125"/>
      <c r="J259" s="125">
        <v>0</v>
      </c>
      <c r="K259" s="34"/>
      <c r="L259" s="35"/>
      <c r="M259" s="36"/>
      <c r="N259" s="114"/>
      <c r="O259" s="115"/>
      <c r="P259" s="144"/>
      <c r="Q259" s="131">
        <v>0</v>
      </c>
      <c r="R259" s="33"/>
      <c r="S259" s="77">
        <v>0</v>
      </c>
    </row>
    <row r="260" spans="1:19" ht="32.25" customHeight="1">
      <c r="A260" s="106">
        <v>12</v>
      </c>
      <c r="B260" s="142" t="s">
        <v>77</v>
      </c>
      <c r="C260" s="392" t="s">
        <v>283</v>
      </c>
      <c r="D260" s="125">
        <v>0</v>
      </c>
      <c r="E260" s="131"/>
      <c r="F260" s="115"/>
      <c r="G260" s="131"/>
      <c r="H260" s="125">
        <v>0</v>
      </c>
      <c r="I260" s="125"/>
      <c r="J260" s="125">
        <v>0</v>
      </c>
      <c r="K260" s="34"/>
      <c r="L260" s="35"/>
      <c r="M260" s="36"/>
      <c r="N260" s="114"/>
      <c r="O260" s="115"/>
      <c r="P260" s="144"/>
      <c r="Q260" s="131">
        <v>0</v>
      </c>
      <c r="R260" s="33"/>
      <c r="S260" s="77">
        <v>0</v>
      </c>
    </row>
    <row r="261" spans="1:19" ht="32.25" customHeight="1">
      <c r="A261" s="106">
        <v>13</v>
      </c>
      <c r="B261" s="142" t="s">
        <v>75</v>
      </c>
      <c r="C261" s="392" t="s">
        <v>284</v>
      </c>
      <c r="D261" s="125">
        <v>0</v>
      </c>
      <c r="E261" s="131"/>
      <c r="F261" s="115"/>
      <c r="G261" s="131"/>
      <c r="H261" s="125">
        <v>0</v>
      </c>
      <c r="I261" s="125"/>
      <c r="J261" s="125">
        <v>0</v>
      </c>
      <c r="K261" s="34"/>
      <c r="L261" s="35"/>
      <c r="M261" s="36"/>
      <c r="N261" s="114"/>
      <c r="O261" s="115"/>
      <c r="P261" s="144"/>
      <c r="Q261" s="131">
        <v>0</v>
      </c>
      <c r="R261" s="33"/>
      <c r="S261" s="77">
        <v>0</v>
      </c>
    </row>
    <row r="262" spans="1:19" ht="32.25" customHeight="1">
      <c r="A262" s="106">
        <v>14</v>
      </c>
      <c r="B262" s="142" t="s">
        <v>83</v>
      </c>
      <c r="C262" s="392" t="s">
        <v>285</v>
      </c>
      <c r="D262" s="125">
        <v>0</v>
      </c>
      <c r="E262" s="131"/>
      <c r="F262" s="115"/>
      <c r="G262" s="131"/>
      <c r="H262" s="125">
        <v>0</v>
      </c>
      <c r="I262" s="125"/>
      <c r="J262" s="125">
        <v>0</v>
      </c>
      <c r="K262" s="34"/>
      <c r="L262" s="35"/>
      <c r="M262" s="36"/>
      <c r="N262" s="114"/>
      <c r="O262" s="115"/>
      <c r="P262" s="144"/>
      <c r="Q262" s="131">
        <v>0</v>
      </c>
      <c r="R262" s="33"/>
      <c r="S262" s="77">
        <v>0</v>
      </c>
    </row>
    <row r="263" spans="1:19" ht="32.25" customHeight="1">
      <c r="A263" s="106">
        <v>15</v>
      </c>
      <c r="B263" s="142" t="s">
        <v>87</v>
      </c>
      <c r="C263" s="392" t="s">
        <v>286</v>
      </c>
      <c r="D263" s="125">
        <v>0</v>
      </c>
      <c r="E263" s="131"/>
      <c r="F263" s="115"/>
      <c r="G263" s="131"/>
      <c r="H263" s="125">
        <v>0</v>
      </c>
      <c r="I263" s="125"/>
      <c r="J263" s="125">
        <v>0</v>
      </c>
      <c r="K263" s="343"/>
      <c r="L263" s="307"/>
      <c r="M263" s="308"/>
      <c r="N263" s="114"/>
      <c r="O263" s="115"/>
      <c r="P263" s="144"/>
      <c r="Q263" s="131">
        <v>0</v>
      </c>
      <c r="R263" s="33"/>
      <c r="S263" s="77">
        <v>0</v>
      </c>
    </row>
    <row r="264" spans="1:19" ht="32.25" customHeight="1">
      <c r="A264" s="106">
        <v>16</v>
      </c>
      <c r="B264" s="142" t="s">
        <v>75</v>
      </c>
      <c r="C264" s="392" t="s">
        <v>287</v>
      </c>
      <c r="D264" s="125">
        <v>0</v>
      </c>
      <c r="E264" s="131"/>
      <c r="F264" s="115"/>
      <c r="G264" s="131"/>
      <c r="H264" s="125">
        <v>0</v>
      </c>
      <c r="I264" s="125"/>
      <c r="J264" s="125">
        <v>0</v>
      </c>
      <c r="K264" s="34"/>
      <c r="L264" s="35"/>
      <c r="M264" s="36"/>
      <c r="N264" s="114"/>
      <c r="O264" s="115"/>
      <c r="P264" s="144"/>
      <c r="Q264" s="131">
        <v>0</v>
      </c>
      <c r="R264" s="33"/>
      <c r="S264" s="77">
        <v>0</v>
      </c>
    </row>
    <row r="265" spans="1:19" ht="32.25" customHeight="1">
      <c r="A265" s="106">
        <v>17</v>
      </c>
      <c r="B265" s="142" t="s">
        <v>92</v>
      </c>
      <c r="C265" s="392" t="s">
        <v>288</v>
      </c>
      <c r="D265" s="125">
        <v>0</v>
      </c>
      <c r="E265" s="131"/>
      <c r="F265" s="115"/>
      <c r="G265" s="131"/>
      <c r="H265" s="125">
        <v>0</v>
      </c>
      <c r="I265" s="125"/>
      <c r="J265" s="125">
        <v>0</v>
      </c>
      <c r="K265" s="34"/>
      <c r="L265" s="35"/>
      <c r="M265" s="36"/>
      <c r="N265" s="114"/>
      <c r="O265" s="115"/>
      <c r="P265" s="144"/>
      <c r="Q265" s="131">
        <v>0</v>
      </c>
      <c r="R265" s="33"/>
      <c r="S265" s="77">
        <v>0</v>
      </c>
    </row>
    <row r="266" spans="1:19" ht="32.25" customHeight="1">
      <c r="A266" s="106">
        <v>18</v>
      </c>
      <c r="B266" s="142" t="s">
        <v>75</v>
      </c>
      <c r="C266" s="392" t="s">
        <v>289</v>
      </c>
      <c r="D266" s="125">
        <v>0</v>
      </c>
      <c r="E266" s="131"/>
      <c r="F266" s="115"/>
      <c r="G266" s="131"/>
      <c r="H266" s="125">
        <v>0</v>
      </c>
      <c r="I266" s="125"/>
      <c r="J266" s="125">
        <v>0</v>
      </c>
      <c r="K266" s="34"/>
      <c r="L266" s="35"/>
      <c r="M266" s="36"/>
      <c r="N266" s="114"/>
      <c r="O266" s="115"/>
      <c r="P266" s="144"/>
      <c r="Q266" s="131">
        <v>0</v>
      </c>
      <c r="R266" s="33"/>
      <c r="S266" s="77">
        <v>0</v>
      </c>
    </row>
    <row r="267" spans="1:19" ht="32.25" customHeight="1">
      <c r="A267" s="106">
        <v>19</v>
      </c>
      <c r="B267" s="142" t="s">
        <v>95</v>
      </c>
      <c r="C267" s="392" t="s">
        <v>290</v>
      </c>
      <c r="D267" s="125">
        <v>0</v>
      </c>
      <c r="E267" s="131"/>
      <c r="F267" s="115"/>
      <c r="G267" s="131"/>
      <c r="H267" s="125">
        <v>0</v>
      </c>
      <c r="I267" s="125"/>
      <c r="J267" s="125">
        <v>0</v>
      </c>
      <c r="K267" s="343"/>
      <c r="L267" s="307"/>
      <c r="M267" s="308"/>
      <c r="N267" s="114"/>
      <c r="O267" s="115"/>
      <c r="P267" s="144"/>
      <c r="Q267" s="131">
        <v>0</v>
      </c>
      <c r="R267" s="33"/>
      <c r="S267" s="77">
        <v>0</v>
      </c>
    </row>
    <row r="268" spans="1:19" ht="32.25" customHeight="1">
      <c r="A268" s="106">
        <v>20</v>
      </c>
      <c r="B268" s="142" t="s">
        <v>236</v>
      </c>
      <c r="C268" s="392" t="s">
        <v>291</v>
      </c>
      <c r="D268" s="125">
        <v>0</v>
      </c>
      <c r="E268" s="131"/>
      <c r="F268" s="115"/>
      <c r="G268" s="131"/>
      <c r="H268" s="125">
        <v>0</v>
      </c>
      <c r="I268" s="125"/>
      <c r="J268" s="125">
        <v>0</v>
      </c>
      <c r="K268" s="343"/>
      <c r="L268" s="307"/>
      <c r="M268" s="308"/>
      <c r="N268" s="114"/>
      <c r="O268" s="115"/>
      <c r="P268" s="144"/>
      <c r="Q268" s="131">
        <v>0</v>
      </c>
      <c r="R268" s="33"/>
      <c r="S268" s="77">
        <v>0</v>
      </c>
    </row>
    <row r="269" spans="1:19" ht="32.25" customHeight="1" thickBot="1">
      <c r="A269" s="39"/>
      <c r="B269" s="50" t="s">
        <v>19</v>
      </c>
      <c r="C269" s="50"/>
      <c r="D269" s="51">
        <v>0</v>
      </c>
      <c r="E269" s="52"/>
      <c r="F269" s="53"/>
      <c r="G269" s="52"/>
      <c r="H269" s="51">
        <v>0</v>
      </c>
      <c r="I269" s="51">
        <v>0</v>
      </c>
      <c r="J269" s="51">
        <v>0</v>
      </c>
      <c r="K269" s="54"/>
      <c r="L269" s="55"/>
      <c r="M269" s="56">
        <v>0</v>
      </c>
      <c r="N269" s="57"/>
      <c r="O269" s="53"/>
      <c r="P269" s="51"/>
      <c r="Q269" s="51">
        <v>0</v>
      </c>
      <c r="R269" s="51">
        <v>0</v>
      </c>
      <c r="S269" s="51">
        <v>0</v>
      </c>
    </row>
    <row r="270" spans="1:19" ht="32.25" customHeight="1" thickTop="1">
      <c r="A270" s="39"/>
      <c r="B270" s="141" t="s">
        <v>292</v>
      </c>
      <c r="C270" s="142"/>
      <c r="D270" s="125"/>
      <c r="E270" s="131"/>
      <c r="F270" s="115"/>
      <c r="G270" s="33"/>
      <c r="H270" s="143"/>
      <c r="I270" s="143"/>
      <c r="J270" s="143"/>
      <c r="K270" s="34"/>
      <c r="L270" s="35"/>
      <c r="M270" s="36"/>
      <c r="N270" s="114"/>
      <c r="O270" s="115"/>
      <c r="P270" s="144"/>
      <c r="Q270" s="33"/>
      <c r="R270" s="33"/>
      <c r="S270" s="145"/>
    </row>
    <row r="271" spans="1:19" ht="32.25" customHeight="1">
      <c r="A271" s="39">
        <v>1</v>
      </c>
      <c r="B271" s="41" t="s">
        <v>152</v>
      </c>
      <c r="C271" s="41" t="s">
        <v>293</v>
      </c>
      <c r="D271" s="42"/>
      <c r="E271" s="6"/>
      <c r="F271" s="43"/>
      <c r="G271" s="6"/>
      <c r="H271" s="42"/>
      <c r="I271" s="42"/>
      <c r="J271" s="42"/>
      <c r="K271" s="44"/>
      <c r="L271" s="45"/>
      <c r="M271" s="46"/>
      <c r="N271" s="5"/>
      <c r="O271" s="43"/>
      <c r="P271" s="47"/>
      <c r="Q271" s="48"/>
      <c r="R271" s="48"/>
      <c r="S271" s="49"/>
    </row>
    <row r="272" spans="1:19" ht="32.25" customHeight="1">
      <c r="A272" s="39">
        <v>2</v>
      </c>
      <c r="B272" s="41" t="s">
        <v>294</v>
      </c>
      <c r="C272" s="41" t="s">
        <v>295</v>
      </c>
      <c r="D272" s="42" t="s">
        <v>296</v>
      </c>
      <c r="E272" s="6"/>
      <c r="F272" s="43"/>
      <c r="G272" s="6"/>
      <c r="H272" s="42"/>
      <c r="I272" s="42"/>
      <c r="J272" s="42"/>
      <c r="K272" s="393"/>
      <c r="L272" s="394"/>
      <c r="M272" s="395"/>
      <c r="N272" s="5"/>
      <c r="O272" s="43"/>
      <c r="P272" s="47"/>
      <c r="Q272" s="48"/>
      <c r="R272" s="48"/>
      <c r="S272" s="49"/>
    </row>
    <row r="273" spans="1:19" ht="32.25" customHeight="1">
      <c r="A273" s="39"/>
      <c r="B273" s="40" t="s">
        <v>297</v>
      </c>
      <c r="C273" s="41"/>
      <c r="D273" s="42"/>
      <c r="E273" s="6"/>
      <c r="F273" s="43"/>
      <c r="G273" s="6"/>
      <c r="H273" s="42"/>
      <c r="I273" s="42"/>
      <c r="J273" s="42"/>
      <c r="K273" s="284"/>
      <c r="L273" s="285"/>
      <c r="M273" s="286"/>
      <c r="N273" s="5"/>
      <c r="O273" s="43"/>
      <c r="P273" s="47"/>
      <c r="Q273" s="48"/>
      <c r="R273" s="48"/>
      <c r="S273" s="49"/>
    </row>
    <row r="274" spans="1:19" ht="32.25" customHeight="1">
      <c r="A274" s="39"/>
      <c r="B274" s="40" t="s">
        <v>298</v>
      </c>
      <c r="C274" s="41"/>
      <c r="D274" s="42"/>
      <c r="E274" s="6"/>
      <c r="F274" s="43"/>
      <c r="G274" s="6"/>
      <c r="H274" s="42"/>
      <c r="I274" s="42"/>
      <c r="J274" s="42"/>
      <c r="K274" s="284"/>
      <c r="L274" s="285"/>
      <c r="M274" s="286"/>
      <c r="N274" s="5"/>
      <c r="O274" s="43"/>
      <c r="P274" s="47"/>
      <c r="Q274" s="48"/>
      <c r="R274" s="48"/>
      <c r="S274" s="49"/>
    </row>
    <row r="275" spans="1:19" ht="32.25" customHeight="1">
      <c r="A275" s="39">
        <v>3</v>
      </c>
      <c r="B275" s="40" t="s">
        <v>130</v>
      </c>
      <c r="C275" s="41" t="s">
        <v>299</v>
      </c>
      <c r="D275" s="42"/>
      <c r="E275" s="6"/>
      <c r="F275" s="43"/>
      <c r="G275" s="6"/>
      <c r="H275" s="42"/>
      <c r="I275" s="42"/>
      <c r="J275" s="42"/>
      <c r="K275" s="284"/>
      <c r="L275" s="285"/>
      <c r="M275" s="286"/>
      <c r="N275" s="5"/>
      <c r="O275" s="43"/>
      <c r="P275" s="47"/>
      <c r="Q275" s="48"/>
      <c r="R275" s="48"/>
      <c r="S275" s="49"/>
    </row>
    <row r="276" spans="1:19" ht="32.25" customHeight="1">
      <c r="A276" s="39">
        <v>4</v>
      </c>
      <c r="B276" s="40" t="s">
        <v>276</v>
      </c>
      <c r="C276" s="41" t="s">
        <v>302</v>
      </c>
      <c r="D276" s="42"/>
      <c r="E276" s="6"/>
      <c r="F276" s="43"/>
      <c r="G276" s="6"/>
      <c r="H276" s="42"/>
      <c r="I276" s="42"/>
      <c r="J276" s="42"/>
      <c r="K276" s="284"/>
      <c r="L276" s="285"/>
      <c r="M276" s="286"/>
      <c r="N276" s="5"/>
      <c r="O276" s="43"/>
      <c r="P276" s="47"/>
      <c r="Q276" s="48"/>
      <c r="R276" s="48"/>
      <c r="S276" s="49"/>
    </row>
    <row r="277" spans="1:19" ht="32.25" customHeight="1">
      <c r="A277" s="39">
        <v>5</v>
      </c>
      <c r="B277" s="40" t="s">
        <v>192</v>
      </c>
      <c r="C277" s="41" t="s">
        <v>306</v>
      </c>
      <c r="D277" s="42"/>
      <c r="E277" s="6"/>
      <c r="F277" s="43"/>
      <c r="G277" s="6"/>
      <c r="H277" s="42"/>
      <c r="I277" s="42"/>
      <c r="J277" s="42"/>
      <c r="K277" s="284"/>
      <c r="L277" s="285"/>
      <c r="M277" s="286"/>
      <c r="N277" s="5"/>
      <c r="O277" s="43"/>
      <c r="P277" s="47"/>
      <c r="Q277" s="48"/>
      <c r="R277" s="48"/>
      <c r="S277" s="49"/>
    </row>
    <row r="278" spans="1:19" ht="32.25" customHeight="1">
      <c r="A278" s="39">
        <v>6</v>
      </c>
      <c r="B278" s="40" t="s">
        <v>387</v>
      </c>
      <c r="C278" s="41" t="s">
        <v>388</v>
      </c>
      <c r="D278" s="42">
        <v>0</v>
      </c>
      <c r="E278" s="6"/>
      <c r="F278" s="43"/>
      <c r="G278" s="6"/>
      <c r="H278" s="42"/>
      <c r="I278" s="42"/>
      <c r="J278" s="42"/>
      <c r="K278" s="284"/>
      <c r="L278" s="285"/>
      <c r="M278" s="286"/>
      <c r="N278" s="5"/>
      <c r="O278" s="43"/>
      <c r="P278" s="47"/>
      <c r="Q278" s="48"/>
      <c r="R278" s="48"/>
      <c r="S278" s="49"/>
    </row>
    <row r="279" spans="1:19" ht="32.25" customHeight="1">
      <c r="A279" s="39"/>
      <c r="B279" s="40" t="s">
        <v>391</v>
      </c>
      <c r="C279" s="41"/>
      <c r="D279" s="42">
        <v>0</v>
      </c>
      <c r="E279" s="6"/>
      <c r="F279" s="43"/>
      <c r="G279" s="6"/>
      <c r="H279" s="42">
        <v>0</v>
      </c>
      <c r="I279" s="42">
        <v>0</v>
      </c>
      <c r="J279" s="42">
        <v>0</v>
      </c>
      <c r="K279" s="284"/>
      <c r="L279" s="285"/>
      <c r="M279" s="286"/>
      <c r="N279" s="5"/>
      <c r="O279" s="43"/>
      <c r="P279" s="47"/>
      <c r="Q279" s="48"/>
      <c r="R279" s="48"/>
      <c r="S279" s="49"/>
    </row>
    <row r="280" spans="1:19" ht="32.25" customHeight="1" thickBot="1">
      <c r="A280" s="39"/>
      <c r="B280" s="50" t="s">
        <v>19</v>
      </c>
      <c r="C280" s="50"/>
      <c r="D280" s="51">
        <v>0</v>
      </c>
      <c r="E280" s="52"/>
      <c r="F280" s="53"/>
      <c r="G280" s="52"/>
      <c r="H280" s="51">
        <f>SUM(H278:H279)</f>
        <v>0</v>
      </c>
      <c r="I280" s="51">
        <v>0</v>
      </c>
      <c r="J280" s="51">
        <f>SUM(J271:J279)</f>
        <v>0</v>
      </c>
      <c r="K280" s="54"/>
      <c r="L280" s="55"/>
      <c r="M280" s="56">
        <f>SUM(M278:M279)</f>
        <v>0</v>
      </c>
      <c r="N280" s="57"/>
      <c r="O280" s="53"/>
      <c r="P280" s="51"/>
      <c r="Q280" s="51"/>
      <c r="R280" s="51"/>
      <c r="S280" s="51"/>
    </row>
    <row r="281" spans="1:19" ht="32.25" customHeight="1" thickTop="1" thickBot="1">
      <c r="A281" s="396"/>
      <c r="B281" s="397" t="s">
        <v>309</v>
      </c>
      <c r="C281" s="398"/>
      <c r="D281" s="399">
        <f t="shared" ref="D281:S281" si="16">SUM(D9+D16+D21+D52+D55+D58+D61+D97+D131+D146+D161+D193+D196+D247+D269+D280)</f>
        <v>183355.94</v>
      </c>
      <c r="E281" s="399">
        <f t="shared" si="16"/>
        <v>0</v>
      </c>
      <c r="F281" s="399">
        <f t="shared" si="16"/>
        <v>0</v>
      </c>
      <c r="G281" s="399">
        <f t="shared" si="16"/>
        <v>0</v>
      </c>
      <c r="H281" s="399">
        <f t="shared" si="16"/>
        <v>3412.0900000000006</v>
      </c>
      <c r="I281" s="399">
        <f t="shared" si="16"/>
        <v>217.69999999999985</v>
      </c>
      <c r="J281" s="399">
        <f t="shared" si="16"/>
        <v>3629.7900000000004</v>
      </c>
      <c r="K281" s="399">
        <f t="shared" si="16"/>
        <v>0</v>
      </c>
      <c r="L281" s="399">
        <f t="shared" si="16"/>
        <v>0</v>
      </c>
      <c r="M281" s="399">
        <f t="shared" si="16"/>
        <v>181035.73</v>
      </c>
      <c r="N281" s="399">
        <f t="shared" si="16"/>
        <v>0</v>
      </c>
      <c r="O281" s="399">
        <f t="shared" si="16"/>
        <v>0</v>
      </c>
      <c r="P281" s="399">
        <f t="shared" si="16"/>
        <v>0</v>
      </c>
      <c r="Q281" s="399">
        <f t="shared" si="16"/>
        <v>5250.0000000000009</v>
      </c>
      <c r="R281" s="399">
        <f t="shared" si="16"/>
        <v>367.49999999999977</v>
      </c>
      <c r="S281" s="399">
        <f t="shared" si="16"/>
        <v>5617.5000000000009</v>
      </c>
    </row>
    <row r="282" spans="1:19" ht="17.399999999999999" thickTop="1">
      <c r="K282" s="404"/>
      <c r="L282" s="404"/>
      <c r="M282" s="2"/>
    </row>
    <row r="283" spans="1:19">
      <c r="K283" s="404"/>
      <c r="L283" s="404"/>
      <c r="M283" s="2"/>
    </row>
    <row r="284" spans="1:19">
      <c r="K284" s="404"/>
      <c r="L284" s="404"/>
      <c r="M284" s="2"/>
    </row>
    <row r="285" spans="1:19">
      <c r="K285" s="404"/>
      <c r="L285" s="404"/>
      <c r="M285" s="2"/>
    </row>
    <row r="286" spans="1:19">
      <c r="K286" s="404"/>
      <c r="L286" s="404"/>
      <c r="M286" s="2"/>
    </row>
    <row r="287" spans="1:19" s="406" customFormat="1" ht="32.25" customHeight="1">
      <c r="A287" s="2"/>
      <c r="B287" s="643"/>
      <c r="C287" s="642"/>
      <c r="D287" s="642"/>
      <c r="E287" s="1"/>
      <c r="F287" s="407"/>
      <c r="G287" s="1"/>
      <c r="H287" s="408"/>
      <c r="I287" s="409"/>
      <c r="J287" s="408"/>
      <c r="K287" s="410"/>
      <c r="L287" s="411"/>
      <c r="M287" s="666"/>
      <c r="N287" s="642"/>
      <c r="O287" s="642"/>
      <c r="P287" s="642"/>
      <c r="Q287" s="412"/>
      <c r="S287" s="2"/>
    </row>
    <row r="288" spans="1:19" s="406" customFormat="1" ht="32.25" customHeight="1">
      <c r="A288" s="2"/>
      <c r="B288" s="413"/>
      <c r="C288" s="667"/>
      <c r="D288" s="642"/>
      <c r="E288" s="1"/>
      <c r="F288" s="407"/>
      <c r="G288" s="1"/>
      <c r="H288" s="667"/>
      <c r="I288" s="642"/>
      <c r="J288" s="642"/>
      <c r="K288" s="642"/>
      <c r="L288" s="411"/>
      <c r="M288" s="668"/>
      <c r="N288" s="642"/>
      <c r="O288" s="642"/>
      <c r="P288" s="642"/>
      <c r="Q288" s="412"/>
      <c r="S288" s="2"/>
    </row>
    <row r="289" spans="1:19" s="406" customFormat="1" ht="32.25" customHeight="1">
      <c r="A289" s="2"/>
      <c r="B289" s="413"/>
      <c r="C289" s="662"/>
      <c r="D289" s="642"/>
      <c r="E289" s="1"/>
      <c r="F289" s="407"/>
      <c r="G289" s="1"/>
      <c r="H289" s="663"/>
      <c r="I289" s="642"/>
      <c r="J289" s="642"/>
      <c r="K289" s="410"/>
      <c r="L289" s="641"/>
      <c r="M289" s="642"/>
      <c r="N289" s="642"/>
      <c r="O289" s="642"/>
      <c r="P289" s="642"/>
      <c r="Q289" s="642"/>
      <c r="S289" s="2"/>
    </row>
  </sheetData>
  <mergeCells count="26">
    <mergeCell ref="B96:D96"/>
    <mergeCell ref="A1:S1"/>
    <mergeCell ref="A2:S2"/>
    <mergeCell ref="A3:S3"/>
    <mergeCell ref="B4:B6"/>
    <mergeCell ref="C4:C6"/>
    <mergeCell ref="E4:J4"/>
    <mergeCell ref="K4:M4"/>
    <mergeCell ref="N4:S4"/>
    <mergeCell ref="H5:J5"/>
    <mergeCell ref="Q5:S5"/>
    <mergeCell ref="B82:D82"/>
    <mergeCell ref="B84:D84"/>
    <mergeCell ref="B86:D86"/>
    <mergeCell ref="B88:D88"/>
    <mergeCell ref="B90:D90"/>
    <mergeCell ref="C289:D289"/>
    <mergeCell ref="H289:J289"/>
    <mergeCell ref="L289:Q289"/>
    <mergeCell ref="B225:C225"/>
    <mergeCell ref="B226:C226"/>
    <mergeCell ref="B287:D287"/>
    <mergeCell ref="M287:P287"/>
    <mergeCell ref="C288:D288"/>
    <mergeCell ref="H288:K288"/>
    <mergeCell ref="M288:P288"/>
  </mergeCells>
  <pageMargins left="0.7" right="0.7" top="0.75" bottom="0.75" header="0.3" footer="0.3"/>
  <pageSetup paperSize="9" scale="4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CA65-0EF4-44E7-B45B-8F1C1C0F29E4}">
  <sheetPr>
    <tabColor rgb="FFFFC000"/>
  </sheetPr>
  <dimension ref="A1:I114"/>
  <sheetViews>
    <sheetView zoomScale="60" zoomScaleNormal="60" workbookViewId="0">
      <pane ySplit="6" topLeftCell="A94" activePane="bottomLeft" state="frozen"/>
      <selection pane="bottomLeft" activeCell="K103" sqref="K103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17.6640625" style="414" customWidth="1"/>
    <col min="5" max="5" width="25" style="414" customWidth="1"/>
    <col min="6" max="6" width="16.109375" style="192" customWidth="1"/>
    <col min="7" max="16384" width="12.5546875" style="2"/>
  </cols>
  <sheetData>
    <row r="1" spans="1:8" ht="22.5" customHeight="1">
      <c r="A1" s="643" t="s">
        <v>0</v>
      </c>
      <c r="B1" s="642"/>
      <c r="C1" s="642"/>
      <c r="D1" s="642"/>
      <c r="E1" s="642"/>
      <c r="F1" s="642"/>
    </row>
    <row r="2" spans="1:8" ht="27" customHeight="1">
      <c r="A2" s="643" t="s">
        <v>1</v>
      </c>
      <c r="B2" s="642"/>
      <c r="C2" s="642"/>
      <c r="D2" s="642"/>
      <c r="E2" s="642"/>
      <c r="F2" s="642"/>
    </row>
    <row r="3" spans="1:8" ht="22.5" customHeight="1">
      <c r="A3" s="644" t="s">
        <v>694</v>
      </c>
      <c r="B3" s="645"/>
      <c r="C3" s="645"/>
      <c r="D3" s="645"/>
      <c r="E3" s="645"/>
      <c r="F3" s="645"/>
    </row>
    <row r="4" spans="1:8" ht="34.5" customHeight="1">
      <c r="A4" s="3" t="s">
        <v>3</v>
      </c>
      <c r="B4" s="646" t="s">
        <v>4</v>
      </c>
      <c r="C4" s="646" t="s">
        <v>5</v>
      </c>
      <c r="D4" s="669" t="s">
        <v>8</v>
      </c>
      <c r="E4" s="670"/>
      <c r="F4" s="671"/>
    </row>
    <row r="5" spans="1:8" ht="24.75" customHeight="1">
      <c r="A5" s="5"/>
      <c r="B5" s="647"/>
      <c r="C5" s="647"/>
      <c r="D5" s="9" t="s">
        <v>14</v>
      </c>
      <c r="E5" s="10" t="s">
        <v>15</v>
      </c>
      <c r="F5" s="11" t="s">
        <v>16</v>
      </c>
    </row>
    <row r="6" spans="1:8" ht="27.75" customHeight="1" thickBot="1">
      <c r="A6" s="14"/>
      <c r="B6" s="648"/>
      <c r="C6" s="648"/>
      <c r="D6" s="21"/>
      <c r="E6" s="22"/>
      <c r="F6" s="23"/>
    </row>
    <row r="7" spans="1:8" ht="32.25" customHeight="1" thickTop="1">
      <c r="A7" s="39"/>
      <c r="B7" s="58" t="s">
        <v>22</v>
      </c>
      <c r="C7" s="59"/>
      <c r="D7" s="65"/>
      <c r="E7" s="66"/>
      <c r="F7" s="67"/>
    </row>
    <row r="8" spans="1:8" s="78" customFormat="1" ht="32.25" customHeight="1">
      <c r="A8" s="39">
        <v>1</v>
      </c>
      <c r="B8" s="71" t="s">
        <v>23</v>
      </c>
      <c r="C8" s="71" t="s">
        <v>24</v>
      </c>
      <c r="D8" s="74" t="s">
        <v>695</v>
      </c>
      <c r="E8" s="75" t="s">
        <v>696</v>
      </c>
      <c r="F8" s="76">
        <v>2295.15</v>
      </c>
    </row>
    <row r="9" spans="1:8" s="78" customFormat="1" ht="32.25" customHeight="1">
      <c r="A9" s="39">
        <v>2</v>
      </c>
      <c r="B9" s="71" t="s">
        <v>27</v>
      </c>
      <c r="C9" s="71" t="s">
        <v>24</v>
      </c>
      <c r="D9" s="74" t="s">
        <v>697</v>
      </c>
      <c r="E9" s="75" t="s">
        <v>698</v>
      </c>
      <c r="F9" s="76">
        <v>403.39</v>
      </c>
    </row>
    <row r="10" spans="1:8" s="78" customFormat="1" ht="32.25" customHeight="1">
      <c r="A10" s="39">
        <v>3</v>
      </c>
      <c r="B10" s="71" t="s">
        <v>30</v>
      </c>
      <c r="C10" s="71" t="s">
        <v>24</v>
      </c>
      <c r="D10" s="74" t="s">
        <v>699</v>
      </c>
      <c r="E10" s="75" t="s">
        <v>700</v>
      </c>
      <c r="F10" s="76">
        <v>221.49</v>
      </c>
    </row>
    <row r="11" spans="1:8" ht="32.25" customHeight="1" thickBot="1">
      <c r="A11" s="39"/>
      <c r="B11" s="50" t="s">
        <v>19</v>
      </c>
      <c r="C11" s="50"/>
      <c r="D11" s="83"/>
      <c r="E11" s="84"/>
      <c r="F11" s="56">
        <v>2920.0299999999997</v>
      </c>
      <c r="H11" s="406">
        <f>SUM(F8:F10)</f>
        <v>2920.0299999999997</v>
      </c>
    </row>
    <row r="12" spans="1:8" ht="32.25" customHeight="1" thickTop="1">
      <c r="A12" s="39"/>
      <c r="B12" s="58" t="s">
        <v>32</v>
      </c>
      <c r="C12" s="59"/>
      <c r="D12" s="65"/>
      <c r="E12" s="66"/>
      <c r="F12" s="67"/>
    </row>
    <row r="13" spans="1:8" s="78" customFormat="1" ht="32.25" customHeight="1">
      <c r="A13" s="39">
        <v>1</v>
      </c>
      <c r="B13" s="71" t="s">
        <v>23</v>
      </c>
      <c r="C13" s="71" t="s">
        <v>33</v>
      </c>
      <c r="D13" s="74" t="s">
        <v>697</v>
      </c>
      <c r="E13" s="90" t="s">
        <v>701</v>
      </c>
      <c r="F13" s="76">
        <v>840</v>
      </c>
    </row>
    <row r="14" spans="1:8" s="78" customFormat="1" ht="32.25" customHeight="1">
      <c r="A14" s="39">
        <v>2</v>
      </c>
      <c r="B14" s="71" t="s">
        <v>27</v>
      </c>
      <c r="C14" s="71" t="s">
        <v>33</v>
      </c>
      <c r="D14" s="74" t="s">
        <v>697</v>
      </c>
      <c r="E14" s="94" t="s">
        <v>702</v>
      </c>
      <c r="F14" s="76">
        <v>180</v>
      </c>
    </row>
    <row r="15" spans="1:8" ht="32.25" customHeight="1" thickBot="1">
      <c r="A15" s="39"/>
      <c r="B15" s="50" t="s">
        <v>19</v>
      </c>
      <c r="C15" s="50"/>
      <c r="D15" s="101"/>
      <c r="E15" s="102"/>
      <c r="F15" s="103">
        <v>1020</v>
      </c>
      <c r="H15" s="406">
        <f>SUM(F13:F14)</f>
        <v>1020</v>
      </c>
    </row>
    <row r="16" spans="1:8" ht="32.25" hidden="1" customHeight="1" thickBot="1">
      <c r="A16" s="104" t="s">
        <v>36</v>
      </c>
      <c r="B16" s="104" t="s">
        <v>37</v>
      </c>
      <c r="C16" s="105">
        <v>780</v>
      </c>
      <c r="D16" s="65"/>
      <c r="E16" s="66"/>
      <c r="F16" s="67"/>
    </row>
    <row r="17" spans="1:6" ht="32.25" hidden="1" customHeight="1" thickTop="1">
      <c r="A17" s="104" t="s">
        <v>36</v>
      </c>
      <c r="B17" s="104" t="s">
        <v>38</v>
      </c>
      <c r="C17" s="105">
        <v>180</v>
      </c>
      <c r="D17" s="44"/>
      <c r="E17" s="45"/>
      <c r="F17" s="46"/>
    </row>
    <row r="18" spans="1:6" ht="32.25" hidden="1" customHeight="1" thickTop="1">
      <c r="A18" s="39"/>
      <c r="B18" s="50" t="s">
        <v>19</v>
      </c>
      <c r="C18" s="50"/>
      <c r="D18" s="54"/>
      <c r="E18" s="55"/>
      <c r="F18" s="56"/>
    </row>
    <row r="19" spans="1:6" ht="32.25" hidden="1" customHeight="1" thickTop="1">
      <c r="A19" s="39"/>
      <c r="B19" s="58" t="s">
        <v>39</v>
      </c>
      <c r="C19" s="59"/>
      <c r="D19" s="65"/>
      <c r="E19" s="66"/>
      <c r="F19" s="67"/>
    </row>
    <row r="20" spans="1:6" ht="32.25" hidden="1" customHeight="1" thickTop="1">
      <c r="A20" s="39">
        <v>1</v>
      </c>
      <c r="B20" s="40"/>
      <c r="C20" s="41"/>
      <c r="D20" s="44"/>
      <c r="E20" s="45"/>
      <c r="F20" s="46"/>
    </row>
    <row r="21" spans="1:6" ht="32.25" hidden="1" customHeight="1" thickTop="1">
      <c r="A21" s="39"/>
      <c r="B21" s="50" t="s">
        <v>19</v>
      </c>
      <c r="C21" s="50"/>
      <c r="D21" s="54"/>
      <c r="E21" s="55"/>
      <c r="F21" s="56"/>
    </row>
    <row r="22" spans="1:6" ht="32.25" hidden="1" customHeight="1" thickTop="1">
      <c r="A22" s="39"/>
      <c r="B22" s="58" t="s">
        <v>40</v>
      </c>
      <c r="C22" s="59"/>
      <c r="D22" s="65"/>
      <c r="E22" s="66"/>
      <c r="F22" s="67"/>
    </row>
    <row r="23" spans="1:6" ht="32.25" hidden="1" customHeight="1" thickTop="1">
      <c r="A23" s="39">
        <v>1</v>
      </c>
      <c r="B23" s="40"/>
      <c r="C23" s="41"/>
      <c r="D23" s="44"/>
      <c r="E23" s="45"/>
      <c r="F23" s="46"/>
    </row>
    <row r="24" spans="1:6" ht="32.25" hidden="1" customHeight="1" thickTop="1">
      <c r="A24" s="39"/>
      <c r="B24" s="50" t="s">
        <v>19</v>
      </c>
      <c r="C24" s="50"/>
      <c r="D24" s="54"/>
      <c r="E24" s="55"/>
      <c r="F24" s="56"/>
    </row>
    <row r="25" spans="1:6" ht="32.25" customHeight="1" thickTop="1">
      <c r="A25" s="39"/>
      <c r="B25" s="58" t="s">
        <v>41</v>
      </c>
      <c r="C25" s="59"/>
      <c r="D25" s="65"/>
      <c r="E25" s="66"/>
      <c r="F25" s="67"/>
    </row>
    <row r="26" spans="1:6" ht="32.25" customHeight="1">
      <c r="A26" s="106">
        <v>1</v>
      </c>
      <c r="B26" s="107" t="s">
        <v>703</v>
      </c>
      <c r="C26" s="107" t="s">
        <v>400</v>
      </c>
      <c r="D26" s="74" t="s">
        <v>704</v>
      </c>
      <c r="E26" s="75" t="s">
        <v>705</v>
      </c>
      <c r="F26" s="76">
        <v>1284</v>
      </c>
    </row>
    <row r="27" spans="1:6" ht="32.25" customHeight="1">
      <c r="A27" s="106">
        <v>2</v>
      </c>
      <c r="B27" s="117" t="s">
        <v>404</v>
      </c>
      <c r="C27" s="107" t="s">
        <v>400</v>
      </c>
      <c r="D27" s="74" t="s">
        <v>706</v>
      </c>
      <c r="E27" s="75" t="s">
        <v>707</v>
      </c>
      <c r="F27" s="76">
        <v>321</v>
      </c>
    </row>
    <row r="28" spans="1:6" ht="32.25" customHeight="1">
      <c r="A28" s="106">
        <v>3</v>
      </c>
      <c r="B28" s="117" t="s">
        <v>624</v>
      </c>
      <c r="C28" s="107" t="s">
        <v>400</v>
      </c>
      <c r="D28" s="74" t="s">
        <v>706</v>
      </c>
      <c r="E28" s="75" t="s">
        <v>708</v>
      </c>
      <c r="F28" s="76">
        <v>321</v>
      </c>
    </row>
    <row r="29" spans="1:6" ht="32.25" customHeight="1">
      <c r="A29" s="106">
        <v>4</v>
      </c>
      <c r="B29" s="117" t="s">
        <v>709</v>
      </c>
      <c r="C29" s="107" t="s">
        <v>400</v>
      </c>
      <c r="D29" s="74" t="s">
        <v>706</v>
      </c>
      <c r="E29" s="75" t="s">
        <v>710</v>
      </c>
      <c r="F29" s="76">
        <v>321</v>
      </c>
    </row>
    <row r="30" spans="1:6" ht="32.25" customHeight="1">
      <c r="A30" s="106">
        <v>5</v>
      </c>
      <c r="B30" s="117" t="s">
        <v>626</v>
      </c>
      <c r="C30" s="107" t="s">
        <v>400</v>
      </c>
      <c r="D30" s="74" t="s">
        <v>706</v>
      </c>
      <c r="E30" s="75" t="s">
        <v>711</v>
      </c>
      <c r="F30" s="76">
        <v>321</v>
      </c>
    </row>
    <row r="31" spans="1:6" ht="32.25" customHeight="1">
      <c r="A31" s="106">
        <v>6</v>
      </c>
      <c r="B31" s="117" t="s">
        <v>633</v>
      </c>
      <c r="C31" s="107" t="s">
        <v>400</v>
      </c>
      <c r="D31" s="74" t="s">
        <v>706</v>
      </c>
      <c r="E31" s="75" t="s">
        <v>628</v>
      </c>
      <c r="F31" s="76">
        <v>321</v>
      </c>
    </row>
    <row r="32" spans="1:6" ht="32.25" customHeight="1">
      <c r="A32" s="106">
        <v>7</v>
      </c>
      <c r="B32" s="117" t="s">
        <v>630</v>
      </c>
      <c r="C32" s="107" t="s">
        <v>400</v>
      </c>
      <c r="D32" s="74" t="s">
        <v>706</v>
      </c>
      <c r="E32" s="75" t="s">
        <v>712</v>
      </c>
      <c r="F32" s="76">
        <v>321</v>
      </c>
    </row>
    <row r="33" spans="1:8" ht="32.25" customHeight="1">
      <c r="A33" s="106">
        <v>8</v>
      </c>
      <c r="B33" s="117" t="s">
        <v>545</v>
      </c>
      <c r="C33" s="107" t="s">
        <v>400</v>
      </c>
      <c r="D33" s="74" t="s">
        <v>713</v>
      </c>
      <c r="E33" s="75" t="s">
        <v>714</v>
      </c>
      <c r="F33" s="76">
        <v>321</v>
      </c>
    </row>
    <row r="34" spans="1:8" ht="32.25" customHeight="1">
      <c r="A34" s="106">
        <v>9</v>
      </c>
      <c r="B34" s="117" t="s">
        <v>485</v>
      </c>
      <c r="C34" s="107" t="s">
        <v>400</v>
      </c>
      <c r="D34" s="74" t="s">
        <v>715</v>
      </c>
      <c r="E34" s="75" t="s">
        <v>716</v>
      </c>
      <c r="F34" s="76">
        <v>321</v>
      </c>
    </row>
    <row r="35" spans="1:8" ht="32.25" customHeight="1">
      <c r="A35" s="116">
        <v>10</v>
      </c>
      <c r="B35" s="117" t="s">
        <v>717</v>
      </c>
      <c r="C35" s="107" t="s">
        <v>400</v>
      </c>
      <c r="D35" s="505" t="s">
        <v>718</v>
      </c>
      <c r="E35" s="506" t="s">
        <v>719</v>
      </c>
      <c r="F35" s="507">
        <v>642</v>
      </c>
    </row>
    <row r="36" spans="1:8" ht="32.25" customHeight="1">
      <c r="A36" s="116">
        <v>11</v>
      </c>
      <c r="B36" s="117" t="s">
        <v>526</v>
      </c>
      <c r="C36" s="107" t="s">
        <v>400</v>
      </c>
      <c r="D36" s="505" t="s">
        <v>720</v>
      </c>
      <c r="E36" s="506" t="s">
        <v>721</v>
      </c>
      <c r="F36" s="507">
        <v>642</v>
      </c>
    </row>
    <row r="37" spans="1:8" ht="32.25" customHeight="1">
      <c r="A37" s="116">
        <v>12</v>
      </c>
      <c r="B37" s="117" t="s">
        <v>722</v>
      </c>
      <c r="C37" s="107" t="s">
        <v>400</v>
      </c>
      <c r="D37" s="505" t="s">
        <v>720</v>
      </c>
      <c r="E37" s="506" t="s">
        <v>723</v>
      </c>
      <c r="F37" s="507">
        <v>642</v>
      </c>
    </row>
    <row r="38" spans="1:8" ht="32.25" customHeight="1">
      <c r="A38" s="116">
        <v>13</v>
      </c>
      <c r="B38" s="117" t="s">
        <v>703</v>
      </c>
      <c r="C38" s="107" t="s">
        <v>400</v>
      </c>
      <c r="D38" s="505" t="s">
        <v>697</v>
      </c>
      <c r="E38" s="506" t="s">
        <v>724</v>
      </c>
      <c r="F38" s="507">
        <v>642</v>
      </c>
    </row>
    <row r="39" spans="1:8" ht="32.25" customHeight="1">
      <c r="A39" s="116">
        <v>14</v>
      </c>
      <c r="B39" s="117" t="s">
        <v>639</v>
      </c>
      <c r="C39" s="107" t="s">
        <v>400</v>
      </c>
      <c r="D39" s="505" t="s">
        <v>697</v>
      </c>
      <c r="E39" s="506" t="s">
        <v>725</v>
      </c>
      <c r="F39" s="507">
        <v>642</v>
      </c>
    </row>
    <row r="40" spans="1:8" ht="32.25" customHeight="1">
      <c r="A40" s="116">
        <v>15</v>
      </c>
      <c r="B40" s="117" t="s">
        <v>726</v>
      </c>
      <c r="C40" s="107" t="s">
        <v>400</v>
      </c>
      <c r="D40" s="505" t="s">
        <v>697</v>
      </c>
      <c r="E40" s="506" t="s">
        <v>727</v>
      </c>
      <c r="F40" s="507">
        <v>642</v>
      </c>
    </row>
    <row r="41" spans="1:8" ht="32.25" customHeight="1">
      <c r="A41" s="116">
        <v>16</v>
      </c>
      <c r="B41" s="117" t="s">
        <v>649</v>
      </c>
      <c r="C41" s="107" t="s">
        <v>400</v>
      </c>
      <c r="D41" s="505" t="s">
        <v>728</v>
      </c>
      <c r="E41" s="506" t="s">
        <v>729</v>
      </c>
      <c r="F41" s="507">
        <v>642</v>
      </c>
    </row>
    <row r="42" spans="1:8" ht="32.25" customHeight="1">
      <c r="A42" s="116">
        <v>17</v>
      </c>
      <c r="B42" s="117" t="s">
        <v>730</v>
      </c>
      <c r="C42" s="107" t="s">
        <v>400</v>
      </c>
      <c r="D42" s="505" t="s">
        <v>728</v>
      </c>
      <c r="E42" s="506" t="s">
        <v>731</v>
      </c>
      <c r="F42" s="507">
        <v>642</v>
      </c>
    </row>
    <row r="43" spans="1:8" ht="32.25" customHeight="1" thickBot="1">
      <c r="A43" s="39"/>
      <c r="B43" s="50" t="s">
        <v>19</v>
      </c>
      <c r="C43" s="50"/>
      <c r="D43" s="55"/>
      <c r="E43" s="55"/>
      <c r="F43" s="140">
        <v>8988</v>
      </c>
      <c r="H43" s="406">
        <f>SUM(F26:F42)</f>
        <v>8988</v>
      </c>
    </row>
    <row r="44" spans="1:8" ht="32.25" customHeight="1" thickTop="1">
      <c r="A44" s="39"/>
      <c r="B44" s="141" t="s">
        <v>50</v>
      </c>
      <c r="C44" s="142"/>
      <c r="D44" s="34"/>
      <c r="E44" s="35"/>
      <c r="F44" s="36"/>
    </row>
    <row r="45" spans="1:8" s="160" customFormat="1" ht="32.25" customHeight="1">
      <c r="A45" s="106">
        <v>1</v>
      </c>
      <c r="B45" s="142" t="s">
        <v>52</v>
      </c>
      <c r="C45" s="150" t="s">
        <v>53</v>
      </c>
      <c r="D45" s="154" t="s">
        <v>732</v>
      </c>
      <c r="E45" s="155" t="s">
        <v>733</v>
      </c>
      <c r="F45" s="156">
        <v>4140</v>
      </c>
    </row>
    <row r="46" spans="1:8" s="160" customFormat="1" ht="32.25" customHeight="1">
      <c r="A46" s="106">
        <v>2</v>
      </c>
      <c r="B46" s="142" t="s">
        <v>60</v>
      </c>
      <c r="C46" s="150" t="s">
        <v>61</v>
      </c>
      <c r="D46" s="154" t="s">
        <v>734</v>
      </c>
      <c r="E46" s="155" t="s">
        <v>735</v>
      </c>
      <c r="F46" s="156">
        <v>2070</v>
      </c>
    </row>
    <row r="47" spans="1:8" s="160" customFormat="1" ht="32.25" customHeight="1">
      <c r="A47" s="106">
        <v>3</v>
      </c>
      <c r="B47" s="142" t="s">
        <v>27</v>
      </c>
      <c r="C47" s="150" t="s">
        <v>64</v>
      </c>
      <c r="D47" s="154" t="s">
        <v>734</v>
      </c>
      <c r="E47" s="155" t="s">
        <v>736</v>
      </c>
      <c r="F47" s="156">
        <v>2070</v>
      </c>
    </row>
    <row r="48" spans="1:8" s="160" customFormat="1" ht="32.25" customHeight="1">
      <c r="A48" s="106">
        <v>4</v>
      </c>
      <c r="B48" s="168" t="s">
        <v>42</v>
      </c>
      <c r="C48" s="150" t="s">
        <v>67</v>
      </c>
      <c r="D48" s="154" t="s">
        <v>734</v>
      </c>
      <c r="E48" s="155" t="s">
        <v>737</v>
      </c>
      <c r="F48" s="156">
        <v>2070</v>
      </c>
    </row>
    <row r="49" spans="1:8" s="160" customFormat="1" ht="32.25" customHeight="1">
      <c r="A49" s="106">
        <v>5</v>
      </c>
      <c r="B49" s="142" t="s">
        <v>69</v>
      </c>
      <c r="C49" s="150" t="s">
        <v>70</v>
      </c>
      <c r="D49" s="154" t="s">
        <v>738</v>
      </c>
      <c r="E49" s="155" t="s">
        <v>739</v>
      </c>
      <c r="F49" s="156">
        <v>2070</v>
      </c>
    </row>
    <row r="50" spans="1:8" s="160" customFormat="1" ht="32.25" customHeight="1">
      <c r="A50" s="106">
        <v>6</v>
      </c>
      <c r="B50" s="142" t="s">
        <v>77</v>
      </c>
      <c r="C50" s="150" t="s">
        <v>78</v>
      </c>
      <c r="D50" s="154" t="s">
        <v>713</v>
      </c>
      <c r="E50" s="171" t="s">
        <v>740</v>
      </c>
      <c r="F50" s="156">
        <v>2070</v>
      </c>
    </row>
    <row r="51" spans="1:8" s="160" customFormat="1" ht="32.25" customHeight="1">
      <c r="A51" s="106">
        <v>7</v>
      </c>
      <c r="B51" s="142" t="s">
        <v>77</v>
      </c>
      <c r="C51" s="150" t="s">
        <v>81</v>
      </c>
      <c r="D51" s="154" t="s">
        <v>713</v>
      </c>
      <c r="E51" s="171" t="s">
        <v>740</v>
      </c>
      <c r="F51" s="156">
        <v>2070</v>
      </c>
    </row>
    <row r="52" spans="1:8" s="160" customFormat="1" ht="32.25" customHeight="1">
      <c r="A52" s="106">
        <v>8</v>
      </c>
      <c r="B52" s="142" t="s">
        <v>83</v>
      </c>
      <c r="C52" s="150" t="s">
        <v>84</v>
      </c>
      <c r="D52" s="154" t="s">
        <v>706</v>
      </c>
      <c r="E52" s="155" t="s">
        <v>741</v>
      </c>
      <c r="F52" s="156">
        <v>2070</v>
      </c>
    </row>
    <row r="53" spans="1:8" s="160" customFormat="1" ht="32.25" customHeight="1">
      <c r="A53" s="106">
        <v>9</v>
      </c>
      <c r="B53" s="142" t="s">
        <v>87</v>
      </c>
      <c r="C53" s="150" t="s">
        <v>88</v>
      </c>
      <c r="D53" s="154" t="s">
        <v>738</v>
      </c>
      <c r="E53" s="171" t="s">
        <v>742</v>
      </c>
      <c r="F53" s="156">
        <v>2070</v>
      </c>
    </row>
    <row r="54" spans="1:8" s="160" customFormat="1" ht="32.25" customHeight="1">
      <c r="A54" s="106">
        <v>10</v>
      </c>
      <c r="B54" s="142" t="s">
        <v>99</v>
      </c>
      <c r="C54" s="174" t="s">
        <v>100</v>
      </c>
      <c r="D54" s="154" t="s">
        <v>734</v>
      </c>
      <c r="E54" s="171" t="s">
        <v>743</v>
      </c>
      <c r="F54" s="178">
        <v>37375</v>
      </c>
    </row>
    <row r="55" spans="1:8" s="160" customFormat="1" ht="32.25" customHeight="1">
      <c r="A55" s="106">
        <v>11</v>
      </c>
      <c r="B55" s="142" t="s">
        <v>103</v>
      </c>
      <c r="C55" s="174" t="s">
        <v>104</v>
      </c>
      <c r="D55" s="154" t="s">
        <v>738</v>
      </c>
      <c r="E55" s="171" t="s">
        <v>744</v>
      </c>
      <c r="F55" s="178">
        <v>15525</v>
      </c>
    </row>
    <row r="56" spans="1:8" s="160" customFormat="1" ht="32.25" customHeight="1">
      <c r="A56" s="106">
        <v>12</v>
      </c>
      <c r="B56" s="142" t="s">
        <v>107</v>
      </c>
      <c r="C56" s="174" t="s">
        <v>108</v>
      </c>
      <c r="D56" s="154" t="s">
        <v>745</v>
      </c>
      <c r="E56" s="155" t="s">
        <v>746</v>
      </c>
      <c r="F56" s="178">
        <v>14000</v>
      </c>
    </row>
    <row r="57" spans="1:8" s="160" customFormat="1" ht="32.25" customHeight="1">
      <c r="A57" s="106">
        <v>13</v>
      </c>
      <c r="B57" s="142" t="s">
        <v>111</v>
      </c>
      <c r="C57" s="142" t="s">
        <v>112</v>
      </c>
      <c r="D57" s="154" t="s">
        <v>732</v>
      </c>
      <c r="E57" s="155" t="s">
        <v>747</v>
      </c>
      <c r="F57" s="178">
        <v>7000</v>
      </c>
    </row>
    <row r="58" spans="1:8" s="160" customFormat="1" ht="32.25" customHeight="1">
      <c r="A58" s="106">
        <v>14</v>
      </c>
      <c r="B58" s="142" t="s">
        <v>30</v>
      </c>
      <c r="C58" s="174" t="s">
        <v>115</v>
      </c>
      <c r="D58" s="154" t="s">
        <v>699</v>
      </c>
      <c r="E58" s="155" t="s">
        <v>748</v>
      </c>
      <c r="F58" s="178">
        <v>3970</v>
      </c>
    </row>
    <row r="59" spans="1:8" s="160" customFormat="1" ht="32.25" customHeight="1">
      <c r="A59" s="106">
        <v>15</v>
      </c>
      <c r="B59" s="142" t="s">
        <v>23</v>
      </c>
      <c r="C59" s="174" t="s">
        <v>126</v>
      </c>
      <c r="D59" s="154" t="s">
        <v>734</v>
      </c>
      <c r="E59" s="155" t="s">
        <v>749</v>
      </c>
      <c r="F59" s="178">
        <v>4600</v>
      </c>
    </row>
    <row r="60" spans="1:8" ht="32.25" customHeight="1" thickBot="1">
      <c r="A60" s="39"/>
      <c r="B60" s="50" t="s">
        <v>19</v>
      </c>
      <c r="C60" s="50"/>
      <c r="D60" s="54"/>
      <c r="E60" s="55"/>
      <c r="F60" s="56">
        <v>103170</v>
      </c>
      <c r="H60" s="499">
        <f>SUM(F45:F59)</f>
        <v>103170</v>
      </c>
    </row>
    <row r="61" spans="1:8" ht="32.25" customHeight="1" thickTop="1">
      <c r="A61" s="39"/>
      <c r="B61" s="141" t="s">
        <v>129</v>
      </c>
      <c r="C61" s="142"/>
      <c r="D61" s="34"/>
      <c r="E61" s="35"/>
      <c r="F61" s="36"/>
    </row>
    <row r="62" spans="1:8" ht="32.25" customHeight="1">
      <c r="A62" s="106">
        <v>1</v>
      </c>
      <c r="B62" s="142" t="s">
        <v>145</v>
      </c>
      <c r="C62" s="193" t="s">
        <v>146</v>
      </c>
      <c r="D62" s="218" t="s">
        <v>750</v>
      </c>
      <c r="E62" s="266" t="s">
        <v>751</v>
      </c>
      <c r="F62" s="125">
        <v>3220</v>
      </c>
    </row>
    <row r="63" spans="1:8" ht="32.25" customHeight="1">
      <c r="A63" s="106">
        <v>2</v>
      </c>
      <c r="B63" s="142" t="s">
        <v>145</v>
      </c>
      <c r="C63" s="142" t="s">
        <v>752</v>
      </c>
      <c r="D63" s="515" t="s">
        <v>750</v>
      </c>
      <c r="E63" s="514" t="s">
        <v>754</v>
      </c>
      <c r="F63" s="512">
        <v>420</v>
      </c>
    </row>
    <row r="64" spans="1:8" ht="32.25" customHeight="1">
      <c r="A64" s="106">
        <v>3</v>
      </c>
      <c r="B64" s="142" t="s">
        <v>145</v>
      </c>
      <c r="C64" s="224" t="s">
        <v>755</v>
      </c>
      <c r="D64" s="225" t="s">
        <v>750</v>
      </c>
      <c r="E64" s="513" t="s">
        <v>757</v>
      </c>
      <c r="F64" s="125">
        <v>420</v>
      </c>
    </row>
    <row r="65" spans="1:8" s="259" customFormat="1" ht="32.25" customHeight="1">
      <c r="A65" s="260">
        <v>4</v>
      </c>
      <c r="B65" s="242" t="s">
        <v>52</v>
      </c>
      <c r="C65" s="242" t="s">
        <v>759</v>
      </c>
      <c r="D65" s="251" t="s">
        <v>761</v>
      </c>
      <c r="E65" s="252" t="s">
        <v>762</v>
      </c>
      <c r="F65" s="253">
        <v>200</v>
      </c>
    </row>
    <row r="66" spans="1:8" s="259" customFormat="1" ht="32.25" customHeight="1">
      <c r="A66" s="260">
        <v>5</v>
      </c>
      <c r="B66" s="242" t="s">
        <v>52</v>
      </c>
      <c r="C66" s="517" t="s">
        <v>763</v>
      </c>
      <c r="D66" s="251" t="s">
        <v>761</v>
      </c>
      <c r="E66" s="252" t="s">
        <v>765</v>
      </c>
      <c r="F66" s="253">
        <v>200</v>
      </c>
    </row>
    <row r="67" spans="1:8" ht="32.25" customHeight="1" thickBot="1">
      <c r="A67" s="39"/>
      <c r="B67" s="50" t="s">
        <v>19</v>
      </c>
      <c r="C67" s="50"/>
      <c r="D67" s="51">
        <v>0</v>
      </c>
      <c r="E67" s="51">
        <v>0</v>
      </c>
      <c r="F67" s="51">
        <v>4460</v>
      </c>
      <c r="H67" s="406">
        <f>SUM(F62:F66)</f>
        <v>4460</v>
      </c>
    </row>
    <row r="68" spans="1:8" ht="32.25" customHeight="1" thickTop="1">
      <c r="A68" s="39"/>
      <c r="B68" s="141" t="s">
        <v>167</v>
      </c>
      <c r="C68" s="142"/>
      <c r="D68" s="34"/>
      <c r="E68" s="35"/>
      <c r="F68" s="36"/>
    </row>
    <row r="69" spans="1:8" s="160" customFormat="1" ht="32.25" customHeight="1">
      <c r="A69" s="106">
        <v>1</v>
      </c>
      <c r="B69" s="142" t="s">
        <v>23</v>
      </c>
      <c r="C69" s="142" t="s">
        <v>168</v>
      </c>
      <c r="D69" s="276" t="s">
        <v>734</v>
      </c>
      <c r="E69" s="277" t="s">
        <v>769</v>
      </c>
      <c r="F69" s="278">
        <v>10925</v>
      </c>
    </row>
    <row r="70" spans="1:8" s="160" customFormat="1" ht="32.25" customHeight="1">
      <c r="A70" s="106">
        <v>2</v>
      </c>
      <c r="B70" s="142" t="s">
        <v>69</v>
      </c>
      <c r="C70" s="142" t="s">
        <v>170</v>
      </c>
      <c r="D70" s="276" t="s">
        <v>738</v>
      </c>
      <c r="E70" s="277" t="s">
        <v>770</v>
      </c>
      <c r="F70" s="278">
        <v>920</v>
      </c>
    </row>
    <row r="71" spans="1:8" s="160" customFormat="1" ht="32.25" customHeight="1">
      <c r="A71" s="106">
        <v>3</v>
      </c>
      <c r="B71" s="142" t="s">
        <v>27</v>
      </c>
      <c r="C71" s="142" t="s">
        <v>172</v>
      </c>
      <c r="D71" s="276" t="s">
        <v>734</v>
      </c>
      <c r="E71" s="277" t="s">
        <v>736</v>
      </c>
      <c r="F71" s="278">
        <v>1100</v>
      </c>
    </row>
    <row r="72" spans="1:8" s="160" customFormat="1" ht="32.25" customHeight="1">
      <c r="A72" s="106">
        <v>4</v>
      </c>
      <c r="B72" s="142" t="s">
        <v>77</v>
      </c>
      <c r="C72" s="142" t="s">
        <v>174</v>
      </c>
      <c r="D72" s="276" t="s">
        <v>713</v>
      </c>
      <c r="E72" s="277" t="s">
        <v>771</v>
      </c>
      <c r="F72" s="278">
        <v>920</v>
      </c>
    </row>
    <row r="73" spans="1:8" s="160" customFormat="1" ht="32.25" customHeight="1">
      <c r="A73" s="106">
        <v>5</v>
      </c>
      <c r="B73" s="142" t="s">
        <v>176</v>
      </c>
      <c r="C73" s="142" t="s">
        <v>177</v>
      </c>
      <c r="D73" s="276" t="s">
        <v>772</v>
      </c>
      <c r="E73" s="277" t="s">
        <v>773</v>
      </c>
      <c r="F73" s="278">
        <v>2300</v>
      </c>
    </row>
    <row r="74" spans="1:8" ht="32.25" customHeight="1" thickBot="1">
      <c r="A74" s="39"/>
      <c r="B74" s="50" t="s">
        <v>19</v>
      </c>
      <c r="C74" s="50"/>
      <c r="D74" s="54"/>
      <c r="E74" s="55"/>
      <c r="F74" s="56">
        <v>16165</v>
      </c>
      <c r="H74" s="499">
        <f>SUM(F69:F73)</f>
        <v>16165</v>
      </c>
    </row>
    <row r="75" spans="1:8" ht="32.25" hidden="1" customHeight="1" thickBot="1">
      <c r="A75" s="39"/>
      <c r="B75" s="58" t="s">
        <v>184</v>
      </c>
      <c r="C75" s="59"/>
      <c r="D75" s="65"/>
      <c r="E75" s="66"/>
      <c r="F75" s="67"/>
    </row>
    <row r="76" spans="1:8" ht="32.25" hidden="1" customHeight="1" thickTop="1">
      <c r="A76" s="39">
        <v>1</v>
      </c>
      <c r="B76" s="40"/>
      <c r="C76" s="41"/>
      <c r="D76" s="44"/>
      <c r="E76" s="45"/>
      <c r="F76" s="46"/>
    </row>
    <row r="77" spans="1:8" ht="32.25" hidden="1" customHeight="1" thickTop="1">
      <c r="A77" s="39"/>
      <c r="B77" s="50" t="s">
        <v>19</v>
      </c>
      <c r="C77" s="50"/>
      <c r="D77" s="54"/>
      <c r="E77" s="55"/>
      <c r="F77" s="56"/>
    </row>
    <row r="78" spans="1:8" ht="32.25" hidden="1" customHeight="1" thickTop="1">
      <c r="A78" s="39"/>
      <c r="B78" s="58" t="s">
        <v>185</v>
      </c>
      <c r="C78" s="59"/>
      <c r="D78" s="65"/>
      <c r="E78" s="66"/>
      <c r="F78" s="67"/>
    </row>
    <row r="79" spans="1:8" ht="32.25" hidden="1" customHeight="1" thickTop="1">
      <c r="A79" s="39">
        <v>1</v>
      </c>
      <c r="B79" s="40"/>
      <c r="C79" s="41"/>
      <c r="D79" s="284"/>
      <c r="E79" s="285"/>
      <c r="F79" s="286"/>
    </row>
    <row r="80" spans="1:8" ht="32.25" hidden="1" customHeight="1" thickTop="1">
      <c r="A80" s="39"/>
      <c r="B80" s="50" t="s">
        <v>19</v>
      </c>
      <c r="C80" s="50"/>
      <c r="D80" s="54"/>
      <c r="E80" s="55"/>
      <c r="F80" s="56"/>
    </row>
    <row r="81" spans="1:8" ht="32.25" customHeight="1" thickTop="1">
      <c r="A81" s="39"/>
      <c r="B81" s="58" t="s">
        <v>186</v>
      </c>
      <c r="C81" s="59"/>
      <c r="D81" s="65"/>
      <c r="E81" s="66"/>
      <c r="F81" s="67"/>
    </row>
    <row r="82" spans="1:8" s="160" customFormat="1" ht="32.25" customHeight="1">
      <c r="A82" s="116">
        <v>1</v>
      </c>
      <c r="B82" s="41" t="s">
        <v>23</v>
      </c>
      <c r="C82" s="41" t="s">
        <v>187</v>
      </c>
      <c r="D82" s="288" t="s">
        <v>734</v>
      </c>
      <c r="E82" s="289" t="s">
        <v>774</v>
      </c>
      <c r="F82" s="290">
        <v>2140</v>
      </c>
    </row>
    <row r="83" spans="1:8" s="160" customFormat="1" ht="32.25" customHeight="1">
      <c r="A83" s="116">
        <v>2</v>
      </c>
      <c r="B83" s="142" t="s">
        <v>23</v>
      </c>
      <c r="C83" s="142" t="s">
        <v>189</v>
      </c>
      <c r="D83" s="296" t="s">
        <v>775</v>
      </c>
      <c r="E83" s="297" t="s">
        <v>776</v>
      </c>
      <c r="F83" s="290">
        <v>24417.4</v>
      </c>
    </row>
    <row r="84" spans="1:8" s="160" customFormat="1" ht="32.25" customHeight="1">
      <c r="A84" s="116">
        <v>3</v>
      </c>
      <c r="B84" s="142" t="s">
        <v>192</v>
      </c>
      <c r="C84" s="142" t="s">
        <v>193</v>
      </c>
      <c r="D84" s="288" t="s">
        <v>699</v>
      </c>
      <c r="E84" s="289" t="s">
        <v>777</v>
      </c>
      <c r="F84" s="290">
        <v>963</v>
      </c>
    </row>
    <row r="85" spans="1:8" ht="32.25" customHeight="1">
      <c r="A85" s="106">
        <v>4</v>
      </c>
      <c r="B85" s="300" t="s">
        <v>195</v>
      </c>
      <c r="C85" s="300" t="s">
        <v>193</v>
      </c>
      <c r="D85" s="288" t="s">
        <v>745</v>
      </c>
      <c r="E85" s="289" t="s">
        <v>778</v>
      </c>
      <c r="F85" s="290">
        <v>3327.7</v>
      </c>
    </row>
    <row r="86" spans="1:8" ht="32.25" customHeight="1">
      <c r="A86" s="39">
        <v>5</v>
      </c>
      <c r="B86" s="142" t="s">
        <v>526</v>
      </c>
      <c r="C86" s="142" t="s">
        <v>193</v>
      </c>
      <c r="D86" s="306" t="s">
        <v>706</v>
      </c>
      <c r="E86" s="307" t="s">
        <v>780</v>
      </c>
      <c r="F86" s="308">
        <v>1433.8</v>
      </c>
    </row>
    <row r="87" spans="1:8" ht="32.25" customHeight="1">
      <c r="A87" s="39">
        <v>6</v>
      </c>
      <c r="B87" s="142" t="s">
        <v>403</v>
      </c>
      <c r="C87" s="142" t="s">
        <v>193</v>
      </c>
      <c r="D87" s="34" t="s">
        <v>781</v>
      </c>
      <c r="E87" s="35" t="s">
        <v>782</v>
      </c>
      <c r="F87" s="36">
        <v>2075.8000000000002</v>
      </c>
    </row>
    <row r="88" spans="1:8" ht="32.25" customHeight="1" thickBot="1">
      <c r="A88" s="39"/>
      <c r="B88" s="50" t="s">
        <v>19</v>
      </c>
      <c r="C88" s="50"/>
      <c r="D88" s="54"/>
      <c r="E88" s="55"/>
      <c r="F88" s="56">
        <v>34357.700000000004</v>
      </c>
      <c r="H88" s="406">
        <f>SUM(F82:F87)</f>
        <v>34357.700000000004</v>
      </c>
    </row>
    <row r="89" spans="1:8" ht="32.25" customHeight="1" thickTop="1">
      <c r="A89" s="39"/>
      <c r="B89" s="141" t="s">
        <v>210</v>
      </c>
      <c r="C89" s="142"/>
      <c r="D89" s="34"/>
      <c r="E89" s="35"/>
      <c r="F89" s="36"/>
    </row>
    <row r="90" spans="1:8" s="160" customFormat="1" ht="32.25" customHeight="1">
      <c r="A90" s="106">
        <v>1</v>
      </c>
      <c r="B90" s="142" t="s">
        <v>52</v>
      </c>
      <c r="C90" s="174" t="s">
        <v>211</v>
      </c>
      <c r="D90" s="343" t="s">
        <v>732</v>
      </c>
      <c r="E90" s="277" t="s">
        <v>733</v>
      </c>
      <c r="F90" s="278">
        <v>518</v>
      </c>
    </row>
    <row r="91" spans="1:8" s="160" customFormat="1" ht="32.25" customHeight="1">
      <c r="A91" s="106">
        <v>2</v>
      </c>
      <c r="B91" s="142" t="s">
        <v>60</v>
      </c>
      <c r="C91" s="174" t="s">
        <v>215</v>
      </c>
      <c r="D91" s="343" t="s">
        <v>734</v>
      </c>
      <c r="E91" s="277" t="s">
        <v>783</v>
      </c>
      <c r="F91" s="278">
        <v>259</v>
      </c>
    </row>
    <row r="92" spans="1:8" s="160" customFormat="1" ht="32.25" customHeight="1">
      <c r="A92" s="106">
        <v>3</v>
      </c>
      <c r="B92" s="142" t="s">
        <v>27</v>
      </c>
      <c r="C92" s="174" t="s">
        <v>217</v>
      </c>
      <c r="D92" s="343" t="s">
        <v>734</v>
      </c>
      <c r="E92" s="277" t="s">
        <v>784</v>
      </c>
      <c r="F92" s="278">
        <v>259</v>
      </c>
    </row>
    <row r="93" spans="1:8" s="160" customFormat="1" ht="32.25" customHeight="1">
      <c r="A93" s="106">
        <v>4</v>
      </c>
      <c r="B93" s="168" t="s">
        <v>42</v>
      </c>
      <c r="C93" s="174" t="s">
        <v>219</v>
      </c>
      <c r="D93" s="343" t="s">
        <v>734</v>
      </c>
      <c r="E93" s="277" t="s">
        <v>785</v>
      </c>
      <c r="F93" s="278">
        <v>259</v>
      </c>
    </row>
    <row r="94" spans="1:8" s="160" customFormat="1" ht="32.25" customHeight="1">
      <c r="A94" s="106">
        <v>5</v>
      </c>
      <c r="B94" s="142" t="s">
        <v>69</v>
      </c>
      <c r="C94" s="174" t="s">
        <v>221</v>
      </c>
      <c r="D94" s="343" t="s">
        <v>738</v>
      </c>
      <c r="E94" s="277" t="s">
        <v>786</v>
      </c>
      <c r="F94" s="278">
        <v>259</v>
      </c>
    </row>
    <row r="95" spans="1:8" s="160" customFormat="1" ht="32.25" customHeight="1">
      <c r="A95" s="106">
        <v>6</v>
      </c>
      <c r="B95" s="142" t="s">
        <v>77</v>
      </c>
      <c r="C95" s="174" t="s">
        <v>224</v>
      </c>
      <c r="D95" s="343" t="s">
        <v>713</v>
      </c>
      <c r="E95" s="277" t="s">
        <v>787</v>
      </c>
      <c r="F95" s="278">
        <v>259</v>
      </c>
    </row>
    <row r="96" spans="1:8" s="160" customFormat="1" ht="32.25" customHeight="1">
      <c r="A96" s="106">
        <v>7</v>
      </c>
      <c r="B96" s="142" t="s">
        <v>77</v>
      </c>
      <c r="C96" s="174" t="s">
        <v>226</v>
      </c>
      <c r="D96" s="343" t="s">
        <v>713</v>
      </c>
      <c r="E96" s="277" t="s">
        <v>787</v>
      </c>
      <c r="F96" s="278">
        <v>259</v>
      </c>
    </row>
    <row r="97" spans="1:9" s="160" customFormat="1" ht="32.25" customHeight="1">
      <c r="A97" s="106">
        <v>8</v>
      </c>
      <c r="B97" s="142" t="s">
        <v>83</v>
      </c>
      <c r="C97" s="174" t="s">
        <v>228</v>
      </c>
      <c r="D97" s="343" t="s">
        <v>706</v>
      </c>
      <c r="E97" s="277" t="s">
        <v>788</v>
      </c>
      <c r="F97" s="278">
        <v>259</v>
      </c>
    </row>
    <row r="98" spans="1:9" s="160" customFormat="1" ht="32.25" customHeight="1">
      <c r="A98" s="106">
        <v>9</v>
      </c>
      <c r="B98" s="142" t="s">
        <v>87</v>
      </c>
      <c r="C98" s="174" t="s">
        <v>230</v>
      </c>
      <c r="D98" s="343" t="s">
        <v>738</v>
      </c>
      <c r="E98" s="277" t="s">
        <v>789</v>
      </c>
      <c r="F98" s="278">
        <v>259</v>
      </c>
    </row>
    <row r="99" spans="1:9" s="160" customFormat="1" ht="32.25" customHeight="1">
      <c r="A99" s="106">
        <v>10</v>
      </c>
      <c r="B99" s="142" t="s">
        <v>99</v>
      </c>
      <c r="C99" s="174" t="s">
        <v>238</v>
      </c>
      <c r="D99" s="343" t="s">
        <v>734</v>
      </c>
      <c r="E99" s="277" t="s">
        <v>790</v>
      </c>
      <c r="F99" s="278">
        <v>6750</v>
      </c>
    </row>
    <row r="100" spans="1:9" ht="32.25" customHeight="1">
      <c r="A100" s="106">
        <v>11</v>
      </c>
      <c r="B100" s="142" t="s">
        <v>99</v>
      </c>
      <c r="C100" s="522" t="s">
        <v>791</v>
      </c>
      <c r="D100" s="358" t="s">
        <v>761</v>
      </c>
      <c r="E100" s="359" t="s">
        <v>792</v>
      </c>
      <c r="F100" s="371">
        <v>50</v>
      </c>
    </row>
    <row r="101" spans="1:9" ht="32.25" customHeight="1">
      <c r="A101" s="106">
        <v>12</v>
      </c>
      <c r="B101" s="142" t="s">
        <v>99</v>
      </c>
      <c r="C101" s="522" t="s">
        <v>793</v>
      </c>
      <c r="D101" s="372" t="s">
        <v>761</v>
      </c>
      <c r="E101" s="359" t="s">
        <v>794</v>
      </c>
      <c r="F101" s="371">
        <v>50</v>
      </c>
    </row>
    <row r="102" spans="1:9" ht="32.25" customHeight="1">
      <c r="A102" s="106">
        <v>13</v>
      </c>
      <c r="B102" s="142" t="s">
        <v>145</v>
      </c>
      <c r="C102" s="193" t="s">
        <v>258</v>
      </c>
      <c r="D102" s="372" t="s">
        <v>750</v>
      </c>
      <c r="E102" s="359" t="s">
        <v>796</v>
      </c>
      <c r="F102" s="371">
        <v>405</v>
      </c>
    </row>
    <row r="103" spans="1:9" ht="32.25" customHeight="1">
      <c r="A103" s="106">
        <v>14</v>
      </c>
      <c r="B103" s="142" t="s">
        <v>145</v>
      </c>
      <c r="C103" s="385" t="s">
        <v>797</v>
      </c>
      <c r="D103" s="372" t="s">
        <v>750</v>
      </c>
      <c r="E103" s="359" t="s">
        <v>798</v>
      </c>
      <c r="F103" s="371">
        <v>55</v>
      </c>
    </row>
    <row r="104" spans="1:9" ht="32.25" customHeight="1">
      <c r="A104" s="106">
        <v>15</v>
      </c>
      <c r="B104" s="142" t="s">
        <v>145</v>
      </c>
      <c r="C104" s="385" t="s">
        <v>799</v>
      </c>
      <c r="D104" s="372" t="s">
        <v>750</v>
      </c>
      <c r="E104" s="359" t="s">
        <v>800</v>
      </c>
      <c r="F104" s="371">
        <v>55</v>
      </c>
    </row>
    <row r="105" spans="1:9" ht="32.25" customHeight="1" thickBot="1">
      <c r="A105" s="39"/>
      <c r="B105" s="50" t="s">
        <v>19</v>
      </c>
      <c r="C105" s="50"/>
      <c r="D105" s="54"/>
      <c r="E105" s="55"/>
      <c r="F105" s="56">
        <v>9955</v>
      </c>
      <c r="H105" s="499">
        <f>SUM(F90:F104)</f>
        <v>9955</v>
      </c>
    </row>
    <row r="106" spans="1:9" ht="32.25" customHeight="1" thickTop="1" thickBot="1">
      <c r="A106" s="396"/>
      <c r="B106" s="397" t="s">
        <v>309</v>
      </c>
      <c r="C106" s="398"/>
      <c r="D106" s="399">
        <v>0</v>
      </c>
      <c r="E106" s="399">
        <v>0</v>
      </c>
      <c r="F106" s="399">
        <v>181035.73</v>
      </c>
      <c r="I106" s="500">
        <f>SUM(H11:H105)</f>
        <v>181035.73</v>
      </c>
    </row>
    <row r="107" spans="1:9" ht="17.399999999999999" thickTop="1">
      <c r="D107" s="404"/>
      <c r="E107" s="404"/>
      <c r="F107" s="2"/>
    </row>
    <row r="108" spans="1:9">
      <c r="D108" s="404"/>
      <c r="E108" s="404"/>
      <c r="F108" s="2"/>
    </row>
    <row r="109" spans="1:9">
      <c r="D109" s="404"/>
      <c r="E109" s="404"/>
      <c r="F109" s="2"/>
    </row>
    <row r="110" spans="1:9">
      <c r="D110" s="404"/>
      <c r="E110" s="404"/>
      <c r="F110" s="2"/>
    </row>
    <row r="111" spans="1:9">
      <c r="D111" s="404"/>
      <c r="E111" s="404"/>
      <c r="F111" s="2"/>
    </row>
    <row r="112" spans="1:9" s="406" customFormat="1" ht="32.25" customHeight="1">
      <c r="A112" s="2"/>
      <c r="B112" s="643"/>
      <c r="C112" s="642"/>
      <c r="D112" s="410"/>
      <c r="E112" s="411"/>
      <c r="F112" s="417"/>
    </row>
    <row r="113" spans="1:6" s="406" customFormat="1" ht="32.25" customHeight="1">
      <c r="A113" s="2"/>
      <c r="B113" s="413"/>
      <c r="C113" s="415"/>
      <c r="D113" s="2"/>
      <c r="E113" s="411"/>
      <c r="F113" s="416"/>
    </row>
    <row r="114" spans="1:6" s="406" customFormat="1" ht="32.25" customHeight="1">
      <c r="A114" s="2"/>
      <c r="B114" s="413"/>
      <c r="C114" s="409"/>
      <c r="D114" s="410"/>
      <c r="E114" s="641"/>
      <c r="F114" s="642"/>
    </row>
  </sheetData>
  <mergeCells count="8">
    <mergeCell ref="E114:F114"/>
    <mergeCell ref="B112:C112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4EEA-51E5-4160-B9AE-D21F868A3DF1}">
  <sheetPr>
    <tabColor rgb="FFFFC000"/>
  </sheetPr>
  <dimension ref="A1:I45"/>
  <sheetViews>
    <sheetView zoomScale="60" zoomScaleNormal="60" workbookViewId="0">
      <pane ySplit="6" topLeftCell="A10" activePane="bottomLeft" state="frozen"/>
      <selection pane="bottomLeft" activeCell="E26" sqref="E26:G26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31.44140625" style="439" customWidth="1"/>
    <col min="5" max="5" width="20.5546875" style="404" customWidth="1"/>
    <col min="6" max="6" width="8.109375" style="405" customWidth="1"/>
    <col min="7" max="7" width="20" style="2" customWidth="1"/>
    <col min="8" max="16384" width="12.5546875" style="2"/>
  </cols>
  <sheetData>
    <row r="1" spans="1:9" ht="22.5" customHeight="1">
      <c r="A1" s="643" t="s">
        <v>0</v>
      </c>
      <c r="B1" s="642"/>
      <c r="C1" s="642"/>
      <c r="D1" s="642"/>
      <c r="E1" s="642"/>
      <c r="F1" s="642"/>
      <c r="G1" s="642"/>
    </row>
    <row r="2" spans="1:9" ht="27" customHeight="1">
      <c r="A2" s="643" t="s">
        <v>1</v>
      </c>
      <c r="B2" s="642"/>
      <c r="C2" s="642"/>
      <c r="D2" s="642"/>
      <c r="E2" s="642"/>
      <c r="F2" s="642"/>
      <c r="G2" s="642"/>
    </row>
    <row r="3" spans="1:9" ht="22.5" customHeight="1">
      <c r="A3" s="644" t="s">
        <v>694</v>
      </c>
      <c r="B3" s="645"/>
      <c r="C3" s="645"/>
      <c r="D3" s="645"/>
      <c r="E3" s="645"/>
      <c r="F3" s="645"/>
      <c r="G3" s="645"/>
    </row>
    <row r="4" spans="1:9" ht="34.5" customHeight="1">
      <c r="A4" s="3" t="s">
        <v>3</v>
      </c>
      <c r="B4" s="646" t="s">
        <v>4</v>
      </c>
      <c r="C4" s="646" t="s">
        <v>5</v>
      </c>
      <c r="D4" s="426"/>
      <c r="E4" s="658" t="s">
        <v>9</v>
      </c>
      <c r="F4" s="656"/>
      <c r="G4" s="657"/>
    </row>
    <row r="5" spans="1:9" ht="24.75" customHeight="1">
      <c r="A5" s="5"/>
      <c r="B5" s="647"/>
      <c r="C5" s="647"/>
      <c r="D5" s="427" t="s">
        <v>392</v>
      </c>
      <c r="E5" s="3" t="s">
        <v>10</v>
      </c>
      <c r="F5" s="12" t="s">
        <v>11</v>
      </c>
      <c r="G5" s="419"/>
    </row>
    <row r="6" spans="1:9" ht="27.75" customHeight="1">
      <c r="A6" s="14"/>
      <c r="B6" s="648"/>
      <c r="C6" s="648"/>
      <c r="D6" s="428"/>
      <c r="E6" s="14"/>
      <c r="F6" s="24"/>
      <c r="G6" s="20" t="s">
        <v>19</v>
      </c>
    </row>
    <row r="7" spans="1:9" ht="32.25" customHeight="1">
      <c r="A7" s="39"/>
      <c r="B7" s="141" t="s">
        <v>50</v>
      </c>
      <c r="C7" s="142"/>
      <c r="D7" s="429"/>
      <c r="E7" s="114"/>
      <c r="F7" s="115"/>
      <c r="G7" s="145"/>
    </row>
    <row r="8" spans="1:9" s="160" customFormat="1" ht="32.25" customHeight="1">
      <c r="A8" s="106">
        <v>1</v>
      </c>
      <c r="B8" s="142" t="s">
        <v>52</v>
      </c>
      <c r="C8" s="150" t="s">
        <v>53</v>
      </c>
      <c r="D8" s="430">
        <v>2070</v>
      </c>
      <c r="E8" s="157"/>
      <c r="F8" s="158"/>
      <c r="G8" s="159"/>
    </row>
    <row r="9" spans="1:9" ht="32.25" customHeight="1" thickBot="1">
      <c r="A9" s="39"/>
      <c r="B9" s="50" t="s">
        <v>19</v>
      </c>
      <c r="C9" s="50"/>
      <c r="D9" s="432"/>
      <c r="E9" s="57"/>
      <c r="F9" s="53"/>
      <c r="G9" s="51">
        <v>0</v>
      </c>
    </row>
    <row r="10" spans="1:9" ht="32.25" customHeight="1" thickTop="1">
      <c r="A10" s="39"/>
      <c r="B10" s="141" t="s">
        <v>129</v>
      </c>
      <c r="C10" s="142"/>
      <c r="D10" s="429"/>
      <c r="E10" s="114"/>
      <c r="F10" s="115"/>
      <c r="G10" s="38"/>
    </row>
    <row r="11" spans="1:9" ht="30" customHeight="1">
      <c r="A11" s="106">
        <v>1</v>
      </c>
      <c r="B11" s="142" t="s">
        <v>130</v>
      </c>
      <c r="C11" s="193" t="s">
        <v>131</v>
      </c>
      <c r="D11" s="433">
        <v>1006.25</v>
      </c>
      <c r="E11" s="202"/>
      <c r="F11" s="203"/>
      <c r="G11" s="207"/>
    </row>
    <row r="12" spans="1:9" ht="32.25" customHeight="1">
      <c r="A12" s="106">
        <v>2</v>
      </c>
      <c r="B12" s="142" t="s">
        <v>141</v>
      </c>
      <c r="C12" s="193" t="s">
        <v>142</v>
      </c>
      <c r="D12" s="433">
        <v>6559.55</v>
      </c>
      <c r="E12" s="214"/>
      <c r="F12" s="212"/>
      <c r="G12" s="207"/>
    </row>
    <row r="13" spans="1:9" ht="32.25" customHeight="1">
      <c r="A13" s="106">
        <v>3</v>
      </c>
      <c r="B13" s="142" t="s">
        <v>145</v>
      </c>
      <c r="C13" s="193" t="s">
        <v>146</v>
      </c>
      <c r="D13" s="433">
        <v>2683.32</v>
      </c>
      <c r="E13" s="220"/>
      <c r="F13" s="115"/>
      <c r="G13" s="207"/>
    </row>
    <row r="14" spans="1:9" s="230" customFormat="1" ht="32.25" customHeight="1">
      <c r="A14" s="106">
        <v>4</v>
      </c>
      <c r="B14" s="222" t="s">
        <v>149</v>
      </c>
      <c r="C14" s="222" t="s">
        <v>150</v>
      </c>
      <c r="D14" s="469">
        <v>2424.6</v>
      </c>
      <c r="E14" s="227"/>
      <c r="F14" s="228"/>
      <c r="G14" s="207"/>
    </row>
    <row r="15" spans="1:9" s="237" customFormat="1" ht="32.25" customHeight="1">
      <c r="A15" s="106">
        <v>5</v>
      </c>
      <c r="B15" s="222" t="s">
        <v>152</v>
      </c>
      <c r="C15" s="193" t="s">
        <v>153</v>
      </c>
      <c r="D15" s="433">
        <v>1341.6</v>
      </c>
      <c r="E15" s="227"/>
      <c r="F15" s="228"/>
      <c r="G15" s="207"/>
      <c r="H15" s="2"/>
      <c r="I15" s="2"/>
    </row>
    <row r="16" spans="1:9" s="259" customFormat="1" ht="32.25" customHeight="1">
      <c r="A16" s="241">
        <v>6</v>
      </c>
      <c r="B16" s="242" t="s">
        <v>52</v>
      </c>
      <c r="C16" s="243" t="s">
        <v>155</v>
      </c>
      <c r="D16" s="470">
        <v>758.3</v>
      </c>
      <c r="E16" s="254"/>
      <c r="F16" s="255"/>
      <c r="G16" s="207"/>
    </row>
    <row r="17" spans="1:7" ht="41.25" customHeight="1">
      <c r="A17" s="106">
        <v>7</v>
      </c>
      <c r="B17" s="142" t="s">
        <v>158</v>
      </c>
      <c r="C17" s="142" t="s">
        <v>159</v>
      </c>
      <c r="D17" s="429">
        <v>574.97</v>
      </c>
      <c r="E17" s="214"/>
      <c r="F17" s="212"/>
      <c r="G17" s="207"/>
    </row>
    <row r="18" spans="1:7" ht="32.25" customHeight="1" thickBot="1">
      <c r="A18" s="39"/>
      <c r="B18" s="50" t="s">
        <v>19</v>
      </c>
      <c r="C18" s="50"/>
      <c r="D18" s="432"/>
      <c r="E18" s="51"/>
      <c r="F18" s="51">
        <v>0</v>
      </c>
      <c r="G18" s="51">
        <v>0</v>
      </c>
    </row>
    <row r="19" spans="1:7" ht="32.25" hidden="1" customHeight="1" thickBot="1">
      <c r="A19" s="39"/>
      <c r="B19" s="58" t="s">
        <v>184</v>
      </c>
      <c r="C19" s="59"/>
      <c r="D19" s="434"/>
      <c r="E19" s="68"/>
      <c r="F19" s="62"/>
      <c r="G19" s="518">
        <v>0</v>
      </c>
    </row>
    <row r="20" spans="1:7" ht="32.25" hidden="1" customHeight="1" thickTop="1">
      <c r="A20" s="39">
        <v>1</v>
      </c>
      <c r="B20" s="40"/>
      <c r="C20" s="41"/>
      <c r="D20" s="471"/>
      <c r="E20" s="5"/>
      <c r="F20" s="43"/>
      <c r="G20" s="77">
        <v>0</v>
      </c>
    </row>
    <row r="21" spans="1:7" ht="32.25" hidden="1" customHeight="1" thickTop="1">
      <c r="A21" s="39"/>
      <c r="B21" s="50" t="s">
        <v>19</v>
      </c>
      <c r="C21" s="50"/>
      <c r="D21" s="432"/>
      <c r="E21" s="57"/>
      <c r="F21" s="53"/>
      <c r="G21" s="77">
        <v>0</v>
      </c>
    </row>
    <row r="22" spans="1:7" ht="32.25" hidden="1" customHeight="1" thickTop="1">
      <c r="A22" s="39"/>
      <c r="B22" s="58" t="s">
        <v>185</v>
      </c>
      <c r="C22" s="59"/>
      <c r="D22" s="434"/>
      <c r="E22" s="68"/>
      <c r="F22" s="62"/>
      <c r="G22" s="77">
        <v>0</v>
      </c>
    </row>
    <row r="23" spans="1:7" ht="32.25" hidden="1" customHeight="1" thickTop="1">
      <c r="A23" s="39">
        <v>1</v>
      </c>
      <c r="B23" s="40"/>
      <c r="C23" s="41"/>
      <c r="D23" s="471"/>
      <c r="E23" s="5"/>
      <c r="F23" s="43"/>
      <c r="G23" s="77">
        <v>0</v>
      </c>
    </row>
    <row r="24" spans="1:7" ht="32.25" hidden="1" customHeight="1" thickTop="1">
      <c r="A24" s="39"/>
      <c r="B24" s="50" t="s">
        <v>19</v>
      </c>
      <c r="C24" s="50"/>
      <c r="D24" s="432"/>
      <c r="E24" s="57"/>
      <c r="F24" s="53"/>
      <c r="G24" s="77">
        <v>0</v>
      </c>
    </row>
    <row r="25" spans="1:7" ht="32.25" customHeight="1" thickTop="1">
      <c r="A25" s="39"/>
      <c r="B25" s="58" t="s">
        <v>186</v>
      </c>
      <c r="C25" s="59"/>
      <c r="D25" s="434"/>
      <c r="E25" s="68"/>
      <c r="F25" s="62"/>
      <c r="G25" s="77">
        <v>0</v>
      </c>
    </row>
    <row r="26" spans="1:7" ht="32.25" customHeight="1">
      <c r="A26" s="106">
        <v>1</v>
      </c>
      <c r="B26" s="300" t="s">
        <v>195</v>
      </c>
      <c r="C26" s="300" t="s">
        <v>193</v>
      </c>
      <c r="D26" s="435"/>
      <c r="E26" s="302" t="s">
        <v>779</v>
      </c>
      <c r="F26" s="303">
        <v>1</v>
      </c>
      <c r="G26" s="77">
        <v>5617.5000000000009</v>
      </c>
    </row>
    <row r="27" spans="1:7" ht="32.25" customHeight="1" thickBot="1">
      <c r="A27" s="39"/>
      <c r="B27" s="50" t="s">
        <v>19</v>
      </c>
      <c r="C27" s="50"/>
      <c r="D27" s="432"/>
      <c r="E27" s="57"/>
      <c r="F27" s="53"/>
      <c r="G27" s="51">
        <v>5617.5000000000009</v>
      </c>
    </row>
    <row r="28" spans="1:7" ht="32.25" customHeight="1" thickTop="1">
      <c r="A28" s="39"/>
      <c r="B28" s="141" t="s">
        <v>210</v>
      </c>
      <c r="C28" s="142"/>
      <c r="D28" s="429"/>
      <c r="E28" s="114"/>
      <c r="F28" s="115"/>
      <c r="G28" s="145"/>
    </row>
    <row r="29" spans="1:7" s="160" customFormat="1" ht="32.25" customHeight="1">
      <c r="A29" s="106">
        <v>1</v>
      </c>
      <c r="B29" s="142" t="s">
        <v>52</v>
      </c>
      <c r="C29" s="174" t="s">
        <v>211</v>
      </c>
      <c r="D29" s="431">
        <v>259</v>
      </c>
      <c r="E29" s="347"/>
      <c r="F29" s="348"/>
      <c r="G29" s="159"/>
    </row>
    <row r="30" spans="1:7" s="160" customFormat="1" ht="32.25" customHeight="1">
      <c r="A30" s="106">
        <v>2</v>
      </c>
      <c r="B30" s="142" t="s">
        <v>141</v>
      </c>
      <c r="C30" s="193" t="s">
        <v>240</v>
      </c>
      <c r="D30" s="433">
        <v>801.5</v>
      </c>
      <c r="E30" s="374"/>
      <c r="F30" s="362"/>
      <c r="G30" s="159"/>
    </row>
    <row r="31" spans="1:7" ht="32.25" customHeight="1">
      <c r="A31" s="106">
        <v>3</v>
      </c>
      <c r="B31" s="222" t="s">
        <v>52</v>
      </c>
      <c r="C31" s="193" t="s">
        <v>243</v>
      </c>
      <c r="D31" s="433">
        <v>109.69</v>
      </c>
      <c r="E31" s="368"/>
      <c r="F31" s="362"/>
      <c r="G31" s="159"/>
    </row>
    <row r="32" spans="1:7" ht="32.25" customHeight="1">
      <c r="A32" s="106">
        <v>4</v>
      </c>
      <c r="B32" s="222" t="s">
        <v>152</v>
      </c>
      <c r="C32" s="193" t="s">
        <v>246</v>
      </c>
      <c r="D32" s="433">
        <v>140.80000000000001</v>
      </c>
      <c r="E32" s="374"/>
      <c r="F32" s="362"/>
      <c r="G32" s="159"/>
    </row>
    <row r="33" spans="1:7" ht="32.25" customHeight="1">
      <c r="A33" s="106">
        <v>5</v>
      </c>
      <c r="B33" s="222" t="s">
        <v>130</v>
      </c>
      <c r="C33" s="193" t="s">
        <v>250</v>
      </c>
      <c r="D33" s="436">
        <v>129.19</v>
      </c>
      <c r="E33" s="2"/>
      <c r="F33" s="362"/>
      <c r="G33" s="159">
        <v>0</v>
      </c>
    </row>
    <row r="34" spans="1:7" ht="32.25" customHeight="1">
      <c r="A34" s="106">
        <v>6</v>
      </c>
      <c r="B34" s="142" t="s">
        <v>145</v>
      </c>
      <c r="C34" s="193" t="s">
        <v>258</v>
      </c>
      <c r="D34" s="433">
        <v>337.5</v>
      </c>
      <c r="E34" s="361"/>
      <c r="F34" s="362"/>
      <c r="G34" s="159"/>
    </row>
    <row r="35" spans="1:7" ht="32.25" customHeight="1">
      <c r="A35" s="106">
        <v>7</v>
      </c>
      <c r="B35" s="142" t="s">
        <v>158</v>
      </c>
      <c r="C35" s="390" t="s">
        <v>261</v>
      </c>
      <c r="D35" s="437">
        <v>72.47</v>
      </c>
      <c r="E35" s="361"/>
      <c r="F35" s="362"/>
      <c r="G35" s="159"/>
    </row>
    <row r="36" spans="1:7" ht="32.25" customHeight="1" thickBot="1">
      <c r="A36" s="39"/>
      <c r="B36" s="50" t="s">
        <v>19</v>
      </c>
      <c r="C36" s="50"/>
      <c r="D36" s="432"/>
      <c r="E36" s="57"/>
      <c r="F36" s="53"/>
      <c r="G36" s="51">
        <v>0</v>
      </c>
    </row>
    <row r="37" spans="1:7" ht="32.25" customHeight="1" thickTop="1" thickBot="1">
      <c r="A37" s="396"/>
      <c r="B37" s="397" t="s">
        <v>309</v>
      </c>
      <c r="C37" s="398"/>
      <c r="D37" s="438"/>
      <c r="E37" s="399">
        <v>0</v>
      </c>
      <c r="F37" s="399">
        <v>0</v>
      </c>
      <c r="G37" s="399">
        <v>5617.5000000000009</v>
      </c>
    </row>
    <row r="38" spans="1:7" ht="17.399999999999999" thickTop="1"/>
    <row r="43" spans="1:7" s="406" customFormat="1" ht="32.25" customHeight="1">
      <c r="A43" s="2"/>
      <c r="B43" s="643"/>
      <c r="C43" s="642"/>
      <c r="D43" s="439"/>
      <c r="E43" s="642"/>
      <c r="F43" s="642"/>
      <c r="G43" s="2"/>
    </row>
    <row r="44" spans="1:7" s="406" customFormat="1" ht="32.25" customHeight="1">
      <c r="A44" s="2"/>
      <c r="B44" s="413"/>
      <c r="C44" s="415"/>
      <c r="D44" s="440"/>
      <c r="E44" s="642"/>
      <c r="F44" s="642"/>
      <c r="G44" s="2"/>
    </row>
    <row r="45" spans="1:7" s="406" customFormat="1" ht="32.25" customHeight="1">
      <c r="A45" s="2"/>
      <c r="B45" s="413"/>
      <c r="C45" s="409"/>
      <c r="D45" s="441"/>
      <c r="E45" s="642"/>
      <c r="F45" s="642"/>
      <c r="G45" s="2"/>
    </row>
  </sheetData>
  <mergeCells count="10">
    <mergeCell ref="E45:F45"/>
    <mergeCell ref="B43:C43"/>
    <mergeCell ref="E43:F43"/>
    <mergeCell ref="E44:F44"/>
    <mergeCell ref="A1:G1"/>
    <mergeCell ref="A2:G2"/>
    <mergeCell ref="A3:G3"/>
    <mergeCell ref="B4:B6"/>
    <mergeCell ref="C4:C6"/>
    <mergeCell ref="E4:G4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553E-315D-49FD-8389-2B93FD11CFBF}">
  <sheetPr>
    <tabColor rgb="FFFFC000"/>
  </sheetPr>
  <dimension ref="A1:H17"/>
  <sheetViews>
    <sheetView zoomScale="70" zoomScaleNormal="70" workbookViewId="0">
      <pane ySplit="6" topLeftCell="A7" activePane="bottomLeft" state="frozen"/>
      <selection pane="bottomLeft" activeCell="J35" sqref="J35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20.5546875" style="404" customWidth="1"/>
    <col min="5" max="5" width="8.109375" style="405" customWidth="1"/>
    <col min="6" max="6" width="20" style="2" customWidth="1"/>
    <col min="7" max="16384" width="12.5546875" style="2"/>
  </cols>
  <sheetData>
    <row r="1" spans="1:8" ht="22.5" customHeight="1">
      <c r="A1" s="643" t="s">
        <v>0</v>
      </c>
      <c r="B1" s="642"/>
      <c r="C1" s="642"/>
      <c r="D1" s="642"/>
      <c r="E1" s="642"/>
      <c r="F1" s="642"/>
    </row>
    <row r="2" spans="1:8" ht="27" customHeight="1">
      <c r="A2" s="643" t="s">
        <v>1</v>
      </c>
      <c r="B2" s="642"/>
      <c r="C2" s="642"/>
      <c r="D2" s="642"/>
      <c r="E2" s="642"/>
      <c r="F2" s="642"/>
    </row>
    <row r="3" spans="1:8" ht="22.5" customHeight="1">
      <c r="A3" s="644" t="s">
        <v>802</v>
      </c>
      <c r="B3" s="645"/>
      <c r="C3" s="645"/>
      <c r="D3" s="645"/>
      <c r="E3" s="645"/>
      <c r="F3" s="645"/>
    </row>
    <row r="4" spans="1:8" ht="34.5" customHeight="1">
      <c r="A4" s="3" t="s">
        <v>3</v>
      </c>
      <c r="B4" s="646" t="s">
        <v>4</v>
      </c>
      <c r="C4" s="646" t="s">
        <v>5</v>
      </c>
      <c r="D4" s="658" t="s">
        <v>9</v>
      </c>
      <c r="E4" s="656"/>
      <c r="F4" s="657"/>
    </row>
    <row r="5" spans="1:8" ht="24.75" customHeight="1">
      <c r="A5" s="5"/>
      <c r="B5" s="647"/>
      <c r="C5" s="647"/>
      <c r="D5" s="3" t="s">
        <v>10</v>
      </c>
      <c r="E5" s="12" t="s">
        <v>11</v>
      </c>
      <c r="F5" s="419"/>
    </row>
    <row r="6" spans="1:8" ht="27.75" customHeight="1">
      <c r="A6" s="14"/>
      <c r="B6" s="648"/>
      <c r="C6" s="648"/>
      <c r="D6" s="14"/>
      <c r="E6" s="24"/>
      <c r="F6" s="20" t="s">
        <v>19</v>
      </c>
    </row>
    <row r="7" spans="1:8" ht="27.75" customHeight="1">
      <c r="A7" s="5"/>
      <c r="B7" s="418" t="s">
        <v>608</v>
      </c>
      <c r="C7" s="418"/>
      <c r="D7" s="5"/>
      <c r="E7" s="43"/>
      <c r="F7" s="465"/>
    </row>
    <row r="8" spans="1:8" ht="32.25" customHeight="1">
      <c r="A8" s="106">
        <v>1</v>
      </c>
      <c r="B8" s="142" t="s">
        <v>195</v>
      </c>
      <c r="C8" s="193" t="s">
        <v>193</v>
      </c>
      <c r="D8" s="220" t="s">
        <v>779</v>
      </c>
      <c r="E8" s="115">
        <v>1</v>
      </c>
      <c r="F8" s="207">
        <v>5617.5000000000009</v>
      </c>
    </row>
    <row r="9" spans="1:8" ht="32.25" customHeight="1" thickBot="1">
      <c r="A9" s="396"/>
      <c r="B9" s="397" t="s">
        <v>309</v>
      </c>
      <c r="C9" s="398"/>
      <c r="D9" s="399">
        <v>0</v>
      </c>
      <c r="E9" s="399">
        <v>0</v>
      </c>
      <c r="F9" s="399">
        <f>SUM(F8)</f>
        <v>5617.5000000000009</v>
      </c>
      <c r="H9" s="472">
        <v>3590.2000000000003</v>
      </c>
    </row>
    <row r="10" spans="1:8" ht="17.399999999999999" thickTop="1"/>
    <row r="15" spans="1:8" s="406" customFormat="1" ht="32.25" customHeight="1">
      <c r="A15" s="2"/>
      <c r="B15" s="643"/>
      <c r="C15" s="642"/>
      <c r="D15" s="642"/>
      <c r="E15" s="642"/>
      <c r="F15" s="2"/>
    </row>
    <row r="16" spans="1:8" s="406" customFormat="1" ht="32.25" customHeight="1">
      <c r="A16" s="2"/>
      <c r="B16" s="413"/>
      <c r="C16" s="415"/>
      <c r="D16" s="642"/>
      <c r="E16" s="642"/>
      <c r="F16" s="2"/>
    </row>
    <row r="17" spans="1:6" s="406" customFormat="1" ht="32.25" customHeight="1">
      <c r="A17" s="2"/>
      <c r="B17" s="413"/>
      <c r="C17" s="409"/>
      <c r="D17" s="642"/>
      <c r="E17" s="642"/>
      <c r="F17" s="2"/>
    </row>
  </sheetData>
  <mergeCells count="10">
    <mergeCell ref="B15:C15"/>
    <mergeCell ref="D15:E15"/>
    <mergeCell ref="D16:E16"/>
    <mergeCell ref="D17:E17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D8D4-A403-4865-98BB-F0D7C94AEA78}">
  <sheetPr>
    <tabColor rgb="FF00B0F0"/>
  </sheetPr>
  <dimension ref="A1:Z279"/>
  <sheetViews>
    <sheetView zoomScale="70" zoomScaleNormal="70" workbookViewId="0">
      <pane ySplit="6" topLeftCell="A15" activePane="bottomLeft" state="frozen"/>
      <selection pane="bottomLeft" activeCell="B34" sqref="B34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17.88671875" style="2" customWidth="1"/>
    <col min="5" max="5" width="16.6640625" style="404" customWidth="1"/>
    <col min="6" max="6" width="10" style="405" customWidth="1"/>
    <col min="7" max="7" width="5.5546875" style="404" customWidth="1"/>
    <col min="8" max="8" width="16.6640625" style="2" customWidth="1"/>
    <col min="9" max="9" width="13.109375" style="2" customWidth="1"/>
    <col min="10" max="10" width="17.88671875" style="2" customWidth="1"/>
    <col min="11" max="11" width="17.6640625" style="414" customWidth="1"/>
    <col min="12" max="12" width="25" style="414" customWidth="1"/>
    <col min="13" max="13" width="16.109375" style="192" customWidth="1"/>
    <col min="14" max="14" width="20.5546875" style="404" customWidth="1"/>
    <col min="15" max="15" width="8.109375" style="405" customWidth="1"/>
    <col min="16" max="16" width="12.109375" style="2" customWidth="1"/>
    <col min="17" max="17" width="17.6640625" style="406" customWidth="1"/>
    <col min="18" max="18" width="11.33203125" style="406" customWidth="1"/>
    <col min="19" max="19" width="20" style="2" customWidth="1"/>
    <col min="20" max="16384" width="12.5546875" style="2"/>
  </cols>
  <sheetData>
    <row r="1" spans="1:19" ht="22.5" customHeight="1">
      <c r="A1" s="643" t="s">
        <v>0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</row>
    <row r="2" spans="1:19" ht="27" customHeight="1">
      <c r="A2" s="643" t="s">
        <v>1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642"/>
      <c r="S2" s="642"/>
    </row>
    <row r="3" spans="1:19" ht="22.5" customHeight="1">
      <c r="A3" s="644" t="s">
        <v>609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</row>
    <row r="4" spans="1:19" ht="34.5" customHeight="1">
      <c r="A4" s="3" t="s">
        <v>3</v>
      </c>
      <c r="B4" s="646" t="s">
        <v>4</v>
      </c>
      <c r="C4" s="646" t="s">
        <v>5</v>
      </c>
      <c r="D4" s="4" t="s">
        <v>6</v>
      </c>
      <c r="E4" s="655" t="s">
        <v>7</v>
      </c>
      <c r="F4" s="656"/>
      <c r="G4" s="656"/>
      <c r="H4" s="656"/>
      <c r="I4" s="656"/>
      <c r="J4" s="657"/>
      <c r="K4" s="669" t="s">
        <v>8</v>
      </c>
      <c r="L4" s="670"/>
      <c r="M4" s="671"/>
      <c r="N4" s="658" t="s">
        <v>9</v>
      </c>
      <c r="O4" s="656"/>
      <c r="P4" s="656"/>
      <c r="Q4" s="656"/>
      <c r="R4" s="656"/>
      <c r="S4" s="657"/>
    </row>
    <row r="5" spans="1:19" ht="24.75" customHeight="1">
      <c r="A5" s="5"/>
      <c r="B5" s="647"/>
      <c r="C5" s="647"/>
      <c r="D5" s="6"/>
      <c r="E5" s="3" t="s">
        <v>10</v>
      </c>
      <c r="F5" s="7" t="s">
        <v>11</v>
      </c>
      <c r="G5" s="8" t="s">
        <v>12</v>
      </c>
      <c r="H5" s="655" t="s">
        <v>13</v>
      </c>
      <c r="I5" s="656"/>
      <c r="J5" s="657"/>
      <c r="K5" s="9" t="s">
        <v>14</v>
      </c>
      <c r="L5" s="10" t="s">
        <v>15</v>
      </c>
      <c r="M5" s="11" t="s">
        <v>16</v>
      </c>
      <c r="N5" s="3" t="s">
        <v>10</v>
      </c>
      <c r="O5" s="12" t="s">
        <v>11</v>
      </c>
      <c r="P5" s="13" t="s">
        <v>12</v>
      </c>
      <c r="Q5" s="655" t="s">
        <v>13</v>
      </c>
      <c r="R5" s="656"/>
      <c r="S5" s="657"/>
    </row>
    <row r="6" spans="1:19" ht="27.75" customHeight="1">
      <c r="A6" s="14"/>
      <c r="B6" s="648"/>
      <c r="C6" s="648"/>
      <c r="D6" s="15"/>
      <c r="E6" s="14"/>
      <c r="F6" s="16"/>
      <c r="G6" s="17" t="s">
        <v>17</v>
      </c>
      <c r="H6" s="18" t="s">
        <v>16</v>
      </c>
      <c r="I6" s="19" t="s">
        <v>18</v>
      </c>
      <c r="J6" s="20" t="s">
        <v>19</v>
      </c>
      <c r="K6" s="21"/>
      <c r="L6" s="22"/>
      <c r="M6" s="23"/>
      <c r="N6" s="14"/>
      <c r="O6" s="24"/>
      <c r="P6" s="17" t="s">
        <v>17</v>
      </c>
      <c r="Q6" s="18" t="s">
        <v>16</v>
      </c>
      <c r="R6" s="25" t="s">
        <v>18</v>
      </c>
      <c r="S6" s="20" t="s">
        <v>19</v>
      </c>
    </row>
    <row r="7" spans="1:19" ht="32.25" customHeight="1">
      <c r="A7" s="26"/>
      <c r="B7" s="27" t="s">
        <v>20</v>
      </c>
      <c r="C7" s="28"/>
      <c r="D7" s="29"/>
      <c r="E7" s="30"/>
      <c r="F7" s="31"/>
      <c r="G7" s="32"/>
      <c r="H7" s="32"/>
      <c r="I7" s="32"/>
      <c r="J7" s="33"/>
      <c r="K7" s="34"/>
      <c r="L7" s="35"/>
      <c r="M7" s="36"/>
      <c r="N7" s="30"/>
      <c r="O7" s="31"/>
      <c r="P7" s="32"/>
      <c r="Q7" s="37"/>
      <c r="R7" s="37"/>
      <c r="S7" s="38"/>
    </row>
    <row r="8" spans="1:19" ht="32.25" customHeight="1">
      <c r="A8" s="39">
        <v>1</v>
      </c>
      <c r="B8" s="40" t="s">
        <v>21</v>
      </c>
      <c r="C8" s="41"/>
      <c r="D8" s="42"/>
      <c r="E8" s="6"/>
      <c r="F8" s="43"/>
      <c r="G8" s="6"/>
      <c r="H8" s="42"/>
      <c r="I8" s="42"/>
      <c r="J8" s="42"/>
      <c r="K8" s="44"/>
      <c r="L8" s="45"/>
      <c r="M8" s="46"/>
      <c r="N8" s="5"/>
      <c r="O8" s="43"/>
      <c r="P8" s="47"/>
      <c r="Q8" s="48"/>
      <c r="R8" s="48"/>
      <c r="S8" s="49"/>
    </row>
    <row r="9" spans="1:19" ht="32.25" customHeight="1" thickBot="1">
      <c r="A9" s="39"/>
      <c r="B9" s="50" t="s">
        <v>19</v>
      </c>
      <c r="C9" s="50"/>
      <c r="D9" s="51">
        <v>0</v>
      </c>
      <c r="E9" s="52"/>
      <c r="F9" s="53"/>
      <c r="G9" s="52"/>
      <c r="H9" s="51">
        <v>0</v>
      </c>
      <c r="I9" s="51">
        <v>0</v>
      </c>
      <c r="J9" s="51">
        <v>0</v>
      </c>
      <c r="K9" s="54"/>
      <c r="L9" s="55"/>
      <c r="M9" s="56">
        <v>0</v>
      </c>
      <c r="N9" s="57"/>
      <c r="O9" s="53"/>
      <c r="P9" s="51"/>
      <c r="Q9" s="51"/>
      <c r="R9" s="51"/>
      <c r="S9" s="51"/>
    </row>
    <row r="10" spans="1:19" ht="32.25" customHeight="1" thickTop="1">
      <c r="A10" s="39"/>
      <c r="B10" s="58" t="s">
        <v>22</v>
      </c>
      <c r="C10" s="59"/>
      <c r="D10" s="60"/>
      <c r="E10" s="61"/>
      <c r="F10" s="62"/>
      <c r="G10" s="63"/>
      <c r="H10" s="64"/>
      <c r="I10" s="64"/>
      <c r="J10" s="64"/>
      <c r="K10" s="65"/>
      <c r="L10" s="66"/>
      <c r="M10" s="67"/>
      <c r="N10" s="68"/>
      <c r="O10" s="62"/>
      <c r="P10" s="69"/>
      <c r="Q10" s="63"/>
      <c r="R10" s="63"/>
      <c r="S10" s="70"/>
    </row>
    <row r="11" spans="1:19" s="78" customFormat="1" ht="32.25" customHeight="1">
      <c r="A11" s="39">
        <v>1</v>
      </c>
      <c r="B11" s="71" t="s">
        <v>23</v>
      </c>
      <c r="C11" s="71" t="s">
        <v>24</v>
      </c>
      <c r="D11" s="72">
        <v>1909.95</v>
      </c>
      <c r="E11" s="6"/>
      <c r="F11" s="43"/>
      <c r="G11" s="48"/>
      <c r="H11" s="73">
        <v>0</v>
      </c>
      <c r="I11" s="73">
        <v>0</v>
      </c>
      <c r="J11" s="73">
        <v>0</v>
      </c>
      <c r="K11" s="74" t="s">
        <v>610</v>
      </c>
      <c r="L11" s="75" t="s">
        <v>611</v>
      </c>
      <c r="M11" s="76">
        <v>1909.95</v>
      </c>
      <c r="N11" s="5"/>
      <c r="O11" s="43"/>
      <c r="P11" s="47"/>
      <c r="Q11" s="48">
        <v>0</v>
      </c>
      <c r="R11" s="48">
        <v>0</v>
      </c>
      <c r="S11" s="77">
        <v>0</v>
      </c>
    </row>
    <row r="12" spans="1:19" s="78" customFormat="1" ht="32.25" customHeight="1">
      <c r="A12" s="39">
        <v>2</v>
      </c>
      <c r="B12" s="71" t="s">
        <v>27</v>
      </c>
      <c r="C12" s="71" t="s">
        <v>24</v>
      </c>
      <c r="D12" s="72">
        <v>283.55</v>
      </c>
      <c r="E12" s="6"/>
      <c r="F12" s="43"/>
      <c r="G12" s="48"/>
      <c r="H12" s="73">
        <v>0</v>
      </c>
      <c r="I12" s="73">
        <v>0</v>
      </c>
      <c r="J12" s="73">
        <v>0</v>
      </c>
      <c r="K12" s="74" t="s">
        <v>610</v>
      </c>
      <c r="L12" s="75" t="s">
        <v>612</v>
      </c>
      <c r="M12" s="76">
        <v>283.55</v>
      </c>
      <c r="N12" s="5"/>
      <c r="O12" s="43"/>
      <c r="P12" s="47"/>
      <c r="Q12" s="48">
        <v>0</v>
      </c>
      <c r="R12" s="48">
        <v>0</v>
      </c>
      <c r="S12" s="77">
        <v>0</v>
      </c>
    </row>
    <row r="13" spans="1:19" s="78" customFormat="1" ht="32.25" customHeight="1">
      <c r="A13" s="39">
        <v>3</v>
      </c>
      <c r="B13" s="71" t="s">
        <v>30</v>
      </c>
      <c r="C13" s="71" t="s">
        <v>24</v>
      </c>
      <c r="D13" s="72">
        <v>247.17</v>
      </c>
      <c r="E13" s="6"/>
      <c r="F13" s="43"/>
      <c r="G13" s="48"/>
      <c r="H13" s="73">
        <v>0</v>
      </c>
      <c r="I13" s="73">
        <v>0</v>
      </c>
      <c r="J13" s="73">
        <v>0</v>
      </c>
      <c r="K13" s="74" t="s">
        <v>613</v>
      </c>
      <c r="L13" s="75" t="s">
        <v>614</v>
      </c>
      <c r="M13" s="76">
        <v>247.17</v>
      </c>
      <c r="N13" s="5"/>
      <c r="O13" s="43"/>
      <c r="P13" s="47"/>
      <c r="Q13" s="48">
        <v>0</v>
      </c>
      <c r="R13" s="48">
        <v>0</v>
      </c>
      <c r="S13" s="77">
        <v>0</v>
      </c>
    </row>
    <row r="14" spans="1:19" s="78" customFormat="1" ht="32.25" customHeight="1">
      <c r="A14" s="39">
        <v>4</v>
      </c>
      <c r="B14" s="79"/>
      <c r="C14" s="80"/>
      <c r="D14" s="81"/>
      <c r="E14" s="6"/>
      <c r="F14" s="43"/>
      <c r="G14" s="48"/>
      <c r="H14" s="73"/>
      <c r="I14" s="73"/>
      <c r="J14" s="73"/>
      <c r="K14" s="82"/>
      <c r="L14" s="45"/>
      <c r="M14" s="46"/>
      <c r="N14" s="5"/>
      <c r="O14" s="43"/>
      <c r="P14" s="47"/>
      <c r="Q14" s="48"/>
      <c r="R14" s="48"/>
      <c r="S14" s="49"/>
    </row>
    <row r="15" spans="1:19" s="78" customFormat="1" ht="32.25" customHeight="1">
      <c r="A15" s="39">
        <v>5</v>
      </c>
      <c r="B15" s="80"/>
      <c r="C15" s="80"/>
      <c r="D15" s="81"/>
      <c r="E15" s="6"/>
      <c r="F15" s="43"/>
      <c r="G15" s="6"/>
      <c r="H15" s="42"/>
      <c r="I15" s="42"/>
      <c r="J15" s="42"/>
      <c r="K15" s="44"/>
      <c r="L15" s="45"/>
      <c r="M15" s="46"/>
      <c r="N15" s="5"/>
      <c r="O15" s="43"/>
      <c r="P15" s="47"/>
      <c r="Q15" s="48"/>
      <c r="R15" s="48"/>
      <c r="S15" s="49"/>
    </row>
    <row r="16" spans="1:19" ht="32.25" customHeight="1" thickBot="1">
      <c r="A16" s="39"/>
      <c r="B16" s="50" t="s">
        <v>19</v>
      </c>
      <c r="C16" s="50"/>
      <c r="D16" s="51">
        <f>SUM(D11:D15)</f>
        <v>2440.67</v>
      </c>
      <c r="E16" s="52"/>
      <c r="F16" s="53"/>
      <c r="G16" s="52"/>
      <c r="H16" s="51">
        <v>0</v>
      </c>
      <c r="I16" s="51">
        <v>0</v>
      </c>
      <c r="J16" s="51">
        <v>0</v>
      </c>
      <c r="K16" s="83"/>
      <c r="L16" s="84"/>
      <c r="M16" s="56">
        <f>SUM(M10:M15)</f>
        <v>2440.67</v>
      </c>
      <c r="N16" s="57"/>
      <c r="O16" s="53"/>
      <c r="P16" s="85"/>
      <c r="Q16" s="86"/>
      <c r="R16" s="86"/>
      <c r="S16" s="87"/>
    </row>
    <row r="17" spans="1:19" ht="32.25" customHeight="1" thickTop="1">
      <c r="A17" s="39"/>
      <c r="B17" s="58" t="s">
        <v>32</v>
      </c>
      <c r="C17" s="59"/>
      <c r="D17" s="60"/>
      <c r="E17" s="61"/>
      <c r="F17" s="62"/>
      <c r="G17" s="63"/>
      <c r="H17" s="64"/>
      <c r="I17" s="64"/>
      <c r="J17" s="64"/>
      <c r="K17" s="65"/>
      <c r="L17" s="66"/>
      <c r="M17" s="67"/>
      <c r="N17" s="68"/>
      <c r="O17" s="62"/>
      <c r="P17" s="69"/>
      <c r="Q17" s="63"/>
      <c r="R17" s="63"/>
      <c r="S17" s="70"/>
    </row>
    <row r="18" spans="1:19" s="78" customFormat="1" ht="32.25" customHeight="1">
      <c r="A18" s="39">
        <v>1</v>
      </c>
      <c r="B18" s="71" t="s">
        <v>23</v>
      </c>
      <c r="C18" s="71" t="s">
        <v>33</v>
      </c>
      <c r="D18" s="88">
        <v>720</v>
      </c>
      <c r="E18" s="6"/>
      <c r="F18" s="43"/>
      <c r="G18" s="89"/>
      <c r="H18" s="42">
        <v>0</v>
      </c>
      <c r="I18" s="42">
        <v>0</v>
      </c>
      <c r="J18" s="42">
        <v>0</v>
      </c>
      <c r="K18" s="74" t="s">
        <v>610</v>
      </c>
      <c r="L18" s="90" t="s">
        <v>615</v>
      </c>
      <c r="M18" s="76">
        <v>720</v>
      </c>
      <c r="N18" s="5"/>
      <c r="O18" s="43"/>
      <c r="P18" s="47"/>
      <c r="Q18" s="91">
        <v>0</v>
      </c>
      <c r="R18" s="92">
        <v>0</v>
      </c>
      <c r="S18" s="93">
        <v>0</v>
      </c>
    </row>
    <row r="19" spans="1:19" s="78" customFormat="1" ht="32.25" customHeight="1">
      <c r="A19" s="39">
        <v>2</v>
      </c>
      <c r="B19" s="71" t="s">
        <v>27</v>
      </c>
      <c r="C19" s="71" t="s">
        <v>33</v>
      </c>
      <c r="D19" s="88">
        <v>120</v>
      </c>
      <c r="E19" s="6"/>
      <c r="F19" s="43"/>
      <c r="G19" s="89"/>
      <c r="H19" s="42"/>
      <c r="I19" s="42"/>
      <c r="J19" s="42">
        <v>0</v>
      </c>
      <c r="K19" s="74" t="s">
        <v>610</v>
      </c>
      <c r="L19" s="94" t="s">
        <v>616</v>
      </c>
      <c r="M19" s="76">
        <v>120</v>
      </c>
      <c r="N19" s="5"/>
      <c r="O19" s="43"/>
      <c r="P19" s="47"/>
      <c r="Q19" s="91">
        <v>0</v>
      </c>
      <c r="R19" s="92">
        <v>0</v>
      </c>
      <c r="S19" s="95">
        <v>0</v>
      </c>
    </row>
    <row r="20" spans="1:19" s="78" customFormat="1" ht="32.25" customHeight="1">
      <c r="A20" s="39">
        <v>3</v>
      </c>
      <c r="B20" s="71" t="s">
        <v>30</v>
      </c>
      <c r="C20" s="71" t="s">
        <v>33</v>
      </c>
      <c r="D20" s="96">
        <v>0</v>
      </c>
      <c r="E20" s="6"/>
      <c r="F20" s="43"/>
      <c r="G20" s="89"/>
      <c r="H20" s="42"/>
      <c r="I20" s="42"/>
      <c r="J20" s="42"/>
      <c r="K20" s="97"/>
      <c r="L20" s="98"/>
      <c r="M20" s="99"/>
      <c r="N20" s="5"/>
      <c r="O20" s="43"/>
      <c r="P20" s="47"/>
      <c r="Q20" s="6"/>
      <c r="R20" s="42"/>
      <c r="S20" s="100"/>
    </row>
    <row r="21" spans="1:19" ht="32.25" customHeight="1" thickBot="1">
      <c r="A21" s="39"/>
      <c r="B21" s="50" t="s">
        <v>19</v>
      </c>
      <c r="C21" s="50"/>
      <c r="D21" s="51">
        <f>SUM(D18:D20)</f>
        <v>840</v>
      </c>
      <c r="E21" s="52"/>
      <c r="F21" s="53"/>
      <c r="G21" s="52"/>
      <c r="H21" s="51">
        <v>0</v>
      </c>
      <c r="I21" s="51">
        <v>0</v>
      </c>
      <c r="J21" s="51">
        <v>0</v>
      </c>
      <c r="K21" s="101"/>
      <c r="L21" s="102"/>
      <c r="M21" s="103">
        <f>SUM(M18:M20)</f>
        <v>840</v>
      </c>
      <c r="N21" s="57"/>
      <c r="O21" s="53"/>
      <c r="P21" s="51"/>
      <c r="Q21" s="51"/>
      <c r="R21" s="51"/>
      <c r="S21" s="51"/>
    </row>
    <row r="22" spans="1:19" ht="32.25" hidden="1" customHeight="1">
      <c r="A22" s="104" t="s">
        <v>36</v>
      </c>
      <c r="B22" s="104" t="s">
        <v>37</v>
      </c>
      <c r="C22" s="105">
        <v>780</v>
      </c>
      <c r="D22" s="60"/>
      <c r="E22" s="61"/>
      <c r="F22" s="62"/>
      <c r="G22" s="63"/>
      <c r="H22" s="64"/>
      <c r="I22" s="64"/>
      <c r="J22" s="64"/>
      <c r="K22" s="65"/>
      <c r="L22" s="66"/>
      <c r="M22" s="67"/>
      <c r="N22" s="68"/>
      <c r="O22" s="62"/>
      <c r="P22" s="69"/>
      <c r="Q22" s="63"/>
      <c r="R22" s="63"/>
      <c r="S22" s="70"/>
    </row>
    <row r="23" spans="1:19" ht="32.25" hidden="1" customHeight="1">
      <c r="A23" s="104" t="s">
        <v>36</v>
      </c>
      <c r="B23" s="104" t="s">
        <v>38</v>
      </c>
      <c r="C23" s="105">
        <v>180</v>
      </c>
      <c r="D23" s="42"/>
      <c r="E23" s="6"/>
      <c r="F23" s="43"/>
      <c r="G23" s="6"/>
      <c r="H23" s="42"/>
      <c r="I23" s="42"/>
      <c r="J23" s="42"/>
      <c r="K23" s="44"/>
      <c r="L23" s="45"/>
      <c r="M23" s="46"/>
      <c r="N23" s="5"/>
      <c r="O23" s="43"/>
      <c r="P23" s="47"/>
      <c r="Q23" s="48"/>
      <c r="R23" s="48"/>
      <c r="S23" s="49"/>
    </row>
    <row r="24" spans="1:19" ht="32.25" hidden="1" customHeight="1">
      <c r="A24" s="39"/>
      <c r="B24" s="50" t="s">
        <v>19</v>
      </c>
      <c r="C24" s="50"/>
      <c r="D24" s="51">
        <v>0</v>
      </c>
      <c r="E24" s="52"/>
      <c r="F24" s="53"/>
      <c r="G24" s="52"/>
      <c r="H24" s="51">
        <v>0</v>
      </c>
      <c r="I24" s="51">
        <v>0</v>
      </c>
      <c r="J24" s="51">
        <v>0</v>
      </c>
      <c r="K24" s="54"/>
      <c r="L24" s="55"/>
      <c r="M24" s="56"/>
      <c r="N24" s="57"/>
      <c r="O24" s="53"/>
      <c r="P24" s="51"/>
      <c r="Q24" s="51"/>
      <c r="R24" s="51"/>
      <c r="S24" s="51"/>
    </row>
    <row r="25" spans="1:19" ht="32.25" hidden="1" customHeight="1">
      <c r="A25" s="39"/>
      <c r="B25" s="58" t="s">
        <v>39</v>
      </c>
      <c r="C25" s="59"/>
      <c r="D25" s="60"/>
      <c r="E25" s="61"/>
      <c r="F25" s="62"/>
      <c r="G25" s="63"/>
      <c r="H25" s="64"/>
      <c r="I25" s="64"/>
      <c r="J25" s="64"/>
      <c r="K25" s="65"/>
      <c r="L25" s="66"/>
      <c r="M25" s="67"/>
      <c r="N25" s="68"/>
      <c r="O25" s="62"/>
      <c r="P25" s="69"/>
      <c r="Q25" s="63"/>
      <c r="R25" s="63"/>
      <c r="S25" s="70"/>
    </row>
    <row r="26" spans="1:19" ht="32.25" hidden="1" customHeight="1">
      <c r="A26" s="39">
        <v>1</v>
      </c>
      <c r="B26" s="40"/>
      <c r="C26" s="41"/>
      <c r="D26" s="42"/>
      <c r="E26" s="6"/>
      <c r="F26" s="43"/>
      <c r="G26" s="6"/>
      <c r="H26" s="42"/>
      <c r="I26" s="42"/>
      <c r="J26" s="42"/>
      <c r="K26" s="44"/>
      <c r="L26" s="45"/>
      <c r="M26" s="46"/>
      <c r="N26" s="5"/>
      <c r="O26" s="43"/>
      <c r="P26" s="47"/>
      <c r="Q26" s="48"/>
      <c r="R26" s="48"/>
      <c r="S26" s="49"/>
    </row>
    <row r="27" spans="1:19" ht="32.25" hidden="1" customHeight="1">
      <c r="A27" s="39"/>
      <c r="B27" s="50" t="s">
        <v>19</v>
      </c>
      <c r="C27" s="50"/>
      <c r="D27" s="51">
        <v>0</v>
      </c>
      <c r="E27" s="52"/>
      <c r="F27" s="53"/>
      <c r="G27" s="52"/>
      <c r="H27" s="51">
        <v>0</v>
      </c>
      <c r="I27" s="51">
        <v>0</v>
      </c>
      <c r="J27" s="51">
        <v>0</v>
      </c>
      <c r="K27" s="54"/>
      <c r="L27" s="55"/>
      <c r="M27" s="56"/>
      <c r="N27" s="57"/>
      <c r="O27" s="53"/>
      <c r="P27" s="51"/>
      <c r="Q27" s="51"/>
      <c r="R27" s="51"/>
      <c r="S27" s="51"/>
    </row>
    <row r="28" spans="1:19" ht="32.25" hidden="1" customHeight="1">
      <c r="A28" s="39"/>
      <c r="B28" s="58" t="s">
        <v>40</v>
      </c>
      <c r="C28" s="59"/>
      <c r="D28" s="60"/>
      <c r="E28" s="61"/>
      <c r="F28" s="62"/>
      <c r="G28" s="63"/>
      <c r="H28" s="64"/>
      <c r="I28" s="64"/>
      <c r="J28" s="64"/>
      <c r="K28" s="65"/>
      <c r="L28" s="66"/>
      <c r="M28" s="67"/>
      <c r="N28" s="68"/>
      <c r="O28" s="62"/>
      <c r="P28" s="69"/>
      <c r="Q28" s="63"/>
      <c r="R28" s="63"/>
      <c r="S28" s="70"/>
    </row>
    <row r="29" spans="1:19" ht="32.25" hidden="1" customHeight="1">
      <c r="A29" s="39">
        <v>1</v>
      </c>
      <c r="B29" s="40"/>
      <c r="C29" s="41"/>
      <c r="D29" s="42"/>
      <c r="E29" s="6"/>
      <c r="F29" s="43"/>
      <c r="G29" s="6"/>
      <c r="H29" s="42"/>
      <c r="I29" s="42"/>
      <c r="J29" s="42"/>
      <c r="K29" s="44"/>
      <c r="L29" s="45"/>
      <c r="M29" s="46"/>
      <c r="N29" s="5"/>
      <c r="O29" s="43"/>
      <c r="P29" s="47"/>
      <c r="Q29" s="48"/>
      <c r="R29" s="48"/>
      <c r="S29" s="49"/>
    </row>
    <row r="30" spans="1:19" ht="32.25" hidden="1" customHeight="1">
      <c r="A30" s="39"/>
      <c r="B30" s="50" t="s">
        <v>19</v>
      </c>
      <c r="C30" s="50"/>
      <c r="D30" s="51">
        <v>0</v>
      </c>
      <c r="E30" s="52"/>
      <c r="F30" s="53"/>
      <c r="G30" s="52"/>
      <c r="H30" s="51">
        <v>0</v>
      </c>
      <c r="I30" s="51">
        <v>0</v>
      </c>
      <c r="J30" s="51">
        <v>0</v>
      </c>
      <c r="K30" s="54"/>
      <c r="L30" s="55"/>
      <c r="M30" s="56"/>
      <c r="N30" s="57"/>
      <c r="O30" s="53"/>
      <c r="P30" s="51"/>
      <c r="Q30" s="51"/>
      <c r="R30" s="51"/>
      <c r="S30" s="51"/>
    </row>
    <row r="31" spans="1:19" ht="32.25" customHeight="1" thickTop="1">
      <c r="A31" s="39"/>
      <c r="B31" s="58" t="s">
        <v>41</v>
      </c>
      <c r="C31" s="59"/>
      <c r="D31" s="60"/>
      <c r="E31" s="61"/>
      <c r="F31" s="62"/>
      <c r="G31" s="63"/>
      <c r="H31" s="64"/>
      <c r="I31" s="64"/>
      <c r="J31" s="64"/>
      <c r="K31" s="65"/>
      <c r="L31" s="66"/>
      <c r="M31" s="67"/>
      <c r="N31" s="68"/>
      <c r="O31" s="62"/>
      <c r="P31" s="69"/>
      <c r="Q31" s="63"/>
      <c r="R31" s="63"/>
      <c r="S31" s="70"/>
    </row>
    <row r="32" spans="1:19" ht="32.25" customHeight="1">
      <c r="A32" s="106">
        <v>1</v>
      </c>
      <c r="B32" s="107" t="s">
        <v>404</v>
      </c>
      <c r="C32" s="107" t="s">
        <v>400</v>
      </c>
      <c r="D32" s="108">
        <v>321</v>
      </c>
      <c r="E32" s="109"/>
      <c r="F32" s="110"/>
      <c r="G32" s="111"/>
      <c r="H32" s="111">
        <v>0</v>
      </c>
      <c r="I32" s="112">
        <v>0</v>
      </c>
      <c r="J32" s="113">
        <v>0</v>
      </c>
      <c r="K32" s="74" t="s">
        <v>617</v>
      </c>
      <c r="L32" s="75" t="s">
        <v>618</v>
      </c>
      <c r="M32" s="76">
        <v>321</v>
      </c>
      <c r="N32" s="114"/>
      <c r="O32" s="115"/>
      <c r="P32" s="92"/>
      <c r="Q32" s="91">
        <v>0</v>
      </c>
      <c r="R32" s="92">
        <v>0</v>
      </c>
      <c r="S32" s="77">
        <v>0</v>
      </c>
    </row>
    <row r="33" spans="1:19" ht="32.25" customHeight="1">
      <c r="A33" s="106">
        <v>2</v>
      </c>
      <c r="B33" s="117" t="s">
        <v>487</v>
      </c>
      <c r="C33" s="107" t="s">
        <v>400</v>
      </c>
      <c r="D33" s="108">
        <v>642</v>
      </c>
      <c r="E33" s="118"/>
      <c r="F33" s="119"/>
      <c r="G33" s="111"/>
      <c r="H33" s="111">
        <v>0</v>
      </c>
      <c r="I33" s="120">
        <v>0</v>
      </c>
      <c r="J33" s="121">
        <v>0</v>
      </c>
      <c r="K33" s="74" t="s">
        <v>619</v>
      </c>
      <c r="L33" s="75" t="s">
        <v>620</v>
      </c>
      <c r="M33" s="76">
        <v>642</v>
      </c>
      <c r="N33" s="114"/>
      <c r="O33" s="122"/>
      <c r="P33" s="92"/>
      <c r="Q33" s="91">
        <v>0</v>
      </c>
      <c r="R33" s="92">
        <v>0</v>
      </c>
      <c r="S33" s="77">
        <v>0</v>
      </c>
    </row>
    <row r="34" spans="1:19" ht="32.25" customHeight="1">
      <c r="A34" s="106">
        <v>3</v>
      </c>
      <c r="B34" s="117" t="s">
        <v>546</v>
      </c>
      <c r="C34" s="107" t="s">
        <v>400</v>
      </c>
      <c r="D34" s="123">
        <v>642</v>
      </c>
      <c r="E34" s="109"/>
      <c r="F34" s="110"/>
      <c r="G34" s="124"/>
      <c r="H34" s="124">
        <v>0</v>
      </c>
      <c r="I34" s="112">
        <v>0</v>
      </c>
      <c r="J34" s="113">
        <v>0</v>
      </c>
      <c r="K34" s="74" t="s">
        <v>619</v>
      </c>
      <c r="L34" s="75" t="s">
        <v>621</v>
      </c>
      <c r="M34" s="76">
        <v>642</v>
      </c>
      <c r="N34" s="114"/>
      <c r="O34" s="115"/>
      <c r="P34" s="125"/>
      <c r="Q34" s="91">
        <v>0</v>
      </c>
      <c r="R34" s="92">
        <v>0</v>
      </c>
      <c r="S34" s="77">
        <v>0</v>
      </c>
    </row>
    <row r="35" spans="1:19" ht="32.25" customHeight="1">
      <c r="A35" s="106">
        <v>4</v>
      </c>
      <c r="B35" s="117" t="s">
        <v>545</v>
      </c>
      <c r="C35" s="107" t="s">
        <v>400</v>
      </c>
      <c r="D35" s="123">
        <v>321</v>
      </c>
      <c r="E35" s="466"/>
      <c r="F35" s="127"/>
      <c r="G35" s="126"/>
      <c r="H35" s="126">
        <v>0</v>
      </c>
      <c r="I35" s="128">
        <v>0</v>
      </c>
      <c r="J35" s="129">
        <v>0</v>
      </c>
      <c r="K35" s="74" t="s">
        <v>622</v>
      </c>
      <c r="L35" s="75" t="s">
        <v>623</v>
      </c>
      <c r="M35" s="76">
        <v>321</v>
      </c>
      <c r="N35" s="30"/>
      <c r="O35" s="31"/>
      <c r="P35" s="29"/>
      <c r="Q35" s="91"/>
      <c r="R35" s="92"/>
      <c r="S35" s="77"/>
    </row>
    <row r="36" spans="1:19" ht="32.25" customHeight="1">
      <c r="A36" s="106">
        <v>5</v>
      </c>
      <c r="B36" s="117" t="s">
        <v>624</v>
      </c>
      <c r="C36" s="107" t="s">
        <v>400</v>
      </c>
      <c r="D36" s="123">
        <v>321</v>
      </c>
      <c r="E36" s="126"/>
      <c r="F36" s="127"/>
      <c r="G36" s="126"/>
      <c r="H36" s="128">
        <v>0</v>
      </c>
      <c r="I36" s="128">
        <v>0</v>
      </c>
      <c r="J36" s="129">
        <v>0</v>
      </c>
      <c r="K36" s="74" t="s">
        <v>622</v>
      </c>
      <c r="L36" s="75" t="s">
        <v>625</v>
      </c>
      <c r="M36" s="76">
        <v>321</v>
      </c>
      <c r="N36" s="30"/>
      <c r="O36" s="31"/>
      <c r="P36" s="31"/>
      <c r="Q36" s="91">
        <v>0</v>
      </c>
      <c r="R36" s="92">
        <v>0</v>
      </c>
      <c r="S36" s="77">
        <v>0</v>
      </c>
    </row>
    <row r="37" spans="1:19" ht="32.25" customHeight="1">
      <c r="A37" s="106">
        <v>6</v>
      </c>
      <c r="B37" s="117" t="s">
        <v>626</v>
      </c>
      <c r="C37" s="107" t="s">
        <v>400</v>
      </c>
      <c r="D37" s="123">
        <v>2247</v>
      </c>
      <c r="E37" s="126"/>
      <c r="F37" s="127"/>
      <c r="G37" s="126"/>
      <c r="H37" s="128">
        <v>0</v>
      </c>
      <c r="I37" s="128">
        <v>0</v>
      </c>
      <c r="J37" s="129">
        <v>0</v>
      </c>
      <c r="K37" s="74" t="s">
        <v>627</v>
      </c>
      <c r="L37" s="75" t="s">
        <v>628</v>
      </c>
      <c r="M37" s="76">
        <v>2247</v>
      </c>
      <c r="N37" s="30"/>
      <c r="O37" s="31"/>
      <c r="P37" s="31"/>
      <c r="Q37" s="91"/>
      <c r="R37" s="92"/>
      <c r="S37" s="77"/>
    </row>
    <row r="38" spans="1:19" ht="32.25" customHeight="1">
      <c r="A38" s="106">
        <v>7</v>
      </c>
      <c r="B38" s="117" t="s">
        <v>485</v>
      </c>
      <c r="C38" s="107" t="s">
        <v>400</v>
      </c>
      <c r="D38" s="123">
        <v>321</v>
      </c>
      <c r="E38" s="126"/>
      <c r="F38" s="127"/>
      <c r="G38" s="126"/>
      <c r="H38" s="128">
        <v>0</v>
      </c>
      <c r="I38" s="128">
        <v>0</v>
      </c>
      <c r="J38" s="129">
        <v>0</v>
      </c>
      <c r="K38" s="74" t="s">
        <v>627</v>
      </c>
      <c r="L38" s="75" t="s">
        <v>629</v>
      </c>
      <c r="M38" s="76">
        <v>321</v>
      </c>
      <c r="N38" s="30"/>
      <c r="O38" s="31"/>
      <c r="P38" s="31"/>
      <c r="Q38" s="91"/>
      <c r="R38" s="92"/>
      <c r="S38" s="77"/>
    </row>
    <row r="39" spans="1:19" ht="32.25" customHeight="1">
      <c r="A39" s="106">
        <v>8</v>
      </c>
      <c r="B39" s="117" t="s">
        <v>630</v>
      </c>
      <c r="C39" s="107" t="s">
        <v>400</v>
      </c>
      <c r="D39" s="123">
        <v>321</v>
      </c>
      <c r="E39" s="126"/>
      <c r="F39" s="127"/>
      <c r="G39" s="126"/>
      <c r="H39" s="128">
        <v>0</v>
      </c>
      <c r="I39" s="128">
        <v>0</v>
      </c>
      <c r="J39" s="129">
        <v>0</v>
      </c>
      <c r="K39" s="74" t="s">
        <v>631</v>
      </c>
      <c r="L39" s="75" t="s">
        <v>632</v>
      </c>
      <c r="M39" s="76">
        <v>321</v>
      </c>
      <c r="N39" s="30"/>
      <c r="O39" s="31"/>
      <c r="P39" s="31"/>
      <c r="Q39" s="91"/>
      <c r="R39" s="92"/>
      <c r="S39" s="77"/>
    </row>
    <row r="40" spans="1:19" ht="32.25" customHeight="1">
      <c r="A40" s="106">
        <v>9</v>
      </c>
      <c r="B40" s="117" t="s">
        <v>633</v>
      </c>
      <c r="C40" s="107" t="s">
        <v>400</v>
      </c>
      <c r="D40" s="123">
        <v>321</v>
      </c>
      <c r="E40" s="126"/>
      <c r="F40" s="127"/>
      <c r="G40" s="126"/>
      <c r="H40" s="128">
        <v>0</v>
      </c>
      <c r="I40" s="128">
        <v>0</v>
      </c>
      <c r="J40" s="129">
        <v>0</v>
      </c>
      <c r="K40" s="74" t="s">
        <v>631</v>
      </c>
      <c r="L40" s="75" t="s">
        <v>634</v>
      </c>
      <c r="M40" s="76">
        <v>321</v>
      </c>
      <c r="N40" s="114"/>
      <c r="O40" s="115"/>
      <c r="P40" s="115"/>
      <c r="Q40" s="91">
        <v>0</v>
      </c>
      <c r="R40" s="92">
        <v>0</v>
      </c>
      <c r="S40" s="77">
        <v>0</v>
      </c>
    </row>
    <row r="41" spans="1:19" ht="32.25" customHeight="1">
      <c r="A41" s="116">
        <v>10</v>
      </c>
      <c r="B41" s="117" t="s">
        <v>624</v>
      </c>
      <c r="C41" s="107" t="s">
        <v>400</v>
      </c>
      <c r="D41" s="123">
        <v>321</v>
      </c>
      <c r="E41" s="501"/>
      <c r="F41" s="502"/>
      <c r="G41" s="501"/>
      <c r="H41" s="503">
        <v>0</v>
      </c>
      <c r="I41" s="503">
        <v>0</v>
      </c>
      <c r="J41" s="504">
        <v>0</v>
      </c>
      <c r="K41" s="505" t="s">
        <v>631</v>
      </c>
      <c r="L41" s="506" t="s">
        <v>635</v>
      </c>
      <c r="M41" s="507">
        <v>321</v>
      </c>
      <c r="N41" s="5"/>
      <c r="O41" s="43"/>
      <c r="P41" s="43"/>
      <c r="Q41" s="91"/>
      <c r="R41" s="92"/>
      <c r="S41" s="77"/>
    </row>
    <row r="42" spans="1:19" ht="32.25" customHeight="1">
      <c r="A42" s="116">
        <v>11</v>
      </c>
      <c r="B42" s="117" t="s">
        <v>545</v>
      </c>
      <c r="C42" s="107" t="s">
        <v>400</v>
      </c>
      <c r="D42" s="123">
        <v>321</v>
      </c>
      <c r="E42" s="501"/>
      <c r="F42" s="502"/>
      <c r="G42" s="501"/>
      <c r="H42" s="503">
        <v>0</v>
      </c>
      <c r="I42" s="503">
        <v>0</v>
      </c>
      <c r="J42" s="504">
        <v>0</v>
      </c>
      <c r="K42" s="505" t="s">
        <v>631</v>
      </c>
      <c r="L42" s="506" t="s">
        <v>636</v>
      </c>
      <c r="M42" s="507">
        <v>321</v>
      </c>
      <c r="N42" s="5"/>
      <c r="O42" s="43"/>
      <c r="P42" s="43"/>
      <c r="Q42" s="91"/>
      <c r="R42" s="92"/>
      <c r="S42" s="77"/>
    </row>
    <row r="43" spans="1:19" ht="32.25" customHeight="1">
      <c r="A43" s="116">
        <v>12</v>
      </c>
      <c r="B43" s="117" t="s">
        <v>626</v>
      </c>
      <c r="C43" s="107" t="s">
        <v>400</v>
      </c>
      <c r="D43" s="123">
        <v>2568</v>
      </c>
      <c r="E43" s="501"/>
      <c r="F43" s="502"/>
      <c r="G43" s="501"/>
      <c r="H43" s="503">
        <v>0</v>
      </c>
      <c r="I43" s="503">
        <v>0</v>
      </c>
      <c r="J43" s="504">
        <v>0</v>
      </c>
      <c r="K43" s="505" t="s">
        <v>637</v>
      </c>
      <c r="L43" s="506" t="s">
        <v>638</v>
      </c>
      <c r="M43" s="507">
        <v>2568</v>
      </c>
      <c r="N43" s="5"/>
      <c r="O43" s="43"/>
      <c r="P43" s="43"/>
      <c r="Q43" s="91"/>
      <c r="R43" s="92"/>
      <c r="S43" s="77"/>
    </row>
    <row r="44" spans="1:19" ht="32.25" customHeight="1">
      <c r="A44" s="116">
        <v>13</v>
      </c>
      <c r="B44" s="117" t="s">
        <v>639</v>
      </c>
      <c r="C44" s="107" t="s">
        <v>400</v>
      </c>
      <c r="D44" s="123">
        <v>2568</v>
      </c>
      <c r="E44" s="501"/>
      <c r="F44" s="502"/>
      <c r="G44" s="501"/>
      <c r="H44" s="503">
        <v>0</v>
      </c>
      <c r="I44" s="503">
        <v>0</v>
      </c>
      <c r="J44" s="504">
        <v>0</v>
      </c>
      <c r="K44" s="505" t="s">
        <v>610</v>
      </c>
      <c r="L44" s="506" t="s">
        <v>640</v>
      </c>
      <c r="M44" s="507">
        <v>2568</v>
      </c>
      <c r="N44" s="5"/>
      <c r="O44" s="43"/>
      <c r="P44" s="43"/>
      <c r="Q44" s="91"/>
      <c r="R44" s="92"/>
      <c r="S44" s="77"/>
    </row>
    <row r="45" spans="1:19" ht="32.25" customHeight="1">
      <c r="A45" s="116">
        <v>14</v>
      </c>
      <c r="B45" s="117" t="s">
        <v>641</v>
      </c>
      <c r="C45" s="107" t="s">
        <v>400</v>
      </c>
      <c r="D45" s="123">
        <v>2568</v>
      </c>
      <c r="E45" s="501"/>
      <c r="F45" s="502"/>
      <c r="G45" s="501"/>
      <c r="H45" s="503">
        <v>0</v>
      </c>
      <c r="I45" s="503">
        <v>0</v>
      </c>
      <c r="J45" s="504">
        <v>0</v>
      </c>
      <c r="K45" s="505" t="s">
        <v>610</v>
      </c>
      <c r="L45" s="506" t="s">
        <v>642</v>
      </c>
      <c r="M45" s="507">
        <v>2568</v>
      </c>
      <c r="N45" s="5"/>
      <c r="O45" s="43"/>
      <c r="P45" s="43"/>
      <c r="Q45" s="91"/>
      <c r="R45" s="92"/>
      <c r="S45" s="77"/>
    </row>
    <row r="46" spans="1:19" ht="32.25" customHeight="1">
      <c r="A46" s="116">
        <v>15</v>
      </c>
      <c r="B46" s="117" t="s">
        <v>643</v>
      </c>
      <c r="C46" s="107" t="s">
        <v>400</v>
      </c>
      <c r="D46" s="123">
        <v>642</v>
      </c>
      <c r="E46" s="501"/>
      <c r="F46" s="502"/>
      <c r="G46" s="501"/>
      <c r="H46" s="503">
        <v>0</v>
      </c>
      <c r="I46" s="503">
        <v>0</v>
      </c>
      <c r="J46" s="504">
        <v>0</v>
      </c>
      <c r="K46" s="505" t="s">
        <v>610</v>
      </c>
      <c r="L46" s="506" t="s">
        <v>644</v>
      </c>
      <c r="M46" s="507">
        <v>642</v>
      </c>
      <c r="N46" s="5"/>
      <c r="O46" s="43"/>
      <c r="P46" s="43"/>
      <c r="Q46" s="91"/>
      <c r="R46" s="92"/>
      <c r="S46" s="77"/>
    </row>
    <row r="47" spans="1:19" ht="32.25" customHeight="1">
      <c r="A47" s="116">
        <v>16</v>
      </c>
      <c r="B47" s="117" t="s">
        <v>645</v>
      </c>
      <c r="C47" s="107" t="s">
        <v>400</v>
      </c>
      <c r="D47" s="123">
        <v>1926</v>
      </c>
      <c r="E47" s="501"/>
      <c r="F47" s="502"/>
      <c r="G47" s="501"/>
      <c r="H47" s="503">
        <v>0</v>
      </c>
      <c r="I47" s="503">
        <v>0</v>
      </c>
      <c r="J47" s="504">
        <v>0</v>
      </c>
      <c r="K47" s="505" t="s">
        <v>610</v>
      </c>
      <c r="L47" s="506" t="s">
        <v>646</v>
      </c>
      <c r="M47" s="507">
        <v>1926</v>
      </c>
      <c r="N47" s="5"/>
      <c r="O47" s="43"/>
      <c r="P47" s="43"/>
      <c r="Q47" s="91"/>
      <c r="R47" s="92"/>
      <c r="S47" s="77"/>
    </row>
    <row r="48" spans="1:19" ht="32.25" customHeight="1">
      <c r="A48" s="116">
        <v>17</v>
      </c>
      <c r="B48" s="117" t="s">
        <v>526</v>
      </c>
      <c r="C48" s="107" t="s">
        <v>400</v>
      </c>
      <c r="D48" s="123">
        <v>1926</v>
      </c>
      <c r="E48" s="501"/>
      <c r="F48" s="502"/>
      <c r="G48" s="501"/>
      <c r="H48" s="503">
        <v>0</v>
      </c>
      <c r="I48" s="503">
        <v>0</v>
      </c>
      <c r="J48" s="504">
        <v>0</v>
      </c>
      <c r="K48" s="505" t="s">
        <v>610</v>
      </c>
      <c r="L48" s="506" t="s">
        <v>647</v>
      </c>
      <c r="M48" s="507">
        <v>1926</v>
      </c>
      <c r="N48" s="5"/>
      <c r="O48" s="43"/>
      <c r="P48" s="43"/>
      <c r="Q48" s="91"/>
      <c r="R48" s="92"/>
      <c r="S48" s="77"/>
    </row>
    <row r="49" spans="1:19" ht="32.25" customHeight="1">
      <c r="A49" s="116">
        <v>18</v>
      </c>
      <c r="B49" s="117" t="s">
        <v>488</v>
      </c>
      <c r="C49" s="107" t="s">
        <v>400</v>
      </c>
      <c r="D49" s="123">
        <v>642</v>
      </c>
      <c r="E49" s="501"/>
      <c r="F49" s="502"/>
      <c r="G49" s="501"/>
      <c r="H49" s="503">
        <v>0</v>
      </c>
      <c r="I49" s="503">
        <v>0</v>
      </c>
      <c r="J49" s="504">
        <v>0</v>
      </c>
      <c r="K49" s="505" t="s">
        <v>610</v>
      </c>
      <c r="L49" s="506" t="s">
        <v>648</v>
      </c>
      <c r="M49" s="507">
        <v>642</v>
      </c>
      <c r="N49" s="5"/>
      <c r="O49" s="43"/>
      <c r="P49" s="43"/>
      <c r="Q49" s="91"/>
      <c r="R49" s="92"/>
      <c r="S49" s="77"/>
    </row>
    <row r="50" spans="1:19" ht="32.25" customHeight="1">
      <c r="A50" s="116">
        <v>19</v>
      </c>
      <c r="B50" s="117" t="s">
        <v>649</v>
      </c>
      <c r="C50" s="107" t="s">
        <v>400</v>
      </c>
      <c r="D50" s="123">
        <v>2247</v>
      </c>
      <c r="E50" s="501"/>
      <c r="F50" s="502"/>
      <c r="G50" s="501"/>
      <c r="H50" s="503">
        <v>0</v>
      </c>
      <c r="I50" s="503">
        <v>0</v>
      </c>
      <c r="J50" s="504">
        <v>0</v>
      </c>
      <c r="K50" s="505" t="s">
        <v>650</v>
      </c>
      <c r="L50" s="506" t="s">
        <v>651</v>
      </c>
      <c r="M50" s="507">
        <v>2247</v>
      </c>
      <c r="N50" s="5"/>
      <c r="O50" s="43"/>
      <c r="P50" s="43"/>
      <c r="Q50" s="91"/>
      <c r="R50" s="92"/>
      <c r="S50" s="77"/>
    </row>
    <row r="51" spans="1:19" ht="32.25" customHeight="1">
      <c r="A51" s="116"/>
      <c r="B51" s="117"/>
      <c r="C51" s="107"/>
      <c r="D51" s="123"/>
      <c r="E51" s="501"/>
      <c r="F51" s="502"/>
      <c r="G51" s="501"/>
      <c r="H51" s="503"/>
      <c r="I51" s="503"/>
      <c r="J51" s="504"/>
      <c r="K51" s="505"/>
      <c r="L51" s="506"/>
      <c r="M51" s="507"/>
      <c r="N51" s="5"/>
      <c r="O51" s="43"/>
      <c r="P51" s="43"/>
      <c r="Q51" s="91"/>
      <c r="R51" s="92"/>
      <c r="S51" s="77"/>
    </row>
    <row r="52" spans="1:19" ht="32.25" customHeight="1" thickBot="1">
      <c r="A52" s="39"/>
      <c r="B52" s="50" t="s">
        <v>19</v>
      </c>
      <c r="C52" s="50"/>
      <c r="D52" s="51">
        <f>SUM(D32:D51)</f>
        <v>21186</v>
      </c>
      <c r="E52" s="52"/>
      <c r="F52" s="53"/>
      <c r="G52" s="52"/>
      <c r="H52" s="51">
        <v>0</v>
      </c>
      <c r="I52" s="51">
        <v>0</v>
      </c>
      <c r="J52" s="51">
        <v>0</v>
      </c>
      <c r="K52" s="55"/>
      <c r="L52" s="55"/>
      <c r="M52" s="140">
        <f>SUM(M32:M51)</f>
        <v>21186</v>
      </c>
      <c r="N52" s="57"/>
      <c r="O52" s="53"/>
      <c r="P52" s="51"/>
      <c r="Q52" s="51"/>
      <c r="R52" s="51"/>
      <c r="S52" s="51"/>
    </row>
    <row r="53" spans="1:19" ht="32.25" customHeight="1" thickTop="1">
      <c r="A53" s="39"/>
      <c r="B53" s="58" t="s">
        <v>47</v>
      </c>
      <c r="C53" s="59"/>
      <c r="D53" s="60"/>
      <c r="E53" s="61"/>
      <c r="F53" s="62"/>
      <c r="G53" s="63"/>
      <c r="H53" s="64"/>
      <c r="I53" s="64"/>
      <c r="J53" s="64"/>
      <c r="K53" s="65"/>
      <c r="L53" s="66"/>
      <c r="M53" s="67"/>
      <c r="N53" s="68"/>
      <c r="O53" s="62"/>
      <c r="P53" s="69"/>
      <c r="Q53" s="63"/>
      <c r="R53" s="63"/>
      <c r="S53" s="70"/>
    </row>
    <row r="54" spans="1:19" ht="32.25" customHeight="1">
      <c r="A54" s="39">
        <v>1</v>
      </c>
      <c r="B54" s="40"/>
      <c r="C54" s="41"/>
      <c r="D54" s="42"/>
      <c r="E54" s="6"/>
      <c r="F54" s="43"/>
      <c r="G54" s="6"/>
      <c r="H54" s="42"/>
      <c r="I54" s="42"/>
      <c r="J54" s="42"/>
      <c r="K54" s="44"/>
      <c r="L54" s="45"/>
      <c r="M54" s="46"/>
      <c r="N54" s="5"/>
      <c r="O54" s="43"/>
      <c r="P54" s="47"/>
      <c r="Q54" s="48"/>
      <c r="R54" s="48"/>
      <c r="S54" s="49"/>
    </row>
    <row r="55" spans="1:19" ht="32.25" customHeight="1" thickBot="1">
      <c r="A55" s="39"/>
      <c r="B55" s="50" t="s">
        <v>19</v>
      </c>
      <c r="C55" s="50"/>
      <c r="D55" s="51">
        <v>0</v>
      </c>
      <c r="E55" s="52"/>
      <c r="F55" s="53"/>
      <c r="G55" s="52"/>
      <c r="H55" s="51">
        <v>0</v>
      </c>
      <c r="I55" s="51">
        <v>0</v>
      </c>
      <c r="J55" s="51">
        <v>0</v>
      </c>
      <c r="K55" s="54"/>
      <c r="L55" s="55"/>
      <c r="M55" s="56"/>
      <c r="N55" s="57"/>
      <c r="O55" s="53"/>
      <c r="P55" s="51"/>
      <c r="Q55" s="51"/>
      <c r="R55" s="51"/>
      <c r="S55" s="51"/>
    </row>
    <row r="56" spans="1:19" ht="32.25" customHeight="1" thickTop="1">
      <c r="A56" s="39"/>
      <c r="B56" s="58" t="s">
        <v>48</v>
      </c>
      <c r="C56" s="59"/>
      <c r="D56" s="60"/>
      <c r="E56" s="61"/>
      <c r="F56" s="62"/>
      <c r="G56" s="63"/>
      <c r="H56" s="64"/>
      <c r="I56" s="64"/>
      <c r="J56" s="64"/>
      <c r="K56" s="65"/>
      <c r="L56" s="66"/>
      <c r="M56" s="67"/>
      <c r="N56" s="68"/>
      <c r="O56" s="62"/>
      <c r="P56" s="69"/>
      <c r="Q56" s="63"/>
      <c r="R56" s="63"/>
      <c r="S56" s="70"/>
    </row>
    <row r="57" spans="1:19" ht="32.25" customHeight="1">
      <c r="A57" s="39">
        <v>1</v>
      </c>
      <c r="B57" s="40"/>
      <c r="C57" s="41"/>
      <c r="D57" s="42"/>
      <c r="E57" s="6"/>
      <c r="F57" s="43"/>
      <c r="G57" s="6"/>
      <c r="H57" s="42"/>
      <c r="I57" s="42"/>
      <c r="J57" s="42"/>
      <c r="K57" s="44"/>
      <c r="L57" s="45"/>
      <c r="M57" s="46"/>
      <c r="N57" s="5"/>
      <c r="O57" s="43"/>
      <c r="P57" s="47"/>
      <c r="Q57" s="48"/>
      <c r="R57" s="48"/>
      <c r="S57" s="49"/>
    </row>
    <row r="58" spans="1:19" ht="32.25" customHeight="1" thickBot="1">
      <c r="A58" s="39"/>
      <c r="B58" s="50" t="s">
        <v>19</v>
      </c>
      <c r="C58" s="50"/>
      <c r="D58" s="51">
        <v>0</v>
      </c>
      <c r="E58" s="52"/>
      <c r="F58" s="53"/>
      <c r="G58" s="52"/>
      <c r="H58" s="51">
        <v>0</v>
      </c>
      <c r="I58" s="51">
        <v>0</v>
      </c>
      <c r="J58" s="51">
        <v>0</v>
      </c>
      <c r="K58" s="54"/>
      <c r="L58" s="55"/>
      <c r="M58" s="56"/>
      <c r="N58" s="57"/>
      <c r="O58" s="53"/>
      <c r="P58" s="51"/>
      <c r="Q58" s="51"/>
      <c r="R58" s="51"/>
      <c r="S58" s="51"/>
    </row>
    <row r="59" spans="1:19" ht="32.25" customHeight="1" thickTop="1">
      <c r="A59" s="39"/>
      <c r="B59" s="58" t="s">
        <v>49</v>
      </c>
      <c r="C59" s="59"/>
      <c r="D59" s="60"/>
      <c r="E59" s="61"/>
      <c r="F59" s="62"/>
      <c r="G59" s="63"/>
      <c r="H59" s="64"/>
      <c r="I59" s="64"/>
      <c r="J59" s="64"/>
      <c r="K59" s="65"/>
      <c r="L59" s="66"/>
      <c r="M59" s="67"/>
      <c r="N59" s="68"/>
      <c r="O59" s="62"/>
      <c r="P59" s="69"/>
      <c r="Q59" s="63"/>
      <c r="R59" s="63"/>
      <c r="S59" s="70"/>
    </row>
    <row r="60" spans="1:19" ht="32.25" customHeight="1">
      <c r="A60" s="39">
        <v>1</v>
      </c>
      <c r="B60" s="40"/>
      <c r="C60" s="41"/>
      <c r="D60" s="42"/>
      <c r="E60" s="6"/>
      <c r="F60" s="43"/>
      <c r="G60" s="6"/>
      <c r="H60" s="42"/>
      <c r="I60" s="42"/>
      <c r="J60" s="42"/>
      <c r="K60" s="44"/>
      <c r="L60" s="45"/>
      <c r="M60" s="46"/>
      <c r="N60" s="5"/>
      <c r="O60" s="43"/>
      <c r="P60" s="47"/>
      <c r="Q60" s="48"/>
      <c r="R60" s="48"/>
      <c r="S60" s="49"/>
    </row>
    <row r="61" spans="1:19" ht="32.25" customHeight="1" thickBot="1">
      <c r="A61" s="39"/>
      <c r="B61" s="50" t="s">
        <v>19</v>
      </c>
      <c r="C61" s="50"/>
      <c r="D61" s="51">
        <v>0</v>
      </c>
      <c r="E61" s="52"/>
      <c r="F61" s="53"/>
      <c r="G61" s="52"/>
      <c r="H61" s="51">
        <v>0</v>
      </c>
      <c r="I61" s="51">
        <v>0</v>
      </c>
      <c r="J61" s="51">
        <v>0</v>
      </c>
      <c r="K61" s="54"/>
      <c r="L61" s="55"/>
      <c r="M61" s="56">
        <v>0</v>
      </c>
      <c r="N61" s="57"/>
      <c r="O61" s="53"/>
      <c r="P61" s="51"/>
      <c r="Q61" s="51"/>
      <c r="R61" s="51"/>
      <c r="S61" s="51"/>
    </row>
    <row r="62" spans="1:19" ht="32.25" customHeight="1" thickTop="1">
      <c r="A62" s="39"/>
      <c r="B62" s="141" t="s">
        <v>50</v>
      </c>
      <c r="C62" s="142"/>
      <c r="D62" s="125"/>
      <c r="E62" s="131"/>
      <c r="F62" s="115"/>
      <c r="G62" s="33"/>
      <c r="H62" s="143"/>
      <c r="I62" s="143"/>
      <c r="J62" s="143"/>
      <c r="K62" s="34"/>
      <c r="L62" s="35"/>
      <c r="M62" s="36"/>
      <c r="N62" s="114"/>
      <c r="O62" s="115"/>
      <c r="P62" s="144"/>
      <c r="Q62" s="33"/>
      <c r="R62" s="33"/>
      <c r="S62" s="145"/>
    </row>
    <row r="63" spans="1:19" ht="32.25" customHeight="1">
      <c r="A63" s="39"/>
      <c r="B63" s="146" t="s">
        <v>51</v>
      </c>
      <c r="C63" s="146"/>
      <c r="D63" s="125"/>
      <c r="E63" s="131"/>
      <c r="F63" s="122"/>
      <c r="G63" s="147"/>
      <c r="H63" s="148"/>
      <c r="I63" s="148"/>
      <c r="J63" s="143"/>
      <c r="K63" s="34"/>
      <c r="L63" s="35"/>
      <c r="M63" s="36"/>
      <c r="N63" s="114"/>
      <c r="O63" s="122"/>
      <c r="P63" s="149"/>
      <c r="Q63" s="147"/>
      <c r="R63" s="147"/>
      <c r="S63" s="145"/>
    </row>
    <row r="64" spans="1:19" s="160" customFormat="1" ht="32.25" customHeight="1">
      <c r="A64" s="106">
        <v>1</v>
      </c>
      <c r="B64" s="142" t="s">
        <v>52</v>
      </c>
      <c r="C64" s="150" t="s">
        <v>53</v>
      </c>
      <c r="D64" s="151">
        <v>4140</v>
      </c>
      <c r="E64" s="157" t="s">
        <v>57</v>
      </c>
      <c r="F64" s="158"/>
      <c r="G64" s="158"/>
      <c r="H64" s="153">
        <v>-2070</v>
      </c>
      <c r="I64" s="153"/>
      <c r="J64" s="159">
        <v>-2070</v>
      </c>
      <c r="K64" s="154" t="s">
        <v>652</v>
      </c>
      <c r="L64" s="155" t="s">
        <v>653</v>
      </c>
      <c r="M64" s="156">
        <v>4140</v>
      </c>
      <c r="N64" s="157" t="s">
        <v>57</v>
      </c>
      <c r="O64" s="158"/>
      <c r="P64" s="158"/>
      <c r="Q64" s="153">
        <v>-2070</v>
      </c>
      <c r="R64" s="153"/>
      <c r="S64" s="159">
        <v>-2070</v>
      </c>
    </row>
    <row r="65" spans="1:19" s="160" customFormat="1" ht="32.25" customHeight="1">
      <c r="A65" s="106">
        <v>2</v>
      </c>
      <c r="B65" s="161" t="s">
        <v>58</v>
      </c>
      <c r="C65" s="162" t="s">
        <v>59</v>
      </c>
      <c r="D65" s="151">
        <v>0</v>
      </c>
      <c r="E65" s="167"/>
      <c r="F65" s="158"/>
      <c r="G65" s="158"/>
      <c r="H65" s="91">
        <v>0</v>
      </c>
      <c r="I65" s="91"/>
      <c r="J65" s="77">
        <v>0</v>
      </c>
      <c r="K65" s="164"/>
      <c r="L65" s="165"/>
      <c r="M65" s="166"/>
      <c r="N65" s="167"/>
      <c r="O65" s="158"/>
      <c r="P65" s="158"/>
      <c r="Q65" s="91">
        <f t="shared" ref="Q65:Q68" si="0">SUM(D65+H65-M65)</f>
        <v>0</v>
      </c>
      <c r="R65" s="91"/>
      <c r="S65" s="77">
        <f t="shared" ref="S65:S68" si="1">SUM(Q65)</f>
        <v>0</v>
      </c>
    </row>
    <row r="66" spans="1:19" s="160" customFormat="1" ht="32.25" customHeight="1">
      <c r="A66" s="106">
        <v>3</v>
      </c>
      <c r="B66" s="142" t="s">
        <v>60</v>
      </c>
      <c r="C66" s="150" t="s">
        <v>61</v>
      </c>
      <c r="D66" s="151">
        <v>2070</v>
      </c>
      <c r="E66" s="167"/>
      <c r="F66" s="158"/>
      <c r="G66" s="158"/>
      <c r="H66" s="91">
        <v>0</v>
      </c>
      <c r="I66" s="91"/>
      <c r="J66" s="77">
        <v>0</v>
      </c>
      <c r="K66" s="154" t="s">
        <v>654</v>
      </c>
      <c r="L66" s="155" t="s">
        <v>655</v>
      </c>
      <c r="M66" s="156">
        <v>2070</v>
      </c>
      <c r="N66" s="167"/>
      <c r="O66" s="158"/>
      <c r="P66" s="158"/>
      <c r="Q66" s="91">
        <f t="shared" si="0"/>
        <v>0</v>
      </c>
      <c r="R66" s="91"/>
      <c r="S66" s="77">
        <f t="shared" si="1"/>
        <v>0</v>
      </c>
    </row>
    <row r="67" spans="1:19" s="160" customFormat="1" ht="32.25" customHeight="1">
      <c r="A67" s="106">
        <v>4</v>
      </c>
      <c r="B67" s="142" t="s">
        <v>27</v>
      </c>
      <c r="C67" s="150" t="s">
        <v>64</v>
      </c>
      <c r="D67" s="151">
        <v>2070</v>
      </c>
      <c r="E67" s="167"/>
      <c r="F67" s="158"/>
      <c r="G67" s="158"/>
      <c r="H67" s="91">
        <v>0</v>
      </c>
      <c r="I67" s="91"/>
      <c r="J67" s="77">
        <v>0</v>
      </c>
      <c r="K67" s="154" t="s">
        <v>656</v>
      </c>
      <c r="L67" s="155" t="s">
        <v>657</v>
      </c>
      <c r="M67" s="156">
        <v>2070</v>
      </c>
      <c r="N67" s="167"/>
      <c r="O67" s="158"/>
      <c r="P67" s="158"/>
      <c r="Q67" s="91">
        <f t="shared" si="0"/>
        <v>0</v>
      </c>
      <c r="R67" s="91"/>
      <c r="S67" s="77">
        <f t="shared" si="1"/>
        <v>0</v>
      </c>
    </row>
    <row r="68" spans="1:19" s="160" customFormat="1" ht="32.25" customHeight="1">
      <c r="A68" s="106">
        <v>5</v>
      </c>
      <c r="B68" s="168" t="s">
        <v>42</v>
      </c>
      <c r="C68" s="150" t="s">
        <v>67</v>
      </c>
      <c r="D68" s="125">
        <v>2070</v>
      </c>
      <c r="E68" s="167"/>
      <c r="F68" s="158"/>
      <c r="G68" s="158"/>
      <c r="H68" s="91">
        <v>0</v>
      </c>
      <c r="I68" s="91"/>
      <c r="J68" s="77">
        <v>0</v>
      </c>
      <c r="K68" s="154" t="s">
        <v>654</v>
      </c>
      <c r="L68" s="155" t="s">
        <v>658</v>
      </c>
      <c r="M68" s="156">
        <v>2070</v>
      </c>
      <c r="N68" s="167"/>
      <c r="O68" s="158"/>
      <c r="P68" s="158"/>
      <c r="Q68" s="91">
        <f t="shared" si="0"/>
        <v>0</v>
      </c>
      <c r="R68" s="91"/>
      <c r="S68" s="77">
        <f t="shared" si="1"/>
        <v>0</v>
      </c>
    </row>
    <row r="69" spans="1:19" s="160" customFormat="1" ht="32.25" customHeight="1">
      <c r="A69" s="106">
        <v>6</v>
      </c>
      <c r="B69" s="142" t="s">
        <v>69</v>
      </c>
      <c r="C69" s="150" t="s">
        <v>70</v>
      </c>
      <c r="D69" s="151">
        <v>2070</v>
      </c>
      <c r="E69" s="169"/>
      <c r="F69" s="158"/>
      <c r="G69" s="158"/>
      <c r="H69" s="91">
        <v>0</v>
      </c>
      <c r="I69" s="91"/>
      <c r="J69" s="77">
        <v>0</v>
      </c>
      <c r="K69" s="154" t="s">
        <v>613</v>
      </c>
      <c r="L69" s="155" t="s">
        <v>659</v>
      </c>
      <c r="M69" s="156">
        <v>2070</v>
      </c>
      <c r="N69" s="169"/>
      <c r="O69" s="158"/>
      <c r="P69" s="158"/>
      <c r="Q69" s="91">
        <f>SUM(D69+H69-M69)</f>
        <v>0</v>
      </c>
      <c r="R69" s="91"/>
      <c r="S69" s="77">
        <f>SUM(Q69)</f>
        <v>0</v>
      </c>
    </row>
    <row r="70" spans="1:19" ht="32.25" customHeight="1">
      <c r="A70" s="106">
        <v>7</v>
      </c>
      <c r="B70" s="146" t="s">
        <v>75</v>
      </c>
      <c r="C70" s="170" t="s">
        <v>76</v>
      </c>
      <c r="D70" s="151"/>
      <c r="E70" s="167"/>
      <c r="F70" s="158"/>
      <c r="G70" s="158"/>
      <c r="H70" s="91">
        <v>0</v>
      </c>
      <c r="I70" s="91"/>
      <c r="J70" s="77">
        <v>0</v>
      </c>
      <c r="K70" s="164"/>
      <c r="L70" s="165"/>
      <c r="M70" s="166"/>
      <c r="N70" s="167"/>
      <c r="O70" s="158"/>
      <c r="P70" s="158"/>
      <c r="Q70" s="91">
        <f t="shared" ref="Q70:Q95" si="2">SUM(D70+H70-M70)</f>
        <v>0</v>
      </c>
      <c r="R70" s="91"/>
      <c r="S70" s="77">
        <f t="shared" ref="S70:S95" si="3">SUM(Q70)</f>
        <v>0</v>
      </c>
    </row>
    <row r="71" spans="1:19" s="160" customFormat="1" ht="32.25" customHeight="1">
      <c r="A71" s="106">
        <v>8</v>
      </c>
      <c r="B71" s="142" t="s">
        <v>77</v>
      </c>
      <c r="C71" s="150" t="s">
        <v>78</v>
      </c>
      <c r="D71" s="151">
        <v>2070</v>
      </c>
      <c r="E71" s="167"/>
      <c r="F71" s="158"/>
      <c r="G71" s="158"/>
      <c r="H71" s="91">
        <v>0</v>
      </c>
      <c r="I71" s="91"/>
      <c r="J71" s="77">
        <v>0</v>
      </c>
      <c r="K71" s="154" t="s">
        <v>652</v>
      </c>
      <c r="L71" s="171" t="s">
        <v>660</v>
      </c>
      <c r="M71" s="156">
        <v>2070</v>
      </c>
      <c r="N71" s="167"/>
      <c r="O71" s="158"/>
      <c r="P71" s="158"/>
      <c r="Q71" s="91">
        <f t="shared" si="2"/>
        <v>0</v>
      </c>
      <c r="R71" s="91"/>
      <c r="S71" s="77">
        <f t="shared" si="3"/>
        <v>0</v>
      </c>
    </row>
    <row r="72" spans="1:19" s="160" customFormat="1" ht="32.25" customHeight="1">
      <c r="A72" s="106">
        <v>9</v>
      </c>
      <c r="B72" s="142" t="s">
        <v>77</v>
      </c>
      <c r="C72" s="150" t="s">
        <v>81</v>
      </c>
      <c r="D72" s="151">
        <v>2070</v>
      </c>
      <c r="E72" s="167"/>
      <c r="F72" s="158"/>
      <c r="G72" s="158"/>
      <c r="H72" s="91">
        <v>0</v>
      </c>
      <c r="I72" s="91"/>
      <c r="J72" s="77">
        <v>0</v>
      </c>
      <c r="K72" s="154" t="s">
        <v>652</v>
      </c>
      <c r="L72" s="171" t="s">
        <v>660</v>
      </c>
      <c r="M72" s="156">
        <v>2070</v>
      </c>
      <c r="N72" s="167"/>
      <c r="O72" s="158"/>
      <c r="P72" s="158"/>
      <c r="Q72" s="91">
        <f t="shared" si="2"/>
        <v>0</v>
      </c>
      <c r="R72" s="91"/>
      <c r="S72" s="77">
        <f t="shared" si="3"/>
        <v>0</v>
      </c>
    </row>
    <row r="73" spans="1:19" ht="32.25" customHeight="1">
      <c r="A73" s="106">
        <v>10</v>
      </c>
      <c r="B73" s="146" t="s">
        <v>75</v>
      </c>
      <c r="C73" s="170" t="s">
        <v>82</v>
      </c>
      <c r="D73" s="151"/>
      <c r="E73" s="167"/>
      <c r="F73" s="158"/>
      <c r="G73" s="158"/>
      <c r="H73" s="91">
        <v>0</v>
      </c>
      <c r="I73" s="91"/>
      <c r="J73" s="77">
        <v>0</v>
      </c>
      <c r="K73" s="164"/>
      <c r="L73" s="172"/>
      <c r="M73" s="166"/>
      <c r="N73" s="167"/>
      <c r="O73" s="158"/>
      <c r="P73" s="158"/>
      <c r="Q73" s="91">
        <f t="shared" si="2"/>
        <v>0</v>
      </c>
      <c r="R73" s="91"/>
      <c r="S73" s="77">
        <f t="shared" si="3"/>
        <v>0</v>
      </c>
    </row>
    <row r="74" spans="1:19" s="160" customFormat="1" ht="32.25" customHeight="1">
      <c r="A74" s="106">
        <v>11</v>
      </c>
      <c r="B74" s="142" t="s">
        <v>83</v>
      </c>
      <c r="C74" s="150" t="s">
        <v>84</v>
      </c>
      <c r="D74" s="151">
        <v>2070</v>
      </c>
      <c r="E74" s="167"/>
      <c r="F74" s="158"/>
      <c r="G74" s="158"/>
      <c r="H74" s="91">
        <v>0</v>
      </c>
      <c r="I74" s="91"/>
      <c r="J74" s="77">
        <v>0</v>
      </c>
      <c r="K74" s="154" t="s">
        <v>654</v>
      </c>
      <c r="L74" s="155" t="s">
        <v>661</v>
      </c>
      <c r="M74" s="156">
        <v>2070</v>
      </c>
      <c r="N74" s="167"/>
      <c r="O74" s="158"/>
      <c r="P74" s="158"/>
      <c r="Q74" s="91">
        <f t="shared" si="2"/>
        <v>0</v>
      </c>
      <c r="R74" s="91"/>
      <c r="S74" s="77">
        <f t="shared" si="3"/>
        <v>0</v>
      </c>
    </row>
    <row r="75" spans="1:19" s="160" customFormat="1" ht="32.25" customHeight="1">
      <c r="A75" s="106">
        <v>12</v>
      </c>
      <c r="B75" s="142" t="s">
        <v>87</v>
      </c>
      <c r="C75" s="150" t="s">
        <v>88</v>
      </c>
      <c r="D75" s="151">
        <v>2070</v>
      </c>
      <c r="E75" s="167"/>
      <c r="F75" s="158"/>
      <c r="G75" s="158"/>
      <c r="H75" s="91">
        <v>0</v>
      </c>
      <c r="I75" s="91"/>
      <c r="J75" s="77">
        <v>0</v>
      </c>
      <c r="K75" s="154" t="s">
        <v>650</v>
      </c>
      <c r="L75" s="171" t="s">
        <v>662</v>
      </c>
      <c r="M75" s="156">
        <v>2070</v>
      </c>
      <c r="N75" s="167"/>
      <c r="O75" s="158"/>
      <c r="P75" s="158"/>
      <c r="Q75" s="91">
        <f t="shared" si="2"/>
        <v>0</v>
      </c>
      <c r="R75" s="91"/>
      <c r="S75" s="77">
        <f t="shared" si="3"/>
        <v>0</v>
      </c>
    </row>
    <row r="76" spans="1:19" ht="32.25" customHeight="1">
      <c r="A76" s="106">
        <v>13</v>
      </c>
      <c r="B76" s="146" t="s">
        <v>75</v>
      </c>
      <c r="C76" s="173" t="s">
        <v>91</v>
      </c>
      <c r="D76" s="151"/>
      <c r="E76" s="167"/>
      <c r="F76" s="158"/>
      <c r="G76" s="158"/>
      <c r="H76" s="91">
        <v>0</v>
      </c>
      <c r="I76" s="91"/>
      <c r="J76" s="77">
        <v>0</v>
      </c>
      <c r="K76" s="164"/>
      <c r="L76" s="165"/>
      <c r="M76" s="166"/>
      <c r="N76" s="167"/>
      <c r="O76" s="158"/>
      <c r="P76" s="158"/>
      <c r="Q76" s="91">
        <f t="shared" si="2"/>
        <v>0</v>
      </c>
      <c r="R76" s="91"/>
      <c r="S76" s="77">
        <f t="shared" si="3"/>
        <v>0</v>
      </c>
    </row>
    <row r="77" spans="1:19" ht="32.25" customHeight="1">
      <c r="A77" s="106">
        <v>14</v>
      </c>
      <c r="B77" s="142" t="s">
        <v>92</v>
      </c>
      <c r="C77" s="174" t="s">
        <v>93</v>
      </c>
      <c r="D77" s="151"/>
      <c r="E77" s="167"/>
      <c r="F77" s="158"/>
      <c r="G77" s="158"/>
      <c r="H77" s="91">
        <v>0</v>
      </c>
      <c r="I77" s="91"/>
      <c r="J77" s="77">
        <v>0</v>
      </c>
      <c r="K77" s="164"/>
      <c r="L77" s="165"/>
      <c r="M77" s="166"/>
      <c r="N77" s="167"/>
      <c r="O77" s="158"/>
      <c r="P77" s="158"/>
      <c r="Q77" s="91">
        <f t="shared" si="2"/>
        <v>0</v>
      </c>
      <c r="R77" s="91"/>
      <c r="S77" s="77">
        <f t="shared" si="3"/>
        <v>0</v>
      </c>
    </row>
    <row r="78" spans="1:19" ht="32.25" customHeight="1">
      <c r="A78" s="106">
        <v>15</v>
      </c>
      <c r="B78" s="146" t="s">
        <v>75</v>
      </c>
      <c r="C78" s="170" t="s">
        <v>94</v>
      </c>
      <c r="D78" s="151">
        <v>0</v>
      </c>
      <c r="E78" s="167"/>
      <c r="F78" s="158"/>
      <c r="G78" s="158"/>
      <c r="H78" s="91">
        <v>0</v>
      </c>
      <c r="I78" s="91"/>
      <c r="J78" s="77">
        <v>0</v>
      </c>
      <c r="K78" s="164"/>
      <c r="L78" s="165"/>
      <c r="M78" s="166"/>
      <c r="N78" s="167"/>
      <c r="O78" s="158"/>
      <c r="P78" s="158"/>
      <c r="Q78" s="91">
        <f t="shared" si="2"/>
        <v>0</v>
      </c>
      <c r="R78" s="91"/>
      <c r="S78" s="77">
        <f t="shared" si="3"/>
        <v>0</v>
      </c>
    </row>
    <row r="79" spans="1:19" s="160" customFormat="1" ht="32.25" customHeight="1">
      <c r="A79" s="106">
        <v>16</v>
      </c>
      <c r="B79" s="142" t="s">
        <v>95</v>
      </c>
      <c r="C79" s="150" t="s">
        <v>96</v>
      </c>
      <c r="D79" s="151">
        <v>0</v>
      </c>
      <c r="E79" s="167"/>
      <c r="F79" s="158"/>
      <c r="G79" s="158"/>
      <c r="H79" s="91">
        <v>0</v>
      </c>
      <c r="I79" s="91"/>
      <c r="J79" s="77">
        <v>0</v>
      </c>
      <c r="K79" s="164"/>
      <c r="L79" s="175"/>
      <c r="M79" s="166"/>
      <c r="N79" s="167"/>
      <c r="O79" s="158"/>
      <c r="P79" s="158"/>
      <c r="Q79" s="91">
        <f t="shared" si="2"/>
        <v>0</v>
      </c>
      <c r="R79" s="91"/>
      <c r="S79" s="77">
        <f t="shared" si="3"/>
        <v>0</v>
      </c>
    </row>
    <row r="80" spans="1:19" s="160" customFormat="1" ht="32.25" customHeight="1">
      <c r="A80" s="106">
        <v>17</v>
      </c>
      <c r="B80" s="176" t="s">
        <v>97</v>
      </c>
      <c r="C80" s="162" t="s">
        <v>98</v>
      </c>
      <c r="D80" s="151">
        <v>0</v>
      </c>
      <c r="E80" s="167"/>
      <c r="F80" s="158"/>
      <c r="G80" s="158"/>
      <c r="H80" s="91">
        <v>0</v>
      </c>
      <c r="I80" s="91"/>
      <c r="J80" s="77">
        <v>0</v>
      </c>
      <c r="K80" s="164"/>
      <c r="L80" s="165"/>
      <c r="M80" s="177"/>
      <c r="N80" s="167"/>
      <c r="O80" s="158"/>
      <c r="P80" s="158"/>
      <c r="Q80" s="91">
        <f t="shared" si="2"/>
        <v>0</v>
      </c>
      <c r="R80" s="91"/>
      <c r="S80" s="77">
        <f t="shared" si="3"/>
        <v>0</v>
      </c>
    </row>
    <row r="81" spans="1:19" s="160" customFormat="1" ht="32.25" customHeight="1">
      <c r="A81" s="106">
        <v>18</v>
      </c>
      <c r="B81" s="142" t="s">
        <v>99</v>
      </c>
      <c r="C81" s="174" t="s">
        <v>100</v>
      </c>
      <c r="D81" s="151">
        <v>37375</v>
      </c>
      <c r="E81" s="167"/>
      <c r="F81" s="158"/>
      <c r="G81" s="158"/>
      <c r="H81" s="91">
        <v>0</v>
      </c>
      <c r="I81" s="91"/>
      <c r="J81" s="77">
        <v>0</v>
      </c>
      <c r="K81" s="154" t="s">
        <v>654</v>
      </c>
      <c r="L81" s="171" t="s">
        <v>663</v>
      </c>
      <c r="M81" s="178">
        <v>37375</v>
      </c>
      <c r="N81" s="167"/>
      <c r="O81" s="158"/>
      <c r="P81" s="158"/>
      <c r="Q81" s="91">
        <f t="shared" si="2"/>
        <v>0</v>
      </c>
      <c r="R81" s="91"/>
      <c r="S81" s="77">
        <f t="shared" si="3"/>
        <v>0</v>
      </c>
    </row>
    <row r="82" spans="1:19" s="160" customFormat="1" ht="32.25" customHeight="1">
      <c r="A82" s="106"/>
      <c r="B82" s="652" t="s">
        <v>102</v>
      </c>
      <c r="C82" s="653"/>
      <c r="D82" s="654"/>
      <c r="E82" s="167"/>
      <c r="F82" s="158"/>
      <c r="G82" s="158"/>
      <c r="H82" s="91">
        <v>0</v>
      </c>
      <c r="I82" s="91"/>
      <c r="J82" s="77">
        <v>0</v>
      </c>
      <c r="K82" s="164"/>
      <c r="L82" s="182"/>
      <c r="M82" s="183"/>
      <c r="N82" s="167"/>
      <c r="O82" s="158"/>
      <c r="P82" s="158"/>
      <c r="Q82" s="91">
        <f t="shared" si="2"/>
        <v>0</v>
      </c>
      <c r="R82" s="91"/>
      <c r="S82" s="77">
        <f t="shared" si="3"/>
        <v>0</v>
      </c>
    </row>
    <row r="83" spans="1:19" s="160" customFormat="1" ht="32.25" customHeight="1">
      <c r="A83" s="106">
        <v>19</v>
      </c>
      <c r="B83" s="142" t="s">
        <v>103</v>
      </c>
      <c r="C83" s="174" t="s">
        <v>104</v>
      </c>
      <c r="D83" s="151">
        <v>15525</v>
      </c>
      <c r="E83" s="167"/>
      <c r="F83" s="158"/>
      <c r="G83" s="158"/>
      <c r="H83" s="91">
        <v>0</v>
      </c>
      <c r="I83" s="91"/>
      <c r="J83" s="77">
        <v>0</v>
      </c>
      <c r="K83" s="154" t="s">
        <v>610</v>
      </c>
      <c r="L83" s="171" t="s">
        <v>664</v>
      </c>
      <c r="M83" s="178">
        <v>15525</v>
      </c>
      <c r="N83" s="167"/>
      <c r="O83" s="158"/>
      <c r="P83" s="158"/>
      <c r="Q83" s="91">
        <f t="shared" si="2"/>
        <v>0</v>
      </c>
      <c r="R83" s="91"/>
      <c r="S83" s="77">
        <f t="shared" si="3"/>
        <v>0</v>
      </c>
    </row>
    <row r="84" spans="1:19" s="160" customFormat="1" ht="32.25" customHeight="1">
      <c r="A84" s="106"/>
      <c r="B84" s="652" t="s">
        <v>106</v>
      </c>
      <c r="C84" s="653"/>
      <c r="D84" s="654"/>
      <c r="E84" s="167"/>
      <c r="F84" s="158"/>
      <c r="G84" s="158"/>
      <c r="H84" s="91">
        <v>0</v>
      </c>
      <c r="I84" s="91"/>
      <c r="J84" s="77">
        <v>0</v>
      </c>
      <c r="K84" s="164"/>
      <c r="L84" s="182"/>
      <c r="M84" s="183"/>
      <c r="N84" s="167"/>
      <c r="O84" s="158"/>
      <c r="P84" s="158"/>
      <c r="Q84" s="91">
        <f t="shared" si="2"/>
        <v>0</v>
      </c>
      <c r="R84" s="91"/>
      <c r="S84" s="77">
        <f t="shared" si="3"/>
        <v>0</v>
      </c>
    </row>
    <row r="85" spans="1:19" s="160" customFormat="1" ht="32.25" customHeight="1">
      <c r="A85" s="106">
        <v>20</v>
      </c>
      <c r="B85" s="142" t="s">
        <v>107</v>
      </c>
      <c r="C85" s="174" t="s">
        <v>108</v>
      </c>
      <c r="D85" s="151">
        <v>14000</v>
      </c>
      <c r="E85" s="167"/>
      <c r="F85" s="158"/>
      <c r="G85" s="158"/>
      <c r="H85" s="91">
        <v>0</v>
      </c>
      <c r="I85" s="91"/>
      <c r="J85" s="77">
        <v>0</v>
      </c>
      <c r="K85" s="154" t="s">
        <v>654</v>
      </c>
      <c r="L85" s="155" t="s">
        <v>665</v>
      </c>
      <c r="M85" s="178">
        <v>14000</v>
      </c>
      <c r="N85" s="167"/>
      <c r="O85" s="158"/>
      <c r="P85" s="158"/>
      <c r="Q85" s="91">
        <f t="shared" si="2"/>
        <v>0</v>
      </c>
      <c r="R85" s="91"/>
      <c r="S85" s="77">
        <f t="shared" si="3"/>
        <v>0</v>
      </c>
    </row>
    <row r="86" spans="1:19" s="160" customFormat="1" ht="32.25" customHeight="1">
      <c r="A86" s="106"/>
      <c r="B86" s="652" t="s">
        <v>110</v>
      </c>
      <c r="C86" s="653"/>
      <c r="D86" s="654"/>
      <c r="E86" s="167"/>
      <c r="F86" s="158"/>
      <c r="G86" s="158"/>
      <c r="H86" s="91">
        <v>0</v>
      </c>
      <c r="I86" s="91"/>
      <c r="J86" s="77">
        <v>0</v>
      </c>
      <c r="K86" s="164"/>
      <c r="L86" s="182"/>
      <c r="M86" s="183"/>
      <c r="N86" s="167"/>
      <c r="O86" s="158"/>
      <c r="P86" s="158"/>
      <c r="Q86" s="91">
        <f t="shared" si="2"/>
        <v>0</v>
      </c>
      <c r="R86" s="91"/>
      <c r="S86" s="77">
        <f t="shared" si="3"/>
        <v>0</v>
      </c>
    </row>
    <row r="87" spans="1:19" s="160" customFormat="1" ht="32.25" customHeight="1">
      <c r="A87" s="106">
        <v>21</v>
      </c>
      <c r="B87" s="142" t="s">
        <v>111</v>
      </c>
      <c r="C87" s="142" t="s">
        <v>112</v>
      </c>
      <c r="D87" s="151">
        <v>7000</v>
      </c>
      <c r="E87" s="167"/>
      <c r="F87" s="158"/>
      <c r="G87" s="158"/>
      <c r="H87" s="91">
        <v>0</v>
      </c>
      <c r="I87" s="91"/>
      <c r="J87" s="77">
        <v>0</v>
      </c>
      <c r="K87" s="154" t="s">
        <v>652</v>
      </c>
      <c r="L87" s="155" t="s">
        <v>666</v>
      </c>
      <c r="M87" s="178">
        <v>7000</v>
      </c>
      <c r="N87" s="167"/>
      <c r="O87" s="158"/>
      <c r="P87" s="158"/>
      <c r="Q87" s="91">
        <f t="shared" si="2"/>
        <v>0</v>
      </c>
      <c r="R87" s="91"/>
      <c r="S87" s="77">
        <f t="shared" si="3"/>
        <v>0</v>
      </c>
    </row>
    <row r="88" spans="1:19" s="160" customFormat="1" ht="32.25" customHeight="1">
      <c r="A88" s="106"/>
      <c r="B88" s="652" t="s">
        <v>114</v>
      </c>
      <c r="C88" s="653"/>
      <c r="D88" s="654"/>
      <c r="E88" s="167"/>
      <c r="F88" s="158"/>
      <c r="G88" s="158"/>
      <c r="H88" s="91">
        <v>0</v>
      </c>
      <c r="I88" s="91"/>
      <c r="J88" s="77">
        <v>0</v>
      </c>
      <c r="K88" s="164"/>
      <c r="L88" s="165"/>
      <c r="M88" s="177"/>
      <c r="N88" s="167"/>
      <c r="O88" s="158"/>
      <c r="P88" s="158"/>
      <c r="Q88" s="91">
        <f t="shared" si="2"/>
        <v>0</v>
      </c>
      <c r="R88" s="91"/>
      <c r="S88" s="77">
        <f t="shared" si="3"/>
        <v>0</v>
      </c>
    </row>
    <row r="89" spans="1:19" s="160" customFormat="1" ht="32.25" customHeight="1">
      <c r="A89" s="106">
        <v>22</v>
      </c>
      <c r="B89" s="142" t="s">
        <v>30</v>
      </c>
      <c r="C89" s="174" t="s">
        <v>115</v>
      </c>
      <c r="D89" s="151">
        <v>3970</v>
      </c>
      <c r="E89" s="167"/>
      <c r="F89" s="184"/>
      <c r="G89" s="184"/>
      <c r="H89" s="91">
        <v>0</v>
      </c>
      <c r="I89" s="91"/>
      <c r="J89" s="77">
        <v>0</v>
      </c>
      <c r="K89" s="154" t="s">
        <v>613</v>
      </c>
      <c r="L89" s="155" t="s">
        <v>667</v>
      </c>
      <c r="M89" s="178">
        <v>3970</v>
      </c>
      <c r="N89" s="167"/>
      <c r="O89" s="184"/>
      <c r="P89" s="184"/>
      <c r="Q89" s="91">
        <f t="shared" si="2"/>
        <v>0</v>
      </c>
      <c r="R89" s="91"/>
      <c r="S89" s="77">
        <f t="shared" si="3"/>
        <v>0</v>
      </c>
    </row>
    <row r="90" spans="1:19" s="160" customFormat="1" ht="32.25" customHeight="1">
      <c r="A90" s="106"/>
      <c r="B90" s="659" t="s">
        <v>118</v>
      </c>
      <c r="C90" s="660"/>
      <c r="D90" s="661"/>
      <c r="E90" s="167"/>
      <c r="F90" s="184"/>
      <c r="G90" s="184"/>
      <c r="H90" s="91">
        <v>0</v>
      </c>
      <c r="I90" s="91"/>
      <c r="J90" s="77">
        <v>0</v>
      </c>
      <c r="K90" s="164"/>
      <c r="L90" s="182"/>
      <c r="M90" s="183"/>
      <c r="N90" s="167"/>
      <c r="O90" s="184"/>
      <c r="P90" s="184"/>
      <c r="Q90" s="91">
        <f t="shared" si="2"/>
        <v>0</v>
      </c>
      <c r="R90" s="91"/>
      <c r="S90" s="77">
        <f t="shared" si="3"/>
        <v>0</v>
      </c>
    </row>
    <row r="91" spans="1:19" s="160" customFormat="1" ht="32.25" customHeight="1">
      <c r="A91" s="106"/>
      <c r="B91" s="185" t="s">
        <v>119</v>
      </c>
      <c r="C91" s="186"/>
      <c r="D91" s="187"/>
      <c r="E91" s="167"/>
      <c r="F91" s="184"/>
      <c r="G91" s="184"/>
      <c r="H91" s="91">
        <v>0</v>
      </c>
      <c r="I91" s="91"/>
      <c r="J91" s="77">
        <v>0</v>
      </c>
      <c r="K91" s="164"/>
      <c r="L91" s="182"/>
      <c r="M91" s="183"/>
      <c r="N91" s="167"/>
      <c r="O91" s="184"/>
      <c r="P91" s="184"/>
      <c r="Q91" s="91">
        <f t="shared" si="2"/>
        <v>0</v>
      </c>
      <c r="R91" s="91"/>
      <c r="S91" s="77">
        <f t="shared" si="3"/>
        <v>0</v>
      </c>
    </row>
    <row r="92" spans="1:19" s="160" customFormat="1" ht="32.25" customHeight="1">
      <c r="A92" s="106"/>
      <c r="B92" s="185" t="s">
        <v>120</v>
      </c>
      <c r="C92" s="186"/>
      <c r="D92" s="187">
        <v>0</v>
      </c>
      <c r="E92" s="167"/>
      <c r="F92" s="184"/>
      <c r="G92" s="184"/>
      <c r="H92" s="91">
        <v>0</v>
      </c>
      <c r="I92" s="91"/>
      <c r="J92" s="77">
        <v>0</v>
      </c>
      <c r="K92" s="164"/>
      <c r="L92" s="182"/>
      <c r="M92" s="183"/>
      <c r="N92" s="167"/>
      <c r="O92" s="184"/>
      <c r="P92" s="184"/>
      <c r="Q92" s="91">
        <f t="shared" si="2"/>
        <v>0</v>
      </c>
      <c r="R92" s="91"/>
      <c r="S92" s="77">
        <f t="shared" si="3"/>
        <v>0</v>
      </c>
    </row>
    <row r="93" spans="1:19" s="160" customFormat="1" ht="32.25" customHeight="1">
      <c r="A93" s="106"/>
      <c r="B93" s="188" t="s">
        <v>123</v>
      </c>
      <c r="C93" s="186"/>
      <c r="D93" s="187">
        <v>0</v>
      </c>
      <c r="E93" s="167"/>
      <c r="F93" s="184"/>
      <c r="G93" s="184"/>
      <c r="H93" s="91">
        <v>0</v>
      </c>
      <c r="I93" s="91"/>
      <c r="J93" s="77">
        <v>0</v>
      </c>
      <c r="K93" s="164"/>
      <c r="L93" s="182"/>
      <c r="M93" s="183"/>
      <c r="N93" s="167"/>
      <c r="O93" s="184"/>
      <c r="P93" s="184"/>
      <c r="Q93" s="91">
        <f t="shared" si="2"/>
        <v>0</v>
      </c>
      <c r="R93" s="91"/>
      <c r="S93" s="77">
        <f t="shared" si="3"/>
        <v>0</v>
      </c>
    </row>
    <row r="94" spans="1:19" s="160" customFormat="1" ht="32.25" customHeight="1">
      <c r="A94" s="106"/>
      <c r="B94" s="179"/>
      <c r="C94" s="180"/>
      <c r="D94" s="181"/>
      <c r="E94" s="167"/>
      <c r="F94" s="184"/>
      <c r="G94" s="184"/>
      <c r="H94" s="91">
        <v>0</v>
      </c>
      <c r="I94" s="91"/>
      <c r="J94" s="77">
        <v>0</v>
      </c>
      <c r="K94" s="164"/>
      <c r="L94" s="182"/>
      <c r="M94" s="183"/>
      <c r="N94" s="167"/>
      <c r="O94" s="184"/>
      <c r="P94" s="184"/>
      <c r="Q94" s="91">
        <f t="shared" si="2"/>
        <v>0</v>
      </c>
      <c r="R94" s="91"/>
      <c r="S94" s="77">
        <f t="shared" si="3"/>
        <v>0</v>
      </c>
    </row>
    <row r="95" spans="1:19" s="160" customFormat="1" ht="32.25" customHeight="1">
      <c r="A95" s="106">
        <v>23</v>
      </c>
      <c r="B95" s="142" t="s">
        <v>23</v>
      </c>
      <c r="C95" s="174" t="s">
        <v>126</v>
      </c>
      <c r="D95" s="151">
        <v>4600</v>
      </c>
      <c r="E95" s="167"/>
      <c r="F95" s="184"/>
      <c r="G95" s="184"/>
      <c r="H95" s="91">
        <v>0</v>
      </c>
      <c r="I95" s="91"/>
      <c r="J95" s="77">
        <v>0</v>
      </c>
      <c r="K95" s="154" t="s">
        <v>617</v>
      </c>
      <c r="L95" s="155" t="s">
        <v>668</v>
      </c>
      <c r="M95" s="178">
        <v>4600</v>
      </c>
      <c r="N95" s="167"/>
      <c r="O95" s="184"/>
      <c r="P95" s="184"/>
      <c r="Q95" s="91">
        <f t="shared" si="2"/>
        <v>0</v>
      </c>
      <c r="R95" s="91"/>
      <c r="S95" s="77">
        <f t="shared" si="3"/>
        <v>0</v>
      </c>
    </row>
    <row r="96" spans="1:19" ht="32.25" customHeight="1">
      <c r="A96" s="39"/>
      <c r="B96" s="652" t="s">
        <v>128</v>
      </c>
      <c r="C96" s="653"/>
      <c r="D96" s="654"/>
      <c r="E96" s="5"/>
      <c r="F96" s="43"/>
      <c r="G96" s="43"/>
      <c r="H96" s="91">
        <v>0</v>
      </c>
      <c r="I96" s="91"/>
      <c r="J96" s="77">
        <v>0</v>
      </c>
      <c r="K96" s="190"/>
      <c r="L96" s="191"/>
      <c r="N96" s="5"/>
      <c r="O96" s="43"/>
      <c r="P96" s="43"/>
      <c r="Q96" s="91">
        <v>0</v>
      </c>
      <c r="R96" s="91"/>
      <c r="S96" s="77">
        <v>0</v>
      </c>
    </row>
    <row r="97" spans="1:20" ht="32.25" customHeight="1" thickBot="1">
      <c r="A97" s="39"/>
      <c r="B97" s="50" t="s">
        <v>19</v>
      </c>
      <c r="C97" s="50"/>
      <c r="D97" s="51">
        <v>103170</v>
      </c>
      <c r="E97" s="52"/>
      <c r="F97" s="53"/>
      <c r="G97" s="52"/>
      <c r="H97" s="51">
        <f>SUM(J97)</f>
        <v>0</v>
      </c>
      <c r="I97" s="51">
        <v>0</v>
      </c>
      <c r="J97" s="51">
        <f>SUM(J64:J96)-J64-J89</f>
        <v>0</v>
      </c>
      <c r="K97" s="54"/>
      <c r="L97" s="55"/>
      <c r="M97" s="56">
        <f>SUM(M64:M96)</f>
        <v>103170</v>
      </c>
      <c r="N97" s="57"/>
      <c r="O97" s="53"/>
      <c r="P97" s="51"/>
      <c r="Q97" s="51">
        <f>SUM(Q64:Q96)-Q64-Q93</f>
        <v>0</v>
      </c>
      <c r="R97" s="51">
        <f t="shared" ref="R97:S97" si="4">SUM(R64:R96)-R64-R93</f>
        <v>0</v>
      </c>
      <c r="S97" s="51">
        <f t="shared" si="4"/>
        <v>0</v>
      </c>
    </row>
    <row r="98" spans="1:20" ht="32.25" customHeight="1" thickTop="1">
      <c r="A98" s="39"/>
      <c r="B98" s="141" t="s">
        <v>129</v>
      </c>
      <c r="C98" s="142"/>
      <c r="D98" s="125"/>
      <c r="E98" s="131"/>
      <c r="F98" s="115"/>
      <c r="G98" s="33"/>
      <c r="H98" s="143"/>
      <c r="I98" s="143"/>
      <c r="J98" s="143"/>
      <c r="K98" s="34"/>
      <c r="L98" s="35"/>
      <c r="M98" s="36"/>
      <c r="N98" s="114"/>
      <c r="O98" s="115"/>
      <c r="P98" s="144"/>
      <c r="Q98" s="33"/>
      <c r="R98" s="33"/>
      <c r="S98" s="38"/>
    </row>
    <row r="99" spans="1:20" ht="30" customHeight="1">
      <c r="A99" s="106">
        <v>1</v>
      </c>
      <c r="B99" s="142" t="s">
        <v>130</v>
      </c>
      <c r="C99" s="193" t="s">
        <v>131</v>
      </c>
      <c r="D99" s="125">
        <v>201.25</v>
      </c>
      <c r="E99" s="152"/>
      <c r="F99" s="194"/>
      <c r="G99" s="195"/>
      <c r="H99" s="196">
        <v>-1408.75</v>
      </c>
      <c r="I99" s="197"/>
      <c r="J99" s="198">
        <v>-1408.75</v>
      </c>
      <c r="K99" s="199"/>
      <c r="L99" s="200"/>
      <c r="M99" s="201"/>
      <c r="N99" s="202"/>
      <c r="O99" s="203"/>
      <c r="P99" s="204"/>
      <c r="Q99" s="205">
        <f>SUM(D99+J99-M99)</f>
        <v>-1207.5</v>
      </c>
      <c r="R99" s="206"/>
      <c r="S99" s="207">
        <f>SUM(Q99)</f>
        <v>-1207.5</v>
      </c>
    </row>
    <row r="100" spans="1:20" ht="30" customHeight="1">
      <c r="A100" s="106"/>
      <c r="B100" s="208" t="s">
        <v>340</v>
      </c>
      <c r="C100" s="193"/>
      <c r="D100" s="125"/>
      <c r="E100" s="163"/>
      <c r="F100" s="115"/>
      <c r="G100" s="91"/>
      <c r="H100" s="91">
        <v>0</v>
      </c>
      <c r="I100" s="125"/>
      <c r="J100" s="132">
        <v>0</v>
      </c>
      <c r="K100" s="209"/>
      <c r="L100" s="210"/>
      <c r="M100" s="36"/>
      <c r="N100" s="114"/>
      <c r="O100" s="115"/>
      <c r="P100" s="92"/>
      <c r="Q100" s="205">
        <f t="shared" ref="Q100:Q121" si="5">SUM(D100+J100-M100)</f>
        <v>0</v>
      </c>
      <c r="R100" s="125"/>
      <c r="S100" s="207">
        <f t="shared" ref="S100:S123" si="6">SUM(Q100)</f>
        <v>0</v>
      </c>
    </row>
    <row r="101" spans="1:20" ht="30" customHeight="1">
      <c r="A101" s="106"/>
      <c r="B101" s="211" t="s">
        <v>133</v>
      </c>
      <c r="C101" s="193"/>
      <c r="D101" s="125"/>
      <c r="E101" s="163"/>
      <c r="F101" s="115"/>
      <c r="G101" s="91"/>
      <c r="H101" s="91">
        <v>0</v>
      </c>
      <c r="I101" s="125"/>
      <c r="J101" s="132">
        <v>0</v>
      </c>
      <c r="K101" s="209"/>
      <c r="L101" s="210"/>
      <c r="M101" s="36"/>
      <c r="N101" s="114"/>
      <c r="O101" s="115"/>
      <c r="P101" s="92"/>
      <c r="Q101" s="205">
        <f t="shared" si="5"/>
        <v>0</v>
      </c>
      <c r="R101" s="125"/>
      <c r="S101" s="207">
        <f t="shared" si="6"/>
        <v>0</v>
      </c>
    </row>
    <row r="102" spans="1:20" ht="30" customHeight="1">
      <c r="A102" s="106"/>
      <c r="B102" s="208" t="s">
        <v>136</v>
      </c>
      <c r="C102" s="193"/>
      <c r="D102" s="125"/>
      <c r="E102" s="163"/>
      <c r="F102" s="115"/>
      <c r="G102" s="91"/>
      <c r="H102" s="91">
        <v>0</v>
      </c>
      <c r="I102" s="125"/>
      <c r="J102" s="132">
        <v>0</v>
      </c>
      <c r="K102" s="209"/>
      <c r="L102" s="210"/>
      <c r="M102" s="36"/>
      <c r="N102" s="114"/>
      <c r="O102" s="115"/>
      <c r="P102" s="92"/>
      <c r="Q102" s="205">
        <f t="shared" si="5"/>
        <v>0</v>
      </c>
      <c r="R102" s="125"/>
      <c r="S102" s="207">
        <f t="shared" si="6"/>
        <v>0</v>
      </c>
    </row>
    <row r="103" spans="1:20" ht="30" customHeight="1">
      <c r="A103" s="106"/>
      <c r="B103" s="208" t="s">
        <v>138</v>
      </c>
      <c r="C103" s="193"/>
      <c r="D103" s="125"/>
      <c r="E103" s="163"/>
      <c r="F103" s="115"/>
      <c r="G103" s="91"/>
      <c r="H103" s="91">
        <v>0</v>
      </c>
      <c r="I103" s="125"/>
      <c r="J103" s="132">
        <v>0</v>
      </c>
      <c r="K103" s="209"/>
      <c r="L103" s="210"/>
      <c r="M103" s="36"/>
      <c r="N103" s="114"/>
      <c r="O103" s="115"/>
      <c r="P103" s="92"/>
      <c r="Q103" s="205">
        <f t="shared" si="5"/>
        <v>0</v>
      </c>
      <c r="R103" s="125"/>
      <c r="S103" s="207">
        <f t="shared" si="6"/>
        <v>0</v>
      </c>
    </row>
    <row r="104" spans="1:20" ht="30" customHeight="1">
      <c r="A104" s="106"/>
      <c r="B104" s="208" t="s">
        <v>140</v>
      </c>
      <c r="C104" s="193"/>
      <c r="D104" s="125"/>
      <c r="E104" s="163"/>
      <c r="F104" s="115"/>
      <c r="G104" s="91"/>
      <c r="H104" s="91">
        <v>0</v>
      </c>
      <c r="I104" s="125"/>
      <c r="J104" s="132">
        <v>0</v>
      </c>
      <c r="K104" s="209"/>
      <c r="L104" s="210"/>
      <c r="M104" s="36"/>
      <c r="N104" s="114"/>
      <c r="O104" s="115"/>
      <c r="P104" s="92"/>
      <c r="Q104" s="205">
        <f t="shared" si="5"/>
        <v>0</v>
      </c>
      <c r="R104" s="125"/>
      <c r="S104" s="207">
        <f t="shared" si="6"/>
        <v>0</v>
      </c>
    </row>
    <row r="105" spans="1:20" ht="32.25" customHeight="1">
      <c r="A105" s="106">
        <v>2</v>
      </c>
      <c r="B105" s="142" t="s">
        <v>141</v>
      </c>
      <c r="C105" s="193" t="s">
        <v>142</v>
      </c>
      <c r="D105" s="125">
        <v>937.09</v>
      </c>
      <c r="E105" s="152"/>
      <c r="F105" s="212"/>
      <c r="G105" s="213"/>
      <c r="H105" s="153">
        <v>-8433.73</v>
      </c>
      <c r="I105" s="125"/>
      <c r="J105" s="132">
        <v>-8433.73</v>
      </c>
      <c r="K105" s="209"/>
      <c r="L105" s="210"/>
      <c r="M105" s="36"/>
      <c r="N105" s="214"/>
      <c r="O105" s="212"/>
      <c r="P105" s="215"/>
      <c r="Q105" s="205">
        <f t="shared" si="5"/>
        <v>-7496.6399999999994</v>
      </c>
      <c r="R105" s="216"/>
      <c r="S105" s="207">
        <f t="shared" si="6"/>
        <v>-7496.6399999999994</v>
      </c>
    </row>
    <row r="106" spans="1:20" ht="32.25" customHeight="1">
      <c r="A106" s="106"/>
      <c r="B106" s="142" t="s">
        <v>143</v>
      </c>
      <c r="C106" s="193"/>
      <c r="D106" s="125"/>
      <c r="E106" s="163"/>
      <c r="F106" s="115"/>
      <c r="G106" s="91"/>
      <c r="H106" s="91">
        <v>0</v>
      </c>
      <c r="I106" s="125"/>
      <c r="J106" s="132">
        <v>0</v>
      </c>
      <c r="K106" s="209"/>
      <c r="L106" s="210"/>
      <c r="M106" s="36"/>
      <c r="N106" s="114"/>
      <c r="O106" s="115"/>
      <c r="P106" s="92"/>
      <c r="Q106" s="205">
        <f t="shared" si="5"/>
        <v>0</v>
      </c>
      <c r="R106" s="125"/>
      <c r="S106" s="207">
        <f t="shared" si="6"/>
        <v>0</v>
      </c>
    </row>
    <row r="107" spans="1:20" ht="32.25" customHeight="1">
      <c r="A107" s="106"/>
      <c r="B107" s="146" t="s">
        <v>144</v>
      </c>
      <c r="C107" s="193"/>
      <c r="D107" s="125"/>
      <c r="E107" s="163"/>
      <c r="F107" s="115"/>
      <c r="G107" s="91"/>
      <c r="H107" s="91">
        <v>0</v>
      </c>
      <c r="I107" s="125"/>
      <c r="J107" s="132">
        <v>0</v>
      </c>
      <c r="K107" s="209"/>
      <c r="L107" s="210"/>
      <c r="M107" s="36"/>
      <c r="N107" s="114"/>
      <c r="O107" s="115"/>
      <c r="P107" s="92"/>
      <c r="Q107" s="205">
        <f t="shared" si="5"/>
        <v>0</v>
      </c>
      <c r="R107" s="125"/>
      <c r="S107" s="207">
        <f t="shared" si="6"/>
        <v>0</v>
      </c>
    </row>
    <row r="108" spans="1:20" ht="32.25" customHeight="1">
      <c r="A108" s="106">
        <v>3</v>
      </c>
      <c r="B108" s="142" t="s">
        <v>145</v>
      </c>
      <c r="C108" s="193" t="s">
        <v>146</v>
      </c>
      <c r="D108" s="125">
        <v>233.33</v>
      </c>
      <c r="E108" s="163"/>
      <c r="F108" s="115"/>
      <c r="G108" s="217"/>
      <c r="H108" s="91">
        <v>-3.9999999999906777E-2</v>
      </c>
      <c r="I108" s="125"/>
      <c r="J108" s="132">
        <v>-3.9999999999906777E-2</v>
      </c>
      <c r="K108" s="218"/>
      <c r="L108" s="219"/>
      <c r="M108" s="125"/>
      <c r="N108" s="220" t="s">
        <v>669</v>
      </c>
      <c r="O108" s="115">
        <v>1</v>
      </c>
      <c r="P108" s="221">
        <v>1</v>
      </c>
      <c r="Q108" s="205">
        <f t="shared" si="5"/>
        <v>233.29000000000011</v>
      </c>
      <c r="R108" s="216"/>
      <c r="S108" s="207">
        <f t="shared" si="6"/>
        <v>233.29000000000011</v>
      </c>
    </row>
    <row r="109" spans="1:20" ht="32.25" customHeight="1">
      <c r="A109" s="106"/>
      <c r="B109" s="142" t="s">
        <v>147</v>
      </c>
      <c r="C109" s="222"/>
      <c r="D109" s="125"/>
      <c r="E109" s="163"/>
      <c r="F109" s="115"/>
      <c r="G109" s="91"/>
      <c r="H109" s="91">
        <v>0</v>
      </c>
      <c r="I109" s="125"/>
      <c r="J109" s="132">
        <v>0</v>
      </c>
      <c r="K109" s="672"/>
      <c r="L109" s="673"/>
      <c r="M109" s="674"/>
      <c r="N109" s="220"/>
      <c r="O109" s="115"/>
      <c r="P109" s="92"/>
      <c r="Q109" s="205">
        <f t="shared" si="5"/>
        <v>0</v>
      </c>
      <c r="R109" s="125"/>
      <c r="S109" s="207">
        <f t="shared" si="6"/>
        <v>0</v>
      </c>
    </row>
    <row r="110" spans="1:20" ht="32.25" customHeight="1">
      <c r="A110" s="106"/>
      <c r="B110" s="223" t="s">
        <v>148</v>
      </c>
      <c r="C110" s="224"/>
      <c r="D110" s="125"/>
      <c r="E110" s="163"/>
      <c r="F110" s="115"/>
      <c r="G110" s="91"/>
      <c r="H110" s="91">
        <v>0</v>
      </c>
      <c r="I110" s="125"/>
      <c r="J110" s="132">
        <v>0</v>
      </c>
      <c r="K110" s="225"/>
      <c r="L110" s="219"/>
      <c r="M110" s="125"/>
      <c r="N110" s="220"/>
      <c r="O110" s="115"/>
      <c r="P110" s="92"/>
      <c r="Q110" s="205">
        <f t="shared" si="5"/>
        <v>0</v>
      </c>
      <c r="R110" s="125"/>
      <c r="S110" s="207">
        <f t="shared" si="6"/>
        <v>0</v>
      </c>
    </row>
    <row r="111" spans="1:20" s="230" customFormat="1" ht="32.25" customHeight="1">
      <c r="A111" s="106">
        <v>4</v>
      </c>
      <c r="B111" s="222" t="s">
        <v>149</v>
      </c>
      <c r="C111" s="222" t="s">
        <v>150</v>
      </c>
      <c r="D111" s="125">
        <v>1212.29</v>
      </c>
      <c r="E111" s="163"/>
      <c r="F111" s="115"/>
      <c r="G111" s="91"/>
      <c r="H111" s="153">
        <v>-4849.1799999999957</v>
      </c>
      <c r="I111" s="216"/>
      <c r="J111" s="226">
        <v>-4849.1799999999957</v>
      </c>
      <c r="K111" s="114"/>
      <c r="L111" s="114"/>
      <c r="M111" s="125"/>
      <c r="N111" s="227"/>
      <c r="O111" s="228"/>
      <c r="P111" s="92"/>
      <c r="Q111" s="205">
        <f t="shared" si="5"/>
        <v>-3636.8899999999958</v>
      </c>
      <c r="R111" s="229"/>
      <c r="S111" s="207">
        <f t="shared" si="6"/>
        <v>-3636.8899999999958</v>
      </c>
    </row>
    <row r="112" spans="1:20" s="235" customFormat="1" ht="32.25" customHeight="1">
      <c r="A112" s="106"/>
      <c r="B112" s="231" t="s">
        <v>151</v>
      </c>
      <c r="C112" s="232"/>
      <c r="D112" s="233"/>
      <c r="E112" s="163"/>
      <c r="F112" s="115"/>
      <c r="G112" s="91"/>
      <c r="H112" s="91">
        <v>0</v>
      </c>
      <c r="I112" s="125"/>
      <c r="J112" s="132">
        <v>0</v>
      </c>
      <c r="K112" s="225"/>
      <c r="L112" s="219"/>
      <c r="M112" s="125"/>
      <c r="N112" s="234"/>
      <c r="O112" s="228"/>
      <c r="P112" s="92"/>
      <c r="Q112" s="205">
        <f t="shared" si="5"/>
        <v>0</v>
      </c>
      <c r="R112" s="125"/>
      <c r="S112" s="207">
        <f t="shared" si="6"/>
        <v>0</v>
      </c>
      <c r="T112" s="230"/>
    </row>
    <row r="113" spans="1:21" s="237" customFormat="1" ht="32.25" customHeight="1">
      <c r="A113" s="106">
        <v>5</v>
      </c>
      <c r="B113" s="222" t="s">
        <v>152</v>
      </c>
      <c r="C113" s="193" t="s">
        <v>153</v>
      </c>
      <c r="D113" s="125">
        <v>670.84</v>
      </c>
      <c r="E113" s="163"/>
      <c r="F113" s="115"/>
      <c r="G113" s="91"/>
      <c r="H113" s="91">
        <v>-2683.2799999999988</v>
      </c>
      <c r="I113" s="125"/>
      <c r="J113" s="132">
        <v>-2683.2799999999988</v>
      </c>
      <c r="K113" s="225"/>
      <c r="L113" s="219"/>
      <c r="M113" s="125"/>
      <c r="N113" s="227"/>
      <c r="O113" s="228"/>
      <c r="P113" s="92"/>
      <c r="Q113" s="205">
        <f t="shared" si="5"/>
        <v>-2012.4399999999987</v>
      </c>
      <c r="R113" s="229"/>
      <c r="S113" s="207">
        <f t="shared" si="6"/>
        <v>-2012.4399999999987</v>
      </c>
      <c r="T113" s="2"/>
      <c r="U113" s="2"/>
    </row>
    <row r="114" spans="1:21" s="237" customFormat="1" ht="32.25" customHeight="1">
      <c r="A114" s="106"/>
      <c r="B114" s="238" t="s">
        <v>154</v>
      </c>
      <c r="C114" s="193"/>
      <c r="D114" s="92"/>
      <c r="E114" s="239"/>
      <c r="F114" s="122"/>
      <c r="G114" s="91"/>
      <c r="H114" s="91">
        <v>0</v>
      </c>
      <c r="I114" s="92"/>
      <c r="J114" s="132">
        <v>0</v>
      </c>
      <c r="K114" s="225"/>
      <c r="L114" s="219"/>
      <c r="M114" s="125"/>
      <c r="N114" s="240"/>
      <c r="O114" s="122"/>
      <c r="P114" s="92"/>
      <c r="Q114" s="205">
        <f t="shared" si="5"/>
        <v>0</v>
      </c>
      <c r="R114" s="125"/>
      <c r="S114" s="207">
        <f t="shared" si="6"/>
        <v>0</v>
      </c>
      <c r="T114" s="2"/>
      <c r="U114" s="2"/>
    </row>
    <row r="115" spans="1:21" s="259" customFormat="1" ht="32.25" customHeight="1">
      <c r="A115" s="241">
        <v>6</v>
      </c>
      <c r="B115" s="242" t="s">
        <v>52</v>
      </c>
      <c r="C115" s="243" t="s">
        <v>155</v>
      </c>
      <c r="D115" s="244">
        <v>108.34</v>
      </c>
      <c r="E115" s="245"/>
      <c r="F115" s="246"/>
      <c r="G115" s="247"/>
      <c r="H115" s="248">
        <v>-974.97999999999968</v>
      </c>
      <c r="I115" s="249"/>
      <c r="J115" s="250">
        <v>-974.97999999999968</v>
      </c>
      <c r="K115" s="251"/>
      <c r="L115" s="252"/>
      <c r="M115" s="253"/>
      <c r="N115" s="254"/>
      <c r="O115" s="255"/>
      <c r="P115" s="256"/>
      <c r="Q115" s="205">
        <f t="shared" si="5"/>
        <v>-866.63999999999965</v>
      </c>
      <c r="R115" s="216"/>
      <c r="S115" s="207">
        <f t="shared" si="6"/>
        <v>-866.63999999999965</v>
      </c>
    </row>
    <row r="116" spans="1:21" s="259" customFormat="1" ht="32.25" customHeight="1">
      <c r="A116" s="260"/>
      <c r="B116" s="242" t="s">
        <v>156</v>
      </c>
      <c r="C116" s="242"/>
      <c r="D116" s="244"/>
      <c r="E116" s="245"/>
      <c r="F116" s="246"/>
      <c r="G116" s="248"/>
      <c r="H116" s="248">
        <v>0</v>
      </c>
      <c r="I116" s="249"/>
      <c r="J116" s="250">
        <v>0</v>
      </c>
      <c r="K116" s="251"/>
      <c r="L116" s="252"/>
      <c r="M116" s="253"/>
      <c r="N116" s="261"/>
      <c r="O116" s="246"/>
      <c r="P116" s="249"/>
      <c r="Q116" s="205">
        <f t="shared" si="5"/>
        <v>0</v>
      </c>
      <c r="R116" s="216"/>
      <c r="S116" s="207">
        <f t="shared" si="6"/>
        <v>0</v>
      </c>
    </row>
    <row r="117" spans="1:21" s="259" customFormat="1" ht="32.25" customHeight="1">
      <c r="A117" s="260"/>
      <c r="B117" s="675" t="s">
        <v>157</v>
      </c>
      <c r="C117" s="676"/>
      <c r="D117" s="244"/>
      <c r="E117" s="245"/>
      <c r="F117" s="246"/>
      <c r="G117" s="248"/>
      <c r="H117" s="248">
        <v>0</v>
      </c>
      <c r="I117" s="249"/>
      <c r="J117" s="250">
        <v>0</v>
      </c>
      <c r="K117" s="251"/>
      <c r="L117" s="252"/>
      <c r="M117" s="253"/>
      <c r="N117" s="261"/>
      <c r="O117" s="246"/>
      <c r="P117" s="249"/>
      <c r="Q117" s="205">
        <f t="shared" si="5"/>
        <v>0</v>
      </c>
      <c r="R117" s="216"/>
      <c r="S117" s="207">
        <f t="shared" si="6"/>
        <v>0</v>
      </c>
    </row>
    <row r="118" spans="1:21" ht="41.25" customHeight="1">
      <c r="A118" s="106">
        <v>7</v>
      </c>
      <c r="B118" s="142" t="s">
        <v>158</v>
      </c>
      <c r="C118" s="142" t="s">
        <v>159</v>
      </c>
      <c r="D118" s="125">
        <v>191.67</v>
      </c>
      <c r="E118" s="152"/>
      <c r="F118" s="212"/>
      <c r="G118" s="262"/>
      <c r="H118" s="262">
        <v>-958.30999999999983</v>
      </c>
      <c r="I118" s="216"/>
      <c r="J118" s="226">
        <v>-958.30999999999983</v>
      </c>
      <c r="K118" s="225"/>
      <c r="L118" s="219"/>
      <c r="M118" s="263"/>
      <c r="N118" s="214"/>
      <c r="O118" s="212"/>
      <c r="P118" s="216"/>
      <c r="Q118" s="205">
        <f t="shared" si="5"/>
        <v>-766.63999999999987</v>
      </c>
      <c r="R118" s="216"/>
      <c r="S118" s="207">
        <f t="shared" si="6"/>
        <v>-766.63999999999987</v>
      </c>
    </row>
    <row r="119" spans="1:21" ht="39.75" customHeight="1">
      <c r="A119" s="264"/>
      <c r="B119" s="41" t="s">
        <v>160</v>
      </c>
      <c r="C119" s="41"/>
      <c r="D119" s="42"/>
      <c r="E119" s="189"/>
      <c r="F119" s="43"/>
      <c r="G119" s="6"/>
      <c r="H119" s="6">
        <v>0</v>
      </c>
      <c r="I119" s="42"/>
      <c r="J119" s="136">
        <v>0</v>
      </c>
      <c r="K119" s="265"/>
      <c r="L119" s="266"/>
      <c r="M119" s="92"/>
      <c r="N119" s="5"/>
      <c r="O119" s="43"/>
      <c r="P119" s="42"/>
      <c r="Q119" s="205">
        <f t="shared" si="5"/>
        <v>0</v>
      </c>
      <c r="R119" s="42"/>
      <c r="S119" s="207">
        <f t="shared" si="6"/>
        <v>0</v>
      </c>
    </row>
    <row r="120" spans="1:21" ht="41.25" customHeight="1">
      <c r="A120" s="264"/>
      <c r="B120" s="41" t="s">
        <v>161</v>
      </c>
      <c r="C120" s="41"/>
      <c r="D120" s="42"/>
      <c r="E120" s="189"/>
      <c r="F120" s="43"/>
      <c r="G120" s="6"/>
      <c r="H120" s="6">
        <v>0</v>
      </c>
      <c r="I120" s="42"/>
      <c r="J120" s="136">
        <v>0</v>
      </c>
      <c r="K120" s="267"/>
      <c r="L120" s="268"/>
      <c r="M120" s="42"/>
      <c r="N120" s="5"/>
      <c r="O120" s="43"/>
      <c r="P120" s="42"/>
      <c r="Q120" s="205">
        <f t="shared" si="5"/>
        <v>0</v>
      </c>
      <c r="R120" s="42"/>
      <c r="S120" s="207">
        <f t="shared" si="6"/>
        <v>0</v>
      </c>
    </row>
    <row r="121" spans="1:21" ht="41.25" customHeight="1">
      <c r="A121" s="264"/>
      <c r="B121" s="41" t="s">
        <v>162</v>
      </c>
      <c r="C121" s="41"/>
      <c r="D121" s="42"/>
      <c r="E121" s="189"/>
      <c r="F121" s="43"/>
      <c r="G121" s="6"/>
      <c r="H121" s="6">
        <v>0</v>
      </c>
      <c r="I121" s="42"/>
      <c r="J121" s="136">
        <v>0</v>
      </c>
      <c r="K121" s="267"/>
      <c r="L121" s="268"/>
      <c r="M121" s="42"/>
      <c r="N121" s="5"/>
      <c r="O121" s="43"/>
      <c r="P121" s="42"/>
      <c r="Q121" s="205">
        <f t="shared" si="5"/>
        <v>0</v>
      </c>
      <c r="R121" s="42"/>
      <c r="S121" s="207">
        <f t="shared" si="6"/>
        <v>0</v>
      </c>
    </row>
    <row r="122" spans="1:21" ht="41.25" customHeight="1">
      <c r="A122" s="264"/>
      <c r="B122" s="41" t="s">
        <v>163</v>
      </c>
      <c r="C122" s="41"/>
      <c r="D122" s="42"/>
      <c r="E122" s="269"/>
      <c r="F122" s="270"/>
      <c r="G122" s="271"/>
      <c r="H122" s="271">
        <v>0</v>
      </c>
      <c r="I122" s="272"/>
      <c r="J122" s="273">
        <v>0</v>
      </c>
      <c r="K122" s="265"/>
      <c r="L122" s="266"/>
      <c r="M122" s="92"/>
      <c r="N122" s="274"/>
      <c r="O122" s="270"/>
      <c r="P122" s="272"/>
      <c r="Q122" s="153">
        <v>0</v>
      </c>
      <c r="R122" s="272"/>
      <c r="S122" s="207">
        <f t="shared" si="6"/>
        <v>0</v>
      </c>
    </row>
    <row r="123" spans="1:21" ht="41.25" customHeight="1">
      <c r="A123" s="264"/>
      <c r="B123" s="275" t="s">
        <v>164</v>
      </c>
      <c r="C123" s="41"/>
      <c r="D123" s="42"/>
      <c r="E123" s="269"/>
      <c r="F123" s="270"/>
      <c r="G123" s="271"/>
      <c r="H123" s="271">
        <v>0</v>
      </c>
      <c r="I123" s="272"/>
      <c r="J123" s="273">
        <v>0</v>
      </c>
      <c r="K123" s="267"/>
      <c r="L123" s="268"/>
      <c r="M123" s="42"/>
      <c r="N123" s="274"/>
      <c r="O123" s="270"/>
      <c r="P123" s="272"/>
      <c r="Q123" s="153">
        <v>0</v>
      </c>
      <c r="R123" s="272"/>
      <c r="S123" s="207">
        <f t="shared" si="6"/>
        <v>0</v>
      </c>
    </row>
    <row r="124" spans="1:21" ht="41.25" customHeight="1">
      <c r="A124" s="264"/>
      <c r="B124" s="275" t="s">
        <v>165</v>
      </c>
      <c r="C124" s="41"/>
      <c r="D124" s="42">
        <v>0</v>
      </c>
      <c r="E124" s="269"/>
      <c r="F124" s="270"/>
      <c r="G124" s="271"/>
      <c r="H124" s="271">
        <v>0</v>
      </c>
      <c r="I124" s="272"/>
      <c r="J124" s="273">
        <v>0</v>
      </c>
      <c r="K124" s="267"/>
      <c r="L124" s="268"/>
      <c r="M124" s="42"/>
      <c r="N124" s="274"/>
      <c r="O124" s="270"/>
      <c r="P124" s="272"/>
      <c r="Q124" s="153">
        <v>0</v>
      </c>
      <c r="R124" s="272"/>
      <c r="S124" s="159">
        <v>0</v>
      </c>
    </row>
    <row r="125" spans="1:21" ht="41.25" customHeight="1">
      <c r="A125" s="264"/>
      <c r="B125" s="275" t="s">
        <v>166</v>
      </c>
      <c r="C125" s="41"/>
      <c r="D125" s="42">
        <v>0</v>
      </c>
      <c r="E125" s="269"/>
      <c r="F125" s="270"/>
      <c r="G125" s="271"/>
      <c r="H125" s="271">
        <v>0</v>
      </c>
      <c r="I125" s="272"/>
      <c r="J125" s="273">
        <v>0</v>
      </c>
      <c r="K125" s="267"/>
      <c r="L125" s="268"/>
      <c r="M125" s="42"/>
      <c r="N125" s="274"/>
      <c r="O125" s="270"/>
      <c r="P125" s="272"/>
      <c r="Q125" s="153">
        <v>0</v>
      </c>
      <c r="R125" s="272"/>
      <c r="S125" s="159">
        <v>0</v>
      </c>
    </row>
    <row r="126" spans="1:21" ht="32.25" customHeight="1" thickBot="1">
      <c r="A126" s="39"/>
      <c r="B126" s="50" t="s">
        <v>19</v>
      </c>
      <c r="C126" s="50"/>
      <c r="D126" s="51">
        <f>SUM(D99:D125)</f>
        <v>3554.8100000000004</v>
      </c>
      <c r="E126" s="52"/>
      <c r="F126" s="53"/>
      <c r="G126" s="52"/>
      <c r="H126" s="51">
        <f>SUM(H99:H125)-H99-H108-H111-H113-H118-H105-H115</f>
        <v>1.9326762412674725E-12</v>
      </c>
      <c r="I126" s="51">
        <f t="shared" ref="I126:J126" si="7">SUM(I99:I125)-I99-I108-I111-I113-I118-I105-I115</f>
        <v>0</v>
      </c>
      <c r="J126" s="51">
        <f t="shared" si="7"/>
        <v>1.9326762412674725E-12</v>
      </c>
      <c r="K126" s="51">
        <v>0</v>
      </c>
      <c r="L126" s="51">
        <v>0</v>
      </c>
      <c r="M126" s="51">
        <f>SUM(K99:M125)</f>
        <v>0</v>
      </c>
      <c r="N126" s="51"/>
      <c r="O126" s="51">
        <v>0</v>
      </c>
      <c r="P126" s="51">
        <v>0</v>
      </c>
      <c r="Q126" s="51">
        <f>SUM(Q108)</f>
        <v>233.29000000000011</v>
      </c>
      <c r="R126" s="51">
        <f t="shared" ref="R126:S126" si="8">SUM(R108)</f>
        <v>0</v>
      </c>
      <c r="S126" s="51">
        <f t="shared" si="8"/>
        <v>233.29000000000011</v>
      </c>
    </row>
    <row r="127" spans="1:21" ht="32.25" customHeight="1" thickTop="1">
      <c r="A127" s="39"/>
      <c r="B127" s="141" t="s">
        <v>167</v>
      </c>
      <c r="C127" s="142"/>
      <c r="D127" s="125"/>
      <c r="E127" s="131"/>
      <c r="F127" s="115"/>
      <c r="G127" s="33"/>
      <c r="H127" s="143"/>
      <c r="I127" s="143"/>
      <c r="J127" s="143"/>
      <c r="K127" s="34"/>
      <c r="L127" s="35"/>
      <c r="M127" s="36"/>
      <c r="N127" s="114"/>
      <c r="O127" s="115"/>
      <c r="P127" s="144"/>
      <c r="Q127" s="33"/>
      <c r="R127" s="33"/>
      <c r="S127" s="145"/>
    </row>
    <row r="128" spans="1:21" s="160" customFormat="1" ht="32.25" customHeight="1">
      <c r="A128" s="106">
        <v>1</v>
      </c>
      <c r="B128" s="142" t="s">
        <v>23</v>
      </c>
      <c r="C128" s="142" t="s">
        <v>168</v>
      </c>
      <c r="D128" s="151">
        <v>10925</v>
      </c>
      <c r="E128" s="163"/>
      <c r="F128" s="122"/>
      <c r="G128" s="122"/>
      <c r="H128" s="91">
        <v>0</v>
      </c>
      <c r="I128" s="122"/>
      <c r="J128" s="132">
        <v>0</v>
      </c>
      <c r="K128" s="276" t="s">
        <v>617</v>
      </c>
      <c r="L128" s="277" t="s">
        <v>670</v>
      </c>
      <c r="M128" s="278">
        <v>10925</v>
      </c>
      <c r="N128" s="279"/>
      <c r="O128" s="280"/>
      <c r="P128" s="280"/>
      <c r="Q128" s="91">
        <f>SUM(D128+J128-M128)</f>
        <v>0</v>
      </c>
      <c r="R128" s="91"/>
      <c r="S128" s="77">
        <f>SUM(D128+J128-M128)</f>
        <v>0</v>
      </c>
    </row>
    <row r="129" spans="1:19" s="160" customFormat="1" ht="32.25" customHeight="1">
      <c r="A129" s="106">
        <v>2</v>
      </c>
      <c r="B129" s="142" t="s">
        <v>69</v>
      </c>
      <c r="C129" s="142" t="s">
        <v>170</v>
      </c>
      <c r="D129" s="151">
        <v>920</v>
      </c>
      <c r="E129" s="163"/>
      <c r="F129" s="122"/>
      <c r="G129" s="122"/>
      <c r="H129" s="91">
        <v>0</v>
      </c>
      <c r="I129" s="122"/>
      <c r="J129" s="132">
        <v>0</v>
      </c>
      <c r="K129" s="276" t="s">
        <v>613</v>
      </c>
      <c r="L129" s="277" t="s">
        <v>671</v>
      </c>
      <c r="M129" s="278">
        <v>920</v>
      </c>
      <c r="N129" s="281"/>
      <c r="O129" s="280"/>
      <c r="P129" s="280"/>
      <c r="Q129" s="91">
        <f t="shared" ref="Q129:Q140" si="9">SUM(D129+J129-M129)</f>
        <v>0</v>
      </c>
      <c r="R129" s="91"/>
      <c r="S129" s="77">
        <f t="shared" ref="S129:S140" si="10">SUM(D129+J129-M129)</f>
        <v>0</v>
      </c>
    </row>
    <row r="130" spans="1:19" s="160" customFormat="1" ht="32.25" customHeight="1">
      <c r="A130" s="106">
        <v>3</v>
      </c>
      <c r="B130" s="142" t="s">
        <v>27</v>
      </c>
      <c r="C130" s="142" t="s">
        <v>172</v>
      </c>
      <c r="D130" s="151">
        <v>1100</v>
      </c>
      <c r="E130" s="163"/>
      <c r="F130" s="122"/>
      <c r="G130" s="122"/>
      <c r="H130" s="91">
        <v>0</v>
      </c>
      <c r="I130" s="122"/>
      <c r="J130" s="132">
        <v>0</v>
      </c>
      <c r="K130" s="276" t="s">
        <v>656</v>
      </c>
      <c r="L130" s="277" t="s">
        <v>672</v>
      </c>
      <c r="M130" s="278">
        <v>1100</v>
      </c>
      <c r="N130" s="279"/>
      <c r="O130" s="280"/>
      <c r="P130" s="280"/>
      <c r="Q130" s="91">
        <f t="shared" si="9"/>
        <v>0</v>
      </c>
      <c r="R130" s="91"/>
      <c r="S130" s="77">
        <f t="shared" si="10"/>
        <v>0</v>
      </c>
    </row>
    <row r="131" spans="1:19" s="160" customFormat="1" ht="32.25" customHeight="1">
      <c r="A131" s="106"/>
      <c r="B131" s="142" t="s">
        <v>341</v>
      </c>
      <c r="C131" s="142"/>
      <c r="D131" s="151"/>
      <c r="E131" s="163"/>
      <c r="F131" s="122"/>
      <c r="G131" s="122"/>
      <c r="H131" s="91">
        <v>0</v>
      </c>
      <c r="I131" s="122"/>
      <c r="J131" s="132">
        <v>0</v>
      </c>
      <c r="K131" s="276"/>
      <c r="L131" s="277"/>
      <c r="M131" s="278"/>
      <c r="N131" s="279"/>
      <c r="O131" s="280"/>
      <c r="P131" s="280"/>
      <c r="Q131" s="91">
        <f t="shared" si="9"/>
        <v>0</v>
      </c>
      <c r="R131" s="91"/>
      <c r="S131" s="77">
        <f t="shared" si="10"/>
        <v>0</v>
      </c>
    </row>
    <row r="132" spans="1:19" s="160" customFormat="1" ht="32.25" customHeight="1">
      <c r="A132" s="106"/>
      <c r="B132" s="142" t="s">
        <v>342</v>
      </c>
      <c r="C132" s="142"/>
      <c r="D132" s="151"/>
      <c r="E132" s="163"/>
      <c r="F132" s="122"/>
      <c r="G132" s="122"/>
      <c r="H132" s="91">
        <v>0</v>
      </c>
      <c r="I132" s="122"/>
      <c r="J132" s="132">
        <v>0</v>
      </c>
      <c r="K132" s="276"/>
      <c r="L132" s="277"/>
      <c r="M132" s="278"/>
      <c r="N132" s="279"/>
      <c r="O132" s="280"/>
      <c r="P132" s="280"/>
      <c r="Q132" s="91">
        <f t="shared" si="9"/>
        <v>0</v>
      </c>
      <c r="R132" s="91"/>
      <c r="S132" s="77">
        <f t="shared" si="10"/>
        <v>0</v>
      </c>
    </row>
    <row r="133" spans="1:19" s="160" customFormat="1" ht="32.25" customHeight="1">
      <c r="A133" s="106"/>
      <c r="B133" s="142" t="s">
        <v>343</v>
      </c>
      <c r="C133" s="142"/>
      <c r="D133" s="151"/>
      <c r="E133" s="163"/>
      <c r="F133" s="122"/>
      <c r="G133" s="122"/>
      <c r="H133" s="91">
        <v>0</v>
      </c>
      <c r="I133" s="122"/>
      <c r="J133" s="132">
        <v>0</v>
      </c>
      <c r="K133" s="276"/>
      <c r="L133" s="277"/>
      <c r="M133" s="278"/>
      <c r="N133" s="279"/>
      <c r="O133" s="280"/>
      <c r="P133" s="280"/>
      <c r="Q133" s="91">
        <f t="shared" si="9"/>
        <v>0</v>
      </c>
      <c r="R133" s="91"/>
      <c r="S133" s="77">
        <f t="shared" si="10"/>
        <v>0</v>
      </c>
    </row>
    <row r="134" spans="1:19" s="160" customFormat="1" ht="32.25" customHeight="1">
      <c r="A134" s="106">
        <v>4</v>
      </c>
      <c r="B134" s="142" t="s">
        <v>77</v>
      </c>
      <c r="C134" s="142" t="s">
        <v>174</v>
      </c>
      <c r="D134" s="151">
        <v>920</v>
      </c>
      <c r="E134" s="163"/>
      <c r="F134" s="122"/>
      <c r="G134" s="122"/>
      <c r="H134" s="91">
        <v>0</v>
      </c>
      <c r="I134" s="122"/>
      <c r="J134" s="132">
        <v>0</v>
      </c>
      <c r="K134" s="276" t="s">
        <v>652</v>
      </c>
      <c r="L134" s="277" t="s">
        <v>673</v>
      </c>
      <c r="M134" s="278">
        <v>920</v>
      </c>
      <c r="N134" s="279"/>
      <c r="O134" s="280"/>
      <c r="P134" s="280"/>
      <c r="Q134" s="91">
        <f t="shared" si="9"/>
        <v>0</v>
      </c>
      <c r="R134" s="91"/>
      <c r="S134" s="77">
        <f t="shared" si="10"/>
        <v>0</v>
      </c>
    </row>
    <row r="135" spans="1:19" s="160" customFormat="1" ht="32.25" customHeight="1">
      <c r="A135" s="106">
        <v>5</v>
      </c>
      <c r="B135" s="142" t="s">
        <v>176</v>
      </c>
      <c r="C135" s="142" t="s">
        <v>177</v>
      </c>
      <c r="D135" s="151">
        <v>2300</v>
      </c>
      <c r="E135" s="163"/>
      <c r="F135" s="122"/>
      <c r="G135" s="122"/>
      <c r="H135" s="91">
        <v>0</v>
      </c>
      <c r="I135" s="122"/>
      <c r="J135" s="132">
        <v>0</v>
      </c>
      <c r="K135" s="276" t="s">
        <v>652</v>
      </c>
      <c r="L135" s="277" t="s">
        <v>674</v>
      </c>
      <c r="M135" s="278">
        <v>2300</v>
      </c>
      <c r="N135" s="279"/>
      <c r="O135" s="280"/>
      <c r="P135" s="280"/>
      <c r="Q135" s="91">
        <f t="shared" si="9"/>
        <v>0</v>
      </c>
      <c r="R135" s="91"/>
      <c r="S135" s="77">
        <f t="shared" si="10"/>
        <v>0</v>
      </c>
    </row>
    <row r="136" spans="1:19" ht="32.25" customHeight="1">
      <c r="A136" s="106">
        <v>6</v>
      </c>
      <c r="B136" s="142" t="s">
        <v>75</v>
      </c>
      <c r="C136" s="142" t="s">
        <v>179</v>
      </c>
      <c r="D136" s="151"/>
      <c r="E136" s="163"/>
      <c r="F136" s="115"/>
      <c r="G136" s="115"/>
      <c r="H136" s="131">
        <v>0</v>
      </c>
      <c r="I136" s="115"/>
      <c r="J136" s="132">
        <v>0</v>
      </c>
      <c r="K136" s="282"/>
      <c r="L136" s="210"/>
      <c r="M136" s="283"/>
      <c r="N136" s="114"/>
      <c r="O136" s="122"/>
      <c r="P136" s="122"/>
      <c r="Q136" s="91">
        <f t="shared" si="9"/>
        <v>0</v>
      </c>
      <c r="R136" s="91"/>
      <c r="S136" s="77">
        <f t="shared" si="10"/>
        <v>0</v>
      </c>
    </row>
    <row r="137" spans="1:19" ht="32.25" customHeight="1">
      <c r="A137" s="106">
        <v>7</v>
      </c>
      <c r="B137" s="142" t="s">
        <v>75</v>
      </c>
      <c r="C137" s="142" t="s">
        <v>180</v>
      </c>
      <c r="D137" s="151"/>
      <c r="E137" s="163"/>
      <c r="F137" s="115"/>
      <c r="G137" s="115"/>
      <c r="H137" s="131">
        <v>0</v>
      </c>
      <c r="I137" s="115"/>
      <c r="J137" s="132">
        <v>0</v>
      </c>
      <c r="K137" s="282"/>
      <c r="L137" s="210"/>
      <c r="M137" s="283"/>
      <c r="N137" s="114"/>
      <c r="O137" s="122"/>
      <c r="P137" s="122"/>
      <c r="Q137" s="91">
        <f t="shared" si="9"/>
        <v>0</v>
      </c>
      <c r="R137" s="91"/>
      <c r="S137" s="77">
        <f t="shared" si="10"/>
        <v>0</v>
      </c>
    </row>
    <row r="138" spans="1:19" ht="32.25" customHeight="1">
      <c r="A138" s="106">
        <v>8</v>
      </c>
      <c r="B138" s="142" t="s">
        <v>75</v>
      </c>
      <c r="C138" s="142" t="s">
        <v>181</v>
      </c>
      <c r="D138" s="151">
        <v>0</v>
      </c>
      <c r="E138" s="163"/>
      <c r="F138" s="115"/>
      <c r="G138" s="115"/>
      <c r="H138" s="131">
        <v>0</v>
      </c>
      <c r="I138" s="115"/>
      <c r="J138" s="132">
        <v>0</v>
      </c>
      <c r="K138" s="282"/>
      <c r="L138" s="210"/>
      <c r="M138" s="283"/>
      <c r="N138" s="114"/>
      <c r="O138" s="122"/>
      <c r="P138" s="122"/>
      <c r="Q138" s="91">
        <f t="shared" si="9"/>
        <v>0</v>
      </c>
      <c r="R138" s="91"/>
      <c r="S138" s="77">
        <f t="shared" si="10"/>
        <v>0</v>
      </c>
    </row>
    <row r="139" spans="1:19" ht="32.25" customHeight="1">
      <c r="A139" s="106">
        <v>9</v>
      </c>
      <c r="B139" s="142" t="s">
        <v>75</v>
      </c>
      <c r="C139" s="142" t="s">
        <v>182</v>
      </c>
      <c r="D139" s="151">
        <v>0</v>
      </c>
      <c r="E139" s="163"/>
      <c r="F139" s="115"/>
      <c r="G139" s="115"/>
      <c r="H139" s="131">
        <v>0</v>
      </c>
      <c r="I139" s="115"/>
      <c r="J139" s="132">
        <v>0</v>
      </c>
      <c r="K139" s="282"/>
      <c r="L139" s="210"/>
      <c r="M139" s="283"/>
      <c r="N139" s="114"/>
      <c r="O139" s="122"/>
      <c r="P139" s="122"/>
      <c r="Q139" s="91">
        <f t="shared" si="9"/>
        <v>0</v>
      </c>
      <c r="R139" s="91"/>
      <c r="S139" s="77">
        <f t="shared" si="10"/>
        <v>0</v>
      </c>
    </row>
    <row r="140" spans="1:19" ht="32.25" customHeight="1">
      <c r="A140" s="106">
        <v>10</v>
      </c>
      <c r="B140" s="142" t="s">
        <v>75</v>
      </c>
      <c r="C140" s="142" t="s">
        <v>183</v>
      </c>
      <c r="D140" s="151">
        <v>0</v>
      </c>
      <c r="E140" s="163"/>
      <c r="F140" s="115"/>
      <c r="G140" s="115"/>
      <c r="H140" s="131">
        <v>0</v>
      </c>
      <c r="I140" s="115"/>
      <c r="J140" s="132">
        <v>0</v>
      </c>
      <c r="K140" s="282"/>
      <c r="L140" s="210"/>
      <c r="M140" s="283"/>
      <c r="N140" s="114"/>
      <c r="O140" s="115"/>
      <c r="P140" s="168"/>
      <c r="Q140" s="91">
        <f t="shared" si="9"/>
        <v>0</v>
      </c>
      <c r="R140" s="131"/>
      <c r="S140" s="77">
        <f t="shared" si="10"/>
        <v>0</v>
      </c>
    </row>
    <row r="141" spans="1:19" ht="32.25" customHeight="1" thickBot="1">
      <c r="A141" s="39"/>
      <c r="B141" s="50" t="s">
        <v>19</v>
      </c>
      <c r="C141" s="50"/>
      <c r="D141" s="51">
        <f>SUM(D128:D140)</f>
        <v>16165</v>
      </c>
      <c r="E141" s="52"/>
      <c r="F141" s="53"/>
      <c r="G141" s="52"/>
      <c r="H141" s="51">
        <f>SUM(H128:H140)</f>
        <v>0</v>
      </c>
      <c r="I141" s="51">
        <v>0</v>
      </c>
      <c r="J141" s="51">
        <f>SUM(J128:J140)</f>
        <v>0</v>
      </c>
      <c r="K141" s="54"/>
      <c r="L141" s="55"/>
      <c r="M141" s="56">
        <f>SUM(M128:M140)</f>
        <v>16165</v>
      </c>
      <c r="N141" s="57"/>
      <c r="O141" s="53"/>
      <c r="P141" s="51"/>
      <c r="Q141" s="51">
        <f>SUM(Q128:Q140)</f>
        <v>0</v>
      </c>
      <c r="R141" s="51">
        <v>0</v>
      </c>
      <c r="S141" s="51">
        <f>SUM(S128:S140)</f>
        <v>0</v>
      </c>
    </row>
    <row r="142" spans="1:19" ht="32.25" hidden="1" customHeight="1">
      <c r="A142" s="39"/>
      <c r="B142" s="58" t="s">
        <v>184</v>
      </c>
      <c r="C142" s="59"/>
      <c r="D142" s="60"/>
      <c r="E142" s="61"/>
      <c r="F142" s="62"/>
      <c r="G142" s="63"/>
      <c r="H142" s="64"/>
      <c r="I142" s="64"/>
      <c r="J142" s="64"/>
      <c r="K142" s="65"/>
      <c r="L142" s="66"/>
      <c r="M142" s="67"/>
      <c r="N142" s="68"/>
      <c r="O142" s="62"/>
      <c r="P142" s="69"/>
      <c r="Q142" s="63"/>
      <c r="R142" s="63"/>
      <c r="S142" s="70"/>
    </row>
    <row r="143" spans="1:19" ht="32.25" hidden="1" customHeight="1">
      <c r="A143" s="39">
        <v>1</v>
      </c>
      <c r="B143" s="40"/>
      <c r="C143" s="41"/>
      <c r="D143" s="42"/>
      <c r="E143" s="6"/>
      <c r="F143" s="43"/>
      <c r="G143" s="6"/>
      <c r="H143" s="42"/>
      <c r="I143" s="42"/>
      <c r="J143" s="42"/>
      <c r="K143" s="44"/>
      <c r="L143" s="45"/>
      <c r="M143" s="46"/>
      <c r="N143" s="5"/>
      <c r="O143" s="43"/>
      <c r="P143" s="47"/>
      <c r="Q143" s="48"/>
      <c r="R143" s="48"/>
      <c r="S143" s="49"/>
    </row>
    <row r="144" spans="1:19" ht="32.25" hidden="1" customHeight="1">
      <c r="A144" s="39"/>
      <c r="B144" s="50" t="s">
        <v>19</v>
      </c>
      <c r="C144" s="50"/>
      <c r="D144" s="51">
        <v>0</v>
      </c>
      <c r="E144" s="52"/>
      <c r="F144" s="53"/>
      <c r="G144" s="52"/>
      <c r="H144" s="51">
        <v>0</v>
      </c>
      <c r="I144" s="51">
        <v>0</v>
      </c>
      <c r="J144" s="51">
        <v>0</v>
      </c>
      <c r="K144" s="54"/>
      <c r="L144" s="55"/>
      <c r="M144" s="56"/>
      <c r="N144" s="57"/>
      <c r="O144" s="53"/>
      <c r="P144" s="51"/>
      <c r="Q144" s="51"/>
      <c r="R144" s="51"/>
      <c r="S144" s="51"/>
    </row>
    <row r="145" spans="1:26" ht="32.25" hidden="1" customHeight="1">
      <c r="A145" s="39"/>
      <c r="B145" s="58" t="s">
        <v>185</v>
      </c>
      <c r="C145" s="59"/>
      <c r="D145" s="60"/>
      <c r="E145" s="61"/>
      <c r="F145" s="62"/>
      <c r="G145" s="63"/>
      <c r="H145" s="64"/>
      <c r="I145" s="64"/>
      <c r="J145" s="64"/>
      <c r="K145" s="65"/>
      <c r="L145" s="66"/>
      <c r="M145" s="67"/>
      <c r="N145" s="68"/>
      <c r="O145" s="62"/>
      <c r="P145" s="69"/>
      <c r="Q145" s="63"/>
      <c r="R145" s="63"/>
      <c r="S145" s="70"/>
    </row>
    <row r="146" spans="1:26" ht="32.25" hidden="1" customHeight="1">
      <c r="A146" s="39">
        <v>1</v>
      </c>
      <c r="B146" s="40"/>
      <c r="C146" s="41"/>
      <c r="D146" s="42"/>
      <c r="E146" s="6"/>
      <c r="F146" s="43"/>
      <c r="G146" s="6"/>
      <c r="H146" s="42"/>
      <c r="I146" s="42"/>
      <c r="J146" s="42"/>
      <c r="K146" s="284"/>
      <c r="L146" s="285"/>
      <c r="M146" s="286"/>
      <c r="N146" s="5"/>
      <c r="O146" s="43"/>
      <c r="P146" s="47"/>
      <c r="Q146" s="48"/>
      <c r="R146" s="48"/>
      <c r="S146" s="49"/>
    </row>
    <row r="147" spans="1:26" ht="32.25" hidden="1" customHeight="1">
      <c r="A147" s="39"/>
      <c r="B147" s="50" t="s">
        <v>19</v>
      </c>
      <c r="C147" s="50"/>
      <c r="D147" s="51">
        <v>0</v>
      </c>
      <c r="E147" s="52"/>
      <c r="F147" s="53"/>
      <c r="G147" s="52"/>
      <c r="H147" s="51">
        <v>0</v>
      </c>
      <c r="I147" s="51">
        <v>0</v>
      </c>
      <c r="J147" s="51">
        <v>0</v>
      </c>
      <c r="K147" s="54"/>
      <c r="L147" s="55"/>
      <c r="M147" s="56"/>
      <c r="N147" s="57"/>
      <c r="O147" s="53"/>
      <c r="P147" s="51"/>
      <c r="Q147" s="51"/>
      <c r="R147" s="51"/>
      <c r="S147" s="51"/>
    </row>
    <row r="148" spans="1:26" ht="32.25" customHeight="1" thickTop="1">
      <c r="A148" s="39"/>
      <c r="B148" s="58" t="s">
        <v>186</v>
      </c>
      <c r="C148" s="59"/>
      <c r="D148" s="60"/>
      <c r="E148" s="61"/>
      <c r="F148" s="62"/>
      <c r="G148" s="63"/>
      <c r="H148" s="64"/>
      <c r="I148" s="64"/>
      <c r="J148" s="64"/>
      <c r="K148" s="65"/>
      <c r="L148" s="66"/>
      <c r="M148" s="67"/>
      <c r="N148" s="68"/>
      <c r="O148" s="62"/>
      <c r="P148" s="69"/>
      <c r="Q148" s="63"/>
      <c r="R148" s="63"/>
      <c r="S148" s="70"/>
    </row>
    <row r="149" spans="1:26" s="160" customFormat="1" ht="32.25" customHeight="1">
      <c r="A149" s="116">
        <v>1</v>
      </c>
      <c r="B149" s="41" t="s">
        <v>23</v>
      </c>
      <c r="C149" s="41" t="s">
        <v>187</v>
      </c>
      <c r="D149" s="287">
        <v>2140</v>
      </c>
      <c r="E149" s="240"/>
      <c r="F149" s="122"/>
      <c r="G149" s="91"/>
      <c r="H149" s="91"/>
      <c r="I149" s="92"/>
      <c r="J149" s="132">
        <v>0</v>
      </c>
      <c r="K149" s="288" t="s">
        <v>617</v>
      </c>
      <c r="L149" s="289" t="s">
        <v>675</v>
      </c>
      <c r="M149" s="290">
        <v>2140</v>
      </c>
      <c r="N149" s="291"/>
      <c r="O149" s="292"/>
      <c r="P149" s="293"/>
      <c r="Q149" s="91"/>
      <c r="R149" s="92"/>
      <c r="S149" s="294">
        <v>0</v>
      </c>
    </row>
    <row r="150" spans="1:26" s="160" customFormat="1" ht="32.25" customHeight="1">
      <c r="A150" s="116">
        <v>2</v>
      </c>
      <c r="B150" s="142" t="s">
        <v>23</v>
      </c>
      <c r="C150" s="142" t="s">
        <v>189</v>
      </c>
      <c r="D150" s="287">
        <v>22223.9</v>
      </c>
      <c r="E150" s="114"/>
      <c r="F150" s="115"/>
      <c r="G150" s="295"/>
      <c r="H150" s="131">
        <v>0</v>
      </c>
      <c r="I150" s="125"/>
      <c r="J150" s="132">
        <v>0</v>
      </c>
      <c r="K150" s="296" t="s">
        <v>676</v>
      </c>
      <c r="L150" s="297" t="s">
        <v>677</v>
      </c>
      <c r="M150" s="290">
        <v>22223.9</v>
      </c>
      <c r="N150" s="298"/>
      <c r="O150" s="292"/>
      <c r="P150" s="292"/>
      <c r="Q150" s="91">
        <v>0</v>
      </c>
      <c r="R150" s="92"/>
      <c r="S150" s="294">
        <v>0</v>
      </c>
    </row>
    <row r="151" spans="1:26" s="160" customFormat="1" ht="32.25" customHeight="1">
      <c r="A151" s="116">
        <v>3</v>
      </c>
      <c r="B151" s="142" t="s">
        <v>192</v>
      </c>
      <c r="C151" s="142" t="s">
        <v>193</v>
      </c>
      <c r="D151" s="293">
        <v>920.2</v>
      </c>
      <c r="E151" s="114"/>
      <c r="F151" s="115"/>
      <c r="G151" s="131"/>
      <c r="H151" s="131">
        <v>0</v>
      </c>
      <c r="I151" s="125"/>
      <c r="J151" s="132">
        <v>0</v>
      </c>
      <c r="K151" s="288" t="s">
        <v>613</v>
      </c>
      <c r="L151" s="289" t="s">
        <v>678</v>
      </c>
      <c r="M151" s="290">
        <v>920.2</v>
      </c>
      <c r="N151" s="298"/>
      <c r="O151" s="292"/>
      <c r="P151" s="299"/>
      <c r="Q151" s="91">
        <v>0</v>
      </c>
      <c r="R151" s="92"/>
      <c r="S151" s="294">
        <v>0</v>
      </c>
    </row>
    <row r="152" spans="1:26" ht="32.25" customHeight="1">
      <c r="A152" s="106">
        <v>4</v>
      </c>
      <c r="B152" s="300" t="s">
        <v>195</v>
      </c>
      <c r="C152" s="300" t="s">
        <v>193</v>
      </c>
      <c r="D152" s="287">
        <v>3327.7</v>
      </c>
      <c r="E152" s="301" t="s">
        <v>594</v>
      </c>
      <c r="F152" s="31">
        <v>1</v>
      </c>
      <c r="G152" s="301" t="s">
        <v>72</v>
      </c>
      <c r="H152" s="29">
        <v>2720</v>
      </c>
      <c r="I152" s="29">
        <v>190.4</v>
      </c>
      <c r="J152" s="132">
        <v>2910.4</v>
      </c>
      <c r="K152" s="288" t="s">
        <v>654</v>
      </c>
      <c r="L152" s="289" t="s">
        <v>679</v>
      </c>
      <c r="M152" s="290">
        <v>2910.4</v>
      </c>
      <c r="N152" s="302" t="s">
        <v>669</v>
      </c>
      <c r="O152" s="303">
        <v>1</v>
      </c>
      <c r="P152" s="304" t="s">
        <v>72</v>
      </c>
      <c r="Q152" s="131">
        <v>3110.0000000000005</v>
      </c>
      <c r="R152" s="29">
        <v>217.69999999999985</v>
      </c>
      <c r="S152" s="77">
        <v>3327.7000000000003</v>
      </c>
    </row>
    <row r="153" spans="1:26" ht="32.25" customHeight="1">
      <c r="A153" s="39">
        <v>5</v>
      </c>
      <c r="B153" s="142" t="s">
        <v>526</v>
      </c>
      <c r="C153" s="142" t="s">
        <v>193</v>
      </c>
      <c r="D153" s="305">
        <v>4911.3</v>
      </c>
      <c r="E153" s="131"/>
      <c r="F153" s="115"/>
      <c r="G153" s="131"/>
      <c r="H153" s="125">
        <v>0</v>
      </c>
      <c r="I153" s="125"/>
      <c r="J153" s="132">
        <v>0</v>
      </c>
      <c r="K153" s="306" t="s">
        <v>680</v>
      </c>
      <c r="L153" s="307" t="s">
        <v>681</v>
      </c>
      <c r="M153" s="308">
        <v>4911.3</v>
      </c>
      <c r="N153" s="114"/>
      <c r="O153" s="115"/>
      <c r="P153" s="144"/>
      <c r="Q153" s="131">
        <v>0</v>
      </c>
      <c r="R153" s="125"/>
      <c r="S153" s="77">
        <v>0</v>
      </c>
    </row>
    <row r="154" spans="1:26" ht="32.25" customHeight="1">
      <c r="A154" s="39">
        <v>6</v>
      </c>
      <c r="B154" s="142" t="s">
        <v>403</v>
      </c>
      <c r="C154" s="142" t="s">
        <v>193</v>
      </c>
      <c r="D154" s="125">
        <v>1284</v>
      </c>
      <c r="E154" s="131"/>
      <c r="F154" s="115"/>
      <c r="G154" s="131"/>
      <c r="H154" s="125">
        <v>0</v>
      </c>
      <c r="I154" s="125"/>
      <c r="J154" s="132">
        <v>0</v>
      </c>
      <c r="K154" s="34" t="s">
        <v>682</v>
      </c>
      <c r="L154" s="35" t="s">
        <v>683</v>
      </c>
      <c r="M154" s="36">
        <v>1284</v>
      </c>
      <c r="N154" s="114"/>
      <c r="O154" s="115"/>
      <c r="P154" s="144"/>
      <c r="Q154" s="131">
        <v>0</v>
      </c>
      <c r="R154" s="125"/>
      <c r="S154" s="77">
        <v>0</v>
      </c>
    </row>
    <row r="155" spans="1:26" ht="32.25" customHeight="1">
      <c r="A155" s="39"/>
      <c r="B155" s="41"/>
      <c r="C155" s="41"/>
      <c r="D155" s="42"/>
      <c r="E155" s="6"/>
      <c r="F155" s="43"/>
      <c r="G155" s="6"/>
      <c r="H155" s="42"/>
      <c r="I155" s="42"/>
      <c r="J155" s="309"/>
      <c r="K155" s="284"/>
      <c r="L155" s="285"/>
      <c r="M155" s="286"/>
      <c r="N155" s="5"/>
      <c r="O155" s="43"/>
      <c r="P155" s="47"/>
      <c r="Q155" s="6"/>
      <c r="R155" s="42"/>
      <c r="S155" s="100"/>
    </row>
    <row r="156" spans="1:26" ht="32.25" customHeight="1" thickBot="1">
      <c r="A156" s="39"/>
      <c r="B156" s="50" t="s">
        <v>19</v>
      </c>
      <c r="C156" s="50"/>
      <c r="D156" s="51">
        <f>SUM(D149:D155)</f>
        <v>34807.100000000006</v>
      </c>
      <c r="E156" s="52"/>
      <c r="F156" s="53"/>
      <c r="G156" s="52"/>
      <c r="H156" s="51">
        <f>SUM(H149:H155)</f>
        <v>2720</v>
      </c>
      <c r="I156" s="51">
        <f>SUM(I149:I155)</f>
        <v>190.4</v>
      </c>
      <c r="J156" s="51">
        <f>SUM(J149:J155)</f>
        <v>2910.4</v>
      </c>
      <c r="K156" s="54"/>
      <c r="L156" s="55"/>
      <c r="M156" s="56">
        <f>SUM(M149:M154)</f>
        <v>34389.800000000003</v>
      </c>
      <c r="N156" s="57"/>
      <c r="O156" s="53"/>
      <c r="P156" s="51"/>
      <c r="Q156" s="51">
        <f>SUM(Q149:Q155)</f>
        <v>3110.0000000000005</v>
      </c>
      <c r="R156" s="51">
        <f t="shared" ref="R156:S156" si="11">SUM(R149:R155)</f>
        <v>217.69999999999985</v>
      </c>
      <c r="S156" s="51">
        <f t="shared" si="11"/>
        <v>3327.7000000000003</v>
      </c>
    </row>
    <row r="157" spans="1:26" ht="32.25" customHeight="1" thickTop="1">
      <c r="A157" s="39"/>
      <c r="B157" s="58" t="s">
        <v>198</v>
      </c>
      <c r="C157" s="59"/>
      <c r="D157" s="60"/>
      <c r="E157" s="61"/>
      <c r="F157" s="62"/>
      <c r="G157" s="63"/>
      <c r="H157" s="64"/>
      <c r="I157" s="64"/>
      <c r="J157" s="64"/>
      <c r="K157" s="65"/>
      <c r="L157" s="66"/>
      <c r="M157" s="67"/>
      <c r="N157" s="68"/>
      <c r="O157" s="62"/>
      <c r="P157" s="69"/>
      <c r="Q157" s="63"/>
      <c r="R157" s="63"/>
      <c r="S157" s="70"/>
    </row>
    <row r="158" spans="1:26" s="327" customFormat="1" ht="32.25" customHeight="1">
      <c r="A158" s="310">
        <v>1</v>
      </c>
      <c r="B158" s="311" t="s">
        <v>152</v>
      </c>
      <c r="C158" s="312"/>
      <c r="D158" s="305">
        <v>0</v>
      </c>
      <c r="E158" s="313"/>
      <c r="F158" s="314"/>
      <c r="G158" s="315"/>
      <c r="H158" s="316">
        <v>0</v>
      </c>
      <c r="I158" s="72">
        <v>0</v>
      </c>
      <c r="J158" s="317">
        <v>0</v>
      </c>
      <c r="K158" s="318"/>
      <c r="L158" s="319"/>
      <c r="M158" s="320"/>
      <c r="N158" s="313"/>
      <c r="O158" s="314"/>
      <c r="P158" s="321"/>
      <c r="Q158" s="322">
        <v>0</v>
      </c>
      <c r="R158" s="323"/>
      <c r="S158" s="324">
        <v>0</v>
      </c>
      <c r="T158" s="325" t="s">
        <v>199</v>
      </c>
      <c r="U158" s="326"/>
      <c r="V158" s="326"/>
      <c r="W158" s="326"/>
      <c r="X158" s="326"/>
      <c r="Y158" s="326"/>
      <c r="Z158" s="326"/>
    </row>
    <row r="159" spans="1:26" s="327" customFormat="1" ht="32.25" customHeight="1">
      <c r="A159" s="328">
        <v>2</v>
      </c>
      <c r="B159" s="329" t="s">
        <v>200</v>
      </c>
      <c r="C159" s="330"/>
      <c r="D159" s="331">
        <v>0</v>
      </c>
      <c r="E159" s="332"/>
      <c r="F159" s="333"/>
      <c r="G159" s="334"/>
      <c r="H159" s="335">
        <v>0</v>
      </c>
      <c r="I159" s="72">
        <v>0</v>
      </c>
      <c r="J159" s="317">
        <v>0</v>
      </c>
      <c r="K159" s="318"/>
      <c r="L159" s="319"/>
      <c r="M159" s="320"/>
      <c r="N159" s="313"/>
      <c r="O159" s="314"/>
      <c r="P159" s="321"/>
      <c r="Q159" s="322">
        <v>0</v>
      </c>
      <c r="R159" s="323"/>
      <c r="S159" s="324">
        <v>0</v>
      </c>
      <c r="T159" s="325"/>
      <c r="U159" s="326"/>
      <c r="V159" s="326"/>
      <c r="W159" s="326"/>
      <c r="X159" s="326"/>
      <c r="Y159" s="326"/>
      <c r="Z159" s="326"/>
    </row>
    <row r="160" spans="1:26" ht="32.25" customHeight="1">
      <c r="A160" s="39"/>
      <c r="B160" s="223" t="s">
        <v>201</v>
      </c>
      <c r="C160" s="224"/>
      <c r="D160" s="125">
        <v>0</v>
      </c>
      <c r="E160" s="131"/>
      <c r="F160" s="115"/>
      <c r="G160" s="131"/>
      <c r="H160" s="125">
        <v>0</v>
      </c>
      <c r="I160" s="125">
        <v>0</v>
      </c>
      <c r="J160" s="125">
        <v>0</v>
      </c>
      <c r="K160" s="209"/>
      <c r="L160" s="336"/>
      <c r="M160" s="36"/>
      <c r="N160" s="114"/>
      <c r="O160" s="115"/>
      <c r="P160" s="115"/>
      <c r="Q160" s="131">
        <v>0</v>
      </c>
      <c r="R160" s="131"/>
      <c r="S160" s="77">
        <v>0</v>
      </c>
    </row>
    <row r="161" spans="1:19" ht="32.25" customHeight="1">
      <c r="A161" s="39"/>
      <c r="B161" s="223" t="s">
        <v>202</v>
      </c>
      <c r="C161" s="224"/>
      <c r="D161" s="42">
        <v>0</v>
      </c>
      <c r="E161" s="6"/>
      <c r="F161" s="43"/>
      <c r="G161" s="6"/>
      <c r="H161" s="42">
        <v>0</v>
      </c>
      <c r="I161" s="42">
        <v>0</v>
      </c>
      <c r="J161" s="125">
        <v>0</v>
      </c>
      <c r="K161" s="44"/>
      <c r="L161" s="45"/>
      <c r="M161" s="46"/>
      <c r="N161" s="114"/>
      <c r="O161" s="115"/>
      <c r="P161" s="47"/>
      <c r="Q161" s="131">
        <v>0</v>
      </c>
      <c r="R161" s="131"/>
      <c r="S161" s="77">
        <v>0</v>
      </c>
    </row>
    <row r="162" spans="1:19" ht="32.25" customHeight="1">
      <c r="A162" s="337">
        <v>3</v>
      </c>
      <c r="B162" s="338" t="s">
        <v>130</v>
      </c>
      <c r="C162" s="339"/>
      <c r="D162" s="42">
        <v>0</v>
      </c>
      <c r="E162" s="6"/>
      <c r="F162" s="43"/>
      <c r="G162" s="6"/>
      <c r="H162" s="42">
        <v>0</v>
      </c>
      <c r="I162" s="42">
        <v>0</v>
      </c>
      <c r="J162" s="42">
        <v>0</v>
      </c>
      <c r="K162" s="284"/>
      <c r="L162" s="285"/>
      <c r="M162" s="286"/>
      <c r="N162" s="5"/>
      <c r="O162" s="43"/>
      <c r="P162" s="47"/>
      <c r="Q162" s="6">
        <v>0</v>
      </c>
      <c r="R162" s="6"/>
      <c r="S162" s="100">
        <v>0</v>
      </c>
    </row>
    <row r="163" spans="1:19" ht="32.25" customHeight="1">
      <c r="A163" s="337"/>
      <c r="B163" s="340" t="s">
        <v>205</v>
      </c>
      <c r="C163" s="339"/>
      <c r="D163" s="42">
        <v>0</v>
      </c>
      <c r="E163" s="6"/>
      <c r="F163" s="43"/>
      <c r="G163" s="6"/>
      <c r="H163" s="42">
        <v>0</v>
      </c>
      <c r="I163" s="42">
        <v>0</v>
      </c>
      <c r="J163" s="42">
        <v>0</v>
      </c>
      <c r="K163" s="284"/>
      <c r="L163" s="285"/>
      <c r="M163" s="286"/>
      <c r="N163" s="5"/>
      <c r="O163" s="43"/>
      <c r="P163" s="47"/>
      <c r="Q163" s="6">
        <v>0</v>
      </c>
      <c r="R163" s="6"/>
      <c r="S163" s="100">
        <v>0</v>
      </c>
    </row>
    <row r="164" spans="1:19" ht="32.25" customHeight="1">
      <c r="A164" s="337"/>
      <c r="B164" s="341" t="s">
        <v>363</v>
      </c>
      <c r="C164" s="342"/>
      <c r="D164" s="42">
        <v>0</v>
      </c>
      <c r="E164" s="6"/>
      <c r="F164" s="43"/>
      <c r="G164" s="6"/>
      <c r="H164" s="42">
        <v>0</v>
      </c>
      <c r="I164" s="42">
        <v>0</v>
      </c>
      <c r="J164" s="42">
        <v>0</v>
      </c>
      <c r="K164" s="284"/>
      <c r="L164" s="285"/>
      <c r="M164" s="286"/>
      <c r="N164" s="5"/>
      <c r="O164" s="43"/>
      <c r="P164" s="47"/>
      <c r="Q164" s="6">
        <v>0</v>
      </c>
      <c r="R164" s="6"/>
      <c r="S164" s="100">
        <v>0</v>
      </c>
    </row>
    <row r="165" spans="1:19" ht="32.25" customHeight="1">
      <c r="A165" s="337">
        <v>4</v>
      </c>
      <c r="B165" s="420" t="s">
        <v>364</v>
      </c>
      <c r="C165" s="421"/>
      <c r="D165" s="42">
        <v>0</v>
      </c>
      <c r="E165" s="6"/>
      <c r="F165" s="43"/>
      <c r="G165" s="6"/>
      <c r="H165" s="42"/>
      <c r="I165" s="42"/>
      <c r="J165" s="42"/>
      <c r="K165" s="284"/>
      <c r="L165" s="285"/>
      <c r="M165" s="286"/>
      <c r="N165" s="5"/>
      <c r="O165" s="43"/>
      <c r="P165" s="47"/>
      <c r="Q165" s="6">
        <v>0</v>
      </c>
      <c r="R165" s="6"/>
      <c r="S165" s="100">
        <v>0</v>
      </c>
    </row>
    <row r="166" spans="1:19" ht="32.25" customHeight="1">
      <c r="A166" s="337"/>
      <c r="B166" s="420" t="s">
        <v>367</v>
      </c>
      <c r="C166" s="421"/>
      <c r="D166" s="42">
        <v>0</v>
      </c>
      <c r="E166" s="6"/>
      <c r="F166" s="43"/>
      <c r="G166" s="6"/>
      <c r="H166" s="42"/>
      <c r="I166" s="42"/>
      <c r="J166" s="42"/>
      <c r="K166" s="284"/>
      <c r="L166" s="285"/>
      <c r="M166" s="286"/>
      <c r="N166" s="5"/>
      <c r="O166" s="43"/>
      <c r="P166" s="47"/>
      <c r="Q166" s="6">
        <v>0</v>
      </c>
      <c r="R166" s="6"/>
      <c r="S166" s="100">
        <v>0</v>
      </c>
    </row>
    <row r="167" spans="1:19" ht="32.25" customHeight="1">
      <c r="A167" s="337"/>
      <c r="B167" s="420" t="s">
        <v>368</v>
      </c>
      <c r="C167" s="421"/>
      <c r="D167" s="42">
        <v>0</v>
      </c>
      <c r="E167" s="6"/>
      <c r="F167" s="43"/>
      <c r="G167" s="6"/>
      <c r="H167" s="42"/>
      <c r="I167" s="42"/>
      <c r="J167" s="42"/>
      <c r="K167" s="284"/>
      <c r="L167" s="285"/>
      <c r="M167" s="286"/>
      <c r="N167" s="5"/>
      <c r="O167" s="43"/>
      <c r="P167" s="47"/>
      <c r="Q167" s="6">
        <v>0</v>
      </c>
      <c r="R167" s="6"/>
      <c r="S167" s="100">
        <v>0</v>
      </c>
    </row>
    <row r="168" spans="1:19" ht="32.25" customHeight="1">
      <c r="A168" s="337">
        <v>5</v>
      </c>
      <c r="B168" s="420" t="s">
        <v>369</v>
      </c>
      <c r="C168" s="421"/>
      <c r="D168" s="42">
        <v>0</v>
      </c>
      <c r="E168" s="6"/>
      <c r="F168" s="43"/>
      <c r="G168" s="6"/>
      <c r="H168" s="42"/>
      <c r="I168" s="42"/>
      <c r="J168" s="42"/>
      <c r="K168" s="284"/>
      <c r="L168" s="285"/>
      <c r="M168" s="286"/>
      <c r="N168" s="5"/>
      <c r="O168" s="43"/>
      <c r="P168" s="47"/>
      <c r="Q168" s="6">
        <v>0</v>
      </c>
      <c r="R168" s="6"/>
      <c r="S168" s="100">
        <v>0</v>
      </c>
    </row>
    <row r="169" spans="1:19" ht="32.25" customHeight="1">
      <c r="A169" s="337"/>
      <c r="B169" s="420" t="s">
        <v>367</v>
      </c>
      <c r="C169" s="421"/>
      <c r="D169" s="42">
        <v>0</v>
      </c>
      <c r="E169" s="6"/>
      <c r="F169" s="43"/>
      <c r="G169" s="6"/>
      <c r="H169" s="42"/>
      <c r="I169" s="42"/>
      <c r="J169" s="42"/>
      <c r="K169" s="284"/>
      <c r="L169" s="285"/>
      <c r="M169" s="286"/>
      <c r="N169" s="5"/>
      <c r="O169" s="43"/>
      <c r="P169" s="47"/>
      <c r="Q169" s="6">
        <v>0</v>
      </c>
      <c r="R169" s="6"/>
      <c r="S169" s="100">
        <v>0</v>
      </c>
    </row>
    <row r="170" spans="1:19" ht="32.25" customHeight="1">
      <c r="A170" s="337"/>
      <c r="B170" s="420" t="s">
        <v>372</v>
      </c>
      <c r="C170" s="421"/>
      <c r="D170" s="42">
        <v>0</v>
      </c>
      <c r="E170" s="6"/>
      <c r="F170" s="43"/>
      <c r="G170" s="6"/>
      <c r="H170" s="42"/>
      <c r="I170" s="42"/>
      <c r="J170" s="42"/>
      <c r="K170" s="284"/>
      <c r="L170" s="285"/>
      <c r="M170" s="286"/>
      <c r="N170" s="5"/>
      <c r="O170" s="43"/>
      <c r="P170" s="47"/>
      <c r="Q170" s="6">
        <v>0</v>
      </c>
      <c r="R170" s="6"/>
      <c r="S170" s="100">
        <v>0</v>
      </c>
    </row>
    <row r="171" spans="1:19" ht="32.25" customHeight="1">
      <c r="A171" s="337">
        <v>6</v>
      </c>
      <c r="B171" s="420" t="s">
        <v>373</v>
      </c>
      <c r="C171" s="421"/>
      <c r="D171" s="42">
        <v>0</v>
      </c>
      <c r="E171" s="6"/>
      <c r="F171" s="43"/>
      <c r="G171" s="6"/>
      <c r="H171" s="42"/>
      <c r="I171" s="42"/>
      <c r="J171" s="42"/>
      <c r="K171" s="284"/>
      <c r="L171" s="285"/>
      <c r="M171" s="286"/>
      <c r="N171" s="5"/>
      <c r="O171" s="43"/>
      <c r="P171" s="47"/>
      <c r="Q171" s="6">
        <v>0</v>
      </c>
      <c r="R171" s="6"/>
      <c r="S171" s="100">
        <v>0</v>
      </c>
    </row>
    <row r="172" spans="1:19" ht="32.25" customHeight="1">
      <c r="A172" s="337"/>
      <c r="B172" s="420" t="s">
        <v>367</v>
      </c>
      <c r="C172" s="421"/>
      <c r="D172" s="42">
        <v>0</v>
      </c>
      <c r="E172" s="6"/>
      <c r="F172" s="43"/>
      <c r="G172" s="6"/>
      <c r="H172" s="42"/>
      <c r="I172" s="42"/>
      <c r="J172" s="42"/>
      <c r="K172" s="284"/>
      <c r="L172" s="285"/>
      <c r="M172" s="286"/>
      <c r="N172" s="5"/>
      <c r="O172" s="43"/>
      <c r="P172" s="47"/>
      <c r="Q172" s="6">
        <v>0</v>
      </c>
      <c r="R172" s="6"/>
      <c r="S172" s="100">
        <v>0</v>
      </c>
    </row>
    <row r="173" spans="1:19" ht="32.25" customHeight="1">
      <c r="A173" s="337"/>
      <c r="B173" s="420" t="s">
        <v>375</v>
      </c>
      <c r="C173" s="421"/>
      <c r="D173" s="42">
        <v>0</v>
      </c>
      <c r="E173" s="6"/>
      <c r="F173" s="43"/>
      <c r="G173" s="6"/>
      <c r="H173" s="42"/>
      <c r="I173" s="42"/>
      <c r="J173" s="42"/>
      <c r="K173" s="284"/>
      <c r="L173" s="285"/>
      <c r="M173" s="286"/>
      <c r="N173" s="5"/>
      <c r="O173" s="43"/>
      <c r="P173" s="47"/>
      <c r="Q173" s="6">
        <v>0</v>
      </c>
      <c r="R173" s="6"/>
      <c r="S173" s="100">
        <v>0</v>
      </c>
    </row>
    <row r="174" spans="1:19" ht="32.25" customHeight="1">
      <c r="A174" s="337">
        <v>7</v>
      </c>
      <c r="B174" s="420" t="s">
        <v>376</v>
      </c>
      <c r="C174" s="421"/>
      <c r="D174" s="42">
        <v>0</v>
      </c>
      <c r="E174" s="6"/>
      <c r="F174" s="43"/>
      <c r="G174" s="6"/>
      <c r="H174" s="42"/>
      <c r="I174" s="42"/>
      <c r="J174" s="42"/>
      <c r="K174" s="284"/>
      <c r="L174" s="285"/>
      <c r="M174" s="286"/>
      <c r="N174" s="5"/>
      <c r="O174" s="43"/>
      <c r="P174" s="47"/>
      <c r="Q174" s="6">
        <v>0</v>
      </c>
      <c r="R174" s="6"/>
      <c r="S174" s="100">
        <v>0</v>
      </c>
    </row>
    <row r="175" spans="1:19" ht="32.25" customHeight="1">
      <c r="A175" s="337"/>
      <c r="B175" s="420" t="s">
        <v>367</v>
      </c>
      <c r="C175" s="421"/>
      <c r="D175" s="42">
        <v>0</v>
      </c>
      <c r="E175" s="6"/>
      <c r="F175" s="43"/>
      <c r="G175" s="6"/>
      <c r="H175" s="42"/>
      <c r="I175" s="42"/>
      <c r="J175" s="42"/>
      <c r="K175" s="284"/>
      <c r="L175" s="285"/>
      <c r="M175" s="286"/>
      <c r="N175" s="5"/>
      <c r="O175" s="43"/>
      <c r="P175" s="47"/>
      <c r="Q175" s="6">
        <v>0</v>
      </c>
      <c r="R175" s="6"/>
      <c r="S175" s="100">
        <v>0</v>
      </c>
    </row>
    <row r="176" spans="1:19" ht="32.25" customHeight="1">
      <c r="A176" s="337"/>
      <c r="B176" s="420" t="s">
        <v>378</v>
      </c>
      <c r="C176" s="421"/>
      <c r="D176" s="42">
        <v>0</v>
      </c>
      <c r="E176" s="6"/>
      <c r="F176" s="43"/>
      <c r="G176" s="6"/>
      <c r="H176" s="42"/>
      <c r="I176" s="42"/>
      <c r="J176" s="42"/>
      <c r="K176" s="284"/>
      <c r="L176" s="285"/>
      <c r="M176" s="286"/>
      <c r="N176" s="5"/>
      <c r="O176" s="43"/>
      <c r="P176" s="47"/>
      <c r="Q176" s="6">
        <v>0</v>
      </c>
      <c r="R176" s="6"/>
      <c r="S176" s="100">
        <v>0</v>
      </c>
    </row>
    <row r="177" spans="1:19" ht="32.25" customHeight="1">
      <c r="A177" s="337">
        <v>8</v>
      </c>
      <c r="B177" s="420" t="s">
        <v>379</v>
      </c>
      <c r="C177" s="421"/>
      <c r="D177" s="42">
        <v>0</v>
      </c>
      <c r="E177" s="6"/>
      <c r="F177" s="43"/>
      <c r="G177" s="6"/>
      <c r="H177" s="42"/>
      <c r="I177" s="42"/>
      <c r="J177" s="42"/>
      <c r="K177" s="284"/>
      <c r="L177" s="285"/>
      <c r="M177" s="286"/>
      <c r="N177" s="5"/>
      <c r="O177" s="43"/>
      <c r="P177" s="47"/>
      <c r="Q177" s="6">
        <v>0</v>
      </c>
      <c r="R177" s="6"/>
      <c r="S177" s="100">
        <v>0</v>
      </c>
    </row>
    <row r="178" spans="1:19" ht="32.25" customHeight="1">
      <c r="A178" s="337"/>
      <c r="B178" s="420" t="s">
        <v>367</v>
      </c>
      <c r="C178" s="421"/>
      <c r="D178" s="42">
        <v>0</v>
      </c>
      <c r="E178" s="6"/>
      <c r="F178" s="43"/>
      <c r="G178" s="6"/>
      <c r="H178" s="42"/>
      <c r="I178" s="42"/>
      <c r="J178" s="42"/>
      <c r="K178" s="284"/>
      <c r="L178" s="285"/>
      <c r="M178" s="286"/>
      <c r="N178" s="5"/>
      <c r="O178" s="43"/>
      <c r="P178" s="47"/>
      <c r="Q178" s="6">
        <v>0</v>
      </c>
      <c r="R178" s="6"/>
      <c r="S178" s="100">
        <v>0</v>
      </c>
    </row>
    <row r="179" spans="1:19" ht="32.25" customHeight="1">
      <c r="A179" s="337"/>
      <c r="B179" s="420"/>
      <c r="C179" s="421"/>
      <c r="D179" s="42">
        <v>0</v>
      </c>
      <c r="E179" s="6"/>
      <c r="F179" s="43"/>
      <c r="G179" s="6"/>
      <c r="H179" s="42"/>
      <c r="I179" s="42"/>
      <c r="J179" s="42"/>
      <c r="K179" s="284"/>
      <c r="L179" s="285"/>
      <c r="M179" s="286"/>
      <c r="N179" s="5"/>
      <c r="O179" s="43"/>
      <c r="P179" s="47"/>
      <c r="Q179" s="6">
        <v>0</v>
      </c>
      <c r="R179" s="6"/>
      <c r="S179" s="100">
        <v>0</v>
      </c>
    </row>
    <row r="180" spans="1:19" ht="32.25" customHeight="1">
      <c r="A180" s="337">
        <v>9</v>
      </c>
      <c r="B180" s="420" t="s">
        <v>380</v>
      </c>
      <c r="C180" s="421"/>
      <c r="D180" s="42">
        <v>0</v>
      </c>
      <c r="E180" s="6"/>
      <c r="F180" s="43"/>
      <c r="G180" s="6"/>
      <c r="H180" s="42"/>
      <c r="I180" s="42"/>
      <c r="J180" s="42"/>
      <c r="K180" s="284"/>
      <c r="L180" s="285"/>
      <c r="M180" s="286"/>
      <c r="N180" s="5"/>
      <c r="O180" s="43"/>
      <c r="P180" s="47"/>
      <c r="Q180" s="6">
        <v>0</v>
      </c>
      <c r="R180" s="6"/>
      <c r="S180" s="100">
        <v>0</v>
      </c>
    </row>
    <row r="181" spans="1:19" ht="32.25" customHeight="1">
      <c r="A181" s="337"/>
      <c r="B181" s="420" t="s">
        <v>367</v>
      </c>
      <c r="C181" s="421"/>
      <c r="D181" s="42">
        <v>0</v>
      </c>
      <c r="E181" s="6"/>
      <c r="F181" s="43"/>
      <c r="G181" s="6"/>
      <c r="H181" s="42"/>
      <c r="I181" s="42"/>
      <c r="J181" s="42"/>
      <c r="K181" s="284"/>
      <c r="L181" s="285"/>
      <c r="M181" s="286"/>
      <c r="N181" s="5"/>
      <c r="O181" s="43"/>
      <c r="P181" s="47"/>
      <c r="Q181" s="6">
        <v>0</v>
      </c>
      <c r="R181" s="6"/>
      <c r="S181" s="100">
        <v>0</v>
      </c>
    </row>
    <row r="182" spans="1:19" ht="32.25" customHeight="1">
      <c r="A182" s="337"/>
      <c r="B182" s="420" t="s">
        <v>382</v>
      </c>
      <c r="C182" s="421"/>
      <c r="D182" s="42">
        <v>0</v>
      </c>
      <c r="E182" s="6"/>
      <c r="F182" s="43"/>
      <c r="G182" s="6"/>
      <c r="H182" s="42"/>
      <c r="I182" s="42"/>
      <c r="J182" s="42"/>
      <c r="K182" s="284"/>
      <c r="L182" s="285"/>
      <c r="M182" s="286"/>
      <c r="N182" s="5"/>
      <c r="O182" s="43"/>
      <c r="P182" s="47"/>
      <c r="Q182" s="6">
        <v>0</v>
      </c>
      <c r="R182" s="6"/>
      <c r="S182" s="100">
        <v>0</v>
      </c>
    </row>
    <row r="183" spans="1:19" ht="32.25" customHeight="1">
      <c r="A183" s="337">
        <v>10</v>
      </c>
      <c r="B183" s="420" t="s">
        <v>383</v>
      </c>
      <c r="C183" s="421"/>
      <c r="D183" s="42">
        <v>0</v>
      </c>
      <c r="E183" s="6"/>
      <c r="F183" s="43"/>
      <c r="G183" s="6"/>
      <c r="H183" s="42"/>
      <c r="I183" s="42"/>
      <c r="J183" s="42"/>
      <c r="K183" s="284"/>
      <c r="L183" s="285"/>
      <c r="M183" s="286"/>
      <c r="N183" s="5"/>
      <c r="O183" s="43"/>
      <c r="P183" s="47"/>
      <c r="Q183" s="6">
        <v>0</v>
      </c>
      <c r="R183" s="6"/>
      <c r="S183" s="100">
        <v>0</v>
      </c>
    </row>
    <row r="184" spans="1:19" ht="32.25" customHeight="1">
      <c r="A184" s="337"/>
      <c r="B184" s="420" t="s">
        <v>367</v>
      </c>
      <c r="C184" s="421"/>
      <c r="D184" s="42">
        <v>0</v>
      </c>
      <c r="E184" s="6"/>
      <c r="F184" s="43"/>
      <c r="G184" s="6"/>
      <c r="H184" s="42"/>
      <c r="I184" s="42"/>
      <c r="J184" s="42"/>
      <c r="K184" s="284"/>
      <c r="L184" s="285"/>
      <c r="M184" s="286"/>
      <c r="N184" s="5"/>
      <c r="O184" s="43"/>
      <c r="P184" s="47"/>
      <c r="Q184" s="6">
        <v>0</v>
      </c>
      <c r="R184" s="6"/>
      <c r="S184" s="100">
        <v>0</v>
      </c>
    </row>
    <row r="185" spans="1:19" ht="32.25" customHeight="1">
      <c r="A185" s="337"/>
      <c r="B185" s="420" t="s">
        <v>385</v>
      </c>
      <c r="C185" s="421"/>
      <c r="D185" s="42">
        <v>0</v>
      </c>
      <c r="E185" s="6"/>
      <c r="F185" s="43"/>
      <c r="G185" s="6"/>
      <c r="H185" s="42"/>
      <c r="I185" s="42"/>
      <c r="J185" s="42"/>
      <c r="K185" s="284"/>
      <c r="L185" s="285"/>
      <c r="M185" s="286"/>
      <c r="N185" s="5"/>
      <c r="O185" s="43"/>
      <c r="P185" s="47"/>
      <c r="Q185" s="6">
        <v>0</v>
      </c>
      <c r="R185" s="6"/>
      <c r="S185" s="100">
        <v>0</v>
      </c>
    </row>
    <row r="186" spans="1:19" ht="32.25" customHeight="1">
      <c r="A186" s="337">
        <v>11</v>
      </c>
      <c r="B186" s="420" t="s">
        <v>386</v>
      </c>
      <c r="C186" s="421"/>
      <c r="D186" s="42">
        <v>0</v>
      </c>
      <c r="E186" s="6"/>
      <c r="F186" s="43"/>
      <c r="G186" s="6"/>
      <c r="H186" s="42"/>
      <c r="I186" s="42"/>
      <c r="J186" s="42"/>
      <c r="K186" s="284"/>
      <c r="L186" s="285"/>
      <c r="M186" s="286"/>
      <c r="N186" s="5"/>
      <c r="O186" s="43"/>
      <c r="P186" s="47"/>
      <c r="Q186" s="6">
        <v>0</v>
      </c>
      <c r="R186" s="6"/>
      <c r="S186" s="100">
        <v>0</v>
      </c>
    </row>
    <row r="187" spans="1:19" ht="32.25" customHeight="1">
      <c r="A187" s="337"/>
      <c r="B187" s="420" t="s">
        <v>367</v>
      </c>
      <c r="C187" s="421"/>
      <c r="D187" s="42">
        <v>0</v>
      </c>
      <c r="E187" s="6"/>
      <c r="F187" s="43"/>
      <c r="G187" s="6"/>
      <c r="H187" s="42"/>
      <c r="I187" s="42"/>
      <c r="J187" s="42"/>
      <c r="K187" s="284"/>
      <c r="L187" s="285"/>
      <c r="M187" s="286"/>
      <c r="N187" s="5"/>
      <c r="O187" s="43"/>
      <c r="P187" s="47"/>
      <c r="Q187" s="6">
        <v>0</v>
      </c>
      <c r="R187" s="6"/>
      <c r="S187" s="100">
        <v>0</v>
      </c>
    </row>
    <row r="188" spans="1:19" ht="32.25" customHeight="1" thickBot="1">
      <c r="A188" s="39"/>
      <c r="B188" s="50" t="s">
        <v>19</v>
      </c>
      <c r="C188" s="50"/>
      <c r="D188" s="51">
        <v>0</v>
      </c>
      <c r="E188" s="52"/>
      <c r="F188" s="53"/>
      <c r="G188" s="52"/>
      <c r="H188" s="51">
        <f>SUM(H158:H187)</f>
        <v>0</v>
      </c>
      <c r="I188" s="51">
        <f t="shared" ref="I188:M188" si="12">SUM(I158:I187)</f>
        <v>0</v>
      </c>
      <c r="J188" s="51">
        <f t="shared" si="12"/>
        <v>0</v>
      </c>
      <c r="K188" s="51">
        <f t="shared" si="12"/>
        <v>0</v>
      </c>
      <c r="L188" s="51">
        <f t="shared" si="12"/>
        <v>0</v>
      </c>
      <c r="M188" s="51">
        <f t="shared" si="12"/>
        <v>0</v>
      </c>
      <c r="N188" s="57"/>
      <c r="O188" s="53"/>
      <c r="P188" s="51"/>
      <c r="Q188" s="51">
        <v>0</v>
      </c>
      <c r="R188" s="51"/>
      <c r="S188" s="51">
        <v>0</v>
      </c>
    </row>
    <row r="189" spans="1:19" ht="32.25" customHeight="1" thickTop="1">
      <c r="A189" s="39"/>
      <c r="B189" s="58" t="s">
        <v>207</v>
      </c>
      <c r="C189" s="59"/>
      <c r="D189" s="60"/>
      <c r="E189" s="61"/>
      <c r="F189" s="62"/>
      <c r="G189" s="63"/>
      <c r="H189" s="64"/>
      <c r="I189" s="64"/>
      <c r="J189" s="64"/>
      <c r="K189" s="65"/>
      <c r="L189" s="66"/>
      <c r="M189" s="67"/>
      <c r="N189" s="68"/>
      <c r="O189" s="62"/>
      <c r="P189" s="69"/>
      <c r="Q189" s="63"/>
      <c r="R189" s="63"/>
      <c r="S189" s="70"/>
    </row>
    <row r="190" spans="1:19" ht="32.25" customHeight="1">
      <c r="A190" s="39"/>
      <c r="B190" s="40"/>
      <c r="C190" s="41"/>
      <c r="D190" s="42"/>
      <c r="E190" s="6"/>
      <c r="F190" s="43"/>
      <c r="G190" s="6"/>
      <c r="H190" s="42"/>
      <c r="I190" s="42"/>
      <c r="J190" s="42"/>
      <c r="K190" s="343"/>
      <c r="L190" s="344"/>
      <c r="M190" s="345"/>
      <c r="N190" s="5"/>
      <c r="O190" s="43"/>
      <c r="P190" s="47"/>
      <c r="Q190" s="48"/>
      <c r="R190" s="48"/>
      <c r="S190" s="49"/>
    </row>
    <row r="191" spans="1:19" ht="32.25" customHeight="1" thickBot="1">
      <c r="A191" s="39"/>
      <c r="B191" s="50" t="s">
        <v>19</v>
      </c>
      <c r="C191" s="50"/>
      <c r="D191" s="51">
        <v>0</v>
      </c>
      <c r="E191" s="52"/>
      <c r="F191" s="53"/>
      <c r="G191" s="52"/>
      <c r="H191" s="51">
        <v>0</v>
      </c>
      <c r="I191" s="51">
        <v>0</v>
      </c>
      <c r="J191" s="51">
        <v>0</v>
      </c>
      <c r="K191" s="54"/>
      <c r="L191" s="55"/>
      <c r="M191" s="56">
        <f>SUM(M190)</f>
        <v>0</v>
      </c>
      <c r="N191" s="57"/>
      <c r="O191" s="53"/>
      <c r="P191" s="51"/>
      <c r="Q191" s="51"/>
      <c r="R191" s="51"/>
      <c r="S191" s="51"/>
    </row>
    <row r="192" spans="1:19" ht="32.25" customHeight="1" thickTop="1">
      <c r="A192" s="39"/>
      <c r="B192" s="141" t="s">
        <v>210</v>
      </c>
      <c r="C192" s="142"/>
      <c r="D192" s="125"/>
      <c r="E192" s="131"/>
      <c r="F192" s="115"/>
      <c r="G192" s="33"/>
      <c r="H192" s="143"/>
      <c r="I192" s="143"/>
      <c r="J192" s="143"/>
      <c r="K192" s="34"/>
      <c r="L192" s="35"/>
      <c r="M192" s="36"/>
      <c r="N192" s="114"/>
      <c r="O192" s="115"/>
      <c r="P192" s="144"/>
      <c r="Q192" s="33"/>
      <c r="R192" s="33"/>
      <c r="S192" s="145"/>
    </row>
    <row r="193" spans="1:19" s="160" customFormat="1" ht="32.25" customHeight="1">
      <c r="A193" s="106">
        <v>1</v>
      </c>
      <c r="B193" s="142" t="s">
        <v>52</v>
      </c>
      <c r="C193" s="174" t="s">
        <v>211</v>
      </c>
      <c r="D193" s="151">
        <v>518</v>
      </c>
      <c r="E193" s="152" t="s">
        <v>57</v>
      </c>
      <c r="F193" s="346"/>
      <c r="G193" s="346"/>
      <c r="H193" s="153">
        <v>-259</v>
      </c>
      <c r="I193" s="346"/>
      <c r="J193" s="226">
        <v>-259</v>
      </c>
      <c r="K193" s="343" t="s">
        <v>652</v>
      </c>
      <c r="L193" s="277" t="s">
        <v>684</v>
      </c>
      <c r="M193" s="278">
        <v>518</v>
      </c>
      <c r="N193" s="347" t="s">
        <v>57</v>
      </c>
      <c r="O193" s="348"/>
      <c r="P193" s="280"/>
      <c r="Q193" s="153">
        <f>SUM(D193+J193-M193)</f>
        <v>-259</v>
      </c>
      <c r="R193" s="153"/>
      <c r="S193" s="159">
        <f>SUM(Q193)</f>
        <v>-259</v>
      </c>
    </row>
    <row r="194" spans="1:19" s="160" customFormat="1" ht="32.25" customHeight="1">
      <c r="A194" s="106">
        <v>2</v>
      </c>
      <c r="B194" s="161" t="s">
        <v>213</v>
      </c>
      <c r="C194" s="349" t="s">
        <v>214</v>
      </c>
      <c r="D194" s="151">
        <v>0</v>
      </c>
      <c r="E194" s="163"/>
      <c r="F194" s="122"/>
      <c r="G194" s="122"/>
      <c r="H194" s="91">
        <v>0</v>
      </c>
      <c r="I194" s="122"/>
      <c r="J194" s="132">
        <v>0</v>
      </c>
      <c r="K194" s="343"/>
      <c r="L194" s="350"/>
      <c r="M194" s="351"/>
      <c r="N194" s="352"/>
      <c r="O194" s="348"/>
      <c r="P194" s="280"/>
      <c r="Q194" s="153">
        <f t="shared" ref="Q194:Q236" si="13">SUM(D194+J194-M194)</f>
        <v>0</v>
      </c>
      <c r="R194" s="153"/>
      <c r="S194" s="159">
        <f t="shared" ref="S194:S236" si="14">SUM(Q194)</f>
        <v>0</v>
      </c>
    </row>
    <row r="195" spans="1:19" s="160" customFormat="1" ht="32.25" customHeight="1">
      <c r="A195" s="106">
        <v>3</v>
      </c>
      <c r="B195" s="142" t="s">
        <v>60</v>
      </c>
      <c r="C195" s="174" t="s">
        <v>215</v>
      </c>
      <c r="D195" s="151">
        <v>259</v>
      </c>
      <c r="E195" s="163"/>
      <c r="F195" s="122"/>
      <c r="G195" s="122"/>
      <c r="H195" s="91">
        <v>0</v>
      </c>
      <c r="I195" s="122"/>
      <c r="J195" s="132">
        <v>0</v>
      </c>
      <c r="K195" s="343" t="s">
        <v>656</v>
      </c>
      <c r="L195" s="277" t="s">
        <v>685</v>
      </c>
      <c r="M195" s="278">
        <v>259</v>
      </c>
      <c r="N195" s="352"/>
      <c r="O195" s="348"/>
      <c r="P195" s="280"/>
      <c r="Q195" s="153">
        <f t="shared" si="13"/>
        <v>0</v>
      </c>
      <c r="R195" s="153"/>
      <c r="S195" s="159">
        <f t="shared" si="14"/>
        <v>0</v>
      </c>
    </row>
    <row r="196" spans="1:19" s="160" customFormat="1" ht="32.25" customHeight="1">
      <c r="A196" s="106">
        <v>4</v>
      </c>
      <c r="B196" s="142" t="s">
        <v>27</v>
      </c>
      <c r="C196" s="174" t="s">
        <v>217</v>
      </c>
      <c r="D196" s="151">
        <v>259</v>
      </c>
      <c r="E196" s="163"/>
      <c r="F196" s="122"/>
      <c r="G196" s="122"/>
      <c r="H196" s="91">
        <v>0</v>
      </c>
      <c r="I196" s="122"/>
      <c r="J196" s="132">
        <v>0</v>
      </c>
      <c r="K196" s="343" t="s">
        <v>686</v>
      </c>
      <c r="L196" s="277" t="s">
        <v>687</v>
      </c>
      <c r="M196" s="278">
        <v>259</v>
      </c>
      <c r="N196" s="352"/>
      <c r="O196" s="348"/>
      <c r="P196" s="280"/>
      <c r="Q196" s="153">
        <f t="shared" si="13"/>
        <v>0</v>
      </c>
      <c r="R196" s="153"/>
      <c r="S196" s="159">
        <f t="shared" si="14"/>
        <v>0</v>
      </c>
    </row>
    <row r="197" spans="1:19" s="160" customFormat="1" ht="32.25" customHeight="1">
      <c r="A197" s="106">
        <v>5</v>
      </c>
      <c r="B197" s="168" t="s">
        <v>42</v>
      </c>
      <c r="C197" s="174" t="s">
        <v>219</v>
      </c>
      <c r="D197" s="125">
        <v>259</v>
      </c>
      <c r="E197" s="163"/>
      <c r="F197" s="122"/>
      <c r="G197" s="122"/>
      <c r="H197" s="91">
        <v>0</v>
      </c>
      <c r="I197" s="122"/>
      <c r="J197" s="132">
        <v>0</v>
      </c>
      <c r="K197" s="343" t="s">
        <v>656</v>
      </c>
      <c r="L197" s="277" t="s">
        <v>688</v>
      </c>
      <c r="M197" s="278">
        <v>259</v>
      </c>
      <c r="N197" s="352"/>
      <c r="O197" s="348"/>
      <c r="P197" s="280"/>
      <c r="Q197" s="153">
        <f t="shared" si="13"/>
        <v>0</v>
      </c>
      <c r="R197" s="153"/>
      <c r="S197" s="159">
        <f t="shared" si="14"/>
        <v>0</v>
      </c>
    </row>
    <row r="198" spans="1:19" s="160" customFormat="1" ht="32.25" customHeight="1">
      <c r="A198" s="106">
        <v>6</v>
      </c>
      <c r="B198" s="142" t="s">
        <v>69</v>
      </c>
      <c r="C198" s="174" t="s">
        <v>221</v>
      </c>
      <c r="D198" s="151">
        <v>259</v>
      </c>
      <c r="E198" s="163"/>
      <c r="F198" s="122"/>
      <c r="G198" s="122"/>
      <c r="H198" s="91">
        <v>0</v>
      </c>
      <c r="I198" s="122"/>
      <c r="J198" s="132">
        <v>0</v>
      </c>
      <c r="K198" s="343" t="s">
        <v>613</v>
      </c>
      <c r="L198" s="277" t="s">
        <v>689</v>
      </c>
      <c r="M198" s="278">
        <v>259</v>
      </c>
      <c r="N198" s="353"/>
      <c r="O198" s="348"/>
      <c r="P198" s="280"/>
      <c r="Q198" s="91">
        <f t="shared" si="13"/>
        <v>0</v>
      </c>
      <c r="R198" s="91"/>
      <c r="S198" s="77">
        <f t="shared" si="14"/>
        <v>0</v>
      </c>
    </row>
    <row r="199" spans="1:19" ht="32.25" customHeight="1">
      <c r="A199" s="106">
        <v>7</v>
      </c>
      <c r="B199" s="146" t="s">
        <v>75</v>
      </c>
      <c r="C199" s="173" t="s">
        <v>223</v>
      </c>
      <c r="D199" s="151"/>
      <c r="E199" s="163"/>
      <c r="F199" s="115"/>
      <c r="G199" s="115"/>
      <c r="H199" s="131">
        <v>0</v>
      </c>
      <c r="I199" s="115"/>
      <c r="J199" s="132">
        <v>0</v>
      </c>
      <c r="K199" s="356"/>
      <c r="L199" s="350"/>
      <c r="M199" s="351"/>
      <c r="N199" s="352"/>
      <c r="O199" s="348"/>
      <c r="P199" s="280"/>
      <c r="Q199" s="153">
        <f t="shared" si="13"/>
        <v>0</v>
      </c>
      <c r="R199" s="153"/>
      <c r="S199" s="159">
        <f t="shared" si="14"/>
        <v>0</v>
      </c>
    </row>
    <row r="200" spans="1:19" s="160" customFormat="1" ht="32.25" customHeight="1">
      <c r="A200" s="106">
        <v>8</v>
      </c>
      <c r="B200" s="142" t="s">
        <v>77</v>
      </c>
      <c r="C200" s="174" t="s">
        <v>224</v>
      </c>
      <c r="D200" s="151">
        <v>259</v>
      </c>
      <c r="E200" s="163"/>
      <c r="F200" s="122"/>
      <c r="G200" s="122"/>
      <c r="H200" s="91">
        <v>0</v>
      </c>
      <c r="I200" s="122"/>
      <c r="J200" s="132">
        <v>0</v>
      </c>
      <c r="K200" s="343" t="s">
        <v>652</v>
      </c>
      <c r="L200" s="277" t="s">
        <v>690</v>
      </c>
      <c r="M200" s="278">
        <v>259</v>
      </c>
      <c r="N200" s="352"/>
      <c r="O200" s="348"/>
      <c r="P200" s="280"/>
      <c r="Q200" s="153">
        <f t="shared" si="13"/>
        <v>0</v>
      </c>
      <c r="R200" s="153"/>
      <c r="S200" s="159">
        <f t="shared" si="14"/>
        <v>0</v>
      </c>
    </row>
    <row r="201" spans="1:19" s="160" customFormat="1" ht="32.25" customHeight="1">
      <c r="A201" s="106">
        <v>9</v>
      </c>
      <c r="B201" s="142" t="s">
        <v>77</v>
      </c>
      <c r="C201" s="174" t="s">
        <v>226</v>
      </c>
      <c r="D201" s="151">
        <v>259</v>
      </c>
      <c r="E201" s="163"/>
      <c r="F201" s="122"/>
      <c r="G201" s="122"/>
      <c r="H201" s="91">
        <v>0</v>
      </c>
      <c r="I201" s="122"/>
      <c r="J201" s="132">
        <v>0</v>
      </c>
      <c r="K201" s="343" t="s">
        <v>652</v>
      </c>
      <c r="L201" s="277" t="s">
        <v>690</v>
      </c>
      <c r="M201" s="278">
        <v>259</v>
      </c>
      <c r="N201" s="352"/>
      <c r="O201" s="348"/>
      <c r="P201" s="280"/>
      <c r="Q201" s="153">
        <f t="shared" si="13"/>
        <v>0</v>
      </c>
      <c r="R201" s="153"/>
      <c r="S201" s="159">
        <f t="shared" si="14"/>
        <v>0</v>
      </c>
    </row>
    <row r="202" spans="1:19" ht="32.25" customHeight="1">
      <c r="A202" s="106">
        <v>10</v>
      </c>
      <c r="B202" s="146" t="s">
        <v>75</v>
      </c>
      <c r="C202" s="173" t="s">
        <v>227</v>
      </c>
      <c r="D202" s="151"/>
      <c r="E202" s="163"/>
      <c r="F202" s="115"/>
      <c r="G202" s="115"/>
      <c r="H202" s="131">
        <v>0</v>
      </c>
      <c r="I202" s="115"/>
      <c r="J202" s="132">
        <v>0</v>
      </c>
      <c r="K202" s="356"/>
      <c r="L202" s="350"/>
      <c r="M202" s="351"/>
      <c r="N202" s="352"/>
      <c r="O202" s="348"/>
      <c r="P202" s="280"/>
      <c r="Q202" s="153">
        <f t="shared" si="13"/>
        <v>0</v>
      </c>
      <c r="R202" s="153"/>
      <c r="S202" s="159">
        <f t="shared" si="14"/>
        <v>0</v>
      </c>
    </row>
    <row r="203" spans="1:19" s="160" customFormat="1" ht="32.25" customHeight="1">
      <c r="A203" s="106">
        <v>11</v>
      </c>
      <c r="B203" s="142" t="s">
        <v>83</v>
      </c>
      <c r="C203" s="174" t="s">
        <v>228</v>
      </c>
      <c r="D203" s="151">
        <v>259</v>
      </c>
      <c r="E203" s="163"/>
      <c r="F203" s="122"/>
      <c r="G203" s="122"/>
      <c r="H203" s="91">
        <v>0</v>
      </c>
      <c r="I203" s="122"/>
      <c r="J203" s="132">
        <v>0</v>
      </c>
      <c r="K203" s="343" t="s">
        <v>656</v>
      </c>
      <c r="L203" s="277" t="s">
        <v>691</v>
      </c>
      <c r="M203" s="278">
        <v>259</v>
      </c>
      <c r="N203" s="352"/>
      <c r="O203" s="348"/>
      <c r="P203" s="280"/>
      <c r="Q203" s="153">
        <f t="shared" si="13"/>
        <v>0</v>
      </c>
      <c r="R203" s="153"/>
      <c r="S203" s="159">
        <f t="shared" si="14"/>
        <v>0</v>
      </c>
    </row>
    <row r="204" spans="1:19" s="160" customFormat="1" ht="32.25" customHeight="1">
      <c r="A204" s="106">
        <v>12</v>
      </c>
      <c r="B204" s="142" t="s">
        <v>87</v>
      </c>
      <c r="C204" s="174" t="s">
        <v>230</v>
      </c>
      <c r="D204" s="151">
        <v>259</v>
      </c>
      <c r="E204" s="163"/>
      <c r="F204" s="122"/>
      <c r="G204" s="122"/>
      <c r="H204" s="91">
        <v>0</v>
      </c>
      <c r="I204" s="122"/>
      <c r="J204" s="132">
        <v>0</v>
      </c>
      <c r="K204" s="343" t="s">
        <v>650</v>
      </c>
      <c r="L204" s="277" t="s">
        <v>692</v>
      </c>
      <c r="M204" s="278">
        <v>259</v>
      </c>
      <c r="N204" s="352"/>
      <c r="O204" s="348"/>
      <c r="P204" s="280"/>
      <c r="Q204" s="153">
        <f t="shared" si="13"/>
        <v>0</v>
      </c>
      <c r="R204" s="153"/>
      <c r="S204" s="159">
        <f t="shared" si="14"/>
        <v>0</v>
      </c>
    </row>
    <row r="205" spans="1:19" ht="32.25" customHeight="1">
      <c r="A205" s="357">
        <v>13</v>
      </c>
      <c r="B205" s="146" t="s">
        <v>75</v>
      </c>
      <c r="C205" s="173" t="s">
        <v>232</v>
      </c>
      <c r="D205" s="151"/>
      <c r="E205" s="163"/>
      <c r="F205" s="115"/>
      <c r="G205" s="115"/>
      <c r="H205" s="131">
        <v>0</v>
      </c>
      <c r="I205" s="115"/>
      <c r="J205" s="132">
        <v>0</v>
      </c>
      <c r="K205" s="358"/>
      <c r="L205" s="359"/>
      <c r="M205" s="360"/>
      <c r="N205" s="361"/>
      <c r="O205" s="362"/>
      <c r="P205" s="122"/>
      <c r="Q205" s="153">
        <f t="shared" si="13"/>
        <v>0</v>
      </c>
      <c r="R205" s="153"/>
      <c r="S205" s="159">
        <f t="shared" si="14"/>
        <v>0</v>
      </c>
    </row>
    <row r="206" spans="1:19" ht="32.25" customHeight="1">
      <c r="A206" s="106">
        <v>14</v>
      </c>
      <c r="B206" s="142" t="s">
        <v>92</v>
      </c>
      <c r="C206" s="174" t="s">
        <v>233</v>
      </c>
      <c r="D206" s="151"/>
      <c r="E206" s="163"/>
      <c r="F206" s="115"/>
      <c r="G206" s="115"/>
      <c r="H206" s="131">
        <v>0</v>
      </c>
      <c r="I206" s="115"/>
      <c r="J206" s="132">
        <v>0</v>
      </c>
      <c r="K206" s="358"/>
      <c r="L206" s="359"/>
      <c r="M206" s="360"/>
      <c r="N206" s="361"/>
      <c r="O206" s="362"/>
      <c r="P206" s="122"/>
      <c r="Q206" s="153">
        <f t="shared" si="13"/>
        <v>0</v>
      </c>
      <c r="R206" s="153"/>
      <c r="S206" s="159">
        <f t="shared" si="14"/>
        <v>0</v>
      </c>
    </row>
    <row r="207" spans="1:19" ht="32.25" customHeight="1">
      <c r="A207" s="106">
        <v>15</v>
      </c>
      <c r="B207" s="146" t="s">
        <v>75</v>
      </c>
      <c r="C207" s="173" t="s">
        <v>234</v>
      </c>
      <c r="D207" s="151">
        <v>0</v>
      </c>
      <c r="E207" s="163"/>
      <c r="F207" s="115"/>
      <c r="G207" s="115"/>
      <c r="H207" s="131">
        <v>0</v>
      </c>
      <c r="I207" s="115"/>
      <c r="J207" s="132">
        <v>0</v>
      </c>
      <c r="K207" s="358"/>
      <c r="L207" s="359"/>
      <c r="M207" s="360"/>
      <c r="N207" s="361"/>
      <c r="O207" s="362"/>
      <c r="P207" s="122"/>
      <c r="Q207" s="153">
        <f t="shared" si="13"/>
        <v>0</v>
      </c>
      <c r="R207" s="153"/>
      <c r="S207" s="159">
        <f t="shared" si="14"/>
        <v>0</v>
      </c>
    </row>
    <row r="208" spans="1:19" s="160" customFormat="1" ht="32.25" customHeight="1">
      <c r="A208" s="106">
        <v>16</v>
      </c>
      <c r="B208" s="142" t="s">
        <v>95</v>
      </c>
      <c r="C208" s="174" t="s">
        <v>235</v>
      </c>
      <c r="D208" s="151">
        <v>0</v>
      </c>
      <c r="E208" s="163"/>
      <c r="F208" s="122"/>
      <c r="G208" s="122"/>
      <c r="H208" s="91">
        <v>0</v>
      </c>
      <c r="I208" s="122"/>
      <c r="J208" s="132">
        <v>0</v>
      </c>
      <c r="K208" s="363"/>
      <c r="L208" s="363"/>
      <c r="M208" s="364"/>
      <c r="N208" s="361"/>
      <c r="O208" s="362"/>
      <c r="P208" s="122"/>
      <c r="Q208" s="153">
        <f t="shared" si="13"/>
        <v>0</v>
      </c>
      <c r="R208" s="153"/>
      <c r="S208" s="159">
        <f t="shared" si="14"/>
        <v>0</v>
      </c>
    </row>
    <row r="209" spans="1:19" s="160" customFormat="1" ht="32.25" customHeight="1">
      <c r="A209" s="106">
        <v>17</v>
      </c>
      <c r="B209" s="365" t="s">
        <v>236</v>
      </c>
      <c r="C209" s="174" t="s">
        <v>237</v>
      </c>
      <c r="D209" s="151">
        <v>0</v>
      </c>
      <c r="E209" s="163"/>
      <c r="F209" s="122"/>
      <c r="G209" s="122"/>
      <c r="H209" s="91">
        <v>0</v>
      </c>
      <c r="I209" s="122"/>
      <c r="J209" s="132">
        <v>0</v>
      </c>
      <c r="K209" s="358"/>
      <c r="L209" s="359"/>
      <c r="M209" s="360"/>
      <c r="N209" s="361"/>
      <c r="O209" s="362"/>
      <c r="P209" s="122"/>
      <c r="Q209" s="153">
        <f t="shared" si="13"/>
        <v>0</v>
      </c>
      <c r="R209" s="153"/>
      <c r="S209" s="159">
        <f t="shared" si="14"/>
        <v>0</v>
      </c>
    </row>
    <row r="210" spans="1:19" s="160" customFormat="1" ht="32.25" customHeight="1">
      <c r="A210" s="106">
        <v>18</v>
      </c>
      <c r="B210" s="142" t="s">
        <v>99</v>
      </c>
      <c r="C210" s="174" t="s">
        <v>238</v>
      </c>
      <c r="D210" s="151">
        <v>6750</v>
      </c>
      <c r="E210" s="163"/>
      <c r="F210" s="122"/>
      <c r="G210" s="122"/>
      <c r="H210" s="91">
        <v>0</v>
      </c>
      <c r="I210" s="122"/>
      <c r="J210" s="132">
        <v>0</v>
      </c>
      <c r="K210" s="343" t="s">
        <v>654</v>
      </c>
      <c r="L210" s="277" t="s">
        <v>693</v>
      </c>
      <c r="M210" s="278">
        <v>6750</v>
      </c>
      <c r="N210" s="361"/>
      <c r="O210" s="362"/>
      <c r="P210" s="122"/>
      <c r="Q210" s="153">
        <f t="shared" si="13"/>
        <v>0</v>
      </c>
      <c r="R210" s="153"/>
      <c r="S210" s="159">
        <f t="shared" si="14"/>
        <v>0</v>
      </c>
    </row>
    <row r="211" spans="1:19" s="160" customFormat="1" ht="32.25" customHeight="1">
      <c r="A211" s="106">
        <v>19</v>
      </c>
      <c r="B211" s="142" t="s">
        <v>141</v>
      </c>
      <c r="C211" s="193" t="s">
        <v>240</v>
      </c>
      <c r="D211" s="125">
        <v>114.5</v>
      </c>
      <c r="E211" s="152" t="s">
        <v>57</v>
      </c>
      <c r="F211" s="212"/>
      <c r="G211" s="213"/>
      <c r="H211" s="153">
        <v>-1030.5</v>
      </c>
      <c r="I211" s="125"/>
      <c r="J211" s="132">
        <v>-1030.5</v>
      </c>
      <c r="K211" s="363"/>
      <c r="L211" s="366"/>
      <c r="M211" s="367"/>
      <c r="N211" s="374" t="s">
        <v>57</v>
      </c>
      <c r="O211" s="362"/>
      <c r="P211" s="221"/>
      <c r="Q211" s="153">
        <f t="shared" si="13"/>
        <v>-916</v>
      </c>
      <c r="R211" s="153"/>
      <c r="S211" s="159">
        <f t="shared" si="14"/>
        <v>-916</v>
      </c>
    </row>
    <row r="212" spans="1:19" s="160" customFormat="1" ht="32.25" customHeight="1">
      <c r="A212" s="106"/>
      <c r="B212" s="222" t="s">
        <v>241</v>
      </c>
      <c r="C212" s="193"/>
      <c r="D212" s="92"/>
      <c r="E212" s="239"/>
      <c r="F212" s="122"/>
      <c r="G212" s="217"/>
      <c r="H212" s="91">
        <v>0</v>
      </c>
      <c r="I212" s="92"/>
      <c r="J212" s="132">
        <v>0</v>
      </c>
      <c r="K212" s="363"/>
      <c r="L212" s="366"/>
      <c r="M212" s="367"/>
      <c r="N212" s="361"/>
      <c r="O212" s="362"/>
      <c r="P212" s="221"/>
      <c r="Q212" s="153">
        <f t="shared" si="13"/>
        <v>0</v>
      </c>
      <c r="R212" s="153"/>
      <c r="S212" s="159">
        <f t="shared" si="14"/>
        <v>0</v>
      </c>
    </row>
    <row r="213" spans="1:19" s="160" customFormat="1" ht="32.25" customHeight="1">
      <c r="A213" s="106"/>
      <c r="B213" s="222" t="s">
        <v>242</v>
      </c>
      <c r="C213" s="193"/>
      <c r="D213" s="92"/>
      <c r="E213" s="239"/>
      <c r="F213" s="122"/>
      <c r="G213" s="217"/>
      <c r="H213" s="91">
        <v>0</v>
      </c>
      <c r="I213" s="92"/>
      <c r="J213" s="132">
        <v>0</v>
      </c>
      <c r="K213" s="363"/>
      <c r="L213" s="366"/>
      <c r="M213" s="367"/>
      <c r="N213" s="361"/>
      <c r="O213" s="362"/>
      <c r="P213" s="221"/>
      <c r="Q213" s="153">
        <f t="shared" si="13"/>
        <v>0</v>
      </c>
      <c r="R213" s="153"/>
      <c r="S213" s="159">
        <f t="shared" si="14"/>
        <v>0</v>
      </c>
    </row>
    <row r="214" spans="1:19" ht="32.25" customHeight="1">
      <c r="A214" s="106">
        <v>20</v>
      </c>
      <c r="B214" s="222" t="s">
        <v>52</v>
      </c>
      <c r="C214" s="193" t="s">
        <v>243</v>
      </c>
      <c r="D214" s="92">
        <v>11.5</v>
      </c>
      <c r="E214" s="369" t="s">
        <v>57</v>
      </c>
      <c r="F214" s="346"/>
      <c r="G214" s="213"/>
      <c r="H214" s="153">
        <v>-103.5</v>
      </c>
      <c r="I214" s="370"/>
      <c r="J214" s="226">
        <v>-103.5</v>
      </c>
      <c r="K214" s="358"/>
      <c r="L214" s="359"/>
      <c r="M214" s="371"/>
      <c r="N214" s="368" t="s">
        <v>57</v>
      </c>
      <c r="O214" s="362"/>
      <c r="P214" s="221"/>
      <c r="Q214" s="153">
        <f t="shared" si="13"/>
        <v>-92</v>
      </c>
      <c r="R214" s="153"/>
      <c r="S214" s="159">
        <f t="shared" si="14"/>
        <v>-92</v>
      </c>
    </row>
    <row r="215" spans="1:19" ht="32.25" customHeight="1">
      <c r="A215" s="116"/>
      <c r="B215" s="222" t="s">
        <v>244</v>
      </c>
      <c r="C215" s="193"/>
      <c r="D215" s="92"/>
      <c r="E215" s="239"/>
      <c r="F215" s="122"/>
      <c r="G215" s="217"/>
      <c r="H215" s="91">
        <v>0</v>
      </c>
      <c r="I215" s="92"/>
      <c r="J215" s="132">
        <v>0</v>
      </c>
      <c r="K215" s="358"/>
      <c r="L215" s="359"/>
      <c r="M215" s="371"/>
      <c r="N215" s="361"/>
      <c r="O215" s="362"/>
      <c r="P215" s="221"/>
      <c r="Q215" s="153">
        <f t="shared" si="13"/>
        <v>0</v>
      </c>
      <c r="R215" s="153"/>
      <c r="S215" s="159">
        <f t="shared" si="14"/>
        <v>0</v>
      </c>
    </row>
    <row r="216" spans="1:19" ht="32.25" customHeight="1">
      <c r="A216" s="116"/>
      <c r="B216" s="222" t="s">
        <v>245</v>
      </c>
      <c r="C216" s="193"/>
      <c r="D216" s="92"/>
      <c r="E216" s="239"/>
      <c r="F216" s="122"/>
      <c r="G216" s="91"/>
      <c r="H216" s="91">
        <v>0</v>
      </c>
      <c r="I216" s="92"/>
      <c r="J216" s="132">
        <v>0</v>
      </c>
      <c r="K216" s="372"/>
      <c r="L216" s="359"/>
      <c r="M216" s="371"/>
      <c r="N216" s="361"/>
      <c r="O216" s="362"/>
      <c r="P216" s="92"/>
      <c r="Q216" s="153">
        <f t="shared" si="13"/>
        <v>0</v>
      </c>
      <c r="R216" s="153"/>
      <c r="S216" s="159">
        <f t="shared" si="14"/>
        <v>0</v>
      </c>
    </row>
    <row r="217" spans="1:19" ht="32.25" customHeight="1">
      <c r="A217" s="106">
        <v>21</v>
      </c>
      <c r="B217" s="222" t="s">
        <v>152</v>
      </c>
      <c r="C217" s="193" t="s">
        <v>246</v>
      </c>
      <c r="D217" s="125">
        <v>70.42</v>
      </c>
      <c r="E217" s="163" t="s">
        <v>57</v>
      </c>
      <c r="F217" s="115"/>
      <c r="G217" s="91"/>
      <c r="H217" s="91">
        <v>-281.6400000000001</v>
      </c>
      <c r="I217" s="125"/>
      <c r="J217" s="132">
        <v>-281.6400000000001</v>
      </c>
      <c r="K217" s="372"/>
      <c r="L217" s="373"/>
      <c r="M217" s="371"/>
      <c r="N217" s="374" t="s">
        <v>57</v>
      </c>
      <c r="O217" s="362"/>
      <c r="P217" s="92"/>
      <c r="Q217" s="153">
        <f t="shared" si="13"/>
        <v>-211.22000000000008</v>
      </c>
      <c r="R217" s="91"/>
      <c r="S217" s="159">
        <f t="shared" si="14"/>
        <v>-211.22000000000008</v>
      </c>
    </row>
    <row r="218" spans="1:19" ht="32.25" customHeight="1">
      <c r="A218" s="106"/>
      <c r="B218" s="664" t="s">
        <v>247</v>
      </c>
      <c r="C218" s="665"/>
      <c r="D218" s="92"/>
      <c r="E218" s="239"/>
      <c r="F218" s="122"/>
      <c r="G218" s="91"/>
      <c r="H218" s="91">
        <v>0</v>
      </c>
      <c r="I218" s="92"/>
      <c r="J218" s="132">
        <v>0</v>
      </c>
      <c r="K218" s="359"/>
      <c r="L218" s="358"/>
      <c r="M218" s="371"/>
      <c r="N218" s="361"/>
      <c r="O218" s="362"/>
      <c r="P218" s="92"/>
      <c r="Q218" s="153">
        <f t="shared" si="13"/>
        <v>0</v>
      </c>
      <c r="R218" s="91"/>
      <c r="S218" s="159">
        <f t="shared" si="14"/>
        <v>0</v>
      </c>
    </row>
    <row r="219" spans="1:19" ht="32.25" customHeight="1">
      <c r="A219" s="106"/>
      <c r="B219" s="652" t="s">
        <v>248</v>
      </c>
      <c r="C219" s="654"/>
      <c r="D219" s="92"/>
      <c r="E219" s="239"/>
      <c r="F219" s="122"/>
      <c r="G219" s="91"/>
      <c r="H219" s="91">
        <v>0</v>
      </c>
      <c r="I219" s="92"/>
      <c r="J219" s="132">
        <v>0</v>
      </c>
      <c r="K219" s="359"/>
      <c r="L219" s="358"/>
      <c r="M219" s="371"/>
      <c r="N219" s="361"/>
      <c r="O219" s="362"/>
      <c r="P219" s="92"/>
      <c r="Q219" s="153">
        <f t="shared" si="13"/>
        <v>0</v>
      </c>
      <c r="R219" s="91"/>
      <c r="S219" s="159">
        <f t="shared" si="14"/>
        <v>0</v>
      </c>
    </row>
    <row r="220" spans="1:19" ht="32.25" customHeight="1">
      <c r="A220" s="106"/>
      <c r="B220" s="375" t="s">
        <v>249</v>
      </c>
      <c r="C220" s="376"/>
      <c r="D220" s="377"/>
      <c r="E220" s="378"/>
      <c r="F220" s="194"/>
      <c r="G220" s="195"/>
      <c r="H220" s="195">
        <v>0</v>
      </c>
      <c r="I220" s="377"/>
      <c r="J220" s="379">
        <v>0</v>
      </c>
      <c r="K220" s="359"/>
      <c r="L220" s="358"/>
      <c r="M220" s="371"/>
      <c r="N220" s="361"/>
      <c r="O220" s="362"/>
      <c r="P220" s="92"/>
      <c r="Q220" s="153">
        <f t="shared" si="13"/>
        <v>0</v>
      </c>
      <c r="R220" s="91"/>
      <c r="S220" s="159">
        <f t="shared" si="14"/>
        <v>0</v>
      </c>
    </row>
    <row r="221" spans="1:19" ht="32.25" customHeight="1">
      <c r="A221" s="106">
        <v>22</v>
      </c>
      <c r="B221" s="222" t="s">
        <v>130</v>
      </c>
      <c r="C221" s="193" t="s">
        <v>250</v>
      </c>
      <c r="D221" s="92">
        <v>0</v>
      </c>
      <c r="E221" s="239"/>
      <c r="F221" s="122"/>
      <c r="G221" s="91"/>
      <c r="H221" s="91">
        <v>0</v>
      </c>
      <c r="I221" s="92"/>
      <c r="J221" s="132">
        <v>0</v>
      </c>
      <c r="K221" s="380"/>
      <c r="L221" s="381"/>
      <c r="M221" s="382"/>
      <c r="N221" s="2"/>
      <c r="O221" s="362"/>
      <c r="P221" s="92"/>
      <c r="Q221" s="153">
        <f t="shared" si="13"/>
        <v>0</v>
      </c>
      <c r="R221" s="91"/>
      <c r="S221" s="159">
        <f t="shared" si="14"/>
        <v>0</v>
      </c>
    </row>
    <row r="222" spans="1:19" ht="32.25" customHeight="1">
      <c r="A222" s="116"/>
      <c r="B222" s="222" t="s">
        <v>251</v>
      </c>
      <c r="C222" s="193"/>
      <c r="D222" s="92"/>
      <c r="E222" s="239"/>
      <c r="F222" s="122"/>
      <c r="G222" s="91"/>
      <c r="H222" s="91">
        <v>0</v>
      </c>
      <c r="I222" s="92"/>
      <c r="J222" s="132">
        <v>0</v>
      </c>
      <c r="K222" s="372"/>
      <c r="L222" s="359"/>
      <c r="M222" s="371"/>
      <c r="N222" s="361"/>
      <c r="O222" s="362"/>
      <c r="P222" s="92"/>
      <c r="Q222" s="153">
        <f t="shared" si="13"/>
        <v>0</v>
      </c>
      <c r="R222" s="383"/>
      <c r="S222" s="159">
        <f t="shared" si="14"/>
        <v>0</v>
      </c>
    </row>
    <row r="223" spans="1:19" ht="32.25" customHeight="1">
      <c r="A223" s="116"/>
      <c r="B223" s="222" t="s">
        <v>253</v>
      </c>
      <c r="C223" s="193"/>
      <c r="D223" s="92"/>
      <c r="E223" s="239"/>
      <c r="F223" s="122"/>
      <c r="G223" s="91"/>
      <c r="H223" s="91">
        <v>0</v>
      </c>
      <c r="I223" s="92"/>
      <c r="J223" s="132">
        <v>0</v>
      </c>
      <c r="K223" s="372"/>
      <c r="L223" s="359"/>
      <c r="M223" s="371"/>
      <c r="N223" s="361"/>
      <c r="O223" s="362"/>
      <c r="P223" s="92"/>
      <c r="Q223" s="153">
        <f t="shared" si="13"/>
        <v>0</v>
      </c>
      <c r="R223" s="383"/>
      <c r="S223" s="159">
        <f t="shared" si="14"/>
        <v>0</v>
      </c>
    </row>
    <row r="224" spans="1:19" ht="32.25" customHeight="1">
      <c r="A224" s="116"/>
      <c r="B224" s="222" t="s">
        <v>255</v>
      </c>
      <c r="C224" s="193"/>
      <c r="D224" s="92">
        <v>25.83</v>
      </c>
      <c r="E224" s="239" t="s">
        <v>57</v>
      </c>
      <c r="F224" s="122"/>
      <c r="G224" s="91"/>
      <c r="H224" s="91">
        <v>-180.85000000000008</v>
      </c>
      <c r="I224" s="92"/>
      <c r="J224" s="132">
        <v>-180.85000000000008</v>
      </c>
      <c r="K224" s="372"/>
      <c r="L224" s="359"/>
      <c r="M224" s="371"/>
      <c r="N224" s="374" t="s">
        <v>57</v>
      </c>
      <c r="O224" s="362"/>
      <c r="P224" s="92"/>
      <c r="Q224" s="153">
        <f t="shared" si="13"/>
        <v>-155.0200000000001</v>
      </c>
      <c r="R224" s="383"/>
      <c r="S224" s="159">
        <f t="shared" si="14"/>
        <v>-155.0200000000001</v>
      </c>
    </row>
    <row r="225" spans="1:19" ht="32.25" customHeight="1">
      <c r="A225" s="116"/>
      <c r="B225" s="222" t="s">
        <v>257</v>
      </c>
      <c r="C225" s="193"/>
      <c r="D225" s="92"/>
      <c r="E225" s="239"/>
      <c r="F225" s="122"/>
      <c r="G225" s="91"/>
      <c r="H225" s="91">
        <v>0</v>
      </c>
      <c r="I225" s="92"/>
      <c r="J225" s="132">
        <v>0</v>
      </c>
      <c r="K225" s="372"/>
      <c r="L225" s="359"/>
      <c r="M225" s="371"/>
      <c r="N225" s="361"/>
      <c r="O225" s="362"/>
      <c r="P225" s="92"/>
      <c r="Q225" s="153">
        <f t="shared" si="13"/>
        <v>0</v>
      </c>
      <c r="R225" s="383"/>
      <c r="S225" s="159">
        <f t="shared" si="14"/>
        <v>0</v>
      </c>
    </row>
    <row r="226" spans="1:19" ht="32.25" customHeight="1">
      <c r="A226" s="116">
        <v>23</v>
      </c>
      <c r="B226" s="142" t="s">
        <v>145</v>
      </c>
      <c r="C226" s="193" t="s">
        <v>258</v>
      </c>
      <c r="D226" s="92">
        <v>29.17</v>
      </c>
      <c r="E226" s="239" t="s">
        <v>57</v>
      </c>
      <c r="F226" s="122"/>
      <c r="G226" s="91"/>
      <c r="H226" s="91">
        <v>4.0000000000063096E-2</v>
      </c>
      <c r="I226" s="92"/>
      <c r="J226" s="132">
        <v>4.0000000000063096E-2</v>
      </c>
      <c r="K226" s="372"/>
      <c r="L226" s="359"/>
      <c r="M226" s="371"/>
      <c r="N226" s="361" t="s">
        <v>669</v>
      </c>
      <c r="O226" s="362">
        <v>1</v>
      </c>
      <c r="P226" s="92" t="s">
        <v>72</v>
      </c>
      <c r="Q226" s="153">
        <f t="shared" si="13"/>
        <v>29.210000000000065</v>
      </c>
      <c r="R226" s="153"/>
      <c r="S226" s="159">
        <f t="shared" si="14"/>
        <v>29.210000000000065</v>
      </c>
    </row>
    <row r="227" spans="1:19" ht="32.25" customHeight="1">
      <c r="A227" s="116"/>
      <c r="B227" s="384" t="s">
        <v>259</v>
      </c>
      <c r="C227" s="385"/>
      <c r="D227" s="386"/>
      <c r="E227" s="387"/>
      <c r="F227" s="388"/>
      <c r="G227" s="389"/>
      <c r="H227" s="389">
        <v>0</v>
      </c>
      <c r="I227" s="92"/>
      <c r="J227" s="132">
        <v>0</v>
      </c>
      <c r="K227" s="372"/>
      <c r="L227" s="359"/>
      <c r="M227" s="371"/>
      <c r="N227" s="361"/>
      <c r="O227" s="362"/>
      <c r="P227" s="92"/>
      <c r="Q227" s="153">
        <f t="shared" si="13"/>
        <v>0</v>
      </c>
      <c r="R227" s="153"/>
      <c r="S227" s="159">
        <f t="shared" si="14"/>
        <v>0</v>
      </c>
    </row>
    <row r="228" spans="1:19" ht="32.25" customHeight="1">
      <c r="A228" s="116"/>
      <c r="B228" s="384" t="s">
        <v>260</v>
      </c>
      <c r="C228" s="385"/>
      <c r="D228" s="386"/>
      <c r="E228" s="387"/>
      <c r="F228" s="388"/>
      <c r="G228" s="389"/>
      <c r="H228" s="389">
        <v>0</v>
      </c>
      <c r="I228" s="92"/>
      <c r="J228" s="132">
        <v>0</v>
      </c>
      <c r="K228" s="372"/>
      <c r="L228" s="359"/>
      <c r="M228" s="371"/>
      <c r="N228" s="361"/>
      <c r="O228" s="362"/>
      <c r="P228" s="92"/>
      <c r="Q228" s="153">
        <f t="shared" si="13"/>
        <v>0</v>
      </c>
      <c r="R228" s="153"/>
      <c r="S228" s="159">
        <f t="shared" si="14"/>
        <v>0</v>
      </c>
    </row>
    <row r="229" spans="1:19" ht="32.25" customHeight="1">
      <c r="A229" s="116">
        <v>24</v>
      </c>
      <c r="B229" s="142" t="s">
        <v>158</v>
      </c>
      <c r="C229" s="390" t="s">
        <v>261</v>
      </c>
      <c r="D229" s="92">
        <v>24.17</v>
      </c>
      <c r="E229" s="239" t="s">
        <v>57</v>
      </c>
      <c r="F229" s="122"/>
      <c r="G229" s="91"/>
      <c r="H229" s="91">
        <v>-120.80999999999996</v>
      </c>
      <c r="I229" s="92"/>
      <c r="J229" s="132">
        <v>-120.80999999999996</v>
      </c>
      <c r="K229" s="372"/>
      <c r="L229" s="359"/>
      <c r="M229" s="371"/>
      <c r="N229" s="361" t="s">
        <v>57</v>
      </c>
      <c r="O229" s="362"/>
      <c r="P229" s="92"/>
      <c r="Q229" s="153">
        <f t="shared" si="13"/>
        <v>-96.639999999999958</v>
      </c>
      <c r="R229" s="354"/>
      <c r="S229" s="159">
        <f t="shared" si="14"/>
        <v>-96.639999999999958</v>
      </c>
    </row>
    <row r="230" spans="1:19" ht="32.25" customHeight="1">
      <c r="A230" s="116"/>
      <c r="B230" s="275" t="s">
        <v>262</v>
      </c>
      <c r="C230" s="390"/>
      <c r="D230" s="92"/>
      <c r="E230" s="239"/>
      <c r="F230" s="122"/>
      <c r="G230" s="91"/>
      <c r="H230" s="91">
        <v>0</v>
      </c>
      <c r="I230" s="92"/>
      <c r="J230" s="132">
        <v>0</v>
      </c>
      <c r="K230" s="372"/>
      <c r="L230" s="359"/>
      <c r="M230" s="371"/>
      <c r="N230" s="361"/>
      <c r="O230" s="362"/>
      <c r="P230" s="92"/>
      <c r="Q230" s="153">
        <f t="shared" si="13"/>
        <v>0</v>
      </c>
      <c r="R230" s="354"/>
      <c r="S230" s="159">
        <f t="shared" si="14"/>
        <v>0</v>
      </c>
    </row>
    <row r="231" spans="1:19" ht="32.25" customHeight="1">
      <c r="A231" s="116"/>
      <c r="B231" s="275" t="s">
        <v>263</v>
      </c>
      <c r="C231" s="390"/>
      <c r="D231" s="92"/>
      <c r="E231" s="239"/>
      <c r="F231" s="122"/>
      <c r="G231" s="91"/>
      <c r="H231" s="91">
        <v>0</v>
      </c>
      <c r="I231" s="92"/>
      <c r="J231" s="132">
        <v>0</v>
      </c>
      <c r="K231" s="372"/>
      <c r="L231" s="359"/>
      <c r="M231" s="371"/>
      <c r="N231" s="361"/>
      <c r="O231" s="362"/>
      <c r="P231" s="92"/>
      <c r="Q231" s="153">
        <f t="shared" si="13"/>
        <v>0</v>
      </c>
      <c r="R231" s="354"/>
      <c r="S231" s="159">
        <f t="shared" si="14"/>
        <v>0</v>
      </c>
    </row>
    <row r="232" spans="1:19" ht="32.25" customHeight="1">
      <c r="A232" s="116"/>
      <c r="B232" s="275" t="s">
        <v>264</v>
      </c>
      <c r="C232" s="390"/>
      <c r="D232" s="92">
        <v>0</v>
      </c>
      <c r="E232" s="239"/>
      <c r="F232" s="122"/>
      <c r="G232" s="91"/>
      <c r="H232" s="91">
        <v>0</v>
      </c>
      <c r="I232" s="92"/>
      <c r="J232" s="132">
        <v>0</v>
      </c>
      <c r="K232" s="372"/>
      <c r="L232" s="359"/>
      <c r="M232" s="371"/>
      <c r="N232" s="361"/>
      <c r="O232" s="362"/>
      <c r="P232" s="92"/>
      <c r="Q232" s="153">
        <f t="shared" si="13"/>
        <v>0</v>
      </c>
      <c r="R232" s="354"/>
      <c r="S232" s="159">
        <f t="shared" si="14"/>
        <v>0</v>
      </c>
    </row>
    <row r="233" spans="1:19" ht="32.25" customHeight="1">
      <c r="A233" s="116"/>
      <c r="B233" s="275" t="s">
        <v>265</v>
      </c>
      <c r="C233" s="390"/>
      <c r="D233" s="92">
        <v>0</v>
      </c>
      <c r="E233" s="2"/>
      <c r="F233" s="2"/>
      <c r="G233" s="2"/>
      <c r="H233" s="2">
        <v>0</v>
      </c>
      <c r="J233" s="2">
        <v>0</v>
      </c>
      <c r="K233" s="372"/>
      <c r="L233" s="359"/>
      <c r="M233" s="371"/>
      <c r="N233" s="361"/>
      <c r="O233" s="362"/>
      <c r="P233" s="92"/>
      <c r="Q233" s="153">
        <f t="shared" si="13"/>
        <v>0</v>
      </c>
      <c r="R233" s="354"/>
      <c r="S233" s="159">
        <f t="shared" si="14"/>
        <v>0</v>
      </c>
    </row>
    <row r="234" spans="1:19" ht="32.25" customHeight="1">
      <c r="A234" s="116"/>
      <c r="B234" s="142" t="s">
        <v>266</v>
      </c>
      <c r="C234" s="390"/>
      <c r="D234" s="92"/>
      <c r="E234" s="239"/>
      <c r="F234" s="122"/>
      <c r="G234" s="91"/>
      <c r="H234" s="91">
        <v>0</v>
      </c>
      <c r="I234" s="92"/>
      <c r="J234" s="132">
        <v>0</v>
      </c>
      <c r="K234" s="372"/>
      <c r="L234" s="359"/>
      <c r="M234" s="371"/>
      <c r="N234" s="361"/>
      <c r="O234" s="362"/>
      <c r="P234" s="92"/>
      <c r="Q234" s="153">
        <f t="shared" si="13"/>
        <v>0</v>
      </c>
      <c r="R234" s="153"/>
      <c r="S234" s="159">
        <f t="shared" si="14"/>
        <v>0</v>
      </c>
    </row>
    <row r="235" spans="1:19" ht="32.25" customHeight="1">
      <c r="A235" s="116"/>
      <c r="B235" s="142" t="s">
        <v>267</v>
      </c>
      <c r="C235" s="390"/>
      <c r="D235" s="92"/>
      <c r="E235" s="239"/>
      <c r="F235" s="122"/>
      <c r="G235" s="91"/>
      <c r="H235" s="91">
        <v>0</v>
      </c>
      <c r="I235" s="92"/>
      <c r="J235" s="132">
        <v>0</v>
      </c>
      <c r="K235" s="372"/>
      <c r="L235" s="359"/>
      <c r="M235" s="371"/>
      <c r="N235" s="361"/>
      <c r="O235" s="362"/>
      <c r="P235" s="92"/>
      <c r="Q235" s="153">
        <f t="shared" si="13"/>
        <v>0</v>
      </c>
      <c r="R235" s="153"/>
      <c r="S235" s="159">
        <f t="shared" si="14"/>
        <v>0</v>
      </c>
    </row>
    <row r="236" spans="1:19" ht="32.25" customHeight="1">
      <c r="A236" s="106">
        <v>25</v>
      </c>
      <c r="B236" s="142" t="s">
        <v>23</v>
      </c>
      <c r="C236" s="174" t="s">
        <v>268</v>
      </c>
      <c r="D236" s="151"/>
      <c r="E236" s="163"/>
      <c r="F236" s="122"/>
      <c r="G236" s="122"/>
      <c r="H236" s="91">
        <v>0</v>
      </c>
      <c r="I236" s="122"/>
      <c r="J236" s="132">
        <v>0</v>
      </c>
      <c r="K236" s="372"/>
      <c r="L236" s="359"/>
      <c r="M236" s="360"/>
      <c r="N236" s="361"/>
      <c r="O236" s="391"/>
      <c r="P236" s="122"/>
      <c r="Q236" s="153">
        <f t="shared" si="13"/>
        <v>0</v>
      </c>
      <c r="R236" s="153"/>
      <c r="S236" s="159">
        <f t="shared" si="14"/>
        <v>0</v>
      </c>
    </row>
    <row r="237" spans="1:19" ht="32.25" customHeight="1" thickBot="1">
      <c r="A237" s="39"/>
      <c r="B237" s="50" t="s">
        <v>19</v>
      </c>
      <c r="C237" s="50"/>
      <c r="D237" s="51">
        <v>9615.59</v>
      </c>
      <c r="E237" s="52"/>
      <c r="F237" s="53"/>
      <c r="G237" s="52"/>
      <c r="H237" s="51">
        <f>SUM(H193:H236)-H193-H217-H224-H226-H229-H211-H214</f>
        <v>0</v>
      </c>
      <c r="I237" s="51">
        <f t="shared" ref="I237:J237" si="15">SUM(I193:I236)-I193-I217-I224-I226-I229-I211-I214</f>
        <v>0</v>
      </c>
      <c r="J237" s="51">
        <f t="shared" si="15"/>
        <v>0</v>
      </c>
      <c r="K237" s="54"/>
      <c r="L237" s="55"/>
      <c r="M237" s="56">
        <f>SUM(M193:M236)</f>
        <v>9340</v>
      </c>
      <c r="N237" s="57"/>
      <c r="O237" s="53"/>
      <c r="P237" s="51"/>
      <c r="Q237" s="51">
        <f>SUM(Q226)</f>
        <v>29.210000000000065</v>
      </c>
      <c r="R237" s="51">
        <f t="shared" ref="R237:S237" si="16">SUM(R226)</f>
        <v>0</v>
      </c>
      <c r="S237" s="51">
        <f t="shared" si="16"/>
        <v>29.210000000000065</v>
      </c>
    </row>
    <row r="238" spans="1:19" ht="32.25" customHeight="1" thickTop="1">
      <c r="A238" s="39"/>
      <c r="B238" s="58" t="s">
        <v>269</v>
      </c>
      <c r="C238" s="59"/>
      <c r="D238" s="60"/>
      <c r="E238" s="61"/>
      <c r="F238" s="62"/>
      <c r="G238" s="63"/>
      <c r="H238" s="64"/>
      <c r="I238" s="64"/>
      <c r="J238" s="64"/>
      <c r="K238" s="65"/>
      <c r="L238" s="66"/>
      <c r="M238" s="67"/>
      <c r="N238" s="68"/>
      <c r="O238" s="62"/>
      <c r="P238" s="69"/>
      <c r="Q238" s="63"/>
      <c r="R238" s="63"/>
      <c r="S238" s="70"/>
    </row>
    <row r="239" spans="1:19" ht="32.25" customHeight="1">
      <c r="A239" s="39">
        <v>1</v>
      </c>
      <c r="B239" s="142" t="s">
        <v>99</v>
      </c>
      <c r="C239" s="392" t="s">
        <v>270</v>
      </c>
      <c r="D239" s="125">
        <v>0</v>
      </c>
      <c r="E239" s="131"/>
      <c r="F239" s="115"/>
      <c r="G239" s="131"/>
      <c r="H239" s="125">
        <v>0</v>
      </c>
      <c r="I239" s="125"/>
      <c r="J239" s="125">
        <v>0</v>
      </c>
      <c r="K239" s="34"/>
      <c r="L239" s="35"/>
      <c r="M239" s="36"/>
      <c r="N239" s="114"/>
      <c r="O239" s="115"/>
      <c r="P239" s="144"/>
      <c r="Q239" s="131">
        <v>0</v>
      </c>
      <c r="R239" s="33"/>
      <c r="S239" s="77">
        <v>0</v>
      </c>
    </row>
    <row r="240" spans="1:19" ht="32.25" customHeight="1">
      <c r="A240" s="106">
        <v>2</v>
      </c>
      <c r="B240" s="142" t="s">
        <v>99</v>
      </c>
      <c r="C240" s="392" t="s">
        <v>271</v>
      </c>
      <c r="D240" s="125">
        <v>0</v>
      </c>
      <c r="E240" s="131"/>
      <c r="F240" s="115"/>
      <c r="G240" s="131"/>
      <c r="H240" s="125">
        <v>0</v>
      </c>
      <c r="I240" s="125"/>
      <c r="J240" s="125">
        <v>0</v>
      </c>
      <c r="K240" s="34"/>
      <c r="L240" s="35"/>
      <c r="M240" s="36"/>
      <c r="N240" s="114"/>
      <c r="O240" s="115"/>
      <c r="P240" s="144"/>
      <c r="Q240" s="131">
        <v>0</v>
      </c>
      <c r="R240" s="33"/>
      <c r="S240" s="77">
        <v>0</v>
      </c>
    </row>
    <row r="241" spans="1:19" ht="32.25" customHeight="1">
      <c r="A241" s="106">
        <v>3</v>
      </c>
      <c r="B241" s="142" t="s">
        <v>99</v>
      </c>
      <c r="C241" s="392" t="s">
        <v>272</v>
      </c>
      <c r="D241" s="125">
        <v>0</v>
      </c>
      <c r="E241" s="131"/>
      <c r="F241" s="115"/>
      <c r="G241" s="131"/>
      <c r="H241" s="125">
        <v>0</v>
      </c>
      <c r="I241" s="125"/>
      <c r="J241" s="125">
        <v>0</v>
      </c>
      <c r="K241" s="34"/>
      <c r="L241" s="35"/>
      <c r="M241" s="36"/>
      <c r="N241" s="114"/>
      <c r="O241" s="115"/>
      <c r="P241" s="144"/>
      <c r="Q241" s="131">
        <v>0</v>
      </c>
      <c r="R241" s="33"/>
      <c r="S241" s="77">
        <v>0</v>
      </c>
    </row>
    <row r="242" spans="1:19" ht="32.25" customHeight="1">
      <c r="A242" s="106">
        <v>4</v>
      </c>
      <c r="B242" s="142" t="s">
        <v>273</v>
      </c>
      <c r="C242" s="392" t="s">
        <v>274</v>
      </c>
      <c r="D242" s="125">
        <v>0</v>
      </c>
      <c r="E242" s="131"/>
      <c r="F242" s="115"/>
      <c r="G242" s="131"/>
      <c r="H242" s="125">
        <v>0</v>
      </c>
      <c r="I242" s="125"/>
      <c r="J242" s="125">
        <v>0</v>
      </c>
      <c r="K242" s="34"/>
      <c r="L242" s="35"/>
      <c r="M242" s="36"/>
      <c r="N242" s="114"/>
      <c r="O242" s="115"/>
      <c r="P242" s="144"/>
      <c r="Q242" s="131">
        <v>0</v>
      </c>
      <c r="R242" s="33"/>
      <c r="S242" s="77">
        <v>0</v>
      </c>
    </row>
    <row r="243" spans="1:19" ht="32.25" customHeight="1">
      <c r="A243" s="106">
        <v>5</v>
      </c>
      <c r="B243" s="142" t="s">
        <v>273</v>
      </c>
      <c r="C243" s="392" t="s">
        <v>275</v>
      </c>
      <c r="D243" s="125">
        <v>0</v>
      </c>
      <c r="E243" s="131"/>
      <c r="F243" s="115"/>
      <c r="G243" s="131"/>
      <c r="H243" s="125">
        <v>0</v>
      </c>
      <c r="I243" s="125"/>
      <c r="J243" s="125">
        <v>0</v>
      </c>
      <c r="K243" s="34"/>
      <c r="L243" s="35"/>
      <c r="M243" s="36"/>
      <c r="N243" s="114"/>
      <c r="O243" s="115"/>
      <c r="P243" s="144"/>
      <c r="Q243" s="131">
        <v>0</v>
      </c>
      <c r="R243" s="33"/>
      <c r="S243" s="77">
        <v>0</v>
      </c>
    </row>
    <row r="244" spans="1:19" ht="32.25" customHeight="1">
      <c r="A244" s="106">
        <v>6</v>
      </c>
      <c r="B244" s="142" t="s">
        <v>276</v>
      </c>
      <c r="C244" s="392" t="s">
        <v>277</v>
      </c>
      <c r="D244" s="125">
        <v>0</v>
      </c>
      <c r="E244" s="131"/>
      <c r="F244" s="115"/>
      <c r="G244" s="131"/>
      <c r="H244" s="125">
        <v>0</v>
      </c>
      <c r="I244" s="125"/>
      <c r="J244" s="125">
        <v>0</v>
      </c>
      <c r="K244" s="34"/>
      <c r="L244" s="35"/>
      <c r="M244" s="36"/>
      <c r="N244" s="114"/>
      <c r="O244" s="115"/>
      <c r="P244" s="144"/>
      <c r="Q244" s="131">
        <v>0</v>
      </c>
      <c r="R244" s="33"/>
      <c r="S244" s="77">
        <v>0</v>
      </c>
    </row>
    <row r="245" spans="1:19" ht="32.25" customHeight="1">
      <c r="A245" s="106">
        <v>7</v>
      </c>
      <c r="B245" s="142" t="s">
        <v>27</v>
      </c>
      <c r="C245" s="392" t="s">
        <v>278</v>
      </c>
      <c r="D245" s="125">
        <v>0</v>
      </c>
      <c r="E245" s="131"/>
      <c r="F245" s="115"/>
      <c r="G245" s="131"/>
      <c r="H245" s="125">
        <v>0</v>
      </c>
      <c r="I245" s="125"/>
      <c r="J245" s="125">
        <v>0</v>
      </c>
      <c r="K245" s="34"/>
      <c r="L245" s="35"/>
      <c r="M245" s="36"/>
      <c r="N245" s="114"/>
      <c r="O245" s="115"/>
      <c r="P245" s="144"/>
      <c r="Q245" s="131">
        <v>0</v>
      </c>
      <c r="R245" s="33"/>
      <c r="S245" s="77">
        <v>0</v>
      </c>
    </row>
    <row r="246" spans="1:19" ht="32.25" customHeight="1">
      <c r="A246" s="106">
        <v>8</v>
      </c>
      <c r="B246" s="142" t="s">
        <v>42</v>
      </c>
      <c r="C246" s="392" t="s">
        <v>279</v>
      </c>
      <c r="D246" s="125">
        <v>0</v>
      </c>
      <c r="E246" s="131"/>
      <c r="F246" s="115"/>
      <c r="G246" s="131"/>
      <c r="H246" s="125">
        <v>0</v>
      </c>
      <c r="I246" s="125"/>
      <c r="J246" s="125">
        <v>0</v>
      </c>
      <c r="K246" s="343"/>
      <c r="L246" s="307"/>
      <c r="M246" s="308"/>
      <c r="N246" s="114"/>
      <c r="O246" s="115"/>
      <c r="P246" s="144"/>
      <c r="Q246" s="131">
        <v>0</v>
      </c>
      <c r="R246" s="33"/>
      <c r="S246" s="77">
        <v>0</v>
      </c>
    </row>
    <row r="247" spans="1:19" ht="32.25" customHeight="1">
      <c r="A247" s="106">
        <v>9</v>
      </c>
      <c r="B247" s="142" t="s">
        <v>69</v>
      </c>
      <c r="C247" s="392" t="s">
        <v>280</v>
      </c>
      <c r="D247" s="125">
        <v>0</v>
      </c>
      <c r="E247" s="131"/>
      <c r="F247" s="115"/>
      <c r="G247" s="131"/>
      <c r="H247" s="125">
        <v>0</v>
      </c>
      <c r="I247" s="125"/>
      <c r="J247" s="125">
        <v>0</v>
      </c>
      <c r="K247" s="343"/>
      <c r="L247" s="307"/>
      <c r="M247" s="308"/>
      <c r="N247" s="114"/>
      <c r="O247" s="115"/>
      <c r="P247" s="144"/>
      <c r="Q247" s="131">
        <v>0</v>
      </c>
      <c r="R247" s="33"/>
      <c r="S247" s="77">
        <v>0</v>
      </c>
    </row>
    <row r="248" spans="1:19" ht="32.25" customHeight="1">
      <c r="A248" s="106">
        <v>10</v>
      </c>
      <c r="B248" s="142" t="s">
        <v>75</v>
      </c>
      <c r="C248" s="392" t="s">
        <v>281</v>
      </c>
      <c r="D248" s="125">
        <v>0</v>
      </c>
      <c r="E248" s="131"/>
      <c r="F248" s="115"/>
      <c r="G248" s="131"/>
      <c r="H248" s="125">
        <v>0</v>
      </c>
      <c r="I248" s="125"/>
      <c r="J248" s="125">
        <v>0</v>
      </c>
      <c r="K248" s="34"/>
      <c r="L248" s="35"/>
      <c r="M248" s="36"/>
      <c r="N248" s="114"/>
      <c r="O248" s="115"/>
      <c r="P248" s="144"/>
      <c r="Q248" s="131">
        <v>0</v>
      </c>
      <c r="R248" s="33"/>
      <c r="S248" s="77">
        <v>0</v>
      </c>
    </row>
    <row r="249" spans="1:19" ht="32.25" customHeight="1">
      <c r="A249" s="106">
        <v>11</v>
      </c>
      <c r="B249" s="142" t="s">
        <v>77</v>
      </c>
      <c r="C249" s="392" t="s">
        <v>282</v>
      </c>
      <c r="D249" s="125">
        <v>0</v>
      </c>
      <c r="E249" s="131"/>
      <c r="F249" s="115"/>
      <c r="G249" s="131"/>
      <c r="H249" s="125">
        <v>0</v>
      </c>
      <c r="I249" s="125"/>
      <c r="J249" s="125">
        <v>0</v>
      </c>
      <c r="K249" s="34"/>
      <c r="L249" s="35"/>
      <c r="M249" s="36"/>
      <c r="N249" s="114"/>
      <c r="O249" s="115"/>
      <c r="P249" s="144"/>
      <c r="Q249" s="131">
        <v>0</v>
      </c>
      <c r="R249" s="33"/>
      <c r="S249" s="77">
        <v>0</v>
      </c>
    </row>
    <row r="250" spans="1:19" ht="32.25" customHeight="1">
      <c r="A250" s="106">
        <v>12</v>
      </c>
      <c r="B250" s="142" t="s">
        <v>77</v>
      </c>
      <c r="C250" s="392" t="s">
        <v>283</v>
      </c>
      <c r="D250" s="125">
        <v>0</v>
      </c>
      <c r="E250" s="131"/>
      <c r="F250" s="115"/>
      <c r="G250" s="131"/>
      <c r="H250" s="125">
        <v>0</v>
      </c>
      <c r="I250" s="125"/>
      <c r="J250" s="125">
        <v>0</v>
      </c>
      <c r="K250" s="34"/>
      <c r="L250" s="35"/>
      <c r="M250" s="36"/>
      <c r="N250" s="114"/>
      <c r="O250" s="115"/>
      <c r="P250" s="144"/>
      <c r="Q250" s="131">
        <v>0</v>
      </c>
      <c r="R250" s="33"/>
      <c r="S250" s="77">
        <v>0</v>
      </c>
    </row>
    <row r="251" spans="1:19" ht="32.25" customHeight="1">
      <c r="A251" s="106">
        <v>13</v>
      </c>
      <c r="B251" s="142" t="s">
        <v>75</v>
      </c>
      <c r="C251" s="392" t="s">
        <v>284</v>
      </c>
      <c r="D251" s="125">
        <v>0</v>
      </c>
      <c r="E251" s="131"/>
      <c r="F251" s="115"/>
      <c r="G251" s="131"/>
      <c r="H251" s="125">
        <v>0</v>
      </c>
      <c r="I251" s="125"/>
      <c r="J251" s="125">
        <v>0</v>
      </c>
      <c r="K251" s="34"/>
      <c r="L251" s="35"/>
      <c r="M251" s="36"/>
      <c r="N251" s="114"/>
      <c r="O251" s="115"/>
      <c r="P251" s="144"/>
      <c r="Q251" s="131">
        <v>0</v>
      </c>
      <c r="R251" s="33"/>
      <c r="S251" s="77">
        <v>0</v>
      </c>
    </row>
    <row r="252" spans="1:19" ht="32.25" customHeight="1">
      <c r="A252" s="106">
        <v>14</v>
      </c>
      <c r="B252" s="142" t="s">
        <v>83</v>
      </c>
      <c r="C252" s="392" t="s">
        <v>285</v>
      </c>
      <c r="D252" s="125">
        <v>0</v>
      </c>
      <c r="E252" s="131"/>
      <c r="F252" s="115"/>
      <c r="G252" s="131"/>
      <c r="H252" s="125">
        <v>0</v>
      </c>
      <c r="I252" s="125"/>
      <c r="J252" s="125">
        <v>0</v>
      </c>
      <c r="K252" s="34"/>
      <c r="L252" s="35"/>
      <c r="M252" s="36"/>
      <c r="N252" s="114"/>
      <c r="O252" s="115"/>
      <c r="P252" s="144"/>
      <c r="Q252" s="131">
        <v>0</v>
      </c>
      <c r="R252" s="33"/>
      <c r="S252" s="77">
        <v>0</v>
      </c>
    </row>
    <row r="253" spans="1:19" ht="32.25" customHeight="1">
      <c r="A253" s="106">
        <v>15</v>
      </c>
      <c r="B253" s="142" t="s">
        <v>87</v>
      </c>
      <c r="C253" s="392" t="s">
        <v>286</v>
      </c>
      <c r="D253" s="125">
        <v>0</v>
      </c>
      <c r="E253" s="131"/>
      <c r="F253" s="115"/>
      <c r="G253" s="131"/>
      <c r="H253" s="125">
        <v>0</v>
      </c>
      <c r="I253" s="125"/>
      <c r="J253" s="125">
        <v>0</v>
      </c>
      <c r="K253" s="343"/>
      <c r="L253" s="307"/>
      <c r="M253" s="308"/>
      <c r="N253" s="114"/>
      <c r="O253" s="115"/>
      <c r="P253" s="144"/>
      <c r="Q253" s="131">
        <v>0</v>
      </c>
      <c r="R253" s="33"/>
      <c r="S253" s="77">
        <v>0</v>
      </c>
    </row>
    <row r="254" spans="1:19" ht="32.25" customHeight="1">
      <c r="A254" s="106">
        <v>16</v>
      </c>
      <c r="B254" s="142" t="s">
        <v>75</v>
      </c>
      <c r="C254" s="392" t="s">
        <v>287</v>
      </c>
      <c r="D254" s="125">
        <v>0</v>
      </c>
      <c r="E254" s="131"/>
      <c r="F254" s="115"/>
      <c r="G254" s="131"/>
      <c r="H254" s="125">
        <v>0</v>
      </c>
      <c r="I254" s="125"/>
      <c r="J254" s="125">
        <v>0</v>
      </c>
      <c r="K254" s="34"/>
      <c r="L254" s="35"/>
      <c r="M254" s="36"/>
      <c r="N254" s="114"/>
      <c r="O254" s="115"/>
      <c r="P254" s="144"/>
      <c r="Q254" s="131">
        <v>0</v>
      </c>
      <c r="R254" s="33"/>
      <c r="S254" s="77">
        <v>0</v>
      </c>
    </row>
    <row r="255" spans="1:19" ht="32.25" customHeight="1">
      <c r="A255" s="106">
        <v>17</v>
      </c>
      <c r="B255" s="142" t="s">
        <v>92</v>
      </c>
      <c r="C255" s="392" t="s">
        <v>288</v>
      </c>
      <c r="D255" s="125">
        <v>0</v>
      </c>
      <c r="E255" s="131"/>
      <c r="F255" s="115"/>
      <c r="G255" s="131"/>
      <c r="H255" s="125">
        <v>0</v>
      </c>
      <c r="I255" s="125"/>
      <c r="J255" s="125">
        <v>0</v>
      </c>
      <c r="K255" s="34"/>
      <c r="L255" s="35"/>
      <c r="M255" s="36"/>
      <c r="N255" s="114"/>
      <c r="O255" s="115"/>
      <c r="P255" s="144"/>
      <c r="Q255" s="131">
        <v>0</v>
      </c>
      <c r="R255" s="33"/>
      <c r="S255" s="77">
        <v>0</v>
      </c>
    </row>
    <row r="256" spans="1:19" ht="32.25" customHeight="1">
      <c r="A256" s="106">
        <v>18</v>
      </c>
      <c r="B256" s="142" t="s">
        <v>75</v>
      </c>
      <c r="C256" s="392" t="s">
        <v>289</v>
      </c>
      <c r="D256" s="125">
        <v>0</v>
      </c>
      <c r="E256" s="131"/>
      <c r="F256" s="115"/>
      <c r="G256" s="131"/>
      <c r="H256" s="125">
        <v>0</v>
      </c>
      <c r="I256" s="125"/>
      <c r="J256" s="125">
        <v>0</v>
      </c>
      <c r="K256" s="34"/>
      <c r="L256" s="35"/>
      <c r="M256" s="36"/>
      <c r="N256" s="114"/>
      <c r="O256" s="115"/>
      <c r="P256" s="144"/>
      <c r="Q256" s="131">
        <v>0</v>
      </c>
      <c r="R256" s="33"/>
      <c r="S256" s="77">
        <v>0</v>
      </c>
    </row>
    <row r="257" spans="1:19" ht="32.25" customHeight="1">
      <c r="A257" s="106">
        <v>19</v>
      </c>
      <c r="B257" s="142" t="s">
        <v>95</v>
      </c>
      <c r="C257" s="392" t="s">
        <v>290</v>
      </c>
      <c r="D257" s="125">
        <v>0</v>
      </c>
      <c r="E257" s="131"/>
      <c r="F257" s="115"/>
      <c r="G257" s="131"/>
      <c r="H257" s="125">
        <v>0</v>
      </c>
      <c r="I257" s="125"/>
      <c r="J257" s="125">
        <v>0</v>
      </c>
      <c r="K257" s="343"/>
      <c r="L257" s="307"/>
      <c r="M257" s="308"/>
      <c r="N257" s="114"/>
      <c r="O257" s="115"/>
      <c r="P257" s="144"/>
      <c r="Q257" s="131">
        <v>0</v>
      </c>
      <c r="R257" s="33"/>
      <c r="S257" s="77">
        <v>0</v>
      </c>
    </row>
    <row r="258" spans="1:19" ht="32.25" customHeight="1">
      <c r="A258" s="106">
        <v>20</v>
      </c>
      <c r="B258" s="142" t="s">
        <v>236</v>
      </c>
      <c r="C258" s="392" t="s">
        <v>291</v>
      </c>
      <c r="D258" s="125">
        <v>0</v>
      </c>
      <c r="E258" s="131"/>
      <c r="F258" s="115"/>
      <c r="G258" s="131"/>
      <c r="H258" s="125">
        <v>0</v>
      </c>
      <c r="I258" s="125"/>
      <c r="J258" s="125">
        <v>0</v>
      </c>
      <c r="K258" s="343"/>
      <c r="L258" s="307"/>
      <c r="M258" s="308"/>
      <c r="N258" s="114"/>
      <c r="O258" s="115"/>
      <c r="P258" s="144"/>
      <c r="Q258" s="131">
        <v>0</v>
      </c>
      <c r="R258" s="33"/>
      <c r="S258" s="77">
        <v>0</v>
      </c>
    </row>
    <row r="259" spans="1:19" ht="32.25" customHeight="1" thickBot="1">
      <c r="A259" s="39"/>
      <c r="B259" s="50" t="s">
        <v>19</v>
      </c>
      <c r="C259" s="50"/>
      <c r="D259" s="51">
        <v>0</v>
      </c>
      <c r="E259" s="52"/>
      <c r="F259" s="53"/>
      <c r="G259" s="52"/>
      <c r="H259" s="51">
        <v>0</v>
      </c>
      <c r="I259" s="51">
        <v>0</v>
      </c>
      <c r="J259" s="51">
        <v>0</v>
      </c>
      <c r="K259" s="54"/>
      <c r="L259" s="55"/>
      <c r="M259" s="56">
        <v>0</v>
      </c>
      <c r="N259" s="57"/>
      <c r="O259" s="53"/>
      <c r="P259" s="51"/>
      <c r="Q259" s="51">
        <v>0</v>
      </c>
      <c r="R259" s="51">
        <v>0</v>
      </c>
      <c r="S259" s="51">
        <v>0</v>
      </c>
    </row>
    <row r="260" spans="1:19" ht="32.25" customHeight="1" thickTop="1">
      <c r="A260" s="39"/>
      <c r="B260" s="141" t="s">
        <v>292</v>
      </c>
      <c r="C260" s="142"/>
      <c r="D260" s="125"/>
      <c r="E260" s="131"/>
      <c r="F260" s="115"/>
      <c r="G260" s="33"/>
      <c r="H260" s="143"/>
      <c r="I260" s="143"/>
      <c r="J260" s="143"/>
      <c r="K260" s="34"/>
      <c r="L260" s="35"/>
      <c r="M260" s="36"/>
      <c r="N260" s="114"/>
      <c r="O260" s="115"/>
      <c r="P260" s="144"/>
      <c r="Q260" s="33"/>
      <c r="R260" s="33"/>
      <c r="S260" s="145"/>
    </row>
    <row r="261" spans="1:19" ht="32.25" customHeight="1">
      <c r="A261" s="39">
        <v>1</v>
      </c>
      <c r="B261" s="41" t="s">
        <v>152</v>
      </c>
      <c r="C261" s="41" t="s">
        <v>293</v>
      </c>
      <c r="D261" s="42"/>
      <c r="E261" s="6"/>
      <c r="F261" s="43"/>
      <c r="G261" s="6"/>
      <c r="H261" s="42"/>
      <c r="I261" s="42"/>
      <c r="J261" s="42"/>
      <c r="K261" s="44"/>
      <c r="L261" s="45"/>
      <c r="M261" s="46"/>
      <c r="N261" s="5"/>
      <c r="O261" s="43"/>
      <c r="P261" s="47"/>
      <c r="Q261" s="48"/>
      <c r="R261" s="48"/>
      <c r="S261" s="49"/>
    </row>
    <row r="262" spans="1:19" ht="32.25" customHeight="1">
      <c r="A262" s="39">
        <v>2</v>
      </c>
      <c r="B262" s="41" t="s">
        <v>294</v>
      </c>
      <c r="C262" s="41" t="s">
        <v>295</v>
      </c>
      <c r="D262" s="42" t="s">
        <v>296</v>
      </c>
      <c r="E262" s="6"/>
      <c r="F262" s="43"/>
      <c r="G262" s="6"/>
      <c r="H262" s="42"/>
      <c r="I262" s="42"/>
      <c r="J262" s="42"/>
      <c r="K262" s="393"/>
      <c r="L262" s="394"/>
      <c r="M262" s="395"/>
      <c r="N262" s="5"/>
      <c r="O262" s="43"/>
      <c r="P262" s="47"/>
      <c r="Q262" s="48"/>
      <c r="R262" s="48"/>
      <c r="S262" s="49"/>
    </row>
    <row r="263" spans="1:19" ht="32.25" customHeight="1">
      <c r="A263" s="39"/>
      <c r="B263" s="40" t="s">
        <v>297</v>
      </c>
      <c r="C263" s="41"/>
      <c r="D263" s="42"/>
      <c r="E263" s="6"/>
      <c r="F263" s="43"/>
      <c r="G263" s="6"/>
      <c r="H263" s="42"/>
      <c r="I263" s="42"/>
      <c r="J263" s="42"/>
      <c r="K263" s="284"/>
      <c r="L263" s="285"/>
      <c r="M263" s="286"/>
      <c r="N263" s="5"/>
      <c r="O263" s="43"/>
      <c r="P263" s="47"/>
      <c r="Q263" s="48"/>
      <c r="R263" s="48"/>
      <c r="S263" s="49"/>
    </row>
    <row r="264" spans="1:19" ht="32.25" customHeight="1">
      <c r="A264" s="39"/>
      <c r="B264" s="40" t="s">
        <v>298</v>
      </c>
      <c r="C264" s="41"/>
      <c r="D264" s="42"/>
      <c r="E264" s="6"/>
      <c r="F264" s="43"/>
      <c r="G264" s="6"/>
      <c r="H264" s="42"/>
      <c r="I264" s="42"/>
      <c r="J264" s="42"/>
      <c r="K264" s="284"/>
      <c r="L264" s="285"/>
      <c r="M264" s="286"/>
      <c r="N264" s="5"/>
      <c r="O264" s="43"/>
      <c r="P264" s="47"/>
      <c r="Q264" s="48"/>
      <c r="R264" s="48"/>
      <c r="S264" s="49"/>
    </row>
    <row r="265" spans="1:19" ht="32.25" customHeight="1">
      <c r="A265" s="39">
        <v>3</v>
      </c>
      <c r="B265" s="40" t="s">
        <v>130</v>
      </c>
      <c r="C265" s="41" t="s">
        <v>299</v>
      </c>
      <c r="D265" s="42"/>
      <c r="E265" s="6"/>
      <c r="F265" s="43"/>
      <c r="G265" s="6"/>
      <c r="H265" s="42"/>
      <c r="I265" s="42"/>
      <c r="J265" s="42"/>
      <c r="K265" s="284"/>
      <c r="L265" s="285"/>
      <c r="M265" s="286"/>
      <c r="N265" s="5"/>
      <c r="O265" s="43"/>
      <c r="P265" s="47"/>
      <c r="Q265" s="48"/>
      <c r="R265" s="48"/>
      <c r="S265" s="49"/>
    </row>
    <row r="266" spans="1:19" ht="32.25" customHeight="1">
      <c r="A266" s="39">
        <v>4</v>
      </c>
      <c r="B266" s="40" t="s">
        <v>276</v>
      </c>
      <c r="C266" s="41" t="s">
        <v>302</v>
      </c>
      <c r="D266" s="42"/>
      <c r="E266" s="6"/>
      <c r="F266" s="43"/>
      <c r="G266" s="6"/>
      <c r="H266" s="42"/>
      <c r="I266" s="42"/>
      <c r="J266" s="42"/>
      <c r="K266" s="284"/>
      <c r="L266" s="285"/>
      <c r="M266" s="286"/>
      <c r="N266" s="5"/>
      <c r="O266" s="43"/>
      <c r="P266" s="47"/>
      <c r="Q266" s="48"/>
      <c r="R266" s="48"/>
      <c r="S266" s="49"/>
    </row>
    <row r="267" spans="1:19" ht="32.25" customHeight="1">
      <c r="A267" s="39">
        <v>5</v>
      </c>
      <c r="B267" s="40" t="s">
        <v>192</v>
      </c>
      <c r="C267" s="41" t="s">
        <v>306</v>
      </c>
      <c r="D267" s="42"/>
      <c r="E267" s="6"/>
      <c r="F267" s="43"/>
      <c r="G267" s="6"/>
      <c r="H267" s="42"/>
      <c r="I267" s="42"/>
      <c r="J267" s="42"/>
      <c r="K267" s="284"/>
      <c r="L267" s="285"/>
      <c r="M267" s="286"/>
      <c r="N267" s="5"/>
      <c r="O267" s="43"/>
      <c r="P267" s="47"/>
      <c r="Q267" s="48"/>
      <c r="R267" s="48"/>
      <c r="S267" s="49"/>
    </row>
    <row r="268" spans="1:19" ht="32.25" customHeight="1">
      <c r="A268" s="39">
        <v>6</v>
      </c>
      <c r="B268" s="40" t="s">
        <v>387</v>
      </c>
      <c r="C268" s="41" t="s">
        <v>388</v>
      </c>
      <c r="D268" s="42">
        <v>0</v>
      </c>
      <c r="E268" s="6"/>
      <c r="F268" s="43"/>
      <c r="G268" s="6"/>
      <c r="H268" s="42"/>
      <c r="I268" s="42"/>
      <c r="J268" s="42"/>
      <c r="K268" s="284"/>
      <c r="L268" s="285"/>
      <c r="M268" s="286"/>
      <c r="N268" s="5"/>
      <c r="O268" s="43"/>
      <c r="P268" s="47"/>
      <c r="Q268" s="48"/>
      <c r="R268" s="48"/>
      <c r="S268" s="49"/>
    </row>
    <row r="269" spans="1:19" ht="32.25" customHeight="1">
      <c r="A269" s="39"/>
      <c r="B269" s="40" t="s">
        <v>391</v>
      </c>
      <c r="C269" s="41"/>
      <c r="D269" s="42">
        <v>0</v>
      </c>
      <c r="E269" s="6"/>
      <c r="F269" s="43"/>
      <c r="G269" s="6"/>
      <c r="H269" s="42">
        <v>0</v>
      </c>
      <c r="I269" s="42">
        <v>0</v>
      </c>
      <c r="J269" s="42">
        <v>0</v>
      </c>
      <c r="K269" s="284"/>
      <c r="L269" s="285"/>
      <c r="M269" s="286"/>
      <c r="N269" s="5"/>
      <c r="O269" s="43"/>
      <c r="P269" s="47"/>
      <c r="Q269" s="48"/>
      <c r="R269" s="48"/>
      <c r="S269" s="49"/>
    </row>
    <row r="270" spans="1:19" ht="32.25" customHeight="1" thickBot="1">
      <c r="A270" s="39"/>
      <c r="B270" s="50" t="s">
        <v>19</v>
      </c>
      <c r="C270" s="50"/>
      <c r="D270" s="51">
        <v>0</v>
      </c>
      <c r="E270" s="52"/>
      <c r="F270" s="53"/>
      <c r="G270" s="52"/>
      <c r="H270" s="51">
        <f>SUM(H268:H269)</f>
        <v>0</v>
      </c>
      <c r="I270" s="51">
        <v>0</v>
      </c>
      <c r="J270" s="51">
        <f>SUM(J261:J269)</f>
        <v>0</v>
      </c>
      <c r="K270" s="54"/>
      <c r="L270" s="55"/>
      <c r="M270" s="56">
        <f>SUM(M268:M269)</f>
        <v>0</v>
      </c>
      <c r="N270" s="57"/>
      <c r="O270" s="53"/>
      <c r="P270" s="51"/>
      <c r="Q270" s="51"/>
      <c r="R270" s="51"/>
      <c r="S270" s="51"/>
    </row>
    <row r="271" spans="1:19" ht="32.25" customHeight="1" thickTop="1" thickBot="1">
      <c r="A271" s="396"/>
      <c r="B271" s="397" t="s">
        <v>309</v>
      </c>
      <c r="C271" s="398"/>
      <c r="D271" s="399">
        <f t="shared" ref="D271:S271" si="17">SUM(D9+D16+D21+D52+D55+D58+D61+D97+D126+D141+D156+D188+D191+D237+D259+D270)</f>
        <v>191779.17</v>
      </c>
      <c r="E271" s="399">
        <f t="shared" si="17"/>
        <v>0</v>
      </c>
      <c r="F271" s="399">
        <f t="shared" si="17"/>
        <v>0</v>
      </c>
      <c r="G271" s="399">
        <f t="shared" si="17"/>
        <v>0</v>
      </c>
      <c r="H271" s="399">
        <f t="shared" si="17"/>
        <v>2720.0000000000018</v>
      </c>
      <c r="I271" s="399">
        <f t="shared" si="17"/>
        <v>190.4</v>
      </c>
      <c r="J271" s="399">
        <f t="shared" si="17"/>
        <v>2910.4000000000019</v>
      </c>
      <c r="K271" s="399">
        <f t="shared" si="17"/>
        <v>0</v>
      </c>
      <c r="L271" s="399">
        <f t="shared" si="17"/>
        <v>0</v>
      </c>
      <c r="M271" s="399">
        <f t="shared" si="17"/>
        <v>187531.46999999997</v>
      </c>
      <c r="N271" s="399">
        <f t="shared" si="17"/>
        <v>0</v>
      </c>
      <c r="O271" s="399">
        <f t="shared" si="17"/>
        <v>0</v>
      </c>
      <c r="P271" s="399">
        <f t="shared" si="17"/>
        <v>0</v>
      </c>
      <c r="Q271" s="399">
        <f t="shared" si="17"/>
        <v>3372.5000000000005</v>
      </c>
      <c r="R271" s="399">
        <f t="shared" si="17"/>
        <v>217.69999999999985</v>
      </c>
      <c r="S271" s="399">
        <f t="shared" si="17"/>
        <v>3590.2000000000003</v>
      </c>
    </row>
    <row r="272" spans="1:19" ht="17.399999999999999" thickTop="1">
      <c r="K272" s="404"/>
      <c r="L272" s="404"/>
      <c r="M272" s="2"/>
    </row>
    <row r="273" spans="1:19">
      <c r="K273" s="404"/>
      <c r="L273" s="404"/>
      <c r="M273" s="2"/>
    </row>
    <row r="274" spans="1:19">
      <c r="K274" s="404"/>
      <c r="L274" s="404"/>
      <c r="M274" s="2"/>
    </row>
    <row r="275" spans="1:19">
      <c r="K275" s="404"/>
      <c r="L275" s="404"/>
      <c r="M275" s="2"/>
    </row>
    <row r="276" spans="1:19">
      <c r="K276" s="404"/>
      <c r="L276" s="404"/>
      <c r="M276" s="2"/>
    </row>
    <row r="277" spans="1:19" s="406" customFormat="1" ht="32.25" customHeight="1">
      <c r="A277" s="2"/>
      <c r="B277" s="643"/>
      <c r="C277" s="642"/>
      <c r="D277" s="642"/>
      <c r="E277" s="1"/>
      <c r="F277" s="407"/>
      <c r="G277" s="1"/>
      <c r="H277" s="408"/>
      <c r="I277" s="409"/>
      <c r="J277" s="408"/>
      <c r="K277" s="410"/>
      <c r="L277" s="411"/>
      <c r="M277" s="666"/>
      <c r="N277" s="642"/>
      <c r="O277" s="642"/>
      <c r="P277" s="642"/>
      <c r="Q277" s="412"/>
      <c r="S277" s="2"/>
    </row>
    <row r="278" spans="1:19" s="406" customFormat="1" ht="32.25" customHeight="1">
      <c r="A278" s="2"/>
      <c r="B278" s="413"/>
      <c r="C278" s="667"/>
      <c r="D278" s="642"/>
      <c r="E278" s="1"/>
      <c r="F278" s="407"/>
      <c r="G278" s="1"/>
      <c r="H278" s="667"/>
      <c r="I278" s="642"/>
      <c r="J278" s="642"/>
      <c r="K278" s="642"/>
      <c r="L278" s="411"/>
      <c r="M278" s="668"/>
      <c r="N278" s="642"/>
      <c r="O278" s="642"/>
      <c r="P278" s="642"/>
      <c r="Q278" s="412"/>
      <c r="S278" s="2"/>
    </row>
    <row r="279" spans="1:19" s="406" customFormat="1" ht="32.25" customHeight="1">
      <c r="A279" s="2"/>
      <c r="B279" s="413"/>
      <c r="C279" s="662"/>
      <c r="D279" s="642"/>
      <c r="E279" s="1"/>
      <c r="F279" s="407"/>
      <c r="G279" s="1"/>
      <c r="H279" s="663"/>
      <c r="I279" s="642"/>
      <c r="J279" s="642"/>
      <c r="K279" s="410"/>
      <c r="L279" s="641"/>
      <c r="M279" s="642"/>
      <c r="N279" s="642"/>
      <c r="O279" s="642"/>
      <c r="P279" s="642"/>
      <c r="Q279" s="642"/>
      <c r="S279" s="2"/>
    </row>
  </sheetData>
  <mergeCells count="28">
    <mergeCell ref="B96:D96"/>
    <mergeCell ref="A1:S1"/>
    <mergeCell ref="A2:S2"/>
    <mergeCell ref="A3:S3"/>
    <mergeCell ref="B4:B6"/>
    <mergeCell ref="C4:C6"/>
    <mergeCell ref="E4:J4"/>
    <mergeCell ref="K4:M4"/>
    <mergeCell ref="N4:S4"/>
    <mergeCell ref="H5:J5"/>
    <mergeCell ref="Q5:S5"/>
    <mergeCell ref="B82:D82"/>
    <mergeCell ref="B84:D84"/>
    <mergeCell ref="B86:D86"/>
    <mergeCell ref="B88:D88"/>
    <mergeCell ref="B90:D90"/>
    <mergeCell ref="K109:M109"/>
    <mergeCell ref="B117:C117"/>
    <mergeCell ref="B218:C218"/>
    <mergeCell ref="B219:C219"/>
    <mergeCell ref="B277:D277"/>
    <mergeCell ref="M277:P277"/>
    <mergeCell ref="C278:D278"/>
    <mergeCell ref="H278:K278"/>
    <mergeCell ref="M278:P278"/>
    <mergeCell ref="C279:D279"/>
    <mergeCell ref="H279:J279"/>
    <mergeCell ref="L279:Q279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A292-744B-48E1-BB26-E16D102F1F21}">
  <sheetPr>
    <tabColor rgb="FF00B0F0"/>
  </sheetPr>
  <dimension ref="A1:I104"/>
  <sheetViews>
    <sheetView zoomScale="70" zoomScaleNormal="70" workbookViewId="0">
      <pane ySplit="6" topLeftCell="A91" activePane="bottomLeft" state="frozen"/>
      <selection pane="bottomLeft" activeCell="N94" sqref="N94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17.6640625" style="414" customWidth="1"/>
    <col min="5" max="5" width="25" style="414" customWidth="1"/>
    <col min="6" max="6" width="16.109375" style="192" customWidth="1"/>
    <col min="7" max="8" width="12.5546875" style="2"/>
    <col min="9" max="9" width="24.109375" style="2" customWidth="1"/>
    <col min="10" max="16384" width="12.5546875" style="2"/>
  </cols>
  <sheetData>
    <row r="1" spans="1:8" ht="22.5" customHeight="1">
      <c r="A1" s="643" t="s">
        <v>0</v>
      </c>
      <c r="B1" s="642"/>
      <c r="C1" s="642"/>
      <c r="D1" s="642"/>
      <c r="E1" s="642"/>
      <c r="F1" s="642"/>
    </row>
    <row r="2" spans="1:8" ht="27" customHeight="1">
      <c r="A2" s="643" t="s">
        <v>1</v>
      </c>
      <c r="B2" s="642"/>
      <c r="C2" s="642"/>
      <c r="D2" s="642"/>
      <c r="E2" s="642"/>
      <c r="F2" s="642"/>
    </row>
    <row r="3" spans="1:8" ht="22.5" customHeight="1">
      <c r="A3" s="644" t="s">
        <v>609</v>
      </c>
      <c r="B3" s="645"/>
      <c r="C3" s="645"/>
      <c r="D3" s="645"/>
      <c r="E3" s="645"/>
      <c r="F3" s="645"/>
    </row>
    <row r="4" spans="1:8" ht="34.5" customHeight="1">
      <c r="A4" s="3" t="s">
        <v>3</v>
      </c>
      <c r="B4" s="646" t="s">
        <v>4</v>
      </c>
      <c r="C4" s="646" t="s">
        <v>5</v>
      </c>
      <c r="D4" s="669" t="s">
        <v>8</v>
      </c>
      <c r="E4" s="670"/>
      <c r="F4" s="671"/>
    </row>
    <row r="5" spans="1:8" ht="24.75" customHeight="1">
      <c r="A5" s="5"/>
      <c r="B5" s="647"/>
      <c r="C5" s="647"/>
      <c r="D5" s="9" t="s">
        <v>14</v>
      </c>
      <c r="E5" s="10" t="s">
        <v>15</v>
      </c>
      <c r="F5" s="11" t="s">
        <v>16</v>
      </c>
    </row>
    <row r="6" spans="1:8" ht="27.75" customHeight="1" thickBot="1">
      <c r="A6" s="14"/>
      <c r="B6" s="648"/>
      <c r="C6" s="648"/>
      <c r="D6" s="21"/>
      <c r="E6" s="22"/>
      <c r="F6" s="23"/>
    </row>
    <row r="7" spans="1:8" ht="32.25" customHeight="1" thickTop="1">
      <c r="A7" s="39"/>
      <c r="B7" s="58" t="s">
        <v>22</v>
      </c>
      <c r="C7" s="59"/>
      <c r="D7" s="65"/>
      <c r="E7" s="66"/>
      <c r="F7" s="67"/>
    </row>
    <row r="8" spans="1:8" s="78" customFormat="1" ht="32.25" customHeight="1">
      <c r="A8" s="39">
        <v>1</v>
      </c>
      <c r="B8" s="71" t="s">
        <v>23</v>
      </c>
      <c r="C8" s="71" t="s">
        <v>24</v>
      </c>
      <c r="D8" s="74" t="s">
        <v>610</v>
      </c>
      <c r="E8" s="75" t="s">
        <v>611</v>
      </c>
      <c r="F8" s="76">
        <v>1909.95</v>
      </c>
    </row>
    <row r="9" spans="1:8" s="78" customFormat="1" ht="32.25" customHeight="1">
      <c r="A9" s="39">
        <v>2</v>
      </c>
      <c r="B9" s="71" t="s">
        <v>27</v>
      </c>
      <c r="C9" s="71" t="s">
        <v>24</v>
      </c>
      <c r="D9" s="74" t="s">
        <v>610</v>
      </c>
      <c r="E9" s="75" t="s">
        <v>612</v>
      </c>
      <c r="F9" s="76">
        <v>283.55</v>
      </c>
    </row>
    <row r="10" spans="1:8" s="78" customFormat="1" ht="32.25" customHeight="1">
      <c r="A10" s="39">
        <v>3</v>
      </c>
      <c r="B10" s="71" t="s">
        <v>30</v>
      </c>
      <c r="C10" s="71" t="s">
        <v>24</v>
      </c>
      <c r="D10" s="74" t="s">
        <v>613</v>
      </c>
      <c r="E10" s="75" t="s">
        <v>614</v>
      </c>
      <c r="F10" s="76">
        <v>247.17</v>
      </c>
    </row>
    <row r="11" spans="1:8" ht="32.25" customHeight="1" thickBot="1">
      <c r="A11" s="39"/>
      <c r="B11" s="50" t="s">
        <v>19</v>
      </c>
      <c r="C11" s="50"/>
      <c r="D11" s="83"/>
      <c r="E11" s="84"/>
      <c r="F11" s="56">
        <v>2440.67</v>
      </c>
      <c r="H11" s="406">
        <f>SUM(F8:F10)</f>
        <v>2440.67</v>
      </c>
    </row>
    <row r="12" spans="1:8" ht="32.25" customHeight="1" thickTop="1">
      <c r="A12" s="39"/>
      <c r="B12" s="58" t="s">
        <v>32</v>
      </c>
      <c r="C12" s="59"/>
      <c r="D12" s="65"/>
      <c r="E12" s="66"/>
      <c r="F12" s="67"/>
    </row>
    <row r="13" spans="1:8" s="78" customFormat="1" ht="32.25" customHeight="1">
      <c r="A13" s="39">
        <v>1</v>
      </c>
      <c r="B13" s="71" t="s">
        <v>23</v>
      </c>
      <c r="C13" s="71" t="s">
        <v>33</v>
      </c>
      <c r="D13" s="74" t="s">
        <v>610</v>
      </c>
      <c r="E13" s="90" t="s">
        <v>615</v>
      </c>
      <c r="F13" s="76">
        <v>720</v>
      </c>
    </row>
    <row r="14" spans="1:8" s="78" customFormat="1" ht="32.25" customHeight="1">
      <c r="A14" s="39">
        <v>2</v>
      </c>
      <c r="B14" s="71" t="s">
        <v>27</v>
      </c>
      <c r="C14" s="71" t="s">
        <v>33</v>
      </c>
      <c r="D14" s="74" t="s">
        <v>610</v>
      </c>
      <c r="E14" s="94" t="s">
        <v>616</v>
      </c>
      <c r="F14" s="76">
        <v>120</v>
      </c>
    </row>
    <row r="15" spans="1:8" ht="32.25" customHeight="1" thickBot="1">
      <c r="A15" s="39"/>
      <c r="B15" s="50" t="s">
        <v>19</v>
      </c>
      <c r="C15" s="50"/>
      <c r="D15" s="101"/>
      <c r="E15" s="102"/>
      <c r="F15" s="103">
        <v>840</v>
      </c>
      <c r="H15" s="406">
        <f>SUM(F13:F14)</f>
        <v>840</v>
      </c>
    </row>
    <row r="16" spans="1:8" ht="32.25" hidden="1" customHeight="1" thickBot="1">
      <c r="A16" s="104" t="s">
        <v>36</v>
      </c>
      <c r="B16" s="104" t="s">
        <v>37</v>
      </c>
      <c r="C16" s="105">
        <v>780</v>
      </c>
      <c r="D16" s="65"/>
      <c r="E16" s="66"/>
      <c r="F16" s="67"/>
    </row>
    <row r="17" spans="1:6" ht="32.25" hidden="1" customHeight="1" thickTop="1">
      <c r="A17" s="104" t="s">
        <v>36</v>
      </c>
      <c r="B17" s="104" t="s">
        <v>38</v>
      </c>
      <c r="C17" s="105">
        <v>180</v>
      </c>
      <c r="D17" s="44"/>
      <c r="E17" s="45"/>
      <c r="F17" s="46"/>
    </row>
    <row r="18" spans="1:6" ht="32.25" hidden="1" customHeight="1" thickTop="1">
      <c r="A18" s="39"/>
      <c r="B18" s="50" t="s">
        <v>19</v>
      </c>
      <c r="C18" s="50"/>
      <c r="D18" s="54"/>
      <c r="E18" s="55"/>
      <c r="F18" s="56"/>
    </row>
    <row r="19" spans="1:6" ht="32.25" hidden="1" customHeight="1" thickTop="1">
      <c r="A19" s="39"/>
      <c r="B19" s="58" t="s">
        <v>39</v>
      </c>
      <c r="C19" s="59"/>
      <c r="D19" s="65"/>
      <c r="E19" s="66"/>
      <c r="F19" s="67"/>
    </row>
    <row r="20" spans="1:6" ht="32.25" hidden="1" customHeight="1" thickTop="1">
      <c r="A20" s="39">
        <v>1</v>
      </c>
      <c r="B20" s="40"/>
      <c r="C20" s="41"/>
      <c r="D20" s="44"/>
      <c r="E20" s="45"/>
      <c r="F20" s="46"/>
    </row>
    <row r="21" spans="1:6" ht="32.25" hidden="1" customHeight="1" thickTop="1">
      <c r="A21" s="39"/>
      <c r="B21" s="50" t="s">
        <v>19</v>
      </c>
      <c r="C21" s="50"/>
      <c r="D21" s="54"/>
      <c r="E21" s="55"/>
      <c r="F21" s="56"/>
    </row>
    <row r="22" spans="1:6" ht="32.25" hidden="1" customHeight="1" thickTop="1">
      <c r="A22" s="39"/>
      <c r="B22" s="58" t="s">
        <v>40</v>
      </c>
      <c r="C22" s="59"/>
      <c r="D22" s="65"/>
      <c r="E22" s="66"/>
      <c r="F22" s="67"/>
    </row>
    <row r="23" spans="1:6" ht="32.25" hidden="1" customHeight="1" thickTop="1">
      <c r="A23" s="39">
        <v>1</v>
      </c>
      <c r="B23" s="40"/>
      <c r="C23" s="41"/>
      <c r="D23" s="44"/>
      <c r="E23" s="45"/>
      <c r="F23" s="46"/>
    </row>
    <row r="24" spans="1:6" ht="32.25" hidden="1" customHeight="1" thickTop="1">
      <c r="A24" s="39"/>
      <c r="B24" s="50" t="s">
        <v>19</v>
      </c>
      <c r="C24" s="50"/>
      <c r="D24" s="54"/>
      <c r="E24" s="55"/>
      <c r="F24" s="56"/>
    </row>
    <row r="25" spans="1:6" ht="32.25" customHeight="1" thickTop="1">
      <c r="A25" s="39"/>
      <c r="B25" s="58" t="s">
        <v>41</v>
      </c>
      <c r="C25" s="59"/>
      <c r="D25" s="65"/>
      <c r="E25" s="66"/>
      <c r="F25" s="67"/>
    </row>
    <row r="26" spans="1:6" ht="32.25" customHeight="1">
      <c r="A26" s="106">
        <v>1</v>
      </c>
      <c r="B26" s="107" t="s">
        <v>404</v>
      </c>
      <c r="C26" s="107" t="s">
        <v>400</v>
      </c>
      <c r="D26" s="74" t="s">
        <v>617</v>
      </c>
      <c r="E26" s="75" t="s">
        <v>618</v>
      </c>
      <c r="F26" s="76">
        <v>321</v>
      </c>
    </row>
    <row r="27" spans="1:6" ht="32.25" customHeight="1">
      <c r="A27" s="106">
        <v>2</v>
      </c>
      <c r="B27" s="117" t="s">
        <v>487</v>
      </c>
      <c r="C27" s="107" t="s">
        <v>400</v>
      </c>
      <c r="D27" s="74" t="s">
        <v>619</v>
      </c>
      <c r="E27" s="75" t="s">
        <v>620</v>
      </c>
      <c r="F27" s="76">
        <v>642</v>
      </c>
    </row>
    <row r="28" spans="1:6" ht="32.25" customHeight="1">
      <c r="A28" s="106">
        <v>3</v>
      </c>
      <c r="B28" s="117" t="s">
        <v>546</v>
      </c>
      <c r="C28" s="107" t="s">
        <v>400</v>
      </c>
      <c r="D28" s="74" t="s">
        <v>619</v>
      </c>
      <c r="E28" s="75" t="s">
        <v>621</v>
      </c>
      <c r="F28" s="76">
        <v>642</v>
      </c>
    </row>
    <row r="29" spans="1:6" ht="32.25" customHeight="1">
      <c r="A29" s="106">
        <v>4</v>
      </c>
      <c r="B29" s="117" t="s">
        <v>545</v>
      </c>
      <c r="C29" s="107" t="s">
        <v>400</v>
      </c>
      <c r="D29" s="74" t="s">
        <v>622</v>
      </c>
      <c r="E29" s="75" t="s">
        <v>623</v>
      </c>
      <c r="F29" s="76">
        <v>321</v>
      </c>
    </row>
    <row r="30" spans="1:6" ht="32.25" customHeight="1">
      <c r="A30" s="106">
        <v>5</v>
      </c>
      <c r="B30" s="117" t="s">
        <v>624</v>
      </c>
      <c r="C30" s="107" t="s">
        <v>400</v>
      </c>
      <c r="D30" s="74" t="s">
        <v>622</v>
      </c>
      <c r="E30" s="75" t="s">
        <v>625</v>
      </c>
      <c r="F30" s="76">
        <v>321</v>
      </c>
    </row>
    <row r="31" spans="1:6" ht="32.25" customHeight="1">
      <c r="A31" s="106">
        <v>6</v>
      </c>
      <c r="B31" s="117" t="s">
        <v>626</v>
      </c>
      <c r="C31" s="107" t="s">
        <v>400</v>
      </c>
      <c r="D31" s="74" t="s">
        <v>627</v>
      </c>
      <c r="E31" s="75" t="s">
        <v>628</v>
      </c>
      <c r="F31" s="76">
        <v>2247</v>
      </c>
    </row>
    <row r="32" spans="1:6" ht="32.25" customHeight="1">
      <c r="A32" s="106">
        <v>7</v>
      </c>
      <c r="B32" s="117" t="s">
        <v>485</v>
      </c>
      <c r="C32" s="107" t="s">
        <v>400</v>
      </c>
      <c r="D32" s="74" t="s">
        <v>627</v>
      </c>
      <c r="E32" s="75" t="s">
        <v>629</v>
      </c>
      <c r="F32" s="76">
        <v>321</v>
      </c>
    </row>
    <row r="33" spans="1:8" ht="32.25" customHeight="1">
      <c r="A33" s="106">
        <v>8</v>
      </c>
      <c r="B33" s="117" t="s">
        <v>630</v>
      </c>
      <c r="C33" s="107" t="s">
        <v>400</v>
      </c>
      <c r="D33" s="74" t="s">
        <v>631</v>
      </c>
      <c r="E33" s="75" t="s">
        <v>632</v>
      </c>
      <c r="F33" s="76">
        <v>321</v>
      </c>
    </row>
    <row r="34" spans="1:8" ht="32.25" customHeight="1">
      <c r="A34" s="106">
        <v>9</v>
      </c>
      <c r="B34" s="117" t="s">
        <v>633</v>
      </c>
      <c r="C34" s="107" t="s">
        <v>400</v>
      </c>
      <c r="D34" s="74" t="s">
        <v>631</v>
      </c>
      <c r="E34" s="75" t="s">
        <v>634</v>
      </c>
      <c r="F34" s="76">
        <v>321</v>
      </c>
    </row>
    <row r="35" spans="1:8" ht="32.25" customHeight="1">
      <c r="A35" s="116">
        <v>10</v>
      </c>
      <c r="B35" s="117" t="s">
        <v>624</v>
      </c>
      <c r="C35" s="107" t="s">
        <v>400</v>
      </c>
      <c r="D35" s="505" t="s">
        <v>631</v>
      </c>
      <c r="E35" s="506" t="s">
        <v>635</v>
      </c>
      <c r="F35" s="507">
        <v>321</v>
      </c>
    </row>
    <row r="36" spans="1:8" ht="32.25" customHeight="1">
      <c r="A36" s="116">
        <v>11</v>
      </c>
      <c r="B36" s="117" t="s">
        <v>545</v>
      </c>
      <c r="C36" s="107" t="s">
        <v>400</v>
      </c>
      <c r="D36" s="505" t="s">
        <v>631</v>
      </c>
      <c r="E36" s="506" t="s">
        <v>636</v>
      </c>
      <c r="F36" s="507">
        <v>321</v>
      </c>
    </row>
    <row r="37" spans="1:8" ht="32.25" customHeight="1">
      <c r="A37" s="116">
        <v>12</v>
      </c>
      <c r="B37" s="117" t="s">
        <v>626</v>
      </c>
      <c r="C37" s="107" t="s">
        <v>400</v>
      </c>
      <c r="D37" s="505" t="s">
        <v>637</v>
      </c>
      <c r="E37" s="506" t="s">
        <v>638</v>
      </c>
      <c r="F37" s="507">
        <v>2568</v>
      </c>
    </row>
    <row r="38" spans="1:8" ht="32.25" customHeight="1">
      <c r="A38" s="116">
        <v>13</v>
      </c>
      <c r="B38" s="117" t="s">
        <v>639</v>
      </c>
      <c r="C38" s="107" t="s">
        <v>400</v>
      </c>
      <c r="D38" s="505" t="s">
        <v>610</v>
      </c>
      <c r="E38" s="506" t="s">
        <v>640</v>
      </c>
      <c r="F38" s="507">
        <v>2568</v>
      </c>
    </row>
    <row r="39" spans="1:8" ht="32.25" customHeight="1">
      <c r="A39" s="116">
        <v>14</v>
      </c>
      <c r="B39" s="117" t="s">
        <v>641</v>
      </c>
      <c r="C39" s="107" t="s">
        <v>400</v>
      </c>
      <c r="D39" s="505" t="s">
        <v>610</v>
      </c>
      <c r="E39" s="506" t="s">
        <v>642</v>
      </c>
      <c r="F39" s="507">
        <v>2568</v>
      </c>
    </row>
    <row r="40" spans="1:8" ht="32.25" customHeight="1">
      <c r="A40" s="116">
        <v>15</v>
      </c>
      <c r="B40" s="117" t="s">
        <v>643</v>
      </c>
      <c r="C40" s="107" t="s">
        <v>400</v>
      </c>
      <c r="D40" s="505" t="s">
        <v>610</v>
      </c>
      <c r="E40" s="506" t="s">
        <v>644</v>
      </c>
      <c r="F40" s="507">
        <v>642</v>
      </c>
    </row>
    <row r="41" spans="1:8" ht="32.25" customHeight="1">
      <c r="A41" s="116">
        <v>16</v>
      </c>
      <c r="B41" s="117" t="s">
        <v>645</v>
      </c>
      <c r="C41" s="107" t="s">
        <v>400</v>
      </c>
      <c r="D41" s="505" t="s">
        <v>610</v>
      </c>
      <c r="E41" s="506" t="s">
        <v>646</v>
      </c>
      <c r="F41" s="507">
        <v>1926</v>
      </c>
    </row>
    <row r="42" spans="1:8" ht="32.25" customHeight="1">
      <c r="A42" s="116">
        <v>17</v>
      </c>
      <c r="B42" s="117" t="s">
        <v>526</v>
      </c>
      <c r="C42" s="107" t="s">
        <v>400</v>
      </c>
      <c r="D42" s="505" t="s">
        <v>610</v>
      </c>
      <c r="E42" s="506" t="s">
        <v>647</v>
      </c>
      <c r="F42" s="507">
        <v>1926</v>
      </c>
    </row>
    <row r="43" spans="1:8" ht="32.25" customHeight="1">
      <c r="A43" s="116">
        <v>18</v>
      </c>
      <c r="B43" s="117" t="s">
        <v>488</v>
      </c>
      <c r="C43" s="107" t="s">
        <v>400</v>
      </c>
      <c r="D43" s="505" t="s">
        <v>610</v>
      </c>
      <c r="E43" s="506" t="s">
        <v>648</v>
      </c>
      <c r="F43" s="507">
        <v>642</v>
      </c>
    </row>
    <row r="44" spans="1:8" ht="32.25" customHeight="1">
      <c r="A44" s="116">
        <v>19</v>
      </c>
      <c r="B44" s="117" t="s">
        <v>649</v>
      </c>
      <c r="C44" s="107" t="s">
        <v>400</v>
      </c>
      <c r="D44" s="505" t="s">
        <v>650</v>
      </c>
      <c r="E44" s="506" t="s">
        <v>651</v>
      </c>
      <c r="F44" s="507">
        <v>2247</v>
      </c>
    </row>
    <row r="45" spans="1:8" ht="32.25" customHeight="1" thickBot="1">
      <c r="A45" s="39"/>
      <c r="B45" s="50" t="s">
        <v>19</v>
      </c>
      <c r="C45" s="50"/>
      <c r="D45" s="55"/>
      <c r="E45" s="55"/>
      <c r="F45" s="140">
        <v>21186</v>
      </c>
      <c r="H45" s="406">
        <f>SUM(F26:F44)</f>
        <v>21186</v>
      </c>
    </row>
    <row r="46" spans="1:8" ht="32.25" customHeight="1" thickTop="1">
      <c r="A46" s="39"/>
      <c r="B46" s="141" t="s">
        <v>50</v>
      </c>
      <c r="C46" s="142"/>
      <c r="D46" s="34"/>
      <c r="E46" s="35"/>
      <c r="F46" s="36"/>
    </row>
    <row r="47" spans="1:8" s="160" customFormat="1" ht="32.25" customHeight="1">
      <c r="A47" s="106">
        <v>1</v>
      </c>
      <c r="B47" s="142" t="s">
        <v>52</v>
      </c>
      <c r="C47" s="150" t="s">
        <v>53</v>
      </c>
      <c r="D47" s="154" t="s">
        <v>652</v>
      </c>
      <c r="E47" s="155" t="s">
        <v>653</v>
      </c>
      <c r="F47" s="156">
        <v>4140</v>
      </c>
    </row>
    <row r="48" spans="1:8" s="160" customFormat="1" ht="32.25" customHeight="1">
      <c r="A48" s="106">
        <v>2</v>
      </c>
      <c r="B48" s="142" t="s">
        <v>60</v>
      </c>
      <c r="C48" s="150" t="s">
        <v>61</v>
      </c>
      <c r="D48" s="154" t="s">
        <v>654</v>
      </c>
      <c r="E48" s="155" t="s">
        <v>655</v>
      </c>
      <c r="F48" s="156">
        <v>2070</v>
      </c>
    </row>
    <row r="49" spans="1:8" s="160" customFormat="1" ht="32.25" customHeight="1">
      <c r="A49" s="106">
        <v>3</v>
      </c>
      <c r="B49" s="142" t="s">
        <v>27</v>
      </c>
      <c r="C49" s="150" t="s">
        <v>64</v>
      </c>
      <c r="D49" s="154" t="s">
        <v>656</v>
      </c>
      <c r="E49" s="155" t="s">
        <v>657</v>
      </c>
      <c r="F49" s="156">
        <v>2070</v>
      </c>
    </row>
    <row r="50" spans="1:8" s="160" customFormat="1" ht="32.25" customHeight="1">
      <c r="A50" s="106">
        <v>4</v>
      </c>
      <c r="B50" s="168" t="s">
        <v>42</v>
      </c>
      <c r="C50" s="150" t="s">
        <v>67</v>
      </c>
      <c r="D50" s="154" t="s">
        <v>654</v>
      </c>
      <c r="E50" s="155" t="s">
        <v>658</v>
      </c>
      <c r="F50" s="156">
        <v>2070</v>
      </c>
    </row>
    <row r="51" spans="1:8" s="160" customFormat="1" ht="32.25" customHeight="1">
      <c r="A51" s="106">
        <v>5</v>
      </c>
      <c r="B51" s="142" t="s">
        <v>69</v>
      </c>
      <c r="C51" s="150" t="s">
        <v>70</v>
      </c>
      <c r="D51" s="154" t="s">
        <v>613</v>
      </c>
      <c r="E51" s="155" t="s">
        <v>659</v>
      </c>
      <c r="F51" s="156">
        <v>2070</v>
      </c>
    </row>
    <row r="52" spans="1:8" s="160" customFormat="1" ht="32.25" customHeight="1">
      <c r="A52" s="106">
        <v>6</v>
      </c>
      <c r="B52" s="142" t="s">
        <v>77</v>
      </c>
      <c r="C52" s="150" t="s">
        <v>78</v>
      </c>
      <c r="D52" s="154" t="s">
        <v>652</v>
      </c>
      <c r="E52" s="171" t="s">
        <v>660</v>
      </c>
      <c r="F52" s="156">
        <v>2070</v>
      </c>
    </row>
    <row r="53" spans="1:8" s="160" customFormat="1" ht="32.25" customHeight="1">
      <c r="A53" s="106">
        <v>7</v>
      </c>
      <c r="B53" s="142" t="s">
        <v>77</v>
      </c>
      <c r="C53" s="150" t="s">
        <v>81</v>
      </c>
      <c r="D53" s="154" t="s">
        <v>652</v>
      </c>
      <c r="E53" s="171" t="s">
        <v>660</v>
      </c>
      <c r="F53" s="156">
        <v>2070</v>
      </c>
    </row>
    <row r="54" spans="1:8" s="160" customFormat="1" ht="32.25" customHeight="1">
      <c r="A54" s="106">
        <v>8</v>
      </c>
      <c r="B54" s="142" t="s">
        <v>83</v>
      </c>
      <c r="C54" s="150" t="s">
        <v>84</v>
      </c>
      <c r="D54" s="154" t="s">
        <v>654</v>
      </c>
      <c r="E54" s="155" t="s">
        <v>661</v>
      </c>
      <c r="F54" s="156">
        <v>2070</v>
      </c>
    </row>
    <row r="55" spans="1:8" s="160" customFormat="1" ht="32.25" customHeight="1">
      <c r="A55" s="106">
        <v>9</v>
      </c>
      <c r="B55" s="142" t="s">
        <v>87</v>
      </c>
      <c r="C55" s="150" t="s">
        <v>88</v>
      </c>
      <c r="D55" s="154" t="s">
        <v>650</v>
      </c>
      <c r="E55" s="171" t="s">
        <v>662</v>
      </c>
      <c r="F55" s="156">
        <v>2070</v>
      </c>
    </row>
    <row r="56" spans="1:8" s="160" customFormat="1" ht="32.25" customHeight="1">
      <c r="A56" s="106">
        <v>10</v>
      </c>
      <c r="B56" s="142" t="s">
        <v>99</v>
      </c>
      <c r="C56" s="174" t="s">
        <v>100</v>
      </c>
      <c r="D56" s="154" t="s">
        <v>654</v>
      </c>
      <c r="E56" s="171" t="s">
        <v>663</v>
      </c>
      <c r="F56" s="178">
        <v>37375</v>
      </c>
    </row>
    <row r="57" spans="1:8" s="160" customFormat="1" ht="32.25" customHeight="1">
      <c r="A57" s="106">
        <v>11</v>
      </c>
      <c r="B57" s="142" t="s">
        <v>103</v>
      </c>
      <c r="C57" s="174" t="s">
        <v>104</v>
      </c>
      <c r="D57" s="154" t="s">
        <v>610</v>
      </c>
      <c r="E57" s="171" t="s">
        <v>664</v>
      </c>
      <c r="F57" s="178">
        <v>15525</v>
      </c>
    </row>
    <row r="58" spans="1:8" s="160" customFormat="1" ht="32.25" customHeight="1">
      <c r="A58" s="106">
        <v>12</v>
      </c>
      <c r="B58" s="142" t="s">
        <v>107</v>
      </c>
      <c r="C58" s="174" t="s">
        <v>108</v>
      </c>
      <c r="D58" s="154" t="s">
        <v>654</v>
      </c>
      <c r="E58" s="155" t="s">
        <v>665</v>
      </c>
      <c r="F58" s="178">
        <v>14000</v>
      </c>
    </row>
    <row r="59" spans="1:8" s="160" customFormat="1" ht="32.25" customHeight="1">
      <c r="A59" s="106">
        <v>13</v>
      </c>
      <c r="B59" s="142" t="s">
        <v>111</v>
      </c>
      <c r="C59" s="142" t="s">
        <v>112</v>
      </c>
      <c r="D59" s="154" t="s">
        <v>652</v>
      </c>
      <c r="E59" s="155" t="s">
        <v>666</v>
      </c>
      <c r="F59" s="178">
        <v>7000</v>
      </c>
    </row>
    <row r="60" spans="1:8" s="160" customFormat="1" ht="32.25" customHeight="1">
      <c r="A60" s="106">
        <v>14</v>
      </c>
      <c r="B60" s="142" t="s">
        <v>30</v>
      </c>
      <c r="C60" s="174" t="s">
        <v>115</v>
      </c>
      <c r="D60" s="154" t="s">
        <v>613</v>
      </c>
      <c r="E60" s="155" t="s">
        <v>667</v>
      </c>
      <c r="F60" s="178">
        <v>3970</v>
      </c>
    </row>
    <row r="61" spans="1:8" s="160" customFormat="1" ht="32.25" customHeight="1">
      <c r="A61" s="106">
        <v>15</v>
      </c>
      <c r="B61" s="142" t="s">
        <v>23</v>
      </c>
      <c r="C61" s="174" t="s">
        <v>126</v>
      </c>
      <c r="D61" s="154" t="s">
        <v>617</v>
      </c>
      <c r="E61" s="155" t="s">
        <v>668</v>
      </c>
      <c r="F61" s="178">
        <v>4600</v>
      </c>
    </row>
    <row r="62" spans="1:8" ht="32.25" customHeight="1" thickBot="1">
      <c r="A62" s="39"/>
      <c r="B62" s="50" t="s">
        <v>19</v>
      </c>
      <c r="C62" s="50"/>
      <c r="D62" s="54"/>
      <c r="E62" s="55"/>
      <c r="F62" s="56">
        <v>103170</v>
      </c>
      <c r="H62" s="499">
        <f>SUM(F47:F61)</f>
        <v>103170</v>
      </c>
    </row>
    <row r="63" spans="1:8" ht="32.25" customHeight="1" thickTop="1">
      <c r="A63" s="39"/>
      <c r="B63" s="141" t="s">
        <v>167</v>
      </c>
      <c r="C63" s="142"/>
      <c r="D63" s="34"/>
      <c r="E63" s="35"/>
      <c r="F63" s="36"/>
    </row>
    <row r="64" spans="1:8" s="160" customFormat="1" ht="32.25" customHeight="1">
      <c r="A64" s="106">
        <v>1</v>
      </c>
      <c r="B64" s="142" t="s">
        <v>23</v>
      </c>
      <c r="C64" s="142" t="s">
        <v>168</v>
      </c>
      <c r="D64" s="276" t="s">
        <v>617</v>
      </c>
      <c r="E64" s="277" t="s">
        <v>670</v>
      </c>
      <c r="F64" s="278">
        <v>10925</v>
      </c>
    </row>
    <row r="65" spans="1:8" s="160" customFormat="1" ht="32.25" customHeight="1">
      <c r="A65" s="106">
        <v>2</v>
      </c>
      <c r="B65" s="142" t="s">
        <v>69</v>
      </c>
      <c r="C65" s="142" t="s">
        <v>170</v>
      </c>
      <c r="D65" s="276" t="s">
        <v>613</v>
      </c>
      <c r="E65" s="277" t="s">
        <v>671</v>
      </c>
      <c r="F65" s="278">
        <v>920</v>
      </c>
    </row>
    <row r="66" spans="1:8" s="160" customFormat="1" ht="32.25" customHeight="1">
      <c r="A66" s="106">
        <v>3</v>
      </c>
      <c r="B66" s="142" t="s">
        <v>27</v>
      </c>
      <c r="C66" s="142" t="s">
        <v>172</v>
      </c>
      <c r="D66" s="276" t="s">
        <v>656</v>
      </c>
      <c r="E66" s="277" t="s">
        <v>672</v>
      </c>
      <c r="F66" s="278">
        <v>1100</v>
      </c>
    </row>
    <row r="67" spans="1:8" s="160" customFormat="1" ht="32.25" customHeight="1">
      <c r="A67" s="106">
        <v>4</v>
      </c>
      <c r="B67" s="142" t="s">
        <v>77</v>
      </c>
      <c r="C67" s="142" t="s">
        <v>174</v>
      </c>
      <c r="D67" s="276" t="s">
        <v>652</v>
      </c>
      <c r="E67" s="277" t="s">
        <v>673</v>
      </c>
      <c r="F67" s="278">
        <v>920</v>
      </c>
    </row>
    <row r="68" spans="1:8" s="160" customFormat="1" ht="32.25" customHeight="1">
      <c r="A68" s="106">
        <v>5</v>
      </c>
      <c r="B68" s="142" t="s">
        <v>176</v>
      </c>
      <c r="C68" s="142" t="s">
        <v>177</v>
      </c>
      <c r="D68" s="276" t="s">
        <v>652</v>
      </c>
      <c r="E68" s="277" t="s">
        <v>674</v>
      </c>
      <c r="F68" s="278">
        <v>2300</v>
      </c>
    </row>
    <row r="69" spans="1:8" ht="32.25" customHeight="1" thickBot="1">
      <c r="A69" s="39"/>
      <c r="B69" s="50" t="s">
        <v>19</v>
      </c>
      <c r="C69" s="50"/>
      <c r="D69" s="54"/>
      <c r="E69" s="55"/>
      <c r="F69" s="56">
        <v>16165</v>
      </c>
      <c r="H69" s="499">
        <f>SUM(F64:F68)</f>
        <v>16165</v>
      </c>
    </row>
    <row r="70" spans="1:8" ht="32.25" hidden="1" customHeight="1" thickBot="1">
      <c r="A70" s="39"/>
      <c r="B70" s="58" t="s">
        <v>184</v>
      </c>
      <c r="C70" s="59"/>
      <c r="D70" s="65"/>
      <c r="E70" s="66"/>
      <c r="F70" s="67"/>
    </row>
    <row r="71" spans="1:8" ht="32.25" hidden="1" customHeight="1" thickTop="1">
      <c r="A71" s="39">
        <v>1</v>
      </c>
      <c r="B71" s="40"/>
      <c r="C71" s="41"/>
      <c r="D71" s="44"/>
      <c r="E71" s="45"/>
      <c r="F71" s="46"/>
    </row>
    <row r="72" spans="1:8" ht="32.25" hidden="1" customHeight="1" thickTop="1">
      <c r="A72" s="39"/>
      <c r="B72" s="50" t="s">
        <v>19</v>
      </c>
      <c r="C72" s="50"/>
      <c r="D72" s="54"/>
      <c r="E72" s="55"/>
      <c r="F72" s="56"/>
    </row>
    <row r="73" spans="1:8" ht="32.25" hidden="1" customHeight="1" thickTop="1">
      <c r="A73" s="39"/>
      <c r="B73" s="58" t="s">
        <v>185</v>
      </c>
      <c r="C73" s="59"/>
      <c r="D73" s="65"/>
      <c r="E73" s="66"/>
      <c r="F73" s="67"/>
    </row>
    <row r="74" spans="1:8" ht="32.25" hidden="1" customHeight="1" thickTop="1">
      <c r="A74" s="39">
        <v>1</v>
      </c>
      <c r="B74" s="40"/>
      <c r="C74" s="41"/>
      <c r="D74" s="284"/>
      <c r="E74" s="285"/>
      <c r="F74" s="286"/>
    </row>
    <row r="75" spans="1:8" ht="32.25" hidden="1" customHeight="1" thickTop="1">
      <c r="A75" s="39"/>
      <c r="B75" s="50" t="s">
        <v>19</v>
      </c>
      <c r="C75" s="50"/>
      <c r="D75" s="54"/>
      <c r="E75" s="55"/>
      <c r="F75" s="56"/>
    </row>
    <row r="76" spans="1:8" ht="32.25" customHeight="1" thickTop="1">
      <c r="A76" s="39"/>
      <c r="B76" s="58" t="s">
        <v>186</v>
      </c>
      <c r="C76" s="59"/>
      <c r="D76" s="65"/>
      <c r="E76" s="66"/>
      <c r="F76" s="67"/>
    </row>
    <row r="77" spans="1:8" s="160" customFormat="1" ht="32.25" customHeight="1">
      <c r="A77" s="116">
        <v>1</v>
      </c>
      <c r="B77" s="41" t="s">
        <v>23</v>
      </c>
      <c r="C77" s="41" t="s">
        <v>187</v>
      </c>
      <c r="D77" s="288" t="s">
        <v>617</v>
      </c>
      <c r="E77" s="289" t="s">
        <v>675</v>
      </c>
      <c r="F77" s="290">
        <v>2140</v>
      </c>
    </row>
    <row r="78" spans="1:8" s="160" customFormat="1" ht="32.25" customHeight="1">
      <c r="A78" s="116">
        <v>2</v>
      </c>
      <c r="B78" s="142" t="s">
        <v>23</v>
      </c>
      <c r="C78" s="142" t="s">
        <v>189</v>
      </c>
      <c r="D78" s="296" t="s">
        <v>676</v>
      </c>
      <c r="E78" s="297" t="s">
        <v>677</v>
      </c>
      <c r="F78" s="290">
        <v>22223.9</v>
      </c>
    </row>
    <row r="79" spans="1:8" s="160" customFormat="1" ht="32.25" customHeight="1">
      <c r="A79" s="116">
        <v>3</v>
      </c>
      <c r="B79" s="142" t="s">
        <v>192</v>
      </c>
      <c r="C79" s="142" t="s">
        <v>193</v>
      </c>
      <c r="D79" s="288" t="s">
        <v>613</v>
      </c>
      <c r="E79" s="289" t="s">
        <v>678</v>
      </c>
      <c r="F79" s="290">
        <v>920.2</v>
      </c>
    </row>
    <row r="80" spans="1:8" ht="32.25" customHeight="1">
      <c r="A80" s="106">
        <v>4</v>
      </c>
      <c r="B80" s="300" t="s">
        <v>195</v>
      </c>
      <c r="C80" s="300" t="s">
        <v>193</v>
      </c>
      <c r="D80" s="288" t="s">
        <v>654</v>
      </c>
      <c r="E80" s="289" t="s">
        <v>679</v>
      </c>
      <c r="F80" s="290">
        <v>2910.4</v>
      </c>
    </row>
    <row r="81" spans="1:9" ht="32.25" customHeight="1">
      <c r="A81" s="39">
        <v>5</v>
      </c>
      <c r="B81" s="142" t="s">
        <v>526</v>
      </c>
      <c r="C81" s="142" t="s">
        <v>193</v>
      </c>
      <c r="D81" s="306" t="s">
        <v>680</v>
      </c>
      <c r="E81" s="307" t="s">
        <v>681</v>
      </c>
      <c r="F81" s="308">
        <v>4911.3</v>
      </c>
    </row>
    <row r="82" spans="1:9" ht="32.25" customHeight="1">
      <c r="A82" s="39">
        <v>6</v>
      </c>
      <c r="B82" s="142" t="s">
        <v>403</v>
      </c>
      <c r="C82" s="142" t="s">
        <v>193</v>
      </c>
      <c r="D82" s="34" t="s">
        <v>682</v>
      </c>
      <c r="E82" s="35" t="s">
        <v>683</v>
      </c>
      <c r="F82" s="36">
        <v>1284</v>
      </c>
    </row>
    <row r="83" spans="1:9" ht="32.25" customHeight="1" thickBot="1">
      <c r="A83" s="39"/>
      <c r="B83" s="50" t="s">
        <v>19</v>
      </c>
      <c r="C83" s="50"/>
      <c r="D83" s="54"/>
      <c r="E83" s="55"/>
      <c r="F83" s="56">
        <v>34389.800000000003</v>
      </c>
      <c r="H83" s="406">
        <f>SUM(F77:F82)</f>
        <v>34389.800000000003</v>
      </c>
    </row>
    <row r="84" spans="1:9" ht="32.25" customHeight="1" thickTop="1">
      <c r="A84" s="39"/>
      <c r="B84" s="141" t="s">
        <v>210</v>
      </c>
      <c r="C84" s="142"/>
      <c r="D84" s="34"/>
      <c r="E84" s="35"/>
      <c r="F84" s="36"/>
    </row>
    <row r="85" spans="1:9" s="160" customFormat="1" ht="32.25" customHeight="1">
      <c r="A85" s="106">
        <v>1</v>
      </c>
      <c r="B85" s="142" t="s">
        <v>52</v>
      </c>
      <c r="C85" s="174" t="s">
        <v>211</v>
      </c>
      <c r="D85" s="343" t="s">
        <v>652</v>
      </c>
      <c r="E85" s="277" t="s">
        <v>684</v>
      </c>
      <c r="F85" s="278">
        <v>518</v>
      </c>
    </row>
    <row r="86" spans="1:9" s="160" customFormat="1" ht="32.25" customHeight="1">
      <c r="A86" s="106">
        <v>2</v>
      </c>
      <c r="B86" s="142" t="s">
        <v>60</v>
      </c>
      <c r="C86" s="174" t="s">
        <v>215</v>
      </c>
      <c r="D86" s="343" t="s">
        <v>656</v>
      </c>
      <c r="E86" s="277" t="s">
        <v>685</v>
      </c>
      <c r="F86" s="278">
        <v>259</v>
      </c>
    </row>
    <row r="87" spans="1:9" s="160" customFormat="1" ht="32.25" customHeight="1">
      <c r="A87" s="106">
        <v>3</v>
      </c>
      <c r="B87" s="142" t="s">
        <v>27</v>
      </c>
      <c r="C87" s="174" t="s">
        <v>217</v>
      </c>
      <c r="D87" s="343" t="s">
        <v>686</v>
      </c>
      <c r="E87" s="277" t="s">
        <v>687</v>
      </c>
      <c r="F87" s="278">
        <v>259</v>
      </c>
    </row>
    <row r="88" spans="1:9" s="160" customFormat="1" ht="32.25" customHeight="1">
      <c r="A88" s="106">
        <v>4</v>
      </c>
      <c r="B88" s="168" t="s">
        <v>42</v>
      </c>
      <c r="C88" s="174" t="s">
        <v>219</v>
      </c>
      <c r="D88" s="343" t="s">
        <v>656</v>
      </c>
      <c r="E88" s="277" t="s">
        <v>688</v>
      </c>
      <c r="F88" s="278">
        <v>259</v>
      </c>
    </row>
    <row r="89" spans="1:9" s="160" customFormat="1" ht="32.25" customHeight="1">
      <c r="A89" s="106">
        <v>5</v>
      </c>
      <c r="B89" s="142" t="s">
        <v>69</v>
      </c>
      <c r="C89" s="174" t="s">
        <v>221</v>
      </c>
      <c r="D89" s="343" t="s">
        <v>613</v>
      </c>
      <c r="E89" s="277" t="s">
        <v>689</v>
      </c>
      <c r="F89" s="278">
        <v>259</v>
      </c>
    </row>
    <row r="90" spans="1:9" s="160" customFormat="1" ht="32.25" customHeight="1">
      <c r="A90" s="106">
        <v>6</v>
      </c>
      <c r="B90" s="142" t="s">
        <v>77</v>
      </c>
      <c r="C90" s="174" t="s">
        <v>224</v>
      </c>
      <c r="D90" s="343" t="s">
        <v>652</v>
      </c>
      <c r="E90" s="277" t="s">
        <v>690</v>
      </c>
      <c r="F90" s="278">
        <v>259</v>
      </c>
    </row>
    <row r="91" spans="1:9" s="160" customFormat="1" ht="32.25" customHeight="1">
      <c r="A91" s="106">
        <v>7</v>
      </c>
      <c r="B91" s="142" t="s">
        <v>77</v>
      </c>
      <c r="C91" s="174" t="s">
        <v>226</v>
      </c>
      <c r="D91" s="343" t="s">
        <v>652</v>
      </c>
      <c r="E91" s="277" t="s">
        <v>690</v>
      </c>
      <c r="F91" s="278">
        <v>259</v>
      </c>
    </row>
    <row r="92" spans="1:9" s="160" customFormat="1" ht="32.25" customHeight="1">
      <c r="A92" s="106">
        <v>8</v>
      </c>
      <c r="B92" s="142" t="s">
        <v>83</v>
      </c>
      <c r="C92" s="174" t="s">
        <v>228</v>
      </c>
      <c r="D92" s="343" t="s">
        <v>656</v>
      </c>
      <c r="E92" s="277" t="s">
        <v>691</v>
      </c>
      <c r="F92" s="278">
        <v>259</v>
      </c>
    </row>
    <row r="93" spans="1:9" s="160" customFormat="1" ht="32.25" customHeight="1">
      <c r="A93" s="106">
        <v>9</v>
      </c>
      <c r="B93" s="142" t="s">
        <v>87</v>
      </c>
      <c r="C93" s="174" t="s">
        <v>230</v>
      </c>
      <c r="D93" s="343" t="s">
        <v>650</v>
      </c>
      <c r="E93" s="277" t="s">
        <v>692</v>
      </c>
      <c r="F93" s="278">
        <v>259</v>
      </c>
    </row>
    <row r="94" spans="1:9" s="160" customFormat="1" ht="32.25" customHeight="1">
      <c r="A94" s="106">
        <v>10</v>
      </c>
      <c r="B94" s="142" t="s">
        <v>99</v>
      </c>
      <c r="C94" s="174" t="s">
        <v>238</v>
      </c>
      <c r="D94" s="343" t="s">
        <v>654</v>
      </c>
      <c r="E94" s="277" t="s">
        <v>693</v>
      </c>
      <c r="F94" s="278">
        <v>6750</v>
      </c>
    </row>
    <row r="95" spans="1:9" ht="32.25" customHeight="1" thickBot="1">
      <c r="A95" s="39"/>
      <c r="B95" s="50" t="s">
        <v>19</v>
      </c>
      <c r="C95" s="50"/>
      <c r="D95" s="54"/>
      <c r="E95" s="55"/>
      <c r="F95" s="56">
        <v>9340</v>
      </c>
      <c r="H95" s="499">
        <f>SUM(F85:F94)</f>
        <v>9340</v>
      </c>
    </row>
    <row r="96" spans="1:9" ht="32.25" customHeight="1" thickTop="1" thickBot="1">
      <c r="A96" s="396"/>
      <c r="B96" s="397" t="s">
        <v>309</v>
      </c>
      <c r="C96" s="398"/>
      <c r="D96" s="399">
        <v>0</v>
      </c>
      <c r="E96" s="399">
        <v>0</v>
      </c>
      <c r="F96" s="399">
        <v>187531.46999999997</v>
      </c>
      <c r="I96" s="406">
        <f>SUM(H11:H95)</f>
        <v>187531.46999999997</v>
      </c>
    </row>
    <row r="97" spans="1:6" ht="17.399999999999999" thickTop="1">
      <c r="D97" s="404"/>
      <c r="E97" s="404"/>
      <c r="F97" s="2"/>
    </row>
    <row r="98" spans="1:6">
      <c r="D98" s="404"/>
      <c r="E98" s="404"/>
      <c r="F98" s="2"/>
    </row>
    <row r="99" spans="1:6">
      <c r="D99" s="404"/>
      <c r="E99" s="404"/>
      <c r="F99" s="2"/>
    </row>
    <row r="100" spans="1:6">
      <c r="D100" s="404"/>
      <c r="E100" s="404"/>
      <c r="F100" s="2"/>
    </row>
    <row r="101" spans="1:6">
      <c r="D101" s="404"/>
      <c r="E101" s="404"/>
      <c r="F101" s="2"/>
    </row>
    <row r="102" spans="1:6" s="406" customFormat="1" ht="32.25" customHeight="1">
      <c r="A102" s="2"/>
      <c r="B102" s="643"/>
      <c r="C102" s="642"/>
      <c r="D102" s="410"/>
      <c r="E102" s="411"/>
      <c r="F102" s="417"/>
    </row>
    <row r="103" spans="1:6" s="406" customFormat="1" ht="32.25" customHeight="1">
      <c r="A103" s="2"/>
      <c r="B103" s="413"/>
      <c r="C103" s="415"/>
      <c r="D103" s="2"/>
      <c r="E103" s="411"/>
      <c r="F103" s="416"/>
    </row>
    <row r="104" spans="1:6" s="406" customFormat="1" ht="32.25" customHeight="1">
      <c r="A104" s="2"/>
      <c r="B104" s="413"/>
      <c r="C104" s="409"/>
      <c r="D104" s="410"/>
      <c r="E104" s="641"/>
      <c r="F104" s="642"/>
    </row>
  </sheetData>
  <mergeCells count="8">
    <mergeCell ref="E104:F104"/>
    <mergeCell ref="B102:C102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E276-DD9B-4573-A6DF-8334C3C976BD}">
  <sheetPr>
    <tabColor rgb="FF00B0F0"/>
  </sheetPr>
  <dimension ref="A1:I43"/>
  <sheetViews>
    <sheetView zoomScale="70" zoomScaleNormal="70" workbookViewId="0">
      <pane ySplit="6" topLeftCell="A14" activePane="bottomLeft" state="frozen"/>
      <selection pane="bottomLeft" activeCell="O28" sqref="O28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31.44140625" style="439" customWidth="1"/>
    <col min="5" max="5" width="20.5546875" style="404" customWidth="1"/>
    <col min="6" max="6" width="8.109375" style="405" customWidth="1"/>
    <col min="7" max="7" width="20" style="2" customWidth="1"/>
    <col min="8" max="16384" width="12.5546875" style="2"/>
  </cols>
  <sheetData>
    <row r="1" spans="1:9" ht="22.5" customHeight="1">
      <c r="A1" s="643" t="s">
        <v>0</v>
      </c>
      <c r="B1" s="642"/>
      <c r="C1" s="642"/>
      <c r="D1" s="642"/>
      <c r="E1" s="642"/>
      <c r="F1" s="642"/>
      <c r="G1" s="642"/>
    </row>
    <row r="2" spans="1:9" ht="27" customHeight="1">
      <c r="A2" s="643" t="s">
        <v>1</v>
      </c>
      <c r="B2" s="642"/>
      <c r="C2" s="642"/>
      <c r="D2" s="642"/>
      <c r="E2" s="642"/>
      <c r="F2" s="642"/>
      <c r="G2" s="642"/>
    </row>
    <row r="3" spans="1:9" ht="22.5" customHeight="1">
      <c r="A3" s="644" t="s">
        <v>609</v>
      </c>
      <c r="B3" s="645"/>
      <c r="C3" s="645"/>
      <c r="D3" s="645"/>
      <c r="E3" s="645"/>
      <c r="F3" s="645"/>
      <c r="G3" s="645"/>
    </row>
    <row r="4" spans="1:9" ht="34.5" customHeight="1">
      <c r="A4" s="3" t="s">
        <v>3</v>
      </c>
      <c r="B4" s="646" t="s">
        <v>4</v>
      </c>
      <c r="C4" s="646" t="s">
        <v>5</v>
      </c>
      <c r="D4" s="426"/>
      <c r="E4" s="658" t="s">
        <v>9</v>
      </c>
      <c r="F4" s="656"/>
      <c r="G4" s="657"/>
    </row>
    <row r="5" spans="1:9" ht="24.75" customHeight="1">
      <c r="A5" s="5"/>
      <c r="B5" s="647"/>
      <c r="C5" s="647"/>
      <c r="D5" s="427" t="s">
        <v>392</v>
      </c>
      <c r="E5" s="3" t="s">
        <v>10</v>
      </c>
      <c r="F5" s="12" t="s">
        <v>11</v>
      </c>
      <c r="G5" s="419"/>
    </row>
    <row r="6" spans="1:9" ht="27.75" customHeight="1">
      <c r="A6" s="14"/>
      <c r="B6" s="648"/>
      <c r="C6" s="648"/>
      <c r="D6" s="428"/>
      <c r="E6" s="14"/>
      <c r="F6" s="24"/>
      <c r="G6" s="20" t="s">
        <v>19</v>
      </c>
    </row>
    <row r="7" spans="1:9" ht="32.25" customHeight="1">
      <c r="A7" s="39"/>
      <c r="B7" s="141" t="s">
        <v>50</v>
      </c>
      <c r="C7" s="142"/>
      <c r="D7" s="429"/>
      <c r="E7" s="114"/>
      <c r="F7" s="115"/>
      <c r="G7" s="145"/>
    </row>
    <row r="8" spans="1:9" s="160" customFormat="1" ht="32.25" customHeight="1">
      <c r="A8" s="106">
        <v>1</v>
      </c>
      <c r="B8" s="142" t="s">
        <v>52</v>
      </c>
      <c r="C8" s="150" t="s">
        <v>53</v>
      </c>
      <c r="D8" s="430">
        <v>2070</v>
      </c>
      <c r="E8" s="157"/>
      <c r="F8" s="158"/>
      <c r="G8" s="159"/>
    </row>
    <row r="9" spans="1:9" ht="30" customHeight="1">
      <c r="A9" s="106">
        <v>2</v>
      </c>
      <c r="B9" s="142" t="s">
        <v>130</v>
      </c>
      <c r="C9" s="193" t="s">
        <v>131</v>
      </c>
      <c r="D9" s="433">
        <v>1207.5</v>
      </c>
      <c r="E9" s="202"/>
      <c r="F9" s="203"/>
      <c r="G9" s="207"/>
    </row>
    <row r="10" spans="1:9" ht="32.25" customHeight="1">
      <c r="A10" s="106">
        <v>3</v>
      </c>
      <c r="B10" s="142" t="s">
        <v>141</v>
      </c>
      <c r="C10" s="193" t="s">
        <v>142</v>
      </c>
      <c r="D10" s="433">
        <v>7496.64</v>
      </c>
      <c r="E10" s="214"/>
      <c r="F10" s="212"/>
      <c r="G10" s="207"/>
    </row>
    <row r="11" spans="1:9" ht="32.25" customHeight="1">
      <c r="A11" s="106">
        <v>4</v>
      </c>
      <c r="B11" s="142" t="s">
        <v>145</v>
      </c>
      <c r="C11" s="193" t="s">
        <v>146</v>
      </c>
      <c r="D11" s="433"/>
      <c r="E11" s="220" t="s">
        <v>669</v>
      </c>
      <c r="F11" s="115">
        <v>1</v>
      </c>
      <c r="G11" s="207">
        <v>233.29000000000011</v>
      </c>
    </row>
    <row r="12" spans="1:9" s="230" customFormat="1" ht="32.25" customHeight="1">
      <c r="A12" s="106">
        <v>5</v>
      </c>
      <c r="B12" s="222" t="s">
        <v>149</v>
      </c>
      <c r="C12" s="222" t="s">
        <v>150</v>
      </c>
      <c r="D12" s="469">
        <v>3636.89</v>
      </c>
      <c r="E12" s="227"/>
      <c r="F12" s="228"/>
      <c r="G12" s="207"/>
    </row>
    <row r="13" spans="1:9" s="237" customFormat="1" ht="32.25" customHeight="1">
      <c r="A13" s="106">
        <v>6</v>
      </c>
      <c r="B13" s="222" t="s">
        <v>152</v>
      </c>
      <c r="C13" s="193" t="s">
        <v>153</v>
      </c>
      <c r="D13" s="433">
        <v>2012.44</v>
      </c>
      <c r="E13" s="227"/>
      <c r="F13" s="228"/>
      <c r="G13" s="207"/>
      <c r="H13" s="2"/>
      <c r="I13" s="2"/>
    </row>
    <row r="14" spans="1:9" s="259" customFormat="1" ht="32.25" customHeight="1">
      <c r="A14" s="106">
        <v>7</v>
      </c>
      <c r="B14" s="242" t="s">
        <v>52</v>
      </c>
      <c r="C14" s="243" t="s">
        <v>155</v>
      </c>
      <c r="D14" s="470">
        <v>866.64</v>
      </c>
      <c r="E14" s="254"/>
      <c r="F14" s="255"/>
      <c r="G14" s="207"/>
    </row>
    <row r="15" spans="1:9" ht="41.25" customHeight="1">
      <c r="A15" s="106">
        <v>8</v>
      </c>
      <c r="B15" s="142" t="s">
        <v>158</v>
      </c>
      <c r="C15" s="142" t="s">
        <v>159</v>
      </c>
      <c r="D15" s="429">
        <v>766.64</v>
      </c>
      <c r="E15" s="214"/>
      <c r="F15" s="212"/>
      <c r="G15" s="207"/>
    </row>
    <row r="16" spans="1:9" ht="32.25" customHeight="1" thickBot="1">
      <c r="A16" s="39"/>
      <c r="B16" s="50" t="s">
        <v>19</v>
      </c>
      <c r="C16" s="50"/>
      <c r="D16" s="432"/>
      <c r="E16" s="51"/>
      <c r="F16" s="51">
        <v>0</v>
      </c>
      <c r="G16" s="51">
        <v>233.29000000000011</v>
      </c>
    </row>
    <row r="17" spans="1:7" ht="32.25" hidden="1" customHeight="1" thickBot="1">
      <c r="A17" s="39"/>
      <c r="B17" s="58" t="s">
        <v>184</v>
      </c>
      <c r="C17" s="59"/>
      <c r="D17" s="434"/>
      <c r="E17" s="68"/>
      <c r="F17" s="62"/>
      <c r="G17" s="70"/>
    </row>
    <row r="18" spans="1:7" ht="32.25" hidden="1" customHeight="1" thickTop="1">
      <c r="A18" s="39">
        <v>1</v>
      </c>
      <c r="B18" s="40"/>
      <c r="C18" s="41"/>
      <c r="D18" s="471"/>
      <c r="E18" s="5"/>
      <c r="F18" s="43"/>
      <c r="G18" s="49"/>
    </row>
    <row r="19" spans="1:7" ht="32.25" hidden="1" customHeight="1" thickTop="1">
      <c r="A19" s="39"/>
      <c r="B19" s="50" t="s">
        <v>19</v>
      </c>
      <c r="C19" s="50"/>
      <c r="D19" s="432"/>
      <c r="E19" s="57"/>
      <c r="F19" s="53"/>
      <c r="G19" s="51"/>
    </row>
    <row r="20" spans="1:7" ht="32.25" hidden="1" customHeight="1" thickTop="1">
      <c r="A20" s="39"/>
      <c r="B20" s="58" t="s">
        <v>185</v>
      </c>
      <c r="C20" s="59"/>
      <c r="D20" s="434"/>
      <c r="E20" s="68"/>
      <c r="F20" s="62"/>
      <c r="G20" s="70"/>
    </row>
    <row r="21" spans="1:7" ht="32.25" hidden="1" customHeight="1" thickTop="1">
      <c r="A21" s="39">
        <v>1</v>
      </c>
      <c r="B21" s="40"/>
      <c r="C21" s="41"/>
      <c r="D21" s="471"/>
      <c r="E21" s="5"/>
      <c r="F21" s="43"/>
      <c r="G21" s="49"/>
    </row>
    <row r="22" spans="1:7" ht="32.25" hidden="1" customHeight="1" thickTop="1">
      <c r="A22" s="39"/>
      <c r="B22" s="50" t="s">
        <v>19</v>
      </c>
      <c r="C22" s="50"/>
      <c r="D22" s="432"/>
      <c r="E22" s="57"/>
      <c r="F22" s="53"/>
      <c r="G22" s="51"/>
    </row>
    <row r="23" spans="1:7" ht="32.25" customHeight="1" thickTop="1">
      <c r="A23" s="39"/>
      <c r="B23" s="58" t="s">
        <v>186</v>
      </c>
      <c r="C23" s="59"/>
      <c r="D23" s="434"/>
      <c r="E23" s="68"/>
      <c r="F23" s="62"/>
      <c r="G23" s="70"/>
    </row>
    <row r="24" spans="1:7" ht="32.25" customHeight="1">
      <c r="A24" s="106">
        <v>1</v>
      </c>
      <c r="B24" s="300" t="s">
        <v>195</v>
      </c>
      <c r="C24" s="300" t="s">
        <v>193</v>
      </c>
      <c r="D24" s="435"/>
      <c r="E24" s="302" t="s">
        <v>669</v>
      </c>
      <c r="F24" s="303">
        <v>1</v>
      </c>
      <c r="G24" s="77">
        <v>3327.7000000000003</v>
      </c>
    </row>
    <row r="25" spans="1:7" ht="32.25" customHeight="1" thickBot="1">
      <c r="A25" s="39"/>
      <c r="B25" s="50" t="s">
        <v>19</v>
      </c>
      <c r="C25" s="50"/>
      <c r="D25" s="432"/>
      <c r="E25" s="57"/>
      <c r="F25" s="53"/>
      <c r="G25" s="51">
        <v>3327.7000000000003</v>
      </c>
    </row>
    <row r="26" spans="1:7" ht="32.25" customHeight="1" thickTop="1">
      <c r="A26" s="39"/>
      <c r="B26" s="141" t="s">
        <v>210</v>
      </c>
      <c r="C26" s="142"/>
      <c r="D26" s="429"/>
      <c r="E26" s="114"/>
      <c r="F26" s="115"/>
      <c r="G26" s="145"/>
    </row>
    <row r="27" spans="1:7" s="160" customFormat="1" ht="32.25" customHeight="1">
      <c r="A27" s="106">
        <v>1</v>
      </c>
      <c r="B27" s="142" t="s">
        <v>52</v>
      </c>
      <c r="C27" s="174" t="s">
        <v>211</v>
      </c>
      <c r="D27" s="431">
        <v>259</v>
      </c>
      <c r="E27" s="347"/>
      <c r="F27" s="348"/>
      <c r="G27" s="159"/>
    </row>
    <row r="28" spans="1:7" s="160" customFormat="1" ht="32.25" customHeight="1">
      <c r="A28" s="106">
        <v>19</v>
      </c>
      <c r="B28" s="142" t="s">
        <v>141</v>
      </c>
      <c r="C28" s="193" t="s">
        <v>240</v>
      </c>
      <c r="D28" s="433">
        <v>916</v>
      </c>
      <c r="E28" s="374"/>
      <c r="F28" s="362"/>
      <c r="G28" s="159"/>
    </row>
    <row r="29" spans="1:7" ht="32.25" customHeight="1">
      <c r="A29" s="106">
        <v>20</v>
      </c>
      <c r="B29" s="222" t="s">
        <v>52</v>
      </c>
      <c r="C29" s="193" t="s">
        <v>243</v>
      </c>
      <c r="D29" s="433">
        <v>92</v>
      </c>
      <c r="E29" s="368"/>
      <c r="F29" s="362"/>
      <c r="G29" s="159"/>
    </row>
    <row r="30" spans="1:7" ht="32.25" customHeight="1">
      <c r="A30" s="106">
        <v>21</v>
      </c>
      <c r="B30" s="222" t="s">
        <v>152</v>
      </c>
      <c r="C30" s="193" t="s">
        <v>246</v>
      </c>
      <c r="D30" s="433">
        <v>211.22</v>
      </c>
      <c r="E30" s="374"/>
      <c r="F30" s="362"/>
      <c r="G30" s="159"/>
    </row>
    <row r="31" spans="1:7" ht="32.25" customHeight="1">
      <c r="A31" s="106">
        <v>22</v>
      </c>
      <c r="B31" s="222" t="s">
        <v>130</v>
      </c>
      <c r="C31" s="193" t="s">
        <v>250</v>
      </c>
      <c r="D31" s="436">
        <v>155.02000000000001</v>
      </c>
      <c r="E31" s="2"/>
      <c r="F31" s="362"/>
      <c r="G31" s="159">
        <v>0</v>
      </c>
    </row>
    <row r="32" spans="1:7" ht="32.25" customHeight="1">
      <c r="A32" s="116">
        <v>23</v>
      </c>
      <c r="B32" s="142" t="s">
        <v>145</v>
      </c>
      <c r="C32" s="193" t="s">
        <v>258</v>
      </c>
      <c r="D32" s="433"/>
      <c r="E32" s="361" t="s">
        <v>669</v>
      </c>
      <c r="F32" s="362">
        <v>1</v>
      </c>
      <c r="G32" s="159">
        <v>29.210000000000065</v>
      </c>
    </row>
    <row r="33" spans="1:9" ht="32.25" customHeight="1">
      <c r="A33" s="116">
        <v>24</v>
      </c>
      <c r="B33" s="142" t="s">
        <v>158</v>
      </c>
      <c r="C33" s="390" t="s">
        <v>261</v>
      </c>
      <c r="D33" s="437">
        <v>96.64</v>
      </c>
      <c r="E33" s="361"/>
      <c r="F33" s="362"/>
      <c r="G33" s="159"/>
    </row>
    <row r="34" spans="1:9" ht="32.25" customHeight="1" thickBot="1">
      <c r="A34" s="39"/>
      <c r="B34" s="50" t="s">
        <v>19</v>
      </c>
      <c r="C34" s="50"/>
      <c r="D34" s="432"/>
      <c r="E34" s="57"/>
      <c r="F34" s="53"/>
      <c r="G34" s="51">
        <v>29.210000000000065</v>
      </c>
    </row>
    <row r="35" spans="1:9" ht="32.25" customHeight="1" thickTop="1" thickBot="1">
      <c r="A35" s="396"/>
      <c r="B35" s="397" t="s">
        <v>309</v>
      </c>
      <c r="C35" s="398"/>
      <c r="D35" s="438"/>
      <c r="E35" s="399">
        <v>0</v>
      </c>
      <c r="F35" s="399">
        <v>0</v>
      </c>
      <c r="G35" s="399">
        <v>3590.2000000000003</v>
      </c>
      <c r="I35" s="472">
        <f>SUM(G16+G25+G34)</f>
        <v>3590.2000000000003</v>
      </c>
    </row>
    <row r="36" spans="1:9" ht="17.399999999999999" thickTop="1"/>
    <row r="41" spans="1:9" s="406" customFormat="1" ht="32.25" customHeight="1">
      <c r="A41" s="2"/>
      <c r="B41" s="643"/>
      <c r="C41" s="642"/>
      <c r="D41" s="439"/>
      <c r="E41" s="642"/>
      <c r="F41" s="642"/>
      <c r="G41" s="2"/>
    </row>
    <row r="42" spans="1:9" s="406" customFormat="1" ht="32.25" customHeight="1">
      <c r="A42" s="2"/>
      <c r="B42" s="413"/>
      <c r="C42" s="415"/>
      <c r="D42" s="440"/>
      <c r="E42" s="642"/>
      <c r="F42" s="642"/>
      <c r="G42" s="2"/>
    </row>
    <row r="43" spans="1:9" s="406" customFormat="1" ht="32.25" customHeight="1">
      <c r="A43" s="2"/>
      <c r="B43" s="413"/>
      <c r="C43" s="409"/>
      <c r="D43" s="441"/>
      <c r="E43" s="642"/>
      <c r="F43" s="642"/>
      <c r="G43" s="2"/>
    </row>
  </sheetData>
  <mergeCells count="10">
    <mergeCell ref="E42:F42"/>
    <mergeCell ref="E43:F43"/>
    <mergeCell ref="B41:C41"/>
    <mergeCell ref="E41:F41"/>
    <mergeCell ref="A1:G1"/>
    <mergeCell ref="A2:G2"/>
    <mergeCell ref="A3:G3"/>
    <mergeCell ref="B4:B6"/>
    <mergeCell ref="C4:C6"/>
    <mergeCell ref="E4:G4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087F-77B4-423C-81DD-7F47AC623FE3}">
  <sheetPr>
    <tabColor rgb="FF00B0F0"/>
  </sheetPr>
  <dimension ref="A1:H19"/>
  <sheetViews>
    <sheetView zoomScale="70" zoomScaleNormal="70" workbookViewId="0">
      <pane ySplit="6" topLeftCell="A7" activePane="bottomLeft" state="frozen"/>
      <selection pane="bottomLeft" activeCell="C33" sqref="C33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20.5546875" style="404" customWidth="1"/>
    <col min="5" max="5" width="8.109375" style="405" customWidth="1"/>
    <col min="6" max="6" width="20" style="2" customWidth="1"/>
    <col min="7" max="16384" width="12.5546875" style="2"/>
  </cols>
  <sheetData>
    <row r="1" spans="1:8" ht="22.5" customHeight="1">
      <c r="A1" s="643" t="s">
        <v>0</v>
      </c>
      <c r="B1" s="642"/>
      <c r="C1" s="642"/>
      <c r="D1" s="642"/>
      <c r="E1" s="642"/>
      <c r="F1" s="642"/>
    </row>
    <row r="2" spans="1:8" ht="27" customHeight="1">
      <c r="A2" s="643" t="s">
        <v>1</v>
      </c>
      <c r="B2" s="642"/>
      <c r="C2" s="642"/>
      <c r="D2" s="642"/>
      <c r="E2" s="642"/>
      <c r="F2" s="642"/>
    </row>
    <row r="3" spans="1:8" ht="22.5" customHeight="1">
      <c r="A3" s="644" t="s">
        <v>609</v>
      </c>
      <c r="B3" s="645"/>
      <c r="C3" s="645"/>
      <c r="D3" s="645"/>
      <c r="E3" s="645"/>
      <c r="F3" s="645"/>
    </row>
    <row r="4" spans="1:8" ht="34.5" customHeight="1">
      <c r="A4" s="3" t="s">
        <v>3</v>
      </c>
      <c r="B4" s="646" t="s">
        <v>4</v>
      </c>
      <c r="C4" s="646" t="s">
        <v>5</v>
      </c>
      <c r="D4" s="658" t="s">
        <v>9</v>
      </c>
      <c r="E4" s="656"/>
      <c r="F4" s="657"/>
    </row>
    <row r="5" spans="1:8" ht="24.75" customHeight="1">
      <c r="A5" s="5"/>
      <c r="B5" s="647"/>
      <c r="C5" s="647"/>
      <c r="D5" s="3" t="s">
        <v>10</v>
      </c>
      <c r="E5" s="12" t="s">
        <v>11</v>
      </c>
      <c r="F5" s="419"/>
    </row>
    <row r="6" spans="1:8" ht="27.75" customHeight="1">
      <c r="A6" s="14"/>
      <c r="B6" s="648"/>
      <c r="C6" s="648"/>
      <c r="D6" s="14"/>
      <c r="E6" s="24"/>
      <c r="F6" s="20" t="s">
        <v>19</v>
      </c>
    </row>
    <row r="7" spans="1:8" ht="27.75" customHeight="1">
      <c r="A7" s="5"/>
      <c r="B7" s="418" t="s">
        <v>608</v>
      </c>
      <c r="C7" s="418"/>
      <c r="D7" s="5"/>
      <c r="E7" s="43"/>
      <c r="F7" s="465"/>
    </row>
    <row r="8" spans="1:8" ht="32.25" customHeight="1">
      <c r="A8" s="106">
        <v>1</v>
      </c>
      <c r="B8" s="142" t="s">
        <v>145</v>
      </c>
      <c r="C8" s="193" t="s">
        <v>146</v>
      </c>
      <c r="D8" s="220" t="s">
        <v>669</v>
      </c>
      <c r="E8" s="115">
        <v>1</v>
      </c>
      <c r="F8" s="207">
        <v>233.29000000000011</v>
      </c>
    </row>
    <row r="9" spans="1:8" ht="32.25" customHeight="1">
      <c r="A9" s="106">
        <v>2</v>
      </c>
      <c r="B9" s="300" t="s">
        <v>195</v>
      </c>
      <c r="C9" s="300" t="s">
        <v>193</v>
      </c>
      <c r="D9" s="302" t="s">
        <v>669</v>
      </c>
      <c r="E9" s="303">
        <v>1</v>
      </c>
      <c r="F9" s="77">
        <v>3327.7000000000003</v>
      </c>
    </row>
    <row r="10" spans="1:8" ht="32.25" customHeight="1">
      <c r="A10" s="116">
        <v>3</v>
      </c>
      <c r="B10" s="142" t="s">
        <v>145</v>
      </c>
      <c r="C10" s="193" t="s">
        <v>258</v>
      </c>
      <c r="D10" s="361" t="s">
        <v>669</v>
      </c>
      <c r="E10" s="362">
        <v>1</v>
      </c>
      <c r="F10" s="159">
        <v>29.210000000000065</v>
      </c>
    </row>
    <row r="11" spans="1:8" ht="32.25" customHeight="1" thickBot="1">
      <c r="A11" s="396"/>
      <c r="B11" s="397" t="s">
        <v>309</v>
      </c>
      <c r="C11" s="398"/>
      <c r="D11" s="399">
        <v>0</v>
      </c>
      <c r="E11" s="399">
        <v>0</v>
      </c>
      <c r="F11" s="399">
        <v>3590.2000000000003</v>
      </c>
      <c r="H11" s="472">
        <v>3590.2000000000003</v>
      </c>
    </row>
    <row r="12" spans="1:8" ht="17.399999999999999" thickTop="1"/>
    <row r="17" spans="1:6" s="406" customFormat="1" ht="32.25" customHeight="1">
      <c r="A17" s="2"/>
      <c r="B17" s="643"/>
      <c r="C17" s="642"/>
      <c r="D17" s="642"/>
      <c r="E17" s="642"/>
      <c r="F17" s="2"/>
    </row>
    <row r="18" spans="1:6" s="406" customFormat="1" ht="32.25" customHeight="1">
      <c r="A18" s="2"/>
      <c r="B18" s="413"/>
      <c r="C18" s="415"/>
      <c r="D18" s="642"/>
      <c r="E18" s="642"/>
      <c r="F18" s="2"/>
    </row>
    <row r="19" spans="1:6" s="406" customFormat="1" ht="32.25" customHeight="1">
      <c r="A19" s="2"/>
      <c r="B19" s="413"/>
      <c r="C19" s="409"/>
      <c r="D19" s="642"/>
      <c r="E19" s="642"/>
      <c r="F19" s="2"/>
    </row>
  </sheetData>
  <mergeCells count="10">
    <mergeCell ref="B17:C17"/>
    <mergeCell ref="D17:E17"/>
    <mergeCell ref="D18:E18"/>
    <mergeCell ref="D19:E19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052B-D508-46BD-9442-B89662801760}">
  <sheetPr>
    <tabColor rgb="FF92D050"/>
  </sheetPr>
  <dimension ref="A1:Z269"/>
  <sheetViews>
    <sheetView zoomScale="70" zoomScaleNormal="70" workbookViewId="0">
      <pane ySplit="6" topLeftCell="A18" activePane="bottomLeft" state="frozen"/>
      <selection pane="bottomLeft" activeCell="M40" sqref="M40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17.88671875" style="2" customWidth="1"/>
    <col min="5" max="5" width="16.6640625" style="404" customWidth="1"/>
    <col min="6" max="6" width="10" style="405" customWidth="1"/>
    <col min="7" max="7" width="5.5546875" style="404" customWidth="1"/>
    <col min="8" max="8" width="16.6640625" style="2" customWidth="1"/>
    <col min="9" max="9" width="13.109375" style="2" customWidth="1"/>
    <col min="10" max="10" width="17.88671875" style="2" customWidth="1"/>
    <col min="11" max="11" width="17.6640625" style="414" customWidth="1"/>
    <col min="12" max="12" width="25" style="414" customWidth="1"/>
    <col min="13" max="13" width="16.109375" style="192" customWidth="1"/>
    <col min="14" max="14" width="20.5546875" style="404" customWidth="1"/>
    <col min="15" max="15" width="8.109375" style="405" customWidth="1"/>
    <col min="16" max="16" width="12.109375" style="2" customWidth="1"/>
    <col min="17" max="17" width="17.6640625" style="406" customWidth="1"/>
    <col min="18" max="18" width="11.33203125" style="406" customWidth="1"/>
    <col min="19" max="19" width="20" style="2" customWidth="1"/>
    <col min="20" max="16384" width="12.5546875" style="2"/>
  </cols>
  <sheetData>
    <row r="1" spans="1:19" ht="22.5" customHeight="1">
      <c r="A1" s="643" t="s">
        <v>0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</row>
    <row r="2" spans="1:19" ht="27" customHeight="1">
      <c r="A2" s="643" t="s">
        <v>1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642"/>
      <c r="S2" s="642"/>
    </row>
    <row r="3" spans="1:19" ht="22.5" customHeight="1">
      <c r="A3" s="644" t="s">
        <v>538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</row>
    <row r="4" spans="1:19" ht="34.5" customHeight="1">
      <c r="A4" s="3" t="s">
        <v>3</v>
      </c>
      <c r="B4" s="646" t="s">
        <v>4</v>
      </c>
      <c r="C4" s="646" t="s">
        <v>5</v>
      </c>
      <c r="D4" s="4" t="s">
        <v>6</v>
      </c>
      <c r="E4" s="655" t="s">
        <v>7</v>
      </c>
      <c r="F4" s="656"/>
      <c r="G4" s="656"/>
      <c r="H4" s="656"/>
      <c r="I4" s="656"/>
      <c r="J4" s="657"/>
      <c r="K4" s="669" t="s">
        <v>8</v>
      </c>
      <c r="L4" s="670"/>
      <c r="M4" s="671"/>
      <c r="N4" s="658" t="s">
        <v>9</v>
      </c>
      <c r="O4" s="656"/>
      <c r="P4" s="656"/>
      <c r="Q4" s="656"/>
      <c r="R4" s="656"/>
      <c r="S4" s="657"/>
    </row>
    <row r="5" spans="1:19" ht="24.75" customHeight="1">
      <c r="A5" s="5"/>
      <c r="B5" s="647"/>
      <c r="C5" s="647"/>
      <c r="D5" s="6"/>
      <c r="E5" s="3" t="s">
        <v>10</v>
      </c>
      <c r="F5" s="7" t="s">
        <v>11</v>
      </c>
      <c r="G5" s="8" t="s">
        <v>12</v>
      </c>
      <c r="H5" s="655" t="s">
        <v>13</v>
      </c>
      <c r="I5" s="656"/>
      <c r="J5" s="657"/>
      <c r="K5" s="9" t="s">
        <v>14</v>
      </c>
      <c r="L5" s="10" t="s">
        <v>15</v>
      </c>
      <c r="M5" s="11" t="s">
        <v>16</v>
      </c>
      <c r="N5" s="3" t="s">
        <v>10</v>
      </c>
      <c r="O5" s="12" t="s">
        <v>11</v>
      </c>
      <c r="P5" s="13" t="s">
        <v>12</v>
      </c>
      <c r="Q5" s="655" t="s">
        <v>13</v>
      </c>
      <c r="R5" s="656"/>
      <c r="S5" s="657"/>
    </row>
    <row r="6" spans="1:19" ht="27.75" customHeight="1">
      <c r="A6" s="14"/>
      <c r="B6" s="648"/>
      <c r="C6" s="648"/>
      <c r="D6" s="15"/>
      <c r="E6" s="14"/>
      <c r="F6" s="16"/>
      <c r="G6" s="17" t="s">
        <v>17</v>
      </c>
      <c r="H6" s="18" t="s">
        <v>16</v>
      </c>
      <c r="I6" s="19" t="s">
        <v>18</v>
      </c>
      <c r="J6" s="20" t="s">
        <v>19</v>
      </c>
      <c r="K6" s="21"/>
      <c r="L6" s="22"/>
      <c r="M6" s="23"/>
      <c r="N6" s="14"/>
      <c r="O6" s="24"/>
      <c r="P6" s="17" t="s">
        <v>17</v>
      </c>
      <c r="Q6" s="18" t="s">
        <v>16</v>
      </c>
      <c r="R6" s="25" t="s">
        <v>18</v>
      </c>
      <c r="S6" s="20" t="s">
        <v>19</v>
      </c>
    </row>
    <row r="7" spans="1:19" ht="32.25" customHeight="1">
      <c r="A7" s="26"/>
      <c r="B7" s="27" t="s">
        <v>20</v>
      </c>
      <c r="C7" s="28"/>
      <c r="D7" s="29"/>
      <c r="E7" s="30"/>
      <c r="F7" s="31"/>
      <c r="G7" s="32"/>
      <c r="H7" s="32"/>
      <c r="I7" s="32"/>
      <c r="J7" s="33"/>
      <c r="K7" s="34"/>
      <c r="L7" s="35"/>
      <c r="M7" s="36"/>
      <c r="N7" s="30"/>
      <c r="O7" s="31"/>
      <c r="P7" s="32"/>
      <c r="Q7" s="37"/>
      <c r="R7" s="37"/>
      <c r="S7" s="38"/>
    </row>
    <row r="8" spans="1:19" ht="32.25" customHeight="1">
      <c r="A8" s="39">
        <v>1</v>
      </c>
      <c r="B8" s="40" t="s">
        <v>21</v>
      </c>
      <c r="C8" s="41"/>
      <c r="D8" s="42"/>
      <c r="E8" s="6"/>
      <c r="F8" s="43"/>
      <c r="G8" s="6"/>
      <c r="H8" s="42"/>
      <c r="I8" s="42"/>
      <c r="J8" s="42"/>
      <c r="K8" s="44"/>
      <c r="L8" s="45"/>
      <c r="M8" s="46"/>
      <c r="N8" s="5"/>
      <c r="O8" s="43"/>
      <c r="P8" s="47"/>
      <c r="Q8" s="48"/>
      <c r="R8" s="48"/>
      <c r="S8" s="49"/>
    </row>
    <row r="9" spans="1:19" ht="32.25" customHeight="1" thickBot="1">
      <c r="A9" s="39"/>
      <c r="B9" s="50" t="s">
        <v>19</v>
      </c>
      <c r="C9" s="50"/>
      <c r="D9" s="51">
        <v>0</v>
      </c>
      <c r="E9" s="52"/>
      <c r="F9" s="53"/>
      <c r="G9" s="52"/>
      <c r="H9" s="51">
        <v>0</v>
      </c>
      <c r="I9" s="51">
        <v>0</v>
      </c>
      <c r="J9" s="51">
        <v>0</v>
      </c>
      <c r="K9" s="54"/>
      <c r="L9" s="55"/>
      <c r="M9" s="56">
        <v>0</v>
      </c>
      <c r="N9" s="57"/>
      <c r="O9" s="53"/>
      <c r="P9" s="51"/>
      <c r="Q9" s="51"/>
      <c r="R9" s="51"/>
      <c r="S9" s="51"/>
    </row>
    <row r="10" spans="1:19" ht="32.25" customHeight="1" thickTop="1">
      <c r="A10" s="39"/>
      <c r="B10" s="58" t="s">
        <v>22</v>
      </c>
      <c r="C10" s="59"/>
      <c r="D10" s="60"/>
      <c r="E10" s="61"/>
      <c r="F10" s="62"/>
      <c r="G10" s="63"/>
      <c r="H10" s="64"/>
      <c r="I10" s="64"/>
      <c r="J10" s="64"/>
      <c r="K10" s="65"/>
      <c r="L10" s="66"/>
      <c r="M10" s="67"/>
      <c r="N10" s="68"/>
      <c r="O10" s="62"/>
      <c r="P10" s="69"/>
      <c r="Q10" s="63"/>
      <c r="R10" s="63"/>
      <c r="S10" s="70"/>
    </row>
    <row r="11" spans="1:19" s="78" customFormat="1" ht="32.25" customHeight="1">
      <c r="A11" s="39">
        <v>1</v>
      </c>
      <c r="B11" s="71" t="s">
        <v>23</v>
      </c>
      <c r="C11" s="71" t="s">
        <v>24</v>
      </c>
      <c r="D11" s="72">
        <v>2198.85</v>
      </c>
      <c r="E11" s="6"/>
      <c r="F11" s="43"/>
      <c r="G11" s="48"/>
      <c r="H11" s="73">
        <v>0</v>
      </c>
      <c r="I11" s="73">
        <v>0</v>
      </c>
      <c r="J11" s="73">
        <v>0</v>
      </c>
      <c r="K11" s="74" t="s">
        <v>539</v>
      </c>
      <c r="L11" s="75" t="s">
        <v>540</v>
      </c>
      <c r="M11" s="76">
        <v>2198.85</v>
      </c>
      <c r="N11" s="5"/>
      <c r="O11" s="43"/>
      <c r="P11" s="47"/>
      <c r="Q11" s="48">
        <v>0</v>
      </c>
      <c r="R11" s="48">
        <v>0</v>
      </c>
      <c r="S11" s="77">
        <v>0</v>
      </c>
    </row>
    <row r="12" spans="1:19" s="78" customFormat="1" ht="32.25" customHeight="1">
      <c r="A12" s="39">
        <v>2</v>
      </c>
      <c r="B12" s="71" t="s">
        <v>27</v>
      </c>
      <c r="C12" s="71" t="s">
        <v>24</v>
      </c>
      <c r="D12" s="72">
        <v>553.19000000000005</v>
      </c>
      <c r="E12" s="6"/>
      <c r="F12" s="43"/>
      <c r="G12" s="48"/>
      <c r="H12" s="73">
        <v>0</v>
      </c>
      <c r="I12" s="73">
        <v>0</v>
      </c>
      <c r="J12" s="73">
        <v>0</v>
      </c>
      <c r="K12" s="74" t="s">
        <v>539</v>
      </c>
      <c r="L12" s="75" t="s">
        <v>541</v>
      </c>
      <c r="M12" s="76">
        <v>553.19000000000005</v>
      </c>
      <c r="N12" s="5"/>
      <c r="O12" s="43"/>
      <c r="P12" s="47"/>
      <c r="Q12" s="48">
        <v>0</v>
      </c>
      <c r="R12" s="48">
        <v>0</v>
      </c>
      <c r="S12" s="77">
        <v>0</v>
      </c>
    </row>
    <row r="13" spans="1:19" s="78" customFormat="1" ht="32.25" customHeight="1">
      <c r="A13" s="39">
        <v>3</v>
      </c>
      <c r="B13" s="71" t="s">
        <v>30</v>
      </c>
      <c r="C13" s="71" t="s">
        <v>24</v>
      </c>
      <c r="D13" s="72">
        <v>218.28</v>
      </c>
      <c r="E13" s="6"/>
      <c r="F13" s="43"/>
      <c r="G13" s="48"/>
      <c r="H13" s="73">
        <v>0</v>
      </c>
      <c r="I13" s="73">
        <v>0</v>
      </c>
      <c r="J13" s="73">
        <v>0</v>
      </c>
      <c r="K13" s="74" t="s">
        <v>539</v>
      </c>
      <c r="L13" s="75" t="s">
        <v>542</v>
      </c>
      <c r="M13" s="76">
        <v>218.28</v>
      </c>
      <c r="N13" s="5"/>
      <c r="O13" s="43"/>
      <c r="P13" s="47"/>
      <c r="Q13" s="48">
        <v>0</v>
      </c>
      <c r="R13" s="48">
        <v>0</v>
      </c>
      <c r="S13" s="77">
        <v>0</v>
      </c>
    </row>
    <row r="14" spans="1:19" s="78" customFormat="1" ht="32.25" customHeight="1">
      <c r="A14" s="39">
        <v>4</v>
      </c>
      <c r="B14" s="79"/>
      <c r="C14" s="80"/>
      <c r="D14" s="81"/>
      <c r="E14" s="6"/>
      <c r="F14" s="43"/>
      <c r="G14" s="48"/>
      <c r="H14" s="73"/>
      <c r="I14" s="73"/>
      <c r="J14" s="73"/>
      <c r="K14" s="82"/>
      <c r="L14" s="45"/>
      <c r="M14" s="46"/>
      <c r="N14" s="5"/>
      <c r="O14" s="43"/>
      <c r="P14" s="47"/>
      <c r="Q14" s="48"/>
      <c r="R14" s="48"/>
      <c r="S14" s="49"/>
    </row>
    <row r="15" spans="1:19" s="78" customFormat="1" ht="32.25" customHeight="1">
      <c r="A15" s="39">
        <v>5</v>
      </c>
      <c r="B15" s="80"/>
      <c r="C15" s="80"/>
      <c r="D15" s="81"/>
      <c r="E15" s="6"/>
      <c r="F15" s="43"/>
      <c r="G15" s="6"/>
      <c r="H15" s="42"/>
      <c r="I15" s="42"/>
      <c r="J15" s="42"/>
      <c r="K15" s="44"/>
      <c r="L15" s="45"/>
      <c r="M15" s="46"/>
      <c r="N15" s="5"/>
      <c r="O15" s="43"/>
      <c r="P15" s="47"/>
      <c r="Q15" s="48"/>
      <c r="R15" s="48"/>
      <c r="S15" s="49"/>
    </row>
    <row r="16" spans="1:19" ht="32.25" customHeight="1" thickBot="1">
      <c r="A16" s="39"/>
      <c r="B16" s="50" t="s">
        <v>19</v>
      </c>
      <c r="C16" s="50"/>
      <c r="D16" s="51">
        <f>SUM(D11:D15)</f>
        <v>2970.32</v>
      </c>
      <c r="E16" s="52"/>
      <c r="F16" s="53"/>
      <c r="G16" s="52"/>
      <c r="H16" s="51">
        <v>0</v>
      </c>
      <c r="I16" s="51">
        <v>0</v>
      </c>
      <c r="J16" s="51">
        <v>0</v>
      </c>
      <c r="K16" s="83"/>
      <c r="L16" s="84"/>
      <c r="M16" s="56">
        <f>SUM(M10:M15)</f>
        <v>2970.32</v>
      </c>
      <c r="N16" s="57"/>
      <c r="O16" s="53"/>
      <c r="P16" s="85"/>
      <c r="Q16" s="86"/>
      <c r="R16" s="86"/>
      <c r="S16" s="87"/>
    </row>
    <row r="17" spans="1:19" ht="32.25" customHeight="1" thickTop="1">
      <c r="A17" s="39"/>
      <c r="B17" s="58" t="s">
        <v>32</v>
      </c>
      <c r="C17" s="59"/>
      <c r="D17" s="60"/>
      <c r="E17" s="61"/>
      <c r="F17" s="62"/>
      <c r="G17" s="63"/>
      <c r="H17" s="64"/>
      <c r="I17" s="64"/>
      <c r="J17" s="64"/>
      <c r="K17" s="65"/>
      <c r="L17" s="66"/>
      <c r="M17" s="67"/>
      <c r="N17" s="68"/>
      <c r="O17" s="62"/>
      <c r="P17" s="69"/>
      <c r="Q17" s="63"/>
      <c r="R17" s="63"/>
      <c r="S17" s="70"/>
    </row>
    <row r="18" spans="1:19" s="78" customFormat="1" ht="32.25" customHeight="1">
      <c r="A18" s="39">
        <v>1</v>
      </c>
      <c r="B18" s="71" t="s">
        <v>23</v>
      </c>
      <c r="C18" s="71" t="s">
        <v>33</v>
      </c>
      <c r="D18" s="88">
        <v>780</v>
      </c>
      <c r="E18" s="6"/>
      <c r="F18" s="43"/>
      <c r="G18" s="89"/>
      <c r="H18" s="42">
        <v>0</v>
      </c>
      <c r="I18" s="42">
        <v>0</v>
      </c>
      <c r="J18" s="42">
        <v>0</v>
      </c>
      <c r="K18" s="74" t="s">
        <v>539</v>
      </c>
      <c r="L18" s="90" t="s">
        <v>543</v>
      </c>
      <c r="M18" s="76">
        <v>780</v>
      </c>
      <c r="N18" s="5"/>
      <c r="O18" s="43"/>
      <c r="P18" s="47"/>
      <c r="Q18" s="91">
        <v>0</v>
      </c>
      <c r="R18" s="92">
        <v>0</v>
      </c>
      <c r="S18" s="93">
        <v>0</v>
      </c>
    </row>
    <row r="19" spans="1:19" s="78" customFormat="1" ht="32.25" customHeight="1">
      <c r="A19" s="39">
        <v>2</v>
      </c>
      <c r="B19" s="71" t="s">
        <v>27</v>
      </c>
      <c r="C19" s="71" t="s">
        <v>33</v>
      </c>
      <c r="D19" s="88">
        <v>210</v>
      </c>
      <c r="E19" s="6"/>
      <c r="F19" s="43"/>
      <c r="G19" s="89"/>
      <c r="H19" s="42"/>
      <c r="I19" s="42"/>
      <c r="J19" s="42">
        <v>0</v>
      </c>
      <c r="K19" s="74" t="s">
        <v>539</v>
      </c>
      <c r="L19" s="94" t="s">
        <v>544</v>
      </c>
      <c r="M19" s="76">
        <v>210</v>
      </c>
      <c r="N19" s="5"/>
      <c r="O19" s="43"/>
      <c r="P19" s="47"/>
      <c r="Q19" s="91">
        <v>0</v>
      </c>
      <c r="R19" s="92">
        <v>0</v>
      </c>
      <c r="S19" s="95">
        <v>0</v>
      </c>
    </row>
    <row r="20" spans="1:19" s="78" customFormat="1" ht="32.25" customHeight="1">
      <c r="A20" s="39">
        <v>3</v>
      </c>
      <c r="B20" s="71" t="s">
        <v>30</v>
      </c>
      <c r="C20" s="71" t="s">
        <v>33</v>
      </c>
      <c r="D20" s="96">
        <v>0</v>
      </c>
      <c r="E20" s="6"/>
      <c r="F20" s="43"/>
      <c r="G20" s="89"/>
      <c r="H20" s="42"/>
      <c r="I20" s="42"/>
      <c r="J20" s="42"/>
      <c r="K20" s="97"/>
      <c r="L20" s="98"/>
      <c r="M20" s="99"/>
      <c r="N20" s="5"/>
      <c r="O20" s="43"/>
      <c r="P20" s="47"/>
      <c r="Q20" s="6"/>
      <c r="R20" s="42"/>
      <c r="S20" s="100"/>
    </row>
    <row r="21" spans="1:19" ht="32.25" customHeight="1" thickBot="1">
      <c r="A21" s="39"/>
      <c r="B21" s="50" t="s">
        <v>19</v>
      </c>
      <c r="C21" s="50"/>
      <c r="D21" s="51">
        <f>SUM(D18:D20)</f>
        <v>990</v>
      </c>
      <c r="E21" s="52"/>
      <c r="F21" s="53"/>
      <c r="G21" s="52"/>
      <c r="H21" s="51">
        <v>0</v>
      </c>
      <c r="I21" s="51">
        <v>0</v>
      </c>
      <c r="J21" s="51">
        <v>0</v>
      </c>
      <c r="K21" s="101"/>
      <c r="L21" s="102"/>
      <c r="M21" s="103">
        <f>SUM(M18:M20)</f>
        <v>990</v>
      </c>
      <c r="N21" s="57"/>
      <c r="O21" s="53"/>
      <c r="P21" s="51"/>
      <c r="Q21" s="51"/>
      <c r="R21" s="51"/>
      <c r="S21" s="51"/>
    </row>
    <row r="22" spans="1:19" ht="32.25" hidden="1" customHeight="1">
      <c r="A22" s="104" t="s">
        <v>36</v>
      </c>
      <c r="B22" s="104" t="s">
        <v>37</v>
      </c>
      <c r="C22" s="105">
        <v>780</v>
      </c>
      <c r="D22" s="60"/>
      <c r="E22" s="61"/>
      <c r="F22" s="62"/>
      <c r="G22" s="63"/>
      <c r="H22" s="64"/>
      <c r="I22" s="64"/>
      <c r="J22" s="64"/>
      <c r="K22" s="65"/>
      <c r="L22" s="66"/>
      <c r="M22" s="67"/>
      <c r="N22" s="68"/>
      <c r="O22" s="62"/>
      <c r="P22" s="69"/>
      <c r="Q22" s="63"/>
      <c r="R22" s="63"/>
      <c r="S22" s="70"/>
    </row>
    <row r="23" spans="1:19" ht="32.25" hidden="1" customHeight="1">
      <c r="A23" s="104" t="s">
        <v>36</v>
      </c>
      <c r="B23" s="104" t="s">
        <v>38</v>
      </c>
      <c r="C23" s="105">
        <v>180</v>
      </c>
      <c r="D23" s="42"/>
      <c r="E23" s="6"/>
      <c r="F23" s="43"/>
      <c r="G23" s="6"/>
      <c r="H23" s="42"/>
      <c r="I23" s="42"/>
      <c r="J23" s="42"/>
      <c r="K23" s="44"/>
      <c r="L23" s="45"/>
      <c r="M23" s="46"/>
      <c r="N23" s="5"/>
      <c r="O23" s="43"/>
      <c r="P23" s="47"/>
      <c r="Q23" s="48"/>
      <c r="R23" s="48"/>
      <c r="S23" s="49"/>
    </row>
    <row r="24" spans="1:19" ht="32.25" hidden="1" customHeight="1">
      <c r="A24" s="39"/>
      <c r="B24" s="50" t="s">
        <v>19</v>
      </c>
      <c r="C24" s="50"/>
      <c r="D24" s="51">
        <v>0</v>
      </c>
      <c r="E24" s="52"/>
      <c r="F24" s="53"/>
      <c r="G24" s="52"/>
      <c r="H24" s="51">
        <v>0</v>
      </c>
      <c r="I24" s="51">
        <v>0</v>
      </c>
      <c r="J24" s="51">
        <v>0</v>
      </c>
      <c r="K24" s="54"/>
      <c r="L24" s="55"/>
      <c r="M24" s="56"/>
      <c r="N24" s="57"/>
      <c r="O24" s="53"/>
      <c r="P24" s="51"/>
      <c r="Q24" s="51"/>
      <c r="R24" s="51"/>
      <c r="S24" s="51"/>
    </row>
    <row r="25" spans="1:19" ht="32.25" hidden="1" customHeight="1">
      <c r="A25" s="39"/>
      <c r="B25" s="58" t="s">
        <v>39</v>
      </c>
      <c r="C25" s="59"/>
      <c r="D25" s="60"/>
      <c r="E25" s="61"/>
      <c r="F25" s="62"/>
      <c r="G25" s="63"/>
      <c r="H25" s="64"/>
      <c r="I25" s="64"/>
      <c r="J25" s="64"/>
      <c r="K25" s="65"/>
      <c r="L25" s="66"/>
      <c r="M25" s="67"/>
      <c r="N25" s="68"/>
      <c r="O25" s="62"/>
      <c r="P25" s="69"/>
      <c r="Q25" s="63"/>
      <c r="R25" s="63"/>
      <c r="S25" s="70"/>
    </row>
    <row r="26" spans="1:19" ht="32.25" hidden="1" customHeight="1">
      <c r="A26" s="39">
        <v>1</v>
      </c>
      <c r="B26" s="40"/>
      <c r="C26" s="41"/>
      <c r="D26" s="42"/>
      <c r="E26" s="6"/>
      <c r="F26" s="43"/>
      <c r="G26" s="6"/>
      <c r="H26" s="42"/>
      <c r="I26" s="42"/>
      <c r="J26" s="42"/>
      <c r="K26" s="44"/>
      <c r="L26" s="45"/>
      <c r="M26" s="46"/>
      <c r="N26" s="5"/>
      <c r="O26" s="43"/>
      <c r="P26" s="47"/>
      <c r="Q26" s="48"/>
      <c r="R26" s="48"/>
      <c r="S26" s="49"/>
    </row>
    <row r="27" spans="1:19" ht="32.25" hidden="1" customHeight="1">
      <c r="A27" s="39"/>
      <c r="B27" s="50" t="s">
        <v>19</v>
      </c>
      <c r="C27" s="50"/>
      <c r="D27" s="51">
        <v>0</v>
      </c>
      <c r="E27" s="52"/>
      <c r="F27" s="53"/>
      <c r="G27" s="52"/>
      <c r="H27" s="51">
        <v>0</v>
      </c>
      <c r="I27" s="51">
        <v>0</v>
      </c>
      <c r="J27" s="51">
        <v>0</v>
      </c>
      <c r="K27" s="54"/>
      <c r="L27" s="55"/>
      <c r="M27" s="56"/>
      <c r="N27" s="57"/>
      <c r="O27" s="53"/>
      <c r="P27" s="51"/>
      <c r="Q27" s="51"/>
      <c r="R27" s="51"/>
      <c r="S27" s="51"/>
    </row>
    <row r="28" spans="1:19" ht="32.25" hidden="1" customHeight="1">
      <c r="A28" s="39"/>
      <c r="B28" s="58" t="s">
        <v>40</v>
      </c>
      <c r="C28" s="59"/>
      <c r="D28" s="60"/>
      <c r="E28" s="61"/>
      <c r="F28" s="62"/>
      <c r="G28" s="63"/>
      <c r="H28" s="64"/>
      <c r="I28" s="64"/>
      <c r="J28" s="64"/>
      <c r="K28" s="65"/>
      <c r="L28" s="66"/>
      <c r="M28" s="67"/>
      <c r="N28" s="68"/>
      <c r="O28" s="62"/>
      <c r="P28" s="69"/>
      <c r="Q28" s="63"/>
      <c r="R28" s="63"/>
      <c r="S28" s="70"/>
    </row>
    <row r="29" spans="1:19" ht="32.25" hidden="1" customHeight="1">
      <c r="A29" s="39">
        <v>1</v>
      </c>
      <c r="B29" s="40"/>
      <c r="C29" s="41"/>
      <c r="D29" s="42"/>
      <c r="E29" s="6"/>
      <c r="F29" s="43"/>
      <c r="G29" s="6"/>
      <c r="H29" s="42"/>
      <c r="I29" s="42"/>
      <c r="J29" s="42"/>
      <c r="K29" s="44"/>
      <c r="L29" s="45"/>
      <c r="M29" s="46"/>
      <c r="N29" s="5"/>
      <c r="O29" s="43"/>
      <c r="P29" s="47"/>
      <c r="Q29" s="48"/>
      <c r="R29" s="48"/>
      <c r="S29" s="49"/>
    </row>
    <row r="30" spans="1:19" ht="32.25" hidden="1" customHeight="1">
      <c r="A30" s="39"/>
      <c r="B30" s="50" t="s">
        <v>19</v>
      </c>
      <c r="C30" s="50"/>
      <c r="D30" s="51">
        <v>0</v>
      </c>
      <c r="E30" s="52"/>
      <c r="F30" s="53"/>
      <c r="G30" s="52"/>
      <c r="H30" s="51">
        <v>0</v>
      </c>
      <c r="I30" s="51">
        <v>0</v>
      </c>
      <c r="J30" s="51">
        <v>0</v>
      </c>
      <c r="K30" s="54"/>
      <c r="L30" s="55"/>
      <c r="M30" s="56"/>
      <c r="N30" s="57"/>
      <c r="O30" s="53"/>
      <c r="P30" s="51"/>
      <c r="Q30" s="51"/>
      <c r="R30" s="51"/>
      <c r="S30" s="51"/>
    </row>
    <row r="31" spans="1:19" ht="32.25" customHeight="1" thickTop="1">
      <c r="A31" s="39"/>
      <c r="B31" s="58" t="s">
        <v>41</v>
      </c>
      <c r="C31" s="59"/>
      <c r="D31" s="60"/>
      <c r="E31" s="61"/>
      <c r="F31" s="62"/>
      <c r="G31" s="63"/>
      <c r="H31" s="64"/>
      <c r="I31" s="64"/>
      <c r="J31" s="64"/>
      <c r="K31" s="65"/>
      <c r="L31" s="66"/>
      <c r="M31" s="67"/>
      <c r="N31" s="68"/>
      <c r="O31" s="62"/>
      <c r="P31" s="69"/>
      <c r="Q31" s="63"/>
      <c r="R31" s="63"/>
      <c r="S31" s="70"/>
    </row>
    <row r="32" spans="1:19" ht="32.25" customHeight="1">
      <c r="A32" s="106">
        <v>1</v>
      </c>
      <c r="B32" s="107" t="s">
        <v>545</v>
      </c>
      <c r="C32" s="107" t="s">
        <v>400</v>
      </c>
      <c r="D32" s="108">
        <v>642</v>
      </c>
      <c r="E32" s="109"/>
      <c r="F32" s="110"/>
      <c r="G32" s="111"/>
      <c r="H32" s="111">
        <v>0</v>
      </c>
      <c r="I32" s="112">
        <v>0</v>
      </c>
      <c r="J32" s="113">
        <v>0</v>
      </c>
      <c r="K32" s="74" t="s">
        <v>549</v>
      </c>
      <c r="L32" s="75" t="s">
        <v>550</v>
      </c>
      <c r="M32" s="76">
        <v>642</v>
      </c>
      <c r="N32" s="114"/>
      <c r="O32" s="115"/>
      <c r="P32" s="92"/>
      <c r="Q32" s="91">
        <v>0</v>
      </c>
      <c r="R32" s="92">
        <v>0</v>
      </c>
      <c r="S32" s="77">
        <v>0</v>
      </c>
    </row>
    <row r="33" spans="1:19" ht="32.25" customHeight="1">
      <c r="A33" s="106">
        <v>2</v>
      </c>
      <c r="B33" s="117" t="s">
        <v>404</v>
      </c>
      <c r="C33" s="107" t="s">
        <v>400</v>
      </c>
      <c r="D33" s="108">
        <v>321</v>
      </c>
      <c r="E33" s="118"/>
      <c r="F33" s="119"/>
      <c r="G33" s="111"/>
      <c r="H33" s="111">
        <v>0</v>
      </c>
      <c r="I33" s="120">
        <v>0</v>
      </c>
      <c r="J33" s="121">
        <v>0</v>
      </c>
      <c r="K33" s="74" t="s">
        <v>551</v>
      </c>
      <c r="L33" s="75" t="s">
        <v>552</v>
      </c>
      <c r="M33" s="76">
        <v>321</v>
      </c>
      <c r="N33" s="114"/>
      <c r="O33" s="122"/>
      <c r="P33" s="92"/>
      <c r="Q33" s="91">
        <v>0</v>
      </c>
      <c r="R33" s="92">
        <v>0</v>
      </c>
      <c r="S33" s="77">
        <v>0</v>
      </c>
    </row>
    <row r="34" spans="1:19" ht="32.25" customHeight="1">
      <c r="A34" s="106">
        <v>3</v>
      </c>
      <c r="B34" s="117" t="s">
        <v>484</v>
      </c>
      <c r="C34" s="107" t="s">
        <v>400</v>
      </c>
      <c r="D34" s="123">
        <v>642</v>
      </c>
      <c r="E34" s="109"/>
      <c r="F34" s="110"/>
      <c r="G34" s="124"/>
      <c r="H34" s="124">
        <v>0</v>
      </c>
      <c r="I34" s="112">
        <v>0</v>
      </c>
      <c r="J34" s="113">
        <v>0</v>
      </c>
      <c r="K34" s="74" t="s">
        <v>551</v>
      </c>
      <c r="L34" s="75" t="s">
        <v>553</v>
      </c>
      <c r="M34" s="76">
        <v>642</v>
      </c>
      <c r="N34" s="114"/>
      <c r="O34" s="115"/>
      <c r="P34" s="125"/>
      <c r="Q34" s="91">
        <v>0</v>
      </c>
      <c r="R34" s="92">
        <v>0</v>
      </c>
      <c r="S34" s="77">
        <v>0</v>
      </c>
    </row>
    <row r="35" spans="1:19" ht="32.25" customHeight="1">
      <c r="A35" s="106">
        <v>4</v>
      </c>
      <c r="B35" s="117" t="s">
        <v>485</v>
      </c>
      <c r="C35" s="107" t="s">
        <v>400</v>
      </c>
      <c r="D35" s="123">
        <v>321</v>
      </c>
      <c r="E35" s="466"/>
      <c r="F35" s="127"/>
      <c r="G35" s="126"/>
      <c r="H35" s="126">
        <v>0</v>
      </c>
      <c r="I35" s="128">
        <v>0</v>
      </c>
      <c r="J35" s="129">
        <v>0</v>
      </c>
      <c r="K35" s="74" t="s">
        <v>554</v>
      </c>
      <c r="L35" s="75" t="s">
        <v>555</v>
      </c>
      <c r="M35" s="76">
        <v>321</v>
      </c>
      <c r="N35" s="30"/>
      <c r="O35" s="31"/>
      <c r="P35" s="29"/>
      <c r="Q35" s="91"/>
      <c r="R35" s="92"/>
      <c r="S35" s="77"/>
    </row>
    <row r="36" spans="1:19" ht="32.25" customHeight="1">
      <c r="A36" s="106">
        <v>5</v>
      </c>
      <c r="B36" s="117" t="s">
        <v>486</v>
      </c>
      <c r="C36" s="107" t="s">
        <v>400</v>
      </c>
      <c r="D36" s="123">
        <v>321</v>
      </c>
      <c r="E36" s="126"/>
      <c r="F36" s="127"/>
      <c r="G36" s="126"/>
      <c r="H36" s="128">
        <v>0</v>
      </c>
      <c r="I36" s="128">
        <v>0</v>
      </c>
      <c r="J36" s="129">
        <v>0</v>
      </c>
      <c r="K36" s="74" t="s">
        <v>554</v>
      </c>
      <c r="L36" s="75" t="s">
        <v>556</v>
      </c>
      <c r="M36" s="76">
        <v>321</v>
      </c>
      <c r="N36" s="30"/>
      <c r="O36" s="31"/>
      <c r="P36" s="31"/>
      <c r="Q36" s="91">
        <v>0</v>
      </c>
      <c r="R36" s="92">
        <v>0</v>
      </c>
      <c r="S36" s="77">
        <v>0</v>
      </c>
    </row>
    <row r="37" spans="1:19" ht="32.25" customHeight="1">
      <c r="A37" s="106">
        <v>6</v>
      </c>
      <c r="B37" s="117" t="s">
        <v>546</v>
      </c>
      <c r="C37" s="107" t="s">
        <v>400</v>
      </c>
      <c r="D37" s="123">
        <v>1284</v>
      </c>
      <c r="E37" s="126"/>
      <c r="F37" s="127"/>
      <c r="G37" s="126"/>
      <c r="H37" s="128">
        <v>0</v>
      </c>
      <c r="I37" s="128">
        <v>0</v>
      </c>
      <c r="J37" s="129">
        <v>0</v>
      </c>
      <c r="K37" s="74" t="s">
        <v>557</v>
      </c>
      <c r="L37" s="75" t="s">
        <v>558</v>
      </c>
      <c r="M37" s="76">
        <v>1284</v>
      </c>
      <c r="N37" s="30"/>
      <c r="O37" s="31"/>
      <c r="P37" s="31"/>
      <c r="Q37" s="91"/>
      <c r="R37" s="92"/>
      <c r="S37" s="77"/>
    </row>
    <row r="38" spans="1:19" ht="32.25" customHeight="1">
      <c r="A38" s="106">
        <v>7</v>
      </c>
      <c r="B38" s="117" t="s">
        <v>405</v>
      </c>
      <c r="C38" s="107" t="s">
        <v>400</v>
      </c>
      <c r="D38" s="123">
        <v>642</v>
      </c>
      <c r="E38" s="126"/>
      <c r="F38" s="127"/>
      <c r="G38" s="126"/>
      <c r="H38" s="128">
        <v>0</v>
      </c>
      <c r="I38" s="128">
        <v>0</v>
      </c>
      <c r="J38" s="129">
        <v>0</v>
      </c>
      <c r="K38" s="74" t="s">
        <v>559</v>
      </c>
      <c r="L38" s="75" t="s">
        <v>560</v>
      </c>
      <c r="M38" s="76">
        <v>642</v>
      </c>
      <c r="N38" s="30"/>
      <c r="O38" s="31"/>
      <c r="P38" s="31"/>
      <c r="Q38" s="91"/>
      <c r="R38" s="92"/>
      <c r="S38" s="77"/>
    </row>
    <row r="39" spans="1:19" ht="32.25" customHeight="1">
      <c r="A39" s="106">
        <v>8</v>
      </c>
      <c r="B39" s="117" t="s">
        <v>547</v>
      </c>
      <c r="C39" s="107" t="s">
        <v>400</v>
      </c>
      <c r="D39" s="123">
        <v>321</v>
      </c>
      <c r="E39" s="126"/>
      <c r="F39" s="127"/>
      <c r="G39" s="126"/>
      <c r="H39" s="128"/>
      <c r="I39" s="128"/>
      <c r="J39" s="129"/>
      <c r="K39" s="74" t="s">
        <v>561</v>
      </c>
      <c r="L39" s="75" t="s">
        <v>562</v>
      </c>
      <c r="M39" s="76">
        <v>321</v>
      </c>
      <c r="N39" s="30"/>
      <c r="O39" s="31"/>
      <c r="P39" s="31"/>
      <c r="Q39" s="91"/>
      <c r="R39" s="92"/>
      <c r="S39" s="77"/>
    </row>
    <row r="40" spans="1:19" ht="32.25" customHeight="1">
      <c r="A40" s="106">
        <v>9</v>
      </c>
      <c r="B40" s="117" t="s">
        <v>548</v>
      </c>
      <c r="C40" s="107" t="s">
        <v>400</v>
      </c>
      <c r="D40" s="123">
        <v>642</v>
      </c>
      <c r="E40" s="126"/>
      <c r="F40" s="127"/>
      <c r="G40" s="126"/>
      <c r="H40" s="128"/>
      <c r="I40" s="128"/>
      <c r="J40" s="129"/>
      <c r="K40" s="74" t="s">
        <v>563</v>
      </c>
      <c r="L40" s="75" t="s">
        <v>564</v>
      </c>
      <c r="M40" s="76">
        <v>642</v>
      </c>
      <c r="N40" s="114"/>
      <c r="O40" s="115"/>
      <c r="P40" s="115"/>
      <c r="Q40" s="91">
        <v>0</v>
      </c>
      <c r="R40" s="92">
        <v>0</v>
      </c>
      <c r="S40" s="77">
        <v>0</v>
      </c>
    </row>
    <row r="41" spans="1:19" ht="32.25" customHeight="1">
      <c r="A41" s="116"/>
      <c r="B41" s="130"/>
      <c r="C41" s="130"/>
      <c r="D41" s="72"/>
      <c r="E41" s="6"/>
      <c r="F41" s="43"/>
      <c r="G41" s="6"/>
      <c r="H41" s="42"/>
      <c r="I41" s="42"/>
      <c r="J41" s="136"/>
      <c r="K41" s="137"/>
      <c r="L41" s="138"/>
      <c r="M41" s="139"/>
      <c r="N41" s="5"/>
      <c r="O41" s="43"/>
      <c r="P41" s="43"/>
      <c r="Q41" s="91">
        <v>0</v>
      </c>
      <c r="R41" s="92">
        <v>0</v>
      </c>
      <c r="S41" s="77">
        <v>0</v>
      </c>
    </row>
    <row r="42" spans="1:19" ht="32.25" customHeight="1" thickBot="1">
      <c r="A42" s="39"/>
      <c r="B42" s="50" t="s">
        <v>19</v>
      </c>
      <c r="C42" s="50"/>
      <c r="D42" s="51">
        <f>SUM(D32:D41)</f>
        <v>5136</v>
      </c>
      <c r="E42" s="52"/>
      <c r="F42" s="53"/>
      <c r="G42" s="52"/>
      <c r="H42" s="51">
        <v>0</v>
      </c>
      <c r="I42" s="51">
        <v>0</v>
      </c>
      <c r="J42" s="51">
        <v>0</v>
      </c>
      <c r="K42" s="55"/>
      <c r="L42" s="55"/>
      <c r="M42" s="140">
        <f>SUM(M32:M41)</f>
        <v>5136</v>
      </c>
      <c r="N42" s="57"/>
      <c r="O42" s="53"/>
      <c r="P42" s="51"/>
      <c r="Q42" s="51"/>
      <c r="R42" s="51"/>
      <c r="S42" s="51"/>
    </row>
    <row r="43" spans="1:19" ht="32.25" customHeight="1" thickTop="1">
      <c r="A43" s="39"/>
      <c r="B43" s="58" t="s">
        <v>47</v>
      </c>
      <c r="C43" s="59"/>
      <c r="D43" s="60"/>
      <c r="E43" s="61"/>
      <c r="F43" s="62"/>
      <c r="G43" s="63"/>
      <c r="H43" s="64"/>
      <c r="I43" s="64"/>
      <c r="J43" s="64"/>
      <c r="K43" s="65"/>
      <c r="L43" s="66"/>
      <c r="M43" s="67"/>
      <c r="N43" s="68"/>
      <c r="O43" s="62"/>
      <c r="P43" s="69"/>
      <c r="Q43" s="63"/>
      <c r="R43" s="63"/>
      <c r="S43" s="70"/>
    </row>
    <row r="44" spans="1:19" ht="32.25" customHeight="1">
      <c r="A44" s="39">
        <v>1</v>
      </c>
      <c r="B44" s="40"/>
      <c r="C44" s="41"/>
      <c r="D44" s="42"/>
      <c r="E44" s="6"/>
      <c r="F44" s="43"/>
      <c r="G44" s="6"/>
      <c r="H44" s="42"/>
      <c r="I44" s="42"/>
      <c r="J44" s="42"/>
      <c r="K44" s="44"/>
      <c r="L44" s="45"/>
      <c r="M44" s="46"/>
      <c r="N44" s="5"/>
      <c r="O44" s="43"/>
      <c r="P44" s="47"/>
      <c r="Q44" s="48"/>
      <c r="R44" s="48"/>
      <c r="S44" s="49"/>
    </row>
    <row r="45" spans="1:19" ht="32.25" customHeight="1" thickBot="1">
      <c r="A45" s="39"/>
      <c r="B45" s="50" t="s">
        <v>19</v>
      </c>
      <c r="C45" s="50"/>
      <c r="D45" s="51">
        <v>0</v>
      </c>
      <c r="E45" s="52"/>
      <c r="F45" s="53"/>
      <c r="G45" s="52"/>
      <c r="H45" s="51">
        <v>0</v>
      </c>
      <c r="I45" s="51">
        <v>0</v>
      </c>
      <c r="J45" s="51">
        <v>0</v>
      </c>
      <c r="K45" s="54"/>
      <c r="L45" s="55"/>
      <c r="M45" s="56"/>
      <c r="N45" s="57"/>
      <c r="O45" s="53"/>
      <c r="P45" s="51"/>
      <c r="Q45" s="51"/>
      <c r="R45" s="51"/>
      <c r="S45" s="51"/>
    </row>
    <row r="46" spans="1:19" ht="32.25" customHeight="1" thickTop="1">
      <c r="A46" s="39"/>
      <c r="B46" s="58" t="s">
        <v>48</v>
      </c>
      <c r="C46" s="59"/>
      <c r="D46" s="60"/>
      <c r="E46" s="61"/>
      <c r="F46" s="62"/>
      <c r="G46" s="63"/>
      <c r="H46" s="64"/>
      <c r="I46" s="64"/>
      <c r="J46" s="64"/>
      <c r="K46" s="65"/>
      <c r="L46" s="66"/>
      <c r="M46" s="67"/>
      <c r="N46" s="68"/>
      <c r="O46" s="62"/>
      <c r="P46" s="69"/>
      <c r="Q46" s="63"/>
      <c r="R46" s="63"/>
      <c r="S46" s="70"/>
    </row>
    <row r="47" spans="1:19" ht="32.25" customHeight="1">
      <c r="A47" s="39">
        <v>1</v>
      </c>
      <c r="B47" s="40"/>
      <c r="C47" s="41"/>
      <c r="D47" s="42"/>
      <c r="E47" s="6"/>
      <c r="F47" s="43"/>
      <c r="G47" s="6"/>
      <c r="H47" s="42"/>
      <c r="I47" s="42"/>
      <c r="J47" s="42"/>
      <c r="K47" s="44"/>
      <c r="L47" s="45"/>
      <c r="M47" s="46"/>
      <c r="N47" s="5"/>
      <c r="O47" s="43"/>
      <c r="P47" s="47"/>
      <c r="Q47" s="48"/>
      <c r="R47" s="48"/>
      <c r="S47" s="49"/>
    </row>
    <row r="48" spans="1:19" ht="32.25" customHeight="1" thickBot="1">
      <c r="A48" s="39"/>
      <c r="B48" s="50" t="s">
        <v>19</v>
      </c>
      <c r="C48" s="50"/>
      <c r="D48" s="51">
        <v>0</v>
      </c>
      <c r="E48" s="52"/>
      <c r="F48" s="53"/>
      <c r="G48" s="52"/>
      <c r="H48" s="51">
        <v>0</v>
      </c>
      <c r="I48" s="51">
        <v>0</v>
      </c>
      <c r="J48" s="51">
        <v>0</v>
      </c>
      <c r="K48" s="54"/>
      <c r="L48" s="55"/>
      <c r="M48" s="56"/>
      <c r="N48" s="57"/>
      <c r="O48" s="53"/>
      <c r="P48" s="51"/>
      <c r="Q48" s="51"/>
      <c r="R48" s="51"/>
      <c r="S48" s="51"/>
    </row>
    <row r="49" spans="1:19" ht="32.25" customHeight="1" thickTop="1">
      <c r="A49" s="39"/>
      <c r="B49" s="58" t="s">
        <v>49</v>
      </c>
      <c r="C49" s="59"/>
      <c r="D49" s="60"/>
      <c r="E49" s="61"/>
      <c r="F49" s="62"/>
      <c r="G49" s="63"/>
      <c r="H49" s="64"/>
      <c r="I49" s="64"/>
      <c r="J49" s="64"/>
      <c r="K49" s="65"/>
      <c r="L49" s="66"/>
      <c r="M49" s="67"/>
      <c r="N49" s="68"/>
      <c r="O49" s="62"/>
      <c r="P49" s="69"/>
      <c r="Q49" s="63"/>
      <c r="R49" s="63"/>
      <c r="S49" s="70"/>
    </row>
    <row r="50" spans="1:19" ht="32.25" customHeight="1">
      <c r="A50" s="39">
        <v>1</v>
      </c>
      <c r="B50" s="40"/>
      <c r="C50" s="41"/>
      <c r="D50" s="42"/>
      <c r="E50" s="6"/>
      <c r="F50" s="43"/>
      <c r="G50" s="6"/>
      <c r="H50" s="42"/>
      <c r="I50" s="42"/>
      <c r="J50" s="42"/>
      <c r="K50" s="44"/>
      <c r="L50" s="45"/>
      <c r="M50" s="46"/>
      <c r="N50" s="5"/>
      <c r="O50" s="43"/>
      <c r="P50" s="47"/>
      <c r="Q50" s="48"/>
      <c r="R50" s="48"/>
      <c r="S50" s="49"/>
    </row>
    <row r="51" spans="1:19" ht="32.25" customHeight="1" thickBot="1">
      <c r="A51" s="39"/>
      <c r="B51" s="50" t="s">
        <v>19</v>
      </c>
      <c r="C51" s="50"/>
      <c r="D51" s="51">
        <v>0</v>
      </c>
      <c r="E51" s="52"/>
      <c r="F51" s="53"/>
      <c r="G51" s="52"/>
      <c r="H51" s="51">
        <v>0</v>
      </c>
      <c r="I51" s="51">
        <v>0</v>
      </c>
      <c r="J51" s="51">
        <v>0</v>
      </c>
      <c r="K51" s="54"/>
      <c r="L51" s="55"/>
      <c r="M51" s="56">
        <v>0</v>
      </c>
      <c r="N51" s="57"/>
      <c r="O51" s="53"/>
      <c r="P51" s="51"/>
      <c r="Q51" s="51"/>
      <c r="R51" s="51"/>
      <c r="S51" s="51"/>
    </row>
    <row r="52" spans="1:19" ht="32.25" customHeight="1" thickTop="1">
      <c r="A52" s="39"/>
      <c r="B52" s="141" t="s">
        <v>50</v>
      </c>
      <c r="C52" s="142"/>
      <c r="D52" s="125"/>
      <c r="E52" s="131"/>
      <c r="F52" s="115"/>
      <c r="G52" s="33"/>
      <c r="H52" s="143"/>
      <c r="I52" s="143"/>
      <c r="J52" s="143"/>
      <c r="K52" s="34"/>
      <c r="L52" s="35"/>
      <c r="M52" s="36"/>
      <c r="N52" s="114"/>
      <c r="O52" s="115"/>
      <c r="P52" s="144"/>
      <c r="Q52" s="33"/>
      <c r="R52" s="33"/>
      <c r="S52" s="145"/>
    </row>
    <row r="53" spans="1:19" ht="32.25" customHeight="1">
      <c r="A53" s="39"/>
      <c r="B53" s="146" t="s">
        <v>51</v>
      </c>
      <c r="C53" s="146"/>
      <c r="D53" s="125"/>
      <c r="E53" s="131"/>
      <c r="F53" s="122"/>
      <c r="G53" s="147"/>
      <c r="H53" s="148"/>
      <c r="I53" s="148"/>
      <c r="J53" s="143"/>
      <c r="K53" s="34"/>
      <c r="L53" s="35"/>
      <c r="M53" s="36"/>
      <c r="N53" s="114"/>
      <c r="O53" s="122"/>
      <c r="P53" s="149"/>
      <c r="Q53" s="147"/>
      <c r="R53" s="147"/>
      <c r="S53" s="145"/>
    </row>
    <row r="54" spans="1:19" s="160" customFormat="1" ht="32.25" customHeight="1">
      <c r="A54" s="106">
        <v>1</v>
      </c>
      <c r="B54" s="142" t="s">
        <v>52</v>
      </c>
      <c r="C54" s="150" t="s">
        <v>53</v>
      </c>
      <c r="D54" s="151">
        <v>4140</v>
      </c>
      <c r="E54" s="157" t="s">
        <v>57</v>
      </c>
      <c r="F54" s="158"/>
      <c r="G54" s="158"/>
      <c r="H54" s="153">
        <v>-2070</v>
      </c>
      <c r="I54" s="153"/>
      <c r="J54" s="159">
        <v>-2070</v>
      </c>
      <c r="K54" s="154" t="s">
        <v>549</v>
      </c>
      <c r="L54" s="155" t="s">
        <v>565</v>
      </c>
      <c r="M54" s="156">
        <v>4140</v>
      </c>
      <c r="N54" s="157" t="s">
        <v>57</v>
      </c>
      <c r="O54" s="158"/>
      <c r="P54" s="158"/>
      <c r="Q54" s="153">
        <v>-2070</v>
      </c>
      <c r="R54" s="153"/>
      <c r="S54" s="159">
        <v>-2070</v>
      </c>
    </row>
    <row r="55" spans="1:19" s="160" customFormat="1" ht="32.25" customHeight="1">
      <c r="A55" s="106">
        <v>2</v>
      </c>
      <c r="B55" s="161" t="s">
        <v>58</v>
      </c>
      <c r="C55" s="162" t="s">
        <v>59</v>
      </c>
      <c r="D55" s="151">
        <v>0</v>
      </c>
      <c r="E55" s="167"/>
      <c r="F55" s="158"/>
      <c r="G55" s="158"/>
      <c r="H55" s="91">
        <v>0</v>
      </c>
      <c r="I55" s="91"/>
      <c r="J55" s="77">
        <v>0</v>
      </c>
      <c r="K55" s="164"/>
      <c r="L55" s="165"/>
      <c r="M55" s="166"/>
      <c r="N55" s="167"/>
      <c r="O55" s="158"/>
      <c r="P55" s="158"/>
      <c r="Q55" s="91">
        <v>0</v>
      </c>
      <c r="R55" s="91"/>
      <c r="S55" s="77">
        <v>0</v>
      </c>
    </row>
    <row r="56" spans="1:19" s="160" customFormat="1" ht="32.25" customHeight="1">
      <c r="A56" s="106">
        <v>3</v>
      </c>
      <c r="B56" s="142" t="s">
        <v>60</v>
      </c>
      <c r="C56" s="150" t="s">
        <v>61</v>
      </c>
      <c r="D56" s="151">
        <v>2070</v>
      </c>
      <c r="E56" s="167"/>
      <c r="F56" s="158"/>
      <c r="G56" s="158"/>
      <c r="H56" s="91">
        <v>0</v>
      </c>
      <c r="I56" s="91"/>
      <c r="J56" s="77">
        <v>0</v>
      </c>
      <c r="K56" s="154" t="s">
        <v>549</v>
      </c>
      <c r="L56" s="155" t="s">
        <v>566</v>
      </c>
      <c r="M56" s="156">
        <v>2070</v>
      </c>
      <c r="N56" s="167"/>
      <c r="O56" s="158"/>
      <c r="P56" s="158"/>
      <c r="Q56" s="91">
        <v>0</v>
      </c>
      <c r="R56" s="91"/>
      <c r="S56" s="77">
        <v>0</v>
      </c>
    </row>
    <row r="57" spans="1:19" s="160" customFormat="1" ht="32.25" customHeight="1">
      <c r="A57" s="106">
        <v>4</v>
      </c>
      <c r="B57" s="142" t="s">
        <v>27</v>
      </c>
      <c r="C57" s="150" t="s">
        <v>64</v>
      </c>
      <c r="D57" s="151">
        <v>2070</v>
      </c>
      <c r="E57" s="167"/>
      <c r="F57" s="158"/>
      <c r="G57" s="158"/>
      <c r="H57" s="91">
        <v>0</v>
      </c>
      <c r="I57" s="91"/>
      <c r="J57" s="77">
        <v>0</v>
      </c>
      <c r="K57" s="154" t="s">
        <v>549</v>
      </c>
      <c r="L57" s="155" t="s">
        <v>567</v>
      </c>
      <c r="M57" s="156">
        <v>2070</v>
      </c>
      <c r="N57" s="167"/>
      <c r="O57" s="158"/>
      <c r="P57" s="158"/>
      <c r="Q57" s="91">
        <v>0</v>
      </c>
      <c r="R57" s="91"/>
      <c r="S57" s="77">
        <v>0</v>
      </c>
    </row>
    <row r="58" spans="1:19" s="160" customFormat="1" ht="32.25" customHeight="1">
      <c r="A58" s="106">
        <v>5</v>
      </c>
      <c r="B58" s="168" t="s">
        <v>42</v>
      </c>
      <c r="C58" s="150" t="s">
        <v>67</v>
      </c>
      <c r="D58" s="125">
        <v>2070</v>
      </c>
      <c r="E58" s="167"/>
      <c r="F58" s="158"/>
      <c r="G58" s="158"/>
      <c r="H58" s="91">
        <v>0</v>
      </c>
      <c r="I58" s="91"/>
      <c r="J58" s="77">
        <v>0</v>
      </c>
      <c r="K58" s="154" t="s">
        <v>549</v>
      </c>
      <c r="L58" s="155" t="s">
        <v>568</v>
      </c>
      <c r="M58" s="156">
        <v>2070</v>
      </c>
      <c r="N58" s="167"/>
      <c r="O58" s="158"/>
      <c r="P58" s="158"/>
      <c r="Q58" s="91">
        <v>0</v>
      </c>
      <c r="R58" s="91"/>
      <c r="S58" s="77">
        <v>0</v>
      </c>
    </row>
    <row r="59" spans="1:19" s="160" customFormat="1" ht="32.25" customHeight="1">
      <c r="A59" s="106">
        <v>6</v>
      </c>
      <c r="B59" s="142" t="s">
        <v>69</v>
      </c>
      <c r="C59" s="150" t="s">
        <v>70</v>
      </c>
      <c r="D59" s="151">
        <v>2070</v>
      </c>
      <c r="E59" s="169"/>
      <c r="F59" s="158"/>
      <c r="G59" s="158"/>
      <c r="H59" s="91">
        <v>0</v>
      </c>
      <c r="I59" s="91"/>
      <c r="J59" s="77">
        <v>0</v>
      </c>
      <c r="K59" s="154" t="s">
        <v>569</v>
      </c>
      <c r="L59" s="155" t="s">
        <v>570</v>
      </c>
      <c r="M59" s="156">
        <v>2070</v>
      </c>
      <c r="N59" s="169"/>
      <c r="O59" s="158"/>
      <c r="P59" s="158"/>
      <c r="Q59" s="91">
        <f>SUM(D59+H59-M59)</f>
        <v>0</v>
      </c>
      <c r="R59" s="91"/>
      <c r="S59" s="77">
        <f>SUM(Q59)</f>
        <v>0</v>
      </c>
    </row>
    <row r="60" spans="1:19" ht="32.25" customHeight="1">
      <c r="A60" s="106">
        <v>7</v>
      </c>
      <c r="B60" s="146" t="s">
        <v>75</v>
      </c>
      <c r="C60" s="170" t="s">
        <v>76</v>
      </c>
      <c r="D60" s="151"/>
      <c r="E60" s="167"/>
      <c r="F60" s="158"/>
      <c r="G60" s="158"/>
      <c r="H60" s="91">
        <v>0</v>
      </c>
      <c r="I60" s="91"/>
      <c r="J60" s="77">
        <v>0</v>
      </c>
      <c r="K60" s="164"/>
      <c r="L60" s="165"/>
      <c r="M60" s="166"/>
      <c r="N60" s="167"/>
      <c r="O60" s="158"/>
      <c r="P60" s="158"/>
      <c r="Q60" s="91">
        <v>0</v>
      </c>
      <c r="R60" s="91"/>
      <c r="S60" s="77">
        <v>0</v>
      </c>
    </row>
    <row r="61" spans="1:19" s="160" customFormat="1" ht="32.25" customHeight="1">
      <c r="A61" s="106">
        <v>8</v>
      </c>
      <c r="B61" s="142" t="s">
        <v>77</v>
      </c>
      <c r="C61" s="150" t="s">
        <v>78</v>
      </c>
      <c r="D61" s="151">
        <v>2070</v>
      </c>
      <c r="E61" s="167"/>
      <c r="F61" s="158"/>
      <c r="G61" s="158"/>
      <c r="H61" s="91">
        <v>0</v>
      </c>
      <c r="I61" s="91"/>
      <c r="J61" s="77">
        <v>0</v>
      </c>
      <c r="K61" s="154" t="s">
        <v>571</v>
      </c>
      <c r="L61" s="171" t="s">
        <v>572</v>
      </c>
      <c r="M61" s="156">
        <v>2070</v>
      </c>
      <c r="N61" s="167"/>
      <c r="O61" s="158"/>
      <c r="P61" s="158"/>
      <c r="Q61" s="91">
        <v>0</v>
      </c>
      <c r="R61" s="91"/>
      <c r="S61" s="77">
        <v>0</v>
      </c>
    </row>
    <row r="62" spans="1:19" s="160" customFormat="1" ht="32.25" customHeight="1">
      <c r="A62" s="106">
        <v>9</v>
      </c>
      <c r="B62" s="142" t="s">
        <v>77</v>
      </c>
      <c r="C62" s="150" t="s">
        <v>81</v>
      </c>
      <c r="D62" s="151">
        <v>2070</v>
      </c>
      <c r="E62" s="167"/>
      <c r="F62" s="158"/>
      <c r="G62" s="158"/>
      <c r="H62" s="91">
        <v>0</v>
      </c>
      <c r="I62" s="91"/>
      <c r="J62" s="77">
        <v>0</v>
      </c>
      <c r="K62" s="154" t="s">
        <v>571</v>
      </c>
      <c r="L62" s="171" t="s">
        <v>572</v>
      </c>
      <c r="M62" s="156">
        <v>2070</v>
      </c>
      <c r="N62" s="167"/>
      <c r="O62" s="158"/>
      <c r="P62" s="158"/>
      <c r="Q62" s="91">
        <v>0</v>
      </c>
      <c r="R62" s="91"/>
      <c r="S62" s="77">
        <v>0</v>
      </c>
    </row>
    <row r="63" spans="1:19" ht="32.25" customHeight="1">
      <c r="A63" s="106">
        <v>10</v>
      </c>
      <c r="B63" s="146" t="s">
        <v>75</v>
      </c>
      <c r="C63" s="170" t="s">
        <v>82</v>
      </c>
      <c r="D63" s="151"/>
      <c r="E63" s="167"/>
      <c r="F63" s="158"/>
      <c r="G63" s="158"/>
      <c r="H63" s="91">
        <v>0</v>
      </c>
      <c r="I63" s="91"/>
      <c r="J63" s="77">
        <v>0</v>
      </c>
      <c r="K63" s="164"/>
      <c r="L63" s="172"/>
      <c r="M63" s="166"/>
      <c r="N63" s="167"/>
      <c r="O63" s="158"/>
      <c r="P63" s="158"/>
      <c r="Q63" s="91">
        <v>0</v>
      </c>
      <c r="R63" s="91"/>
      <c r="S63" s="77">
        <v>0</v>
      </c>
    </row>
    <row r="64" spans="1:19" s="160" customFormat="1" ht="32.25" customHeight="1">
      <c r="A64" s="106">
        <v>11</v>
      </c>
      <c r="B64" s="142" t="s">
        <v>83</v>
      </c>
      <c r="C64" s="150" t="s">
        <v>84</v>
      </c>
      <c r="D64" s="151">
        <v>2070</v>
      </c>
      <c r="E64" s="167"/>
      <c r="F64" s="158"/>
      <c r="G64" s="158"/>
      <c r="H64" s="91">
        <v>0</v>
      </c>
      <c r="I64" s="91"/>
      <c r="J64" s="77">
        <v>0</v>
      </c>
      <c r="K64" s="154" t="s">
        <v>549</v>
      </c>
      <c r="L64" s="155" t="s">
        <v>573</v>
      </c>
      <c r="M64" s="156">
        <v>2070</v>
      </c>
      <c r="N64" s="167"/>
      <c r="O64" s="158"/>
      <c r="P64" s="158"/>
      <c r="Q64" s="91">
        <v>0</v>
      </c>
      <c r="R64" s="91"/>
      <c r="S64" s="77">
        <v>0</v>
      </c>
    </row>
    <row r="65" spans="1:19" s="160" customFormat="1" ht="32.25" customHeight="1">
      <c r="A65" s="106">
        <v>12</v>
      </c>
      <c r="B65" s="142" t="s">
        <v>87</v>
      </c>
      <c r="C65" s="150" t="s">
        <v>88</v>
      </c>
      <c r="D65" s="151">
        <v>2070</v>
      </c>
      <c r="E65" s="167"/>
      <c r="F65" s="158"/>
      <c r="G65" s="158"/>
      <c r="H65" s="91">
        <v>0</v>
      </c>
      <c r="I65" s="91"/>
      <c r="J65" s="77">
        <v>0</v>
      </c>
      <c r="K65" s="154" t="s">
        <v>574</v>
      </c>
      <c r="L65" s="171" t="s">
        <v>575</v>
      </c>
      <c r="M65" s="156">
        <v>2070</v>
      </c>
      <c r="N65" s="167"/>
      <c r="O65" s="158"/>
      <c r="P65" s="158"/>
      <c r="Q65" s="91">
        <v>0</v>
      </c>
      <c r="R65" s="91"/>
      <c r="S65" s="77">
        <v>0</v>
      </c>
    </row>
    <row r="66" spans="1:19" ht="32.25" customHeight="1">
      <c r="A66" s="106">
        <v>13</v>
      </c>
      <c r="B66" s="146" t="s">
        <v>75</v>
      </c>
      <c r="C66" s="173" t="s">
        <v>91</v>
      </c>
      <c r="D66" s="151"/>
      <c r="E66" s="167"/>
      <c r="F66" s="158"/>
      <c r="G66" s="158"/>
      <c r="H66" s="91">
        <v>0</v>
      </c>
      <c r="I66" s="91"/>
      <c r="J66" s="77">
        <v>0</v>
      </c>
      <c r="K66" s="164"/>
      <c r="L66" s="165"/>
      <c r="M66" s="166"/>
      <c r="N66" s="167"/>
      <c r="O66" s="158"/>
      <c r="P66" s="158"/>
      <c r="Q66" s="91">
        <v>0</v>
      </c>
      <c r="R66" s="91"/>
      <c r="S66" s="77">
        <v>0</v>
      </c>
    </row>
    <row r="67" spans="1:19" ht="32.25" customHeight="1">
      <c r="A67" s="106">
        <v>14</v>
      </c>
      <c r="B67" s="142" t="s">
        <v>92</v>
      </c>
      <c r="C67" s="174" t="s">
        <v>93</v>
      </c>
      <c r="D67" s="151"/>
      <c r="E67" s="167"/>
      <c r="F67" s="158"/>
      <c r="G67" s="158"/>
      <c r="H67" s="91">
        <v>0</v>
      </c>
      <c r="I67" s="91"/>
      <c r="J67" s="77">
        <v>0</v>
      </c>
      <c r="K67" s="164"/>
      <c r="L67" s="165"/>
      <c r="M67" s="166"/>
      <c r="N67" s="167"/>
      <c r="O67" s="158"/>
      <c r="P67" s="158"/>
      <c r="Q67" s="91">
        <v>0</v>
      </c>
      <c r="R67" s="91"/>
      <c r="S67" s="77">
        <v>0</v>
      </c>
    </row>
    <row r="68" spans="1:19" ht="32.25" customHeight="1">
      <c r="A68" s="106">
        <v>15</v>
      </c>
      <c r="B68" s="146" t="s">
        <v>75</v>
      </c>
      <c r="C68" s="170" t="s">
        <v>94</v>
      </c>
      <c r="D68" s="151">
        <v>0</v>
      </c>
      <c r="E68" s="167"/>
      <c r="F68" s="158"/>
      <c r="G68" s="158"/>
      <c r="H68" s="91">
        <v>0</v>
      </c>
      <c r="I68" s="91"/>
      <c r="J68" s="77">
        <v>0</v>
      </c>
      <c r="K68" s="164"/>
      <c r="L68" s="165"/>
      <c r="M68" s="166"/>
      <c r="N68" s="167"/>
      <c r="O68" s="158"/>
      <c r="P68" s="158"/>
      <c r="Q68" s="91">
        <v>0</v>
      </c>
      <c r="R68" s="91"/>
      <c r="S68" s="77">
        <v>0</v>
      </c>
    </row>
    <row r="69" spans="1:19" s="160" customFormat="1" ht="32.25" customHeight="1">
      <c r="A69" s="106">
        <v>16</v>
      </c>
      <c r="B69" s="142" t="s">
        <v>95</v>
      </c>
      <c r="C69" s="150" t="s">
        <v>96</v>
      </c>
      <c r="D69" s="151">
        <v>0</v>
      </c>
      <c r="E69" s="167"/>
      <c r="F69" s="158"/>
      <c r="G69" s="158"/>
      <c r="H69" s="91">
        <v>0</v>
      </c>
      <c r="I69" s="91"/>
      <c r="J69" s="77">
        <v>0</v>
      </c>
      <c r="K69" s="164"/>
      <c r="L69" s="175"/>
      <c r="M69" s="166"/>
      <c r="N69" s="167"/>
      <c r="O69" s="158"/>
      <c r="P69" s="158"/>
      <c r="Q69" s="91">
        <v>0</v>
      </c>
      <c r="R69" s="91"/>
      <c r="S69" s="77">
        <v>0</v>
      </c>
    </row>
    <row r="70" spans="1:19" s="160" customFormat="1" ht="32.25" customHeight="1">
      <c r="A70" s="106">
        <v>17</v>
      </c>
      <c r="B70" s="176" t="s">
        <v>97</v>
      </c>
      <c r="C70" s="162" t="s">
        <v>98</v>
      </c>
      <c r="D70" s="151">
        <v>0</v>
      </c>
      <c r="E70" s="167"/>
      <c r="F70" s="158"/>
      <c r="G70" s="158"/>
      <c r="H70" s="91">
        <v>0</v>
      </c>
      <c r="I70" s="91"/>
      <c r="J70" s="77">
        <v>0</v>
      </c>
      <c r="K70" s="164"/>
      <c r="L70" s="165"/>
      <c r="M70" s="177"/>
      <c r="N70" s="167"/>
      <c r="O70" s="158"/>
      <c r="P70" s="158"/>
      <c r="Q70" s="91">
        <v>0</v>
      </c>
      <c r="R70" s="91"/>
      <c r="S70" s="77">
        <v>0</v>
      </c>
    </row>
    <row r="71" spans="1:19" s="160" customFormat="1" ht="32.25" customHeight="1">
      <c r="A71" s="106">
        <v>18</v>
      </c>
      <c r="B71" s="142" t="s">
        <v>99</v>
      </c>
      <c r="C71" s="174" t="s">
        <v>100</v>
      </c>
      <c r="D71" s="151">
        <v>37375</v>
      </c>
      <c r="E71" s="167"/>
      <c r="F71" s="158"/>
      <c r="G71" s="158"/>
      <c r="H71" s="91">
        <v>0</v>
      </c>
      <c r="I71" s="91"/>
      <c r="J71" s="77">
        <v>0</v>
      </c>
      <c r="K71" s="154" t="s">
        <v>549</v>
      </c>
      <c r="L71" s="171" t="s">
        <v>576</v>
      </c>
      <c r="M71" s="178">
        <v>37375</v>
      </c>
      <c r="N71" s="167"/>
      <c r="O71" s="158"/>
      <c r="P71" s="158"/>
      <c r="Q71" s="91">
        <v>0</v>
      </c>
      <c r="R71" s="91"/>
      <c r="S71" s="77">
        <v>0</v>
      </c>
    </row>
    <row r="72" spans="1:19" s="160" customFormat="1" ht="32.25" customHeight="1">
      <c r="A72" s="106"/>
      <c r="B72" s="652" t="s">
        <v>102</v>
      </c>
      <c r="C72" s="653"/>
      <c r="D72" s="654"/>
      <c r="E72" s="167"/>
      <c r="F72" s="158"/>
      <c r="G72" s="158"/>
      <c r="H72" s="91">
        <v>0</v>
      </c>
      <c r="I72" s="91"/>
      <c r="J72" s="77">
        <v>0</v>
      </c>
      <c r="K72" s="164"/>
      <c r="L72" s="182"/>
      <c r="M72" s="183"/>
      <c r="N72" s="167"/>
      <c r="O72" s="158"/>
      <c r="P72" s="158"/>
      <c r="Q72" s="91">
        <v>0</v>
      </c>
      <c r="R72" s="91"/>
      <c r="S72" s="77">
        <v>0</v>
      </c>
    </row>
    <row r="73" spans="1:19" s="160" customFormat="1" ht="32.25" customHeight="1">
      <c r="A73" s="106">
        <v>19</v>
      </c>
      <c r="B73" s="142" t="s">
        <v>103</v>
      </c>
      <c r="C73" s="174" t="s">
        <v>104</v>
      </c>
      <c r="D73" s="151">
        <v>15525</v>
      </c>
      <c r="E73" s="167"/>
      <c r="F73" s="158"/>
      <c r="G73" s="158"/>
      <c r="H73" s="91">
        <v>0</v>
      </c>
      <c r="I73" s="91"/>
      <c r="J73" s="77">
        <v>0</v>
      </c>
      <c r="K73" s="154" t="s">
        <v>539</v>
      </c>
      <c r="L73" s="171" t="s">
        <v>577</v>
      </c>
      <c r="M73" s="178">
        <v>15525</v>
      </c>
      <c r="N73" s="167"/>
      <c r="O73" s="158"/>
      <c r="P73" s="158"/>
      <c r="Q73" s="91">
        <v>0</v>
      </c>
      <c r="R73" s="91"/>
      <c r="S73" s="77">
        <v>0</v>
      </c>
    </row>
    <row r="74" spans="1:19" s="160" customFormat="1" ht="32.25" customHeight="1">
      <c r="A74" s="106"/>
      <c r="B74" s="652" t="s">
        <v>106</v>
      </c>
      <c r="C74" s="653"/>
      <c r="D74" s="654"/>
      <c r="E74" s="167"/>
      <c r="F74" s="158"/>
      <c r="G74" s="158"/>
      <c r="H74" s="91">
        <v>0</v>
      </c>
      <c r="I74" s="91"/>
      <c r="J74" s="77">
        <v>0</v>
      </c>
      <c r="K74" s="164"/>
      <c r="L74" s="182"/>
      <c r="M74" s="183"/>
      <c r="N74" s="167"/>
      <c r="O74" s="158"/>
      <c r="P74" s="158"/>
      <c r="Q74" s="91">
        <v>0</v>
      </c>
      <c r="R74" s="91"/>
      <c r="S74" s="77">
        <v>0</v>
      </c>
    </row>
    <row r="75" spans="1:19" s="160" customFormat="1" ht="32.25" customHeight="1">
      <c r="A75" s="106">
        <v>20</v>
      </c>
      <c r="B75" s="142" t="s">
        <v>107</v>
      </c>
      <c r="C75" s="174" t="s">
        <v>108</v>
      </c>
      <c r="D75" s="151">
        <v>14000</v>
      </c>
      <c r="E75" s="167"/>
      <c r="F75" s="158"/>
      <c r="G75" s="158"/>
      <c r="H75" s="91">
        <v>0</v>
      </c>
      <c r="I75" s="91"/>
      <c r="J75" s="77">
        <v>0</v>
      </c>
      <c r="K75" s="154" t="s">
        <v>578</v>
      </c>
      <c r="L75" s="155" t="s">
        <v>579</v>
      </c>
      <c r="M75" s="178">
        <v>14000</v>
      </c>
      <c r="N75" s="167"/>
      <c r="O75" s="158"/>
      <c r="P75" s="158"/>
      <c r="Q75" s="91">
        <v>0</v>
      </c>
      <c r="R75" s="91"/>
      <c r="S75" s="77">
        <v>0</v>
      </c>
    </row>
    <row r="76" spans="1:19" s="160" customFormat="1" ht="32.25" customHeight="1">
      <c r="A76" s="106"/>
      <c r="B76" s="652" t="s">
        <v>110</v>
      </c>
      <c r="C76" s="653"/>
      <c r="D76" s="654"/>
      <c r="E76" s="167"/>
      <c r="F76" s="158"/>
      <c r="G76" s="158"/>
      <c r="H76" s="91">
        <v>0</v>
      </c>
      <c r="I76" s="91"/>
      <c r="J76" s="77">
        <v>0</v>
      </c>
      <c r="K76" s="164"/>
      <c r="L76" s="182"/>
      <c r="M76" s="183"/>
      <c r="N76" s="167"/>
      <c r="O76" s="158"/>
      <c r="P76" s="158"/>
      <c r="Q76" s="91">
        <v>0</v>
      </c>
      <c r="R76" s="91"/>
      <c r="S76" s="77">
        <v>0</v>
      </c>
    </row>
    <row r="77" spans="1:19" s="160" customFormat="1" ht="32.25" customHeight="1">
      <c r="A77" s="106">
        <v>21</v>
      </c>
      <c r="B77" s="142" t="s">
        <v>111</v>
      </c>
      <c r="C77" s="142" t="s">
        <v>112</v>
      </c>
      <c r="D77" s="151">
        <v>7000</v>
      </c>
      <c r="E77" s="167"/>
      <c r="F77" s="158"/>
      <c r="G77" s="158"/>
      <c r="H77" s="91">
        <v>0</v>
      </c>
      <c r="I77" s="91"/>
      <c r="J77" s="77">
        <v>0</v>
      </c>
      <c r="K77" s="154" t="s">
        <v>549</v>
      </c>
      <c r="L77" s="155" t="s">
        <v>580</v>
      </c>
      <c r="M77" s="178">
        <v>7000</v>
      </c>
      <c r="N77" s="167"/>
      <c r="O77" s="158"/>
      <c r="P77" s="158"/>
      <c r="Q77" s="91">
        <v>0</v>
      </c>
      <c r="R77" s="91"/>
      <c r="S77" s="77">
        <v>0</v>
      </c>
    </row>
    <row r="78" spans="1:19" s="160" customFormat="1" ht="32.25" customHeight="1">
      <c r="A78" s="106"/>
      <c r="B78" s="652" t="s">
        <v>114</v>
      </c>
      <c r="C78" s="653"/>
      <c r="D78" s="654"/>
      <c r="E78" s="167"/>
      <c r="F78" s="158"/>
      <c r="G78" s="158"/>
      <c r="H78" s="91">
        <v>0</v>
      </c>
      <c r="I78" s="91"/>
      <c r="J78" s="77">
        <v>0</v>
      </c>
      <c r="K78" s="164"/>
      <c r="L78" s="165"/>
      <c r="M78" s="177"/>
      <c r="N78" s="167"/>
      <c r="O78" s="158"/>
      <c r="P78" s="158"/>
      <c r="Q78" s="91">
        <v>0</v>
      </c>
      <c r="R78" s="91"/>
      <c r="S78" s="77">
        <v>0</v>
      </c>
    </row>
    <row r="79" spans="1:19" s="160" customFormat="1" ht="32.25" customHeight="1">
      <c r="A79" s="106">
        <v>22</v>
      </c>
      <c r="B79" s="142" t="s">
        <v>30</v>
      </c>
      <c r="C79" s="174" t="s">
        <v>115</v>
      </c>
      <c r="D79" s="151">
        <v>3970</v>
      </c>
      <c r="E79" s="167"/>
      <c r="F79" s="184"/>
      <c r="G79" s="184"/>
      <c r="H79" s="91">
        <v>0</v>
      </c>
      <c r="I79" s="91"/>
      <c r="J79" s="77">
        <v>0</v>
      </c>
      <c r="K79" s="154" t="s">
        <v>539</v>
      </c>
      <c r="L79" s="155" t="s">
        <v>581</v>
      </c>
      <c r="M79" s="178">
        <v>3970</v>
      </c>
      <c r="N79" s="167"/>
      <c r="O79" s="184"/>
      <c r="P79" s="184"/>
      <c r="Q79" s="91">
        <v>0</v>
      </c>
      <c r="R79" s="91"/>
      <c r="S79" s="77">
        <v>0</v>
      </c>
    </row>
    <row r="80" spans="1:19" s="160" customFormat="1" ht="32.25" customHeight="1">
      <c r="A80" s="106"/>
      <c r="B80" s="659" t="s">
        <v>118</v>
      </c>
      <c r="C80" s="660"/>
      <c r="D80" s="661"/>
      <c r="E80" s="167"/>
      <c r="F80" s="184"/>
      <c r="G80" s="184"/>
      <c r="H80" s="91">
        <v>0</v>
      </c>
      <c r="I80" s="91"/>
      <c r="J80" s="77">
        <v>0</v>
      </c>
      <c r="K80" s="164"/>
      <c r="L80" s="182"/>
      <c r="M80" s="183"/>
      <c r="N80" s="167"/>
      <c r="O80" s="184"/>
      <c r="P80" s="184"/>
      <c r="Q80" s="91">
        <v>0</v>
      </c>
      <c r="R80" s="91"/>
      <c r="S80" s="77">
        <v>0</v>
      </c>
    </row>
    <row r="81" spans="1:19" s="160" customFormat="1" ht="32.25" customHeight="1">
      <c r="A81" s="106"/>
      <c r="B81" s="185" t="s">
        <v>119</v>
      </c>
      <c r="C81" s="186"/>
      <c r="D81" s="187"/>
      <c r="E81" s="167"/>
      <c r="F81" s="184"/>
      <c r="G81" s="184"/>
      <c r="H81" s="91">
        <v>0</v>
      </c>
      <c r="I81" s="91"/>
      <c r="J81" s="77">
        <v>0</v>
      </c>
      <c r="K81" s="164"/>
      <c r="L81" s="182"/>
      <c r="M81" s="183"/>
      <c r="N81" s="167"/>
      <c r="O81" s="184"/>
      <c r="P81" s="184"/>
      <c r="Q81" s="91">
        <v>0</v>
      </c>
      <c r="R81" s="91"/>
      <c r="S81" s="77">
        <v>0</v>
      </c>
    </row>
    <row r="82" spans="1:19" s="160" customFormat="1" ht="32.25" customHeight="1">
      <c r="A82" s="106"/>
      <c r="B82" s="185" t="s">
        <v>120</v>
      </c>
      <c r="C82" s="186"/>
      <c r="D82" s="187">
        <v>0</v>
      </c>
      <c r="E82" s="167"/>
      <c r="F82" s="184"/>
      <c r="G82" s="184"/>
      <c r="H82" s="91">
        <v>0</v>
      </c>
      <c r="I82" s="91"/>
      <c r="J82" s="77">
        <v>0</v>
      </c>
      <c r="K82" s="164"/>
      <c r="L82" s="182"/>
      <c r="M82" s="183"/>
      <c r="N82" s="167"/>
      <c r="O82" s="184"/>
      <c r="P82" s="184"/>
      <c r="Q82" s="91">
        <v>0</v>
      </c>
      <c r="R82" s="91"/>
      <c r="S82" s="77">
        <v>0</v>
      </c>
    </row>
    <row r="83" spans="1:19" s="160" customFormat="1" ht="32.25" customHeight="1">
      <c r="A83" s="106"/>
      <c r="B83" s="188" t="s">
        <v>123</v>
      </c>
      <c r="C83" s="186"/>
      <c r="D83" s="187">
        <v>0</v>
      </c>
      <c r="E83" s="167"/>
      <c r="F83" s="184"/>
      <c r="G83" s="184"/>
      <c r="H83" s="91">
        <v>0</v>
      </c>
      <c r="I83" s="91"/>
      <c r="J83" s="77">
        <v>0</v>
      </c>
      <c r="K83" s="164"/>
      <c r="L83" s="182"/>
      <c r="M83" s="183"/>
      <c r="N83" s="167"/>
      <c r="O83" s="184"/>
      <c r="P83" s="184"/>
      <c r="Q83" s="91">
        <v>0</v>
      </c>
      <c r="R83" s="91"/>
      <c r="S83" s="77">
        <v>0</v>
      </c>
    </row>
    <row r="84" spans="1:19" s="160" customFormat="1" ht="32.25" customHeight="1">
      <c r="A84" s="106"/>
      <c r="B84" s="179"/>
      <c r="C84" s="180"/>
      <c r="D84" s="181"/>
      <c r="E84" s="167"/>
      <c r="F84" s="184"/>
      <c r="G84" s="184"/>
      <c r="H84" s="91">
        <v>0</v>
      </c>
      <c r="I84" s="91"/>
      <c r="J84" s="77">
        <v>0</v>
      </c>
      <c r="K84" s="164"/>
      <c r="L84" s="182"/>
      <c r="M84" s="183"/>
      <c r="N84" s="167"/>
      <c r="O84" s="184"/>
      <c r="P84" s="184"/>
      <c r="Q84" s="91">
        <v>0</v>
      </c>
      <c r="R84" s="91"/>
      <c r="S84" s="77">
        <v>0</v>
      </c>
    </row>
    <row r="85" spans="1:19" s="160" customFormat="1" ht="32.25" customHeight="1">
      <c r="A85" s="106">
        <v>23</v>
      </c>
      <c r="B85" s="142" t="s">
        <v>23</v>
      </c>
      <c r="C85" s="174" t="s">
        <v>126</v>
      </c>
      <c r="D85" s="151">
        <v>4600</v>
      </c>
      <c r="E85" s="167"/>
      <c r="F85" s="184"/>
      <c r="G85" s="184"/>
      <c r="H85" s="91">
        <v>0</v>
      </c>
      <c r="I85" s="91"/>
      <c r="J85" s="77">
        <v>0</v>
      </c>
      <c r="K85" s="154" t="s">
        <v>549</v>
      </c>
      <c r="L85" s="155" t="s">
        <v>582</v>
      </c>
      <c r="M85" s="178">
        <v>4600</v>
      </c>
      <c r="N85" s="167"/>
      <c r="O85" s="184"/>
      <c r="P85" s="184"/>
      <c r="Q85" s="91">
        <v>0</v>
      </c>
      <c r="R85" s="91"/>
      <c r="S85" s="77">
        <v>0</v>
      </c>
    </row>
    <row r="86" spans="1:19" ht="32.25" customHeight="1">
      <c r="A86" s="39"/>
      <c r="B86" s="652" t="s">
        <v>128</v>
      </c>
      <c r="C86" s="653"/>
      <c r="D86" s="654"/>
      <c r="E86" s="5"/>
      <c r="F86" s="43"/>
      <c r="G86" s="43"/>
      <c r="H86" s="91">
        <v>0</v>
      </c>
      <c r="I86" s="91"/>
      <c r="J86" s="77">
        <v>0</v>
      </c>
      <c r="K86" s="190"/>
      <c r="L86" s="191"/>
      <c r="N86" s="5"/>
      <c r="O86" s="43"/>
      <c r="P86" s="43"/>
      <c r="Q86" s="91">
        <v>0</v>
      </c>
      <c r="R86" s="91"/>
      <c r="S86" s="77">
        <v>0</v>
      </c>
    </row>
    <row r="87" spans="1:19" ht="32.25" customHeight="1" thickBot="1">
      <c r="A87" s="39"/>
      <c r="B87" s="50" t="s">
        <v>19</v>
      </c>
      <c r="C87" s="50"/>
      <c r="D87" s="51">
        <v>103170</v>
      </c>
      <c r="E87" s="52"/>
      <c r="F87" s="53"/>
      <c r="G87" s="52"/>
      <c r="H87" s="51">
        <f>SUM(J87)</f>
        <v>0</v>
      </c>
      <c r="I87" s="51">
        <v>0</v>
      </c>
      <c r="J87" s="51">
        <f>SUM(J54:J86)-J54-J79</f>
        <v>0</v>
      </c>
      <c r="K87" s="54"/>
      <c r="L87" s="55"/>
      <c r="M87" s="56">
        <f>SUM(M54:M86)</f>
        <v>103170</v>
      </c>
      <c r="N87" s="57"/>
      <c r="O87" s="53"/>
      <c r="P87" s="51"/>
      <c r="Q87" s="51">
        <f>SUM(Q54:Q86)-Q54-Q83</f>
        <v>0</v>
      </c>
      <c r="R87" s="51">
        <f t="shared" ref="R87:S87" si="0">SUM(R54:R86)-R54-R83</f>
        <v>0</v>
      </c>
      <c r="S87" s="51">
        <f t="shared" si="0"/>
        <v>0</v>
      </c>
    </row>
    <row r="88" spans="1:19" ht="32.25" customHeight="1" thickTop="1">
      <c r="A88" s="39"/>
      <c r="B88" s="141" t="s">
        <v>129</v>
      </c>
      <c r="C88" s="142"/>
      <c r="D88" s="125"/>
      <c r="E88" s="131"/>
      <c r="F88" s="115"/>
      <c r="G88" s="33"/>
      <c r="H88" s="143"/>
      <c r="I88" s="143"/>
      <c r="J88" s="143"/>
      <c r="K88" s="34"/>
      <c r="L88" s="35"/>
      <c r="M88" s="36"/>
      <c r="N88" s="114"/>
      <c r="O88" s="115"/>
      <c r="P88" s="144"/>
      <c r="Q88" s="33"/>
      <c r="R88" s="33"/>
      <c r="S88" s="38"/>
    </row>
    <row r="89" spans="1:19" ht="30" customHeight="1">
      <c r="A89" s="106">
        <v>1</v>
      </c>
      <c r="B89" s="142" t="s">
        <v>130</v>
      </c>
      <c r="C89" s="193" t="s">
        <v>131</v>
      </c>
      <c r="D89" s="125">
        <v>201.25</v>
      </c>
      <c r="E89" s="152"/>
      <c r="F89" s="194"/>
      <c r="G89" s="195"/>
      <c r="H89" s="196">
        <v>-1610</v>
      </c>
      <c r="I89" s="197"/>
      <c r="J89" s="198">
        <v>-1610</v>
      </c>
      <c r="K89" s="199"/>
      <c r="L89" s="200"/>
      <c r="M89" s="201"/>
      <c r="N89" s="202"/>
      <c r="O89" s="203"/>
      <c r="P89" s="204"/>
      <c r="Q89" s="205">
        <f>SUM(D89+J89-M89)</f>
        <v>-1408.75</v>
      </c>
      <c r="R89" s="206"/>
      <c r="S89" s="207">
        <f>SUM(Q89)</f>
        <v>-1408.75</v>
      </c>
    </row>
    <row r="90" spans="1:19" ht="30" customHeight="1">
      <c r="A90" s="106"/>
      <c r="B90" s="208" t="s">
        <v>340</v>
      </c>
      <c r="C90" s="193"/>
      <c r="D90" s="125"/>
      <c r="E90" s="163"/>
      <c r="F90" s="115"/>
      <c r="G90" s="91"/>
      <c r="H90" s="91">
        <v>0</v>
      </c>
      <c r="I90" s="125"/>
      <c r="J90" s="132">
        <v>0</v>
      </c>
      <c r="K90" s="209"/>
      <c r="L90" s="210"/>
      <c r="M90" s="36"/>
      <c r="N90" s="114"/>
      <c r="O90" s="115"/>
      <c r="P90" s="92"/>
      <c r="Q90" s="205">
        <f t="shared" ref="Q90:Q111" si="1">SUM(D90+J90-M90)</f>
        <v>0</v>
      </c>
      <c r="R90" s="125"/>
      <c r="S90" s="207">
        <f t="shared" ref="S90:S113" si="2">SUM(Q90)</f>
        <v>0</v>
      </c>
    </row>
    <row r="91" spans="1:19" ht="30" customHeight="1">
      <c r="A91" s="106"/>
      <c r="B91" s="211" t="s">
        <v>133</v>
      </c>
      <c r="C91" s="193"/>
      <c r="D91" s="125"/>
      <c r="E91" s="163"/>
      <c r="F91" s="115"/>
      <c r="G91" s="91"/>
      <c r="H91" s="91">
        <v>0</v>
      </c>
      <c r="I91" s="125"/>
      <c r="J91" s="132">
        <v>0</v>
      </c>
      <c r="K91" s="209"/>
      <c r="L91" s="210"/>
      <c r="M91" s="36"/>
      <c r="N91" s="114"/>
      <c r="O91" s="115"/>
      <c r="P91" s="92"/>
      <c r="Q91" s="205">
        <f t="shared" si="1"/>
        <v>0</v>
      </c>
      <c r="R91" s="125"/>
      <c r="S91" s="207">
        <f t="shared" si="2"/>
        <v>0</v>
      </c>
    </row>
    <row r="92" spans="1:19" ht="30" customHeight="1">
      <c r="A92" s="106"/>
      <c r="B92" s="208" t="s">
        <v>136</v>
      </c>
      <c r="C92" s="193"/>
      <c r="D92" s="125"/>
      <c r="E92" s="163"/>
      <c r="F92" s="115"/>
      <c r="G92" s="91"/>
      <c r="H92" s="91">
        <v>0</v>
      </c>
      <c r="I92" s="125"/>
      <c r="J92" s="132">
        <v>0</v>
      </c>
      <c r="K92" s="209"/>
      <c r="L92" s="210"/>
      <c r="M92" s="36"/>
      <c r="N92" s="114"/>
      <c r="O92" s="115"/>
      <c r="P92" s="92"/>
      <c r="Q92" s="205">
        <f t="shared" si="1"/>
        <v>0</v>
      </c>
      <c r="R92" s="125"/>
      <c r="S92" s="207">
        <f t="shared" si="2"/>
        <v>0</v>
      </c>
    </row>
    <row r="93" spans="1:19" ht="30" customHeight="1">
      <c r="A93" s="106"/>
      <c r="B93" s="208" t="s">
        <v>138</v>
      </c>
      <c r="C93" s="193"/>
      <c r="D93" s="125"/>
      <c r="E93" s="163"/>
      <c r="F93" s="115"/>
      <c r="G93" s="91"/>
      <c r="H93" s="91">
        <v>0</v>
      </c>
      <c r="I93" s="125"/>
      <c r="J93" s="132">
        <v>0</v>
      </c>
      <c r="K93" s="209"/>
      <c r="L93" s="210"/>
      <c r="M93" s="36"/>
      <c r="N93" s="114"/>
      <c r="O93" s="115"/>
      <c r="P93" s="92"/>
      <c r="Q93" s="205">
        <f t="shared" si="1"/>
        <v>0</v>
      </c>
      <c r="R93" s="125"/>
      <c r="S93" s="207">
        <f t="shared" si="2"/>
        <v>0</v>
      </c>
    </row>
    <row r="94" spans="1:19" ht="30" customHeight="1">
      <c r="A94" s="106"/>
      <c r="B94" s="208" t="s">
        <v>140</v>
      </c>
      <c r="C94" s="193"/>
      <c r="D94" s="125"/>
      <c r="E94" s="163"/>
      <c r="F94" s="115"/>
      <c r="G94" s="91"/>
      <c r="H94" s="91">
        <v>0</v>
      </c>
      <c r="I94" s="125"/>
      <c r="J94" s="132">
        <v>0</v>
      </c>
      <c r="K94" s="209"/>
      <c r="L94" s="210"/>
      <c r="M94" s="36"/>
      <c r="N94" s="114"/>
      <c r="O94" s="115"/>
      <c r="P94" s="92"/>
      <c r="Q94" s="205">
        <f t="shared" si="1"/>
        <v>0</v>
      </c>
      <c r="R94" s="125"/>
      <c r="S94" s="207">
        <f t="shared" si="2"/>
        <v>0</v>
      </c>
    </row>
    <row r="95" spans="1:19" ht="32.25" customHeight="1">
      <c r="A95" s="106">
        <v>2</v>
      </c>
      <c r="B95" s="142" t="s">
        <v>141</v>
      </c>
      <c r="C95" s="193" t="s">
        <v>142</v>
      </c>
      <c r="D95" s="125">
        <v>937.09</v>
      </c>
      <c r="E95" s="152" t="s">
        <v>57</v>
      </c>
      <c r="F95" s="212"/>
      <c r="G95" s="213"/>
      <c r="H95" s="153">
        <v>-9370.82</v>
      </c>
      <c r="I95" s="125"/>
      <c r="J95" s="132">
        <v>-9370.82</v>
      </c>
      <c r="K95" s="209"/>
      <c r="L95" s="210"/>
      <c r="M95" s="36"/>
      <c r="N95" s="214"/>
      <c r="O95" s="212"/>
      <c r="P95" s="215"/>
      <c r="Q95" s="205">
        <f t="shared" si="1"/>
        <v>-8433.73</v>
      </c>
      <c r="R95" s="216"/>
      <c r="S95" s="207">
        <f t="shared" si="2"/>
        <v>-8433.73</v>
      </c>
    </row>
    <row r="96" spans="1:19" ht="32.25" customHeight="1">
      <c r="A96" s="106"/>
      <c r="B96" s="142" t="s">
        <v>143</v>
      </c>
      <c r="C96" s="193"/>
      <c r="D96" s="125"/>
      <c r="E96" s="163"/>
      <c r="F96" s="115"/>
      <c r="G96" s="91"/>
      <c r="H96" s="91">
        <v>0</v>
      </c>
      <c r="I96" s="125"/>
      <c r="J96" s="132">
        <v>0</v>
      </c>
      <c r="K96" s="209"/>
      <c r="L96" s="210"/>
      <c r="M96" s="36"/>
      <c r="N96" s="114"/>
      <c r="O96" s="115"/>
      <c r="P96" s="92"/>
      <c r="Q96" s="205">
        <f t="shared" si="1"/>
        <v>0</v>
      </c>
      <c r="R96" s="125"/>
      <c r="S96" s="207">
        <f t="shared" si="2"/>
        <v>0</v>
      </c>
    </row>
    <row r="97" spans="1:21" ht="32.25" customHeight="1">
      <c r="A97" s="106"/>
      <c r="B97" s="146" t="s">
        <v>144</v>
      </c>
      <c r="C97" s="193"/>
      <c r="D97" s="125"/>
      <c r="E97" s="163"/>
      <c r="F97" s="115"/>
      <c r="G97" s="91"/>
      <c r="H97" s="91">
        <v>0</v>
      </c>
      <c r="I97" s="125"/>
      <c r="J97" s="132">
        <v>0</v>
      </c>
      <c r="K97" s="209"/>
      <c r="L97" s="210"/>
      <c r="M97" s="36"/>
      <c r="N97" s="114"/>
      <c r="O97" s="115"/>
      <c r="P97" s="92"/>
      <c r="Q97" s="205">
        <f t="shared" si="1"/>
        <v>0</v>
      </c>
      <c r="R97" s="125"/>
      <c r="S97" s="207">
        <f t="shared" si="2"/>
        <v>0</v>
      </c>
    </row>
    <row r="98" spans="1:21" ht="32.25" customHeight="1">
      <c r="A98" s="106">
        <v>3</v>
      </c>
      <c r="B98" s="142" t="s">
        <v>145</v>
      </c>
      <c r="C98" s="193" t="s">
        <v>146</v>
      </c>
      <c r="D98" s="125">
        <v>233.33</v>
      </c>
      <c r="E98" s="163" t="s">
        <v>392</v>
      </c>
      <c r="F98" s="115"/>
      <c r="G98" s="217"/>
      <c r="H98" s="91">
        <v>-233.36999999999992</v>
      </c>
      <c r="I98" s="125"/>
      <c r="J98" s="132">
        <v>-233.36999999999992</v>
      </c>
      <c r="K98" s="218"/>
      <c r="L98" s="219"/>
      <c r="M98" s="125"/>
      <c r="N98" s="220"/>
      <c r="O98" s="115"/>
      <c r="P98" s="221"/>
      <c r="Q98" s="205">
        <f t="shared" si="1"/>
        <v>-3.9999999999906777E-2</v>
      </c>
      <c r="R98" s="216"/>
      <c r="S98" s="207">
        <f t="shared" si="2"/>
        <v>-3.9999999999906777E-2</v>
      </c>
    </row>
    <row r="99" spans="1:21" ht="32.25" customHeight="1">
      <c r="A99" s="106"/>
      <c r="B99" s="142" t="s">
        <v>147</v>
      </c>
      <c r="C99" s="222"/>
      <c r="D99" s="125"/>
      <c r="E99" s="163"/>
      <c r="F99" s="115"/>
      <c r="G99" s="91"/>
      <c r="H99" s="91">
        <v>0</v>
      </c>
      <c r="I99" s="125"/>
      <c r="J99" s="132">
        <v>0</v>
      </c>
      <c r="K99" s="672"/>
      <c r="L99" s="673"/>
      <c r="M99" s="674"/>
      <c r="N99" s="220"/>
      <c r="O99" s="115"/>
      <c r="P99" s="92"/>
      <c r="Q99" s="205">
        <f t="shared" si="1"/>
        <v>0</v>
      </c>
      <c r="R99" s="125"/>
      <c r="S99" s="207">
        <f t="shared" si="2"/>
        <v>0</v>
      </c>
    </row>
    <row r="100" spans="1:21" ht="32.25" customHeight="1">
      <c r="A100" s="106"/>
      <c r="B100" s="223" t="s">
        <v>148</v>
      </c>
      <c r="C100" s="224"/>
      <c r="D100" s="125"/>
      <c r="E100" s="163"/>
      <c r="F100" s="115"/>
      <c r="G100" s="91"/>
      <c r="H100" s="91">
        <v>0</v>
      </c>
      <c r="I100" s="125"/>
      <c r="J100" s="132">
        <v>0</v>
      </c>
      <c r="K100" s="225"/>
      <c r="L100" s="219"/>
      <c r="M100" s="125"/>
      <c r="N100" s="220"/>
      <c r="O100" s="115"/>
      <c r="P100" s="92"/>
      <c r="Q100" s="205">
        <f t="shared" si="1"/>
        <v>0</v>
      </c>
      <c r="R100" s="125"/>
      <c r="S100" s="207">
        <f t="shared" si="2"/>
        <v>0</v>
      </c>
    </row>
    <row r="101" spans="1:21" s="230" customFormat="1" ht="32.25" customHeight="1">
      <c r="A101" s="106">
        <v>4</v>
      </c>
      <c r="B101" s="222" t="s">
        <v>149</v>
      </c>
      <c r="C101" s="222" t="s">
        <v>150</v>
      </c>
      <c r="D101" s="125">
        <v>1212.29</v>
      </c>
      <c r="E101" s="163" t="s">
        <v>392</v>
      </c>
      <c r="F101" s="115"/>
      <c r="G101" s="91"/>
      <c r="H101" s="153">
        <v>-6061.4699999999957</v>
      </c>
      <c r="I101" s="216"/>
      <c r="J101" s="226">
        <v>-6061.4699999999957</v>
      </c>
      <c r="K101" s="114"/>
      <c r="L101" s="114"/>
      <c r="M101" s="125"/>
      <c r="N101" s="227"/>
      <c r="O101" s="228"/>
      <c r="P101" s="92"/>
      <c r="Q101" s="205">
        <f t="shared" si="1"/>
        <v>-4849.1799999999957</v>
      </c>
      <c r="R101" s="229"/>
      <c r="S101" s="207">
        <f t="shared" si="2"/>
        <v>-4849.1799999999957</v>
      </c>
    </row>
    <row r="102" spans="1:21" s="235" customFormat="1" ht="32.25" customHeight="1">
      <c r="A102" s="106"/>
      <c r="B102" s="231" t="s">
        <v>151</v>
      </c>
      <c r="C102" s="232"/>
      <c r="D102" s="233"/>
      <c r="E102" s="163"/>
      <c r="F102" s="115"/>
      <c r="G102" s="91"/>
      <c r="H102" s="91">
        <v>0</v>
      </c>
      <c r="I102" s="125"/>
      <c r="J102" s="132">
        <v>0</v>
      </c>
      <c r="K102" s="225"/>
      <c r="L102" s="219"/>
      <c r="M102" s="125"/>
      <c r="N102" s="234"/>
      <c r="O102" s="228"/>
      <c r="P102" s="92"/>
      <c r="Q102" s="205">
        <f t="shared" si="1"/>
        <v>0</v>
      </c>
      <c r="R102" s="125"/>
      <c r="S102" s="207">
        <f t="shared" si="2"/>
        <v>0</v>
      </c>
      <c r="T102" s="230"/>
    </row>
    <row r="103" spans="1:21" s="237" customFormat="1" ht="32.25" customHeight="1">
      <c r="A103" s="106">
        <v>5</v>
      </c>
      <c r="B103" s="222" t="s">
        <v>152</v>
      </c>
      <c r="C103" s="193" t="s">
        <v>153</v>
      </c>
      <c r="D103" s="125">
        <v>670.84</v>
      </c>
      <c r="E103" s="163" t="s">
        <v>392</v>
      </c>
      <c r="F103" s="115"/>
      <c r="G103" s="91"/>
      <c r="H103" s="91">
        <v>-3354.119999999999</v>
      </c>
      <c r="I103" s="125"/>
      <c r="J103" s="132">
        <v>-3354.119999999999</v>
      </c>
      <c r="K103" s="225"/>
      <c r="L103" s="219"/>
      <c r="M103" s="125"/>
      <c r="N103" s="227"/>
      <c r="O103" s="228"/>
      <c r="P103" s="92"/>
      <c r="Q103" s="205">
        <f t="shared" si="1"/>
        <v>-2683.2799999999988</v>
      </c>
      <c r="R103" s="229"/>
      <c r="S103" s="207">
        <f t="shared" si="2"/>
        <v>-2683.2799999999988</v>
      </c>
      <c r="T103" s="2"/>
      <c r="U103" s="2"/>
    </row>
    <row r="104" spans="1:21" s="237" customFormat="1" ht="32.25" customHeight="1">
      <c r="A104" s="106"/>
      <c r="B104" s="238" t="s">
        <v>154</v>
      </c>
      <c r="C104" s="193"/>
      <c r="D104" s="92"/>
      <c r="E104" s="239"/>
      <c r="F104" s="122"/>
      <c r="G104" s="91"/>
      <c r="H104" s="91">
        <v>0</v>
      </c>
      <c r="I104" s="92"/>
      <c r="J104" s="132">
        <v>0</v>
      </c>
      <c r="K104" s="225"/>
      <c r="L104" s="219"/>
      <c r="M104" s="125"/>
      <c r="N104" s="240"/>
      <c r="O104" s="122"/>
      <c r="P104" s="92"/>
      <c r="Q104" s="205">
        <f t="shared" si="1"/>
        <v>0</v>
      </c>
      <c r="R104" s="125"/>
      <c r="S104" s="207">
        <f t="shared" si="2"/>
        <v>0</v>
      </c>
      <c r="T104" s="2"/>
      <c r="U104" s="2"/>
    </row>
    <row r="105" spans="1:21" s="259" customFormat="1" ht="32.25" customHeight="1">
      <c r="A105" s="241">
        <v>6</v>
      </c>
      <c r="B105" s="242" t="s">
        <v>52</v>
      </c>
      <c r="C105" s="243" t="s">
        <v>155</v>
      </c>
      <c r="D105" s="244">
        <v>108.34</v>
      </c>
      <c r="E105" s="245" t="s">
        <v>57</v>
      </c>
      <c r="F105" s="246"/>
      <c r="G105" s="247"/>
      <c r="H105" s="248">
        <v>-1083.3199999999997</v>
      </c>
      <c r="I105" s="249"/>
      <c r="J105" s="250">
        <v>-1083.3199999999997</v>
      </c>
      <c r="K105" s="251"/>
      <c r="L105" s="252"/>
      <c r="M105" s="253"/>
      <c r="N105" s="254"/>
      <c r="O105" s="255"/>
      <c r="P105" s="256"/>
      <c r="Q105" s="205">
        <f t="shared" si="1"/>
        <v>-974.97999999999968</v>
      </c>
      <c r="R105" s="216"/>
      <c r="S105" s="207">
        <f t="shared" si="2"/>
        <v>-974.97999999999968</v>
      </c>
    </row>
    <row r="106" spans="1:21" s="259" customFormat="1" ht="32.25" customHeight="1">
      <c r="A106" s="260"/>
      <c r="B106" s="242" t="s">
        <v>156</v>
      </c>
      <c r="C106" s="242"/>
      <c r="D106" s="244"/>
      <c r="E106" s="245"/>
      <c r="F106" s="246"/>
      <c r="G106" s="248"/>
      <c r="H106" s="248">
        <v>0</v>
      </c>
      <c r="I106" s="249"/>
      <c r="J106" s="250">
        <v>0</v>
      </c>
      <c r="K106" s="251"/>
      <c r="L106" s="252"/>
      <c r="M106" s="253"/>
      <c r="N106" s="261"/>
      <c r="O106" s="246"/>
      <c r="P106" s="249"/>
      <c r="Q106" s="205">
        <f t="shared" si="1"/>
        <v>0</v>
      </c>
      <c r="R106" s="216"/>
      <c r="S106" s="207">
        <f t="shared" si="2"/>
        <v>0</v>
      </c>
    </row>
    <row r="107" spans="1:21" s="259" customFormat="1" ht="32.25" customHeight="1">
      <c r="A107" s="260"/>
      <c r="B107" s="675" t="s">
        <v>157</v>
      </c>
      <c r="C107" s="676"/>
      <c r="D107" s="244"/>
      <c r="E107" s="245"/>
      <c r="F107" s="246"/>
      <c r="G107" s="248"/>
      <c r="H107" s="248">
        <v>0</v>
      </c>
      <c r="I107" s="249"/>
      <c r="J107" s="250">
        <v>0</v>
      </c>
      <c r="K107" s="251"/>
      <c r="L107" s="252"/>
      <c r="M107" s="253"/>
      <c r="N107" s="261"/>
      <c r="O107" s="246"/>
      <c r="P107" s="249"/>
      <c r="Q107" s="205">
        <f t="shared" si="1"/>
        <v>0</v>
      </c>
      <c r="R107" s="216"/>
      <c r="S107" s="207">
        <f t="shared" si="2"/>
        <v>0</v>
      </c>
    </row>
    <row r="108" spans="1:21" ht="41.25" customHeight="1">
      <c r="A108" s="106">
        <v>7</v>
      </c>
      <c r="B108" s="142" t="s">
        <v>158</v>
      </c>
      <c r="C108" s="142" t="s">
        <v>159</v>
      </c>
      <c r="D108" s="125">
        <v>191.67</v>
      </c>
      <c r="E108" s="152" t="s">
        <v>392</v>
      </c>
      <c r="F108" s="212"/>
      <c r="G108" s="262"/>
      <c r="H108" s="262">
        <v>-1149.9799999999998</v>
      </c>
      <c r="I108" s="216"/>
      <c r="J108" s="226">
        <v>-1149.9799999999998</v>
      </c>
      <c r="K108" s="225"/>
      <c r="L108" s="219"/>
      <c r="M108" s="263"/>
      <c r="N108" s="214"/>
      <c r="O108" s="212"/>
      <c r="P108" s="216"/>
      <c r="Q108" s="205">
        <f t="shared" si="1"/>
        <v>-958.30999999999983</v>
      </c>
      <c r="R108" s="216"/>
      <c r="S108" s="207">
        <f t="shared" si="2"/>
        <v>-958.30999999999983</v>
      </c>
    </row>
    <row r="109" spans="1:21" ht="39.75" customHeight="1">
      <c r="A109" s="264"/>
      <c r="B109" s="41" t="s">
        <v>160</v>
      </c>
      <c r="C109" s="41"/>
      <c r="D109" s="42"/>
      <c r="E109" s="189"/>
      <c r="F109" s="43"/>
      <c r="G109" s="6"/>
      <c r="H109" s="6">
        <v>0</v>
      </c>
      <c r="I109" s="42"/>
      <c r="J109" s="136">
        <v>0</v>
      </c>
      <c r="K109" s="265"/>
      <c r="L109" s="266"/>
      <c r="M109" s="92"/>
      <c r="N109" s="5"/>
      <c r="O109" s="43"/>
      <c r="P109" s="42"/>
      <c r="Q109" s="205">
        <f t="shared" si="1"/>
        <v>0</v>
      </c>
      <c r="R109" s="42"/>
      <c r="S109" s="207">
        <f t="shared" si="2"/>
        <v>0</v>
      </c>
    </row>
    <row r="110" spans="1:21" ht="41.25" customHeight="1">
      <c r="A110" s="264"/>
      <c r="B110" s="41" t="s">
        <v>161</v>
      </c>
      <c r="C110" s="41"/>
      <c r="D110" s="42"/>
      <c r="E110" s="189"/>
      <c r="F110" s="43"/>
      <c r="G110" s="6"/>
      <c r="H110" s="6">
        <v>0</v>
      </c>
      <c r="I110" s="42"/>
      <c r="J110" s="136">
        <v>0</v>
      </c>
      <c r="K110" s="267"/>
      <c r="L110" s="268"/>
      <c r="M110" s="42"/>
      <c r="N110" s="5"/>
      <c r="O110" s="43"/>
      <c r="P110" s="42"/>
      <c r="Q110" s="205">
        <f t="shared" si="1"/>
        <v>0</v>
      </c>
      <c r="R110" s="42"/>
      <c r="S110" s="207">
        <f t="shared" si="2"/>
        <v>0</v>
      </c>
    </row>
    <row r="111" spans="1:21" ht="41.25" customHeight="1">
      <c r="A111" s="264"/>
      <c r="B111" s="41" t="s">
        <v>162</v>
      </c>
      <c r="C111" s="41"/>
      <c r="D111" s="42"/>
      <c r="E111" s="189"/>
      <c r="F111" s="43"/>
      <c r="G111" s="6"/>
      <c r="H111" s="6">
        <v>0</v>
      </c>
      <c r="I111" s="42"/>
      <c r="J111" s="136">
        <v>0</v>
      </c>
      <c r="K111" s="267"/>
      <c r="L111" s="268"/>
      <c r="M111" s="42"/>
      <c r="N111" s="5"/>
      <c r="O111" s="43"/>
      <c r="P111" s="42"/>
      <c r="Q111" s="205">
        <f t="shared" si="1"/>
        <v>0</v>
      </c>
      <c r="R111" s="42"/>
      <c r="S111" s="207">
        <f t="shared" si="2"/>
        <v>0</v>
      </c>
    </row>
    <row r="112" spans="1:21" ht="41.25" customHeight="1">
      <c r="A112" s="264"/>
      <c r="B112" s="41" t="s">
        <v>163</v>
      </c>
      <c r="C112" s="41"/>
      <c r="D112" s="42"/>
      <c r="E112" s="269"/>
      <c r="F112" s="270"/>
      <c r="G112" s="271"/>
      <c r="H112" s="271">
        <v>0</v>
      </c>
      <c r="I112" s="272"/>
      <c r="J112" s="273">
        <v>0</v>
      </c>
      <c r="K112" s="265"/>
      <c r="L112" s="266"/>
      <c r="M112" s="92"/>
      <c r="N112" s="274"/>
      <c r="O112" s="270"/>
      <c r="P112" s="272"/>
      <c r="Q112" s="153">
        <v>0</v>
      </c>
      <c r="R112" s="272"/>
      <c r="S112" s="207">
        <f t="shared" si="2"/>
        <v>0</v>
      </c>
    </row>
    <row r="113" spans="1:19" ht="41.25" customHeight="1">
      <c r="A113" s="264"/>
      <c r="B113" s="275" t="s">
        <v>164</v>
      </c>
      <c r="C113" s="41"/>
      <c r="D113" s="42"/>
      <c r="E113" s="269"/>
      <c r="F113" s="270"/>
      <c r="G113" s="271"/>
      <c r="H113" s="271">
        <v>0</v>
      </c>
      <c r="I113" s="272"/>
      <c r="J113" s="273">
        <v>0</v>
      </c>
      <c r="K113" s="267"/>
      <c r="L113" s="268"/>
      <c r="M113" s="42"/>
      <c r="N113" s="274"/>
      <c r="O113" s="270"/>
      <c r="P113" s="272"/>
      <c r="Q113" s="153">
        <v>0</v>
      </c>
      <c r="R113" s="272"/>
      <c r="S113" s="207">
        <f t="shared" si="2"/>
        <v>0</v>
      </c>
    </row>
    <row r="114" spans="1:19" ht="41.25" customHeight="1">
      <c r="A114" s="264"/>
      <c r="B114" s="275" t="s">
        <v>165</v>
      </c>
      <c r="C114" s="41"/>
      <c r="D114" s="42">
        <v>0</v>
      </c>
      <c r="E114" s="269"/>
      <c r="F114" s="270"/>
      <c r="G114" s="271"/>
      <c r="H114" s="271">
        <v>0</v>
      </c>
      <c r="I114" s="272"/>
      <c r="J114" s="273">
        <v>0</v>
      </c>
      <c r="K114" s="267"/>
      <c r="L114" s="268"/>
      <c r="M114" s="42"/>
      <c r="N114" s="274"/>
      <c r="O114" s="270"/>
      <c r="P114" s="272"/>
      <c r="Q114" s="153">
        <v>0</v>
      </c>
      <c r="R114" s="272"/>
      <c r="S114" s="159">
        <v>0</v>
      </c>
    </row>
    <row r="115" spans="1:19" ht="41.25" customHeight="1">
      <c r="A115" s="264"/>
      <c r="B115" s="275" t="s">
        <v>166</v>
      </c>
      <c r="C115" s="41"/>
      <c r="D115" s="42">
        <v>0</v>
      </c>
      <c r="E115" s="269"/>
      <c r="F115" s="270"/>
      <c r="G115" s="271"/>
      <c r="H115" s="271">
        <v>0</v>
      </c>
      <c r="I115" s="272"/>
      <c r="J115" s="273">
        <v>0</v>
      </c>
      <c r="K115" s="267"/>
      <c r="L115" s="268"/>
      <c r="M115" s="42"/>
      <c r="N115" s="274"/>
      <c r="O115" s="270"/>
      <c r="P115" s="272"/>
      <c r="Q115" s="153">
        <v>0</v>
      </c>
      <c r="R115" s="272"/>
      <c r="S115" s="159">
        <v>0</v>
      </c>
    </row>
    <row r="116" spans="1:19" ht="32.25" customHeight="1" thickBot="1">
      <c r="A116" s="39"/>
      <c r="B116" s="50" t="s">
        <v>19</v>
      </c>
      <c r="C116" s="50"/>
      <c r="D116" s="51">
        <f>SUM(D89:D115)</f>
        <v>3554.8100000000004</v>
      </c>
      <c r="E116" s="52"/>
      <c r="F116" s="53"/>
      <c r="G116" s="52"/>
      <c r="H116" s="51">
        <f>SUM(H89:H115)-H89-H98-H101-H103-H108-H95-H105</f>
        <v>-1.8189894035458565E-12</v>
      </c>
      <c r="I116" s="51">
        <f t="shared" ref="I116:J116" si="3">SUM(I89:I115)-I89-I98-I101-I103-I108-I95-I105</f>
        <v>0</v>
      </c>
      <c r="J116" s="51">
        <f t="shared" si="3"/>
        <v>-1.8189894035458565E-12</v>
      </c>
      <c r="K116" s="51">
        <v>0</v>
      </c>
      <c r="L116" s="51">
        <v>0</v>
      </c>
      <c r="M116" s="51">
        <f>SUM(K89:M115)</f>
        <v>0</v>
      </c>
      <c r="N116" s="51"/>
      <c r="O116" s="51">
        <v>0</v>
      </c>
      <c r="P116" s="51">
        <v>0</v>
      </c>
      <c r="Q116" s="51">
        <f>SUM(Q89:Q115)-Q89-Q98-Q101-Q103-Q108-Q95-Q105</f>
        <v>1.9326762412674725E-12</v>
      </c>
      <c r="R116" s="51">
        <v>0</v>
      </c>
      <c r="S116" s="51">
        <f>SUM(Q116)</f>
        <v>1.9326762412674725E-12</v>
      </c>
    </row>
    <row r="117" spans="1:19" ht="32.25" customHeight="1" thickTop="1">
      <c r="A117" s="39"/>
      <c r="B117" s="141" t="s">
        <v>167</v>
      </c>
      <c r="C117" s="142"/>
      <c r="D117" s="125"/>
      <c r="E117" s="131"/>
      <c r="F117" s="115"/>
      <c r="G117" s="33"/>
      <c r="H117" s="143"/>
      <c r="I117" s="143"/>
      <c r="J117" s="143"/>
      <c r="K117" s="34"/>
      <c r="L117" s="35"/>
      <c r="M117" s="36"/>
      <c r="N117" s="114"/>
      <c r="O117" s="115"/>
      <c r="P117" s="144"/>
      <c r="Q117" s="33"/>
      <c r="R117" s="33"/>
      <c r="S117" s="145"/>
    </row>
    <row r="118" spans="1:19" s="160" customFormat="1" ht="32.25" customHeight="1">
      <c r="A118" s="106">
        <v>1</v>
      </c>
      <c r="B118" s="142" t="s">
        <v>23</v>
      </c>
      <c r="C118" s="142" t="s">
        <v>168</v>
      </c>
      <c r="D118" s="151">
        <v>10925</v>
      </c>
      <c r="E118" s="163"/>
      <c r="F118" s="122"/>
      <c r="G118" s="122"/>
      <c r="H118" s="91">
        <v>0</v>
      </c>
      <c r="I118" s="122"/>
      <c r="J118" s="132">
        <v>0</v>
      </c>
      <c r="K118" s="276" t="s">
        <v>549</v>
      </c>
      <c r="L118" s="277" t="s">
        <v>583</v>
      </c>
      <c r="M118" s="278">
        <v>10925</v>
      </c>
      <c r="N118" s="279"/>
      <c r="O118" s="280"/>
      <c r="P118" s="280"/>
      <c r="Q118" s="91">
        <f>SUM(D118+J118-M118)</f>
        <v>0</v>
      </c>
      <c r="R118" s="91"/>
      <c r="S118" s="77">
        <f>SUM(D118+J118-M118)</f>
        <v>0</v>
      </c>
    </row>
    <row r="119" spans="1:19" s="160" customFormat="1" ht="32.25" customHeight="1">
      <c r="A119" s="106">
        <v>2</v>
      </c>
      <c r="B119" s="142" t="s">
        <v>69</v>
      </c>
      <c r="C119" s="142" t="s">
        <v>170</v>
      </c>
      <c r="D119" s="151">
        <v>920</v>
      </c>
      <c r="E119" s="163"/>
      <c r="F119" s="122"/>
      <c r="G119" s="122"/>
      <c r="H119" s="91">
        <v>0</v>
      </c>
      <c r="I119" s="122"/>
      <c r="J119" s="132">
        <v>0</v>
      </c>
      <c r="K119" s="276" t="s">
        <v>569</v>
      </c>
      <c r="L119" s="277" t="s">
        <v>584</v>
      </c>
      <c r="M119" s="278">
        <v>920</v>
      </c>
      <c r="N119" s="281"/>
      <c r="O119" s="280"/>
      <c r="P119" s="280"/>
      <c r="Q119" s="91">
        <f t="shared" ref="Q119:Q130" si="4">SUM(D119+J119-M119)</f>
        <v>0</v>
      </c>
      <c r="R119" s="91"/>
      <c r="S119" s="77">
        <f t="shared" ref="S119:S130" si="5">SUM(D119+J119-M119)</f>
        <v>0</v>
      </c>
    </row>
    <row r="120" spans="1:19" s="160" customFormat="1" ht="32.25" customHeight="1">
      <c r="A120" s="106">
        <v>3</v>
      </c>
      <c r="B120" s="142" t="s">
        <v>27</v>
      </c>
      <c r="C120" s="142" t="s">
        <v>172</v>
      </c>
      <c r="D120" s="151">
        <v>1100</v>
      </c>
      <c r="E120" s="163"/>
      <c r="F120" s="122"/>
      <c r="G120" s="122"/>
      <c r="H120" s="91">
        <v>0</v>
      </c>
      <c r="I120" s="122"/>
      <c r="J120" s="132">
        <v>0</v>
      </c>
      <c r="K120" s="276" t="s">
        <v>549</v>
      </c>
      <c r="L120" s="277" t="s">
        <v>585</v>
      </c>
      <c r="M120" s="278">
        <v>1100</v>
      </c>
      <c r="N120" s="279"/>
      <c r="O120" s="280"/>
      <c r="P120" s="280"/>
      <c r="Q120" s="91">
        <f t="shared" si="4"/>
        <v>0</v>
      </c>
      <c r="R120" s="91"/>
      <c r="S120" s="77">
        <f t="shared" si="5"/>
        <v>0</v>
      </c>
    </row>
    <row r="121" spans="1:19" s="160" customFormat="1" ht="32.25" customHeight="1">
      <c r="A121" s="106"/>
      <c r="B121" s="142" t="s">
        <v>341</v>
      </c>
      <c r="C121" s="142"/>
      <c r="D121" s="151"/>
      <c r="E121" s="163"/>
      <c r="F121" s="122"/>
      <c r="G121" s="122"/>
      <c r="H121" s="91">
        <v>0</v>
      </c>
      <c r="I121" s="122"/>
      <c r="J121" s="132">
        <v>0</v>
      </c>
      <c r="K121" s="276"/>
      <c r="L121" s="277"/>
      <c r="M121" s="278"/>
      <c r="N121" s="279"/>
      <c r="O121" s="280"/>
      <c r="P121" s="280"/>
      <c r="Q121" s="91">
        <f t="shared" si="4"/>
        <v>0</v>
      </c>
      <c r="R121" s="91"/>
      <c r="S121" s="77">
        <f t="shared" si="5"/>
        <v>0</v>
      </c>
    </row>
    <row r="122" spans="1:19" s="160" customFormat="1" ht="32.25" customHeight="1">
      <c r="A122" s="106"/>
      <c r="B122" s="142" t="s">
        <v>342</v>
      </c>
      <c r="C122" s="142"/>
      <c r="D122" s="151"/>
      <c r="E122" s="163"/>
      <c r="F122" s="122"/>
      <c r="G122" s="122"/>
      <c r="H122" s="91">
        <v>0</v>
      </c>
      <c r="I122" s="122"/>
      <c r="J122" s="132">
        <v>0</v>
      </c>
      <c r="K122" s="276"/>
      <c r="L122" s="277"/>
      <c r="M122" s="278"/>
      <c r="N122" s="279"/>
      <c r="O122" s="280"/>
      <c r="P122" s="280"/>
      <c r="Q122" s="91">
        <f t="shared" si="4"/>
        <v>0</v>
      </c>
      <c r="R122" s="91"/>
      <c r="S122" s="77">
        <f t="shared" si="5"/>
        <v>0</v>
      </c>
    </row>
    <row r="123" spans="1:19" s="160" customFormat="1" ht="32.25" customHeight="1">
      <c r="A123" s="106"/>
      <c r="B123" s="142" t="s">
        <v>343</v>
      </c>
      <c r="C123" s="142"/>
      <c r="D123" s="151"/>
      <c r="E123" s="163"/>
      <c r="F123" s="122"/>
      <c r="G123" s="122"/>
      <c r="H123" s="91">
        <v>0</v>
      </c>
      <c r="I123" s="122"/>
      <c r="J123" s="132">
        <v>0</v>
      </c>
      <c r="K123" s="276"/>
      <c r="L123" s="277"/>
      <c r="M123" s="278"/>
      <c r="N123" s="279"/>
      <c r="O123" s="280"/>
      <c r="P123" s="280"/>
      <c r="Q123" s="91">
        <f t="shared" si="4"/>
        <v>0</v>
      </c>
      <c r="R123" s="91"/>
      <c r="S123" s="77">
        <f t="shared" si="5"/>
        <v>0</v>
      </c>
    </row>
    <row r="124" spans="1:19" s="160" customFormat="1" ht="32.25" customHeight="1">
      <c r="A124" s="106">
        <v>4</v>
      </c>
      <c r="B124" s="142" t="s">
        <v>77</v>
      </c>
      <c r="C124" s="142" t="s">
        <v>174</v>
      </c>
      <c r="D124" s="151">
        <v>920</v>
      </c>
      <c r="E124" s="163"/>
      <c r="F124" s="122"/>
      <c r="G124" s="122"/>
      <c r="H124" s="91">
        <v>0</v>
      </c>
      <c r="I124" s="122"/>
      <c r="J124" s="132">
        <v>0</v>
      </c>
      <c r="K124" s="276" t="s">
        <v>571</v>
      </c>
      <c r="L124" s="277" t="s">
        <v>586</v>
      </c>
      <c r="M124" s="278">
        <v>920</v>
      </c>
      <c r="N124" s="279"/>
      <c r="O124" s="280"/>
      <c r="P124" s="280"/>
      <c r="Q124" s="91">
        <f t="shared" si="4"/>
        <v>0</v>
      </c>
      <c r="R124" s="91"/>
      <c r="S124" s="77">
        <f t="shared" si="5"/>
        <v>0</v>
      </c>
    </row>
    <row r="125" spans="1:19" s="160" customFormat="1" ht="32.25" customHeight="1">
      <c r="A125" s="106">
        <v>5</v>
      </c>
      <c r="B125" s="142" t="s">
        <v>176</v>
      </c>
      <c r="C125" s="142" t="s">
        <v>177</v>
      </c>
      <c r="D125" s="151">
        <v>2300</v>
      </c>
      <c r="E125" s="163"/>
      <c r="F125" s="122"/>
      <c r="G125" s="122"/>
      <c r="H125" s="91">
        <v>0</v>
      </c>
      <c r="I125" s="122"/>
      <c r="J125" s="132">
        <v>0</v>
      </c>
      <c r="K125" s="276" t="s">
        <v>557</v>
      </c>
      <c r="L125" s="277" t="s">
        <v>587</v>
      </c>
      <c r="M125" s="278">
        <v>2300</v>
      </c>
      <c r="N125" s="279"/>
      <c r="O125" s="280"/>
      <c r="P125" s="280"/>
      <c r="Q125" s="91">
        <f t="shared" si="4"/>
        <v>0</v>
      </c>
      <c r="R125" s="91"/>
      <c r="S125" s="77">
        <f t="shared" si="5"/>
        <v>0</v>
      </c>
    </row>
    <row r="126" spans="1:19" ht="32.25" customHeight="1">
      <c r="A126" s="106">
        <v>6</v>
      </c>
      <c r="B126" s="142" t="s">
        <v>75</v>
      </c>
      <c r="C126" s="142" t="s">
        <v>179</v>
      </c>
      <c r="D126" s="151"/>
      <c r="E126" s="163"/>
      <c r="F126" s="115"/>
      <c r="G126" s="115"/>
      <c r="H126" s="131">
        <v>0</v>
      </c>
      <c r="I126" s="115"/>
      <c r="J126" s="132">
        <v>0</v>
      </c>
      <c r="K126" s="282"/>
      <c r="L126" s="210"/>
      <c r="M126" s="283"/>
      <c r="N126" s="114"/>
      <c r="O126" s="122"/>
      <c r="P126" s="122"/>
      <c r="Q126" s="91">
        <f t="shared" si="4"/>
        <v>0</v>
      </c>
      <c r="R126" s="91"/>
      <c r="S126" s="77">
        <f t="shared" si="5"/>
        <v>0</v>
      </c>
    </row>
    <row r="127" spans="1:19" ht="32.25" customHeight="1">
      <c r="A127" s="106">
        <v>7</v>
      </c>
      <c r="B127" s="142" t="s">
        <v>75</v>
      </c>
      <c r="C127" s="142" t="s">
        <v>180</v>
      </c>
      <c r="D127" s="151"/>
      <c r="E127" s="163"/>
      <c r="F127" s="115"/>
      <c r="G127" s="115"/>
      <c r="H127" s="131">
        <v>0</v>
      </c>
      <c r="I127" s="115"/>
      <c r="J127" s="132">
        <v>0</v>
      </c>
      <c r="K127" s="282"/>
      <c r="L127" s="210"/>
      <c r="M127" s="283"/>
      <c r="N127" s="114"/>
      <c r="O127" s="122"/>
      <c r="P127" s="122"/>
      <c r="Q127" s="91">
        <f t="shared" si="4"/>
        <v>0</v>
      </c>
      <c r="R127" s="91"/>
      <c r="S127" s="77">
        <f t="shared" si="5"/>
        <v>0</v>
      </c>
    </row>
    <row r="128" spans="1:19" ht="32.25" customHeight="1">
      <c r="A128" s="106">
        <v>8</v>
      </c>
      <c r="B128" s="142" t="s">
        <v>75</v>
      </c>
      <c r="C128" s="142" t="s">
        <v>181</v>
      </c>
      <c r="D128" s="151">
        <v>0</v>
      </c>
      <c r="E128" s="163"/>
      <c r="F128" s="115"/>
      <c r="G128" s="115"/>
      <c r="H128" s="131">
        <v>0</v>
      </c>
      <c r="I128" s="115"/>
      <c r="J128" s="132">
        <v>0</v>
      </c>
      <c r="K128" s="282"/>
      <c r="L128" s="210"/>
      <c r="M128" s="283"/>
      <c r="N128" s="114"/>
      <c r="O128" s="122"/>
      <c r="P128" s="122"/>
      <c r="Q128" s="91">
        <f t="shared" si="4"/>
        <v>0</v>
      </c>
      <c r="R128" s="91"/>
      <c r="S128" s="77">
        <f t="shared" si="5"/>
        <v>0</v>
      </c>
    </row>
    <row r="129" spans="1:19" ht="32.25" customHeight="1">
      <c r="A129" s="106">
        <v>9</v>
      </c>
      <c r="B129" s="142" t="s">
        <v>75</v>
      </c>
      <c r="C129" s="142" t="s">
        <v>182</v>
      </c>
      <c r="D129" s="151">
        <v>0</v>
      </c>
      <c r="E129" s="163"/>
      <c r="F129" s="115"/>
      <c r="G129" s="115"/>
      <c r="H129" s="131">
        <v>0</v>
      </c>
      <c r="I129" s="115"/>
      <c r="J129" s="132">
        <v>0</v>
      </c>
      <c r="K129" s="282"/>
      <c r="L129" s="210"/>
      <c r="M129" s="283"/>
      <c r="N129" s="114"/>
      <c r="O129" s="122"/>
      <c r="P129" s="122"/>
      <c r="Q129" s="91">
        <f t="shared" si="4"/>
        <v>0</v>
      </c>
      <c r="R129" s="91"/>
      <c r="S129" s="77">
        <f t="shared" si="5"/>
        <v>0</v>
      </c>
    </row>
    <row r="130" spans="1:19" ht="32.25" customHeight="1">
      <c r="A130" s="106">
        <v>10</v>
      </c>
      <c r="B130" s="142" t="s">
        <v>75</v>
      </c>
      <c r="C130" s="142" t="s">
        <v>183</v>
      </c>
      <c r="D130" s="151">
        <v>0</v>
      </c>
      <c r="E130" s="163"/>
      <c r="F130" s="115"/>
      <c r="G130" s="115"/>
      <c r="H130" s="131">
        <v>0</v>
      </c>
      <c r="I130" s="115"/>
      <c r="J130" s="132">
        <v>0</v>
      </c>
      <c r="K130" s="282"/>
      <c r="L130" s="210"/>
      <c r="M130" s="283"/>
      <c r="N130" s="114"/>
      <c r="O130" s="115"/>
      <c r="P130" s="168"/>
      <c r="Q130" s="91">
        <f t="shared" si="4"/>
        <v>0</v>
      </c>
      <c r="R130" s="131"/>
      <c r="S130" s="77">
        <f t="shared" si="5"/>
        <v>0</v>
      </c>
    </row>
    <row r="131" spans="1:19" ht="32.25" customHeight="1" thickBot="1">
      <c r="A131" s="39"/>
      <c r="B131" s="50" t="s">
        <v>19</v>
      </c>
      <c r="C131" s="50"/>
      <c r="D131" s="51">
        <f>SUM(D118:D130)</f>
        <v>16165</v>
      </c>
      <c r="E131" s="52"/>
      <c r="F131" s="53"/>
      <c r="G131" s="52"/>
      <c r="H131" s="51">
        <f>SUM(H118:H130)</f>
        <v>0</v>
      </c>
      <c r="I131" s="51">
        <v>0</v>
      </c>
      <c r="J131" s="51">
        <f>SUM(J118:J130)</f>
        <v>0</v>
      </c>
      <c r="K131" s="54"/>
      <c r="L131" s="55"/>
      <c r="M131" s="56">
        <f>SUM(M118:M130)</f>
        <v>16165</v>
      </c>
      <c r="N131" s="57"/>
      <c r="O131" s="53"/>
      <c r="P131" s="51"/>
      <c r="Q131" s="51">
        <f>SUM(Q118:Q130)</f>
        <v>0</v>
      </c>
      <c r="R131" s="51">
        <v>0</v>
      </c>
      <c r="S131" s="51">
        <f>SUM(S118:S130)</f>
        <v>0</v>
      </c>
    </row>
    <row r="132" spans="1:19" ht="32.25" hidden="1" customHeight="1">
      <c r="A132" s="39"/>
      <c r="B132" s="58" t="s">
        <v>184</v>
      </c>
      <c r="C132" s="59"/>
      <c r="D132" s="60"/>
      <c r="E132" s="61"/>
      <c r="F132" s="62"/>
      <c r="G132" s="63"/>
      <c r="H132" s="64"/>
      <c r="I132" s="64"/>
      <c r="J132" s="64"/>
      <c r="K132" s="65"/>
      <c r="L132" s="66"/>
      <c r="M132" s="67"/>
      <c r="N132" s="68"/>
      <c r="O132" s="62"/>
      <c r="P132" s="69"/>
      <c r="Q132" s="63"/>
      <c r="R132" s="63"/>
      <c r="S132" s="70"/>
    </row>
    <row r="133" spans="1:19" ht="32.25" hidden="1" customHeight="1">
      <c r="A133" s="39">
        <v>1</v>
      </c>
      <c r="B133" s="40"/>
      <c r="C133" s="41"/>
      <c r="D133" s="42"/>
      <c r="E133" s="6"/>
      <c r="F133" s="43"/>
      <c r="G133" s="6"/>
      <c r="H133" s="42"/>
      <c r="I133" s="42"/>
      <c r="J133" s="42"/>
      <c r="K133" s="44"/>
      <c r="L133" s="45"/>
      <c r="M133" s="46"/>
      <c r="N133" s="5"/>
      <c r="O133" s="43"/>
      <c r="P133" s="47"/>
      <c r="Q133" s="48"/>
      <c r="R133" s="48"/>
      <c r="S133" s="49"/>
    </row>
    <row r="134" spans="1:19" ht="32.25" hidden="1" customHeight="1">
      <c r="A134" s="39"/>
      <c r="B134" s="50" t="s">
        <v>19</v>
      </c>
      <c r="C134" s="50"/>
      <c r="D134" s="51">
        <v>0</v>
      </c>
      <c r="E134" s="52"/>
      <c r="F134" s="53"/>
      <c r="G134" s="52"/>
      <c r="H134" s="51">
        <v>0</v>
      </c>
      <c r="I134" s="51">
        <v>0</v>
      </c>
      <c r="J134" s="51">
        <v>0</v>
      </c>
      <c r="K134" s="54"/>
      <c r="L134" s="55"/>
      <c r="M134" s="56"/>
      <c r="N134" s="57"/>
      <c r="O134" s="53"/>
      <c r="P134" s="51"/>
      <c r="Q134" s="51"/>
      <c r="R134" s="51"/>
      <c r="S134" s="51"/>
    </row>
    <row r="135" spans="1:19" ht="32.25" hidden="1" customHeight="1">
      <c r="A135" s="39"/>
      <c r="B135" s="58" t="s">
        <v>185</v>
      </c>
      <c r="C135" s="59"/>
      <c r="D135" s="60"/>
      <c r="E135" s="61"/>
      <c r="F135" s="62"/>
      <c r="G135" s="63"/>
      <c r="H135" s="64"/>
      <c r="I135" s="64"/>
      <c r="J135" s="64"/>
      <c r="K135" s="65"/>
      <c r="L135" s="66"/>
      <c r="M135" s="67"/>
      <c r="N135" s="68"/>
      <c r="O135" s="62"/>
      <c r="P135" s="69"/>
      <c r="Q135" s="63"/>
      <c r="R135" s="63"/>
      <c r="S135" s="70"/>
    </row>
    <row r="136" spans="1:19" ht="32.25" hidden="1" customHeight="1">
      <c r="A136" s="39">
        <v>1</v>
      </c>
      <c r="B136" s="40"/>
      <c r="C136" s="41"/>
      <c r="D136" s="42"/>
      <c r="E136" s="6"/>
      <c r="F136" s="43"/>
      <c r="G136" s="6"/>
      <c r="H136" s="42"/>
      <c r="I136" s="42"/>
      <c r="J136" s="42"/>
      <c r="K136" s="284"/>
      <c r="L136" s="285"/>
      <c r="M136" s="286"/>
      <c r="N136" s="5"/>
      <c r="O136" s="43"/>
      <c r="P136" s="47"/>
      <c r="Q136" s="48"/>
      <c r="R136" s="48"/>
      <c r="S136" s="49"/>
    </row>
    <row r="137" spans="1:19" ht="32.25" hidden="1" customHeight="1">
      <c r="A137" s="39"/>
      <c r="B137" s="50" t="s">
        <v>19</v>
      </c>
      <c r="C137" s="50"/>
      <c r="D137" s="51">
        <v>0</v>
      </c>
      <c r="E137" s="52"/>
      <c r="F137" s="53"/>
      <c r="G137" s="52"/>
      <c r="H137" s="51">
        <v>0</v>
      </c>
      <c r="I137" s="51">
        <v>0</v>
      </c>
      <c r="J137" s="51">
        <v>0</v>
      </c>
      <c r="K137" s="54"/>
      <c r="L137" s="55"/>
      <c r="M137" s="56"/>
      <c r="N137" s="57"/>
      <c r="O137" s="53"/>
      <c r="P137" s="51"/>
      <c r="Q137" s="51"/>
      <c r="R137" s="51"/>
      <c r="S137" s="51"/>
    </row>
    <row r="138" spans="1:19" ht="32.25" customHeight="1" thickTop="1">
      <c r="A138" s="39"/>
      <c r="B138" s="58" t="s">
        <v>186</v>
      </c>
      <c r="C138" s="59"/>
      <c r="D138" s="60"/>
      <c r="E138" s="61"/>
      <c r="F138" s="62"/>
      <c r="G138" s="63"/>
      <c r="H138" s="64"/>
      <c r="I138" s="64"/>
      <c r="J138" s="64"/>
      <c r="K138" s="65"/>
      <c r="L138" s="66"/>
      <c r="M138" s="67"/>
      <c r="N138" s="68"/>
      <c r="O138" s="62"/>
      <c r="P138" s="69"/>
      <c r="Q138" s="63"/>
      <c r="R138" s="63"/>
      <c r="S138" s="70"/>
    </row>
    <row r="139" spans="1:19" s="160" customFormat="1" ht="32.25" customHeight="1">
      <c r="A139" s="116">
        <v>1</v>
      </c>
      <c r="B139" s="41" t="s">
        <v>23</v>
      </c>
      <c r="C139" s="41" t="s">
        <v>187</v>
      </c>
      <c r="D139" s="287">
        <v>2140</v>
      </c>
      <c r="E139" s="240"/>
      <c r="F139" s="122"/>
      <c r="G139" s="91"/>
      <c r="H139" s="91"/>
      <c r="I139" s="92"/>
      <c r="J139" s="132">
        <v>0</v>
      </c>
      <c r="K139" s="288" t="s">
        <v>549</v>
      </c>
      <c r="L139" s="289" t="s">
        <v>588</v>
      </c>
      <c r="M139" s="290">
        <v>2140</v>
      </c>
      <c r="N139" s="291"/>
      <c r="O139" s="292"/>
      <c r="P139" s="293"/>
      <c r="Q139" s="91"/>
      <c r="R139" s="92"/>
      <c r="S139" s="294">
        <v>0</v>
      </c>
    </row>
    <row r="140" spans="1:19" s="160" customFormat="1" ht="32.25" customHeight="1">
      <c r="A140" s="116">
        <v>2</v>
      </c>
      <c r="B140" s="142" t="s">
        <v>23</v>
      </c>
      <c r="C140" s="142" t="s">
        <v>189</v>
      </c>
      <c r="D140" s="287">
        <v>24631.4</v>
      </c>
      <c r="E140" s="114"/>
      <c r="F140" s="115"/>
      <c r="G140" s="295"/>
      <c r="H140" s="131">
        <v>0</v>
      </c>
      <c r="I140" s="125"/>
      <c r="J140" s="132">
        <v>0</v>
      </c>
      <c r="K140" s="296" t="s">
        <v>589</v>
      </c>
      <c r="L140" s="297" t="s">
        <v>590</v>
      </c>
      <c r="M140" s="290">
        <v>24631.4</v>
      </c>
      <c r="N140" s="298"/>
      <c r="O140" s="292"/>
      <c r="P140" s="292"/>
      <c r="Q140" s="91">
        <v>0</v>
      </c>
      <c r="R140" s="92"/>
      <c r="S140" s="294">
        <v>0</v>
      </c>
    </row>
    <row r="141" spans="1:19" s="160" customFormat="1" ht="32.25" customHeight="1">
      <c r="A141" s="116">
        <v>3</v>
      </c>
      <c r="B141" s="142" t="s">
        <v>192</v>
      </c>
      <c r="C141" s="142" t="s">
        <v>193</v>
      </c>
      <c r="D141" s="293">
        <v>1037.9000000000001</v>
      </c>
      <c r="E141" s="114"/>
      <c r="F141" s="115"/>
      <c r="G141" s="131"/>
      <c r="H141" s="131">
        <v>0</v>
      </c>
      <c r="I141" s="125"/>
      <c r="J141" s="132">
        <v>0</v>
      </c>
      <c r="K141" s="288" t="s">
        <v>539</v>
      </c>
      <c r="L141" s="289" t="s">
        <v>591</v>
      </c>
      <c r="M141" s="290">
        <v>1037.9000000000001</v>
      </c>
      <c r="N141" s="298"/>
      <c r="O141" s="292"/>
      <c r="P141" s="299"/>
      <c r="Q141" s="91">
        <v>0</v>
      </c>
      <c r="R141" s="92"/>
      <c r="S141" s="294">
        <v>0</v>
      </c>
    </row>
    <row r="142" spans="1:19" ht="32.25" customHeight="1">
      <c r="A142" s="106">
        <v>4</v>
      </c>
      <c r="B142" s="300" t="s">
        <v>195</v>
      </c>
      <c r="C142" s="300" t="s">
        <v>193</v>
      </c>
      <c r="D142" s="287">
        <v>2910.4</v>
      </c>
      <c r="E142" s="301" t="s">
        <v>523</v>
      </c>
      <c r="F142" s="31">
        <v>1</v>
      </c>
      <c r="G142" s="301" t="s">
        <v>72</v>
      </c>
      <c r="H142" s="29">
        <v>2820</v>
      </c>
      <c r="I142" s="29">
        <v>197.4</v>
      </c>
      <c r="J142" s="132">
        <v>3017.4</v>
      </c>
      <c r="K142" s="288" t="s">
        <v>592</v>
      </c>
      <c r="L142" s="289" t="s">
        <v>593</v>
      </c>
      <c r="M142" s="290">
        <v>3017.4</v>
      </c>
      <c r="N142" s="302" t="s">
        <v>594</v>
      </c>
      <c r="O142" s="303">
        <v>1</v>
      </c>
      <c r="P142" s="304" t="s">
        <v>72</v>
      </c>
      <c r="Q142" s="131">
        <v>2720</v>
      </c>
      <c r="R142" s="29">
        <v>190.4</v>
      </c>
      <c r="S142" s="77">
        <v>2910.4</v>
      </c>
    </row>
    <row r="143" spans="1:19" ht="32.25" customHeight="1">
      <c r="A143" s="39">
        <v>5</v>
      </c>
      <c r="B143" s="142" t="s">
        <v>526</v>
      </c>
      <c r="C143" s="142" t="s">
        <v>193</v>
      </c>
      <c r="D143" s="305">
        <v>4943.3999999999996</v>
      </c>
      <c r="E143" s="131"/>
      <c r="F143" s="115"/>
      <c r="G143" s="131"/>
      <c r="H143" s="125">
        <v>0</v>
      </c>
      <c r="I143" s="125"/>
      <c r="J143" s="132">
        <v>0</v>
      </c>
      <c r="K143" s="306" t="s">
        <v>595</v>
      </c>
      <c r="L143" s="307" t="s">
        <v>596</v>
      </c>
      <c r="M143" s="308">
        <v>4943.3999999999996</v>
      </c>
      <c r="N143" s="114"/>
      <c r="O143" s="115"/>
      <c r="P143" s="144"/>
      <c r="Q143" s="131">
        <v>0</v>
      </c>
      <c r="R143" s="125"/>
      <c r="S143" s="77">
        <v>0</v>
      </c>
    </row>
    <row r="144" spans="1:19" ht="32.25" customHeight="1">
      <c r="A144" s="39">
        <v>6</v>
      </c>
      <c r="B144" s="142" t="s">
        <v>403</v>
      </c>
      <c r="C144" s="142" t="s">
        <v>193</v>
      </c>
      <c r="D144" s="125">
        <v>1358.9</v>
      </c>
      <c r="E144" s="131"/>
      <c r="F144" s="115"/>
      <c r="G144" s="131"/>
      <c r="H144" s="125">
        <v>0</v>
      </c>
      <c r="I144" s="125"/>
      <c r="J144" s="132">
        <v>0</v>
      </c>
      <c r="K144" s="34" t="s">
        <v>597</v>
      </c>
      <c r="L144" s="35" t="s">
        <v>598</v>
      </c>
      <c r="M144" s="36">
        <v>1358.9</v>
      </c>
      <c r="N144" s="114"/>
      <c r="O144" s="115"/>
      <c r="P144" s="144"/>
      <c r="Q144" s="131">
        <v>0</v>
      </c>
      <c r="R144" s="125"/>
      <c r="S144" s="77">
        <v>0</v>
      </c>
    </row>
    <row r="145" spans="1:26" ht="32.25" customHeight="1">
      <c r="A145" s="39"/>
      <c r="B145" s="41"/>
      <c r="C145" s="41"/>
      <c r="D145" s="42"/>
      <c r="E145" s="6"/>
      <c r="F145" s="43"/>
      <c r="G145" s="6"/>
      <c r="H145" s="42"/>
      <c r="I145" s="42"/>
      <c r="J145" s="309"/>
      <c r="K145" s="284"/>
      <c r="L145" s="285"/>
      <c r="M145" s="286"/>
      <c r="N145" s="5"/>
      <c r="O145" s="43"/>
      <c r="P145" s="47"/>
      <c r="Q145" s="6"/>
      <c r="R145" s="42"/>
      <c r="S145" s="100"/>
    </row>
    <row r="146" spans="1:26" ht="32.25" customHeight="1" thickBot="1">
      <c r="A146" s="39"/>
      <c r="B146" s="50" t="s">
        <v>19</v>
      </c>
      <c r="C146" s="50"/>
      <c r="D146" s="51">
        <f>SUM(D139:D145)</f>
        <v>37022.000000000007</v>
      </c>
      <c r="E146" s="52"/>
      <c r="F146" s="53"/>
      <c r="G146" s="52"/>
      <c r="H146" s="51">
        <f>SUM(H139:H145)</f>
        <v>2820</v>
      </c>
      <c r="I146" s="51">
        <f>SUM(I139:I145)</f>
        <v>197.4</v>
      </c>
      <c r="J146" s="51">
        <f>SUM(J139:J145)</f>
        <v>3017.4</v>
      </c>
      <c r="K146" s="54"/>
      <c r="L146" s="55"/>
      <c r="M146" s="56">
        <f>SUM(M139:M144)</f>
        <v>37129.000000000007</v>
      </c>
      <c r="N146" s="57"/>
      <c r="O146" s="53"/>
      <c r="P146" s="51"/>
      <c r="Q146" s="51">
        <f>SUM(Q139:Q145)</f>
        <v>2720</v>
      </c>
      <c r="R146" s="51">
        <f t="shared" ref="R146:S146" si="6">SUM(R139:R145)</f>
        <v>190.4</v>
      </c>
      <c r="S146" s="51">
        <f t="shared" si="6"/>
        <v>2910.4</v>
      </c>
    </row>
    <row r="147" spans="1:26" ht="32.25" customHeight="1" thickTop="1">
      <c r="A147" s="39"/>
      <c r="B147" s="58" t="s">
        <v>198</v>
      </c>
      <c r="C147" s="59"/>
      <c r="D147" s="60"/>
      <c r="E147" s="61"/>
      <c r="F147" s="62"/>
      <c r="G147" s="63"/>
      <c r="H147" s="64"/>
      <c r="I147" s="64"/>
      <c r="J147" s="64"/>
      <c r="K147" s="65"/>
      <c r="L147" s="66"/>
      <c r="M147" s="67"/>
      <c r="N147" s="68"/>
      <c r="O147" s="62"/>
      <c r="P147" s="69"/>
      <c r="Q147" s="63"/>
      <c r="R147" s="63"/>
      <c r="S147" s="70"/>
    </row>
    <row r="148" spans="1:26" s="327" customFormat="1" ht="32.25" customHeight="1">
      <c r="A148" s="310">
        <v>1</v>
      </c>
      <c r="B148" s="311" t="s">
        <v>152</v>
      </c>
      <c r="C148" s="312"/>
      <c r="D148" s="305">
        <v>0</v>
      </c>
      <c r="E148" s="313"/>
      <c r="F148" s="314"/>
      <c r="G148" s="315"/>
      <c r="H148" s="316">
        <v>0</v>
      </c>
      <c r="I148" s="72">
        <v>0</v>
      </c>
      <c r="J148" s="317">
        <v>0</v>
      </c>
      <c r="K148" s="318"/>
      <c r="L148" s="319"/>
      <c r="M148" s="320"/>
      <c r="N148" s="313"/>
      <c r="O148" s="314"/>
      <c r="P148" s="321"/>
      <c r="Q148" s="322">
        <v>0</v>
      </c>
      <c r="R148" s="323"/>
      <c r="S148" s="324">
        <v>0</v>
      </c>
      <c r="T148" s="325" t="s">
        <v>199</v>
      </c>
      <c r="U148" s="326"/>
      <c r="V148" s="326"/>
      <c r="W148" s="326"/>
      <c r="X148" s="326"/>
      <c r="Y148" s="326"/>
      <c r="Z148" s="326"/>
    </row>
    <row r="149" spans="1:26" s="327" customFormat="1" ht="32.25" customHeight="1">
      <c r="A149" s="328">
        <v>2</v>
      </c>
      <c r="B149" s="329" t="s">
        <v>200</v>
      </c>
      <c r="C149" s="330"/>
      <c r="D149" s="331">
        <v>0</v>
      </c>
      <c r="E149" s="332"/>
      <c r="F149" s="333"/>
      <c r="G149" s="334"/>
      <c r="H149" s="335">
        <v>0</v>
      </c>
      <c r="I149" s="72">
        <v>0</v>
      </c>
      <c r="J149" s="317">
        <v>0</v>
      </c>
      <c r="K149" s="318"/>
      <c r="L149" s="319"/>
      <c r="M149" s="320"/>
      <c r="N149" s="313"/>
      <c r="O149" s="314"/>
      <c r="P149" s="321"/>
      <c r="Q149" s="322">
        <v>0</v>
      </c>
      <c r="R149" s="323"/>
      <c r="S149" s="324">
        <v>0</v>
      </c>
      <c r="T149" s="325"/>
      <c r="U149" s="326"/>
      <c r="V149" s="326"/>
      <c r="W149" s="326"/>
      <c r="X149" s="326"/>
      <c r="Y149" s="326"/>
      <c r="Z149" s="326"/>
    </row>
    <row r="150" spans="1:26" ht="32.25" customHeight="1">
      <c r="A150" s="39"/>
      <c r="B150" s="223" t="s">
        <v>201</v>
      </c>
      <c r="C150" s="224"/>
      <c r="D150" s="125">
        <v>0</v>
      </c>
      <c r="E150" s="131"/>
      <c r="F150" s="115"/>
      <c r="G150" s="131"/>
      <c r="H150" s="125">
        <v>0</v>
      </c>
      <c r="I150" s="125">
        <v>0</v>
      </c>
      <c r="J150" s="125">
        <v>0</v>
      </c>
      <c r="K150" s="209"/>
      <c r="L150" s="336"/>
      <c r="M150" s="36"/>
      <c r="N150" s="114"/>
      <c r="O150" s="115"/>
      <c r="P150" s="115"/>
      <c r="Q150" s="131">
        <v>0</v>
      </c>
      <c r="R150" s="131"/>
      <c r="S150" s="77">
        <v>0</v>
      </c>
    </row>
    <row r="151" spans="1:26" ht="32.25" customHeight="1">
      <c r="A151" s="39"/>
      <c r="B151" s="223" t="s">
        <v>202</v>
      </c>
      <c r="C151" s="224"/>
      <c r="D151" s="42">
        <v>0</v>
      </c>
      <c r="E151" s="6"/>
      <c r="F151" s="43"/>
      <c r="G151" s="6"/>
      <c r="H151" s="42">
        <v>0</v>
      </c>
      <c r="I151" s="42">
        <v>0</v>
      </c>
      <c r="J151" s="125">
        <v>0</v>
      </c>
      <c r="K151" s="44"/>
      <c r="L151" s="45"/>
      <c r="M151" s="46"/>
      <c r="N151" s="114"/>
      <c r="O151" s="115"/>
      <c r="P151" s="47"/>
      <c r="Q151" s="131">
        <v>0</v>
      </c>
      <c r="R151" s="131"/>
      <c r="S151" s="77">
        <v>0</v>
      </c>
    </row>
    <row r="152" spans="1:26" ht="32.25" customHeight="1">
      <c r="A152" s="337">
        <v>3</v>
      </c>
      <c r="B152" s="338" t="s">
        <v>130</v>
      </c>
      <c r="C152" s="339"/>
      <c r="D152" s="42">
        <v>0</v>
      </c>
      <c r="E152" s="6"/>
      <c r="F152" s="43"/>
      <c r="G152" s="6"/>
      <c r="H152" s="42">
        <v>0</v>
      </c>
      <c r="I152" s="42">
        <v>0</v>
      </c>
      <c r="J152" s="42">
        <v>0</v>
      </c>
      <c r="K152" s="284"/>
      <c r="L152" s="285"/>
      <c r="M152" s="286"/>
      <c r="N152" s="5"/>
      <c r="O152" s="43"/>
      <c r="P152" s="47"/>
      <c r="Q152" s="6">
        <v>0</v>
      </c>
      <c r="R152" s="6"/>
      <c r="S152" s="100">
        <v>0</v>
      </c>
    </row>
    <row r="153" spans="1:26" ht="32.25" customHeight="1">
      <c r="A153" s="337"/>
      <c r="B153" s="340" t="s">
        <v>205</v>
      </c>
      <c r="C153" s="339"/>
      <c r="D153" s="42">
        <v>0</v>
      </c>
      <c r="E153" s="6"/>
      <c r="F153" s="43"/>
      <c r="G153" s="6"/>
      <c r="H153" s="42">
        <v>0</v>
      </c>
      <c r="I153" s="42">
        <v>0</v>
      </c>
      <c r="J153" s="42">
        <v>0</v>
      </c>
      <c r="K153" s="284"/>
      <c r="L153" s="285"/>
      <c r="M153" s="286"/>
      <c r="N153" s="5"/>
      <c r="O153" s="43"/>
      <c r="P153" s="47"/>
      <c r="Q153" s="6">
        <v>0</v>
      </c>
      <c r="R153" s="6"/>
      <c r="S153" s="100">
        <v>0</v>
      </c>
    </row>
    <row r="154" spans="1:26" ht="32.25" customHeight="1">
      <c r="A154" s="337"/>
      <c r="B154" s="341" t="s">
        <v>363</v>
      </c>
      <c r="C154" s="342"/>
      <c r="D154" s="42">
        <v>0</v>
      </c>
      <c r="E154" s="6"/>
      <c r="F154" s="43"/>
      <c r="G154" s="6"/>
      <c r="H154" s="42">
        <v>0</v>
      </c>
      <c r="I154" s="42">
        <v>0</v>
      </c>
      <c r="J154" s="42">
        <v>0</v>
      </c>
      <c r="K154" s="284"/>
      <c r="L154" s="285"/>
      <c r="M154" s="286"/>
      <c r="N154" s="5"/>
      <c r="O154" s="43"/>
      <c r="P154" s="47"/>
      <c r="Q154" s="6">
        <v>0</v>
      </c>
      <c r="R154" s="6"/>
      <c r="S154" s="100">
        <v>0</v>
      </c>
    </row>
    <row r="155" spans="1:26" ht="32.25" customHeight="1">
      <c r="A155" s="337">
        <v>4</v>
      </c>
      <c r="B155" s="420" t="s">
        <v>364</v>
      </c>
      <c r="C155" s="421"/>
      <c r="D155" s="42">
        <v>0</v>
      </c>
      <c r="E155" s="6"/>
      <c r="F155" s="43"/>
      <c r="G155" s="6"/>
      <c r="H155" s="42"/>
      <c r="I155" s="42"/>
      <c r="J155" s="42"/>
      <c r="K155" s="284"/>
      <c r="L155" s="285"/>
      <c r="M155" s="286"/>
      <c r="N155" s="5"/>
      <c r="O155" s="43"/>
      <c r="P155" s="47"/>
      <c r="Q155" s="6">
        <v>0</v>
      </c>
      <c r="R155" s="6"/>
      <c r="S155" s="100">
        <v>0</v>
      </c>
    </row>
    <row r="156" spans="1:26" ht="32.25" customHeight="1">
      <c r="A156" s="337"/>
      <c r="B156" s="420" t="s">
        <v>367</v>
      </c>
      <c r="C156" s="421"/>
      <c r="D156" s="42">
        <v>0</v>
      </c>
      <c r="E156" s="6"/>
      <c r="F156" s="43"/>
      <c r="G156" s="6"/>
      <c r="H156" s="42"/>
      <c r="I156" s="42"/>
      <c r="J156" s="42"/>
      <c r="K156" s="284"/>
      <c r="L156" s="285"/>
      <c r="M156" s="286"/>
      <c r="N156" s="5"/>
      <c r="O156" s="43"/>
      <c r="P156" s="47"/>
      <c r="Q156" s="6">
        <v>0</v>
      </c>
      <c r="R156" s="6"/>
      <c r="S156" s="100">
        <v>0</v>
      </c>
    </row>
    <row r="157" spans="1:26" ht="32.25" customHeight="1">
      <c r="A157" s="337"/>
      <c r="B157" s="420" t="s">
        <v>368</v>
      </c>
      <c r="C157" s="421"/>
      <c r="D157" s="42">
        <v>0</v>
      </c>
      <c r="E157" s="6"/>
      <c r="F157" s="43"/>
      <c r="G157" s="6"/>
      <c r="H157" s="42"/>
      <c r="I157" s="42"/>
      <c r="J157" s="42"/>
      <c r="K157" s="284"/>
      <c r="L157" s="285"/>
      <c r="M157" s="286"/>
      <c r="N157" s="5"/>
      <c r="O157" s="43"/>
      <c r="P157" s="47"/>
      <c r="Q157" s="6">
        <v>0</v>
      </c>
      <c r="R157" s="6"/>
      <c r="S157" s="100">
        <v>0</v>
      </c>
    </row>
    <row r="158" spans="1:26" ht="32.25" customHeight="1">
      <c r="A158" s="337">
        <v>5</v>
      </c>
      <c r="B158" s="420" t="s">
        <v>369</v>
      </c>
      <c r="C158" s="421"/>
      <c r="D158" s="42">
        <v>0</v>
      </c>
      <c r="E158" s="6"/>
      <c r="F158" s="43"/>
      <c r="G158" s="6"/>
      <c r="H158" s="42"/>
      <c r="I158" s="42"/>
      <c r="J158" s="42"/>
      <c r="K158" s="284"/>
      <c r="L158" s="285"/>
      <c r="M158" s="286"/>
      <c r="N158" s="5"/>
      <c r="O158" s="43"/>
      <c r="P158" s="47"/>
      <c r="Q158" s="6">
        <v>0</v>
      </c>
      <c r="R158" s="6"/>
      <c r="S158" s="100">
        <v>0</v>
      </c>
    </row>
    <row r="159" spans="1:26" ht="32.25" customHeight="1">
      <c r="A159" s="337"/>
      <c r="B159" s="420" t="s">
        <v>367</v>
      </c>
      <c r="C159" s="421"/>
      <c r="D159" s="42">
        <v>0</v>
      </c>
      <c r="E159" s="6"/>
      <c r="F159" s="43"/>
      <c r="G159" s="6"/>
      <c r="H159" s="42"/>
      <c r="I159" s="42"/>
      <c r="J159" s="42"/>
      <c r="K159" s="284"/>
      <c r="L159" s="285"/>
      <c r="M159" s="286"/>
      <c r="N159" s="5"/>
      <c r="O159" s="43"/>
      <c r="P159" s="47"/>
      <c r="Q159" s="6">
        <v>0</v>
      </c>
      <c r="R159" s="6"/>
      <c r="S159" s="100">
        <v>0</v>
      </c>
    </row>
    <row r="160" spans="1:26" ht="32.25" customHeight="1">
      <c r="A160" s="337"/>
      <c r="B160" s="420" t="s">
        <v>372</v>
      </c>
      <c r="C160" s="421"/>
      <c r="D160" s="42">
        <v>0</v>
      </c>
      <c r="E160" s="6"/>
      <c r="F160" s="43"/>
      <c r="G160" s="6"/>
      <c r="H160" s="42"/>
      <c r="I160" s="42"/>
      <c r="J160" s="42"/>
      <c r="K160" s="284"/>
      <c r="L160" s="285"/>
      <c r="M160" s="286"/>
      <c r="N160" s="5"/>
      <c r="O160" s="43"/>
      <c r="P160" s="47"/>
      <c r="Q160" s="6">
        <v>0</v>
      </c>
      <c r="R160" s="6"/>
      <c r="S160" s="100">
        <v>0</v>
      </c>
    </row>
    <row r="161" spans="1:19" ht="32.25" customHeight="1">
      <c r="A161" s="337">
        <v>6</v>
      </c>
      <c r="B161" s="420" t="s">
        <v>373</v>
      </c>
      <c r="C161" s="421"/>
      <c r="D161" s="42">
        <v>0</v>
      </c>
      <c r="E161" s="6"/>
      <c r="F161" s="43"/>
      <c r="G161" s="6"/>
      <c r="H161" s="42"/>
      <c r="I161" s="42"/>
      <c r="J161" s="42"/>
      <c r="K161" s="284"/>
      <c r="L161" s="285"/>
      <c r="M161" s="286"/>
      <c r="N161" s="5"/>
      <c r="O161" s="43"/>
      <c r="P161" s="47"/>
      <c r="Q161" s="6">
        <v>0</v>
      </c>
      <c r="R161" s="6"/>
      <c r="S161" s="100">
        <v>0</v>
      </c>
    </row>
    <row r="162" spans="1:19" ht="32.25" customHeight="1">
      <c r="A162" s="337"/>
      <c r="B162" s="420" t="s">
        <v>367</v>
      </c>
      <c r="C162" s="421"/>
      <c r="D162" s="42">
        <v>0</v>
      </c>
      <c r="E162" s="6"/>
      <c r="F162" s="43"/>
      <c r="G162" s="6"/>
      <c r="H162" s="42"/>
      <c r="I162" s="42"/>
      <c r="J162" s="42"/>
      <c r="K162" s="284"/>
      <c r="L162" s="285"/>
      <c r="M162" s="286"/>
      <c r="N162" s="5"/>
      <c r="O162" s="43"/>
      <c r="P162" s="47"/>
      <c r="Q162" s="6">
        <v>0</v>
      </c>
      <c r="R162" s="6"/>
      <c r="S162" s="100">
        <v>0</v>
      </c>
    </row>
    <row r="163" spans="1:19" ht="32.25" customHeight="1">
      <c r="A163" s="337"/>
      <c r="B163" s="420" t="s">
        <v>375</v>
      </c>
      <c r="C163" s="421"/>
      <c r="D163" s="42">
        <v>0</v>
      </c>
      <c r="E163" s="6"/>
      <c r="F163" s="43"/>
      <c r="G163" s="6"/>
      <c r="H163" s="42"/>
      <c r="I163" s="42"/>
      <c r="J163" s="42"/>
      <c r="K163" s="284"/>
      <c r="L163" s="285"/>
      <c r="M163" s="286"/>
      <c r="N163" s="5"/>
      <c r="O163" s="43"/>
      <c r="P163" s="47"/>
      <c r="Q163" s="6">
        <v>0</v>
      </c>
      <c r="R163" s="6"/>
      <c r="S163" s="100">
        <v>0</v>
      </c>
    </row>
    <row r="164" spans="1:19" ht="32.25" customHeight="1">
      <c r="A164" s="337">
        <v>7</v>
      </c>
      <c r="B164" s="420" t="s">
        <v>376</v>
      </c>
      <c r="C164" s="421"/>
      <c r="D164" s="42">
        <v>0</v>
      </c>
      <c r="E164" s="6"/>
      <c r="F164" s="43"/>
      <c r="G164" s="6"/>
      <c r="H164" s="42"/>
      <c r="I164" s="42"/>
      <c r="J164" s="42"/>
      <c r="K164" s="284"/>
      <c r="L164" s="285"/>
      <c r="M164" s="286"/>
      <c r="N164" s="5"/>
      <c r="O164" s="43"/>
      <c r="P164" s="47"/>
      <c r="Q164" s="6">
        <v>0</v>
      </c>
      <c r="R164" s="6"/>
      <c r="S164" s="100">
        <v>0</v>
      </c>
    </row>
    <row r="165" spans="1:19" ht="32.25" customHeight="1">
      <c r="A165" s="337"/>
      <c r="B165" s="420" t="s">
        <v>367</v>
      </c>
      <c r="C165" s="421"/>
      <c r="D165" s="42">
        <v>0</v>
      </c>
      <c r="E165" s="6"/>
      <c r="F165" s="43"/>
      <c r="G165" s="6"/>
      <c r="H165" s="42"/>
      <c r="I165" s="42"/>
      <c r="J165" s="42"/>
      <c r="K165" s="284"/>
      <c r="L165" s="285"/>
      <c r="M165" s="286"/>
      <c r="N165" s="5"/>
      <c r="O165" s="43"/>
      <c r="P165" s="47"/>
      <c r="Q165" s="6">
        <v>0</v>
      </c>
      <c r="R165" s="6"/>
      <c r="S165" s="100">
        <v>0</v>
      </c>
    </row>
    <row r="166" spans="1:19" ht="32.25" customHeight="1">
      <c r="A166" s="337"/>
      <c r="B166" s="420" t="s">
        <v>378</v>
      </c>
      <c r="C166" s="421"/>
      <c r="D166" s="42">
        <v>0</v>
      </c>
      <c r="E166" s="6"/>
      <c r="F166" s="43"/>
      <c r="G166" s="6"/>
      <c r="H166" s="42"/>
      <c r="I166" s="42"/>
      <c r="J166" s="42"/>
      <c r="K166" s="284"/>
      <c r="L166" s="285"/>
      <c r="M166" s="286"/>
      <c r="N166" s="5"/>
      <c r="O166" s="43"/>
      <c r="P166" s="47"/>
      <c r="Q166" s="6">
        <v>0</v>
      </c>
      <c r="R166" s="6"/>
      <c r="S166" s="100">
        <v>0</v>
      </c>
    </row>
    <row r="167" spans="1:19" ht="32.25" customHeight="1">
      <c r="A167" s="337">
        <v>8</v>
      </c>
      <c r="B167" s="420" t="s">
        <v>379</v>
      </c>
      <c r="C167" s="421"/>
      <c r="D167" s="42">
        <v>0</v>
      </c>
      <c r="E167" s="6"/>
      <c r="F167" s="43"/>
      <c r="G167" s="6"/>
      <c r="H167" s="42"/>
      <c r="I167" s="42"/>
      <c r="J167" s="42"/>
      <c r="K167" s="284"/>
      <c r="L167" s="285"/>
      <c r="M167" s="286"/>
      <c r="N167" s="5"/>
      <c r="O167" s="43"/>
      <c r="P167" s="47"/>
      <c r="Q167" s="6">
        <v>0</v>
      </c>
      <c r="R167" s="6"/>
      <c r="S167" s="100">
        <v>0</v>
      </c>
    </row>
    <row r="168" spans="1:19" ht="32.25" customHeight="1">
      <c r="A168" s="337"/>
      <c r="B168" s="420" t="s">
        <v>367</v>
      </c>
      <c r="C168" s="421"/>
      <c r="D168" s="42">
        <v>0</v>
      </c>
      <c r="E168" s="6"/>
      <c r="F168" s="43"/>
      <c r="G168" s="6"/>
      <c r="H168" s="42"/>
      <c r="I168" s="42"/>
      <c r="J168" s="42"/>
      <c r="K168" s="284"/>
      <c r="L168" s="285"/>
      <c r="M168" s="286"/>
      <c r="N168" s="5"/>
      <c r="O168" s="43"/>
      <c r="P168" s="47"/>
      <c r="Q168" s="6">
        <v>0</v>
      </c>
      <c r="R168" s="6"/>
      <c r="S168" s="100">
        <v>0</v>
      </c>
    </row>
    <row r="169" spans="1:19" ht="32.25" customHeight="1">
      <c r="A169" s="337"/>
      <c r="B169" s="420"/>
      <c r="C169" s="421"/>
      <c r="D169" s="42">
        <v>0</v>
      </c>
      <c r="E169" s="6"/>
      <c r="F169" s="43"/>
      <c r="G169" s="6"/>
      <c r="H169" s="42"/>
      <c r="I169" s="42"/>
      <c r="J169" s="42"/>
      <c r="K169" s="284"/>
      <c r="L169" s="285"/>
      <c r="M169" s="286"/>
      <c r="N169" s="5"/>
      <c r="O169" s="43"/>
      <c r="P169" s="47"/>
      <c r="Q169" s="6">
        <v>0</v>
      </c>
      <c r="R169" s="6"/>
      <c r="S169" s="100">
        <v>0</v>
      </c>
    </row>
    <row r="170" spans="1:19" ht="32.25" customHeight="1">
      <c r="A170" s="337">
        <v>9</v>
      </c>
      <c r="B170" s="420" t="s">
        <v>380</v>
      </c>
      <c r="C170" s="421"/>
      <c r="D170" s="42">
        <v>0</v>
      </c>
      <c r="E170" s="6"/>
      <c r="F170" s="43"/>
      <c r="G170" s="6"/>
      <c r="H170" s="42"/>
      <c r="I170" s="42"/>
      <c r="J170" s="42"/>
      <c r="K170" s="284"/>
      <c r="L170" s="285"/>
      <c r="M170" s="286"/>
      <c r="N170" s="5"/>
      <c r="O170" s="43"/>
      <c r="P170" s="47"/>
      <c r="Q170" s="6">
        <v>0</v>
      </c>
      <c r="R170" s="6"/>
      <c r="S170" s="100">
        <v>0</v>
      </c>
    </row>
    <row r="171" spans="1:19" ht="32.25" customHeight="1">
      <c r="A171" s="337"/>
      <c r="B171" s="420" t="s">
        <v>367</v>
      </c>
      <c r="C171" s="421"/>
      <c r="D171" s="42">
        <v>0</v>
      </c>
      <c r="E171" s="6"/>
      <c r="F171" s="43"/>
      <c r="G171" s="6"/>
      <c r="H171" s="42"/>
      <c r="I171" s="42"/>
      <c r="J171" s="42"/>
      <c r="K171" s="284"/>
      <c r="L171" s="285"/>
      <c r="M171" s="286"/>
      <c r="N171" s="5"/>
      <c r="O171" s="43"/>
      <c r="P171" s="47"/>
      <c r="Q171" s="6">
        <v>0</v>
      </c>
      <c r="R171" s="6"/>
      <c r="S171" s="100">
        <v>0</v>
      </c>
    </row>
    <row r="172" spans="1:19" ht="32.25" customHeight="1">
      <c r="A172" s="337"/>
      <c r="B172" s="420" t="s">
        <v>382</v>
      </c>
      <c r="C172" s="421"/>
      <c r="D172" s="42">
        <v>0</v>
      </c>
      <c r="E172" s="6"/>
      <c r="F172" s="43"/>
      <c r="G172" s="6"/>
      <c r="H172" s="42"/>
      <c r="I172" s="42"/>
      <c r="J172" s="42"/>
      <c r="K172" s="284"/>
      <c r="L172" s="285"/>
      <c r="M172" s="286"/>
      <c r="N172" s="5"/>
      <c r="O172" s="43"/>
      <c r="P172" s="47"/>
      <c r="Q172" s="6">
        <v>0</v>
      </c>
      <c r="R172" s="6"/>
      <c r="S172" s="100">
        <v>0</v>
      </c>
    </row>
    <row r="173" spans="1:19" ht="32.25" customHeight="1">
      <c r="A173" s="337">
        <v>10</v>
      </c>
      <c r="B173" s="420" t="s">
        <v>383</v>
      </c>
      <c r="C173" s="421"/>
      <c r="D173" s="42">
        <v>0</v>
      </c>
      <c r="E173" s="6"/>
      <c r="F173" s="43"/>
      <c r="G173" s="6"/>
      <c r="H173" s="42"/>
      <c r="I173" s="42"/>
      <c r="J173" s="42"/>
      <c r="K173" s="284"/>
      <c r="L173" s="285"/>
      <c r="M173" s="286"/>
      <c r="N173" s="5"/>
      <c r="O173" s="43"/>
      <c r="P173" s="47"/>
      <c r="Q173" s="6">
        <v>0</v>
      </c>
      <c r="R173" s="6"/>
      <c r="S173" s="100">
        <v>0</v>
      </c>
    </row>
    <row r="174" spans="1:19" ht="32.25" customHeight="1">
      <c r="A174" s="337"/>
      <c r="B174" s="420" t="s">
        <v>367</v>
      </c>
      <c r="C174" s="421"/>
      <c r="D174" s="42">
        <v>0</v>
      </c>
      <c r="E174" s="6"/>
      <c r="F174" s="43"/>
      <c r="G174" s="6"/>
      <c r="H174" s="42"/>
      <c r="I174" s="42"/>
      <c r="J174" s="42"/>
      <c r="K174" s="284"/>
      <c r="L174" s="285"/>
      <c r="M174" s="286"/>
      <c r="N174" s="5"/>
      <c r="O174" s="43"/>
      <c r="P174" s="47"/>
      <c r="Q174" s="6">
        <v>0</v>
      </c>
      <c r="R174" s="6"/>
      <c r="S174" s="100">
        <v>0</v>
      </c>
    </row>
    <row r="175" spans="1:19" ht="32.25" customHeight="1">
      <c r="A175" s="337"/>
      <c r="B175" s="420" t="s">
        <v>385</v>
      </c>
      <c r="C175" s="421"/>
      <c r="D175" s="42">
        <v>0</v>
      </c>
      <c r="E175" s="6"/>
      <c r="F175" s="43"/>
      <c r="G175" s="6"/>
      <c r="H175" s="42"/>
      <c r="I175" s="42"/>
      <c r="J175" s="42"/>
      <c r="K175" s="284"/>
      <c r="L175" s="285"/>
      <c r="M175" s="286"/>
      <c r="N175" s="5"/>
      <c r="O175" s="43"/>
      <c r="P175" s="47"/>
      <c r="Q175" s="6">
        <v>0</v>
      </c>
      <c r="R175" s="6"/>
      <c r="S175" s="100">
        <v>0</v>
      </c>
    </row>
    <row r="176" spans="1:19" ht="32.25" customHeight="1">
      <c r="A176" s="337">
        <v>11</v>
      </c>
      <c r="B176" s="420" t="s">
        <v>386</v>
      </c>
      <c r="C176" s="421"/>
      <c r="D176" s="42">
        <v>0</v>
      </c>
      <c r="E176" s="6"/>
      <c r="F176" s="43"/>
      <c r="G176" s="6"/>
      <c r="H176" s="42"/>
      <c r="I176" s="42"/>
      <c r="J176" s="42"/>
      <c r="K176" s="284"/>
      <c r="L176" s="285"/>
      <c r="M176" s="286"/>
      <c r="N176" s="5"/>
      <c r="O176" s="43"/>
      <c r="P176" s="47"/>
      <c r="Q176" s="6">
        <v>0</v>
      </c>
      <c r="R176" s="6"/>
      <c r="S176" s="100">
        <v>0</v>
      </c>
    </row>
    <row r="177" spans="1:19" ht="32.25" customHeight="1">
      <c r="A177" s="337"/>
      <c r="B177" s="420" t="s">
        <v>367</v>
      </c>
      <c r="C177" s="421"/>
      <c r="D177" s="42">
        <v>0</v>
      </c>
      <c r="E177" s="6"/>
      <c r="F177" s="43"/>
      <c r="G177" s="6"/>
      <c r="H177" s="42"/>
      <c r="I177" s="42"/>
      <c r="J177" s="42"/>
      <c r="K177" s="284"/>
      <c r="L177" s="285"/>
      <c r="M177" s="286"/>
      <c r="N177" s="5"/>
      <c r="O177" s="43"/>
      <c r="P177" s="47"/>
      <c r="Q177" s="6">
        <v>0</v>
      </c>
      <c r="R177" s="6"/>
      <c r="S177" s="100">
        <v>0</v>
      </c>
    </row>
    <row r="178" spans="1:19" ht="32.25" customHeight="1" thickBot="1">
      <c r="A178" s="39"/>
      <c r="B178" s="50" t="s">
        <v>19</v>
      </c>
      <c r="C178" s="50"/>
      <c r="D178" s="51">
        <v>0</v>
      </c>
      <c r="E178" s="52"/>
      <c r="F178" s="53"/>
      <c r="G178" s="52"/>
      <c r="H178" s="51">
        <f>SUM(H148:H177)</f>
        <v>0</v>
      </c>
      <c r="I178" s="51">
        <f t="shared" ref="I178:M178" si="7">SUM(I148:I177)</f>
        <v>0</v>
      </c>
      <c r="J178" s="51">
        <f t="shared" si="7"/>
        <v>0</v>
      </c>
      <c r="K178" s="51">
        <f t="shared" si="7"/>
        <v>0</v>
      </c>
      <c r="L178" s="51">
        <f t="shared" si="7"/>
        <v>0</v>
      </c>
      <c r="M178" s="51">
        <f t="shared" si="7"/>
        <v>0</v>
      </c>
      <c r="N178" s="57"/>
      <c r="O178" s="53"/>
      <c r="P178" s="51"/>
      <c r="Q178" s="51">
        <v>0</v>
      </c>
      <c r="R178" s="51"/>
      <c r="S178" s="51">
        <v>0</v>
      </c>
    </row>
    <row r="179" spans="1:19" ht="32.25" customHeight="1" thickTop="1">
      <c r="A179" s="39"/>
      <c r="B179" s="58" t="s">
        <v>207</v>
      </c>
      <c r="C179" s="59"/>
      <c r="D179" s="60"/>
      <c r="E179" s="61"/>
      <c r="F179" s="62"/>
      <c r="G179" s="63"/>
      <c r="H179" s="64"/>
      <c r="I179" s="64"/>
      <c r="J179" s="64"/>
      <c r="K179" s="65"/>
      <c r="L179" s="66"/>
      <c r="M179" s="67"/>
      <c r="N179" s="68"/>
      <c r="O179" s="62"/>
      <c r="P179" s="69"/>
      <c r="Q179" s="63"/>
      <c r="R179" s="63"/>
      <c r="S179" s="70"/>
    </row>
    <row r="180" spans="1:19" ht="32.25" customHeight="1">
      <c r="A180" s="39"/>
      <c r="B180" s="40"/>
      <c r="C180" s="41"/>
      <c r="D180" s="42"/>
      <c r="E180" s="6"/>
      <c r="F180" s="43"/>
      <c r="G180" s="6"/>
      <c r="H180" s="42"/>
      <c r="I180" s="42"/>
      <c r="J180" s="42"/>
      <c r="K180" s="343"/>
      <c r="L180" s="344"/>
      <c r="M180" s="345"/>
      <c r="N180" s="5"/>
      <c r="O180" s="43"/>
      <c r="P180" s="47"/>
      <c r="Q180" s="48"/>
      <c r="R180" s="48"/>
      <c r="S180" s="49"/>
    </row>
    <row r="181" spans="1:19" ht="32.25" customHeight="1" thickBot="1">
      <c r="A181" s="39"/>
      <c r="B181" s="50" t="s">
        <v>19</v>
      </c>
      <c r="C181" s="50"/>
      <c r="D181" s="51">
        <v>0</v>
      </c>
      <c r="E181" s="52"/>
      <c r="F181" s="53"/>
      <c r="G181" s="52"/>
      <c r="H181" s="51">
        <v>0</v>
      </c>
      <c r="I181" s="51">
        <v>0</v>
      </c>
      <c r="J181" s="51">
        <v>0</v>
      </c>
      <c r="K181" s="54"/>
      <c r="L181" s="55"/>
      <c r="M181" s="56">
        <f>SUM(M180)</f>
        <v>0</v>
      </c>
      <c r="N181" s="57"/>
      <c r="O181" s="53"/>
      <c r="P181" s="51"/>
      <c r="Q181" s="51"/>
      <c r="R181" s="51"/>
      <c r="S181" s="51"/>
    </row>
    <row r="182" spans="1:19" ht="32.25" customHeight="1" thickTop="1">
      <c r="A182" s="39"/>
      <c r="B182" s="141" t="s">
        <v>210</v>
      </c>
      <c r="C182" s="142"/>
      <c r="D182" s="125"/>
      <c r="E182" s="131"/>
      <c r="F182" s="115"/>
      <c r="G182" s="33"/>
      <c r="H182" s="143"/>
      <c r="I182" s="143"/>
      <c r="J182" s="143"/>
      <c r="K182" s="34"/>
      <c r="L182" s="35"/>
      <c r="M182" s="36"/>
      <c r="N182" s="114"/>
      <c r="O182" s="115"/>
      <c r="P182" s="144"/>
      <c r="Q182" s="33"/>
      <c r="R182" s="33"/>
      <c r="S182" s="145"/>
    </row>
    <row r="183" spans="1:19" s="160" customFormat="1" ht="32.25" customHeight="1">
      <c r="A183" s="106">
        <v>1</v>
      </c>
      <c r="B183" s="142" t="s">
        <v>52</v>
      </c>
      <c r="C183" s="174" t="s">
        <v>211</v>
      </c>
      <c r="D183" s="151">
        <v>518</v>
      </c>
      <c r="E183" s="152" t="s">
        <v>57</v>
      </c>
      <c r="F183" s="346"/>
      <c r="G183" s="346"/>
      <c r="H183" s="153">
        <v>-259</v>
      </c>
      <c r="I183" s="346"/>
      <c r="J183" s="226">
        <v>-259</v>
      </c>
      <c r="K183" s="343" t="s">
        <v>549</v>
      </c>
      <c r="L183" s="277" t="s">
        <v>599</v>
      </c>
      <c r="M183" s="278">
        <v>518</v>
      </c>
      <c r="N183" s="347" t="s">
        <v>57</v>
      </c>
      <c r="O183" s="348"/>
      <c r="P183" s="280"/>
      <c r="Q183" s="153">
        <f>SUM(D183+J183-M183)</f>
        <v>-259</v>
      </c>
      <c r="R183" s="153"/>
      <c r="S183" s="159">
        <f>SUM(Q183)</f>
        <v>-259</v>
      </c>
    </row>
    <row r="184" spans="1:19" s="160" customFormat="1" ht="32.25" customHeight="1">
      <c r="A184" s="106">
        <v>2</v>
      </c>
      <c r="B184" s="161" t="s">
        <v>213</v>
      </c>
      <c r="C184" s="349" t="s">
        <v>214</v>
      </c>
      <c r="D184" s="151">
        <v>0</v>
      </c>
      <c r="E184" s="163"/>
      <c r="F184" s="122"/>
      <c r="G184" s="122"/>
      <c r="H184" s="91">
        <v>0</v>
      </c>
      <c r="I184" s="122"/>
      <c r="J184" s="132">
        <v>0</v>
      </c>
      <c r="K184" s="343"/>
      <c r="L184" s="350"/>
      <c r="M184" s="351"/>
      <c r="N184" s="352"/>
      <c r="O184" s="348"/>
      <c r="P184" s="280"/>
      <c r="Q184" s="153">
        <f t="shared" ref="Q184:Q226" si="8">SUM(D184+J184-M184)</f>
        <v>0</v>
      </c>
      <c r="R184" s="153"/>
      <c r="S184" s="159">
        <f t="shared" ref="S184:S226" si="9">SUM(Q184)</f>
        <v>0</v>
      </c>
    </row>
    <row r="185" spans="1:19" s="160" customFormat="1" ht="32.25" customHeight="1">
      <c r="A185" s="106">
        <v>3</v>
      </c>
      <c r="B185" s="142" t="s">
        <v>60</v>
      </c>
      <c r="C185" s="174" t="s">
        <v>215</v>
      </c>
      <c r="D185" s="151">
        <v>259</v>
      </c>
      <c r="E185" s="163"/>
      <c r="F185" s="122"/>
      <c r="G185" s="122"/>
      <c r="H185" s="91">
        <v>0</v>
      </c>
      <c r="I185" s="122"/>
      <c r="J185" s="132">
        <v>0</v>
      </c>
      <c r="K185" s="343" t="s">
        <v>549</v>
      </c>
      <c r="L185" s="277" t="s">
        <v>600</v>
      </c>
      <c r="M185" s="278">
        <v>259</v>
      </c>
      <c r="N185" s="352"/>
      <c r="O185" s="348"/>
      <c r="P185" s="280"/>
      <c r="Q185" s="153">
        <f t="shared" si="8"/>
        <v>0</v>
      </c>
      <c r="R185" s="153"/>
      <c r="S185" s="159">
        <f t="shared" si="9"/>
        <v>0</v>
      </c>
    </row>
    <row r="186" spans="1:19" s="160" customFormat="1" ht="32.25" customHeight="1">
      <c r="A186" s="106">
        <v>4</v>
      </c>
      <c r="B186" s="142" t="s">
        <v>27</v>
      </c>
      <c r="C186" s="174" t="s">
        <v>217</v>
      </c>
      <c r="D186" s="151">
        <v>259</v>
      </c>
      <c r="E186" s="163"/>
      <c r="F186" s="122"/>
      <c r="G186" s="122"/>
      <c r="H186" s="91">
        <v>0</v>
      </c>
      <c r="I186" s="122"/>
      <c r="J186" s="132">
        <v>0</v>
      </c>
      <c r="K186" s="343" t="s">
        <v>549</v>
      </c>
      <c r="L186" s="277" t="s">
        <v>601</v>
      </c>
      <c r="M186" s="278">
        <v>259</v>
      </c>
      <c r="N186" s="352"/>
      <c r="O186" s="348"/>
      <c r="P186" s="280"/>
      <c r="Q186" s="153">
        <f t="shared" si="8"/>
        <v>0</v>
      </c>
      <c r="R186" s="153"/>
      <c r="S186" s="159">
        <f t="shared" si="9"/>
        <v>0</v>
      </c>
    </row>
    <row r="187" spans="1:19" s="160" customFormat="1" ht="32.25" customHeight="1">
      <c r="A187" s="106">
        <v>5</v>
      </c>
      <c r="B187" s="168" t="s">
        <v>42</v>
      </c>
      <c r="C187" s="174" t="s">
        <v>219</v>
      </c>
      <c r="D187" s="125">
        <v>259</v>
      </c>
      <c r="E187" s="163"/>
      <c r="F187" s="122"/>
      <c r="G187" s="122"/>
      <c r="H187" s="91">
        <v>0</v>
      </c>
      <c r="I187" s="122"/>
      <c r="J187" s="132">
        <v>0</v>
      </c>
      <c r="K187" s="343" t="s">
        <v>549</v>
      </c>
      <c r="L187" s="277" t="s">
        <v>602</v>
      </c>
      <c r="M187" s="278">
        <v>259</v>
      </c>
      <c r="N187" s="352"/>
      <c r="O187" s="348"/>
      <c r="P187" s="280"/>
      <c r="Q187" s="153">
        <f t="shared" si="8"/>
        <v>0</v>
      </c>
      <c r="R187" s="153"/>
      <c r="S187" s="159">
        <f t="shared" si="9"/>
        <v>0</v>
      </c>
    </row>
    <row r="188" spans="1:19" s="160" customFormat="1" ht="32.25" customHeight="1">
      <c r="A188" s="106">
        <v>6</v>
      </c>
      <c r="B188" s="142" t="s">
        <v>69</v>
      </c>
      <c r="C188" s="174" t="s">
        <v>221</v>
      </c>
      <c r="D188" s="151">
        <v>259</v>
      </c>
      <c r="E188" s="163"/>
      <c r="F188" s="122"/>
      <c r="G188" s="122"/>
      <c r="H188" s="91">
        <v>0</v>
      </c>
      <c r="I188" s="122"/>
      <c r="J188" s="132">
        <v>0</v>
      </c>
      <c r="K188" s="343" t="s">
        <v>569</v>
      </c>
      <c r="L188" s="277" t="s">
        <v>603</v>
      </c>
      <c r="M188" s="278">
        <v>259</v>
      </c>
      <c r="N188" s="353"/>
      <c r="O188" s="348"/>
      <c r="P188" s="280"/>
      <c r="Q188" s="91">
        <f t="shared" si="8"/>
        <v>0</v>
      </c>
      <c r="R188" s="91"/>
      <c r="S188" s="77">
        <f t="shared" si="9"/>
        <v>0</v>
      </c>
    </row>
    <row r="189" spans="1:19" ht="32.25" customHeight="1">
      <c r="A189" s="106">
        <v>7</v>
      </c>
      <c r="B189" s="146" t="s">
        <v>75</v>
      </c>
      <c r="C189" s="173" t="s">
        <v>223</v>
      </c>
      <c r="D189" s="151"/>
      <c r="E189" s="163"/>
      <c r="F189" s="115"/>
      <c r="G189" s="115"/>
      <c r="H189" s="131">
        <v>0</v>
      </c>
      <c r="I189" s="115"/>
      <c r="J189" s="132">
        <v>0</v>
      </c>
      <c r="K189" s="356"/>
      <c r="L189" s="350"/>
      <c r="M189" s="351"/>
      <c r="N189" s="352"/>
      <c r="O189" s="348"/>
      <c r="P189" s="280"/>
      <c r="Q189" s="153">
        <f t="shared" si="8"/>
        <v>0</v>
      </c>
      <c r="R189" s="153"/>
      <c r="S189" s="159">
        <f t="shared" si="9"/>
        <v>0</v>
      </c>
    </row>
    <row r="190" spans="1:19" s="160" customFormat="1" ht="32.25" customHeight="1">
      <c r="A190" s="106">
        <v>8</v>
      </c>
      <c r="B190" s="142" t="s">
        <v>77</v>
      </c>
      <c r="C190" s="174" t="s">
        <v>224</v>
      </c>
      <c r="D190" s="151">
        <v>259</v>
      </c>
      <c r="E190" s="163"/>
      <c r="F190" s="122"/>
      <c r="G190" s="122"/>
      <c r="H190" s="91">
        <v>0</v>
      </c>
      <c r="I190" s="122"/>
      <c r="J190" s="132">
        <v>0</v>
      </c>
      <c r="K190" s="343" t="s">
        <v>571</v>
      </c>
      <c r="L190" s="277" t="s">
        <v>604</v>
      </c>
      <c r="M190" s="278">
        <v>259</v>
      </c>
      <c r="N190" s="352"/>
      <c r="O190" s="348"/>
      <c r="P190" s="280"/>
      <c r="Q190" s="153">
        <f t="shared" si="8"/>
        <v>0</v>
      </c>
      <c r="R190" s="153"/>
      <c r="S190" s="159">
        <f t="shared" si="9"/>
        <v>0</v>
      </c>
    </row>
    <row r="191" spans="1:19" s="160" customFormat="1" ht="32.25" customHeight="1">
      <c r="A191" s="106">
        <v>9</v>
      </c>
      <c r="B191" s="142" t="s">
        <v>77</v>
      </c>
      <c r="C191" s="174" t="s">
        <v>226</v>
      </c>
      <c r="D191" s="151">
        <v>259</v>
      </c>
      <c r="E191" s="163"/>
      <c r="F191" s="122"/>
      <c r="G191" s="122"/>
      <c r="H191" s="91">
        <v>0</v>
      </c>
      <c r="I191" s="122"/>
      <c r="J191" s="132">
        <v>0</v>
      </c>
      <c r="K191" s="343" t="s">
        <v>571</v>
      </c>
      <c r="L191" s="277" t="s">
        <v>604</v>
      </c>
      <c r="M191" s="278">
        <v>259</v>
      </c>
      <c r="N191" s="352"/>
      <c r="O191" s="348"/>
      <c r="P191" s="280"/>
      <c r="Q191" s="153">
        <f t="shared" si="8"/>
        <v>0</v>
      </c>
      <c r="R191" s="153"/>
      <c r="S191" s="159">
        <f t="shared" si="9"/>
        <v>0</v>
      </c>
    </row>
    <row r="192" spans="1:19" ht="32.25" customHeight="1">
      <c r="A192" s="106">
        <v>10</v>
      </c>
      <c r="B192" s="146" t="s">
        <v>75</v>
      </c>
      <c r="C192" s="173" t="s">
        <v>227</v>
      </c>
      <c r="D192" s="151"/>
      <c r="E192" s="163"/>
      <c r="F192" s="115"/>
      <c r="G192" s="115"/>
      <c r="H192" s="131">
        <v>0</v>
      </c>
      <c r="I192" s="115"/>
      <c r="J192" s="132">
        <v>0</v>
      </c>
      <c r="K192" s="356"/>
      <c r="L192" s="350"/>
      <c r="M192" s="351"/>
      <c r="N192" s="352"/>
      <c r="O192" s="348"/>
      <c r="P192" s="280"/>
      <c r="Q192" s="153">
        <f t="shared" si="8"/>
        <v>0</v>
      </c>
      <c r="R192" s="153"/>
      <c r="S192" s="159">
        <f t="shared" si="9"/>
        <v>0</v>
      </c>
    </row>
    <row r="193" spans="1:19" s="160" customFormat="1" ht="32.25" customHeight="1">
      <c r="A193" s="106">
        <v>11</v>
      </c>
      <c r="B193" s="142" t="s">
        <v>83</v>
      </c>
      <c r="C193" s="174" t="s">
        <v>228</v>
      </c>
      <c r="D193" s="151">
        <v>259</v>
      </c>
      <c r="E193" s="163"/>
      <c r="F193" s="122"/>
      <c r="G193" s="122"/>
      <c r="H193" s="91">
        <v>0</v>
      </c>
      <c r="I193" s="122"/>
      <c r="J193" s="132">
        <v>0</v>
      </c>
      <c r="K193" s="343" t="s">
        <v>549</v>
      </c>
      <c r="L193" s="277" t="s">
        <v>605</v>
      </c>
      <c r="M193" s="278">
        <v>259</v>
      </c>
      <c r="N193" s="352"/>
      <c r="O193" s="348"/>
      <c r="P193" s="280"/>
      <c r="Q193" s="153">
        <f t="shared" si="8"/>
        <v>0</v>
      </c>
      <c r="R193" s="153"/>
      <c r="S193" s="159">
        <f t="shared" si="9"/>
        <v>0</v>
      </c>
    </row>
    <row r="194" spans="1:19" s="160" customFormat="1" ht="32.25" customHeight="1">
      <c r="A194" s="106">
        <v>12</v>
      </c>
      <c r="B194" s="142" t="s">
        <v>87</v>
      </c>
      <c r="C194" s="174" t="s">
        <v>230</v>
      </c>
      <c r="D194" s="151">
        <v>259</v>
      </c>
      <c r="E194" s="163"/>
      <c r="F194" s="122"/>
      <c r="G194" s="122"/>
      <c r="H194" s="91">
        <v>0</v>
      </c>
      <c r="I194" s="122"/>
      <c r="J194" s="132">
        <v>0</v>
      </c>
      <c r="K194" s="343" t="s">
        <v>574</v>
      </c>
      <c r="L194" s="277" t="s">
        <v>606</v>
      </c>
      <c r="M194" s="278">
        <v>259</v>
      </c>
      <c r="N194" s="352"/>
      <c r="O194" s="348"/>
      <c r="P194" s="280"/>
      <c r="Q194" s="153">
        <f t="shared" si="8"/>
        <v>0</v>
      </c>
      <c r="R194" s="153"/>
      <c r="S194" s="159">
        <f t="shared" si="9"/>
        <v>0</v>
      </c>
    </row>
    <row r="195" spans="1:19" ht="32.25" customHeight="1">
      <c r="A195" s="357">
        <v>13</v>
      </c>
      <c r="B195" s="146" t="s">
        <v>75</v>
      </c>
      <c r="C195" s="173" t="s">
        <v>232</v>
      </c>
      <c r="D195" s="151"/>
      <c r="E195" s="163"/>
      <c r="F195" s="115"/>
      <c r="G195" s="115"/>
      <c r="H195" s="131">
        <v>0</v>
      </c>
      <c r="I195" s="115"/>
      <c r="J195" s="132">
        <v>0</v>
      </c>
      <c r="K195" s="358"/>
      <c r="L195" s="359"/>
      <c r="M195" s="360"/>
      <c r="N195" s="361"/>
      <c r="O195" s="362"/>
      <c r="P195" s="122"/>
      <c r="Q195" s="153">
        <f t="shared" si="8"/>
        <v>0</v>
      </c>
      <c r="R195" s="153"/>
      <c r="S195" s="159">
        <f t="shared" si="9"/>
        <v>0</v>
      </c>
    </row>
    <row r="196" spans="1:19" ht="32.25" customHeight="1">
      <c r="A196" s="106">
        <v>14</v>
      </c>
      <c r="B196" s="142" t="s">
        <v>92</v>
      </c>
      <c r="C196" s="174" t="s">
        <v>233</v>
      </c>
      <c r="D196" s="151"/>
      <c r="E196" s="163"/>
      <c r="F196" s="115"/>
      <c r="G196" s="115"/>
      <c r="H196" s="131">
        <v>0</v>
      </c>
      <c r="I196" s="115"/>
      <c r="J196" s="132">
        <v>0</v>
      </c>
      <c r="K196" s="358"/>
      <c r="L196" s="359"/>
      <c r="M196" s="360"/>
      <c r="N196" s="361"/>
      <c r="O196" s="362"/>
      <c r="P196" s="122"/>
      <c r="Q196" s="153">
        <f t="shared" si="8"/>
        <v>0</v>
      </c>
      <c r="R196" s="153"/>
      <c r="S196" s="159">
        <f t="shared" si="9"/>
        <v>0</v>
      </c>
    </row>
    <row r="197" spans="1:19" ht="32.25" customHeight="1">
      <c r="A197" s="106">
        <v>15</v>
      </c>
      <c r="B197" s="146" t="s">
        <v>75</v>
      </c>
      <c r="C197" s="173" t="s">
        <v>234</v>
      </c>
      <c r="D197" s="151">
        <v>0</v>
      </c>
      <c r="E197" s="163"/>
      <c r="F197" s="115"/>
      <c r="G197" s="115"/>
      <c r="H197" s="131">
        <v>0</v>
      </c>
      <c r="I197" s="115"/>
      <c r="J197" s="132">
        <v>0</v>
      </c>
      <c r="K197" s="358"/>
      <c r="L197" s="359"/>
      <c r="M197" s="360"/>
      <c r="N197" s="361"/>
      <c r="O197" s="362"/>
      <c r="P197" s="122"/>
      <c r="Q197" s="153">
        <f t="shared" si="8"/>
        <v>0</v>
      </c>
      <c r="R197" s="153"/>
      <c r="S197" s="159">
        <f t="shared" si="9"/>
        <v>0</v>
      </c>
    </row>
    <row r="198" spans="1:19" s="160" customFormat="1" ht="32.25" customHeight="1">
      <c r="A198" s="106">
        <v>16</v>
      </c>
      <c r="B198" s="142" t="s">
        <v>95</v>
      </c>
      <c r="C198" s="174" t="s">
        <v>235</v>
      </c>
      <c r="D198" s="151">
        <v>0</v>
      </c>
      <c r="E198" s="163"/>
      <c r="F198" s="122"/>
      <c r="G198" s="122"/>
      <c r="H198" s="91">
        <v>0</v>
      </c>
      <c r="I198" s="122"/>
      <c r="J198" s="132">
        <v>0</v>
      </c>
      <c r="K198" s="363"/>
      <c r="L198" s="363"/>
      <c r="M198" s="364"/>
      <c r="N198" s="361"/>
      <c r="O198" s="362"/>
      <c r="P198" s="122"/>
      <c r="Q198" s="153">
        <f t="shared" si="8"/>
        <v>0</v>
      </c>
      <c r="R198" s="153"/>
      <c r="S198" s="159">
        <f t="shared" si="9"/>
        <v>0</v>
      </c>
    </row>
    <row r="199" spans="1:19" s="160" customFormat="1" ht="32.25" customHeight="1">
      <c r="A199" s="106">
        <v>17</v>
      </c>
      <c r="B199" s="365" t="s">
        <v>236</v>
      </c>
      <c r="C199" s="174" t="s">
        <v>237</v>
      </c>
      <c r="D199" s="151">
        <v>0</v>
      </c>
      <c r="E199" s="163"/>
      <c r="F199" s="122"/>
      <c r="G199" s="122"/>
      <c r="H199" s="91">
        <v>0</v>
      </c>
      <c r="I199" s="122"/>
      <c r="J199" s="132">
        <v>0</v>
      </c>
      <c r="K199" s="358"/>
      <c r="L199" s="359"/>
      <c r="M199" s="360"/>
      <c r="N199" s="361"/>
      <c r="O199" s="362"/>
      <c r="P199" s="122"/>
      <c r="Q199" s="153">
        <f t="shared" si="8"/>
        <v>0</v>
      </c>
      <c r="R199" s="153"/>
      <c r="S199" s="159">
        <f t="shared" si="9"/>
        <v>0</v>
      </c>
    </row>
    <row r="200" spans="1:19" s="160" customFormat="1" ht="32.25" customHeight="1">
      <c r="A200" s="106">
        <v>18</v>
      </c>
      <c r="B200" s="142" t="s">
        <v>99</v>
      </c>
      <c r="C200" s="174" t="s">
        <v>238</v>
      </c>
      <c r="D200" s="151">
        <v>6750</v>
      </c>
      <c r="E200" s="163"/>
      <c r="F200" s="122"/>
      <c r="G200" s="122"/>
      <c r="H200" s="91">
        <v>0</v>
      </c>
      <c r="I200" s="122"/>
      <c r="J200" s="132">
        <v>0</v>
      </c>
      <c r="K200" s="343" t="s">
        <v>549</v>
      </c>
      <c r="L200" s="277" t="s">
        <v>607</v>
      </c>
      <c r="M200" s="278">
        <v>6750</v>
      </c>
      <c r="N200" s="361"/>
      <c r="O200" s="362"/>
      <c r="P200" s="122"/>
      <c r="Q200" s="153">
        <f t="shared" si="8"/>
        <v>0</v>
      </c>
      <c r="R200" s="153"/>
      <c r="S200" s="159">
        <f t="shared" si="9"/>
        <v>0</v>
      </c>
    </row>
    <row r="201" spans="1:19" s="160" customFormat="1" ht="32.25" customHeight="1">
      <c r="A201" s="106">
        <v>19</v>
      </c>
      <c r="B201" s="142" t="s">
        <v>141</v>
      </c>
      <c r="C201" s="193" t="s">
        <v>240</v>
      </c>
      <c r="D201" s="125">
        <v>114.5</v>
      </c>
      <c r="E201" s="152" t="s">
        <v>57</v>
      </c>
      <c r="F201" s="212"/>
      <c r="G201" s="213"/>
      <c r="H201" s="153">
        <v>-1145</v>
      </c>
      <c r="I201" s="125"/>
      <c r="J201" s="132">
        <v>-1145</v>
      </c>
      <c r="K201" s="363"/>
      <c r="L201" s="366"/>
      <c r="M201" s="367"/>
      <c r="N201" s="374" t="s">
        <v>57</v>
      </c>
      <c r="O201" s="362"/>
      <c r="P201" s="221"/>
      <c r="Q201" s="153">
        <f t="shared" si="8"/>
        <v>-1030.5</v>
      </c>
      <c r="R201" s="153"/>
      <c r="S201" s="159">
        <f t="shared" si="9"/>
        <v>-1030.5</v>
      </c>
    </row>
    <row r="202" spans="1:19" s="160" customFormat="1" ht="32.25" customHeight="1">
      <c r="A202" s="106"/>
      <c r="B202" s="222" t="s">
        <v>241</v>
      </c>
      <c r="C202" s="193"/>
      <c r="D202" s="92"/>
      <c r="E202" s="239"/>
      <c r="F202" s="122"/>
      <c r="G202" s="217"/>
      <c r="H202" s="91">
        <v>0</v>
      </c>
      <c r="I202" s="92"/>
      <c r="J202" s="132">
        <v>0</v>
      </c>
      <c r="K202" s="363"/>
      <c r="L202" s="366"/>
      <c r="M202" s="367"/>
      <c r="N202" s="361"/>
      <c r="O202" s="362"/>
      <c r="P202" s="221"/>
      <c r="Q202" s="153">
        <f t="shared" si="8"/>
        <v>0</v>
      </c>
      <c r="R202" s="153"/>
      <c r="S202" s="159">
        <f t="shared" si="9"/>
        <v>0</v>
      </c>
    </row>
    <row r="203" spans="1:19" s="160" customFormat="1" ht="32.25" customHeight="1">
      <c r="A203" s="106"/>
      <c r="B203" s="222" t="s">
        <v>242</v>
      </c>
      <c r="C203" s="193"/>
      <c r="D203" s="92"/>
      <c r="E203" s="239"/>
      <c r="F203" s="122"/>
      <c r="G203" s="217"/>
      <c r="H203" s="91">
        <v>0</v>
      </c>
      <c r="I203" s="92"/>
      <c r="J203" s="132">
        <v>0</v>
      </c>
      <c r="K203" s="363"/>
      <c r="L203" s="366"/>
      <c r="M203" s="367"/>
      <c r="N203" s="361"/>
      <c r="O203" s="362"/>
      <c r="P203" s="221"/>
      <c r="Q203" s="153">
        <f t="shared" si="8"/>
        <v>0</v>
      </c>
      <c r="R203" s="153"/>
      <c r="S203" s="159">
        <f t="shared" si="9"/>
        <v>0</v>
      </c>
    </row>
    <row r="204" spans="1:19" ht="32.25" customHeight="1">
      <c r="A204" s="106">
        <v>20</v>
      </c>
      <c r="B204" s="222" t="s">
        <v>52</v>
      </c>
      <c r="C204" s="193" t="s">
        <v>243</v>
      </c>
      <c r="D204" s="92">
        <v>11.5</v>
      </c>
      <c r="E204" s="369" t="s">
        <v>57</v>
      </c>
      <c r="F204" s="346"/>
      <c r="G204" s="213"/>
      <c r="H204" s="153">
        <v>-115</v>
      </c>
      <c r="I204" s="370"/>
      <c r="J204" s="226">
        <v>-115</v>
      </c>
      <c r="K204" s="358"/>
      <c r="L204" s="359"/>
      <c r="M204" s="371"/>
      <c r="N204" s="368" t="s">
        <v>57</v>
      </c>
      <c r="O204" s="362"/>
      <c r="P204" s="221"/>
      <c r="Q204" s="153">
        <f t="shared" si="8"/>
        <v>-103.5</v>
      </c>
      <c r="R204" s="153"/>
      <c r="S204" s="159">
        <f t="shared" si="9"/>
        <v>-103.5</v>
      </c>
    </row>
    <row r="205" spans="1:19" ht="32.25" customHeight="1">
      <c r="A205" s="116"/>
      <c r="B205" s="222" t="s">
        <v>244</v>
      </c>
      <c r="C205" s="193"/>
      <c r="D205" s="92"/>
      <c r="E205" s="239"/>
      <c r="F205" s="122"/>
      <c r="G205" s="217"/>
      <c r="H205" s="91">
        <v>0</v>
      </c>
      <c r="I205" s="92"/>
      <c r="J205" s="132">
        <v>0</v>
      </c>
      <c r="K205" s="358"/>
      <c r="L205" s="359"/>
      <c r="M205" s="371"/>
      <c r="N205" s="361"/>
      <c r="O205" s="362"/>
      <c r="P205" s="221"/>
      <c r="Q205" s="153">
        <f t="shared" si="8"/>
        <v>0</v>
      </c>
      <c r="R205" s="153"/>
      <c r="S205" s="159">
        <f t="shared" si="9"/>
        <v>0</v>
      </c>
    </row>
    <row r="206" spans="1:19" ht="32.25" customHeight="1">
      <c r="A206" s="116"/>
      <c r="B206" s="222" t="s">
        <v>245</v>
      </c>
      <c r="C206" s="193"/>
      <c r="D206" s="92"/>
      <c r="E206" s="239"/>
      <c r="F206" s="122"/>
      <c r="G206" s="91"/>
      <c r="H206" s="91">
        <v>0</v>
      </c>
      <c r="I206" s="92"/>
      <c r="J206" s="132">
        <v>0</v>
      </c>
      <c r="K206" s="372"/>
      <c r="L206" s="359"/>
      <c r="M206" s="371"/>
      <c r="N206" s="361"/>
      <c r="O206" s="362"/>
      <c r="P206" s="92"/>
      <c r="Q206" s="153">
        <f t="shared" si="8"/>
        <v>0</v>
      </c>
      <c r="R206" s="153"/>
      <c r="S206" s="159">
        <f t="shared" si="9"/>
        <v>0</v>
      </c>
    </row>
    <row r="207" spans="1:19" ht="32.25" customHeight="1">
      <c r="A207" s="106">
        <v>21</v>
      </c>
      <c r="B207" s="222" t="s">
        <v>152</v>
      </c>
      <c r="C207" s="193" t="s">
        <v>246</v>
      </c>
      <c r="D207" s="125">
        <v>70.42</v>
      </c>
      <c r="E207" s="163" t="s">
        <v>57</v>
      </c>
      <c r="F207" s="115"/>
      <c r="G207" s="91"/>
      <c r="H207" s="91">
        <v>-352.06000000000012</v>
      </c>
      <c r="I207" s="125"/>
      <c r="J207" s="132">
        <v>-352.06000000000012</v>
      </c>
      <c r="K207" s="372"/>
      <c r="L207" s="373"/>
      <c r="M207" s="371"/>
      <c r="N207" s="374" t="s">
        <v>57</v>
      </c>
      <c r="O207" s="362"/>
      <c r="P207" s="92"/>
      <c r="Q207" s="153">
        <f t="shared" si="8"/>
        <v>-281.6400000000001</v>
      </c>
      <c r="R207" s="91"/>
      <c r="S207" s="159">
        <f t="shared" si="9"/>
        <v>-281.6400000000001</v>
      </c>
    </row>
    <row r="208" spans="1:19" ht="32.25" customHeight="1">
      <c r="A208" s="106"/>
      <c r="B208" s="664" t="s">
        <v>247</v>
      </c>
      <c r="C208" s="665"/>
      <c r="D208" s="92"/>
      <c r="E208" s="239"/>
      <c r="F208" s="122"/>
      <c r="G208" s="91"/>
      <c r="H208" s="91">
        <v>0</v>
      </c>
      <c r="I208" s="92"/>
      <c r="J208" s="132">
        <v>0</v>
      </c>
      <c r="K208" s="359"/>
      <c r="L208" s="358"/>
      <c r="M208" s="371"/>
      <c r="N208" s="361"/>
      <c r="O208" s="362"/>
      <c r="P208" s="92"/>
      <c r="Q208" s="153">
        <f t="shared" si="8"/>
        <v>0</v>
      </c>
      <c r="R208" s="91"/>
      <c r="S208" s="159">
        <f t="shared" si="9"/>
        <v>0</v>
      </c>
    </row>
    <row r="209" spans="1:19" ht="32.25" customHeight="1">
      <c r="A209" s="106"/>
      <c r="B209" s="652" t="s">
        <v>248</v>
      </c>
      <c r="C209" s="654"/>
      <c r="D209" s="92"/>
      <c r="E209" s="239"/>
      <c r="F209" s="122"/>
      <c r="G209" s="91"/>
      <c r="H209" s="91">
        <v>0</v>
      </c>
      <c r="I209" s="92"/>
      <c r="J209" s="132">
        <v>0</v>
      </c>
      <c r="K209" s="359"/>
      <c r="L209" s="358"/>
      <c r="M209" s="371"/>
      <c r="N209" s="361"/>
      <c r="O209" s="362"/>
      <c r="P209" s="92"/>
      <c r="Q209" s="153">
        <f t="shared" si="8"/>
        <v>0</v>
      </c>
      <c r="R209" s="91"/>
      <c r="S209" s="159">
        <f t="shared" si="9"/>
        <v>0</v>
      </c>
    </row>
    <row r="210" spans="1:19" ht="32.25" customHeight="1">
      <c r="A210" s="106"/>
      <c r="B210" s="375" t="s">
        <v>249</v>
      </c>
      <c r="C210" s="376"/>
      <c r="D210" s="377"/>
      <c r="E210" s="378"/>
      <c r="F210" s="194"/>
      <c r="G210" s="195"/>
      <c r="H210" s="195">
        <v>0</v>
      </c>
      <c r="I210" s="377"/>
      <c r="J210" s="379">
        <v>0</v>
      </c>
      <c r="K210" s="359"/>
      <c r="L210" s="358"/>
      <c r="M210" s="371"/>
      <c r="N210" s="361"/>
      <c r="O210" s="362"/>
      <c r="P210" s="92"/>
      <c r="Q210" s="153">
        <f t="shared" si="8"/>
        <v>0</v>
      </c>
      <c r="R210" s="91"/>
      <c r="S210" s="159">
        <f t="shared" si="9"/>
        <v>0</v>
      </c>
    </row>
    <row r="211" spans="1:19" ht="32.25" customHeight="1">
      <c r="A211" s="106">
        <v>22</v>
      </c>
      <c r="B211" s="222" t="s">
        <v>130</v>
      </c>
      <c r="C211" s="193" t="s">
        <v>250</v>
      </c>
      <c r="D211" s="92">
        <v>0</v>
      </c>
      <c r="E211" s="239"/>
      <c r="F211" s="122"/>
      <c r="G211" s="91"/>
      <c r="H211" s="91">
        <v>0</v>
      </c>
      <c r="I211" s="92"/>
      <c r="J211" s="132">
        <v>0</v>
      </c>
      <c r="K211" s="380"/>
      <c r="L211" s="381"/>
      <c r="M211" s="382"/>
      <c r="N211" s="2"/>
      <c r="O211" s="362"/>
      <c r="P211" s="92"/>
      <c r="Q211" s="153">
        <f t="shared" si="8"/>
        <v>0</v>
      </c>
      <c r="R211" s="91"/>
      <c r="S211" s="159">
        <f t="shared" si="9"/>
        <v>0</v>
      </c>
    </row>
    <row r="212" spans="1:19" ht="32.25" customHeight="1">
      <c r="A212" s="116"/>
      <c r="B212" s="222" t="s">
        <v>251</v>
      </c>
      <c r="C212" s="193"/>
      <c r="D212" s="92"/>
      <c r="E212" s="239"/>
      <c r="F212" s="122"/>
      <c r="G212" s="91"/>
      <c r="H212" s="91">
        <v>0</v>
      </c>
      <c r="I212" s="92"/>
      <c r="J212" s="132">
        <v>0</v>
      </c>
      <c r="K212" s="372"/>
      <c r="L212" s="359"/>
      <c r="M212" s="371"/>
      <c r="N212" s="361"/>
      <c r="O212" s="362"/>
      <c r="P212" s="92"/>
      <c r="Q212" s="153">
        <f t="shared" si="8"/>
        <v>0</v>
      </c>
      <c r="R212" s="383"/>
      <c r="S212" s="159">
        <f t="shared" si="9"/>
        <v>0</v>
      </c>
    </row>
    <row r="213" spans="1:19" ht="32.25" customHeight="1">
      <c r="A213" s="116"/>
      <c r="B213" s="222" t="s">
        <v>253</v>
      </c>
      <c r="C213" s="193"/>
      <c r="D213" s="92"/>
      <c r="E213" s="239"/>
      <c r="F213" s="122"/>
      <c r="G213" s="91"/>
      <c r="H213" s="91">
        <v>0</v>
      </c>
      <c r="I213" s="92"/>
      <c r="J213" s="132">
        <v>0</v>
      </c>
      <c r="K213" s="372"/>
      <c r="L213" s="359"/>
      <c r="M213" s="371"/>
      <c r="N213" s="361"/>
      <c r="O213" s="362"/>
      <c r="P213" s="92"/>
      <c r="Q213" s="153">
        <f t="shared" si="8"/>
        <v>0</v>
      </c>
      <c r="R213" s="383"/>
      <c r="S213" s="159">
        <f t="shared" si="9"/>
        <v>0</v>
      </c>
    </row>
    <row r="214" spans="1:19" ht="32.25" customHeight="1">
      <c r="A214" s="116"/>
      <c r="B214" s="222" t="s">
        <v>255</v>
      </c>
      <c r="C214" s="193"/>
      <c r="D214" s="92">
        <v>25.83</v>
      </c>
      <c r="E214" s="239" t="s">
        <v>57</v>
      </c>
      <c r="F214" s="122"/>
      <c r="G214" s="91"/>
      <c r="H214" s="91">
        <v>-206.68000000000006</v>
      </c>
      <c r="I214" s="92"/>
      <c r="J214" s="132">
        <v>-206.68000000000006</v>
      </c>
      <c r="K214" s="372"/>
      <c r="L214" s="359"/>
      <c r="M214" s="371"/>
      <c r="N214" s="374" t="s">
        <v>57</v>
      </c>
      <c r="O214" s="362"/>
      <c r="P214" s="92"/>
      <c r="Q214" s="153">
        <f t="shared" si="8"/>
        <v>-180.85000000000008</v>
      </c>
      <c r="R214" s="383"/>
      <c r="S214" s="159">
        <f t="shared" si="9"/>
        <v>-180.85000000000008</v>
      </c>
    </row>
    <row r="215" spans="1:19" ht="32.25" customHeight="1">
      <c r="A215" s="116"/>
      <c r="B215" s="222" t="s">
        <v>257</v>
      </c>
      <c r="C215" s="193"/>
      <c r="D215" s="92"/>
      <c r="E215" s="239"/>
      <c r="F215" s="122"/>
      <c r="G215" s="91"/>
      <c r="H215" s="91">
        <v>0</v>
      </c>
      <c r="I215" s="92"/>
      <c r="J215" s="132">
        <v>0</v>
      </c>
      <c r="K215" s="372"/>
      <c r="L215" s="359"/>
      <c r="M215" s="371"/>
      <c r="N215" s="361"/>
      <c r="O215" s="362"/>
      <c r="P215" s="92"/>
      <c r="Q215" s="153">
        <f t="shared" si="8"/>
        <v>0</v>
      </c>
      <c r="R215" s="383"/>
      <c r="S215" s="159">
        <f t="shared" si="9"/>
        <v>0</v>
      </c>
    </row>
    <row r="216" spans="1:19" ht="32.25" customHeight="1">
      <c r="A216" s="116">
        <v>23</v>
      </c>
      <c r="B216" s="142" t="s">
        <v>145</v>
      </c>
      <c r="C216" s="193" t="s">
        <v>258</v>
      </c>
      <c r="D216" s="92">
        <v>29.17</v>
      </c>
      <c r="E216" s="239" t="s">
        <v>57</v>
      </c>
      <c r="F216" s="122"/>
      <c r="G216" s="91"/>
      <c r="H216" s="91">
        <v>-29.129999999999939</v>
      </c>
      <c r="I216" s="92"/>
      <c r="J216" s="132">
        <v>-29.129999999999939</v>
      </c>
      <c r="K216" s="372"/>
      <c r="L216" s="359"/>
      <c r="M216" s="371"/>
      <c r="N216" s="361" t="s">
        <v>57</v>
      </c>
      <c r="O216" s="362"/>
      <c r="P216" s="92"/>
      <c r="Q216" s="153">
        <f t="shared" si="8"/>
        <v>4.0000000000063096E-2</v>
      </c>
      <c r="R216" s="153"/>
      <c r="S216" s="159">
        <f t="shared" si="9"/>
        <v>4.0000000000063096E-2</v>
      </c>
    </row>
    <row r="217" spans="1:19" ht="32.25" customHeight="1">
      <c r="A217" s="116"/>
      <c r="B217" s="384" t="s">
        <v>259</v>
      </c>
      <c r="C217" s="385"/>
      <c r="D217" s="386"/>
      <c r="E217" s="387"/>
      <c r="F217" s="388"/>
      <c r="G217" s="389"/>
      <c r="H217" s="389">
        <v>0</v>
      </c>
      <c r="I217" s="92"/>
      <c r="J217" s="132">
        <v>0</v>
      </c>
      <c r="K217" s="372"/>
      <c r="L217" s="359"/>
      <c r="M217" s="371"/>
      <c r="N217" s="361"/>
      <c r="O217" s="362"/>
      <c r="P217" s="92"/>
      <c r="Q217" s="153">
        <f t="shared" si="8"/>
        <v>0</v>
      </c>
      <c r="R217" s="153"/>
      <c r="S217" s="159">
        <f t="shared" si="9"/>
        <v>0</v>
      </c>
    </row>
    <row r="218" spans="1:19" ht="32.25" customHeight="1">
      <c r="A218" s="116"/>
      <c r="B218" s="384" t="s">
        <v>260</v>
      </c>
      <c r="C218" s="385"/>
      <c r="D218" s="386"/>
      <c r="E218" s="387"/>
      <c r="F218" s="388"/>
      <c r="G218" s="389"/>
      <c r="H218" s="389">
        <v>0</v>
      </c>
      <c r="I218" s="92"/>
      <c r="J218" s="132">
        <v>0</v>
      </c>
      <c r="K218" s="372"/>
      <c r="L218" s="359"/>
      <c r="M218" s="371"/>
      <c r="N218" s="361"/>
      <c r="O218" s="362"/>
      <c r="P218" s="92"/>
      <c r="Q218" s="153">
        <f t="shared" si="8"/>
        <v>0</v>
      </c>
      <c r="R218" s="153"/>
      <c r="S218" s="159">
        <f t="shared" si="9"/>
        <v>0</v>
      </c>
    </row>
    <row r="219" spans="1:19" ht="32.25" customHeight="1">
      <c r="A219" s="116">
        <v>24</v>
      </c>
      <c r="B219" s="142" t="s">
        <v>158</v>
      </c>
      <c r="C219" s="390" t="s">
        <v>261</v>
      </c>
      <c r="D219" s="92">
        <v>24.17</v>
      </c>
      <c r="E219" s="239" t="s">
        <v>57</v>
      </c>
      <c r="F219" s="122"/>
      <c r="G219" s="91"/>
      <c r="H219" s="91">
        <v>-144.97999999999996</v>
      </c>
      <c r="I219" s="92"/>
      <c r="J219" s="132">
        <v>-144.97999999999996</v>
      </c>
      <c r="K219" s="372"/>
      <c r="L219" s="359"/>
      <c r="M219" s="371"/>
      <c r="N219" s="361" t="s">
        <v>57</v>
      </c>
      <c r="O219" s="362"/>
      <c r="P219" s="92"/>
      <c r="Q219" s="153">
        <f t="shared" si="8"/>
        <v>-120.80999999999996</v>
      </c>
      <c r="R219" s="354"/>
      <c r="S219" s="159">
        <f t="shared" si="9"/>
        <v>-120.80999999999996</v>
      </c>
    </row>
    <row r="220" spans="1:19" ht="32.25" customHeight="1">
      <c r="A220" s="116"/>
      <c r="B220" s="275" t="s">
        <v>262</v>
      </c>
      <c r="C220" s="390"/>
      <c r="D220" s="92"/>
      <c r="E220" s="239"/>
      <c r="F220" s="122"/>
      <c r="G220" s="91"/>
      <c r="H220" s="91">
        <v>0</v>
      </c>
      <c r="I220" s="92"/>
      <c r="J220" s="132">
        <v>0</v>
      </c>
      <c r="K220" s="372"/>
      <c r="L220" s="359"/>
      <c r="M220" s="371"/>
      <c r="N220" s="361"/>
      <c r="O220" s="362"/>
      <c r="P220" s="92"/>
      <c r="Q220" s="153">
        <f t="shared" si="8"/>
        <v>0</v>
      </c>
      <c r="R220" s="354"/>
      <c r="S220" s="159">
        <f t="shared" si="9"/>
        <v>0</v>
      </c>
    </row>
    <row r="221" spans="1:19" ht="32.25" customHeight="1">
      <c r="A221" s="116"/>
      <c r="B221" s="275" t="s">
        <v>263</v>
      </c>
      <c r="C221" s="390"/>
      <c r="D221" s="92"/>
      <c r="E221" s="239"/>
      <c r="F221" s="122"/>
      <c r="G221" s="91"/>
      <c r="H221" s="91">
        <v>0</v>
      </c>
      <c r="I221" s="92"/>
      <c r="J221" s="132">
        <v>0</v>
      </c>
      <c r="K221" s="372"/>
      <c r="L221" s="359"/>
      <c r="M221" s="371"/>
      <c r="N221" s="361"/>
      <c r="O221" s="362"/>
      <c r="P221" s="92"/>
      <c r="Q221" s="153">
        <f t="shared" si="8"/>
        <v>0</v>
      </c>
      <c r="R221" s="354"/>
      <c r="S221" s="159">
        <f t="shared" si="9"/>
        <v>0</v>
      </c>
    </row>
    <row r="222" spans="1:19" ht="32.25" customHeight="1">
      <c r="A222" s="116"/>
      <c r="B222" s="275" t="s">
        <v>264</v>
      </c>
      <c r="C222" s="390"/>
      <c r="D222" s="92">
        <v>0</v>
      </c>
      <c r="E222" s="239"/>
      <c r="F222" s="122"/>
      <c r="G222" s="91"/>
      <c r="H222" s="91">
        <v>0</v>
      </c>
      <c r="I222" s="92"/>
      <c r="J222" s="132">
        <v>0</v>
      </c>
      <c r="K222" s="372"/>
      <c r="L222" s="359"/>
      <c r="M222" s="371"/>
      <c r="N222" s="361"/>
      <c r="O222" s="362"/>
      <c r="P222" s="92"/>
      <c r="Q222" s="153">
        <f t="shared" si="8"/>
        <v>0</v>
      </c>
      <c r="R222" s="354"/>
      <c r="S222" s="159">
        <f t="shared" si="9"/>
        <v>0</v>
      </c>
    </row>
    <row r="223" spans="1:19" ht="32.25" customHeight="1">
      <c r="A223" s="116"/>
      <c r="B223" s="275" t="s">
        <v>265</v>
      </c>
      <c r="C223" s="390"/>
      <c r="D223" s="92">
        <v>0</v>
      </c>
      <c r="E223" s="2"/>
      <c r="F223" s="2"/>
      <c r="G223" s="2"/>
      <c r="H223" s="2">
        <v>0</v>
      </c>
      <c r="J223" s="2">
        <v>0</v>
      </c>
      <c r="K223" s="372"/>
      <c r="L223" s="359"/>
      <c r="M223" s="371"/>
      <c r="N223" s="361"/>
      <c r="O223" s="362"/>
      <c r="P223" s="92"/>
      <c r="Q223" s="153">
        <f t="shared" si="8"/>
        <v>0</v>
      </c>
      <c r="R223" s="354"/>
      <c r="S223" s="159">
        <f t="shared" si="9"/>
        <v>0</v>
      </c>
    </row>
    <row r="224" spans="1:19" ht="32.25" customHeight="1">
      <c r="A224" s="116"/>
      <c r="B224" s="142" t="s">
        <v>266</v>
      </c>
      <c r="C224" s="390"/>
      <c r="D224" s="92"/>
      <c r="E224" s="239"/>
      <c r="F224" s="122"/>
      <c r="G224" s="91"/>
      <c r="H224" s="91">
        <v>0</v>
      </c>
      <c r="I224" s="92"/>
      <c r="J224" s="132">
        <v>0</v>
      </c>
      <c r="K224" s="372"/>
      <c r="L224" s="359"/>
      <c r="M224" s="371"/>
      <c r="N224" s="361"/>
      <c r="O224" s="362"/>
      <c r="P224" s="92"/>
      <c r="Q224" s="153">
        <f t="shared" si="8"/>
        <v>0</v>
      </c>
      <c r="R224" s="153"/>
      <c r="S224" s="159">
        <f t="shared" si="9"/>
        <v>0</v>
      </c>
    </row>
    <row r="225" spans="1:19" ht="32.25" customHeight="1">
      <c r="A225" s="116"/>
      <c r="B225" s="142" t="s">
        <v>267</v>
      </c>
      <c r="C225" s="390"/>
      <c r="D225" s="92"/>
      <c r="E225" s="239"/>
      <c r="F225" s="122"/>
      <c r="G225" s="91"/>
      <c r="H225" s="91">
        <v>0</v>
      </c>
      <c r="I225" s="92"/>
      <c r="J225" s="132">
        <v>0</v>
      </c>
      <c r="K225" s="372"/>
      <c r="L225" s="359"/>
      <c r="M225" s="371"/>
      <c r="N225" s="361"/>
      <c r="O225" s="362"/>
      <c r="P225" s="92"/>
      <c r="Q225" s="153">
        <f t="shared" si="8"/>
        <v>0</v>
      </c>
      <c r="R225" s="153"/>
      <c r="S225" s="159">
        <f t="shared" si="9"/>
        <v>0</v>
      </c>
    </row>
    <row r="226" spans="1:19" ht="32.25" customHeight="1">
      <c r="A226" s="106">
        <v>25</v>
      </c>
      <c r="B226" s="142" t="s">
        <v>23</v>
      </c>
      <c r="C226" s="174" t="s">
        <v>268</v>
      </c>
      <c r="D226" s="151"/>
      <c r="E226" s="163"/>
      <c r="F226" s="122"/>
      <c r="G226" s="122"/>
      <c r="H226" s="91">
        <v>0</v>
      </c>
      <c r="I226" s="122"/>
      <c r="J226" s="132">
        <v>0</v>
      </c>
      <c r="K226" s="372"/>
      <c r="L226" s="359"/>
      <c r="M226" s="360"/>
      <c r="N226" s="361"/>
      <c r="O226" s="391"/>
      <c r="P226" s="122"/>
      <c r="Q226" s="153">
        <f t="shared" si="8"/>
        <v>0</v>
      </c>
      <c r="R226" s="153"/>
      <c r="S226" s="159">
        <f t="shared" si="9"/>
        <v>0</v>
      </c>
    </row>
    <row r="227" spans="1:19" ht="32.25" customHeight="1" thickBot="1">
      <c r="A227" s="39"/>
      <c r="B227" s="50" t="s">
        <v>19</v>
      </c>
      <c r="C227" s="50"/>
      <c r="D227" s="51">
        <v>9615.59</v>
      </c>
      <c r="E227" s="52"/>
      <c r="F227" s="53"/>
      <c r="G227" s="52"/>
      <c r="H227" s="51">
        <f>SUM(H183:H226)-H183-H207-H214-H216-H219-H201-H204</f>
        <v>-2.2737367544323206E-13</v>
      </c>
      <c r="I227" s="51">
        <f t="shared" ref="I227:J227" si="10">SUM(I183:I226)-I183-I207-I214-I216-I219-I201-I204</f>
        <v>0</v>
      </c>
      <c r="J227" s="51">
        <f t="shared" si="10"/>
        <v>-2.2737367544323206E-13</v>
      </c>
      <c r="K227" s="54"/>
      <c r="L227" s="55"/>
      <c r="M227" s="56">
        <f>SUM(M183:M226)</f>
        <v>9340</v>
      </c>
      <c r="N227" s="57"/>
      <c r="O227" s="53"/>
      <c r="P227" s="51"/>
      <c r="Q227" s="51">
        <f>SUM(Q183:Q226)-Q183-Q207-Q214-Q216-Q219-Q201-Q204</f>
        <v>0</v>
      </c>
      <c r="R227" s="51">
        <f t="shared" ref="R227:S227" si="11">SUM(R183:R226)-R183-R207-R214-R216-R219-R201-R204</f>
        <v>0</v>
      </c>
      <c r="S227" s="51">
        <f t="shared" si="11"/>
        <v>0</v>
      </c>
    </row>
    <row r="228" spans="1:19" ht="32.25" customHeight="1" thickTop="1">
      <c r="A228" s="39"/>
      <c r="B228" s="58" t="s">
        <v>269</v>
      </c>
      <c r="C228" s="59"/>
      <c r="D228" s="60"/>
      <c r="E228" s="61"/>
      <c r="F228" s="62"/>
      <c r="G228" s="63"/>
      <c r="H228" s="64"/>
      <c r="I228" s="64"/>
      <c r="J228" s="64"/>
      <c r="K228" s="65"/>
      <c r="L228" s="66"/>
      <c r="M228" s="67"/>
      <c r="N228" s="68"/>
      <c r="O228" s="62"/>
      <c r="P228" s="69"/>
      <c r="Q228" s="63"/>
      <c r="R228" s="63"/>
      <c r="S228" s="70"/>
    </row>
    <row r="229" spans="1:19" ht="32.25" customHeight="1">
      <c r="A229" s="39">
        <v>1</v>
      </c>
      <c r="B229" s="142" t="s">
        <v>99</v>
      </c>
      <c r="C229" s="392" t="s">
        <v>270</v>
      </c>
      <c r="D229" s="125">
        <v>0</v>
      </c>
      <c r="E229" s="131"/>
      <c r="F229" s="115"/>
      <c r="G229" s="131"/>
      <c r="H229" s="125">
        <v>0</v>
      </c>
      <c r="I229" s="125"/>
      <c r="J229" s="125">
        <v>0</v>
      </c>
      <c r="K229" s="34"/>
      <c r="L229" s="35"/>
      <c r="M229" s="36"/>
      <c r="N229" s="114"/>
      <c r="O229" s="115"/>
      <c r="P229" s="144"/>
      <c r="Q229" s="131">
        <v>0</v>
      </c>
      <c r="R229" s="33"/>
      <c r="S229" s="77">
        <v>0</v>
      </c>
    </row>
    <row r="230" spans="1:19" ht="32.25" customHeight="1">
      <c r="A230" s="106">
        <v>2</v>
      </c>
      <c r="B230" s="142" t="s">
        <v>99</v>
      </c>
      <c r="C230" s="392" t="s">
        <v>271</v>
      </c>
      <c r="D230" s="125">
        <v>0</v>
      </c>
      <c r="E230" s="131"/>
      <c r="F230" s="115"/>
      <c r="G230" s="131"/>
      <c r="H230" s="125">
        <v>0</v>
      </c>
      <c r="I230" s="125"/>
      <c r="J230" s="125">
        <v>0</v>
      </c>
      <c r="K230" s="34"/>
      <c r="L230" s="35"/>
      <c r="M230" s="36"/>
      <c r="N230" s="114"/>
      <c r="O230" s="115"/>
      <c r="P230" s="144"/>
      <c r="Q230" s="131">
        <v>0</v>
      </c>
      <c r="R230" s="33"/>
      <c r="S230" s="77">
        <v>0</v>
      </c>
    </row>
    <row r="231" spans="1:19" ht="32.25" customHeight="1">
      <c r="A231" s="106">
        <v>3</v>
      </c>
      <c r="B231" s="142" t="s">
        <v>99</v>
      </c>
      <c r="C231" s="392" t="s">
        <v>272</v>
      </c>
      <c r="D231" s="125">
        <v>0</v>
      </c>
      <c r="E231" s="131"/>
      <c r="F231" s="115"/>
      <c r="G231" s="131"/>
      <c r="H231" s="125">
        <v>0</v>
      </c>
      <c r="I231" s="125"/>
      <c r="J231" s="125">
        <v>0</v>
      </c>
      <c r="K231" s="34"/>
      <c r="L231" s="35"/>
      <c r="M231" s="36"/>
      <c r="N231" s="114"/>
      <c r="O231" s="115"/>
      <c r="P231" s="144"/>
      <c r="Q231" s="131">
        <v>0</v>
      </c>
      <c r="R231" s="33"/>
      <c r="S231" s="77">
        <v>0</v>
      </c>
    </row>
    <row r="232" spans="1:19" ht="32.25" customHeight="1">
      <c r="A232" s="106">
        <v>4</v>
      </c>
      <c r="B232" s="142" t="s">
        <v>273</v>
      </c>
      <c r="C232" s="392" t="s">
        <v>274</v>
      </c>
      <c r="D232" s="125">
        <v>0</v>
      </c>
      <c r="E232" s="131"/>
      <c r="F232" s="115"/>
      <c r="G232" s="131"/>
      <c r="H232" s="125">
        <v>0</v>
      </c>
      <c r="I232" s="125"/>
      <c r="J232" s="125">
        <v>0</v>
      </c>
      <c r="K232" s="34"/>
      <c r="L232" s="35"/>
      <c r="M232" s="36"/>
      <c r="N232" s="114"/>
      <c r="O232" s="115"/>
      <c r="P232" s="144"/>
      <c r="Q232" s="131">
        <v>0</v>
      </c>
      <c r="R232" s="33"/>
      <c r="S232" s="77">
        <v>0</v>
      </c>
    </row>
    <row r="233" spans="1:19" ht="32.25" customHeight="1">
      <c r="A233" s="106">
        <v>5</v>
      </c>
      <c r="B233" s="142" t="s">
        <v>273</v>
      </c>
      <c r="C233" s="392" t="s">
        <v>275</v>
      </c>
      <c r="D233" s="125">
        <v>0</v>
      </c>
      <c r="E233" s="131"/>
      <c r="F233" s="115"/>
      <c r="G233" s="131"/>
      <c r="H233" s="125">
        <v>0</v>
      </c>
      <c r="I233" s="125"/>
      <c r="J233" s="125">
        <v>0</v>
      </c>
      <c r="K233" s="34"/>
      <c r="L233" s="35"/>
      <c r="M233" s="36"/>
      <c r="N233" s="114"/>
      <c r="O233" s="115"/>
      <c r="P233" s="144"/>
      <c r="Q233" s="131">
        <v>0</v>
      </c>
      <c r="R233" s="33"/>
      <c r="S233" s="77">
        <v>0</v>
      </c>
    </row>
    <row r="234" spans="1:19" ht="32.25" customHeight="1">
      <c r="A234" s="106">
        <v>6</v>
      </c>
      <c r="B234" s="142" t="s">
        <v>276</v>
      </c>
      <c r="C234" s="392" t="s">
        <v>277</v>
      </c>
      <c r="D234" s="125">
        <v>0</v>
      </c>
      <c r="E234" s="131"/>
      <c r="F234" s="115"/>
      <c r="G234" s="131"/>
      <c r="H234" s="125">
        <v>0</v>
      </c>
      <c r="I234" s="125"/>
      <c r="J234" s="125">
        <v>0</v>
      </c>
      <c r="K234" s="34"/>
      <c r="L234" s="35"/>
      <c r="M234" s="36"/>
      <c r="N234" s="114"/>
      <c r="O234" s="115"/>
      <c r="P234" s="144"/>
      <c r="Q234" s="131">
        <v>0</v>
      </c>
      <c r="R234" s="33"/>
      <c r="S234" s="77">
        <v>0</v>
      </c>
    </row>
    <row r="235" spans="1:19" ht="32.25" customHeight="1">
      <c r="A235" s="106">
        <v>7</v>
      </c>
      <c r="B235" s="142" t="s">
        <v>27</v>
      </c>
      <c r="C235" s="392" t="s">
        <v>278</v>
      </c>
      <c r="D235" s="125">
        <v>0</v>
      </c>
      <c r="E235" s="131"/>
      <c r="F235" s="115"/>
      <c r="G235" s="131"/>
      <c r="H235" s="125">
        <v>0</v>
      </c>
      <c r="I235" s="125"/>
      <c r="J235" s="125">
        <v>0</v>
      </c>
      <c r="K235" s="34"/>
      <c r="L235" s="35"/>
      <c r="M235" s="36"/>
      <c r="N235" s="114"/>
      <c r="O235" s="115"/>
      <c r="P235" s="144"/>
      <c r="Q235" s="131">
        <v>0</v>
      </c>
      <c r="R235" s="33"/>
      <c r="S235" s="77">
        <v>0</v>
      </c>
    </row>
    <row r="236" spans="1:19" ht="32.25" customHeight="1">
      <c r="A236" s="106">
        <v>8</v>
      </c>
      <c r="B236" s="142" t="s">
        <v>42</v>
      </c>
      <c r="C236" s="392" t="s">
        <v>279</v>
      </c>
      <c r="D236" s="125">
        <v>0</v>
      </c>
      <c r="E236" s="131"/>
      <c r="F236" s="115"/>
      <c r="G236" s="131"/>
      <c r="H236" s="125">
        <v>0</v>
      </c>
      <c r="I236" s="125"/>
      <c r="J236" s="125">
        <v>0</v>
      </c>
      <c r="K236" s="343"/>
      <c r="L236" s="307"/>
      <c r="M236" s="308"/>
      <c r="N236" s="114"/>
      <c r="O236" s="115"/>
      <c r="P236" s="144"/>
      <c r="Q236" s="131">
        <v>0</v>
      </c>
      <c r="R236" s="33"/>
      <c r="S236" s="77">
        <v>0</v>
      </c>
    </row>
    <row r="237" spans="1:19" ht="32.25" customHeight="1">
      <c r="A237" s="106">
        <v>9</v>
      </c>
      <c r="B237" s="142" t="s">
        <v>69</v>
      </c>
      <c r="C237" s="392" t="s">
        <v>280</v>
      </c>
      <c r="D237" s="125">
        <v>0</v>
      </c>
      <c r="E237" s="131"/>
      <c r="F237" s="115"/>
      <c r="G237" s="131"/>
      <c r="H237" s="125">
        <v>0</v>
      </c>
      <c r="I237" s="125"/>
      <c r="J237" s="125">
        <v>0</v>
      </c>
      <c r="K237" s="343"/>
      <c r="L237" s="307"/>
      <c r="M237" s="308"/>
      <c r="N237" s="114"/>
      <c r="O237" s="115"/>
      <c r="P237" s="144"/>
      <c r="Q237" s="131">
        <v>0</v>
      </c>
      <c r="R237" s="33"/>
      <c r="S237" s="77">
        <v>0</v>
      </c>
    </row>
    <row r="238" spans="1:19" ht="32.25" customHeight="1">
      <c r="A238" s="106">
        <v>10</v>
      </c>
      <c r="B238" s="142" t="s">
        <v>75</v>
      </c>
      <c r="C238" s="392" t="s">
        <v>281</v>
      </c>
      <c r="D238" s="125">
        <v>0</v>
      </c>
      <c r="E238" s="131"/>
      <c r="F238" s="115"/>
      <c r="G238" s="131"/>
      <c r="H238" s="125">
        <v>0</v>
      </c>
      <c r="I238" s="125"/>
      <c r="J238" s="125">
        <v>0</v>
      </c>
      <c r="K238" s="34"/>
      <c r="L238" s="35"/>
      <c r="M238" s="36"/>
      <c r="N238" s="114"/>
      <c r="O238" s="115"/>
      <c r="P238" s="144"/>
      <c r="Q238" s="131">
        <v>0</v>
      </c>
      <c r="R238" s="33"/>
      <c r="S238" s="77">
        <v>0</v>
      </c>
    </row>
    <row r="239" spans="1:19" ht="32.25" customHeight="1">
      <c r="A239" s="106">
        <v>11</v>
      </c>
      <c r="B239" s="142" t="s">
        <v>77</v>
      </c>
      <c r="C239" s="392" t="s">
        <v>282</v>
      </c>
      <c r="D239" s="125">
        <v>0</v>
      </c>
      <c r="E239" s="131"/>
      <c r="F239" s="115"/>
      <c r="G239" s="131"/>
      <c r="H239" s="125">
        <v>0</v>
      </c>
      <c r="I239" s="125"/>
      <c r="J239" s="125">
        <v>0</v>
      </c>
      <c r="K239" s="34"/>
      <c r="L239" s="35"/>
      <c r="M239" s="36"/>
      <c r="N239" s="114"/>
      <c r="O239" s="115"/>
      <c r="P239" s="144"/>
      <c r="Q239" s="131">
        <v>0</v>
      </c>
      <c r="R239" s="33"/>
      <c r="S239" s="77">
        <v>0</v>
      </c>
    </row>
    <row r="240" spans="1:19" ht="32.25" customHeight="1">
      <c r="A240" s="106">
        <v>12</v>
      </c>
      <c r="B240" s="142" t="s">
        <v>77</v>
      </c>
      <c r="C240" s="392" t="s">
        <v>283</v>
      </c>
      <c r="D240" s="125">
        <v>0</v>
      </c>
      <c r="E240" s="131"/>
      <c r="F240" s="115"/>
      <c r="G240" s="131"/>
      <c r="H240" s="125">
        <v>0</v>
      </c>
      <c r="I240" s="125"/>
      <c r="J240" s="125">
        <v>0</v>
      </c>
      <c r="K240" s="34"/>
      <c r="L240" s="35"/>
      <c r="M240" s="36"/>
      <c r="N240" s="114"/>
      <c r="O240" s="115"/>
      <c r="P240" s="144"/>
      <c r="Q240" s="131">
        <v>0</v>
      </c>
      <c r="R240" s="33"/>
      <c r="S240" s="77">
        <v>0</v>
      </c>
    </row>
    <row r="241" spans="1:19" ht="32.25" customHeight="1">
      <c r="A241" s="106">
        <v>13</v>
      </c>
      <c r="B241" s="142" t="s">
        <v>75</v>
      </c>
      <c r="C241" s="392" t="s">
        <v>284</v>
      </c>
      <c r="D241" s="125">
        <v>0</v>
      </c>
      <c r="E241" s="131"/>
      <c r="F241" s="115"/>
      <c r="G241" s="131"/>
      <c r="H241" s="125">
        <v>0</v>
      </c>
      <c r="I241" s="125"/>
      <c r="J241" s="125">
        <v>0</v>
      </c>
      <c r="K241" s="34"/>
      <c r="L241" s="35"/>
      <c r="M241" s="36"/>
      <c r="N241" s="114"/>
      <c r="O241" s="115"/>
      <c r="P241" s="144"/>
      <c r="Q241" s="131">
        <v>0</v>
      </c>
      <c r="R241" s="33"/>
      <c r="S241" s="77">
        <v>0</v>
      </c>
    </row>
    <row r="242" spans="1:19" ht="32.25" customHeight="1">
      <c r="A242" s="106">
        <v>14</v>
      </c>
      <c r="B242" s="142" t="s">
        <v>83</v>
      </c>
      <c r="C242" s="392" t="s">
        <v>285</v>
      </c>
      <c r="D242" s="125">
        <v>0</v>
      </c>
      <c r="E242" s="131"/>
      <c r="F242" s="115"/>
      <c r="G242" s="131"/>
      <c r="H242" s="125">
        <v>0</v>
      </c>
      <c r="I242" s="125"/>
      <c r="J242" s="125">
        <v>0</v>
      </c>
      <c r="K242" s="34"/>
      <c r="L242" s="35"/>
      <c r="M242" s="36"/>
      <c r="N242" s="114"/>
      <c r="O242" s="115"/>
      <c r="P242" s="144"/>
      <c r="Q242" s="131">
        <v>0</v>
      </c>
      <c r="R242" s="33"/>
      <c r="S242" s="77">
        <v>0</v>
      </c>
    </row>
    <row r="243" spans="1:19" ht="32.25" customHeight="1">
      <c r="A243" s="106">
        <v>15</v>
      </c>
      <c r="B243" s="142" t="s">
        <v>87</v>
      </c>
      <c r="C243" s="392" t="s">
        <v>286</v>
      </c>
      <c r="D243" s="125">
        <v>0</v>
      </c>
      <c r="E243" s="131"/>
      <c r="F243" s="115"/>
      <c r="G243" s="131"/>
      <c r="H243" s="125">
        <v>0</v>
      </c>
      <c r="I243" s="125"/>
      <c r="J243" s="125">
        <v>0</v>
      </c>
      <c r="K243" s="343"/>
      <c r="L243" s="307"/>
      <c r="M243" s="308"/>
      <c r="N243" s="114"/>
      <c r="O243" s="115"/>
      <c r="P243" s="144"/>
      <c r="Q243" s="131">
        <v>0</v>
      </c>
      <c r="R243" s="33"/>
      <c r="S243" s="77">
        <v>0</v>
      </c>
    </row>
    <row r="244" spans="1:19" ht="32.25" customHeight="1">
      <c r="A244" s="106">
        <v>16</v>
      </c>
      <c r="B244" s="142" t="s">
        <v>75</v>
      </c>
      <c r="C244" s="392" t="s">
        <v>287</v>
      </c>
      <c r="D244" s="125">
        <v>0</v>
      </c>
      <c r="E244" s="131"/>
      <c r="F244" s="115"/>
      <c r="G244" s="131"/>
      <c r="H244" s="125">
        <v>0</v>
      </c>
      <c r="I244" s="125"/>
      <c r="J244" s="125">
        <v>0</v>
      </c>
      <c r="K244" s="34"/>
      <c r="L244" s="35"/>
      <c r="M244" s="36"/>
      <c r="N244" s="114"/>
      <c r="O244" s="115"/>
      <c r="P244" s="144"/>
      <c r="Q244" s="131">
        <v>0</v>
      </c>
      <c r="R244" s="33"/>
      <c r="S244" s="77">
        <v>0</v>
      </c>
    </row>
    <row r="245" spans="1:19" ht="32.25" customHeight="1">
      <c r="A245" s="106">
        <v>17</v>
      </c>
      <c r="B245" s="142" t="s">
        <v>92</v>
      </c>
      <c r="C245" s="392" t="s">
        <v>288</v>
      </c>
      <c r="D245" s="125">
        <v>0</v>
      </c>
      <c r="E245" s="131"/>
      <c r="F245" s="115"/>
      <c r="G245" s="131"/>
      <c r="H245" s="125">
        <v>0</v>
      </c>
      <c r="I245" s="125"/>
      <c r="J245" s="125">
        <v>0</v>
      </c>
      <c r="K245" s="34"/>
      <c r="L245" s="35"/>
      <c r="M245" s="36"/>
      <c r="N245" s="114"/>
      <c r="O245" s="115"/>
      <c r="P245" s="144"/>
      <c r="Q245" s="131">
        <v>0</v>
      </c>
      <c r="R245" s="33"/>
      <c r="S245" s="77">
        <v>0</v>
      </c>
    </row>
    <row r="246" spans="1:19" ht="32.25" customHeight="1">
      <c r="A246" s="106">
        <v>18</v>
      </c>
      <c r="B246" s="142" t="s">
        <v>75</v>
      </c>
      <c r="C246" s="392" t="s">
        <v>289</v>
      </c>
      <c r="D246" s="125">
        <v>0</v>
      </c>
      <c r="E246" s="131"/>
      <c r="F246" s="115"/>
      <c r="G246" s="131"/>
      <c r="H246" s="125">
        <v>0</v>
      </c>
      <c r="I246" s="125"/>
      <c r="J246" s="125">
        <v>0</v>
      </c>
      <c r="K246" s="34"/>
      <c r="L246" s="35"/>
      <c r="M246" s="36"/>
      <c r="N246" s="114"/>
      <c r="O246" s="115"/>
      <c r="P246" s="144"/>
      <c r="Q246" s="131">
        <v>0</v>
      </c>
      <c r="R246" s="33"/>
      <c r="S246" s="77">
        <v>0</v>
      </c>
    </row>
    <row r="247" spans="1:19" ht="32.25" customHeight="1">
      <c r="A247" s="106">
        <v>19</v>
      </c>
      <c r="B247" s="142" t="s">
        <v>95</v>
      </c>
      <c r="C247" s="392" t="s">
        <v>290</v>
      </c>
      <c r="D247" s="125">
        <v>0</v>
      </c>
      <c r="E247" s="131"/>
      <c r="F247" s="115"/>
      <c r="G247" s="131"/>
      <c r="H247" s="125">
        <v>0</v>
      </c>
      <c r="I247" s="125"/>
      <c r="J247" s="125">
        <v>0</v>
      </c>
      <c r="K247" s="343"/>
      <c r="L247" s="307"/>
      <c r="M247" s="308"/>
      <c r="N247" s="114"/>
      <c r="O247" s="115"/>
      <c r="P247" s="144"/>
      <c r="Q247" s="131">
        <v>0</v>
      </c>
      <c r="R247" s="33"/>
      <c r="S247" s="77">
        <v>0</v>
      </c>
    </row>
    <row r="248" spans="1:19" ht="32.25" customHeight="1">
      <c r="A248" s="106">
        <v>20</v>
      </c>
      <c r="B248" s="142" t="s">
        <v>236</v>
      </c>
      <c r="C248" s="392" t="s">
        <v>291</v>
      </c>
      <c r="D248" s="125">
        <v>0</v>
      </c>
      <c r="E248" s="131"/>
      <c r="F248" s="115"/>
      <c r="G248" s="131"/>
      <c r="H248" s="125">
        <v>0</v>
      </c>
      <c r="I248" s="125"/>
      <c r="J248" s="125">
        <v>0</v>
      </c>
      <c r="K248" s="343"/>
      <c r="L248" s="307"/>
      <c r="M248" s="308"/>
      <c r="N248" s="114"/>
      <c r="O248" s="115"/>
      <c r="P248" s="144"/>
      <c r="Q248" s="131">
        <v>0</v>
      </c>
      <c r="R248" s="33"/>
      <c r="S248" s="77">
        <v>0</v>
      </c>
    </row>
    <row r="249" spans="1:19" ht="32.25" customHeight="1" thickBot="1">
      <c r="A249" s="39"/>
      <c r="B249" s="50" t="s">
        <v>19</v>
      </c>
      <c r="C249" s="50"/>
      <c r="D249" s="51">
        <v>0</v>
      </c>
      <c r="E249" s="52"/>
      <c r="F249" s="53"/>
      <c r="G249" s="52"/>
      <c r="H249" s="51">
        <v>0</v>
      </c>
      <c r="I249" s="51">
        <v>0</v>
      </c>
      <c r="J249" s="51">
        <v>0</v>
      </c>
      <c r="K249" s="54"/>
      <c r="L249" s="55"/>
      <c r="M249" s="56">
        <v>0</v>
      </c>
      <c r="N249" s="57"/>
      <c r="O249" s="53"/>
      <c r="P249" s="51"/>
      <c r="Q249" s="51">
        <v>0</v>
      </c>
      <c r="R249" s="51">
        <v>0</v>
      </c>
      <c r="S249" s="51">
        <v>0</v>
      </c>
    </row>
    <row r="250" spans="1:19" ht="32.25" customHeight="1" thickTop="1">
      <c r="A250" s="39"/>
      <c r="B250" s="141" t="s">
        <v>292</v>
      </c>
      <c r="C250" s="142"/>
      <c r="D250" s="125"/>
      <c r="E250" s="131"/>
      <c r="F250" s="115"/>
      <c r="G250" s="33"/>
      <c r="H250" s="143"/>
      <c r="I250" s="143"/>
      <c r="J250" s="143"/>
      <c r="K250" s="34"/>
      <c r="L250" s="35"/>
      <c r="M250" s="36"/>
      <c r="N250" s="114"/>
      <c r="O250" s="115"/>
      <c r="P250" s="144"/>
      <c r="Q250" s="33"/>
      <c r="R250" s="33"/>
      <c r="S250" s="145"/>
    </row>
    <row r="251" spans="1:19" ht="32.25" customHeight="1">
      <c r="A251" s="39">
        <v>1</v>
      </c>
      <c r="B251" s="41" t="s">
        <v>152</v>
      </c>
      <c r="C251" s="41" t="s">
        <v>293</v>
      </c>
      <c r="D251" s="42"/>
      <c r="E251" s="6"/>
      <c r="F251" s="43"/>
      <c r="G251" s="6"/>
      <c r="H251" s="42"/>
      <c r="I251" s="42"/>
      <c r="J251" s="42"/>
      <c r="K251" s="44"/>
      <c r="L251" s="45"/>
      <c r="M251" s="46"/>
      <c r="N251" s="5"/>
      <c r="O251" s="43"/>
      <c r="P251" s="47"/>
      <c r="Q251" s="48"/>
      <c r="R251" s="48"/>
      <c r="S251" s="49"/>
    </row>
    <row r="252" spans="1:19" ht="32.25" customHeight="1">
      <c r="A252" s="39">
        <v>2</v>
      </c>
      <c r="B252" s="41" t="s">
        <v>294</v>
      </c>
      <c r="C252" s="41" t="s">
        <v>295</v>
      </c>
      <c r="D252" s="42" t="s">
        <v>296</v>
      </c>
      <c r="E252" s="6"/>
      <c r="F252" s="43"/>
      <c r="G252" s="6"/>
      <c r="H252" s="42"/>
      <c r="I252" s="42"/>
      <c r="J252" s="42"/>
      <c r="K252" s="393"/>
      <c r="L252" s="394"/>
      <c r="M252" s="395"/>
      <c r="N252" s="5"/>
      <c r="O252" s="43"/>
      <c r="P252" s="47"/>
      <c r="Q252" s="48"/>
      <c r="R252" s="48"/>
      <c r="S252" s="49"/>
    </row>
    <row r="253" spans="1:19" ht="32.25" customHeight="1">
      <c r="A253" s="39"/>
      <c r="B253" s="40" t="s">
        <v>297</v>
      </c>
      <c r="C253" s="41"/>
      <c r="D253" s="42"/>
      <c r="E253" s="6"/>
      <c r="F253" s="43"/>
      <c r="G253" s="6"/>
      <c r="H253" s="42"/>
      <c r="I253" s="42"/>
      <c r="J253" s="42"/>
      <c r="K253" s="284"/>
      <c r="L253" s="285"/>
      <c r="M253" s="286"/>
      <c r="N253" s="5"/>
      <c r="O253" s="43"/>
      <c r="P253" s="47"/>
      <c r="Q253" s="48"/>
      <c r="R253" s="48"/>
      <c r="S253" s="49"/>
    </row>
    <row r="254" spans="1:19" ht="32.25" customHeight="1">
      <c r="A254" s="39"/>
      <c r="B254" s="40" t="s">
        <v>298</v>
      </c>
      <c r="C254" s="41"/>
      <c r="D254" s="42"/>
      <c r="E254" s="6"/>
      <c r="F254" s="43"/>
      <c r="G254" s="6"/>
      <c r="H254" s="42"/>
      <c r="I254" s="42"/>
      <c r="J254" s="42"/>
      <c r="K254" s="284"/>
      <c r="L254" s="285"/>
      <c r="M254" s="286"/>
      <c r="N254" s="5"/>
      <c r="O254" s="43"/>
      <c r="P254" s="47"/>
      <c r="Q254" s="48"/>
      <c r="R254" s="48"/>
      <c r="S254" s="49"/>
    </row>
    <row r="255" spans="1:19" ht="32.25" customHeight="1">
      <c r="A255" s="39">
        <v>3</v>
      </c>
      <c r="B255" s="40" t="s">
        <v>130</v>
      </c>
      <c r="C255" s="41" t="s">
        <v>299</v>
      </c>
      <c r="D255" s="42"/>
      <c r="E255" s="6"/>
      <c r="F255" s="43"/>
      <c r="G255" s="6"/>
      <c r="H255" s="42"/>
      <c r="I255" s="42"/>
      <c r="J255" s="42"/>
      <c r="K255" s="284"/>
      <c r="L255" s="285"/>
      <c r="M255" s="286"/>
      <c r="N255" s="5"/>
      <c r="O255" s="43"/>
      <c r="P255" s="47"/>
      <c r="Q255" s="48"/>
      <c r="R255" s="48"/>
      <c r="S255" s="49"/>
    </row>
    <row r="256" spans="1:19" ht="32.25" customHeight="1">
      <c r="A256" s="39">
        <v>4</v>
      </c>
      <c r="B256" s="40" t="s">
        <v>276</v>
      </c>
      <c r="C256" s="41" t="s">
        <v>302</v>
      </c>
      <c r="D256" s="42"/>
      <c r="E256" s="6"/>
      <c r="F256" s="43"/>
      <c r="G256" s="6"/>
      <c r="H256" s="42"/>
      <c r="I256" s="42"/>
      <c r="J256" s="42"/>
      <c r="K256" s="284"/>
      <c r="L256" s="285"/>
      <c r="M256" s="286"/>
      <c r="N256" s="5"/>
      <c r="O256" s="43"/>
      <c r="P256" s="47"/>
      <c r="Q256" s="48"/>
      <c r="R256" s="48"/>
      <c r="S256" s="49"/>
    </row>
    <row r="257" spans="1:19" ht="32.25" customHeight="1">
      <c r="A257" s="39">
        <v>5</v>
      </c>
      <c r="B257" s="40" t="s">
        <v>192</v>
      </c>
      <c r="C257" s="41" t="s">
        <v>306</v>
      </c>
      <c r="D257" s="42"/>
      <c r="E257" s="6"/>
      <c r="F257" s="43"/>
      <c r="G257" s="6"/>
      <c r="H257" s="42"/>
      <c r="I257" s="42"/>
      <c r="J257" s="42"/>
      <c r="K257" s="284"/>
      <c r="L257" s="285"/>
      <c r="M257" s="286"/>
      <c r="N257" s="5"/>
      <c r="O257" s="43"/>
      <c r="P257" s="47"/>
      <c r="Q257" s="48"/>
      <c r="R257" s="48"/>
      <c r="S257" s="49"/>
    </row>
    <row r="258" spans="1:19" ht="32.25" customHeight="1">
      <c r="A258" s="39">
        <v>6</v>
      </c>
      <c r="B258" s="40" t="s">
        <v>387</v>
      </c>
      <c r="C258" s="41" t="s">
        <v>388</v>
      </c>
      <c r="D258" s="42">
        <v>0</v>
      </c>
      <c r="E258" s="6"/>
      <c r="F258" s="43"/>
      <c r="G258" s="6"/>
      <c r="H258" s="42"/>
      <c r="I258" s="42"/>
      <c r="J258" s="42"/>
      <c r="K258" s="284"/>
      <c r="L258" s="285"/>
      <c r="M258" s="286"/>
      <c r="N258" s="5"/>
      <c r="O258" s="43"/>
      <c r="P258" s="47"/>
      <c r="Q258" s="48"/>
      <c r="R258" s="48"/>
      <c r="S258" s="49"/>
    </row>
    <row r="259" spans="1:19" ht="32.25" customHeight="1">
      <c r="A259" s="39"/>
      <c r="B259" s="40" t="s">
        <v>391</v>
      </c>
      <c r="C259" s="41"/>
      <c r="D259" s="42">
        <v>0</v>
      </c>
      <c r="E259" s="6"/>
      <c r="F259" s="43"/>
      <c r="G259" s="6"/>
      <c r="H259" s="42">
        <v>0</v>
      </c>
      <c r="I259" s="42">
        <v>0</v>
      </c>
      <c r="J259" s="42">
        <v>0</v>
      </c>
      <c r="K259" s="284"/>
      <c r="L259" s="285"/>
      <c r="M259" s="286"/>
      <c r="N259" s="5"/>
      <c r="O259" s="43"/>
      <c r="P259" s="47"/>
      <c r="Q259" s="48"/>
      <c r="R259" s="48"/>
      <c r="S259" s="49"/>
    </row>
    <row r="260" spans="1:19" ht="32.25" customHeight="1" thickBot="1">
      <c r="A260" s="39"/>
      <c r="B260" s="50" t="s">
        <v>19</v>
      </c>
      <c r="C260" s="50"/>
      <c r="D260" s="51">
        <v>0</v>
      </c>
      <c r="E260" s="52"/>
      <c r="F260" s="53"/>
      <c r="G260" s="52"/>
      <c r="H260" s="51">
        <f>SUM(H258:H259)</f>
        <v>0</v>
      </c>
      <c r="I260" s="51">
        <v>0</v>
      </c>
      <c r="J260" s="51">
        <f>SUM(J251:J259)</f>
        <v>0</v>
      </c>
      <c r="K260" s="54"/>
      <c r="L260" s="55"/>
      <c r="M260" s="56">
        <f>SUM(M258:M259)</f>
        <v>0</v>
      </c>
      <c r="N260" s="57"/>
      <c r="O260" s="53"/>
      <c r="P260" s="51"/>
      <c r="Q260" s="51"/>
      <c r="R260" s="51"/>
      <c r="S260" s="51"/>
    </row>
    <row r="261" spans="1:19" ht="32.25" customHeight="1" thickTop="1" thickBot="1">
      <c r="A261" s="396"/>
      <c r="B261" s="397" t="s">
        <v>309</v>
      </c>
      <c r="C261" s="398"/>
      <c r="D261" s="399">
        <f>SUM(D9+D16+D21+D42+D45+D48+D51+D87+D116+D131+D146+D178+D181+D227+D249+D260)</f>
        <v>178623.72</v>
      </c>
      <c r="E261" s="399">
        <f t="shared" ref="E261:S261" si="12">SUM(E9+E16+E21+E42+E45+E48+E51+E87+E116+E131+E146+E178+E181+E227+E249+E260)</f>
        <v>0</v>
      </c>
      <c r="F261" s="399">
        <f t="shared" si="12"/>
        <v>0</v>
      </c>
      <c r="G261" s="399">
        <f t="shared" si="12"/>
        <v>0</v>
      </c>
      <c r="H261" s="399">
        <f t="shared" si="12"/>
        <v>2819.9999999999982</v>
      </c>
      <c r="I261" s="399">
        <f t="shared" si="12"/>
        <v>197.4</v>
      </c>
      <c r="J261" s="399">
        <f t="shared" si="12"/>
        <v>3017.3999999999978</v>
      </c>
      <c r="K261" s="399">
        <f t="shared" si="12"/>
        <v>0</v>
      </c>
      <c r="L261" s="399">
        <f t="shared" si="12"/>
        <v>0</v>
      </c>
      <c r="M261" s="399">
        <f t="shared" si="12"/>
        <v>174900.32</v>
      </c>
      <c r="N261" s="399">
        <f t="shared" si="12"/>
        <v>0</v>
      </c>
      <c r="O261" s="399">
        <f t="shared" si="12"/>
        <v>0</v>
      </c>
      <c r="P261" s="399">
        <f t="shared" si="12"/>
        <v>0</v>
      </c>
      <c r="Q261" s="399">
        <f t="shared" si="12"/>
        <v>2720.0000000000018</v>
      </c>
      <c r="R261" s="399">
        <f t="shared" si="12"/>
        <v>190.4</v>
      </c>
      <c r="S261" s="399">
        <f t="shared" si="12"/>
        <v>2910.4000000000019</v>
      </c>
    </row>
    <row r="262" spans="1:19" ht="17.399999999999999" thickTop="1">
      <c r="K262" s="404"/>
      <c r="L262" s="404"/>
      <c r="M262" s="2"/>
    </row>
    <row r="263" spans="1:19">
      <c r="K263" s="404"/>
      <c r="L263" s="404"/>
      <c r="M263" s="2"/>
    </row>
    <row r="264" spans="1:19">
      <c r="K264" s="404"/>
      <c r="L264" s="404"/>
      <c r="M264" s="2"/>
    </row>
    <row r="265" spans="1:19">
      <c r="K265" s="404"/>
      <c r="L265" s="404"/>
      <c r="M265" s="2"/>
    </row>
    <row r="266" spans="1:19">
      <c r="K266" s="404"/>
      <c r="L266" s="404"/>
      <c r="M266" s="2"/>
    </row>
    <row r="267" spans="1:19" s="406" customFormat="1" ht="32.25" customHeight="1">
      <c r="A267" s="2"/>
      <c r="B267" s="643"/>
      <c r="C267" s="642"/>
      <c r="D267" s="642"/>
      <c r="E267" s="1"/>
      <c r="F267" s="407"/>
      <c r="G267" s="1"/>
      <c r="H267" s="408"/>
      <c r="I267" s="409"/>
      <c r="J267" s="408"/>
      <c r="K267" s="410"/>
      <c r="L267" s="411"/>
      <c r="M267" s="666"/>
      <c r="N267" s="642"/>
      <c r="O267" s="642"/>
      <c r="P267" s="642"/>
      <c r="Q267" s="412"/>
      <c r="S267" s="2"/>
    </row>
    <row r="268" spans="1:19" s="406" customFormat="1" ht="32.25" customHeight="1">
      <c r="A268" s="2"/>
      <c r="B268" s="413"/>
      <c r="C268" s="667"/>
      <c r="D268" s="642"/>
      <c r="E268" s="1"/>
      <c r="F268" s="407"/>
      <c r="G268" s="1"/>
      <c r="H268" s="667"/>
      <c r="I268" s="642"/>
      <c r="J268" s="642"/>
      <c r="K268" s="642"/>
      <c r="L268" s="411"/>
      <c r="M268" s="668"/>
      <c r="N268" s="642"/>
      <c r="O268" s="642"/>
      <c r="P268" s="642"/>
      <c r="Q268" s="412"/>
      <c r="S268" s="2"/>
    </row>
    <row r="269" spans="1:19" s="406" customFormat="1" ht="32.25" customHeight="1">
      <c r="A269" s="2"/>
      <c r="B269" s="413"/>
      <c r="C269" s="662"/>
      <c r="D269" s="642"/>
      <c r="E269" s="1"/>
      <c r="F269" s="407"/>
      <c r="G269" s="1"/>
      <c r="H269" s="663"/>
      <c r="I269" s="642"/>
      <c r="J269" s="642"/>
      <c r="K269" s="410"/>
      <c r="L269" s="641"/>
      <c r="M269" s="642"/>
      <c r="N269" s="642"/>
      <c r="O269" s="642"/>
      <c r="P269" s="642"/>
      <c r="Q269" s="642"/>
      <c r="S269" s="2"/>
    </row>
  </sheetData>
  <mergeCells count="28">
    <mergeCell ref="B86:D86"/>
    <mergeCell ref="A1:S1"/>
    <mergeCell ref="A2:S2"/>
    <mergeCell ref="A3:S3"/>
    <mergeCell ref="B4:B6"/>
    <mergeCell ref="C4:C6"/>
    <mergeCell ref="E4:J4"/>
    <mergeCell ref="K4:M4"/>
    <mergeCell ref="N4:S4"/>
    <mergeCell ref="H5:J5"/>
    <mergeCell ref="Q5:S5"/>
    <mergeCell ref="B72:D72"/>
    <mergeCell ref="B74:D74"/>
    <mergeCell ref="B76:D76"/>
    <mergeCell ref="B78:D78"/>
    <mergeCell ref="B80:D80"/>
    <mergeCell ref="K99:M99"/>
    <mergeCell ref="B107:C107"/>
    <mergeCell ref="B208:C208"/>
    <mergeCell ref="B209:C209"/>
    <mergeCell ref="B267:D267"/>
    <mergeCell ref="M267:P267"/>
    <mergeCell ref="C268:D268"/>
    <mergeCell ref="H268:K268"/>
    <mergeCell ref="M268:P268"/>
    <mergeCell ref="C269:D269"/>
    <mergeCell ref="H269:J269"/>
    <mergeCell ref="L269:Q269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275D-8081-4564-BE9E-BFDF91E33518}">
  <sheetPr>
    <tabColor rgb="FF92D050"/>
  </sheetPr>
  <dimension ref="A1:H94"/>
  <sheetViews>
    <sheetView zoomScale="70" zoomScaleNormal="70" workbookViewId="0">
      <pane ySplit="6" topLeftCell="A73" activePane="bottomLeft" state="frozen"/>
      <selection pane="bottomLeft" activeCell="G90" sqref="G90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17.6640625" style="414" customWidth="1"/>
    <col min="5" max="5" width="25" style="414" customWidth="1"/>
    <col min="6" max="6" width="16.109375" style="192" customWidth="1"/>
    <col min="7" max="7" width="12.5546875" style="2"/>
    <col min="8" max="8" width="21" style="2" customWidth="1"/>
    <col min="9" max="16384" width="12.5546875" style="2"/>
  </cols>
  <sheetData>
    <row r="1" spans="1:8" ht="22.5" customHeight="1">
      <c r="A1" s="643" t="s">
        <v>0</v>
      </c>
      <c r="B1" s="642"/>
      <c r="C1" s="642"/>
      <c r="D1" s="642"/>
      <c r="E1" s="642"/>
      <c r="F1" s="642"/>
    </row>
    <row r="2" spans="1:8" ht="27" customHeight="1">
      <c r="A2" s="643" t="s">
        <v>1</v>
      </c>
      <c r="B2" s="642"/>
      <c r="C2" s="642"/>
      <c r="D2" s="642"/>
      <c r="E2" s="642"/>
      <c r="F2" s="642"/>
    </row>
    <row r="3" spans="1:8" ht="22.5" customHeight="1">
      <c r="A3" s="644" t="s">
        <v>538</v>
      </c>
      <c r="B3" s="645"/>
      <c r="C3" s="645"/>
      <c r="D3" s="645"/>
      <c r="E3" s="645"/>
      <c r="F3" s="645"/>
    </row>
    <row r="4" spans="1:8" ht="34.5" customHeight="1">
      <c r="A4" s="3" t="s">
        <v>3</v>
      </c>
      <c r="B4" s="646" t="s">
        <v>4</v>
      </c>
      <c r="C4" s="646" t="s">
        <v>5</v>
      </c>
      <c r="D4" s="669" t="s">
        <v>8</v>
      </c>
      <c r="E4" s="670"/>
      <c r="F4" s="671"/>
    </row>
    <row r="5" spans="1:8" ht="24.75" customHeight="1">
      <c r="A5" s="5"/>
      <c r="B5" s="647"/>
      <c r="C5" s="647"/>
      <c r="D5" s="9" t="s">
        <v>14</v>
      </c>
      <c r="E5" s="10" t="s">
        <v>15</v>
      </c>
      <c r="F5" s="11" t="s">
        <v>16</v>
      </c>
    </row>
    <row r="6" spans="1:8" ht="27.75" customHeight="1" thickBot="1">
      <c r="A6" s="14"/>
      <c r="B6" s="648"/>
      <c r="C6" s="648"/>
      <c r="D6" s="21"/>
      <c r="E6" s="22"/>
      <c r="F6" s="23"/>
    </row>
    <row r="7" spans="1:8" ht="32.25" customHeight="1" thickTop="1">
      <c r="A7" s="39"/>
      <c r="B7" s="58" t="s">
        <v>22</v>
      </c>
      <c r="C7" s="59"/>
      <c r="D7" s="65"/>
      <c r="E7" s="66"/>
      <c r="F7" s="67"/>
    </row>
    <row r="8" spans="1:8" s="78" customFormat="1" ht="32.25" customHeight="1">
      <c r="A8" s="39">
        <v>1</v>
      </c>
      <c r="B8" s="71" t="s">
        <v>23</v>
      </c>
      <c r="C8" s="71" t="s">
        <v>24</v>
      </c>
      <c r="D8" s="74" t="s">
        <v>539</v>
      </c>
      <c r="E8" s="75" t="s">
        <v>540</v>
      </c>
      <c r="F8" s="76">
        <v>2198.85</v>
      </c>
    </row>
    <row r="9" spans="1:8" s="78" customFormat="1" ht="32.25" customHeight="1">
      <c r="A9" s="39">
        <v>2</v>
      </c>
      <c r="B9" s="71" t="s">
        <v>27</v>
      </c>
      <c r="C9" s="71" t="s">
        <v>24</v>
      </c>
      <c r="D9" s="74" t="s">
        <v>539</v>
      </c>
      <c r="E9" s="75" t="s">
        <v>541</v>
      </c>
      <c r="F9" s="76">
        <v>553.19000000000005</v>
      </c>
    </row>
    <row r="10" spans="1:8" s="78" customFormat="1" ht="32.25" customHeight="1">
      <c r="A10" s="39">
        <v>3</v>
      </c>
      <c r="B10" s="71" t="s">
        <v>30</v>
      </c>
      <c r="C10" s="71" t="s">
        <v>24</v>
      </c>
      <c r="D10" s="74" t="s">
        <v>539</v>
      </c>
      <c r="E10" s="75" t="s">
        <v>542</v>
      </c>
      <c r="F10" s="76">
        <v>218.28</v>
      </c>
    </row>
    <row r="11" spans="1:8" ht="32.25" customHeight="1" thickBot="1">
      <c r="A11" s="39"/>
      <c r="B11" s="50" t="s">
        <v>19</v>
      </c>
      <c r="C11" s="50"/>
      <c r="D11" s="83"/>
      <c r="E11" s="84"/>
      <c r="F11" s="56">
        <v>2970.32</v>
      </c>
      <c r="H11" s="406">
        <f>SUM(F8:F10)</f>
        <v>2970.32</v>
      </c>
    </row>
    <row r="12" spans="1:8" ht="32.25" customHeight="1" thickTop="1">
      <c r="A12" s="39"/>
      <c r="B12" s="58" t="s">
        <v>32</v>
      </c>
      <c r="C12" s="59"/>
      <c r="D12" s="65"/>
      <c r="E12" s="66"/>
      <c r="F12" s="67"/>
    </row>
    <row r="13" spans="1:8" s="78" customFormat="1" ht="32.25" customHeight="1">
      <c r="A13" s="39">
        <v>1</v>
      </c>
      <c r="B13" s="71" t="s">
        <v>23</v>
      </c>
      <c r="C13" s="71" t="s">
        <v>33</v>
      </c>
      <c r="D13" s="74" t="s">
        <v>539</v>
      </c>
      <c r="E13" s="90" t="s">
        <v>543</v>
      </c>
      <c r="F13" s="76">
        <v>780</v>
      </c>
    </row>
    <row r="14" spans="1:8" s="78" customFormat="1" ht="32.25" customHeight="1">
      <c r="A14" s="39">
        <v>2</v>
      </c>
      <c r="B14" s="71" t="s">
        <v>27</v>
      </c>
      <c r="C14" s="71" t="s">
        <v>33</v>
      </c>
      <c r="D14" s="74" t="s">
        <v>539</v>
      </c>
      <c r="E14" s="94" t="s">
        <v>544</v>
      </c>
      <c r="F14" s="76">
        <v>210</v>
      </c>
    </row>
    <row r="15" spans="1:8" ht="32.25" customHeight="1" thickBot="1">
      <c r="A15" s="39"/>
      <c r="B15" s="50" t="s">
        <v>19</v>
      </c>
      <c r="C15" s="50"/>
      <c r="D15" s="101"/>
      <c r="E15" s="102"/>
      <c r="F15" s="103">
        <v>990</v>
      </c>
      <c r="H15" s="406">
        <f>SUM(F13:F14)</f>
        <v>990</v>
      </c>
    </row>
    <row r="16" spans="1:8" ht="32.25" hidden="1" customHeight="1" thickBot="1">
      <c r="A16" s="104" t="s">
        <v>36</v>
      </c>
      <c r="B16" s="104" t="s">
        <v>37</v>
      </c>
      <c r="C16" s="105">
        <v>780</v>
      </c>
      <c r="D16" s="65"/>
      <c r="E16" s="66"/>
      <c r="F16" s="67"/>
    </row>
    <row r="17" spans="1:6" ht="32.25" hidden="1" customHeight="1" thickTop="1">
      <c r="A17" s="104" t="s">
        <v>36</v>
      </c>
      <c r="B17" s="104" t="s">
        <v>38</v>
      </c>
      <c r="C17" s="105">
        <v>180</v>
      </c>
      <c r="D17" s="44"/>
      <c r="E17" s="45"/>
      <c r="F17" s="46"/>
    </row>
    <row r="18" spans="1:6" ht="32.25" hidden="1" customHeight="1" thickTop="1">
      <c r="A18" s="39"/>
      <c r="B18" s="50" t="s">
        <v>19</v>
      </c>
      <c r="C18" s="50"/>
      <c r="D18" s="54"/>
      <c r="E18" s="55"/>
      <c r="F18" s="56"/>
    </row>
    <row r="19" spans="1:6" ht="32.25" hidden="1" customHeight="1" thickTop="1">
      <c r="A19" s="39"/>
      <c r="B19" s="58" t="s">
        <v>39</v>
      </c>
      <c r="C19" s="59"/>
      <c r="D19" s="65"/>
      <c r="E19" s="66"/>
      <c r="F19" s="67"/>
    </row>
    <row r="20" spans="1:6" ht="32.25" hidden="1" customHeight="1" thickTop="1">
      <c r="A20" s="39">
        <v>1</v>
      </c>
      <c r="B20" s="40"/>
      <c r="C20" s="41"/>
      <c r="D20" s="44"/>
      <c r="E20" s="45"/>
      <c r="F20" s="46"/>
    </row>
    <row r="21" spans="1:6" ht="32.25" hidden="1" customHeight="1" thickTop="1">
      <c r="A21" s="39"/>
      <c r="B21" s="50" t="s">
        <v>19</v>
      </c>
      <c r="C21" s="50"/>
      <c r="D21" s="54"/>
      <c r="E21" s="55"/>
      <c r="F21" s="56"/>
    </row>
    <row r="22" spans="1:6" ht="32.25" hidden="1" customHeight="1" thickTop="1">
      <c r="A22" s="39"/>
      <c r="B22" s="58" t="s">
        <v>40</v>
      </c>
      <c r="C22" s="59"/>
      <c r="D22" s="65"/>
      <c r="E22" s="66"/>
      <c r="F22" s="67"/>
    </row>
    <row r="23" spans="1:6" ht="32.25" hidden="1" customHeight="1" thickTop="1">
      <c r="A23" s="39">
        <v>1</v>
      </c>
      <c r="B23" s="40"/>
      <c r="C23" s="41"/>
      <c r="D23" s="44"/>
      <c r="E23" s="45"/>
      <c r="F23" s="46"/>
    </row>
    <row r="24" spans="1:6" ht="32.25" hidden="1" customHeight="1" thickTop="1">
      <c r="A24" s="39"/>
      <c r="B24" s="50" t="s">
        <v>19</v>
      </c>
      <c r="C24" s="50"/>
      <c r="D24" s="54"/>
      <c r="E24" s="55"/>
      <c r="F24" s="56"/>
    </row>
    <row r="25" spans="1:6" ht="32.25" customHeight="1" thickTop="1">
      <c r="A25" s="39"/>
      <c r="B25" s="58" t="s">
        <v>41</v>
      </c>
      <c r="C25" s="59"/>
      <c r="D25" s="65"/>
      <c r="E25" s="66"/>
      <c r="F25" s="67"/>
    </row>
    <row r="26" spans="1:6" ht="32.25" customHeight="1">
      <c r="A26" s="106">
        <v>1</v>
      </c>
      <c r="B26" s="107" t="s">
        <v>545</v>
      </c>
      <c r="C26" s="107" t="s">
        <v>400</v>
      </c>
      <c r="D26" s="74" t="s">
        <v>549</v>
      </c>
      <c r="E26" s="75" t="s">
        <v>550</v>
      </c>
      <c r="F26" s="76">
        <v>642</v>
      </c>
    </row>
    <row r="27" spans="1:6" ht="32.25" customHeight="1">
      <c r="A27" s="106">
        <v>2</v>
      </c>
      <c r="B27" s="117" t="s">
        <v>404</v>
      </c>
      <c r="C27" s="107" t="s">
        <v>400</v>
      </c>
      <c r="D27" s="74" t="s">
        <v>551</v>
      </c>
      <c r="E27" s="75" t="s">
        <v>552</v>
      </c>
      <c r="F27" s="76">
        <v>321</v>
      </c>
    </row>
    <row r="28" spans="1:6" ht="32.25" customHeight="1">
      <c r="A28" s="106">
        <v>3</v>
      </c>
      <c r="B28" s="117" t="s">
        <v>484</v>
      </c>
      <c r="C28" s="107" t="s">
        <v>400</v>
      </c>
      <c r="D28" s="74" t="s">
        <v>551</v>
      </c>
      <c r="E28" s="75" t="s">
        <v>553</v>
      </c>
      <c r="F28" s="76">
        <v>642</v>
      </c>
    </row>
    <row r="29" spans="1:6" ht="32.25" customHeight="1">
      <c r="A29" s="106">
        <v>4</v>
      </c>
      <c r="B29" s="117" t="s">
        <v>485</v>
      </c>
      <c r="C29" s="107" t="s">
        <v>400</v>
      </c>
      <c r="D29" s="74" t="s">
        <v>554</v>
      </c>
      <c r="E29" s="75" t="s">
        <v>555</v>
      </c>
      <c r="F29" s="76">
        <v>321</v>
      </c>
    </row>
    <row r="30" spans="1:6" ht="32.25" customHeight="1">
      <c r="A30" s="106">
        <v>5</v>
      </c>
      <c r="B30" s="117" t="s">
        <v>486</v>
      </c>
      <c r="C30" s="107" t="s">
        <v>400</v>
      </c>
      <c r="D30" s="74" t="s">
        <v>554</v>
      </c>
      <c r="E30" s="75" t="s">
        <v>556</v>
      </c>
      <c r="F30" s="76">
        <v>321</v>
      </c>
    </row>
    <row r="31" spans="1:6" ht="32.25" customHeight="1">
      <c r="A31" s="106">
        <v>6</v>
      </c>
      <c r="B31" s="117" t="s">
        <v>546</v>
      </c>
      <c r="C31" s="107" t="s">
        <v>400</v>
      </c>
      <c r="D31" s="74" t="s">
        <v>557</v>
      </c>
      <c r="E31" s="75" t="s">
        <v>558</v>
      </c>
      <c r="F31" s="76">
        <v>1284</v>
      </c>
    </row>
    <row r="32" spans="1:6" ht="32.25" customHeight="1">
      <c r="A32" s="106">
        <v>7</v>
      </c>
      <c r="B32" s="117" t="s">
        <v>405</v>
      </c>
      <c r="C32" s="107" t="s">
        <v>400</v>
      </c>
      <c r="D32" s="74" t="s">
        <v>559</v>
      </c>
      <c r="E32" s="75" t="s">
        <v>560</v>
      </c>
      <c r="F32" s="76">
        <v>642</v>
      </c>
    </row>
    <row r="33" spans="1:8" ht="32.25" customHeight="1">
      <c r="A33" s="106">
        <v>8</v>
      </c>
      <c r="B33" s="117" t="s">
        <v>547</v>
      </c>
      <c r="C33" s="107" t="s">
        <v>400</v>
      </c>
      <c r="D33" s="74" t="s">
        <v>561</v>
      </c>
      <c r="E33" s="75" t="s">
        <v>562</v>
      </c>
      <c r="F33" s="76">
        <v>321</v>
      </c>
    </row>
    <row r="34" spans="1:8" ht="32.25" customHeight="1">
      <c r="A34" s="106">
        <v>9</v>
      </c>
      <c r="B34" s="117" t="s">
        <v>548</v>
      </c>
      <c r="C34" s="107" t="s">
        <v>400</v>
      </c>
      <c r="D34" s="74" t="s">
        <v>563</v>
      </c>
      <c r="E34" s="75" t="s">
        <v>564</v>
      </c>
      <c r="F34" s="76">
        <v>642</v>
      </c>
    </row>
    <row r="35" spans="1:8" ht="32.25" customHeight="1" thickBot="1">
      <c r="A35" s="39"/>
      <c r="B35" s="50" t="s">
        <v>19</v>
      </c>
      <c r="C35" s="50"/>
      <c r="D35" s="55"/>
      <c r="E35" s="55"/>
      <c r="F35" s="140">
        <v>5136</v>
      </c>
      <c r="H35" s="406">
        <f>SUM(F26:F34)</f>
        <v>5136</v>
      </c>
    </row>
    <row r="36" spans="1:8" ht="32.25" customHeight="1" thickTop="1">
      <c r="A36" s="39"/>
      <c r="B36" s="141" t="s">
        <v>50</v>
      </c>
      <c r="C36" s="142"/>
      <c r="D36" s="34"/>
      <c r="E36" s="35"/>
      <c r="F36" s="36"/>
    </row>
    <row r="37" spans="1:8" s="160" customFormat="1" ht="32.25" customHeight="1">
      <c r="A37" s="106">
        <v>1</v>
      </c>
      <c r="B37" s="142" t="s">
        <v>52</v>
      </c>
      <c r="C37" s="150" t="s">
        <v>53</v>
      </c>
      <c r="D37" s="154" t="s">
        <v>549</v>
      </c>
      <c r="E37" s="155" t="s">
        <v>565</v>
      </c>
      <c r="F37" s="156">
        <v>4140</v>
      </c>
    </row>
    <row r="38" spans="1:8" s="160" customFormat="1" ht="32.25" customHeight="1">
      <c r="A38" s="106">
        <v>3</v>
      </c>
      <c r="B38" s="142" t="s">
        <v>60</v>
      </c>
      <c r="C38" s="150" t="s">
        <v>61</v>
      </c>
      <c r="D38" s="154" t="s">
        <v>549</v>
      </c>
      <c r="E38" s="155" t="s">
        <v>566</v>
      </c>
      <c r="F38" s="156">
        <v>2070</v>
      </c>
    </row>
    <row r="39" spans="1:8" s="160" customFormat="1" ht="32.25" customHeight="1">
      <c r="A39" s="106">
        <v>4</v>
      </c>
      <c r="B39" s="142" t="s">
        <v>27</v>
      </c>
      <c r="C39" s="150" t="s">
        <v>64</v>
      </c>
      <c r="D39" s="154" t="s">
        <v>549</v>
      </c>
      <c r="E39" s="155" t="s">
        <v>567</v>
      </c>
      <c r="F39" s="156">
        <v>2070</v>
      </c>
    </row>
    <row r="40" spans="1:8" s="160" customFormat="1" ht="32.25" customHeight="1">
      <c r="A40" s="106">
        <v>5</v>
      </c>
      <c r="B40" s="168" t="s">
        <v>42</v>
      </c>
      <c r="C40" s="150" t="s">
        <v>67</v>
      </c>
      <c r="D40" s="154" t="s">
        <v>549</v>
      </c>
      <c r="E40" s="155" t="s">
        <v>568</v>
      </c>
      <c r="F40" s="156">
        <v>2070</v>
      </c>
    </row>
    <row r="41" spans="1:8" s="160" customFormat="1" ht="32.25" customHeight="1">
      <c r="A41" s="106">
        <v>6</v>
      </c>
      <c r="B41" s="142" t="s">
        <v>69</v>
      </c>
      <c r="C41" s="150" t="s">
        <v>70</v>
      </c>
      <c r="D41" s="154" t="s">
        <v>569</v>
      </c>
      <c r="E41" s="155" t="s">
        <v>570</v>
      </c>
      <c r="F41" s="156">
        <v>2070</v>
      </c>
    </row>
    <row r="42" spans="1:8" s="160" customFormat="1" ht="32.25" customHeight="1">
      <c r="A42" s="106">
        <v>8</v>
      </c>
      <c r="B42" s="142" t="s">
        <v>77</v>
      </c>
      <c r="C42" s="150" t="s">
        <v>78</v>
      </c>
      <c r="D42" s="154" t="s">
        <v>571</v>
      </c>
      <c r="E42" s="171" t="s">
        <v>572</v>
      </c>
      <c r="F42" s="156">
        <v>2070</v>
      </c>
    </row>
    <row r="43" spans="1:8" s="160" customFormat="1" ht="32.25" customHeight="1">
      <c r="A43" s="106">
        <v>9</v>
      </c>
      <c r="B43" s="142" t="s">
        <v>77</v>
      </c>
      <c r="C43" s="150" t="s">
        <v>81</v>
      </c>
      <c r="D43" s="154" t="s">
        <v>571</v>
      </c>
      <c r="E43" s="171" t="s">
        <v>572</v>
      </c>
      <c r="F43" s="156">
        <v>2070</v>
      </c>
    </row>
    <row r="44" spans="1:8" s="160" customFormat="1" ht="32.25" customHeight="1">
      <c r="A44" s="106">
        <v>11</v>
      </c>
      <c r="B44" s="142" t="s">
        <v>83</v>
      </c>
      <c r="C44" s="150" t="s">
        <v>84</v>
      </c>
      <c r="D44" s="154" t="s">
        <v>549</v>
      </c>
      <c r="E44" s="155" t="s">
        <v>573</v>
      </c>
      <c r="F44" s="156">
        <v>2070</v>
      </c>
    </row>
    <row r="45" spans="1:8" s="160" customFormat="1" ht="32.25" customHeight="1">
      <c r="A45" s="106">
        <v>12</v>
      </c>
      <c r="B45" s="142" t="s">
        <v>87</v>
      </c>
      <c r="C45" s="150" t="s">
        <v>88</v>
      </c>
      <c r="D45" s="154" t="s">
        <v>574</v>
      </c>
      <c r="E45" s="171" t="s">
        <v>575</v>
      </c>
      <c r="F45" s="156">
        <v>2070</v>
      </c>
    </row>
    <row r="46" spans="1:8" s="160" customFormat="1" ht="32.25" customHeight="1">
      <c r="A46" s="106">
        <v>18</v>
      </c>
      <c r="B46" s="142" t="s">
        <v>99</v>
      </c>
      <c r="C46" s="174" t="s">
        <v>100</v>
      </c>
      <c r="D46" s="154" t="s">
        <v>549</v>
      </c>
      <c r="E46" s="171" t="s">
        <v>576</v>
      </c>
      <c r="F46" s="178">
        <v>37375</v>
      </c>
    </row>
    <row r="47" spans="1:8" s="160" customFormat="1" ht="32.25" customHeight="1">
      <c r="A47" s="106">
        <v>19</v>
      </c>
      <c r="B47" s="142" t="s">
        <v>103</v>
      </c>
      <c r="C47" s="174" t="s">
        <v>104</v>
      </c>
      <c r="D47" s="154" t="s">
        <v>539</v>
      </c>
      <c r="E47" s="171" t="s">
        <v>577</v>
      </c>
      <c r="F47" s="178">
        <v>15525</v>
      </c>
    </row>
    <row r="48" spans="1:8" s="160" customFormat="1" ht="32.25" customHeight="1">
      <c r="A48" s="106">
        <v>20</v>
      </c>
      <c r="B48" s="142" t="s">
        <v>107</v>
      </c>
      <c r="C48" s="174" t="s">
        <v>108</v>
      </c>
      <c r="D48" s="154" t="s">
        <v>578</v>
      </c>
      <c r="E48" s="155" t="s">
        <v>579</v>
      </c>
      <c r="F48" s="178">
        <v>14000</v>
      </c>
    </row>
    <row r="49" spans="1:8" s="160" customFormat="1" ht="32.25" customHeight="1">
      <c r="A49" s="106">
        <v>21</v>
      </c>
      <c r="B49" s="142" t="s">
        <v>111</v>
      </c>
      <c r="C49" s="142" t="s">
        <v>112</v>
      </c>
      <c r="D49" s="154" t="s">
        <v>549</v>
      </c>
      <c r="E49" s="155" t="s">
        <v>580</v>
      </c>
      <c r="F49" s="178">
        <v>7000</v>
      </c>
    </row>
    <row r="50" spans="1:8" s="160" customFormat="1" ht="32.25" customHeight="1">
      <c r="A50" s="106">
        <v>22</v>
      </c>
      <c r="B50" s="142" t="s">
        <v>30</v>
      </c>
      <c r="C50" s="174" t="s">
        <v>115</v>
      </c>
      <c r="D50" s="154" t="s">
        <v>539</v>
      </c>
      <c r="E50" s="155" t="s">
        <v>581</v>
      </c>
      <c r="F50" s="178">
        <v>3970</v>
      </c>
    </row>
    <row r="51" spans="1:8" s="160" customFormat="1" ht="32.25" customHeight="1">
      <c r="A51" s="106">
        <v>23</v>
      </c>
      <c r="B51" s="142" t="s">
        <v>23</v>
      </c>
      <c r="C51" s="174" t="s">
        <v>126</v>
      </c>
      <c r="D51" s="154" t="s">
        <v>549</v>
      </c>
      <c r="E51" s="155" t="s">
        <v>582</v>
      </c>
      <c r="F51" s="178">
        <v>4600</v>
      </c>
    </row>
    <row r="52" spans="1:8" ht="32.25" customHeight="1" thickBot="1">
      <c r="A52" s="39"/>
      <c r="B52" s="50" t="s">
        <v>19</v>
      </c>
      <c r="C52" s="50"/>
      <c r="D52" s="54"/>
      <c r="E52" s="55"/>
      <c r="F52" s="56">
        <v>103170</v>
      </c>
      <c r="H52" s="499">
        <f>SUM(F37:F51)</f>
        <v>103170</v>
      </c>
    </row>
    <row r="53" spans="1:8" ht="32.25" customHeight="1" thickTop="1">
      <c r="A53" s="39"/>
      <c r="B53" s="141" t="s">
        <v>167</v>
      </c>
      <c r="C53" s="142"/>
      <c r="D53" s="34"/>
      <c r="E53" s="35"/>
      <c r="F53" s="36"/>
    </row>
    <row r="54" spans="1:8" s="160" customFormat="1" ht="32.25" customHeight="1">
      <c r="A54" s="106">
        <v>1</v>
      </c>
      <c r="B54" s="142" t="s">
        <v>23</v>
      </c>
      <c r="C54" s="142" t="s">
        <v>168</v>
      </c>
      <c r="D54" s="276" t="s">
        <v>549</v>
      </c>
      <c r="E54" s="277" t="s">
        <v>583</v>
      </c>
      <c r="F54" s="278">
        <v>10925</v>
      </c>
    </row>
    <row r="55" spans="1:8" s="160" customFormat="1" ht="32.25" customHeight="1">
      <c r="A55" s="106">
        <v>2</v>
      </c>
      <c r="B55" s="142" t="s">
        <v>69</v>
      </c>
      <c r="C55" s="142" t="s">
        <v>170</v>
      </c>
      <c r="D55" s="276" t="s">
        <v>569</v>
      </c>
      <c r="E55" s="277" t="s">
        <v>584</v>
      </c>
      <c r="F55" s="278">
        <v>920</v>
      </c>
    </row>
    <row r="56" spans="1:8" s="160" customFormat="1" ht="32.25" customHeight="1">
      <c r="A56" s="106">
        <v>3</v>
      </c>
      <c r="B56" s="142" t="s">
        <v>27</v>
      </c>
      <c r="C56" s="142" t="s">
        <v>172</v>
      </c>
      <c r="D56" s="276" t="s">
        <v>549</v>
      </c>
      <c r="E56" s="277" t="s">
        <v>585</v>
      </c>
      <c r="F56" s="278">
        <v>1100</v>
      </c>
    </row>
    <row r="57" spans="1:8" s="160" customFormat="1" ht="32.25" customHeight="1">
      <c r="A57" s="106">
        <v>4</v>
      </c>
      <c r="B57" s="142" t="s">
        <v>77</v>
      </c>
      <c r="C57" s="142" t="s">
        <v>174</v>
      </c>
      <c r="D57" s="276" t="s">
        <v>571</v>
      </c>
      <c r="E57" s="277" t="s">
        <v>586</v>
      </c>
      <c r="F57" s="278">
        <v>920</v>
      </c>
    </row>
    <row r="58" spans="1:8" s="160" customFormat="1" ht="32.25" customHeight="1">
      <c r="A58" s="106">
        <v>5</v>
      </c>
      <c r="B58" s="142" t="s">
        <v>176</v>
      </c>
      <c r="C58" s="142" t="s">
        <v>177</v>
      </c>
      <c r="D58" s="276" t="s">
        <v>557</v>
      </c>
      <c r="E58" s="277" t="s">
        <v>587</v>
      </c>
      <c r="F58" s="278">
        <v>2300</v>
      </c>
    </row>
    <row r="59" spans="1:8" ht="32.25" customHeight="1" thickBot="1">
      <c r="A59" s="39"/>
      <c r="B59" s="50" t="s">
        <v>19</v>
      </c>
      <c r="C59" s="50"/>
      <c r="D59" s="54"/>
      <c r="E59" s="55"/>
      <c r="F59" s="56">
        <v>16165</v>
      </c>
      <c r="H59" s="499">
        <f>SUM(F54:F58)</f>
        <v>16165</v>
      </c>
    </row>
    <row r="60" spans="1:8" ht="32.25" hidden="1" customHeight="1" thickBot="1">
      <c r="A60" s="39"/>
      <c r="B60" s="58" t="s">
        <v>184</v>
      </c>
      <c r="C60" s="59"/>
      <c r="D60" s="65"/>
      <c r="E60" s="66"/>
      <c r="F60" s="67"/>
    </row>
    <row r="61" spans="1:8" ht="32.25" hidden="1" customHeight="1" thickTop="1">
      <c r="A61" s="39">
        <v>1</v>
      </c>
      <c r="B61" s="40"/>
      <c r="C61" s="41"/>
      <c r="D61" s="44"/>
      <c r="E61" s="45"/>
      <c r="F61" s="46"/>
    </row>
    <row r="62" spans="1:8" ht="32.25" hidden="1" customHeight="1" thickTop="1">
      <c r="A62" s="39"/>
      <c r="B62" s="50" t="s">
        <v>19</v>
      </c>
      <c r="C62" s="50"/>
      <c r="D62" s="54"/>
      <c r="E62" s="55"/>
      <c r="F62" s="56"/>
    </row>
    <row r="63" spans="1:8" ht="32.25" hidden="1" customHeight="1" thickTop="1">
      <c r="A63" s="39"/>
      <c r="B63" s="58" t="s">
        <v>185</v>
      </c>
      <c r="C63" s="59"/>
      <c r="D63" s="65"/>
      <c r="E63" s="66"/>
      <c r="F63" s="67"/>
    </row>
    <row r="64" spans="1:8" ht="32.25" hidden="1" customHeight="1" thickTop="1">
      <c r="A64" s="39">
        <v>1</v>
      </c>
      <c r="B64" s="40"/>
      <c r="C64" s="41"/>
      <c r="D64" s="284"/>
      <c r="E64" s="285"/>
      <c r="F64" s="286"/>
    </row>
    <row r="65" spans="1:8" ht="32.25" hidden="1" customHeight="1" thickTop="1">
      <c r="A65" s="39"/>
      <c r="B65" s="50" t="s">
        <v>19</v>
      </c>
      <c r="C65" s="50"/>
      <c r="D65" s="54"/>
      <c r="E65" s="55"/>
      <c r="F65" s="56"/>
    </row>
    <row r="66" spans="1:8" ht="32.25" customHeight="1" thickTop="1">
      <c r="A66" s="39"/>
      <c r="B66" s="58" t="s">
        <v>186</v>
      </c>
      <c r="C66" s="59"/>
      <c r="D66" s="65"/>
      <c r="E66" s="66"/>
      <c r="F66" s="67"/>
    </row>
    <row r="67" spans="1:8" s="160" customFormat="1" ht="32.25" customHeight="1">
      <c r="A67" s="116">
        <v>1</v>
      </c>
      <c r="B67" s="41" t="s">
        <v>23</v>
      </c>
      <c r="C67" s="41" t="s">
        <v>187</v>
      </c>
      <c r="D67" s="288" t="s">
        <v>549</v>
      </c>
      <c r="E67" s="289" t="s">
        <v>588</v>
      </c>
      <c r="F67" s="290">
        <v>2140</v>
      </c>
    </row>
    <row r="68" spans="1:8" s="160" customFormat="1" ht="32.25" customHeight="1">
      <c r="A68" s="116">
        <v>2</v>
      </c>
      <c r="B68" s="142" t="s">
        <v>23</v>
      </c>
      <c r="C68" s="142" t="s">
        <v>189</v>
      </c>
      <c r="D68" s="296" t="s">
        <v>589</v>
      </c>
      <c r="E68" s="297" t="s">
        <v>590</v>
      </c>
      <c r="F68" s="290">
        <v>24631.4</v>
      </c>
    </row>
    <row r="69" spans="1:8" s="160" customFormat="1" ht="32.25" customHeight="1">
      <c r="A69" s="116">
        <v>3</v>
      </c>
      <c r="B69" s="142" t="s">
        <v>192</v>
      </c>
      <c r="C69" s="142" t="s">
        <v>193</v>
      </c>
      <c r="D69" s="288" t="s">
        <v>539</v>
      </c>
      <c r="E69" s="289" t="s">
        <v>591</v>
      </c>
      <c r="F69" s="290">
        <v>1037.9000000000001</v>
      </c>
    </row>
    <row r="70" spans="1:8" ht="32.25" customHeight="1">
      <c r="A70" s="106">
        <v>4</v>
      </c>
      <c r="B70" s="300" t="s">
        <v>195</v>
      </c>
      <c r="C70" s="300" t="s">
        <v>193</v>
      </c>
      <c r="D70" s="288" t="s">
        <v>592</v>
      </c>
      <c r="E70" s="289" t="s">
        <v>593</v>
      </c>
      <c r="F70" s="290">
        <v>3017.4</v>
      </c>
    </row>
    <row r="71" spans="1:8" ht="32.25" customHeight="1">
      <c r="A71" s="39">
        <v>5</v>
      </c>
      <c r="B71" s="142" t="s">
        <v>526</v>
      </c>
      <c r="C71" s="142" t="s">
        <v>193</v>
      </c>
      <c r="D71" s="306" t="s">
        <v>595</v>
      </c>
      <c r="E71" s="307" t="s">
        <v>596</v>
      </c>
      <c r="F71" s="308">
        <v>4943.3999999999996</v>
      </c>
    </row>
    <row r="72" spans="1:8" ht="32.25" customHeight="1">
      <c r="A72" s="39">
        <v>6</v>
      </c>
      <c r="B72" s="142" t="s">
        <v>403</v>
      </c>
      <c r="C72" s="142" t="s">
        <v>193</v>
      </c>
      <c r="D72" s="34" t="s">
        <v>597</v>
      </c>
      <c r="E72" s="35" t="s">
        <v>598</v>
      </c>
      <c r="F72" s="36">
        <v>1358.9</v>
      </c>
    </row>
    <row r="73" spans="1:8" ht="32.25" customHeight="1" thickBot="1">
      <c r="A73" s="39"/>
      <c r="B73" s="50" t="s">
        <v>19</v>
      </c>
      <c r="C73" s="50"/>
      <c r="D73" s="54"/>
      <c r="E73" s="55"/>
      <c r="F73" s="56">
        <v>37129.000000000007</v>
      </c>
      <c r="H73" s="406">
        <f>SUM(F67:F72)</f>
        <v>37129.000000000007</v>
      </c>
    </row>
    <row r="74" spans="1:8" ht="32.25" customHeight="1" thickTop="1">
      <c r="A74" s="39"/>
      <c r="B74" s="141" t="s">
        <v>210</v>
      </c>
      <c r="C74" s="142"/>
      <c r="D74" s="34"/>
      <c r="E74" s="35"/>
      <c r="F74" s="36"/>
    </row>
    <row r="75" spans="1:8" s="160" customFormat="1" ht="32.25" customHeight="1">
      <c r="A75" s="106">
        <v>1</v>
      </c>
      <c r="B75" s="142" t="s">
        <v>52</v>
      </c>
      <c r="C75" s="174" t="s">
        <v>211</v>
      </c>
      <c r="D75" s="343" t="s">
        <v>549</v>
      </c>
      <c r="E75" s="277" t="s">
        <v>599</v>
      </c>
      <c r="F75" s="278">
        <v>518</v>
      </c>
    </row>
    <row r="76" spans="1:8" s="160" customFormat="1" ht="32.25" customHeight="1">
      <c r="A76" s="106">
        <v>2</v>
      </c>
      <c r="B76" s="142" t="s">
        <v>60</v>
      </c>
      <c r="C76" s="174" t="s">
        <v>215</v>
      </c>
      <c r="D76" s="343" t="s">
        <v>549</v>
      </c>
      <c r="E76" s="277" t="s">
        <v>600</v>
      </c>
      <c r="F76" s="278">
        <v>259</v>
      </c>
    </row>
    <row r="77" spans="1:8" s="160" customFormat="1" ht="32.25" customHeight="1">
      <c r="A77" s="106">
        <v>3</v>
      </c>
      <c r="B77" s="142" t="s">
        <v>27</v>
      </c>
      <c r="C77" s="174" t="s">
        <v>217</v>
      </c>
      <c r="D77" s="343" t="s">
        <v>549</v>
      </c>
      <c r="E77" s="277" t="s">
        <v>601</v>
      </c>
      <c r="F77" s="278">
        <v>259</v>
      </c>
    </row>
    <row r="78" spans="1:8" s="160" customFormat="1" ht="32.25" customHeight="1">
      <c r="A78" s="106">
        <v>4</v>
      </c>
      <c r="B78" s="168" t="s">
        <v>42</v>
      </c>
      <c r="C78" s="174" t="s">
        <v>219</v>
      </c>
      <c r="D78" s="343" t="s">
        <v>549</v>
      </c>
      <c r="E78" s="277" t="s">
        <v>602</v>
      </c>
      <c r="F78" s="278">
        <v>259</v>
      </c>
    </row>
    <row r="79" spans="1:8" s="160" customFormat="1" ht="32.25" customHeight="1">
      <c r="A79" s="106">
        <v>5</v>
      </c>
      <c r="B79" s="142" t="s">
        <v>69</v>
      </c>
      <c r="C79" s="174" t="s">
        <v>221</v>
      </c>
      <c r="D79" s="343" t="s">
        <v>569</v>
      </c>
      <c r="E79" s="277" t="s">
        <v>603</v>
      </c>
      <c r="F79" s="278">
        <v>259</v>
      </c>
    </row>
    <row r="80" spans="1:8" s="160" customFormat="1" ht="32.25" customHeight="1">
      <c r="A80" s="106">
        <v>6</v>
      </c>
      <c r="B80" s="142" t="s">
        <v>77</v>
      </c>
      <c r="C80" s="174" t="s">
        <v>224</v>
      </c>
      <c r="D80" s="343" t="s">
        <v>571</v>
      </c>
      <c r="E80" s="277" t="s">
        <v>604</v>
      </c>
      <c r="F80" s="278">
        <v>259</v>
      </c>
    </row>
    <row r="81" spans="1:8" s="160" customFormat="1" ht="32.25" customHeight="1">
      <c r="A81" s="106">
        <v>7</v>
      </c>
      <c r="B81" s="142" t="s">
        <v>77</v>
      </c>
      <c r="C81" s="174" t="s">
        <v>226</v>
      </c>
      <c r="D81" s="343" t="s">
        <v>571</v>
      </c>
      <c r="E81" s="277" t="s">
        <v>604</v>
      </c>
      <c r="F81" s="278">
        <v>259</v>
      </c>
    </row>
    <row r="82" spans="1:8" s="160" customFormat="1" ht="32.25" customHeight="1">
      <c r="A82" s="106">
        <v>8</v>
      </c>
      <c r="B82" s="142" t="s">
        <v>83</v>
      </c>
      <c r="C82" s="174" t="s">
        <v>228</v>
      </c>
      <c r="D82" s="343" t="s">
        <v>549</v>
      </c>
      <c r="E82" s="277" t="s">
        <v>605</v>
      </c>
      <c r="F82" s="278">
        <v>259</v>
      </c>
    </row>
    <row r="83" spans="1:8" s="160" customFormat="1" ht="32.25" customHeight="1">
      <c r="A83" s="106">
        <v>9</v>
      </c>
      <c r="B83" s="142" t="s">
        <v>87</v>
      </c>
      <c r="C83" s="174" t="s">
        <v>230</v>
      </c>
      <c r="D83" s="343" t="s">
        <v>574</v>
      </c>
      <c r="E83" s="277" t="s">
        <v>606</v>
      </c>
      <c r="F83" s="278">
        <v>259</v>
      </c>
    </row>
    <row r="84" spans="1:8" s="160" customFormat="1" ht="31.8" customHeight="1">
      <c r="A84" s="106">
        <v>10</v>
      </c>
      <c r="B84" s="142" t="s">
        <v>99</v>
      </c>
      <c r="C84" s="174" t="s">
        <v>238</v>
      </c>
      <c r="D84" s="343" t="s">
        <v>549</v>
      </c>
      <c r="E84" s="277" t="s">
        <v>607</v>
      </c>
      <c r="F84" s="278">
        <v>6750</v>
      </c>
    </row>
    <row r="85" spans="1:8" ht="32.25" customHeight="1" thickBot="1">
      <c r="A85" s="39"/>
      <c r="B85" s="50" t="s">
        <v>19</v>
      </c>
      <c r="C85" s="50"/>
      <c r="D85" s="54"/>
      <c r="E85" s="55"/>
      <c r="F85" s="56">
        <v>9340</v>
      </c>
      <c r="H85" s="499">
        <f>SUM(F75:F84)</f>
        <v>9340</v>
      </c>
    </row>
    <row r="86" spans="1:8" ht="32.25" customHeight="1" thickTop="1" thickBot="1">
      <c r="A86" s="396"/>
      <c r="B86" s="397" t="s">
        <v>309</v>
      </c>
      <c r="C86" s="398"/>
      <c r="D86" s="399">
        <v>0</v>
      </c>
      <c r="E86" s="399">
        <v>0</v>
      </c>
      <c r="F86" s="399">
        <v>174900.32</v>
      </c>
      <c r="H86" s="500">
        <f>SUM(H11:H85)</f>
        <v>174900.32</v>
      </c>
    </row>
    <row r="87" spans="1:8" ht="17.399999999999999" thickTop="1">
      <c r="D87" s="404"/>
      <c r="E87" s="404"/>
      <c r="F87" s="2"/>
    </row>
    <row r="88" spans="1:8">
      <c r="D88" s="404"/>
      <c r="E88" s="404"/>
      <c r="F88" s="2"/>
    </row>
    <row r="89" spans="1:8">
      <c r="D89" s="404"/>
      <c r="E89" s="404"/>
      <c r="F89" s="2"/>
    </row>
    <row r="90" spans="1:8">
      <c r="D90" s="404"/>
      <c r="E90" s="404"/>
      <c r="F90" s="2"/>
    </row>
    <row r="91" spans="1:8">
      <c r="D91" s="404"/>
      <c r="E91" s="404"/>
      <c r="F91" s="2"/>
    </row>
    <row r="92" spans="1:8" s="406" customFormat="1" ht="32.25" customHeight="1">
      <c r="A92" s="2"/>
      <c r="B92" s="643"/>
      <c r="C92" s="642"/>
      <c r="D92" s="410"/>
      <c r="E92" s="411"/>
      <c r="F92" s="417"/>
    </row>
    <row r="93" spans="1:8" s="406" customFormat="1" ht="32.25" customHeight="1">
      <c r="A93" s="2"/>
      <c r="B93" s="413"/>
      <c r="C93" s="415"/>
      <c r="D93" s="2"/>
      <c r="E93" s="411"/>
      <c r="F93" s="416"/>
    </row>
    <row r="94" spans="1:8" s="406" customFormat="1" ht="32.25" customHeight="1">
      <c r="A94" s="2"/>
      <c r="B94" s="413"/>
      <c r="C94" s="409"/>
      <c r="D94" s="410"/>
      <c r="E94" s="641"/>
      <c r="F94" s="642"/>
    </row>
  </sheetData>
  <mergeCells count="8">
    <mergeCell ref="E94:F94"/>
    <mergeCell ref="B92:C92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8AA8-878E-4ACE-86CB-070A67FC72D7}">
  <sheetPr>
    <tabColor rgb="FF92D050"/>
  </sheetPr>
  <dimension ref="A1:I45"/>
  <sheetViews>
    <sheetView zoomScale="70" zoomScaleNormal="70" workbookViewId="0">
      <pane ySplit="6" topLeftCell="A11" activePane="bottomLeft" state="frozen"/>
      <selection pane="bottomLeft" activeCell="E37" sqref="E37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31.44140625" style="439" customWidth="1"/>
    <col min="5" max="5" width="20.5546875" style="404" customWidth="1"/>
    <col min="6" max="6" width="8.109375" style="405" customWidth="1"/>
    <col min="7" max="7" width="20" style="2" customWidth="1"/>
    <col min="8" max="16384" width="12.5546875" style="2"/>
  </cols>
  <sheetData>
    <row r="1" spans="1:9" ht="22.5" customHeight="1">
      <c r="A1" s="643" t="s">
        <v>0</v>
      </c>
      <c r="B1" s="642"/>
      <c r="C1" s="642"/>
      <c r="D1" s="642"/>
      <c r="E1" s="642"/>
      <c r="F1" s="642"/>
      <c r="G1" s="642"/>
    </row>
    <row r="2" spans="1:9" ht="27" customHeight="1">
      <c r="A2" s="643" t="s">
        <v>1</v>
      </c>
      <c r="B2" s="642"/>
      <c r="C2" s="642"/>
      <c r="D2" s="642"/>
      <c r="E2" s="642"/>
      <c r="F2" s="642"/>
      <c r="G2" s="642"/>
    </row>
    <row r="3" spans="1:9" ht="22.5" customHeight="1">
      <c r="A3" s="644" t="s">
        <v>538</v>
      </c>
      <c r="B3" s="645"/>
      <c r="C3" s="645"/>
      <c r="D3" s="645"/>
      <c r="E3" s="645"/>
      <c r="F3" s="645"/>
      <c r="G3" s="645"/>
    </row>
    <row r="4" spans="1:9" ht="34.5" customHeight="1">
      <c r="A4" s="3" t="s">
        <v>3</v>
      </c>
      <c r="B4" s="646" t="s">
        <v>4</v>
      </c>
      <c r="C4" s="646" t="s">
        <v>5</v>
      </c>
      <c r="D4" s="426"/>
      <c r="E4" s="658" t="s">
        <v>9</v>
      </c>
      <c r="F4" s="656"/>
      <c r="G4" s="657"/>
    </row>
    <row r="5" spans="1:9" ht="24.75" customHeight="1">
      <c r="A5" s="5"/>
      <c r="B5" s="647"/>
      <c r="C5" s="647"/>
      <c r="D5" s="427" t="s">
        <v>392</v>
      </c>
      <c r="E5" s="3" t="s">
        <v>10</v>
      </c>
      <c r="F5" s="12" t="s">
        <v>11</v>
      </c>
      <c r="G5" s="419"/>
    </row>
    <row r="6" spans="1:9" ht="27.75" customHeight="1">
      <c r="A6" s="14"/>
      <c r="B6" s="648"/>
      <c r="C6" s="648"/>
      <c r="D6" s="428"/>
      <c r="E6" s="14"/>
      <c r="F6" s="24"/>
      <c r="G6" s="20" t="s">
        <v>19</v>
      </c>
    </row>
    <row r="7" spans="1:9" ht="32.25" customHeight="1">
      <c r="A7" s="39"/>
      <c r="B7" s="141" t="s">
        <v>50</v>
      </c>
      <c r="C7" s="142"/>
      <c r="D7" s="429"/>
      <c r="E7" s="114"/>
      <c r="F7" s="115"/>
      <c r="G7" s="145"/>
    </row>
    <row r="8" spans="1:9" s="160" customFormat="1" ht="32.25" customHeight="1">
      <c r="A8" s="106">
        <v>1</v>
      </c>
      <c r="B8" s="142" t="s">
        <v>52</v>
      </c>
      <c r="C8" s="150" t="s">
        <v>53</v>
      </c>
      <c r="D8" s="430">
        <v>2070</v>
      </c>
      <c r="E8" s="157"/>
      <c r="F8" s="158"/>
      <c r="G8" s="159"/>
    </row>
    <row r="9" spans="1:9" ht="32.25" customHeight="1" thickBot="1">
      <c r="A9" s="39"/>
      <c r="B9" s="50" t="s">
        <v>19</v>
      </c>
      <c r="C9" s="50"/>
      <c r="D9" s="432"/>
      <c r="E9" s="57"/>
      <c r="F9" s="53"/>
      <c r="G9" s="51">
        <v>0</v>
      </c>
    </row>
    <row r="10" spans="1:9" ht="32.25" customHeight="1" thickTop="1">
      <c r="A10" s="39"/>
      <c r="B10" s="141" t="s">
        <v>129</v>
      </c>
      <c r="C10" s="142"/>
      <c r="D10" s="429"/>
      <c r="E10" s="114"/>
      <c r="F10" s="115"/>
      <c r="G10" s="38"/>
    </row>
    <row r="11" spans="1:9" ht="30" customHeight="1">
      <c r="A11" s="106">
        <v>1</v>
      </c>
      <c r="B11" s="142" t="s">
        <v>130</v>
      </c>
      <c r="C11" s="193" t="s">
        <v>131</v>
      </c>
      <c r="D11" s="433">
        <v>1408.75</v>
      </c>
      <c r="E11" s="202"/>
      <c r="F11" s="203"/>
      <c r="G11" s="207"/>
    </row>
    <row r="12" spans="1:9" ht="32.25" customHeight="1">
      <c r="A12" s="106">
        <v>2</v>
      </c>
      <c r="B12" s="142" t="s">
        <v>141</v>
      </c>
      <c r="C12" s="193" t="s">
        <v>142</v>
      </c>
      <c r="D12" s="433">
        <v>8433.73</v>
      </c>
      <c r="E12" s="214"/>
      <c r="F12" s="212"/>
      <c r="G12" s="207"/>
    </row>
    <row r="13" spans="1:9" ht="32.25" customHeight="1">
      <c r="A13" s="106">
        <v>3</v>
      </c>
      <c r="B13" s="142" t="s">
        <v>145</v>
      </c>
      <c r="C13" s="193" t="s">
        <v>146</v>
      </c>
      <c r="D13" s="433">
        <v>0.04</v>
      </c>
      <c r="E13" s="220"/>
      <c r="F13" s="115"/>
      <c r="G13" s="207"/>
    </row>
    <row r="14" spans="1:9" s="230" customFormat="1" ht="32.25" customHeight="1">
      <c r="A14" s="106">
        <v>4</v>
      </c>
      <c r="B14" s="222" t="s">
        <v>149</v>
      </c>
      <c r="C14" s="222" t="s">
        <v>150</v>
      </c>
      <c r="D14" s="469">
        <v>4849.18</v>
      </c>
      <c r="E14" s="227"/>
      <c r="F14" s="228"/>
      <c r="G14" s="207"/>
    </row>
    <row r="15" spans="1:9" s="237" customFormat="1" ht="32.25" customHeight="1">
      <c r="A15" s="106">
        <v>5</v>
      </c>
      <c r="B15" s="222" t="s">
        <v>152</v>
      </c>
      <c r="C15" s="193" t="s">
        <v>153</v>
      </c>
      <c r="D15" s="433">
        <v>2683.28</v>
      </c>
      <c r="E15" s="227"/>
      <c r="F15" s="228"/>
      <c r="G15" s="207"/>
      <c r="H15" s="2"/>
      <c r="I15" s="2"/>
    </row>
    <row r="16" spans="1:9" s="259" customFormat="1" ht="32.25" customHeight="1">
      <c r="A16" s="241">
        <v>6</v>
      </c>
      <c r="B16" s="242" t="s">
        <v>52</v>
      </c>
      <c r="C16" s="243" t="s">
        <v>155</v>
      </c>
      <c r="D16" s="470">
        <v>974.98</v>
      </c>
      <c r="E16" s="254"/>
      <c r="F16" s="255"/>
      <c r="G16" s="207"/>
    </row>
    <row r="17" spans="1:7" ht="41.25" customHeight="1">
      <c r="A17" s="106">
        <v>7</v>
      </c>
      <c r="B17" s="142" t="s">
        <v>158</v>
      </c>
      <c r="C17" s="142" t="s">
        <v>159</v>
      </c>
      <c r="D17" s="429">
        <v>958.31</v>
      </c>
      <c r="E17" s="214"/>
      <c r="F17" s="212"/>
      <c r="G17" s="207"/>
    </row>
    <row r="18" spans="1:7" ht="32.25" customHeight="1" thickBot="1">
      <c r="A18" s="39"/>
      <c r="B18" s="50" t="s">
        <v>19</v>
      </c>
      <c r="C18" s="50"/>
      <c r="D18" s="432"/>
      <c r="E18" s="51"/>
      <c r="F18" s="51">
        <v>0</v>
      </c>
      <c r="G18" s="51">
        <v>1.9326762412674725E-12</v>
      </c>
    </row>
    <row r="19" spans="1:7" ht="32.25" hidden="1" customHeight="1" thickBot="1">
      <c r="A19" s="39"/>
      <c r="B19" s="58" t="s">
        <v>184</v>
      </c>
      <c r="C19" s="59"/>
      <c r="D19" s="434"/>
      <c r="E19" s="68"/>
      <c r="F19" s="62"/>
      <c r="G19" s="70"/>
    </row>
    <row r="20" spans="1:7" ht="32.25" hidden="1" customHeight="1" thickTop="1">
      <c r="A20" s="39">
        <v>1</v>
      </c>
      <c r="B20" s="40"/>
      <c r="C20" s="41"/>
      <c r="D20" s="471"/>
      <c r="E20" s="5"/>
      <c r="F20" s="43"/>
      <c r="G20" s="49"/>
    </row>
    <row r="21" spans="1:7" ht="32.25" hidden="1" customHeight="1" thickTop="1">
      <c r="A21" s="39"/>
      <c r="B21" s="50" t="s">
        <v>19</v>
      </c>
      <c r="C21" s="50"/>
      <c r="D21" s="432"/>
      <c r="E21" s="57"/>
      <c r="F21" s="53"/>
      <c r="G21" s="51"/>
    </row>
    <row r="22" spans="1:7" ht="32.25" hidden="1" customHeight="1" thickTop="1">
      <c r="A22" s="39"/>
      <c r="B22" s="58" t="s">
        <v>185</v>
      </c>
      <c r="C22" s="59"/>
      <c r="D22" s="434"/>
      <c r="E22" s="68"/>
      <c r="F22" s="62"/>
      <c r="G22" s="70"/>
    </row>
    <row r="23" spans="1:7" ht="32.25" hidden="1" customHeight="1" thickTop="1">
      <c r="A23" s="39">
        <v>1</v>
      </c>
      <c r="B23" s="40"/>
      <c r="C23" s="41"/>
      <c r="D23" s="471"/>
      <c r="E23" s="5"/>
      <c r="F23" s="43"/>
      <c r="G23" s="49"/>
    </row>
    <row r="24" spans="1:7" ht="32.25" hidden="1" customHeight="1" thickTop="1">
      <c r="A24" s="39"/>
      <c r="B24" s="50" t="s">
        <v>19</v>
      </c>
      <c r="C24" s="50"/>
      <c r="D24" s="432"/>
      <c r="E24" s="57"/>
      <c r="F24" s="53"/>
      <c r="G24" s="51"/>
    </row>
    <row r="25" spans="1:7" ht="32.25" customHeight="1" thickTop="1">
      <c r="A25" s="39"/>
      <c r="B25" s="58" t="s">
        <v>186</v>
      </c>
      <c r="C25" s="59"/>
      <c r="D25" s="434"/>
      <c r="E25" s="68"/>
      <c r="F25" s="62"/>
      <c r="G25" s="70"/>
    </row>
    <row r="26" spans="1:7" ht="32.25" customHeight="1">
      <c r="A26" s="106">
        <v>1</v>
      </c>
      <c r="B26" s="300" t="s">
        <v>195</v>
      </c>
      <c r="C26" s="300" t="s">
        <v>193</v>
      </c>
      <c r="D26" s="435"/>
      <c r="E26" s="302" t="s">
        <v>594</v>
      </c>
      <c r="F26" s="303">
        <v>1</v>
      </c>
      <c r="G26" s="77">
        <v>2910.4</v>
      </c>
    </row>
    <row r="27" spans="1:7" ht="32.25" customHeight="1" thickBot="1">
      <c r="A27" s="39"/>
      <c r="B27" s="50" t="s">
        <v>19</v>
      </c>
      <c r="C27" s="50"/>
      <c r="D27" s="432"/>
      <c r="E27" s="57"/>
      <c r="F27" s="53"/>
      <c r="G27" s="51">
        <v>2910.4</v>
      </c>
    </row>
    <row r="28" spans="1:7" ht="32.25" customHeight="1" thickTop="1">
      <c r="A28" s="39"/>
      <c r="B28" s="141" t="s">
        <v>210</v>
      </c>
      <c r="C28" s="142"/>
      <c r="D28" s="429"/>
      <c r="E28" s="114"/>
      <c r="F28" s="115"/>
      <c r="G28" s="145"/>
    </row>
    <row r="29" spans="1:7" s="160" customFormat="1" ht="32.25" customHeight="1">
      <c r="A29" s="106">
        <v>1</v>
      </c>
      <c r="B29" s="142" t="s">
        <v>52</v>
      </c>
      <c r="C29" s="174" t="s">
        <v>211</v>
      </c>
      <c r="D29" s="431">
        <v>259</v>
      </c>
      <c r="E29" s="347"/>
      <c r="F29" s="348"/>
      <c r="G29" s="159"/>
    </row>
    <row r="30" spans="1:7" s="160" customFormat="1" ht="32.25" customHeight="1">
      <c r="A30" s="106">
        <v>2</v>
      </c>
      <c r="B30" s="142" t="s">
        <v>141</v>
      </c>
      <c r="C30" s="193" t="s">
        <v>240</v>
      </c>
      <c r="D30" s="433">
        <v>1030.5</v>
      </c>
      <c r="E30" s="374"/>
      <c r="F30" s="362"/>
      <c r="G30" s="159"/>
    </row>
    <row r="31" spans="1:7" ht="32.25" customHeight="1">
      <c r="A31" s="106">
        <v>3</v>
      </c>
      <c r="B31" s="222" t="s">
        <v>52</v>
      </c>
      <c r="C31" s="193" t="s">
        <v>243</v>
      </c>
      <c r="D31" s="433">
        <v>103.5</v>
      </c>
      <c r="E31" s="368"/>
      <c r="F31" s="362"/>
      <c r="G31" s="159"/>
    </row>
    <row r="32" spans="1:7" ht="32.25" customHeight="1">
      <c r="A32" s="106">
        <v>4</v>
      </c>
      <c r="B32" s="222" t="s">
        <v>152</v>
      </c>
      <c r="C32" s="193" t="s">
        <v>246</v>
      </c>
      <c r="D32" s="433">
        <v>281.64</v>
      </c>
      <c r="E32" s="374"/>
      <c r="F32" s="362"/>
      <c r="G32" s="159"/>
    </row>
    <row r="33" spans="1:7" ht="32.25" customHeight="1">
      <c r="A33" s="106">
        <v>5</v>
      </c>
      <c r="B33" s="222" t="s">
        <v>130</v>
      </c>
      <c r="C33" s="193" t="s">
        <v>250</v>
      </c>
      <c r="D33" s="436">
        <v>180.85</v>
      </c>
      <c r="E33" s="374"/>
      <c r="F33" s="362"/>
      <c r="G33" s="159"/>
    </row>
    <row r="34" spans="1:7" ht="32.25" customHeight="1">
      <c r="A34" s="106">
        <v>6</v>
      </c>
      <c r="B34" s="142" t="s">
        <v>145</v>
      </c>
      <c r="C34" s="193" t="s">
        <v>258</v>
      </c>
      <c r="D34" s="433">
        <v>0.04</v>
      </c>
      <c r="E34" s="361"/>
      <c r="F34" s="362"/>
      <c r="G34" s="159"/>
    </row>
    <row r="35" spans="1:7" ht="32.25" customHeight="1">
      <c r="A35" s="106">
        <v>7</v>
      </c>
      <c r="B35" s="142" t="s">
        <v>158</v>
      </c>
      <c r="C35" s="390" t="s">
        <v>261</v>
      </c>
      <c r="D35" s="437">
        <v>120.81</v>
      </c>
      <c r="E35" s="361"/>
      <c r="F35" s="362"/>
      <c r="G35" s="159"/>
    </row>
    <row r="36" spans="1:7" ht="32.25" customHeight="1" thickBot="1">
      <c r="A36" s="39"/>
      <c r="B36" s="50" t="s">
        <v>19</v>
      </c>
      <c r="C36" s="50"/>
      <c r="D36" s="432"/>
      <c r="E36" s="57"/>
      <c r="F36" s="53"/>
      <c r="G36" s="51">
        <v>0</v>
      </c>
    </row>
    <row r="37" spans="1:7" ht="32.25" customHeight="1" thickTop="1" thickBot="1">
      <c r="A37" s="396"/>
      <c r="B37" s="397" t="s">
        <v>309</v>
      </c>
      <c r="C37" s="398"/>
      <c r="D37" s="438"/>
      <c r="E37" s="399">
        <v>0</v>
      </c>
      <c r="F37" s="399">
        <v>0</v>
      </c>
      <c r="G37" s="399">
        <v>2910.4000000000019</v>
      </c>
    </row>
    <row r="38" spans="1:7" ht="17.399999999999999" thickTop="1"/>
    <row r="43" spans="1:7" s="406" customFormat="1" ht="32.25" customHeight="1">
      <c r="A43" s="2"/>
      <c r="B43" s="643"/>
      <c r="C43" s="642"/>
      <c r="D43" s="439"/>
      <c r="E43" s="642"/>
      <c r="F43" s="642"/>
      <c r="G43" s="2"/>
    </row>
    <row r="44" spans="1:7" s="406" customFormat="1" ht="32.25" customHeight="1">
      <c r="A44" s="2"/>
      <c r="B44" s="413"/>
      <c r="C44" s="415"/>
      <c r="D44" s="440"/>
      <c r="E44" s="642"/>
      <c r="F44" s="642"/>
      <c r="G44" s="2"/>
    </row>
    <row r="45" spans="1:7" s="406" customFormat="1" ht="32.25" customHeight="1">
      <c r="A45" s="2"/>
      <c r="B45" s="413"/>
      <c r="C45" s="409"/>
      <c r="D45" s="441"/>
      <c r="E45" s="642"/>
      <c r="F45" s="642"/>
      <c r="G45" s="2"/>
    </row>
  </sheetData>
  <mergeCells count="10">
    <mergeCell ref="E44:F44"/>
    <mergeCell ref="E45:F45"/>
    <mergeCell ref="B43:C43"/>
    <mergeCell ref="E43:F43"/>
    <mergeCell ref="A1:G1"/>
    <mergeCell ref="A2:G2"/>
    <mergeCell ref="A3:G3"/>
    <mergeCell ref="B4:B6"/>
    <mergeCell ref="C4:C6"/>
    <mergeCell ref="E4:G4"/>
  </mergeCell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DA43A-5F24-4765-90DB-EB92874AA8A2}">
  <sheetPr>
    <tabColor rgb="FF92D050"/>
  </sheetPr>
  <dimension ref="A1:F17"/>
  <sheetViews>
    <sheetView zoomScale="70" zoomScaleNormal="70" workbookViewId="0">
      <pane ySplit="6" topLeftCell="A7" activePane="bottomLeft" state="frozen"/>
      <selection pane="bottomLeft" activeCell="F25" sqref="F25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20.5546875" style="404" customWidth="1"/>
    <col min="5" max="5" width="8.109375" style="405" customWidth="1"/>
    <col min="6" max="6" width="20" style="2" customWidth="1"/>
    <col min="7" max="16384" width="12.5546875" style="2"/>
  </cols>
  <sheetData>
    <row r="1" spans="1:6" ht="22.5" customHeight="1">
      <c r="A1" s="643" t="s">
        <v>0</v>
      </c>
      <c r="B1" s="642"/>
      <c r="C1" s="642"/>
      <c r="D1" s="642"/>
      <c r="E1" s="642"/>
      <c r="F1" s="642"/>
    </row>
    <row r="2" spans="1:6" ht="27" customHeight="1">
      <c r="A2" s="643" t="s">
        <v>1</v>
      </c>
      <c r="B2" s="642"/>
      <c r="C2" s="642"/>
      <c r="D2" s="642"/>
      <c r="E2" s="642"/>
      <c r="F2" s="642"/>
    </row>
    <row r="3" spans="1:6" ht="22.5" customHeight="1">
      <c r="A3" s="644" t="s">
        <v>538</v>
      </c>
      <c r="B3" s="645"/>
      <c r="C3" s="645"/>
      <c r="D3" s="645"/>
      <c r="E3" s="645"/>
      <c r="F3" s="645"/>
    </row>
    <row r="4" spans="1:6" ht="34.5" customHeight="1">
      <c r="A4" s="3" t="s">
        <v>3</v>
      </c>
      <c r="B4" s="646" t="s">
        <v>4</v>
      </c>
      <c r="C4" s="646" t="s">
        <v>5</v>
      </c>
      <c r="D4" s="658" t="s">
        <v>9</v>
      </c>
      <c r="E4" s="656"/>
      <c r="F4" s="657"/>
    </row>
    <row r="5" spans="1:6" ht="24.75" customHeight="1">
      <c r="A5" s="5"/>
      <c r="B5" s="647"/>
      <c r="C5" s="647"/>
      <c r="D5" s="3" t="s">
        <v>10</v>
      </c>
      <c r="E5" s="12" t="s">
        <v>11</v>
      </c>
      <c r="F5" s="419"/>
    </row>
    <row r="6" spans="1:6" ht="27.75" customHeight="1">
      <c r="A6" s="14"/>
      <c r="B6" s="648"/>
      <c r="C6" s="648"/>
      <c r="D6" s="14"/>
      <c r="E6" s="24"/>
      <c r="F6" s="20" t="s">
        <v>19</v>
      </c>
    </row>
    <row r="7" spans="1:6" ht="27.75" customHeight="1">
      <c r="A7" s="5"/>
      <c r="B7" s="418" t="s">
        <v>608</v>
      </c>
      <c r="C7" s="418"/>
      <c r="D7" s="5"/>
      <c r="E7" s="43"/>
      <c r="F7" s="465"/>
    </row>
    <row r="8" spans="1:6" ht="32.25" customHeight="1">
      <c r="A8" s="106">
        <v>1</v>
      </c>
      <c r="B8" s="300" t="s">
        <v>195</v>
      </c>
      <c r="C8" s="300" t="s">
        <v>193</v>
      </c>
      <c r="D8" s="302" t="s">
        <v>594</v>
      </c>
      <c r="E8" s="303">
        <v>1</v>
      </c>
      <c r="F8" s="77">
        <v>2910.4</v>
      </c>
    </row>
    <row r="9" spans="1:6" ht="32.25" customHeight="1" thickBot="1">
      <c r="A9" s="396"/>
      <c r="B9" s="397" t="s">
        <v>309</v>
      </c>
      <c r="C9" s="398"/>
      <c r="D9" s="399">
        <v>0</v>
      </c>
      <c r="E9" s="399">
        <v>0</v>
      </c>
      <c r="F9" s="399">
        <v>2910.4000000000019</v>
      </c>
    </row>
    <row r="10" spans="1:6" ht="17.399999999999999" thickTop="1"/>
    <row r="15" spans="1:6" s="406" customFormat="1" ht="32.25" customHeight="1">
      <c r="A15" s="2"/>
      <c r="B15" s="643"/>
      <c r="C15" s="642"/>
      <c r="D15" s="642"/>
      <c r="E15" s="642"/>
      <c r="F15" s="2"/>
    </row>
    <row r="16" spans="1:6" s="406" customFormat="1" ht="32.25" customHeight="1">
      <c r="A16" s="2"/>
      <c r="B16" s="413"/>
      <c r="C16" s="415"/>
      <c r="D16" s="642"/>
      <c r="E16" s="642"/>
      <c r="F16" s="2"/>
    </row>
    <row r="17" spans="1:6" s="406" customFormat="1" ht="32.25" customHeight="1">
      <c r="A17" s="2"/>
      <c r="B17" s="413"/>
      <c r="C17" s="409"/>
      <c r="D17" s="642"/>
      <c r="E17" s="642"/>
      <c r="F17" s="2"/>
    </row>
  </sheetData>
  <mergeCells count="10">
    <mergeCell ref="B15:C15"/>
    <mergeCell ref="D15:E15"/>
    <mergeCell ref="D16:E16"/>
    <mergeCell ref="D17:E17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9B92-ED38-43D3-90B8-B3B8CA095B25}">
  <sheetPr>
    <tabColor rgb="FFFFC000"/>
  </sheetPr>
  <dimension ref="A1:Z269"/>
  <sheetViews>
    <sheetView zoomScale="70" zoomScaleNormal="70" workbookViewId="0">
      <pane ySplit="6" topLeftCell="A244" activePane="bottomLeft" state="frozen"/>
      <selection pane="bottomLeft" activeCell="S225" sqref="S225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17.88671875" style="2" customWidth="1"/>
    <col min="5" max="5" width="16.6640625" style="404" customWidth="1"/>
    <col min="6" max="6" width="10" style="405" customWidth="1"/>
    <col min="7" max="7" width="5.5546875" style="404" customWidth="1"/>
    <col min="8" max="8" width="16.6640625" style="2" customWidth="1"/>
    <col min="9" max="9" width="13.109375" style="2" customWidth="1"/>
    <col min="10" max="10" width="17.88671875" style="2" customWidth="1"/>
    <col min="11" max="11" width="17.6640625" style="414" customWidth="1"/>
    <col min="12" max="12" width="25" style="414" customWidth="1"/>
    <col min="13" max="13" width="16.109375" style="192" customWidth="1"/>
    <col min="14" max="14" width="20.5546875" style="404" customWidth="1"/>
    <col min="15" max="15" width="8.109375" style="405" customWidth="1"/>
    <col min="16" max="16" width="12.109375" style="2" customWidth="1"/>
    <col min="17" max="17" width="17.6640625" style="406" customWidth="1"/>
    <col min="18" max="18" width="11.33203125" style="406" customWidth="1"/>
    <col min="19" max="19" width="20" style="2" customWidth="1"/>
    <col min="20" max="16384" width="12.5546875" style="2"/>
  </cols>
  <sheetData>
    <row r="1" spans="1:19" ht="22.5" customHeight="1">
      <c r="A1" s="643" t="s">
        <v>0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</row>
    <row r="2" spans="1:19" ht="27" customHeight="1">
      <c r="A2" s="643" t="s">
        <v>1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642"/>
      <c r="S2" s="642"/>
    </row>
    <row r="3" spans="1:19" ht="22.5" customHeight="1">
      <c r="A3" s="644" t="s">
        <v>464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</row>
    <row r="4" spans="1:19" ht="34.5" customHeight="1">
      <c r="A4" s="3" t="s">
        <v>3</v>
      </c>
      <c r="B4" s="646" t="s">
        <v>4</v>
      </c>
      <c r="C4" s="646" t="s">
        <v>5</v>
      </c>
      <c r="D4" s="4" t="s">
        <v>6</v>
      </c>
      <c r="E4" s="655" t="s">
        <v>7</v>
      </c>
      <c r="F4" s="656"/>
      <c r="G4" s="656"/>
      <c r="H4" s="656"/>
      <c r="I4" s="656"/>
      <c r="J4" s="657"/>
      <c r="K4" s="669" t="s">
        <v>8</v>
      </c>
      <c r="L4" s="670"/>
      <c r="M4" s="671"/>
      <c r="N4" s="658" t="s">
        <v>9</v>
      </c>
      <c r="O4" s="656"/>
      <c r="P4" s="656"/>
      <c r="Q4" s="656"/>
      <c r="R4" s="656"/>
      <c r="S4" s="657"/>
    </row>
    <row r="5" spans="1:19" ht="24.75" customHeight="1">
      <c r="A5" s="5"/>
      <c r="B5" s="647"/>
      <c r="C5" s="647"/>
      <c r="D5" s="6"/>
      <c r="E5" s="3" t="s">
        <v>10</v>
      </c>
      <c r="F5" s="7" t="s">
        <v>11</v>
      </c>
      <c r="G5" s="8" t="s">
        <v>12</v>
      </c>
      <c r="H5" s="655" t="s">
        <v>13</v>
      </c>
      <c r="I5" s="656"/>
      <c r="J5" s="657"/>
      <c r="K5" s="9" t="s">
        <v>14</v>
      </c>
      <c r="L5" s="10" t="s">
        <v>15</v>
      </c>
      <c r="M5" s="11" t="s">
        <v>16</v>
      </c>
      <c r="N5" s="3" t="s">
        <v>10</v>
      </c>
      <c r="O5" s="12" t="s">
        <v>11</v>
      </c>
      <c r="P5" s="13" t="s">
        <v>12</v>
      </c>
      <c r="Q5" s="655" t="s">
        <v>13</v>
      </c>
      <c r="R5" s="656"/>
      <c r="S5" s="657"/>
    </row>
    <row r="6" spans="1:19" ht="27.75" customHeight="1">
      <c r="A6" s="14"/>
      <c r="B6" s="648"/>
      <c r="C6" s="648"/>
      <c r="D6" s="15"/>
      <c r="E6" s="14"/>
      <c r="F6" s="16"/>
      <c r="G6" s="17" t="s">
        <v>17</v>
      </c>
      <c r="H6" s="18" t="s">
        <v>16</v>
      </c>
      <c r="I6" s="19" t="s">
        <v>18</v>
      </c>
      <c r="J6" s="20" t="s">
        <v>19</v>
      </c>
      <c r="K6" s="21"/>
      <c r="L6" s="22"/>
      <c r="M6" s="23"/>
      <c r="N6" s="14"/>
      <c r="O6" s="24"/>
      <c r="P6" s="17" t="s">
        <v>17</v>
      </c>
      <c r="Q6" s="18" t="s">
        <v>16</v>
      </c>
      <c r="R6" s="25" t="s">
        <v>18</v>
      </c>
      <c r="S6" s="20" t="s">
        <v>19</v>
      </c>
    </row>
    <row r="7" spans="1:19" ht="32.25" customHeight="1">
      <c r="A7" s="26"/>
      <c r="B7" s="27" t="s">
        <v>20</v>
      </c>
      <c r="C7" s="28"/>
      <c r="D7" s="29"/>
      <c r="E7" s="30"/>
      <c r="F7" s="31"/>
      <c r="G7" s="32"/>
      <c r="H7" s="32"/>
      <c r="I7" s="32"/>
      <c r="J7" s="33"/>
      <c r="K7" s="34"/>
      <c r="L7" s="35"/>
      <c r="M7" s="36"/>
      <c r="N7" s="30"/>
      <c r="O7" s="31"/>
      <c r="P7" s="32"/>
      <c r="Q7" s="37"/>
      <c r="R7" s="37"/>
      <c r="S7" s="38"/>
    </row>
    <row r="8" spans="1:19" ht="32.25" customHeight="1">
      <c r="A8" s="39">
        <v>1</v>
      </c>
      <c r="B8" s="40" t="s">
        <v>21</v>
      </c>
      <c r="C8" s="41"/>
      <c r="D8" s="42"/>
      <c r="E8" s="6"/>
      <c r="F8" s="43"/>
      <c r="G8" s="6"/>
      <c r="H8" s="42"/>
      <c r="I8" s="42"/>
      <c r="J8" s="42"/>
      <c r="K8" s="44"/>
      <c r="L8" s="45"/>
      <c r="M8" s="46"/>
      <c r="N8" s="5"/>
      <c r="O8" s="43"/>
      <c r="P8" s="47"/>
      <c r="Q8" s="48"/>
      <c r="R8" s="48"/>
      <c r="S8" s="49"/>
    </row>
    <row r="9" spans="1:19" ht="32.25" customHeight="1" thickBot="1">
      <c r="A9" s="39"/>
      <c r="B9" s="50" t="s">
        <v>19</v>
      </c>
      <c r="C9" s="50"/>
      <c r="D9" s="51">
        <v>0</v>
      </c>
      <c r="E9" s="52"/>
      <c r="F9" s="53"/>
      <c r="G9" s="52"/>
      <c r="H9" s="51">
        <v>0</v>
      </c>
      <c r="I9" s="51">
        <v>0</v>
      </c>
      <c r="J9" s="51">
        <v>0</v>
      </c>
      <c r="K9" s="54"/>
      <c r="L9" s="55"/>
      <c r="M9" s="56">
        <v>0</v>
      </c>
      <c r="N9" s="57"/>
      <c r="O9" s="53"/>
      <c r="P9" s="51"/>
      <c r="Q9" s="51"/>
      <c r="R9" s="51"/>
      <c r="S9" s="51"/>
    </row>
    <row r="10" spans="1:19" ht="32.25" customHeight="1" thickTop="1">
      <c r="A10" s="39"/>
      <c r="B10" s="58" t="s">
        <v>22</v>
      </c>
      <c r="C10" s="59"/>
      <c r="D10" s="60"/>
      <c r="E10" s="61"/>
      <c r="F10" s="62"/>
      <c r="G10" s="63"/>
      <c r="H10" s="64"/>
      <c r="I10" s="64"/>
      <c r="J10" s="64"/>
      <c r="K10" s="65"/>
      <c r="L10" s="66"/>
      <c r="M10" s="67"/>
      <c r="N10" s="68"/>
      <c r="O10" s="62"/>
      <c r="P10" s="69"/>
      <c r="Q10" s="63"/>
      <c r="R10" s="63"/>
      <c r="S10" s="70"/>
    </row>
    <row r="11" spans="1:19" s="78" customFormat="1" ht="32.25" customHeight="1">
      <c r="A11" s="39">
        <v>1</v>
      </c>
      <c r="B11" s="71" t="s">
        <v>23</v>
      </c>
      <c r="C11" s="71" t="s">
        <v>24</v>
      </c>
      <c r="D11" s="72">
        <v>2038.35</v>
      </c>
      <c r="E11" s="6"/>
      <c r="F11" s="43"/>
      <c r="G11" s="48"/>
      <c r="H11" s="73">
        <v>0</v>
      </c>
      <c r="I11" s="73">
        <v>0</v>
      </c>
      <c r="J11" s="73">
        <v>0</v>
      </c>
      <c r="K11" s="74" t="s">
        <v>465</v>
      </c>
      <c r="L11" s="75" t="s">
        <v>466</v>
      </c>
      <c r="M11" s="76">
        <v>2038.35</v>
      </c>
      <c r="N11" s="5"/>
      <c r="O11" s="43"/>
      <c r="P11" s="47"/>
      <c r="Q11" s="48">
        <v>0</v>
      </c>
      <c r="R11" s="48">
        <v>0</v>
      </c>
      <c r="S11" s="77">
        <v>0</v>
      </c>
    </row>
    <row r="12" spans="1:19" s="78" customFormat="1" ht="32.25" customHeight="1">
      <c r="A12" s="39">
        <v>2</v>
      </c>
      <c r="B12" s="71" t="s">
        <v>27</v>
      </c>
      <c r="C12" s="71" t="s">
        <v>24</v>
      </c>
      <c r="D12" s="72">
        <v>376.64</v>
      </c>
      <c r="E12" s="6"/>
      <c r="F12" s="43"/>
      <c r="G12" s="48"/>
      <c r="H12" s="73">
        <v>0</v>
      </c>
      <c r="I12" s="73">
        <v>0</v>
      </c>
      <c r="J12" s="73">
        <v>0</v>
      </c>
      <c r="K12" s="74" t="s">
        <v>465</v>
      </c>
      <c r="L12" s="75" t="s">
        <v>467</v>
      </c>
      <c r="M12" s="76">
        <v>376.64</v>
      </c>
      <c r="N12" s="5"/>
      <c r="O12" s="43"/>
      <c r="P12" s="47"/>
      <c r="Q12" s="48">
        <v>0</v>
      </c>
      <c r="R12" s="48">
        <v>0</v>
      </c>
      <c r="S12" s="77">
        <v>0</v>
      </c>
    </row>
    <row r="13" spans="1:19" s="78" customFormat="1" ht="32.25" customHeight="1">
      <c r="A13" s="39">
        <v>3</v>
      </c>
      <c r="B13" s="71" t="s">
        <v>30</v>
      </c>
      <c r="C13" s="71" t="s">
        <v>24</v>
      </c>
      <c r="D13" s="72">
        <v>207.05</v>
      </c>
      <c r="E13" s="6"/>
      <c r="F13" s="43"/>
      <c r="G13" s="48"/>
      <c r="H13" s="73">
        <v>0</v>
      </c>
      <c r="I13" s="73">
        <v>0</v>
      </c>
      <c r="J13" s="73">
        <v>0</v>
      </c>
      <c r="K13" s="74" t="s">
        <v>468</v>
      </c>
      <c r="L13" s="75" t="s">
        <v>469</v>
      </c>
      <c r="M13" s="76">
        <v>207.05</v>
      </c>
      <c r="N13" s="5"/>
      <c r="O13" s="43"/>
      <c r="P13" s="47"/>
      <c r="Q13" s="48">
        <v>0</v>
      </c>
      <c r="R13" s="48">
        <v>0</v>
      </c>
      <c r="S13" s="77">
        <v>0</v>
      </c>
    </row>
    <row r="14" spans="1:19" s="78" customFormat="1" ht="32.25" customHeight="1">
      <c r="A14" s="39">
        <v>4</v>
      </c>
      <c r="B14" s="79"/>
      <c r="C14" s="80"/>
      <c r="D14" s="81"/>
      <c r="E14" s="6"/>
      <c r="F14" s="43"/>
      <c r="G14" s="48"/>
      <c r="H14" s="73"/>
      <c r="I14" s="73"/>
      <c r="J14" s="73"/>
      <c r="K14" s="82"/>
      <c r="L14" s="45"/>
      <c r="M14" s="46"/>
      <c r="N14" s="5"/>
      <c r="O14" s="43"/>
      <c r="P14" s="47"/>
      <c r="Q14" s="48"/>
      <c r="R14" s="48"/>
      <c r="S14" s="49"/>
    </row>
    <row r="15" spans="1:19" s="78" customFormat="1" ht="32.25" customHeight="1">
      <c r="A15" s="39">
        <v>5</v>
      </c>
      <c r="B15" s="80"/>
      <c r="C15" s="80"/>
      <c r="D15" s="81"/>
      <c r="E15" s="6"/>
      <c r="F15" s="43"/>
      <c r="G15" s="6"/>
      <c r="H15" s="42"/>
      <c r="I15" s="42"/>
      <c r="J15" s="42"/>
      <c r="K15" s="44"/>
      <c r="L15" s="45"/>
      <c r="M15" s="46"/>
      <c r="N15" s="5"/>
      <c r="O15" s="43"/>
      <c r="P15" s="47"/>
      <c r="Q15" s="48"/>
      <c r="R15" s="48"/>
      <c r="S15" s="49"/>
    </row>
    <row r="16" spans="1:19" ht="32.25" customHeight="1" thickBot="1">
      <c r="A16" s="39"/>
      <c r="B16" s="50" t="s">
        <v>19</v>
      </c>
      <c r="C16" s="50"/>
      <c r="D16" s="51">
        <f>SUM(D11:D15)</f>
        <v>2622.04</v>
      </c>
      <c r="E16" s="52"/>
      <c r="F16" s="53"/>
      <c r="G16" s="52"/>
      <c r="H16" s="51">
        <v>0</v>
      </c>
      <c r="I16" s="51">
        <v>0</v>
      </c>
      <c r="J16" s="51">
        <v>0</v>
      </c>
      <c r="K16" s="83"/>
      <c r="L16" s="84"/>
      <c r="M16" s="56">
        <f>SUM(M10:M15)</f>
        <v>2622.04</v>
      </c>
      <c r="N16" s="57"/>
      <c r="O16" s="53"/>
      <c r="P16" s="85"/>
      <c r="Q16" s="86"/>
      <c r="R16" s="86"/>
      <c r="S16" s="87"/>
    </row>
    <row r="17" spans="1:19" ht="32.25" customHeight="1" thickTop="1">
      <c r="A17" s="39"/>
      <c r="B17" s="58" t="s">
        <v>32</v>
      </c>
      <c r="C17" s="59"/>
      <c r="D17" s="60"/>
      <c r="E17" s="61"/>
      <c r="F17" s="62"/>
      <c r="G17" s="63"/>
      <c r="H17" s="64"/>
      <c r="I17" s="64"/>
      <c r="J17" s="64"/>
      <c r="K17" s="65"/>
      <c r="L17" s="66"/>
      <c r="M17" s="67"/>
      <c r="N17" s="68"/>
      <c r="O17" s="62"/>
      <c r="P17" s="69"/>
      <c r="Q17" s="63"/>
      <c r="R17" s="63"/>
      <c r="S17" s="70"/>
    </row>
    <row r="18" spans="1:19" s="78" customFormat="1" ht="32.25" customHeight="1">
      <c r="A18" s="39">
        <v>1</v>
      </c>
      <c r="B18" s="71" t="s">
        <v>23</v>
      </c>
      <c r="C18" s="71" t="s">
        <v>33</v>
      </c>
      <c r="D18" s="88">
        <v>780</v>
      </c>
      <c r="E18" s="6"/>
      <c r="F18" s="43"/>
      <c r="G18" s="89"/>
      <c r="H18" s="42">
        <v>0</v>
      </c>
      <c r="I18" s="42">
        <v>0</v>
      </c>
      <c r="J18" s="42">
        <v>0</v>
      </c>
      <c r="K18" s="74" t="s">
        <v>465</v>
      </c>
      <c r="L18" s="90" t="s">
        <v>470</v>
      </c>
      <c r="M18" s="76">
        <v>780</v>
      </c>
      <c r="N18" s="5"/>
      <c r="O18" s="43"/>
      <c r="P18" s="47"/>
      <c r="Q18" s="91">
        <v>0</v>
      </c>
      <c r="R18" s="92">
        <v>0</v>
      </c>
      <c r="S18" s="93">
        <v>0</v>
      </c>
    </row>
    <row r="19" spans="1:19" s="78" customFormat="1" ht="32.25" customHeight="1">
      <c r="A19" s="39">
        <v>2</v>
      </c>
      <c r="B19" s="71" t="s">
        <v>27</v>
      </c>
      <c r="C19" s="71" t="s">
        <v>33</v>
      </c>
      <c r="D19" s="88">
        <v>150</v>
      </c>
      <c r="E19" s="6"/>
      <c r="F19" s="43"/>
      <c r="G19" s="89"/>
      <c r="H19" s="42"/>
      <c r="I19" s="42"/>
      <c r="J19" s="42">
        <v>0</v>
      </c>
      <c r="K19" s="74" t="s">
        <v>465</v>
      </c>
      <c r="L19" s="94" t="s">
        <v>471</v>
      </c>
      <c r="M19" s="76">
        <v>150</v>
      </c>
      <c r="N19" s="5"/>
      <c r="O19" s="43"/>
      <c r="P19" s="47"/>
      <c r="Q19" s="91">
        <v>0</v>
      </c>
      <c r="R19" s="92">
        <v>0</v>
      </c>
      <c r="S19" s="95">
        <v>0</v>
      </c>
    </row>
    <row r="20" spans="1:19" s="78" customFormat="1" ht="32.25" customHeight="1">
      <c r="A20" s="39">
        <v>3</v>
      </c>
      <c r="B20" s="71" t="s">
        <v>30</v>
      </c>
      <c r="C20" s="71" t="s">
        <v>33</v>
      </c>
      <c r="D20" s="96">
        <v>0</v>
      </c>
      <c r="E20" s="6"/>
      <c r="F20" s="43"/>
      <c r="G20" s="89"/>
      <c r="H20" s="42"/>
      <c r="I20" s="42"/>
      <c r="J20" s="42"/>
      <c r="K20" s="97"/>
      <c r="L20" s="98"/>
      <c r="M20" s="99"/>
      <c r="N20" s="5"/>
      <c r="O20" s="43"/>
      <c r="P20" s="47"/>
      <c r="Q20" s="6"/>
      <c r="R20" s="42"/>
      <c r="S20" s="100"/>
    </row>
    <row r="21" spans="1:19" ht="32.25" customHeight="1" thickBot="1">
      <c r="A21" s="39"/>
      <c r="B21" s="50" t="s">
        <v>19</v>
      </c>
      <c r="C21" s="50"/>
      <c r="D21" s="51">
        <f>SUM(D18:D20)</f>
        <v>930</v>
      </c>
      <c r="E21" s="52"/>
      <c r="F21" s="53"/>
      <c r="G21" s="52"/>
      <c r="H21" s="51">
        <v>0</v>
      </c>
      <c r="I21" s="51">
        <v>0</v>
      </c>
      <c r="J21" s="51">
        <v>0</v>
      </c>
      <c r="K21" s="101"/>
      <c r="L21" s="102"/>
      <c r="M21" s="103">
        <f>SUM(M18:M20)</f>
        <v>930</v>
      </c>
      <c r="N21" s="57"/>
      <c r="O21" s="53"/>
      <c r="P21" s="51"/>
      <c r="Q21" s="51"/>
      <c r="R21" s="51"/>
      <c r="S21" s="51"/>
    </row>
    <row r="22" spans="1:19" ht="32.25" hidden="1" customHeight="1">
      <c r="A22" s="104" t="s">
        <v>36</v>
      </c>
      <c r="B22" s="104" t="s">
        <v>37</v>
      </c>
      <c r="C22" s="105">
        <v>780</v>
      </c>
      <c r="D22" s="60"/>
      <c r="E22" s="61"/>
      <c r="F22" s="62"/>
      <c r="G22" s="63"/>
      <c r="H22" s="64"/>
      <c r="I22" s="64"/>
      <c r="J22" s="64"/>
      <c r="K22" s="65"/>
      <c r="L22" s="66"/>
      <c r="M22" s="67"/>
      <c r="N22" s="68"/>
      <c r="O22" s="62"/>
      <c r="P22" s="69"/>
      <c r="Q22" s="63"/>
      <c r="R22" s="63"/>
      <c r="S22" s="70"/>
    </row>
    <row r="23" spans="1:19" ht="32.25" hidden="1" customHeight="1">
      <c r="A23" s="104" t="s">
        <v>36</v>
      </c>
      <c r="B23" s="104" t="s">
        <v>38</v>
      </c>
      <c r="C23" s="105">
        <v>180</v>
      </c>
      <c r="D23" s="42"/>
      <c r="E23" s="6"/>
      <c r="F23" s="43"/>
      <c r="G23" s="6"/>
      <c r="H23" s="42"/>
      <c r="I23" s="42"/>
      <c r="J23" s="42"/>
      <c r="K23" s="44"/>
      <c r="L23" s="45"/>
      <c r="M23" s="46"/>
      <c r="N23" s="5"/>
      <c r="O23" s="43"/>
      <c r="P23" s="47"/>
      <c r="Q23" s="48"/>
      <c r="R23" s="48"/>
      <c r="S23" s="49"/>
    </row>
    <row r="24" spans="1:19" ht="32.25" hidden="1" customHeight="1">
      <c r="A24" s="39"/>
      <c r="B24" s="50" t="s">
        <v>19</v>
      </c>
      <c r="C24" s="50"/>
      <c r="D24" s="51">
        <v>0</v>
      </c>
      <c r="E24" s="52"/>
      <c r="F24" s="53"/>
      <c r="G24" s="52"/>
      <c r="H24" s="51">
        <v>0</v>
      </c>
      <c r="I24" s="51">
        <v>0</v>
      </c>
      <c r="J24" s="51">
        <v>0</v>
      </c>
      <c r="K24" s="54"/>
      <c r="L24" s="55"/>
      <c r="M24" s="56"/>
      <c r="N24" s="57"/>
      <c r="O24" s="53"/>
      <c r="P24" s="51"/>
      <c r="Q24" s="51"/>
      <c r="R24" s="51"/>
      <c r="S24" s="51"/>
    </row>
    <row r="25" spans="1:19" ht="32.25" hidden="1" customHeight="1">
      <c r="A25" s="39"/>
      <c r="B25" s="58" t="s">
        <v>39</v>
      </c>
      <c r="C25" s="59"/>
      <c r="D25" s="60"/>
      <c r="E25" s="61"/>
      <c r="F25" s="62"/>
      <c r="G25" s="63"/>
      <c r="H25" s="64"/>
      <c r="I25" s="64"/>
      <c r="J25" s="64"/>
      <c r="K25" s="65"/>
      <c r="L25" s="66"/>
      <c r="M25" s="67"/>
      <c r="N25" s="68"/>
      <c r="O25" s="62"/>
      <c r="P25" s="69"/>
      <c r="Q25" s="63"/>
      <c r="R25" s="63"/>
      <c r="S25" s="70"/>
    </row>
    <row r="26" spans="1:19" ht="32.25" hidden="1" customHeight="1">
      <c r="A26" s="39">
        <v>1</v>
      </c>
      <c r="B26" s="40"/>
      <c r="C26" s="41"/>
      <c r="D26" s="42"/>
      <c r="E26" s="6"/>
      <c r="F26" s="43"/>
      <c r="G26" s="6"/>
      <c r="H26" s="42"/>
      <c r="I26" s="42"/>
      <c r="J26" s="42"/>
      <c r="K26" s="44"/>
      <c r="L26" s="45"/>
      <c r="M26" s="46"/>
      <c r="N26" s="5"/>
      <c r="O26" s="43"/>
      <c r="P26" s="47"/>
      <c r="Q26" s="48"/>
      <c r="R26" s="48"/>
      <c r="S26" s="49"/>
    </row>
    <row r="27" spans="1:19" ht="32.25" hidden="1" customHeight="1">
      <c r="A27" s="39"/>
      <c r="B27" s="50" t="s">
        <v>19</v>
      </c>
      <c r="C27" s="50"/>
      <c r="D27" s="51">
        <v>0</v>
      </c>
      <c r="E27" s="52"/>
      <c r="F27" s="53"/>
      <c r="G27" s="52"/>
      <c r="H27" s="51">
        <v>0</v>
      </c>
      <c r="I27" s="51">
        <v>0</v>
      </c>
      <c r="J27" s="51">
        <v>0</v>
      </c>
      <c r="K27" s="54"/>
      <c r="L27" s="55"/>
      <c r="M27" s="56"/>
      <c r="N27" s="57"/>
      <c r="O27" s="53"/>
      <c r="P27" s="51"/>
      <c r="Q27" s="51"/>
      <c r="R27" s="51"/>
      <c r="S27" s="51"/>
    </row>
    <row r="28" spans="1:19" ht="32.25" hidden="1" customHeight="1">
      <c r="A28" s="39"/>
      <c r="B28" s="58" t="s">
        <v>40</v>
      </c>
      <c r="C28" s="59"/>
      <c r="D28" s="60"/>
      <c r="E28" s="61"/>
      <c r="F28" s="62"/>
      <c r="G28" s="63"/>
      <c r="H28" s="64"/>
      <c r="I28" s="64"/>
      <c r="J28" s="64"/>
      <c r="K28" s="65"/>
      <c r="L28" s="66"/>
      <c r="M28" s="67"/>
      <c r="N28" s="68"/>
      <c r="O28" s="62"/>
      <c r="P28" s="69"/>
      <c r="Q28" s="63"/>
      <c r="R28" s="63"/>
      <c r="S28" s="70"/>
    </row>
    <row r="29" spans="1:19" ht="32.25" hidden="1" customHeight="1">
      <c r="A29" s="39">
        <v>1</v>
      </c>
      <c r="B29" s="40"/>
      <c r="C29" s="41"/>
      <c r="D29" s="42"/>
      <c r="E29" s="6"/>
      <c r="F29" s="43"/>
      <c r="G29" s="6"/>
      <c r="H29" s="42"/>
      <c r="I29" s="42"/>
      <c r="J29" s="42"/>
      <c r="K29" s="44"/>
      <c r="L29" s="45"/>
      <c r="M29" s="46"/>
      <c r="N29" s="5"/>
      <c r="O29" s="43"/>
      <c r="P29" s="47"/>
      <c r="Q29" s="48"/>
      <c r="R29" s="48"/>
      <c r="S29" s="49"/>
    </row>
    <row r="30" spans="1:19" ht="32.25" hidden="1" customHeight="1">
      <c r="A30" s="39"/>
      <c r="B30" s="50" t="s">
        <v>19</v>
      </c>
      <c r="C30" s="50"/>
      <c r="D30" s="51">
        <v>0</v>
      </c>
      <c r="E30" s="52"/>
      <c r="F30" s="53"/>
      <c r="G30" s="52"/>
      <c r="H30" s="51">
        <v>0</v>
      </c>
      <c r="I30" s="51">
        <v>0</v>
      </c>
      <c r="J30" s="51">
        <v>0</v>
      </c>
      <c r="K30" s="54"/>
      <c r="L30" s="55"/>
      <c r="M30" s="56"/>
      <c r="N30" s="57"/>
      <c r="O30" s="53"/>
      <c r="P30" s="51"/>
      <c r="Q30" s="51"/>
      <c r="R30" s="51"/>
      <c r="S30" s="51"/>
    </row>
    <row r="31" spans="1:19" ht="32.25" customHeight="1" thickTop="1">
      <c r="A31" s="39"/>
      <c r="B31" s="58" t="s">
        <v>41</v>
      </c>
      <c r="C31" s="59"/>
      <c r="D31" s="60"/>
      <c r="E31" s="61"/>
      <c r="F31" s="62"/>
      <c r="G31" s="63"/>
      <c r="H31" s="64"/>
      <c r="I31" s="64"/>
      <c r="J31" s="64"/>
      <c r="K31" s="65"/>
      <c r="L31" s="66"/>
      <c r="M31" s="67"/>
      <c r="N31" s="68"/>
      <c r="O31" s="62"/>
      <c r="P31" s="69"/>
      <c r="Q31" s="63"/>
      <c r="R31" s="63"/>
      <c r="S31" s="70"/>
    </row>
    <row r="32" spans="1:19" ht="32.25" customHeight="1">
      <c r="A32" s="106">
        <v>1</v>
      </c>
      <c r="B32" s="107" t="s">
        <v>482</v>
      </c>
      <c r="C32" s="107" t="s">
        <v>400</v>
      </c>
      <c r="D32" s="108">
        <v>321</v>
      </c>
      <c r="E32" s="109"/>
      <c r="F32" s="110"/>
      <c r="G32" s="111"/>
      <c r="H32" s="111">
        <v>0</v>
      </c>
      <c r="I32" s="112">
        <v>0</v>
      </c>
      <c r="J32" s="113">
        <v>0</v>
      </c>
      <c r="K32" s="74" t="s">
        <v>472</v>
      </c>
      <c r="L32" s="75" t="s">
        <v>473</v>
      </c>
      <c r="M32" s="76">
        <v>321</v>
      </c>
      <c r="N32" s="114"/>
      <c r="O32" s="115"/>
      <c r="P32" s="92"/>
      <c r="Q32" s="91">
        <v>0</v>
      </c>
      <c r="R32" s="92">
        <v>0</v>
      </c>
      <c r="S32" s="77">
        <v>0</v>
      </c>
    </row>
    <row r="33" spans="1:19" ht="32.25" customHeight="1">
      <c r="A33" s="106">
        <v>2</v>
      </c>
      <c r="B33" s="117" t="s">
        <v>483</v>
      </c>
      <c r="C33" s="107" t="s">
        <v>400</v>
      </c>
      <c r="D33" s="108">
        <v>321</v>
      </c>
      <c r="E33" s="118"/>
      <c r="F33" s="119"/>
      <c r="G33" s="111"/>
      <c r="H33" s="111">
        <v>0</v>
      </c>
      <c r="I33" s="120">
        <v>0</v>
      </c>
      <c r="J33" s="121">
        <v>0</v>
      </c>
      <c r="K33" s="74" t="s">
        <v>474</v>
      </c>
      <c r="L33" s="75" t="s">
        <v>475</v>
      </c>
      <c r="M33" s="76">
        <v>321</v>
      </c>
      <c r="N33" s="114"/>
      <c r="O33" s="122"/>
      <c r="P33" s="92"/>
      <c r="Q33" s="91">
        <v>0</v>
      </c>
      <c r="R33" s="92">
        <v>0</v>
      </c>
      <c r="S33" s="77">
        <v>0</v>
      </c>
    </row>
    <row r="34" spans="1:19" ht="32.25" customHeight="1">
      <c r="A34" s="106">
        <v>3</v>
      </c>
      <c r="B34" s="117" t="s">
        <v>484</v>
      </c>
      <c r="C34" s="107" t="s">
        <v>400</v>
      </c>
      <c r="D34" s="123">
        <v>321</v>
      </c>
      <c r="E34" s="109"/>
      <c r="F34" s="110"/>
      <c r="G34" s="124"/>
      <c r="H34" s="124">
        <v>0</v>
      </c>
      <c r="I34" s="112">
        <v>0</v>
      </c>
      <c r="J34" s="113">
        <v>0</v>
      </c>
      <c r="K34" s="74" t="s">
        <v>474</v>
      </c>
      <c r="L34" s="75" t="s">
        <v>476</v>
      </c>
      <c r="M34" s="76">
        <v>321</v>
      </c>
      <c r="N34" s="114"/>
      <c r="O34" s="115"/>
      <c r="P34" s="125"/>
      <c r="Q34" s="91">
        <v>0</v>
      </c>
      <c r="R34" s="92">
        <v>0</v>
      </c>
      <c r="S34" s="77">
        <v>0</v>
      </c>
    </row>
    <row r="35" spans="1:19" ht="32.25" customHeight="1">
      <c r="A35" s="106">
        <v>4</v>
      </c>
      <c r="B35" s="117" t="s">
        <v>485</v>
      </c>
      <c r="C35" s="107" t="s">
        <v>400</v>
      </c>
      <c r="D35" s="123">
        <v>321</v>
      </c>
      <c r="E35" s="466"/>
      <c r="F35" s="127"/>
      <c r="G35" s="126"/>
      <c r="H35" s="126">
        <v>0</v>
      </c>
      <c r="I35" s="128">
        <v>0</v>
      </c>
      <c r="J35" s="129">
        <v>0</v>
      </c>
      <c r="K35" s="74" t="s">
        <v>474</v>
      </c>
      <c r="L35" s="75" t="s">
        <v>477</v>
      </c>
      <c r="M35" s="76">
        <v>321</v>
      </c>
      <c r="N35" s="30"/>
      <c r="O35" s="31"/>
      <c r="P35" s="29"/>
      <c r="Q35" s="91"/>
      <c r="R35" s="92"/>
      <c r="S35" s="77"/>
    </row>
    <row r="36" spans="1:19" ht="32.25" customHeight="1">
      <c r="A36" s="106">
        <v>5</v>
      </c>
      <c r="B36" s="117" t="s">
        <v>486</v>
      </c>
      <c r="C36" s="107" t="s">
        <v>400</v>
      </c>
      <c r="D36" s="123">
        <v>321</v>
      </c>
      <c r="E36" s="126"/>
      <c r="F36" s="127"/>
      <c r="G36" s="126"/>
      <c r="H36" s="128">
        <v>0</v>
      </c>
      <c r="I36" s="128">
        <v>0</v>
      </c>
      <c r="J36" s="129">
        <v>0</v>
      </c>
      <c r="K36" s="74" t="s">
        <v>474</v>
      </c>
      <c r="L36" s="75" t="s">
        <v>478</v>
      </c>
      <c r="M36" s="76">
        <v>321</v>
      </c>
      <c r="N36" s="30"/>
      <c r="O36" s="31"/>
      <c r="P36" s="31"/>
      <c r="Q36" s="91">
        <v>0</v>
      </c>
      <c r="R36" s="92">
        <v>0</v>
      </c>
      <c r="S36" s="77">
        <v>0</v>
      </c>
    </row>
    <row r="37" spans="1:19" ht="32.25" customHeight="1">
      <c r="A37" s="106">
        <v>6</v>
      </c>
      <c r="B37" s="117" t="s">
        <v>487</v>
      </c>
      <c r="C37" s="107" t="s">
        <v>400</v>
      </c>
      <c r="D37" s="123">
        <v>321</v>
      </c>
      <c r="E37" s="126"/>
      <c r="F37" s="127"/>
      <c r="G37" s="126"/>
      <c r="H37" s="128">
        <v>0</v>
      </c>
      <c r="I37" s="128">
        <v>0</v>
      </c>
      <c r="J37" s="129">
        <v>0</v>
      </c>
      <c r="K37" s="74" t="s">
        <v>479</v>
      </c>
      <c r="L37" s="75" t="s">
        <v>480</v>
      </c>
      <c r="M37" s="76">
        <v>321</v>
      </c>
      <c r="N37" s="30"/>
      <c r="O37" s="31"/>
      <c r="P37" s="31"/>
      <c r="Q37" s="91"/>
      <c r="R37" s="92"/>
      <c r="S37" s="77"/>
    </row>
    <row r="38" spans="1:19" ht="32.25" customHeight="1">
      <c r="A38" s="106">
        <v>7</v>
      </c>
      <c r="B38" s="117" t="s">
        <v>488</v>
      </c>
      <c r="C38" s="107" t="s">
        <v>400</v>
      </c>
      <c r="D38" s="123">
        <v>321</v>
      </c>
      <c r="E38" s="126"/>
      <c r="F38" s="127"/>
      <c r="G38" s="126"/>
      <c r="H38" s="128">
        <v>0</v>
      </c>
      <c r="I38" s="128">
        <v>0</v>
      </c>
      <c r="J38" s="129">
        <v>0</v>
      </c>
      <c r="K38" s="74" t="s">
        <v>479</v>
      </c>
      <c r="L38" s="75" t="s">
        <v>481</v>
      </c>
      <c r="M38" s="76">
        <v>321</v>
      </c>
      <c r="N38" s="30"/>
      <c r="O38" s="31"/>
      <c r="P38" s="31"/>
      <c r="Q38" s="91"/>
      <c r="R38" s="92"/>
      <c r="S38" s="77"/>
    </row>
    <row r="39" spans="1:19" ht="32.25" customHeight="1">
      <c r="A39" s="106">
        <v>8</v>
      </c>
      <c r="B39" s="117"/>
      <c r="C39" s="107"/>
      <c r="D39" s="123"/>
      <c r="E39" s="126"/>
      <c r="F39" s="127"/>
      <c r="G39" s="126"/>
      <c r="H39" s="128"/>
      <c r="I39" s="128"/>
      <c r="J39" s="129"/>
      <c r="K39" s="74"/>
      <c r="L39" s="75"/>
      <c r="M39" s="76"/>
      <c r="N39" s="30"/>
      <c r="O39" s="31"/>
      <c r="P39" s="31"/>
      <c r="Q39" s="91"/>
      <c r="R39" s="92"/>
      <c r="S39" s="77"/>
    </row>
    <row r="40" spans="1:19" ht="32.25" customHeight="1">
      <c r="A40" s="106"/>
      <c r="B40" s="117"/>
      <c r="C40" s="107"/>
      <c r="D40" s="123"/>
      <c r="E40" s="126"/>
      <c r="F40" s="127"/>
      <c r="G40" s="126"/>
      <c r="H40" s="128"/>
      <c r="I40" s="128"/>
      <c r="J40" s="129"/>
      <c r="K40" s="74"/>
      <c r="L40" s="75"/>
      <c r="M40" s="76"/>
      <c r="N40" s="114"/>
      <c r="O40" s="115"/>
      <c r="P40" s="115"/>
      <c r="Q40" s="91">
        <v>0</v>
      </c>
      <c r="R40" s="92">
        <v>0</v>
      </c>
      <c r="S40" s="77">
        <v>0</v>
      </c>
    </row>
    <row r="41" spans="1:19" ht="32.25" customHeight="1">
      <c r="A41" s="116"/>
      <c r="B41" s="130"/>
      <c r="C41" s="130"/>
      <c r="D41" s="72"/>
      <c r="E41" s="6"/>
      <c r="F41" s="43"/>
      <c r="G41" s="6"/>
      <c r="H41" s="42"/>
      <c r="I41" s="42"/>
      <c r="J41" s="136"/>
      <c r="K41" s="137"/>
      <c r="L41" s="138"/>
      <c r="M41" s="139"/>
      <c r="N41" s="5"/>
      <c r="O41" s="43"/>
      <c r="P41" s="43"/>
      <c r="Q41" s="91">
        <v>0</v>
      </c>
      <c r="R41" s="92">
        <v>0</v>
      </c>
      <c r="S41" s="77">
        <v>0</v>
      </c>
    </row>
    <row r="42" spans="1:19" ht="32.25" customHeight="1" thickBot="1">
      <c r="A42" s="39"/>
      <c r="B42" s="50" t="s">
        <v>19</v>
      </c>
      <c r="C42" s="50"/>
      <c r="D42" s="51">
        <f>SUM(D32:D41)</f>
        <v>2247</v>
      </c>
      <c r="E42" s="52"/>
      <c r="F42" s="53"/>
      <c r="G42" s="52"/>
      <c r="H42" s="51">
        <v>0</v>
      </c>
      <c r="I42" s="51">
        <v>0</v>
      </c>
      <c r="J42" s="51">
        <v>0</v>
      </c>
      <c r="K42" s="55"/>
      <c r="L42" s="55"/>
      <c r="M42" s="140">
        <f>SUM(M32:M41)</f>
        <v>2247</v>
      </c>
      <c r="N42" s="57"/>
      <c r="O42" s="53"/>
      <c r="P42" s="51"/>
      <c r="Q42" s="51"/>
      <c r="R42" s="51"/>
      <c r="S42" s="51"/>
    </row>
    <row r="43" spans="1:19" ht="32.25" customHeight="1" thickTop="1">
      <c r="A43" s="39"/>
      <c r="B43" s="58" t="s">
        <v>47</v>
      </c>
      <c r="C43" s="59"/>
      <c r="D43" s="60"/>
      <c r="E43" s="61"/>
      <c r="F43" s="62"/>
      <c r="G43" s="63"/>
      <c r="H43" s="64"/>
      <c r="I43" s="64"/>
      <c r="J43" s="64"/>
      <c r="K43" s="65"/>
      <c r="L43" s="66"/>
      <c r="M43" s="67"/>
      <c r="N43" s="68"/>
      <c r="O43" s="62"/>
      <c r="P43" s="69"/>
      <c r="Q43" s="63"/>
      <c r="R43" s="63"/>
      <c r="S43" s="70"/>
    </row>
    <row r="44" spans="1:19" ht="32.25" customHeight="1">
      <c r="A44" s="39">
        <v>1</v>
      </c>
      <c r="B44" s="40"/>
      <c r="C44" s="41"/>
      <c r="D44" s="42"/>
      <c r="E44" s="6"/>
      <c r="F44" s="43"/>
      <c r="G44" s="6"/>
      <c r="H44" s="42"/>
      <c r="I44" s="42"/>
      <c r="J44" s="42"/>
      <c r="K44" s="44"/>
      <c r="L44" s="45"/>
      <c r="M44" s="46"/>
      <c r="N44" s="5"/>
      <c r="O44" s="43"/>
      <c r="P44" s="47"/>
      <c r="Q44" s="48"/>
      <c r="R44" s="48"/>
      <c r="S44" s="49"/>
    </row>
    <row r="45" spans="1:19" ht="32.25" customHeight="1" thickBot="1">
      <c r="A45" s="39"/>
      <c r="B45" s="50" t="s">
        <v>19</v>
      </c>
      <c r="C45" s="50"/>
      <c r="D45" s="51">
        <v>0</v>
      </c>
      <c r="E45" s="52"/>
      <c r="F45" s="53"/>
      <c r="G45" s="52"/>
      <c r="H45" s="51">
        <v>0</v>
      </c>
      <c r="I45" s="51">
        <v>0</v>
      </c>
      <c r="J45" s="51">
        <v>0</v>
      </c>
      <c r="K45" s="54"/>
      <c r="L45" s="55"/>
      <c r="M45" s="56"/>
      <c r="N45" s="57"/>
      <c r="O45" s="53"/>
      <c r="P45" s="51"/>
      <c r="Q45" s="51"/>
      <c r="R45" s="51"/>
      <c r="S45" s="51"/>
    </row>
    <row r="46" spans="1:19" ht="32.25" customHeight="1" thickTop="1">
      <c r="A46" s="39"/>
      <c r="B46" s="58" t="s">
        <v>48</v>
      </c>
      <c r="C46" s="59"/>
      <c r="D46" s="60"/>
      <c r="E46" s="61"/>
      <c r="F46" s="62"/>
      <c r="G46" s="63"/>
      <c r="H46" s="64"/>
      <c r="I46" s="64"/>
      <c r="J46" s="64"/>
      <c r="K46" s="65"/>
      <c r="L46" s="66"/>
      <c r="M46" s="67"/>
      <c r="N46" s="68"/>
      <c r="O46" s="62"/>
      <c r="P46" s="69"/>
      <c r="Q46" s="63"/>
      <c r="R46" s="63"/>
      <c r="S46" s="70"/>
    </row>
    <row r="47" spans="1:19" ht="32.25" customHeight="1">
      <c r="A47" s="39">
        <v>1</v>
      </c>
      <c r="B47" s="40"/>
      <c r="C47" s="41"/>
      <c r="D47" s="42"/>
      <c r="E47" s="6"/>
      <c r="F47" s="43"/>
      <c r="G47" s="6"/>
      <c r="H47" s="42"/>
      <c r="I47" s="42"/>
      <c r="J47" s="42"/>
      <c r="K47" s="44"/>
      <c r="L47" s="45"/>
      <c r="M47" s="46"/>
      <c r="N47" s="5"/>
      <c r="O47" s="43"/>
      <c r="P47" s="47"/>
      <c r="Q47" s="48"/>
      <c r="R47" s="48"/>
      <c r="S47" s="49"/>
    </row>
    <row r="48" spans="1:19" ht="32.25" customHeight="1" thickBot="1">
      <c r="A48" s="39"/>
      <c r="B48" s="50" t="s">
        <v>19</v>
      </c>
      <c r="C48" s="50"/>
      <c r="D48" s="51">
        <v>0</v>
      </c>
      <c r="E48" s="52"/>
      <c r="F48" s="53"/>
      <c r="G48" s="52"/>
      <c r="H48" s="51">
        <v>0</v>
      </c>
      <c r="I48" s="51">
        <v>0</v>
      </c>
      <c r="J48" s="51">
        <v>0</v>
      </c>
      <c r="K48" s="54"/>
      <c r="L48" s="55"/>
      <c r="M48" s="56"/>
      <c r="N48" s="57"/>
      <c r="O48" s="53"/>
      <c r="P48" s="51"/>
      <c r="Q48" s="51"/>
      <c r="R48" s="51"/>
      <c r="S48" s="51"/>
    </row>
    <row r="49" spans="1:19" ht="32.25" customHeight="1" thickTop="1">
      <c r="A49" s="39"/>
      <c r="B49" s="58" t="s">
        <v>49</v>
      </c>
      <c r="C49" s="59"/>
      <c r="D49" s="60"/>
      <c r="E49" s="61"/>
      <c r="F49" s="62"/>
      <c r="G49" s="63"/>
      <c r="H49" s="64"/>
      <c r="I49" s="64"/>
      <c r="J49" s="64"/>
      <c r="K49" s="65"/>
      <c r="L49" s="66"/>
      <c r="M49" s="67"/>
      <c r="N49" s="68"/>
      <c r="O49" s="62"/>
      <c r="P49" s="69"/>
      <c r="Q49" s="63"/>
      <c r="R49" s="63"/>
      <c r="S49" s="70"/>
    </row>
    <row r="50" spans="1:19" ht="32.25" customHeight="1">
      <c r="A50" s="39">
        <v>1</v>
      </c>
      <c r="B50" s="40"/>
      <c r="C50" s="41"/>
      <c r="D50" s="42"/>
      <c r="E50" s="6"/>
      <c r="F50" s="43"/>
      <c r="G50" s="6"/>
      <c r="H50" s="42"/>
      <c r="I50" s="42"/>
      <c r="J50" s="42"/>
      <c r="K50" s="44"/>
      <c r="L50" s="45"/>
      <c r="M50" s="46"/>
      <c r="N50" s="5"/>
      <c r="O50" s="43"/>
      <c r="P50" s="47"/>
      <c r="Q50" s="48"/>
      <c r="R50" s="48"/>
      <c r="S50" s="49"/>
    </row>
    <row r="51" spans="1:19" ht="32.25" customHeight="1" thickBot="1">
      <c r="A51" s="39"/>
      <c r="B51" s="50" t="s">
        <v>19</v>
      </c>
      <c r="C51" s="50"/>
      <c r="D51" s="51">
        <v>0</v>
      </c>
      <c r="E51" s="52"/>
      <c r="F51" s="53"/>
      <c r="G51" s="52"/>
      <c r="H51" s="51">
        <v>0</v>
      </c>
      <c r="I51" s="51">
        <v>0</v>
      </c>
      <c r="J51" s="51">
        <v>0</v>
      </c>
      <c r="K51" s="54"/>
      <c r="L51" s="55"/>
      <c r="M51" s="56">
        <v>0</v>
      </c>
      <c r="N51" s="57"/>
      <c r="O51" s="53"/>
      <c r="P51" s="51"/>
      <c r="Q51" s="51"/>
      <c r="R51" s="51"/>
      <c r="S51" s="51"/>
    </row>
    <row r="52" spans="1:19" ht="32.25" customHeight="1" thickTop="1">
      <c r="A52" s="39"/>
      <c r="B52" s="141" t="s">
        <v>50</v>
      </c>
      <c r="C52" s="142"/>
      <c r="D52" s="125"/>
      <c r="E52" s="131"/>
      <c r="F52" s="115"/>
      <c r="G52" s="33"/>
      <c r="H52" s="143"/>
      <c r="I52" s="143"/>
      <c r="J52" s="143"/>
      <c r="K52" s="34"/>
      <c r="L52" s="35"/>
      <c r="M52" s="36"/>
      <c r="N52" s="114"/>
      <c r="O52" s="115"/>
      <c r="P52" s="144"/>
      <c r="Q52" s="33"/>
      <c r="R52" s="33"/>
      <c r="S52" s="145"/>
    </row>
    <row r="53" spans="1:19" ht="32.25" customHeight="1">
      <c r="A53" s="39"/>
      <c r="B53" s="146" t="s">
        <v>51</v>
      </c>
      <c r="C53" s="146"/>
      <c r="D53" s="125"/>
      <c r="E53" s="131"/>
      <c r="F53" s="122"/>
      <c r="G53" s="147"/>
      <c r="H53" s="148"/>
      <c r="I53" s="148"/>
      <c r="J53" s="143"/>
      <c r="K53" s="34"/>
      <c r="L53" s="35"/>
      <c r="M53" s="36"/>
      <c r="N53" s="114"/>
      <c r="O53" s="122"/>
      <c r="P53" s="149"/>
      <c r="Q53" s="147"/>
      <c r="R53" s="147"/>
      <c r="S53" s="145"/>
    </row>
    <row r="54" spans="1:19" s="160" customFormat="1" ht="32.25" customHeight="1">
      <c r="A54" s="106">
        <v>1</v>
      </c>
      <c r="B54" s="142" t="s">
        <v>52</v>
      </c>
      <c r="C54" s="150" t="s">
        <v>53</v>
      </c>
      <c r="D54" s="151">
        <v>4140</v>
      </c>
      <c r="E54" s="157" t="s">
        <v>57</v>
      </c>
      <c r="F54" s="158"/>
      <c r="G54" s="158"/>
      <c r="H54" s="153">
        <v>-2070</v>
      </c>
      <c r="I54" s="153"/>
      <c r="J54" s="159">
        <v>-2070</v>
      </c>
      <c r="K54" s="154" t="s">
        <v>489</v>
      </c>
      <c r="L54" s="155" t="s">
        <v>490</v>
      </c>
      <c r="M54" s="156">
        <v>4140</v>
      </c>
      <c r="N54" s="157" t="s">
        <v>57</v>
      </c>
      <c r="O54" s="158"/>
      <c r="P54" s="158"/>
      <c r="Q54" s="153">
        <v>-2070</v>
      </c>
      <c r="R54" s="153"/>
      <c r="S54" s="159">
        <v>-2070</v>
      </c>
    </row>
    <row r="55" spans="1:19" s="160" customFormat="1" ht="32.25" customHeight="1">
      <c r="A55" s="106">
        <v>2</v>
      </c>
      <c r="B55" s="161" t="s">
        <v>58</v>
      </c>
      <c r="C55" s="162" t="s">
        <v>59</v>
      </c>
      <c r="D55" s="151">
        <v>0</v>
      </c>
      <c r="E55" s="167"/>
      <c r="F55" s="158"/>
      <c r="G55" s="158"/>
      <c r="H55" s="91">
        <v>0</v>
      </c>
      <c r="I55" s="91"/>
      <c r="J55" s="77">
        <v>0</v>
      </c>
      <c r="K55" s="164"/>
      <c r="L55" s="165"/>
      <c r="M55" s="166"/>
      <c r="N55" s="167"/>
      <c r="O55" s="158"/>
      <c r="P55" s="158"/>
      <c r="Q55" s="91">
        <v>0</v>
      </c>
      <c r="R55" s="91"/>
      <c r="S55" s="77">
        <v>0</v>
      </c>
    </row>
    <row r="56" spans="1:19" s="160" customFormat="1" ht="32.25" customHeight="1">
      <c r="A56" s="106">
        <v>3</v>
      </c>
      <c r="B56" s="142" t="s">
        <v>60</v>
      </c>
      <c r="C56" s="150" t="s">
        <v>61</v>
      </c>
      <c r="D56" s="151">
        <v>2070</v>
      </c>
      <c r="E56" s="167"/>
      <c r="F56" s="158"/>
      <c r="G56" s="158"/>
      <c r="H56" s="91">
        <v>0</v>
      </c>
      <c r="I56" s="91"/>
      <c r="J56" s="77">
        <v>0</v>
      </c>
      <c r="K56" s="154" t="s">
        <v>491</v>
      </c>
      <c r="L56" s="155" t="s">
        <v>492</v>
      </c>
      <c r="M56" s="156">
        <v>2070</v>
      </c>
      <c r="N56" s="167"/>
      <c r="O56" s="158"/>
      <c r="P56" s="158"/>
      <c r="Q56" s="91">
        <v>0</v>
      </c>
      <c r="R56" s="91"/>
      <c r="S56" s="77">
        <v>0</v>
      </c>
    </row>
    <row r="57" spans="1:19" s="160" customFormat="1" ht="32.25" customHeight="1">
      <c r="A57" s="106">
        <v>4</v>
      </c>
      <c r="B57" s="142" t="s">
        <v>27</v>
      </c>
      <c r="C57" s="150" t="s">
        <v>64</v>
      </c>
      <c r="D57" s="151">
        <v>2070</v>
      </c>
      <c r="E57" s="167"/>
      <c r="F57" s="158"/>
      <c r="G57" s="158"/>
      <c r="H57" s="91">
        <v>0</v>
      </c>
      <c r="I57" s="91"/>
      <c r="J57" s="77">
        <v>0</v>
      </c>
      <c r="K57" s="154" t="s">
        <v>491</v>
      </c>
      <c r="L57" s="155" t="s">
        <v>493</v>
      </c>
      <c r="M57" s="156">
        <v>2070</v>
      </c>
      <c r="N57" s="167"/>
      <c r="O57" s="158"/>
      <c r="P57" s="158"/>
      <c r="Q57" s="91">
        <v>0</v>
      </c>
      <c r="R57" s="91"/>
      <c r="S57" s="77">
        <v>0</v>
      </c>
    </row>
    <row r="58" spans="1:19" s="160" customFormat="1" ht="32.25" customHeight="1">
      <c r="A58" s="106">
        <v>5</v>
      </c>
      <c r="B58" s="168" t="s">
        <v>42</v>
      </c>
      <c r="C58" s="150" t="s">
        <v>67</v>
      </c>
      <c r="D58" s="125">
        <v>2070</v>
      </c>
      <c r="E58" s="167"/>
      <c r="F58" s="158"/>
      <c r="G58" s="158"/>
      <c r="H58" s="91">
        <v>0</v>
      </c>
      <c r="I58" s="91"/>
      <c r="J58" s="77">
        <v>0</v>
      </c>
      <c r="K58" s="154" t="s">
        <v>491</v>
      </c>
      <c r="L58" s="155" t="s">
        <v>494</v>
      </c>
      <c r="M58" s="156">
        <v>2070</v>
      </c>
      <c r="N58" s="167"/>
      <c r="O58" s="158"/>
      <c r="P58" s="158"/>
      <c r="Q58" s="91">
        <v>0</v>
      </c>
      <c r="R58" s="91"/>
      <c r="S58" s="77">
        <v>0</v>
      </c>
    </row>
    <row r="59" spans="1:19" s="160" customFormat="1" ht="32.25" customHeight="1">
      <c r="A59" s="106">
        <v>6</v>
      </c>
      <c r="B59" s="142" t="s">
        <v>69</v>
      </c>
      <c r="C59" s="150" t="s">
        <v>70</v>
      </c>
      <c r="D59" s="151">
        <v>2070</v>
      </c>
      <c r="E59" s="169"/>
      <c r="F59" s="158"/>
      <c r="G59" s="158"/>
      <c r="H59" s="91">
        <v>0</v>
      </c>
      <c r="I59" s="91"/>
      <c r="J59" s="77">
        <v>0</v>
      </c>
      <c r="K59" s="154" t="s">
        <v>495</v>
      </c>
      <c r="L59" s="155" t="s">
        <v>496</v>
      </c>
      <c r="M59" s="156">
        <v>2070</v>
      </c>
      <c r="N59" s="169"/>
      <c r="O59" s="158"/>
      <c r="P59" s="158"/>
      <c r="Q59" s="91">
        <f>SUM(D59+H59-M59)</f>
        <v>0</v>
      </c>
      <c r="R59" s="91"/>
      <c r="S59" s="77">
        <f>SUM(Q59)</f>
        <v>0</v>
      </c>
    </row>
    <row r="60" spans="1:19" ht="32.25" customHeight="1">
      <c r="A60" s="106">
        <v>7</v>
      </c>
      <c r="B60" s="146" t="s">
        <v>75</v>
      </c>
      <c r="C60" s="170" t="s">
        <v>76</v>
      </c>
      <c r="D60" s="151"/>
      <c r="E60" s="167"/>
      <c r="F60" s="158"/>
      <c r="G60" s="158"/>
      <c r="H60" s="91">
        <v>0</v>
      </c>
      <c r="I60" s="91"/>
      <c r="J60" s="77">
        <v>0</v>
      </c>
      <c r="K60" s="164"/>
      <c r="L60" s="165"/>
      <c r="M60" s="166"/>
      <c r="N60" s="167"/>
      <c r="O60" s="158"/>
      <c r="P60" s="158"/>
      <c r="Q60" s="91">
        <v>0</v>
      </c>
      <c r="R60" s="91"/>
      <c r="S60" s="77">
        <v>0</v>
      </c>
    </row>
    <row r="61" spans="1:19" s="160" customFormat="1" ht="32.25" customHeight="1">
      <c r="A61" s="106">
        <v>8</v>
      </c>
      <c r="B61" s="142" t="s">
        <v>77</v>
      </c>
      <c r="C61" s="150" t="s">
        <v>78</v>
      </c>
      <c r="D61" s="151">
        <v>2070</v>
      </c>
      <c r="E61" s="167"/>
      <c r="F61" s="158"/>
      <c r="G61" s="158"/>
      <c r="H61" s="91">
        <v>0</v>
      </c>
      <c r="I61" s="91"/>
      <c r="J61" s="77">
        <v>0</v>
      </c>
      <c r="K61" s="154" t="s">
        <v>472</v>
      </c>
      <c r="L61" s="171" t="s">
        <v>497</v>
      </c>
      <c r="M61" s="156">
        <v>2070</v>
      </c>
      <c r="N61" s="167"/>
      <c r="O61" s="158"/>
      <c r="P61" s="158"/>
      <c r="Q61" s="91">
        <v>0</v>
      </c>
      <c r="R61" s="91"/>
      <c r="S61" s="77">
        <v>0</v>
      </c>
    </row>
    <row r="62" spans="1:19" s="160" customFormat="1" ht="32.25" customHeight="1">
      <c r="A62" s="106">
        <v>9</v>
      </c>
      <c r="B62" s="142" t="s">
        <v>77</v>
      </c>
      <c r="C62" s="150" t="s">
        <v>81</v>
      </c>
      <c r="D62" s="151">
        <v>2070</v>
      </c>
      <c r="E62" s="167"/>
      <c r="F62" s="158"/>
      <c r="G62" s="158"/>
      <c r="H62" s="91">
        <v>0</v>
      </c>
      <c r="I62" s="91"/>
      <c r="J62" s="77">
        <v>0</v>
      </c>
      <c r="K62" s="154" t="s">
        <v>472</v>
      </c>
      <c r="L62" s="171" t="s">
        <v>497</v>
      </c>
      <c r="M62" s="156">
        <v>2070</v>
      </c>
      <c r="N62" s="167"/>
      <c r="O62" s="158"/>
      <c r="P62" s="158"/>
      <c r="Q62" s="91">
        <v>0</v>
      </c>
      <c r="R62" s="91"/>
      <c r="S62" s="77">
        <v>0</v>
      </c>
    </row>
    <row r="63" spans="1:19" ht="32.25" customHeight="1">
      <c r="A63" s="106">
        <v>10</v>
      </c>
      <c r="B63" s="146" t="s">
        <v>75</v>
      </c>
      <c r="C63" s="170" t="s">
        <v>82</v>
      </c>
      <c r="D63" s="151"/>
      <c r="E63" s="167"/>
      <c r="F63" s="158"/>
      <c r="G63" s="158"/>
      <c r="H63" s="91">
        <v>0</v>
      </c>
      <c r="I63" s="91"/>
      <c r="J63" s="77">
        <v>0</v>
      </c>
      <c r="K63" s="164"/>
      <c r="L63" s="172"/>
      <c r="M63" s="166"/>
      <c r="N63" s="167"/>
      <c r="O63" s="158"/>
      <c r="P63" s="158"/>
      <c r="Q63" s="91">
        <v>0</v>
      </c>
      <c r="R63" s="91"/>
      <c r="S63" s="77">
        <v>0</v>
      </c>
    </row>
    <row r="64" spans="1:19" s="160" customFormat="1" ht="32.25" customHeight="1">
      <c r="A64" s="106">
        <v>11</v>
      </c>
      <c r="B64" s="142" t="s">
        <v>83</v>
      </c>
      <c r="C64" s="150" t="s">
        <v>84</v>
      </c>
      <c r="D64" s="151">
        <v>2070</v>
      </c>
      <c r="E64" s="167"/>
      <c r="F64" s="158"/>
      <c r="G64" s="158"/>
      <c r="H64" s="91">
        <v>0</v>
      </c>
      <c r="I64" s="91"/>
      <c r="J64" s="77">
        <v>0</v>
      </c>
      <c r="K64" s="154" t="s">
        <v>491</v>
      </c>
      <c r="L64" s="155" t="s">
        <v>498</v>
      </c>
      <c r="M64" s="156">
        <v>2070</v>
      </c>
      <c r="N64" s="167"/>
      <c r="O64" s="158"/>
      <c r="P64" s="158"/>
      <c r="Q64" s="91">
        <v>0</v>
      </c>
      <c r="R64" s="91"/>
      <c r="S64" s="77">
        <v>0</v>
      </c>
    </row>
    <row r="65" spans="1:19" s="160" customFormat="1" ht="32.25" customHeight="1">
      <c r="A65" s="106">
        <v>12</v>
      </c>
      <c r="B65" s="142" t="s">
        <v>87</v>
      </c>
      <c r="C65" s="150" t="s">
        <v>88</v>
      </c>
      <c r="D65" s="151">
        <v>2070</v>
      </c>
      <c r="E65" s="167"/>
      <c r="F65" s="158"/>
      <c r="G65" s="158"/>
      <c r="H65" s="91">
        <v>0</v>
      </c>
      <c r="I65" s="91"/>
      <c r="J65" s="77">
        <v>0</v>
      </c>
      <c r="K65" s="154" t="s">
        <v>495</v>
      </c>
      <c r="L65" s="171" t="s">
        <v>499</v>
      </c>
      <c r="M65" s="156">
        <v>2070</v>
      </c>
      <c r="N65" s="167"/>
      <c r="O65" s="158"/>
      <c r="P65" s="158"/>
      <c r="Q65" s="91">
        <v>0</v>
      </c>
      <c r="R65" s="91"/>
      <c r="S65" s="77">
        <v>0</v>
      </c>
    </row>
    <row r="66" spans="1:19" ht="32.25" customHeight="1">
      <c r="A66" s="106">
        <v>13</v>
      </c>
      <c r="B66" s="146" t="s">
        <v>75</v>
      </c>
      <c r="C66" s="173" t="s">
        <v>91</v>
      </c>
      <c r="D66" s="151"/>
      <c r="E66" s="167"/>
      <c r="F66" s="158"/>
      <c r="G66" s="158"/>
      <c r="H66" s="91">
        <v>0</v>
      </c>
      <c r="I66" s="91"/>
      <c r="J66" s="77">
        <v>0</v>
      </c>
      <c r="K66" s="164"/>
      <c r="L66" s="165"/>
      <c r="M66" s="166"/>
      <c r="N66" s="167"/>
      <c r="O66" s="158"/>
      <c r="P66" s="158"/>
      <c r="Q66" s="91">
        <v>0</v>
      </c>
      <c r="R66" s="91"/>
      <c r="S66" s="77">
        <v>0</v>
      </c>
    </row>
    <row r="67" spans="1:19" ht="32.25" customHeight="1">
      <c r="A67" s="106">
        <v>14</v>
      </c>
      <c r="B67" s="142" t="s">
        <v>92</v>
      </c>
      <c r="C67" s="174" t="s">
        <v>93</v>
      </c>
      <c r="D67" s="151"/>
      <c r="E67" s="167"/>
      <c r="F67" s="158"/>
      <c r="G67" s="158"/>
      <c r="H67" s="91">
        <v>0</v>
      </c>
      <c r="I67" s="91"/>
      <c r="J67" s="77">
        <v>0</v>
      </c>
      <c r="K67" s="164"/>
      <c r="L67" s="165"/>
      <c r="M67" s="166"/>
      <c r="N67" s="167"/>
      <c r="O67" s="158"/>
      <c r="P67" s="158"/>
      <c r="Q67" s="91">
        <v>0</v>
      </c>
      <c r="R67" s="91"/>
      <c r="S67" s="77">
        <v>0</v>
      </c>
    </row>
    <row r="68" spans="1:19" ht="32.25" customHeight="1">
      <c r="A68" s="106">
        <v>15</v>
      </c>
      <c r="B68" s="146" t="s">
        <v>75</v>
      </c>
      <c r="C68" s="170" t="s">
        <v>94</v>
      </c>
      <c r="D68" s="151">
        <v>0</v>
      </c>
      <c r="E68" s="167"/>
      <c r="F68" s="158"/>
      <c r="G68" s="158"/>
      <c r="H68" s="91">
        <v>0</v>
      </c>
      <c r="I68" s="91"/>
      <c r="J68" s="77">
        <v>0</v>
      </c>
      <c r="K68" s="164"/>
      <c r="L68" s="165"/>
      <c r="M68" s="166"/>
      <c r="N68" s="167"/>
      <c r="O68" s="158"/>
      <c r="P68" s="158"/>
      <c r="Q68" s="91">
        <v>0</v>
      </c>
      <c r="R68" s="91"/>
      <c r="S68" s="77">
        <v>0</v>
      </c>
    </row>
    <row r="69" spans="1:19" s="160" customFormat="1" ht="32.25" customHeight="1">
      <c r="A69" s="106">
        <v>16</v>
      </c>
      <c r="B69" s="142" t="s">
        <v>95</v>
      </c>
      <c r="C69" s="150" t="s">
        <v>96</v>
      </c>
      <c r="D69" s="151">
        <v>0</v>
      </c>
      <c r="E69" s="167"/>
      <c r="F69" s="158"/>
      <c r="G69" s="158"/>
      <c r="H69" s="91">
        <v>0</v>
      </c>
      <c r="I69" s="91"/>
      <c r="J69" s="77">
        <v>0</v>
      </c>
      <c r="K69" s="164"/>
      <c r="L69" s="175"/>
      <c r="M69" s="166"/>
      <c r="N69" s="167"/>
      <c r="O69" s="158"/>
      <c r="P69" s="158"/>
      <c r="Q69" s="91">
        <v>0</v>
      </c>
      <c r="R69" s="91"/>
      <c r="S69" s="77">
        <v>0</v>
      </c>
    </row>
    <row r="70" spans="1:19" s="160" customFormat="1" ht="32.25" customHeight="1">
      <c r="A70" s="106">
        <v>17</v>
      </c>
      <c r="B70" s="176" t="s">
        <v>97</v>
      </c>
      <c r="C70" s="162" t="s">
        <v>98</v>
      </c>
      <c r="D70" s="151">
        <v>0</v>
      </c>
      <c r="E70" s="167"/>
      <c r="F70" s="158"/>
      <c r="G70" s="158"/>
      <c r="H70" s="91">
        <v>0</v>
      </c>
      <c r="I70" s="91"/>
      <c r="J70" s="77">
        <v>0</v>
      </c>
      <c r="K70" s="164"/>
      <c r="L70" s="165"/>
      <c r="M70" s="177"/>
      <c r="N70" s="167"/>
      <c r="O70" s="158"/>
      <c r="P70" s="158"/>
      <c r="Q70" s="91">
        <v>0</v>
      </c>
      <c r="R70" s="91"/>
      <c r="S70" s="77">
        <v>0</v>
      </c>
    </row>
    <row r="71" spans="1:19" s="160" customFormat="1" ht="32.25" customHeight="1">
      <c r="A71" s="106">
        <v>18</v>
      </c>
      <c r="B71" s="142" t="s">
        <v>99</v>
      </c>
      <c r="C71" s="174" t="s">
        <v>100</v>
      </c>
      <c r="D71" s="151">
        <v>37375</v>
      </c>
      <c r="E71" s="167"/>
      <c r="F71" s="158"/>
      <c r="G71" s="158"/>
      <c r="H71" s="91">
        <v>0</v>
      </c>
      <c r="I71" s="91"/>
      <c r="J71" s="77">
        <v>0</v>
      </c>
      <c r="K71" s="154" t="s">
        <v>491</v>
      </c>
      <c r="L71" s="171" t="s">
        <v>500</v>
      </c>
      <c r="M71" s="178">
        <v>37375</v>
      </c>
      <c r="N71" s="167"/>
      <c r="O71" s="158"/>
      <c r="P71" s="158"/>
      <c r="Q71" s="91">
        <v>0</v>
      </c>
      <c r="R71" s="91"/>
      <c r="S71" s="77">
        <v>0</v>
      </c>
    </row>
    <row r="72" spans="1:19" s="160" customFormat="1" ht="32.25" customHeight="1">
      <c r="A72" s="106"/>
      <c r="B72" s="652" t="s">
        <v>102</v>
      </c>
      <c r="C72" s="653"/>
      <c r="D72" s="654"/>
      <c r="E72" s="167"/>
      <c r="F72" s="158"/>
      <c r="G72" s="158"/>
      <c r="H72" s="91">
        <v>0</v>
      </c>
      <c r="I72" s="91"/>
      <c r="J72" s="77">
        <v>0</v>
      </c>
      <c r="K72" s="164"/>
      <c r="L72" s="182"/>
      <c r="M72" s="183"/>
      <c r="N72" s="167"/>
      <c r="O72" s="158"/>
      <c r="P72" s="158"/>
      <c r="Q72" s="91">
        <v>0</v>
      </c>
      <c r="R72" s="91"/>
      <c r="S72" s="77">
        <v>0</v>
      </c>
    </row>
    <row r="73" spans="1:19" s="160" customFormat="1" ht="32.25" customHeight="1">
      <c r="A73" s="106">
        <v>19</v>
      </c>
      <c r="B73" s="142" t="s">
        <v>103</v>
      </c>
      <c r="C73" s="174" t="s">
        <v>104</v>
      </c>
      <c r="D73" s="151">
        <v>15525</v>
      </c>
      <c r="E73" s="167"/>
      <c r="F73" s="158"/>
      <c r="G73" s="158"/>
      <c r="H73" s="91">
        <v>0</v>
      </c>
      <c r="I73" s="91"/>
      <c r="J73" s="77">
        <v>0</v>
      </c>
      <c r="K73" s="154" t="s">
        <v>501</v>
      </c>
      <c r="L73" s="171" t="s">
        <v>502</v>
      </c>
      <c r="M73" s="178">
        <v>15525</v>
      </c>
      <c r="N73" s="167"/>
      <c r="O73" s="158"/>
      <c r="P73" s="158"/>
      <c r="Q73" s="91">
        <v>0</v>
      </c>
      <c r="R73" s="91"/>
      <c r="S73" s="77">
        <v>0</v>
      </c>
    </row>
    <row r="74" spans="1:19" s="160" customFormat="1" ht="32.25" customHeight="1">
      <c r="A74" s="106"/>
      <c r="B74" s="652" t="s">
        <v>106</v>
      </c>
      <c r="C74" s="653"/>
      <c r="D74" s="654"/>
      <c r="E74" s="167"/>
      <c r="F74" s="158"/>
      <c r="G74" s="158"/>
      <c r="H74" s="91">
        <v>0</v>
      </c>
      <c r="I74" s="91"/>
      <c r="J74" s="77">
        <v>0</v>
      </c>
      <c r="K74" s="164"/>
      <c r="L74" s="182"/>
      <c r="M74" s="183"/>
      <c r="N74" s="167"/>
      <c r="O74" s="158"/>
      <c r="P74" s="158"/>
      <c r="Q74" s="91">
        <v>0</v>
      </c>
      <c r="R74" s="91"/>
      <c r="S74" s="77">
        <v>0</v>
      </c>
    </row>
    <row r="75" spans="1:19" s="160" customFormat="1" ht="32.25" customHeight="1">
      <c r="A75" s="106">
        <v>20</v>
      </c>
      <c r="B75" s="142" t="s">
        <v>107</v>
      </c>
      <c r="C75" s="174" t="s">
        <v>108</v>
      </c>
      <c r="D75" s="151">
        <v>14000</v>
      </c>
      <c r="E75" s="167"/>
      <c r="F75" s="158"/>
      <c r="G75" s="158"/>
      <c r="H75" s="91">
        <v>0</v>
      </c>
      <c r="I75" s="91"/>
      <c r="J75" s="77">
        <v>0</v>
      </c>
      <c r="K75" s="154" t="s">
        <v>491</v>
      </c>
      <c r="L75" s="155" t="s">
        <v>503</v>
      </c>
      <c r="M75" s="178">
        <v>14000</v>
      </c>
      <c r="N75" s="167"/>
      <c r="O75" s="158"/>
      <c r="P75" s="158"/>
      <c r="Q75" s="91">
        <v>0</v>
      </c>
      <c r="R75" s="91"/>
      <c r="S75" s="77">
        <v>0</v>
      </c>
    </row>
    <row r="76" spans="1:19" s="160" customFormat="1" ht="32.25" customHeight="1">
      <c r="A76" s="106"/>
      <c r="B76" s="652" t="s">
        <v>110</v>
      </c>
      <c r="C76" s="653"/>
      <c r="D76" s="654"/>
      <c r="E76" s="167"/>
      <c r="F76" s="158"/>
      <c r="G76" s="158"/>
      <c r="H76" s="91">
        <v>0</v>
      </c>
      <c r="I76" s="91"/>
      <c r="J76" s="77">
        <v>0</v>
      </c>
      <c r="K76" s="164"/>
      <c r="L76" s="182"/>
      <c r="M76" s="183"/>
      <c r="N76" s="167"/>
      <c r="O76" s="158"/>
      <c r="P76" s="158"/>
      <c r="Q76" s="91">
        <v>0</v>
      </c>
      <c r="R76" s="91"/>
      <c r="S76" s="77">
        <v>0</v>
      </c>
    </row>
    <row r="77" spans="1:19" s="160" customFormat="1" ht="32.25" customHeight="1">
      <c r="A77" s="106">
        <v>21</v>
      </c>
      <c r="B77" s="142" t="s">
        <v>111</v>
      </c>
      <c r="C77" s="142" t="s">
        <v>112</v>
      </c>
      <c r="D77" s="151">
        <v>7000</v>
      </c>
      <c r="E77" s="167"/>
      <c r="F77" s="158"/>
      <c r="G77" s="158"/>
      <c r="H77" s="91">
        <v>0</v>
      </c>
      <c r="I77" s="91"/>
      <c r="J77" s="77">
        <v>0</v>
      </c>
      <c r="K77" s="154" t="s">
        <v>489</v>
      </c>
      <c r="L77" s="155" t="s">
        <v>504</v>
      </c>
      <c r="M77" s="178">
        <v>7000</v>
      </c>
      <c r="N77" s="167"/>
      <c r="O77" s="158"/>
      <c r="P77" s="158"/>
      <c r="Q77" s="91">
        <v>0</v>
      </c>
      <c r="R77" s="91"/>
      <c r="S77" s="77">
        <v>0</v>
      </c>
    </row>
    <row r="78" spans="1:19" s="160" customFormat="1" ht="32.25" customHeight="1">
      <c r="A78" s="106"/>
      <c r="B78" s="652" t="s">
        <v>114</v>
      </c>
      <c r="C78" s="653"/>
      <c r="D78" s="654"/>
      <c r="E78" s="167"/>
      <c r="F78" s="158"/>
      <c r="G78" s="158"/>
      <c r="H78" s="91">
        <v>0</v>
      </c>
      <c r="I78" s="91"/>
      <c r="J78" s="77">
        <v>0</v>
      </c>
      <c r="K78" s="164"/>
      <c r="L78" s="165"/>
      <c r="M78" s="177"/>
      <c r="N78" s="167"/>
      <c r="O78" s="158"/>
      <c r="P78" s="158"/>
      <c r="Q78" s="91">
        <v>0</v>
      </c>
      <c r="R78" s="91"/>
      <c r="S78" s="77">
        <v>0</v>
      </c>
    </row>
    <row r="79" spans="1:19" s="160" customFormat="1" ht="32.25" customHeight="1">
      <c r="A79" s="106">
        <v>22</v>
      </c>
      <c r="B79" s="142" t="s">
        <v>30</v>
      </c>
      <c r="C79" s="174" t="s">
        <v>115</v>
      </c>
      <c r="D79" s="151">
        <v>3970</v>
      </c>
      <c r="E79" s="167"/>
      <c r="F79" s="184"/>
      <c r="G79" s="184"/>
      <c r="H79" s="91">
        <v>0</v>
      </c>
      <c r="I79" s="91"/>
      <c r="J79" s="77">
        <v>0</v>
      </c>
      <c r="K79" s="154" t="s">
        <v>468</v>
      </c>
      <c r="L79" s="155" t="s">
        <v>505</v>
      </c>
      <c r="M79" s="178">
        <v>3970</v>
      </c>
      <c r="N79" s="167"/>
      <c r="O79" s="184"/>
      <c r="P79" s="184"/>
      <c r="Q79" s="91">
        <v>0</v>
      </c>
      <c r="R79" s="91"/>
      <c r="S79" s="77">
        <v>0</v>
      </c>
    </row>
    <row r="80" spans="1:19" s="160" customFormat="1" ht="32.25" customHeight="1">
      <c r="A80" s="106"/>
      <c r="B80" s="659" t="s">
        <v>118</v>
      </c>
      <c r="C80" s="660"/>
      <c r="D80" s="661"/>
      <c r="E80" s="167"/>
      <c r="F80" s="184"/>
      <c r="G80" s="184"/>
      <c r="H80" s="91">
        <v>0</v>
      </c>
      <c r="I80" s="91"/>
      <c r="J80" s="77">
        <v>0</v>
      </c>
      <c r="K80" s="164"/>
      <c r="L80" s="182"/>
      <c r="M80" s="183"/>
      <c r="N80" s="167"/>
      <c r="O80" s="184"/>
      <c r="P80" s="184"/>
      <c r="Q80" s="91">
        <v>0</v>
      </c>
      <c r="R80" s="91"/>
      <c r="S80" s="77">
        <v>0</v>
      </c>
    </row>
    <row r="81" spans="1:19" s="160" customFormat="1" ht="32.25" customHeight="1">
      <c r="A81" s="106"/>
      <c r="B81" s="185" t="s">
        <v>119</v>
      </c>
      <c r="C81" s="186"/>
      <c r="D81" s="187"/>
      <c r="E81" s="167"/>
      <c r="F81" s="184"/>
      <c r="G81" s="184"/>
      <c r="H81" s="91">
        <v>0</v>
      </c>
      <c r="I81" s="91"/>
      <c r="J81" s="77">
        <v>0</v>
      </c>
      <c r="K81" s="164"/>
      <c r="L81" s="182"/>
      <c r="M81" s="183"/>
      <c r="N81" s="167"/>
      <c r="O81" s="184"/>
      <c r="P81" s="184"/>
      <c r="Q81" s="91">
        <v>0</v>
      </c>
      <c r="R81" s="91"/>
      <c r="S81" s="77">
        <v>0</v>
      </c>
    </row>
    <row r="82" spans="1:19" s="160" customFormat="1" ht="32.25" customHeight="1">
      <c r="A82" s="106"/>
      <c r="B82" s="185" t="s">
        <v>120</v>
      </c>
      <c r="C82" s="186"/>
      <c r="D82" s="187">
        <v>0</v>
      </c>
      <c r="E82" s="167"/>
      <c r="F82" s="184"/>
      <c r="G82" s="184"/>
      <c r="H82" s="91">
        <v>0</v>
      </c>
      <c r="I82" s="91"/>
      <c r="J82" s="77">
        <v>0</v>
      </c>
      <c r="K82" s="164"/>
      <c r="L82" s="182"/>
      <c r="M82" s="183"/>
      <c r="N82" s="167"/>
      <c r="O82" s="184"/>
      <c r="P82" s="184"/>
      <c r="Q82" s="91">
        <v>0</v>
      </c>
      <c r="R82" s="91"/>
      <c r="S82" s="77">
        <v>0</v>
      </c>
    </row>
    <row r="83" spans="1:19" s="160" customFormat="1" ht="32.25" customHeight="1">
      <c r="A83" s="106"/>
      <c r="B83" s="188" t="s">
        <v>123</v>
      </c>
      <c r="C83" s="186"/>
      <c r="D83" s="187">
        <v>0</v>
      </c>
      <c r="E83" s="167"/>
      <c r="F83" s="184"/>
      <c r="G83" s="184"/>
      <c r="H83" s="91">
        <v>0</v>
      </c>
      <c r="I83" s="91"/>
      <c r="J83" s="77">
        <v>0</v>
      </c>
      <c r="K83" s="164"/>
      <c r="L83" s="182"/>
      <c r="M83" s="183"/>
      <c r="N83" s="167"/>
      <c r="O83" s="184"/>
      <c r="P83" s="184"/>
      <c r="Q83" s="91">
        <v>0</v>
      </c>
      <c r="R83" s="91"/>
      <c r="S83" s="77">
        <v>0</v>
      </c>
    </row>
    <row r="84" spans="1:19" s="160" customFormat="1" ht="32.25" customHeight="1">
      <c r="A84" s="106"/>
      <c r="B84" s="179"/>
      <c r="C84" s="180"/>
      <c r="D84" s="181"/>
      <c r="E84" s="167"/>
      <c r="F84" s="184"/>
      <c r="G84" s="184"/>
      <c r="H84" s="91">
        <v>0</v>
      </c>
      <c r="I84" s="91"/>
      <c r="J84" s="77">
        <v>0</v>
      </c>
      <c r="K84" s="164"/>
      <c r="L84" s="182"/>
      <c r="M84" s="183"/>
      <c r="N84" s="167"/>
      <c r="O84" s="184"/>
      <c r="P84" s="184"/>
      <c r="Q84" s="91">
        <v>0</v>
      </c>
      <c r="R84" s="91"/>
      <c r="S84" s="77">
        <v>0</v>
      </c>
    </row>
    <row r="85" spans="1:19" s="160" customFormat="1" ht="32.25" customHeight="1">
      <c r="A85" s="106">
        <v>23</v>
      </c>
      <c r="B85" s="142" t="s">
        <v>23</v>
      </c>
      <c r="C85" s="174" t="s">
        <v>126</v>
      </c>
      <c r="D85" s="151">
        <v>4600</v>
      </c>
      <c r="E85" s="167"/>
      <c r="F85" s="184"/>
      <c r="G85" s="184"/>
      <c r="H85" s="91">
        <v>0</v>
      </c>
      <c r="I85" s="91"/>
      <c r="J85" s="77">
        <v>0</v>
      </c>
      <c r="K85" s="154" t="s">
        <v>491</v>
      </c>
      <c r="L85" s="155" t="s">
        <v>506</v>
      </c>
      <c r="M85" s="178">
        <v>4600</v>
      </c>
      <c r="N85" s="167"/>
      <c r="O85" s="184"/>
      <c r="P85" s="184"/>
      <c r="Q85" s="91">
        <v>0</v>
      </c>
      <c r="R85" s="91"/>
      <c r="S85" s="77">
        <v>0</v>
      </c>
    </row>
    <row r="86" spans="1:19" ht="32.25" customHeight="1">
      <c r="A86" s="39"/>
      <c r="B86" s="652" t="s">
        <v>128</v>
      </c>
      <c r="C86" s="653"/>
      <c r="D86" s="654"/>
      <c r="E86" s="5"/>
      <c r="F86" s="43"/>
      <c r="G86" s="43"/>
      <c r="H86" s="91">
        <v>0</v>
      </c>
      <c r="I86" s="91"/>
      <c r="J86" s="77">
        <v>0</v>
      </c>
      <c r="K86" s="190"/>
      <c r="L86" s="191"/>
      <c r="N86" s="5"/>
      <c r="O86" s="43"/>
      <c r="P86" s="43"/>
      <c r="Q86" s="91">
        <v>0</v>
      </c>
      <c r="R86" s="91"/>
      <c r="S86" s="77">
        <v>0</v>
      </c>
    </row>
    <row r="87" spans="1:19" ht="32.25" customHeight="1" thickBot="1">
      <c r="A87" s="39"/>
      <c r="B87" s="50" t="s">
        <v>19</v>
      </c>
      <c r="C87" s="50"/>
      <c r="D87" s="51">
        <v>103170</v>
      </c>
      <c r="E87" s="52"/>
      <c r="F87" s="53"/>
      <c r="G87" s="52"/>
      <c r="H87" s="51">
        <f>SUM(J87)</f>
        <v>0</v>
      </c>
      <c r="I87" s="51">
        <v>0</v>
      </c>
      <c r="J87" s="51">
        <f>SUM(J54:J86)-J54-J79</f>
        <v>0</v>
      </c>
      <c r="K87" s="54"/>
      <c r="L87" s="55"/>
      <c r="M87" s="56">
        <f>SUM(M54:M86)</f>
        <v>103170</v>
      </c>
      <c r="N87" s="57"/>
      <c r="O87" s="53"/>
      <c r="P87" s="51"/>
      <c r="Q87" s="51">
        <f>SUM(Q54:Q86)-Q54-Q83</f>
        <v>0</v>
      </c>
      <c r="R87" s="51">
        <f t="shared" ref="R87:S87" si="0">SUM(R54:R86)-R54-R83</f>
        <v>0</v>
      </c>
      <c r="S87" s="51">
        <f t="shared" si="0"/>
        <v>0</v>
      </c>
    </row>
    <row r="88" spans="1:19" ht="32.25" customHeight="1" thickTop="1">
      <c r="A88" s="39"/>
      <c r="B88" s="141" t="s">
        <v>129</v>
      </c>
      <c r="C88" s="142"/>
      <c r="D88" s="125"/>
      <c r="E88" s="131"/>
      <c r="F88" s="115"/>
      <c r="G88" s="33"/>
      <c r="H88" s="143"/>
      <c r="I88" s="143"/>
      <c r="J88" s="143"/>
      <c r="K88" s="34"/>
      <c r="L88" s="35"/>
      <c r="M88" s="36"/>
      <c r="N88" s="114"/>
      <c r="O88" s="115"/>
      <c r="P88" s="144"/>
      <c r="Q88" s="33"/>
      <c r="R88" s="33"/>
      <c r="S88" s="38"/>
    </row>
    <row r="89" spans="1:19" ht="30" customHeight="1">
      <c r="A89" s="106">
        <v>1</v>
      </c>
      <c r="B89" s="142" t="s">
        <v>130</v>
      </c>
      <c r="C89" s="193" t="s">
        <v>131</v>
      </c>
      <c r="D89" s="125">
        <v>201.25</v>
      </c>
      <c r="E89" s="152"/>
      <c r="F89" s="194"/>
      <c r="G89" s="195"/>
      <c r="H89" s="196">
        <v>-1811.25</v>
      </c>
      <c r="I89" s="197"/>
      <c r="J89" s="198">
        <v>-1811.25</v>
      </c>
      <c r="K89" s="199"/>
      <c r="L89" s="200"/>
      <c r="M89" s="201"/>
      <c r="N89" s="202"/>
      <c r="O89" s="203"/>
      <c r="P89" s="204"/>
      <c r="Q89" s="205">
        <f>SUM(D89+J89-M89)</f>
        <v>-1610</v>
      </c>
      <c r="R89" s="206"/>
      <c r="S89" s="207">
        <f>SUM(Q89)</f>
        <v>-1610</v>
      </c>
    </row>
    <row r="90" spans="1:19" ht="30" customHeight="1">
      <c r="A90" s="106"/>
      <c r="B90" s="208" t="s">
        <v>340</v>
      </c>
      <c r="C90" s="193"/>
      <c r="D90" s="125"/>
      <c r="E90" s="163"/>
      <c r="F90" s="115"/>
      <c r="G90" s="91"/>
      <c r="H90" s="91">
        <v>0</v>
      </c>
      <c r="I90" s="125"/>
      <c r="J90" s="132">
        <v>0</v>
      </c>
      <c r="K90" s="209"/>
      <c r="L90" s="210"/>
      <c r="M90" s="36"/>
      <c r="N90" s="114"/>
      <c r="O90" s="115"/>
      <c r="P90" s="92"/>
      <c r="Q90" s="205">
        <f t="shared" ref="Q90:Q111" si="1">SUM(D90+J90-M90)</f>
        <v>0</v>
      </c>
      <c r="R90" s="125"/>
      <c r="S90" s="207">
        <f t="shared" ref="S90:S113" si="2">SUM(Q90)</f>
        <v>0</v>
      </c>
    </row>
    <row r="91" spans="1:19" ht="30" customHeight="1">
      <c r="A91" s="106"/>
      <c r="B91" s="211" t="s">
        <v>133</v>
      </c>
      <c r="C91" s="193"/>
      <c r="D91" s="125"/>
      <c r="E91" s="163"/>
      <c r="F91" s="115"/>
      <c r="G91" s="91"/>
      <c r="H91" s="91">
        <v>0</v>
      </c>
      <c r="I91" s="125"/>
      <c r="J91" s="132">
        <v>0</v>
      </c>
      <c r="K91" s="209"/>
      <c r="L91" s="210"/>
      <c r="M91" s="36"/>
      <c r="N91" s="114"/>
      <c r="O91" s="115"/>
      <c r="P91" s="92"/>
      <c r="Q91" s="205">
        <f t="shared" si="1"/>
        <v>0</v>
      </c>
      <c r="R91" s="125"/>
      <c r="S91" s="207">
        <f t="shared" si="2"/>
        <v>0</v>
      </c>
    </row>
    <row r="92" spans="1:19" ht="30" customHeight="1">
      <c r="A92" s="106"/>
      <c r="B92" s="208" t="s">
        <v>136</v>
      </c>
      <c r="C92" s="193"/>
      <c r="D92" s="125"/>
      <c r="E92" s="163"/>
      <c r="F92" s="115"/>
      <c r="G92" s="91"/>
      <c r="H92" s="91">
        <v>0</v>
      </c>
      <c r="I92" s="125"/>
      <c r="J92" s="132">
        <v>0</v>
      </c>
      <c r="K92" s="209"/>
      <c r="L92" s="210"/>
      <c r="M92" s="36"/>
      <c r="N92" s="114"/>
      <c r="O92" s="115"/>
      <c r="P92" s="92"/>
      <c r="Q92" s="205">
        <f t="shared" si="1"/>
        <v>0</v>
      </c>
      <c r="R92" s="125"/>
      <c r="S92" s="207">
        <f t="shared" si="2"/>
        <v>0</v>
      </c>
    </row>
    <row r="93" spans="1:19" ht="30" customHeight="1">
      <c r="A93" s="106"/>
      <c r="B93" s="208" t="s">
        <v>138</v>
      </c>
      <c r="C93" s="193"/>
      <c r="D93" s="125"/>
      <c r="E93" s="163"/>
      <c r="F93" s="115"/>
      <c r="G93" s="91"/>
      <c r="H93" s="91">
        <v>0</v>
      </c>
      <c r="I93" s="125"/>
      <c r="J93" s="132">
        <v>0</v>
      </c>
      <c r="K93" s="209"/>
      <c r="L93" s="210"/>
      <c r="M93" s="36"/>
      <c r="N93" s="114"/>
      <c r="O93" s="115"/>
      <c r="P93" s="92"/>
      <c r="Q93" s="205">
        <f t="shared" si="1"/>
        <v>0</v>
      </c>
      <c r="R93" s="125"/>
      <c r="S93" s="207">
        <f t="shared" si="2"/>
        <v>0</v>
      </c>
    </row>
    <row r="94" spans="1:19" ht="30" customHeight="1">
      <c r="A94" s="106"/>
      <c r="B94" s="208" t="s">
        <v>140</v>
      </c>
      <c r="C94" s="193"/>
      <c r="D94" s="125"/>
      <c r="E94" s="163"/>
      <c r="F94" s="115"/>
      <c r="G94" s="91"/>
      <c r="H94" s="91">
        <v>0</v>
      </c>
      <c r="I94" s="125"/>
      <c r="J94" s="132">
        <v>0</v>
      </c>
      <c r="K94" s="209"/>
      <c r="L94" s="210"/>
      <c r="M94" s="36"/>
      <c r="N94" s="114"/>
      <c r="O94" s="115"/>
      <c r="P94" s="92"/>
      <c r="Q94" s="205">
        <f t="shared" si="1"/>
        <v>0</v>
      </c>
      <c r="R94" s="125"/>
      <c r="S94" s="207">
        <f t="shared" si="2"/>
        <v>0</v>
      </c>
    </row>
    <row r="95" spans="1:19" ht="32.25" customHeight="1">
      <c r="A95" s="106">
        <v>2</v>
      </c>
      <c r="B95" s="142" t="s">
        <v>141</v>
      </c>
      <c r="C95" s="193" t="s">
        <v>142</v>
      </c>
      <c r="D95" s="125">
        <v>937.09</v>
      </c>
      <c r="E95" s="152" t="s">
        <v>442</v>
      </c>
      <c r="F95" s="212">
        <v>1</v>
      </c>
      <c r="G95" s="213" t="s">
        <v>72</v>
      </c>
      <c r="H95" s="153">
        <v>937.09000000000071</v>
      </c>
      <c r="I95" s="125"/>
      <c r="J95" s="132">
        <v>937.09000000000071</v>
      </c>
      <c r="K95" s="209" t="s">
        <v>507</v>
      </c>
      <c r="L95" s="210" t="s">
        <v>508</v>
      </c>
      <c r="M95" s="36">
        <v>11245</v>
      </c>
      <c r="N95" s="214" t="s">
        <v>57</v>
      </c>
      <c r="O95" s="212"/>
      <c r="P95" s="215"/>
      <c r="Q95" s="205">
        <f t="shared" si="1"/>
        <v>-9370.82</v>
      </c>
      <c r="R95" s="216"/>
      <c r="S95" s="207">
        <f t="shared" si="2"/>
        <v>-9370.82</v>
      </c>
    </row>
    <row r="96" spans="1:19" ht="32.25" customHeight="1">
      <c r="A96" s="106"/>
      <c r="B96" s="142" t="s">
        <v>143</v>
      </c>
      <c r="C96" s="193"/>
      <c r="D96" s="125"/>
      <c r="E96" s="163"/>
      <c r="F96" s="115"/>
      <c r="G96" s="91"/>
      <c r="H96" s="91">
        <v>0</v>
      </c>
      <c r="I96" s="125"/>
      <c r="J96" s="132">
        <v>0</v>
      </c>
      <c r="K96" s="209"/>
      <c r="L96" s="210"/>
      <c r="M96" s="36"/>
      <c r="N96" s="114"/>
      <c r="O96" s="115"/>
      <c r="P96" s="92"/>
      <c r="Q96" s="205">
        <f t="shared" si="1"/>
        <v>0</v>
      </c>
      <c r="R96" s="125"/>
      <c r="S96" s="207">
        <f t="shared" si="2"/>
        <v>0</v>
      </c>
    </row>
    <row r="97" spans="1:21" ht="32.25" customHeight="1">
      <c r="A97" s="106"/>
      <c r="B97" s="146" t="s">
        <v>144</v>
      </c>
      <c r="C97" s="193"/>
      <c r="D97" s="125"/>
      <c r="E97" s="163"/>
      <c r="F97" s="115"/>
      <c r="G97" s="91"/>
      <c r="H97" s="91">
        <v>0</v>
      </c>
      <c r="I97" s="125"/>
      <c r="J97" s="132">
        <v>0</v>
      </c>
      <c r="K97" s="209"/>
      <c r="L97" s="210"/>
      <c r="M97" s="36"/>
      <c r="N97" s="114"/>
      <c r="O97" s="115"/>
      <c r="P97" s="92"/>
      <c r="Q97" s="205">
        <f t="shared" si="1"/>
        <v>0</v>
      </c>
      <c r="R97" s="125"/>
      <c r="S97" s="207">
        <f t="shared" si="2"/>
        <v>0</v>
      </c>
    </row>
    <row r="98" spans="1:21" ht="32.25" customHeight="1">
      <c r="A98" s="106">
        <v>3</v>
      </c>
      <c r="B98" s="142" t="s">
        <v>145</v>
      </c>
      <c r="C98" s="193" t="s">
        <v>146</v>
      </c>
      <c r="D98" s="125">
        <v>233.33</v>
      </c>
      <c r="E98" s="163" t="s">
        <v>392</v>
      </c>
      <c r="F98" s="115"/>
      <c r="G98" s="217"/>
      <c r="H98" s="91">
        <v>-466.69999999999993</v>
      </c>
      <c r="I98" s="125"/>
      <c r="J98" s="132">
        <v>-466.69999999999993</v>
      </c>
      <c r="K98" s="218"/>
      <c r="L98" s="219"/>
      <c r="M98" s="125"/>
      <c r="N98" s="220" t="s">
        <v>392</v>
      </c>
      <c r="O98" s="115"/>
      <c r="P98" s="221"/>
      <c r="Q98" s="205">
        <f t="shared" si="1"/>
        <v>-233.36999999999992</v>
      </c>
      <c r="R98" s="216"/>
      <c r="S98" s="207">
        <f t="shared" si="2"/>
        <v>-233.36999999999992</v>
      </c>
    </row>
    <row r="99" spans="1:21" ht="32.25" customHeight="1">
      <c r="A99" s="106"/>
      <c r="B99" s="142" t="s">
        <v>147</v>
      </c>
      <c r="C99" s="222"/>
      <c r="D99" s="125"/>
      <c r="E99" s="163"/>
      <c r="F99" s="115"/>
      <c r="G99" s="91"/>
      <c r="H99" s="91">
        <v>0</v>
      </c>
      <c r="I99" s="125"/>
      <c r="J99" s="132">
        <v>0</v>
      </c>
      <c r="K99" s="672"/>
      <c r="L99" s="673"/>
      <c r="M99" s="674"/>
      <c r="N99" s="220"/>
      <c r="O99" s="115"/>
      <c r="P99" s="92"/>
      <c r="Q99" s="205">
        <f t="shared" si="1"/>
        <v>0</v>
      </c>
      <c r="R99" s="125"/>
      <c r="S99" s="207">
        <f t="shared" si="2"/>
        <v>0</v>
      </c>
    </row>
    <row r="100" spans="1:21" ht="32.25" customHeight="1">
      <c r="A100" s="106"/>
      <c r="B100" s="223" t="s">
        <v>148</v>
      </c>
      <c r="C100" s="224"/>
      <c r="D100" s="125"/>
      <c r="E100" s="163"/>
      <c r="F100" s="115"/>
      <c r="G100" s="91"/>
      <c r="H100" s="91">
        <v>0</v>
      </c>
      <c r="I100" s="125"/>
      <c r="J100" s="132">
        <v>0</v>
      </c>
      <c r="K100" s="225"/>
      <c r="L100" s="219"/>
      <c r="M100" s="125"/>
      <c r="N100" s="220"/>
      <c r="O100" s="115"/>
      <c r="P100" s="92"/>
      <c r="Q100" s="205">
        <f t="shared" si="1"/>
        <v>0</v>
      </c>
      <c r="R100" s="125"/>
      <c r="S100" s="207">
        <f t="shared" si="2"/>
        <v>0</v>
      </c>
    </row>
    <row r="101" spans="1:21" s="230" customFormat="1" ht="32.25" customHeight="1">
      <c r="A101" s="106">
        <v>4</v>
      </c>
      <c r="B101" s="222" t="s">
        <v>149</v>
      </c>
      <c r="C101" s="222" t="s">
        <v>150</v>
      </c>
      <c r="D101" s="125">
        <v>1212.29</v>
      </c>
      <c r="E101" s="163" t="s">
        <v>392</v>
      </c>
      <c r="F101" s="115"/>
      <c r="G101" s="91"/>
      <c r="H101" s="153">
        <v>-7273.7599999999957</v>
      </c>
      <c r="I101" s="216"/>
      <c r="J101" s="226">
        <v>-7273.7599999999957</v>
      </c>
      <c r="K101" s="114"/>
      <c r="L101" s="114"/>
      <c r="M101" s="125"/>
      <c r="N101" s="227" t="s">
        <v>392</v>
      </c>
      <c r="O101" s="228"/>
      <c r="P101" s="92"/>
      <c r="Q101" s="205">
        <f t="shared" si="1"/>
        <v>-6061.4699999999957</v>
      </c>
      <c r="R101" s="229"/>
      <c r="S101" s="207">
        <f t="shared" si="2"/>
        <v>-6061.4699999999957</v>
      </c>
    </row>
    <row r="102" spans="1:21" s="235" customFormat="1" ht="32.25" customHeight="1">
      <c r="A102" s="106"/>
      <c r="B102" s="231" t="s">
        <v>151</v>
      </c>
      <c r="C102" s="232"/>
      <c r="D102" s="233"/>
      <c r="E102" s="163"/>
      <c r="F102" s="115"/>
      <c r="G102" s="91"/>
      <c r="H102" s="91">
        <v>0</v>
      </c>
      <c r="I102" s="125"/>
      <c r="J102" s="132">
        <v>0</v>
      </c>
      <c r="K102" s="225"/>
      <c r="L102" s="219"/>
      <c r="M102" s="125"/>
      <c r="N102" s="234"/>
      <c r="O102" s="228"/>
      <c r="P102" s="92"/>
      <c r="Q102" s="205">
        <f t="shared" si="1"/>
        <v>0</v>
      </c>
      <c r="R102" s="125"/>
      <c r="S102" s="207">
        <f t="shared" si="2"/>
        <v>0</v>
      </c>
      <c r="T102" s="230"/>
    </row>
    <row r="103" spans="1:21" s="237" customFormat="1" ht="32.25" customHeight="1">
      <c r="A103" s="106">
        <v>5</v>
      </c>
      <c r="B103" s="222" t="s">
        <v>152</v>
      </c>
      <c r="C103" s="193" t="s">
        <v>153</v>
      </c>
      <c r="D103" s="125">
        <v>670.84</v>
      </c>
      <c r="E103" s="163" t="s">
        <v>392</v>
      </c>
      <c r="F103" s="115"/>
      <c r="G103" s="91"/>
      <c r="H103" s="91">
        <v>-4024.9599999999991</v>
      </c>
      <c r="I103" s="125"/>
      <c r="J103" s="132">
        <v>-4024.9599999999991</v>
      </c>
      <c r="K103" s="225"/>
      <c r="L103" s="219"/>
      <c r="M103" s="125"/>
      <c r="N103" s="227" t="s">
        <v>392</v>
      </c>
      <c r="O103" s="228"/>
      <c r="P103" s="92"/>
      <c r="Q103" s="205">
        <f t="shared" si="1"/>
        <v>-3354.119999999999</v>
      </c>
      <c r="R103" s="229"/>
      <c r="S103" s="207">
        <f t="shared" si="2"/>
        <v>-3354.119999999999</v>
      </c>
      <c r="T103" s="2"/>
      <c r="U103" s="2"/>
    </row>
    <row r="104" spans="1:21" s="237" customFormat="1" ht="32.25" customHeight="1">
      <c r="A104" s="106"/>
      <c r="B104" s="238" t="s">
        <v>154</v>
      </c>
      <c r="C104" s="193"/>
      <c r="D104" s="92"/>
      <c r="E104" s="239"/>
      <c r="F104" s="122"/>
      <c r="G104" s="91"/>
      <c r="H104" s="91">
        <v>0</v>
      </c>
      <c r="I104" s="92"/>
      <c r="J104" s="132">
        <v>0</v>
      </c>
      <c r="K104" s="225"/>
      <c r="L104" s="219"/>
      <c r="M104" s="125"/>
      <c r="N104" s="240"/>
      <c r="O104" s="122"/>
      <c r="P104" s="92"/>
      <c r="Q104" s="205">
        <f t="shared" si="1"/>
        <v>0</v>
      </c>
      <c r="R104" s="125"/>
      <c r="S104" s="207">
        <f t="shared" si="2"/>
        <v>0</v>
      </c>
      <c r="T104" s="2"/>
      <c r="U104" s="2"/>
    </row>
    <row r="105" spans="1:21" s="259" customFormat="1" ht="32.25" customHeight="1">
      <c r="A105" s="241">
        <v>6</v>
      </c>
      <c r="B105" s="242" t="s">
        <v>52</v>
      </c>
      <c r="C105" s="243" t="s">
        <v>155</v>
      </c>
      <c r="D105" s="244">
        <v>108.34</v>
      </c>
      <c r="E105" s="245" t="s">
        <v>442</v>
      </c>
      <c r="F105" s="246">
        <v>1</v>
      </c>
      <c r="G105" s="247" t="s">
        <v>72</v>
      </c>
      <c r="H105" s="248">
        <v>108.34000000000019</v>
      </c>
      <c r="I105" s="249"/>
      <c r="J105" s="250">
        <v>108.34000000000019</v>
      </c>
      <c r="K105" s="251" t="s">
        <v>509</v>
      </c>
      <c r="L105" s="252" t="s">
        <v>510</v>
      </c>
      <c r="M105" s="253">
        <v>1300</v>
      </c>
      <c r="N105" s="254" t="s">
        <v>57</v>
      </c>
      <c r="O105" s="255"/>
      <c r="P105" s="256"/>
      <c r="Q105" s="205">
        <f t="shared" si="1"/>
        <v>-1083.3199999999997</v>
      </c>
      <c r="R105" s="216"/>
      <c r="S105" s="207">
        <f t="shared" si="2"/>
        <v>-1083.3199999999997</v>
      </c>
    </row>
    <row r="106" spans="1:21" s="259" customFormat="1" ht="32.25" customHeight="1">
      <c r="A106" s="260"/>
      <c r="B106" s="242" t="s">
        <v>156</v>
      </c>
      <c r="C106" s="242"/>
      <c r="D106" s="244"/>
      <c r="E106" s="245"/>
      <c r="F106" s="246"/>
      <c r="G106" s="248"/>
      <c r="H106" s="248">
        <v>0</v>
      </c>
      <c r="I106" s="249"/>
      <c r="J106" s="250">
        <v>0</v>
      </c>
      <c r="K106" s="251"/>
      <c r="L106" s="252"/>
      <c r="M106" s="253"/>
      <c r="N106" s="261"/>
      <c r="O106" s="246"/>
      <c r="P106" s="249"/>
      <c r="Q106" s="205">
        <f t="shared" si="1"/>
        <v>0</v>
      </c>
      <c r="R106" s="216"/>
      <c r="S106" s="207">
        <f t="shared" si="2"/>
        <v>0</v>
      </c>
    </row>
    <row r="107" spans="1:21" s="259" customFormat="1" ht="32.25" customHeight="1">
      <c r="A107" s="260"/>
      <c r="B107" s="675" t="s">
        <v>157</v>
      </c>
      <c r="C107" s="676"/>
      <c r="D107" s="244"/>
      <c r="E107" s="245"/>
      <c r="F107" s="246"/>
      <c r="G107" s="248"/>
      <c r="H107" s="248">
        <v>0</v>
      </c>
      <c r="I107" s="249"/>
      <c r="J107" s="250">
        <v>0</v>
      </c>
      <c r="K107" s="251"/>
      <c r="L107" s="252"/>
      <c r="M107" s="253"/>
      <c r="N107" s="261"/>
      <c r="O107" s="246"/>
      <c r="P107" s="249"/>
      <c r="Q107" s="205">
        <f t="shared" si="1"/>
        <v>0</v>
      </c>
      <c r="R107" s="216"/>
      <c r="S107" s="207">
        <f t="shared" si="2"/>
        <v>0</v>
      </c>
    </row>
    <row r="108" spans="1:21" ht="41.25" customHeight="1">
      <c r="A108" s="106">
        <v>7</v>
      </c>
      <c r="B108" s="142" t="s">
        <v>158</v>
      </c>
      <c r="C108" s="142" t="s">
        <v>159</v>
      </c>
      <c r="D108" s="125">
        <v>191.67</v>
      </c>
      <c r="E108" s="152" t="s">
        <v>392</v>
      </c>
      <c r="F108" s="212"/>
      <c r="G108" s="262"/>
      <c r="H108" s="262">
        <v>-1341.6499999999999</v>
      </c>
      <c r="I108" s="216"/>
      <c r="J108" s="226">
        <v>-1341.6499999999999</v>
      </c>
      <c r="K108" s="225"/>
      <c r="L108" s="219"/>
      <c r="M108" s="263"/>
      <c r="N108" s="214" t="s">
        <v>392</v>
      </c>
      <c r="O108" s="212"/>
      <c r="P108" s="216"/>
      <c r="Q108" s="205">
        <f t="shared" si="1"/>
        <v>-1149.9799999999998</v>
      </c>
      <c r="R108" s="216"/>
      <c r="S108" s="207">
        <f t="shared" si="2"/>
        <v>-1149.9799999999998</v>
      </c>
    </row>
    <row r="109" spans="1:21" ht="39.75" customHeight="1">
      <c r="A109" s="264"/>
      <c r="B109" s="41" t="s">
        <v>160</v>
      </c>
      <c r="C109" s="41"/>
      <c r="D109" s="42"/>
      <c r="E109" s="189"/>
      <c r="F109" s="43"/>
      <c r="G109" s="6"/>
      <c r="H109" s="6">
        <v>0</v>
      </c>
      <c r="I109" s="42"/>
      <c r="J109" s="136">
        <v>0</v>
      </c>
      <c r="K109" s="265"/>
      <c r="L109" s="266"/>
      <c r="M109" s="92"/>
      <c r="N109" s="5"/>
      <c r="O109" s="43"/>
      <c r="P109" s="42"/>
      <c r="Q109" s="205">
        <f t="shared" si="1"/>
        <v>0</v>
      </c>
      <c r="R109" s="42"/>
      <c r="S109" s="207">
        <f t="shared" si="2"/>
        <v>0</v>
      </c>
    </row>
    <row r="110" spans="1:21" ht="41.25" customHeight="1">
      <c r="A110" s="264"/>
      <c r="B110" s="41" t="s">
        <v>161</v>
      </c>
      <c r="C110" s="41"/>
      <c r="D110" s="42"/>
      <c r="E110" s="189"/>
      <c r="F110" s="43"/>
      <c r="G110" s="6"/>
      <c r="H110" s="6">
        <v>0</v>
      </c>
      <c r="I110" s="42"/>
      <c r="J110" s="136">
        <v>0</v>
      </c>
      <c r="K110" s="267"/>
      <c r="L110" s="268"/>
      <c r="M110" s="42"/>
      <c r="N110" s="5"/>
      <c r="O110" s="43"/>
      <c r="P110" s="42"/>
      <c r="Q110" s="205">
        <f t="shared" si="1"/>
        <v>0</v>
      </c>
      <c r="R110" s="42"/>
      <c r="S110" s="207">
        <f t="shared" si="2"/>
        <v>0</v>
      </c>
    </row>
    <row r="111" spans="1:21" ht="41.25" customHeight="1">
      <c r="A111" s="264"/>
      <c r="B111" s="41" t="s">
        <v>162</v>
      </c>
      <c r="C111" s="41"/>
      <c r="D111" s="42"/>
      <c r="E111" s="189"/>
      <c r="F111" s="43"/>
      <c r="G111" s="6"/>
      <c r="H111" s="6">
        <v>0</v>
      </c>
      <c r="I111" s="42"/>
      <c r="J111" s="136">
        <v>0</v>
      </c>
      <c r="K111" s="267"/>
      <c r="L111" s="268"/>
      <c r="M111" s="42"/>
      <c r="N111" s="5"/>
      <c r="O111" s="43"/>
      <c r="P111" s="42"/>
      <c r="Q111" s="205">
        <f t="shared" si="1"/>
        <v>0</v>
      </c>
      <c r="R111" s="42"/>
      <c r="S111" s="207">
        <f t="shared" si="2"/>
        <v>0</v>
      </c>
    </row>
    <row r="112" spans="1:21" ht="41.25" customHeight="1">
      <c r="A112" s="264"/>
      <c r="B112" s="41" t="s">
        <v>163</v>
      </c>
      <c r="C112" s="41"/>
      <c r="D112" s="42"/>
      <c r="E112" s="269"/>
      <c r="F112" s="270"/>
      <c r="G112" s="271"/>
      <c r="H112" s="271">
        <v>0</v>
      </c>
      <c r="I112" s="272"/>
      <c r="J112" s="273">
        <v>0</v>
      </c>
      <c r="K112" s="265"/>
      <c r="L112" s="266"/>
      <c r="M112" s="92"/>
      <c r="N112" s="274"/>
      <c r="O112" s="270"/>
      <c r="P112" s="272"/>
      <c r="Q112" s="153">
        <v>0</v>
      </c>
      <c r="R112" s="272"/>
      <c r="S112" s="207">
        <f t="shared" si="2"/>
        <v>0</v>
      </c>
    </row>
    <row r="113" spans="1:19" ht="41.25" customHeight="1">
      <c r="A113" s="264"/>
      <c r="B113" s="275" t="s">
        <v>164</v>
      </c>
      <c r="C113" s="41"/>
      <c r="D113" s="42"/>
      <c r="E113" s="269"/>
      <c r="F113" s="270"/>
      <c r="G113" s="271"/>
      <c r="H113" s="271">
        <v>0</v>
      </c>
      <c r="I113" s="272"/>
      <c r="J113" s="273">
        <v>0</v>
      </c>
      <c r="K113" s="267"/>
      <c r="L113" s="268"/>
      <c r="M113" s="42"/>
      <c r="N113" s="274"/>
      <c r="O113" s="270"/>
      <c r="P113" s="272"/>
      <c r="Q113" s="153">
        <v>0</v>
      </c>
      <c r="R113" s="272"/>
      <c r="S113" s="207">
        <f t="shared" si="2"/>
        <v>0</v>
      </c>
    </row>
    <row r="114" spans="1:19" ht="41.25" customHeight="1">
      <c r="A114" s="264"/>
      <c r="B114" s="275" t="s">
        <v>165</v>
      </c>
      <c r="C114" s="41"/>
      <c r="D114" s="42">
        <v>0</v>
      </c>
      <c r="E114" s="269"/>
      <c r="F114" s="270"/>
      <c r="G114" s="271"/>
      <c r="H114" s="271">
        <v>0</v>
      </c>
      <c r="I114" s="272"/>
      <c r="J114" s="273">
        <v>0</v>
      </c>
      <c r="K114" s="267"/>
      <c r="L114" s="268"/>
      <c r="M114" s="42"/>
      <c r="N114" s="274"/>
      <c r="O114" s="270"/>
      <c r="P114" s="272"/>
      <c r="Q114" s="153">
        <v>0</v>
      </c>
      <c r="R114" s="272"/>
      <c r="S114" s="159">
        <v>0</v>
      </c>
    </row>
    <row r="115" spans="1:19" ht="41.25" customHeight="1">
      <c r="A115" s="264"/>
      <c r="B115" s="275" t="s">
        <v>166</v>
      </c>
      <c r="C115" s="41"/>
      <c r="D115" s="42">
        <v>0</v>
      </c>
      <c r="E115" s="269"/>
      <c r="F115" s="270"/>
      <c r="G115" s="271"/>
      <c r="H115" s="271">
        <v>0</v>
      </c>
      <c r="I115" s="272"/>
      <c r="J115" s="273">
        <v>0</v>
      </c>
      <c r="K115" s="267"/>
      <c r="L115" s="268"/>
      <c r="M115" s="42"/>
      <c r="N115" s="274"/>
      <c r="O115" s="270"/>
      <c r="P115" s="272"/>
      <c r="Q115" s="153">
        <v>0</v>
      </c>
      <c r="R115" s="272"/>
      <c r="S115" s="159">
        <v>0</v>
      </c>
    </row>
    <row r="116" spans="1:19" ht="32.25" customHeight="1" thickBot="1">
      <c r="A116" s="39"/>
      <c r="B116" s="50" t="s">
        <v>19</v>
      </c>
      <c r="C116" s="50"/>
      <c r="D116" s="51">
        <f>SUM(D89:D115)</f>
        <v>3554.8100000000004</v>
      </c>
      <c r="E116" s="52"/>
      <c r="F116" s="53"/>
      <c r="G116" s="52"/>
      <c r="H116" s="51">
        <f t="shared" ref="H116:I116" si="3">SUM(H89:H115)-H89-H98-H101-H103-H108</f>
        <v>1045.4300000000014</v>
      </c>
      <c r="I116" s="51">
        <f t="shared" si="3"/>
        <v>0</v>
      </c>
      <c r="J116" s="51">
        <f>SUM(J89:J115)-J89-J98-J101-J103-J108</f>
        <v>1045.4300000000014</v>
      </c>
      <c r="K116" s="51">
        <v>0</v>
      </c>
      <c r="L116" s="51">
        <v>0</v>
      </c>
      <c r="M116" s="51">
        <f>SUM(K89:M115)</f>
        <v>12545</v>
      </c>
      <c r="N116" s="51"/>
      <c r="O116" s="51">
        <v>0</v>
      </c>
      <c r="P116" s="51">
        <v>0</v>
      </c>
      <c r="Q116" s="51">
        <f>SUM(Q89:Q115)-Q89-Q98-Q101-Q103-Q108-Q95-Q105</f>
        <v>-1.8189894035458565E-12</v>
      </c>
      <c r="R116" s="51">
        <v>0</v>
      </c>
      <c r="S116" s="51">
        <f>SUM(Q116)</f>
        <v>-1.8189894035458565E-12</v>
      </c>
    </row>
    <row r="117" spans="1:19" ht="32.25" customHeight="1" thickTop="1">
      <c r="A117" s="39"/>
      <c r="B117" s="141" t="s">
        <v>167</v>
      </c>
      <c r="C117" s="142"/>
      <c r="D117" s="125"/>
      <c r="E117" s="131"/>
      <c r="F117" s="115"/>
      <c r="G117" s="33"/>
      <c r="H117" s="143"/>
      <c r="I117" s="143"/>
      <c r="J117" s="143"/>
      <c r="K117" s="34"/>
      <c r="L117" s="35"/>
      <c r="M117" s="36"/>
      <c r="N117" s="114"/>
      <c r="O117" s="115"/>
      <c r="P117" s="144"/>
      <c r="Q117" s="33"/>
      <c r="R117" s="33"/>
      <c r="S117" s="145"/>
    </row>
    <row r="118" spans="1:19" s="160" customFormat="1" ht="32.25" customHeight="1">
      <c r="A118" s="106">
        <v>1</v>
      </c>
      <c r="B118" s="142" t="s">
        <v>23</v>
      </c>
      <c r="C118" s="142" t="s">
        <v>168</v>
      </c>
      <c r="D118" s="151">
        <v>10925</v>
      </c>
      <c r="E118" s="163"/>
      <c r="F118" s="122"/>
      <c r="G118" s="122"/>
      <c r="H118" s="91">
        <v>0</v>
      </c>
      <c r="I118" s="122"/>
      <c r="J118" s="132">
        <v>0</v>
      </c>
      <c r="K118" s="276" t="s">
        <v>491</v>
      </c>
      <c r="L118" s="277" t="s">
        <v>511</v>
      </c>
      <c r="M118" s="278">
        <v>10925</v>
      </c>
      <c r="N118" s="279"/>
      <c r="O118" s="280"/>
      <c r="P118" s="280"/>
      <c r="Q118" s="91">
        <f>SUM(D118+J118-M118)</f>
        <v>0</v>
      </c>
      <c r="R118" s="91"/>
      <c r="S118" s="77">
        <f>SUM(D118+J118-M118)</f>
        <v>0</v>
      </c>
    </row>
    <row r="119" spans="1:19" s="160" customFormat="1" ht="32.25" customHeight="1">
      <c r="A119" s="106">
        <v>2</v>
      </c>
      <c r="B119" s="142" t="s">
        <v>69</v>
      </c>
      <c r="C119" s="142" t="s">
        <v>170</v>
      </c>
      <c r="D119" s="151">
        <v>920</v>
      </c>
      <c r="E119" s="163"/>
      <c r="F119" s="122"/>
      <c r="G119" s="122"/>
      <c r="H119" s="91">
        <v>0</v>
      </c>
      <c r="I119" s="122"/>
      <c r="J119" s="132">
        <v>0</v>
      </c>
      <c r="K119" s="276" t="s">
        <v>495</v>
      </c>
      <c r="L119" s="277" t="s">
        <v>512</v>
      </c>
      <c r="M119" s="278">
        <v>920</v>
      </c>
      <c r="N119" s="281"/>
      <c r="O119" s="280"/>
      <c r="P119" s="280"/>
      <c r="Q119" s="91">
        <f t="shared" ref="Q119:Q130" si="4">SUM(D119+J119-M119)</f>
        <v>0</v>
      </c>
      <c r="R119" s="91"/>
      <c r="S119" s="77">
        <f t="shared" ref="S119:S130" si="5">SUM(D119+J119-M119)</f>
        <v>0</v>
      </c>
    </row>
    <row r="120" spans="1:19" s="160" customFormat="1" ht="32.25" customHeight="1">
      <c r="A120" s="106">
        <v>3</v>
      </c>
      <c r="B120" s="142" t="s">
        <v>27</v>
      </c>
      <c r="C120" s="142" t="s">
        <v>172</v>
      </c>
      <c r="D120" s="151">
        <v>1100</v>
      </c>
      <c r="E120" s="163"/>
      <c r="F120" s="122"/>
      <c r="G120" s="122"/>
      <c r="H120" s="91">
        <v>0</v>
      </c>
      <c r="I120" s="122"/>
      <c r="J120" s="132">
        <v>0</v>
      </c>
      <c r="K120" s="276" t="s">
        <v>491</v>
      </c>
      <c r="L120" s="277" t="s">
        <v>513</v>
      </c>
      <c r="M120" s="278">
        <v>1100</v>
      </c>
      <c r="N120" s="279"/>
      <c r="O120" s="280"/>
      <c r="P120" s="280"/>
      <c r="Q120" s="91">
        <f t="shared" si="4"/>
        <v>0</v>
      </c>
      <c r="R120" s="91"/>
      <c r="S120" s="77">
        <f t="shared" si="5"/>
        <v>0</v>
      </c>
    </row>
    <row r="121" spans="1:19" s="160" customFormat="1" ht="32.25" customHeight="1">
      <c r="A121" s="106"/>
      <c r="B121" s="142" t="s">
        <v>341</v>
      </c>
      <c r="C121" s="142"/>
      <c r="D121" s="151"/>
      <c r="E121" s="163"/>
      <c r="F121" s="122"/>
      <c r="G121" s="122"/>
      <c r="H121" s="91">
        <v>0</v>
      </c>
      <c r="I121" s="122"/>
      <c r="J121" s="132">
        <v>0</v>
      </c>
      <c r="K121" s="276"/>
      <c r="L121" s="277"/>
      <c r="M121" s="278"/>
      <c r="N121" s="279"/>
      <c r="O121" s="280"/>
      <c r="P121" s="280"/>
      <c r="Q121" s="91">
        <f t="shared" si="4"/>
        <v>0</v>
      </c>
      <c r="R121" s="91"/>
      <c r="S121" s="77">
        <f t="shared" si="5"/>
        <v>0</v>
      </c>
    </row>
    <row r="122" spans="1:19" s="160" customFormat="1" ht="32.25" customHeight="1">
      <c r="A122" s="106"/>
      <c r="B122" s="142" t="s">
        <v>342</v>
      </c>
      <c r="C122" s="142"/>
      <c r="D122" s="151"/>
      <c r="E122" s="163"/>
      <c r="F122" s="122"/>
      <c r="G122" s="122"/>
      <c r="H122" s="91">
        <v>0</v>
      </c>
      <c r="I122" s="122"/>
      <c r="J122" s="132">
        <v>0</v>
      </c>
      <c r="K122" s="276"/>
      <c r="L122" s="277"/>
      <c r="M122" s="278"/>
      <c r="N122" s="279"/>
      <c r="O122" s="280"/>
      <c r="P122" s="280"/>
      <c r="Q122" s="91">
        <f t="shared" si="4"/>
        <v>0</v>
      </c>
      <c r="R122" s="91"/>
      <c r="S122" s="77">
        <f t="shared" si="5"/>
        <v>0</v>
      </c>
    </row>
    <row r="123" spans="1:19" s="160" customFormat="1" ht="32.25" customHeight="1">
      <c r="A123" s="106"/>
      <c r="B123" s="142" t="s">
        <v>343</v>
      </c>
      <c r="C123" s="142"/>
      <c r="D123" s="151"/>
      <c r="E123" s="163"/>
      <c r="F123" s="122"/>
      <c r="G123" s="122"/>
      <c r="H123" s="91">
        <v>0</v>
      </c>
      <c r="I123" s="122"/>
      <c r="J123" s="132">
        <v>0</v>
      </c>
      <c r="K123" s="276"/>
      <c r="L123" s="277"/>
      <c r="M123" s="278"/>
      <c r="N123" s="279"/>
      <c r="O123" s="280"/>
      <c r="P123" s="280"/>
      <c r="Q123" s="91">
        <f t="shared" si="4"/>
        <v>0</v>
      </c>
      <c r="R123" s="91"/>
      <c r="S123" s="77">
        <f t="shared" si="5"/>
        <v>0</v>
      </c>
    </row>
    <row r="124" spans="1:19" s="160" customFormat="1" ht="32.25" customHeight="1">
      <c r="A124" s="106">
        <v>4</v>
      </c>
      <c r="B124" s="142" t="s">
        <v>77</v>
      </c>
      <c r="C124" s="142" t="s">
        <v>174</v>
      </c>
      <c r="D124" s="151">
        <v>920</v>
      </c>
      <c r="E124" s="163"/>
      <c r="F124" s="122"/>
      <c r="G124" s="122"/>
      <c r="H124" s="91">
        <v>0</v>
      </c>
      <c r="I124" s="122"/>
      <c r="J124" s="132">
        <v>0</v>
      </c>
      <c r="K124" s="276" t="s">
        <v>472</v>
      </c>
      <c r="L124" s="277" t="s">
        <v>514</v>
      </c>
      <c r="M124" s="278">
        <v>920</v>
      </c>
      <c r="N124" s="279"/>
      <c r="O124" s="280"/>
      <c r="P124" s="280"/>
      <c r="Q124" s="91">
        <f t="shared" si="4"/>
        <v>0</v>
      </c>
      <c r="R124" s="91"/>
      <c r="S124" s="77">
        <f t="shared" si="5"/>
        <v>0</v>
      </c>
    </row>
    <row r="125" spans="1:19" s="160" customFormat="1" ht="32.25" customHeight="1">
      <c r="A125" s="106">
        <v>5</v>
      </c>
      <c r="B125" s="142" t="s">
        <v>176</v>
      </c>
      <c r="C125" s="142" t="s">
        <v>177</v>
      </c>
      <c r="D125" s="151">
        <v>2300</v>
      </c>
      <c r="E125" s="163"/>
      <c r="F125" s="122"/>
      <c r="G125" s="122"/>
      <c r="H125" s="91">
        <v>0</v>
      </c>
      <c r="I125" s="122"/>
      <c r="J125" s="132">
        <v>0</v>
      </c>
      <c r="K125" s="276" t="s">
        <v>515</v>
      </c>
      <c r="L125" s="277" t="s">
        <v>516</v>
      </c>
      <c r="M125" s="278">
        <v>2300</v>
      </c>
      <c r="N125" s="279"/>
      <c r="O125" s="280"/>
      <c r="P125" s="280"/>
      <c r="Q125" s="91">
        <f t="shared" si="4"/>
        <v>0</v>
      </c>
      <c r="R125" s="91"/>
      <c r="S125" s="77">
        <f t="shared" si="5"/>
        <v>0</v>
      </c>
    </row>
    <row r="126" spans="1:19" ht="32.25" customHeight="1">
      <c r="A126" s="106">
        <v>6</v>
      </c>
      <c r="B126" s="142" t="s">
        <v>75</v>
      </c>
      <c r="C126" s="142" t="s">
        <v>179</v>
      </c>
      <c r="D126" s="151"/>
      <c r="E126" s="163"/>
      <c r="F126" s="115"/>
      <c r="G126" s="115"/>
      <c r="H126" s="131">
        <v>0</v>
      </c>
      <c r="I126" s="115"/>
      <c r="J126" s="132">
        <v>0</v>
      </c>
      <c r="K126" s="282"/>
      <c r="L126" s="210"/>
      <c r="M126" s="283"/>
      <c r="N126" s="114"/>
      <c r="O126" s="122"/>
      <c r="P126" s="122"/>
      <c r="Q126" s="91">
        <f t="shared" si="4"/>
        <v>0</v>
      </c>
      <c r="R126" s="91"/>
      <c r="S126" s="77">
        <f t="shared" si="5"/>
        <v>0</v>
      </c>
    </row>
    <row r="127" spans="1:19" ht="32.25" customHeight="1">
      <c r="A127" s="106">
        <v>7</v>
      </c>
      <c r="B127" s="142" t="s">
        <v>75</v>
      </c>
      <c r="C127" s="142" t="s">
        <v>180</v>
      </c>
      <c r="D127" s="151"/>
      <c r="E127" s="163"/>
      <c r="F127" s="115"/>
      <c r="G127" s="115"/>
      <c r="H127" s="131">
        <v>0</v>
      </c>
      <c r="I127" s="115"/>
      <c r="J127" s="132">
        <v>0</v>
      </c>
      <c r="K127" s="282"/>
      <c r="L127" s="210"/>
      <c r="M127" s="283"/>
      <c r="N127" s="114"/>
      <c r="O127" s="122"/>
      <c r="P127" s="122"/>
      <c r="Q127" s="91">
        <f t="shared" si="4"/>
        <v>0</v>
      </c>
      <c r="R127" s="91"/>
      <c r="S127" s="77">
        <f t="shared" si="5"/>
        <v>0</v>
      </c>
    </row>
    <row r="128" spans="1:19" ht="32.25" customHeight="1">
      <c r="A128" s="106">
        <v>8</v>
      </c>
      <c r="B128" s="142" t="s">
        <v>75</v>
      </c>
      <c r="C128" s="142" t="s">
        <v>181</v>
      </c>
      <c r="D128" s="151">
        <v>0</v>
      </c>
      <c r="E128" s="163"/>
      <c r="F128" s="115"/>
      <c r="G128" s="115"/>
      <c r="H128" s="131">
        <v>0</v>
      </c>
      <c r="I128" s="115"/>
      <c r="J128" s="132">
        <v>0</v>
      </c>
      <c r="K128" s="282"/>
      <c r="L128" s="210"/>
      <c r="M128" s="283"/>
      <c r="N128" s="114"/>
      <c r="O128" s="122"/>
      <c r="P128" s="122"/>
      <c r="Q128" s="91">
        <f t="shared" si="4"/>
        <v>0</v>
      </c>
      <c r="R128" s="91"/>
      <c r="S128" s="77">
        <f t="shared" si="5"/>
        <v>0</v>
      </c>
    </row>
    <row r="129" spans="1:19" ht="32.25" customHeight="1">
      <c r="A129" s="106">
        <v>9</v>
      </c>
      <c r="B129" s="142" t="s">
        <v>75</v>
      </c>
      <c r="C129" s="142" t="s">
        <v>182</v>
      </c>
      <c r="D129" s="151">
        <v>0</v>
      </c>
      <c r="E129" s="163"/>
      <c r="F129" s="115"/>
      <c r="G129" s="115"/>
      <c r="H129" s="131">
        <v>0</v>
      </c>
      <c r="I129" s="115"/>
      <c r="J129" s="132">
        <v>0</v>
      </c>
      <c r="K129" s="282"/>
      <c r="L129" s="210"/>
      <c r="M129" s="283"/>
      <c r="N129" s="114"/>
      <c r="O129" s="122"/>
      <c r="P129" s="122"/>
      <c r="Q129" s="91">
        <f t="shared" si="4"/>
        <v>0</v>
      </c>
      <c r="R129" s="91"/>
      <c r="S129" s="77">
        <f t="shared" si="5"/>
        <v>0</v>
      </c>
    </row>
    <row r="130" spans="1:19" ht="32.25" customHeight="1">
      <c r="A130" s="106">
        <v>10</v>
      </c>
      <c r="B130" s="142" t="s">
        <v>75</v>
      </c>
      <c r="C130" s="142" t="s">
        <v>183</v>
      </c>
      <c r="D130" s="151">
        <v>0</v>
      </c>
      <c r="E130" s="163"/>
      <c r="F130" s="115"/>
      <c r="G130" s="115"/>
      <c r="H130" s="131">
        <v>0</v>
      </c>
      <c r="I130" s="115"/>
      <c r="J130" s="132">
        <v>0</v>
      </c>
      <c r="K130" s="282"/>
      <c r="L130" s="210"/>
      <c r="M130" s="283"/>
      <c r="N130" s="114"/>
      <c r="O130" s="115"/>
      <c r="P130" s="168"/>
      <c r="Q130" s="91">
        <f t="shared" si="4"/>
        <v>0</v>
      </c>
      <c r="R130" s="131"/>
      <c r="S130" s="77">
        <f t="shared" si="5"/>
        <v>0</v>
      </c>
    </row>
    <row r="131" spans="1:19" ht="32.25" customHeight="1" thickBot="1">
      <c r="A131" s="39"/>
      <c r="B131" s="50" t="s">
        <v>19</v>
      </c>
      <c r="C131" s="50"/>
      <c r="D131" s="51">
        <f>SUM(D118:D130)</f>
        <v>16165</v>
      </c>
      <c r="E131" s="52"/>
      <c r="F131" s="53"/>
      <c r="G131" s="52"/>
      <c r="H131" s="51">
        <f>SUM(H118:H130)</f>
        <v>0</v>
      </c>
      <c r="I131" s="51">
        <v>0</v>
      </c>
      <c r="J131" s="51">
        <f>SUM(J118:J130)</f>
        <v>0</v>
      </c>
      <c r="K131" s="54"/>
      <c r="L131" s="55"/>
      <c r="M131" s="56">
        <f>SUM(M118:M130)</f>
        <v>16165</v>
      </c>
      <c r="N131" s="57"/>
      <c r="O131" s="53"/>
      <c r="P131" s="51"/>
      <c r="Q131" s="51">
        <f>SUM(Q118:Q130)</f>
        <v>0</v>
      </c>
      <c r="R131" s="51">
        <v>0</v>
      </c>
      <c r="S131" s="51">
        <f>SUM(S118:S130)</f>
        <v>0</v>
      </c>
    </row>
    <row r="132" spans="1:19" ht="32.25" hidden="1" customHeight="1">
      <c r="A132" s="39"/>
      <c r="B132" s="58" t="s">
        <v>184</v>
      </c>
      <c r="C132" s="59"/>
      <c r="D132" s="60"/>
      <c r="E132" s="61"/>
      <c r="F132" s="62"/>
      <c r="G132" s="63"/>
      <c r="H132" s="64"/>
      <c r="I132" s="64"/>
      <c r="J132" s="64"/>
      <c r="K132" s="65"/>
      <c r="L132" s="66"/>
      <c r="M132" s="67"/>
      <c r="N132" s="68"/>
      <c r="O132" s="62"/>
      <c r="P132" s="69"/>
      <c r="Q132" s="63"/>
      <c r="R132" s="63"/>
      <c r="S132" s="70"/>
    </row>
    <row r="133" spans="1:19" ht="32.25" hidden="1" customHeight="1">
      <c r="A133" s="39">
        <v>1</v>
      </c>
      <c r="B133" s="40"/>
      <c r="C133" s="41"/>
      <c r="D133" s="42"/>
      <c r="E133" s="6"/>
      <c r="F133" s="43"/>
      <c r="G133" s="6"/>
      <c r="H133" s="42"/>
      <c r="I133" s="42"/>
      <c r="J133" s="42"/>
      <c r="K133" s="44"/>
      <c r="L133" s="45"/>
      <c r="M133" s="46"/>
      <c r="N133" s="5"/>
      <c r="O133" s="43"/>
      <c r="P133" s="47"/>
      <c r="Q133" s="48"/>
      <c r="R133" s="48"/>
      <c r="S133" s="49"/>
    </row>
    <row r="134" spans="1:19" ht="32.25" hidden="1" customHeight="1">
      <c r="A134" s="39"/>
      <c r="B134" s="50" t="s">
        <v>19</v>
      </c>
      <c r="C134" s="50"/>
      <c r="D134" s="51">
        <v>0</v>
      </c>
      <c r="E134" s="52"/>
      <c r="F134" s="53"/>
      <c r="G134" s="52"/>
      <c r="H134" s="51">
        <v>0</v>
      </c>
      <c r="I134" s="51">
        <v>0</v>
      </c>
      <c r="J134" s="51">
        <v>0</v>
      </c>
      <c r="K134" s="54"/>
      <c r="L134" s="55"/>
      <c r="M134" s="56"/>
      <c r="N134" s="57"/>
      <c r="O134" s="53"/>
      <c r="P134" s="51"/>
      <c r="Q134" s="51"/>
      <c r="R134" s="51"/>
      <c r="S134" s="51"/>
    </row>
    <row r="135" spans="1:19" ht="32.25" hidden="1" customHeight="1">
      <c r="A135" s="39"/>
      <c r="B135" s="58" t="s">
        <v>185</v>
      </c>
      <c r="C135" s="59"/>
      <c r="D135" s="60"/>
      <c r="E135" s="61"/>
      <c r="F135" s="62"/>
      <c r="G135" s="63"/>
      <c r="H135" s="64"/>
      <c r="I135" s="64"/>
      <c r="J135" s="64"/>
      <c r="K135" s="65"/>
      <c r="L135" s="66"/>
      <c r="M135" s="67"/>
      <c r="N135" s="68"/>
      <c r="O135" s="62"/>
      <c r="P135" s="69"/>
      <c r="Q135" s="63"/>
      <c r="R135" s="63"/>
      <c r="S135" s="70"/>
    </row>
    <row r="136" spans="1:19" ht="32.25" hidden="1" customHeight="1">
      <c r="A136" s="39">
        <v>1</v>
      </c>
      <c r="B136" s="40"/>
      <c r="C136" s="41"/>
      <c r="D136" s="42"/>
      <c r="E136" s="6"/>
      <c r="F136" s="43"/>
      <c r="G136" s="6"/>
      <c r="H136" s="42"/>
      <c r="I136" s="42"/>
      <c r="J136" s="42"/>
      <c r="K136" s="284"/>
      <c r="L136" s="285"/>
      <c r="M136" s="286"/>
      <c r="N136" s="5"/>
      <c r="O136" s="43"/>
      <c r="P136" s="47"/>
      <c r="Q136" s="48"/>
      <c r="R136" s="48"/>
      <c r="S136" s="49"/>
    </row>
    <row r="137" spans="1:19" ht="32.25" hidden="1" customHeight="1">
      <c r="A137" s="39"/>
      <c r="B137" s="50" t="s">
        <v>19</v>
      </c>
      <c r="C137" s="50"/>
      <c r="D137" s="51">
        <v>0</v>
      </c>
      <c r="E137" s="52"/>
      <c r="F137" s="53"/>
      <c r="G137" s="52"/>
      <c r="H137" s="51">
        <v>0</v>
      </c>
      <c r="I137" s="51">
        <v>0</v>
      </c>
      <c r="J137" s="51">
        <v>0</v>
      </c>
      <c r="K137" s="54"/>
      <c r="L137" s="55"/>
      <c r="M137" s="56"/>
      <c r="N137" s="57"/>
      <c r="O137" s="53"/>
      <c r="P137" s="51"/>
      <c r="Q137" s="51"/>
      <c r="R137" s="51"/>
      <c r="S137" s="51"/>
    </row>
    <row r="138" spans="1:19" ht="32.25" customHeight="1" thickTop="1">
      <c r="A138" s="39"/>
      <c r="B138" s="58" t="s">
        <v>186</v>
      </c>
      <c r="C138" s="59"/>
      <c r="D138" s="60"/>
      <c r="E138" s="61"/>
      <c r="F138" s="62"/>
      <c r="G138" s="63"/>
      <c r="H138" s="64"/>
      <c r="I138" s="64"/>
      <c r="J138" s="64"/>
      <c r="K138" s="65"/>
      <c r="L138" s="66"/>
      <c r="M138" s="67"/>
      <c r="N138" s="68"/>
      <c r="O138" s="62"/>
      <c r="P138" s="69"/>
      <c r="Q138" s="63"/>
      <c r="R138" s="63"/>
      <c r="S138" s="70"/>
    </row>
    <row r="139" spans="1:19" s="160" customFormat="1" ht="32.25" customHeight="1">
      <c r="A139" s="116">
        <v>1</v>
      </c>
      <c r="B139" s="41" t="s">
        <v>23</v>
      </c>
      <c r="C139" s="41" t="s">
        <v>187</v>
      </c>
      <c r="D139" s="287">
        <v>2140</v>
      </c>
      <c r="E139" s="240"/>
      <c r="F139" s="122"/>
      <c r="G139" s="91"/>
      <c r="H139" s="91"/>
      <c r="I139" s="92"/>
      <c r="J139" s="132">
        <v>0</v>
      </c>
      <c r="K139" s="288" t="s">
        <v>491</v>
      </c>
      <c r="L139" s="289" t="s">
        <v>517</v>
      </c>
      <c r="M139" s="290">
        <v>2140</v>
      </c>
      <c r="N139" s="291"/>
      <c r="O139" s="292"/>
      <c r="P139" s="293"/>
      <c r="Q139" s="91"/>
      <c r="R139" s="92"/>
      <c r="S139" s="294">
        <v>0</v>
      </c>
    </row>
    <row r="140" spans="1:19" s="160" customFormat="1" ht="32.25" customHeight="1">
      <c r="A140" s="116">
        <v>2</v>
      </c>
      <c r="B140" s="142" t="s">
        <v>23</v>
      </c>
      <c r="C140" s="142" t="s">
        <v>189</v>
      </c>
      <c r="D140" s="287">
        <v>22309.5</v>
      </c>
      <c r="E140" s="114"/>
      <c r="F140" s="115"/>
      <c r="G140" s="295"/>
      <c r="H140" s="131">
        <v>0</v>
      </c>
      <c r="I140" s="125"/>
      <c r="J140" s="132">
        <v>0</v>
      </c>
      <c r="K140" s="296" t="s">
        <v>518</v>
      </c>
      <c r="L140" s="297" t="s">
        <v>519</v>
      </c>
      <c r="M140" s="290">
        <v>22309.5</v>
      </c>
      <c r="N140" s="298"/>
      <c r="O140" s="292"/>
      <c r="P140" s="292"/>
      <c r="Q140" s="91">
        <v>0</v>
      </c>
      <c r="R140" s="92"/>
      <c r="S140" s="294">
        <v>0</v>
      </c>
    </row>
    <row r="141" spans="1:19" s="160" customFormat="1" ht="32.25" customHeight="1">
      <c r="A141" s="116">
        <v>3</v>
      </c>
      <c r="B141" s="142" t="s">
        <v>192</v>
      </c>
      <c r="C141" s="142" t="s">
        <v>193</v>
      </c>
      <c r="D141" s="293">
        <v>802.5</v>
      </c>
      <c r="E141" s="114"/>
      <c r="F141" s="115"/>
      <c r="G141" s="131"/>
      <c r="H141" s="131">
        <v>0</v>
      </c>
      <c r="I141" s="125"/>
      <c r="J141" s="132">
        <v>0</v>
      </c>
      <c r="K141" s="288" t="s">
        <v>468</v>
      </c>
      <c r="L141" s="289" t="s">
        <v>520</v>
      </c>
      <c r="M141" s="290">
        <v>802.5</v>
      </c>
      <c r="N141" s="298"/>
      <c r="O141" s="292"/>
      <c r="P141" s="299"/>
      <c r="Q141" s="91">
        <v>0</v>
      </c>
      <c r="R141" s="92"/>
      <c r="S141" s="294">
        <v>0</v>
      </c>
    </row>
    <row r="142" spans="1:19" ht="32.25" customHeight="1">
      <c r="A142" s="106">
        <v>4</v>
      </c>
      <c r="B142" s="300" t="s">
        <v>195</v>
      </c>
      <c r="C142" s="300" t="s">
        <v>193</v>
      </c>
      <c r="D142" s="287">
        <v>3017.4</v>
      </c>
      <c r="E142" s="301" t="s">
        <v>442</v>
      </c>
      <c r="F142" s="31">
        <v>1</v>
      </c>
      <c r="G142" s="301" t="s">
        <v>72</v>
      </c>
      <c r="H142" s="29">
        <v>2730.0000000000005</v>
      </c>
      <c r="I142" s="29">
        <v>191.09999999999988</v>
      </c>
      <c r="J142" s="132">
        <v>2921.1000000000004</v>
      </c>
      <c r="K142" s="288" t="s">
        <v>521</v>
      </c>
      <c r="L142" s="289" t="s">
        <v>522</v>
      </c>
      <c r="M142" s="290">
        <v>2921.1</v>
      </c>
      <c r="N142" s="302" t="s">
        <v>523</v>
      </c>
      <c r="O142" s="303">
        <v>1</v>
      </c>
      <c r="P142" s="304" t="s">
        <v>72</v>
      </c>
      <c r="Q142" s="131">
        <v>2820</v>
      </c>
      <c r="R142" s="29">
        <v>197.4</v>
      </c>
      <c r="S142" s="77">
        <v>3017.4</v>
      </c>
    </row>
    <row r="143" spans="1:19" ht="32.25" customHeight="1">
      <c r="A143" s="39">
        <v>5</v>
      </c>
      <c r="B143" s="142" t="s">
        <v>526</v>
      </c>
      <c r="C143" s="142" t="s">
        <v>193</v>
      </c>
      <c r="D143" s="305">
        <v>3370.5</v>
      </c>
      <c r="E143" s="131"/>
      <c r="F143" s="115"/>
      <c r="G143" s="131"/>
      <c r="H143" s="125">
        <v>0</v>
      </c>
      <c r="I143" s="125"/>
      <c r="J143" s="132">
        <v>0</v>
      </c>
      <c r="K143" s="306" t="s">
        <v>509</v>
      </c>
      <c r="L143" s="307" t="s">
        <v>524</v>
      </c>
      <c r="M143" s="308">
        <v>3370.5</v>
      </c>
      <c r="N143" s="114"/>
      <c r="O143" s="115"/>
      <c r="P143" s="144"/>
      <c r="Q143" s="131">
        <v>0</v>
      </c>
      <c r="R143" s="125"/>
      <c r="S143" s="77">
        <v>0</v>
      </c>
    </row>
    <row r="144" spans="1:19" ht="32.25" customHeight="1">
      <c r="A144" s="39">
        <v>6</v>
      </c>
      <c r="B144" s="142" t="s">
        <v>403</v>
      </c>
      <c r="C144" s="142" t="s">
        <v>193</v>
      </c>
      <c r="D144" s="125">
        <v>2150.6999999999998</v>
      </c>
      <c r="E144" s="131"/>
      <c r="F144" s="115"/>
      <c r="G144" s="131"/>
      <c r="H144" s="125">
        <v>0</v>
      </c>
      <c r="I144" s="125"/>
      <c r="J144" s="132">
        <v>0</v>
      </c>
      <c r="K144" s="34" t="s">
        <v>507</v>
      </c>
      <c r="L144" s="35" t="s">
        <v>525</v>
      </c>
      <c r="M144" s="36">
        <v>2150.6999999999998</v>
      </c>
      <c r="N144" s="114"/>
      <c r="O144" s="115"/>
      <c r="P144" s="144"/>
      <c r="Q144" s="131">
        <v>0</v>
      </c>
      <c r="R144" s="125"/>
      <c r="S144" s="77">
        <v>0</v>
      </c>
    </row>
    <row r="145" spans="1:26" ht="32.25" customHeight="1">
      <c r="A145" s="39"/>
      <c r="B145" s="41"/>
      <c r="C145" s="41"/>
      <c r="D145" s="42"/>
      <c r="E145" s="6"/>
      <c r="F145" s="43"/>
      <c r="G145" s="6"/>
      <c r="H145" s="42"/>
      <c r="I145" s="42"/>
      <c r="J145" s="309"/>
      <c r="K145" s="284"/>
      <c r="L145" s="285"/>
      <c r="M145" s="286"/>
      <c r="N145" s="5"/>
      <c r="O145" s="43"/>
      <c r="P145" s="47"/>
      <c r="Q145" s="6"/>
      <c r="R145" s="42"/>
      <c r="S145" s="100"/>
    </row>
    <row r="146" spans="1:26" ht="32.25" customHeight="1" thickBot="1">
      <c r="A146" s="39"/>
      <c r="B146" s="50" t="s">
        <v>19</v>
      </c>
      <c r="C146" s="50"/>
      <c r="D146" s="51">
        <f>SUM(D139:D145)</f>
        <v>33790.6</v>
      </c>
      <c r="E146" s="52"/>
      <c r="F146" s="53"/>
      <c r="G146" s="52"/>
      <c r="H146" s="51">
        <f>SUM(H139:H145)</f>
        <v>2730.0000000000005</v>
      </c>
      <c r="I146" s="51">
        <f>SUM(I139:I145)</f>
        <v>191.09999999999988</v>
      </c>
      <c r="J146" s="51">
        <f>SUM(J139:J145)</f>
        <v>2921.1000000000004</v>
      </c>
      <c r="K146" s="54"/>
      <c r="L146" s="55"/>
      <c r="M146" s="56">
        <f>SUM(M139:M144)</f>
        <v>33694.299999999996</v>
      </c>
      <c r="N146" s="57"/>
      <c r="O146" s="53"/>
      <c r="P146" s="51"/>
      <c r="Q146" s="51">
        <f>SUM(Q139:Q145)</f>
        <v>2820</v>
      </c>
      <c r="R146" s="51">
        <f t="shared" ref="R146:S146" si="6">SUM(R139:R145)</f>
        <v>197.4</v>
      </c>
      <c r="S146" s="51">
        <f t="shared" si="6"/>
        <v>3017.4</v>
      </c>
    </row>
    <row r="147" spans="1:26" ht="32.25" customHeight="1" thickTop="1">
      <c r="A147" s="39"/>
      <c r="B147" s="58" t="s">
        <v>198</v>
      </c>
      <c r="C147" s="59"/>
      <c r="D147" s="60"/>
      <c r="E147" s="61"/>
      <c r="F147" s="62"/>
      <c r="G147" s="63"/>
      <c r="H147" s="64"/>
      <c r="I147" s="64"/>
      <c r="J147" s="64"/>
      <c r="K147" s="65"/>
      <c r="L147" s="66"/>
      <c r="M147" s="67"/>
      <c r="N147" s="68"/>
      <c r="O147" s="62"/>
      <c r="P147" s="69"/>
      <c r="Q147" s="63"/>
      <c r="R147" s="63"/>
      <c r="S147" s="70"/>
    </row>
    <row r="148" spans="1:26" s="327" customFormat="1" ht="32.25" customHeight="1">
      <c r="A148" s="310">
        <v>1</v>
      </c>
      <c r="B148" s="311" t="s">
        <v>152</v>
      </c>
      <c r="C148" s="312"/>
      <c r="D148" s="305">
        <v>0</v>
      </c>
      <c r="E148" s="313"/>
      <c r="F148" s="314"/>
      <c r="G148" s="315"/>
      <c r="H148" s="316">
        <v>0</v>
      </c>
      <c r="I148" s="72">
        <v>0</v>
      </c>
      <c r="J148" s="317">
        <v>0</v>
      </c>
      <c r="K148" s="318"/>
      <c r="L148" s="319"/>
      <c r="M148" s="320"/>
      <c r="N148" s="313"/>
      <c r="O148" s="314"/>
      <c r="P148" s="321"/>
      <c r="Q148" s="322">
        <v>0</v>
      </c>
      <c r="R148" s="323"/>
      <c r="S148" s="324">
        <v>0</v>
      </c>
      <c r="T148" s="325" t="s">
        <v>199</v>
      </c>
      <c r="U148" s="326"/>
      <c r="V148" s="326"/>
      <c r="W148" s="326"/>
      <c r="X148" s="326"/>
      <c r="Y148" s="326"/>
      <c r="Z148" s="326"/>
    </row>
    <row r="149" spans="1:26" s="327" customFormat="1" ht="32.25" customHeight="1">
      <c r="A149" s="328">
        <v>2</v>
      </c>
      <c r="B149" s="329" t="s">
        <v>200</v>
      </c>
      <c r="C149" s="330"/>
      <c r="D149" s="331">
        <v>0</v>
      </c>
      <c r="E149" s="332"/>
      <c r="F149" s="333"/>
      <c r="G149" s="334"/>
      <c r="H149" s="335">
        <v>0</v>
      </c>
      <c r="I149" s="72">
        <v>0</v>
      </c>
      <c r="J149" s="317">
        <v>0</v>
      </c>
      <c r="K149" s="318"/>
      <c r="L149" s="319"/>
      <c r="M149" s="320"/>
      <c r="N149" s="313"/>
      <c r="O149" s="314"/>
      <c r="P149" s="321"/>
      <c r="Q149" s="322">
        <v>0</v>
      </c>
      <c r="R149" s="323"/>
      <c r="S149" s="324">
        <v>0</v>
      </c>
      <c r="T149" s="325"/>
      <c r="U149" s="326"/>
      <c r="V149" s="326"/>
      <c r="W149" s="326"/>
      <c r="X149" s="326"/>
      <c r="Y149" s="326"/>
      <c r="Z149" s="326"/>
    </row>
    <row r="150" spans="1:26" ht="32.25" customHeight="1">
      <c r="A150" s="39"/>
      <c r="B150" s="223" t="s">
        <v>201</v>
      </c>
      <c r="C150" s="224"/>
      <c r="D150" s="125">
        <v>0</v>
      </c>
      <c r="E150" s="131"/>
      <c r="F150" s="115"/>
      <c r="G150" s="131"/>
      <c r="H150" s="125">
        <v>0</v>
      </c>
      <c r="I150" s="125">
        <v>0</v>
      </c>
      <c r="J150" s="125">
        <v>0</v>
      </c>
      <c r="K150" s="209"/>
      <c r="L150" s="336"/>
      <c r="M150" s="36"/>
      <c r="N150" s="114"/>
      <c r="O150" s="115"/>
      <c r="P150" s="115"/>
      <c r="Q150" s="131">
        <v>0</v>
      </c>
      <c r="R150" s="131"/>
      <c r="S150" s="77">
        <v>0</v>
      </c>
    </row>
    <row r="151" spans="1:26" ht="32.25" customHeight="1">
      <c r="A151" s="39"/>
      <c r="B151" s="223" t="s">
        <v>202</v>
      </c>
      <c r="C151" s="224"/>
      <c r="D151" s="42">
        <v>0</v>
      </c>
      <c r="E151" s="6"/>
      <c r="F151" s="43"/>
      <c r="G151" s="6"/>
      <c r="H151" s="42">
        <v>0</v>
      </c>
      <c r="I151" s="42">
        <v>0</v>
      </c>
      <c r="J151" s="125">
        <v>0</v>
      </c>
      <c r="K151" s="44"/>
      <c r="L151" s="45"/>
      <c r="M151" s="46"/>
      <c r="N151" s="114"/>
      <c r="O151" s="115"/>
      <c r="P151" s="47"/>
      <c r="Q151" s="131">
        <v>0</v>
      </c>
      <c r="R151" s="131"/>
      <c r="S151" s="77">
        <v>0</v>
      </c>
    </row>
    <row r="152" spans="1:26" ht="32.25" customHeight="1">
      <c r="A152" s="337">
        <v>3</v>
      </c>
      <c r="B152" s="338" t="s">
        <v>130</v>
      </c>
      <c r="C152" s="339"/>
      <c r="D152" s="42">
        <v>0</v>
      </c>
      <c r="E152" s="6"/>
      <c r="F152" s="43"/>
      <c r="G152" s="6"/>
      <c r="H152" s="42">
        <v>0</v>
      </c>
      <c r="I152" s="42">
        <v>0</v>
      </c>
      <c r="J152" s="42">
        <v>0</v>
      </c>
      <c r="K152" s="284"/>
      <c r="L152" s="285"/>
      <c r="M152" s="286"/>
      <c r="N152" s="5"/>
      <c r="O152" s="43"/>
      <c r="P152" s="47"/>
      <c r="Q152" s="6">
        <v>0</v>
      </c>
      <c r="R152" s="6"/>
      <c r="S152" s="100">
        <v>0</v>
      </c>
    </row>
    <row r="153" spans="1:26" ht="32.25" customHeight="1">
      <c r="A153" s="337"/>
      <c r="B153" s="340" t="s">
        <v>205</v>
      </c>
      <c r="C153" s="339"/>
      <c r="D153" s="42">
        <v>0</v>
      </c>
      <c r="E153" s="6"/>
      <c r="F153" s="43"/>
      <c r="G153" s="6"/>
      <c r="H153" s="42">
        <v>0</v>
      </c>
      <c r="I153" s="42">
        <v>0</v>
      </c>
      <c r="J153" s="42">
        <v>0</v>
      </c>
      <c r="K153" s="284"/>
      <c r="L153" s="285"/>
      <c r="M153" s="286"/>
      <c r="N153" s="5"/>
      <c r="O153" s="43"/>
      <c r="P153" s="47"/>
      <c r="Q153" s="6">
        <v>0</v>
      </c>
      <c r="R153" s="6"/>
      <c r="S153" s="100">
        <v>0</v>
      </c>
    </row>
    <row r="154" spans="1:26" ht="32.25" customHeight="1">
      <c r="A154" s="337"/>
      <c r="B154" s="341" t="s">
        <v>363</v>
      </c>
      <c r="C154" s="342"/>
      <c r="D154" s="42">
        <v>0</v>
      </c>
      <c r="E154" s="6"/>
      <c r="F154" s="43"/>
      <c r="G154" s="6"/>
      <c r="H154" s="42">
        <v>0</v>
      </c>
      <c r="I154" s="42">
        <v>0</v>
      </c>
      <c r="J154" s="42">
        <v>0</v>
      </c>
      <c r="K154" s="284"/>
      <c r="L154" s="285"/>
      <c r="M154" s="286"/>
      <c r="N154" s="5"/>
      <c r="O154" s="43"/>
      <c r="P154" s="47"/>
      <c r="Q154" s="6">
        <v>0</v>
      </c>
      <c r="R154" s="6"/>
      <c r="S154" s="100">
        <v>0</v>
      </c>
    </row>
    <row r="155" spans="1:26" ht="32.25" customHeight="1">
      <c r="A155" s="337">
        <v>4</v>
      </c>
      <c r="B155" s="420" t="s">
        <v>364</v>
      </c>
      <c r="C155" s="421"/>
      <c r="D155" s="42">
        <v>0</v>
      </c>
      <c r="E155" s="6"/>
      <c r="F155" s="43"/>
      <c r="G155" s="6"/>
      <c r="H155" s="42"/>
      <c r="I155" s="42"/>
      <c r="J155" s="42"/>
      <c r="K155" s="284"/>
      <c r="L155" s="285"/>
      <c r="M155" s="286"/>
      <c r="N155" s="5"/>
      <c r="O155" s="43"/>
      <c r="P155" s="47"/>
      <c r="Q155" s="6">
        <v>0</v>
      </c>
      <c r="R155" s="6"/>
      <c r="S155" s="100">
        <v>0</v>
      </c>
    </row>
    <row r="156" spans="1:26" ht="32.25" customHeight="1">
      <c r="A156" s="337"/>
      <c r="B156" s="420" t="s">
        <v>367</v>
      </c>
      <c r="C156" s="421"/>
      <c r="D156" s="42">
        <v>0</v>
      </c>
      <c r="E156" s="6"/>
      <c r="F156" s="43"/>
      <c r="G156" s="6"/>
      <c r="H156" s="42"/>
      <c r="I156" s="42"/>
      <c r="J156" s="42"/>
      <c r="K156" s="284"/>
      <c r="L156" s="285"/>
      <c r="M156" s="286"/>
      <c r="N156" s="5"/>
      <c r="O156" s="43"/>
      <c r="P156" s="47"/>
      <c r="Q156" s="6">
        <v>0</v>
      </c>
      <c r="R156" s="6"/>
      <c r="S156" s="100">
        <v>0</v>
      </c>
    </row>
    <row r="157" spans="1:26" ht="32.25" customHeight="1">
      <c r="A157" s="337"/>
      <c r="B157" s="420" t="s">
        <v>368</v>
      </c>
      <c r="C157" s="421"/>
      <c r="D157" s="42">
        <v>0</v>
      </c>
      <c r="E157" s="6"/>
      <c r="F157" s="43"/>
      <c r="G157" s="6"/>
      <c r="H157" s="42"/>
      <c r="I157" s="42"/>
      <c r="J157" s="42"/>
      <c r="K157" s="284"/>
      <c r="L157" s="285"/>
      <c r="M157" s="286"/>
      <c r="N157" s="5"/>
      <c r="O157" s="43"/>
      <c r="P157" s="47"/>
      <c r="Q157" s="6">
        <v>0</v>
      </c>
      <c r="R157" s="6"/>
      <c r="S157" s="100">
        <v>0</v>
      </c>
    </row>
    <row r="158" spans="1:26" ht="32.25" customHeight="1">
      <c r="A158" s="337">
        <v>5</v>
      </c>
      <c r="B158" s="420" t="s">
        <v>369</v>
      </c>
      <c r="C158" s="421"/>
      <c r="D158" s="42">
        <v>0</v>
      </c>
      <c r="E158" s="6"/>
      <c r="F158" s="43"/>
      <c r="G158" s="6"/>
      <c r="H158" s="42"/>
      <c r="I158" s="42"/>
      <c r="J158" s="42"/>
      <c r="K158" s="284"/>
      <c r="L158" s="285"/>
      <c r="M158" s="286"/>
      <c r="N158" s="5"/>
      <c r="O158" s="43"/>
      <c r="P158" s="47"/>
      <c r="Q158" s="6">
        <v>0</v>
      </c>
      <c r="R158" s="6"/>
      <c r="S158" s="100">
        <v>0</v>
      </c>
    </row>
    <row r="159" spans="1:26" ht="32.25" customHeight="1">
      <c r="A159" s="337"/>
      <c r="B159" s="420" t="s">
        <v>367</v>
      </c>
      <c r="C159" s="421"/>
      <c r="D159" s="42">
        <v>0</v>
      </c>
      <c r="E159" s="6"/>
      <c r="F159" s="43"/>
      <c r="G159" s="6"/>
      <c r="H159" s="42"/>
      <c r="I159" s="42"/>
      <c r="J159" s="42"/>
      <c r="K159" s="284"/>
      <c r="L159" s="285"/>
      <c r="M159" s="286"/>
      <c r="N159" s="5"/>
      <c r="O159" s="43"/>
      <c r="P159" s="47"/>
      <c r="Q159" s="6">
        <v>0</v>
      </c>
      <c r="R159" s="6"/>
      <c r="S159" s="100">
        <v>0</v>
      </c>
    </row>
    <row r="160" spans="1:26" ht="32.25" customHeight="1">
      <c r="A160" s="337"/>
      <c r="B160" s="420" t="s">
        <v>372</v>
      </c>
      <c r="C160" s="421"/>
      <c r="D160" s="42">
        <v>0</v>
      </c>
      <c r="E160" s="6"/>
      <c r="F160" s="43"/>
      <c r="G160" s="6"/>
      <c r="H160" s="42"/>
      <c r="I160" s="42"/>
      <c r="J160" s="42"/>
      <c r="K160" s="284"/>
      <c r="L160" s="285"/>
      <c r="M160" s="286"/>
      <c r="N160" s="5"/>
      <c r="O160" s="43"/>
      <c r="P160" s="47"/>
      <c r="Q160" s="6">
        <v>0</v>
      </c>
      <c r="R160" s="6"/>
      <c r="S160" s="100">
        <v>0</v>
      </c>
    </row>
    <row r="161" spans="1:19" ht="32.25" customHeight="1">
      <c r="A161" s="337">
        <v>6</v>
      </c>
      <c r="B161" s="420" t="s">
        <v>373</v>
      </c>
      <c r="C161" s="421"/>
      <c r="D161" s="42">
        <v>0</v>
      </c>
      <c r="E161" s="6"/>
      <c r="F161" s="43"/>
      <c r="G161" s="6"/>
      <c r="H161" s="42"/>
      <c r="I161" s="42"/>
      <c r="J161" s="42"/>
      <c r="K161" s="284"/>
      <c r="L161" s="285"/>
      <c r="M161" s="286"/>
      <c r="N161" s="5"/>
      <c r="O161" s="43"/>
      <c r="P161" s="47"/>
      <c r="Q161" s="6">
        <v>0</v>
      </c>
      <c r="R161" s="6"/>
      <c r="S161" s="100">
        <v>0</v>
      </c>
    </row>
    <row r="162" spans="1:19" ht="32.25" customHeight="1">
      <c r="A162" s="337"/>
      <c r="B162" s="420" t="s">
        <v>367</v>
      </c>
      <c r="C162" s="421"/>
      <c r="D162" s="42">
        <v>0</v>
      </c>
      <c r="E162" s="6"/>
      <c r="F162" s="43"/>
      <c r="G162" s="6"/>
      <c r="H162" s="42"/>
      <c r="I162" s="42"/>
      <c r="J162" s="42"/>
      <c r="K162" s="284"/>
      <c r="L162" s="285"/>
      <c r="M162" s="286"/>
      <c r="N162" s="5"/>
      <c r="O162" s="43"/>
      <c r="P162" s="47"/>
      <c r="Q162" s="6">
        <v>0</v>
      </c>
      <c r="R162" s="6"/>
      <c r="S162" s="100">
        <v>0</v>
      </c>
    </row>
    <row r="163" spans="1:19" ht="32.25" customHeight="1">
      <c r="A163" s="337"/>
      <c r="B163" s="420" t="s">
        <v>375</v>
      </c>
      <c r="C163" s="421"/>
      <c r="D163" s="42">
        <v>0</v>
      </c>
      <c r="E163" s="6"/>
      <c r="F163" s="43"/>
      <c r="G163" s="6"/>
      <c r="H163" s="42"/>
      <c r="I163" s="42"/>
      <c r="J163" s="42"/>
      <c r="K163" s="284"/>
      <c r="L163" s="285"/>
      <c r="M163" s="286"/>
      <c r="N163" s="5"/>
      <c r="O163" s="43"/>
      <c r="P163" s="47"/>
      <c r="Q163" s="6">
        <v>0</v>
      </c>
      <c r="R163" s="6"/>
      <c r="S163" s="100">
        <v>0</v>
      </c>
    </row>
    <row r="164" spans="1:19" ht="32.25" customHeight="1">
      <c r="A164" s="337">
        <v>7</v>
      </c>
      <c r="B164" s="420" t="s">
        <v>376</v>
      </c>
      <c r="C164" s="421"/>
      <c r="D164" s="42">
        <v>0</v>
      </c>
      <c r="E164" s="6"/>
      <c r="F164" s="43"/>
      <c r="G164" s="6"/>
      <c r="H164" s="42"/>
      <c r="I164" s="42"/>
      <c r="J164" s="42"/>
      <c r="K164" s="284"/>
      <c r="L164" s="285"/>
      <c r="M164" s="286"/>
      <c r="N164" s="5"/>
      <c r="O164" s="43"/>
      <c r="P164" s="47"/>
      <c r="Q164" s="6">
        <v>0</v>
      </c>
      <c r="R164" s="6"/>
      <c r="S164" s="100">
        <v>0</v>
      </c>
    </row>
    <row r="165" spans="1:19" ht="32.25" customHeight="1">
      <c r="A165" s="337"/>
      <c r="B165" s="420" t="s">
        <v>367</v>
      </c>
      <c r="C165" s="421"/>
      <c r="D165" s="42">
        <v>0</v>
      </c>
      <c r="E165" s="6"/>
      <c r="F165" s="43"/>
      <c r="G165" s="6"/>
      <c r="H165" s="42"/>
      <c r="I165" s="42"/>
      <c r="J165" s="42"/>
      <c r="K165" s="284"/>
      <c r="L165" s="285"/>
      <c r="M165" s="286"/>
      <c r="N165" s="5"/>
      <c r="O165" s="43"/>
      <c r="P165" s="47"/>
      <c r="Q165" s="6">
        <v>0</v>
      </c>
      <c r="R165" s="6"/>
      <c r="S165" s="100">
        <v>0</v>
      </c>
    </row>
    <row r="166" spans="1:19" ht="32.25" customHeight="1">
      <c r="A166" s="337"/>
      <c r="B166" s="420" t="s">
        <v>378</v>
      </c>
      <c r="C166" s="421"/>
      <c r="D166" s="42">
        <v>0</v>
      </c>
      <c r="E166" s="6"/>
      <c r="F166" s="43"/>
      <c r="G166" s="6"/>
      <c r="H166" s="42"/>
      <c r="I166" s="42"/>
      <c r="J166" s="42"/>
      <c r="K166" s="284"/>
      <c r="L166" s="285"/>
      <c r="M166" s="286"/>
      <c r="N166" s="5"/>
      <c r="O166" s="43"/>
      <c r="P166" s="47"/>
      <c r="Q166" s="6">
        <v>0</v>
      </c>
      <c r="R166" s="6"/>
      <c r="S166" s="100">
        <v>0</v>
      </c>
    </row>
    <row r="167" spans="1:19" ht="32.25" customHeight="1">
      <c r="A167" s="337">
        <v>8</v>
      </c>
      <c r="B167" s="420" t="s">
        <v>379</v>
      </c>
      <c r="C167" s="421"/>
      <c r="D167" s="42">
        <v>0</v>
      </c>
      <c r="E167" s="6"/>
      <c r="F167" s="43"/>
      <c r="G167" s="6"/>
      <c r="H167" s="42"/>
      <c r="I167" s="42"/>
      <c r="J167" s="42"/>
      <c r="K167" s="284"/>
      <c r="L167" s="285"/>
      <c r="M167" s="286"/>
      <c r="N167" s="5"/>
      <c r="O167" s="43"/>
      <c r="P167" s="47"/>
      <c r="Q167" s="6">
        <v>0</v>
      </c>
      <c r="R167" s="6"/>
      <c r="S167" s="100">
        <v>0</v>
      </c>
    </row>
    <row r="168" spans="1:19" ht="32.25" customHeight="1">
      <c r="A168" s="337"/>
      <c r="B168" s="420" t="s">
        <v>367</v>
      </c>
      <c r="C168" s="421"/>
      <c r="D168" s="42">
        <v>0</v>
      </c>
      <c r="E168" s="6"/>
      <c r="F168" s="43"/>
      <c r="G168" s="6"/>
      <c r="H168" s="42"/>
      <c r="I168" s="42"/>
      <c r="J168" s="42"/>
      <c r="K168" s="284"/>
      <c r="L168" s="285"/>
      <c r="M168" s="286"/>
      <c r="N168" s="5"/>
      <c r="O168" s="43"/>
      <c r="P168" s="47"/>
      <c r="Q168" s="6">
        <v>0</v>
      </c>
      <c r="R168" s="6"/>
      <c r="S168" s="100">
        <v>0</v>
      </c>
    </row>
    <row r="169" spans="1:19" ht="32.25" customHeight="1">
      <c r="A169" s="337"/>
      <c r="B169" s="420"/>
      <c r="C169" s="421"/>
      <c r="D169" s="42">
        <v>0</v>
      </c>
      <c r="E169" s="6"/>
      <c r="F169" s="43"/>
      <c r="G169" s="6"/>
      <c r="H169" s="42"/>
      <c r="I169" s="42"/>
      <c r="J169" s="42"/>
      <c r="K169" s="284"/>
      <c r="L169" s="285"/>
      <c r="M169" s="286"/>
      <c r="N169" s="5"/>
      <c r="O169" s="43"/>
      <c r="P169" s="47"/>
      <c r="Q169" s="6">
        <v>0</v>
      </c>
      <c r="R169" s="6"/>
      <c r="S169" s="100">
        <v>0</v>
      </c>
    </row>
    <row r="170" spans="1:19" ht="32.25" customHeight="1">
      <c r="A170" s="337">
        <v>9</v>
      </c>
      <c r="B170" s="420" t="s">
        <v>380</v>
      </c>
      <c r="C170" s="421"/>
      <c r="D170" s="42">
        <v>0</v>
      </c>
      <c r="E170" s="6"/>
      <c r="F170" s="43"/>
      <c r="G170" s="6"/>
      <c r="H170" s="42"/>
      <c r="I170" s="42"/>
      <c r="J170" s="42"/>
      <c r="K170" s="284"/>
      <c r="L170" s="285"/>
      <c r="M170" s="286"/>
      <c r="N170" s="5"/>
      <c r="O170" s="43"/>
      <c r="P170" s="47"/>
      <c r="Q170" s="6">
        <v>0</v>
      </c>
      <c r="R170" s="6"/>
      <c r="S170" s="100">
        <v>0</v>
      </c>
    </row>
    <row r="171" spans="1:19" ht="32.25" customHeight="1">
      <c r="A171" s="337"/>
      <c r="B171" s="420" t="s">
        <v>367</v>
      </c>
      <c r="C171" s="421"/>
      <c r="D171" s="42">
        <v>0</v>
      </c>
      <c r="E171" s="6"/>
      <c r="F171" s="43"/>
      <c r="G171" s="6"/>
      <c r="H171" s="42"/>
      <c r="I171" s="42"/>
      <c r="J171" s="42"/>
      <c r="K171" s="284"/>
      <c r="L171" s="285"/>
      <c r="M171" s="286"/>
      <c r="N171" s="5"/>
      <c r="O171" s="43"/>
      <c r="P171" s="47"/>
      <c r="Q171" s="6">
        <v>0</v>
      </c>
      <c r="R171" s="6"/>
      <c r="S171" s="100">
        <v>0</v>
      </c>
    </row>
    <row r="172" spans="1:19" ht="32.25" customHeight="1">
      <c r="A172" s="337"/>
      <c r="B172" s="420" t="s">
        <v>382</v>
      </c>
      <c r="C172" s="421"/>
      <c r="D172" s="42">
        <v>0</v>
      </c>
      <c r="E172" s="6"/>
      <c r="F172" s="43"/>
      <c r="G172" s="6"/>
      <c r="H172" s="42"/>
      <c r="I172" s="42"/>
      <c r="J172" s="42"/>
      <c r="K172" s="284"/>
      <c r="L172" s="285"/>
      <c r="M172" s="286"/>
      <c r="N172" s="5"/>
      <c r="O172" s="43"/>
      <c r="P172" s="47"/>
      <c r="Q172" s="6">
        <v>0</v>
      </c>
      <c r="R172" s="6"/>
      <c r="S172" s="100">
        <v>0</v>
      </c>
    </row>
    <row r="173" spans="1:19" ht="32.25" customHeight="1">
      <c r="A173" s="337">
        <v>10</v>
      </c>
      <c r="B173" s="420" t="s">
        <v>383</v>
      </c>
      <c r="C173" s="421"/>
      <c r="D173" s="42">
        <v>0</v>
      </c>
      <c r="E173" s="6"/>
      <c r="F173" s="43"/>
      <c r="G173" s="6"/>
      <c r="H173" s="42"/>
      <c r="I173" s="42"/>
      <c r="J173" s="42"/>
      <c r="K173" s="284"/>
      <c r="L173" s="285"/>
      <c r="M173" s="286"/>
      <c r="N173" s="5"/>
      <c r="O173" s="43"/>
      <c r="P173" s="47"/>
      <c r="Q173" s="6">
        <v>0</v>
      </c>
      <c r="R173" s="6"/>
      <c r="S173" s="100">
        <v>0</v>
      </c>
    </row>
    <row r="174" spans="1:19" ht="32.25" customHeight="1">
      <c r="A174" s="337"/>
      <c r="B174" s="420" t="s">
        <v>367</v>
      </c>
      <c r="C174" s="421"/>
      <c r="D174" s="42">
        <v>0</v>
      </c>
      <c r="E174" s="6"/>
      <c r="F174" s="43"/>
      <c r="G174" s="6"/>
      <c r="H174" s="42"/>
      <c r="I174" s="42"/>
      <c r="J174" s="42"/>
      <c r="K174" s="284"/>
      <c r="L174" s="285"/>
      <c r="M174" s="286"/>
      <c r="N174" s="5"/>
      <c r="O174" s="43"/>
      <c r="P174" s="47"/>
      <c r="Q174" s="6">
        <v>0</v>
      </c>
      <c r="R174" s="6"/>
      <c r="S174" s="100">
        <v>0</v>
      </c>
    </row>
    <row r="175" spans="1:19" ht="32.25" customHeight="1">
      <c r="A175" s="337"/>
      <c r="B175" s="420" t="s">
        <v>385</v>
      </c>
      <c r="C175" s="421"/>
      <c r="D175" s="42">
        <v>0</v>
      </c>
      <c r="E175" s="6"/>
      <c r="F175" s="43"/>
      <c r="G175" s="6"/>
      <c r="H175" s="42"/>
      <c r="I175" s="42"/>
      <c r="J175" s="42"/>
      <c r="K175" s="284"/>
      <c r="L175" s="285"/>
      <c r="M175" s="286"/>
      <c r="N175" s="5"/>
      <c r="O175" s="43"/>
      <c r="P175" s="47"/>
      <c r="Q175" s="6">
        <v>0</v>
      </c>
      <c r="R175" s="6"/>
      <c r="S175" s="100">
        <v>0</v>
      </c>
    </row>
    <row r="176" spans="1:19" ht="32.25" customHeight="1">
      <c r="A176" s="337">
        <v>11</v>
      </c>
      <c r="B176" s="420" t="s">
        <v>386</v>
      </c>
      <c r="C176" s="421"/>
      <c r="D176" s="42">
        <v>0</v>
      </c>
      <c r="E176" s="6"/>
      <c r="F176" s="43"/>
      <c r="G176" s="6"/>
      <c r="H176" s="42"/>
      <c r="I176" s="42"/>
      <c r="J176" s="42"/>
      <c r="K176" s="284"/>
      <c r="L176" s="285"/>
      <c r="M176" s="286"/>
      <c r="N176" s="5"/>
      <c r="O176" s="43"/>
      <c r="P176" s="47"/>
      <c r="Q176" s="6">
        <v>0</v>
      </c>
      <c r="R176" s="6"/>
      <c r="S176" s="100">
        <v>0</v>
      </c>
    </row>
    <row r="177" spans="1:19" ht="32.25" customHeight="1">
      <c r="A177" s="337"/>
      <c r="B177" s="420" t="s">
        <v>367</v>
      </c>
      <c r="C177" s="421"/>
      <c r="D177" s="42">
        <v>0</v>
      </c>
      <c r="E177" s="6"/>
      <c r="F177" s="43"/>
      <c r="G177" s="6"/>
      <c r="H177" s="42"/>
      <c r="I177" s="42"/>
      <c r="J177" s="42"/>
      <c r="K177" s="284"/>
      <c r="L177" s="285"/>
      <c r="M177" s="286"/>
      <c r="N177" s="5"/>
      <c r="O177" s="43"/>
      <c r="P177" s="47"/>
      <c r="Q177" s="6">
        <v>0</v>
      </c>
      <c r="R177" s="6"/>
      <c r="S177" s="100">
        <v>0</v>
      </c>
    </row>
    <row r="178" spans="1:19" ht="32.25" customHeight="1" thickBot="1">
      <c r="A178" s="39"/>
      <c r="B178" s="50" t="s">
        <v>19</v>
      </c>
      <c r="C178" s="50"/>
      <c r="D178" s="51">
        <v>0</v>
      </c>
      <c r="E178" s="52"/>
      <c r="F178" s="53"/>
      <c r="G178" s="52"/>
      <c r="H178" s="51">
        <f>SUM(H148:H177)</f>
        <v>0</v>
      </c>
      <c r="I178" s="51">
        <f t="shared" ref="I178:M178" si="7">SUM(I148:I177)</f>
        <v>0</v>
      </c>
      <c r="J178" s="51">
        <f t="shared" si="7"/>
        <v>0</v>
      </c>
      <c r="K178" s="51">
        <f t="shared" si="7"/>
        <v>0</v>
      </c>
      <c r="L178" s="51">
        <f t="shared" si="7"/>
        <v>0</v>
      </c>
      <c r="M178" s="51">
        <f t="shared" si="7"/>
        <v>0</v>
      </c>
      <c r="N178" s="57"/>
      <c r="O178" s="53"/>
      <c r="P178" s="51"/>
      <c r="Q178" s="51">
        <v>0</v>
      </c>
      <c r="R178" s="51"/>
      <c r="S178" s="51">
        <v>0</v>
      </c>
    </row>
    <row r="179" spans="1:19" ht="32.25" customHeight="1" thickTop="1">
      <c r="A179" s="39"/>
      <c r="B179" s="58" t="s">
        <v>207</v>
      </c>
      <c r="C179" s="59"/>
      <c r="D179" s="60"/>
      <c r="E179" s="61"/>
      <c r="F179" s="62"/>
      <c r="G179" s="63"/>
      <c r="H179" s="64"/>
      <c r="I179" s="64"/>
      <c r="J179" s="64"/>
      <c r="K179" s="65"/>
      <c r="L179" s="66"/>
      <c r="M179" s="67"/>
      <c r="N179" s="68"/>
      <c r="O179" s="62"/>
      <c r="P179" s="69"/>
      <c r="Q179" s="63"/>
      <c r="R179" s="63"/>
      <c r="S179" s="70"/>
    </row>
    <row r="180" spans="1:19" ht="32.25" customHeight="1">
      <c r="A180" s="39">
        <v>1</v>
      </c>
      <c r="B180" s="40" t="s">
        <v>69</v>
      </c>
      <c r="C180" s="41" t="s">
        <v>208</v>
      </c>
      <c r="D180" s="42">
        <v>100</v>
      </c>
      <c r="E180" s="6"/>
      <c r="F180" s="43"/>
      <c r="G180" s="6"/>
      <c r="H180" s="42"/>
      <c r="I180" s="42"/>
      <c r="J180" s="42"/>
      <c r="K180" s="343" t="s">
        <v>407</v>
      </c>
      <c r="L180" s="344" t="s">
        <v>454</v>
      </c>
      <c r="M180" s="345">
        <v>100</v>
      </c>
      <c r="N180" s="5"/>
      <c r="O180" s="43"/>
      <c r="P180" s="47"/>
      <c r="Q180" s="48"/>
      <c r="R180" s="48"/>
      <c r="S180" s="49"/>
    </row>
    <row r="181" spans="1:19" ht="32.25" customHeight="1" thickBot="1">
      <c r="A181" s="39"/>
      <c r="B181" s="50" t="s">
        <v>19</v>
      </c>
      <c r="C181" s="50"/>
      <c r="D181" s="51">
        <v>100</v>
      </c>
      <c r="E181" s="52"/>
      <c r="F181" s="53"/>
      <c r="G181" s="52"/>
      <c r="H181" s="51">
        <v>0</v>
      </c>
      <c r="I181" s="51">
        <v>0</v>
      </c>
      <c r="J181" s="51">
        <v>0</v>
      </c>
      <c r="K181" s="54"/>
      <c r="L181" s="55"/>
      <c r="M181" s="56">
        <f>SUM(M180)</f>
        <v>100</v>
      </c>
      <c r="N181" s="57"/>
      <c r="O181" s="53"/>
      <c r="P181" s="51"/>
      <c r="Q181" s="51"/>
      <c r="R181" s="51"/>
      <c r="S181" s="51"/>
    </row>
    <row r="182" spans="1:19" ht="32.25" customHeight="1" thickTop="1">
      <c r="A182" s="39"/>
      <c r="B182" s="141" t="s">
        <v>210</v>
      </c>
      <c r="C182" s="142"/>
      <c r="D182" s="125"/>
      <c r="E182" s="131"/>
      <c r="F182" s="115"/>
      <c r="G182" s="33"/>
      <c r="H182" s="143"/>
      <c r="I182" s="143"/>
      <c r="J182" s="143"/>
      <c r="K182" s="34"/>
      <c r="L182" s="35"/>
      <c r="M182" s="36"/>
      <c r="N182" s="114"/>
      <c r="O182" s="115"/>
      <c r="P182" s="144"/>
      <c r="Q182" s="33"/>
      <c r="R182" s="33"/>
      <c r="S182" s="145"/>
    </row>
    <row r="183" spans="1:19" s="160" customFormat="1" ht="32.25" customHeight="1">
      <c r="A183" s="106">
        <v>1</v>
      </c>
      <c r="B183" s="142" t="s">
        <v>52</v>
      </c>
      <c r="C183" s="174" t="s">
        <v>211</v>
      </c>
      <c r="D183" s="151">
        <v>518</v>
      </c>
      <c r="E183" s="152" t="s">
        <v>57</v>
      </c>
      <c r="F183" s="346"/>
      <c r="G183" s="346"/>
      <c r="H183" s="153">
        <v>-259</v>
      </c>
      <c r="I183" s="346"/>
      <c r="J183" s="226">
        <v>-259</v>
      </c>
      <c r="K183" s="343" t="s">
        <v>489</v>
      </c>
      <c r="L183" s="277" t="s">
        <v>527</v>
      </c>
      <c r="M183" s="278">
        <v>518</v>
      </c>
      <c r="N183" s="347" t="s">
        <v>57</v>
      </c>
      <c r="O183" s="348"/>
      <c r="P183" s="280"/>
      <c r="Q183" s="153">
        <f>SUM(D183+J183-M183)</f>
        <v>-259</v>
      </c>
      <c r="R183" s="153"/>
      <c r="S183" s="159">
        <f>SUM(Q183)</f>
        <v>-259</v>
      </c>
    </row>
    <row r="184" spans="1:19" s="160" customFormat="1" ht="32.25" customHeight="1">
      <c r="A184" s="106">
        <v>2</v>
      </c>
      <c r="B184" s="161" t="s">
        <v>213</v>
      </c>
      <c r="C184" s="349" t="s">
        <v>214</v>
      </c>
      <c r="D184" s="151">
        <v>0</v>
      </c>
      <c r="E184" s="163"/>
      <c r="F184" s="122"/>
      <c r="G184" s="122"/>
      <c r="H184" s="91">
        <v>0</v>
      </c>
      <c r="I184" s="122"/>
      <c r="J184" s="132">
        <v>0</v>
      </c>
      <c r="K184" s="343"/>
      <c r="L184" s="350"/>
      <c r="M184" s="351"/>
      <c r="N184" s="352"/>
      <c r="O184" s="348"/>
      <c r="P184" s="280"/>
      <c r="Q184" s="153">
        <f t="shared" ref="Q184:Q226" si="8">SUM(D184+J184-M184)</f>
        <v>0</v>
      </c>
      <c r="R184" s="153"/>
      <c r="S184" s="159">
        <f t="shared" ref="S184:S226" si="9">SUM(Q184)</f>
        <v>0</v>
      </c>
    </row>
    <row r="185" spans="1:19" s="160" customFormat="1" ht="32.25" customHeight="1">
      <c r="A185" s="106">
        <v>3</v>
      </c>
      <c r="B185" s="142" t="s">
        <v>60</v>
      </c>
      <c r="C185" s="174" t="s">
        <v>215</v>
      </c>
      <c r="D185" s="151">
        <v>259</v>
      </c>
      <c r="E185" s="163"/>
      <c r="F185" s="122"/>
      <c r="G185" s="122"/>
      <c r="H185" s="91">
        <v>0</v>
      </c>
      <c r="I185" s="122"/>
      <c r="J185" s="132">
        <v>0</v>
      </c>
      <c r="K185" s="343" t="s">
        <v>491</v>
      </c>
      <c r="L185" s="277" t="s">
        <v>528</v>
      </c>
      <c r="M185" s="278">
        <v>259</v>
      </c>
      <c r="N185" s="352"/>
      <c r="O185" s="348"/>
      <c r="P185" s="280"/>
      <c r="Q185" s="153">
        <f t="shared" si="8"/>
        <v>0</v>
      </c>
      <c r="R185" s="153"/>
      <c r="S185" s="159">
        <f t="shared" si="9"/>
        <v>0</v>
      </c>
    </row>
    <row r="186" spans="1:19" s="160" customFormat="1" ht="32.25" customHeight="1">
      <c r="A186" s="106">
        <v>4</v>
      </c>
      <c r="B186" s="142" t="s">
        <v>27</v>
      </c>
      <c r="C186" s="174" t="s">
        <v>217</v>
      </c>
      <c r="D186" s="151">
        <v>259</v>
      </c>
      <c r="E186" s="163"/>
      <c r="F186" s="122"/>
      <c r="G186" s="122"/>
      <c r="H186" s="91">
        <v>0</v>
      </c>
      <c r="I186" s="122"/>
      <c r="J186" s="132">
        <v>0</v>
      </c>
      <c r="K186" s="343" t="s">
        <v>491</v>
      </c>
      <c r="L186" s="277" t="s">
        <v>529</v>
      </c>
      <c r="M186" s="278">
        <v>259</v>
      </c>
      <c r="N186" s="352"/>
      <c r="O186" s="348"/>
      <c r="P186" s="280"/>
      <c r="Q186" s="153">
        <f t="shared" si="8"/>
        <v>0</v>
      </c>
      <c r="R186" s="153"/>
      <c r="S186" s="159">
        <f t="shared" si="9"/>
        <v>0</v>
      </c>
    </row>
    <row r="187" spans="1:19" s="160" customFormat="1" ht="32.25" customHeight="1">
      <c r="A187" s="106">
        <v>5</v>
      </c>
      <c r="B187" s="168" t="s">
        <v>42</v>
      </c>
      <c r="C187" s="174" t="s">
        <v>219</v>
      </c>
      <c r="D187" s="125">
        <v>259</v>
      </c>
      <c r="E187" s="163"/>
      <c r="F187" s="122"/>
      <c r="G187" s="122"/>
      <c r="H187" s="91">
        <v>0</v>
      </c>
      <c r="I187" s="122"/>
      <c r="J187" s="132">
        <v>0</v>
      </c>
      <c r="K187" s="343" t="s">
        <v>491</v>
      </c>
      <c r="L187" s="277" t="s">
        <v>530</v>
      </c>
      <c r="M187" s="278">
        <v>259</v>
      </c>
      <c r="N187" s="352"/>
      <c r="O187" s="348"/>
      <c r="P187" s="280"/>
      <c r="Q187" s="153">
        <f t="shared" si="8"/>
        <v>0</v>
      </c>
      <c r="R187" s="153"/>
      <c r="S187" s="159">
        <f t="shared" si="9"/>
        <v>0</v>
      </c>
    </row>
    <row r="188" spans="1:19" s="160" customFormat="1" ht="32.25" customHeight="1">
      <c r="A188" s="106">
        <v>6</v>
      </c>
      <c r="B188" s="142" t="s">
        <v>69</v>
      </c>
      <c r="C188" s="174" t="s">
        <v>221</v>
      </c>
      <c r="D188" s="151">
        <v>259</v>
      </c>
      <c r="E188" s="163"/>
      <c r="F188" s="122"/>
      <c r="G188" s="122"/>
      <c r="H188" s="91">
        <v>0</v>
      </c>
      <c r="I188" s="122"/>
      <c r="J188" s="132">
        <v>0</v>
      </c>
      <c r="K188" s="343" t="s">
        <v>495</v>
      </c>
      <c r="L188" s="277" t="s">
        <v>531</v>
      </c>
      <c r="M188" s="278">
        <v>259</v>
      </c>
      <c r="N188" s="353"/>
      <c r="O188" s="348"/>
      <c r="P188" s="280"/>
      <c r="Q188" s="91">
        <f t="shared" si="8"/>
        <v>0</v>
      </c>
      <c r="R188" s="91"/>
      <c r="S188" s="77">
        <f t="shared" si="9"/>
        <v>0</v>
      </c>
    </row>
    <row r="189" spans="1:19" ht="32.25" customHeight="1">
      <c r="A189" s="106">
        <v>7</v>
      </c>
      <c r="B189" s="146" t="s">
        <v>75</v>
      </c>
      <c r="C189" s="173" t="s">
        <v>223</v>
      </c>
      <c r="D189" s="151"/>
      <c r="E189" s="163"/>
      <c r="F189" s="115"/>
      <c r="G189" s="115"/>
      <c r="H189" s="131">
        <v>0</v>
      </c>
      <c r="I189" s="115"/>
      <c r="J189" s="132">
        <v>0</v>
      </c>
      <c r="K189" s="356"/>
      <c r="L189" s="350"/>
      <c r="M189" s="351"/>
      <c r="N189" s="352"/>
      <c r="O189" s="348"/>
      <c r="P189" s="280"/>
      <c r="Q189" s="153">
        <f t="shared" si="8"/>
        <v>0</v>
      </c>
      <c r="R189" s="153"/>
      <c r="S189" s="159">
        <f t="shared" si="9"/>
        <v>0</v>
      </c>
    </row>
    <row r="190" spans="1:19" s="160" customFormat="1" ht="32.25" customHeight="1">
      <c r="A190" s="106">
        <v>8</v>
      </c>
      <c r="B190" s="142" t="s">
        <v>77</v>
      </c>
      <c r="C190" s="174" t="s">
        <v>224</v>
      </c>
      <c r="D190" s="151">
        <v>259</v>
      </c>
      <c r="E190" s="163"/>
      <c r="F190" s="122"/>
      <c r="G190" s="122"/>
      <c r="H190" s="91">
        <v>0</v>
      </c>
      <c r="I190" s="122"/>
      <c r="J190" s="132">
        <v>0</v>
      </c>
      <c r="K190" s="343" t="s">
        <v>472</v>
      </c>
      <c r="L190" s="277" t="s">
        <v>532</v>
      </c>
      <c r="M190" s="278">
        <v>259</v>
      </c>
      <c r="N190" s="352"/>
      <c r="O190" s="348"/>
      <c r="P190" s="280"/>
      <c r="Q190" s="153">
        <f t="shared" si="8"/>
        <v>0</v>
      </c>
      <c r="R190" s="153"/>
      <c r="S190" s="159">
        <f t="shared" si="9"/>
        <v>0</v>
      </c>
    </row>
    <row r="191" spans="1:19" s="160" customFormat="1" ht="32.25" customHeight="1">
      <c r="A191" s="106">
        <v>9</v>
      </c>
      <c r="B191" s="142" t="s">
        <v>77</v>
      </c>
      <c r="C191" s="174" t="s">
        <v>226</v>
      </c>
      <c r="D191" s="151">
        <v>259</v>
      </c>
      <c r="E191" s="163"/>
      <c r="F191" s="122"/>
      <c r="G191" s="122"/>
      <c r="H191" s="91">
        <v>0</v>
      </c>
      <c r="I191" s="122"/>
      <c r="J191" s="132">
        <v>0</v>
      </c>
      <c r="K191" s="343" t="s">
        <v>472</v>
      </c>
      <c r="L191" s="277" t="s">
        <v>532</v>
      </c>
      <c r="M191" s="278">
        <v>259</v>
      </c>
      <c r="N191" s="352"/>
      <c r="O191" s="348"/>
      <c r="P191" s="280"/>
      <c r="Q191" s="153">
        <f t="shared" si="8"/>
        <v>0</v>
      </c>
      <c r="R191" s="153"/>
      <c r="S191" s="159">
        <f t="shared" si="9"/>
        <v>0</v>
      </c>
    </row>
    <row r="192" spans="1:19" ht="32.25" customHeight="1">
      <c r="A192" s="106">
        <v>10</v>
      </c>
      <c r="B192" s="146" t="s">
        <v>75</v>
      </c>
      <c r="C192" s="173" t="s">
        <v>227</v>
      </c>
      <c r="D192" s="151"/>
      <c r="E192" s="163"/>
      <c r="F192" s="115"/>
      <c r="G192" s="115"/>
      <c r="H192" s="131">
        <v>0</v>
      </c>
      <c r="I192" s="115"/>
      <c r="J192" s="132">
        <v>0</v>
      </c>
      <c r="K192" s="356"/>
      <c r="L192" s="350"/>
      <c r="M192" s="351"/>
      <c r="N192" s="352"/>
      <c r="O192" s="348"/>
      <c r="P192" s="280"/>
      <c r="Q192" s="153">
        <f t="shared" si="8"/>
        <v>0</v>
      </c>
      <c r="R192" s="153"/>
      <c r="S192" s="159">
        <f t="shared" si="9"/>
        <v>0</v>
      </c>
    </row>
    <row r="193" spans="1:19" s="160" customFormat="1" ht="32.25" customHeight="1">
      <c r="A193" s="106">
        <v>11</v>
      </c>
      <c r="B193" s="142" t="s">
        <v>83</v>
      </c>
      <c r="C193" s="174" t="s">
        <v>228</v>
      </c>
      <c r="D193" s="151">
        <v>259</v>
      </c>
      <c r="E193" s="163"/>
      <c r="F193" s="122"/>
      <c r="G193" s="122"/>
      <c r="H193" s="91">
        <v>0</v>
      </c>
      <c r="I193" s="122"/>
      <c r="J193" s="132">
        <v>0</v>
      </c>
      <c r="K193" s="343" t="s">
        <v>491</v>
      </c>
      <c r="L193" s="277" t="s">
        <v>533</v>
      </c>
      <c r="M193" s="278">
        <v>259</v>
      </c>
      <c r="N193" s="352"/>
      <c r="O193" s="348"/>
      <c r="P193" s="280"/>
      <c r="Q193" s="153">
        <f t="shared" si="8"/>
        <v>0</v>
      </c>
      <c r="R193" s="153"/>
      <c r="S193" s="159">
        <f t="shared" si="9"/>
        <v>0</v>
      </c>
    </row>
    <row r="194" spans="1:19" s="160" customFormat="1" ht="32.25" customHeight="1">
      <c r="A194" s="106">
        <v>12</v>
      </c>
      <c r="B194" s="142" t="s">
        <v>87</v>
      </c>
      <c r="C194" s="174" t="s">
        <v>230</v>
      </c>
      <c r="D194" s="151">
        <v>259</v>
      </c>
      <c r="E194" s="163"/>
      <c r="F194" s="122"/>
      <c r="G194" s="122"/>
      <c r="H194" s="91">
        <v>0</v>
      </c>
      <c r="I194" s="122"/>
      <c r="J194" s="132">
        <v>0</v>
      </c>
      <c r="K194" s="343" t="s">
        <v>495</v>
      </c>
      <c r="L194" s="277" t="s">
        <v>534</v>
      </c>
      <c r="M194" s="278">
        <v>259</v>
      </c>
      <c r="N194" s="352"/>
      <c r="O194" s="348"/>
      <c r="P194" s="280"/>
      <c r="Q194" s="153">
        <f t="shared" si="8"/>
        <v>0</v>
      </c>
      <c r="R194" s="153"/>
      <c r="S194" s="159">
        <f t="shared" si="9"/>
        <v>0</v>
      </c>
    </row>
    <row r="195" spans="1:19" ht="32.25" customHeight="1">
      <c r="A195" s="357">
        <v>13</v>
      </c>
      <c r="B195" s="146" t="s">
        <v>75</v>
      </c>
      <c r="C195" s="173" t="s">
        <v>232</v>
      </c>
      <c r="D195" s="151"/>
      <c r="E195" s="163"/>
      <c r="F195" s="115"/>
      <c r="G195" s="115"/>
      <c r="H195" s="131">
        <v>0</v>
      </c>
      <c r="I195" s="115"/>
      <c r="J195" s="132">
        <v>0</v>
      </c>
      <c r="K195" s="358"/>
      <c r="L195" s="359"/>
      <c r="M195" s="360"/>
      <c r="N195" s="361"/>
      <c r="O195" s="362"/>
      <c r="P195" s="122"/>
      <c r="Q195" s="153">
        <f t="shared" si="8"/>
        <v>0</v>
      </c>
      <c r="R195" s="153"/>
      <c r="S195" s="159">
        <f t="shared" si="9"/>
        <v>0</v>
      </c>
    </row>
    <row r="196" spans="1:19" ht="32.25" customHeight="1">
      <c r="A196" s="106">
        <v>14</v>
      </c>
      <c r="B196" s="142" t="s">
        <v>92</v>
      </c>
      <c r="C196" s="174" t="s">
        <v>233</v>
      </c>
      <c r="D196" s="151"/>
      <c r="E196" s="163"/>
      <c r="F196" s="115"/>
      <c r="G196" s="115"/>
      <c r="H196" s="131">
        <v>0</v>
      </c>
      <c r="I196" s="115"/>
      <c r="J196" s="132">
        <v>0</v>
      </c>
      <c r="K196" s="358"/>
      <c r="L196" s="359"/>
      <c r="M196" s="360"/>
      <c r="N196" s="361"/>
      <c r="O196" s="362"/>
      <c r="P196" s="122"/>
      <c r="Q196" s="153">
        <f t="shared" si="8"/>
        <v>0</v>
      </c>
      <c r="R196" s="153"/>
      <c r="S196" s="159">
        <f t="shared" si="9"/>
        <v>0</v>
      </c>
    </row>
    <row r="197" spans="1:19" ht="32.25" customHeight="1">
      <c r="A197" s="106">
        <v>15</v>
      </c>
      <c r="B197" s="146" t="s">
        <v>75</v>
      </c>
      <c r="C197" s="173" t="s">
        <v>234</v>
      </c>
      <c r="D197" s="151">
        <v>0</v>
      </c>
      <c r="E197" s="163"/>
      <c r="F197" s="115"/>
      <c r="G197" s="115"/>
      <c r="H197" s="131">
        <v>0</v>
      </c>
      <c r="I197" s="115"/>
      <c r="J197" s="132">
        <v>0</v>
      </c>
      <c r="K197" s="358"/>
      <c r="L197" s="359"/>
      <c r="M197" s="360"/>
      <c r="N197" s="361"/>
      <c r="O197" s="362"/>
      <c r="P197" s="122"/>
      <c r="Q197" s="153">
        <f t="shared" si="8"/>
        <v>0</v>
      </c>
      <c r="R197" s="153"/>
      <c r="S197" s="159">
        <f t="shared" si="9"/>
        <v>0</v>
      </c>
    </row>
    <row r="198" spans="1:19" s="160" customFormat="1" ht="32.25" customHeight="1">
      <c r="A198" s="106">
        <v>16</v>
      </c>
      <c r="B198" s="142" t="s">
        <v>95</v>
      </c>
      <c r="C198" s="174" t="s">
        <v>235</v>
      </c>
      <c r="D198" s="151">
        <v>0</v>
      </c>
      <c r="E198" s="163"/>
      <c r="F198" s="122"/>
      <c r="G198" s="122"/>
      <c r="H198" s="91">
        <v>0</v>
      </c>
      <c r="I198" s="122"/>
      <c r="J198" s="132">
        <v>0</v>
      </c>
      <c r="K198" s="363"/>
      <c r="L198" s="363"/>
      <c r="M198" s="364"/>
      <c r="N198" s="361"/>
      <c r="O198" s="362"/>
      <c r="P198" s="122"/>
      <c r="Q198" s="153">
        <f t="shared" si="8"/>
        <v>0</v>
      </c>
      <c r="R198" s="153"/>
      <c r="S198" s="159">
        <f t="shared" si="9"/>
        <v>0</v>
      </c>
    </row>
    <row r="199" spans="1:19" s="160" customFormat="1" ht="32.25" customHeight="1">
      <c r="A199" s="106">
        <v>17</v>
      </c>
      <c r="B199" s="365" t="s">
        <v>236</v>
      </c>
      <c r="C199" s="174" t="s">
        <v>237</v>
      </c>
      <c r="D199" s="151">
        <v>0</v>
      </c>
      <c r="E199" s="163"/>
      <c r="F199" s="122"/>
      <c r="G199" s="122"/>
      <c r="H199" s="91">
        <v>0</v>
      </c>
      <c r="I199" s="122"/>
      <c r="J199" s="132">
        <v>0</v>
      </c>
      <c r="K199" s="358"/>
      <c r="L199" s="359"/>
      <c r="M199" s="360"/>
      <c r="N199" s="361"/>
      <c r="O199" s="362"/>
      <c r="P199" s="122"/>
      <c r="Q199" s="153">
        <f t="shared" si="8"/>
        <v>0</v>
      </c>
      <c r="R199" s="153"/>
      <c r="S199" s="159">
        <f t="shared" si="9"/>
        <v>0</v>
      </c>
    </row>
    <row r="200" spans="1:19" s="160" customFormat="1" ht="32.25" customHeight="1">
      <c r="A200" s="106">
        <v>18</v>
      </c>
      <c r="B200" s="142" t="s">
        <v>99</v>
      </c>
      <c r="C200" s="174" t="s">
        <v>238</v>
      </c>
      <c r="D200" s="151">
        <v>6750</v>
      </c>
      <c r="E200" s="163"/>
      <c r="F200" s="122"/>
      <c r="G200" s="122"/>
      <c r="H200" s="91">
        <v>0</v>
      </c>
      <c r="I200" s="122"/>
      <c r="J200" s="132">
        <v>0</v>
      </c>
      <c r="K200" s="343" t="s">
        <v>491</v>
      </c>
      <c r="L200" s="277" t="s">
        <v>535</v>
      </c>
      <c r="M200" s="278">
        <v>6750</v>
      </c>
      <c r="N200" s="361"/>
      <c r="O200" s="362"/>
      <c r="P200" s="122"/>
      <c r="Q200" s="153">
        <f t="shared" si="8"/>
        <v>0</v>
      </c>
      <c r="R200" s="153"/>
      <c r="S200" s="159">
        <f t="shared" si="9"/>
        <v>0</v>
      </c>
    </row>
    <row r="201" spans="1:19" s="160" customFormat="1" ht="32.25" customHeight="1">
      <c r="A201" s="106">
        <v>19</v>
      </c>
      <c r="B201" s="142" t="s">
        <v>141</v>
      </c>
      <c r="C201" s="193" t="s">
        <v>240</v>
      </c>
      <c r="D201" s="125">
        <v>114.5</v>
      </c>
      <c r="E201" s="152" t="s">
        <v>442</v>
      </c>
      <c r="F201" s="212">
        <v>1</v>
      </c>
      <c r="G201" s="213" t="s">
        <v>72</v>
      </c>
      <c r="H201" s="153">
        <v>114.5</v>
      </c>
      <c r="I201" s="125"/>
      <c r="J201" s="132">
        <v>114.5</v>
      </c>
      <c r="K201" s="363" t="s">
        <v>507</v>
      </c>
      <c r="L201" s="366" t="s">
        <v>536</v>
      </c>
      <c r="M201" s="367">
        <v>1374</v>
      </c>
      <c r="N201" s="368" t="s">
        <v>57</v>
      </c>
      <c r="O201" s="362"/>
      <c r="P201" s="221"/>
      <c r="Q201" s="153">
        <f t="shared" si="8"/>
        <v>-1145</v>
      </c>
      <c r="R201" s="153"/>
      <c r="S201" s="159">
        <f t="shared" si="9"/>
        <v>-1145</v>
      </c>
    </row>
    <row r="202" spans="1:19" s="160" customFormat="1" ht="32.25" customHeight="1">
      <c r="A202" s="106"/>
      <c r="B202" s="222" t="s">
        <v>241</v>
      </c>
      <c r="C202" s="193"/>
      <c r="D202" s="92"/>
      <c r="E202" s="239"/>
      <c r="F202" s="122"/>
      <c r="G202" s="217"/>
      <c r="H202" s="91">
        <v>0</v>
      </c>
      <c r="I202" s="92"/>
      <c r="J202" s="132">
        <v>0</v>
      </c>
      <c r="K202" s="363"/>
      <c r="L202" s="366"/>
      <c r="M202" s="367"/>
      <c r="N202" s="361"/>
      <c r="O202" s="362"/>
      <c r="P202" s="221"/>
      <c r="Q202" s="153">
        <f t="shared" si="8"/>
        <v>0</v>
      </c>
      <c r="R202" s="153"/>
      <c r="S202" s="159">
        <f t="shared" si="9"/>
        <v>0</v>
      </c>
    </row>
    <row r="203" spans="1:19" s="160" customFormat="1" ht="32.25" customHeight="1">
      <c r="A203" s="106"/>
      <c r="B203" s="222" t="s">
        <v>242</v>
      </c>
      <c r="C203" s="193"/>
      <c r="D203" s="92"/>
      <c r="E203" s="239"/>
      <c r="F203" s="122"/>
      <c r="G203" s="217"/>
      <c r="H203" s="91">
        <v>0</v>
      </c>
      <c r="I203" s="92"/>
      <c r="J203" s="132">
        <v>0</v>
      </c>
      <c r="K203" s="363"/>
      <c r="L203" s="366"/>
      <c r="M203" s="367"/>
      <c r="N203" s="361"/>
      <c r="O203" s="362"/>
      <c r="P203" s="221"/>
      <c r="Q203" s="153">
        <f t="shared" si="8"/>
        <v>0</v>
      </c>
      <c r="R203" s="153"/>
      <c r="S203" s="159">
        <f t="shared" si="9"/>
        <v>0</v>
      </c>
    </row>
    <row r="204" spans="1:19" ht="32.25" customHeight="1">
      <c r="A204" s="106">
        <v>20</v>
      </c>
      <c r="B204" s="222" t="s">
        <v>52</v>
      </c>
      <c r="C204" s="193" t="s">
        <v>243</v>
      </c>
      <c r="D204" s="92">
        <v>11.5</v>
      </c>
      <c r="E204" s="369" t="s">
        <v>442</v>
      </c>
      <c r="F204" s="346">
        <v>1</v>
      </c>
      <c r="G204" s="213" t="s">
        <v>72</v>
      </c>
      <c r="H204" s="153">
        <v>11.5</v>
      </c>
      <c r="I204" s="370"/>
      <c r="J204" s="226">
        <v>11.5</v>
      </c>
      <c r="K204" s="358" t="s">
        <v>509</v>
      </c>
      <c r="L204" s="359" t="s">
        <v>537</v>
      </c>
      <c r="M204" s="371">
        <v>138</v>
      </c>
      <c r="N204" s="368" t="s">
        <v>57</v>
      </c>
      <c r="O204" s="362"/>
      <c r="P204" s="221"/>
      <c r="Q204" s="153">
        <f t="shared" si="8"/>
        <v>-115</v>
      </c>
      <c r="R204" s="153"/>
      <c r="S204" s="159">
        <f t="shared" si="9"/>
        <v>-115</v>
      </c>
    </row>
    <row r="205" spans="1:19" ht="32.25" customHeight="1">
      <c r="A205" s="116"/>
      <c r="B205" s="222" t="s">
        <v>244</v>
      </c>
      <c r="C205" s="193"/>
      <c r="D205" s="92"/>
      <c r="E205" s="239"/>
      <c r="F205" s="122"/>
      <c r="G205" s="217"/>
      <c r="H205" s="91">
        <v>0</v>
      </c>
      <c r="I205" s="92"/>
      <c r="J205" s="132">
        <v>0</v>
      </c>
      <c r="K205" s="358"/>
      <c r="L205" s="359"/>
      <c r="M205" s="371"/>
      <c r="N205" s="361"/>
      <c r="O205" s="362"/>
      <c r="P205" s="221"/>
      <c r="Q205" s="153">
        <f t="shared" si="8"/>
        <v>0</v>
      </c>
      <c r="R205" s="153"/>
      <c r="S205" s="159">
        <f t="shared" si="9"/>
        <v>0</v>
      </c>
    </row>
    <row r="206" spans="1:19" ht="32.25" customHeight="1">
      <c r="A206" s="116"/>
      <c r="B206" s="222" t="s">
        <v>245</v>
      </c>
      <c r="C206" s="193"/>
      <c r="D206" s="92"/>
      <c r="E206" s="239"/>
      <c r="F206" s="122"/>
      <c r="G206" s="91"/>
      <c r="H206" s="91">
        <v>0</v>
      </c>
      <c r="I206" s="92"/>
      <c r="J206" s="132">
        <v>0</v>
      </c>
      <c r="K206" s="372"/>
      <c r="L206" s="359"/>
      <c r="M206" s="371"/>
      <c r="N206" s="361"/>
      <c r="O206" s="362"/>
      <c r="P206" s="92"/>
      <c r="Q206" s="153">
        <f t="shared" si="8"/>
        <v>0</v>
      </c>
      <c r="R206" s="153"/>
      <c r="S206" s="159">
        <f t="shared" si="9"/>
        <v>0</v>
      </c>
    </row>
    <row r="207" spans="1:19" ht="32.25" customHeight="1">
      <c r="A207" s="106">
        <v>21</v>
      </c>
      <c r="B207" s="222" t="s">
        <v>152</v>
      </c>
      <c r="C207" s="193" t="s">
        <v>246</v>
      </c>
      <c r="D207" s="125">
        <v>70.42</v>
      </c>
      <c r="E207" s="163" t="s">
        <v>57</v>
      </c>
      <c r="F207" s="115"/>
      <c r="G207" s="91"/>
      <c r="H207" s="91">
        <v>-422.48000000000013</v>
      </c>
      <c r="I207" s="125"/>
      <c r="J207" s="132">
        <v>-422.48000000000013</v>
      </c>
      <c r="K207" s="372"/>
      <c r="L207" s="373"/>
      <c r="M207" s="371"/>
      <c r="N207" s="374" t="s">
        <v>57</v>
      </c>
      <c r="O207" s="362"/>
      <c r="P207" s="92"/>
      <c r="Q207" s="153">
        <f t="shared" si="8"/>
        <v>-352.06000000000012</v>
      </c>
      <c r="R207" s="91"/>
      <c r="S207" s="159">
        <f t="shared" si="9"/>
        <v>-352.06000000000012</v>
      </c>
    </row>
    <row r="208" spans="1:19" ht="32.25" customHeight="1">
      <c r="A208" s="106"/>
      <c r="B208" s="664" t="s">
        <v>247</v>
      </c>
      <c r="C208" s="665"/>
      <c r="D208" s="92"/>
      <c r="E208" s="239"/>
      <c r="F208" s="122"/>
      <c r="G208" s="91"/>
      <c r="H208" s="91">
        <v>0</v>
      </c>
      <c r="I208" s="92"/>
      <c r="J208" s="132">
        <v>0</v>
      </c>
      <c r="K208" s="359"/>
      <c r="L208" s="358"/>
      <c r="M208" s="371"/>
      <c r="N208" s="361"/>
      <c r="O208" s="362"/>
      <c r="P208" s="92"/>
      <c r="Q208" s="153">
        <f t="shared" si="8"/>
        <v>0</v>
      </c>
      <c r="R208" s="91"/>
      <c r="S208" s="159">
        <f t="shared" si="9"/>
        <v>0</v>
      </c>
    </row>
    <row r="209" spans="1:19" ht="32.25" customHeight="1">
      <c r="A209" s="106"/>
      <c r="B209" s="652" t="s">
        <v>248</v>
      </c>
      <c r="C209" s="654"/>
      <c r="D209" s="92"/>
      <c r="E209" s="239"/>
      <c r="F209" s="122"/>
      <c r="G209" s="91"/>
      <c r="H209" s="91">
        <v>0</v>
      </c>
      <c r="I209" s="92"/>
      <c r="J209" s="132">
        <v>0</v>
      </c>
      <c r="K209" s="359"/>
      <c r="L209" s="358"/>
      <c r="M209" s="371"/>
      <c r="N209" s="361"/>
      <c r="O209" s="362"/>
      <c r="P209" s="92"/>
      <c r="Q209" s="153">
        <f t="shared" si="8"/>
        <v>0</v>
      </c>
      <c r="R209" s="91"/>
      <c r="S209" s="159">
        <f t="shared" si="9"/>
        <v>0</v>
      </c>
    </row>
    <row r="210" spans="1:19" ht="32.25" customHeight="1">
      <c r="A210" s="106"/>
      <c r="B210" s="375" t="s">
        <v>249</v>
      </c>
      <c r="C210" s="376"/>
      <c r="D210" s="377"/>
      <c r="E210" s="378"/>
      <c r="F210" s="194"/>
      <c r="G210" s="195"/>
      <c r="H210" s="195">
        <v>0</v>
      </c>
      <c r="I210" s="377"/>
      <c r="J210" s="379">
        <v>0</v>
      </c>
      <c r="K210" s="359"/>
      <c r="L210" s="358"/>
      <c r="M210" s="371"/>
      <c r="N210" s="361"/>
      <c r="O210" s="362"/>
      <c r="P210" s="92"/>
      <c r="Q210" s="153">
        <f t="shared" si="8"/>
        <v>0</v>
      </c>
      <c r="R210" s="91"/>
      <c r="S210" s="159">
        <f t="shared" si="9"/>
        <v>0</v>
      </c>
    </row>
    <row r="211" spans="1:19" ht="32.25" customHeight="1">
      <c r="A211" s="106">
        <v>22</v>
      </c>
      <c r="B211" s="222" t="s">
        <v>130</v>
      </c>
      <c r="C211" s="193" t="s">
        <v>250</v>
      </c>
      <c r="D211" s="92">
        <v>0</v>
      </c>
      <c r="E211" s="239"/>
      <c r="F211" s="122"/>
      <c r="G211" s="91"/>
      <c r="H211" s="91">
        <v>0</v>
      </c>
      <c r="I211" s="92"/>
      <c r="J211" s="132">
        <v>0</v>
      </c>
      <c r="K211" s="380"/>
      <c r="L211" s="381"/>
      <c r="M211" s="382"/>
      <c r="N211" s="2"/>
      <c r="O211" s="362"/>
      <c r="P211" s="92"/>
      <c r="Q211" s="153">
        <f t="shared" si="8"/>
        <v>0</v>
      </c>
      <c r="R211" s="91"/>
      <c r="S211" s="159">
        <f t="shared" si="9"/>
        <v>0</v>
      </c>
    </row>
    <row r="212" spans="1:19" ht="32.25" customHeight="1">
      <c r="A212" s="116"/>
      <c r="B212" s="222" t="s">
        <v>251</v>
      </c>
      <c r="C212" s="193"/>
      <c r="D212" s="92"/>
      <c r="E212" s="239"/>
      <c r="F212" s="122"/>
      <c r="G212" s="91"/>
      <c r="H212" s="91">
        <v>0</v>
      </c>
      <c r="I212" s="92"/>
      <c r="J212" s="132">
        <v>0</v>
      </c>
      <c r="K212" s="372"/>
      <c r="L212" s="359"/>
      <c r="M212" s="371"/>
      <c r="N212" s="361"/>
      <c r="O212" s="362"/>
      <c r="P212" s="92"/>
      <c r="Q212" s="153">
        <f t="shared" si="8"/>
        <v>0</v>
      </c>
      <c r="R212" s="383"/>
      <c r="S212" s="159">
        <f t="shared" si="9"/>
        <v>0</v>
      </c>
    </row>
    <row r="213" spans="1:19" ht="32.25" customHeight="1">
      <c r="A213" s="116"/>
      <c r="B213" s="222" t="s">
        <v>253</v>
      </c>
      <c r="C213" s="193"/>
      <c r="D213" s="92"/>
      <c r="E213" s="239"/>
      <c r="F213" s="122"/>
      <c r="G213" s="91"/>
      <c r="H213" s="91">
        <v>0</v>
      </c>
      <c r="I213" s="92"/>
      <c r="J213" s="132">
        <v>0</v>
      </c>
      <c r="K213" s="372"/>
      <c r="L213" s="359"/>
      <c r="M213" s="371"/>
      <c r="N213" s="361"/>
      <c r="O213" s="362"/>
      <c r="P213" s="92"/>
      <c r="Q213" s="153">
        <f t="shared" si="8"/>
        <v>0</v>
      </c>
      <c r="R213" s="383"/>
      <c r="S213" s="159">
        <f t="shared" si="9"/>
        <v>0</v>
      </c>
    </row>
    <row r="214" spans="1:19" ht="32.25" customHeight="1">
      <c r="A214" s="116"/>
      <c r="B214" s="222" t="s">
        <v>255</v>
      </c>
      <c r="C214" s="193"/>
      <c r="D214" s="92">
        <v>25.83</v>
      </c>
      <c r="E214" s="239" t="s">
        <v>57</v>
      </c>
      <c r="F214" s="122"/>
      <c r="G214" s="91"/>
      <c r="H214" s="91">
        <v>-232.51000000000005</v>
      </c>
      <c r="I214" s="92"/>
      <c r="J214" s="132">
        <v>-232.51000000000005</v>
      </c>
      <c r="K214" s="372"/>
      <c r="L214" s="359"/>
      <c r="M214" s="371"/>
      <c r="N214" s="361" t="s">
        <v>57</v>
      </c>
      <c r="O214" s="362"/>
      <c r="P214" s="92"/>
      <c r="Q214" s="153">
        <f t="shared" si="8"/>
        <v>-206.68000000000006</v>
      </c>
      <c r="R214" s="383"/>
      <c r="S214" s="159">
        <f t="shared" si="9"/>
        <v>-206.68000000000006</v>
      </c>
    </row>
    <row r="215" spans="1:19" ht="32.25" customHeight="1">
      <c r="A215" s="116"/>
      <c r="B215" s="222" t="s">
        <v>257</v>
      </c>
      <c r="C215" s="193"/>
      <c r="D215" s="92"/>
      <c r="E215" s="239"/>
      <c r="F215" s="122"/>
      <c r="G215" s="91"/>
      <c r="H215" s="91">
        <v>0</v>
      </c>
      <c r="I215" s="92"/>
      <c r="J215" s="132">
        <v>0</v>
      </c>
      <c r="K215" s="372"/>
      <c r="L215" s="359"/>
      <c r="M215" s="371"/>
      <c r="N215" s="361"/>
      <c r="O215" s="362"/>
      <c r="P215" s="92"/>
      <c r="Q215" s="153">
        <f t="shared" si="8"/>
        <v>0</v>
      </c>
      <c r="R215" s="383"/>
      <c r="S215" s="159">
        <f t="shared" si="9"/>
        <v>0</v>
      </c>
    </row>
    <row r="216" spans="1:19" ht="32.25" customHeight="1">
      <c r="A216" s="116">
        <v>23</v>
      </c>
      <c r="B216" s="142" t="s">
        <v>145</v>
      </c>
      <c r="C216" s="193" t="s">
        <v>258</v>
      </c>
      <c r="D216" s="92">
        <v>29.17</v>
      </c>
      <c r="E216" s="239" t="s">
        <v>57</v>
      </c>
      <c r="F216" s="122"/>
      <c r="G216" s="91"/>
      <c r="H216" s="91">
        <v>-58.29999999999994</v>
      </c>
      <c r="I216" s="92"/>
      <c r="J216" s="132">
        <v>-58.29999999999994</v>
      </c>
      <c r="K216" s="372"/>
      <c r="L216" s="359"/>
      <c r="M216" s="371"/>
      <c r="N216" s="361" t="s">
        <v>57</v>
      </c>
      <c r="O216" s="362"/>
      <c r="P216" s="92"/>
      <c r="Q216" s="153">
        <f t="shared" si="8"/>
        <v>-29.129999999999939</v>
      </c>
      <c r="R216" s="153"/>
      <c r="S216" s="159">
        <f t="shared" si="9"/>
        <v>-29.129999999999939</v>
      </c>
    </row>
    <row r="217" spans="1:19" ht="32.25" customHeight="1">
      <c r="A217" s="116"/>
      <c r="B217" s="384" t="s">
        <v>259</v>
      </c>
      <c r="C217" s="385"/>
      <c r="D217" s="386"/>
      <c r="E217" s="387"/>
      <c r="F217" s="388"/>
      <c r="G217" s="389"/>
      <c r="H217" s="389">
        <v>0</v>
      </c>
      <c r="I217" s="92"/>
      <c r="J217" s="132">
        <v>0</v>
      </c>
      <c r="K217" s="372"/>
      <c r="L217" s="359"/>
      <c r="M217" s="371"/>
      <c r="N217" s="361"/>
      <c r="O217" s="362"/>
      <c r="P217" s="92"/>
      <c r="Q217" s="153">
        <f t="shared" si="8"/>
        <v>0</v>
      </c>
      <c r="R217" s="153"/>
      <c r="S217" s="159">
        <f t="shared" si="9"/>
        <v>0</v>
      </c>
    </row>
    <row r="218" spans="1:19" ht="32.25" customHeight="1">
      <c r="A218" s="116"/>
      <c r="B218" s="384" t="s">
        <v>260</v>
      </c>
      <c r="C218" s="385"/>
      <c r="D218" s="386"/>
      <c r="E218" s="387"/>
      <c r="F218" s="388"/>
      <c r="G218" s="389"/>
      <c r="H218" s="389">
        <v>0</v>
      </c>
      <c r="I218" s="92"/>
      <c r="J218" s="132">
        <v>0</v>
      </c>
      <c r="K218" s="372"/>
      <c r="L218" s="359"/>
      <c r="M218" s="371"/>
      <c r="N218" s="361"/>
      <c r="O218" s="362"/>
      <c r="P218" s="92"/>
      <c r="Q218" s="153">
        <f t="shared" si="8"/>
        <v>0</v>
      </c>
      <c r="R218" s="153"/>
      <c r="S218" s="159">
        <f t="shared" si="9"/>
        <v>0</v>
      </c>
    </row>
    <row r="219" spans="1:19" ht="32.25" customHeight="1">
      <c r="A219" s="116">
        <v>24</v>
      </c>
      <c r="B219" s="142" t="s">
        <v>158</v>
      </c>
      <c r="C219" s="390" t="s">
        <v>261</v>
      </c>
      <c r="D219" s="92">
        <v>24.17</v>
      </c>
      <c r="E219" s="239" t="s">
        <v>57</v>
      </c>
      <c r="F219" s="122"/>
      <c r="G219" s="91"/>
      <c r="H219" s="91">
        <v>-169.14999999999998</v>
      </c>
      <c r="I219" s="92"/>
      <c r="J219" s="132">
        <v>-169.14999999999998</v>
      </c>
      <c r="K219" s="372"/>
      <c r="L219" s="359"/>
      <c r="M219" s="371"/>
      <c r="N219" s="361" t="s">
        <v>57</v>
      </c>
      <c r="O219" s="362"/>
      <c r="P219" s="92"/>
      <c r="Q219" s="153">
        <f t="shared" si="8"/>
        <v>-144.97999999999996</v>
      </c>
      <c r="R219" s="354"/>
      <c r="S219" s="159">
        <f t="shared" si="9"/>
        <v>-144.97999999999996</v>
      </c>
    </row>
    <row r="220" spans="1:19" ht="32.25" customHeight="1">
      <c r="A220" s="116"/>
      <c r="B220" s="275" t="s">
        <v>262</v>
      </c>
      <c r="C220" s="390"/>
      <c r="D220" s="92"/>
      <c r="E220" s="239"/>
      <c r="F220" s="122"/>
      <c r="G220" s="91"/>
      <c r="H220" s="91">
        <v>0</v>
      </c>
      <c r="I220" s="92"/>
      <c r="J220" s="132">
        <v>0</v>
      </c>
      <c r="K220" s="372"/>
      <c r="L220" s="359"/>
      <c r="M220" s="371"/>
      <c r="N220" s="361"/>
      <c r="O220" s="362"/>
      <c r="P220" s="92"/>
      <c r="Q220" s="153">
        <f t="shared" si="8"/>
        <v>0</v>
      </c>
      <c r="R220" s="354"/>
      <c r="S220" s="159">
        <f t="shared" si="9"/>
        <v>0</v>
      </c>
    </row>
    <row r="221" spans="1:19" ht="32.25" customHeight="1">
      <c r="A221" s="116"/>
      <c r="B221" s="275" t="s">
        <v>263</v>
      </c>
      <c r="C221" s="390"/>
      <c r="D221" s="92"/>
      <c r="E221" s="239"/>
      <c r="F221" s="122"/>
      <c r="G221" s="91"/>
      <c r="H221" s="91">
        <v>0</v>
      </c>
      <c r="I221" s="92"/>
      <c r="J221" s="132">
        <v>0</v>
      </c>
      <c r="K221" s="372"/>
      <c r="L221" s="359"/>
      <c r="M221" s="371"/>
      <c r="N221" s="361"/>
      <c r="O221" s="362"/>
      <c r="P221" s="92"/>
      <c r="Q221" s="153">
        <f t="shared" si="8"/>
        <v>0</v>
      </c>
      <c r="R221" s="354"/>
      <c r="S221" s="159">
        <f t="shared" si="9"/>
        <v>0</v>
      </c>
    </row>
    <row r="222" spans="1:19" ht="32.25" customHeight="1">
      <c r="A222" s="116"/>
      <c r="B222" s="275" t="s">
        <v>264</v>
      </c>
      <c r="C222" s="390"/>
      <c r="D222" s="92">
        <v>0</v>
      </c>
      <c r="E222" s="239"/>
      <c r="F222" s="122"/>
      <c r="G222" s="91"/>
      <c r="H222" s="91">
        <v>0</v>
      </c>
      <c r="I222" s="92"/>
      <c r="J222" s="132">
        <v>0</v>
      </c>
      <c r="K222" s="372"/>
      <c r="L222" s="359"/>
      <c r="M222" s="371"/>
      <c r="N222" s="361"/>
      <c r="O222" s="362"/>
      <c r="P222" s="92"/>
      <c r="Q222" s="153">
        <f t="shared" si="8"/>
        <v>0</v>
      </c>
      <c r="R222" s="354"/>
      <c r="S222" s="159">
        <f t="shared" si="9"/>
        <v>0</v>
      </c>
    </row>
    <row r="223" spans="1:19" ht="32.25" customHeight="1">
      <c r="A223" s="116"/>
      <c r="B223" s="275" t="s">
        <v>265</v>
      </c>
      <c r="C223" s="390"/>
      <c r="D223" s="92">
        <v>0</v>
      </c>
      <c r="E223" s="2"/>
      <c r="F223" s="2"/>
      <c r="G223" s="2"/>
      <c r="H223" s="2">
        <v>0</v>
      </c>
      <c r="J223" s="2">
        <v>0</v>
      </c>
      <c r="K223" s="372"/>
      <c r="L223" s="359"/>
      <c r="M223" s="371"/>
      <c r="N223" s="361"/>
      <c r="O223" s="362"/>
      <c r="P223" s="92"/>
      <c r="Q223" s="153">
        <f t="shared" si="8"/>
        <v>0</v>
      </c>
      <c r="R223" s="354"/>
      <c r="S223" s="159">
        <f t="shared" si="9"/>
        <v>0</v>
      </c>
    </row>
    <row r="224" spans="1:19" ht="32.25" customHeight="1">
      <c r="A224" s="116"/>
      <c r="B224" s="142" t="s">
        <v>266</v>
      </c>
      <c r="C224" s="390"/>
      <c r="D224" s="92"/>
      <c r="E224" s="239"/>
      <c r="F224" s="122"/>
      <c r="G224" s="91"/>
      <c r="H224" s="91">
        <v>0</v>
      </c>
      <c r="I224" s="92"/>
      <c r="J224" s="132">
        <v>0</v>
      </c>
      <c r="K224" s="372"/>
      <c r="L224" s="359"/>
      <c r="M224" s="371"/>
      <c r="N224" s="361"/>
      <c r="O224" s="362"/>
      <c r="P224" s="92"/>
      <c r="Q224" s="153">
        <f t="shared" si="8"/>
        <v>0</v>
      </c>
      <c r="R224" s="153"/>
      <c r="S224" s="159">
        <f t="shared" si="9"/>
        <v>0</v>
      </c>
    </row>
    <row r="225" spans="1:19" ht="32.25" customHeight="1">
      <c r="A225" s="116"/>
      <c r="B225" s="142" t="s">
        <v>267</v>
      </c>
      <c r="C225" s="390"/>
      <c r="D225" s="92"/>
      <c r="E225" s="239"/>
      <c r="F225" s="122"/>
      <c r="G225" s="91"/>
      <c r="H225" s="91">
        <v>0</v>
      </c>
      <c r="I225" s="92"/>
      <c r="J225" s="132">
        <v>0</v>
      </c>
      <c r="K225" s="372"/>
      <c r="L225" s="359"/>
      <c r="M225" s="371"/>
      <c r="N225" s="361"/>
      <c r="O225" s="362"/>
      <c r="P225" s="92"/>
      <c r="Q225" s="153">
        <f t="shared" si="8"/>
        <v>0</v>
      </c>
      <c r="R225" s="153"/>
      <c r="S225" s="159">
        <f t="shared" si="9"/>
        <v>0</v>
      </c>
    </row>
    <row r="226" spans="1:19" ht="32.25" customHeight="1">
      <c r="A226" s="106">
        <v>25</v>
      </c>
      <c r="B226" s="142" t="s">
        <v>23</v>
      </c>
      <c r="C226" s="174" t="s">
        <v>268</v>
      </c>
      <c r="D226" s="151"/>
      <c r="E226" s="163"/>
      <c r="F226" s="122"/>
      <c r="G226" s="122"/>
      <c r="H226" s="91">
        <v>0</v>
      </c>
      <c r="I226" s="122"/>
      <c r="J226" s="132">
        <v>0</v>
      </c>
      <c r="K226" s="372"/>
      <c r="L226" s="359"/>
      <c r="M226" s="360"/>
      <c r="N226" s="361"/>
      <c r="O226" s="391"/>
      <c r="P226" s="122"/>
      <c r="Q226" s="153">
        <f t="shared" si="8"/>
        <v>0</v>
      </c>
      <c r="R226" s="153"/>
      <c r="S226" s="159">
        <f t="shared" si="9"/>
        <v>0</v>
      </c>
    </row>
    <row r="227" spans="1:19" ht="32.25" customHeight="1" thickBot="1">
      <c r="A227" s="39"/>
      <c r="B227" s="50" t="s">
        <v>19</v>
      </c>
      <c r="C227" s="50"/>
      <c r="D227" s="51">
        <v>9615.59</v>
      </c>
      <c r="E227" s="52"/>
      <c r="F227" s="53"/>
      <c r="G227" s="52"/>
      <c r="H227" s="51">
        <f>SUM(H183:H226)-H183-H207-H214-H216-H219</f>
        <v>125.99999999999993</v>
      </c>
      <c r="I227" s="51"/>
      <c r="J227" s="51">
        <f>SUM(J183:J226)-J183-J207-J214-J216-J219</f>
        <v>125.99999999999993</v>
      </c>
      <c r="K227" s="54"/>
      <c r="L227" s="55"/>
      <c r="M227" s="56">
        <f>SUM(M183:M226)</f>
        <v>10852</v>
      </c>
      <c r="N227" s="57"/>
      <c r="O227" s="53"/>
      <c r="P227" s="51"/>
      <c r="Q227" s="51">
        <f>SUM(Q183:Q226)-Q183-Q207-Q214-Q216-Q219-Q201-Q204</f>
        <v>-2.2737367544323206E-13</v>
      </c>
      <c r="R227" s="51">
        <f t="shared" ref="R227:S227" si="10">SUM(R183:R226)-R183-R207-R214-R216-R219-R201-R204</f>
        <v>0</v>
      </c>
      <c r="S227" s="51">
        <f t="shared" si="10"/>
        <v>-2.2737367544323206E-13</v>
      </c>
    </row>
    <row r="228" spans="1:19" ht="32.25" customHeight="1" thickTop="1">
      <c r="A228" s="39"/>
      <c r="B228" s="58" t="s">
        <v>269</v>
      </c>
      <c r="C228" s="59"/>
      <c r="D228" s="60"/>
      <c r="E228" s="61"/>
      <c r="F228" s="62"/>
      <c r="G228" s="63"/>
      <c r="H228" s="64"/>
      <c r="I228" s="64"/>
      <c r="J228" s="64"/>
      <c r="K228" s="65"/>
      <c r="L228" s="66"/>
      <c r="M228" s="67"/>
      <c r="N228" s="68"/>
      <c r="O228" s="62"/>
      <c r="P228" s="69"/>
      <c r="Q228" s="63"/>
      <c r="R228" s="63"/>
      <c r="S228" s="70"/>
    </row>
    <row r="229" spans="1:19" ht="32.25" customHeight="1">
      <c r="A229" s="39">
        <v>1</v>
      </c>
      <c r="B229" s="142" t="s">
        <v>99</v>
      </c>
      <c r="C229" s="392" t="s">
        <v>270</v>
      </c>
      <c r="D229" s="125">
        <v>0</v>
      </c>
      <c r="E229" s="131"/>
      <c r="F229" s="115"/>
      <c r="G229" s="131"/>
      <c r="H229" s="125">
        <v>0</v>
      </c>
      <c r="I229" s="125"/>
      <c r="J229" s="125">
        <v>0</v>
      </c>
      <c r="K229" s="34"/>
      <c r="L229" s="35"/>
      <c r="M229" s="36"/>
      <c r="N229" s="114"/>
      <c r="O229" s="115"/>
      <c r="P229" s="144"/>
      <c r="Q229" s="131">
        <v>0</v>
      </c>
      <c r="R229" s="33"/>
      <c r="S229" s="77">
        <v>0</v>
      </c>
    </row>
    <row r="230" spans="1:19" ht="32.25" customHeight="1">
      <c r="A230" s="106">
        <v>2</v>
      </c>
      <c r="B230" s="142" t="s">
        <v>99</v>
      </c>
      <c r="C230" s="392" t="s">
        <v>271</v>
      </c>
      <c r="D230" s="125">
        <v>0</v>
      </c>
      <c r="E230" s="131"/>
      <c r="F230" s="115"/>
      <c r="G230" s="131"/>
      <c r="H230" s="125">
        <v>0</v>
      </c>
      <c r="I230" s="125"/>
      <c r="J230" s="125">
        <v>0</v>
      </c>
      <c r="K230" s="34"/>
      <c r="L230" s="35"/>
      <c r="M230" s="36"/>
      <c r="N230" s="114"/>
      <c r="O230" s="115"/>
      <c r="P230" s="144"/>
      <c r="Q230" s="131">
        <v>0</v>
      </c>
      <c r="R230" s="33"/>
      <c r="S230" s="77">
        <v>0</v>
      </c>
    </row>
    <row r="231" spans="1:19" ht="32.25" customHeight="1">
      <c r="A231" s="106">
        <v>3</v>
      </c>
      <c r="B231" s="142" t="s">
        <v>99</v>
      </c>
      <c r="C231" s="392" t="s">
        <v>272</v>
      </c>
      <c r="D231" s="125">
        <v>0</v>
      </c>
      <c r="E231" s="131"/>
      <c r="F231" s="115"/>
      <c r="G231" s="131"/>
      <c r="H231" s="125">
        <v>0</v>
      </c>
      <c r="I231" s="125"/>
      <c r="J231" s="125">
        <v>0</v>
      </c>
      <c r="K231" s="34"/>
      <c r="L231" s="35"/>
      <c r="M231" s="36"/>
      <c r="N231" s="114"/>
      <c r="O231" s="115"/>
      <c r="P231" s="144"/>
      <c r="Q231" s="131">
        <v>0</v>
      </c>
      <c r="R231" s="33"/>
      <c r="S231" s="77">
        <v>0</v>
      </c>
    </row>
    <row r="232" spans="1:19" ht="32.25" customHeight="1">
      <c r="A232" s="106">
        <v>4</v>
      </c>
      <c r="B232" s="142" t="s">
        <v>273</v>
      </c>
      <c r="C232" s="392" t="s">
        <v>274</v>
      </c>
      <c r="D232" s="125">
        <v>0</v>
      </c>
      <c r="E232" s="131"/>
      <c r="F232" s="115"/>
      <c r="G232" s="131"/>
      <c r="H232" s="125">
        <v>0</v>
      </c>
      <c r="I232" s="125"/>
      <c r="J232" s="125">
        <v>0</v>
      </c>
      <c r="K232" s="34"/>
      <c r="L232" s="35"/>
      <c r="M232" s="36"/>
      <c r="N232" s="114"/>
      <c r="O232" s="115"/>
      <c r="P232" s="144"/>
      <c r="Q232" s="131">
        <v>0</v>
      </c>
      <c r="R232" s="33"/>
      <c r="S232" s="77">
        <v>0</v>
      </c>
    </row>
    <row r="233" spans="1:19" ht="32.25" customHeight="1">
      <c r="A233" s="106">
        <v>5</v>
      </c>
      <c r="B233" s="142" t="s">
        <v>273</v>
      </c>
      <c r="C233" s="392" t="s">
        <v>275</v>
      </c>
      <c r="D233" s="125">
        <v>0</v>
      </c>
      <c r="E233" s="131"/>
      <c r="F233" s="115"/>
      <c r="G233" s="131"/>
      <c r="H233" s="125">
        <v>0</v>
      </c>
      <c r="I233" s="125"/>
      <c r="J233" s="125">
        <v>0</v>
      </c>
      <c r="K233" s="34"/>
      <c r="L233" s="35"/>
      <c r="M233" s="36"/>
      <c r="N233" s="114"/>
      <c r="O233" s="115"/>
      <c r="P233" s="144"/>
      <c r="Q233" s="131">
        <v>0</v>
      </c>
      <c r="R233" s="33"/>
      <c r="S233" s="77">
        <v>0</v>
      </c>
    </row>
    <row r="234" spans="1:19" ht="32.25" customHeight="1">
      <c r="A234" s="106">
        <v>6</v>
      </c>
      <c r="B234" s="142" t="s">
        <v>276</v>
      </c>
      <c r="C234" s="392" t="s">
        <v>277</v>
      </c>
      <c r="D234" s="125">
        <v>0</v>
      </c>
      <c r="E234" s="131"/>
      <c r="F234" s="115"/>
      <c r="G234" s="131"/>
      <c r="H234" s="125">
        <v>0</v>
      </c>
      <c r="I234" s="125"/>
      <c r="J234" s="125">
        <v>0</v>
      </c>
      <c r="K234" s="34"/>
      <c r="L234" s="35"/>
      <c r="M234" s="36"/>
      <c r="N234" s="114"/>
      <c r="O234" s="115"/>
      <c r="P234" s="144"/>
      <c r="Q234" s="131">
        <v>0</v>
      </c>
      <c r="R234" s="33"/>
      <c r="S234" s="77">
        <v>0</v>
      </c>
    </row>
    <row r="235" spans="1:19" ht="32.25" customHeight="1">
      <c r="A235" s="106">
        <v>7</v>
      </c>
      <c r="B235" s="142" t="s">
        <v>27</v>
      </c>
      <c r="C235" s="392" t="s">
        <v>278</v>
      </c>
      <c r="D235" s="125">
        <v>0</v>
      </c>
      <c r="E235" s="131"/>
      <c r="F235" s="115"/>
      <c r="G235" s="131"/>
      <c r="H235" s="125">
        <v>0</v>
      </c>
      <c r="I235" s="125"/>
      <c r="J235" s="125">
        <v>0</v>
      </c>
      <c r="K235" s="34"/>
      <c r="L235" s="35"/>
      <c r="M235" s="36"/>
      <c r="N235" s="114"/>
      <c r="O235" s="115"/>
      <c r="P235" s="144"/>
      <c r="Q235" s="131">
        <v>0</v>
      </c>
      <c r="R235" s="33"/>
      <c r="S235" s="77">
        <v>0</v>
      </c>
    </row>
    <row r="236" spans="1:19" ht="32.25" customHeight="1">
      <c r="A236" s="106">
        <v>8</v>
      </c>
      <c r="B236" s="142" t="s">
        <v>42</v>
      </c>
      <c r="C236" s="392" t="s">
        <v>279</v>
      </c>
      <c r="D236" s="125">
        <v>0</v>
      </c>
      <c r="E236" s="131"/>
      <c r="F236" s="115"/>
      <c r="G236" s="131"/>
      <c r="H236" s="125">
        <v>0</v>
      </c>
      <c r="I236" s="125"/>
      <c r="J236" s="125">
        <v>0</v>
      </c>
      <c r="K236" s="343"/>
      <c r="L236" s="307"/>
      <c r="M236" s="308"/>
      <c r="N236" s="114"/>
      <c r="O236" s="115"/>
      <c r="P236" s="144"/>
      <c r="Q236" s="131">
        <v>0</v>
      </c>
      <c r="R236" s="33"/>
      <c r="S236" s="77">
        <v>0</v>
      </c>
    </row>
    <row r="237" spans="1:19" ht="32.25" customHeight="1">
      <c r="A237" s="106">
        <v>9</v>
      </c>
      <c r="B237" s="142" t="s">
        <v>69</v>
      </c>
      <c r="C237" s="392" t="s">
        <v>280</v>
      </c>
      <c r="D237" s="125">
        <v>0</v>
      </c>
      <c r="E237" s="131"/>
      <c r="F237" s="115"/>
      <c r="G237" s="131"/>
      <c r="H237" s="125">
        <v>0</v>
      </c>
      <c r="I237" s="125"/>
      <c r="J237" s="125">
        <v>0</v>
      </c>
      <c r="K237" s="343"/>
      <c r="L237" s="307"/>
      <c r="M237" s="308"/>
      <c r="N237" s="114"/>
      <c r="O237" s="115"/>
      <c r="P237" s="144"/>
      <c r="Q237" s="131">
        <v>0</v>
      </c>
      <c r="R237" s="33"/>
      <c r="S237" s="77">
        <v>0</v>
      </c>
    </row>
    <row r="238" spans="1:19" ht="32.25" customHeight="1">
      <c r="A238" s="106">
        <v>10</v>
      </c>
      <c r="B238" s="142" t="s">
        <v>75</v>
      </c>
      <c r="C238" s="392" t="s">
        <v>281</v>
      </c>
      <c r="D238" s="125">
        <v>0</v>
      </c>
      <c r="E238" s="131"/>
      <c r="F238" s="115"/>
      <c r="G238" s="131"/>
      <c r="H238" s="125">
        <v>0</v>
      </c>
      <c r="I238" s="125"/>
      <c r="J238" s="125">
        <v>0</v>
      </c>
      <c r="K238" s="34"/>
      <c r="L238" s="35"/>
      <c r="M238" s="36"/>
      <c r="N238" s="114"/>
      <c r="O238" s="115"/>
      <c r="P238" s="144"/>
      <c r="Q238" s="131">
        <v>0</v>
      </c>
      <c r="R238" s="33"/>
      <c r="S238" s="77">
        <v>0</v>
      </c>
    </row>
    <row r="239" spans="1:19" ht="32.25" customHeight="1">
      <c r="A239" s="106">
        <v>11</v>
      </c>
      <c r="B239" s="142" t="s">
        <v>77</v>
      </c>
      <c r="C239" s="392" t="s">
        <v>282</v>
      </c>
      <c r="D239" s="125">
        <v>0</v>
      </c>
      <c r="E239" s="131"/>
      <c r="F239" s="115"/>
      <c r="G239" s="131"/>
      <c r="H239" s="125">
        <v>0</v>
      </c>
      <c r="I239" s="125"/>
      <c r="J239" s="125">
        <v>0</v>
      </c>
      <c r="K239" s="34"/>
      <c r="L239" s="35"/>
      <c r="M239" s="36"/>
      <c r="N239" s="114"/>
      <c r="O239" s="115"/>
      <c r="P239" s="144"/>
      <c r="Q239" s="131">
        <v>0</v>
      </c>
      <c r="R239" s="33"/>
      <c r="S239" s="77">
        <v>0</v>
      </c>
    </row>
    <row r="240" spans="1:19" ht="32.25" customHeight="1">
      <c r="A240" s="106">
        <v>12</v>
      </c>
      <c r="B240" s="142" t="s">
        <v>77</v>
      </c>
      <c r="C240" s="392" t="s">
        <v>283</v>
      </c>
      <c r="D240" s="125">
        <v>0</v>
      </c>
      <c r="E240" s="131"/>
      <c r="F240" s="115"/>
      <c r="G240" s="131"/>
      <c r="H240" s="125">
        <v>0</v>
      </c>
      <c r="I240" s="125"/>
      <c r="J240" s="125">
        <v>0</v>
      </c>
      <c r="K240" s="34"/>
      <c r="L240" s="35"/>
      <c r="M240" s="36"/>
      <c r="N240" s="114"/>
      <c r="O240" s="115"/>
      <c r="P240" s="144"/>
      <c r="Q240" s="131">
        <v>0</v>
      </c>
      <c r="R240" s="33"/>
      <c r="S240" s="77">
        <v>0</v>
      </c>
    </row>
    <row r="241" spans="1:19" ht="32.25" customHeight="1">
      <c r="A241" s="106">
        <v>13</v>
      </c>
      <c r="B241" s="142" t="s">
        <v>75</v>
      </c>
      <c r="C241" s="392" t="s">
        <v>284</v>
      </c>
      <c r="D241" s="125">
        <v>0</v>
      </c>
      <c r="E241" s="131"/>
      <c r="F241" s="115"/>
      <c r="G241" s="131"/>
      <c r="H241" s="125">
        <v>0</v>
      </c>
      <c r="I241" s="125"/>
      <c r="J241" s="125">
        <v>0</v>
      </c>
      <c r="K241" s="34"/>
      <c r="L241" s="35"/>
      <c r="M241" s="36"/>
      <c r="N241" s="114"/>
      <c r="O241" s="115"/>
      <c r="P241" s="144"/>
      <c r="Q241" s="131">
        <v>0</v>
      </c>
      <c r="R241" s="33"/>
      <c r="S241" s="77">
        <v>0</v>
      </c>
    </row>
    <row r="242" spans="1:19" ht="32.25" customHeight="1">
      <c r="A242" s="106">
        <v>14</v>
      </c>
      <c r="B242" s="142" t="s">
        <v>83</v>
      </c>
      <c r="C242" s="392" t="s">
        <v>285</v>
      </c>
      <c r="D242" s="125">
        <v>0</v>
      </c>
      <c r="E242" s="131"/>
      <c r="F242" s="115"/>
      <c r="G242" s="131"/>
      <c r="H242" s="125">
        <v>0</v>
      </c>
      <c r="I242" s="125"/>
      <c r="J242" s="125">
        <v>0</v>
      </c>
      <c r="K242" s="34"/>
      <c r="L242" s="35"/>
      <c r="M242" s="36"/>
      <c r="N242" s="114"/>
      <c r="O242" s="115"/>
      <c r="P242" s="144"/>
      <c r="Q242" s="131">
        <v>0</v>
      </c>
      <c r="R242" s="33"/>
      <c r="S242" s="77">
        <v>0</v>
      </c>
    </row>
    <row r="243" spans="1:19" ht="32.25" customHeight="1">
      <c r="A243" s="106">
        <v>15</v>
      </c>
      <c r="B243" s="142" t="s">
        <v>87</v>
      </c>
      <c r="C243" s="392" t="s">
        <v>286</v>
      </c>
      <c r="D243" s="125">
        <v>0</v>
      </c>
      <c r="E243" s="131"/>
      <c r="F243" s="115"/>
      <c r="G243" s="131"/>
      <c r="H243" s="125">
        <v>0</v>
      </c>
      <c r="I243" s="125"/>
      <c r="J243" s="125">
        <v>0</v>
      </c>
      <c r="K243" s="343"/>
      <c r="L243" s="307"/>
      <c r="M243" s="308"/>
      <c r="N243" s="114"/>
      <c r="O243" s="115"/>
      <c r="P243" s="144"/>
      <c r="Q243" s="131">
        <v>0</v>
      </c>
      <c r="R243" s="33"/>
      <c r="S243" s="77">
        <v>0</v>
      </c>
    </row>
    <row r="244" spans="1:19" ht="32.25" customHeight="1">
      <c r="A244" s="106">
        <v>16</v>
      </c>
      <c r="B244" s="142" t="s">
        <v>75</v>
      </c>
      <c r="C244" s="392" t="s">
        <v>287</v>
      </c>
      <c r="D244" s="125">
        <v>0</v>
      </c>
      <c r="E244" s="131"/>
      <c r="F244" s="115"/>
      <c r="G244" s="131"/>
      <c r="H244" s="125">
        <v>0</v>
      </c>
      <c r="I244" s="125"/>
      <c r="J244" s="125">
        <v>0</v>
      </c>
      <c r="K244" s="34"/>
      <c r="L244" s="35"/>
      <c r="M244" s="36"/>
      <c r="N244" s="114"/>
      <c r="O244" s="115"/>
      <c r="P244" s="144"/>
      <c r="Q244" s="131">
        <v>0</v>
      </c>
      <c r="R244" s="33"/>
      <c r="S244" s="77">
        <v>0</v>
      </c>
    </row>
    <row r="245" spans="1:19" ht="32.25" customHeight="1">
      <c r="A245" s="106">
        <v>17</v>
      </c>
      <c r="B245" s="142" t="s">
        <v>92</v>
      </c>
      <c r="C245" s="392" t="s">
        <v>288</v>
      </c>
      <c r="D245" s="125">
        <v>0</v>
      </c>
      <c r="E245" s="131"/>
      <c r="F245" s="115"/>
      <c r="G245" s="131"/>
      <c r="H245" s="125">
        <v>0</v>
      </c>
      <c r="I245" s="125"/>
      <c r="J245" s="125">
        <v>0</v>
      </c>
      <c r="K245" s="34"/>
      <c r="L245" s="35"/>
      <c r="M245" s="36"/>
      <c r="N245" s="114"/>
      <c r="O245" s="115"/>
      <c r="P245" s="144"/>
      <c r="Q245" s="131">
        <v>0</v>
      </c>
      <c r="R245" s="33"/>
      <c r="S245" s="77">
        <v>0</v>
      </c>
    </row>
    <row r="246" spans="1:19" ht="32.25" customHeight="1">
      <c r="A246" s="106">
        <v>18</v>
      </c>
      <c r="B246" s="142" t="s">
        <v>75</v>
      </c>
      <c r="C246" s="392" t="s">
        <v>289</v>
      </c>
      <c r="D246" s="125">
        <v>0</v>
      </c>
      <c r="E246" s="131"/>
      <c r="F246" s="115"/>
      <c r="G246" s="131"/>
      <c r="H246" s="125">
        <v>0</v>
      </c>
      <c r="I246" s="125"/>
      <c r="J246" s="125">
        <v>0</v>
      </c>
      <c r="K246" s="34"/>
      <c r="L246" s="35"/>
      <c r="M246" s="36"/>
      <c r="N246" s="114"/>
      <c r="O246" s="115"/>
      <c r="P246" s="144"/>
      <c r="Q246" s="131">
        <v>0</v>
      </c>
      <c r="R246" s="33"/>
      <c r="S246" s="77">
        <v>0</v>
      </c>
    </row>
    <row r="247" spans="1:19" ht="32.25" customHeight="1">
      <c r="A247" s="106">
        <v>19</v>
      </c>
      <c r="B247" s="142" t="s">
        <v>95</v>
      </c>
      <c r="C247" s="392" t="s">
        <v>290</v>
      </c>
      <c r="D247" s="125">
        <v>0</v>
      </c>
      <c r="E247" s="131"/>
      <c r="F247" s="115"/>
      <c r="G247" s="131"/>
      <c r="H247" s="125">
        <v>0</v>
      </c>
      <c r="I247" s="125"/>
      <c r="J247" s="125">
        <v>0</v>
      </c>
      <c r="K247" s="343"/>
      <c r="L247" s="307"/>
      <c r="M247" s="308"/>
      <c r="N247" s="114"/>
      <c r="O247" s="115"/>
      <c r="P247" s="144"/>
      <c r="Q247" s="131">
        <v>0</v>
      </c>
      <c r="R247" s="33"/>
      <c r="S247" s="77">
        <v>0</v>
      </c>
    </row>
    <row r="248" spans="1:19" ht="32.25" customHeight="1">
      <c r="A248" s="106">
        <v>20</v>
      </c>
      <c r="B248" s="142" t="s">
        <v>236</v>
      </c>
      <c r="C248" s="392" t="s">
        <v>291</v>
      </c>
      <c r="D248" s="125">
        <v>0</v>
      </c>
      <c r="E248" s="131"/>
      <c r="F248" s="115"/>
      <c r="G248" s="131"/>
      <c r="H248" s="125">
        <v>0</v>
      </c>
      <c r="I248" s="125"/>
      <c r="J248" s="125">
        <v>0</v>
      </c>
      <c r="K248" s="343"/>
      <c r="L248" s="307"/>
      <c r="M248" s="308"/>
      <c r="N248" s="114"/>
      <c r="O248" s="115"/>
      <c r="P248" s="144"/>
      <c r="Q248" s="131">
        <v>0</v>
      </c>
      <c r="R248" s="33"/>
      <c r="S248" s="77">
        <v>0</v>
      </c>
    </row>
    <row r="249" spans="1:19" ht="32.25" customHeight="1" thickBot="1">
      <c r="A249" s="39"/>
      <c r="B249" s="50" t="s">
        <v>19</v>
      </c>
      <c r="C249" s="50"/>
      <c r="D249" s="51">
        <v>0</v>
      </c>
      <c r="E249" s="52"/>
      <c r="F249" s="53"/>
      <c r="G249" s="52"/>
      <c r="H249" s="51">
        <v>0</v>
      </c>
      <c r="I249" s="51">
        <v>0</v>
      </c>
      <c r="J249" s="51">
        <v>0</v>
      </c>
      <c r="K249" s="54"/>
      <c r="L249" s="55"/>
      <c r="M249" s="56">
        <v>0</v>
      </c>
      <c r="N249" s="57"/>
      <c r="O249" s="53"/>
      <c r="P249" s="51"/>
      <c r="Q249" s="51">
        <v>0</v>
      </c>
      <c r="R249" s="51">
        <v>0</v>
      </c>
      <c r="S249" s="51">
        <v>0</v>
      </c>
    </row>
    <row r="250" spans="1:19" ht="32.25" customHeight="1" thickTop="1">
      <c r="A250" s="39"/>
      <c r="B250" s="141" t="s">
        <v>292</v>
      </c>
      <c r="C250" s="142"/>
      <c r="D250" s="125"/>
      <c r="E250" s="131"/>
      <c r="F250" s="115"/>
      <c r="G250" s="33"/>
      <c r="H250" s="143"/>
      <c r="I250" s="143"/>
      <c r="J250" s="143"/>
      <c r="K250" s="34"/>
      <c r="L250" s="35"/>
      <c r="M250" s="36"/>
      <c r="N250" s="114"/>
      <c r="O250" s="115"/>
      <c r="P250" s="144"/>
      <c r="Q250" s="33"/>
      <c r="R250" s="33"/>
      <c r="S250" s="145"/>
    </row>
    <row r="251" spans="1:19" ht="32.25" customHeight="1">
      <c r="A251" s="39">
        <v>1</v>
      </c>
      <c r="B251" s="41" t="s">
        <v>152</v>
      </c>
      <c r="C251" s="41" t="s">
        <v>293</v>
      </c>
      <c r="D251" s="42"/>
      <c r="E251" s="6"/>
      <c r="F251" s="43"/>
      <c r="G251" s="6"/>
      <c r="H251" s="42"/>
      <c r="I251" s="42"/>
      <c r="J251" s="42"/>
      <c r="K251" s="44"/>
      <c r="L251" s="45"/>
      <c r="M251" s="46"/>
      <c r="N251" s="5"/>
      <c r="O251" s="43"/>
      <c r="P251" s="47"/>
      <c r="Q251" s="48"/>
      <c r="R251" s="48"/>
      <c r="S251" s="49"/>
    </row>
    <row r="252" spans="1:19" ht="32.25" customHeight="1">
      <c r="A252" s="39">
        <v>2</v>
      </c>
      <c r="B252" s="41" t="s">
        <v>294</v>
      </c>
      <c r="C252" s="41" t="s">
        <v>295</v>
      </c>
      <c r="D252" s="42" t="s">
        <v>296</v>
      </c>
      <c r="E252" s="6"/>
      <c r="F252" s="43"/>
      <c r="G252" s="6"/>
      <c r="H252" s="42"/>
      <c r="I252" s="42"/>
      <c r="J252" s="42"/>
      <c r="K252" s="393"/>
      <c r="L252" s="394"/>
      <c r="M252" s="395"/>
      <c r="N252" s="5"/>
      <c r="O252" s="43"/>
      <c r="P252" s="47"/>
      <c r="Q252" s="48"/>
      <c r="R252" s="48"/>
      <c r="S252" s="49"/>
    </row>
    <row r="253" spans="1:19" ht="32.25" customHeight="1">
      <c r="A253" s="39"/>
      <c r="B253" s="40" t="s">
        <v>297</v>
      </c>
      <c r="C253" s="41"/>
      <c r="D253" s="42"/>
      <c r="E253" s="6"/>
      <c r="F253" s="43"/>
      <c r="G253" s="6"/>
      <c r="H253" s="42"/>
      <c r="I253" s="42"/>
      <c r="J253" s="42"/>
      <c r="K253" s="284"/>
      <c r="L253" s="285"/>
      <c r="M253" s="286"/>
      <c r="N253" s="5"/>
      <c r="O253" s="43"/>
      <c r="P253" s="47"/>
      <c r="Q253" s="48"/>
      <c r="R253" s="48"/>
      <c r="S253" s="49"/>
    </row>
    <row r="254" spans="1:19" ht="32.25" customHeight="1">
      <c r="A254" s="39"/>
      <c r="B254" s="40" t="s">
        <v>298</v>
      </c>
      <c r="C254" s="41"/>
      <c r="D254" s="42"/>
      <c r="E254" s="6"/>
      <c r="F254" s="43"/>
      <c r="G254" s="6"/>
      <c r="H254" s="42"/>
      <c r="I254" s="42"/>
      <c r="J254" s="42"/>
      <c r="K254" s="284"/>
      <c r="L254" s="285"/>
      <c r="M254" s="286"/>
      <c r="N254" s="5"/>
      <c r="O254" s="43"/>
      <c r="P254" s="47"/>
      <c r="Q254" s="48"/>
      <c r="R254" s="48"/>
      <c r="S254" s="49"/>
    </row>
    <row r="255" spans="1:19" ht="32.25" customHeight="1">
      <c r="A255" s="39">
        <v>3</v>
      </c>
      <c r="B255" s="40" t="s">
        <v>130</v>
      </c>
      <c r="C255" s="41" t="s">
        <v>299</v>
      </c>
      <c r="D255" s="42"/>
      <c r="E255" s="6"/>
      <c r="F255" s="43"/>
      <c r="G255" s="6"/>
      <c r="H255" s="42"/>
      <c r="I255" s="42"/>
      <c r="J255" s="42"/>
      <c r="K255" s="284"/>
      <c r="L255" s="285"/>
      <c r="M255" s="286"/>
      <c r="N255" s="5"/>
      <c r="O255" s="43"/>
      <c r="P255" s="47"/>
      <c r="Q255" s="48"/>
      <c r="R255" s="48"/>
      <c r="S255" s="49"/>
    </row>
    <row r="256" spans="1:19" ht="32.25" customHeight="1">
      <c r="A256" s="39">
        <v>4</v>
      </c>
      <c r="B256" s="40" t="s">
        <v>276</v>
      </c>
      <c r="C256" s="41" t="s">
        <v>302</v>
      </c>
      <c r="D256" s="42"/>
      <c r="E256" s="6"/>
      <c r="F256" s="43"/>
      <c r="G256" s="6"/>
      <c r="H256" s="42"/>
      <c r="I256" s="42"/>
      <c r="J256" s="42"/>
      <c r="K256" s="284"/>
      <c r="L256" s="285"/>
      <c r="M256" s="286"/>
      <c r="N256" s="5"/>
      <c r="O256" s="43"/>
      <c r="P256" s="47"/>
      <c r="Q256" s="48"/>
      <c r="R256" s="48"/>
      <c r="S256" s="49"/>
    </row>
    <row r="257" spans="1:19" ht="32.25" customHeight="1">
      <c r="A257" s="39">
        <v>5</v>
      </c>
      <c r="B257" s="40" t="s">
        <v>192</v>
      </c>
      <c r="C257" s="41" t="s">
        <v>306</v>
      </c>
      <c r="D257" s="42"/>
      <c r="E257" s="6"/>
      <c r="F257" s="43"/>
      <c r="G257" s="6"/>
      <c r="H257" s="42"/>
      <c r="I257" s="42"/>
      <c r="J257" s="42"/>
      <c r="K257" s="284"/>
      <c r="L257" s="285"/>
      <c r="M257" s="286"/>
      <c r="N257" s="5"/>
      <c r="O257" s="43"/>
      <c r="P257" s="47"/>
      <c r="Q257" s="48"/>
      <c r="R257" s="48"/>
      <c r="S257" s="49"/>
    </row>
    <row r="258" spans="1:19" ht="32.25" customHeight="1">
      <c r="A258" s="39">
        <v>6</v>
      </c>
      <c r="B258" s="40" t="s">
        <v>387</v>
      </c>
      <c r="C258" s="41" t="s">
        <v>388</v>
      </c>
      <c r="D258" s="42">
        <v>0</v>
      </c>
      <c r="E258" s="6"/>
      <c r="F258" s="43"/>
      <c r="G258" s="6"/>
      <c r="H258" s="42"/>
      <c r="I258" s="42"/>
      <c r="J258" s="42"/>
      <c r="K258" s="284"/>
      <c r="L258" s="285"/>
      <c r="M258" s="286"/>
      <c r="N258" s="5"/>
      <c r="O258" s="43"/>
      <c r="P258" s="47"/>
      <c r="Q258" s="48"/>
      <c r="R258" s="48"/>
      <c r="S258" s="49"/>
    </row>
    <row r="259" spans="1:19" ht="32.25" customHeight="1">
      <c r="A259" s="39"/>
      <c r="B259" s="40" t="s">
        <v>391</v>
      </c>
      <c r="C259" s="41"/>
      <c r="D259" s="42">
        <v>0</v>
      </c>
      <c r="E259" s="6"/>
      <c r="F259" s="43"/>
      <c r="G259" s="6"/>
      <c r="H259" s="42">
        <v>0</v>
      </c>
      <c r="I259" s="42">
        <v>0</v>
      </c>
      <c r="J259" s="42">
        <v>0</v>
      </c>
      <c r="K259" s="284"/>
      <c r="L259" s="285"/>
      <c r="M259" s="286"/>
      <c r="N259" s="5"/>
      <c r="O259" s="43"/>
      <c r="P259" s="47"/>
      <c r="Q259" s="48"/>
      <c r="R259" s="48"/>
      <c r="S259" s="49"/>
    </row>
    <row r="260" spans="1:19" ht="32.25" customHeight="1" thickBot="1">
      <c r="A260" s="39"/>
      <c r="B260" s="50" t="s">
        <v>19</v>
      </c>
      <c r="C260" s="50"/>
      <c r="D260" s="51">
        <v>0</v>
      </c>
      <c r="E260" s="52"/>
      <c r="F260" s="53"/>
      <c r="G260" s="52"/>
      <c r="H260" s="51">
        <f>SUM(H258:H259)</f>
        <v>0</v>
      </c>
      <c r="I260" s="51">
        <v>0</v>
      </c>
      <c r="J260" s="51">
        <f>SUM(J251:J259)</f>
        <v>0</v>
      </c>
      <c r="K260" s="54"/>
      <c r="L260" s="55"/>
      <c r="M260" s="56">
        <f>SUM(M258:M259)</f>
        <v>0</v>
      </c>
      <c r="N260" s="57"/>
      <c r="O260" s="53"/>
      <c r="P260" s="51"/>
      <c r="Q260" s="51"/>
      <c r="R260" s="51"/>
      <c r="S260" s="51"/>
    </row>
    <row r="261" spans="1:19" ht="32.25" customHeight="1" thickTop="1" thickBot="1">
      <c r="A261" s="396"/>
      <c r="B261" s="397" t="s">
        <v>309</v>
      </c>
      <c r="C261" s="398"/>
      <c r="D261" s="399">
        <f t="shared" ref="D261:S261" si="11">SUM(D9+D16+D21+D42+D45+D48+D51+D87+D116+D131+D146+D178+D181+D227+D249+D260)</f>
        <v>172195.03999999998</v>
      </c>
      <c r="E261" s="399">
        <f t="shared" si="11"/>
        <v>0</v>
      </c>
      <c r="F261" s="399">
        <f t="shared" si="11"/>
        <v>0</v>
      </c>
      <c r="G261" s="399">
        <f t="shared" si="11"/>
        <v>0</v>
      </c>
      <c r="H261" s="399">
        <f t="shared" si="11"/>
        <v>3901.4300000000021</v>
      </c>
      <c r="I261" s="399">
        <f t="shared" si="11"/>
        <v>191.09999999999988</v>
      </c>
      <c r="J261" s="399">
        <f t="shared" si="11"/>
        <v>4092.5300000000016</v>
      </c>
      <c r="K261" s="399">
        <f t="shared" si="11"/>
        <v>0</v>
      </c>
      <c r="L261" s="399">
        <f t="shared" si="11"/>
        <v>0</v>
      </c>
      <c r="M261" s="399">
        <f t="shared" si="11"/>
        <v>182325.33999999997</v>
      </c>
      <c r="N261" s="399">
        <f t="shared" si="11"/>
        <v>0</v>
      </c>
      <c r="O261" s="399">
        <f t="shared" si="11"/>
        <v>0</v>
      </c>
      <c r="P261" s="399">
        <f t="shared" si="11"/>
        <v>0</v>
      </c>
      <c r="Q261" s="399">
        <f t="shared" si="11"/>
        <v>2819.9999999999982</v>
      </c>
      <c r="R261" s="399">
        <f t="shared" si="11"/>
        <v>197.4</v>
      </c>
      <c r="S261" s="399">
        <f t="shared" si="11"/>
        <v>3017.3999999999978</v>
      </c>
    </row>
    <row r="262" spans="1:19" ht="17.399999999999999" thickTop="1">
      <c r="K262" s="404"/>
      <c r="L262" s="404"/>
      <c r="M262" s="2"/>
    </row>
    <row r="263" spans="1:19">
      <c r="K263" s="404"/>
      <c r="L263" s="404"/>
      <c r="M263" s="2"/>
    </row>
    <row r="264" spans="1:19">
      <c r="K264" s="404"/>
      <c r="L264" s="404"/>
      <c r="M264" s="2"/>
    </row>
    <row r="265" spans="1:19">
      <c r="K265" s="404"/>
      <c r="L265" s="404"/>
      <c r="M265" s="2"/>
    </row>
    <row r="266" spans="1:19">
      <c r="K266" s="404"/>
      <c r="L266" s="404"/>
      <c r="M266" s="2"/>
    </row>
    <row r="267" spans="1:19" s="406" customFormat="1" ht="32.25" customHeight="1">
      <c r="A267" s="2"/>
      <c r="B267" s="643"/>
      <c r="C267" s="642"/>
      <c r="D267" s="642"/>
      <c r="E267" s="1"/>
      <c r="F267" s="407"/>
      <c r="G267" s="1"/>
      <c r="H267" s="408"/>
      <c r="I267" s="409"/>
      <c r="J267" s="408"/>
      <c r="K267" s="410"/>
      <c r="L267" s="411"/>
      <c r="M267" s="666"/>
      <c r="N267" s="642"/>
      <c r="O267" s="642"/>
      <c r="P267" s="642"/>
      <c r="Q267" s="412"/>
      <c r="S267" s="2"/>
    </row>
    <row r="268" spans="1:19" s="406" customFormat="1" ht="32.25" customHeight="1">
      <c r="A268" s="2"/>
      <c r="B268" s="413"/>
      <c r="C268" s="667"/>
      <c r="D268" s="642"/>
      <c r="E268" s="1"/>
      <c r="F268" s="407"/>
      <c r="G268" s="1"/>
      <c r="H268" s="667"/>
      <c r="I268" s="642"/>
      <c r="J268" s="642"/>
      <c r="K268" s="642"/>
      <c r="L268" s="411"/>
      <c r="M268" s="668"/>
      <c r="N268" s="642"/>
      <c r="O268" s="642"/>
      <c r="P268" s="642"/>
      <c r="Q268" s="412"/>
      <c r="S268" s="2"/>
    </row>
    <row r="269" spans="1:19" s="406" customFormat="1" ht="32.25" customHeight="1">
      <c r="A269" s="2"/>
      <c r="B269" s="413"/>
      <c r="C269" s="662"/>
      <c r="D269" s="642"/>
      <c r="E269" s="1"/>
      <c r="F269" s="407"/>
      <c r="G269" s="1"/>
      <c r="H269" s="663"/>
      <c r="I269" s="642"/>
      <c r="J269" s="642"/>
      <c r="K269" s="410"/>
      <c r="L269" s="641"/>
      <c r="M269" s="642"/>
      <c r="N269" s="642"/>
      <c r="O269" s="642"/>
      <c r="P269" s="642"/>
      <c r="Q269" s="642"/>
      <c r="S269" s="2"/>
    </row>
  </sheetData>
  <mergeCells count="28">
    <mergeCell ref="B86:D86"/>
    <mergeCell ref="A1:S1"/>
    <mergeCell ref="A2:S2"/>
    <mergeCell ref="A3:S3"/>
    <mergeCell ref="B4:B6"/>
    <mergeCell ref="C4:C6"/>
    <mergeCell ref="E4:J4"/>
    <mergeCell ref="K4:M4"/>
    <mergeCell ref="N4:S4"/>
    <mergeCell ref="H5:J5"/>
    <mergeCell ref="Q5:S5"/>
    <mergeCell ref="B72:D72"/>
    <mergeCell ref="B74:D74"/>
    <mergeCell ref="B76:D76"/>
    <mergeCell ref="B78:D78"/>
    <mergeCell ref="B80:D80"/>
    <mergeCell ref="K99:M99"/>
    <mergeCell ref="B107:C107"/>
    <mergeCell ref="B208:C208"/>
    <mergeCell ref="B209:C209"/>
    <mergeCell ref="B267:D267"/>
    <mergeCell ref="M267:P267"/>
    <mergeCell ref="C268:D268"/>
    <mergeCell ref="H268:K268"/>
    <mergeCell ref="M268:P268"/>
    <mergeCell ref="C269:D269"/>
    <mergeCell ref="H269:J269"/>
    <mergeCell ref="L269:Q269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95C5-9573-4D42-8AAE-2ECFBC647C18}">
  <sheetPr>
    <tabColor rgb="FFFFC000"/>
  </sheetPr>
  <dimension ref="A1:I101"/>
  <sheetViews>
    <sheetView zoomScale="70" zoomScaleNormal="70" workbookViewId="0">
      <pane ySplit="6" topLeftCell="A85" activePane="bottomLeft" state="frozen"/>
      <selection pane="bottomLeft" activeCell="H96" sqref="H96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17.6640625" style="414" customWidth="1"/>
    <col min="5" max="5" width="25" style="414" customWidth="1"/>
    <col min="6" max="6" width="16.109375" style="192" customWidth="1"/>
    <col min="7" max="7" width="12.5546875" style="2"/>
    <col min="8" max="8" width="16.77734375" style="2" customWidth="1"/>
    <col min="9" max="16384" width="12.5546875" style="2"/>
  </cols>
  <sheetData>
    <row r="1" spans="1:8" ht="22.5" customHeight="1">
      <c r="A1" s="643" t="s">
        <v>0</v>
      </c>
      <c r="B1" s="642"/>
      <c r="C1" s="642"/>
      <c r="D1" s="642"/>
      <c r="E1" s="642"/>
      <c r="F1" s="642"/>
    </row>
    <row r="2" spans="1:8" ht="27" customHeight="1">
      <c r="A2" s="643" t="s">
        <v>1</v>
      </c>
      <c r="B2" s="642"/>
      <c r="C2" s="642"/>
      <c r="D2" s="642"/>
      <c r="E2" s="642"/>
      <c r="F2" s="642"/>
    </row>
    <row r="3" spans="1:8" ht="22.5" customHeight="1">
      <c r="A3" s="644" t="s">
        <v>464</v>
      </c>
      <c r="B3" s="645"/>
      <c r="C3" s="645"/>
      <c r="D3" s="645"/>
      <c r="E3" s="645"/>
      <c r="F3" s="645"/>
    </row>
    <row r="4" spans="1:8" ht="34.5" customHeight="1">
      <c r="A4" s="3" t="s">
        <v>3</v>
      </c>
      <c r="B4" s="646" t="s">
        <v>4</v>
      </c>
      <c r="C4" s="646" t="s">
        <v>5</v>
      </c>
      <c r="D4" s="669" t="s">
        <v>8</v>
      </c>
      <c r="E4" s="670"/>
      <c r="F4" s="671"/>
    </row>
    <row r="5" spans="1:8" ht="24.75" customHeight="1">
      <c r="A5" s="5"/>
      <c r="B5" s="647"/>
      <c r="C5" s="647"/>
      <c r="D5" s="9" t="s">
        <v>14</v>
      </c>
      <c r="E5" s="10" t="s">
        <v>15</v>
      </c>
      <c r="F5" s="11" t="s">
        <v>16</v>
      </c>
    </row>
    <row r="6" spans="1:8" ht="27.75" customHeight="1" thickBot="1">
      <c r="A6" s="14"/>
      <c r="B6" s="648"/>
      <c r="C6" s="648"/>
      <c r="D6" s="21"/>
      <c r="E6" s="22"/>
      <c r="F6" s="23"/>
    </row>
    <row r="7" spans="1:8" ht="32.25" customHeight="1" thickTop="1">
      <c r="A7" s="39"/>
      <c r="B7" s="58" t="s">
        <v>22</v>
      </c>
      <c r="C7" s="59"/>
      <c r="D7" s="65"/>
      <c r="E7" s="66"/>
      <c r="F7" s="67"/>
    </row>
    <row r="8" spans="1:8" s="78" customFormat="1" ht="32.25" customHeight="1">
      <c r="A8" s="39">
        <v>1</v>
      </c>
      <c r="B8" s="71" t="s">
        <v>23</v>
      </c>
      <c r="C8" s="71" t="s">
        <v>24</v>
      </c>
      <c r="D8" s="74" t="s">
        <v>465</v>
      </c>
      <c r="E8" s="75" t="s">
        <v>466</v>
      </c>
      <c r="F8" s="76">
        <v>2038.35</v>
      </c>
    </row>
    <row r="9" spans="1:8" s="78" customFormat="1" ht="32.25" customHeight="1">
      <c r="A9" s="39">
        <v>2</v>
      </c>
      <c r="B9" s="71" t="s">
        <v>27</v>
      </c>
      <c r="C9" s="71" t="s">
        <v>24</v>
      </c>
      <c r="D9" s="74" t="s">
        <v>465</v>
      </c>
      <c r="E9" s="75" t="s">
        <v>467</v>
      </c>
      <c r="F9" s="76">
        <v>376.64</v>
      </c>
    </row>
    <row r="10" spans="1:8" s="78" customFormat="1" ht="32.25" customHeight="1">
      <c r="A10" s="39">
        <v>3</v>
      </c>
      <c r="B10" s="71" t="s">
        <v>30</v>
      </c>
      <c r="C10" s="71" t="s">
        <v>24</v>
      </c>
      <c r="D10" s="74" t="s">
        <v>468</v>
      </c>
      <c r="E10" s="75" t="s">
        <v>469</v>
      </c>
      <c r="F10" s="76">
        <v>207.05</v>
      </c>
    </row>
    <row r="11" spans="1:8" ht="32.25" customHeight="1" thickBot="1">
      <c r="A11" s="39"/>
      <c r="B11" s="50" t="s">
        <v>19</v>
      </c>
      <c r="C11" s="50"/>
      <c r="D11" s="83"/>
      <c r="E11" s="84"/>
      <c r="F11" s="56">
        <v>2622.04</v>
      </c>
      <c r="H11" s="406">
        <f>SUM(F8:F10)</f>
        <v>2622.04</v>
      </c>
    </row>
    <row r="12" spans="1:8" ht="32.25" customHeight="1" thickTop="1">
      <c r="A12" s="39"/>
      <c r="B12" s="58" t="s">
        <v>32</v>
      </c>
      <c r="C12" s="59"/>
      <c r="D12" s="65"/>
      <c r="E12" s="66"/>
      <c r="F12" s="67"/>
    </row>
    <row r="13" spans="1:8" s="78" customFormat="1" ht="32.25" customHeight="1">
      <c r="A13" s="39">
        <v>1</v>
      </c>
      <c r="B13" s="71" t="s">
        <v>23</v>
      </c>
      <c r="C13" s="71" t="s">
        <v>33</v>
      </c>
      <c r="D13" s="74" t="s">
        <v>465</v>
      </c>
      <c r="E13" s="90" t="s">
        <v>470</v>
      </c>
      <c r="F13" s="76">
        <v>780</v>
      </c>
    </row>
    <row r="14" spans="1:8" s="78" customFormat="1" ht="32.25" customHeight="1">
      <c r="A14" s="39">
        <v>2</v>
      </c>
      <c r="B14" s="71" t="s">
        <v>27</v>
      </c>
      <c r="C14" s="71" t="s">
        <v>33</v>
      </c>
      <c r="D14" s="74" t="s">
        <v>465</v>
      </c>
      <c r="E14" s="94" t="s">
        <v>471</v>
      </c>
      <c r="F14" s="76">
        <v>150</v>
      </c>
    </row>
    <row r="15" spans="1:8" ht="32.25" customHeight="1" thickBot="1">
      <c r="A15" s="39"/>
      <c r="B15" s="50" t="s">
        <v>19</v>
      </c>
      <c r="C15" s="50"/>
      <c r="D15" s="101"/>
      <c r="E15" s="102"/>
      <c r="F15" s="103">
        <v>930</v>
      </c>
      <c r="H15" s="406">
        <f>SUM(F13:F14)</f>
        <v>930</v>
      </c>
    </row>
    <row r="16" spans="1:8" ht="32.25" hidden="1" customHeight="1" thickBot="1">
      <c r="A16" s="104" t="s">
        <v>36</v>
      </c>
      <c r="B16" s="104" t="s">
        <v>37</v>
      </c>
      <c r="C16" s="105">
        <v>780</v>
      </c>
      <c r="D16" s="65"/>
      <c r="E16" s="66"/>
      <c r="F16" s="67"/>
    </row>
    <row r="17" spans="1:6" ht="32.25" hidden="1" customHeight="1" thickTop="1">
      <c r="A17" s="104" t="s">
        <v>36</v>
      </c>
      <c r="B17" s="104" t="s">
        <v>38</v>
      </c>
      <c r="C17" s="105">
        <v>180</v>
      </c>
      <c r="D17" s="44"/>
      <c r="E17" s="45"/>
      <c r="F17" s="46"/>
    </row>
    <row r="18" spans="1:6" ht="32.25" hidden="1" customHeight="1" thickTop="1">
      <c r="A18" s="39"/>
      <c r="B18" s="50" t="s">
        <v>19</v>
      </c>
      <c r="C18" s="50"/>
      <c r="D18" s="54"/>
      <c r="E18" s="55"/>
      <c r="F18" s="56"/>
    </row>
    <row r="19" spans="1:6" ht="32.25" hidden="1" customHeight="1" thickTop="1">
      <c r="A19" s="39"/>
      <c r="B19" s="58" t="s">
        <v>39</v>
      </c>
      <c r="C19" s="59"/>
      <c r="D19" s="65"/>
      <c r="E19" s="66"/>
      <c r="F19" s="67"/>
    </row>
    <row r="20" spans="1:6" ht="32.25" hidden="1" customHeight="1" thickTop="1">
      <c r="A20" s="39">
        <v>1</v>
      </c>
      <c r="B20" s="40"/>
      <c r="C20" s="41"/>
      <c r="D20" s="44"/>
      <c r="E20" s="45"/>
      <c r="F20" s="46"/>
    </row>
    <row r="21" spans="1:6" ht="32.25" hidden="1" customHeight="1" thickTop="1">
      <c r="A21" s="39"/>
      <c r="B21" s="50" t="s">
        <v>19</v>
      </c>
      <c r="C21" s="50"/>
      <c r="D21" s="54"/>
      <c r="E21" s="55"/>
      <c r="F21" s="56"/>
    </row>
    <row r="22" spans="1:6" ht="32.25" hidden="1" customHeight="1" thickTop="1">
      <c r="A22" s="39"/>
      <c r="B22" s="58" t="s">
        <v>40</v>
      </c>
      <c r="C22" s="59"/>
      <c r="D22" s="65"/>
      <c r="E22" s="66"/>
      <c r="F22" s="67"/>
    </row>
    <row r="23" spans="1:6" ht="32.25" hidden="1" customHeight="1" thickTop="1">
      <c r="A23" s="39">
        <v>1</v>
      </c>
      <c r="B23" s="40"/>
      <c r="C23" s="41"/>
      <c r="D23" s="44"/>
      <c r="E23" s="45"/>
      <c r="F23" s="46"/>
    </row>
    <row r="24" spans="1:6" ht="32.25" hidden="1" customHeight="1" thickTop="1">
      <c r="A24" s="39"/>
      <c r="B24" s="50" t="s">
        <v>19</v>
      </c>
      <c r="C24" s="50"/>
      <c r="D24" s="54"/>
      <c r="E24" s="55"/>
      <c r="F24" s="56"/>
    </row>
    <row r="25" spans="1:6" ht="32.25" customHeight="1" thickTop="1">
      <c r="A25" s="39"/>
      <c r="B25" s="58" t="s">
        <v>41</v>
      </c>
      <c r="C25" s="59"/>
      <c r="D25" s="65"/>
      <c r="E25" s="66"/>
      <c r="F25" s="67"/>
    </row>
    <row r="26" spans="1:6" ht="32.25" customHeight="1">
      <c r="A26" s="106">
        <v>1</v>
      </c>
      <c r="B26" s="107" t="s">
        <v>482</v>
      </c>
      <c r="C26" s="107" t="s">
        <v>400</v>
      </c>
      <c r="D26" s="74" t="s">
        <v>472</v>
      </c>
      <c r="E26" s="75" t="s">
        <v>473</v>
      </c>
      <c r="F26" s="76">
        <v>321</v>
      </c>
    </row>
    <row r="27" spans="1:6" ht="32.25" customHeight="1">
      <c r="A27" s="106">
        <v>2</v>
      </c>
      <c r="B27" s="117" t="s">
        <v>483</v>
      </c>
      <c r="C27" s="107" t="s">
        <v>400</v>
      </c>
      <c r="D27" s="74" t="s">
        <v>474</v>
      </c>
      <c r="E27" s="75" t="s">
        <v>475</v>
      </c>
      <c r="F27" s="76">
        <v>321</v>
      </c>
    </row>
    <row r="28" spans="1:6" ht="32.25" customHeight="1">
      <c r="A28" s="106">
        <v>3</v>
      </c>
      <c r="B28" s="117" t="s">
        <v>484</v>
      </c>
      <c r="C28" s="107" t="s">
        <v>400</v>
      </c>
      <c r="D28" s="74" t="s">
        <v>474</v>
      </c>
      <c r="E28" s="75" t="s">
        <v>476</v>
      </c>
      <c r="F28" s="76">
        <v>321</v>
      </c>
    </row>
    <row r="29" spans="1:6" ht="32.25" customHeight="1">
      <c r="A29" s="106">
        <v>4</v>
      </c>
      <c r="B29" s="117" t="s">
        <v>485</v>
      </c>
      <c r="C29" s="107" t="s">
        <v>400</v>
      </c>
      <c r="D29" s="74" t="s">
        <v>474</v>
      </c>
      <c r="E29" s="75" t="s">
        <v>477</v>
      </c>
      <c r="F29" s="76">
        <v>321</v>
      </c>
    </row>
    <row r="30" spans="1:6" ht="32.25" customHeight="1">
      <c r="A30" s="106">
        <v>5</v>
      </c>
      <c r="B30" s="117" t="s">
        <v>486</v>
      </c>
      <c r="C30" s="107" t="s">
        <v>400</v>
      </c>
      <c r="D30" s="74" t="s">
        <v>474</v>
      </c>
      <c r="E30" s="75" t="s">
        <v>478</v>
      </c>
      <c r="F30" s="76">
        <v>321</v>
      </c>
    </row>
    <row r="31" spans="1:6" ht="32.25" customHeight="1">
      <c r="A31" s="106">
        <v>6</v>
      </c>
      <c r="B31" s="117" t="s">
        <v>487</v>
      </c>
      <c r="C31" s="107" t="s">
        <v>400</v>
      </c>
      <c r="D31" s="74" t="s">
        <v>479</v>
      </c>
      <c r="E31" s="75" t="s">
        <v>480</v>
      </c>
      <c r="F31" s="76">
        <v>321</v>
      </c>
    </row>
    <row r="32" spans="1:6" ht="32.25" customHeight="1">
      <c r="A32" s="106">
        <v>7</v>
      </c>
      <c r="B32" s="117" t="s">
        <v>488</v>
      </c>
      <c r="C32" s="107" t="s">
        <v>400</v>
      </c>
      <c r="D32" s="74" t="s">
        <v>479</v>
      </c>
      <c r="E32" s="75" t="s">
        <v>481</v>
      </c>
      <c r="F32" s="76">
        <v>321</v>
      </c>
    </row>
    <row r="33" spans="1:9" ht="32.25" customHeight="1" thickBot="1">
      <c r="A33" s="39"/>
      <c r="B33" s="50" t="s">
        <v>19</v>
      </c>
      <c r="C33" s="50"/>
      <c r="D33" s="55"/>
      <c r="E33" s="55"/>
      <c r="F33" s="140">
        <v>2247</v>
      </c>
      <c r="H33" s="406">
        <f>SUM(F26:F32)</f>
        <v>2247</v>
      </c>
      <c r="I33" s="406"/>
    </row>
    <row r="34" spans="1:9" ht="32.25" customHeight="1" thickTop="1">
      <c r="A34" s="39"/>
      <c r="B34" s="141" t="s">
        <v>50</v>
      </c>
      <c r="C34" s="142"/>
      <c r="D34" s="34"/>
      <c r="E34" s="35"/>
      <c r="F34" s="36"/>
    </row>
    <row r="35" spans="1:9" s="160" customFormat="1" ht="32.25" customHeight="1">
      <c r="A35" s="106">
        <v>1</v>
      </c>
      <c r="B35" s="142" t="s">
        <v>52</v>
      </c>
      <c r="C35" s="150" t="s">
        <v>53</v>
      </c>
      <c r="D35" s="154" t="s">
        <v>489</v>
      </c>
      <c r="E35" s="155" t="s">
        <v>490</v>
      </c>
      <c r="F35" s="156">
        <v>4140</v>
      </c>
    </row>
    <row r="36" spans="1:9" s="160" customFormat="1" ht="32.25" customHeight="1">
      <c r="A36" s="106">
        <v>2</v>
      </c>
      <c r="B36" s="142" t="s">
        <v>60</v>
      </c>
      <c r="C36" s="150" t="s">
        <v>61</v>
      </c>
      <c r="D36" s="154" t="s">
        <v>491</v>
      </c>
      <c r="E36" s="155" t="s">
        <v>492</v>
      </c>
      <c r="F36" s="156">
        <v>2070</v>
      </c>
    </row>
    <row r="37" spans="1:9" s="160" customFormat="1" ht="32.25" customHeight="1">
      <c r="A37" s="106">
        <v>3</v>
      </c>
      <c r="B37" s="142" t="s">
        <v>27</v>
      </c>
      <c r="C37" s="150" t="s">
        <v>64</v>
      </c>
      <c r="D37" s="154" t="s">
        <v>491</v>
      </c>
      <c r="E37" s="155" t="s">
        <v>493</v>
      </c>
      <c r="F37" s="156">
        <v>2070</v>
      </c>
    </row>
    <row r="38" spans="1:9" s="160" customFormat="1" ht="32.25" customHeight="1">
      <c r="A38" s="106">
        <v>4</v>
      </c>
      <c r="B38" s="168" t="s">
        <v>42</v>
      </c>
      <c r="C38" s="150" t="s">
        <v>67</v>
      </c>
      <c r="D38" s="154" t="s">
        <v>491</v>
      </c>
      <c r="E38" s="155" t="s">
        <v>494</v>
      </c>
      <c r="F38" s="156">
        <v>2070</v>
      </c>
    </row>
    <row r="39" spans="1:9" s="160" customFormat="1" ht="32.25" customHeight="1">
      <c r="A39" s="106">
        <v>5</v>
      </c>
      <c r="B39" s="142" t="s">
        <v>69</v>
      </c>
      <c r="C39" s="150" t="s">
        <v>70</v>
      </c>
      <c r="D39" s="154" t="s">
        <v>495</v>
      </c>
      <c r="E39" s="155" t="s">
        <v>496</v>
      </c>
      <c r="F39" s="156">
        <v>2070</v>
      </c>
    </row>
    <row r="40" spans="1:9" s="160" customFormat="1" ht="32.25" customHeight="1">
      <c r="A40" s="106">
        <v>6</v>
      </c>
      <c r="B40" s="142" t="s">
        <v>77</v>
      </c>
      <c r="C40" s="150" t="s">
        <v>78</v>
      </c>
      <c r="D40" s="154" t="s">
        <v>472</v>
      </c>
      <c r="E40" s="171" t="s">
        <v>497</v>
      </c>
      <c r="F40" s="156">
        <v>2070</v>
      </c>
    </row>
    <row r="41" spans="1:9" s="160" customFormat="1" ht="32.25" customHeight="1">
      <c r="A41" s="106">
        <v>7</v>
      </c>
      <c r="B41" s="142" t="s">
        <v>77</v>
      </c>
      <c r="C41" s="150" t="s">
        <v>81</v>
      </c>
      <c r="D41" s="154" t="s">
        <v>472</v>
      </c>
      <c r="E41" s="171" t="s">
        <v>497</v>
      </c>
      <c r="F41" s="156">
        <v>2070</v>
      </c>
    </row>
    <row r="42" spans="1:9" s="160" customFormat="1" ht="32.25" customHeight="1">
      <c r="A42" s="106">
        <v>8</v>
      </c>
      <c r="B42" s="142" t="s">
        <v>83</v>
      </c>
      <c r="C42" s="150" t="s">
        <v>84</v>
      </c>
      <c r="D42" s="154" t="s">
        <v>491</v>
      </c>
      <c r="E42" s="155" t="s">
        <v>498</v>
      </c>
      <c r="F42" s="156">
        <v>2070</v>
      </c>
    </row>
    <row r="43" spans="1:9" s="160" customFormat="1" ht="32.25" customHeight="1">
      <c r="A43" s="106">
        <v>9</v>
      </c>
      <c r="B43" s="142" t="s">
        <v>87</v>
      </c>
      <c r="C43" s="150" t="s">
        <v>88</v>
      </c>
      <c r="D43" s="154" t="s">
        <v>495</v>
      </c>
      <c r="E43" s="171" t="s">
        <v>499</v>
      </c>
      <c r="F43" s="156">
        <v>2070</v>
      </c>
    </row>
    <row r="44" spans="1:9" s="160" customFormat="1" ht="32.25" customHeight="1">
      <c r="A44" s="106">
        <v>10</v>
      </c>
      <c r="B44" s="142" t="s">
        <v>99</v>
      </c>
      <c r="C44" s="174" t="s">
        <v>100</v>
      </c>
      <c r="D44" s="154" t="s">
        <v>491</v>
      </c>
      <c r="E44" s="171" t="s">
        <v>500</v>
      </c>
      <c r="F44" s="178">
        <v>37375</v>
      </c>
    </row>
    <row r="45" spans="1:9" s="160" customFormat="1" ht="32.25" customHeight="1">
      <c r="A45" s="106">
        <v>11</v>
      </c>
      <c r="B45" s="142" t="s">
        <v>103</v>
      </c>
      <c r="C45" s="174" t="s">
        <v>104</v>
      </c>
      <c r="D45" s="154" t="s">
        <v>501</v>
      </c>
      <c r="E45" s="171" t="s">
        <v>502</v>
      </c>
      <c r="F45" s="178">
        <v>15525</v>
      </c>
    </row>
    <row r="46" spans="1:9" s="160" customFormat="1" ht="32.25" customHeight="1">
      <c r="A46" s="106">
        <v>12</v>
      </c>
      <c r="B46" s="142" t="s">
        <v>107</v>
      </c>
      <c r="C46" s="174" t="s">
        <v>108</v>
      </c>
      <c r="D46" s="154" t="s">
        <v>491</v>
      </c>
      <c r="E46" s="155" t="s">
        <v>503</v>
      </c>
      <c r="F46" s="178">
        <v>14000</v>
      </c>
    </row>
    <row r="47" spans="1:9" s="160" customFormat="1" ht="32.25" customHeight="1">
      <c r="A47" s="106">
        <v>13</v>
      </c>
      <c r="B47" s="142" t="s">
        <v>111</v>
      </c>
      <c r="C47" s="142" t="s">
        <v>112</v>
      </c>
      <c r="D47" s="154" t="s">
        <v>489</v>
      </c>
      <c r="E47" s="155" t="s">
        <v>504</v>
      </c>
      <c r="F47" s="178">
        <v>7000</v>
      </c>
    </row>
    <row r="48" spans="1:9" s="160" customFormat="1" ht="32.25" customHeight="1">
      <c r="A48" s="106">
        <v>14</v>
      </c>
      <c r="B48" s="142" t="s">
        <v>30</v>
      </c>
      <c r="C48" s="174" t="s">
        <v>115</v>
      </c>
      <c r="D48" s="154" t="s">
        <v>468</v>
      </c>
      <c r="E48" s="155" t="s">
        <v>505</v>
      </c>
      <c r="F48" s="178">
        <v>3970</v>
      </c>
    </row>
    <row r="49" spans="1:8" s="160" customFormat="1" ht="32.25" customHeight="1">
      <c r="A49" s="106">
        <v>15</v>
      </c>
      <c r="B49" s="142" t="s">
        <v>23</v>
      </c>
      <c r="C49" s="174" t="s">
        <v>126</v>
      </c>
      <c r="D49" s="154" t="s">
        <v>491</v>
      </c>
      <c r="E49" s="155" t="s">
        <v>506</v>
      </c>
      <c r="F49" s="178">
        <v>4600</v>
      </c>
    </row>
    <row r="50" spans="1:8" ht="32.25" customHeight="1" thickBot="1">
      <c r="A50" s="39"/>
      <c r="B50" s="50" t="s">
        <v>19</v>
      </c>
      <c r="C50" s="50"/>
      <c r="D50" s="54"/>
      <c r="E50" s="55"/>
      <c r="F50" s="56">
        <v>103170</v>
      </c>
      <c r="H50" s="499">
        <f>SUM(F35:F49)</f>
        <v>103170</v>
      </c>
    </row>
    <row r="51" spans="1:8" ht="32.25" customHeight="1" thickTop="1">
      <c r="A51" s="39"/>
      <c r="B51" s="141" t="s">
        <v>129</v>
      </c>
      <c r="C51" s="142"/>
      <c r="D51" s="34"/>
      <c r="E51" s="35"/>
      <c r="F51" s="36"/>
    </row>
    <row r="52" spans="1:8" ht="32.25" customHeight="1">
      <c r="A52" s="106">
        <v>1</v>
      </c>
      <c r="B52" s="142" t="s">
        <v>141</v>
      </c>
      <c r="C52" s="193" t="s">
        <v>142</v>
      </c>
      <c r="D52" s="209" t="s">
        <v>507</v>
      </c>
      <c r="E52" s="210" t="s">
        <v>508</v>
      </c>
      <c r="F52" s="36">
        <v>11245</v>
      </c>
    </row>
    <row r="53" spans="1:8" s="259" customFormat="1" ht="32.25" customHeight="1">
      <c r="A53" s="241">
        <v>2</v>
      </c>
      <c r="B53" s="242" t="s">
        <v>52</v>
      </c>
      <c r="C53" s="243" t="s">
        <v>155</v>
      </c>
      <c r="D53" s="251" t="s">
        <v>509</v>
      </c>
      <c r="E53" s="252" t="s">
        <v>510</v>
      </c>
      <c r="F53" s="253">
        <v>1300</v>
      </c>
    </row>
    <row r="54" spans="1:8" ht="32.25" customHeight="1" thickBot="1">
      <c r="A54" s="39"/>
      <c r="B54" s="50" t="s">
        <v>19</v>
      </c>
      <c r="C54" s="50"/>
      <c r="D54" s="51">
        <v>0</v>
      </c>
      <c r="E54" s="51">
        <v>0</v>
      </c>
      <c r="F54" s="51">
        <v>12545</v>
      </c>
      <c r="H54" s="406">
        <f>SUM(F52:F53)</f>
        <v>12545</v>
      </c>
    </row>
    <row r="55" spans="1:8" ht="32.25" customHeight="1" thickTop="1">
      <c r="A55" s="39"/>
      <c r="B55" s="141" t="s">
        <v>167</v>
      </c>
      <c r="C55" s="142"/>
      <c r="D55" s="34"/>
      <c r="E55" s="35"/>
      <c r="F55" s="36"/>
    </row>
    <row r="56" spans="1:8" s="160" customFormat="1" ht="32.25" customHeight="1">
      <c r="A56" s="106">
        <v>1</v>
      </c>
      <c r="B56" s="142" t="s">
        <v>23</v>
      </c>
      <c r="C56" s="142" t="s">
        <v>168</v>
      </c>
      <c r="D56" s="276" t="s">
        <v>491</v>
      </c>
      <c r="E56" s="277" t="s">
        <v>511</v>
      </c>
      <c r="F56" s="278">
        <v>10925</v>
      </c>
    </row>
    <row r="57" spans="1:8" s="160" customFormat="1" ht="32.25" customHeight="1">
      <c r="A57" s="106">
        <v>2</v>
      </c>
      <c r="B57" s="142" t="s">
        <v>69</v>
      </c>
      <c r="C57" s="142" t="s">
        <v>170</v>
      </c>
      <c r="D57" s="276" t="s">
        <v>495</v>
      </c>
      <c r="E57" s="277" t="s">
        <v>512</v>
      </c>
      <c r="F57" s="278">
        <v>920</v>
      </c>
    </row>
    <row r="58" spans="1:8" s="160" customFormat="1" ht="32.25" customHeight="1">
      <c r="A58" s="106">
        <v>3</v>
      </c>
      <c r="B58" s="142" t="s">
        <v>27</v>
      </c>
      <c r="C58" s="142" t="s">
        <v>172</v>
      </c>
      <c r="D58" s="276" t="s">
        <v>491</v>
      </c>
      <c r="E58" s="277" t="s">
        <v>513</v>
      </c>
      <c r="F58" s="278">
        <v>1100</v>
      </c>
    </row>
    <row r="59" spans="1:8" s="160" customFormat="1" ht="32.25" customHeight="1">
      <c r="A59" s="106">
        <v>4</v>
      </c>
      <c r="B59" s="142" t="s">
        <v>77</v>
      </c>
      <c r="C59" s="142" t="s">
        <v>174</v>
      </c>
      <c r="D59" s="276" t="s">
        <v>472</v>
      </c>
      <c r="E59" s="277" t="s">
        <v>514</v>
      </c>
      <c r="F59" s="278">
        <v>920</v>
      </c>
    </row>
    <row r="60" spans="1:8" s="160" customFormat="1" ht="32.25" customHeight="1">
      <c r="A60" s="106">
        <v>5</v>
      </c>
      <c r="B60" s="142" t="s">
        <v>176</v>
      </c>
      <c r="C60" s="142" t="s">
        <v>177</v>
      </c>
      <c r="D60" s="276" t="s">
        <v>515</v>
      </c>
      <c r="E60" s="277" t="s">
        <v>516</v>
      </c>
      <c r="F60" s="278">
        <v>2300</v>
      </c>
    </row>
    <row r="61" spans="1:8" ht="32.25" customHeight="1" thickBot="1">
      <c r="A61" s="39"/>
      <c r="B61" s="50" t="s">
        <v>19</v>
      </c>
      <c r="C61" s="50"/>
      <c r="D61" s="54"/>
      <c r="E61" s="55"/>
      <c r="F61" s="56">
        <v>16165</v>
      </c>
      <c r="H61" s="499">
        <f>SUM(F56:F60)</f>
        <v>16165</v>
      </c>
    </row>
    <row r="62" spans="1:8" ht="32.25" hidden="1" customHeight="1" thickBot="1">
      <c r="A62" s="39"/>
      <c r="B62" s="58" t="s">
        <v>184</v>
      </c>
      <c r="C62" s="59"/>
      <c r="D62" s="65"/>
      <c r="E62" s="66"/>
      <c r="F62" s="67"/>
    </row>
    <row r="63" spans="1:8" ht="32.25" hidden="1" customHeight="1" thickTop="1">
      <c r="A63" s="39">
        <v>1</v>
      </c>
      <c r="B63" s="40"/>
      <c r="C63" s="41"/>
      <c r="D63" s="44"/>
      <c r="E63" s="45"/>
      <c r="F63" s="46"/>
    </row>
    <row r="64" spans="1:8" ht="32.25" hidden="1" customHeight="1" thickTop="1">
      <c r="A64" s="39"/>
      <c r="B64" s="50" t="s">
        <v>19</v>
      </c>
      <c r="C64" s="50"/>
      <c r="D64" s="54"/>
      <c r="E64" s="55"/>
      <c r="F64" s="56"/>
    </row>
    <row r="65" spans="1:8" ht="32.25" hidden="1" customHeight="1" thickTop="1">
      <c r="A65" s="39"/>
      <c r="B65" s="58" t="s">
        <v>185</v>
      </c>
      <c r="C65" s="59"/>
      <c r="D65" s="65"/>
      <c r="E65" s="66"/>
      <c r="F65" s="67"/>
    </row>
    <row r="66" spans="1:8" ht="32.25" hidden="1" customHeight="1" thickTop="1">
      <c r="A66" s="39">
        <v>1</v>
      </c>
      <c r="B66" s="40"/>
      <c r="C66" s="41"/>
      <c r="D66" s="284"/>
      <c r="E66" s="285"/>
      <c r="F66" s="286"/>
    </row>
    <row r="67" spans="1:8" ht="32.25" hidden="1" customHeight="1" thickTop="1">
      <c r="A67" s="39"/>
      <c r="B67" s="50" t="s">
        <v>19</v>
      </c>
      <c r="C67" s="50"/>
      <c r="D67" s="54"/>
      <c r="E67" s="55"/>
      <c r="F67" s="56"/>
    </row>
    <row r="68" spans="1:8" ht="32.25" customHeight="1" thickTop="1">
      <c r="A68" s="39"/>
      <c r="B68" s="58" t="s">
        <v>186</v>
      </c>
      <c r="C68" s="59"/>
      <c r="D68" s="65"/>
      <c r="E68" s="66"/>
      <c r="F68" s="67"/>
    </row>
    <row r="69" spans="1:8" s="160" customFormat="1" ht="32.25" customHeight="1">
      <c r="A69" s="116">
        <v>1</v>
      </c>
      <c r="B69" s="41" t="s">
        <v>23</v>
      </c>
      <c r="C69" s="41" t="s">
        <v>187</v>
      </c>
      <c r="D69" s="288" t="s">
        <v>491</v>
      </c>
      <c r="E69" s="289" t="s">
        <v>517</v>
      </c>
      <c r="F69" s="290">
        <v>2140</v>
      </c>
    </row>
    <row r="70" spans="1:8" s="160" customFormat="1" ht="32.25" customHeight="1">
      <c r="A70" s="116">
        <v>2</v>
      </c>
      <c r="B70" s="142" t="s">
        <v>23</v>
      </c>
      <c r="C70" s="142" t="s">
        <v>189</v>
      </c>
      <c r="D70" s="296" t="s">
        <v>518</v>
      </c>
      <c r="E70" s="297" t="s">
        <v>519</v>
      </c>
      <c r="F70" s="290">
        <v>22309.5</v>
      </c>
    </row>
    <row r="71" spans="1:8" s="160" customFormat="1" ht="32.25" customHeight="1">
      <c r="A71" s="116">
        <v>3</v>
      </c>
      <c r="B71" s="142" t="s">
        <v>192</v>
      </c>
      <c r="C71" s="142" t="s">
        <v>193</v>
      </c>
      <c r="D71" s="288" t="s">
        <v>468</v>
      </c>
      <c r="E71" s="289" t="s">
        <v>520</v>
      </c>
      <c r="F71" s="290">
        <v>802.5</v>
      </c>
    </row>
    <row r="72" spans="1:8" ht="32.25" customHeight="1">
      <c r="A72" s="106">
        <v>4</v>
      </c>
      <c r="B72" s="300" t="s">
        <v>195</v>
      </c>
      <c r="C72" s="300" t="s">
        <v>193</v>
      </c>
      <c r="D72" s="288" t="s">
        <v>521</v>
      </c>
      <c r="E72" s="289" t="s">
        <v>522</v>
      </c>
      <c r="F72" s="290">
        <v>2921.1</v>
      </c>
    </row>
    <row r="73" spans="1:8" ht="32.25" customHeight="1">
      <c r="A73" s="39">
        <v>5</v>
      </c>
      <c r="B73" s="142" t="s">
        <v>526</v>
      </c>
      <c r="C73" s="142" t="s">
        <v>193</v>
      </c>
      <c r="D73" s="306" t="s">
        <v>509</v>
      </c>
      <c r="E73" s="307" t="s">
        <v>524</v>
      </c>
      <c r="F73" s="308">
        <v>3370.5</v>
      </c>
    </row>
    <row r="74" spans="1:8" ht="32.25" customHeight="1">
      <c r="A74" s="39">
        <v>6</v>
      </c>
      <c r="B74" s="142" t="s">
        <v>403</v>
      </c>
      <c r="C74" s="142" t="s">
        <v>193</v>
      </c>
      <c r="D74" s="34" t="s">
        <v>507</v>
      </c>
      <c r="E74" s="35" t="s">
        <v>525</v>
      </c>
      <c r="F74" s="36">
        <v>2150.6999999999998</v>
      </c>
    </row>
    <row r="75" spans="1:8" ht="32.25" customHeight="1" thickBot="1">
      <c r="A75" s="39"/>
      <c r="B75" s="50" t="s">
        <v>19</v>
      </c>
      <c r="C75" s="50"/>
      <c r="D75" s="54"/>
      <c r="E75" s="55"/>
      <c r="F75" s="56">
        <v>33694.299999999996</v>
      </c>
      <c r="H75" s="406">
        <f>SUM(F69:F74)</f>
        <v>33694.299999999996</v>
      </c>
    </row>
    <row r="76" spans="1:8" ht="32.25" customHeight="1" thickTop="1">
      <c r="A76" s="39"/>
      <c r="B76" s="58" t="s">
        <v>207</v>
      </c>
      <c r="C76" s="59"/>
      <c r="D76" s="65"/>
      <c r="E76" s="66"/>
      <c r="F76" s="67"/>
    </row>
    <row r="77" spans="1:8" ht="32.25" customHeight="1">
      <c r="A77" s="39">
        <v>1</v>
      </c>
      <c r="B77" s="40" t="s">
        <v>69</v>
      </c>
      <c r="C77" s="41" t="s">
        <v>208</v>
      </c>
      <c r="D77" s="343" t="s">
        <v>407</v>
      </c>
      <c r="E77" s="344" t="s">
        <v>454</v>
      </c>
      <c r="F77" s="345">
        <v>100</v>
      </c>
    </row>
    <row r="78" spans="1:8" ht="32.25" customHeight="1" thickBot="1">
      <c r="A78" s="39"/>
      <c r="B78" s="50" t="s">
        <v>19</v>
      </c>
      <c r="C78" s="50"/>
      <c r="D78" s="54"/>
      <c r="E78" s="55"/>
      <c r="F78" s="56">
        <v>100</v>
      </c>
      <c r="H78" s="406">
        <f>SUM(F77)</f>
        <v>100</v>
      </c>
    </row>
    <row r="79" spans="1:8" ht="32.25" customHeight="1" thickTop="1">
      <c r="A79" s="39"/>
      <c r="B79" s="141" t="s">
        <v>210</v>
      </c>
      <c r="C79" s="142"/>
      <c r="D79" s="34"/>
      <c r="E79" s="35"/>
      <c r="F79" s="36"/>
    </row>
    <row r="80" spans="1:8" s="160" customFormat="1" ht="32.25" customHeight="1">
      <c r="A80" s="106">
        <v>1</v>
      </c>
      <c r="B80" s="142" t="s">
        <v>52</v>
      </c>
      <c r="C80" s="174" t="s">
        <v>211</v>
      </c>
      <c r="D80" s="343" t="s">
        <v>489</v>
      </c>
      <c r="E80" s="277" t="s">
        <v>527</v>
      </c>
      <c r="F80" s="278">
        <v>518</v>
      </c>
    </row>
    <row r="81" spans="1:8" s="160" customFormat="1" ht="32.25" customHeight="1">
      <c r="A81" s="106">
        <v>2</v>
      </c>
      <c r="B81" s="142" t="s">
        <v>60</v>
      </c>
      <c r="C81" s="174" t="s">
        <v>215</v>
      </c>
      <c r="D81" s="343" t="s">
        <v>491</v>
      </c>
      <c r="E81" s="277" t="s">
        <v>528</v>
      </c>
      <c r="F81" s="278">
        <v>259</v>
      </c>
    </row>
    <row r="82" spans="1:8" s="160" customFormat="1" ht="32.25" customHeight="1">
      <c r="A82" s="106">
        <v>3</v>
      </c>
      <c r="B82" s="142" t="s">
        <v>27</v>
      </c>
      <c r="C82" s="174" t="s">
        <v>217</v>
      </c>
      <c r="D82" s="343" t="s">
        <v>491</v>
      </c>
      <c r="E82" s="277" t="s">
        <v>529</v>
      </c>
      <c r="F82" s="278">
        <v>259</v>
      </c>
    </row>
    <row r="83" spans="1:8" s="160" customFormat="1" ht="32.25" customHeight="1">
      <c r="A83" s="106">
        <v>4</v>
      </c>
      <c r="B83" s="168" t="s">
        <v>42</v>
      </c>
      <c r="C83" s="174" t="s">
        <v>219</v>
      </c>
      <c r="D83" s="343" t="s">
        <v>491</v>
      </c>
      <c r="E83" s="277" t="s">
        <v>530</v>
      </c>
      <c r="F83" s="278">
        <v>259</v>
      </c>
    </row>
    <row r="84" spans="1:8" s="160" customFormat="1" ht="32.25" customHeight="1">
      <c r="A84" s="106">
        <v>5</v>
      </c>
      <c r="B84" s="142" t="s">
        <v>69</v>
      </c>
      <c r="C84" s="174" t="s">
        <v>221</v>
      </c>
      <c r="D84" s="343" t="s">
        <v>495</v>
      </c>
      <c r="E84" s="277" t="s">
        <v>531</v>
      </c>
      <c r="F84" s="278">
        <v>259</v>
      </c>
    </row>
    <row r="85" spans="1:8" s="160" customFormat="1" ht="32.25" customHeight="1">
      <c r="A85" s="106">
        <v>6</v>
      </c>
      <c r="B85" s="142" t="s">
        <v>77</v>
      </c>
      <c r="C85" s="174" t="s">
        <v>224</v>
      </c>
      <c r="D85" s="343" t="s">
        <v>472</v>
      </c>
      <c r="E85" s="277" t="s">
        <v>532</v>
      </c>
      <c r="F85" s="278">
        <v>259</v>
      </c>
    </row>
    <row r="86" spans="1:8" s="160" customFormat="1" ht="32.25" customHeight="1">
      <c r="A86" s="106">
        <v>7</v>
      </c>
      <c r="B86" s="142" t="s">
        <v>77</v>
      </c>
      <c r="C86" s="174" t="s">
        <v>226</v>
      </c>
      <c r="D86" s="343" t="s">
        <v>472</v>
      </c>
      <c r="E86" s="277" t="s">
        <v>532</v>
      </c>
      <c r="F86" s="278">
        <v>259</v>
      </c>
    </row>
    <row r="87" spans="1:8" s="160" customFormat="1" ht="32.25" customHeight="1">
      <c r="A87" s="106">
        <v>8</v>
      </c>
      <c r="B87" s="142" t="s">
        <v>83</v>
      </c>
      <c r="C87" s="174" t="s">
        <v>228</v>
      </c>
      <c r="D87" s="343" t="s">
        <v>491</v>
      </c>
      <c r="E87" s="277" t="s">
        <v>533</v>
      </c>
      <c r="F87" s="278">
        <v>259</v>
      </c>
    </row>
    <row r="88" spans="1:8" s="160" customFormat="1" ht="32.25" customHeight="1">
      <c r="A88" s="106">
        <v>9</v>
      </c>
      <c r="B88" s="142" t="s">
        <v>87</v>
      </c>
      <c r="C88" s="174" t="s">
        <v>230</v>
      </c>
      <c r="D88" s="343" t="s">
        <v>495</v>
      </c>
      <c r="E88" s="277" t="s">
        <v>534</v>
      </c>
      <c r="F88" s="278">
        <v>259</v>
      </c>
    </row>
    <row r="89" spans="1:8" s="160" customFormat="1" ht="32.25" customHeight="1">
      <c r="A89" s="106">
        <v>10</v>
      </c>
      <c r="B89" s="142" t="s">
        <v>99</v>
      </c>
      <c r="C89" s="174" t="s">
        <v>238</v>
      </c>
      <c r="D89" s="343" t="s">
        <v>491</v>
      </c>
      <c r="E89" s="277" t="s">
        <v>535</v>
      </c>
      <c r="F89" s="278">
        <v>6750</v>
      </c>
    </row>
    <row r="90" spans="1:8" s="160" customFormat="1" ht="32.25" customHeight="1">
      <c r="A90" s="106">
        <v>11</v>
      </c>
      <c r="B90" s="142" t="s">
        <v>141</v>
      </c>
      <c r="C90" s="193" t="s">
        <v>240</v>
      </c>
      <c r="D90" s="363" t="s">
        <v>507</v>
      </c>
      <c r="E90" s="366" t="s">
        <v>536</v>
      </c>
      <c r="F90" s="367">
        <v>1374</v>
      </c>
    </row>
    <row r="91" spans="1:8" ht="32.25" customHeight="1">
      <c r="A91" s="106">
        <v>12</v>
      </c>
      <c r="B91" s="222" t="s">
        <v>52</v>
      </c>
      <c r="C91" s="193" t="s">
        <v>243</v>
      </c>
      <c r="D91" s="358" t="s">
        <v>509</v>
      </c>
      <c r="E91" s="359" t="s">
        <v>537</v>
      </c>
      <c r="F91" s="371">
        <v>138</v>
      </c>
    </row>
    <row r="92" spans="1:8" ht="32.25" customHeight="1" thickBot="1">
      <c r="A92" s="39"/>
      <c r="B92" s="50" t="s">
        <v>19</v>
      </c>
      <c r="C92" s="50"/>
      <c r="D92" s="54"/>
      <c r="E92" s="55"/>
      <c r="F92" s="56">
        <v>10852</v>
      </c>
      <c r="H92" s="499">
        <f>SUM(F80:F91)</f>
        <v>10852</v>
      </c>
    </row>
    <row r="93" spans="1:8" ht="32.25" customHeight="1" thickTop="1" thickBot="1">
      <c r="A93" s="396"/>
      <c r="B93" s="397" t="s">
        <v>309</v>
      </c>
      <c r="C93" s="398"/>
      <c r="D93" s="399">
        <v>0</v>
      </c>
      <c r="E93" s="399">
        <v>0</v>
      </c>
      <c r="F93" s="399">
        <v>182325.33999999997</v>
      </c>
      <c r="H93" s="500">
        <f>SUM(H11:H92)</f>
        <v>182325.33999999997</v>
      </c>
    </row>
    <row r="94" spans="1:8" ht="17.399999999999999" thickTop="1">
      <c r="D94" s="404"/>
      <c r="E94" s="404"/>
      <c r="F94" s="2"/>
    </row>
    <row r="95" spans="1:8">
      <c r="D95" s="404"/>
      <c r="E95" s="404"/>
      <c r="F95" s="2"/>
    </row>
    <row r="96" spans="1:8">
      <c r="D96" s="404"/>
      <c r="E96" s="404"/>
      <c r="F96" s="2"/>
    </row>
    <row r="97" spans="1:6">
      <c r="D97" s="404"/>
      <c r="E97" s="404"/>
      <c r="F97" s="2"/>
    </row>
    <row r="98" spans="1:6">
      <c r="D98" s="404"/>
      <c r="E98" s="404"/>
      <c r="F98" s="2"/>
    </row>
    <row r="99" spans="1:6" s="406" customFormat="1" ht="32.25" customHeight="1">
      <c r="A99" s="2"/>
      <c r="B99" s="643"/>
      <c r="C99" s="642"/>
      <c r="D99" s="410"/>
      <c r="E99" s="411"/>
      <c r="F99" s="417"/>
    </row>
    <row r="100" spans="1:6" s="406" customFormat="1" ht="32.25" customHeight="1">
      <c r="A100" s="2"/>
      <c r="B100" s="413"/>
      <c r="C100" s="415"/>
      <c r="D100" s="2"/>
      <c r="E100" s="411"/>
      <c r="F100" s="416"/>
    </row>
    <row r="101" spans="1:6" s="406" customFormat="1" ht="32.25" customHeight="1">
      <c r="A101" s="2"/>
      <c r="B101" s="413"/>
      <c r="C101" s="409"/>
      <c r="D101" s="410"/>
      <c r="E101" s="641"/>
      <c r="F101" s="642"/>
    </row>
  </sheetData>
  <mergeCells count="8">
    <mergeCell ref="E101:F101"/>
    <mergeCell ref="B99:C99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A36D-FA2C-4E1E-AA43-1FBE5B41BD24}">
  <sheetPr>
    <tabColor rgb="FFFFC000"/>
  </sheetPr>
  <dimension ref="A1:I43"/>
  <sheetViews>
    <sheetView zoomScale="70" zoomScaleNormal="70" workbookViewId="0">
      <pane ySplit="6" topLeftCell="A14" activePane="bottomLeft" state="frozen"/>
      <selection pane="bottomLeft" activeCell="D37" sqref="D37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31.44140625" style="439" customWidth="1"/>
    <col min="5" max="5" width="20.5546875" style="404" customWidth="1"/>
    <col min="6" max="6" width="8.109375" style="405" customWidth="1"/>
    <col min="7" max="7" width="20" style="2" customWidth="1"/>
    <col min="8" max="16384" width="12.5546875" style="2"/>
  </cols>
  <sheetData>
    <row r="1" spans="1:9" ht="22.5" customHeight="1">
      <c r="A1" s="643" t="s">
        <v>0</v>
      </c>
      <c r="B1" s="642"/>
      <c r="C1" s="642"/>
      <c r="D1" s="642"/>
      <c r="E1" s="642"/>
      <c r="F1" s="642"/>
      <c r="G1" s="642"/>
    </row>
    <row r="2" spans="1:9" ht="27" customHeight="1">
      <c r="A2" s="643" t="s">
        <v>1</v>
      </c>
      <c r="B2" s="642"/>
      <c r="C2" s="642"/>
      <c r="D2" s="642"/>
      <c r="E2" s="642"/>
      <c r="F2" s="642"/>
      <c r="G2" s="642"/>
    </row>
    <row r="3" spans="1:9" ht="22.5" customHeight="1">
      <c r="A3" s="644" t="s">
        <v>464</v>
      </c>
      <c r="B3" s="645"/>
      <c r="C3" s="645"/>
      <c r="D3" s="645"/>
      <c r="E3" s="645"/>
      <c r="F3" s="645"/>
      <c r="G3" s="645"/>
    </row>
    <row r="4" spans="1:9" ht="34.5" customHeight="1">
      <c r="A4" s="3" t="s">
        <v>3</v>
      </c>
      <c r="B4" s="646" t="s">
        <v>4</v>
      </c>
      <c r="C4" s="646" t="s">
        <v>5</v>
      </c>
      <c r="D4" s="426"/>
      <c r="E4" s="658" t="s">
        <v>9</v>
      </c>
      <c r="F4" s="656"/>
      <c r="G4" s="657"/>
    </row>
    <row r="5" spans="1:9" ht="24.75" customHeight="1">
      <c r="A5" s="5"/>
      <c r="B5" s="647"/>
      <c r="C5" s="647"/>
      <c r="D5" s="427" t="s">
        <v>392</v>
      </c>
      <c r="E5" s="3" t="s">
        <v>10</v>
      </c>
      <c r="F5" s="12" t="s">
        <v>11</v>
      </c>
      <c r="G5" s="419"/>
    </row>
    <row r="6" spans="1:9" ht="27.75" customHeight="1">
      <c r="A6" s="14"/>
      <c r="B6" s="648"/>
      <c r="C6" s="648"/>
      <c r="D6" s="428"/>
      <c r="E6" s="14"/>
      <c r="F6" s="24"/>
      <c r="G6" s="20" t="s">
        <v>19</v>
      </c>
    </row>
    <row r="7" spans="1:9" ht="32.25" customHeight="1">
      <c r="A7" s="39"/>
      <c r="B7" s="141" t="s">
        <v>50</v>
      </c>
      <c r="C7" s="142"/>
      <c r="D7" s="429"/>
      <c r="E7" s="114"/>
      <c r="F7" s="115"/>
      <c r="G7" s="145"/>
    </row>
    <row r="8" spans="1:9" s="160" customFormat="1" ht="32.25" customHeight="1">
      <c r="A8" s="106">
        <v>1</v>
      </c>
      <c r="B8" s="142" t="s">
        <v>52</v>
      </c>
      <c r="C8" s="150" t="s">
        <v>53</v>
      </c>
      <c r="D8" s="430">
        <v>2070</v>
      </c>
      <c r="E8" s="157"/>
      <c r="F8" s="158"/>
      <c r="G8" s="159"/>
    </row>
    <row r="9" spans="1:9" ht="30" customHeight="1">
      <c r="A9" s="106">
        <v>1</v>
      </c>
      <c r="B9" s="142" t="s">
        <v>130</v>
      </c>
      <c r="C9" s="193" t="s">
        <v>131</v>
      </c>
      <c r="D9" s="433">
        <v>1610</v>
      </c>
      <c r="E9" s="202"/>
      <c r="F9" s="203"/>
      <c r="G9" s="207"/>
    </row>
    <row r="10" spans="1:9" ht="32.25" customHeight="1">
      <c r="A10" s="106">
        <v>2</v>
      </c>
      <c r="B10" s="142" t="s">
        <v>141</v>
      </c>
      <c r="C10" s="193" t="s">
        <v>142</v>
      </c>
      <c r="D10" s="433">
        <v>9370.82</v>
      </c>
      <c r="E10" s="214"/>
      <c r="F10" s="212"/>
      <c r="G10" s="207"/>
    </row>
    <row r="11" spans="1:9" ht="32.25" customHeight="1">
      <c r="A11" s="106">
        <v>3</v>
      </c>
      <c r="B11" s="142" t="s">
        <v>145</v>
      </c>
      <c r="C11" s="193" t="s">
        <v>146</v>
      </c>
      <c r="D11" s="433">
        <v>233.37</v>
      </c>
      <c r="E11" s="220"/>
      <c r="F11" s="115"/>
      <c r="G11" s="207"/>
    </row>
    <row r="12" spans="1:9" s="230" customFormat="1" ht="32.25" customHeight="1">
      <c r="A12" s="106">
        <v>4</v>
      </c>
      <c r="B12" s="222" t="s">
        <v>149</v>
      </c>
      <c r="C12" s="222" t="s">
        <v>150</v>
      </c>
      <c r="D12" s="469">
        <v>6061.47</v>
      </c>
      <c r="E12" s="227"/>
      <c r="F12" s="228"/>
      <c r="G12" s="207"/>
    </row>
    <row r="13" spans="1:9" s="237" customFormat="1" ht="32.25" customHeight="1">
      <c r="A13" s="106">
        <v>5</v>
      </c>
      <c r="B13" s="222" t="s">
        <v>152</v>
      </c>
      <c r="C13" s="193" t="s">
        <v>153</v>
      </c>
      <c r="D13" s="433">
        <v>3354.12</v>
      </c>
      <c r="E13" s="227"/>
      <c r="F13" s="228"/>
      <c r="G13" s="207"/>
      <c r="H13" s="2"/>
      <c r="I13" s="2"/>
    </row>
    <row r="14" spans="1:9" s="259" customFormat="1" ht="32.25" customHeight="1">
      <c r="A14" s="241">
        <v>6</v>
      </c>
      <c r="B14" s="242" t="s">
        <v>52</v>
      </c>
      <c r="C14" s="243" t="s">
        <v>155</v>
      </c>
      <c r="D14" s="470">
        <v>1083.32</v>
      </c>
      <c r="E14" s="254"/>
      <c r="F14" s="255"/>
      <c r="G14" s="207"/>
    </row>
    <row r="15" spans="1:9" ht="41.25" customHeight="1">
      <c r="A15" s="106">
        <v>7</v>
      </c>
      <c r="B15" s="142" t="s">
        <v>158</v>
      </c>
      <c r="C15" s="142" t="s">
        <v>159</v>
      </c>
      <c r="D15" s="429">
        <v>1149.98</v>
      </c>
      <c r="E15" s="214"/>
      <c r="F15" s="212"/>
      <c r="G15" s="207"/>
    </row>
    <row r="16" spans="1:9" ht="32.25" customHeight="1" thickBot="1">
      <c r="A16" s="39"/>
      <c r="B16" s="50" t="s">
        <v>19</v>
      </c>
      <c r="C16" s="50"/>
      <c r="D16" s="432"/>
      <c r="E16" s="51"/>
      <c r="F16" s="51">
        <v>0</v>
      </c>
      <c r="G16" s="51">
        <v>-1.8189894035458565E-12</v>
      </c>
    </row>
    <row r="17" spans="1:9" ht="32.25" hidden="1" customHeight="1" thickBot="1">
      <c r="A17" s="39"/>
      <c r="B17" s="58" t="s">
        <v>184</v>
      </c>
      <c r="C17" s="59"/>
      <c r="D17" s="434"/>
      <c r="E17" s="68"/>
      <c r="F17" s="62"/>
      <c r="G17" s="70"/>
    </row>
    <row r="18" spans="1:9" ht="32.25" hidden="1" customHeight="1" thickTop="1">
      <c r="A18" s="39">
        <v>1</v>
      </c>
      <c r="B18" s="40"/>
      <c r="C18" s="41"/>
      <c r="D18" s="471"/>
      <c r="E18" s="5"/>
      <c r="F18" s="43"/>
      <c r="G18" s="49"/>
    </row>
    <row r="19" spans="1:9" ht="32.25" hidden="1" customHeight="1" thickTop="1">
      <c r="A19" s="39"/>
      <c r="B19" s="50" t="s">
        <v>19</v>
      </c>
      <c r="C19" s="50"/>
      <c r="D19" s="432"/>
      <c r="E19" s="57"/>
      <c r="F19" s="53"/>
      <c r="G19" s="51"/>
    </row>
    <row r="20" spans="1:9" ht="32.25" hidden="1" customHeight="1" thickTop="1">
      <c r="A20" s="39"/>
      <c r="B20" s="58" t="s">
        <v>185</v>
      </c>
      <c r="C20" s="59"/>
      <c r="D20" s="434"/>
      <c r="E20" s="68"/>
      <c r="F20" s="62"/>
      <c r="G20" s="70"/>
    </row>
    <row r="21" spans="1:9" ht="32.25" hidden="1" customHeight="1" thickTop="1">
      <c r="A21" s="39">
        <v>1</v>
      </c>
      <c r="B21" s="40"/>
      <c r="C21" s="41"/>
      <c r="D21" s="471"/>
      <c r="E21" s="5"/>
      <c r="F21" s="43"/>
      <c r="G21" s="49"/>
    </row>
    <row r="22" spans="1:9" ht="32.25" hidden="1" customHeight="1" thickTop="1">
      <c r="A22" s="39"/>
      <c r="B22" s="50" t="s">
        <v>19</v>
      </c>
      <c r="C22" s="50"/>
      <c r="D22" s="432"/>
      <c r="E22" s="57"/>
      <c r="F22" s="53"/>
      <c r="G22" s="51"/>
    </row>
    <row r="23" spans="1:9" ht="32.25" customHeight="1" thickTop="1">
      <c r="A23" s="39"/>
      <c r="B23" s="58" t="s">
        <v>186</v>
      </c>
      <c r="C23" s="59"/>
      <c r="D23" s="434"/>
      <c r="E23" s="68"/>
      <c r="F23" s="62"/>
      <c r="G23" s="70"/>
    </row>
    <row r="24" spans="1:9" ht="32.25" customHeight="1">
      <c r="A24" s="106">
        <v>1</v>
      </c>
      <c r="B24" s="300" t="s">
        <v>195</v>
      </c>
      <c r="C24" s="300" t="s">
        <v>193</v>
      </c>
      <c r="D24" s="435"/>
      <c r="E24" s="302" t="s">
        <v>523</v>
      </c>
      <c r="F24" s="303">
        <v>1</v>
      </c>
      <c r="G24" s="77">
        <v>3017.4</v>
      </c>
    </row>
    <row r="25" spans="1:9" ht="32.25" customHeight="1" thickBot="1">
      <c r="A25" s="39"/>
      <c r="B25" s="50" t="s">
        <v>19</v>
      </c>
      <c r="C25" s="50"/>
      <c r="D25" s="432"/>
      <c r="E25" s="57"/>
      <c r="F25" s="53"/>
      <c r="G25" s="51">
        <v>3017.4</v>
      </c>
      <c r="I25" s="472">
        <f>SUM(G24)</f>
        <v>3017.4</v>
      </c>
    </row>
    <row r="26" spans="1:9" ht="32.25" customHeight="1" thickTop="1">
      <c r="A26" s="39"/>
      <c r="B26" s="141" t="s">
        <v>210</v>
      </c>
      <c r="C26" s="142"/>
      <c r="D26" s="429"/>
      <c r="E26" s="114"/>
      <c r="F26" s="115"/>
      <c r="G26" s="145"/>
    </row>
    <row r="27" spans="1:9" s="160" customFormat="1" ht="32.25" customHeight="1">
      <c r="A27" s="106">
        <v>1</v>
      </c>
      <c r="B27" s="142" t="s">
        <v>52</v>
      </c>
      <c r="C27" s="174" t="s">
        <v>211</v>
      </c>
      <c r="D27" s="431">
        <v>259</v>
      </c>
      <c r="E27" s="347"/>
      <c r="F27" s="348"/>
      <c r="G27" s="159"/>
    </row>
    <row r="28" spans="1:9" s="160" customFormat="1" ht="32.25" customHeight="1">
      <c r="A28" s="106">
        <v>19</v>
      </c>
      <c r="B28" s="142" t="s">
        <v>141</v>
      </c>
      <c r="C28" s="193" t="s">
        <v>240</v>
      </c>
      <c r="D28" s="433">
        <v>1145</v>
      </c>
      <c r="E28" s="368"/>
      <c r="F28" s="362"/>
      <c r="G28" s="159"/>
    </row>
    <row r="29" spans="1:9" ht="32.25" customHeight="1">
      <c r="A29" s="106">
        <v>20</v>
      </c>
      <c r="B29" s="222" t="s">
        <v>52</v>
      </c>
      <c r="C29" s="193" t="s">
        <v>243</v>
      </c>
      <c r="D29" s="433">
        <v>115</v>
      </c>
      <c r="E29" s="368"/>
      <c r="F29" s="362"/>
      <c r="G29" s="159"/>
    </row>
    <row r="30" spans="1:9" ht="32.25" customHeight="1">
      <c r="A30" s="106">
        <v>21</v>
      </c>
      <c r="B30" s="222" t="s">
        <v>152</v>
      </c>
      <c r="C30" s="193" t="s">
        <v>246</v>
      </c>
      <c r="D30" s="433">
        <v>352.06</v>
      </c>
      <c r="E30" s="374"/>
      <c r="F30" s="362"/>
      <c r="G30" s="159"/>
    </row>
    <row r="31" spans="1:9" ht="32.25" customHeight="1">
      <c r="A31" s="106">
        <v>22</v>
      </c>
      <c r="B31" s="222" t="s">
        <v>130</v>
      </c>
      <c r="C31" s="193" t="s">
        <v>250</v>
      </c>
      <c r="D31" s="436">
        <v>206.68</v>
      </c>
      <c r="E31" s="2"/>
      <c r="F31" s="362"/>
      <c r="G31" s="159"/>
    </row>
    <row r="32" spans="1:9" ht="32.25" customHeight="1">
      <c r="A32" s="116">
        <v>23</v>
      </c>
      <c r="B32" s="142" t="s">
        <v>145</v>
      </c>
      <c r="C32" s="193" t="s">
        <v>258</v>
      </c>
      <c r="D32" s="433">
        <v>29.13</v>
      </c>
      <c r="E32" s="361"/>
      <c r="F32" s="362"/>
      <c r="G32" s="159"/>
    </row>
    <row r="33" spans="1:9" ht="32.25" customHeight="1">
      <c r="A33" s="116">
        <v>24</v>
      </c>
      <c r="B33" s="142" t="s">
        <v>158</v>
      </c>
      <c r="C33" s="390" t="s">
        <v>261</v>
      </c>
      <c r="D33" s="437">
        <v>144.97999999999999</v>
      </c>
      <c r="E33" s="361"/>
      <c r="F33" s="362"/>
      <c r="G33" s="159"/>
    </row>
    <row r="34" spans="1:9" ht="32.25" customHeight="1" thickBot="1">
      <c r="A34" s="39"/>
      <c r="B34" s="50" t="s">
        <v>19</v>
      </c>
      <c r="C34" s="50"/>
      <c r="D34" s="432"/>
      <c r="E34" s="57"/>
      <c r="F34" s="53"/>
      <c r="G34" s="51">
        <v>-2.2737367544323206E-13</v>
      </c>
    </row>
    <row r="35" spans="1:9" ht="32.25" customHeight="1" thickTop="1" thickBot="1">
      <c r="A35" s="396"/>
      <c r="B35" s="397" t="s">
        <v>309</v>
      </c>
      <c r="C35" s="398"/>
      <c r="D35" s="438"/>
      <c r="E35" s="399">
        <v>0</v>
      </c>
      <c r="F35" s="399">
        <v>0</v>
      </c>
      <c r="G35" s="399">
        <v>3017.3999999999978</v>
      </c>
      <c r="I35" s="472">
        <f>SUM(I25)</f>
        <v>3017.4</v>
      </c>
    </row>
    <row r="36" spans="1:9" ht="17.399999999999999" thickTop="1"/>
    <row r="41" spans="1:9" s="406" customFormat="1" ht="32.25" customHeight="1">
      <c r="A41" s="2"/>
      <c r="B41" s="643"/>
      <c r="C41" s="642"/>
      <c r="D41" s="439"/>
      <c r="E41" s="642"/>
      <c r="F41" s="642"/>
      <c r="G41" s="2"/>
    </row>
    <row r="42" spans="1:9" s="406" customFormat="1" ht="32.25" customHeight="1">
      <c r="A42" s="2"/>
      <c r="B42" s="413"/>
      <c r="C42" s="415"/>
      <c r="D42" s="440"/>
      <c r="E42" s="642"/>
      <c r="F42" s="642"/>
      <c r="G42" s="2"/>
    </row>
    <row r="43" spans="1:9" s="406" customFormat="1" ht="32.25" customHeight="1">
      <c r="A43" s="2"/>
      <c r="B43" s="413"/>
      <c r="C43" s="409"/>
      <c r="D43" s="441"/>
      <c r="E43" s="642"/>
      <c r="F43" s="642"/>
      <c r="G43" s="2"/>
    </row>
  </sheetData>
  <mergeCells count="10">
    <mergeCell ref="E42:F42"/>
    <mergeCell ref="E43:F43"/>
    <mergeCell ref="B41:C41"/>
    <mergeCell ref="E41:F41"/>
    <mergeCell ref="A1:G1"/>
    <mergeCell ref="A2:G2"/>
    <mergeCell ref="A3:G3"/>
    <mergeCell ref="B4:B6"/>
    <mergeCell ref="C4:C6"/>
    <mergeCell ref="E4:G4"/>
  </mergeCell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4C4C-642C-49C2-B82E-D1B194A79666}">
  <sheetPr>
    <tabColor rgb="FFFFC000"/>
  </sheetPr>
  <dimension ref="A1:H17"/>
  <sheetViews>
    <sheetView zoomScale="70" zoomScaleNormal="70" workbookViewId="0">
      <pane ySplit="6" topLeftCell="A7" activePane="bottomLeft" state="frozen"/>
      <selection pane="bottomLeft" activeCell="G17" sqref="G17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20.5546875" style="404" customWidth="1"/>
    <col min="5" max="5" width="8.109375" style="405" customWidth="1"/>
    <col min="6" max="6" width="20" style="2" customWidth="1"/>
    <col min="7" max="16384" width="12.5546875" style="2"/>
  </cols>
  <sheetData>
    <row r="1" spans="1:8" ht="22.5" customHeight="1">
      <c r="A1" s="643" t="s">
        <v>0</v>
      </c>
      <c r="B1" s="642"/>
      <c r="C1" s="642"/>
      <c r="D1" s="642"/>
      <c r="E1" s="642"/>
      <c r="F1" s="642"/>
    </row>
    <row r="2" spans="1:8" ht="27" customHeight="1">
      <c r="A2" s="643" t="s">
        <v>1</v>
      </c>
      <c r="B2" s="642"/>
      <c r="C2" s="642"/>
      <c r="D2" s="642"/>
      <c r="E2" s="642"/>
      <c r="F2" s="642"/>
    </row>
    <row r="3" spans="1:8" ht="22.5" customHeight="1">
      <c r="A3" s="644" t="s">
        <v>464</v>
      </c>
      <c r="B3" s="645"/>
      <c r="C3" s="645"/>
      <c r="D3" s="645"/>
      <c r="E3" s="645"/>
      <c r="F3" s="645"/>
    </row>
    <row r="4" spans="1:8" ht="34.5" customHeight="1">
      <c r="A4" s="3" t="s">
        <v>3</v>
      </c>
      <c r="B4" s="646" t="s">
        <v>4</v>
      </c>
      <c r="C4" s="646" t="s">
        <v>5</v>
      </c>
      <c r="D4" s="658" t="s">
        <v>9</v>
      </c>
      <c r="E4" s="656"/>
      <c r="F4" s="657"/>
    </row>
    <row r="5" spans="1:8" ht="24.75" customHeight="1">
      <c r="A5" s="5"/>
      <c r="B5" s="647"/>
      <c r="C5" s="647"/>
      <c r="D5" s="3" t="s">
        <v>10</v>
      </c>
      <c r="E5" s="12" t="s">
        <v>11</v>
      </c>
      <c r="F5" s="419"/>
    </row>
    <row r="6" spans="1:8" ht="27.75" customHeight="1">
      <c r="A6" s="14"/>
      <c r="B6" s="648"/>
      <c r="C6" s="648"/>
      <c r="D6" s="14"/>
      <c r="E6" s="24"/>
      <c r="F6" s="20" t="s">
        <v>19</v>
      </c>
    </row>
    <row r="7" spans="1:8" ht="27.75" customHeight="1">
      <c r="A7" s="5"/>
      <c r="B7" s="418" t="s">
        <v>393</v>
      </c>
      <c r="C7" s="418"/>
      <c r="D7" s="5"/>
      <c r="E7" s="43"/>
      <c r="F7" s="465"/>
    </row>
    <row r="8" spans="1:8" ht="32.25" customHeight="1">
      <c r="A8" s="106">
        <v>1</v>
      </c>
      <c r="B8" s="300" t="s">
        <v>195</v>
      </c>
      <c r="C8" s="300" t="s">
        <v>193</v>
      </c>
      <c r="D8" s="302" t="s">
        <v>523</v>
      </c>
      <c r="E8" s="303">
        <v>1</v>
      </c>
      <c r="F8" s="77">
        <v>3017.4</v>
      </c>
    </row>
    <row r="9" spans="1:8" ht="32.25" customHeight="1" thickBot="1">
      <c r="A9" s="396"/>
      <c r="B9" s="397" t="s">
        <v>309</v>
      </c>
      <c r="C9" s="398"/>
      <c r="D9" s="399">
        <v>0</v>
      </c>
      <c r="E9" s="399">
        <v>0</v>
      </c>
      <c r="F9" s="399">
        <v>3017.3999999999978</v>
      </c>
      <c r="H9" s="472">
        <v>3017.4</v>
      </c>
    </row>
    <row r="10" spans="1:8" ht="17.399999999999999" thickTop="1"/>
    <row r="15" spans="1:8" s="406" customFormat="1" ht="32.25" customHeight="1">
      <c r="A15" s="2"/>
      <c r="B15" s="643"/>
      <c r="C15" s="642"/>
      <c r="D15" s="642"/>
      <c r="E15" s="642"/>
      <c r="F15" s="2"/>
    </row>
    <row r="16" spans="1:8" s="406" customFormat="1" ht="32.25" customHeight="1">
      <c r="A16" s="2"/>
      <c r="B16" s="413"/>
      <c r="C16" s="415"/>
      <c r="D16" s="642"/>
      <c r="E16" s="642"/>
      <c r="F16" s="2"/>
    </row>
    <row r="17" spans="1:6" s="406" customFormat="1" ht="32.25" customHeight="1">
      <c r="A17" s="2"/>
      <c r="B17" s="413"/>
      <c r="C17" s="409"/>
      <c r="D17" s="642"/>
      <c r="E17" s="642"/>
      <c r="F17" s="2"/>
    </row>
  </sheetData>
  <mergeCells count="10">
    <mergeCell ref="B15:C15"/>
    <mergeCell ref="D15:E15"/>
    <mergeCell ref="D16:E16"/>
    <mergeCell ref="D17:E17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04E8-0EE5-45CF-A1AA-815A80A5AA01}">
  <sheetPr>
    <tabColor rgb="FFFFFF00"/>
  </sheetPr>
  <dimension ref="A1:Z269"/>
  <sheetViews>
    <sheetView zoomScale="70" zoomScaleNormal="70" workbookViewId="0">
      <pane ySplit="6" topLeftCell="A86" activePane="bottomLeft" state="frozen"/>
      <selection pane="bottomLeft" activeCell="D260" sqref="D260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17.88671875" style="2" customWidth="1"/>
    <col min="5" max="5" width="16.6640625" style="404" customWidth="1"/>
    <col min="6" max="6" width="10" style="405" customWidth="1"/>
    <col min="7" max="7" width="5.5546875" style="404" customWidth="1"/>
    <col min="8" max="8" width="16.6640625" style="2" customWidth="1"/>
    <col min="9" max="9" width="13.109375" style="2" customWidth="1"/>
    <col min="10" max="10" width="17.88671875" style="2" customWidth="1"/>
    <col min="11" max="11" width="17.6640625" style="414" customWidth="1"/>
    <col min="12" max="12" width="25" style="414" customWidth="1"/>
    <col min="13" max="13" width="16.109375" style="192" customWidth="1"/>
    <col min="14" max="14" width="20.5546875" style="404" customWidth="1"/>
    <col min="15" max="15" width="8.109375" style="405" customWidth="1"/>
    <col min="16" max="16" width="12.109375" style="2" customWidth="1"/>
    <col min="17" max="17" width="17.6640625" style="406" customWidth="1"/>
    <col min="18" max="18" width="11.33203125" style="406" customWidth="1"/>
    <col min="19" max="19" width="20" style="2" customWidth="1"/>
    <col min="20" max="16384" width="12.5546875" style="2"/>
  </cols>
  <sheetData>
    <row r="1" spans="1:19" ht="22.5" customHeight="1">
      <c r="A1" s="643" t="s">
        <v>0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</row>
    <row r="2" spans="1:19" ht="27" customHeight="1">
      <c r="A2" s="643" t="s">
        <v>1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642"/>
      <c r="S2" s="642"/>
    </row>
    <row r="3" spans="1:19" ht="22.5" customHeight="1">
      <c r="A3" s="644" t="s">
        <v>394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</row>
    <row r="4" spans="1:19" ht="34.5" customHeight="1">
      <c r="A4" s="3" t="s">
        <v>3</v>
      </c>
      <c r="B4" s="646" t="s">
        <v>4</v>
      </c>
      <c r="C4" s="646" t="s">
        <v>5</v>
      </c>
      <c r="D4" s="4" t="s">
        <v>6</v>
      </c>
      <c r="E4" s="655" t="s">
        <v>7</v>
      </c>
      <c r="F4" s="656"/>
      <c r="G4" s="656"/>
      <c r="H4" s="656"/>
      <c r="I4" s="656"/>
      <c r="J4" s="657"/>
      <c r="K4" s="669" t="s">
        <v>8</v>
      </c>
      <c r="L4" s="670"/>
      <c r="M4" s="671"/>
      <c r="N4" s="658" t="s">
        <v>9</v>
      </c>
      <c r="O4" s="656"/>
      <c r="P4" s="656"/>
      <c r="Q4" s="656"/>
      <c r="R4" s="656"/>
      <c r="S4" s="657"/>
    </row>
    <row r="5" spans="1:19" ht="24.75" customHeight="1">
      <c r="A5" s="5"/>
      <c r="B5" s="647"/>
      <c r="C5" s="647"/>
      <c r="D5" s="6"/>
      <c r="E5" s="3" t="s">
        <v>10</v>
      </c>
      <c r="F5" s="7" t="s">
        <v>11</v>
      </c>
      <c r="G5" s="8" t="s">
        <v>12</v>
      </c>
      <c r="H5" s="655" t="s">
        <v>13</v>
      </c>
      <c r="I5" s="656"/>
      <c r="J5" s="657"/>
      <c r="K5" s="9" t="s">
        <v>14</v>
      </c>
      <c r="L5" s="10" t="s">
        <v>15</v>
      </c>
      <c r="M5" s="11" t="s">
        <v>16</v>
      </c>
      <c r="N5" s="3" t="s">
        <v>10</v>
      </c>
      <c r="O5" s="12" t="s">
        <v>11</v>
      </c>
      <c r="P5" s="13" t="s">
        <v>12</v>
      </c>
      <c r="Q5" s="655" t="s">
        <v>13</v>
      </c>
      <c r="R5" s="656"/>
      <c r="S5" s="657"/>
    </row>
    <row r="6" spans="1:19" ht="27.75" customHeight="1">
      <c r="A6" s="14"/>
      <c r="B6" s="648"/>
      <c r="C6" s="648"/>
      <c r="D6" s="15"/>
      <c r="E6" s="14"/>
      <c r="F6" s="16"/>
      <c r="G6" s="17" t="s">
        <v>17</v>
      </c>
      <c r="H6" s="18" t="s">
        <v>16</v>
      </c>
      <c r="I6" s="19" t="s">
        <v>18</v>
      </c>
      <c r="J6" s="20" t="s">
        <v>19</v>
      </c>
      <c r="K6" s="21"/>
      <c r="L6" s="22"/>
      <c r="M6" s="23"/>
      <c r="N6" s="14"/>
      <c r="O6" s="24"/>
      <c r="P6" s="17" t="s">
        <v>17</v>
      </c>
      <c r="Q6" s="18" t="s">
        <v>16</v>
      </c>
      <c r="R6" s="25" t="s">
        <v>18</v>
      </c>
      <c r="S6" s="20" t="s">
        <v>19</v>
      </c>
    </row>
    <row r="7" spans="1:19" ht="32.25" customHeight="1">
      <c r="A7" s="26"/>
      <c r="B7" s="27" t="s">
        <v>20</v>
      </c>
      <c r="C7" s="28"/>
      <c r="D7" s="29"/>
      <c r="E7" s="30"/>
      <c r="F7" s="31"/>
      <c r="G7" s="32"/>
      <c r="H7" s="32"/>
      <c r="I7" s="32"/>
      <c r="J7" s="33"/>
      <c r="K7" s="34"/>
      <c r="L7" s="35"/>
      <c r="M7" s="36"/>
      <c r="N7" s="30"/>
      <c r="O7" s="31"/>
      <c r="P7" s="32"/>
      <c r="Q7" s="37"/>
      <c r="R7" s="37"/>
      <c r="S7" s="38"/>
    </row>
    <row r="8" spans="1:19" ht="32.25" customHeight="1">
      <c r="A8" s="39">
        <v>1</v>
      </c>
      <c r="B8" s="40" t="s">
        <v>21</v>
      </c>
      <c r="C8" s="41"/>
      <c r="D8" s="42"/>
      <c r="E8" s="6"/>
      <c r="F8" s="43"/>
      <c r="G8" s="6"/>
      <c r="H8" s="42"/>
      <c r="I8" s="42"/>
      <c r="J8" s="42"/>
      <c r="K8" s="44"/>
      <c r="L8" s="45"/>
      <c r="M8" s="46"/>
      <c r="N8" s="5"/>
      <c r="O8" s="43"/>
      <c r="P8" s="47"/>
      <c r="Q8" s="48"/>
      <c r="R8" s="48"/>
      <c r="S8" s="49"/>
    </row>
    <row r="9" spans="1:19" ht="32.25" customHeight="1" thickBot="1">
      <c r="A9" s="39"/>
      <c r="B9" s="50" t="s">
        <v>19</v>
      </c>
      <c r="C9" s="50"/>
      <c r="D9" s="51">
        <v>0</v>
      </c>
      <c r="E9" s="52"/>
      <c r="F9" s="53"/>
      <c r="G9" s="52"/>
      <c r="H9" s="51">
        <v>0</v>
      </c>
      <c r="I9" s="51">
        <v>0</v>
      </c>
      <c r="J9" s="51">
        <v>0</v>
      </c>
      <c r="K9" s="54"/>
      <c r="L9" s="55"/>
      <c r="M9" s="56">
        <v>0</v>
      </c>
      <c r="N9" s="57"/>
      <c r="O9" s="53"/>
      <c r="P9" s="51"/>
      <c r="Q9" s="51"/>
      <c r="R9" s="51"/>
      <c r="S9" s="51"/>
    </row>
    <row r="10" spans="1:19" ht="32.25" customHeight="1" thickTop="1">
      <c r="A10" s="39"/>
      <c r="B10" s="58" t="s">
        <v>22</v>
      </c>
      <c r="C10" s="59"/>
      <c r="D10" s="60"/>
      <c r="E10" s="61"/>
      <c r="F10" s="62"/>
      <c r="G10" s="63"/>
      <c r="H10" s="64"/>
      <c r="I10" s="64"/>
      <c r="J10" s="64"/>
      <c r="K10" s="65"/>
      <c r="L10" s="66"/>
      <c r="M10" s="67"/>
      <c r="N10" s="68"/>
      <c r="O10" s="62"/>
      <c r="P10" s="69"/>
      <c r="Q10" s="63"/>
      <c r="R10" s="63"/>
      <c r="S10" s="70"/>
    </row>
    <row r="11" spans="1:19" s="78" customFormat="1" ht="32.25" customHeight="1">
      <c r="A11" s="39">
        <v>1</v>
      </c>
      <c r="B11" s="71" t="s">
        <v>23</v>
      </c>
      <c r="C11" s="71" t="s">
        <v>24</v>
      </c>
      <c r="D11" s="72">
        <v>2295.15</v>
      </c>
      <c r="E11" s="6"/>
      <c r="F11" s="43"/>
      <c r="G11" s="48"/>
      <c r="H11" s="73">
        <v>0</v>
      </c>
      <c r="I11" s="73">
        <v>0</v>
      </c>
      <c r="J11" s="73">
        <v>0</v>
      </c>
      <c r="K11" s="74" t="s">
        <v>395</v>
      </c>
      <c r="L11" s="75" t="s">
        <v>396</v>
      </c>
      <c r="M11" s="76">
        <v>2295.15</v>
      </c>
      <c r="N11" s="5"/>
      <c r="O11" s="43"/>
      <c r="P11" s="47"/>
      <c r="Q11" s="48">
        <v>0</v>
      </c>
      <c r="R11" s="48">
        <v>0</v>
      </c>
      <c r="S11" s="77">
        <v>0</v>
      </c>
    </row>
    <row r="12" spans="1:19" s="78" customFormat="1" ht="32.25" customHeight="1">
      <c r="A12" s="39">
        <v>2</v>
      </c>
      <c r="B12" s="71" t="s">
        <v>27</v>
      </c>
      <c r="C12" s="71" t="s">
        <v>24</v>
      </c>
      <c r="D12" s="72">
        <v>521.09</v>
      </c>
      <c r="E12" s="6"/>
      <c r="F12" s="43"/>
      <c r="G12" s="48"/>
      <c r="H12" s="73">
        <v>0</v>
      </c>
      <c r="I12" s="73">
        <v>0</v>
      </c>
      <c r="J12" s="73">
        <v>0</v>
      </c>
      <c r="K12" s="74" t="s">
        <v>395</v>
      </c>
      <c r="L12" s="75" t="s">
        <v>397</v>
      </c>
      <c r="M12" s="76">
        <v>521.09</v>
      </c>
      <c r="N12" s="5"/>
      <c r="O12" s="43"/>
      <c r="P12" s="47"/>
      <c r="Q12" s="48">
        <v>0</v>
      </c>
      <c r="R12" s="48">
        <v>0</v>
      </c>
      <c r="S12" s="77">
        <v>0</v>
      </c>
    </row>
    <row r="13" spans="1:19" s="78" customFormat="1" ht="32.25" customHeight="1">
      <c r="A13" s="39">
        <v>3</v>
      </c>
      <c r="B13" s="71" t="s">
        <v>30</v>
      </c>
      <c r="C13" s="71" t="s">
        <v>24</v>
      </c>
      <c r="D13" s="72">
        <v>202.23</v>
      </c>
      <c r="E13" s="6"/>
      <c r="F13" s="43"/>
      <c r="G13" s="48"/>
      <c r="H13" s="73">
        <v>0</v>
      </c>
      <c r="I13" s="73">
        <v>0</v>
      </c>
      <c r="J13" s="73">
        <v>0</v>
      </c>
      <c r="K13" s="74" t="s">
        <v>395</v>
      </c>
      <c r="L13" s="75" t="s">
        <v>315</v>
      </c>
      <c r="M13" s="76">
        <v>202.23</v>
      </c>
      <c r="N13" s="5"/>
      <c r="O13" s="43"/>
      <c r="P13" s="47"/>
      <c r="Q13" s="48">
        <v>0</v>
      </c>
      <c r="R13" s="48">
        <v>0</v>
      </c>
      <c r="S13" s="77">
        <v>0</v>
      </c>
    </row>
    <row r="14" spans="1:19" s="78" customFormat="1" ht="32.25" customHeight="1">
      <c r="A14" s="39">
        <v>4</v>
      </c>
      <c r="B14" s="79"/>
      <c r="C14" s="80"/>
      <c r="D14" s="81"/>
      <c r="E14" s="6"/>
      <c r="F14" s="43"/>
      <c r="G14" s="48"/>
      <c r="H14" s="73"/>
      <c r="I14" s="73"/>
      <c r="J14" s="73"/>
      <c r="K14" s="82"/>
      <c r="L14" s="45"/>
      <c r="M14" s="46"/>
      <c r="N14" s="5"/>
      <c r="O14" s="43"/>
      <c r="P14" s="47"/>
      <c r="Q14" s="48"/>
      <c r="R14" s="48"/>
      <c r="S14" s="49"/>
    </row>
    <row r="15" spans="1:19" s="78" customFormat="1" ht="32.25" customHeight="1">
      <c r="A15" s="39">
        <v>5</v>
      </c>
      <c r="B15" s="80"/>
      <c r="C15" s="80"/>
      <c r="D15" s="81"/>
      <c r="E15" s="6"/>
      <c r="F15" s="43"/>
      <c r="G15" s="6"/>
      <c r="H15" s="42"/>
      <c r="I15" s="42"/>
      <c r="J15" s="42"/>
      <c r="K15" s="44"/>
      <c r="L15" s="45"/>
      <c r="M15" s="46"/>
      <c r="N15" s="5"/>
      <c r="O15" s="43"/>
      <c r="P15" s="47"/>
      <c r="Q15" s="48"/>
      <c r="R15" s="48"/>
      <c r="S15" s="49"/>
    </row>
    <row r="16" spans="1:19" ht="32.25" customHeight="1" thickBot="1">
      <c r="A16" s="39"/>
      <c r="B16" s="50" t="s">
        <v>19</v>
      </c>
      <c r="C16" s="50"/>
      <c r="D16" s="51">
        <f>SUM(D11:D15)</f>
        <v>3018.4700000000003</v>
      </c>
      <c r="E16" s="52"/>
      <c r="F16" s="53"/>
      <c r="G16" s="52"/>
      <c r="H16" s="51">
        <v>0</v>
      </c>
      <c r="I16" s="51">
        <v>0</v>
      </c>
      <c r="J16" s="51">
        <v>0</v>
      </c>
      <c r="K16" s="83"/>
      <c r="L16" s="84"/>
      <c r="M16" s="56">
        <f>SUM(M10:M15)</f>
        <v>3018.4700000000003</v>
      </c>
      <c r="N16" s="57"/>
      <c r="O16" s="53"/>
      <c r="P16" s="85"/>
      <c r="Q16" s="86"/>
      <c r="R16" s="86"/>
      <c r="S16" s="87"/>
    </row>
    <row r="17" spans="1:19" ht="32.25" customHeight="1" thickTop="1">
      <c r="A17" s="39"/>
      <c r="B17" s="58" t="s">
        <v>32</v>
      </c>
      <c r="C17" s="59"/>
      <c r="D17" s="60"/>
      <c r="E17" s="61"/>
      <c r="F17" s="62"/>
      <c r="G17" s="63"/>
      <c r="H17" s="64"/>
      <c r="I17" s="64"/>
      <c r="J17" s="64"/>
      <c r="K17" s="65"/>
      <c r="L17" s="66"/>
      <c r="M17" s="67"/>
      <c r="N17" s="68"/>
      <c r="O17" s="62"/>
      <c r="P17" s="69"/>
      <c r="Q17" s="63"/>
      <c r="R17" s="63"/>
      <c r="S17" s="70"/>
    </row>
    <row r="18" spans="1:19" s="78" customFormat="1" ht="32.25" customHeight="1">
      <c r="A18" s="39">
        <v>1</v>
      </c>
      <c r="B18" s="71" t="s">
        <v>23</v>
      </c>
      <c r="C18" s="71" t="s">
        <v>33</v>
      </c>
      <c r="D18" s="88">
        <v>840</v>
      </c>
      <c r="E18" s="6"/>
      <c r="F18" s="43"/>
      <c r="G18" s="89"/>
      <c r="H18" s="42">
        <v>0</v>
      </c>
      <c r="I18" s="42">
        <v>0</v>
      </c>
      <c r="J18" s="42">
        <v>0</v>
      </c>
      <c r="K18" s="74" t="s">
        <v>395</v>
      </c>
      <c r="L18" s="90" t="s">
        <v>398</v>
      </c>
      <c r="M18" s="76">
        <v>840</v>
      </c>
      <c r="N18" s="5"/>
      <c r="O18" s="43"/>
      <c r="P18" s="47"/>
      <c r="Q18" s="91">
        <v>0</v>
      </c>
      <c r="R18" s="92">
        <v>0</v>
      </c>
      <c r="S18" s="93">
        <v>0</v>
      </c>
    </row>
    <row r="19" spans="1:19" s="78" customFormat="1" ht="32.25" customHeight="1">
      <c r="A19" s="39">
        <v>2</v>
      </c>
      <c r="B19" s="71" t="s">
        <v>27</v>
      </c>
      <c r="C19" s="71" t="s">
        <v>33</v>
      </c>
      <c r="D19" s="88">
        <v>210</v>
      </c>
      <c r="E19" s="6"/>
      <c r="F19" s="43"/>
      <c r="G19" s="89"/>
      <c r="H19" s="42"/>
      <c r="I19" s="42"/>
      <c r="J19" s="42">
        <v>0</v>
      </c>
      <c r="K19" s="74" t="s">
        <v>395</v>
      </c>
      <c r="L19" s="94" t="s">
        <v>399</v>
      </c>
      <c r="M19" s="76">
        <v>210</v>
      </c>
      <c r="N19" s="5"/>
      <c r="O19" s="43"/>
      <c r="P19" s="47"/>
      <c r="Q19" s="91">
        <v>0</v>
      </c>
      <c r="R19" s="92">
        <v>0</v>
      </c>
      <c r="S19" s="95">
        <v>0</v>
      </c>
    </row>
    <row r="20" spans="1:19" s="78" customFormat="1" ht="32.25" customHeight="1">
      <c r="A20" s="39">
        <v>3</v>
      </c>
      <c r="B20" s="71" t="s">
        <v>30</v>
      </c>
      <c r="C20" s="71" t="s">
        <v>33</v>
      </c>
      <c r="D20" s="96">
        <v>0</v>
      </c>
      <c r="E20" s="6"/>
      <c r="F20" s="43"/>
      <c r="G20" s="89"/>
      <c r="H20" s="42"/>
      <c r="I20" s="42"/>
      <c r="J20" s="42"/>
      <c r="K20" s="97"/>
      <c r="L20" s="98"/>
      <c r="M20" s="99"/>
      <c r="N20" s="5"/>
      <c r="O20" s="43"/>
      <c r="P20" s="47"/>
      <c r="Q20" s="6"/>
      <c r="R20" s="42"/>
      <c r="S20" s="100"/>
    </row>
    <row r="21" spans="1:19" ht="32.25" customHeight="1" thickBot="1">
      <c r="A21" s="39"/>
      <c r="B21" s="50" t="s">
        <v>19</v>
      </c>
      <c r="C21" s="50"/>
      <c r="D21" s="51">
        <f>SUM(D18:D20)</f>
        <v>1050</v>
      </c>
      <c r="E21" s="52"/>
      <c r="F21" s="53"/>
      <c r="G21" s="52"/>
      <c r="H21" s="51">
        <v>0</v>
      </c>
      <c r="I21" s="51">
        <v>0</v>
      </c>
      <c r="J21" s="51">
        <v>0</v>
      </c>
      <c r="K21" s="101"/>
      <c r="L21" s="102"/>
      <c r="M21" s="103">
        <f>SUM(M18:M20)</f>
        <v>1050</v>
      </c>
      <c r="N21" s="57"/>
      <c r="O21" s="53"/>
      <c r="P21" s="51"/>
      <c r="Q21" s="51"/>
      <c r="R21" s="51"/>
      <c r="S21" s="51"/>
    </row>
    <row r="22" spans="1:19" ht="32.25" hidden="1" customHeight="1">
      <c r="A22" s="104" t="s">
        <v>36</v>
      </c>
      <c r="B22" s="104" t="s">
        <v>37</v>
      </c>
      <c r="C22" s="105">
        <v>780</v>
      </c>
      <c r="D22" s="60"/>
      <c r="E22" s="61"/>
      <c r="F22" s="62"/>
      <c r="G22" s="63"/>
      <c r="H22" s="64"/>
      <c r="I22" s="64"/>
      <c r="J22" s="64"/>
      <c r="K22" s="65"/>
      <c r="L22" s="66"/>
      <c r="M22" s="67"/>
      <c r="N22" s="68"/>
      <c r="O22" s="62"/>
      <c r="P22" s="69"/>
      <c r="Q22" s="63"/>
      <c r="R22" s="63"/>
      <c r="S22" s="70"/>
    </row>
    <row r="23" spans="1:19" ht="32.25" hidden="1" customHeight="1">
      <c r="A23" s="104" t="s">
        <v>36</v>
      </c>
      <c r="B23" s="104" t="s">
        <v>38</v>
      </c>
      <c r="C23" s="105">
        <v>180</v>
      </c>
      <c r="D23" s="42"/>
      <c r="E23" s="6"/>
      <c r="F23" s="43"/>
      <c r="G23" s="6"/>
      <c r="H23" s="42"/>
      <c r="I23" s="42"/>
      <c r="J23" s="42"/>
      <c r="K23" s="44"/>
      <c r="L23" s="45"/>
      <c r="M23" s="46"/>
      <c r="N23" s="5"/>
      <c r="O23" s="43"/>
      <c r="P23" s="47"/>
      <c r="Q23" s="48"/>
      <c r="R23" s="48"/>
      <c r="S23" s="49"/>
    </row>
    <row r="24" spans="1:19" ht="32.25" hidden="1" customHeight="1">
      <c r="A24" s="39"/>
      <c r="B24" s="50" t="s">
        <v>19</v>
      </c>
      <c r="C24" s="50"/>
      <c r="D24" s="51">
        <v>0</v>
      </c>
      <c r="E24" s="52"/>
      <c r="F24" s="53"/>
      <c r="G24" s="52"/>
      <c r="H24" s="51">
        <v>0</v>
      </c>
      <c r="I24" s="51">
        <v>0</v>
      </c>
      <c r="J24" s="51">
        <v>0</v>
      </c>
      <c r="K24" s="54"/>
      <c r="L24" s="55"/>
      <c r="M24" s="56"/>
      <c r="N24" s="57"/>
      <c r="O24" s="53"/>
      <c r="P24" s="51"/>
      <c r="Q24" s="51"/>
      <c r="R24" s="51"/>
      <c r="S24" s="51"/>
    </row>
    <row r="25" spans="1:19" ht="32.25" hidden="1" customHeight="1">
      <c r="A25" s="39"/>
      <c r="B25" s="58" t="s">
        <v>39</v>
      </c>
      <c r="C25" s="59"/>
      <c r="D25" s="60"/>
      <c r="E25" s="61"/>
      <c r="F25" s="62"/>
      <c r="G25" s="63"/>
      <c r="H25" s="64"/>
      <c r="I25" s="64"/>
      <c r="J25" s="64"/>
      <c r="K25" s="65"/>
      <c r="L25" s="66"/>
      <c r="M25" s="67"/>
      <c r="N25" s="68"/>
      <c r="O25" s="62"/>
      <c r="P25" s="69"/>
      <c r="Q25" s="63"/>
      <c r="R25" s="63"/>
      <c r="S25" s="70"/>
    </row>
    <row r="26" spans="1:19" ht="32.25" hidden="1" customHeight="1">
      <c r="A26" s="39">
        <v>1</v>
      </c>
      <c r="B26" s="40"/>
      <c r="C26" s="41"/>
      <c r="D26" s="42"/>
      <c r="E26" s="6"/>
      <c r="F26" s="43"/>
      <c r="G26" s="6"/>
      <c r="H26" s="42"/>
      <c r="I26" s="42"/>
      <c r="J26" s="42"/>
      <c r="K26" s="44"/>
      <c r="L26" s="45"/>
      <c r="M26" s="46"/>
      <c r="N26" s="5"/>
      <c r="O26" s="43"/>
      <c r="P26" s="47"/>
      <c r="Q26" s="48"/>
      <c r="R26" s="48"/>
      <c r="S26" s="49"/>
    </row>
    <row r="27" spans="1:19" ht="32.25" hidden="1" customHeight="1">
      <c r="A27" s="39"/>
      <c r="B27" s="50" t="s">
        <v>19</v>
      </c>
      <c r="C27" s="50"/>
      <c r="D27" s="51">
        <v>0</v>
      </c>
      <c r="E27" s="52"/>
      <c r="F27" s="53"/>
      <c r="G27" s="52"/>
      <c r="H27" s="51">
        <v>0</v>
      </c>
      <c r="I27" s="51">
        <v>0</v>
      </c>
      <c r="J27" s="51">
        <v>0</v>
      </c>
      <c r="K27" s="54"/>
      <c r="L27" s="55"/>
      <c r="M27" s="56"/>
      <c r="N27" s="57"/>
      <c r="O27" s="53"/>
      <c r="P27" s="51"/>
      <c r="Q27" s="51"/>
      <c r="R27" s="51"/>
      <c r="S27" s="51"/>
    </row>
    <row r="28" spans="1:19" ht="32.25" hidden="1" customHeight="1">
      <c r="A28" s="39"/>
      <c r="B28" s="58" t="s">
        <v>40</v>
      </c>
      <c r="C28" s="59"/>
      <c r="D28" s="60"/>
      <c r="E28" s="61"/>
      <c r="F28" s="62"/>
      <c r="G28" s="63"/>
      <c r="H28" s="64"/>
      <c r="I28" s="64"/>
      <c r="J28" s="64"/>
      <c r="K28" s="65"/>
      <c r="L28" s="66"/>
      <c r="M28" s="67"/>
      <c r="N28" s="68"/>
      <c r="O28" s="62"/>
      <c r="P28" s="69"/>
      <c r="Q28" s="63"/>
      <c r="R28" s="63"/>
      <c r="S28" s="70"/>
    </row>
    <row r="29" spans="1:19" ht="32.25" hidden="1" customHeight="1">
      <c r="A29" s="39">
        <v>1</v>
      </c>
      <c r="B29" s="40"/>
      <c r="C29" s="41"/>
      <c r="D29" s="42"/>
      <c r="E29" s="6"/>
      <c r="F29" s="43"/>
      <c r="G29" s="6"/>
      <c r="H29" s="42"/>
      <c r="I29" s="42"/>
      <c r="J29" s="42"/>
      <c r="K29" s="44"/>
      <c r="L29" s="45"/>
      <c r="M29" s="46"/>
      <c r="N29" s="5"/>
      <c r="O29" s="43"/>
      <c r="P29" s="47"/>
      <c r="Q29" s="48"/>
      <c r="R29" s="48"/>
      <c r="S29" s="49"/>
    </row>
    <row r="30" spans="1:19" ht="32.25" hidden="1" customHeight="1">
      <c r="A30" s="39"/>
      <c r="B30" s="50" t="s">
        <v>19</v>
      </c>
      <c r="C30" s="50"/>
      <c r="D30" s="51">
        <v>0</v>
      </c>
      <c r="E30" s="52"/>
      <c r="F30" s="53"/>
      <c r="G30" s="52"/>
      <c r="H30" s="51">
        <v>0</v>
      </c>
      <c r="I30" s="51">
        <v>0</v>
      </c>
      <c r="J30" s="51">
        <v>0</v>
      </c>
      <c r="K30" s="54"/>
      <c r="L30" s="55"/>
      <c r="M30" s="56"/>
      <c r="N30" s="57"/>
      <c r="O30" s="53"/>
      <c r="P30" s="51"/>
      <c r="Q30" s="51"/>
      <c r="R30" s="51"/>
      <c r="S30" s="51"/>
    </row>
    <row r="31" spans="1:19" ht="32.25" customHeight="1" thickTop="1">
      <c r="A31" s="39"/>
      <c r="B31" s="58" t="s">
        <v>41</v>
      </c>
      <c r="C31" s="59"/>
      <c r="D31" s="60"/>
      <c r="E31" s="61"/>
      <c r="F31" s="62"/>
      <c r="G31" s="63"/>
      <c r="H31" s="64"/>
      <c r="I31" s="64"/>
      <c r="J31" s="64"/>
      <c r="K31" s="65"/>
      <c r="L31" s="66"/>
      <c r="M31" s="67"/>
      <c r="N31" s="68"/>
      <c r="O31" s="62"/>
      <c r="P31" s="69"/>
      <c r="Q31" s="63"/>
      <c r="R31" s="63"/>
      <c r="S31" s="70"/>
    </row>
    <row r="32" spans="1:19" ht="32.25" customHeight="1">
      <c r="A32" s="106">
        <v>1</v>
      </c>
      <c r="B32" s="107" t="s">
        <v>77</v>
      </c>
      <c r="C32" s="107" t="s">
        <v>400</v>
      </c>
      <c r="D32" s="108">
        <v>321</v>
      </c>
      <c r="E32" s="109"/>
      <c r="F32" s="110"/>
      <c r="G32" s="111"/>
      <c r="H32" s="111"/>
      <c r="I32" s="112"/>
      <c r="J32" s="113"/>
      <c r="K32" s="74" t="s">
        <v>407</v>
      </c>
      <c r="L32" s="75" t="s">
        <v>408</v>
      </c>
      <c r="M32" s="76">
        <v>321</v>
      </c>
      <c r="N32" s="114"/>
      <c r="O32" s="115"/>
      <c r="P32" s="92"/>
      <c r="Q32" s="91">
        <v>0</v>
      </c>
      <c r="R32" s="92">
        <v>0</v>
      </c>
      <c r="S32" s="77">
        <v>0</v>
      </c>
    </row>
    <row r="33" spans="1:19" ht="32.25" customHeight="1">
      <c r="A33" s="106">
        <v>2</v>
      </c>
      <c r="B33" s="117" t="s">
        <v>401</v>
      </c>
      <c r="C33" s="107" t="s">
        <v>400</v>
      </c>
      <c r="D33" s="108">
        <v>642</v>
      </c>
      <c r="E33" s="118"/>
      <c r="F33" s="119"/>
      <c r="G33" s="111"/>
      <c r="H33" s="111"/>
      <c r="I33" s="120"/>
      <c r="J33" s="121"/>
      <c r="K33" s="74" t="s">
        <v>407</v>
      </c>
      <c r="L33" s="75" t="s">
        <v>409</v>
      </c>
      <c r="M33" s="76">
        <v>642</v>
      </c>
      <c r="N33" s="114"/>
      <c r="O33" s="122"/>
      <c r="P33" s="92"/>
      <c r="Q33" s="91">
        <v>0</v>
      </c>
      <c r="R33" s="92">
        <v>0</v>
      </c>
      <c r="S33" s="77">
        <v>0</v>
      </c>
    </row>
    <row r="34" spans="1:19" ht="32.25" customHeight="1">
      <c r="A34" s="106">
        <v>3</v>
      </c>
      <c r="B34" s="117" t="s">
        <v>402</v>
      </c>
      <c r="C34" s="107" t="s">
        <v>400</v>
      </c>
      <c r="D34" s="123">
        <v>321</v>
      </c>
      <c r="E34" s="109"/>
      <c r="F34" s="110"/>
      <c r="G34" s="124"/>
      <c r="H34" s="124"/>
      <c r="I34" s="112"/>
      <c r="J34" s="113"/>
      <c r="K34" s="74" t="s">
        <v>407</v>
      </c>
      <c r="L34" s="75" t="s">
        <v>410</v>
      </c>
      <c r="M34" s="76">
        <v>321</v>
      </c>
      <c r="N34" s="114"/>
      <c r="O34" s="115"/>
      <c r="P34" s="125"/>
      <c r="Q34" s="91">
        <v>0</v>
      </c>
      <c r="R34" s="92">
        <v>0</v>
      </c>
      <c r="S34" s="77">
        <v>0</v>
      </c>
    </row>
    <row r="35" spans="1:19" ht="32.25" customHeight="1">
      <c r="A35" s="106">
        <v>4</v>
      </c>
      <c r="B35" s="117" t="s">
        <v>403</v>
      </c>
      <c r="C35" s="107" t="s">
        <v>400</v>
      </c>
      <c r="D35" s="123">
        <v>642</v>
      </c>
      <c r="E35" s="466"/>
      <c r="F35" s="127"/>
      <c r="G35" s="126"/>
      <c r="H35" s="126"/>
      <c r="I35" s="128"/>
      <c r="J35" s="129"/>
      <c r="K35" s="74" t="s">
        <v>411</v>
      </c>
      <c r="L35" s="75" t="s">
        <v>412</v>
      </c>
      <c r="M35" s="76">
        <v>642</v>
      </c>
      <c r="N35" s="30"/>
      <c r="O35" s="31"/>
      <c r="P35" s="29"/>
      <c r="Q35" s="91"/>
      <c r="R35" s="92"/>
      <c r="S35" s="77"/>
    </row>
    <row r="36" spans="1:19" ht="32.25" customHeight="1">
      <c r="A36" s="106">
        <v>5</v>
      </c>
      <c r="B36" s="117" t="s">
        <v>404</v>
      </c>
      <c r="C36" s="107" t="s">
        <v>400</v>
      </c>
      <c r="D36" s="123">
        <v>321</v>
      </c>
      <c r="E36" s="126"/>
      <c r="F36" s="127"/>
      <c r="G36" s="126"/>
      <c r="H36" s="128"/>
      <c r="I36" s="128"/>
      <c r="J36" s="129"/>
      <c r="K36" s="74" t="s">
        <v>413</v>
      </c>
      <c r="L36" s="75" t="s">
        <v>414</v>
      </c>
      <c r="M36" s="76">
        <v>321</v>
      </c>
      <c r="N36" s="30"/>
      <c r="O36" s="31"/>
      <c r="P36" s="31"/>
      <c r="Q36" s="91">
        <v>0</v>
      </c>
      <c r="R36" s="92">
        <v>0</v>
      </c>
      <c r="S36" s="77">
        <v>0</v>
      </c>
    </row>
    <row r="37" spans="1:19" ht="32.25" customHeight="1">
      <c r="A37" s="106">
        <v>6</v>
      </c>
      <c r="B37" s="117" t="s">
        <v>405</v>
      </c>
      <c r="C37" s="107" t="s">
        <v>400</v>
      </c>
      <c r="D37" s="123">
        <v>321</v>
      </c>
      <c r="E37" s="126"/>
      <c r="F37" s="127"/>
      <c r="G37" s="126"/>
      <c r="H37" s="128"/>
      <c r="I37" s="128"/>
      <c r="J37" s="129"/>
      <c r="K37" s="74" t="s">
        <v>415</v>
      </c>
      <c r="L37" s="75" t="s">
        <v>416</v>
      </c>
      <c r="M37" s="76">
        <v>321</v>
      </c>
      <c r="N37" s="30"/>
      <c r="O37" s="31"/>
      <c r="P37" s="31"/>
      <c r="Q37" s="91"/>
      <c r="R37" s="92"/>
      <c r="S37" s="77"/>
    </row>
    <row r="38" spans="1:19" ht="32.25" customHeight="1">
      <c r="A38" s="106">
        <v>7</v>
      </c>
      <c r="B38" s="117" t="s">
        <v>402</v>
      </c>
      <c r="C38" s="107" t="s">
        <v>400</v>
      </c>
      <c r="D38" s="123">
        <v>321</v>
      </c>
      <c r="E38" s="126"/>
      <c r="F38" s="127"/>
      <c r="G38" s="126"/>
      <c r="H38" s="128"/>
      <c r="I38" s="128"/>
      <c r="J38" s="129"/>
      <c r="K38" s="74" t="s">
        <v>417</v>
      </c>
      <c r="L38" s="75" t="s">
        <v>418</v>
      </c>
      <c r="M38" s="76">
        <v>321</v>
      </c>
      <c r="N38" s="30"/>
      <c r="O38" s="31"/>
      <c r="P38" s="31"/>
      <c r="Q38" s="91"/>
      <c r="R38" s="92"/>
      <c r="S38" s="77"/>
    </row>
    <row r="39" spans="1:19" ht="32.25" customHeight="1">
      <c r="A39" s="106">
        <v>8</v>
      </c>
      <c r="B39" s="117" t="s">
        <v>406</v>
      </c>
      <c r="C39" s="107" t="s">
        <v>400</v>
      </c>
      <c r="D39" s="123">
        <v>321</v>
      </c>
      <c r="E39" s="126"/>
      <c r="F39" s="127"/>
      <c r="G39" s="126"/>
      <c r="H39" s="128"/>
      <c r="I39" s="128"/>
      <c r="J39" s="129"/>
      <c r="K39" s="74" t="s">
        <v>419</v>
      </c>
      <c r="L39" s="75" t="s">
        <v>420</v>
      </c>
      <c r="M39" s="76">
        <v>321</v>
      </c>
      <c r="N39" s="30"/>
      <c r="O39" s="31"/>
      <c r="P39" s="31"/>
      <c r="Q39" s="91"/>
      <c r="R39" s="92"/>
      <c r="S39" s="77"/>
    </row>
    <row r="40" spans="1:19" ht="32.25" customHeight="1">
      <c r="A40" s="106"/>
      <c r="B40" s="117"/>
      <c r="C40" s="107"/>
      <c r="D40" s="123"/>
      <c r="E40" s="126"/>
      <c r="F40" s="127"/>
      <c r="G40" s="126"/>
      <c r="H40" s="128"/>
      <c r="I40" s="128"/>
      <c r="J40" s="129"/>
      <c r="K40" s="74"/>
      <c r="L40" s="75"/>
      <c r="M40" s="76"/>
      <c r="N40" s="114"/>
      <c r="O40" s="115"/>
      <c r="P40" s="115"/>
      <c r="Q40" s="91">
        <v>0</v>
      </c>
      <c r="R40" s="92">
        <v>0</v>
      </c>
      <c r="S40" s="77">
        <v>0</v>
      </c>
    </row>
    <row r="41" spans="1:19" ht="32.25" customHeight="1">
      <c r="A41" s="116"/>
      <c r="B41" s="130"/>
      <c r="C41" s="130"/>
      <c r="D41" s="72"/>
      <c r="E41" s="6"/>
      <c r="F41" s="43"/>
      <c r="G41" s="6"/>
      <c r="H41" s="42"/>
      <c r="I41" s="42"/>
      <c r="J41" s="136"/>
      <c r="K41" s="137"/>
      <c r="L41" s="138"/>
      <c r="M41" s="139"/>
      <c r="N41" s="5"/>
      <c r="O41" s="43"/>
      <c r="P41" s="43"/>
      <c r="Q41" s="91">
        <v>0</v>
      </c>
      <c r="R41" s="92">
        <v>0</v>
      </c>
      <c r="S41" s="77">
        <v>0</v>
      </c>
    </row>
    <row r="42" spans="1:19" ht="32.25" customHeight="1" thickBot="1">
      <c r="A42" s="39"/>
      <c r="B42" s="50" t="s">
        <v>19</v>
      </c>
      <c r="C42" s="50"/>
      <c r="D42" s="51">
        <f>SUM(D32:D41)</f>
        <v>3210</v>
      </c>
      <c r="E42" s="52"/>
      <c r="F42" s="53"/>
      <c r="G42" s="52"/>
      <c r="H42" s="51">
        <v>0</v>
      </c>
      <c r="I42" s="51">
        <v>0</v>
      </c>
      <c r="J42" s="51">
        <v>0</v>
      </c>
      <c r="K42" s="55"/>
      <c r="L42" s="55"/>
      <c r="M42" s="140">
        <f>SUM(M32:M41)</f>
        <v>3210</v>
      </c>
      <c r="N42" s="57"/>
      <c r="O42" s="53"/>
      <c r="P42" s="51"/>
      <c r="Q42" s="51"/>
      <c r="R42" s="51"/>
      <c r="S42" s="51"/>
    </row>
    <row r="43" spans="1:19" ht="32.25" customHeight="1" thickTop="1">
      <c r="A43" s="39"/>
      <c r="B43" s="58" t="s">
        <v>47</v>
      </c>
      <c r="C43" s="59"/>
      <c r="D43" s="60"/>
      <c r="E43" s="61"/>
      <c r="F43" s="62"/>
      <c r="G43" s="63"/>
      <c r="H43" s="64"/>
      <c r="I43" s="64"/>
      <c r="J43" s="64"/>
      <c r="K43" s="65"/>
      <c r="L43" s="66"/>
      <c r="M43" s="67"/>
      <c r="N43" s="68"/>
      <c r="O43" s="62"/>
      <c r="P43" s="69"/>
      <c r="Q43" s="63"/>
      <c r="R43" s="63"/>
      <c r="S43" s="70"/>
    </row>
    <row r="44" spans="1:19" ht="32.25" customHeight="1">
      <c r="A44" s="39">
        <v>1</v>
      </c>
      <c r="B44" s="40"/>
      <c r="C44" s="41"/>
      <c r="D44" s="42"/>
      <c r="E44" s="6"/>
      <c r="F44" s="43"/>
      <c r="G44" s="6"/>
      <c r="H44" s="42"/>
      <c r="I44" s="42"/>
      <c r="J44" s="42"/>
      <c r="K44" s="44"/>
      <c r="L44" s="45"/>
      <c r="M44" s="46"/>
      <c r="N44" s="5"/>
      <c r="O44" s="43"/>
      <c r="P44" s="47"/>
      <c r="Q44" s="48"/>
      <c r="R44" s="48"/>
      <c r="S44" s="49"/>
    </row>
    <row r="45" spans="1:19" ht="32.25" customHeight="1" thickBot="1">
      <c r="A45" s="39"/>
      <c r="B45" s="50" t="s">
        <v>19</v>
      </c>
      <c r="C45" s="50"/>
      <c r="D45" s="51">
        <v>0</v>
      </c>
      <c r="E45" s="52"/>
      <c r="F45" s="53"/>
      <c r="G45" s="52"/>
      <c r="H45" s="51">
        <v>0</v>
      </c>
      <c r="I45" s="51">
        <v>0</v>
      </c>
      <c r="J45" s="51">
        <v>0</v>
      </c>
      <c r="K45" s="54"/>
      <c r="L45" s="55"/>
      <c r="M45" s="56"/>
      <c r="N45" s="57"/>
      <c r="O45" s="53"/>
      <c r="P45" s="51"/>
      <c r="Q45" s="51"/>
      <c r="R45" s="51"/>
      <c r="S45" s="51"/>
    </row>
    <row r="46" spans="1:19" ht="32.25" customHeight="1" thickTop="1">
      <c r="A46" s="39"/>
      <c r="B46" s="58" t="s">
        <v>48</v>
      </c>
      <c r="C46" s="59"/>
      <c r="D46" s="60"/>
      <c r="E46" s="61"/>
      <c r="F46" s="62"/>
      <c r="G46" s="63"/>
      <c r="H46" s="64"/>
      <c r="I46" s="64"/>
      <c r="J46" s="64"/>
      <c r="K46" s="65"/>
      <c r="L46" s="66"/>
      <c r="M46" s="67"/>
      <c r="N46" s="68"/>
      <c r="O46" s="62"/>
      <c r="P46" s="69"/>
      <c r="Q46" s="63"/>
      <c r="R46" s="63"/>
      <c r="S46" s="70"/>
    </row>
    <row r="47" spans="1:19" ht="32.25" customHeight="1">
      <c r="A47" s="39">
        <v>1</v>
      </c>
      <c r="B47" s="40"/>
      <c r="C47" s="41"/>
      <c r="D47" s="42"/>
      <c r="E47" s="6"/>
      <c r="F47" s="43"/>
      <c r="G47" s="6"/>
      <c r="H47" s="42"/>
      <c r="I47" s="42"/>
      <c r="J47" s="42"/>
      <c r="K47" s="44"/>
      <c r="L47" s="45"/>
      <c r="M47" s="46"/>
      <c r="N47" s="5"/>
      <c r="O47" s="43"/>
      <c r="P47" s="47"/>
      <c r="Q47" s="48"/>
      <c r="R47" s="48"/>
      <c r="S47" s="49"/>
    </row>
    <row r="48" spans="1:19" ht="32.25" customHeight="1" thickBot="1">
      <c r="A48" s="39"/>
      <c r="B48" s="50" t="s">
        <v>19</v>
      </c>
      <c r="C48" s="50"/>
      <c r="D48" s="51">
        <v>0</v>
      </c>
      <c r="E48" s="52"/>
      <c r="F48" s="53"/>
      <c r="G48" s="52"/>
      <c r="H48" s="51">
        <v>0</v>
      </c>
      <c r="I48" s="51">
        <v>0</v>
      </c>
      <c r="J48" s="51">
        <v>0</v>
      </c>
      <c r="K48" s="54"/>
      <c r="L48" s="55"/>
      <c r="M48" s="56"/>
      <c r="N48" s="57"/>
      <c r="O48" s="53"/>
      <c r="P48" s="51"/>
      <c r="Q48" s="51"/>
      <c r="R48" s="51"/>
      <c r="S48" s="51"/>
    </row>
    <row r="49" spans="1:19" ht="32.25" customHeight="1" thickTop="1">
      <c r="A49" s="39"/>
      <c r="B49" s="58" t="s">
        <v>49</v>
      </c>
      <c r="C49" s="59"/>
      <c r="D49" s="60"/>
      <c r="E49" s="61"/>
      <c r="F49" s="62"/>
      <c r="G49" s="63"/>
      <c r="H49" s="64"/>
      <c r="I49" s="64"/>
      <c r="J49" s="64"/>
      <c r="K49" s="65"/>
      <c r="L49" s="66"/>
      <c r="M49" s="67"/>
      <c r="N49" s="68"/>
      <c r="O49" s="62"/>
      <c r="P49" s="69"/>
      <c r="Q49" s="63"/>
      <c r="R49" s="63"/>
      <c r="S49" s="70"/>
    </row>
    <row r="50" spans="1:19" ht="32.25" customHeight="1">
      <c r="A50" s="39">
        <v>1</v>
      </c>
      <c r="B50" s="40"/>
      <c r="C50" s="41"/>
      <c r="D50" s="42"/>
      <c r="E50" s="6"/>
      <c r="F50" s="43"/>
      <c r="G50" s="6"/>
      <c r="H50" s="42"/>
      <c r="I50" s="42"/>
      <c r="J50" s="42"/>
      <c r="K50" s="44"/>
      <c r="L50" s="45"/>
      <c r="M50" s="46"/>
      <c r="N50" s="5"/>
      <c r="O50" s="43"/>
      <c r="P50" s="47"/>
      <c r="Q50" s="48"/>
      <c r="R50" s="48"/>
      <c r="S50" s="49"/>
    </row>
    <row r="51" spans="1:19" ht="32.25" customHeight="1" thickBot="1">
      <c r="A51" s="39"/>
      <c r="B51" s="50" t="s">
        <v>19</v>
      </c>
      <c r="C51" s="50"/>
      <c r="D51" s="51">
        <v>0</v>
      </c>
      <c r="E51" s="52"/>
      <c r="F51" s="53"/>
      <c r="G51" s="52"/>
      <c r="H51" s="51">
        <v>0</v>
      </c>
      <c r="I51" s="51">
        <v>0</v>
      </c>
      <c r="J51" s="51">
        <v>0</v>
      </c>
      <c r="K51" s="54"/>
      <c r="L51" s="55"/>
      <c r="M51" s="56">
        <v>0</v>
      </c>
      <c r="N51" s="57"/>
      <c r="O51" s="53"/>
      <c r="P51" s="51"/>
      <c r="Q51" s="51"/>
      <c r="R51" s="51"/>
      <c r="S51" s="51"/>
    </row>
    <row r="52" spans="1:19" ht="32.25" customHeight="1" thickTop="1">
      <c r="A52" s="39"/>
      <c r="B52" s="141" t="s">
        <v>50</v>
      </c>
      <c r="C52" s="142"/>
      <c r="D52" s="125"/>
      <c r="E52" s="131"/>
      <c r="F52" s="115"/>
      <c r="G52" s="33"/>
      <c r="H52" s="143"/>
      <c r="I52" s="143"/>
      <c r="J52" s="143"/>
      <c r="K52" s="34"/>
      <c r="L52" s="35"/>
      <c r="M52" s="36"/>
      <c r="N52" s="114"/>
      <c r="O52" s="115"/>
      <c r="P52" s="144"/>
      <c r="Q52" s="33"/>
      <c r="R52" s="33"/>
      <c r="S52" s="145"/>
    </row>
    <row r="53" spans="1:19" ht="32.25" customHeight="1">
      <c r="A53" s="39"/>
      <c r="B53" s="146" t="s">
        <v>51</v>
      </c>
      <c r="C53" s="146"/>
      <c r="D53" s="125"/>
      <c r="E53" s="131"/>
      <c r="F53" s="122"/>
      <c r="G53" s="147"/>
      <c r="H53" s="148"/>
      <c r="I53" s="148"/>
      <c r="J53" s="143"/>
      <c r="K53" s="34"/>
      <c r="L53" s="35"/>
      <c r="M53" s="36"/>
      <c r="N53" s="114"/>
      <c r="O53" s="122"/>
      <c r="P53" s="149"/>
      <c r="Q53" s="147"/>
      <c r="R53" s="147"/>
      <c r="S53" s="145"/>
    </row>
    <row r="54" spans="1:19" s="160" customFormat="1" ht="32.25" customHeight="1">
      <c r="A54" s="106">
        <v>1</v>
      </c>
      <c r="B54" s="142" t="s">
        <v>52</v>
      </c>
      <c r="C54" s="150" t="s">
        <v>53</v>
      </c>
      <c r="D54" s="151">
        <v>4140</v>
      </c>
      <c r="E54" s="157" t="s">
        <v>57</v>
      </c>
      <c r="F54" s="158"/>
      <c r="G54" s="158"/>
      <c r="H54" s="153">
        <v>-2070</v>
      </c>
      <c r="I54" s="153"/>
      <c r="J54" s="159">
        <v>-2070</v>
      </c>
      <c r="K54" s="154" t="s">
        <v>421</v>
      </c>
      <c r="L54" s="155" t="s">
        <v>422</v>
      </c>
      <c r="M54" s="156">
        <v>4140</v>
      </c>
      <c r="N54" s="157" t="s">
        <v>57</v>
      </c>
      <c r="O54" s="158"/>
      <c r="P54" s="158"/>
      <c r="Q54" s="153">
        <v>-2070</v>
      </c>
      <c r="R54" s="153"/>
      <c r="S54" s="159">
        <v>-2070</v>
      </c>
    </row>
    <row r="55" spans="1:19" s="160" customFormat="1" ht="32.25" customHeight="1">
      <c r="A55" s="106">
        <v>2</v>
      </c>
      <c r="B55" s="161" t="s">
        <v>58</v>
      </c>
      <c r="C55" s="162" t="s">
        <v>59</v>
      </c>
      <c r="D55" s="151">
        <v>0</v>
      </c>
      <c r="E55" s="167"/>
      <c r="F55" s="158"/>
      <c r="G55" s="158"/>
      <c r="H55" s="91">
        <v>0</v>
      </c>
      <c r="I55" s="91"/>
      <c r="J55" s="77">
        <v>0</v>
      </c>
      <c r="K55" s="164"/>
      <c r="L55" s="165"/>
      <c r="M55" s="166"/>
      <c r="N55" s="167"/>
      <c r="O55" s="158"/>
      <c r="P55" s="158"/>
      <c r="Q55" s="91">
        <v>0</v>
      </c>
      <c r="R55" s="91"/>
      <c r="S55" s="77">
        <v>0</v>
      </c>
    </row>
    <row r="56" spans="1:19" s="160" customFormat="1" ht="32.25" customHeight="1">
      <c r="A56" s="106">
        <v>3</v>
      </c>
      <c r="B56" s="142" t="s">
        <v>60</v>
      </c>
      <c r="C56" s="150" t="s">
        <v>61</v>
      </c>
      <c r="D56" s="151">
        <v>2070</v>
      </c>
      <c r="E56" s="167"/>
      <c r="F56" s="158"/>
      <c r="G56" s="158"/>
      <c r="H56" s="91">
        <v>0</v>
      </c>
      <c r="I56" s="91"/>
      <c r="J56" s="77">
        <v>0</v>
      </c>
      <c r="K56" s="154" t="s">
        <v>421</v>
      </c>
      <c r="L56" s="155" t="s">
        <v>423</v>
      </c>
      <c r="M56" s="156">
        <v>2070</v>
      </c>
      <c r="N56" s="167"/>
      <c r="O56" s="158"/>
      <c r="P56" s="158"/>
      <c r="Q56" s="91">
        <v>0</v>
      </c>
      <c r="R56" s="91"/>
      <c r="S56" s="77">
        <v>0</v>
      </c>
    </row>
    <row r="57" spans="1:19" s="160" customFormat="1" ht="32.25" customHeight="1">
      <c r="A57" s="106">
        <v>4</v>
      </c>
      <c r="B57" s="142" t="s">
        <v>27</v>
      </c>
      <c r="C57" s="150" t="s">
        <v>64</v>
      </c>
      <c r="D57" s="151">
        <v>2070</v>
      </c>
      <c r="E57" s="167"/>
      <c r="F57" s="158"/>
      <c r="G57" s="158"/>
      <c r="H57" s="91">
        <v>0</v>
      </c>
      <c r="I57" s="91"/>
      <c r="J57" s="77">
        <v>0</v>
      </c>
      <c r="K57" s="154" t="s">
        <v>424</v>
      </c>
      <c r="L57" s="155" t="s">
        <v>425</v>
      </c>
      <c r="M57" s="156">
        <v>2070</v>
      </c>
      <c r="N57" s="167"/>
      <c r="O57" s="158"/>
      <c r="P57" s="158"/>
      <c r="Q57" s="91">
        <v>0</v>
      </c>
      <c r="R57" s="91"/>
      <c r="S57" s="77">
        <v>0</v>
      </c>
    </row>
    <row r="58" spans="1:19" s="160" customFormat="1" ht="32.25" customHeight="1">
      <c r="A58" s="106">
        <v>5</v>
      </c>
      <c r="B58" s="168" t="s">
        <v>42</v>
      </c>
      <c r="C58" s="150" t="s">
        <v>67</v>
      </c>
      <c r="D58" s="125">
        <v>2070</v>
      </c>
      <c r="E58" s="167"/>
      <c r="F58" s="158"/>
      <c r="G58" s="158"/>
      <c r="H58" s="91">
        <v>0</v>
      </c>
      <c r="I58" s="91"/>
      <c r="J58" s="77">
        <v>0</v>
      </c>
      <c r="K58" s="154" t="s">
        <v>426</v>
      </c>
      <c r="L58" s="155" t="s">
        <v>427</v>
      </c>
      <c r="M58" s="156">
        <v>2070</v>
      </c>
      <c r="N58" s="167"/>
      <c r="O58" s="158"/>
      <c r="P58" s="158"/>
      <c r="Q58" s="91">
        <v>0</v>
      </c>
      <c r="R58" s="91"/>
      <c r="S58" s="77">
        <v>0</v>
      </c>
    </row>
    <row r="59" spans="1:19" s="160" customFormat="1" ht="32.25" customHeight="1">
      <c r="A59" s="106">
        <v>6</v>
      </c>
      <c r="B59" s="142" t="s">
        <v>69</v>
      </c>
      <c r="C59" s="150" t="s">
        <v>70</v>
      </c>
      <c r="D59" s="151">
        <v>2070</v>
      </c>
      <c r="E59" s="169" t="s">
        <v>125</v>
      </c>
      <c r="F59" s="158">
        <v>1</v>
      </c>
      <c r="G59" s="158" t="s">
        <v>72</v>
      </c>
      <c r="H59" s="91">
        <v>2070</v>
      </c>
      <c r="I59" s="91"/>
      <c r="J59" s="77">
        <f>SUM(H59)</f>
        <v>2070</v>
      </c>
      <c r="K59" s="154" t="s">
        <v>428</v>
      </c>
      <c r="L59" s="155" t="s">
        <v>429</v>
      </c>
      <c r="M59" s="156">
        <v>4140</v>
      </c>
      <c r="N59" s="169"/>
      <c r="O59" s="158"/>
      <c r="P59" s="158"/>
      <c r="Q59" s="91">
        <f>SUM(D59+H59-M59)</f>
        <v>0</v>
      </c>
      <c r="R59" s="91"/>
      <c r="S59" s="77">
        <f>SUM(Q59)</f>
        <v>0</v>
      </c>
    </row>
    <row r="60" spans="1:19" ht="32.25" customHeight="1">
      <c r="A60" s="106">
        <v>7</v>
      </c>
      <c r="B60" s="146" t="s">
        <v>75</v>
      </c>
      <c r="C60" s="170" t="s">
        <v>76</v>
      </c>
      <c r="D60" s="151"/>
      <c r="E60" s="167"/>
      <c r="F60" s="158"/>
      <c r="G60" s="158"/>
      <c r="H60" s="91">
        <v>0</v>
      </c>
      <c r="I60" s="91"/>
      <c r="J60" s="77">
        <v>0</v>
      </c>
      <c r="K60" s="164"/>
      <c r="L60" s="165"/>
      <c r="M60" s="166"/>
      <c r="N60" s="167"/>
      <c r="O60" s="158"/>
      <c r="P60" s="158"/>
      <c r="Q60" s="91">
        <v>0</v>
      </c>
      <c r="R60" s="91"/>
      <c r="S60" s="77">
        <v>0</v>
      </c>
    </row>
    <row r="61" spans="1:19" s="160" customFormat="1" ht="32.25" customHeight="1">
      <c r="A61" s="106">
        <v>8</v>
      </c>
      <c r="B61" s="142" t="s">
        <v>77</v>
      </c>
      <c r="C61" s="150" t="s">
        <v>78</v>
      </c>
      <c r="D61" s="151">
        <v>2070</v>
      </c>
      <c r="E61" s="167"/>
      <c r="F61" s="158"/>
      <c r="G61" s="158"/>
      <c r="H61" s="91">
        <v>0</v>
      </c>
      <c r="I61" s="91"/>
      <c r="J61" s="77">
        <v>0</v>
      </c>
      <c r="K61" s="154" t="s">
        <v>430</v>
      </c>
      <c r="L61" s="171" t="s">
        <v>431</v>
      </c>
      <c r="M61" s="156">
        <v>2070</v>
      </c>
      <c r="N61" s="167"/>
      <c r="O61" s="158"/>
      <c r="P61" s="158"/>
      <c r="Q61" s="91">
        <v>0</v>
      </c>
      <c r="R61" s="91"/>
      <c r="S61" s="77">
        <v>0</v>
      </c>
    </row>
    <row r="62" spans="1:19" s="160" customFormat="1" ht="32.25" customHeight="1">
      <c r="A62" s="106">
        <v>9</v>
      </c>
      <c r="B62" s="142" t="s">
        <v>77</v>
      </c>
      <c r="C62" s="150" t="s">
        <v>81</v>
      </c>
      <c r="D62" s="151">
        <v>2070</v>
      </c>
      <c r="E62" s="167"/>
      <c r="F62" s="158"/>
      <c r="G62" s="158"/>
      <c r="H62" s="91">
        <v>0</v>
      </c>
      <c r="I62" s="91"/>
      <c r="J62" s="77">
        <v>0</v>
      </c>
      <c r="K62" s="154" t="s">
        <v>430</v>
      </c>
      <c r="L62" s="171" t="s">
        <v>431</v>
      </c>
      <c r="M62" s="156">
        <v>2070</v>
      </c>
      <c r="N62" s="167"/>
      <c r="O62" s="158"/>
      <c r="P62" s="158"/>
      <c r="Q62" s="91">
        <v>0</v>
      </c>
      <c r="R62" s="91"/>
      <c r="S62" s="77">
        <v>0</v>
      </c>
    </row>
    <row r="63" spans="1:19" ht="32.25" customHeight="1">
      <c r="A63" s="106">
        <v>10</v>
      </c>
      <c r="B63" s="146" t="s">
        <v>75</v>
      </c>
      <c r="C63" s="170" t="s">
        <v>82</v>
      </c>
      <c r="D63" s="151"/>
      <c r="E63" s="167"/>
      <c r="F63" s="158"/>
      <c r="G63" s="158"/>
      <c r="H63" s="91">
        <v>0</v>
      </c>
      <c r="I63" s="91"/>
      <c r="J63" s="77">
        <v>0</v>
      </c>
      <c r="K63" s="164"/>
      <c r="L63" s="172"/>
      <c r="M63" s="166"/>
      <c r="N63" s="167"/>
      <c r="O63" s="158"/>
      <c r="P63" s="158"/>
      <c r="Q63" s="91">
        <v>0</v>
      </c>
      <c r="R63" s="91"/>
      <c r="S63" s="77">
        <v>0</v>
      </c>
    </row>
    <row r="64" spans="1:19" s="160" customFormat="1" ht="32.25" customHeight="1">
      <c r="A64" s="106">
        <v>11</v>
      </c>
      <c r="B64" s="142" t="s">
        <v>83</v>
      </c>
      <c r="C64" s="150" t="s">
        <v>84</v>
      </c>
      <c r="D64" s="151">
        <v>2070</v>
      </c>
      <c r="E64" s="167"/>
      <c r="F64" s="158"/>
      <c r="G64" s="158"/>
      <c r="H64" s="91">
        <v>0</v>
      </c>
      <c r="I64" s="91"/>
      <c r="J64" s="77">
        <v>0</v>
      </c>
      <c r="K64" s="154" t="s">
        <v>432</v>
      </c>
      <c r="L64" s="155" t="s">
        <v>433</v>
      </c>
      <c r="M64" s="156">
        <v>2070</v>
      </c>
      <c r="N64" s="167"/>
      <c r="O64" s="158"/>
      <c r="P64" s="158"/>
      <c r="Q64" s="91">
        <v>0</v>
      </c>
      <c r="R64" s="91"/>
      <c r="S64" s="77">
        <v>0</v>
      </c>
    </row>
    <row r="65" spans="1:19" s="160" customFormat="1" ht="32.25" customHeight="1">
      <c r="A65" s="106">
        <v>12</v>
      </c>
      <c r="B65" s="142" t="s">
        <v>87</v>
      </c>
      <c r="C65" s="150" t="s">
        <v>88</v>
      </c>
      <c r="D65" s="151">
        <v>2070</v>
      </c>
      <c r="E65" s="167"/>
      <c r="F65" s="158"/>
      <c r="G65" s="158"/>
      <c r="H65" s="91">
        <v>0</v>
      </c>
      <c r="I65" s="91"/>
      <c r="J65" s="77">
        <v>0</v>
      </c>
      <c r="K65" s="154" t="s">
        <v>395</v>
      </c>
      <c r="L65" s="171" t="s">
        <v>434</v>
      </c>
      <c r="M65" s="156">
        <v>2070</v>
      </c>
      <c r="N65" s="167"/>
      <c r="O65" s="158"/>
      <c r="P65" s="158"/>
      <c r="Q65" s="91">
        <v>0</v>
      </c>
      <c r="R65" s="91"/>
      <c r="S65" s="77">
        <v>0</v>
      </c>
    </row>
    <row r="66" spans="1:19" ht="32.25" customHeight="1">
      <c r="A66" s="106">
        <v>13</v>
      </c>
      <c r="B66" s="146" t="s">
        <v>75</v>
      </c>
      <c r="C66" s="173" t="s">
        <v>91</v>
      </c>
      <c r="D66" s="151"/>
      <c r="E66" s="167"/>
      <c r="F66" s="158"/>
      <c r="G66" s="158"/>
      <c r="H66" s="91">
        <v>0</v>
      </c>
      <c r="I66" s="91"/>
      <c r="J66" s="77">
        <v>0</v>
      </c>
      <c r="K66" s="164"/>
      <c r="L66" s="165"/>
      <c r="M66" s="166"/>
      <c r="N66" s="167"/>
      <c r="O66" s="158"/>
      <c r="P66" s="158"/>
      <c r="Q66" s="91">
        <v>0</v>
      </c>
      <c r="R66" s="91"/>
      <c r="S66" s="77">
        <v>0</v>
      </c>
    </row>
    <row r="67" spans="1:19" ht="32.25" customHeight="1">
      <c r="A67" s="106">
        <v>14</v>
      </c>
      <c r="B67" s="142" t="s">
        <v>92</v>
      </c>
      <c r="C67" s="174" t="s">
        <v>93</v>
      </c>
      <c r="D67" s="151"/>
      <c r="E67" s="167"/>
      <c r="F67" s="158"/>
      <c r="G67" s="158"/>
      <c r="H67" s="91">
        <v>0</v>
      </c>
      <c r="I67" s="91"/>
      <c r="J67" s="77">
        <v>0</v>
      </c>
      <c r="K67" s="164"/>
      <c r="L67" s="165"/>
      <c r="M67" s="166"/>
      <c r="N67" s="167"/>
      <c r="O67" s="158"/>
      <c r="P67" s="158"/>
      <c r="Q67" s="91">
        <v>0</v>
      </c>
      <c r="R67" s="91"/>
      <c r="S67" s="77">
        <v>0</v>
      </c>
    </row>
    <row r="68" spans="1:19" ht="32.25" customHeight="1">
      <c r="A68" s="106">
        <v>15</v>
      </c>
      <c r="B68" s="146" t="s">
        <v>75</v>
      </c>
      <c r="C68" s="170" t="s">
        <v>94</v>
      </c>
      <c r="D68" s="151">
        <v>0</v>
      </c>
      <c r="E68" s="167"/>
      <c r="F68" s="158"/>
      <c r="G68" s="158"/>
      <c r="H68" s="91">
        <v>0</v>
      </c>
      <c r="I68" s="91"/>
      <c r="J68" s="77">
        <v>0</v>
      </c>
      <c r="K68" s="164"/>
      <c r="L68" s="165"/>
      <c r="M68" s="166"/>
      <c r="N68" s="167"/>
      <c r="O68" s="158"/>
      <c r="P68" s="158"/>
      <c r="Q68" s="91">
        <v>0</v>
      </c>
      <c r="R68" s="91"/>
      <c r="S68" s="77">
        <v>0</v>
      </c>
    </row>
    <row r="69" spans="1:19" s="160" customFormat="1" ht="32.25" customHeight="1">
      <c r="A69" s="106">
        <v>16</v>
      </c>
      <c r="B69" s="142" t="s">
        <v>95</v>
      </c>
      <c r="C69" s="150" t="s">
        <v>96</v>
      </c>
      <c r="D69" s="151">
        <v>0</v>
      </c>
      <c r="E69" s="167"/>
      <c r="F69" s="158"/>
      <c r="G69" s="158"/>
      <c r="H69" s="91">
        <v>0</v>
      </c>
      <c r="I69" s="91"/>
      <c r="J69" s="77">
        <v>0</v>
      </c>
      <c r="K69" s="164"/>
      <c r="L69" s="175"/>
      <c r="M69" s="166"/>
      <c r="N69" s="167"/>
      <c r="O69" s="158"/>
      <c r="P69" s="158"/>
      <c r="Q69" s="91">
        <v>0</v>
      </c>
      <c r="R69" s="91"/>
      <c r="S69" s="77">
        <v>0</v>
      </c>
    </row>
    <row r="70" spans="1:19" s="160" customFormat="1" ht="32.25" customHeight="1">
      <c r="A70" s="106">
        <v>17</v>
      </c>
      <c r="B70" s="176" t="s">
        <v>97</v>
      </c>
      <c r="C70" s="162" t="s">
        <v>98</v>
      </c>
      <c r="D70" s="151">
        <v>0</v>
      </c>
      <c r="E70" s="167"/>
      <c r="F70" s="158"/>
      <c r="G70" s="158"/>
      <c r="H70" s="91">
        <v>0</v>
      </c>
      <c r="I70" s="91"/>
      <c r="J70" s="77">
        <v>0</v>
      </c>
      <c r="K70" s="164"/>
      <c r="L70" s="165"/>
      <c r="M70" s="177"/>
      <c r="N70" s="167"/>
      <c r="O70" s="158"/>
      <c r="P70" s="158"/>
      <c r="Q70" s="91">
        <v>0</v>
      </c>
      <c r="R70" s="91"/>
      <c r="S70" s="77">
        <v>0</v>
      </c>
    </row>
    <row r="71" spans="1:19" s="160" customFormat="1" ht="32.25" customHeight="1">
      <c r="A71" s="106">
        <v>18</v>
      </c>
      <c r="B71" s="142" t="s">
        <v>99</v>
      </c>
      <c r="C71" s="174" t="s">
        <v>100</v>
      </c>
      <c r="D71" s="151">
        <v>37375</v>
      </c>
      <c r="E71" s="167"/>
      <c r="F71" s="158"/>
      <c r="G71" s="158"/>
      <c r="H71" s="91">
        <v>0</v>
      </c>
      <c r="I71" s="91"/>
      <c r="J71" s="77">
        <v>0</v>
      </c>
      <c r="K71" s="154" t="s">
        <v>424</v>
      </c>
      <c r="L71" s="171" t="s">
        <v>435</v>
      </c>
      <c r="M71" s="178">
        <v>37375</v>
      </c>
      <c r="N71" s="167"/>
      <c r="O71" s="158"/>
      <c r="P71" s="158"/>
      <c r="Q71" s="91">
        <v>0</v>
      </c>
      <c r="R71" s="91"/>
      <c r="S71" s="77">
        <v>0</v>
      </c>
    </row>
    <row r="72" spans="1:19" s="160" customFormat="1" ht="32.25" customHeight="1">
      <c r="A72" s="106"/>
      <c r="B72" s="652" t="s">
        <v>102</v>
      </c>
      <c r="C72" s="653"/>
      <c r="D72" s="654"/>
      <c r="E72" s="167"/>
      <c r="F72" s="158"/>
      <c r="G72" s="158"/>
      <c r="H72" s="91">
        <v>0</v>
      </c>
      <c r="I72" s="91"/>
      <c r="J72" s="77">
        <v>0</v>
      </c>
      <c r="K72" s="164"/>
      <c r="L72" s="182"/>
      <c r="M72" s="183"/>
      <c r="N72" s="167"/>
      <c r="O72" s="158"/>
      <c r="P72" s="158"/>
      <c r="Q72" s="91">
        <v>0</v>
      </c>
      <c r="R72" s="91"/>
      <c r="S72" s="77">
        <v>0</v>
      </c>
    </row>
    <row r="73" spans="1:19" s="160" customFormat="1" ht="32.25" customHeight="1">
      <c r="A73" s="106">
        <v>19</v>
      </c>
      <c r="B73" s="142" t="s">
        <v>103</v>
      </c>
      <c r="C73" s="174" t="s">
        <v>104</v>
      </c>
      <c r="D73" s="151">
        <v>15525</v>
      </c>
      <c r="E73" s="167"/>
      <c r="F73" s="158"/>
      <c r="G73" s="158"/>
      <c r="H73" s="91">
        <v>0</v>
      </c>
      <c r="I73" s="91"/>
      <c r="J73" s="77">
        <v>0</v>
      </c>
      <c r="K73" s="154" t="s">
        <v>413</v>
      </c>
      <c r="L73" s="171" t="s">
        <v>436</v>
      </c>
      <c r="M73" s="178">
        <v>15525</v>
      </c>
      <c r="N73" s="167"/>
      <c r="O73" s="158"/>
      <c r="P73" s="158"/>
      <c r="Q73" s="91">
        <v>0</v>
      </c>
      <c r="R73" s="91"/>
      <c r="S73" s="77">
        <v>0</v>
      </c>
    </row>
    <row r="74" spans="1:19" s="160" customFormat="1" ht="32.25" customHeight="1">
      <c r="A74" s="106"/>
      <c r="B74" s="652" t="s">
        <v>106</v>
      </c>
      <c r="C74" s="653"/>
      <c r="D74" s="654"/>
      <c r="E74" s="167"/>
      <c r="F74" s="158"/>
      <c r="G74" s="158"/>
      <c r="H74" s="91">
        <v>0</v>
      </c>
      <c r="I74" s="91"/>
      <c r="J74" s="77">
        <v>0</v>
      </c>
      <c r="K74" s="164"/>
      <c r="L74" s="182"/>
      <c r="M74" s="183"/>
      <c r="N74" s="167"/>
      <c r="O74" s="158"/>
      <c r="P74" s="158"/>
      <c r="Q74" s="91">
        <v>0</v>
      </c>
      <c r="R74" s="91"/>
      <c r="S74" s="77">
        <v>0</v>
      </c>
    </row>
    <row r="75" spans="1:19" s="160" customFormat="1" ht="32.25" customHeight="1">
      <c r="A75" s="106">
        <v>20</v>
      </c>
      <c r="B75" s="142" t="s">
        <v>107</v>
      </c>
      <c r="C75" s="174" t="s">
        <v>108</v>
      </c>
      <c r="D75" s="151">
        <v>14000</v>
      </c>
      <c r="E75" s="167"/>
      <c r="F75" s="158"/>
      <c r="G75" s="158"/>
      <c r="H75" s="91">
        <v>0</v>
      </c>
      <c r="I75" s="91"/>
      <c r="J75" s="77">
        <v>0</v>
      </c>
      <c r="K75" s="154" t="s">
        <v>437</v>
      </c>
      <c r="L75" s="155" t="s">
        <v>438</v>
      </c>
      <c r="M75" s="178">
        <v>14000</v>
      </c>
      <c r="N75" s="167"/>
      <c r="O75" s="158"/>
      <c r="P75" s="158"/>
      <c r="Q75" s="91">
        <v>0</v>
      </c>
      <c r="R75" s="91"/>
      <c r="S75" s="77">
        <v>0</v>
      </c>
    </row>
    <row r="76" spans="1:19" s="160" customFormat="1" ht="32.25" customHeight="1">
      <c r="A76" s="106"/>
      <c r="B76" s="652" t="s">
        <v>110</v>
      </c>
      <c r="C76" s="653"/>
      <c r="D76" s="654"/>
      <c r="E76" s="167"/>
      <c r="F76" s="158"/>
      <c r="G76" s="158"/>
      <c r="H76" s="91">
        <v>0</v>
      </c>
      <c r="I76" s="91"/>
      <c r="J76" s="77">
        <v>0</v>
      </c>
      <c r="K76" s="164"/>
      <c r="L76" s="182"/>
      <c r="M76" s="183"/>
      <c r="N76" s="167"/>
      <c r="O76" s="158"/>
      <c r="P76" s="158"/>
      <c r="Q76" s="91">
        <v>0</v>
      </c>
      <c r="R76" s="91"/>
      <c r="S76" s="77">
        <v>0</v>
      </c>
    </row>
    <row r="77" spans="1:19" s="160" customFormat="1" ht="32.25" customHeight="1">
      <c r="A77" s="106">
        <v>21</v>
      </c>
      <c r="B77" s="142" t="s">
        <v>111</v>
      </c>
      <c r="C77" s="142" t="s">
        <v>112</v>
      </c>
      <c r="D77" s="151">
        <v>7000</v>
      </c>
      <c r="E77" s="167"/>
      <c r="F77" s="158"/>
      <c r="G77" s="158"/>
      <c r="H77" s="91">
        <v>0</v>
      </c>
      <c r="I77" s="91"/>
      <c r="J77" s="77">
        <v>0</v>
      </c>
      <c r="K77" s="154" t="s">
        <v>421</v>
      </c>
      <c r="L77" s="155" t="s">
        <v>439</v>
      </c>
      <c r="M77" s="178">
        <v>7000</v>
      </c>
      <c r="N77" s="167"/>
      <c r="O77" s="158"/>
      <c r="P77" s="158"/>
      <c r="Q77" s="91">
        <v>0</v>
      </c>
      <c r="R77" s="91"/>
      <c r="S77" s="77">
        <v>0</v>
      </c>
    </row>
    <row r="78" spans="1:19" s="160" customFormat="1" ht="32.25" customHeight="1">
      <c r="A78" s="106"/>
      <c r="B78" s="652" t="s">
        <v>114</v>
      </c>
      <c r="C78" s="653"/>
      <c r="D78" s="654"/>
      <c r="E78" s="167"/>
      <c r="F78" s="158"/>
      <c r="G78" s="158"/>
      <c r="H78" s="91">
        <v>0</v>
      </c>
      <c r="I78" s="91"/>
      <c r="J78" s="77">
        <v>0</v>
      </c>
      <c r="K78" s="164"/>
      <c r="L78" s="165"/>
      <c r="M78" s="177"/>
      <c r="N78" s="167"/>
      <c r="O78" s="158"/>
      <c r="P78" s="158"/>
      <c r="Q78" s="91">
        <v>0</v>
      </c>
      <c r="R78" s="91"/>
      <c r="S78" s="77">
        <v>0</v>
      </c>
    </row>
    <row r="79" spans="1:19" s="160" customFormat="1" ht="32.25" customHeight="1">
      <c r="A79" s="106">
        <v>22</v>
      </c>
      <c r="B79" s="142" t="s">
        <v>30</v>
      </c>
      <c r="C79" s="174" t="s">
        <v>115</v>
      </c>
      <c r="D79" s="151">
        <v>3970</v>
      </c>
      <c r="E79" s="167" t="s">
        <v>392</v>
      </c>
      <c r="F79" s="184"/>
      <c r="G79" s="184"/>
      <c r="H79" s="91">
        <v>-520</v>
      </c>
      <c r="I79" s="91"/>
      <c r="J79" s="77">
        <v>-520</v>
      </c>
      <c r="K79" s="154" t="s">
        <v>395</v>
      </c>
      <c r="L79" s="155" t="s">
        <v>440</v>
      </c>
      <c r="M79" s="178">
        <v>3450</v>
      </c>
      <c r="N79" s="167"/>
      <c r="O79" s="184"/>
      <c r="P79" s="184"/>
      <c r="Q79" s="91">
        <v>0</v>
      </c>
      <c r="R79" s="91"/>
      <c r="S79" s="77">
        <v>0</v>
      </c>
    </row>
    <row r="80" spans="1:19" s="160" customFormat="1" ht="32.25" customHeight="1">
      <c r="A80" s="106"/>
      <c r="B80" s="659" t="s">
        <v>118</v>
      </c>
      <c r="C80" s="660"/>
      <c r="D80" s="661"/>
      <c r="E80" s="167"/>
      <c r="F80" s="184"/>
      <c r="G80" s="184"/>
      <c r="H80" s="91">
        <v>0</v>
      </c>
      <c r="I80" s="91"/>
      <c r="J80" s="77">
        <v>0</v>
      </c>
      <c r="K80" s="164"/>
      <c r="L80" s="182"/>
      <c r="M80" s="183"/>
      <c r="N80" s="167"/>
      <c r="O80" s="184"/>
      <c r="P80" s="184"/>
      <c r="Q80" s="91">
        <v>0</v>
      </c>
      <c r="R80" s="91"/>
      <c r="S80" s="77">
        <v>0</v>
      </c>
    </row>
    <row r="81" spans="1:19" s="160" customFormat="1" ht="32.25" customHeight="1">
      <c r="A81" s="106"/>
      <c r="B81" s="185" t="s">
        <v>119</v>
      </c>
      <c r="C81" s="186"/>
      <c r="D81" s="187"/>
      <c r="E81" s="167"/>
      <c r="F81" s="184"/>
      <c r="G81" s="184"/>
      <c r="H81" s="91">
        <v>0</v>
      </c>
      <c r="I81" s="91"/>
      <c r="J81" s="77">
        <v>0</v>
      </c>
      <c r="K81" s="164"/>
      <c r="L81" s="182"/>
      <c r="M81" s="183"/>
      <c r="N81" s="167"/>
      <c r="O81" s="184"/>
      <c r="P81" s="184"/>
      <c r="Q81" s="91">
        <v>0</v>
      </c>
      <c r="R81" s="91"/>
      <c r="S81" s="77">
        <v>0</v>
      </c>
    </row>
    <row r="82" spans="1:19" s="160" customFormat="1" ht="32.25" customHeight="1">
      <c r="A82" s="106"/>
      <c r="B82" s="185" t="s">
        <v>120</v>
      </c>
      <c r="C82" s="186"/>
      <c r="D82" s="187">
        <v>0</v>
      </c>
      <c r="E82" s="167"/>
      <c r="F82" s="184"/>
      <c r="G82" s="184"/>
      <c r="H82" s="91">
        <v>0</v>
      </c>
      <c r="I82" s="91"/>
      <c r="J82" s="77">
        <v>0</v>
      </c>
      <c r="K82" s="164"/>
      <c r="L82" s="182"/>
      <c r="M82" s="183"/>
      <c r="N82" s="167"/>
      <c r="O82" s="184"/>
      <c r="P82" s="184"/>
      <c r="Q82" s="91">
        <v>0</v>
      </c>
      <c r="R82" s="91"/>
      <c r="S82" s="77">
        <v>0</v>
      </c>
    </row>
    <row r="83" spans="1:19" s="160" customFormat="1" ht="32.25" customHeight="1">
      <c r="A83" s="106"/>
      <c r="B83" s="188" t="s">
        <v>123</v>
      </c>
      <c r="C83" s="186"/>
      <c r="D83" s="187">
        <v>0</v>
      </c>
      <c r="E83" s="167"/>
      <c r="F83" s="184"/>
      <c r="G83" s="184"/>
      <c r="H83" s="91"/>
      <c r="I83" s="91"/>
      <c r="J83" s="77"/>
      <c r="K83" s="164"/>
      <c r="L83" s="182"/>
      <c r="M83" s="183"/>
      <c r="N83" s="167"/>
      <c r="O83" s="184"/>
      <c r="P83" s="184"/>
      <c r="Q83" s="91">
        <v>0</v>
      </c>
      <c r="R83" s="91"/>
      <c r="S83" s="77">
        <v>0</v>
      </c>
    </row>
    <row r="84" spans="1:19" s="160" customFormat="1" ht="32.25" customHeight="1">
      <c r="A84" s="106"/>
      <c r="B84" s="179"/>
      <c r="C84" s="180"/>
      <c r="D84" s="181"/>
      <c r="E84" s="167"/>
      <c r="F84" s="184"/>
      <c r="G84" s="184"/>
      <c r="H84" s="91">
        <v>0</v>
      </c>
      <c r="I84" s="91"/>
      <c r="J84" s="77">
        <v>0</v>
      </c>
      <c r="K84" s="164"/>
      <c r="L84" s="182"/>
      <c r="M84" s="183"/>
      <c r="N84" s="167"/>
      <c r="O84" s="184"/>
      <c r="P84" s="184"/>
      <c r="Q84" s="91">
        <v>0</v>
      </c>
      <c r="R84" s="91"/>
      <c r="S84" s="77">
        <v>0</v>
      </c>
    </row>
    <row r="85" spans="1:19" s="160" customFormat="1" ht="32.25" customHeight="1">
      <c r="A85" s="106">
        <v>23</v>
      </c>
      <c r="B85" s="142" t="s">
        <v>23</v>
      </c>
      <c r="C85" s="174" t="s">
        <v>126</v>
      </c>
      <c r="D85" s="151">
        <v>4600</v>
      </c>
      <c r="E85" s="167"/>
      <c r="F85" s="184"/>
      <c r="G85" s="184"/>
      <c r="H85" s="91">
        <v>0</v>
      </c>
      <c r="I85" s="91"/>
      <c r="J85" s="77">
        <v>0</v>
      </c>
      <c r="K85" s="154" t="s">
        <v>426</v>
      </c>
      <c r="L85" s="155" t="s">
        <v>441</v>
      </c>
      <c r="M85" s="178">
        <v>4600</v>
      </c>
      <c r="N85" s="167"/>
      <c r="O85" s="184"/>
      <c r="P85" s="184"/>
      <c r="Q85" s="91">
        <v>0</v>
      </c>
      <c r="R85" s="91"/>
      <c r="S85" s="77">
        <v>0</v>
      </c>
    </row>
    <row r="86" spans="1:19" ht="32.25" customHeight="1">
      <c r="A86" s="39"/>
      <c r="B86" s="652" t="s">
        <v>128</v>
      </c>
      <c r="C86" s="653"/>
      <c r="D86" s="654"/>
      <c r="E86" s="5"/>
      <c r="F86" s="43"/>
      <c r="G86" s="43"/>
      <c r="H86" s="91">
        <v>0</v>
      </c>
      <c r="I86" s="91"/>
      <c r="J86" s="77">
        <v>0</v>
      </c>
      <c r="K86" s="190"/>
      <c r="L86" s="191"/>
      <c r="N86" s="5"/>
      <c r="O86" s="43"/>
      <c r="P86" s="43"/>
      <c r="Q86" s="91">
        <v>0</v>
      </c>
      <c r="R86" s="91"/>
      <c r="S86" s="77">
        <v>0</v>
      </c>
    </row>
    <row r="87" spans="1:19" ht="32.25" customHeight="1" thickBot="1">
      <c r="A87" s="39"/>
      <c r="B87" s="50" t="s">
        <v>19</v>
      </c>
      <c r="C87" s="50"/>
      <c r="D87" s="51">
        <v>103170</v>
      </c>
      <c r="E87" s="52"/>
      <c r="F87" s="53"/>
      <c r="G87" s="52"/>
      <c r="H87" s="51">
        <f>SUM(J87)</f>
        <v>2070</v>
      </c>
      <c r="I87" s="51">
        <v>0</v>
      </c>
      <c r="J87" s="51">
        <f>SUM(J54:J86)-J54-J79</f>
        <v>2070</v>
      </c>
      <c r="K87" s="54"/>
      <c r="L87" s="55"/>
      <c r="M87" s="56">
        <f>SUM(M54:M86)</f>
        <v>104720</v>
      </c>
      <c r="N87" s="57"/>
      <c r="O87" s="53"/>
      <c r="P87" s="51"/>
      <c r="Q87" s="51">
        <f>SUM(Q54:Q86)-Q54-Q83</f>
        <v>0</v>
      </c>
      <c r="R87" s="51">
        <f t="shared" ref="R87:S87" si="0">SUM(R54:R86)-R54-R83</f>
        <v>0</v>
      </c>
      <c r="S87" s="51">
        <f t="shared" si="0"/>
        <v>0</v>
      </c>
    </row>
    <row r="88" spans="1:19" ht="32.25" customHeight="1" thickTop="1">
      <c r="A88" s="39"/>
      <c r="B88" s="141" t="s">
        <v>129</v>
      </c>
      <c r="C88" s="142"/>
      <c r="D88" s="125"/>
      <c r="E88" s="131"/>
      <c r="F88" s="115"/>
      <c r="G88" s="33"/>
      <c r="H88" s="143"/>
      <c r="I88" s="143"/>
      <c r="J88" s="143"/>
      <c r="K88" s="34"/>
      <c r="L88" s="35"/>
      <c r="M88" s="36"/>
      <c r="N88" s="114"/>
      <c r="O88" s="115"/>
      <c r="P88" s="144"/>
      <c r="Q88" s="33"/>
      <c r="R88" s="33"/>
      <c r="S88" s="38"/>
    </row>
    <row r="89" spans="1:19" ht="30" customHeight="1">
      <c r="A89" s="106">
        <v>1</v>
      </c>
      <c r="B89" s="142" t="s">
        <v>130</v>
      </c>
      <c r="C89" s="193" t="s">
        <v>131</v>
      </c>
      <c r="D89" s="125">
        <v>201.25</v>
      </c>
      <c r="E89" s="152"/>
      <c r="F89" s="194"/>
      <c r="G89" s="195"/>
      <c r="H89" s="196">
        <v>-2012.5</v>
      </c>
      <c r="I89" s="197"/>
      <c r="J89" s="198">
        <v>-2012.5</v>
      </c>
      <c r="K89" s="199"/>
      <c r="L89" s="200"/>
      <c r="M89" s="201"/>
      <c r="N89" s="202"/>
      <c r="O89" s="203"/>
      <c r="P89" s="204"/>
      <c r="Q89" s="205">
        <f>SUM(D89+J89-M89)</f>
        <v>-1811.25</v>
      </c>
      <c r="R89" s="206"/>
      <c r="S89" s="207">
        <f>SUM(Q89)</f>
        <v>-1811.25</v>
      </c>
    </row>
    <row r="90" spans="1:19" ht="30" customHeight="1">
      <c r="A90" s="106"/>
      <c r="B90" s="208" t="s">
        <v>340</v>
      </c>
      <c r="C90" s="193"/>
      <c r="D90" s="125"/>
      <c r="E90" s="163"/>
      <c r="F90" s="115"/>
      <c r="G90" s="91"/>
      <c r="H90" s="91">
        <v>0</v>
      </c>
      <c r="I90" s="125"/>
      <c r="J90" s="132">
        <v>0</v>
      </c>
      <c r="K90" s="209"/>
      <c r="L90" s="210"/>
      <c r="M90" s="36"/>
      <c r="N90" s="114"/>
      <c r="O90" s="115"/>
      <c r="P90" s="92"/>
      <c r="Q90" s="205">
        <f t="shared" ref="Q90:Q111" si="1">SUM(D90+J90-M90)</f>
        <v>0</v>
      </c>
      <c r="R90" s="125"/>
      <c r="S90" s="207">
        <f t="shared" ref="S90:S113" si="2">SUM(Q90)</f>
        <v>0</v>
      </c>
    </row>
    <row r="91" spans="1:19" ht="30" customHeight="1">
      <c r="A91" s="106"/>
      <c r="B91" s="211" t="s">
        <v>133</v>
      </c>
      <c r="C91" s="193"/>
      <c r="D91" s="125"/>
      <c r="E91" s="163"/>
      <c r="F91" s="115"/>
      <c r="G91" s="91"/>
      <c r="H91" s="91">
        <v>0</v>
      </c>
      <c r="I91" s="125"/>
      <c r="J91" s="132">
        <v>0</v>
      </c>
      <c r="K91" s="209"/>
      <c r="L91" s="210"/>
      <c r="M91" s="36"/>
      <c r="N91" s="114"/>
      <c r="O91" s="115"/>
      <c r="P91" s="92"/>
      <c r="Q91" s="205">
        <f t="shared" si="1"/>
        <v>0</v>
      </c>
      <c r="R91" s="125"/>
      <c r="S91" s="207">
        <f t="shared" si="2"/>
        <v>0</v>
      </c>
    </row>
    <row r="92" spans="1:19" ht="30" customHeight="1">
      <c r="A92" s="106"/>
      <c r="B92" s="208" t="s">
        <v>136</v>
      </c>
      <c r="C92" s="193"/>
      <c r="D92" s="125"/>
      <c r="E92" s="163"/>
      <c r="F92" s="115"/>
      <c r="G92" s="91"/>
      <c r="H92" s="91">
        <v>0</v>
      </c>
      <c r="I92" s="125"/>
      <c r="J92" s="132">
        <v>0</v>
      </c>
      <c r="K92" s="209"/>
      <c r="L92" s="210"/>
      <c r="M92" s="36"/>
      <c r="N92" s="114"/>
      <c r="O92" s="115"/>
      <c r="P92" s="92"/>
      <c r="Q92" s="205">
        <f t="shared" si="1"/>
        <v>0</v>
      </c>
      <c r="R92" s="125"/>
      <c r="S92" s="207">
        <f t="shared" si="2"/>
        <v>0</v>
      </c>
    </row>
    <row r="93" spans="1:19" ht="30" customHeight="1">
      <c r="A93" s="106"/>
      <c r="B93" s="208" t="s">
        <v>138</v>
      </c>
      <c r="C93" s="193"/>
      <c r="D93" s="125"/>
      <c r="E93" s="163"/>
      <c r="F93" s="115"/>
      <c r="G93" s="91"/>
      <c r="H93" s="91">
        <v>0</v>
      </c>
      <c r="I93" s="125"/>
      <c r="J93" s="132">
        <v>0</v>
      </c>
      <c r="K93" s="209"/>
      <c r="L93" s="210"/>
      <c r="M93" s="36"/>
      <c r="N93" s="114"/>
      <c r="O93" s="115"/>
      <c r="P93" s="92"/>
      <c r="Q93" s="205">
        <f t="shared" si="1"/>
        <v>0</v>
      </c>
      <c r="R93" s="125"/>
      <c r="S93" s="207">
        <f t="shared" si="2"/>
        <v>0</v>
      </c>
    </row>
    <row r="94" spans="1:19" ht="30" customHeight="1">
      <c r="A94" s="106"/>
      <c r="B94" s="208" t="s">
        <v>140</v>
      </c>
      <c r="C94" s="193"/>
      <c r="D94" s="125"/>
      <c r="E94" s="163"/>
      <c r="F94" s="115"/>
      <c r="G94" s="91"/>
      <c r="H94" s="91">
        <v>0</v>
      </c>
      <c r="I94" s="125"/>
      <c r="J94" s="132">
        <v>0</v>
      </c>
      <c r="K94" s="209"/>
      <c r="L94" s="210"/>
      <c r="M94" s="36"/>
      <c r="N94" s="114"/>
      <c r="O94" s="115"/>
      <c r="P94" s="92"/>
      <c r="Q94" s="205">
        <f t="shared" si="1"/>
        <v>0</v>
      </c>
      <c r="R94" s="125"/>
      <c r="S94" s="207">
        <f t="shared" si="2"/>
        <v>0</v>
      </c>
    </row>
    <row r="95" spans="1:19" ht="32.25" customHeight="1">
      <c r="A95" s="106">
        <v>2</v>
      </c>
      <c r="B95" s="142" t="s">
        <v>141</v>
      </c>
      <c r="C95" s="193" t="s">
        <v>142</v>
      </c>
      <c r="D95" s="125">
        <v>937.09</v>
      </c>
      <c r="E95" s="152"/>
      <c r="F95" s="212"/>
      <c r="G95" s="213"/>
      <c r="H95" s="153">
        <v>6.8212102632969618E-13</v>
      </c>
      <c r="I95" s="125"/>
      <c r="J95" s="132">
        <v>6.8212102632969618E-13</v>
      </c>
      <c r="K95" s="209"/>
      <c r="L95" s="210"/>
      <c r="M95" s="36"/>
      <c r="N95" s="214" t="s">
        <v>442</v>
      </c>
      <c r="O95" s="212">
        <v>1</v>
      </c>
      <c r="P95" s="215" t="s">
        <v>72</v>
      </c>
      <c r="Q95" s="205">
        <f t="shared" si="1"/>
        <v>937.09000000000071</v>
      </c>
      <c r="R95" s="216"/>
      <c r="S95" s="207">
        <f t="shared" si="2"/>
        <v>937.09000000000071</v>
      </c>
    </row>
    <row r="96" spans="1:19" ht="32.25" customHeight="1">
      <c r="A96" s="106"/>
      <c r="B96" s="142" t="s">
        <v>143</v>
      </c>
      <c r="C96" s="193"/>
      <c r="D96" s="125"/>
      <c r="E96" s="163"/>
      <c r="F96" s="115"/>
      <c r="G96" s="91"/>
      <c r="H96" s="91">
        <v>0</v>
      </c>
      <c r="I96" s="125"/>
      <c r="J96" s="132">
        <v>0</v>
      </c>
      <c r="K96" s="209"/>
      <c r="L96" s="210"/>
      <c r="M96" s="36"/>
      <c r="N96" s="114"/>
      <c r="O96" s="115"/>
      <c r="P96" s="92"/>
      <c r="Q96" s="205">
        <f t="shared" si="1"/>
        <v>0</v>
      </c>
      <c r="R96" s="125"/>
      <c r="S96" s="207">
        <f t="shared" si="2"/>
        <v>0</v>
      </c>
    </row>
    <row r="97" spans="1:21" ht="32.25" customHeight="1">
      <c r="A97" s="106"/>
      <c r="B97" s="146" t="s">
        <v>144</v>
      </c>
      <c r="C97" s="193"/>
      <c r="D97" s="125"/>
      <c r="E97" s="163"/>
      <c r="F97" s="115"/>
      <c r="G97" s="91"/>
      <c r="H97" s="91">
        <v>0</v>
      </c>
      <c r="I97" s="125"/>
      <c r="J97" s="132">
        <v>0</v>
      </c>
      <c r="K97" s="209"/>
      <c r="L97" s="210"/>
      <c r="M97" s="36"/>
      <c r="N97" s="114"/>
      <c r="O97" s="115"/>
      <c r="P97" s="92"/>
      <c r="Q97" s="205">
        <f t="shared" si="1"/>
        <v>0</v>
      </c>
      <c r="R97" s="125"/>
      <c r="S97" s="207">
        <f t="shared" si="2"/>
        <v>0</v>
      </c>
    </row>
    <row r="98" spans="1:21" ht="32.25" customHeight="1">
      <c r="A98" s="106">
        <v>3</v>
      </c>
      <c r="B98" s="142" t="s">
        <v>145</v>
      </c>
      <c r="C98" s="193" t="s">
        <v>146</v>
      </c>
      <c r="D98" s="125">
        <v>233.33</v>
      </c>
      <c r="E98" s="163" t="s">
        <v>392</v>
      </c>
      <c r="F98" s="115"/>
      <c r="G98" s="217"/>
      <c r="H98" s="91">
        <v>-700.03</v>
      </c>
      <c r="I98" s="125"/>
      <c r="J98" s="132">
        <v>-700.03</v>
      </c>
      <c r="K98" s="218"/>
      <c r="L98" s="219"/>
      <c r="M98" s="125"/>
      <c r="N98" s="220" t="s">
        <v>392</v>
      </c>
      <c r="O98" s="115"/>
      <c r="P98" s="221"/>
      <c r="Q98" s="205">
        <f t="shared" si="1"/>
        <v>-466.69999999999993</v>
      </c>
      <c r="R98" s="216"/>
      <c r="S98" s="207">
        <f t="shared" si="2"/>
        <v>-466.69999999999993</v>
      </c>
    </row>
    <row r="99" spans="1:21" ht="32.25" customHeight="1">
      <c r="A99" s="106"/>
      <c r="B99" s="142" t="s">
        <v>147</v>
      </c>
      <c r="C99" s="222"/>
      <c r="D99" s="125"/>
      <c r="E99" s="163"/>
      <c r="F99" s="115"/>
      <c r="G99" s="91"/>
      <c r="H99" s="91">
        <v>0</v>
      </c>
      <c r="I99" s="125"/>
      <c r="J99" s="132">
        <v>0</v>
      </c>
      <c r="K99" s="672"/>
      <c r="L99" s="673"/>
      <c r="M99" s="674"/>
      <c r="N99" s="220"/>
      <c r="O99" s="115"/>
      <c r="P99" s="92"/>
      <c r="Q99" s="205">
        <f t="shared" si="1"/>
        <v>0</v>
      </c>
      <c r="R99" s="125"/>
      <c r="S99" s="207">
        <f t="shared" si="2"/>
        <v>0</v>
      </c>
    </row>
    <row r="100" spans="1:21" ht="32.25" customHeight="1">
      <c r="A100" s="106"/>
      <c r="B100" s="223" t="s">
        <v>148</v>
      </c>
      <c r="C100" s="224"/>
      <c r="D100" s="125"/>
      <c r="E100" s="163"/>
      <c r="F100" s="115"/>
      <c r="G100" s="91"/>
      <c r="H100" s="91">
        <v>0</v>
      </c>
      <c r="I100" s="125"/>
      <c r="J100" s="132">
        <v>0</v>
      </c>
      <c r="K100" s="225"/>
      <c r="L100" s="219"/>
      <c r="M100" s="125"/>
      <c r="N100" s="220"/>
      <c r="O100" s="115"/>
      <c r="P100" s="92"/>
      <c r="Q100" s="205">
        <f t="shared" si="1"/>
        <v>0</v>
      </c>
      <c r="R100" s="125"/>
      <c r="S100" s="207">
        <f t="shared" si="2"/>
        <v>0</v>
      </c>
    </row>
    <row r="101" spans="1:21" s="230" customFormat="1" ht="32.25" customHeight="1">
      <c r="A101" s="106">
        <v>4</v>
      </c>
      <c r="B101" s="222" t="s">
        <v>149</v>
      </c>
      <c r="C101" s="222" t="s">
        <v>150</v>
      </c>
      <c r="D101" s="125">
        <v>1212.29</v>
      </c>
      <c r="E101" s="163" t="s">
        <v>392</v>
      </c>
      <c r="F101" s="115"/>
      <c r="G101" s="91"/>
      <c r="H101" s="153">
        <v>-8486.0499999999956</v>
      </c>
      <c r="I101" s="216"/>
      <c r="J101" s="226">
        <v>-8486.0499999999956</v>
      </c>
      <c r="K101" s="114"/>
      <c r="L101" s="114"/>
      <c r="M101" s="125"/>
      <c r="N101" s="227" t="s">
        <v>392</v>
      </c>
      <c r="O101" s="228"/>
      <c r="P101" s="92"/>
      <c r="Q101" s="205">
        <f t="shared" si="1"/>
        <v>-7273.7599999999957</v>
      </c>
      <c r="R101" s="229"/>
      <c r="S101" s="207">
        <f t="shared" si="2"/>
        <v>-7273.7599999999957</v>
      </c>
    </row>
    <row r="102" spans="1:21" s="235" customFormat="1" ht="32.25" customHeight="1">
      <c r="A102" s="106"/>
      <c r="B102" s="231" t="s">
        <v>151</v>
      </c>
      <c r="C102" s="232"/>
      <c r="D102" s="233"/>
      <c r="E102" s="163"/>
      <c r="F102" s="115"/>
      <c r="G102" s="91"/>
      <c r="H102" s="91">
        <v>0</v>
      </c>
      <c r="I102" s="125"/>
      <c r="J102" s="132">
        <v>0</v>
      </c>
      <c r="K102" s="225"/>
      <c r="L102" s="219"/>
      <c r="M102" s="125"/>
      <c r="N102" s="234"/>
      <c r="O102" s="228"/>
      <c r="P102" s="92"/>
      <c r="Q102" s="205">
        <f t="shared" si="1"/>
        <v>0</v>
      </c>
      <c r="R102" s="125"/>
      <c r="S102" s="207">
        <f t="shared" si="2"/>
        <v>0</v>
      </c>
      <c r="T102" s="230"/>
    </row>
    <row r="103" spans="1:21" s="237" customFormat="1" ht="32.25" customHeight="1">
      <c r="A103" s="106">
        <v>5</v>
      </c>
      <c r="B103" s="222" t="s">
        <v>152</v>
      </c>
      <c r="C103" s="193" t="s">
        <v>153</v>
      </c>
      <c r="D103" s="125">
        <v>670.84</v>
      </c>
      <c r="E103" s="163" t="s">
        <v>392</v>
      </c>
      <c r="F103" s="115"/>
      <c r="G103" s="91"/>
      <c r="H103" s="91">
        <v>-4695.7999999999993</v>
      </c>
      <c r="I103" s="125"/>
      <c r="J103" s="132">
        <v>-4695.7999999999993</v>
      </c>
      <c r="K103" s="225"/>
      <c r="L103" s="219"/>
      <c r="M103" s="125"/>
      <c r="N103" s="227" t="s">
        <v>392</v>
      </c>
      <c r="O103" s="228"/>
      <c r="P103" s="92"/>
      <c r="Q103" s="205">
        <f t="shared" si="1"/>
        <v>-4024.9599999999991</v>
      </c>
      <c r="R103" s="229"/>
      <c r="S103" s="207">
        <f t="shared" si="2"/>
        <v>-4024.9599999999991</v>
      </c>
      <c r="T103" s="2"/>
      <c r="U103" s="2"/>
    </row>
    <row r="104" spans="1:21" s="237" customFormat="1" ht="32.25" customHeight="1">
      <c r="A104" s="106"/>
      <c r="B104" s="238" t="s">
        <v>154</v>
      </c>
      <c r="C104" s="193"/>
      <c r="D104" s="92"/>
      <c r="E104" s="239"/>
      <c r="F104" s="122"/>
      <c r="G104" s="91"/>
      <c r="H104" s="91">
        <v>0</v>
      </c>
      <c r="I104" s="92"/>
      <c r="J104" s="132">
        <v>0</v>
      </c>
      <c r="K104" s="225"/>
      <c r="L104" s="219"/>
      <c r="M104" s="125"/>
      <c r="N104" s="240"/>
      <c r="O104" s="122"/>
      <c r="P104" s="92"/>
      <c r="Q104" s="205">
        <f t="shared" si="1"/>
        <v>0</v>
      </c>
      <c r="R104" s="125"/>
      <c r="S104" s="207">
        <f t="shared" si="2"/>
        <v>0</v>
      </c>
      <c r="T104" s="2"/>
      <c r="U104" s="2"/>
    </row>
    <row r="105" spans="1:21" s="259" customFormat="1" ht="32.25" customHeight="1">
      <c r="A105" s="241">
        <v>6</v>
      </c>
      <c r="B105" s="242" t="s">
        <v>52</v>
      </c>
      <c r="C105" s="243" t="s">
        <v>155</v>
      </c>
      <c r="D105" s="244">
        <v>108.34</v>
      </c>
      <c r="E105" s="245"/>
      <c r="F105" s="246"/>
      <c r="G105" s="247"/>
      <c r="H105" s="248">
        <v>1.8474111129762605E-13</v>
      </c>
      <c r="I105" s="249"/>
      <c r="J105" s="250">
        <v>1.8474111129762605E-13</v>
      </c>
      <c r="K105" s="251"/>
      <c r="L105" s="252"/>
      <c r="M105" s="253"/>
      <c r="N105" s="254" t="s">
        <v>442</v>
      </c>
      <c r="O105" s="255">
        <v>1</v>
      </c>
      <c r="P105" s="256" t="s">
        <v>72</v>
      </c>
      <c r="Q105" s="205">
        <f t="shared" si="1"/>
        <v>108.34000000000019</v>
      </c>
      <c r="R105" s="216"/>
      <c r="S105" s="207">
        <f t="shared" si="2"/>
        <v>108.34000000000019</v>
      </c>
    </row>
    <row r="106" spans="1:21" s="259" customFormat="1" ht="32.25" customHeight="1">
      <c r="A106" s="260"/>
      <c r="B106" s="242" t="s">
        <v>156</v>
      </c>
      <c r="C106" s="242"/>
      <c r="D106" s="244"/>
      <c r="E106" s="245"/>
      <c r="F106" s="246"/>
      <c r="G106" s="248"/>
      <c r="H106" s="248">
        <v>0</v>
      </c>
      <c r="I106" s="249"/>
      <c r="J106" s="250">
        <v>0</v>
      </c>
      <c r="K106" s="251"/>
      <c r="L106" s="252"/>
      <c r="M106" s="253"/>
      <c r="N106" s="261"/>
      <c r="O106" s="246"/>
      <c r="P106" s="249"/>
      <c r="Q106" s="205">
        <f t="shared" si="1"/>
        <v>0</v>
      </c>
      <c r="R106" s="216"/>
      <c r="S106" s="207">
        <f t="shared" si="2"/>
        <v>0</v>
      </c>
    </row>
    <row r="107" spans="1:21" s="259" customFormat="1" ht="32.25" customHeight="1">
      <c r="A107" s="260"/>
      <c r="B107" s="675" t="s">
        <v>157</v>
      </c>
      <c r="C107" s="676"/>
      <c r="D107" s="244"/>
      <c r="E107" s="245"/>
      <c r="F107" s="246"/>
      <c r="G107" s="248"/>
      <c r="H107" s="248">
        <v>0</v>
      </c>
      <c r="I107" s="249"/>
      <c r="J107" s="250">
        <v>0</v>
      </c>
      <c r="K107" s="251"/>
      <c r="L107" s="252"/>
      <c r="M107" s="253"/>
      <c r="N107" s="261"/>
      <c r="O107" s="246"/>
      <c r="P107" s="249"/>
      <c r="Q107" s="205">
        <f t="shared" si="1"/>
        <v>0</v>
      </c>
      <c r="R107" s="216"/>
      <c r="S107" s="207">
        <f t="shared" si="2"/>
        <v>0</v>
      </c>
    </row>
    <row r="108" spans="1:21" ht="41.25" customHeight="1">
      <c r="A108" s="106">
        <v>7</v>
      </c>
      <c r="B108" s="142" t="s">
        <v>158</v>
      </c>
      <c r="C108" s="142" t="s">
        <v>159</v>
      </c>
      <c r="D108" s="125">
        <v>191.67</v>
      </c>
      <c r="E108" s="152" t="s">
        <v>392</v>
      </c>
      <c r="F108" s="212"/>
      <c r="G108" s="262"/>
      <c r="H108" s="262">
        <v>-1533.32</v>
      </c>
      <c r="I108" s="216"/>
      <c r="J108" s="226">
        <v>-1533.32</v>
      </c>
      <c r="K108" s="225"/>
      <c r="L108" s="219"/>
      <c r="M108" s="263"/>
      <c r="N108" s="214" t="s">
        <v>392</v>
      </c>
      <c r="O108" s="212"/>
      <c r="P108" s="216"/>
      <c r="Q108" s="205">
        <f t="shared" si="1"/>
        <v>-1341.6499999999999</v>
      </c>
      <c r="R108" s="216"/>
      <c r="S108" s="207">
        <f t="shared" si="2"/>
        <v>-1341.6499999999999</v>
      </c>
    </row>
    <row r="109" spans="1:21" ht="39.75" customHeight="1">
      <c r="A109" s="264"/>
      <c r="B109" s="41" t="s">
        <v>160</v>
      </c>
      <c r="C109" s="41"/>
      <c r="D109" s="42"/>
      <c r="E109" s="189"/>
      <c r="F109" s="43"/>
      <c r="G109" s="6"/>
      <c r="H109" s="6">
        <v>0</v>
      </c>
      <c r="I109" s="42"/>
      <c r="J109" s="136">
        <v>0</v>
      </c>
      <c r="K109" s="265"/>
      <c r="L109" s="266"/>
      <c r="M109" s="92"/>
      <c r="N109" s="5"/>
      <c r="O109" s="43"/>
      <c r="P109" s="42"/>
      <c r="Q109" s="205">
        <f t="shared" si="1"/>
        <v>0</v>
      </c>
      <c r="R109" s="42"/>
      <c r="S109" s="207">
        <f t="shared" si="2"/>
        <v>0</v>
      </c>
    </row>
    <row r="110" spans="1:21" ht="41.25" customHeight="1">
      <c r="A110" s="264"/>
      <c r="B110" s="41" t="s">
        <v>161</v>
      </c>
      <c r="C110" s="41"/>
      <c r="D110" s="42"/>
      <c r="E110" s="189"/>
      <c r="F110" s="43"/>
      <c r="G110" s="6"/>
      <c r="H110" s="6">
        <v>0</v>
      </c>
      <c r="I110" s="42"/>
      <c r="J110" s="136">
        <v>0</v>
      </c>
      <c r="K110" s="267"/>
      <c r="L110" s="268"/>
      <c r="M110" s="42"/>
      <c r="N110" s="5"/>
      <c r="O110" s="43"/>
      <c r="P110" s="42"/>
      <c r="Q110" s="205">
        <f t="shared" si="1"/>
        <v>0</v>
      </c>
      <c r="R110" s="42"/>
      <c r="S110" s="207">
        <f t="shared" si="2"/>
        <v>0</v>
      </c>
    </row>
    <row r="111" spans="1:21" ht="41.25" customHeight="1">
      <c r="A111" s="264"/>
      <c r="B111" s="41" t="s">
        <v>162</v>
      </c>
      <c r="C111" s="41"/>
      <c r="D111" s="42"/>
      <c r="E111" s="189"/>
      <c r="F111" s="43"/>
      <c r="G111" s="6"/>
      <c r="H111" s="6">
        <v>0</v>
      </c>
      <c r="I111" s="42"/>
      <c r="J111" s="136">
        <v>0</v>
      </c>
      <c r="K111" s="267"/>
      <c r="L111" s="268"/>
      <c r="M111" s="42"/>
      <c r="N111" s="5"/>
      <c r="O111" s="43"/>
      <c r="P111" s="42"/>
      <c r="Q111" s="205">
        <f t="shared" si="1"/>
        <v>0</v>
      </c>
      <c r="R111" s="42"/>
      <c r="S111" s="207">
        <f t="shared" si="2"/>
        <v>0</v>
      </c>
    </row>
    <row r="112" spans="1:21" ht="41.25" customHeight="1">
      <c r="A112" s="264"/>
      <c r="B112" s="41" t="s">
        <v>163</v>
      </c>
      <c r="C112" s="41"/>
      <c r="D112" s="42"/>
      <c r="E112" s="269"/>
      <c r="F112" s="270"/>
      <c r="G112" s="271"/>
      <c r="H112" s="271">
        <v>0</v>
      </c>
      <c r="I112" s="272"/>
      <c r="J112" s="273">
        <v>0</v>
      </c>
      <c r="K112" s="265"/>
      <c r="L112" s="266"/>
      <c r="M112" s="92"/>
      <c r="N112" s="274"/>
      <c r="O112" s="270"/>
      <c r="P112" s="272"/>
      <c r="Q112" s="153">
        <v>0</v>
      </c>
      <c r="R112" s="272"/>
      <c r="S112" s="207">
        <f t="shared" si="2"/>
        <v>0</v>
      </c>
    </row>
    <row r="113" spans="1:19" ht="41.25" customHeight="1">
      <c r="A113" s="264"/>
      <c r="B113" s="275" t="s">
        <v>164</v>
      </c>
      <c r="C113" s="41"/>
      <c r="D113" s="42"/>
      <c r="E113" s="269"/>
      <c r="F113" s="270"/>
      <c r="G113" s="271"/>
      <c r="H113" s="271">
        <v>0</v>
      </c>
      <c r="I113" s="272"/>
      <c r="J113" s="273">
        <v>0</v>
      </c>
      <c r="K113" s="267"/>
      <c r="L113" s="268"/>
      <c r="M113" s="42"/>
      <c r="N113" s="274"/>
      <c r="O113" s="270"/>
      <c r="P113" s="272"/>
      <c r="Q113" s="153">
        <v>0</v>
      </c>
      <c r="R113" s="272"/>
      <c r="S113" s="207">
        <f t="shared" si="2"/>
        <v>0</v>
      </c>
    </row>
    <row r="114" spans="1:19" ht="41.25" customHeight="1">
      <c r="A114" s="264"/>
      <c r="B114" s="275" t="s">
        <v>165</v>
      </c>
      <c r="C114" s="41"/>
      <c r="D114" s="42">
        <v>0</v>
      </c>
      <c r="E114" s="269"/>
      <c r="F114" s="270"/>
      <c r="G114" s="271"/>
      <c r="H114" s="271">
        <v>0</v>
      </c>
      <c r="I114" s="272"/>
      <c r="J114" s="273">
        <v>0</v>
      </c>
      <c r="K114" s="267"/>
      <c r="L114" s="268"/>
      <c r="M114" s="42"/>
      <c r="N114" s="274"/>
      <c r="O114" s="270"/>
      <c r="P114" s="272"/>
      <c r="Q114" s="153">
        <v>0</v>
      </c>
      <c r="R114" s="272"/>
      <c r="S114" s="159">
        <v>0</v>
      </c>
    </row>
    <row r="115" spans="1:19" ht="41.25" customHeight="1">
      <c r="A115" s="264"/>
      <c r="B115" s="275" t="s">
        <v>166</v>
      </c>
      <c r="C115" s="41"/>
      <c r="D115" s="42">
        <v>0</v>
      </c>
      <c r="E115" s="269"/>
      <c r="F115" s="270"/>
      <c r="G115" s="271"/>
      <c r="H115" s="271">
        <v>0</v>
      </c>
      <c r="I115" s="272"/>
      <c r="J115" s="273">
        <v>0</v>
      </c>
      <c r="K115" s="267"/>
      <c r="L115" s="268"/>
      <c r="M115" s="42"/>
      <c r="N115" s="274"/>
      <c r="O115" s="270"/>
      <c r="P115" s="272"/>
      <c r="Q115" s="153">
        <v>0</v>
      </c>
      <c r="R115" s="272"/>
      <c r="S115" s="159">
        <v>0</v>
      </c>
    </row>
    <row r="116" spans="1:19" ht="32.25" customHeight="1" thickBot="1">
      <c r="A116" s="39"/>
      <c r="B116" s="50" t="s">
        <v>19</v>
      </c>
      <c r="C116" s="50"/>
      <c r="D116" s="51">
        <f>SUM(D89:D115)</f>
        <v>3554.8100000000004</v>
      </c>
      <c r="E116" s="52"/>
      <c r="F116" s="53"/>
      <c r="G116" s="52"/>
      <c r="H116" s="51">
        <f>SUM(J116)</f>
        <v>2.0463630789890885E-12</v>
      </c>
      <c r="I116" s="51">
        <v>0</v>
      </c>
      <c r="J116" s="51">
        <f>SUM(J89:J115)-J89-J98-J101-J103-J108</f>
        <v>2.0463630789890885E-12</v>
      </c>
      <c r="K116" s="51">
        <v>0</v>
      </c>
      <c r="L116" s="51">
        <v>0</v>
      </c>
      <c r="M116" s="51">
        <f>SUM(K89:M115)</f>
        <v>0</v>
      </c>
      <c r="N116" s="51"/>
      <c r="O116" s="51">
        <v>0</v>
      </c>
      <c r="P116" s="51">
        <v>0</v>
      </c>
      <c r="Q116" s="51">
        <f>SUM(Q89:Q115)-Q89-Q98-Q101-Q103-Q108</f>
        <v>1045.4300000000014</v>
      </c>
      <c r="R116" s="51">
        <v>0</v>
      </c>
      <c r="S116" s="51">
        <f>SUM(Q116)</f>
        <v>1045.4300000000014</v>
      </c>
    </row>
    <row r="117" spans="1:19" ht="32.25" customHeight="1" thickTop="1">
      <c r="A117" s="39"/>
      <c r="B117" s="141" t="s">
        <v>167</v>
      </c>
      <c r="C117" s="142"/>
      <c r="D117" s="125"/>
      <c r="E117" s="131"/>
      <c r="F117" s="115"/>
      <c r="G117" s="33"/>
      <c r="H117" s="143"/>
      <c r="I117" s="143"/>
      <c r="J117" s="143"/>
      <c r="K117" s="34"/>
      <c r="L117" s="35"/>
      <c r="M117" s="36"/>
      <c r="N117" s="114"/>
      <c r="O117" s="115"/>
      <c r="P117" s="144"/>
      <c r="Q117" s="33"/>
      <c r="R117" s="33"/>
      <c r="S117" s="145"/>
    </row>
    <row r="118" spans="1:19" s="160" customFormat="1" ht="32.25" customHeight="1">
      <c r="A118" s="106">
        <v>1</v>
      </c>
      <c r="B118" s="142" t="s">
        <v>23</v>
      </c>
      <c r="C118" s="142" t="s">
        <v>168</v>
      </c>
      <c r="D118" s="151">
        <v>10925</v>
      </c>
      <c r="E118" s="163"/>
      <c r="F118" s="122"/>
      <c r="G118" s="122"/>
      <c r="H118" s="91">
        <v>0</v>
      </c>
      <c r="I118" s="122"/>
      <c r="J118" s="132">
        <v>0</v>
      </c>
      <c r="K118" s="276" t="s">
        <v>426</v>
      </c>
      <c r="L118" s="277" t="s">
        <v>443</v>
      </c>
      <c r="M118" s="278">
        <v>10925</v>
      </c>
      <c r="N118" s="279"/>
      <c r="O118" s="280"/>
      <c r="P118" s="280"/>
      <c r="Q118" s="91">
        <f>SUM(D118+J118-M118)</f>
        <v>0</v>
      </c>
      <c r="R118" s="91"/>
      <c r="S118" s="77">
        <f>SUM(D118+J118-M118)</f>
        <v>0</v>
      </c>
    </row>
    <row r="119" spans="1:19" s="160" customFormat="1" ht="32.25" customHeight="1">
      <c r="A119" s="106">
        <v>2</v>
      </c>
      <c r="B119" s="142" t="s">
        <v>69</v>
      </c>
      <c r="C119" s="142" t="s">
        <v>170</v>
      </c>
      <c r="D119" s="151">
        <v>920</v>
      </c>
      <c r="E119" s="163" t="s">
        <v>125</v>
      </c>
      <c r="F119" s="122">
        <v>1</v>
      </c>
      <c r="G119" s="122" t="s">
        <v>72</v>
      </c>
      <c r="H119" s="91">
        <v>920</v>
      </c>
      <c r="I119" s="122"/>
      <c r="J119" s="132">
        <v>920</v>
      </c>
      <c r="K119" s="276" t="s">
        <v>428</v>
      </c>
      <c r="L119" s="277" t="s">
        <v>444</v>
      </c>
      <c r="M119" s="278">
        <v>1840</v>
      </c>
      <c r="N119" s="281"/>
      <c r="O119" s="280"/>
      <c r="P119" s="280"/>
      <c r="Q119" s="91">
        <f t="shared" ref="Q119:Q130" si="3">SUM(D119+J119-M119)</f>
        <v>0</v>
      </c>
      <c r="R119" s="91"/>
      <c r="S119" s="77">
        <f t="shared" ref="S119:S130" si="4">SUM(D119+J119-M119)</f>
        <v>0</v>
      </c>
    </row>
    <row r="120" spans="1:19" s="160" customFormat="1" ht="32.25" customHeight="1">
      <c r="A120" s="106">
        <v>3</v>
      </c>
      <c r="B120" s="142" t="s">
        <v>27</v>
      </c>
      <c r="C120" s="142" t="s">
        <v>172</v>
      </c>
      <c r="D120" s="151">
        <v>1100</v>
      </c>
      <c r="E120" s="163"/>
      <c r="F120" s="122"/>
      <c r="G120" s="122"/>
      <c r="H120" s="91">
        <v>0</v>
      </c>
      <c r="I120" s="122"/>
      <c r="J120" s="132">
        <v>0</v>
      </c>
      <c r="K120" s="276" t="s">
        <v>424</v>
      </c>
      <c r="L120" s="277" t="s">
        <v>445</v>
      </c>
      <c r="M120" s="278">
        <v>1100</v>
      </c>
      <c r="N120" s="279"/>
      <c r="O120" s="280"/>
      <c r="P120" s="280"/>
      <c r="Q120" s="91">
        <f t="shared" si="3"/>
        <v>0</v>
      </c>
      <c r="R120" s="91"/>
      <c r="S120" s="77">
        <f t="shared" si="4"/>
        <v>0</v>
      </c>
    </row>
    <row r="121" spans="1:19" s="160" customFormat="1" ht="32.25" customHeight="1">
      <c r="A121" s="106"/>
      <c r="B121" s="142" t="s">
        <v>341</v>
      </c>
      <c r="C121" s="142"/>
      <c r="D121" s="151"/>
      <c r="E121" s="163"/>
      <c r="F121" s="122"/>
      <c r="G121" s="122"/>
      <c r="H121" s="91">
        <v>0</v>
      </c>
      <c r="I121" s="122"/>
      <c r="J121" s="132">
        <v>0</v>
      </c>
      <c r="K121" s="276"/>
      <c r="L121" s="277"/>
      <c r="M121" s="278"/>
      <c r="N121" s="279"/>
      <c r="O121" s="280"/>
      <c r="P121" s="280"/>
      <c r="Q121" s="91">
        <f t="shared" si="3"/>
        <v>0</v>
      </c>
      <c r="R121" s="91"/>
      <c r="S121" s="77">
        <f t="shared" si="4"/>
        <v>0</v>
      </c>
    </row>
    <row r="122" spans="1:19" s="160" customFormat="1" ht="32.25" customHeight="1">
      <c r="A122" s="106"/>
      <c r="B122" s="142" t="s">
        <v>342</v>
      </c>
      <c r="C122" s="142"/>
      <c r="D122" s="151"/>
      <c r="E122" s="163"/>
      <c r="F122" s="122"/>
      <c r="G122" s="122"/>
      <c r="H122" s="91">
        <v>0</v>
      </c>
      <c r="I122" s="122"/>
      <c r="J122" s="132">
        <v>0</v>
      </c>
      <c r="K122" s="276"/>
      <c r="L122" s="277"/>
      <c r="M122" s="278"/>
      <c r="N122" s="279"/>
      <c r="O122" s="280"/>
      <c r="P122" s="280"/>
      <c r="Q122" s="91">
        <f t="shared" si="3"/>
        <v>0</v>
      </c>
      <c r="R122" s="91"/>
      <c r="S122" s="77">
        <f t="shared" si="4"/>
        <v>0</v>
      </c>
    </row>
    <row r="123" spans="1:19" s="160" customFormat="1" ht="32.25" customHeight="1">
      <c r="A123" s="106"/>
      <c r="B123" s="142" t="s">
        <v>343</v>
      </c>
      <c r="C123" s="142"/>
      <c r="D123" s="151"/>
      <c r="E123" s="163"/>
      <c r="F123" s="122"/>
      <c r="G123" s="122"/>
      <c r="H123" s="91">
        <v>0</v>
      </c>
      <c r="I123" s="122"/>
      <c r="J123" s="132">
        <v>0</v>
      </c>
      <c r="K123" s="276"/>
      <c r="L123" s="277"/>
      <c r="M123" s="278"/>
      <c r="N123" s="279"/>
      <c r="O123" s="280"/>
      <c r="P123" s="280"/>
      <c r="Q123" s="91">
        <f t="shared" si="3"/>
        <v>0</v>
      </c>
      <c r="R123" s="91"/>
      <c r="S123" s="77">
        <f t="shared" si="4"/>
        <v>0</v>
      </c>
    </row>
    <row r="124" spans="1:19" s="160" customFormat="1" ht="32.25" customHeight="1">
      <c r="A124" s="106">
        <v>4</v>
      </c>
      <c r="B124" s="142" t="s">
        <v>77</v>
      </c>
      <c r="C124" s="142" t="s">
        <v>174</v>
      </c>
      <c r="D124" s="151">
        <v>920</v>
      </c>
      <c r="E124" s="163"/>
      <c r="F124" s="122"/>
      <c r="G124" s="122"/>
      <c r="H124" s="91">
        <v>0</v>
      </c>
      <c r="I124" s="122"/>
      <c r="J124" s="132">
        <v>0</v>
      </c>
      <c r="K124" s="276" t="s">
        <v>430</v>
      </c>
      <c r="L124" s="277" t="s">
        <v>446</v>
      </c>
      <c r="M124" s="278">
        <v>920</v>
      </c>
      <c r="N124" s="279"/>
      <c r="O124" s="280"/>
      <c r="P124" s="280"/>
      <c r="Q124" s="91">
        <f t="shared" si="3"/>
        <v>0</v>
      </c>
      <c r="R124" s="91"/>
      <c r="S124" s="77">
        <f t="shared" si="4"/>
        <v>0</v>
      </c>
    </row>
    <row r="125" spans="1:19" s="160" customFormat="1" ht="32.25" customHeight="1">
      <c r="A125" s="106">
        <v>5</v>
      </c>
      <c r="B125" s="142" t="s">
        <v>176</v>
      </c>
      <c r="C125" s="142" t="s">
        <v>177</v>
      </c>
      <c r="D125" s="151">
        <v>2300</v>
      </c>
      <c r="E125" s="163"/>
      <c r="F125" s="122"/>
      <c r="G125" s="122"/>
      <c r="H125" s="91">
        <v>0</v>
      </c>
      <c r="I125" s="122"/>
      <c r="J125" s="132">
        <v>0</v>
      </c>
      <c r="K125" s="276" t="s">
        <v>407</v>
      </c>
      <c r="L125" s="277" t="s">
        <v>447</v>
      </c>
      <c r="M125" s="278">
        <v>2300</v>
      </c>
      <c r="N125" s="279"/>
      <c r="O125" s="280"/>
      <c r="P125" s="280"/>
      <c r="Q125" s="91">
        <f t="shared" si="3"/>
        <v>0</v>
      </c>
      <c r="R125" s="91"/>
      <c r="S125" s="77">
        <f t="shared" si="4"/>
        <v>0</v>
      </c>
    </row>
    <row r="126" spans="1:19" ht="32.25" customHeight="1">
      <c r="A126" s="106">
        <v>6</v>
      </c>
      <c r="B126" s="142" t="s">
        <v>75</v>
      </c>
      <c r="C126" s="142" t="s">
        <v>179</v>
      </c>
      <c r="D126" s="151"/>
      <c r="E126" s="163"/>
      <c r="F126" s="115"/>
      <c r="G126" s="115"/>
      <c r="H126" s="131">
        <v>0</v>
      </c>
      <c r="I126" s="115"/>
      <c r="J126" s="132">
        <v>0</v>
      </c>
      <c r="K126" s="282"/>
      <c r="L126" s="210"/>
      <c r="M126" s="283"/>
      <c r="N126" s="114"/>
      <c r="O126" s="122"/>
      <c r="P126" s="122"/>
      <c r="Q126" s="91">
        <f t="shared" si="3"/>
        <v>0</v>
      </c>
      <c r="R126" s="91"/>
      <c r="S126" s="77">
        <f t="shared" si="4"/>
        <v>0</v>
      </c>
    </row>
    <row r="127" spans="1:19" ht="32.25" customHeight="1">
      <c r="A127" s="106">
        <v>7</v>
      </c>
      <c r="B127" s="142" t="s">
        <v>75</v>
      </c>
      <c r="C127" s="142" t="s">
        <v>180</v>
      </c>
      <c r="D127" s="151"/>
      <c r="E127" s="163"/>
      <c r="F127" s="115"/>
      <c r="G127" s="115"/>
      <c r="H127" s="131">
        <v>0</v>
      </c>
      <c r="I127" s="115"/>
      <c r="J127" s="132">
        <v>0</v>
      </c>
      <c r="K127" s="282"/>
      <c r="L127" s="210"/>
      <c r="M127" s="283"/>
      <c r="N127" s="114"/>
      <c r="O127" s="122"/>
      <c r="P127" s="122"/>
      <c r="Q127" s="91">
        <f t="shared" si="3"/>
        <v>0</v>
      </c>
      <c r="R127" s="91"/>
      <c r="S127" s="77">
        <f t="shared" si="4"/>
        <v>0</v>
      </c>
    </row>
    <row r="128" spans="1:19" ht="32.25" customHeight="1">
      <c r="A128" s="106">
        <v>8</v>
      </c>
      <c r="B128" s="142" t="s">
        <v>75</v>
      </c>
      <c r="C128" s="142" t="s">
        <v>181</v>
      </c>
      <c r="D128" s="151">
        <v>0</v>
      </c>
      <c r="E128" s="163"/>
      <c r="F128" s="115"/>
      <c r="G128" s="115"/>
      <c r="H128" s="131">
        <v>0</v>
      </c>
      <c r="I128" s="115"/>
      <c r="J128" s="132">
        <v>0</v>
      </c>
      <c r="K128" s="282"/>
      <c r="L128" s="210"/>
      <c r="M128" s="283"/>
      <c r="N128" s="114"/>
      <c r="O128" s="122"/>
      <c r="P128" s="122"/>
      <c r="Q128" s="91">
        <f t="shared" si="3"/>
        <v>0</v>
      </c>
      <c r="R128" s="91"/>
      <c r="S128" s="77">
        <f t="shared" si="4"/>
        <v>0</v>
      </c>
    </row>
    <row r="129" spans="1:19" ht="32.25" customHeight="1">
      <c r="A129" s="106">
        <v>9</v>
      </c>
      <c r="B129" s="142" t="s">
        <v>75</v>
      </c>
      <c r="C129" s="142" t="s">
        <v>182</v>
      </c>
      <c r="D129" s="151">
        <v>0</v>
      </c>
      <c r="E129" s="163"/>
      <c r="F129" s="115"/>
      <c r="G129" s="115"/>
      <c r="H129" s="131">
        <v>0</v>
      </c>
      <c r="I129" s="115"/>
      <c r="J129" s="132">
        <v>0</v>
      </c>
      <c r="K129" s="282"/>
      <c r="L129" s="210"/>
      <c r="M129" s="283"/>
      <c r="N129" s="114"/>
      <c r="O129" s="122"/>
      <c r="P129" s="122"/>
      <c r="Q129" s="91">
        <f t="shared" si="3"/>
        <v>0</v>
      </c>
      <c r="R129" s="91"/>
      <c r="S129" s="77">
        <f t="shared" si="4"/>
        <v>0</v>
      </c>
    </row>
    <row r="130" spans="1:19" ht="32.25" customHeight="1">
      <c r="A130" s="106">
        <v>10</v>
      </c>
      <c r="B130" s="142" t="s">
        <v>75</v>
      </c>
      <c r="C130" s="142" t="s">
        <v>183</v>
      </c>
      <c r="D130" s="151">
        <v>0</v>
      </c>
      <c r="E130" s="163"/>
      <c r="F130" s="115"/>
      <c r="G130" s="115"/>
      <c r="H130" s="131">
        <v>0</v>
      </c>
      <c r="I130" s="115"/>
      <c r="J130" s="132">
        <v>0</v>
      </c>
      <c r="K130" s="282"/>
      <c r="L130" s="210"/>
      <c r="M130" s="283"/>
      <c r="N130" s="114"/>
      <c r="O130" s="115"/>
      <c r="P130" s="168"/>
      <c r="Q130" s="91">
        <f t="shared" si="3"/>
        <v>0</v>
      </c>
      <c r="R130" s="131"/>
      <c r="S130" s="77">
        <f t="shared" si="4"/>
        <v>0</v>
      </c>
    </row>
    <row r="131" spans="1:19" ht="32.25" customHeight="1" thickBot="1">
      <c r="A131" s="39"/>
      <c r="B131" s="50" t="s">
        <v>19</v>
      </c>
      <c r="C131" s="50"/>
      <c r="D131" s="51">
        <f>SUM(D118:D130)</f>
        <v>16165</v>
      </c>
      <c r="E131" s="52"/>
      <c r="F131" s="53"/>
      <c r="G131" s="52"/>
      <c r="H131" s="51">
        <f>SUM(H118:H130)</f>
        <v>920</v>
      </c>
      <c r="I131" s="51">
        <v>0</v>
      </c>
      <c r="J131" s="51">
        <f>SUM(J118:J130)</f>
        <v>920</v>
      </c>
      <c r="K131" s="54"/>
      <c r="L131" s="55"/>
      <c r="M131" s="56">
        <f>SUM(M118:M130)</f>
        <v>17085</v>
      </c>
      <c r="N131" s="57"/>
      <c r="O131" s="53"/>
      <c r="P131" s="51"/>
      <c r="Q131" s="51">
        <f>SUM(Q118:Q130)</f>
        <v>0</v>
      </c>
      <c r="R131" s="51">
        <v>0</v>
      </c>
      <c r="S131" s="51">
        <f>SUM(S118:S130)</f>
        <v>0</v>
      </c>
    </row>
    <row r="132" spans="1:19" ht="32.25" hidden="1" customHeight="1">
      <c r="A132" s="39"/>
      <c r="B132" s="58" t="s">
        <v>184</v>
      </c>
      <c r="C132" s="59"/>
      <c r="D132" s="60"/>
      <c r="E132" s="61"/>
      <c r="F132" s="62"/>
      <c r="G132" s="63"/>
      <c r="H132" s="64"/>
      <c r="I132" s="64"/>
      <c r="J132" s="64"/>
      <c r="K132" s="65"/>
      <c r="L132" s="66"/>
      <c r="M132" s="67"/>
      <c r="N132" s="68"/>
      <c r="O132" s="62"/>
      <c r="P132" s="69"/>
      <c r="Q132" s="63"/>
      <c r="R132" s="63"/>
      <c r="S132" s="70"/>
    </row>
    <row r="133" spans="1:19" ht="32.25" hidden="1" customHeight="1">
      <c r="A133" s="39">
        <v>1</v>
      </c>
      <c r="B133" s="40"/>
      <c r="C133" s="41"/>
      <c r="D133" s="42"/>
      <c r="E133" s="6"/>
      <c r="F133" s="43"/>
      <c r="G133" s="6"/>
      <c r="H133" s="42"/>
      <c r="I133" s="42"/>
      <c r="J133" s="42"/>
      <c r="K133" s="44"/>
      <c r="L133" s="45"/>
      <c r="M133" s="46"/>
      <c r="N133" s="5"/>
      <c r="O133" s="43"/>
      <c r="P133" s="47"/>
      <c r="Q133" s="48"/>
      <c r="R133" s="48"/>
      <c r="S133" s="49"/>
    </row>
    <row r="134" spans="1:19" ht="32.25" hidden="1" customHeight="1">
      <c r="A134" s="39"/>
      <c r="B134" s="50" t="s">
        <v>19</v>
      </c>
      <c r="C134" s="50"/>
      <c r="D134" s="51">
        <v>0</v>
      </c>
      <c r="E134" s="52"/>
      <c r="F134" s="53"/>
      <c r="G134" s="52"/>
      <c r="H134" s="51">
        <v>0</v>
      </c>
      <c r="I134" s="51">
        <v>0</v>
      </c>
      <c r="J134" s="51">
        <v>0</v>
      </c>
      <c r="K134" s="54"/>
      <c r="L134" s="55"/>
      <c r="M134" s="56"/>
      <c r="N134" s="57"/>
      <c r="O134" s="53"/>
      <c r="P134" s="51"/>
      <c r="Q134" s="51"/>
      <c r="R134" s="51"/>
      <c r="S134" s="51"/>
    </row>
    <row r="135" spans="1:19" ht="32.25" hidden="1" customHeight="1">
      <c r="A135" s="39"/>
      <c r="B135" s="58" t="s">
        <v>185</v>
      </c>
      <c r="C135" s="59"/>
      <c r="D135" s="60"/>
      <c r="E135" s="61"/>
      <c r="F135" s="62"/>
      <c r="G135" s="63"/>
      <c r="H135" s="64"/>
      <c r="I135" s="64"/>
      <c r="J135" s="64"/>
      <c r="K135" s="65"/>
      <c r="L135" s="66"/>
      <c r="M135" s="67"/>
      <c r="N135" s="68"/>
      <c r="O135" s="62"/>
      <c r="P135" s="69"/>
      <c r="Q135" s="63"/>
      <c r="R135" s="63"/>
      <c r="S135" s="70"/>
    </row>
    <row r="136" spans="1:19" ht="32.25" hidden="1" customHeight="1">
      <c r="A136" s="39">
        <v>1</v>
      </c>
      <c r="B136" s="40"/>
      <c r="C136" s="41"/>
      <c r="D136" s="42"/>
      <c r="E136" s="6"/>
      <c r="F136" s="43"/>
      <c r="G136" s="6"/>
      <c r="H136" s="42"/>
      <c r="I136" s="42"/>
      <c r="J136" s="42"/>
      <c r="K136" s="284"/>
      <c r="L136" s="285"/>
      <c r="M136" s="286"/>
      <c r="N136" s="5"/>
      <c r="O136" s="43"/>
      <c r="P136" s="47"/>
      <c r="Q136" s="48"/>
      <c r="R136" s="48"/>
      <c r="S136" s="49"/>
    </row>
    <row r="137" spans="1:19" ht="32.25" hidden="1" customHeight="1">
      <c r="A137" s="39"/>
      <c r="B137" s="50" t="s">
        <v>19</v>
      </c>
      <c r="C137" s="50"/>
      <c r="D137" s="51">
        <v>0</v>
      </c>
      <c r="E137" s="52"/>
      <c r="F137" s="53"/>
      <c r="G137" s="52"/>
      <c r="H137" s="51">
        <v>0</v>
      </c>
      <c r="I137" s="51">
        <v>0</v>
      </c>
      <c r="J137" s="51">
        <v>0</v>
      </c>
      <c r="K137" s="54"/>
      <c r="L137" s="55"/>
      <c r="M137" s="56"/>
      <c r="N137" s="57"/>
      <c r="O137" s="53"/>
      <c r="P137" s="51"/>
      <c r="Q137" s="51"/>
      <c r="R137" s="51"/>
      <c r="S137" s="51"/>
    </row>
    <row r="138" spans="1:19" ht="32.25" customHeight="1" thickTop="1">
      <c r="A138" s="39"/>
      <c r="B138" s="58" t="s">
        <v>186</v>
      </c>
      <c r="C138" s="59"/>
      <c r="D138" s="60"/>
      <c r="E138" s="61"/>
      <c r="F138" s="62"/>
      <c r="G138" s="63"/>
      <c r="H138" s="64"/>
      <c r="I138" s="64"/>
      <c r="J138" s="64"/>
      <c r="K138" s="65"/>
      <c r="L138" s="66"/>
      <c r="M138" s="67"/>
      <c r="N138" s="68"/>
      <c r="O138" s="62"/>
      <c r="P138" s="69"/>
      <c r="Q138" s="63"/>
      <c r="R138" s="63"/>
      <c r="S138" s="70"/>
    </row>
    <row r="139" spans="1:19" s="160" customFormat="1" ht="32.25" customHeight="1">
      <c r="A139" s="116">
        <v>1</v>
      </c>
      <c r="B139" s="41" t="s">
        <v>23</v>
      </c>
      <c r="C139" s="41" t="s">
        <v>187</v>
      </c>
      <c r="D139" s="287">
        <v>2140</v>
      </c>
      <c r="E139" s="240"/>
      <c r="F139" s="122"/>
      <c r="G139" s="91"/>
      <c r="H139" s="91">
        <v>0</v>
      </c>
      <c r="I139" s="92"/>
      <c r="J139" s="132">
        <v>0</v>
      </c>
      <c r="K139" s="288" t="s">
        <v>426</v>
      </c>
      <c r="L139" s="289" t="s">
        <v>448</v>
      </c>
      <c r="M139" s="290">
        <v>2140</v>
      </c>
      <c r="N139" s="291"/>
      <c r="O139" s="292"/>
      <c r="P139" s="293"/>
      <c r="Q139" s="91"/>
      <c r="R139" s="92"/>
      <c r="S139" s="294">
        <v>0</v>
      </c>
    </row>
    <row r="140" spans="1:19" s="160" customFormat="1" ht="32.25" customHeight="1">
      <c r="A140" s="116">
        <v>2</v>
      </c>
      <c r="B140" s="142" t="s">
        <v>23</v>
      </c>
      <c r="C140" s="142" t="s">
        <v>189</v>
      </c>
      <c r="D140" s="287">
        <v>24513.7</v>
      </c>
      <c r="E140" s="114"/>
      <c r="F140" s="115"/>
      <c r="G140" s="295"/>
      <c r="H140" s="131">
        <v>0</v>
      </c>
      <c r="I140" s="125"/>
      <c r="J140" s="132">
        <v>0</v>
      </c>
      <c r="K140" s="296" t="s">
        <v>417</v>
      </c>
      <c r="L140" s="297" t="s">
        <v>449</v>
      </c>
      <c r="M140" s="290">
        <v>24513.7</v>
      </c>
      <c r="N140" s="298"/>
      <c r="O140" s="292"/>
      <c r="P140" s="292"/>
      <c r="Q140" s="91">
        <v>0</v>
      </c>
      <c r="R140" s="92"/>
      <c r="S140" s="294">
        <v>0</v>
      </c>
    </row>
    <row r="141" spans="1:19" s="160" customFormat="1" ht="32.25" customHeight="1">
      <c r="A141" s="116">
        <v>3</v>
      </c>
      <c r="B141" s="142" t="s">
        <v>192</v>
      </c>
      <c r="C141" s="142" t="s">
        <v>193</v>
      </c>
      <c r="D141" s="293">
        <v>866.7</v>
      </c>
      <c r="E141" s="114"/>
      <c r="F141" s="115"/>
      <c r="G141" s="131"/>
      <c r="H141" s="131">
        <v>0</v>
      </c>
      <c r="I141" s="125"/>
      <c r="J141" s="132">
        <v>0</v>
      </c>
      <c r="K141" s="288" t="s">
        <v>395</v>
      </c>
      <c r="L141" s="289" t="s">
        <v>450</v>
      </c>
      <c r="M141" s="290">
        <v>866.7</v>
      </c>
      <c r="N141" s="298"/>
      <c r="O141" s="292"/>
      <c r="P141" s="299"/>
      <c r="Q141" s="91">
        <v>0</v>
      </c>
      <c r="R141" s="92"/>
      <c r="S141" s="294">
        <v>0</v>
      </c>
    </row>
    <row r="142" spans="1:19" ht="32.25" customHeight="1">
      <c r="A142" s="106">
        <v>4</v>
      </c>
      <c r="B142" s="300" t="s">
        <v>195</v>
      </c>
      <c r="C142" s="300" t="s">
        <v>193</v>
      </c>
      <c r="D142" s="287">
        <v>2921.1</v>
      </c>
      <c r="E142" s="301" t="s">
        <v>125</v>
      </c>
      <c r="F142" s="31">
        <v>1</v>
      </c>
      <c r="G142" s="301" t="s">
        <v>72</v>
      </c>
      <c r="H142" s="29">
        <v>7720</v>
      </c>
      <c r="I142" s="29">
        <v>540.39999999999952</v>
      </c>
      <c r="J142" s="132">
        <v>8260.4</v>
      </c>
      <c r="K142" s="288" t="s">
        <v>411</v>
      </c>
      <c r="L142" s="289" t="s">
        <v>451</v>
      </c>
      <c r="M142" s="290">
        <v>8260.4</v>
      </c>
      <c r="N142" s="302" t="s">
        <v>442</v>
      </c>
      <c r="O142" s="303">
        <v>1</v>
      </c>
      <c r="P142" s="304" t="s">
        <v>72</v>
      </c>
      <c r="Q142" s="131">
        <v>2730.0000000000005</v>
      </c>
      <c r="R142" s="29">
        <v>191.09999999999988</v>
      </c>
      <c r="S142" s="77">
        <v>2921.1000000000004</v>
      </c>
    </row>
    <row r="143" spans="1:19" ht="32.25" customHeight="1">
      <c r="A143" s="39">
        <v>5</v>
      </c>
      <c r="B143" s="142" t="s">
        <v>406</v>
      </c>
      <c r="C143" s="142" t="s">
        <v>193</v>
      </c>
      <c r="D143" s="305">
        <v>1187.7</v>
      </c>
      <c r="E143" s="131"/>
      <c r="F143" s="115"/>
      <c r="G143" s="131"/>
      <c r="H143" s="125">
        <v>0</v>
      </c>
      <c r="I143" s="125"/>
      <c r="J143" s="132">
        <v>0</v>
      </c>
      <c r="K143" s="306" t="s">
        <v>419</v>
      </c>
      <c r="L143" s="307" t="s">
        <v>452</v>
      </c>
      <c r="M143" s="308">
        <v>1187.7</v>
      </c>
      <c r="N143" s="114"/>
      <c r="O143" s="115"/>
      <c r="P143" s="144"/>
      <c r="Q143" s="131">
        <v>0</v>
      </c>
      <c r="R143" s="125"/>
      <c r="S143" s="77">
        <v>0</v>
      </c>
    </row>
    <row r="144" spans="1:19" ht="32.25" customHeight="1">
      <c r="A144" s="39">
        <v>6</v>
      </c>
      <c r="B144" s="142" t="s">
        <v>403</v>
      </c>
      <c r="C144" s="142" t="s">
        <v>193</v>
      </c>
      <c r="D144" s="125">
        <v>5831.5</v>
      </c>
      <c r="E144" s="131"/>
      <c r="F144" s="115"/>
      <c r="G144" s="131"/>
      <c r="H144" s="125">
        <v>0</v>
      </c>
      <c r="I144" s="125"/>
      <c r="J144" s="132">
        <v>0</v>
      </c>
      <c r="K144" s="34" t="s">
        <v>395</v>
      </c>
      <c r="L144" s="35" t="s">
        <v>453</v>
      </c>
      <c r="M144" s="36">
        <v>5831.5</v>
      </c>
      <c r="N144" s="114"/>
      <c r="O144" s="115"/>
      <c r="P144" s="144"/>
      <c r="Q144" s="131">
        <v>0</v>
      </c>
      <c r="R144" s="125"/>
      <c r="S144" s="77">
        <v>0</v>
      </c>
    </row>
    <row r="145" spans="1:26" ht="32.25" customHeight="1">
      <c r="A145" s="39"/>
      <c r="B145" s="41"/>
      <c r="C145" s="41"/>
      <c r="D145" s="42"/>
      <c r="E145" s="6"/>
      <c r="F145" s="43"/>
      <c r="G145" s="6"/>
      <c r="H145" s="42"/>
      <c r="I145" s="42"/>
      <c r="J145" s="309"/>
      <c r="K145" s="284"/>
      <c r="L145" s="285"/>
      <c r="M145" s="286"/>
      <c r="N145" s="5"/>
      <c r="O145" s="43"/>
      <c r="P145" s="47"/>
      <c r="Q145" s="6"/>
      <c r="R145" s="42"/>
      <c r="S145" s="100"/>
    </row>
    <row r="146" spans="1:26" ht="32.25" customHeight="1" thickBot="1">
      <c r="A146" s="39"/>
      <c r="B146" s="50" t="s">
        <v>19</v>
      </c>
      <c r="C146" s="50"/>
      <c r="D146" s="51">
        <f>SUM(D139:D145)</f>
        <v>37460.699999999997</v>
      </c>
      <c r="E146" s="52"/>
      <c r="F146" s="53"/>
      <c r="G146" s="52"/>
      <c r="H146" s="51">
        <f>SUM(H139:H145)</f>
        <v>7720</v>
      </c>
      <c r="I146" s="51">
        <f>SUM(I139:I145)</f>
        <v>540.39999999999952</v>
      </c>
      <c r="J146" s="51">
        <f>SUM(J139:J145)</f>
        <v>8260.4</v>
      </c>
      <c r="K146" s="54"/>
      <c r="L146" s="55"/>
      <c r="M146" s="56">
        <f>SUM(M139:M144)</f>
        <v>42800</v>
      </c>
      <c r="N146" s="57"/>
      <c r="O146" s="53"/>
      <c r="P146" s="51"/>
      <c r="Q146" s="51">
        <f>SUM(Q139:Q145)</f>
        <v>2730.0000000000005</v>
      </c>
      <c r="R146" s="51">
        <f t="shared" ref="R146:S146" si="5">SUM(R139:R145)</f>
        <v>191.09999999999988</v>
      </c>
      <c r="S146" s="51">
        <f t="shared" si="5"/>
        <v>2921.1000000000004</v>
      </c>
    </row>
    <row r="147" spans="1:26" ht="32.25" customHeight="1" thickTop="1">
      <c r="A147" s="39"/>
      <c r="B147" s="58" t="s">
        <v>198</v>
      </c>
      <c r="C147" s="59"/>
      <c r="D147" s="60"/>
      <c r="E147" s="61"/>
      <c r="F147" s="62"/>
      <c r="G147" s="63"/>
      <c r="H147" s="64"/>
      <c r="I147" s="64"/>
      <c r="J147" s="64"/>
      <c r="K147" s="65"/>
      <c r="L147" s="66"/>
      <c r="M147" s="67"/>
      <c r="N147" s="68"/>
      <c r="O147" s="62"/>
      <c r="P147" s="69"/>
      <c r="Q147" s="63"/>
      <c r="R147" s="63"/>
      <c r="S147" s="70"/>
    </row>
    <row r="148" spans="1:26" s="327" customFormat="1" ht="32.25" customHeight="1">
      <c r="A148" s="310">
        <v>1</v>
      </c>
      <c r="B148" s="311" t="s">
        <v>152</v>
      </c>
      <c r="C148" s="312"/>
      <c r="D148" s="305">
        <v>0</v>
      </c>
      <c r="E148" s="313"/>
      <c r="F148" s="314"/>
      <c r="G148" s="315"/>
      <c r="H148" s="316">
        <v>0</v>
      </c>
      <c r="I148" s="72">
        <v>0</v>
      </c>
      <c r="J148" s="317">
        <v>0</v>
      </c>
      <c r="K148" s="318"/>
      <c r="L148" s="319"/>
      <c r="M148" s="320"/>
      <c r="N148" s="313"/>
      <c r="O148" s="314"/>
      <c r="P148" s="321"/>
      <c r="Q148" s="322">
        <v>0</v>
      </c>
      <c r="R148" s="323"/>
      <c r="S148" s="324">
        <v>0</v>
      </c>
      <c r="T148" s="325" t="s">
        <v>199</v>
      </c>
      <c r="U148" s="326"/>
      <c r="V148" s="326"/>
      <c r="W148" s="326"/>
      <c r="X148" s="326"/>
      <c r="Y148" s="326"/>
      <c r="Z148" s="326"/>
    </row>
    <row r="149" spans="1:26" s="327" customFormat="1" ht="32.25" customHeight="1">
      <c r="A149" s="328">
        <v>2</v>
      </c>
      <c r="B149" s="329" t="s">
        <v>200</v>
      </c>
      <c r="C149" s="330"/>
      <c r="D149" s="331">
        <v>0</v>
      </c>
      <c r="E149" s="332"/>
      <c r="F149" s="333"/>
      <c r="G149" s="334"/>
      <c r="H149" s="335">
        <v>0</v>
      </c>
      <c r="I149" s="72">
        <v>0</v>
      </c>
      <c r="J149" s="317">
        <v>0</v>
      </c>
      <c r="K149" s="318"/>
      <c r="L149" s="319"/>
      <c r="M149" s="320"/>
      <c r="N149" s="313"/>
      <c r="O149" s="314"/>
      <c r="P149" s="321"/>
      <c r="Q149" s="322">
        <v>0</v>
      </c>
      <c r="R149" s="323"/>
      <c r="S149" s="324">
        <v>0</v>
      </c>
      <c r="T149" s="325"/>
      <c r="U149" s="326"/>
      <c r="V149" s="326"/>
      <c r="W149" s="326"/>
      <c r="X149" s="326"/>
      <c r="Y149" s="326"/>
      <c r="Z149" s="326"/>
    </row>
    <row r="150" spans="1:26" ht="32.25" customHeight="1">
      <c r="A150" s="39"/>
      <c r="B150" s="223" t="s">
        <v>201</v>
      </c>
      <c r="C150" s="224"/>
      <c r="D150" s="125">
        <v>0</v>
      </c>
      <c r="E150" s="131"/>
      <c r="F150" s="115"/>
      <c r="G150" s="131"/>
      <c r="H150" s="125">
        <v>0</v>
      </c>
      <c r="I150" s="125">
        <v>0</v>
      </c>
      <c r="J150" s="125">
        <v>0</v>
      </c>
      <c r="K150" s="209"/>
      <c r="L150" s="336"/>
      <c r="M150" s="36"/>
      <c r="N150" s="114"/>
      <c r="O150" s="115"/>
      <c r="P150" s="115"/>
      <c r="Q150" s="131">
        <v>0</v>
      </c>
      <c r="R150" s="131"/>
      <c r="S150" s="77">
        <v>0</v>
      </c>
    </row>
    <row r="151" spans="1:26" ht="32.25" customHeight="1">
      <c r="A151" s="39"/>
      <c r="B151" s="223" t="s">
        <v>202</v>
      </c>
      <c r="C151" s="224"/>
      <c r="D151" s="42">
        <v>0</v>
      </c>
      <c r="E151" s="6"/>
      <c r="F151" s="43"/>
      <c r="G151" s="6"/>
      <c r="H151" s="42">
        <v>0</v>
      </c>
      <c r="I151" s="42">
        <v>0</v>
      </c>
      <c r="J151" s="125">
        <v>0</v>
      </c>
      <c r="K151" s="44"/>
      <c r="L151" s="45"/>
      <c r="M151" s="46"/>
      <c r="N151" s="114"/>
      <c r="O151" s="115"/>
      <c r="P151" s="47"/>
      <c r="Q151" s="131">
        <v>0</v>
      </c>
      <c r="R151" s="131"/>
      <c r="S151" s="77">
        <v>0</v>
      </c>
    </row>
    <row r="152" spans="1:26" ht="32.25" customHeight="1">
      <c r="A152" s="337">
        <v>3</v>
      </c>
      <c r="B152" s="338" t="s">
        <v>130</v>
      </c>
      <c r="C152" s="339"/>
      <c r="D152" s="42">
        <v>0</v>
      </c>
      <c r="E152" s="6"/>
      <c r="F152" s="43"/>
      <c r="G152" s="6"/>
      <c r="H152" s="42">
        <v>0</v>
      </c>
      <c r="I152" s="42">
        <v>0</v>
      </c>
      <c r="J152" s="42">
        <v>0</v>
      </c>
      <c r="K152" s="284"/>
      <c r="L152" s="285"/>
      <c r="M152" s="286"/>
      <c r="N152" s="5"/>
      <c r="O152" s="43"/>
      <c r="P152" s="47"/>
      <c r="Q152" s="6">
        <v>0</v>
      </c>
      <c r="R152" s="6"/>
      <c r="S152" s="100">
        <v>0</v>
      </c>
    </row>
    <row r="153" spans="1:26" ht="32.25" customHeight="1">
      <c r="A153" s="337"/>
      <c r="B153" s="340" t="s">
        <v>205</v>
      </c>
      <c r="C153" s="339"/>
      <c r="D153" s="42">
        <v>0</v>
      </c>
      <c r="E153" s="6"/>
      <c r="F153" s="43"/>
      <c r="G153" s="6"/>
      <c r="H153" s="42">
        <v>0</v>
      </c>
      <c r="I153" s="42">
        <v>0</v>
      </c>
      <c r="J153" s="42">
        <v>0</v>
      </c>
      <c r="K153" s="284"/>
      <c r="L153" s="285"/>
      <c r="M153" s="286"/>
      <c r="N153" s="5"/>
      <c r="O153" s="43"/>
      <c r="P153" s="47"/>
      <c r="Q153" s="6">
        <v>0</v>
      </c>
      <c r="R153" s="6"/>
      <c r="S153" s="100">
        <v>0</v>
      </c>
    </row>
    <row r="154" spans="1:26" ht="32.25" customHeight="1">
      <c r="A154" s="337"/>
      <c r="B154" s="341" t="s">
        <v>363</v>
      </c>
      <c r="C154" s="342"/>
      <c r="D154" s="42">
        <v>0</v>
      </c>
      <c r="E154" s="6"/>
      <c r="F154" s="43"/>
      <c r="G154" s="6"/>
      <c r="H154" s="42">
        <v>0</v>
      </c>
      <c r="I154" s="42">
        <v>0</v>
      </c>
      <c r="J154" s="42">
        <v>0</v>
      </c>
      <c r="K154" s="284"/>
      <c r="L154" s="285"/>
      <c r="M154" s="286"/>
      <c r="N154" s="5"/>
      <c r="O154" s="43"/>
      <c r="P154" s="47"/>
      <c r="Q154" s="6">
        <v>0</v>
      </c>
      <c r="R154" s="6"/>
      <c r="S154" s="100">
        <v>0</v>
      </c>
    </row>
    <row r="155" spans="1:26" ht="32.25" customHeight="1">
      <c r="A155" s="337">
        <v>4</v>
      </c>
      <c r="B155" s="420" t="s">
        <v>364</v>
      </c>
      <c r="C155" s="421"/>
      <c r="D155" s="42">
        <v>0</v>
      </c>
      <c r="E155" s="6"/>
      <c r="F155" s="43"/>
      <c r="G155" s="6"/>
      <c r="H155" s="42"/>
      <c r="I155" s="42"/>
      <c r="J155" s="42"/>
      <c r="K155" s="284"/>
      <c r="L155" s="285"/>
      <c r="M155" s="286"/>
      <c r="N155" s="5"/>
      <c r="O155" s="43"/>
      <c r="P155" s="47"/>
      <c r="Q155" s="6">
        <v>0</v>
      </c>
      <c r="R155" s="6"/>
      <c r="S155" s="100">
        <v>0</v>
      </c>
    </row>
    <row r="156" spans="1:26" ht="32.25" customHeight="1">
      <c r="A156" s="337"/>
      <c r="B156" s="420" t="s">
        <v>367</v>
      </c>
      <c r="C156" s="421"/>
      <c r="D156" s="42">
        <v>0</v>
      </c>
      <c r="E156" s="6"/>
      <c r="F156" s="43"/>
      <c r="G156" s="6"/>
      <c r="H156" s="42"/>
      <c r="I156" s="42"/>
      <c r="J156" s="42"/>
      <c r="K156" s="284"/>
      <c r="L156" s="285"/>
      <c r="M156" s="286"/>
      <c r="N156" s="5"/>
      <c r="O156" s="43"/>
      <c r="P156" s="47"/>
      <c r="Q156" s="6">
        <v>0</v>
      </c>
      <c r="R156" s="6"/>
      <c r="S156" s="100">
        <v>0</v>
      </c>
    </row>
    <row r="157" spans="1:26" ht="32.25" customHeight="1">
      <c r="A157" s="337"/>
      <c r="B157" s="420" t="s">
        <v>368</v>
      </c>
      <c r="C157" s="421"/>
      <c r="D157" s="42">
        <v>0</v>
      </c>
      <c r="E157" s="6"/>
      <c r="F157" s="43"/>
      <c r="G157" s="6"/>
      <c r="H157" s="42"/>
      <c r="I157" s="42"/>
      <c r="J157" s="42"/>
      <c r="K157" s="284"/>
      <c r="L157" s="285"/>
      <c r="M157" s="286"/>
      <c r="N157" s="5"/>
      <c r="O157" s="43"/>
      <c r="P157" s="47"/>
      <c r="Q157" s="6">
        <v>0</v>
      </c>
      <c r="R157" s="6"/>
      <c r="S157" s="100">
        <v>0</v>
      </c>
    </row>
    <row r="158" spans="1:26" ht="32.25" customHeight="1">
      <c r="A158" s="337">
        <v>5</v>
      </c>
      <c r="B158" s="420" t="s">
        <v>369</v>
      </c>
      <c r="C158" s="421"/>
      <c r="D158" s="42">
        <v>0</v>
      </c>
      <c r="E158" s="6"/>
      <c r="F158" s="43"/>
      <c r="G158" s="6"/>
      <c r="H158" s="42"/>
      <c r="I158" s="42"/>
      <c r="J158" s="42"/>
      <c r="K158" s="284"/>
      <c r="L158" s="285"/>
      <c r="M158" s="286"/>
      <c r="N158" s="5"/>
      <c r="O158" s="43"/>
      <c r="P158" s="47"/>
      <c r="Q158" s="6">
        <v>0</v>
      </c>
      <c r="R158" s="6"/>
      <c r="S158" s="100">
        <v>0</v>
      </c>
    </row>
    <row r="159" spans="1:26" ht="32.25" customHeight="1">
      <c r="A159" s="337"/>
      <c r="B159" s="420" t="s">
        <v>367</v>
      </c>
      <c r="C159" s="421"/>
      <c r="D159" s="42">
        <v>0</v>
      </c>
      <c r="E159" s="6"/>
      <c r="F159" s="43"/>
      <c r="G159" s="6"/>
      <c r="H159" s="42"/>
      <c r="I159" s="42"/>
      <c r="J159" s="42"/>
      <c r="K159" s="284"/>
      <c r="L159" s="285"/>
      <c r="M159" s="286"/>
      <c r="N159" s="5"/>
      <c r="O159" s="43"/>
      <c r="P159" s="47"/>
      <c r="Q159" s="6">
        <v>0</v>
      </c>
      <c r="R159" s="6"/>
      <c r="S159" s="100">
        <v>0</v>
      </c>
    </row>
    <row r="160" spans="1:26" ht="32.25" customHeight="1">
      <c r="A160" s="337"/>
      <c r="B160" s="420" t="s">
        <v>372</v>
      </c>
      <c r="C160" s="421"/>
      <c r="D160" s="42">
        <v>0</v>
      </c>
      <c r="E160" s="6"/>
      <c r="F160" s="43"/>
      <c r="G160" s="6"/>
      <c r="H160" s="42"/>
      <c r="I160" s="42"/>
      <c r="J160" s="42"/>
      <c r="K160" s="284"/>
      <c r="L160" s="285"/>
      <c r="M160" s="286"/>
      <c r="N160" s="5"/>
      <c r="O160" s="43"/>
      <c r="P160" s="47"/>
      <c r="Q160" s="6">
        <v>0</v>
      </c>
      <c r="R160" s="6"/>
      <c r="S160" s="100">
        <v>0</v>
      </c>
    </row>
    <row r="161" spans="1:19" ht="32.25" customHeight="1">
      <c r="A161" s="337">
        <v>6</v>
      </c>
      <c r="B161" s="420" t="s">
        <v>373</v>
      </c>
      <c r="C161" s="421"/>
      <c r="D161" s="42">
        <v>0</v>
      </c>
      <c r="E161" s="6"/>
      <c r="F161" s="43"/>
      <c r="G161" s="6"/>
      <c r="H161" s="42"/>
      <c r="I161" s="42"/>
      <c r="J161" s="42"/>
      <c r="K161" s="284"/>
      <c r="L161" s="285"/>
      <c r="M161" s="286"/>
      <c r="N161" s="5"/>
      <c r="O161" s="43"/>
      <c r="P161" s="47"/>
      <c r="Q161" s="6">
        <v>0</v>
      </c>
      <c r="R161" s="6"/>
      <c r="S161" s="100">
        <v>0</v>
      </c>
    </row>
    <row r="162" spans="1:19" ht="32.25" customHeight="1">
      <c r="A162" s="337"/>
      <c r="B162" s="420" t="s">
        <v>367</v>
      </c>
      <c r="C162" s="421"/>
      <c r="D162" s="42">
        <v>0</v>
      </c>
      <c r="E162" s="6"/>
      <c r="F162" s="43"/>
      <c r="G162" s="6"/>
      <c r="H162" s="42"/>
      <c r="I162" s="42"/>
      <c r="J162" s="42"/>
      <c r="K162" s="284"/>
      <c r="L162" s="285"/>
      <c r="M162" s="286"/>
      <c r="N162" s="5"/>
      <c r="O162" s="43"/>
      <c r="P162" s="47"/>
      <c r="Q162" s="6">
        <v>0</v>
      </c>
      <c r="R162" s="6"/>
      <c r="S162" s="100">
        <v>0</v>
      </c>
    </row>
    <row r="163" spans="1:19" ht="32.25" customHeight="1">
      <c r="A163" s="337"/>
      <c r="B163" s="420" t="s">
        <v>375</v>
      </c>
      <c r="C163" s="421"/>
      <c r="D163" s="42">
        <v>0</v>
      </c>
      <c r="E163" s="6"/>
      <c r="F163" s="43"/>
      <c r="G163" s="6"/>
      <c r="H163" s="42"/>
      <c r="I163" s="42"/>
      <c r="J163" s="42"/>
      <c r="K163" s="284"/>
      <c r="L163" s="285"/>
      <c r="M163" s="286"/>
      <c r="N163" s="5"/>
      <c r="O163" s="43"/>
      <c r="P163" s="47"/>
      <c r="Q163" s="6">
        <v>0</v>
      </c>
      <c r="R163" s="6"/>
      <c r="S163" s="100">
        <v>0</v>
      </c>
    </row>
    <row r="164" spans="1:19" ht="32.25" customHeight="1">
      <c r="A164" s="337">
        <v>7</v>
      </c>
      <c r="B164" s="420" t="s">
        <v>376</v>
      </c>
      <c r="C164" s="421"/>
      <c r="D164" s="42">
        <v>0</v>
      </c>
      <c r="E164" s="6"/>
      <c r="F164" s="43"/>
      <c r="G164" s="6"/>
      <c r="H164" s="42"/>
      <c r="I164" s="42"/>
      <c r="J164" s="42"/>
      <c r="K164" s="284"/>
      <c r="L164" s="285"/>
      <c r="M164" s="286"/>
      <c r="N164" s="5"/>
      <c r="O164" s="43"/>
      <c r="P164" s="47"/>
      <c r="Q164" s="6">
        <v>0</v>
      </c>
      <c r="R164" s="6"/>
      <c r="S164" s="100">
        <v>0</v>
      </c>
    </row>
    <row r="165" spans="1:19" ht="32.25" customHeight="1">
      <c r="A165" s="337"/>
      <c r="B165" s="420" t="s">
        <v>367</v>
      </c>
      <c r="C165" s="421"/>
      <c r="D165" s="42">
        <v>0</v>
      </c>
      <c r="E165" s="6"/>
      <c r="F165" s="43"/>
      <c r="G165" s="6"/>
      <c r="H165" s="42"/>
      <c r="I165" s="42"/>
      <c r="J165" s="42"/>
      <c r="K165" s="284"/>
      <c r="L165" s="285"/>
      <c r="M165" s="286"/>
      <c r="N165" s="5"/>
      <c r="O165" s="43"/>
      <c r="P165" s="47"/>
      <c r="Q165" s="6">
        <v>0</v>
      </c>
      <c r="R165" s="6"/>
      <c r="S165" s="100">
        <v>0</v>
      </c>
    </row>
    <row r="166" spans="1:19" ht="32.25" customHeight="1">
      <c r="A166" s="337"/>
      <c r="B166" s="420" t="s">
        <v>378</v>
      </c>
      <c r="C166" s="421"/>
      <c r="D166" s="42">
        <v>0</v>
      </c>
      <c r="E166" s="6"/>
      <c r="F166" s="43"/>
      <c r="G166" s="6"/>
      <c r="H166" s="42"/>
      <c r="I166" s="42"/>
      <c r="J166" s="42"/>
      <c r="K166" s="284"/>
      <c r="L166" s="285"/>
      <c r="M166" s="286"/>
      <c r="N166" s="5"/>
      <c r="O166" s="43"/>
      <c r="P166" s="47"/>
      <c r="Q166" s="6">
        <v>0</v>
      </c>
      <c r="R166" s="6"/>
      <c r="S166" s="100">
        <v>0</v>
      </c>
    </row>
    <row r="167" spans="1:19" ht="32.25" customHeight="1">
      <c r="A167" s="337">
        <v>8</v>
      </c>
      <c r="B167" s="420" t="s">
        <v>379</v>
      </c>
      <c r="C167" s="421"/>
      <c r="D167" s="42">
        <v>0</v>
      </c>
      <c r="E167" s="6"/>
      <c r="F167" s="43"/>
      <c r="G167" s="6"/>
      <c r="H167" s="42"/>
      <c r="I167" s="42"/>
      <c r="J167" s="42"/>
      <c r="K167" s="284"/>
      <c r="L167" s="285"/>
      <c r="M167" s="286"/>
      <c r="N167" s="5"/>
      <c r="O167" s="43"/>
      <c r="P167" s="47"/>
      <c r="Q167" s="6">
        <v>0</v>
      </c>
      <c r="R167" s="6"/>
      <c r="S167" s="100">
        <v>0</v>
      </c>
    </row>
    <row r="168" spans="1:19" ht="32.25" customHeight="1">
      <c r="A168" s="337"/>
      <c r="B168" s="420" t="s">
        <v>367</v>
      </c>
      <c r="C168" s="421"/>
      <c r="D168" s="42">
        <v>0</v>
      </c>
      <c r="E168" s="6"/>
      <c r="F168" s="43"/>
      <c r="G168" s="6"/>
      <c r="H168" s="42"/>
      <c r="I168" s="42"/>
      <c r="J168" s="42"/>
      <c r="K168" s="284"/>
      <c r="L168" s="285"/>
      <c r="M168" s="286"/>
      <c r="N168" s="5"/>
      <c r="O168" s="43"/>
      <c r="P168" s="47"/>
      <c r="Q168" s="6">
        <v>0</v>
      </c>
      <c r="R168" s="6"/>
      <c r="S168" s="100">
        <v>0</v>
      </c>
    </row>
    <row r="169" spans="1:19" ht="32.25" customHeight="1">
      <c r="A169" s="337"/>
      <c r="B169" s="420"/>
      <c r="C169" s="421"/>
      <c r="D169" s="42">
        <v>0</v>
      </c>
      <c r="E169" s="6"/>
      <c r="F169" s="43"/>
      <c r="G169" s="6"/>
      <c r="H169" s="42"/>
      <c r="I169" s="42"/>
      <c r="J169" s="42"/>
      <c r="K169" s="284"/>
      <c r="L169" s="285"/>
      <c r="M169" s="286"/>
      <c r="N169" s="5"/>
      <c r="O169" s="43"/>
      <c r="P169" s="47"/>
      <c r="Q169" s="6">
        <v>0</v>
      </c>
      <c r="R169" s="6"/>
      <c r="S169" s="100">
        <v>0</v>
      </c>
    </row>
    <row r="170" spans="1:19" ht="32.25" customHeight="1">
      <c r="A170" s="337">
        <v>9</v>
      </c>
      <c r="B170" s="420" t="s">
        <v>380</v>
      </c>
      <c r="C170" s="421"/>
      <c r="D170" s="42">
        <v>0</v>
      </c>
      <c r="E170" s="6"/>
      <c r="F170" s="43"/>
      <c r="G170" s="6"/>
      <c r="H170" s="42"/>
      <c r="I170" s="42"/>
      <c r="J170" s="42"/>
      <c r="K170" s="284"/>
      <c r="L170" s="285"/>
      <c r="M170" s="286"/>
      <c r="N170" s="5"/>
      <c r="O170" s="43"/>
      <c r="P170" s="47"/>
      <c r="Q170" s="6">
        <v>0</v>
      </c>
      <c r="R170" s="6"/>
      <c r="S170" s="100">
        <v>0</v>
      </c>
    </row>
    <row r="171" spans="1:19" ht="32.25" customHeight="1">
      <c r="A171" s="337"/>
      <c r="B171" s="420" t="s">
        <v>367</v>
      </c>
      <c r="C171" s="421"/>
      <c r="D171" s="42">
        <v>0</v>
      </c>
      <c r="E171" s="6"/>
      <c r="F171" s="43"/>
      <c r="G171" s="6"/>
      <c r="H171" s="42"/>
      <c r="I171" s="42"/>
      <c r="J171" s="42"/>
      <c r="K171" s="284"/>
      <c r="L171" s="285"/>
      <c r="M171" s="286"/>
      <c r="N171" s="5"/>
      <c r="O171" s="43"/>
      <c r="P171" s="47"/>
      <c r="Q171" s="6">
        <v>0</v>
      </c>
      <c r="R171" s="6"/>
      <c r="S171" s="100">
        <v>0</v>
      </c>
    </row>
    <row r="172" spans="1:19" ht="32.25" customHeight="1">
      <c r="A172" s="337"/>
      <c r="B172" s="420" t="s">
        <v>382</v>
      </c>
      <c r="C172" s="421"/>
      <c r="D172" s="42">
        <v>0</v>
      </c>
      <c r="E172" s="6"/>
      <c r="F172" s="43"/>
      <c r="G172" s="6"/>
      <c r="H172" s="42"/>
      <c r="I172" s="42"/>
      <c r="J172" s="42"/>
      <c r="K172" s="284"/>
      <c r="L172" s="285"/>
      <c r="M172" s="286"/>
      <c r="N172" s="5"/>
      <c r="O172" s="43"/>
      <c r="P172" s="47"/>
      <c r="Q172" s="6">
        <v>0</v>
      </c>
      <c r="R172" s="6"/>
      <c r="S172" s="100">
        <v>0</v>
      </c>
    </row>
    <row r="173" spans="1:19" ht="32.25" customHeight="1">
      <c r="A173" s="337">
        <v>10</v>
      </c>
      <c r="B173" s="420" t="s">
        <v>383</v>
      </c>
      <c r="C173" s="421"/>
      <c r="D173" s="42">
        <v>0</v>
      </c>
      <c r="E173" s="6"/>
      <c r="F173" s="43"/>
      <c r="G173" s="6"/>
      <c r="H173" s="42"/>
      <c r="I173" s="42"/>
      <c r="J173" s="42"/>
      <c r="K173" s="284"/>
      <c r="L173" s="285"/>
      <c r="M173" s="286"/>
      <c r="N173" s="5"/>
      <c r="O173" s="43"/>
      <c r="P173" s="47"/>
      <c r="Q173" s="6">
        <v>0</v>
      </c>
      <c r="R173" s="6"/>
      <c r="S173" s="100">
        <v>0</v>
      </c>
    </row>
    <row r="174" spans="1:19" ht="32.25" customHeight="1">
      <c r="A174" s="337"/>
      <c r="B174" s="420" t="s">
        <v>367</v>
      </c>
      <c r="C174" s="421"/>
      <c r="D174" s="42">
        <v>0</v>
      </c>
      <c r="E174" s="6"/>
      <c r="F174" s="43"/>
      <c r="G174" s="6"/>
      <c r="H174" s="42"/>
      <c r="I174" s="42"/>
      <c r="J174" s="42"/>
      <c r="K174" s="284"/>
      <c r="L174" s="285"/>
      <c r="M174" s="286"/>
      <c r="N174" s="5"/>
      <c r="O174" s="43"/>
      <c r="P174" s="47"/>
      <c r="Q174" s="6">
        <v>0</v>
      </c>
      <c r="R174" s="6"/>
      <c r="S174" s="100">
        <v>0</v>
      </c>
    </row>
    <row r="175" spans="1:19" ht="32.25" customHeight="1">
      <c r="A175" s="337"/>
      <c r="B175" s="420" t="s">
        <v>385</v>
      </c>
      <c r="C175" s="421"/>
      <c r="D175" s="42">
        <v>0</v>
      </c>
      <c r="E175" s="6"/>
      <c r="F175" s="43"/>
      <c r="G175" s="6"/>
      <c r="H175" s="42"/>
      <c r="I175" s="42"/>
      <c r="J175" s="42"/>
      <c r="K175" s="284"/>
      <c r="L175" s="285"/>
      <c r="M175" s="286"/>
      <c r="N175" s="5"/>
      <c r="O175" s="43"/>
      <c r="P175" s="47"/>
      <c r="Q175" s="6">
        <v>0</v>
      </c>
      <c r="R175" s="6"/>
      <c r="S175" s="100">
        <v>0</v>
      </c>
    </row>
    <row r="176" spans="1:19" ht="32.25" customHeight="1">
      <c r="A176" s="337">
        <v>11</v>
      </c>
      <c r="B176" s="420" t="s">
        <v>386</v>
      </c>
      <c r="C176" s="421"/>
      <c r="D176" s="42">
        <v>0</v>
      </c>
      <c r="E176" s="6"/>
      <c r="F176" s="43"/>
      <c r="G176" s="6"/>
      <c r="H176" s="42"/>
      <c r="I176" s="42"/>
      <c r="J176" s="42"/>
      <c r="K176" s="284"/>
      <c r="L176" s="285"/>
      <c r="M176" s="286"/>
      <c r="N176" s="5"/>
      <c r="O176" s="43"/>
      <c r="P176" s="47"/>
      <c r="Q176" s="6">
        <v>0</v>
      </c>
      <c r="R176" s="6"/>
      <c r="S176" s="100">
        <v>0</v>
      </c>
    </row>
    <row r="177" spans="1:19" ht="32.25" customHeight="1">
      <c r="A177" s="337"/>
      <c r="B177" s="420" t="s">
        <v>367</v>
      </c>
      <c r="C177" s="421"/>
      <c r="D177" s="42">
        <v>0</v>
      </c>
      <c r="E177" s="6"/>
      <c r="F177" s="43"/>
      <c r="G177" s="6"/>
      <c r="H177" s="42"/>
      <c r="I177" s="42"/>
      <c r="J177" s="42"/>
      <c r="K177" s="284"/>
      <c r="L177" s="285"/>
      <c r="M177" s="286"/>
      <c r="N177" s="5"/>
      <c r="O177" s="43"/>
      <c r="P177" s="47"/>
      <c r="Q177" s="6">
        <v>0</v>
      </c>
      <c r="R177" s="6"/>
      <c r="S177" s="100">
        <v>0</v>
      </c>
    </row>
    <row r="178" spans="1:19" ht="32.25" customHeight="1" thickBot="1">
      <c r="A178" s="39"/>
      <c r="B178" s="50" t="s">
        <v>19</v>
      </c>
      <c r="C178" s="50"/>
      <c r="D178" s="51">
        <v>0</v>
      </c>
      <c r="E178" s="52"/>
      <c r="F178" s="53"/>
      <c r="G178" s="52"/>
      <c r="H178" s="51">
        <f>SUM(H148:H177)</f>
        <v>0</v>
      </c>
      <c r="I178" s="51">
        <f t="shared" ref="I178:M178" si="6">SUM(I148:I177)</f>
        <v>0</v>
      </c>
      <c r="J178" s="51">
        <f t="shared" si="6"/>
        <v>0</v>
      </c>
      <c r="K178" s="51">
        <f t="shared" si="6"/>
        <v>0</v>
      </c>
      <c r="L178" s="51">
        <f t="shared" si="6"/>
        <v>0</v>
      </c>
      <c r="M178" s="51">
        <f t="shared" si="6"/>
        <v>0</v>
      </c>
      <c r="N178" s="57"/>
      <c r="O178" s="53"/>
      <c r="P178" s="51"/>
      <c r="Q178" s="51">
        <v>0</v>
      </c>
      <c r="R178" s="51"/>
      <c r="S178" s="51">
        <v>0</v>
      </c>
    </row>
    <row r="179" spans="1:19" ht="32.25" customHeight="1" thickTop="1">
      <c r="A179" s="39"/>
      <c r="B179" s="58" t="s">
        <v>207</v>
      </c>
      <c r="C179" s="59"/>
      <c r="D179" s="60"/>
      <c r="E179" s="61"/>
      <c r="F179" s="62"/>
      <c r="G179" s="63"/>
      <c r="H179" s="64"/>
      <c r="I179" s="64"/>
      <c r="J179" s="64"/>
      <c r="K179" s="65"/>
      <c r="L179" s="66"/>
      <c r="M179" s="67"/>
      <c r="N179" s="68"/>
      <c r="O179" s="62"/>
      <c r="P179" s="69"/>
      <c r="Q179" s="63"/>
      <c r="R179" s="63"/>
      <c r="S179" s="70"/>
    </row>
    <row r="180" spans="1:19" ht="32.25" customHeight="1">
      <c r="A180" s="39">
        <v>1</v>
      </c>
      <c r="B180" s="40" t="s">
        <v>69</v>
      </c>
      <c r="C180" s="41" t="s">
        <v>208</v>
      </c>
      <c r="D180" s="42">
        <v>100</v>
      </c>
      <c r="E180" s="6"/>
      <c r="F180" s="43"/>
      <c r="G180" s="6"/>
      <c r="H180" s="42"/>
      <c r="I180" s="42"/>
      <c r="J180" s="42"/>
      <c r="K180" s="343" t="s">
        <v>407</v>
      </c>
      <c r="L180" s="344" t="s">
        <v>454</v>
      </c>
      <c r="M180" s="345">
        <v>100</v>
      </c>
      <c r="N180" s="5"/>
      <c r="O180" s="43"/>
      <c r="P180" s="47"/>
      <c r="Q180" s="48"/>
      <c r="R180" s="48"/>
      <c r="S180" s="49"/>
    </row>
    <row r="181" spans="1:19" ht="32.25" customHeight="1" thickBot="1">
      <c r="A181" s="39"/>
      <c r="B181" s="50" t="s">
        <v>19</v>
      </c>
      <c r="C181" s="50"/>
      <c r="D181" s="51">
        <v>100</v>
      </c>
      <c r="E181" s="52"/>
      <c r="F181" s="53"/>
      <c r="G181" s="52"/>
      <c r="H181" s="51">
        <v>0</v>
      </c>
      <c r="I181" s="51">
        <v>0</v>
      </c>
      <c r="J181" s="51">
        <v>0</v>
      </c>
      <c r="K181" s="54"/>
      <c r="L181" s="55"/>
      <c r="M181" s="56">
        <f>SUM(M180)</f>
        <v>100</v>
      </c>
      <c r="N181" s="57"/>
      <c r="O181" s="53"/>
      <c r="P181" s="51"/>
      <c r="Q181" s="51"/>
      <c r="R181" s="51"/>
      <c r="S181" s="51"/>
    </row>
    <row r="182" spans="1:19" ht="32.25" customHeight="1" thickTop="1">
      <c r="A182" s="39"/>
      <c r="B182" s="141" t="s">
        <v>210</v>
      </c>
      <c r="C182" s="142"/>
      <c r="D182" s="125"/>
      <c r="E182" s="131"/>
      <c r="F182" s="115"/>
      <c r="G182" s="33"/>
      <c r="H182" s="143"/>
      <c r="I182" s="143"/>
      <c r="J182" s="143"/>
      <c r="K182" s="34"/>
      <c r="L182" s="35"/>
      <c r="M182" s="36"/>
      <c r="N182" s="114"/>
      <c r="O182" s="115"/>
      <c r="P182" s="144"/>
      <c r="Q182" s="33"/>
      <c r="R182" s="33"/>
      <c r="S182" s="145"/>
    </row>
    <row r="183" spans="1:19" s="160" customFormat="1" ht="32.25" customHeight="1">
      <c r="A183" s="106">
        <v>1</v>
      </c>
      <c r="B183" s="142" t="s">
        <v>52</v>
      </c>
      <c r="C183" s="174" t="s">
        <v>211</v>
      </c>
      <c r="D183" s="151">
        <v>518</v>
      </c>
      <c r="E183" s="152" t="s">
        <v>57</v>
      </c>
      <c r="F183" s="346"/>
      <c r="G183" s="346"/>
      <c r="H183" s="153">
        <v>-259</v>
      </c>
      <c r="I183" s="346"/>
      <c r="J183" s="226">
        <v>-259</v>
      </c>
      <c r="K183" s="343" t="s">
        <v>421</v>
      </c>
      <c r="L183" s="277" t="s">
        <v>455</v>
      </c>
      <c r="M183" s="278">
        <v>518</v>
      </c>
      <c r="N183" s="347" t="s">
        <v>57</v>
      </c>
      <c r="O183" s="348"/>
      <c r="P183" s="280"/>
      <c r="Q183" s="153">
        <f>SUM(D183+J183-M183)</f>
        <v>-259</v>
      </c>
      <c r="R183" s="153"/>
      <c r="S183" s="159">
        <f>SUM(Q183)</f>
        <v>-259</v>
      </c>
    </row>
    <row r="184" spans="1:19" s="160" customFormat="1" ht="32.25" customHeight="1">
      <c r="A184" s="106">
        <v>2</v>
      </c>
      <c r="B184" s="161" t="s">
        <v>213</v>
      </c>
      <c r="C184" s="349" t="s">
        <v>214</v>
      </c>
      <c r="D184" s="151">
        <v>0</v>
      </c>
      <c r="E184" s="163"/>
      <c r="F184" s="122"/>
      <c r="G184" s="122"/>
      <c r="H184" s="91">
        <v>0</v>
      </c>
      <c r="I184" s="122"/>
      <c r="J184" s="132">
        <v>0</v>
      </c>
      <c r="K184" s="343"/>
      <c r="L184" s="350"/>
      <c r="M184" s="351"/>
      <c r="N184" s="352"/>
      <c r="O184" s="348"/>
      <c r="P184" s="280"/>
      <c r="Q184" s="153">
        <f t="shared" ref="Q184:Q226" si="7">SUM(D184+J184-M184)</f>
        <v>0</v>
      </c>
      <c r="R184" s="153"/>
      <c r="S184" s="159">
        <f t="shared" ref="S184:S226" si="8">SUM(Q184)</f>
        <v>0</v>
      </c>
    </row>
    <row r="185" spans="1:19" s="160" customFormat="1" ht="32.25" customHeight="1">
      <c r="A185" s="106">
        <v>3</v>
      </c>
      <c r="B185" s="142" t="s">
        <v>60</v>
      </c>
      <c r="C185" s="174" t="s">
        <v>215</v>
      </c>
      <c r="D185" s="151">
        <v>259</v>
      </c>
      <c r="E185" s="163"/>
      <c r="F185" s="122"/>
      <c r="G185" s="122"/>
      <c r="H185" s="91">
        <v>0</v>
      </c>
      <c r="I185" s="122"/>
      <c r="J185" s="132">
        <v>0</v>
      </c>
      <c r="K185" s="343" t="s">
        <v>421</v>
      </c>
      <c r="L185" s="277" t="s">
        <v>456</v>
      </c>
      <c r="M185" s="278">
        <v>259</v>
      </c>
      <c r="N185" s="352"/>
      <c r="O185" s="348"/>
      <c r="P185" s="280"/>
      <c r="Q185" s="153">
        <f t="shared" si="7"/>
        <v>0</v>
      </c>
      <c r="R185" s="153"/>
      <c r="S185" s="159">
        <f t="shared" si="8"/>
        <v>0</v>
      </c>
    </row>
    <row r="186" spans="1:19" s="160" customFormat="1" ht="32.25" customHeight="1">
      <c r="A186" s="106">
        <v>4</v>
      </c>
      <c r="B186" s="142" t="s">
        <v>27</v>
      </c>
      <c r="C186" s="174" t="s">
        <v>217</v>
      </c>
      <c r="D186" s="151">
        <v>259</v>
      </c>
      <c r="E186" s="163"/>
      <c r="F186" s="122"/>
      <c r="G186" s="122"/>
      <c r="H186" s="91">
        <v>0</v>
      </c>
      <c r="I186" s="122"/>
      <c r="J186" s="132">
        <v>0</v>
      </c>
      <c r="K186" s="343" t="s">
        <v>424</v>
      </c>
      <c r="L186" s="277" t="s">
        <v>457</v>
      </c>
      <c r="M186" s="278">
        <v>259</v>
      </c>
      <c r="N186" s="352"/>
      <c r="O186" s="348"/>
      <c r="P186" s="280"/>
      <c r="Q186" s="153">
        <f t="shared" si="7"/>
        <v>0</v>
      </c>
      <c r="R186" s="153"/>
      <c r="S186" s="159">
        <f t="shared" si="8"/>
        <v>0</v>
      </c>
    </row>
    <row r="187" spans="1:19" s="160" customFormat="1" ht="32.25" customHeight="1">
      <c r="A187" s="106">
        <v>5</v>
      </c>
      <c r="B187" s="168" t="s">
        <v>42</v>
      </c>
      <c r="C187" s="174" t="s">
        <v>219</v>
      </c>
      <c r="D187" s="125">
        <v>259</v>
      </c>
      <c r="E187" s="163"/>
      <c r="F187" s="122"/>
      <c r="G187" s="122"/>
      <c r="H187" s="91">
        <v>0</v>
      </c>
      <c r="I187" s="122"/>
      <c r="J187" s="132">
        <v>0</v>
      </c>
      <c r="K187" s="343" t="s">
        <v>426</v>
      </c>
      <c r="L187" s="277" t="s">
        <v>458</v>
      </c>
      <c r="M187" s="278">
        <v>259</v>
      </c>
      <c r="N187" s="352"/>
      <c r="O187" s="348"/>
      <c r="P187" s="280"/>
      <c r="Q187" s="153">
        <f t="shared" si="7"/>
        <v>0</v>
      </c>
      <c r="R187" s="153"/>
      <c r="S187" s="159">
        <f t="shared" si="8"/>
        <v>0</v>
      </c>
    </row>
    <row r="188" spans="1:19" s="160" customFormat="1" ht="32.25" customHeight="1">
      <c r="A188" s="106">
        <v>6</v>
      </c>
      <c r="B188" s="142" t="s">
        <v>69</v>
      </c>
      <c r="C188" s="174" t="s">
        <v>221</v>
      </c>
      <c r="D188" s="151">
        <v>259</v>
      </c>
      <c r="E188" s="163" t="s">
        <v>125</v>
      </c>
      <c r="F188" s="122">
        <v>1</v>
      </c>
      <c r="G188" s="122" t="s">
        <v>72</v>
      </c>
      <c r="H188" s="91">
        <v>259</v>
      </c>
      <c r="I188" s="122"/>
      <c r="J188" s="132">
        <v>259</v>
      </c>
      <c r="K188" s="343" t="s">
        <v>428</v>
      </c>
      <c r="L188" s="277" t="s">
        <v>459</v>
      </c>
      <c r="M188" s="278">
        <v>518</v>
      </c>
      <c r="N188" s="353"/>
      <c r="O188" s="348"/>
      <c r="P188" s="280"/>
      <c r="Q188" s="91">
        <f t="shared" si="7"/>
        <v>0</v>
      </c>
      <c r="R188" s="91"/>
      <c r="S188" s="77">
        <f t="shared" si="8"/>
        <v>0</v>
      </c>
    </row>
    <row r="189" spans="1:19" ht="32.25" customHeight="1">
      <c r="A189" s="106">
        <v>7</v>
      </c>
      <c r="B189" s="146" t="s">
        <v>75</v>
      </c>
      <c r="C189" s="173" t="s">
        <v>223</v>
      </c>
      <c r="D189" s="151"/>
      <c r="E189" s="163"/>
      <c r="F189" s="115"/>
      <c r="G189" s="115"/>
      <c r="H189" s="131">
        <v>0</v>
      </c>
      <c r="I189" s="115"/>
      <c r="J189" s="132">
        <v>0</v>
      </c>
      <c r="K189" s="356"/>
      <c r="L189" s="350"/>
      <c r="M189" s="351"/>
      <c r="N189" s="352"/>
      <c r="O189" s="348"/>
      <c r="P189" s="280"/>
      <c r="Q189" s="153">
        <f t="shared" si="7"/>
        <v>0</v>
      </c>
      <c r="R189" s="153"/>
      <c r="S189" s="159">
        <f t="shared" si="8"/>
        <v>0</v>
      </c>
    </row>
    <row r="190" spans="1:19" s="160" customFormat="1" ht="32.25" customHeight="1">
      <c r="A190" s="106">
        <v>8</v>
      </c>
      <c r="B190" s="142" t="s">
        <v>77</v>
      </c>
      <c r="C190" s="174" t="s">
        <v>224</v>
      </c>
      <c r="D190" s="151">
        <v>259</v>
      </c>
      <c r="E190" s="163"/>
      <c r="F190" s="122"/>
      <c r="G190" s="122"/>
      <c r="H190" s="91">
        <v>0</v>
      </c>
      <c r="I190" s="122"/>
      <c r="J190" s="132">
        <v>0</v>
      </c>
      <c r="K190" s="343" t="s">
        <v>430</v>
      </c>
      <c r="L190" s="277" t="s">
        <v>460</v>
      </c>
      <c r="M190" s="278">
        <v>259</v>
      </c>
      <c r="N190" s="352"/>
      <c r="O190" s="348"/>
      <c r="P190" s="280"/>
      <c r="Q190" s="153">
        <f t="shared" si="7"/>
        <v>0</v>
      </c>
      <c r="R190" s="153"/>
      <c r="S190" s="159">
        <f t="shared" si="8"/>
        <v>0</v>
      </c>
    </row>
    <row r="191" spans="1:19" s="160" customFormat="1" ht="32.25" customHeight="1">
      <c r="A191" s="106">
        <v>9</v>
      </c>
      <c r="B191" s="142" t="s">
        <v>77</v>
      </c>
      <c r="C191" s="174" t="s">
        <v>226</v>
      </c>
      <c r="D191" s="151">
        <v>259</v>
      </c>
      <c r="E191" s="163"/>
      <c r="F191" s="122"/>
      <c r="G191" s="122"/>
      <c r="H191" s="91">
        <v>0</v>
      </c>
      <c r="I191" s="122"/>
      <c r="J191" s="132">
        <v>0</v>
      </c>
      <c r="K191" s="343" t="s">
        <v>430</v>
      </c>
      <c r="L191" s="277" t="s">
        <v>460</v>
      </c>
      <c r="M191" s="278">
        <v>259</v>
      </c>
      <c r="N191" s="352"/>
      <c r="O191" s="348"/>
      <c r="P191" s="280"/>
      <c r="Q191" s="153">
        <f t="shared" si="7"/>
        <v>0</v>
      </c>
      <c r="R191" s="153"/>
      <c r="S191" s="159">
        <f t="shared" si="8"/>
        <v>0</v>
      </c>
    </row>
    <row r="192" spans="1:19" ht="32.25" customHeight="1">
      <c r="A192" s="106">
        <v>10</v>
      </c>
      <c r="B192" s="146" t="s">
        <v>75</v>
      </c>
      <c r="C192" s="173" t="s">
        <v>227</v>
      </c>
      <c r="D192" s="151"/>
      <c r="E192" s="163"/>
      <c r="F192" s="115"/>
      <c r="G192" s="115"/>
      <c r="H192" s="131">
        <v>0</v>
      </c>
      <c r="I192" s="115"/>
      <c r="J192" s="132">
        <v>0</v>
      </c>
      <c r="K192" s="356"/>
      <c r="L192" s="350"/>
      <c r="M192" s="351"/>
      <c r="N192" s="352"/>
      <c r="O192" s="348"/>
      <c r="P192" s="280"/>
      <c r="Q192" s="153">
        <f t="shared" si="7"/>
        <v>0</v>
      </c>
      <c r="R192" s="153"/>
      <c r="S192" s="159">
        <f t="shared" si="8"/>
        <v>0</v>
      </c>
    </row>
    <row r="193" spans="1:19" s="160" customFormat="1" ht="32.25" customHeight="1">
      <c r="A193" s="106">
        <v>11</v>
      </c>
      <c r="B193" s="142" t="s">
        <v>83</v>
      </c>
      <c r="C193" s="174" t="s">
        <v>228</v>
      </c>
      <c r="D193" s="151">
        <v>259</v>
      </c>
      <c r="E193" s="163"/>
      <c r="F193" s="122"/>
      <c r="G193" s="122"/>
      <c r="H193" s="91">
        <v>0</v>
      </c>
      <c r="I193" s="122"/>
      <c r="J193" s="132">
        <v>0</v>
      </c>
      <c r="K193" s="343" t="s">
        <v>432</v>
      </c>
      <c r="L193" s="277" t="s">
        <v>461</v>
      </c>
      <c r="M193" s="278">
        <v>259</v>
      </c>
      <c r="N193" s="352"/>
      <c r="O193" s="348"/>
      <c r="P193" s="280"/>
      <c r="Q193" s="153">
        <f t="shared" si="7"/>
        <v>0</v>
      </c>
      <c r="R193" s="153"/>
      <c r="S193" s="159">
        <f t="shared" si="8"/>
        <v>0</v>
      </c>
    </row>
    <row r="194" spans="1:19" s="160" customFormat="1" ht="32.25" customHeight="1">
      <c r="A194" s="106">
        <v>12</v>
      </c>
      <c r="B194" s="142" t="s">
        <v>87</v>
      </c>
      <c r="C194" s="174" t="s">
        <v>230</v>
      </c>
      <c r="D194" s="151">
        <v>259</v>
      </c>
      <c r="E194" s="163"/>
      <c r="F194" s="122"/>
      <c r="G194" s="122"/>
      <c r="H194" s="91">
        <v>0</v>
      </c>
      <c r="I194" s="122"/>
      <c r="J194" s="132">
        <v>0</v>
      </c>
      <c r="K194" s="343" t="s">
        <v>395</v>
      </c>
      <c r="L194" s="277" t="s">
        <v>462</v>
      </c>
      <c r="M194" s="278">
        <v>259</v>
      </c>
      <c r="N194" s="352"/>
      <c r="O194" s="348"/>
      <c r="P194" s="280"/>
      <c r="Q194" s="153">
        <f t="shared" si="7"/>
        <v>0</v>
      </c>
      <c r="R194" s="153"/>
      <c r="S194" s="159">
        <f t="shared" si="8"/>
        <v>0</v>
      </c>
    </row>
    <row r="195" spans="1:19" ht="32.25" customHeight="1">
      <c r="A195" s="357">
        <v>13</v>
      </c>
      <c r="B195" s="146" t="s">
        <v>75</v>
      </c>
      <c r="C195" s="173" t="s">
        <v>232</v>
      </c>
      <c r="D195" s="151"/>
      <c r="E195" s="163"/>
      <c r="F195" s="115"/>
      <c r="G195" s="115"/>
      <c r="H195" s="131">
        <v>0</v>
      </c>
      <c r="I195" s="115"/>
      <c r="J195" s="132">
        <v>0</v>
      </c>
      <c r="K195" s="358"/>
      <c r="L195" s="359"/>
      <c r="M195" s="360"/>
      <c r="N195" s="361"/>
      <c r="O195" s="362"/>
      <c r="P195" s="122"/>
      <c r="Q195" s="153">
        <f t="shared" si="7"/>
        <v>0</v>
      </c>
      <c r="R195" s="153"/>
      <c r="S195" s="159">
        <f t="shared" si="8"/>
        <v>0</v>
      </c>
    </row>
    <row r="196" spans="1:19" ht="32.25" customHeight="1">
      <c r="A196" s="106">
        <v>14</v>
      </c>
      <c r="B196" s="142" t="s">
        <v>92</v>
      </c>
      <c r="C196" s="174" t="s">
        <v>233</v>
      </c>
      <c r="D196" s="151"/>
      <c r="E196" s="163"/>
      <c r="F196" s="115"/>
      <c r="G196" s="115"/>
      <c r="H196" s="131">
        <v>0</v>
      </c>
      <c r="I196" s="115"/>
      <c r="J196" s="132">
        <v>0</v>
      </c>
      <c r="K196" s="358"/>
      <c r="L196" s="359"/>
      <c r="M196" s="360"/>
      <c r="N196" s="361"/>
      <c r="O196" s="362"/>
      <c r="P196" s="122"/>
      <c r="Q196" s="153">
        <f t="shared" si="7"/>
        <v>0</v>
      </c>
      <c r="R196" s="153"/>
      <c r="S196" s="159">
        <f t="shared" si="8"/>
        <v>0</v>
      </c>
    </row>
    <row r="197" spans="1:19" ht="32.25" customHeight="1">
      <c r="A197" s="106">
        <v>15</v>
      </c>
      <c r="B197" s="146" t="s">
        <v>75</v>
      </c>
      <c r="C197" s="173" t="s">
        <v>234</v>
      </c>
      <c r="D197" s="151">
        <v>0</v>
      </c>
      <c r="E197" s="163"/>
      <c r="F197" s="115"/>
      <c r="G197" s="115"/>
      <c r="H197" s="131">
        <v>0</v>
      </c>
      <c r="I197" s="115"/>
      <c r="J197" s="132">
        <v>0</v>
      </c>
      <c r="K197" s="358"/>
      <c r="L197" s="359"/>
      <c r="M197" s="360"/>
      <c r="N197" s="361"/>
      <c r="O197" s="362"/>
      <c r="P197" s="122"/>
      <c r="Q197" s="153">
        <f t="shared" si="7"/>
        <v>0</v>
      </c>
      <c r="R197" s="153"/>
      <c r="S197" s="159">
        <f t="shared" si="8"/>
        <v>0</v>
      </c>
    </row>
    <row r="198" spans="1:19" s="160" customFormat="1" ht="32.25" customHeight="1">
      <c r="A198" s="106">
        <v>16</v>
      </c>
      <c r="B198" s="142" t="s">
        <v>95</v>
      </c>
      <c r="C198" s="174" t="s">
        <v>235</v>
      </c>
      <c r="D198" s="151">
        <v>0</v>
      </c>
      <c r="E198" s="163"/>
      <c r="F198" s="122"/>
      <c r="G198" s="122"/>
      <c r="H198" s="91">
        <v>0</v>
      </c>
      <c r="I198" s="122"/>
      <c r="J198" s="132">
        <v>0</v>
      </c>
      <c r="K198" s="363"/>
      <c r="L198" s="363"/>
      <c r="M198" s="364"/>
      <c r="N198" s="361"/>
      <c r="O198" s="362"/>
      <c r="P198" s="122"/>
      <c r="Q198" s="153">
        <f t="shared" si="7"/>
        <v>0</v>
      </c>
      <c r="R198" s="153"/>
      <c r="S198" s="159">
        <f t="shared" si="8"/>
        <v>0</v>
      </c>
    </row>
    <row r="199" spans="1:19" s="160" customFormat="1" ht="32.25" customHeight="1">
      <c r="A199" s="106">
        <v>17</v>
      </c>
      <c r="B199" s="365" t="s">
        <v>236</v>
      </c>
      <c r="C199" s="174" t="s">
        <v>237</v>
      </c>
      <c r="D199" s="151">
        <v>0</v>
      </c>
      <c r="E199" s="163"/>
      <c r="F199" s="122"/>
      <c r="G199" s="122"/>
      <c r="H199" s="91">
        <v>0</v>
      </c>
      <c r="I199" s="122"/>
      <c r="J199" s="132">
        <v>0</v>
      </c>
      <c r="K199" s="358"/>
      <c r="L199" s="359"/>
      <c r="M199" s="360"/>
      <c r="N199" s="361"/>
      <c r="O199" s="362"/>
      <c r="P199" s="122"/>
      <c r="Q199" s="153">
        <f t="shared" si="7"/>
        <v>0</v>
      </c>
      <c r="R199" s="153"/>
      <c r="S199" s="159">
        <f t="shared" si="8"/>
        <v>0</v>
      </c>
    </row>
    <row r="200" spans="1:19" s="160" customFormat="1" ht="32.25" customHeight="1">
      <c r="A200" s="106">
        <v>18</v>
      </c>
      <c r="B200" s="142" t="s">
        <v>99</v>
      </c>
      <c r="C200" s="174" t="s">
        <v>238</v>
      </c>
      <c r="D200" s="151">
        <v>6750</v>
      </c>
      <c r="E200" s="163"/>
      <c r="F200" s="122"/>
      <c r="G200" s="122"/>
      <c r="H200" s="91">
        <v>0</v>
      </c>
      <c r="I200" s="122"/>
      <c r="J200" s="132">
        <v>0</v>
      </c>
      <c r="K200" s="343" t="s">
        <v>424</v>
      </c>
      <c r="L200" s="277" t="s">
        <v>463</v>
      </c>
      <c r="M200" s="278">
        <v>6750</v>
      </c>
      <c r="N200" s="361"/>
      <c r="O200" s="362"/>
      <c r="P200" s="122"/>
      <c r="Q200" s="153">
        <f t="shared" si="7"/>
        <v>0</v>
      </c>
      <c r="R200" s="153"/>
      <c r="S200" s="159">
        <f t="shared" si="8"/>
        <v>0</v>
      </c>
    </row>
    <row r="201" spans="1:19" s="160" customFormat="1" ht="32.25" customHeight="1">
      <c r="A201" s="106">
        <v>19</v>
      </c>
      <c r="B201" s="142" t="s">
        <v>141</v>
      </c>
      <c r="C201" s="193" t="s">
        <v>240</v>
      </c>
      <c r="D201" s="125">
        <v>114.5</v>
      </c>
      <c r="E201" s="152"/>
      <c r="F201" s="212"/>
      <c r="G201" s="213"/>
      <c r="H201" s="153">
        <v>0</v>
      </c>
      <c r="I201" s="125"/>
      <c r="J201" s="132">
        <v>0</v>
      </c>
      <c r="K201" s="363"/>
      <c r="L201" s="366"/>
      <c r="M201" s="367"/>
      <c r="N201" s="368" t="s">
        <v>442</v>
      </c>
      <c r="O201" s="362">
        <v>1</v>
      </c>
      <c r="P201" s="221" t="s">
        <v>72</v>
      </c>
      <c r="Q201" s="153">
        <f t="shared" si="7"/>
        <v>114.5</v>
      </c>
      <c r="R201" s="153"/>
      <c r="S201" s="159">
        <f t="shared" si="8"/>
        <v>114.5</v>
      </c>
    </row>
    <row r="202" spans="1:19" s="160" customFormat="1" ht="32.25" customHeight="1">
      <c r="A202" s="106"/>
      <c r="B202" s="222" t="s">
        <v>241</v>
      </c>
      <c r="C202" s="193"/>
      <c r="D202" s="92"/>
      <c r="E202" s="239"/>
      <c r="F202" s="122"/>
      <c r="G202" s="217"/>
      <c r="H202" s="91">
        <v>0</v>
      </c>
      <c r="I202" s="92"/>
      <c r="J202" s="132">
        <v>0</v>
      </c>
      <c r="K202" s="363"/>
      <c r="L202" s="366"/>
      <c r="M202" s="367"/>
      <c r="N202" s="361"/>
      <c r="O202" s="362"/>
      <c r="P202" s="221"/>
      <c r="Q202" s="153">
        <f t="shared" si="7"/>
        <v>0</v>
      </c>
      <c r="R202" s="153"/>
      <c r="S202" s="159">
        <f t="shared" si="8"/>
        <v>0</v>
      </c>
    </row>
    <row r="203" spans="1:19" s="160" customFormat="1" ht="32.25" customHeight="1">
      <c r="A203" s="106"/>
      <c r="B203" s="222" t="s">
        <v>242</v>
      </c>
      <c r="C203" s="193"/>
      <c r="D203" s="92"/>
      <c r="E203" s="239"/>
      <c r="F203" s="122"/>
      <c r="G203" s="217"/>
      <c r="H203" s="91">
        <v>0</v>
      </c>
      <c r="I203" s="92"/>
      <c r="J203" s="132">
        <v>0</v>
      </c>
      <c r="K203" s="363"/>
      <c r="L203" s="366"/>
      <c r="M203" s="367"/>
      <c r="N203" s="361"/>
      <c r="O203" s="362"/>
      <c r="P203" s="221"/>
      <c r="Q203" s="153">
        <f t="shared" si="7"/>
        <v>0</v>
      </c>
      <c r="R203" s="153"/>
      <c r="S203" s="159">
        <f t="shared" si="8"/>
        <v>0</v>
      </c>
    </row>
    <row r="204" spans="1:19" ht="32.25" customHeight="1">
      <c r="A204" s="106">
        <v>20</v>
      </c>
      <c r="B204" s="222" t="s">
        <v>52</v>
      </c>
      <c r="C204" s="193" t="s">
        <v>243</v>
      </c>
      <c r="D204" s="92">
        <v>11.5</v>
      </c>
      <c r="E204" s="369"/>
      <c r="F204" s="346"/>
      <c r="G204" s="213"/>
      <c r="H204" s="153">
        <v>0</v>
      </c>
      <c r="I204" s="370"/>
      <c r="J204" s="226">
        <v>0</v>
      </c>
      <c r="K204" s="358"/>
      <c r="L204" s="359"/>
      <c r="M204" s="371"/>
      <c r="N204" s="368" t="s">
        <v>442</v>
      </c>
      <c r="O204" s="362">
        <v>1</v>
      </c>
      <c r="P204" s="221" t="s">
        <v>72</v>
      </c>
      <c r="Q204" s="153">
        <f t="shared" si="7"/>
        <v>11.5</v>
      </c>
      <c r="R204" s="153"/>
      <c r="S204" s="159">
        <f t="shared" si="8"/>
        <v>11.5</v>
      </c>
    </row>
    <row r="205" spans="1:19" ht="32.25" customHeight="1">
      <c r="A205" s="116"/>
      <c r="B205" s="222" t="s">
        <v>244</v>
      </c>
      <c r="C205" s="193"/>
      <c r="D205" s="92"/>
      <c r="E205" s="239"/>
      <c r="F205" s="122"/>
      <c r="G205" s="217"/>
      <c r="H205" s="91">
        <v>0</v>
      </c>
      <c r="I205" s="92"/>
      <c r="J205" s="132">
        <v>0</v>
      </c>
      <c r="K205" s="358"/>
      <c r="L205" s="359"/>
      <c r="M205" s="371"/>
      <c r="N205" s="361"/>
      <c r="O205" s="362"/>
      <c r="P205" s="221"/>
      <c r="Q205" s="153">
        <f t="shared" si="7"/>
        <v>0</v>
      </c>
      <c r="R205" s="153"/>
      <c r="S205" s="159">
        <f t="shared" si="8"/>
        <v>0</v>
      </c>
    </row>
    <row r="206" spans="1:19" ht="32.25" customHeight="1">
      <c r="A206" s="116"/>
      <c r="B206" s="222" t="s">
        <v>245</v>
      </c>
      <c r="C206" s="193"/>
      <c r="D206" s="92"/>
      <c r="E206" s="239"/>
      <c r="F206" s="122"/>
      <c r="G206" s="91"/>
      <c r="H206" s="91">
        <v>0</v>
      </c>
      <c r="I206" s="92"/>
      <c r="J206" s="132">
        <v>0</v>
      </c>
      <c r="K206" s="372"/>
      <c r="L206" s="359"/>
      <c r="M206" s="371"/>
      <c r="N206" s="361"/>
      <c r="O206" s="362"/>
      <c r="P206" s="92"/>
      <c r="Q206" s="153">
        <f t="shared" si="7"/>
        <v>0</v>
      </c>
      <c r="R206" s="153"/>
      <c r="S206" s="159">
        <f t="shared" si="8"/>
        <v>0</v>
      </c>
    </row>
    <row r="207" spans="1:19" ht="32.25" customHeight="1">
      <c r="A207" s="106">
        <v>21</v>
      </c>
      <c r="B207" s="222" t="s">
        <v>152</v>
      </c>
      <c r="C207" s="193" t="s">
        <v>246</v>
      </c>
      <c r="D207" s="125">
        <v>70.42</v>
      </c>
      <c r="E207" s="163" t="s">
        <v>57</v>
      </c>
      <c r="F207" s="115"/>
      <c r="G207" s="91"/>
      <c r="H207" s="91">
        <v>-492.90000000000015</v>
      </c>
      <c r="I207" s="125"/>
      <c r="J207" s="132">
        <v>-492.90000000000015</v>
      </c>
      <c r="K207" s="372"/>
      <c r="L207" s="373"/>
      <c r="M207" s="371"/>
      <c r="N207" s="374" t="s">
        <v>57</v>
      </c>
      <c r="O207" s="362"/>
      <c r="P207" s="92"/>
      <c r="Q207" s="153">
        <f t="shared" si="7"/>
        <v>-422.48000000000013</v>
      </c>
      <c r="R207" s="91"/>
      <c r="S207" s="159">
        <f t="shared" si="8"/>
        <v>-422.48000000000013</v>
      </c>
    </row>
    <row r="208" spans="1:19" ht="32.25" customHeight="1">
      <c r="A208" s="106"/>
      <c r="B208" s="664" t="s">
        <v>247</v>
      </c>
      <c r="C208" s="665"/>
      <c r="D208" s="92"/>
      <c r="E208" s="239"/>
      <c r="F208" s="122"/>
      <c r="G208" s="91"/>
      <c r="H208" s="91">
        <v>0</v>
      </c>
      <c r="I208" s="92"/>
      <c r="J208" s="132">
        <v>0</v>
      </c>
      <c r="K208" s="359"/>
      <c r="L208" s="358"/>
      <c r="M208" s="371"/>
      <c r="N208" s="361"/>
      <c r="O208" s="362"/>
      <c r="P208" s="92"/>
      <c r="Q208" s="153">
        <f t="shared" si="7"/>
        <v>0</v>
      </c>
      <c r="R208" s="91"/>
      <c r="S208" s="159">
        <f t="shared" si="8"/>
        <v>0</v>
      </c>
    </row>
    <row r="209" spans="1:19" ht="32.25" customHeight="1">
      <c r="A209" s="106"/>
      <c r="B209" s="652" t="s">
        <v>248</v>
      </c>
      <c r="C209" s="654"/>
      <c r="D209" s="92"/>
      <c r="E209" s="239"/>
      <c r="F209" s="122"/>
      <c r="G209" s="91"/>
      <c r="H209" s="91">
        <v>0</v>
      </c>
      <c r="I209" s="92"/>
      <c r="J209" s="132">
        <v>0</v>
      </c>
      <c r="K209" s="359"/>
      <c r="L209" s="358"/>
      <c r="M209" s="371"/>
      <c r="N209" s="361"/>
      <c r="O209" s="362"/>
      <c r="P209" s="92"/>
      <c r="Q209" s="153">
        <f t="shared" si="7"/>
        <v>0</v>
      </c>
      <c r="R209" s="91"/>
      <c r="S209" s="159">
        <f t="shared" si="8"/>
        <v>0</v>
      </c>
    </row>
    <row r="210" spans="1:19" ht="32.25" customHeight="1">
      <c r="A210" s="106"/>
      <c r="B210" s="375" t="s">
        <v>249</v>
      </c>
      <c r="C210" s="376"/>
      <c r="D210" s="377"/>
      <c r="E210" s="378"/>
      <c r="F210" s="194"/>
      <c r="G210" s="195"/>
      <c r="H210" s="195">
        <v>0</v>
      </c>
      <c r="I210" s="377"/>
      <c r="J210" s="379">
        <v>0</v>
      </c>
      <c r="K210" s="359"/>
      <c r="L210" s="358"/>
      <c r="M210" s="371"/>
      <c r="N210" s="361"/>
      <c r="O210" s="362"/>
      <c r="P210" s="92"/>
      <c r="Q210" s="153">
        <f t="shared" si="7"/>
        <v>0</v>
      </c>
      <c r="R210" s="91"/>
      <c r="S210" s="159">
        <f t="shared" si="8"/>
        <v>0</v>
      </c>
    </row>
    <row r="211" spans="1:19" ht="32.25" customHeight="1">
      <c r="A211" s="106">
        <v>22</v>
      </c>
      <c r="B211" s="222" t="s">
        <v>130</v>
      </c>
      <c r="C211" s="193" t="s">
        <v>250</v>
      </c>
      <c r="D211" s="92">
        <v>0</v>
      </c>
      <c r="E211" s="239"/>
      <c r="F211" s="122"/>
      <c r="G211" s="91"/>
      <c r="H211" s="91">
        <v>0</v>
      </c>
      <c r="I211" s="92"/>
      <c r="J211" s="132">
        <v>0</v>
      </c>
      <c r="K211" s="380"/>
      <c r="L211" s="381"/>
      <c r="M211" s="382"/>
      <c r="N211" s="2"/>
      <c r="O211" s="362"/>
      <c r="P211" s="92"/>
      <c r="Q211" s="153">
        <f t="shared" si="7"/>
        <v>0</v>
      </c>
      <c r="R211" s="91"/>
      <c r="S211" s="159">
        <f t="shared" si="8"/>
        <v>0</v>
      </c>
    </row>
    <row r="212" spans="1:19" ht="32.25" customHeight="1">
      <c r="A212" s="116"/>
      <c r="B212" s="222" t="s">
        <v>251</v>
      </c>
      <c r="C212" s="193"/>
      <c r="D212" s="92"/>
      <c r="E212" s="239"/>
      <c r="F212" s="122"/>
      <c r="G212" s="91"/>
      <c r="H212" s="91">
        <v>0</v>
      </c>
      <c r="I212" s="92"/>
      <c r="J212" s="132">
        <v>0</v>
      </c>
      <c r="K212" s="372"/>
      <c r="L212" s="359"/>
      <c r="M212" s="371"/>
      <c r="N212" s="361"/>
      <c r="O212" s="362"/>
      <c r="P212" s="92"/>
      <c r="Q212" s="153">
        <f t="shared" si="7"/>
        <v>0</v>
      </c>
      <c r="R212" s="383"/>
      <c r="S212" s="159">
        <f t="shared" si="8"/>
        <v>0</v>
      </c>
    </row>
    <row r="213" spans="1:19" ht="32.25" customHeight="1">
      <c r="A213" s="116"/>
      <c r="B213" s="222" t="s">
        <v>253</v>
      </c>
      <c r="C213" s="193"/>
      <c r="D213" s="92"/>
      <c r="E213" s="239"/>
      <c r="F213" s="122"/>
      <c r="G213" s="91"/>
      <c r="H213" s="91">
        <v>0</v>
      </c>
      <c r="I213" s="92"/>
      <c r="J213" s="132">
        <v>0</v>
      </c>
      <c r="K213" s="372"/>
      <c r="L213" s="359"/>
      <c r="M213" s="371"/>
      <c r="N213" s="361"/>
      <c r="O213" s="362"/>
      <c r="P213" s="92"/>
      <c r="Q213" s="153">
        <f t="shared" si="7"/>
        <v>0</v>
      </c>
      <c r="R213" s="383"/>
      <c r="S213" s="159">
        <f t="shared" si="8"/>
        <v>0</v>
      </c>
    </row>
    <row r="214" spans="1:19" ht="32.25" customHeight="1">
      <c r="A214" s="116"/>
      <c r="B214" s="222" t="s">
        <v>255</v>
      </c>
      <c r="C214" s="193"/>
      <c r="D214" s="92">
        <v>25.83</v>
      </c>
      <c r="E214" s="239" t="s">
        <v>57</v>
      </c>
      <c r="F214" s="122"/>
      <c r="G214" s="91"/>
      <c r="H214" s="91">
        <v>-258.34000000000003</v>
      </c>
      <c r="I214" s="92"/>
      <c r="J214" s="132">
        <v>-258.34000000000003</v>
      </c>
      <c r="K214" s="372"/>
      <c r="L214" s="359"/>
      <c r="M214" s="371"/>
      <c r="N214" s="361" t="s">
        <v>57</v>
      </c>
      <c r="O214" s="362"/>
      <c r="P214" s="92"/>
      <c r="Q214" s="153">
        <f t="shared" si="7"/>
        <v>-232.51000000000005</v>
      </c>
      <c r="R214" s="383"/>
      <c r="S214" s="159">
        <f t="shared" si="8"/>
        <v>-232.51000000000005</v>
      </c>
    </row>
    <row r="215" spans="1:19" ht="32.25" customHeight="1">
      <c r="A215" s="116"/>
      <c r="B215" s="222" t="s">
        <v>257</v>
      </c>
      <c r="C215" s="193"/>
      <c r="D215" s="92"/>
      <c r="E215" s="239"/>
      <c r="F215" s="122"/>
      <c r="G215" s="91"/>
      <c r="H215" s="91">
        <v>0</v>
      </c>
      <c r="I215" s="92"/>
      <c r="J215" s="132">
        <v>0</v>
      </c>
      <c r="K215" s="372"/>
      <c r="L215" s="359"/>
      <c r="M215" s="371"/>
      <c r="N215" s="361"/>
      <c r="O215" s="362"/>
      <c r="P215" s="92"/>
      <c r="Q215" s="153">
        <f t="shared" si="7"/>
        <v>0</v>
      </c>
      <c r="R215" s="383"/>
      <c r="S215" s="159">
        <f t="shared" si="8"/>
        <v>0</v>
      </c>
    </row>
    <row r="216" spans="1:19" ht="32.25" customHeight="1">
      <c r="A216" s="116">
        <v>23</v>
      </c>
      <c r="B216" s="142" t="s">
        <v>145</v>
      </c>
      <c r="C216" s="193" t="s">
        <v>258</v>
      </c>
      <c r="D216" s="92">
        <v>29.17</v>
      </c>
      <c r="E216" s="239" t="s">
        <v>57</v>
      </c>
      <c r="F216" s="122"/>
      <c r="G216" s="91"/>
      <c r="H216" s="91">
        <v>-87.469999999999942</v>
      </c>
      <c r="I216" s="92"/>
      <c r="J216" s="132">
        <v>-87.469999999999942</v>
      </c>
      <c r="K216" s="372"/>
      <c r="L216" s="359"/>
      <c r="M216" s="371"/>
      <c r="N216" s="361" t="s">
        <v>57</v>
      </c>
      <c r="O216" s="362"/>
      <c r="P216" s="92"/>
      <c r="Q216" s="153">
        <f t="shared" si="7"/>
        <v>-58.29999999999994</v>
      </c>
      <c r="R216" s="153"/>
      <c r="S216" s="159">
        <f t="shared" si="8"/>
        <v>-58.29999999999994</v>
      </c>
    </row>
    <row r="217" spans="1:19" ht="32.25" customHeight="1">
      <c r="A217" s="116"/>
      <c r="B217" s="384" t="s">
        <v>259</v>
      </c>
      <c r="C217" s="385"/>
      <c r="D217" s="386"/>
      <c r="E217" s="387"/>
      <c r="F217" s="388"/>
      <c r="G217" s="389"/>
      <c r="H217" s="389">
        <v>0</v>
      </c>
      <c r="I217" s="92"/>
      <c r="J217" s="132">
        <v>0</v>
      </c>
      <c r="K217" s="372"/>
      <c r="L217" s="359"/>
      <c r="M217" s="371"/>
      <c r="N217" s="361"/>
      <c r="O217" s="362"/>
      <c r="P217" s="92"/>
      <c r="Q217" s="153">
        <f t="shared" si="7"/>
        <v>0</v>
      </c>
      <c r="R217" s="153"/>
      <c r="S217" s="159">
        <f t="shared" si="8"/>
        <v>0</v>
      </c>
    </row>
    <row r="218" spans="1:19" ht="32.25" customHeight="1">
      <c r="A218" s="116"/>
      <c r="B218" s="384" t="s">
        <v>260</v>
      </c>
      <c r="C218" s="385"/>
      <c r="D218" s="386"/>
      <c r="E218" s="387"/>
      <c r="F218" s="388"/>
      <c r="G218" s="389"/>
      <c r="H218" s="389">
        <v>0</v>
      </c>
      <c r="I218" s="92"/>
      <c r="J218" s="132">
        <v>0</v>
      </c>
      <c r="K218" s="372"/>
      <c r="L218" s="359"/>
      <c r="M218" s="371"/>
      <c r="N218" s="361"/>
      <c r="O218" s="362"/>
      <c r="P218" s="92"/>
      <c r="Q218" s="153">
        <f t="shared" si="7"/>
        <v>0</v>
      </c>
      <c r="R218" s="153"/>
      <c r="S218" s="159">
        <f t="shared" si="8"/>
        <v>0</v>
      </c>
    </row>
    <row r="219" spans="1:19" ht="32.25" customHeight="1">
      <c r="A219" s="116">
        <v>24</v>
      </c>
      <c r="B219" s="142" t="s">
        <v>158</v>
      </c>
      <c r="C219" s="390" t="s">
        <v>261</v>
      </c>
      <c r="D219" s="92">
        <v>24.17</v>
      </c>
      <c r="E219" s="239" t="s">
        <v>57</v>
      </c>
      <c r="F219" s="122"/>
      <c r="G219" s="91"/>
      <c r="H219" s="91">
        <v>-193.32</v>
      </c>
      <c r="I219" s="92"/>
      <c r="J219" s="132">
        <v>-193.32</v>
      </c>
      <c r="K219" s="372"/>
      <c r="L219" s="359"/>
      <c r="M219" s="371"/>
      <c r="N219" s="361" t="s">
        <v>57</v>
      </c>
      <c r="O219" s="362"/>
      <c r="P219" s="92"/>
      <c r="Q219" s="153">
        <f t="shared" si="7"/>
        <v>-169.14999999999998</v>
      </c>
      <c r="R219" s="354"/>
      <c r="S219" s="159">
        <f t="shared" si="8"/>
        <v>-169.14999999999998</v>
      </c>
    </row>
    <row r="220" spans="1:19" ht="32.25" customHeight="1">
      <c r="A220" s="116"/>
      <c r="B220" s="275" t="s">
        <v>262</v>
      </c>
      <c r="C220" s="390"/>
      <c r="D220" s="92"/>
      <c r="E220" s="239"/>
      <c r="F220" s="122"/>
      <c r="G220" s="91"/>
      <c r="H220" s="91">
        <v>0</v>
      </c>
      <c r="I220" s="92"/>
      <c r="J220" s="132">
        <v>0</v>
      </c>
      <c r="K220" s="372"/>
      <c r="L220" s="359"/>
      <c r="M220" s="371"/>
      <c r="N220" s="361"/>
      <c r="O220" s="362"/>
      <c r="P220" s="92"/>
      <c r="Q220" s="153">
        <f t="shared" si="7"/>
        <v>0</v>
      </c>
      <c r="R220" s="354"/>
      <c r="S220" s="159">
        <f t="shared" si="8"/>
        <v>0</v>
      </c>
    </row>
    <row r="221" spans="1:19" ht="32.25" customHeight="1">
      <c r="A221" s="116"/>
      <c r="B221" s="275" t="s">
        <v>263</v>
      </c>
      <c r="C221" s="390"/>
      <c r="D221" s="92"/>
      <c r="E221" s="239"/>
      <c r="F221" s="122"/>
      <c r="G221" s="91"/>
      <c r="H221" s="91">
        <v>0</v>
      </c>
      <c r="I221" s="92"/>
      <c r="J221" s="132">
        <v>0</v>
      </c>
      <c r="K221" s="372"/>
      <c r="L221" s="359"/>
      <c r="M221" s="371"/>
      <c r="N221" s="361"/>
      <c r="O221" s="362"/>
      <c r="P221" s="92"/>
      <c r="Q221" s="153">
        <f t="shared" si="7"/>
        <v>0</v>
      </c>
      <c r="R221" s="354"/>
      <c r="S221" s="159">
        <f t="shared" si="8"/>
        <v>0</v>
      </c>
    </row>
    <row r="222" spans="1:19" ht="32.25" customHeight="1">
      <c r="A222" s="116"/>
      <c r="B222" s="275" t="s">
        <v>264</v>
      </c>
      <c r="C222" s="390"/>
      <c r="D222" s="92">
        <v>0</v>
      </c>
      <c r="E222" s="239"/>
      <c r="F222" s="122"/>
      <c r="G222" s="91"/>
      <c r="H222" s="91">
        <v>0</v>
      </c>
      <c r="I222" s="92"/>
      <c r="J222" s="132">
        <v>0</v>
      </c>
      <c r="K222" s="372"/>
      <c r="L222" s="359"/>
      <c r="M222" s="371"/>
      <c r="N222" s="361"/>
      <c r="O222" s="362"/>
      <c r="P222" s="92"/>
      <c r="Q222" s="153">
        <f t="shared" si="7"/>
        <v>0</v>
      </c>
      <c r="R222" s="354"/>
      <c r="S222" s="159">
        <f t="shared" si="8"/>
        <v>0</v>
      </c>
    </row>
    <row r="223" spans="1:19" ht="32.25" customHeight="1">
      <c r="A223" s="116"/>
      <c r="B223" s="275" t="s">
        <v>265</v>
      </c>
      <c r="C223" s="390"/>
      <c r="D223" s="92">
        <v>0</v>
      </c>
      <c r="E223" s="2"/>
      <c r="F223" s="2"/>
      <c r="G223" s="2"/>
      <c r="H223" s="2">
        <v>0</v>
      </c>
      <c r="J223" s="2">
        <v>0</v>
      </c>
      <c r="K223" s="372"/>
      <c r="L223" s="359"/>
      <c r="M223" s="371"/>
      <c r="N223" s="361"/>
      <c r="O223" s="362"/>
      <c r="P223" s="92"/>
      <c r="Q223" s="153">
        <f t="shared" si="7"/>
        <v>0</v>
      </c>
      <c r="R223" s="354"/>
      <c r="S223" s="159">
        <f t="shared" si="8"/>
        <v>0</v>
      </c>
    </row>
    <row r="224" spans="1:19" ht="32.25" customHeight="1">
      <c r="A224" s="116"/>
      <c r="B224" s="142" t="s">
        <v>266</v>
      </c>
      <c r="C224" s="390"/>
      <c r="D224" s="92"/>
      <c r="E224" s="239"/>
      <c r="F224" s="122"/>
      <c r="G224" s="91"/>
      <c r="H224" s="91">
        <v>0</v>
      </c>
      <c r="I224" s="92"/>
      <c r="J224" s="132">
        <v>0</v>
      </c>
      <c r="K224" s="372"/>
      <c r="L224" s="359"/>
      <c r="M224" s="371"/>
      <c r="N224" s="361"/>
      <c r="O224" s="362"/>
      <c r="P224" s="92"/>
      <c r="Q224" s="153">
        <f t="shared" si="7"/>
        <v>0</v>
      </c>
      <c r="R224" s="153"/>
      <c r="S224" s="159">
        <f t="shared" si="8"/>
        <v>0</v>
      </c>
    </row>
    <row r="225" spans="1:19" ht="32.25" customHeight="1">
      <c r="A225" s="116"/>
      <c r="B225" s="142" t="s">
        <v>267</v>
      </c>
      <c r="C225" s="390"/>
      <c r="D225" s="92"/>
      <c r="E225" s="239"/>
      <c r="F225" s="122"/>
      <c r="G225" s="91"/>
      <c r="H225" s="91">
        <v>0</v>
      </c>
      <c r="I225" s="92"/>
      <c r="J225" s="132">
        <v>0</v>
      </c>
      <c r="K225" s="372"/>
      <c r="L225" s="359"/>
      <c r="M225" s="371"/>
      <c r="N225" s="361"/>
      <c r="O225" s="362"/>
      <c r="P225" s="92"/>
      <c r="Q225" s="153">
        <f t="shared" si="7"/>
        <v>0</v>
      </c>
      <c r="R225" s="153"/>
      <c r="S225" s="159">
        <f t="shared" si="8"/>
        <v>0</v>
      </c>
    </row>
    <row r="226" spans="1:19" ht="32.25" customHeight="1">
      <c r="A226" s="106">
        <v>25</v>
      </c>
      <c r="B226" s="142" t="s">
        <v>23</v>
      </c>
      <c r="C226" s="174" t="s">
        <v>268</v>
      </c>
      <c r="D226" s="151"/>
      <c r="E226" s="163"/>
      <c r="F226" s="122"/>
      <c r="G226" s="122"/>
      <c r="H226" s="91">
        <v>0</v>
      </c>
      <c r="I226" s="122"/>
      <c r="J226" s="132">
        <v>0</v>
      </c>
      <c r="K226" s="372"/>
      <c r="L226" s="359"/>
      <c r="M226" s="360"/>
      <c r="N226" s="361"/>
      <c r="O226" s="391"/>
      <c r="P226" s="122"/>
      <c r="Q226" s="153">
        <f t="shared" si="7"/>
        <v>0</v>
      </c>
      <c r="R226" s="153"/>
      <c r="S226" s="159">
        <f t="shared" si="8"/>
        <v>0</v>
      </c>
    </row>
    <row r="227" spans="1:19" ht="32.25" customHeight="1" thickBot="1">
      <c r="A227" s="39"/>
      <c r="B227" s="50" t="s">
        <v>19</v>
      </c>
      <c r="C227" s="50"/>
      <c r="D227" s="51">
        <v>9615.59</v>
      </c>
      <c r="E227" s="52"/>
      <c r="F227" s="53"/>
      <c r="G227" s="52"/>
      <c r="H227" s="51">
        <f>SUM(H183:H226)-H183-H207-H214-H216-H219</f>
        <v>258.99999999999989</v>
      </c>
      <c r="I227" s="51"/>
      <c r="J227" s="51">
        <f>SUM(J183:J226)-J183-J207-J214-J216-J219</f>
        <v>258.99999999999989</v>
      </c>
      <c r="K227" s="54"/>
      <c r="L227" s="55"/>
      <c r="M227" s="56">
        <f>SUM(M183:M226)</f>
        <v>9599</v>
      </c>
      <c r="N227" s="57"/>
      <c r="O227" s="53"/>
      <c r="P227" s="51"/>
      <c r="Q227" s="51">
        <f>SUM(Q183:Q226)-Q183-Q207-Q214-Q216-Q219</f>
        <v>125.99999999999993</v>
      </c>
      <c r="R227" s="51">
        <f t="shared" ref="R227" si="9">SUM(R188)</f>
        <v>0</v>
      </c>
      <c r="S227" s="51">
        <f>SUM(S183:S226)-S183-S207-S214-S216-S219</f>
        <v>125.99999999999993</v>
      </c>
    </row>
    <row r="228" spans="1:19" ht="32.25" customHeight="1" thickTop="1">
      <c r="A228" s="39"/>
      <c r="B228" s="58" t="s">
        <v>269</v>
      </c>
      <c r="C228" s="59"/>
      <c r="D228" s="60"/>
      <c r="E228" s="61"/>
      <c r="F228" s="62"/>
      <c r="G228" s="63"/>
      <c r="H228" s="64"/>
      <c r="I228" s="64"/>
      <c r="J228" s="64"/>
      <c r="K228" s="65"/>
      <c r="L228" s="66"/>
      <c r="M228" s="67"/>
      <c r="N228" s="68"/>
      <c r="O228" s="62"/>
      <c r="P228" s="69"/>
      <c r="Q228" s="63"/>
      <c r="R228" s="63"/>
      <c r="S228" s="70"/>
    </row>
    <row r="229" spans="1:19" ht="32.25" customHeight="1">
      <c r="A229" s="39">
        <v>1</v>
      </c>
      <c r="B229" s="142" t="s">
        <v>99</v>
      </c>
      <c r="C229" s="392" t="s">
        <v>270</v>
      </c>
      <c r="D229" s="125">
        <v>0</v>
      </c>
      <c r="E229" s="131"/>
      <c r="F229" s="115"/>
      <c r="G229" s="131"/>
      <c r="H229" s="125">
        <v>0</v>
      </c>
      <c r="I229" s="125"/>
      <c r="J229" s="125">
        <v>0</v>
      </c>
      <c r="K229" s="34"/>
      <c r="L229" s="35"/>
      <c r="M229" s="36"/>
      <c r="N229" s="114"/>
      <c r="O229" s="115"/>
      <c r="P229" s="144"/>
      <c r="Q229" s="131">
        <v>0</v>
      </c>
      <c r="R229" s="33"/>
      <c r="S229" s="77">
        <v>0</v>
      </c>
    </row>
    <row r="230" spans="1:19" ht="32.25" customHeight="1">
      <c r="A230" s="106">
        <v>2</v>
      </c>
      <c r="B230" s="142" t="s">
        <v>99</v>
      </c>
      <c r="C230" s="392" t="s">
        <v>271</v>
      </c>
      <c r="D230" s="125">
        <v>0</v>
      </c>
      <c r="E230" s="131"/>
      <c r="F230" s="115"/>
      <c r="G230" s="131"/>
      <c r="H230" s="125">
        <v>0</v>
      </c>
      <c r="I230" s="125"/>
      <c r="J230" s="125">
        <v>0</v>
      </c>
      <c r="K230" s="34"/>
      <c r="L230" s="35"/>
      <c r="M230" s="36"/>
      <c r="N230" s="114"/>
      <c r="O230" s="115"/>
      <c r="P230" s="144"/>
      <c r="Q230" s="131">
        <v>0</v>
      </c>
      <c r="R230" s="33"/>
      <c r="S230" s="77">
        <v>0</v>
      </c>
    </row>
    <row r="231" spans="1:19" ht="32.25" customHeight="1">
      <c r="A231" s="106">
        <v>3</v>
      </c>
      <c r="B231" s="142" t="s">
        <v>99</v>
      </c>
      <c r="C231" s="392" t="s">
        <v>272</v>
      </c>
      <c r="D231" s="125">
        <v>0</v>
      </c>
      <c r="E231" s="131"/>
      <c r="F231" s="115"/>
      <c r="G231" s="131"/>
      <c r="H231" s="125">
        <v>0</v>
      </c>
      <c r="I231" s="125"/>
      <c r="J231" s="125">
        <v>0</v>
      </c>
      <c r="K231" s="34"/>
      <c r="L231" s="35"/>
      <c r="M231" s="36"/>
      <c r="N231" s="114"/>
      <c r="O231" s="115"/>
      <c r="P231" s="144"/>
      <c r="Q231" s="131">
        <v>0</v>
      </c>
      <c r="R231" s="33"/>
      <c r="S231" s="77">
        <v>0</v>
      </c>
    </row>
    <row r="232" spans="1:19" ht="32.25" customHeight="1">
      <c r="A232" s="106">
        <v>4</v>
      </c>
      <c r="B232" s="142" t="s">
        <v>273</v>
      </c>
      <c r="C232" s="392" t="s">
        <v>274</v>
      </c>
      <c r="D232" s="125">
        <v>0</v>
      </c>
      <c r="E232" s="131"/>
      <c r="F232" s="115"/>
      <c r="G232" s="131"/>
      <c r="H232" s="125">
        <v>0</v>
      </c>
      <c r="I232" s="125"/>
      <c r="J232" s="125">
        <v>0</v>
      </c>
      <c r="K232" s="34"/>
      <c r="L232" s="35"/>
      <c r="M232" s="36"/>
      <c r="N232" s="114"/>
      <c r="O232" s="115"/>
      <c r="P232" s="144"/>
      <c r="Q232" s="131">
        <v>0</v>
      </c>
      <c r="R232" s="33"/>
      <c r="S232" s="77">
        <v>0</v>
      </c>
    </row>
    <row r="233" spans="1:19" ht="32.25" customHeight="1">
      <c r="A233" s="106">
        <v>5</v>
      </c>
      <c r="B233" s="142" t="s">
        <v>273</v>
      </c>
      <c r="C233" s="392" t="s">
        <v>275</v>
      </c>
      <c r="D233" s="125">
        <v>0</v>
      </c>
      <c r="E233" s="131"/>
      <c r="F233" s="115"/>
      <c r="G233" s="131"/>
      <c r="H233" s="125">
        <v>0</v>
      </c>
      <c r="I233" s="125"/>
      <c r="J233" s="125">
        <v>0</v>
      </c>
      <c r="K233" s="34"/>
      <c r="L233" s="35"/>
      <c r="M233" s="36"/>
      <c r="N233" s="114"/>
      <c r="O233" s="115"/>
      <c r="P233" s="144"/>
      <c r="Q233" s="131">
        <v>0</v>
      </c>
      <c r="R233" s="33"/>
      <c r="S233" s="77">
        <v>0</v>
      </c>
    </row>
    <row r="234" spans="1:19" ht="32.25" customHeight="1">
      <c r="A234" s="106">
        <v>6</v>
      </c>
      <c r="B234" s="142" t="s">
        <v>276</v>
      </c>
      <c r="C234" s="392" t="s">
        <v>277</v>
      </c>
      <c r="D234" s="125">
        <v>0</v>
      </c>
      <c r="E234" s="131"/>
      <c r="F234" s="115"/>
      <c r="G234" s="131"/>
      <c r="H234" s="125">
        <v>0</v>
      </c>
      <c r="I234" s="125"/>
      <c r="J234" s="125">
        <v>0</v>
      </c>
      <c r="K234" s="34"/>
      <c r="L234" s="35"/>
      <c r="M234" s="36"/>
      <c r="N234" s="114"/>
      <c r="O234" s="115"/>
      <c r="P234" s="144"/>
      <c r="Q234" s="131">
        <v>0</v>
      </c>
      <c r="R234" s="33"/>
      <c r="S234" s="77">
        <v>0</v>
      </c>
    </row>
    <row r="235" spans="1:19" ht="32.25" customHeight="1">
      <c r="A235" s="106">
        <v>7</v>
      </c>
      <c r="B235" s="142" t="s">
        <v>27</v>
      </c>
      <c r="C235" s="392" t="s">
        <v>278</v>
      </c>
      <c r="D235" s="125">
        <v>0</v>
      </c>
      <c r="E235" s="131"/>
      <c r="F235" s="115"/>
      <c r="G235" s="131"/>
      <c r="H235" s="125">
        <v>0</v>
      </c>
      <c r="I235" s="125"/>
      <c r="J235" s="125">
        <v>0</v>
      </c>
      <c r="K235" s="34"/>
      <c r="L235" s="35"/>
      <c r="M235" s="36"/>
      <c r="N235" s="114"/>
      <c r="O235" s="115"/>
      <c r="P235" s="144"/>
      <c r="Q235" s="131">
        <v>0</v>
      </c>
      <c r="R235" s="33"/>
      <c r="S235" s="77">
        <v>0</v>
      </c>
    </row>
    <row r="236" spans="1:19" ht="32.25" customHeight="1">
      <c r="A236" s="106">
        <v>8</v>
      </c>
      <c r="B236" s="142" t="s">
        <v>42</v>
      </c>
      <c r="C236" s="392" t="s">
        <v>279</v>
      </c>
      <c r="D236" s="125">
        <v>0</v>
      </c>
      <c r="E236" s="131"/>
      <c r="F236" s="115"/>
      <c r="G236" s="131"/>
      <c r="H236" s="125">
        <v>0</v>
      </c>
      <c r="I236" s="125"/>
      <c r="J236" s="125">
        <v>0</v>
      </c>
      <c r="K236" s="343"/>
      <c r="L236" s="307"/>
      <c r="M236" s="308"/>
      <c r="N236" s="114"/>
      <c r="O236" s="115"/>
      <c r="P236" s="144"/>
      <c r="Q236" s="131">
        <v>0</v>
      </c>
      <c r="R236" s="33"/>
      <c r="S236" s="77">
        <v>0</v>
      </c>
    </row>
    <row r="237" spans="1:19" ht="32.25" customHeight="1">
      <c r="A237" s="106">
        <v>9</v>
      </c>
      <c r="B237" s="142" t="s">
        <v>69</v>
      </c>
      <c r="C237" s="392" t="s">
        <v>280</v>
      </c>
      <c r="D237" s="125">
        <v>0</v>
      </c>
      <c r="E237" s="131"/>
      <c r="F237" s="115"/>
      <c r="G237" s="131"/>
      <c r="H237" s="125">
        <v>0</v>
      </c>
      <c r="I237" s="125"/>
      <c r="J237" s="125">
        <v>0</v>
      </c>
      <c r="K237" s="343"/>
      <c r="L237" s="307"/>
      <c r="M237" s="308"/>
      <c r="N237" s="114"/>
      <c r="O237" s="115"/>
      <c r="P237" s="144"/>
      <c r="Q237" s="131">
        <v>0</v>
      </c>
      <c r="R237" s="33"/>
      <c r="S237" s="77">
        <v>0</v>
      </c>
    </row>
    <row r="238" spans="1:19" ht="32.25" customHeight="1">
      <c r="A238" s="106">
        <v>10</v>
      </c>
      <c r="B238" s="142" t="s">
        <v>75</v>
      </c>
      <c r="C238" s="392" t="s">
        <v>281</v>
      </c>
      <c r="D238" s="125">
        <v>0</v>
      </c>
      <c r="E238" s="131"/>
      <c r="F238" s="115"/>
      <c r="G238" s="131"/>
      <c r="H238" s="125">
        <v>0</v>
      </c>
      <c r="I238" s="125"/>
      <c r="J238" s="125">
        <v>0</v>
      </c>
      <c r="K238" s="34"/>
      <c r="L238" s="35"/>
      <c r="M238" s="36"/>
      <c r="N238" s="114"/>
      <c r="O238" s="115"/>
      <c r="P238" s="144"/>
      <c r="Q238" s="131">
        <v>0</v>
      </c>
      <c r="R238" s="33"/>
      <c r="S238" s="77">
        <v>0</v>
      </c>
    </row>
    <row r="239" spans="1:19" ht="32.25" customHeight="1">
      <c r="A239" s="106">
        <v>11</v>
      </c>
      <c r="B239" s="142" t="s">
        <v>77</v>
      </c>
      <c r="C239" s="392" t="s">
        <v>282</v>
      </c>
      <c r="D239" s="125">
        <v>0</v>
      </c>
      <c r="E239" s="131"/>
      <c r="F239" s="115"/>
      <c r="G239" s="131"/>
      <c r="H239" s="125">
        <v>0</v>
      </c>
      <c r="I239" s="125"/>
      <c r="J239" s="125">
        <v>0</v>
      </c>
      <c r="K239" s="34"/>
      <c r="L239" s="35"/>
      <c r="M239" s="36"/>
      <c r="N239" s="114"/>
      <c r="O239" s="115"/>
      <c r="P239" s="144"/>
      <c r="Q239" s="131">
        <v>0</v>
      </c>
      <c r="R239" s="33"/>
      <c r="S239" s="77">
        <v>0</v>
      </c>
    </row>
    <row r="240" spans="1:19" ht="32.25" customHeight="1">
      <c r="A240" s="106">
        <v>12</v>
      </c>
      <c r="B240" s="142" t="s">
        <v>77</v>
      </c>
      <c r="C240" s="392" t="s">
        <v>283</v>
      </c>
      <c r="D240" s="125">
        <v>0</v>
      </c>
      <c r="E240" s="131"/>
      <c r="F240" s="115"/>
      <c r="G240" s="131"/>
      <c r="H240" s="125">
        <v>0</v>
      </c>
      <c r="I240" s="125"/>
      <c r="J240" s="125">
        <v>0</v>
      </c>
      <c r="K240" s="34"/>
      <c r="L240" s="35"/>
      <c r="M240" s="36"/>
      <c r="N240" s="114"/>
      <c r="O240" s="115"/>
      <c r="P240" s="144"/>
      <c r="Q240" s="131">
        <v>0</v>
      </c>
      <c r="R240" s="33"/>
      <c r="S240" s="77">
        <v>0</v>
      </c>
    </row>
    <row r="241" spans="1:19" ht="32.25" customHeight="1">
      <c r="A241" s="106">
        <v>13</v>
      </c>
      <c r="B241" s="142" t="s">
        <v>75</v>
      </c>
      <c r="C241" s="392" t="s">
        <v>284</v>
      </c>
      <c r="D241" s="125">
        <v>0</v>
      </c>
      <c r="E241" s="131"/>
      <c r="F241" s="115"/>
      <c r="G241" s="131"/>
      <c r="H241" s="125">
        <v>0</v>
      </c>
      <c r="I241" s="125"/>
      <c r="J241" s="125">
        <v>0</v>
      </c>
      <c r="K241" s="34"/>
      <c r="L241" s="35"/>
      <c r="M241" s="36"/>
      <c r="N241" s="114"/>
      <c r="O241" s="115"/>
      <c r="P241" s="144"/>
      <c r="Q241" s="131">
        <v>0</v>
      </c>
      <c r="R241" s="33"/>
      <c r="S241" s="77">
        <v>0</v>
      </c>
    </row>
    <row r="242" spans="1:19" ht="32.25" customHeight="1">
      <c r="A242" s="106">
        <v>14</v>
      </c>
      <c r="B242" s="142" t="s">
        <v>83</v>
      </c>
      <c r="C242" s="392" t="s">
        <v>285</v>
      </c>
      <c r="D242" s="125">
        <v>0</v>
      </c>
      <c r="E242" s="131"/>
      <c r="F242" s="115"/>
      <c r="G242" s="131"/>
      <c r="H242" s="125">
        <v>0</v>
      </c>
      <c r="I242" s="125"/>
      <c r="J242" s="125">
        <v>0</v>
      </c>
      <c r="K242" s="34"/>
      <c r="L242" s="35"/>
      <c r="M242" s="36"/>
      <c r="N242" s="114"/>
      <c r="O242" s="115"/>
      <c r="P242" s="144"/>
      <c r="Q242" s="131">
        <v>0</v>
      </c>
      <c r="R242" s="33"/>
      <c r="S242" s="77">
        <v>0</v>
      </c>
    </row>
    <row r="243" spans="1:19" ht="32.25" customHeight="1">
      <c r="A243" s="106">
        <v>15</v>
      </c>
      <c r="B243" s="142" t="s">
        <v>87</v>
      </c>
      <c r="C243" s="392" t="s">
        <v>286</v>
      </c>
      <c r="D243" s="125">
        <v>0</v>
      </c>
      <c r="E243" s="131"/>
      <c r="F243" s="115"/>
      <c r="G243" s="131"/>
      <c r="H243" s="125">
        <v>0</v>
      </c>
      <c r="I243" s="125"/>
      <c r="J243" s="125">
        <v>0</v>
      </c>
      <c r="K243" s="343"/>
      <c r="L243" s="307"/>
      <c r="M243" s="308"/>
      <c r="N243" s="114"/>
      <c r="O243" s="115"/>
      <c r="P243" s="144"/>
      <c r="Q243" s="131">
        <v>0</v>
      </c>
      <c r="R243" s="33"/>
      <c r="S243" s="77">
        <v>0</v>
      </c>
    </row>
    <row r="244" spans="1:19" ht="32.25" customHeight="1">
      <c r="A244" s="106">
        <v>16</v>
      </c>
      <c r="B244" s="142" t="s">
        <v>75</v>
      </c>
      <c r="C244" s="392" t="s">
        <v>287</v>
      </c>
      <c r="D244" s="125">
        <v>0</v>
      </c>
      <c r="E244" s="131"/>
      <c r="F244" s="115"/>
      <c r="G244" s="131"/>
      <c r="H244" s="125">
        <v>0</v>
      </c>
      <c r="I244" s="125"/>
      <c r="J244" s="125">
        <v>0</v>
      </c>
      <c r="K244" s="34"/>
      <c r="L244" s="35"/>
      <c r="M244" s="36"/>
      <c r="N244" s="114"/>
      <c r="O244" s="115"/>
      <c r="P244" s="144"/>
      <c r="Q244" s="131">
        <v>0</v>
      </c>
      <c r="R244" s="33"/>
      <c r="S244" s="77">
        <v>0</v>
      </c>
    </row>
    <row r="245" spans="1:19" ht="32.25" customHeight="1">
      <c r="A245" s="106">
        <v>17</v>
      </c>
      <c r="B245" s="142" t="s">
        <v>92</v>
      </c>
      <c r="C245" s="392" t="s">
        <v>288</v>
      </c>
      <c r="D245" s="125">
        <v>0</v>
      </c>
      <c r="E245" s="131"/>
      <c r="F245" s="115"/>
      <c r="G245" s="131"/>
      <c r="H245" s="125">
        <v>0</v>
      </c>
      <c r="I245" s="125"/>
      <c r="J245" s="125">
        <v>0</v>
      </c>
      <c r="K245" s="34"/>
      <c r="L245" s="35"/>
      <c r="M245" s="36"/>
      <c r="N245" s="114"/>
      <c r="O245" s="115"/>
      <c r="P245" s="144"/>
      <c r="Q245" s="131">
        <v>0</v>
      </c>
      <c r="R245" s="33"/>
      <c r="S245" s="77">
        <v>0</v>
      </c>
    </row>
    <row r="246" spans="1:19" ht="32.25" customHeight="1">
      <c r="A246" s="106">
        <v>18</v>
      </c>
      <c r="B246" s="142" t="s">
        <v>75</v>
      </c>
      <c r="C246" s="392" t="s">
        <v>289</v>
      </c>
      <c r="D246" s="125">
        <v>0</v>
      </c>
      <c r="E246" s="131"/>
      <c r="F246" s="115"/>
      <c r="G246" s="131"/>
      <c r="H246" s="125">
        <v>0</v>
      </c>
      <c r="I246" s="125"/>
      <c r="J246" s="125">
        <v>0</v>
      </c>
      <c r="K246" s="34"/>
      <c r="L246" s="35"/>
      <c r="M246" s="36"/>
      <c r="N246" s="114"/>
      <c r="O246" s="115"/>
      <c r="P246" s="144"/>
      <c r="Q246" s="131">
        <v>0</v>
      </c>
      <c r="R246" s="33"/>
      <c r="S246" s="77">
        <v>0</v>
      </c>
    </row>
    <row r="247" spans="1:19" ht="32.25" customHeight="1">
      <c r="A247" s="106">
        <v>19</v>
      </c>
      <c r="B247" s="142" t="s">
        <v>95</v>
      </c>
      <c r="C247" s="392" t="s">
        <v>290</v>
      </c>
      <c r="D247" s="125">
        <v>0</v>
      </c>
      <c r="E247" s="131"/>
      <c r="F247" s="115"/>
      <c r="G247" s="131"/>
      <c r="H247" s="125">
        <v>0</v>
      </c>
      <c r="I247" s="125"/>
      <c r="J247" s="125">
        <v>0</v>
      </c>
      <c r="K247" s="343"/>
      <c r="L247" s="307"/>
      <c r="M247" s="308"/>
      <c r="N247" s="114"/>
      <c r="O247" s="115"/>
      <c r="P247" s="144"/>
      <c r="Q247" s="131">
        <v>0</v>
      </c>
      <c r="R247" s="33"/>
      <c r="S247" s="77">
        <v>0</v>
      </c>
    </row>
    <row r="248" spans="1:19" ht="32.25" customHeight="1">
      <c r="A248" s="106">
        <v>20</v>
      </c>
      <c r="B248" s="142" t="s">
        <v>236</v>
      </c>
      <c r="C248" s="392" t="s">
        <v>291</v>
      </c>
      <c r="D248" s="125">
        <v>0</v>
      </c>
      <c r="E248" s="131"/>
      <c r="F248" s="115"/>
      <c r="G248" s="131"/>
      <c r="H248" s="125">
        <v>0</v>
      </c>
      <c r="I248" s="125"/>
      <c r="J248" s="125">
        <v>0</v>
      </c>
      <c r="K248" s="343"/>
      <c r="L248" s="307"/>
      <c r="M248" s="308"/>
      <c r="N248" s="114"/>
      <c r="O248" s="115"/>
      <c r="P248" s="144"/>
      <c r="Q248" s="131">
        <v>0</v>
      </c>
      <c r="R248" s="33"/>
      <c r="S248" s="77">
        <v>0</v>
      </c>
    </row>
    <row r="249" spans="1:19" ht="32.25" customHeight="1" thickBot="1">
      <c r="A249" s="39"/>
      <c r="B249" s="50" t="s">
        <v>19</v>
      </c>
      <c r="C249" s="50"/>
      <c r="D249" s="51">
        <v>0</v>
      </c>
      <c r="E249" s="52"/>
      <c r="F249" s="53"/>
      <c r="G249" s="52"/>
      <c r="H249" s="51">
        <v>0</v>
      </c>
      <c r="I249" s="51">
        <v>0</v>
      </c>
      <c r="J249" s="51">
        <v>0</v>
      </c>
      <c r="K249" s="54"/>
      <c r="L249" s="55"/>
      <c r="M249" s="56">
        <v>0</v>
      </c>
      <c r="N249" s="57"/>
      <c r="O249" s="53"/>
      <c r="P249" s="51"/>
      <c r="Q249" s="51">
        <v>0</v>
      </c>
      <c r="R249" s="51">
        <v>0</v>
      </c>
      <c r="S249" s="51">
        <v>0</v>
      </c>
    </row>
    <row r="250" spans="1:19" ht="32.25" customHeight="1" thickTop="1">
      <c r="A250" s="39"/>
      <c r="B250" s="141" t="s">
        <v>292</v>
      </c>
      <c r="C250" s="142"/>
      <c r="D250" s="125"/>
      <c r="E250" s="131"/>
      <c r="F250" s="115"/>
      <c r="G250" s="33"/>
      <c r="H250" s="143"/>
      <c r="I250" s="143"/>
      <c r="J250" s="143"/>
      <c r="K250" s="34"/>
      <c r="L250" s="35"/>
      <c r="M250" s="36"/>
      <c r="N250" s="114"/>
      <c r="O250" s="115"/>
      <c r="P250" s="144"/>
      <c r="Q250" s="33"/>
      <c r="R250" s="33"/>
      <c r="S250" s="145"/>
    </row>
    <row r="251" spans="1:19" ht="32.25" customHeight="1">
      <c r="A251" s="39">
        <v>1</v>
      </c>
      <c r="B251" s="41" t="s">
        <v>152</v>
      </c>
      <c r="C251" s="41" t="s">
        <v>293</v>
      </c>
      <c r="D251" s="42"/>
      <c r="E251" s="6"/>
      <c r="F251" s="43"/>
      <c r="G251" s="6"/>
      <c r="H251" s="42"/>
      <c r="I251" s="42"/>
      <c r="J251" s="42"/>
      <c r="K251" s="44"/>
      <c r="L251" s="45"/>
      <c r="M251" s="46"/>
      <c r="N251" s="5"/>
      <c r="O251" s="43"/>
      <c r="P251" s="47"/>
      <c r="Q251" s="48"/>
      <c r="R251" s="48"/>
      <c r="S251" s="49"/>
    </row>
    <row r="252" spans="1:19" ht="32.25" customHeight="1">
      <c r="A252" s="39">
        <v>2</v>
      </c>
      <c r="B252" s="41" t="s">
        <v>294</v>
      </c>
      <c r="C252" s="41" t="s">
        <v>295</v>
      </c>
      <c r="D252" s="42" t="s">
        <v>296</v>
      </c>
      <c r="E252" s="6"/>
      <c r="F252" s="43"/>
      <c r="G252" s="6"/>
      <c r="H252" s="42"/>
      <c r="I252" s="42"/>
      <c r="J252" s="42"/>
      <c r="K252" s="393"/>
      <c r="L252" s="394"/>
      <c r="M252" s="395"/>
      <c r="N252" s="5"/>
      <c r="O252" s="43"/>
      <c r="P252" s="47"/>
      <c r="Q252" s="48"/>
      <c r="R252" s="48"/>
      <c r="S252" s="49"/>
    </row>
    <row r="253" spans="1:19" ht="32.25" customHeight="1">
      <c r="A253" s="39"/>
      <c r="B253" s="40" t="s">
        <v>297</v>
      </c>
      <c r="C253" s="41"/>
      <c r="D253" s="42"/>
      <c r="E253" s="6"/>
      <c r="F253" s="43"/>
      <c r="G253" s="6"/>
      <c r="H253" s="42"/>
      <c r="I253" s="42"/>
      <c r="J253" s="42"/>
      <c r="K253" s="284"/>
      <c r="L253" s="285"/>
      <c r="M253" s="286"/>
      <c r="N253" s="5"/>
      <c r="O253" s="43"/>
      <c r="P253" s="47"/>
      <c r="Q253" s="48"/>
      <c r="R253" s="48"/>
      <c r="S253" s="49"/>
    </row>
    <row r="254" spans="1:19" ht="32.25" customHeight="1">
      <c r="A254" s="39"/>
      <c r="B254" s="40" t="s">
        <v>298</v>
      </c>
      <c r="C254" s="41"/>
      <c r="D254" s="42"/>
      <c r="E254" s="6"/>
      <c r="F254" s="43"/>
      <c r="G254" s="6"/>
      <c r="H254" s="42"/>
      <c r="I254" s="42"/>
      <c r="J254" s="42"/>
      <c r="K254" s="284"/>
      <c r="L254" s="285"/>
      <c r="M254" s="286"/>
      <c r="N254" s="5"/>
      <c r="O254" s="43"/>
      <c r="P254" s="47"/>
      <c r="Q254" s="48"/>
      <c r="R254" s="48"/>
      <c r="S254" s="49"/>
    </row>
    <row r="255" spans="1:19" ht="32.25" customHeight="1">
      <c r="A255" s="39">
        <v>3</v>
      </c>
      <c r="B255" s="40" t="s">
        <v>130</v>
      </c>
      <c r="C255" s="41" t="s">
        <v>299</v>
      </c>
      <c r="D255" s="42"/>
      <c r="E255" s="6"/>
      <c r="F255" s="43"/>
      <c r="G255" s="6"/>
      <c r="H255" s="42"/>
      <c r="I255" s="42"/>
      <c r="J255" s="42"/>
      <c r="K255" s="284"/>
      <c r="L255" s="285"/>
      <c r="M255" s="286"/>
      <c r="N255" s="5"/>
      <c r="O255" s="43"/>
      <c r="P255" s="47"/>
      <c r="Q255" s="48"/>
      <c r="R255" s="48"/>
      <c r="S255" s="49"/>
    </row>
    <row r="256" spans="1:19" ht="32.25" customHeight="1">
      <c r="A256" s="39">
        <v>4</v>
      </c>
      <c r="B256" s="40" t="s">
        <v>276</v>
      </c>
      <c r="C256" s="41" t="s">
        <v>302</v>
      </c>
      <c r="D256" s="42"/>
      <c r="E256" s="6"/>
      <c r="F256" s="43"/>
      <c r="G256" s="6"/>
      <c r="H256" s="42"/>
      <c r="I256" s="42"/>
      <c r="J256" s="42"/>
      <c r="K256" s="284"/>
      <c r="L256" s="285"/>
      <c r="M256" s="286"/>
      <c r="N256" s="5"/>
      <c r="O256" s="43"/>
      <c r="P256" s="47"/>
      <c r="Q256" s="48"/>
      <c r="R256" s="48"/>
      <c r="S256" s="49"/>
    </row>
    <row r="257" spans="1:19" ht="32.25" customHeight="1">
      <c r="A257" s="39">
        <v>5</v>
      </c>
      <c r="B257" s="40" t="s">
        <v>192</v>
      </c>
      <c r="C257" s="41" t="s">
        <v>306</v>
      </c>
      <c r="D257" s="42"/>
      <c r="E257" s="6"/>
      <c r="F257" s="43"/>
      <c r="G257" s="6"/>
      <c r="H257" s="42"/>
      <c r="I257" s="42"/>
      <c r="J257" s="42"/>
      <c r="K257" s="284"/>
      <c r="L257" s="285"/>
      <c r="M257" s="286"/>
      <c r="N257" s="5"/>
      <c r="O257" s="43"/>
      <c r="P257" s="47"/>
      <c r="Q257" s="48"/>
      <c r="R257" s="48"/>
      <c r="S257" s="49"/>
    </row>
    <row r="258" spans="1:19" ht="32.25" customHeight="1">
      <c r="A258" s="39">
        <v>6</v>
      </c>
      <c r="B258" s="40" t="s">
        <v>387</v>
      </c>
      <c r="C258" s="41" t="s">
        <v>388</v>
      </c>
      <c r="D258" s="42">
        <v>0</v>
      </c>
      <c r="E258" s="6"/>
      <c r="F258" s="43"/>
      <c r="G258" s="6"/>
      <c r="H258" s="42"/>
      <c r="I258" s="42"/>
      <c r="J258" s="42"/>
      <c r="K258" s="284"/>
      <c r="L258" s="285"/>
      <c r="M258" s="286"/>
      <c r="N258" s="5"/>
      <c r="O258" s="43"/>
      <c r="P258" s="47"/>
      <c r="Q258" s="48"/>
      <c r="R258" s="48"/>
      <c r="S258" s="49"/>
    </row>
    <row r="259" spans="1:19" ht="32.25" customHeight="1">
      <c r="A259" s="39"/>
      <c r="B259" s="40" t="s">
        <v>391</v>
      </c>
      <c r="C259" s="41"/>
      <c r="D259" s="42">
        <v>0</v>
      </c>
      <c r="E259" s="6"/>
      <c r="F259" s="43"/>
      <c r="G259" s="6"/>
      <c r="H259" s="42">
        <v>0</v>
      </c>
      <c r="I259" s="42">
        <v>0</v>
      </c>
      <c r="J259" s="42">
        <v>0</v>
      </c>
      <c r="K259" s="284"/>
      <c r="L259" s="285"/>
      <c r="M259" s="286"/>
      <c r="N259" s="5"/>
      <c r="O259" s="43"/>
      <c r="P259" s="47"/>
      <c r="Q259" s="48"/>
      <c r="R259" s="48"/>
      <c r="S259" s="49"/>
    </row>
    <row r="260" spans="1:19" ht="32.25" customHeight="1" thickBot="1">
      <c r="A260" s="39"/>
      <c r="B260" s="50" t="s">
        <v>19</v>
      </c>
      <c r="C260" s="50"/>
      <c r="D260" s="51">
        <v>0</v>
      </c>
      <c r="E260" s="52"/>
      <c r="F260" s="53"/>
      <c r="G260" s="52"/>
      <c r="H260" s="51">
        <f>SUM(H258:H259)</f>
        <v>0</v>
      </c>
      <c r="I260" s="51">
        <v>0</v>
      </c>
      <c r="J260" s="51">
        <f>SUM(J251:J259)</f>
        <v>0</v>
      </c>
      <c r="K260" s="54"/>
      <c r="L260" s="55"/>
      <c r="M260" s="56">
        <f>SUM(M258:M259)</f>
        <v>0</v>
      </c>
      <c r="N260" s="57"/>
      <c r="O260" s="53"/>
      <c r="P260" s="51"/>
      <c r="Q260" s="51"/>
      <c r="R260" s="51"/>
      <c r="S260" s="51"/>
    </row>
    <row r="261" spans="1:19" ht="32.25" customHeight="1" thickTop="1" thickBot="1">
      <c r="A261" s="396"/>
      <c r="B261" s="397" t="s">
        <v>309</v>
      </c>
      <c r="C261" s="398"/>
      <c r="D261" s="399">
        <f t="shared" ref="D261:S261" si="10">SUM(D9+D16+D21+D42+D45+D48+D51+D87+D116+D131+D146+D178+D181+D227+D249+D260)</f>
        <v>177344.56999999998</v>
      </c>
      <c r="E261" s="399">
        <f t="shared" si="10"/>
        <v>0</v>
      </c>
      <c r="F261" s="399">
        <f t="shared" si="10"/>
        <v>0</v>
      </c>
      <c r="G261" s="399">
        <f t="shared" si="10"/>
        <v>0</v>
      </c>
      <c r="H261" s="399">
        <f t="shared" si="10"/>
        <v>10969.000000000002</v>
      </c>
      <c r="I261" s="399">
        <f t="shared" si="10"/>
        <v>540.39999999999952</v>
      </c>
      <c r="J261" s="399">
        <f t="shared" si="10"/>
        <v>11509.400000000001</v>
      </c>
      <c r="K261" s="399">
        <f t="shared" si="10"/>
        <v>0</v>
      </c>
      <c r="L261" s="399">
        <f t="shared" si="10"/>
        <v>0</v>
      </c>
      <c r="M261" s="399">
        <f t="shared" si="10"/>
        <v>181582.47</v>
      </c>
      <c r="N261" s="399">
        <f t="shared" si="10"/>
        <v>0</v>
      </c>
      <c r="O261" s="399">
        <f t="shared" si="10"/>
        <v>0</v>
      </c>
      <c r="P261" s="399">
        <f t="shared" si="10"/>
        <v>0</v>
      </c>
      <c r="Q261" s="399">
        <f t="shared" si="10"/>
        <v>3901.4300000000021</v>
      </c>
      <c r="R261" s="399">
        <f t="shared" si="10"/>
        <v>191.09999999999988</v>
      </c>
      <c r="S261" s="399">
        <f t="shared" si="10"/>
        <v>4092.5300000000016</v>
      </c>
    </row>
    <row r="262" spans="1:19" ht="17.399999999999999" thickTop="1">
      <c r="K262" s="404"/>
      <c r="L262" s="404"/>
      <c r="M262" s="2"/>
    </row>
    <row r="263" spans="1:19">
      <c r="K263" s="404"/>
      <c r="L263" s="404"/>
      <c r="M263" s="2"/>
    </row>
    <row r="264" spans="1:19">
      <c r="K264" s="404"/>
      <c r="L264" s="404"/>
      <c r="M264" s="2"/>
    </row>
    <row r="265" spans="1:19">
      <c r="K265" s="404"/>
      <c r="L265" s="404"/>
      <c r="M265" s="2"/>
    </row>
    <row r="266" spans="1:19">
      <c r="K266" s="404"/>
      <c r="L266" s="404"/>
      <c r="M266" s="2"/>
    </row>
    <row r="267" spans="1:19" s="406" customFormat="1" ht="32.25" customHeight="1">
      <c r="A267" s="2"/>
      <c r="B267" s="643"/>
      <c r="C267" s="642"/>
      <c r="D267" s="642"/>
      <c r="E267" s="1"/>
      <c r="F267" s="407"/>
      <c r="G267" s="1"/>
      <c r="H267" s="408"/>
      <c r="I267" s="409"/>
      <c r="J267" s="408"/>
      <c r="K267" s="410"/>
      <c r="L267" s="411"/>
      <c r="M267" s="666"/>
      <c r="N267" s="642"/>
      <c r="O267" s="642"/>
      <c r="P267" s="642"/>
      <c r="Q267" s="412"/>
      <c r="S267" s="2"/>
    </row>
    <row r="268" spans="1:19" s="406" customFormat="1" ht="32.25" customHeight="1">
      <c r="A268" s="2"/>
      <c r="B268" s="413"/>
      <c r="C268" s="667"/>
      <c r="D268" s="642"/>
      <c r="E268" s="1"/>
      <c r="F268" s="407"/>
      <c r="G268" s="1"/>
      <c r="H268" s="667"/>
      <c r="I268" s="642"/>
      <c r="J268" s="642"/>
      <c r="K268" s="642"/>
      <c r="L268" s="411"/>
      <c r="M268" s="668"/>
      <c r="N268" s="642"/>
      <c r="O268" s="642"/>
      <c r="P268" s="642"/>
      <c r="Q268" s="412"/>
      <c r="S268" s="2"/>
    </row>
    <row r="269" spans="1:19" s="406" customFormat="1" ht="32.25" customHeight="1">
      <c r="A269" s="2"/>
      <c r="B269" s="413"/>
      <c r="C269" s="662"/>
      <c r="D269" s="642"/>
      <c r="E269" s="1"/>
      <c r="F269" s="407"/>
      <c r="G269" s="1"/>
      <c r="H269" s="663"/>
      <c r="I269" s="642"/>
      <c r="J269" s="642"/>
      <c r="K269" s="410"/>
      <c r="L269" s="641"/>
      <c r="M269" s="642"/>
      <c r="N269" s="642"/>
      <c r="O269" s="642"/>
      <c r="P269" s="642"/>
      <c r="Q269" s="642"/>
      <c r="S269" s="2"/>
    </row>
  </sheetData>
  <mergeCells count="28">
    <mergeCell ref="B86:D86"/>
    <mergeCell ref="A1:S1"/>
    <mergeCell ref="A2:S2"/>
    <mergeCell ref="A3:S3"/>
    <mergeCell ref="B4:B6"/>
    <mergeCell ref="C4:C6"/>
    <mergeCell ref="E4:J4"/>
    <mergeCell ref="K4:M4"/>
    <mergeCell ref="N4:S4"/>
    <mergeCell ref="H5:J5"/>
    <mergeCell ref="Q5:S5"/>
    <mergeCell ref="B72:D72"/>
    <mergeCell ref="B74:D74"/>
    <mergeCell ref="B76:D76"/>
    <mergeCell ref="B78:D78"/>
    <mergeCell ref="B80:D80"/>
    <mergeCell ref="K99:M99"/>
    <mergeCell ref="B107:C107"/>
    <mergeCell ref="B208:C208"/>
    <mergeCell ref="B209:C209"/>
    <mergeCell ref="B267:D267"/>
    <mergeCell ref="M267:P267"/>
    <mergeCell ref="C268:D268"/>
    <mergeCell ref="H268:K268"/>
    <mergeCell ref="M268:P268"/>
    <mergeCell ref="C269:D269"/>
    <mergeCell ref="H269:J269"/>
    <mergeCell ref="L269:Q269"/>
  </mergeCell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7112-2BB7-4CA3-9590-22A42701EA98}">
  <sheetPr>
    <tabColor rgb="FFFFFF00"/>
  </sheetPr>
  <dimension ref="A1:H96"/>
  <sheetViews>
    <sheetView zoomScale="70" zoomScaleNormal="70" workbookViewId="0">
      <pane ySplit="6" topLeftCell="A78" activePane="bottomLeft" state="frozen"/>
      <selection pane="bottomLeft" activeCell="E92" sqref="E92"/>
    </sheetView>
  </sheetViews>
  <sheetFormatPr defaultColWidth="12.5546875" defaultRowHeight="27"/>
  <cols>
    <col min="1" max="1" width="5.6640625" style="2" customWidth="1"/>
    <col min="2" max="2" width="42.5546875" style="2" customWidth="1"/>
    <col min="3" max="3" width="31.44140625" style="2" customWidth="1"/>
    <col min="4" max="4" width="17.6640625" style="414" customWidth="1"/>
    <col min="5" max="5" width="25" style="414" customWidth="1"/>
    <col min="6" max="6" width="16.109375" style="192" customWidth="1"/>
    <col min="7" max="7" width="12.5546875" style="2"/>
    <col min="8" max="8" width="12.5546875" style="78"/>
    <col min="9" max="16384" width="12.5546875" style="2"/>
  </cols>
  <sheetData>
    <row r="1" spans="1:8" ht="22.5" customHeight="1">
      <c r="A1" s="643" t="s">
        <v>0</v>
      </c>
      <c r="B1" s="642"/>
      <c r="C1" s="642"/>
      <c r="D1" s="642"/>
      <c r="E1" s="642"/>
      <c r="F1" s="642"/>
    </row>
    <row r="2" spans="1:8" ht="27" customHeight="1">
      <c r="A2" s="643" t="s">
        <v>1</v>
      </c>
      <c r="B2" s="642"/>
      <c r="C2" s="642"/>
      <c r="D2" s="642"/>
      <c r="E2" s="642"/>
      <c r="F2" s="642"/>
    </row>
    <row r="3" spans="1:8" ht="22.5" customHeight="1">
      <c r="A3" s="644" t="s">
        <v>394</v>
      </c>
      <c r="B3" s="645"/>
      <c r="C3" s="645"/>
      <c r="D3" s="645"/>
      <c r="E3" s="645"/>
      <c r="F3" s="645"/>
    </row>
    <row r="4" spans="1:8" ht="34.5" customHeight="1">
      <c r="A4" s="3" t="s">
        <v>3</v>
      </c>
      <c r="B4" s="646" t="s">
        <v>4</v>
      </c>
      <c r="C4" s="646" t="s">
        <v>5</v>
      </c>
      <c r="D4" s="669" t="s">
        <v>8</v>
      </c>
      <c r="E4" s="670"/>
      <c r="F4" s="671"/>
    </row>
    <row r="5" spans="1:8" ht="24.75" customHeight="1">
      <c r="A5" s="5"/>
      <c r="B5" s="647"/>
      <c r="C5" s="647"/>
      <c r="D5" s="9" t="s">
        <v>14</v>
      </c>
      <c r="E5" s="10" t="s">
        <v>15</v>
      </c>
      <c r="F5" s="11" t="s">
        <v>16</v>
      </c>
    </row>
    <row r="6" spans="1:8" ht="27.75" customHeight="1" thickBot="1">
      <c r="A6" s="14"/>
      <c r="B6" s="648"/>
      <c r="C6" s="648"/>
      <c r="D6" s="21"/>
      <c r="E6" s="22"/>
      <c r="F6" s="23"/>
    </row>
    <row r="7" spans="1:8" ht="32.25" customHeight="1" thickTop="1">
      <c r="A7" s="39"/>
      <c r="B7" s="58" t="s">
        <v>22</v>
      </c>
      <c r="C7" s="59"/>
      <c r="D7" s="65"/>
      <c r="E7" s="66"/>
      <c r="F7" s="67"/>
    </row>
    <row r="8" spans="1:8" s="78" customFormat="1" ht="32.25" customHeight="1">
      <c r="A8" s="39">
        <v>1</v>
      </c>
      <c r="B8" s="71" t="s">
        <v>23</v>
      </c>
      <c r="C8" s="71" t="s">
        <v>24</v>
      </c>
      <c r="D8" s="74" t="s">
        <v>395</v>
      </c>
      <c r="E8" s="75" t="s">
        <v>396</v>
      </c>
      <c r="F8" s="76">
        <v>2295.15</v>
      </c>
    </row>
    <row r="9" spans="1:8" s="78" customFormat="1" ht="32.25" customHeight="1">
      <c r="A9" s="39">
        <v>2</v>
      </c>
      <c r="B9" s="71" t="s">
        <v>27</v>
      </c>
      <c r="C9" s="71" t="s">
        <v>24</v>
      </c>
      <c r="D9" s="74" t="s">
        <v>395</v>
      </c>
      <c r="E9" s="75" t="s">
        <v>397</v>
      </c>
      <c r="F9" s="76">
        <v>521.09</v>
      </c>
    </row>
    <row r="10" spans="1:8" s="78" customFormat="1" ht="32.25" customHeight="1">
      <c r="A10" s="39">
        <v>3</v>
      </c>
      <c r="B10" s="71" t="s">
        <v>30</v>
      </c>
      <c r="C10" s="71" t="s">
        <v>24</v>
      </c>
      <c r="D10" s="74" t="s">
        <v>395</v>
      </c>
      <c r="E10" s="75" t="s">
        <v>315</v>
      </c>
      <c r="F10" s="76">
        <v>202.23</v>
      </c>
    </row>
    <row r="11" spans="1:8" ht="32.25" customHeight="1" thickBot="1">
      <c r="A11" s="39"/>
      <c r="B11" s="50" t="s">
        <v>19</v>
      </c>
      <c r="C11" s="50"/>
      <c r="D11" s="83"/>
      <c r="E11" s="84"/>
      <c r="F11" s="56">
        <v>3018.4700000000003</v>
      </c>
      <c r="H11" s="425">
        <f>SUM(F8:F10)</f>
        <v>3018.4700000000003</v>
      </c>
    </row>
    <row r="12" spans="1:8" ht="32.25" customHeight="1" thickTop="1">
      <c r="A12" s="39"/>
      <c r="B12" s="58" t="s">
        <v>32</v>
      </c>
      <c r="C12" s="59"/>
      <c r="D12" s="65"/>
      <c r="E12" s="66"/>
      <c r="F12" s="67"/>
    </row>
    <row r="13" spans="1:8" s="78" customFormat="1" ht="32.25" customHeight="1">
      <c r="A13" s="39">
        <v>1</v>
      </c>
      <c r="B13" s="71" t="s">
        <v>23</v>
      </c>
      <c r="C13" s="71" t="s">
        <v>33</v>
      </c>
      <c r="D13" s="74" t="s">
        <v>395</v>
      </c>
      <c r="E13" s="90" t="s">
        <v>398</v>
      </c>
      <c r="F13" s="76">
        <v>840</v>
      </c>
    </row>
    <row r="14" spans="1:8" s="78" customFormat="1" ht="32.25" customHeight="1">
      <c r="A14" s="39">
        <v>2</v>
      </c>
      <c r="B14" s="71" t="s">
        <v>27</v>
      </c>
      <c r="C14" s="71" t="s">
        <v>33</v>
      </c>
      <c r="D14" s="74" t="s">
        <v>395</v>
      </c>
      <c r="E14" s="94" t="s">
        <v>399</v>
      </c>
      <c r="F14" s="76">
        <v>210</v>
      </c>
    </row>
    <row r="15" spans="1:8" ht="32.25" customHeight="1" thickBot="1">
      <c r="A15" s="39"/>
      <c r="B15" s="50" t="s">
        <v>19</v>
      </c>
      <c r="C15" s="50"/>
      <c r="D15" s="101"/>
      <c r="E15" s="102"/>
      <c r="F15" s="103">
        <v>1050</v>
      </c>
      <c r="H15" s="425">
        <f>SUM(F13:F14)</f>
        <v>1050</v>
      </c>
    </row>
    <row r="16" spans="1:8" ht="32.25" hidden="1" customHeight="1" thickBot="1">
      <c r="A16" s="104" t="s">
        <v>36</v>
      </c>
      <c r="B16" s="104" t="s">
        <v>37</v>
      </c>
      <c r="C16" s="105">
        <v>780</v>
      </c>
      <c r="D16" s="65"/>
      <c r="E16" s="66"/>
      <c r="F16" s="67"/>
    </row>
    <row r="17" spans="1:6" ht="32.25" hidden="1" customHeight="1" thickTop="1">
      <c r="A17" s="104" t="s">
        <v>36</v>
      </c>
      <c r="B17" s="104" t="s">
        <v>38</v>
      </c>
      <c r="C17" s="105">
        <v>180</v>
      </c>
      <c r="D17" s="44"/>
      <c r="E17" s="45"/>
      <c r="F17" s="46"/>
    </row>
    <row r="18" spans="1:6" ht="32.25" hidden="1" customHeight="1" thickTop="1">
      <c r="A18" s="39"/>
      <c r="B18" s="50" t="s">
        <v>19</v>
      </c>
      <c r="C18" s="50"/>
      <c r="D18" s="54"/>
      <c r="E18" s="55"/>
      <c r="F18" s="56"/>
    </row>
    <row r="19" spans="1:6" ht="32.25" hidden="1" customHeight="1" thickTop="1">
      <c r="A19" s="39"/>
      <c r="B19" s="58" t="s">
        <v>39</v>
      </c>
      <c r="C19" s="59"/>
      <c r="D19" s="65"/>
      <c r="E19" s="66"/>
      <c r="F19" s="67"/>
    </row>
    <row r="20" spans="1:6" ht="32.25" hidden="1" customHeight="1" thickTop="1">
      <c r="A20" s="39">
        <v>1</v>
      </c>
      <c r="B20" s="40"/>
      <c r="C20" s="41"/>
      <c r="D20" s="44"/>
      <c r="E20" s="45"/>
      <c r="F20" s="46"/>
    </row>
    <row r="21" spans="1:6" ht="32.25" hidden="1" customHeight="1" thickTop="1">
      <c r="A21" s="39"/>
      <c r="B21" s="50" t="s">
        <v>19</v>
      </c>
      <c r="C21" s="50"/>
      <c r="D21" s="54"/>
      <c r="E21" s="55"/>
      <c r="F21" s="56"/>
    </row>
    <row r="22" spans="1:6" ht="32.25" hidden="1" customHeight="1" thickTop="1">
      <c r="A22" s="39"/>
      <c r="B22" s="58" t="s">
        <v>40</v>
      </c>
      <c r="C22" s="59"/>
      <c r="D22" s="65"/>
      <c r="E22" s="66"/>
      <c r="F22" s="67"/>
    </row>
    <row r="23" spans="1:6" ht="32.25" hidden="1" customHeight="1" thickTop="1">
      <c r="A23" s="39">
        <v>1</v>
      </c>
      <c r="B23" s="40"/>
      <c r="C23" s="41"/>
      <c r="D23" s="44"/>
      <c r="E23" s="45"/>
      <c r="F23" s="46"/>
    </row>
    <row r="24" spans="1:6" ht="32.25" hidden="1" customHeight="1" thickTop="1">
      <c r="A24" s="39"/>
      <c r="B24" s="50" t="s">
        <v>19</v>
      </c>
      <c r="C24" s="50"/>
      <c r="D24" s="54"/>
      <c r="E24" s="55"/>
      <c r="F24" s="56"/>
    </row>
    <row r="25" spans="1:6" ht="32.25" customHeight="1" thickTop="1">
      <c r="A25" s="39"/>
      <c r="B25" s="58" t="s">
        <v>41</v>
      </c>
      <c r="C25" s="59"/>
      <c r="D25" s="65"/>
      <c r="E25" s="66"/>
      <c r="F25" s="67"/>
    </row>
    <row r="26" spans="1:6" ht="32.25" customHeight="1">
      <c r="A26" s="106">
        <v>1</v>
      </c>
      <c r="B26" s="107" t="s">
        <v>77</v>
      </c>
      <c r="C26" s="107" t="s">
        <v>400</v>
      </c>
      <c r="D26" s="74" t="s">
        <v>407</v>
      </c>
      <c r="E26" s="75" t="s">
        <v>408</v>
      </c>
      <c r="F26" s="76">
        <v>321</v>
      </c>
    </row>
    <row r="27" spans="1:6" ht="32.25" customHeight="1">
      <c r="A27" s="106">
        <v>2</v>
      </c>
      <c r="B27" s="117" t="s">
        <v>401</v>
      </c>
      <c r="C27" s="107" t="s">
        <v>400</v>
      </c>
      <c r="D27" s="74" t="s">
        <v>407</v>
      </c>
      <c r="E27" s="75" t="s">
        <v>409</v>
      </c>
      <c r="F27" s="76">
        <v>642</v>
      </c>
    </row>
    <row r="28" spans="1:6" ht="32.25" customHeight="1">
      <c r="A28" s="106">
        <v>3</v>
      </c>
      <c r="B28" s="117" t="s">
        <v>402</v>
      </c>
      <c r="C28" s="107" t="s">
        <v>400</v>
      </c>
      <c r="D28" s="74" t="s">
        <v>407</v>
      </c>
      <c r="E28" s="75" t="s">
        <v>410</v>
      </c>
      <c r="F28" s="76">
        <v>321</v>
      </c>
    </row>
    <row r="29" spans="1:6" ht="32.25" customHeight="1">
      <c r="A29" s="106">
        <v>4</v>
      </c>
      <c r="B29" s="117" t="s">
        <v>403</v>
      </c>
      <c r="C29" s="107" t="s">
        <v>400</v>
      </c>
      <c r="D29" s="74" t="s">
        <v>411</v>
      </c>
      <c r="E29" s="75" t="s">
        <v>412</v>
      </c>
      <c r="F29" s="76">
        <v>642</v>
      </c>
    </row>
    <row r="30" spans="1:6" ht="32.25" customHeight="1">
      <c r="A30" s="106">
        <v>5</v>
      </c>
      <c r="B30" s="117" t="s">
        <v>404</v>
      </c>
      <c r="C30" s="107" t="s">
        <v>400</v>
      </c>
      <c r="D30" s="74" t="s">
        <v>413</v>
      </c>
      <c r="E30" s="75" t="s">
        <v>414</v>
      </c>
      <c r="F30" s="76">
        <v>321</v>
      </c>
    </row>
    <row r="31" spans="1:6" ht="32.25" customHeight="1">
      <c r="A31" s="106">
        <v>6</v>
      </c>
      <c r="B31" s="117" t="s">
        <v>405</v>
      </c>
      <c r="C31" s="107" t="s">
        <v>400</v>
      </c>
      <c r="D31" s="74" t="s">
        <v>415</v>
      </c>
      <c r="E31" s="75" t="s">
        <v>416</v>
      </c>
      <c r="F31" s="76">
        <v>321</v>
      </c>
    </row>
    <row r="32" spans="1:6" ht="32.25" customHeight="1">
      <c r="A32" s="106">
        <v>7</v>
      </c>
      <c r="B32" s="117" t="s">
        <v>402</v>
      </c>
      <c r="C32" s="107" t="s">
        <v>400</v>
      </c>
      <c r="D32" s="74" t="s">
        <v>417</v>
      </c>
      <c r="E32" s="75" t="s">
        <v>418</v>
      </c>
      <c r="F32" s="76">
        <v>321</v>
      </c>
    </row>
    <row r="33" spans="1:8" ht="32.25" customHeight="1">
      <c r="A33" s="106">
        <v>8</v>
      </c>
      <c r="B33" s="117" t="s">
        <v>406</v>
      </c>
      <c r="C33" s="107" t="s">
        <v>400</v>
      </c>
      <c r="D33" s="74" t="s">
        <v>419</v>
      </c>
      <c r="E33" s="75" t="s">
        <v>420</v>
      </c>
      <c r="F33" s="76">
        <v>321</v>
      </c>
    </row>
    <row r="34" spans="1:8" ht="32.25" customHeight="1" thickBot="1">
      <c r="A34" s="39"/>
      <c r="B34" s="50" t="s">
        <v>19</v>
      </c>
      <c r="C34" s="50"/>
      <c r="D34" s="55"/>
      <c r="E34" s="55"/>
      <c r="F34" s="140">
        <v>3210</v>
      </c>
      <c r="H34" s="425">
        <f>SUM(F26:F33)</f>
        <v>3210</v>
      </c>
    </row>
    <row r="35" spans="1:8" ht="32.25" customHeight="1" thickTop="1">
      <c r="A35" s="39"/>
      <c r="B35" s="141" t="s">
        <v>50</v>
      </c>
      <c r="C35" s="142"/>
      <c r="D35" s="34"/>
      <c r="E35" s="35"/>
      <c r="F35" s="36"/>
    </row>
    <row r="36" spans="1:8" s="160" customFormat="1" ht="32.25" customHeight="1">
      <c r="A36" s="106">
        <v>1</v>
      </c>
      <c r="B36" s="142" t="s">
        <v>52</v>
      </c>
      <c r="C36" s="150" t="s">
        <v>53</v>
      </c>
      <c r="D36" s="154" t="s">
        <v>421</v>
      </c>
      <c r="E36" s="155" t="s">
        <v>422</v>
      </c>
      <c r="F36" s="156">
        <v>4140</v>
      </c>
      <c r="H36" s="78"/>
    </row>
    <row r="37" spans="1:8" s="160" customFormat="1" ht="32.25" customHeight="1">
      <c r="A37" s="106">
        <v>2</v>
      </c>
      <c r="B37" s="142" t="s">
        <v>60</v>
      </c>
      <c r="C37" s="150" t="s">
        <v>61</v>
      </c>
      <c r="D37" s="154" t="s">
        <v>421</v>
      </c>
      <c r="E37" s="155" t="s">
        <v>423</v>
      </c>
      <c r="F37" s="156">
        <v>2070</v>
      </c>
      <c r="H37" s="78"/>
    </row>
    <row r="38" spans="1:8" s="160" customFormat="1" ht="32.25" customHeight="1">
      <c r="A38" s="106">
        <v>3</v>
      </c>
      <c r="B38" s="142" t="s">
        <v>27</v>
      </c>
      <c r="C38" s="150" t="s">
        <v>64</v>
      </c>
      <c r="D38" s="154" t="s">
        <v>424</v>
      </c>
      <c r="E38" s="155" t="s">
        <v>425</v>
      </c>
      <c r="F38" s="156">
        <v>2070</v>
      </c>
      <c r="H38" s="78"/>
    </row>
    <row r="39" spans="1:8" s="160" customFormat="1" ht="32.25" customHeight="1">
      <c r="A39" s="106">
        <v>4</v>
      </c>
      <c r="B39" s="168" t="s">
        <v>42</v>
      </c>
      <c r="C39" s="150" t="s">
        <v>67</v>
      </c>
      <c r="D39" s="154" t="s">
        <v>426</v>
      </c>
      <c r="E39" s="155" t="s">
        <v>427</v>
      </c>
      <c r="F39" s="156">
        <v>2070</v>
      </c>
      <c r="H39" s="78"/>
    </row>
    <row r="40" spans="1:8" s="160" customFormat="1" ht="32.25" customHeight="1">
      <c r="A40" s="106">
        <v>5</v>
      </c>
      <c r="B40" s="142" t="s">
        <v>69</v>
      </c>
      <c r="C40" s="150" t="s">
        <v>70</v>
      </c>
      <c r="D40" s="154" t="s">
        <v>428</v>
      </c>
      <c r="E40" s="155" t="s">
        <v>429</v>
      </c>
      <c r="F40" s="156">
        <v>4140</v>
      </c>
      <c r="H40" s="78"/>
    </row>
    <row r="41" spans="1:8" s="160" customFormat="1" ht="32.25" customHeight="1">
      <c r="A41" s="106">
        <v>6</v>
      </c>
      <c r="B41" s="142" t="s">
        <v>77</v>
      </c>
      <c r="C41" s="150" t="s">
        <v>78</v>
      </c>
      <c r="D41" s="154" t="s">
        <v>430</v>
      </c>
      <c r="E41" s="171" t="s">
        <v>431</v>
      </c>
      <c r="F41" s="156">
        <v>2070</v>
      </c>
      <c r="H41" s="78"/>
    </row>
    <row r="42" spans="1:8" s="160" customFormat="1" ht="32.25" customHeight="1">
      <c r="A42" s="106">
        <v>7</v>
      </c>
      <c r="B42" s="142" t="s">
        <v>77</v>
      </c>
      <c r="C42" s="150" t="s">
        <v>81</v>
      </c>
      <c r="D42" s="154" t="s">
        <v>430</v>
      </c>
      <c r="E42" s="171" t="s">
        <v>431</v>
      </c>
      <c r="F42" s="156">
        <v>2070</v>
      </c>
      <c r="H42" s="78"/>
    </row>
    <row r="43" spans="1:8" s="160" customFormat="1" ht="32.25" customHeight="1">
      <c r="A43" s="106">
        <v>8</v>
      </c>
      <c r="B43" s="142" t="s">
        <v>83</v>
      </c>
      <c r="C43" s="150" t="s">
        <v>84</v>
      </c>
      <c r="D43" s="154" t="s">
        <v>432</v>
      </c>
      <c r="E43" s="155" t="s">
        <v>433</v>
      </c>
      <c r="F43" s="156">
        <v>2070</v>
      </c>
      <c r="H43" s="78"/>
    </row>
    <row r="44" spans="1:8" s="160" customFormat="1" ht="32.25" customHeight="1">
      <c r="A44" s="106">
        <v>9</v>
      </c>
      <c r="B44" s="142" t="s">
        <v>87</v>
      </c>
      <c r="C44" s="150" t="s">
        <v>88</v>
      </c>
      <c r="D44" s="154" t="s">
        <v>395</v>
      </c>
      <c r="E44" s="171" t="s">
        <v>434</v>
      </c>
      <c r="F44" s="156">
        <v>2070</v>
      </c>
      <c r="H44" s="78"/>
    </row>
    <row r="45" spans="1:8" s="160" customFormat="1" ht="32.25" customHeight="1">
      <c r="A45" s="106">
        <v>10</v>
      </c>
      <c r="B45" s="142" t="s">
        <v>99</v>
      </c>
      <c r="C45" s="174" t="s">
        <v>100</v>
      </c>
      <c r="D45" s="154" t="s">
        <v>424</v>
      </c>
      <c r="E45" s="171" t="s">
        <v>435</v>
      </c>
      <c r="F45" s="178">
        <v>37375</v>
      </c>
      <c r="H45" s="78"/>
    </row>
    <row r="46" spans="1:8" s="160" customFormat="1" ht="32.25" customHeight="1">
      <c r="A46" s="106">
        <v>11</v>
      </c>
      <c r="B46" s="142" t="s">
        <v>103</v>
      </c>
      <c r="C46" s="174" t="s">
        <v>104</v>
      </c>
      <c r="D46" s="154" t="s">
        <v>413</v>
      </c>
      <c r="E46" s="171" t="s">
        <v>436</v>
      </c>
      <c r="F46" s="178">
        <v>15525</v>
      </c>
      <c r="H46" s="78"/>
    </row>
    <row r="47" spans="1:8" s="160" customFormat="1" ht="32.25" customHeight="1">
      <c r="A47" s="106">
        <v>12</v>
      </c>
      <c r="B47" s="142" t="s">
        <v>107</v>
      </c>
      <c r="C47" s="174" t="s">
        <v>108</v>
      </c>
      <c r="D47" s="154" t="s">
        <v>437</v>
      </c>
      <c r="E47" s="155" t="s">
        <v>438</v>
      </c>
      <c r="F47" s="178">
        <v>14000</v>
      </c>
      <c r="H47" s="78"/>
    </row>
    <row r="48" spans="1:8" s="160" customFormat="1" ht="32.25" customHeight="1">
      <c r="A48" s="106">
        <v>13</v>
      </c>
      <c r="B48" s="142" t="s">
        <v>111</v>
      </c>
      <c r="C48" s="142" t="s">
        <v>112</v>
      </c>
      <c r="D48" s="154" t="s">
        <v>421</v>
      </c>
      <c r="E48" s="155" t="s">
        <v>439</v>
      </c>
      <c r="F48" s="178">
        <v>7000</v>
      </c>
      <c r="H48" s="78"/>
    </row>
    <row r="49" spans="1:8" s="160" customFormat="1" ht="32.25" customHeight="1">
      <c r="A49" s="106">
        <v>14</v>
      </c>
      <c r="B49" s="142" t="s">
        <v>30</v>
      </c>
      <c r="C49" s="174" t="s">
        <v>115</v>
      </c>
      <c r="D49" s="154" t="s">
        <v>395</v>
      </c>
      <c r="E49" s="155" t="s">
        <v>440</v>
      </c>
      <c r="F49" s="178">
        <v>3450</v>
      </c>
      <c r="H49" s="78"/>
    </row>
    <row r="50" spans="1:8" s="160" customFormat="1" ht="32.25" customHeight="1">
      <c r="A50" s="106">
        <v>15</v>
      </c>
      <c r="B50" s="142" t="s">
        <v>23</v>
      </c>
      <c r="C50" s="174" t="s">
        <v>126</v>
      </c>
      <c r="D50" s="154" t="s">
        <v>426</v>
      </c>
      <c r="E50" s="155" t="s">
        <v>441</v>
      </c>
      <c r="F50" s="178">
        <v>4600</v>
      </c>
      <c r="H50" s="78"/>
    </row>
    <row r="51" spans="1:8" ht="32.25" customHeight="1" thickBot="1">
      <c r="A51" s="39"/>
      <c r="B51" s="50" t="s">
        <v>19</v>
      </c>
      <c r="C51" s="50"/>
      <c r="D51" s="54"/>
      <c r="E51" s="55"/>
      <c r="F51" s="56">
        <v>104720</v>
      </c>
      <c r="H51" s="467">
        <f>SUM(F36:F50)</f>
        <v>104720</v>
      </c>
    </row>
    <row r="52" spans="1:8" ht="32.25" customHeight="1" thickTop="1">
      <c r="A52" s="39"/>
      <c r="B52" s="141" t="s">
        <v>167</v>
      </c>
      <c r="C52" s="142"/>
      <c r="D52" s="34"/>
      <c r="E52" s="35"/>
      <c r="F52" s="36"/>
    </row>
    <row r="53" spans="1:8" s="160" customFormat="1" ht="32.25" customHeight="1">
      <c r="A53" s="106">
        <v>1</v>
      </c>
      <c r="B53" s="142" t="s">
        <v>23</v>
      </c>
      <c r="C53" s="142" t="s">
        <v>168</v>
      </c>
      <c r="D53" s="276" t="s">
        <v>426</v>
      </c>
      <c r="E53" s="277" t="s">
        <v>443</v>
      </c>
      <c r="F53" s="278">
        <v>10925</v>
      </c>
      <c r="H53" s="78"/>
    </row>
    <row r="54" spans="1:8" s="160" customFormat="1" ht="32.25" customHeight="1">
      <c r="A54" s="106">
        <v>2</v>
      </c>
      <c r="B54" s="142" t="s">
        <v>69</v>
      </c>
      <c r="C54" s="142" t="s">
        <v>170</v>
      </c>
      <c r="D54" s="276" t="s">
        <v>428</v>
      </c>
      <c r="E54" s="277" t="s">
        <v>444</v>
      </c>
      <c r="F54" s="278">
        <v>1840</v>
      </c>
      <c r="H54" s="78"/>
    </row>
    <row r="55" spans="1:8" s="160" customFormat="1" ht="32.25" customHeight="1">
      <c r="A55" s="106">
        <v>3</v>
      </c>
      <c r="B55" s="142" t="s">
        <v>27</v>
      </c>
      <c r="C55" s="142" t="s">
        <v>172</v>
      </c>
      <c r="D55" s="276" t="s">
        <v>424</v>
      </c>
      <c r="E55" s="277" t="s">
        <v>445</v>
      </c>
      <c r="F55" s="278">
        <v>1100</v>
      </c>
      <c r="H55" s="78"/>
    </row>
    <row r="56" spans="1:8" s="160" customFormat="1" ht="32.25" customHeight="1">
      <c r="A56" s="106">
        <v>4</v>
      </c>
      <c r="B56" s="142" t="s">
        <v>77</v>
      </c>
      <c r="C56" s="142" t="s">
        <v>174</v>
      </c>
      <c r="D56" s="276" t="s">
        <v>430</v>
      </c>
      <c r="E56" s="277" t="s">
        <v>446</v>
      </c>
      <c r="F56" s="278">
        <v>920</v>
      </c>
      <c r="H56" s="78"/>
    </row>
    <row r="57" spans="1:8" s="160" customFormat="1" ht="32.25" customHeight="1">
      <c r="A57" s="106">
        <v>5</v>
      </c>
      <c r="B57" s="142" t="s">
        <v>176</v>
      </c>
      <c r="C57" s="142" t="s">
        <v>177</v>
      </c>
      <c r="D57" s="276" t="s">
        <v>407</v>
      </c>
      <c r="E57" s="277" t="s">
        <v>447</v>
      </c>
      <c r="F57" s="278">
        <v>2300</v>
      </c>
      <c r="H57" s="78"/>
    </row>
    <row r="58" spans="1:8" ht="32.25" customHeight="1" thickBot="1">
      <c r="A58" s="39"/>
      <c r="B58" s="50" t="s">
        <v>19</v>
      </c>
      <c r="C58" s="50"/>
      <c r="D58" s="54"/>
      <c r="E58" s="55"/>
      <c r="F58" s="56">
        <v>17085</v>
      </c>
      <c r="H58" s="467">
        <f>SUM(F53:F57)</f>
        <v>17085</v>
      </c>
    </row>
    <row r="59" spans="1:8" ht="32.25" hidden="1" customHeight="1" thickBot="1">
      <c r="A59" s="39"/>
      <c r="B59" s="58" t="s">
        <v>184</v>
      </c>
      <c r="C59" s="59"/>
      <c r="D59" s="65"/>
      <c r="E59" s="66"/>
      <c r="F59" s="67"/>
    </row>
    <row r="60" spans="1:8" ht="32.25" hidden="1" customHeight="1" thickTop="1">
      <c r="A60" s="39">
        <v>1</v>
      </c>
      <c r="B60" s="40"/>
      <c r="C60" s="41"/>
      <c r="D60" s="44"/>
      <c r="E60" s="45"/>
      <c r="F60" s="46"/>
    </row>
    <row r="61" spans="1:8" ht="32.25" hidden="1" customHeight="1" thickTop="1">
      <c r="A61" s="39"/>
      <c r="B61" s="50" t="s">
        <v>19</v>
      </c>
      <c r="C61" s="50"/>
      <c r="D61" s="54"/>
      <c r="E61" s="55"/>
      <c r="F61" s="56"/>
    </row>
    <row r="62" spans="1:8" ht="32.25" hidden="1" customHeight="1" thickTop="1">
      <c r="A62" s="39"/>
      <c r="B62" s="58" t="s">
        <v>185</v>
      </c>
      <c r="C62" s="59"/>
      <c r="D62" s="65"/>
      <c r="E62" s="66"/>
      <c r="F62" s="67"/>
    </row>
    <row r="63" spans="1:8" ht="32.25" hidden="1" customHeight="1" thickTop="1">
      <c r="A63" s="39">
        <v>1</v>
      </c>
      <c r="B63" s="40"/>
      <c r="C63" s="41"/>
      <c r="D63" s="284"/>
      <c r="E63" s="285"/>
      <c r="F63" s="286"/>
    </row>
    <row r="64" spans="1:8" ht="32.25" hidden="1" customHeight="1" thickTop="1">
      <c r="A64" s="39"/>
      <c r="B64" s="50" t="s">
        <v>19</v>
      </c>
      <c r="C64" s="50"/>
      <c r="D64" s="54"/>
      <c r="E64" s="55"/>
      <c r="F64" s="56"/>
    </row>
    <row r="65" spans="1:8" ht="32.25" customHeight="1" thickTop="1">
      <c r="A65" s="39"/>
      <c r="B65" s="58" t="s">
        <v>186</v>
      </c>
      <c r="C65" s="59"/>
      <c r="D65" s="65"/>
      <c r="E65" s="66"/>
      <c r="F65" s="67"/>
    </row>
    <row r="66" spans="1:8" s="160" customFormat="1" ht="32.25" customHeight="1">
      <c r="A66" s="116">
        <v>1</v>
      </c>
      <c r="B66" s="41" t="s">
        <v>23</v>
      </c>
      <c r="C66" s="41" t="s">
        <v>187</v>
      </c>
      <c r="D66" s="288" t="s">
        <v>426</v>
      </c>
      <c r="E66" s="289" t="s">
        <v>448</v>
      </c>
      <c r="F66" s="290">
        <v>2140</v>
      </c>
      <c r="H66" s="78"/>
    </row>
    <row r="67" spans="1:8" s="160" customFormat="1" ht="32.25" customHeight="1">
      <c r="A67" s="116">
        <v>2</v>
      </c>
      <c r="B67" s="142" t="s">
        <v>23</v>
      </c>
      <c r="C67" s="142" t="s">
        <v>189</v>
      </c>
      <c r="D67" s="296" t="s">
        <v>417</v>
      </c>
      <c r="E67" s="297" t="s">
        <v>449</v>
      </c>
      <c r="F67" s="290">
        <v>24513.7</v>
      </c>
      <c r="H67" s="78"/>
    </row>
    <row r="68" spans="1:8" s="160" customFormat="1" ht="32.25" customHeight="1">
      <c r="A68" s="116">
        <v>3</v>
      </c>
      <c r="B68" s="142" t="s">
        <v>192</v>
      </c>
      <c r="C68" s="142" t="s">
        <v>193</v>
      </c>
      <c r="D68" s="288" t="s">
        <v>395</v>
      </c>
      <c r="E68" s="289" t="s">
        <v>450</v>
      </c>
      <c r="F68" s="290">
        <v>866.7</v>
      </c>
      <c r="H68" s="78"/>
    </row>
    <row r="69" spans="1:8" ht="32.25" customHeight="1">
      <c r="A69" s="106">
        <v>4</v>
      </c>
      <c r="B69" s="300" t="s">
        <v>195</v>
      </c>
      <c r="C69" s="300" t="s">
        <v>193</v>
      </c>
      <c r="D69" s="288" t="s">
        <v>411</v>
      </c>
      <c r="E69" s="289" t="s">
        <v>451</v>
      </c>
      <c r="F69" s="290">
        <v>8260.4</v>
      </c>
    </row>
    <row r="70" spans="1:8" ht="32.25" customHeight="1">
      <c r="A70" s="39">
        <v>5</v>
      </c>
      <c r="B70" s="142" t="s">
        <v>406</v>
      </c>
      <c r="C70" s="142" t="s">
        <v>193</v>
      </c>
      <c r="D70" s="306" t="s">
        <v>419</v>
      </c>
      <c r="E70" s="307" t="s">
        <v>452</v>
      </c>
      <c r="F70" s="308">
        <v>1187.7</v>
      </c>
    </row>
    <row r="71" spans="1:8" ht="32.25" customHeight="1">
      <c r="A71" s="39">
        <v>6</v>
      </c>
      <c r="B71" s="142" t="s">
        <v>403</v>
      </c>
      <c r="C71" s="142" t="s">
        <v>193</v>
      </c>
      <c r="D71" s="34" t="s">
        <v>395</v>
      </c>
      <c r="E71" s="35" t="s">
        <v>453</v>
      </c>
      <c r="F71" s="36">
        <v>5831.5</v>
      </c>
    </row>
    <row r="72" spans="1:8" ht="32.25" customHeight="1" thickBot="1">
      <c r="A72" s="39"/>
      <c r="B72" s="50" t="s">
        <v>19</v>
      </c>
      <c r="C72" s="50"/>
      <c r="D72" s="54"/>
      <c r="E72" s="55"/>
      <c r="F72" s="56">
        <v>42800</v>
      </c>
      <c r="H72" s="425">
        <f>SUM(F66:F71)</f>
        <v>42800</v>
      </c>
    </row>
    <row r="73" spans="1:8" ht="32.25" customHeight="1" thickTop="1">
      <c r="A73" s="39"/>
      <c r="B73" s="58" t="s">
        <v>207</v>
      </c>
      <c r="C73" s="59"/>
      <c r="D73" s="65"/>
      <c r="E73" s="66"/>
      <c r="F73" s="67"/>
    </row>
    <row r="74" spans="1:8" ht="32.25" customHeight="1">
      <c r="A74" s="39">
        <v>1</v>
      </c>
      <c r="B74" s="40" t="s">
        <v>69</v>
      </c>
      <c r="C74" s="41" t="s">
        <v>208</v>
      </c>
      <c r="D74" s="343" t="s">
        <v>407</v>
      </c>
      <c r="E74" s="344" t="s">
        <v>454</v>
      </c>
      <c r="F74" s="345">
        <v>100</v>
      </c>
    </row>
    <row r="75" spans="1:8" ht="32.25" customHeight="1" thickBot="1">
      <c r="A75" s="39"/>
      <c r="B75" s="50" t="s">
        <v>19</v>
      </c>
      <c r="C75" s="50"/>
      <c r="D75" s="54"/>
      <c r="E75" s="55"/>
      <c r="F75" s="56">
        <v>100</v>
      </c>
      <c r="H75" s="425">
        <f>SUM(F74)</f>
        <v>100</v>
      </c>
    </row>
    <row r="76" spans="1:8" ht="32.25" customHeight="1" thickTop="1">
      <c r="A76" s="39"/>
      <c r="B76" s="141" t="s">
        <v>210</v>
      </c>
      <c r="C76" s="142"/>
      <c r="D76" s="34"/>
      <c r="E76" s="35"/>
      <c r="F76" s="36"/>
    </row>
    <row r="77" spans="1:8" s="160" customFormat="1" ht="32.25" customHeight="1">
      <c r="A77" s="106">
        <v>1</v>
      </c>
      <c r="B77" s="142" t="s">
        <v>52</v>
      </c>
      <c r="C77" s="174" t="s">
        <v>211</v>
      </c>
      <c r="D77" s="343" t="s">
        <v>421</v>
      </c>
      <c r="E77" s="277" t="s">
        <v>455</v>
      </c>
      <c r="F77" s="278">
        <v>518</v>
      </c>
      <c r="H77" s="78"/>
    </row>
    <row r="78" spans="1:8" s="160" customFormat="1" ht="32.25" customHeight="1">
      <c r="A78" s="106">
        <v>2</v>
      </c>
      <c r="B78" s="142" t="s">
        <v>60</v>
      </c>
      <c r="C78" s="174" t="s">
        <v>215</v>
      </c>
      <c r="D78" s="343" t="s">
        <v>421</v>
      </c>
      <c r="E78" s="277" t="s">
        <v>456</v>
      </c>
      <c r="F78" s="278">
        <v>259</v>
      </c>
      <c r="H78" s="78"/>
    </row>
    <row r="79" spans="1:8" s="160" customFormat="1" ht="32.25" customHeight="1">
      <c r="A79" s="106">
        <v>3</v>
      </c>
      <c r="B79" s="142" t="s">
        <v>27</v>
      </c>
      <c r="C79" s="174" t="s">
        <v>217</v>
      </c>
      <c r="D79" s="343" t="s">
        <v>424</v>
      </c>
      <c r="E79" s="277" t="s">
        <v>457</v>
      </c>
      <c r="F79" s="278">
        <v>259</v>
      </c>
      <c r="H79" s="78"/>
    </row>
    <row r="80" spans="1:8" s="160" customFormat="1" ht="32.25" customHeight="1">
      <c r="A80" s="106">
        <v>4</v>
      </c>
      <c r="B80" s="168" t="s">
        <v>42</v>
      </c>
      <c r="C80" s="174" t="s">
        <v>219</v>
      </c>
      <c r="D80" s="343" t="s">
        <v>426</v>
      </c>
      <c r="E80" s="277" t="s">
        <v>458</v>
      </c>
      <c r="F80" s="278">
        <v>259</v>
      </c>
      <c r="H80" s="78"/>
    </row>
    <row r="81" spans="1:8" s="160" customFormat="1" ht="32.25" customHeight="1">
      <c r="A81" s="106">
        <v>5</v>
      </c>
      <c r="B81" s="142" t="s">
        <v>69</v>
      </c>
      <c r="C81" s="174" t="s">
        <v>221</v>
      </c>
      <c r="D81" s="343" t="s">
        <v>428</v>
      </c>
      <c r="E81" s="277" t="s">
        <v>459</v>
      </c>
      <c r="F81" s="278">
        <v>518</v>
      </c>
      <c r="H81" s="78"/>
    </row>
    <row r="82" spans="1:8" s="160" customFormat="1" ht="32.25" customHeight="1">
      <c r="A82" s="106">
        <v>6</v>
      </c>
      <c r="B82" s="142" t="s">
        <v>77</v>
      </c>
      <c r="C82" s="174" t="s">
        <v>224</v>
      </c>
      <c r="D82" s="343" t="s">
        <v>430</v>
      </c>
      <c r="E82" s="277" t="s">
        <v>460</v>
      </c>
      <c r="F82" s="278">
        <v>259</v>
      </c>
      <c r="H82" s="78"/>
    </row>
    <row r="83" spans="1:8" s="160" customFormat="1" ht="32.25" customHeight="1">
      <c r="A83" s="106">
        <v>7</v>
      </c>
      <c r="B83" s="142" t="s">
        <v>77</v>
      </c>
      <c r="C83" s="174" t="s">
        <v>226</v>
      </c>
      <c r="D83" s="343" t="s">
        <v>430</v>
      </c>
      <c r="E83" s="277" t="s">
        <v>460</v>
      </c>
      <c r="F83" s="278">
        <v>259</v>
      </c>
      <c r="H83" s="78"/>
    </row>
    <row r="84" spans="1:8" s="160" customFormat="1" ht="32.25" customHeight="1">
      <c r="A84" s="106">
        <v>8</v>
      </c>
      <c r="B84" s="142" t="s">
        <v>83</v>
      </c>
      <c r="C84" s="174" t="s">
        <v>228</v>
      </c>
      <c r="D84" s="343" t="s">
        <v>432</v>
      </c>
      <c r="E84" s="277" t="s">
        <v>461</v>
      </c>
      <c r="F84" s="278">
        <v>259</v>
      </c>
      <c r="H84" s="78"/>
    </row>
    <row r="85" spans="1:8" s="160" customFormat="1" ht="32.25" customHeight="1">
      <c r="A85" s="106">
        <v>9</v>
      </c>
      <c r="B85" s="142" t="s">
        <v>87</v>
      </c>
      <c r="C85" s="174" t="s">
        <v>230</v>
      </c>
      <c r="D85" s="343" t="s">
        <v>395</v>
      </c>
      <c r="E85" s="277" t="s">
        <v>462</v>
      </c>
      <c r="F85" s="278">
        <v>259</v>
      </c>
      <c r="H85" s="78"/>
    </row>
    <row r="86" spans="1:8" s="160" customFormat="1" ht="32.25" customHeight="1">
      <c r="A86" s="106">
        <v>10</v>
      </c>
      <c r="B86" s="142" t="s">
        <v>99</v>
      </c>
      <c r="C86" s="174" t="s">
        <v>238</v>
      </c>
      <c r="D86" s="343" t="s">
        <v>424</v>
      </c>
      <c r="E86" s="277" t="s">
        <v>463</v>
      </c>
      <c r="F86" s="278">
        <v>6750</v>
      </c>
      <c r="H86" s="78"/>
    </row>
    <row r="87" spans="1:8" ht="32.25" customHeight="1" thickBot="1">
      <c r="A87" s="39"/>
      <c r="B87" s="50" t="s">
        <v>19</v>
      </c>
      <c r="C87" s="50"/>
      <c r="D87" s="54"/>
      <c r="E87" s="55"/>
      <c r="F87" s="56">
        <v>9599</v>
      </c>
      <c r="H87" s="467">
        <f>SUM(F77:F86)</f>
        <v>9599</v>
      </c>
    </row>
    <row r="88" spans="1:8" ht="32.25" customHeight="1" thickTop="1" thickBot="1">
      <c r="A88" s="396"/>
      <c r="B88" s="397" t="s">
        <v>309</v>
      </c>
      <c r="C88" s="398"/>
      <c r="D88" s="399">
        <v>0</v>
      </c>
      <c r="E88" s="399">
        <v>0</v>
      </c>
      <c r="F88" s="399">
        <v>181582.47</v>
      </c>
      <c r="H88" s="468">
        <f>SUM(H8:H87)</f>
        <v>181582.47</v>
      </c>
    </row>
    <row r="89" spans="1:8" ht="27.6" thickTop="1">
      <c r="D89" s="404"/>
      <c r="E89" s="404"/>
      <c r="F89" s="2"/>
    </row>
    <row r="90" spans="1:8">
      <c r="D90" s="404"/>
      <c r="E90" s="404"/>
      <c r="F90" s="2"/>
    </row>
    <row r="91" spans="1:8">
      <c r="D91" s="404"/>
      <c r="E91" s="404"/>
      <c r="F91" s="2"/>
    </row>
    <row r="92" spans="1:8">
      <c r="D92" s="404"/>
      <c r="E92" s="404"/>
      <c r="F92" s="2"/>
    </row>
    <row r="93" spans="1:8">
      <c r="D93" s="404"/>
      <c r="E93" s="404"/>
      <c r="F93" s="2"/>
    </row>
    <row r="94" spans="1:8" s="406" customFormat="1" ht="32.25" customHeight="1">
      <c r="A94" s="2"/>
      <c r="B94" s="643"/>
      <c r="C94" s="642"/>
      <c r="D94" s="410"/>
      <c r="E94" s="411"/>
      <c r="F94" s="417"/>
      <c r="H94" s="425"/>
    </row>
    <row r="95" spans="1:8" s="406" customFormat="1" ht="32.25" customHeight="1">
      <c r="A95" s="2"/>
      <c r="B95" s="413"/>
      <c r="C95" s="415"/>
      <c r="D95" s="2"/>
      <c r="E95" s="411"/>
      <c r="F95" s="416"/>
      <c r="H95" s="425"/>
    </row>
    <row r="96" spans="1:8" s="406" customFormat="1" ht="32.25" customHeight="1">
      <c r="A96" s="2"/>
      <c r="B96" s="413"/>
      <c r="C96" s="409"/>
      <c r="D96" s="410"/>
      <c r="E96" s="641"/>
      <c r="F96" s="642"/>
      <c r="H96" s="425"/>
    </row>
  </sheetData>
  <mergeCells count="8">
    <mergeCell ref="E96:F96"/>
    <mergeCell ref="B94:C94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E4C6-FDD0-4331-9D90-A338EFD056A4}">
  <sheetPr>
    <tabColor rgb="FFFFFF00"/>
  </sheetPr>
  <dimension ref="A1:I45"/>
  <sheetViews>
    <sheetView zoomScale="70" zoomScaleNormal="70" workbookViewId="0">
      <pane ySplit="6" topLeftCell="A17" activePane="bottomLeft" state="frozen"/>
      <selection pane="bottomLeft" activeCell="I39" sqref="I39"/>
    </sheetView>
  </sheetViews>
  <sheetFormatPr defaultColWidth="12.5546875" defaultRowHeight="24.6"/>
  <cols>
    <col min="1" max="1" width="5.6640625" style="2" customWidth="1"/>
    <col min="2" max="2" width="42.5546875" style="2" customWidth="1"/>
    <col min="3" max="3" width="31.44140625" style="2" customWidth="1"/>
    <col min="4" max="4" width="31.44140625" style="439" customWidth="1"/>
    <col min="5" max="5" width="20.5546875" style="404" customWidth="1"/>
    <col min="6" max="6" width="8.109375" style="405" customWidth="1"/>
    <col min="7" max="7" width="20" style="2" customWidth="1"/>
    <col min="8" max="8" width="12.5546875" style="2"/>
    <col min="9" max="9" width="12.5546875" style="422"/>
    <col min="10" max="16384" width="12.5546875" style="2"/>
  </cols>
  <sheetData>
    <row r="1" spans="1:9" ht="22.5" customHeight="1">
      <c r="A1" s="643" t="s">
        <v>0</v>
      </c>
      <c r="B1" s="642"/>
      <c r="C1" s="642"/>
      <c r="D1" s="642"/>
      <c r="E1" s="642"/>
      <c r="F1" s="642"/>
      <c r="G1" s="642"/>
    </row>
    <row r="2" spans="1:9" ht="27" customHeight="1">
      <c r="A2" s="643" t="s">
        <v>1</v>
      </c>
      <c r="B2" s="642"/>
      <c r="C2" s="642"/>
      <c r="D2" s="642"/>
      <c r="E2" s="642"/>
      <c r="F2" s="642"/>
      <c r="G2" s="642"/>
    </row>
    <row r="3" spans="1:9" ht="22.5" customHeight="1">
      <c r="A3" s="644" t="s">
        <v>394</v>
      </c>
      <c r="B3" s="645"/>
      <c r="C3" s="645"/>
      <c r="D3" s="645"/>
      <c r="E3" s="645"/>
      <c r="F3" s="645"/>
      <c r="G3" s="645"/>
    </row>
    <row r="4" spans="1:9" ht="34.5" customHeight="1">
      <c r="A4" s="3" t="s">
        <v>3</v>
      </c>
      <c r="B4" s="646" t="s">
        <v>4</v>
      </c>
      <c r="C4" s="646" t="s">
        <v>5</v>
      </c>
      <c r="D4" s="426"/>
      <c r="E4" s="658" t="s">
        <v>9</v>
      </c>
      <c r="F4" s="656"/>
      <c r="G4" s="657"/>
    </row>
    <row r="5" spans="1:9" ht="24.75" customHeight="1">
      <c r="A5" s="5"/>
      <c r="B5" s="647"/>
      <c r="C5" s="647"/>
      <c r="D5" s="427"/>
      <c r="E5" s="3" t="s">
        <v>10</v>
      </c>
      <c r="F5" s="12" t="s">
        <v>11</v>
      </c>
      <c r="G5" s="419"/>
    </row>
    <row r="6" spans="1:9" ht="27.75" customHeight="1">
      <c r="A6" s="14"/>
      <c r="B6" s="648"/>
      <c r="C6" s="648"/>
      <c r="D6" s="428"/>
      <c r="E6" s="14"/>
      <c r="F6" s="24"/>
      <c r="G6" s="20" t="s">
        <v>19</v>
      </c>
    </row>
    <row r="7" spans="1:9" ht="32.25" customHeight="1">
      <c r="A7" s="39"/>
      <c r="B7" s="141" t="s">
        <v>50</v>
      </c>
      <c r="C7" s="142"/>
      <c r="D7" s="429"/>
      <c r="E7" s="114"/>
      <c r="F7" s="115"/>
      <c r="G7" s="145"/>
    </row>
    <row r="8" spans="1:9" s="160" customFormat="1" ht="32.25" customHeight="1">
      <c r="A8" s="106">
        <v>1</v>
      </c>
      <c r="B8" s="142" t="s">
        <v>52</v>
      </c>
      <c r="C8" s="150" t="s">
        <v>53</v>
      </c>
      <c r="D8" s="430">
        <v>2070</v>
      </c>
      <c r="E8" s="157"/>
      <c r="F8" s="158"/>
      <c r="G8" s="159"/>
      <c r="I8" s="422"/>
    </row>
    <row r="9" spans="1:9" ht="32.25" customHeight="1" thickBot="1">
      <c r="A9" s="39"/>
      <c r="B9" s="50" t="s">
        <v>19</v>
      </c>
      <c r="C9" s="50"/>
      <c r="D9" s="432"/>
      <c r="E9" s="57"/>
      <c r="F9" s="53"/>
      <c r="G9" s="51">
        <v>0</v>
      </c>
    </row>
    <row r="10" spans="1:9" ht="32.25" customHeight="1" thickTop="1">
      <c r="A10" s="39"/>
      <c r="B10" s="141" t="s">
        <v>129</v>
      </c>
      <c r="C10" s="142"/>
      <c r="D10" s="429"/>
      <c r="E10" s="114"/>
      <c r="F10" s="115"/>
      <c r="G10" s="38"/>
    </row>
    <row r="11" spans="1:9" ht="30" customHeight="1">
      <c r="A11" s="106">
        <v>1</v>
      </c>
      <c r="B11" s="142" t="s">
        <v>130</v>
      </c>
      <c r="C11" s="193" t="s">
        <v>131</v>
      </c>
      <c r="D11" s="433">
        <v>1811.25</v>
      </c>
      <c r="E11" s="202"/>
      <c r="F11" s="203"/>
      <c r="G11" s="207"/>
    </row>
    <row r="12" spans="1:9" ht="32.25" customHeight="1">
      <c r="A12" s="106">
        <v>2</v>
      </c>
      <c r="B12" s="142" t="s">
        <v>141</v>
      </c>
      <c r="C12" s="193" t="s">
        <v>142</v>
      </c>
      <c r="D12" s="433"/>
      <c r="E12" s="214" t="s">
        <v>442</v>
      </c>
      <c r="F12" s="212">
        <v>1</v>
      </c>
      <c r="G12" s="207">
        <v>937.09000000000071</v>
      </c>
    </row>
    <row r="13" spans="1:9" ht="32.25" customHeight="1">
      <c r="A13" s="106">
        <v>3</v>
      </c>
      <c r="B13" s="142" t="s">
        <v>145</v>
      </c>
      <c r="C13" s="193" t="s">
        <v>146</v>
      </c>
      <c r="D13" s="433">
        <v>466.7</v>
      </c>
      <c r="E13" s="220"/>
      <c r="F13" s="115"/>
      <c r="G13" s="207"/>
    </row>
    <row r="14" spans="1:9" s="230" customFormat="1" ht="32.25" customHeight="1">
      <c r="A14" s="106">
        <v>4</v>
      </c>
      <c r="B14" s="222" t="s">
        <v>149</v>
      </c>
      <c r="C14" s="222" t="s">
        <v>150</v>
      </c>
      <c r="D14" s="469">
        <v>7273.76</v>
      </c>
      <c r="E14" s="227"/>
      <c r="F14" s="228"/>
      <c r="G14" s="207"/>
      <c r="I14" s="473"/>
    </row>
    <row r="15" spans="1:9" s="237" customFormat="1" ht="32.25" customHeight="1">
      <c r="A15" s="106">
        <v>5</v>
      </c>
      <c r="B15" s="222" t="s">
        <v>152</v>
      </c>
      <c r="C15" s="193" t="s">
        <v>153</v>
      </c>
      <c r="D15" s="433">
        <v>4024.96</v>
      </c>
      <c r="E15" s="227"/>
      <c r="F15" s="228"/>
      <c r="G15" s="207"/>
      <c r="H15" s="2"/>
      <c r="I15" s="422"/>
    </row>
    <row r="16" spans="1:9" s="259" customFormat="1" ht="32.25" customHeight="1">
      <c r="A16" s="106">
        <v>6</v>
      </c>
      <c r="B16" s="242" t="s">
        <v>52</v>
      </c>
      <c r="C16" s="243" t="s">
        <v>155</v>
      </c>
      <c r="D16" s="470"/>
      <c r="E16" s="254" t="s">
        <v>442</v>
      </c>
      <c r="F16" s="255">
        <v>1</v>
      </c>
      <c r="G16" s="207">
        <v>108.34000000000019</v>
      </c>
      <c r="I16" s="474"/>
    </row>
    <row r="17" spans="1:9" ht="41.25" customHeight="1">
      <c r="A17" s="106">
        <v>7</v>
      </c>
      <c r="B17" s="142" t="s">
        <v>158</v>
      </c>
      <c r="C17" s="142" t="s">
        <v>159</v>
      </c>
      <c r="D17" s="429">
        <v>1341.65</v>
      </c>
      <c r="E17" s="214"/>
      <c r="F17" s="212"/>
      <c r="G17" s="207"/>
    </row>
    <row r="18" spans="1:9" ht="32.25" customHeight="1" thickBot="1">
      <c r="A18" s="39"/>
      <c r="B18" s="50" t="s">
        <v>19</v>
      </c>
      <c r="C18" s="50"/>
      <c r="D18" s="432"/>
      <c r="E18" s="51"/>
      <c r="F18" s="51">
        <v>0</v>
      </c>
      <c r="G18" s="51">
        <v>1045.4300000000014</v>
      </c>
      <c r="I18" s="475">
        <f>SUM(G12:G16)</f>
        <v>1045.430000000001</v>
      </c>
    </row>
    <row r="19" spans="1:9" ht="32.25" hidden="1" customHeight="1" thickBot="1">
      <c r="A19" s="39"/>
      <c r="B19" s="58" t="s">
        <v>184</v>
      </c>
      <c r="C19" s="59"/>
      <c r="D19" s="434"/>
      <c r="E19" s="68"/>
      <c r="F19" s="62"/>
      <c r="G19" s="70"/>
    </row>
    <row r="20" spans="1:9" ht="32.25" hidden="1" customHeight="1" thickTop="1">
      <c r="A20" s="39">
        <v>1</v>
      </c>
      <c r="B20" s="40"/>
      <c r="C20" s="41"/>
      <c r="D20" s="471"/>
      <c r="E20" s="5"/>
      <c r="F20" s="43"/>
      <c r="G20" s="49"/>
    </row>
    <row r="21" spans="1:9" ht="32.25" hidden="1" customHeight="1" thickTop="1">
      <c r="A21" s="39"/>
      <c r="B21" s="50" t="s">
        <v>19</v>
      </c>
      <c r="C21" s="50"/>
      <c r="D21" s="432"/>
      <c r="E21" s="57"/>
      <c r="F21" s="53"/>
      <c r="G21" s="51"/>
    </row>
    <row r="22" spans="1:9" ht="32.25" hidden="1" customHeight="1" thickTop="1">
      <c r="A22" s="39"/>
      <c r="B22" s="58" t="s">
        <v>185</v>
      </c>
      <c r="C22" s="59"/>
      <c r="D22" s="434"/>
      <c r="E22" s="68"/>
      <c r="F22" s="62"/>
      <c r="G22" s="70"/>
    </row>
    <row r="23" spans="1:9" ht="32.25" hidden="1" customHeight="1" thickTop="1">
      <c r="A23" s="39">
        <v>1</v>
      </c>
      <c r="B23" s="40"/>
      <c r="C23" s="41"/>
      <c r="D23" s="471"/>
      <c r="E23" s="5"/>
      <c r="F23" s="43"/>
      <c r="G23" s="49"/>
    </row>
    <row r="24" spans="1:9" ht="32.25" hidden="1" customHeight="1" thickTop="1">
      <c r="A24" s="39"/>
      <c r="B24" s="50" t="s">
        <v>19</v>
      </c>
      <c r="C24" s="50"/>
      <c r="D24" s="432"/>
      <c r="E24" s="57"/>
      <c r="F24" s="53"/>
      <c r="G24" s="51"/>
    </row>
    <row r="25" spans="1:9" ht="32.25" customHeight="1" thickTop="1">
      <c r="A25" s="39"/>
      <c r="B25" s="58" t="s">
        <v>186</v>
      </c>
      <c r="C25" s="59"/>
      <c r="D25" s="434"/>
      <c r="E25" s="68"/>
      <c r="F25" s="62"/>
      <c r="G25" s="70"/>
    </row>
    <row r="26" spans="1:9" ht="32.25" customHeight="1">
      <c r="A26" s="106">
        <v>1</v>
      </c>
      <c r="B26" s="300" t="s">
        <v>195</v>
      </c>
      <c r="C26" s="300" t="s">
        <v>193</v>
      </c>
      <c r="D26" s="435"/>
      <c r="E26" s="302" t="s">
        <v>442</v>
      </c>
      <c r="F26" s="303">
        <v>1</v>
      </c>
      <c r="G26" s="77">
        <v>2921.1000000000004</v>
      </c>
    </row>
    <row r="27" spans="1:9" ht="32.25" customHeight="1" thickBot="1">
      <c r="A27" s="39"/>
      <c r="B27" s="50" t="s">
        <v>19</v>
      </c>
      <c r="C27" s="50"/>
      <c r="D27" s="432"/>
      <c r="E27" s="57"/>
      <c r="F27" s="53"/>
      <c r="G27" s="51">
        <v>2921.1000000000004</v>
      </c>
      <c r="I27" s="475">
        <f>SUM(G26)</f>
        <v>2921.1000000000004</v>
      </c>
    </row>
    <row r="28" spans="1:9" ht="32.25" customHeight="1" thickTop="1">
      <c r="A28" s="39"/>
      <c r="B28" s="141" t="s">
        <v>210</v>
      </c>
      <c r="C28" s="142"/>
      <c r="D28" s="429"/>
      <c r="E28" s="114"/>
      <c r="F28" s="115"/>
      <c r="G28" s="145"/>
    </row>
    <row r="29" spans="1:9" s="160" customFormat="1" ht="32.25" customHeight="1">
      <c r="A29" s="106">
        <v>1</v>
      </c>
      <c r="B29" s="142" t="s">
        <v>52</v>
      </c>
      <c r="C29" s="174" t="s">
        <v>211</v>
      </c>
      <c r="D29" s="431">
        <v>259</v>
      </c>
      <c r="E29" s="347"/>
      <c r="F29" s="348"/>
      <c r="G29" s="159"/>
      <c r="I29" s="422"/>
    </row>
    <row r="30" spans="1:9" s="160" customFormat="1" ht="32.25" customHeight="1">
      <c r="A30" s="106">
        <v>2</v>
      </c>
      <c r="B30" s="142" t="s">
        <v>141</v>
      </c>
      <c r="C30" s="193" t="s">
        <v>240</v>
      </c>
      <c r="D30" s="433"/>
      <c r="E30" s="368" t="s">
        <v>442</v>
      </c>
      <c r="F30" s="362">
        <v>1</v>
      </c>
      <c r="G30" s="159">
        <v>114.5</v>
      </c>
      <c r="I30" s="422"/>
    </row>
    <row r="31" spans="1:9" ht="32.25" customHeight="1">
      <c r="A31" s="106">
        <v>3</v>
      </c>
      <c r="B31" s="222" t="s">
        <v>52</v>
      </c>
      <c r="C31" s="193" t="s">
        <v>243</v>
      </c>
      <c r="D31" s="433"/>
      <c r="E31" s="368" t="s">
        <v>442</v>
      </c>
      <c r="F31" s="362">
        <v>1</v>
      </c>
      <c r="G31" s="159">
        <v>11.5</v>
      </c>
    </row>
    <row r="32" spans="1:9" ht="32.25" customHeight="1">
      <c r="A32" s="106">
        <v>4</v>
      </c>
      <c r="B32" s="222" t="s">
        <v>152</v>
      </c>
      <c r="C32" s="193" t="s">
        <v>246</v>
      </c>
      <c r="D32" s="433">
        <v>422.48</v>
      </c>
      <c r="E32" s="374"/>
      <c r="F32" s="362"/>
      <c r="G32" s="159"/>
    </row>
    <row r="33" spans="1:9" ht="32.25" customHeight="1">
      <c r="A33" s="106">
        <v>22</v>
      </c>
      <c r="B33" s="222" t="s">
        <v>130</v>
      </c>
      <c r="C33" s="193" t="s">
        <v>250</v>
      </c>
      <c r="D33" s="436">
        <v>232.51</v>
      </c>
      <c r="E33" s="2"/>
      <c r="F33" s="362"/>
      <c r="G33" s="159">
        <v>0</v>
      </c>
    </row>
    <row r="34" spans="1:9" ht="32.25" customHeight="1">
      <c r="A34" s="116">
        <v>23</v>
      </c>
      <c r="B34" s="142" t="s">
        <v>145</v>
      </c>
      <c r="C34" s="193" t="s">
        <v>258</v>
      </c>
      <c r="D34" s="433">
        <v>58.3</v>
      </c>
      <c r="E34" s="361"/>
      <c r="F34" s="362"/>
      <c r="G34" s="159"/>
    </row>
    <row r="35" spans="1:9" ht="32.25" customHeight="1">
      <c r="A35" s="116">
        <v>24</v>
      </c>
      <c r="B35" s="142" t="s">
        <v>158</v>
      </c>
      <c r="C35" s="390" t="s">
        <v>261</v>
      </c>
      <c r="D35" s="437">
        <v>169.15</v>
      </c>
      <c r="E35" s="361"/>
      <c r="F35" s="362"/>
      <c r="G35" s="159"/>
    </row>
    <row r="36" spans="1:9" ht="32.25" customHeight="1" thickBot="1">
      <c r="A36" s="39"/>
      <c r="B36" s="50" t="s">
        <v>19</v>
      </c>
      <c r="C36" s="50"/>
      <c r="D36" s="432"/>
      <c r="E36" s="57"/>
      <c r="F36" s="53"/>
      <c r="G36" s="51">
        <v>125.99999999999993</v>
      </c>
      <c r="I36" s="475">
        <f>SUM(G29:G35)</f>
        <v>126</v>
      </c>
    </row>
    <row r="37" spans="1:9" ht="32.25" customHeight="1" thickTop="1" thickBot="1">
      <c r="A37" s="396"/>
      <c r="B37" s="397" t="s">
        <v>309</v>
      </c>
      <c r="C37" s="398"/>
      <c r="D37" s="438"/>
      <c r="E37" s="399">
        <v>0</v>
      </c>
      <c r="F37" s="399">
        <v>0</v>
      </c>
      <c r="G37" s="399">
        <v>4092.5300000000016</v>
      </c>
      <c r="I37" s="476">
        <f>SUM(I7:I36)</f>
        <v>4092.5300000000016</v>
      </c>
    </row>
    <row r="38" spans="1:9" ht="25.2" thickTop="1"/>
    <row r="43" spans="1:9" s="406" customFormat="1" ht="32.25" customHeight="1">
      <c r="A43" s="2"/>
      <c r="B43" s="643"/>
      <c r="C43" s="642"/>
      <c r="D43" s="439"/>
      <c r="E43" s="642"/>
      <c r="F43" s="642"/>
      <c r="G43" s="2"/>
      <c r="I43" s="423"/>
    </row>
    <row r="44" spans="1:9" s="406" customFormat="1" ht="32.25" customHeight="1">
      <c r="A44" s="2"/>
      <c r="B44" s="413"/>
      <c r="C44" s="415"/>
      <c r="D44" s="440"/>
      <c r="E44" s="642"/>
      <c r="F44" s="642"/>
      <c r="G44" s="2"/>
      <c r="I44" s="423"/>
    </row>
    <row r="45" spans="1:9" s="406" customFormat="1" ht="32.25" customHeight="1">
      <c r="A45" s="2"/>
      <c r="B45" s="413"/>
      <c r="C45" s="409"/>
      <c r="D45" s="441"/>
      <c r="E45" s="642"/>
      <c r="F45" s="642"/>
      <c r="G45" s="2"/>
      <c r="I45" s="423"/>
    </row>
  </sheetData>
  <mergeCells count="10">
    <mergeCell ref="E44:F44"/>
    <mergeCell ref="E45:F45"/>
    <mergeCell ref="B43:C43"/>
    <mergeCell ref="E43:F43"/>
    <mergeCell ref="A1:G1"/>
    <mergeCell ref="A2:G2"/>
    <mergeCell ref="A3:G3"/>
    <mergeCell ref="B4:B6"/>
    <mergeCell ref="C4:C6"/>
    <mergeCell ref="E4:G4"/>
  </mergeCells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B25FC-EEA0-461B-8324-8622D34BD44B}">
  <sheetPr>
    <tabColor rgb="FFFFFF00"/>
  </sheetPr>
  <dimension ref="A1:H21"/>
  <sheetViews>
    <sheetView zoomScale="70" zoomScaleNormal="70" workbookViewId="0">
      <pane ySplit="6" topLeftCell="A7" activePane="bottomLeft" state="frozen"/>
      <selection pane="bottomLeft" activeCell="I25" sqref="I25"/>
    </sheetView>
  </sheetViews>
  <sheetFormatPr defaultColWidth="12.5546875" defaultRowHeight="24.6"/>
  <cols>
    <col min="1" max="1" width="5.6640625" style="2" customWidth="1"/>
    <col min="2" max="2" width="42.5546875" style="2" customWidth="1"/>
    <col min="3" max="3" width="31.44140625" style="2" customWidth="1"/>
    <col min="4" max="4" width="20.5546875" style="496" customWidth="1"/>
    <col min="5" max="5" width="8.109375" style="497" customWidth="1"/>
    <col min="6" max="6" width="20" style="498" customWidth="1"/>
    <col min="7" max="7" width="12.5546875" style="2"/>
    <col min="8" max="8" width="12.5546875" style="422"/>
    <col min="9" max="16384" width="12.5546875" style="2"/>
  </cols>
  <sheetData>
    <row r="1" spans="1:8" ht="22.5" customHeight="1">
      <c r="A1" s="643" t="s">
        <v>0</v>
      </c>
      <c r="B1" s="642"/>
      <c r="C1" s="642"/>
      <c r="D1" s="642"/>
      <c r="E1" s="642"/>
      <c r="F1" s="642"/>
    </row>
    <row r="2" spans="1:8" ht="27" customHeight="1">
      <c r="A2" s="643" t="s">
        <v>1</v>
      </c>
      <c r="B2" s="642"/>
      <c r="C2" s="642"/>
      <c r="D2" s="642"/>
      <c r="E2" s="642"/>
      <c r="F2" s="642"/>
    </row>
    <row r="3" spans="1:8" ht="22.5" customHeight="1">
      <c r="A3" s="644" t="s">
        <v>394</v>
      </c>
      <c r="B3" s="645"/>
      <c r="C3" s="645"/>
      <c r="D3" s="645"/>
      <c r="E3" s="645"/>
      <c r="F3" s="645"/>
    </row>
    <row r="4" spans="1:8" ht="34.5" customHeight="1">
      <c r="A4" s="3" t="s">
        <v>3</v>
      </c>
      <c r="B4" s="646" t="s">
        <v>4</v>
      </c>
      <c r="C4" s="646" t="s">
        <v>5</v>
      </c>
      <c r="D4" s="678" t="s">
        <v>9</v>
      </c>
      <c r="E4" s="679"/>
      <c r="F4" s="680"/>
    </row>
    <row r="5" spans="1:8" ht="24.75" customHeight="1">
      <c r="A5" s="5"/>
      <c r="B5" s="647"/>
      <c r="C5" s="647"/>
      <c r="D5" s="478" t="s">
        <v>10</v>
      </c>
      <c r="E5" s="479" t="s">
        <v>11</v>
      </c>
      <c r="F5" s="477"/>
    </row>
    <row r="6" spans="1:8" ht="27.75" customHeight="1">
      <c r="A6" s="14"/>
      <c r="B6" s="648"/>
      <c r="C6" s="648"/>
      <c r="D6" s="480"/>
      <c r="E6" s="481"/>
      <c r="F6" s="482" t="s">
        <v>19</v>
      </c>
    </row>
    <row r="7" spans="1:8" ht="27.75" customHeight="1">
      <c r="A7" s="5"/>
      <c r="B7" s="418" t="s">
        <v>393</v>
      </c>
      <c r="C7" s="418"/>
      <c r="D7" s="483"/>
      <c r="E7" s="484"/>
      <c r="F7" s="485"/>
    </row>
    <row r="8" spans="1:8" ht="32.25" customHeight="1">
      <c r="A8" s="106">
        <v>1</v>
      </c>
      <c r="B8" s="142" t="s">
        <v>141</v>
      </c>
      <c r="C8" s="193" t="s">
        <v>142</v>
      </c>
      <c r="D8" s="486" t="s">
        <v>442</v>
      </c>
      <c r="E8" s="487">
        <v>1</v>
      </c>
      <c r="F8" s="488">
        <v>937.09000000000071</v>
      </c>
    </row>
    <row r="9" spans="1:8" s="259" customFormat="1" ht="32.25" customHeight="1">
      <c r="A9" s="106">
        <v>2</v>
      </c>
      <c r="B9" s="242" t="s">
        <v>52</v>
      </c>
      <c r="C9" s="243" t="s">
        <v>155</v>
      </c>
      <c r="D9" s="489" t="s">
        <v>442</v>
      </c>
      <c r="E9" s="490">
        <v>1</v>
      </c>
      <c r="F9" s="488">
        <v>108.34000000000019</v>
      </c>
      <c r="H9" s="474"/>
    </row>
    <row r="10" spans="1:8" ht="32.25" customHeight="1">
      <c r="A10" s="106">
        <v>3</v>
      </c>
      <c r="B10" s="300" t="s">
        <v>195</v>
      </c>
      <c r="C10" s="300" t="s">
        <v>193</v>
      </c>
      <c r="D10" s="491" t="s">
        <v>442</v>
      </c>
      <c r="E10" s="492">
        <v>1</v>
      </c>
      <c r="F10" s="488">
        <v>2921.1000000000004</v>
      </c>
    </row>
    <row r="11" spans="1:8" s="160" customFormat="1" ht="32.25" customHeight="1">
      <c r="A11" s="106">
        <v>4</v>
      </c>
      <c r="B11" s="142" t="s">
        <v>141</v>
      </c>
      <c r="C11" s="193" t="s">
        <v>240</v>
      </c>
      <c r="D11" s="493" t="s">
        <v>442</v>
      </c>
      <c r="E11" s="494">
        <v>1</v>
      </c>
      <c r="F11" s="488">
        <v>114.5</v>
      </c>
      <c r="H11" s="422"/>
    </row>
    <row r="12" spans="1:8" ht="32.25" customHeight="1">
      <c r="A12" s="106">
        <v>5</v>
      </c>
      <c r="B12" s="222" t="s">
        <v>52</v>
      </c>
      <c r="C12" s="193" t="s">
        <v>243</v>
      </c>
      <c r="D12" s="493" t="s">
        <v>442</v>
      </c>
      <c r="E12" s="494">
        <v>1</v>
      </c>
      <c r="F12" s="488">
        <v>11.5</v>
      </c>
    </row>
    <row r="13" spans="1:8" ht="32.25" customHeight="1" thickBot="1">
      <c r="A13" s="396"/>
      <c r="B13" s="397" t="s">
        <v>309</v>
      </c>
      <c r="C13" s="398"/>
      <c r="D13" s="495">
        <v>0</v>
      </c>
      <c r="E13" s="495">
        <v>0</v>
      </c>
      <c r="F13" s="495">
        <v>4092.5300000000016</v>
      </c>
      <c r="G13" s="472"/>
      <c r="H13" s="476">
        <v>4092.5300000000016</v>
      </c>
    </row>
    <row r="14" spans="1:8" ht="25.2" thickTop="1"/>
    <row r="19" spans="1:8" s="406" customFormat="1" ht="32.25" customHeight="1">
      <c r="A19" s="2"/>
      <c r="B19" s="643"/>
      <c r="C19" s="642"/>
      <c r="D19" s="677"/>
      <c r="E19" s="677"/>
      <c r="F19" s="498"/>
      <c r="H19" s="423"/>
    </row>
    <row r="20" spans="1:8" s="406" customFormat="1" ht="32.25" customHeight="1">
      <c r="A20" s="2"/>
      <c r="B20" s="413"/>
      <c r="C20" s="415"/>
      <c r="D20" s="677"/>
      <c r="E20" s="677"/>
      <c r="F20" s="498"/>
      <c r="H20" s="423"/>
    </row>
    <row r="21" spans="1:8" s="406" customFormat="1" ht="32.25" customHeight="1">
      <c r="A21" s="2"/>
      <c r="B21" s="413"/>
      <c r="C21" s="409"/>
      <c r="D21" s="677"/>
      <c r="E21" s="677"/>
      <c r="F21" s="498"/>
      <c r="H21" s="423"/>
    </row>
  </sheetData>
  <mergeCells count="10">
    <mergeCell ref="B19:C19"/>
    <mergeCell ref="D19:E19"/>
    <mergeCell ref="D20:E20"/>
    <mergeCell ref="D21:E21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E12A-1D8A-4A3F-AB16-0B792231F045}">
  <sheetPr>
    <tabColor rgb="FF92D050"/>
  </sheetPr>
  <dimension ref="A1:Z266"/>
  <sheetViews>
    <sheetView zoomScale="70" zoomScaleNormal="70" workbookViewId="0">
      <pane ySplit="6" topLeftCell="A244" activePane="bottomLeft" state="frozen"/>
      <selection pane="bottomLeft" activeCell="M258" sqref="M258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17.88671875" style="2" customWidth="1"/>
    <col min="5" max="5" width="16.6640625" style="404" customWidth="1"/>
    <col min="6" max="6" width="10" style="405" customWidth="1"/>
    <col min="7" max="7" width="5.5546875" style="404" customWidth="1"/>
    <col min="8" max="8" width="16.6640625" style="2" customWidth="1"/>
    <col min="9" max="9" width="13.109375" style="2" customWidth="1"/>
    <col min="10" max="10" width="17.88671875" style="2" customWidth="1"/>
    <col min="11" max="11" width="17.6640625" style="414" customWidth="1"/>
    <col min="12" max="12" width="25" style="414" customWidth="1"/>
    <col min="13" max="13" width="16.109375" style="192" customWidth="1"/>
    <col min="14" max="14" width="20.5546875" style="404" customWidth="1"/>
    <col min="15" max="15" width="8.109375" style="405" customWidth="1"/>
    <col min="16" max="16" width="12.109375" style="2" customWidth="1"/>
    <col min="17" max="17" width="17.6640625" style="406" customWidth="1"/>
    <col min="18" max="18" width="11.33203125" style="406" customWidth="1"/>
    <col min="19" max="19" width="20" style="2" customWidth="1"/>
    <col min="20" max="16384" width="12.5546875" style="2"/>
  </cols>
  <sheetData>
    <row r="1" spans="1:19" ht="22.5" customHeight="1">
      <c r="A1" s="643" t="s">
        <v>0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</row>
    <row r="2" spans="1:19" ht="27" customHeight="1">
      <c r="A2" s="643" t="s">
        <v>1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642"/>
      <c r="S2" s="642"/>
    </row>
    <row r="3" spans="1:19" ht="22.5" customHeight="1">
      <c r="A3" s="644" t="s">
        <v>310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</row>
    <row r="4" spans="1:19" ht="34.5" customHeight="1">
      <c r="A4" s="3" t="s">
        <v>3</v>
      </c>
      <c r="B4" s="646" t="s">
        <v>4</v>
      </c>
      <c r="C4" s="646" t="s">
        <v>5</v>
      </c>
      <c r="D4" s="4" t="s">
        <v>6</v>
      </c>
      <c r="E4" s="655" t="s">
        <v>7</v>
      </c>
      <c r="F4" s="656"/>
      <c r="G4" s="656"/>
      <c r="H4" s="656"/>
      <c r="I4" s="656"/>
      <c r="J4" s="657"/>
      <c r="K4" s="669" t="s">
        <v>8</v>
      </c>
      <c r="L4" s="670"/>
      <c r="M4" s="671"/>
      <c r="N4" s="658" t="s">
        <v>9</v>
      </c>
      <c r="O4" s="656"/>
      <c r="P4" s="656"/>
      <c r="Q4" s="656"/>
      <c r="R4" s="656"/>
      <c r="S4" s="657"/>
    </row>
    <row r="5" spans="1:19" ht="24.75" customHeight="1">
      <c r="A5" s="5"/>
      <c r="B5" s="647"/>
      <c r="C5" s="647"/>
      <c r="D5" s="6"/>
      <c r="E5" s="3" t="s">
        <v>10</v>
      </c>
      <c r="F5" s="7" t="s">
        <v>11</v>
      </c>
      <c r="G5" s="8" t="s">
        <v>12</v>
      </c>
      <c r="H5" s="655" t="s">
        <v>13</v>
      </c>
      <c r="I5" s="656"/>
      <c r="J5" s="657"/>
      <c r="K5" s="9" t="s">
        <v>14</v>
      </c>
      <c r="L5" s="10" t="s">
        <v>15</v>
      </c>
      <c r="M5" s="11" t="s">
        <v>16</v>
      </c>
      <c r="N5" s="3" t="s">
        <v>10</v>
      </c>
      <c r="O5" s="12" t="s">
        <v>11</v>
      </c>
      <c r="P5" s="13" t="s">
        <v>12</v>
      </c>
      <c r="Q5" s="655" t="s">
        <v>13</v>
      </c>
      <c r="R5" s="656"/>
      <c r="S5" s="657"/>
    </row>
    <row r="6" spans="1:19" ht="27.75" customHeight="1">
      <c r="A6" s="14"/>
      <c r="B6" s="648"/>
      <c r="C6" s="648"/>
      <c r="D6" s="15"/>
      <c r="E6" s="14"/>
      <c r="F6" s="16"/>
      <c r="G6" s="17" t="s">
        <v>17</v>
      </c>
      <c r="H6" s="18" t="s">
        <v>16</v>
      </c>
      <c r="I6" s="19" t="s">
        <v>18</v>
      </c>
      <c r="J6" s="20" t="s">
        <v>19</v>
      </c>
      <c r="K6" s="21"/>
      <c r="L6" s="22"/>
      <c r="M6" s="23"/>
      <c r="N6" s="14"/>
      <c r="O6" s="24"/>
      <c r="P6" s="17" t="s">
        <v>17</v>
      </c>
      <c r="Q6" s="18" t="s">
        <v>16</v>
      </c>
      <c r="R6" s="25" t="s">
        <v>18</v>
      </c>
      <c r="S6" s="20" t="s">
        <v>19</v>
      </c>
    </row>
    <row r="7" spans="1:19" ht="32.25" customHeight="1">
      <c r="A7" s="26"/>
      <c r="B7" s="27" t="s">
        <v>20</v>
      </c>
      <c r="C7" s="28"/>
      <c r="D7" s="29"/>
      <c r="E7" s="30"/>
      <c r="F7" s="31"/>
      <c r="G7" s="32"/>
      <c r="H7" s="32"/>
      <c r="I7" s="32"/>
      <c r="J7" s="33"/>
      <c r="K7" s="34"/>
      <c r="L7" s="35"/>
      <c r="M7" s="36"/>
      <c r="N7" s="30"/>
      <c r="O7" s="31"/>
      <c r="P7" s="32"/>
      <c r="Q7" s="37"/>
      <c r="R7" s="37"/>
      <c r="S7" s="38"/>
    </row>
    <row r="8" spans="1:19" ht="32.25" customHeight="1">
      <c r="A8" s="39">
        <v>1</v>
      </c>
      <c r="B8" s="40" t="s">
        <v>21</v>
      </c>
      <c r="C8" s="41"/>
      <c r="D8" s="42"/>
      <c r="E8" s="6"/>
      <c r="F8" s="43"/>
      <c r="G8" s="6"/>
      <c r="H8" s="42"/>
      <c r="I8" s="42"/>
      <c r="J8" s="42"/>
      <c r="K8" s="44"/>
      <c r="L8" s="45"/>
      <c r="M8" s="46"/>
      <c r="N8" s="5"/>
      <c r="O8" s="43"/>
      <c r="P8" s="47"/>
      <c r="Q8" s="48"/>
      <c r="R8" s="48"/>
      <c r="S8" s="49"/>
    </row>
    <row r="9" spans="1:19" ht="32.25" customHeight="1" thickBot="1">
      <c r="A9" s="39"/>
      <c r="B9" s="50" t="s">
        <v>19</v>
      </c>
      <c r="C9" s="50"/>
      <c r="D9" s="51">
        <v>0</v>
      </c>
      <c r="E9" s="52"/>
      <c r="F9" s="53"/>
      <c r="G9" s="52"/>
      <c r="H9" s="51">
        <v>0</v>
      </c>
      <c r="I9" s="51">
        <v>0</v>
      </c>
      <c r="J9" s="51">
        <v>0</v>
      </c>
      <c r="K9" s="54"/>
      <c r="L9" s="55"/>
      <c r="M9" s="56">
        <v>0</v>
      </c>
      <c r="N9" s="57"/>
      <c r="O9" s="53"/>
      <c r="P9" s="51"/>
      <c r="Q9" s="51"/>
      <c r="R9" s="51"/>
      <c r="S9" s="51"/>
    </row>
    <row r="10" spans="1:19" ht="32.25" customHeight="1" thickTop="1">
      <c r="A10" s="39"/>
      <c r="B10" s="58" t="s">
        <v>22</v>
      </c>
      <c r="C10" s="59"/>
      <c r="D10" s="60"/>
      <c r="E10" s="61"/>
      <c r="F10" s="62"/>
      <c r="G10" s="63"/>
      <c r="H10" s="64"/>
      <c r="I10" s="64"/>
      <c r="J10" s="64"/>
      <c r="K10" s="65"/>
      <c r="L10" s="66"/>
      <c r="M10" s="67"/>
      <c r="N10" s="68"/>
      <c r="O10" s="62"/>
      <c r="P10" s="69"/>
      <c r="Q10" s="63"/>
      <c r="R10" s="63"/>
      <c r="S10" s="70"/>
    </row>
    <row r="11" spans="1:19" s="78" customFormat="1" ht="32.25" customHeight="1">
      <c r="A11" s="39">
        <v>1</v>
      </c>
      <c r="B11" s="71" t="s">
        <v>23</v>
      </c>
      <c r="C11" s="71" t="s">
        <v>24</v>
      </c>
      <c r="D11" s="72">
        <v>1926</v>
      </c>
      <c r="E11" s="6"/>
      <c r="F11" s="43"/>
      <c r="G11" s="48"/>
      <c r="H11" s="73">
        <v>0</v>
      </c>
      <c r="I11" s="73">
        <v>0</v>
      </c>
      <c r="J11" s="73">
        <v>0</v>
      </c>
      <c r="K11" s="74" t="s">
        <v>311</v>
      </c>
      <c r="L11" s="75" t="s">
        <v>312</v>
      </c>
      <c r="M11" s="76">
        <v>1926</v>
      </c>
      <c r="N11" s="5"/>
      <c r="O11" s="43"/>
      <c r="P11" s="47"/>
      <c r="Q11" s="48">
        <v>0</v>
      </c>
      <c r="R11" s="48">
        <v>0</v>
      </c>
      <c r="S11" s="77">
        <v>0</v>
      </c>
    </row>
    <row r="12" spans="1:19" s="78" customFormat="1" ht="32.25" customHeight="1">
      <c r="A12" s="39">
        <v>2</v>
      </c>
      <c r="B12" s="71" t="s">
        <v>27</v>
      </c>
      <c r="C12" s="71" t="s">
        <v>24</v>
      </c>
      <c r="D12" s="72">
        <v>436.56</v>
      </c>
      <c r="E12" s="6"/>
      <c r="F12" s="43"/>
      <c r="G12" s="48"/>
      <c r="H12" s="73">
        <v>0</v>
      </c>
      <c r="I12" s="73">
        <v>0</v>
      </c>
      <c r="J12" s="73">
        <v>0</v>
      </c>
      <c r="K12" s="74" t="s">
        <v>311</v>
      </c>
      <c r="L12" s="75" t="s">
        <v>313</v>
      </c>
      <c r="M12" s="76">
        <v>436.56</v>
      </c>
      <c r="N12" s="5"/>
      <c r="O12" s="43"/>
      <c r="P12" s="47"/>
      <c r="Q12" s="48">
        <v>0</v>
      </c>
      <c r="R12" s="48">
        <v>0</v>
      </c>
      <c r="S12" s="77">
        <v>0</v>
      </c>
    </row>
    <row r="13" spans="1:19" s="78" customFormat="1" ht="32.25" customHeight="1">
      <c r="A13" s="39">
        <v>3</v>
      </c>
      <c r="B13" s="71" t="s">
        <v>30</v>
      </c>
      <c r="C13" s="71" t="s">
        <v>24</v>
      </c>
      <c r="D13" s="72">
        <v>64.2</v>
      </c>
      <c r="E13" s="6"/>
      <c r="F13" s="43"/>
      <c r="G13" s="48"/>
      <c r="H13" s="73">
        <v>0</v>
      </c>
      <c r="I13" s="73">
        <v>0</v>
      </c>
      <c r="J13" s="73">
        <v>0</v>
      </c>
      <c r="K13" s="74" t="s">
        <v>314</v>
      </c>
      <c r="L13" s="75" t="s">
        <v>315</v>
      </c>
      <c r="M13" s="76">
        <v>64.2</v>
      </c>
      <c r="N13" s="5"/>
      <c r="O13" s="43"/>
      <c r="P13" s="47"/>
      <c r="Q13" s="48">
        <v>0</v>
      </c>
      <c r="R13" s="48">
        <v>0</v>
      </c>
      <c r="S13" s="77">
        <v>0</v>
      </c>
    </row>
    <row r="14" spans="1:19" s="78" customFormat="1" ht="32.25" customHeight="1">
      <c r="A14" s="39">
        <v>4</v>
      </c>
      <c r="B14" s="79"/>
      <c r="C14" s="80"/>
      <c r="D14" s="81"/>
      <c r="E14" s="6"/>
      <c r="F14" s="43"/>
      <c r="G14" s="48"/>
      <c r="H14" s="73"/>
      <c r="I14" s="73"/>
      <c r="J14" s="73"/>
      <c r="K14" s="82"/>
      <c r="L14" s="45"/>
      <c r="M14" s="46"/>
      <c r="N14" s="5"/>
      <c r="O14" s="43"/>
      <c r="P14" s="47"/>
      <c r="Q14" s="48"/>
      <c r="R14" s="48"/>
      <c r="S14" s="49"/>
    </row>
    <row r="15" spans="1:19" s="78" customFormat="1" ht="32.25" customHeight="1">
      <c r="A15" s="39">
        <v>5</v>
      </c>
      <c r="B15" s="80"/>
      <c r="C15" s="80"/>
      <c r="D15" s="81"/>
      <c r="E15" s="6"/>
      <c r="F15" s="43"/>
      <c r="G15" s="6"/>
      <c r="H15" s="42"/>
      <c r="I15" s="42"/>
      <c r="J15" s="42"/>
      <c r="K15" s="44"/>
      <c r="L15" s="45"/>
      <c r="M15" s="46"/>
      <c r="N15" s="5"/>
      <c r="O15" s="43"/>
      <c r="P15" s="47"/>
      <c r="Q15" s="48"/>
      <c r="R15" s="48"/>
      <c r="S15" s="49"/>
    </row>
    <row r="16" spans="1:19" ht="32.25" customHeight="1" thickBot="1">
      <c r="A16" s="39"/>
      <c r="B16" s="50" t="s">
        <v>19</v>
      </c>
      <c r="C16" s="50"/>
      <c r="D16" s="51">
        <f>SUM(D11:D15)</f>
        <v>2426.7599999999998</v>
      </c>
      <c r="E16" s="52"/>
      <c r="F16" s="53"/>
      <c r="G16" s="52"/>
      <c r="H16" s="51">
        <v>0</v>
      </c>
      <c r="I16" s="51">
        <v>0</v>
      </c>
      <c r="J16" s="51">
        <v>0</v>
      </c>
      <c r="K16" s="83"/>
      <c r="L16" s="84"/>
      <c r="M16" s="56">
        <f>SUM(M10:M15)</f>
        <v>2426.7599999999998</v>
      </c>
      <c r="N16" s="57"/>
      <c r="O16" s="53"/>
      <c r="P16" s="85"/>
      <c r="Q16" s="86"/>
      <c r="R16" s="86"/>
      <c r="S16" s="87"/>
    </row>
    <row r="17" spans="1:19" ht="32.25" customHeight="1" thickTop="1">
      <c r="A17" s="39"/>
      <c r="B17" s="58" t="s">
        <v>32</v>
      </c>
      <c r="C17" s="59"/>
      <c r="D17" s="60"/>
      <c r="E17" s="61"/>
      <c r="F17" s="62"/>
      <c r="G17" s="63"/>
      <c r="H17" s="64"/>
      <c r="I17" s="64"/>
      <c r="J17" s="64"/>
      <c r="K17" s="65"/>
      <c r="L17" s="66"/>
      <c r="M17" s="67"/>
      <c r="N17" s="68"/>
      <c r="O17" s="62"/>
      <c r="P17" s="69"/>
      <c r="Q17" s="63"/>
      <c r="R17" s="63"/>
      <c r="S17" s="70"/>
    </row>
    <row r="18" spans="1:19" s="78" customFormat="1" ht="32.25" customHeight="1">
      <c r="A18" s="39">
        <v>1</v>
      </c>
      <c r="B18" s="71" t="s">
        <v>23</v>
      </c>
      <c r="C18" s="71" t="s">
        <v>33</v>
      </c>
      <c r="D18" s="88">
        <v>720</v>
      </c>
      <c r="E18" s="6"/>
      <c r="F18" s="43"/>
      <c r="G18" s="89"/>
      <c r="H18" s="42">
        <v>0</v>
      </c>
      <c r="I18" s="42">
        <v>0</v>
      </c>
      <c r="J18" s="42">
        <v>0</v>
      </c>
      <c r="K18" s="74" t="s">
        <v>311</v>
      </c>
      <c r="L18" s="90" t="s">
        <v>316</v>
      </c>
      <c r="M18" s="76">
        <v>720</v>
      </c>
      <c r="N18" s="5"/>
      <c r="O18" s="43"/>
      <c r="P18" s="47"/>
      <c r="Q18" s="91">
        <v>0</v>
      </c>
      <c r="R18" s="92">
        <v>0</v>
      </c>
      <c r="S18" s="93">
        <v>0</v>
      </c>
    </row>
    <row r="19" spans="1:19" s="78" customFormat="1" ht="32.25" customHeight="1">
      <c r="A19" s="39">
        <v>2</v>
      </c>
      <c r="B19" s="71" t="s">
        <v>27</v>
      </c>
      <c r="C19" s="71" t="s">
        <v>33</v>
      </c>
      <c r="D19" s="88">
        <v>180</v>
      </c>
      <c r="E19" s="6"/>
      <c r="F19" s="43"/>
      <c r="G19" s="89"/>
      <c r="H19" s="42"/>
      <c r="I19" s="42"/>
      <c r="J19" s="42">
        <v>0</v>
      </c>
      <c r="K19" s="74" t="s">
        <v>311</v>
      </c>
      <c r="L19" s="94" t="s">
        <v>317</v>
      </c>
      <c r="M19" s="76">
        <v>180</v>
      </c>
      <c r="N19" s="5"/>
      <c r="O19" s="43"/>
      <c r="P19" s="47"/>
      <c r="Q19" s="91">
        <v>0</v>
      </c>
      <c r="R19" s="92">
        <v>0</v>
      </c>
      <c r="S19" s="95">
        <v>0</v>
      </c>
    </row>
    <row r="20" spans="1:19" s="78" customFormat="1" ht="32.25" customHeight="1">
      <c r="A20" s="39">
        <v>3</v>
      </c>
      <c r="B20" s="71" t="s">
        <v>30</v>
      </c>
      <c r="C20" s="71" t="s">
        <v>33</v>
      </c>
      <c r="D20" s="96">
        <v>0</v>
      </c>
      <c r="E20" s="6"/>
      <c r="F20" s="43"/>
      <c r="G20" s="89"/>
      <c r="H20" s="42"/>
      <c r="I20" s="42"/>
      <c r="J20" s="42"/>
      <c r="K20" s="97"/>
      <c r="L20" s="98"/>
      <c r="M20" s="99"/>
      <c r="N20" s="5"/>
      <c r="O20" s="43"/>
      <c r="P20" s="47"/>
      <c r="Q20" s="6"/>
      <c r="R20" s="42"/>
      <c r="S20" s="100"/>
    </row>
    <row r="21" spans="1:19" ht="32.25" customHeight="1" thickBot="1">
      <c r="A21" s="39"/>
      <c r="B21" s="50" t="s">
        <v>19</v>
      </c>
      <c r="C21" s="50"/>
      <c r="D21" s="51">
        <f>SUM(D18:D20)</f>
        <v>900</v>
      </c>
      <c r="E21" s="52"/>
      <c r="F21" s="53"/>
      <c r="G21" s="52"/>
      <c r="H21" s="51">
        <v>0</v>
      </c>
      <c r="I21" s="51">
        <v>0</v>
      </c>
      <c r="J21" s="51">
        <v>0</v>
      </c>
      <c r="K21" s="101"/>
      <c r="L21" s="102"/>
      <c r="M21" s="103">
        <f>SUM(M18:M20)</f>
        <v>900</v>
      </c>
      <c r="N21" s="57"/>
      <c r="O21" s="53"/>
      <c r="P21" s="51"/>
      <c r="Q21" s="51"/>
      <c r="R21" s="51"/>
      <c r="S21" s="51"/>
    </row>
    <row r="22" spans="1:19" ht="32.25" hidden="1" customHeight="1">
      <c r="A22" s="104" t="s">
        <v>36</v>
      </c>
      <c r="B22" s="104" t="s">
        <v>37</v>
      </c>
      <c r="C22" s="105">
        <v>780</v>
      </c>
      <c r="D22" s="60"/>
      <c r="E22" s="61"/>
      <c r="F22" s="62"/>
      <c r="G22" s="63"/>
      <c r="H22" s="64"/>
      <c r="I22" s="64"/>
      <c r="J22" s="64"/>
      <c r="K22" s="65"/>
      <c r="L22" s="66"/>
      <c r="M22" s="67"/>
      <c r="N22" s="68"/>
      <c r="O22" s="62"/>
      <c r="P22" s="69"/>
      <c r="Q22" s="63"/>
      <c r="R22" s="63"/>
      <c r="S22" s="70"/>
    </row>
    <row r="23" spans="1:19" ht="32.25" hidden="1" customHeight="1">
      <c r="A23" s="104" t="s">
        <v>36</v>
      </c>
      <c r="B23" s="104" t="s">
        <v>38</v>
      </c>
      <c r="C23" s="105">
        <v>180</v>
      </c>
      <c r="D23" s="42"/>
      <c r="E23" s="6"/>
      <c r="F23" s="43"/>
      <c r="G23" s="6"/>
      <c r="H23" s="42"/>
      <c r="I23" s="42"/>
      <c r="J23" s="42"/>
      <c r="K23" s="44"/>
      <c r="L23" s="45"/>
      <c r="M23" s="46"/>
      <c r="N23" s="5"/>
      <c r="O23" s="43"/>
      <c r="P23" s="47"/>
      <c r="Q23" s="48"/>
      <c r="R23" s="48"/>
      <c r="S23" s="49"/>
    </row>
    <row r="24" spans="1:19" ht="32.25" hidden="1" customHeight="1">
      <c r="A24" s="39"/>
      <c r="B24" s="50" t="s">
        <v>19</v>
      </c>
      <c r="C24" s="50"/>
      <c r="D24" s="51">
        <v>0</v>
      </c>
      <c r="E24" s="52"/>
      <c r="F24" s="53"/>
      <c r="G24" s="52"/>
      <c r="H24" s="51">
        <v>0</v>
      </c>
      <c r="I24" s="51">
        <v>0</v>
      </c>
      <c r="J24" s="51">
        <v>0</v>
      </c>
      <c r="K24" s="54"/>
      <c r="L24" s="55"/>
      <c r="M24" s="56"/>
      <c r="N24" s="57"/>
      <c r="O24" s="53"/>
      <c r="P24" s="51"/>
      <c r="Q24" s="51"/>
      <c r="R24" s="51"/>
      <c r="S24" s="51"/>
    </row>
    <row r="25" spans="1:19" ht="32.25" hidden="1" customHeight="1">
      <c r="A25" s="39"/>
      <c r="B25" s="58" t="s">
        <v>39</v>
      </c>
      <c r="C25" s="59"/>
      <c r="D25" s="60"/>
      <c r="E25" s="61"/>
      <c r="F25" s="62"/>
      <c r="G25" s="63"/>
      <c r="H25" s="64"/>
      <c r="I25" s="64"/>
      <c r="J25" s="64"/>
      <c r="K25" s="65"/>
      <c r="L25" s="66"/>
      <c r="M25" s="67"/>
      <c r="N25" s="68"/>
      <c r="O25" s="62"/>
      <c r="P25" s="69"/>
      <c r="Q25" s="63"/>
      <c r="R25" s="63"/>
      <c r="S25" s="70"/>
    </row>
    <row r="26" spans="1:19" ht="32.25" hidden="1" customHeight="1">
      <c r="A26" s="39">
        <v>1</v>
      </c>
      <c r="B26" s="40"/>
      <c r="C26" s="41"/>
      <c r="D26" s="42"/>
      <c r="E26" s="6"/>
      <c r="F26" s="43"/>
      <c r="G26" s="6"/>
      <c r="H26" s="42"/>
      <c r="I26" s="42"/>
      <c r="J26" s="42"/>
      <c r="K26" s="44"/>
      <c r="L26" s="45"/>
      <c r="M26" s="46"/>
      <c r="N26" s="5"/>
      <c r="O26" s="43"/>
      <c r="P26" s="47"/>
      <c r="Q26" s="48"/>
      <c r="R26" s="48"/>
      <c r="S26" s="49"/>
    </row>
    <row r="27" spans="1:19" ht="32.25" hidden="1" customHeight="1">
      <c r="A27" s="39"/>
      <c r="B27" s="50" t="s">
        <v>19</v>
      </c>
      <c r="C27" s="50"/>
      <c r="D27" s="51">
        <v>0</v>
      </c>
      <c r="E27" s="52"/>
      <c r="F27" s="53"/>
      <c r="G27" s="52"/>
      <c r="H27" s="51">
        <v>0</v>
      </c>
      <c r="I27" s="51">
        <v>0</v>
      </c>
      <c r="J27" s="51">
        <v>0</v>
      </c>
      <c r="K27" s="54"/>
      <c r="L27" s="55"/>
      <c r="M27" s="56"/>
      <c r="N27" s="57"/>
      <c r="O27" s="53"/>
      <c r="P27" s="51"/>
      <c r="Q27" s="51"/>
      <c r="R27" s="51"/>
      <c r="S27" s="51"/>
    </row>
    <row r="28" spans="1:19" ht="32.25" hidden="1" customHeight="1">
      <c r="A28" s="39"/>
      <c r="B28" s="58" t="s">
        <v>40</v>
      </c>
      <c r="C28" s="59"/>
      <c r="D28" s="60"/>
      <c r="E28" s="61"/>
      <c r="F28" s="62"/>
      <c r="G28" s="63"/>
      <c r="H28" s="64"/>
      <c r="I28" s="64"/>
      <c r="J28" s="64"/>
      <c r="K28" s="65"/>
      <c r="L28" s="66"/>
      <c r="M28" s="67"/>
      <c r="N28" s="68"/>
      <c r="O28" s="62"/>
      <c r="P28" s="69"/>
      <c r="Q28" s="63"/>
      <c r="R28" s="63"/>
      <c r="S28" s="70"/>
    </row>
    <row r="29" spans="1:19" ht="32.25" hidden="1" customHeight="1">
      <c r="A29" s="39">
        <v>1</v>
      </c>
      <c r="B29" s="40"/>
      <c r="C29" s="41"/>
      <c r="D29" s="42"/>
      <c r="E29" s="6"/>
      <c r="F29" s="43"/>
      <c r="G29" s="6"/>
      <c r="H29" s="42"/>
      <c r="I29" s="42"/>
      <c r="J29" s="42"/>
      <c r="K29" s="44"/>
      <c r="L29" s="45"/>
      <c r="M29" s="46"/>
      <c r="N29" s="5"/>
      <c r="O29" s="43"/>
      <c r="P29" s="47"/>
      <c r="Q29" s="48"/>
      <c r="R29" s="48"/>
      <c r="S29" s="49"/>
    </row>
    <row r="30" spans="1:19" ht="32.25" hidden="1" customHeight="1">
      <c r="A30" s="39"/>
      <c r="B30" s="50" t="s">
        <v>19</v>
      </c>
      <c r="C30" s="50"/>
      <c r="D30" s="51">
        <v>0</v>
      </c>
      <c r="E30" s="52"/>
      <c r="F30" s="53"/>
      <c r="G30" s="52"/>
      <c r="H30" s="51">
        <v>0</v>
      </c>
      <c r="I30" s="51">
        <v>0</v>
      </c>
      <c r="J30" s="51">
        <v>0</v>
      </c>
      <c r="K30" s="54"/>
      <c r="L30" s="55"/>
      <c r="M30" s="56"/>
      <c r="N30" s="57"/>
      <c r="O30" s="53"/>
      <c r="P30" s="51"/>
      <c r="Q30" s="51"/>
      <c r="R30" s="51"/>
      <c r="S30" s="51"/>
    </row>
    <row r="31" spans="1:19" ht="32.25" customHeight="1" thickTop="1">
      <c r="A31" s="39"/>
      <c r="B31" s="58" t="s">
        <v>41</v>
      </c>
      <c r="C31" s="59"/>
      <c r="D31" s="60"/>
      <c r="E31" s="61"/>
      <c r="F31" s="62"/>
      <c r="G31" s="63"/>
      <c r="H31" s="64"/>
      <c r="I31" s="64"/>
      <c r="J31" s="64"/>
      <c r="K31" s="65"/>
      <c r="L31" s="66"/>
      <c r="M31" s="67"/>
      <c r="N31" s="68"/>
      <c r="O31" s="62"/>
      <c r="P31" s="69"/>
      <c r="Q31" s="63"/>
      <c r="R31" s="63"/>
      <c r="S31" s="70"/>
    </row>
    <row r="32" spans="1:19" ht="32.25" customHeight="1">
      <c r="A32" s="106">
        <v>1</v>
      </c>
      <c r="B32" s="107" t="s">
        <v>318</v>
      </c>
      <c r="C32" s="107" t="s">
        <v>43</v>
      </c>
      <c r="D32" s="108">
        <v>321</v>
      </c>
      <c r="E32" s="109"/>
      <c r="F32" s="110"/>
      <c r="G32" s="111"/>
      <c r="H32" s="111"/>
      <c r="I32" s="112"/>
      <c r="J32" s="113"/>
      <c r="K32" s="74" t="s">
        <v>311</v>
      </c>
      <c r="L32" s="75" t="s">
        <v>319</v>
      </c>
      <c r="M32" s="76">
        <v>321</v>
      </c>
      <c r="N32" s="114"/>
      <c r="O32" s="115"/>
      <c r="P32" s="92"/>
      <c r="Q32" s="91">
        <v>0</v>
      </c>
      <c r="R32" s="92">
        <v>0</v>
      </c>
      <c r="S32" s="77">
        <v>0</v>
      </c>
    </row>
    <row r="33" spans="1:19" ht="32.25" customHeight="1">
      <c r="A33" s="116"/>
      <c r="B33" s="117"/>
      <c r="C33" s="107"/>
      <c r="D33" s="108"/>
      <c r="E33" s="118"/>
      <c r="F33" s="119"/>
      <c r="G33" s="111"/>
      <c r="H33" s="111"/>
      <c r="I33" s="120"/>
      <c r="J33" s="121"/>
      <c r="K33" s="74"/>
      <c r="L33" s="75"/>
      <c r="M33" s="76"/>
      <c r="N33" s="114"/>
      <c r="O33" s="122"/>
      <c r="P33" s="92"/>
      <c r="Q33" s="91">
        <v>0</v>
      </c>
      <c r="R33" s="92">
        <v>0</v>
      </c>
      <c r="S33" s="77">
        <v>0</v>
      </c>
    </row>
    <row r="34" spans="1:19" ht="32.25" customHeight="1">
      <c r="A34" s="106"/>
      <c r="B34" s="117"/>
      <c r="C34" s="107"/>
      <c r="D34" s="123"/>
      <c r="E34" s="109"/>
      <c r="F34" s="110"/>
      <c r="G34" s="124"/>
      <c r="H34" s="124"/>
      <c r="I34" s="112"/>
      <c r="J34" s="113"/>
      <c r="K34" s="74"/>
      <c r="L34" s="75"/>
      <c r="M34" s="76"/>
      <c r="N34" s="114"/>
      <c r="O34" s="115"/>
      <c r="P34" s="125"/>
      <c r="Q34" s="91">
        <v>0</v>
      </c>
      <c r="R34" s="92">
        <v>0</v>
      </c>
      <c r="S34" s="77">
        <v>0</v>
      </c>
    </row>
    <row r="35" spans="1:19" ht="32.25" customHeight="1">
      <c r="A35" s="116"/>
      <c r="B35" s="117"/>
      <c r="C35" s="107"/>
      <c r="D35" s="123"/>
      <c r="E35" s="126"/>
      <c r="F35" s="127"/>
      <c r="G35" s="126"/>
      <c r="H35" s="128"/>
      <c r="I35" s="128"/>
      <c r="J35" s="129"/>
      <c r="K35" s="74"/>
      <c r="L35" s="75"/>
      <c r="M35" s="76"/>
      <c r="N35" s="30"/>
      <c r="O35" s="31"/>
      <c r="P35" s="31"/>
      <c r="Q35" s="91">
        <v>0</v>
      </c>
      <c r="R35" s="92">
        <v>0</v>
      </c>
      <c r="S35" s="77">
        <v>0</v>
      </c>
    </row>
    <row r="36" spans="1:19" ht="32.25" customHeight="1">
      <c r="A36" s="106"/>
      <c r="B36" s="117"/>
      <c r="C36" s="107"/>
      <c r="D36" s="123"/>
      <c r="E36" s="126"/>
      <c r="F36" s="127"/>
      <c r="G36" s="126"/>
      <c r="H36" s="128"/>
      <c r="I36" s="128"/>
      <c r="J36" s="129"/>
      <c r="K36" s="74"/>
      <c r="L36" s="75"/>
      <c r="M36" s="76"/>
      <c r="N36" s="114"/>
      <c r="O36" s="115"/>
      <c r="P36" s="115"/>
      <c r="Q36" s="91">
        <v>0</v>
      </c>
      <c r="R36" s="92">
        <v>0</v>
      </c>
      <c r="S36" s="77">
        <v>0</v>
      </c>
    </row>
    <row r="37" spans="1:19" ht="32.25" customHeight="1">
      <c r="A37" s="116"/>
      <c r="B37" s="130"/>
      <c r="C37" s="130"/>
      <c r="D37" s="72"/>
      <c r="E37" s="131"/>
      <c r="F37" s="115"/>
      <c r="G37" s="131"/>
      <c r="H37" s="125"/>
      <c r="I37" s="125"/>
      <c r="J37" s="132"/>
      <c r="K37" s="133"/>
      <c r="L37" s="134"/>
      <c r="M37" s="135"/>
      <c r="N37" s="114"/>
      <c r="O37" s="115"/>
      <c r="P37" s="115"/>
      <c r="Q37" s="91">
        <v>0</v>
      </c>
      <c r="R37" s="92">
        <v>0</v>
      </c>
      <c r="S37" s="77">
        <v>0</v>
      </c>
    </row>
    <row r="38" spans="1:19" ht="32.25" customHeight="1">
      <c r="A38" s="116"/>
      <c r="B38" s="130"/>
      <c r="C38" s="130"/>
      <c r="D38" s="72"/>
      <c r="E38" s="6"/>
      <c r="F38" s="43"/>
      <c r="G38" s="6"/>
      <c r="H38" s="42"/>
      <c r="I38" s="42"/>
      <c r="J38" s="136"/>
      <c r="K38" s="137"/>
      <c r="L38" s="138"/>
      <c r="M38" s="139"/>
      <c r="N38" s="5"/>
      <c r="O38" s="43"/>
      <c r="P38" s="43"/>
      <c r="Q38" s="91">
        <v>0</v>
      </c>
      <c r="R38" s="92">
        <v>0</v>
      </c>
      <c r="S38" s="77">
        <v>0</v>
      </c>
    </row>
    <row r="39" spans="1:19" ht="32.25" customHeight="1" thickBot="1">
      <c r="A39" s="39"/>
      <c r="B39" s="50" t="s">
        <v>19</v>
      </c>
      <c r="C39" s="50"/>
      <c r="D39" s="51">
        <f>SUM(D32:D38)</f>
        <v>321</v>
      </c>
      <c r="E39" s="52"/>
      <c r="F39" s="53"/>
      <c r="G39" s="52"/>
      <c r="H39" s="51">
        <v>0</v>
      </c>
      <c r="I39" s="51">
        <v>0</v>
      </c>
      <c r="J39" s="51">
        <v>0</v>
      </c>
      <c r="K39" s="55"/>
      <c r="L39" s="55"/>
      <c r="M39" s="140">
        <f>SUM(M32:M38)</f>
        <v>321</v>
      </c>
      <c r="N39" s="57"/>
      <c r="O39" s="53"/>
      <c r="P39" s="51"/>
      <c r="Q39" s="51"/>
      <c r="R39" s="51"/>
      <c r="S39" s="51"/>
    </row>
    <row r="40" spans="1:19" ht="32.25" customHeight="1" thickTop="1">
      <c r="A40" s="39"/>
      <c r="B40" s="58" t="s">
        <v>47</v>
      </c>
      <c r="C40" s="59"/>
      <c r="D40" s="60"/>
      <c r="E40" s="61"/>
      <c r="F40" s="62"/>
      <c r="G40" s="63"/>
      <c r="H40" s="64"/>
      <c r="I40" s="64"/>
      <c r="J40" s="64"/>
      <c r="K40" s="65"/>
      <c r="L40" s="66"/>
      <c r="M40" s="67"/>
      <c r="N40" s="68"/>
      <c r="O40" s="62"/>
      <c r="P40" s="69"/>
      <c r="Q40" s="63"/>
      <c r="R40" s="63"/>
      <c r="S40" s="70"/>
    </row>
    <row r="41" spans="1:19" ht="32.25" customHeight="1">
      <c r="A41" s="39">
        <v>1</v>
      </c>
      <c r="B41" s="40"/>
      <c r="C41" s="41"/>
      <c r="D41" s="42"/>
      <c r="E41" s="6"/>
      <c r="F41" s="43"/>
      <c r="G41" s="6"/>
      <c r="H41" s="42"/>
      <c r="I41" s="42"/>
      <c r="J41" s="42"/>
      <c r="K41" s="44"/>
      <c r="L41" s="45"/>
      <c r="M41" s="46"/>
      <c r="N41" s="5"/>
      <c r="O41" s="43"/>
      <c r="P41" s="47"/>
      <c r="Q41" s="48"/>
      <c r="R41" s="48"/>
      <c r="S41" s="49"/>
    </row>
    <row r="42" spans="1:19" ht="32.25" customHeight="1" thickBot="1">
      <c r="A42" s="39"/>
      <c r="B42" s="50" t="s">
        <v>19</v>
      </c>
      <c r="C42" s="50"/>
      <c r="D42" s="51">
        <v>0</v>
      </c>
      <c r="E42" s="52"/>
      <c r="F42" s="53"/>
      <c r="G42" s="52"/>
      <c r="H42" s="51">
        <v>0</v>
      </c>
      <c r="I42" s="51">
        <v>0</v>
      </c>
      <c r="J42" s="51">
        <v>0</v>
      </c>
      <c r="K42" s="54"/>
      <c r="L42" s="55"/>
      <c r="M42" s="56"/>
      <c r="N42" s="57"/>
      <c r="O42" s="53"/>
      <c r="P42" s="51"/>
      <c r="Q42" s="51"/>
      <c r="R42" s="51"/>
      <c r="S42" s="51"/>
    </row>
    <row r="43" spans="1:19" ht="32.25" customHeight="1" thickTop="1">
      <c r="A43" s="39"/>
      <c r="B43" s="58" t="s">
        <v>48</v>
      </c>
      <c r="C43" s="59"/>
      <c r="D43" s="60"/>
      <c r="E43" s="61"/>
      <c r="F43" s="62"/>
      <c r="G43" s="63"/>
      <c r="H43" s="64"/>
      <c r="I43" s="64"/>
      <c r="J43" s="64"/>
      <c r="K43" s="65"/>
      <c r="L43" s="66"/>
      <c r="M43" s="67"/>
      <c r="N43" s="68"/>
      <c r="O43" s="62"/>
      <c r="P43" s="69"/>
      <c r="Q43" s="63"/>
      <c r="R43" s="63"/>
      <c r="S43" s="70"/>
    </row>
    <row r="44" spans="1:19" ht="32.25" customHeight="1">
      <c r="A44" s="39">
        <v>1</v>
      </c>
      <c r="B44" s="40"/>
      <c r="C44" s="41"/>
      <c r="D44" s="42"/>
      <c r="E44" s="6"/>
      <c r="F44" s="43"/>
      <c r="G44" s="6"/>
      <c r="H44" s="42"/>
      <c r="I44" s="42"/>
      <c r="J44" s="42"/>
      <c r="K44" s="44"/>
      <c r="L44" s="45"/>
      <c r="M44" s="46"/>
      <c r="N44" s="5"/>
      <c r="O44" s="43"/>
      <c r="P44" s="47"/>
      <c r="Q44" s="48"/>
      <c r="R44" s="48"/>
      <c r="S44" s="49"/>
    </row>
    <row r="45" spans="1:19" ht="32.25" customHeight="1" thickBot="1">
      <c r="A45" s="39"/>
      <c r="B45" s="50" t="s">
        <v>19</v>
      </c>
      <c r="C45" s="50"/>
      <c r="D45" s="51">
        <v>0</v>
      </c>
      <c r="E45" s="52"/>
      <c r="F45" s="53"/>
      <c r="G45" s="52"/>
      <c r="H45" s="51">
        <v>0</v>
      </c>
      <c r="I45" s="51">
        <v>0</v>
      </c>
      <c r="J45" s="51">
        <v>0</v>
      </c>
      <c r="K45" s="54"/>
      <c r="L45" s="55"/>
      <c r="M45" s="56"/>
      <c r="N45" s="57"/>
      <c r="O45" s="53"/>
      <c r="P45" s="51"/>
      <c r="Q45" s="51"/>
      <c r="R45" s="51"/>
      <c r="S45" s="51"/>
    </row>
    <row r="46" spans="1:19" ht="32.25" customHeight="1" thickTop="1">
      <c r="A46" s="39"/>
      <c r="B46" s="58" t="s">
        <v>49</v>
      </c>
      <c r="C46" s="59"/>
      <c r="D46" s="60"/>
      <c r="E46" s="61"/>
      <c r="F46" s="62"/>
      <c r="G46" s="63"/>
      <c r="H46" s="64"/>
      <c r="I46" s="64"/>
      <c r="J46" s="64"/>
      <c r="K46" s="65"/>
      <c r="L46" s="66"/>
      <c r="M46" s="67"/>
      <c r="N46" s="68"/>
      <c r="O46" s="62"/>
      <c r="P46" s="69"/>
      <c r="Q46" s="63"/>
      <c r="R46" s="63"/>
      <c r="S46" s="70"/>
    </row>
    <row r="47" spans="1:19" ht="32.25" customHeight="1">
      <c r="A47" s="39">
        <v>1</v>
      </c>
      <c r="B47" s="40"/>
      <c r="C47" s="41"/>
      <c r="D47" s="42"/>
      <c r="E47" s="6"/>
      <c r="F47" s="43"/>
      <c r="G47" s="6"/>
      <c r="H47" s="42"/>
      <c r="I47" s="42"/>
      <c r="J47" s="42"/>
      <c r="K47" s="44"/>
      <c r="L47" s="45"/>
      <c r="M47" s="46"/>
      <c r="N47" s="5"/>
      <c r="O47" s="43"/>
      <c r="P47" s="47"/>
      <c r="Q47" s="48"/>
      <c r="R47" s="48"/>
      <c r="S47" s="49"/>
    </row>
    <row r="48" spans="1:19" ht="32.25" customHeight="1" thickBot="1">
      <c r="A48" s="39"/>
      <c r="B48" s="50" t="s">
        <v>19</v>
      </c>
      <c r="C48" s="50"/>
      <c r="D48" s="51">
        <v>0</v>
      </c>
      <c r="E48" s="52"/>
      <c r="F48" s="53"/>
      <c r="G48" s="52"/>
      <c r="H48" s="51">
        <v>0</v>
      </c>
      <c r="I48" s="51">
        <v>0</v>
      </c>
      <c r="J48" s="51">
        <v>0</v>
      </c>
      <c r="K48" s="54"/>
      <c r="L48" s="55"/>
      <c r="M48" s="56">
        <v>0</v>
      </c>
      <c r="N48" s="57"/>
      <c r="O48" s="53"/>
      <c r="P48" s="51"/>
      <c r="Q48" s="51"/>
      <c r="R48" s="51"/>
      <c r="S48" s="51"/>
    </row>
    <row r="49" spans="1:19" ht="32.25" customHeight="1" thickTop="1">
      <c r="A49" s="39"/>
      <c r="B49" s="141" t="s">
        <v>50</v>
      </c>
      <c r="C49" s="142"/>
      <c r="D49" s="125"/>
      <c r="E49" s="131"/>
      <c r="F49" s="115"/>
      <c r="G49" s="33"/>
      <c r="H49" s="143"/>
      <c r="I49" s="143"/>
      <c r="J49" s="143"/>
      <c r="K49" s="34"/>
      <c r="L49" s="35"/>
      <c r="M49" s="36"/>
      <c r="N49" s="114"/>
      <c r="O49" s="115"/>
      <c r="P49" s="144"/>
      <c r="Q49" s="33"/>
      <c r="R49" s="33"/>
      <c r="S49" s="145"/>
    </row>
    <row r="50" spans="1:19" ht="32.25" customHeight="1">
      <c r="A50" s="39"/>
      <c r="B50" s="146" t="s">
        <v>51</v>
      </c>
      <c r="C50" s="146"/>
      <c r="D50" s="125"/>
      <c r="E50" s="131"/>
      <c r="F50" s="122"/>
      <c r="G50" s="147"/>
      <c r="H50" s="148"/>
      <c r="I50" s="148"/>
      <c r="J50" s="143"/>
      <c r="K50" s="34"/>
      <c r="L50" s="35"/>
      <c r="M50" s="36"/>
      <c r="N50" s="114"/>
      <c r="O50" s="122"/>
      <c r="P50" s="149"/>
      <c r="Q50" s="147"/>
      <c r="R50" s="147"/>
      <c r="S50" s="145"/>
    </row>
    <row r="51" spans="1:19" s="160" customFormat="1" ht="32.25" customHeight="1">
      <c r="A51" s="106">
        <v>1</v>
      </c>
      <c r="B51" s="142" t="s">
        <v>52</v>
      </c>
      <c r="C51" s="150" t="s">
        <v>53</v>
      </c>
      <c r="D51" s="151">
        <v>4140</v>
      </c>
      <c r="E51" s="152" t="s">
        <v>57</v>
      </c>
      <c r="F51" s="122"/>
      <c r="G51" s="122"/>
      <c r="H51" s="153">
        <v>-2070</v>
      </c>
      <c r="I51" s="122"/>
      <c r="J51" s="132">
        <v>-2070</v>
      </c>
      <c r="K51" s="154" t="s">
        <v>320</v>
      </c>
      <c r="L51" s="155" t="s">
        <v>321</v>
      </c>
      <c r="M51" s="156">
        <v>4140</v>
      </c>
      <c r="N51" s="157" t="s">
        <v>57</v>
      </c>
      <c r="O51" s="158"/>
      <c r="P51" s="158"/>
      <c r="Q51" s="153">
        <v>-2070</v>
      </c>
      <c r="R51" s="153"/>
      <c r="S51" s="159">
        <v>-2070</v>
      </c>
    </row>
    <row r="52" spans="1:19" s="160" customFormat="1" ht="32.25" customHeight="1">
      <c r="A52" s="106">
        <v>2</v>
      </c>
      <c r="B52" s="161" t="s">
        <v>58</v>
      </c>
      <c r="C52" s="162" t="s">
        <v>59</v>
      </c>
      <c r="D52" s="151">
        <v>0</v>
      </c>
      <c r="E52" s="163"/>
      <c r="F52" s="122"/>
      <c r="G52" s="122"/>
      <c r="H52" s="91">
        <v>0</v>
      </c>
      <c r="I52" s="122"/>
      <c r="J52" s="132">
        <v>0</v>
      </c>
      <c r="K52" s="164"/>
      <c r="L52" s="165"/>
      <c r="M52" s="166"/>
      <c r="N52" s="167"/>
      <c r="O52" s="158"/>
      <c r="P52" s="158"/>
      <c r="Q52" s="91">
        <v>0</v>
      </c>
      <c r="R52" s="91"/>
      <c r="S52" s="77">
        <v>0</v>
      </c>
    </row>
    <row r="53" spans="1:19" s="160" customFormat="1" ht="32.25" customHeight="1">
      <c r="A53" s="106">
        <v>3</v>
      </c>
      <c r="B53" s="142" t="s">
        <v>60</v>
      </c>
      <c r="C53" s="150" t="s">
        <v>61</v>
      </c>
      <c r="D53" s="151">
        <v>2070</v>
      </c>
      <c r="E53" s="163"/>
      <c r="F53" s="122"/>
      <c r="G53" s="122"/>
      <c r="H53" s="91">
        <v>0</v>
      </c>
      <c r="I53" s="122"/>
      <c r="J53" s="132">
        <v>0</v>
      </c>
      <c r="K53" s="154" t="s">
        <v>320</v>
      </c>
      <c r="L53" s="155" t="s">
        <v>322</v>
      </c>
      <c r="M53" s="156">
        <v>2070</v>
      </c>
      <c r="N53" s="167"/>
      <c r="O53" s="158"/>
      <c r="P53" s="158"/>
      <c r="Q53" s="91">
        <v>0</v>
      </c>
      <c r="R53" s="91"/>
      <c r="S53" s="77">
        <v>0</v>
      </c>
    </row>
    <row r="54" spans="1:19" s="160" customFormat="1" ht="32.25" customHeight="1">
      <c r="A54" s="106">
        <v>4</v>
      </c>
      <c r="B54" s="142" t="s">
        <v>27</v>
      </c>
      <c r="C54" s="150" t="s">
        <v>64</v>
      </c>
      <c r="D54" s="151">
        <v>2070</v>
      </c>
      <c r="E54" s="163"/>
      <c r="F54" s="122"/>
      <c r="G54" s="122"/>
      <c r="H54" s="91">
        <v>0</v>
      </c>
      <c r="I54" s="122"/>
      <c r="J54" s="132">
        <v>0</v>
      </c>
      <c r="K54" s="154" t="s">
        <v>323</v>
      </c>
      <c r="L54" s="155" t="s">
        <v>324</v>
      </c>
      <c r="M54" s="156">
        <v>2070</v>
      </c>
      <c r="N54" s="167"/>
      <c r="O54" s="158"/>
      <c r="P54" s="158"/>
      <c r="Q54" s="91">
        <v>0</v>
      </c>
      <c r="R54" s="91"/>
      <c r="S54" s="77">
        <v>0</v>
      </c>
    </row>
    <row r="55" spans="1:19" s="160" customFormat="1" ht="32.25" customHeight="1">
      <c r="A55" s="106">
        <v>5</v>
      </c>
      <c r="B55" s="168" t="s">
        <v>42</v>
      </c>
      <c r="C55" s="150" t="s">
        <v>67</v>
      </c>
      <c r="D55" s="125">
        <v>2070</v>
      </c>
      <c r="E55" s="163"/>
      <c r="F55" s="122"/>
      <c r="G55" s="122"/>
      <c r="H55" s="91">
        <v>0</v>
      </c>
      <c r="I55" s="122"/>
      <c r="J55" s="132">
        <v>0</v>
      </c>
      <c r="K55" s="154" t="s">
        <v>325</v>
      </c>
      <c r="L55" s="155" t="s">
        <v>326</v>
      </c>
      <c r="M55" s="156">
        <v>2070</v>
      </c>
      <c r="N55" s="167"/>
      <c r="O55" s="158"/>
      <c r="P55" s="158"/>
      <c r="Q55" s="91">
        <v>0</v>
      </c>
      <c r="R55" s="91"/>
      <c r="S55" s="77">
        <v>0</v>
      </c>
    </row>
    <row r="56" spans="1:19" s="160" customFormat="1" ht="32.25" customHeight="1">
      <c r="A56" s="106">
        <v>6</v>
      </c>
      <c r="B56" s="142" t="s">
        <v>69</v>
      </c>
      <c r="C56" s="150" t="s">
        <v>70</v>
      </c>
      <c r="D56" s="151">
        <v>2070</v>
      </c>
      <c r="E56" s="169"/>
      <c r="F56" s="122"/>
      <c r="G56" s="122"/>
      <c r="H56" s="91">
        <v>0</v>
      </c>
      <c r="I56" s="122"/>
      <c r="J56" s="132">
        <v>0</v>
      </c>
      <c r="K56" s="154"/>
      <c r="L56" s="155"/>
      <c r="M56" s="156"/>
      <c r="N56" s="169" t="s">
        <v>125</v>
      </c>
      <c r="O56" s="158">
        <v>1</v>
      </c>
      <c r="P56" s="158" t="s">
        <v>72</v>
      </c>
      <c r="Q56" s="91">
        <f>SUM(D56+H56-M56)</f>
        <v>2070</v>
      </c>
      <c r="R56" s="91"/>
      <c r="S56" s="77">
        <f>SUM(Q56)</f>
        <v>2070</v>
      </c>
    </row>
    <row r="57" spans="1:19" ht="32.25" customHeight="1">
      <c r="A57" s="106">
        <v>7</v>
      </c>
      <c r="B57" s="146" t="s">
        <v>75</v>
      </c>
      <c r="C57" s="170" t="s">
        <v>76</v>
      </c>
      <c r="D57" s="151"/>
      <c r="E57" s="163"/>
      <c r="F57" s="115"/>
      <c r="G57" s="115"/>
      <c r="H57" s="131">
        <v>0</v>
      </c>
      <c r="I57" s="115"/>
      <c r="J57" s="132">
        <v>0</v>
      </c>
      <c r="K57" s="164"/>
      <c r="L57" s="165"/>
      <c r="M57" s="166"/>
      <c r="N57" s="167"/>
      <c r="O57" s="158"/>
      <c r="P57" s="158"/>
      <c r="Q57" s="91">
        <v>0</v>
      </c>
      <c r="R57" s="91"/>
      <c r="S57" s="77">
        <v>0</v>
      </c>
    </row>
    <row r="58" spans="1:19" s="160" customFormat="1" ht="32.25" customHeight="1">
      <c r="A58" s="106">
        <v>8</v>
      </c>
      <c r="B58" s="142" t="s">
        <v>77</v>
      </c>
      <c r="C58" s="150" t="s">
        <v>78</v>
      </c>
      <c r="D58" s="151">
        <v>2070</v>
      </c>
      <c r="E58" s="163"/>
      <c r="F58" s="122"/>
      <c r="G58" s="122"/>
      <c r="H58" s="91">
        <v>0</v>
      </c>
      <c r="I58" s="122"/>
      <c r="J58" s="132">
        <v>0</v>
      </c>
      <c r="K58" s="154" t="s">
        <v>327</v>
      </c>
      <c r="L58" s="171" t="s">
        <v>328</v>
      </c>
      <c r="M58" s="156">
        <v>2070</v>
      </c>
      <c r="N58" s="167"/>
      <c r="O58" s="158"/>
      <c r="P58" s="158"/>
      <c r="Q58" s="91">
        <v>0</v>
      </c>
      <c r="R58" s="91"/>
      <c r="S58" s="77">
        <v>0</v>
      </c>
    </row>
    <row r="59" spans="1:19" s="160" customFormat="1" ht="32.25" customHeight="1">
      <c r="A59" s="106">
        <v>9</v>
      </c>
      <c r="B59" s="142" t="s">
        <v>77</v>
      </c>
      <c r="C59" s="150" t="s">
        <v>81</v>
      </c>
      <c r="D59" s="151">
        <v>2070</v>
      </c>
      <c r="E59" s="163"/>
      <c r="F59" s="122"/>
      <c r="G59" s="122"/>
      <c r="H59" s="91">
        <v>0</v>
      </c>
      <c r="I59" s="122"/>
      <c r="J59" s="132">
        <v>0</v>
      </c>
      <c r="K59" s="154" t="s">
        <v>327</v>
      </c>
      <c r="L59" s="171" t="s">
        <v>328</v>
      </c>
      <c r="M59" s="156">
        <v>2070</v>
      </c>
      <c r="N59" s="167"/>
      <c r="O59" s="158"/>
      <c r="P59" s="158"/>
      <c r="Q59" s="91">
        <v>0</v>
      </c>
      <c r="R59" s="91"/>
      <c r="S59" s="77">
        <v>0</v>
      </c>
    </row>
    <row r="60" spans="1:19" ht="32.25" customHeight="1">
      <c r="A60" s="106">
        <v>10</v>
      </c>
      <c r="B60" s="146" t="s">
        <v>75</v>
      </c>
      <c r="C60" s="170" t="s">
        <v>82</v>
      </c>
      <c r="D60" s="151"/>
      <c r="E60" s="163"/>
      <c r="F60" s="115"/>
      <c r="G60" s="115"/>
      <c r="H60" s="131">
        <v>0</v>
      </c>
      <c r="I60" s="115"/>
      <c r="J60" s="132">
        <v>0</v>
      </c>
      <c r="K60" s="164"/>
      <c r="L60" s="172"/>
      <c r="M60" s="166"/>
      <c r="N60" s="167"/>
      <c r="O60" s="158"/>
      <c r="P60" s="158"/>
      <c r="Q60" s="91">
        <v>0</v>
      </c>
      <c r="R60" s="91"/>
      <c r="S60" s="77">
        <v>0</v>
      </c>
    </row>
    <row r="61" spans="1:19" s="160" customFormat="1" ht="32.25" customHeight="1">
      <c r="A61" s="106">
        <v>11</v>
      </c>
      <c r="B61" s="142" t="s">
        <v>83</v>
      </c>
      <c r="C61" s="150" t="s">
        <v>84</v>
      </c>
      <c r="D61" s="151">
        <v>2070</v>
      </c>
      <c r="E61" s="163"/>
      <c r="F61" s="122"/>
      <c r="G61" s="122"/>
      <c r="H61" s="91">
        <v>0</v>
      </c>
      <c r="I61" s="122"/>
      <c r="J61" s="132">
        <v>0</v>
      </c>
      <c r="K61" s="154" t="s">
        <v>325</v>
      </c>
      <c r="L61" s="155" t="s">
        <v>329</v>
      </c>
      <c r="M61" s="156">
        <v>2070</v>
      </c>
      <c r="N61" s="167"/>
      <c r="O61" s="158"/>
      <c r="P61" s="158"/>
      <c r="Q61" s="91">
        <v>0</v>
      </c>
      <c r="R61" s="91"/>
      <c r="S61" s="77">
        <v>0</v>
      </c>
    </row>
    <row r="62" spans="1:19" s="160" customFormat="1" ht="32.25" customHeight="1">
      <c r="A62" s="106">
        <v>12</v>
      </c>
      <c r="B62" s="142" t="s">
        <v>87</v>
      </c>
      <c r="C62" s="150" t="s">
        <v>88</v>
      </c>
      <c r="D62" s="151">
        <v>2070</v>
      </c>
      <c r="E62" s="163"/>
      <c r="F62" s="122"/>
      <c r="G62" s="122"/>
      <c r="H62" s="91">
        <v>0</v>
      </c>
      <c r="I62" s="122"/>
      <c r="J62" s="132">
        <v>0</v>
      </c>
      <c r="K62" s="154" t="s">
        <v>330</v>
      </c>
      <c r="L62" s="171" t="s">
        <v>331</v>
      </c>
      <c r="M62" s="156">
        <v>2070</v>
      </c>
      <c r="N62" s="167"/>
      <c r="O62" s="158"/>
      <c r="P62" s="158"/>
      <c r="Q62" s="91">
        <v>0</v>
      </c>
      <c r="R62" s="91"/>
      <c r="S62" s="77">
        <v>0</v>
      </c>
    </row>
    <row r="63" spans="1:19" ht="32.25" customHeight="1">
      <c r="A63" s="106">
        <v>13</v>
      </c>
      <c r="B63" s="146" t="s">
        <v>75</v>
      </c>
      <c r="C63" s="173" t="s">
        <v>91</v>
      </c>
      <c r="D63" s="151"/>
      <c r="E63" s="163"/>
      <c r="F63" s="115"/>
      <c r="G63" s="115"/>
      <c r="H63" s="131">
        <v>0</v>
      </c>
      <c r="I63" s="115"/>
      <c r="J63" s="132">
        <v>0</v>
      </c>
      <c r="K63" s="164"/>
      <c r="L63" s="165"/>
      <c r="M63" s="166"/>
      <c r="N63" s="167"/>
      <c r="O63" s="158"/>
      <c r="P63" s="158"/>
      <c r="Q63" s="91">
        <v>0</v>
      </c>
      <c r="R63" s="91"/>
      <c r="S63" s="77">
        <v>0</v>
      </c>
    </row>
    <row r="64" spans="1:19" ht="32.25" customHeight="1">
      <c r="A64" s="106">
        <v>14</v>
      </c>
      <c r="B64" s="142" t="s">
        <v>92</v>
      </c>
      <c r="C64" s="174" t="s">
        <v>93</v>
      </c>
      <c r="D64" s="151"/>
      <c r="E64" s="163"/>
      <c r="F64" s="115"/>
      <c r="G64" s="115"/>
      <c r="H64" s="131">
        <v>0</v>
      </c>
      <c r="I64" s="115"/>
      <c r="J64" s="132">
        <v>0</v>
      </c>
      <c r="K64" s="164"/>
      <c r="L64" s="165"/>
      <c r="M64" s="166"/>
      <c r="N64" s="167"/>
      <c r="O64" s="158"/>
      <c r="P64" s="158"/>
      <c r="Q64" s="91">
        <v>0</v>
      </c>
      <c r="R64" s="91"/>
      <c r="S64" s="77">
        <v>0</v>
      </c>
    </row>
    <row r="65" spans="1:19" ht="32.25" customHeight="1">
      <c r="A65" s="106">
        <v>15</v>
      </c>
      <c r="B65" s="146" t="s">
        <v>75</v>
      </c>
      <c r="C65" s="170" t="s">
        <v>94</v>
      </c>
      <c r="D65" s="151">
        <v>0</v>
      </c>
      <c r="E65" s="163"/>
      <c r="F65" s="115"/>
      <c r="G65" s="115"/>
      <c r="H65" s="131">
        <v>0</v>
      </c>
      <c r="I65" s="115"/>
      <c r="J65" s="132">
        <v>0</v>
      </c>
      <c r="K65" s="164"/>
      <c r="L65" s="165"/>
      <c r="M65" s="166"/>
      <c r="N65" s="167"/>
      <c r="O65" s="158"/>
      <c r="P65" s="158"/>
      <c r="Q65" s="91">
        <v>0</v>
      </c>
      <c r="R65" s="91"/>
      <c r="S65" s="77">
        <v>0</v>
      </c>
    </row>
    <row r="66" spans="1:19" s="160" customFormat="1" ht="32.25" customHeight="1">
      <c r="A66" s="106">
        <v>16</v>
      </c>
      <c r="B66" s="142" t="s">
        <v>95</v>
      </c>
      <c r="C66" s="150" t="s">
        <v>96</v>
      </c>
      <c r="D66" s="151">
        <v>0</v>
      </c>
      <c r="E66" s="163"/>
      <c r="F66" s="122"/>
      <c r="G66" s="122"/>
      <c r="H66" s="91">
        <v>0</v>
      </c>
      <c r="I66" s="122"/>
      <c r="J66" s="132">
        <v>0</v>
      </c>
      <c r="K66" s="164"/>
      <c r="L66" s="175"/>
      <c r="M66" s="166"/>
      <c r="N66" s="167"/>
      <c r="O66" s="158"/>
      <c r="P66" s="158"/>
      <c r="Q66" s="91">
        <v>0</v>
      </c>
      <c r="R66" s="91"/>
      <c r="S66" s="77">
        <v>0</v>
      </c>
    </row>
    <row r="67" spans="1:19" s="160" customFormat="1" ht="32.25" customHeight="1">
      <c r="A67" s="106">
        <v>17</v>
      </c>
      <c r="B67" s="176" t="s">
        <v>97</v>
      </c>
      <c r="C67" s="162" t="s">
        <v>98</v>
      </c>
      <c r="D67" s="151">
        <v>0</v>
      </c>
      <c r="E67" s="163"/>
      <c r="F67" s="122"/>
      <c r="G67" s="122"/>
      <c r="H67" s="91">
        <v>0</v>
      </c>
      <c r="I67" s="122"/>
      <c r="J67" s="132">
        <v>0</v>
      </c>
      <c r="K67" s="164"/>
      <c r="L67" s="165"/>
      <c r="M67" s="177"/>
      <c r="N67" s="167"/>
      <c r="O67" s="158"/>
      <c r="P67" s="158"/>
      <c r="Q67" s="91">
        <v>0</v>
      </c>
      <c r="R67" s="91"/>
      <c r="S67" s="77">
        <v>0</v>
      </c>
    </row>
    <row r="68" spans="1:19" s="160" customFormat="1" ht="32.25" customHeight="1">
      <c r="A68" s="106">
        <v>18</v>
      </c>
      <c r="B68" s="142" t="s">
        <v>99</v>
      </c>
      <c r="C68" s="174" t="s">
        <v>100</v>
      </c>
      <c r="D68" s="151">
        <v>37375</v>
      </c>
      <c r="E68" s="163"/>
      <c r="F68" s="122"/>
      <c r="G68" s="122"/>
      <c r="H68" s="91">
        <v>0</v>
      </c>
      <c r="I68" s="122"/>
      <c r="J68" s="132">
        <v>0</v>
      </c>
      <c r="K68" s="154" t="s">
        <v>325</v>
      </c>
      <c r="L68" s="171" t="s">
        <v>332</v>
      </c>
      <c r="M68" s="178">
        <v>37375</v>
      </c>
      <c r="N68" s="167"/>
      <c r="O68" s="158"/>
      <c r="P68" s="158"/>
      <c r="Q68" s="91">
        <v>0</v>
      </c>
      <c r="R68" s="91"/>
      <c r="S68" s="77">
        <v>0</v>
      </c>
    </row>
    <row r="69" spans="1:19" s="160" customFormat="1" ht="32.25" customHeight="1">
      <c r="A69" s="106"/>
      <c r="B69" s="652" t="s">
        <v>102</v>
      </c>
      <c r="C69" s="653"/>
      <c r="D69" s="654"/>
      <c r="E69" s="163"/>
      <c r="F69" s="122"/>
      <c r="G69" s="122"/>
      <c r="H69" s="91">
        <v>0</v>
      </c>
      <c r="I69" s="122"/>
      <c r="J69" s="132">
        <v>0</v>
      </c>
      <c r="K69" s="164"/>
      <c r="L69" s="182"/>
      <c r="M69" s="183"/>
      <c r="N69" s="167"/>
      <c r="O69" s="158"/>
      <c r="P69" s="158"/>
      <c r="Q69" s="91">
        <v>0</v>
      </c>
      <c r="R69" s="91"/>
      <c r="S69" s="77">
        <v>0</v>
      </c>
    </row>
    <row r="70" spans="1:19" s="160" customFormat="1" ht="32.25" customHeight="1">
      <c r="A70" s="106">
        <v>19</v>
      </c>
      <c r="B70" s="142" t="s">
        <v>103</v>
      </c>
      <c r="C70" s="174" t="s">
        <v>104</v>
      </c>
      <c r="D70" s="151">
        <v>15525</v>
      </c>
      <c r="E70" s="163"/>
      <c r="F70" s="122"/>
      <c r="G70" s="122"/>
      <c r="H70" s="91">
        <v>0</v>
      </c>
      <c r="I70" s="122"/>
      <c r="J70" s="132">
        <v>0</v>
      </c>
      <c r="K70" s="154" t="s">
        <v>333</v>
      </c>
      <c r="L70" s="171" t="s">
        <v>334</v>
      </c>
      <c r="M70" s="178">
        <v>15525</v>
      </c>
      <c r="N70" s="167"/>
      <c r="O70" s="158"/>
      <c r="P70" s="158"/>
      <c r="Q70" s="91">
        <v>0</v>
      </c>
      <c r="R70" s="91"/>
      <c r="S70" s="77">
        <v>0</v>
      </c>
    </row>
    <row r="71" spans="1:19" s="160" customFormat="1" ht="32.25" customHeight="1">
      <c r="A71" s="106"/>
      <c r="B71" s="652" t="s">
        <v>106</v>
      </c>
      <c r="C71" s="653"/>
      <c r="D71" s="654"/>
      <c r="E71" s="163"/>
      <c r="F71" s="122"/>
      <c r="G71" s="122"/>
      <c r="H71" s="91">
        <v>0</v>
      </c>
      <c r="I71" s="122"/>
      <c r="J71" s="132">
        <v>0</v>
      </c>
      <c r="K71" s="164"/>
      <c r="L71" s="182"/>
      <c r="M71" s="183"/>
      <c r="N71" s="167"/>
      <c r="O71" s="158"/>
      <c r="P71" s="158"/>
      <c r="Q71" s="91">
        <v>0</v>
      </c>
      <c r="R71" s="91"/>
      <c r="S71" s="77">
        <v>0</v>
      </c>
    </row>
    <row r="72" spans="1:19" s="160" customFormat="1" ht="32.25" customHeight="1">
      <c r="A72" s="106">
        <v>20</v>
      </c>
      <c r="B72" s="142" t="s">
        <v>107</v>
      </c>
      <c r="C72" s="174" t="s">
        <v>108</v>
      </c>
      <c r="D72" s="151">
        <v>14000</v>
      </c>
      <c r="E72" s="163"/>
      <c r="F72" s="122"/>
      <c r="G72" s="122"/>
      <c r="H72" s="91">
        <v>0</v>
      </c>
      <c r="I72" s="122"/>
      <c r="J72" s="132">
        <v>0</v>
      </c>
      <c r="K72" s="154" t="s">
        <v>320</v>
      </c>
      <c r="L72" s="155" t="s">
        <v>335</v>
      </c>
      <c r="M72" s="178">
        <v>14000</v>
      </c>
      <c r="N72" s="167"/>
      <c r="O72" s="158"/>
      <c r="P72" s="158"/>
      <c r="Q72" s="91">
        <v>0</v>
      </c>
      <c r="R72" s="91"/>
      <c r="S72" s="77">
        <v>0</v>
      </c>
    </row>
    <row r="73" spans="1:19" s="160" customFormat="1" ht="32.25" customHeight="1">
      <c r="A73" s="106"/>
      <c r="B73" s="652" t="s">
        <v>110</v>
      </c>
      <c r="C73" s="653"/>
      <c r="D73" s="654"/>
      <c r="E73" s="163"/>
      <c r="F73" s="122"/>
      <c r="G73" s="122"/>
      <c r="H73" s="91">
        <v>0</v>
      </c>
      <c r="I73" s="122"/>
      <c r="J73" s="132">
        <v>0</v>
      </c>
      <c r="K73" s="164"/>
      <c r="L73" s="182"/>
      <c r="M73" s="183"/>
      <c r="N73" s="167"/>
      <c r="O73" s="158"/>
      <c r="P73" s="158"/>
      <c r="Q73" s="91">
        <v>0</v>
      </c>
      <c r="R73" s="91"/>
      <c r="S73" s="77">
        <v>0</v>
      </c>
    </row>
    <row r="74" spans="1:19" s="160" customFormat="1" ht="32.25" customHeight="1">
      <c r="A74" s="106">
        <v>21</v>
      </c>
      <c r="B74" s="142" t="s">
        <v>111</v>
      </c>
      <c r="C74" s="142" t="s">
        <v>112</v>
      </c>
      <c r="D74" s="151">
        <v>7000</v>
      </c>
      <c r="E74" s="163"/>
      <c r="F74" s="122"/>
      <c r="G74" s="122"/>
      <c r="H74" s="91">
        <v>0</v>
      </c>
      <c r="I74" s="122"/>
      <c r="J74" s="132">
        <v>0</v>
      </c>
      <c r="K74" s="154" t="s">
        <v>320</v>
      </c>
      <c r="L74" s="155" t="s">
        <v>336</v>
      </c>
      <c r="M74" s="178">
        <v>7000</v>
      </c>
      <c r="N74" s="167"/>
      <c r="O74" s="158"/>
      <c r="P74" s="158"/>
      <c r="Q74" s="91">
        <v>0</v>
      </c>
      <c r="R74" s="91"/>
      <c r="S74" s="77">
        <v>0</v>
      </c>
    </row>
    <row r="75" spans="1:19" s="160" customFormat="1" ht="32.25" customHeight="1">
      <c r="A75" s="106"/>
      <c r="B75" s="652" t="s">
        <v>114</v>
      </c>
      <c r="C75" s="653"/>
      <c r="D75" s="654"/>
      <c r="E75" s="163"/>
      <c r="F75" s="122"/>
      <c r="G75" s="122"/>
      <c r="H75" s="91">
        <v>0</v>
      </c>
      <c r="I75" s="122"/>
      <c r="J75" s="132">
        <v>0</v>
      </c>
      <c r="K75" s="164"/>
      <c r="L75" s="165"/>
      <c r="M75" s="177"/>
      <c r="N75" s="167"/>
      <c r="O75" s="158"/>
      <c r="P75" s="158"/>
      <c r="Q75" s="91">
        <v>0</v>
      </c>
      <c r="R75" s="91"/>
      <c r="S75" s="77">
        <v>0</v>
      </c>
    </row>
    <row r="76" spans="1:19" s="160" customFormat="1" ht="32.25" customHeight="1">
      <c r="A76" s="106">
        <v>22</v>
      </c>
      <c r="B76" s="142" t="s">
        <v>30</v>
      </c>
      <c r="C76" s="174" t="s">
        <v>115</v>
      </c>
      <c r="D76" s="151">
        <v>3970</v>
      </c>
      <c r="E76" s="163"/>
      <c r="F76" s="115"/>
      <c r="G76" s="115"/>
      <c r="H76" s="131">
        <v>0</v>
      </c>
      <c r="I76" s="115"/>
      <c r="J76" s="132">
        <v>0</v>
      </c>
      <c r="K76" s="154" t="s">
        <v>337</v>
      </c>
      <c r="L76" s="155" t="s">
        <v>338</v>
      </c>
      <c r="M76" s="178">
        <v>3970</v>
      </c>
      <c r="N76" s="167"/>
      <c r="O76" s="184"/>
      <c r="P76" s="184"/>
      <c r="Q76" s="91">
        <v>0</v>
      </c>
      <c r="R76" s="91"/>
      <c r="S76" s="77">
        <v>0</v>
      </c>
    </row>
    <row r="77" spans="1:19" s="160" customFormat="1" ht="32.25" customHeight="1">
      <c r="A77" s="106"/>
      <c r="B77" s="659" t="s">
        <v>118</v>
      </c>
      <c r="C77" s="660"/>
      <c r="D77" s="661"/>
      <c r="E77" s="163"/>
      <c r="F77" s="115"/>
      <c r="G77" s="115"/>
      <c r="H77" s="131">
        <v>0</v>
      </c>
      <c r="I77" s="115"/>
      <c r="J77" s="132">
        <v>0</v>
      </c>
      <c r="K77" s="164"/>
      <c r="L77" s="182"/>
      <c r="M77" s="183"/>
      <c r="N77" s="167"/>
      <c r="O77" s="184"/>
      <c r="P77" s="184"/>
      <c r="Q77" s="91">
        <v>0</v>
      </c>
      <c r="R77" s="91"/>
      <c r="S77" s="77">
        <v>0</v>
      </c>
    </row>
    <row r="78" spans="1:19" s="160" customFormat="1" ht="32.25" customHeight="1">
      <c r="A78" s="106"/>
      <c r="B78" s="185" t="s">
        <v>119</v>
      </c>
      <c r="C78" s="186"/>
      <c r="D78" s="187"/>
      <c r="E78" s="163"/>
      <c r="F78" s="115"/>
      <c r="G78" s="115"/>
      <c r="H78" s="131">
        <v>0</v>
      </c>
      <c r="I78" s="115"/>
      <c r="J78" s="132">
        <v>0</v>
      </c>
      <c r="K78" s="164"/>
      <c r="L78" s="182"/>
      <c r="M78" s="183"/>
      <c r="N78" s="167"/>
      <c r="O78" s="184"/>
      <c r="P78" s="184"/>
      <c r="Q78" s="91">
        <v>0</v>
      </c>
      <c r="R78" s="91"/>
      <c r="S78" s="77">
        <v>0</v>
      </c>
    </row>
    <row r="79" spans="1:19" s="160" customFormat="1" ht="32.25" customHeight="1">
      <c r="A79" s="106"/>
      <c r="B79" s="185" t="s">
        <v>120</v>
      </c>
      <c r="C79" s="186"/>
      <c r="D79" s="187">
        <v>0</v>
      </c>
      <c r="E79" s="163"/>
      <c r="F79" s="115"/>
      <c r="G79" s="115"/>
      <c r="H79" s="131">
        <v>0</v>
      </c>
      <c r="I79" s="115"/>
      <c r="J79" s="132">
        <v>0</v>
      </c>
      <c r="K79" s="164"/>
      <c r="L79" s="182"/>
      <c r="M79" s="183"/>
      <c r="N79" s="167"/>
      <c r="O79" s="184"/>
      <c r="P79" s="184"/>
      <c r="Q79" s="91">
        <v>0</v>
      </c>
      <c r="R79" s="91"/>
      <c r="S79" s="77">
        <v>0</v>
      </c>
    </row>
    <row r="80" spans="1:19" s="160" customFormat="1" ht="32.25" customHeight="1">
      <c r="A80" s="106"/>
      <c r="B80" s="188" t="s">
        <v>123</v>
      </c>
      <c r="C80" s="186"/>
      <c r="D80" s="187">
        <v>0</v>
      </c>
      <c r="E80" s="163" t="s">
        <v>57</v>
      </c>
      <c r="F80" s="115" t="s">
        <v>125</v>
      </c>
      <c r="G80" s="115"/>
      <c r="H80" s="131">
        <v>-520</v>
      </c>
      <c r="I80" s="115"/>
      <c r="J80" s="132">
        <v>-520</v>
      </c>
      <c r="K80" s="164"/>
      <c r="L80" s="182"/>
      <c r="M80" s="183"/>
      <c r="N80" s="167"/>
      <c r="O80" s="184"/>
      <c r="P80" s="184"/>
      <c r="Q80" s="91">
        <v>-520</v>
      </c>
      <c r="R80" s="91"/>
      <c r="S80" s="77">
        <v>-520</v>
      </c>
    </row>
    <row r="81" spans="1:19" s="160" customFormat="1" ht="32.25" customHeight="1">
      <c r="A81" s="106"/>
      <c r="B81" s="179"/>
      <c r="C81" s="180"/>
      <c r="D81" s="181"/>
      <c r="E81" s="163"/>
      <c r="F81" s="115"/>
      <c r="G81" s="115"/>
      <c r="H81" s="131">
        <v>0</v>
      </c>
      <c r="I81" s="115"/>
      <c r="J81" s="132">
        <v>0</v>
      </c>
      <c r="K81" s="164"/>
      <c r="L81" s="182"/>
      <c r="M81" s="183"/>
      <c r="N81" s="167"/>
      <c r="O81" s="184"/>
      <c r="P81" s="184"/>
      <c r="Q81" s="91">
        <v>0</v>
      </c>
      <c r="R81" s="91"/>
      <c r="S81" s="77">
        <v>0</v>
      </c>
    </row>
    <row r="82" spans="1:19" s="160" customFormat="1" ht="32.25" customHeight="1">
      <c r="A82" s="106">
        <v>23</v>
      </c>
      <c r="B82" s="142" t="s">
        <v>23</v>
      </c>
      <c r="C82" s="174" t="s">
        <v>126</v>
      </c>
      <c r="D82" s="151">
        <v>4600</v>
      </c>
      <c r="E82" s="163"/>
      <c r="F82" s="115"/>
      <c r="G82" s="115"/>
      <c r="H82" s="131">
        <v>0</v>
      </c>
      <c r="I82" s="115"/>
      <c r="J82" s="132">
        <v>0</v>
      </c>
      <c r="K82" s="154" t="s">
        <v>320</v>
      </c>
      <c r="L82" s="155" t="s">
        <v>339</v>
      </c>
      <c r="M82" s="178">
        <v>4600</v>
      </c>
      <c r="N82" s="167"/>
      <c r="O82" s="184"/>
      <c r="P82" s="184"/>
      <c r="Q82" s="91">
        <v>0</v>
      </c>
      <c r="R82" s="91"/>
      <c r="S82" s="77">
        <v>0</v>
      </c>
    </row>
    <row r="83" spans="1:19" ht="32.25" customHeight="1">
      <c r="A83" s="39"/>
      <c r="B83" s="652" t="s">
        <v>128</v>
      </c>
      <c r="C83" s="653"/>
      <c r="D83" s="654"/>
      <c r="E83" s="189"/>
      <c r="F83" s="43"/>
      <c r="G83" s="43"/>
      <c r="H83" s="6">
        <v>0</v>
      </c>
      <c r="I83" s="43"/>
      <c r="J83" s="136">
        <v>0</v>
      </c>
      <c r="K83" s="190"/>
      <c r="L83" s="191"/>
      <c r="N83" s="5"/>
      <c r="O83" s="43"/>
      <c r="P83" s="43"/>
      <c r="Q83" s="91">
        <v>0</v>
      </c>
      <c r="R83" s="91"/>
      <c r="S83" s="77">
        <v>0</v>
      </c>
    </row>
    <row r="84" spans="1:19" ht="32.25" customHeight="1" thickBot="1">
      <c r="A84" s="39"/>
      <c r="B84" s="50" t="s">
        <v>19</v>
      </c>
      <c r="C84" s="50"/>
      <c r="D84" s="51">
        <v>103170</v>
      </c>
      <c r="E84" s="52"/>
      <c r="F84" s="53"/>
      <c r="G84" s="52"/>
      <c r="H84" s="51">
        <v>6750</v>
      </c>
      <c r="I84" s="51">
        <v>0</v>
      </c>
      <c r="J84" s="51">
        <v>6750</v>
      </c>
      <c r="K84" s="54"/>
      <c r="L84" s="55"/>
      <c r="M84" s="56">
        <f>SUM(M51:M83)</f>
        <v>101100</v>
      </c>
      <c r="N84" s="57"/>
      <c r="O84" s="53"/>
      <c r="P84" s="51"/>
      <c r="Q84" s="51">
        <f>SUM(Q51:Q83)-Q51-Q80</f>
        <v>2070</v>
      </c>
      <c r="R84" s="51">
        <f t="shared" ref="R84:S84" si="0">SUM(R51:R83)-R51-R80</f>
        <v>0</v>
      </c>
      <c r="S84" s="51">
        <f t="shared" si="0"/>
        <v>2070</v>
      </c>
    </row>
    <row r="85" spans="1:19" ht="32.25" customHeight="1" thickTop="1">
      <c r="A85" s="39"/>
      <c r="B85" s="141" t="s">
        <v>129</v>
      </c>
      <c r="C85" s="142"/>
      <c r="D85" s="125"/>
      <c r="E85" s="131"/>
      <c r="F85" s="115"/>
      <c r="G85" s="33"/>
      <c r="H85" s="143"/>
      <c r="I85" s="143"/>
      <c r="J85" s="143"/>
      <c r="K85" s="34"/>
      <c r="L85" s="35"/>
      <c r="M85" s="36"/>
      <c r="N85" s="114"/>
      <c r="O85" s="115"/>
      <c r="P85" s="144"/>
      <c r="Q85" s="33"/>
      <c r="R85" s="33"/>
      <c r="S85" s="38"/>
    </row>
    <row r="86" spans="1:19" ht="30" customHeight="1">
      <c r="A86" s="106">
        <v>1</v>
      </c>
      <c r="B86" s="142" t="s">
        <v>130</v>
      </c>
      <c r="C86" s="193" t="s">
        <v>131</v>
      </c>
      <c r="D86" s="125">
        <v>201.25</v>
      </c>
      <c r="E86" s="152" t="s">
        <v>57</v>
      </c>
      <c r="F86" s="194"/>
      <c r="G86" s="195"/>
      <c r="H86" s="196">
        <v>-2213.75</v>
      </c>
      <c r="I86" s="197"/>
      <c r="J86" s="198">
        <v>-2213.75</v>
      </c>
      <c r="K86" s="199"/>
      <c r="L86" s="200"/>
      <c r="M86" s="201"/>
      <c r="N86" s="202"/>
      <c r="O86" s="203"/>
      <c r="P86" s="204"/>
      <c r="Q86" s="205">
        <f>SUM(D86+J86-M86)</f>
        <v>-2012.5</v>
      </c>
      <c r="R86" s="206"/>
      <c r="S86" s="207">
        <f>SUM(Q86)</f>
        <v>-2012.5</v>
      </c>
    </row>
    <row r="87" spans="1:19" ht="30" customHeight="1">
      <c r="A87" s="106"/>
      <c r="B87" s="208" t="s">
        <v>340</v>
      </c>
      <c r="C87" s="193"/>
      <c r="D87" s="125"/>
      <c r="E87" s="163"/>
      <c r="F87" s="115"/>
      <c r="G87" s="91"/>
      <c r="H87" s="91"/>
      <c r="I87" s="125"/>
      <c r="J87" s="132"/>
      <c r="K87" s="209"/>
      <c r="L87" s="210"/>
      <c r="M87" s="36"/>
      <c r="N87" s="114"/>
      <c r="O87" s="115"/>
      <c r="P87" s="92"/>
      <c r="Q87" s="205">
        <f t="shared" ref="Q87:Q108" si="1">SUM(D87+J87-M87)</f>
        <v>0</v>
      </c>
      <c r="R87" s="125"/>
      <c r="S87" s="207">
        <f t="shared" ref="S87:S110" si="2">SUM(Q87)</f>
        <v>0</v>
      </c>
    </row>
    <row r="88" spans="1:19" ht="30" customHeight="1">
      <c r="A88" s="106"/>
      <c r="B88" s="211" t="s">
        <v>133</v>
      </c>
      <c r="C88" s="193"/>
      <c r="D88" s="125"/>
      <c r="E88" s="163"/>
      <c r="F88" s="115"/>
      <c r="G88" s="91"/>
      <c r="H88" s="91"/>
      <c r="I88" s="125"/>
      <c r="J88" s="132"/>
      <c r="K88" s="209"/>
      <c r="L88" s="210"/>
      <c r="M88" s="36"/>
      <c r="N88" s="114"/>
      <c r="O88" s="115"/>
      <c r="P88" s="92"/>
      <c r="Q88" s="205">
        <f t="shared" si="1"/>
        <v>0</v>
      </c>
      <c r="R88" s="125"/>
      <c r="S88" s="207">
        <f t="shared" si="2"/>
        <v>0</v>
      </c>
    </row>
    <row r="89" spans="1:19" ht="30" customHeight="1">
      <c r="A89" s="106"/>
      <c r="B89" s="208" t="s">
        <v>136</v>
      </c>
      <c r="C89" s="193"/>
      <c r="D89" s="125"/>
      <c r="E89" s="163"/>
      <c r="F89" s="115"/>
      <c r="G89" s="91"/>
      <c r="H89" s="91"/>
      <c r="I89" s="125"/>
      <c r="J89" s="132"/>
      <c r="K89" s="209"/>
      <c r="L89" s="210"/>
      <c r="M89" s="36"/>
      <c r="N89" s="114"/>
      <c r="O89" s="115"/>
      <c r="P89" s="92"/>
      <c r="Q89" s="205">
        <f t="shared" si="1"/>
        <v>0</v>
      </c>
      <c r="R89" s="125"/>
      <c r="S89" s="207">
        <f t="shared" si="2"/>
        <v>0</v>
      </c>
    </row>
    <row r="90" spans="1:19" ht="30" customHeight="1">
      <c r="A90" s="106"/>
      <c r="B90" s="208" t="s">
        <v>138</v>
      </c>
      <c r="C90" s="193"/>
      <c r="D90" s="125"/>
      <c r="E90" s="163"/>
      <c r="F90" s="115"/>
      <c r="G90" s="91"/>
      <c r="H90" s="91"/>
      <c r="I90" s="125"/>
      <c r="J90" s="132"/>
      <c r="K90" s="209"/>
      <c r="L90" s="210"/>
      <c r="M90" s="36"/>
      <c r="N90" s="114"/>
      <c r="O90" s="115"/>
      <c r="P90" s="92"/>
      <c r="Q90" s="205">
        <f t="shared" si="1"/>
        <v>0</v>
      </c>
      <c r="R90" s="125"/>
      <c r="S90" s="207">
        <f t="shared" si="2"/>
        <v>0</v>
      </c>
    </row>
    <row r="91" spans="1:19" ht="30" customHeight="1">
      <c r="A91" s="106"/>
      <c r="B91" s="208" t="s">
        <v>140</v>
      </c>
      <c r="C91" s="193"/>
      <c r="D91" s="125"/>
      <c r="E91" s="163"/>
      <c r="F91" s="115"/>
      <c r="G91" s="91"/>
      <c r="H91" s="91"/>
      <c r="I91" s="125"/>
      <c r="J91" s="132"/>
      <c r="K91" s="209"/>
      <c r="L91" s="210"/>
      <c r="M91" s="36"/>
      <c r="N91" s="114"/>
      <c r="O91" s="115"/>
      <c r="P91" s="92"/>
      <c r="Q91" s="205">
        <f t="shared" si="1"/>
        <v>0</v>
      </c>
      <c r="R91" s="125"/>
      <c r="S91" s="207">
        <f t="shared" si="2"/>
        <v>0</v>
      </c>
    </row>
    <row r="92" spans="1:19" ht="32.25" customHeight="1">
      <c r="A92" s="106">
        <v>2</v>
      </c>
      <c r="B92" s="142" t="s">
        <v>141</v>
      </c>
      <c r="C92" s="193" t="s">
        <v>142</v>
      </c>
      <c r="D92" s="125">
        <v>937.09</v>
      </c>
      <c r="E92" s="152" t="s">
        <v>54</v>
      </c>
      <c r="F92" s="212"/>
      <c r="G92" s="213"/>
      <c r="H92" s="153">
        <v>-937.08999999999935</v>
      </c>
      <c r="I92" s="125"/>
      <c r="J92" s="132">
        <v>-937.08999999999935</v>
      </c>
      <c r="K92" s="209"/>
      <c r="L92" s="210"/>
      <c r="M92" s="36"/>
      <c r="N92" s="214"/>
      <c r="O92" s="212"/>
      <c r="P92" s="215"/>
      <c r="Q92" s="205">
        <f t="shared" si="1"/>
        <v>6.8212102632969618E-13</v>
      </c>
      <c r="R92" s="216"/>
      <c r="S92" s="207">
        <f t="shared" si="2"/>
        <v>6.8212102632969618E-13</v>
      </c>
    </row>
    <row r="93" spans="1:19" ht="32.25" customHeight="1">
      <c r="A93" s="106"/>
      <c r="B93" s="142" t="s">
        <v>143</v>
      </c>
      <c r="C93" s="193"/>
      <c r="D93" s="125"/>
      <c r="E93" s="163"/>
      <c r="F93" s="115"/>
      <c r="G93" s="91"/>
      <c r="H93" s="91"/>
      <c r="I93" s="125"/>
      <c r="J93" s="132"/>
      <c r="K93" s="209"/>
      <c r="L93" s="210"/>
      <c r="M93" s="36"/>
      <c r="N93" s="114"/>
      <c r="O93" s="115"/>
      <c r="P93" s="92"/>
      <c r="Q93" s="205">
        <f t="shared" si="1"/>
        <v>0</v>
      </c>
      <c r="R93" s="125"/>
      <c r="S93" s="207">
        <f t="shared" si="2"/>
        <v>0</v>
      </c>
    </row>
    <row r="94" spans="1:19" ht="32.25" customHeight="1">
      <c r="A94" s="106"/>
      <c r="B94" s="146" t="s">
        <v>144</v>
      </c>
      <c r="C94" s="193"/>
      <c r="D94" s="125"/>
      <c r="E94" s="163"/>
      <c r="F94" s="115"/>
      <c r="G94" s="91"/>
      <c r="H94" s="91"/>
      <c r="I94" s="125"/>
      <c r="J94" s="132"/>
      <c r="K94" s="209"/>
      <c r="L94" s="210"/>
      <c r="M94" s="36"/>
      <c r="N94" s="114"/>
      <c r="O94" s="115"/>
      <c r="P94" s="92"/>
      <c r="Q94" s="205">
        <f t="shared" si="1"/>
        <v>0</v>
      </c>
      <c r="R94" s="125"/>
      <c r="S94" s="207">
        <f t="shared" si="2"/>
        <v>0</v>
      </c>
    </row>
    <row r="95" spans="1:19" ht="32.25" customHeight="1">
      <c r="A95" s="106">
        <v>3</v>
      </c>
      <c r="B95" s="142" t="s">
        <v>145</v>
      </c>
      <c r="C95" s="193" t="s">
        <v>146</v>
      </c>
      <c r="D95" s="125">
        <v>233.33</v>
      </c>
      <c r="E95" s="163" t="s">
        <v>54</v>
      </c>
      <c r="F95" s="115"/>
      <c r="G95" s="217"/>
      <c r="H95" s="91">
        <v>-933.36</v>
      </c>
      <c r="I95" s="125"/>
      <c r="J95" s="132">
        <v>-933.36</v>
      </c>
      <c r="K95" s="218"/>
      <c r="L95" s="219"/>
      <c r="M95" s="125"/>
      <c r="N95" s="220"/>
      <c r="O95" s="115"/>
      <c r="P95" s="221"/>
      <c r="Q95" s="205">
        <f t="shared" si="1"/>
        <v>-700.03</v>
      </c>
      <c r="R95" s="216"/>
      <c r="S95" s="207">
        <f t="shared" si="2"/>
        <v>-700.03</v>
      </c>
    </row>
    <row r="96" spans="1:19" ht="32.25" customHeight="1">
      <c r="A96" s="106"/>
      <c r="B96" s="142" t="s">
        <v>147</v>
      </c>
      <c r="C96" s="222"/>
      <c r="D96" s="125"/>
      <c r="E96" s="163"/>
      <c r="F96" s="115"/>
      <c r="G96" s="91"/>
      <c r="H96" s="91"/>
      <c r="I96" s="125"/>
      <c r="J96" s="132"/>
      <c r="K96" s="672"/>
      <c r="L96" s="673"/>
      <c r="M96" s="674"/>
      <c r="N96" s="220"/>
      <c r="O96" s="115"/>
      <c r="P96" s="92"/>
      <c r="Q96" s="205">
        <f t="shared" si="1"/>
        <v>0</v>
      </c>
      <c r="R96" s="125"/>
      <c r="S96" s="207">
        <f t="shared" si="2"/>
        <v>0</v>
      </c>
    </row>
    <row r="97" spans="1:21" ht="32.25" customHeight="1">
      <c r="A97" s="106"/>
      <c r="B97" s="223" t="s">
        <v>148</v>
      </c>
      <c r="C97" s="224"/>
      <c r="D97" s="125"/>
      <c r="E97" s="163"/>
      <c r="F97" s="115"/>
      <c r="G97" s="91"/>
      <c r="H97" s="91"/>
      <c r="I97" s="125"/>
      <c r="J97" s="132"/>
      <c r="K97" s="225"/>
      <c r="L97" s="219"/>
      <c r="M97" s="125"/>
      <c r="N97" s="220"/>
      <c r="O97" s="115"/>
      <c r="P97" s="92"/>
      <c r="Q97" s="205">
        <f t="shared" si="1"/>
        <v>0</v>
      </c>
      <c r="R97" s="125"/>
      <c r="S97" s="207">
        <f t="shared" si="2"/>
        <v>0</v>
      </c>
    </row>
    <row r="98" spans="1:21" s="230" customFormat="1" ht="32.25" customHeight="1">
      <c r="A98" s="106">
        <v>4</v>
      </c>
      <c r="B98" s="222" t="s">
        <v>149</v>
      </c>
      <c r="C98" s="222" t="s">
        <v>150</v>
      </c>
      <c r="D98" s="125">
        <v>1212.29</v>
      </c>
      <c r="E98" s="163" t="s">
        <v>54</v>
      </c>
      <c r="F98" s="115"/>
      <c r="G98" s="91"/>
      <c r="H98" s="153">
        <v>-9698.3399999999965</v>
      </c>
      <c r="I98" s="216"/>
      <c r="J98" s="226">
        <v>-9698.3399999999965</v>
      </c>
      <c r="K98" s="114"/>
      <c r="L98" s="114"/>
      <c r="M98" s="125"/>
      <c r="N98" s="227"/>
      <c r="O98" s="228"/>
      <c r="P98" s="92"/>
      <c r="Q98" s="205">
        <f t="shared" si="1"/>
        <v>-8486.0499999999956</v>
      </c>
      <c r="R98" s="229"/>
      <c r="S98" s="207">
        <f t="shared" si="2"/>
        <v>-8486.0499999999956</v>
      </c>
    </row>
    <row r="99" spans="1:21" s="235" customFormat="1" ht="32.25" customHeight="1">
      <c r="A99" s="106"/>
      <c r="B99" s="231" t="s">
        <v>151</v>
      </c>
      <c r="C99" s="232"/>
      <c r="D99" s="233"/>
      <c r="E99" s="163"/>
      <c r="F99" s="115"/>
      <c r="G99" s="91"/>
      <c r="H99" s="91">
        <v>0</v>
      </c>
      <c r="I99" s="125"/>
      <c r="J99" s="132"/>
      <c r="K99" s="225"/>
      <c r="L99" s="219"/>
      <c r="M99" s="125"/>
      <c r="N99" s="234"/>
      <c r="O99" s="228"/>
      <c r="P99" s="92"/>
      <c r="Q99" s="205">
        <f t="shared" si="1"/>
        <v>0</v>
      </c>
      <c r="R99" s="125"/>
      <c r="S99" s="207">
        <f t="shared" si="2"/>
        <v>0</v>
      </c>
      <c r="T99" s="230"/>
    </row>
    <row r="100" spans="1:21" s="237" customFormat="1" ht="32.25" customHeight="1">
      <c r="A100" s="106">
        <v>5</v>
      </c>
      <c r="B100" s="222" t="s">
        <v>152</v>
      </c>
      <c r="C100" s="193" t="s">
        <v>153</v>
      </c>
      <c r="D100" s="125">
        <v>670.84</v>
      </c>
      <c r="E100" s="163" t="s">
        <v>54</v>
      </c>
      <c r="F100" s="115"/>
      <c r="G100" s="91"/>
      <c r="H100" s="91">
        <v>-5366.6399999999994</v>
      </c>
      <c r="I100" s="125"/>
      <c r="J100" s="132">
        <v>-5366.6399999999994</v>
      </c>
      <c r="K100" s="225"/>
      <c r="L100" s="219"/>
      <c r="M100" s="125"/>
      <c r="N100" s="227"/>
      <c r="O100" s="228"/>
      <c r="P100" s="92"/>
      <c r="Q100" s="205">
        <f t="shared" si="1"/>
        <v>-4695.7999999999993</v>
      </c>
      <c r="R100" s="229"/>
      <c r="S100" s="207">
        <f t="shared" si="2"/>
        <v>-4695.7999999999993</v>
      </c>
      <c r="T100" s="2"/>
      <c r="U100" s="2"/>
    </row>
    <row r="101" spans="1:21" s="237" customFormat="1" ht="32.25" customHeight="1">
      <c r="A101" s="106"/>
      <c r="B101" s="238" t="s">
        <v>154</v>
      </c>
      <c r="C101" s="193"/>
      <c r="D101" s="92"/>
      <c r="E101" s="239"/>
      <c r="F101" s="122"/>
      <c r="G101" s="91"/>
      <c r="H101" s="91"/>
      <c r="I101" s="92"/>
      <c r="J101" s="132"/>
      <c r="K101" s="225"/>
      <c r="L101" s="219"/>
      <c r="M101" s="125"/>
      <c r="N101" s="240"/>
      <c r="O101" s="122"/>
      <c r="P101" s="92"/>
      <c r="Q101" s="205">
        <f t="shared" si="1"/>
        <v>0</v>
      </c>
      <c r="R101" s="125"/>
      <c r="S101" s="207">
        <f t="shared" si="2"/>
        <v>0</v>
      </c>
      <c r="T101" s="2"/>
      <c r="U101" s="2"/>
    </row>
    <row r="102" spans="1:21" s="259" customFormat="1" ht="32.25" customHeight="1">
      <c r="A102" s="241">
        <v>6</v>
      </c>
      <c r="B102" s="242" t="s">
        <v>52</v>
      </c>
      <c r="C102" s="243" t="s">
        <v>155</v>
      </c>
      <c r="D102" s="244">
        <v>108.26</v>
      </c>
      <c r="E102" s="245" t="s">
        <v>54</v>
      </c>
      <c r="F102" s="246"/>
      <c r="G102" s="247"/>
      <c r="H102" s="248">
        <v>-108.25999999999982</v>
      </c>
      <c r="I102" s="249"/>
      <c r="J102" s="250">
        <v>-108.25999999999982</v>
      </c>
      <c r="K102" s="251"/>
      <c r="L102" s="252"/>
      <c r="M102" s="253"/>
      <c r="N102" s="254"/>
      <c r="O102" s="255"/>
      <c r="P102" s="256"/>
      <c r="Q102" s="205">
        <f t="shared" si="1"/>
        <v>1.8474111129762605E-13</v>
      </c>
      <c r="R102" s="216"/>
      <c r="S102" s="207">
        <f t="shared" si="2"/>
        <v>1.8474111129762605E-13</v>
      </c>
    </row>
    <row r="103" spans="1:21" s="259" customFormat="1" ht="32.25" customHeight="1">
      <c r="A103" s="260"/>
      <c r="B103" s="242" t="s">
        <v>156</v>
      </c>
      <c r="C103" s="242"/>
      <c r="D103" s="244"/>
      <c r="E103" s="245"/>
      <c r="F103" s="246"/>
      <c r="G103" s="248"/>
      <c r="H103" s="248">
        <v>0</v>
      </c>
      <c r="I103" s="249"/>
      <c r="J103" s="250">
        <v>0</v>
      </c>
      <c r="K103" s="251"/>
      <c r="L103" s="252"/>
      <c r="M103" s="253"/>
      <c r="N103" s="261"/>
      <c r="O103" s="246"/>
      <c r="P103" s="249"/>
      <c r="Q103" s="205">
        <f t="shared" si="1"/>
        <v>0</v>
      </c>
      <c r="R103" s="216"/>
      <c r="S103" s="207">
        <f t="shared" si="2"/>
        <v>0</v>
      </c>
    </row>
    <row r="104" spans="1:21" s="259" customFormat="1" ht="32.25" customHeight="1">
      <c r="A104" s="260"/>
      <c r="B104" s="675" t="s">
        <v>157</v>
      </c>
      <c r="C104" s="676"/>
      <c r="D104" s="244"/>
      <c r="E104" s="245"/>
      <c r="F104" s="246"/>
      <c r="G104" s="248"/>
      <c r="H104" s="248">
        <v>0</v>
      </c>
      <c r="I104" s="249"/>
      <c r="J104" s="250">
        <v>0</v>
      </c>
      <c r="K104" s="251"/>
      <c r="L104" s="252"/>
      <c r="M104" s="253"/>
      <c r="N104" s="261"/>
      <c r="O104" s="246"/>
      <c r="P104" s="249"/>
      <c r="Q104" s="205">
        <f t="shared" si="1"/>
        <v>0</v>
      </c>
      <c r="R104" s="216"/>
      <c r="S104" s="207">
        <f t="shared" si="2"/>
        <v>0</v>
      </c>
    </row>
    <row r="105" spans="1:21" ht="41.25" customHeight="1">
      <c r="A105" s="106">
        <v>7</v>
      </c>
      <c r="B105" s="142" t="s">
        <v>158</v>
      </c>
      <c r="C105" s="142" t="s">
        <v>159</v>
      </c>
      <c r="D105" s="125">
        <v>191.67</v>
      </c>
      <c r="E105" s="152"/>
      <c r="F105" s="212"/>
      <c r="G105" s="262"/>
      <c r="H105" s="262">
        <v>-1724.99</v>
      </c>
      <c r="I105" s="216"/>
      <c r="J105" s="226">
        <v>-1724.99</v>
      </c>
      <c r="K105" s="225"/>
      <c r="L105" s="219"/>
      <c r="M105" s="263"/>
      <c r="N105" s="214"/>
      <c r="O105" s="212"/>
      <c r="P105" s="216"/>
      <c r="Q105" s="205">
        <f t="shared" si="1"/>
        <v>-1533.32</v>
      </c>
      <c r="R105" s="216"/>
      <c r="S105" s="207">
        <f t="shared" si="2"/>
        <v>-1533.32</v>
      </c>
    </row>
    <row r="106" spans="1:21" ht="39.75" customHeight="1">
      <c r="A106" s="264"/>
      <c r="B106" s="41" t="s">
        <v>160</v>
      </c>
      <c r="C106" s="41"/>
      <c r="D106" s="42"/>
      <c r="E106" s="189"/>
      <c r="F106" s="43"/>
      <c r="G106" s="6"/>
      <c r="H106" s="6">
        <v>0</v>
      </c>
      <c r="I106" s="42"/>
      <c r="J106" s="136">
        <v>0</v>
      </c>
      <c r="K106" s="265"/>
      <c r="L106" s="266"/>
      <c r="M106" s="92"/>
      <c r="N106" s="5"/>
      <c r="O106" s="43"/>
      <c r="P106" s="42"/>
      <c r="Q106" s="205">
        <f t="shared" si="1"/>
        <v>0</v>
      </c>
      <c r="R106" s="42"/>
      <c r="S106" s="207">
        <f t="shared" si="2"/>
        <v>0</v>
      </c>
    </row>
    <row r="107" spans="1:21" ht="41.25" customHeight="1">
      <c r="A107" s="264"/>
      <c r="B107" s="41" t="s">
        <v>161</v>
      </c>
      <c r="C107" s="41"/>
      <c r="D107" s="42"/>
      <c r="E107" s="189"/>
      <c r="F107" s="43"/>
      <c r="G107" s="6"/>
      <c r="H107" s="6">
        <v>0</v>
      </c>
      <c r="I107" s="42"/>
      <c r="J107" s="136">
        <v>0</v>
      </c>
      <c r="K107" s="267"/>
      <c r="L107" s="268"/>
      <c r="M107" s="42"/>
      <c r="N107" s="5"/>
      <c r="O107" s="43"/>
      <c r="P107" s="42"/>
      <c r="Q107" s="205">
        <f t="shared" si="1"/>
        <v>0</v>
      </c>
      <c r="R107" s="42"/>
      <c r="S107" s="207">
        <f t="shared" si="2"/>
        <v>0</v>
      </c>
    </row>
    <row r="108" spans="1:21" ht="41.25" customHeight="1">
      <c r="A108" s="264"/>
      <c r="B108" s="41" t="s">
        <v>162</v>
      </c>
      <c r="C108" s="41"/>
      <c r="D108" s="42"/>
      <c r="E108" s="189"/>
      <c r="F108" s="43"/>
      <c r="G108" s="6"/>
      <c r="H108" s="6">
        <v>0</v>
      </c>
      <c r="I108" s="42"/>
      <c r="J108" s="136">
        <v>0</v>
      </c>
      <c r="K108" s="267"/>
      <c r="L108" s="268"/>
      <c r="M108" s="42"/>
      <c r="N108" s="5"/>
      <c r="O108" s="43"/>
      <c r="P108" s="42"/>
      <c r="Q108" s="205">
        <f t="shared" si="1"/>
        <v>0</v>
      </c>
      <c r="R108" s="42"/>
      <c r="S108" s="207">
        <f t="shared" si="2"/>
        <v>0</v>
      </c>
    </row>
    <row r="109" spans="1:21" ht="41.25" customHeight="1">
      <c r="A109" s="264"/>
      <c r="B109" s="41" t="s">
        <v>163</v>
      </c>
      <c r="C109" s="41"/>
      <c r="D109" s="42"/>
      <c r="E109" s="269"/>
      <c r="F109" s="270"/>
      <c r="G109" s="271"/>
      <c r="H109" s="271">
        <v>0</v>
      </c>
      <c r="I109" s="272"/>
      <c r="J109" s="273">
        <v>0</v>
      </c>
      <c r="K109" s="265"/>
      <c r="L109" s="266"/>
      <c r="M109" s="92"/>
      <c r="N109" s="274"/>
      <c r="O109" s="270"/>
      <c r="P109" s="272"/>
      <c r="Q109" s="153">
        <v>0</v>
      </c>
      <c r="R109" s="272"/>
      <c r="S109" s="207">
        <f t="shared" si="2"/>
        <v>0</v>
      </c>
    </row>
    <row r="110" spans="1:21" ht="41.25" customHeight="1">
      <c r="A110" s="264"/>
      <c r="B110" s="275" t="s">
        <v>164</v>
      </c>
      <c r="C110" s="41"/>
      <c r="D110" s="42"/>
      <c r="E110" s="269"/>
      <c r="F110" s="270"/>
      <c r="G110" s="271"/>
      <c r="H110" s="271">
        <v>0</v>
      </c>
      <c r="I110" s="272"/>
      <c r="J110" s="273">
        <v>0</v>
      </c>
      <c r="K110" s="267"/>
      <c r="L110" s="268"/>
      <c r="M110" s="42"/>
      <c r="N110" s="274"/>
      <c r="O110" s="270"/>
      <c r="P110" s="272"/>
      <c r="Q110" s="153">
        <v>0</v>
      </c>
      <c r="R110" s="272"/>
      <c r="S110" s="207">
        <f t="shared" si="2"/>
        <v>0</v>
      </c>
    </row>
    <row r="111" spans="1:21" ht="41.25" customHeight="1">
      <c r="A111" s="264"/>
      <c r="B111" s="275" t="s">
        <v>165</v>
      </c>
      <c r="C111" s="41"/>
      <c r="D111" s="42">
        <v>0</v>
      </c>
      <c r="E111" s="269"/>
      <c r="F111" s="270"/>
      <c r="G111" s="271"/>
      <c r="H111" s="271">
        <v>0</v>
      </c>
      <c r="I111" s="272"/>
      <c r="J111" s="273">
        <v>0</v>
      </c>
      <c r="K111" s="267"/>
      <c r="L111" s="268"/>
      <c r="M111" s="42"/>
      <c r="N111" s="274"/>
      <c r="O111" s="270"/>
      <c r="P111" s="272"/>
      <c r="Q111" s="153">
        <v>0</v>
      </c>
      <c r="R111" s="272"/>
      <c r="S111" s="159">
        <v>0</v>
      </c>
    </row>
    <row r="112" spans="1:21" ht="41.25" customHeight="1">
      <c r="A112" s="264"/>
      <c r="B112" s="275" t="s">
        <v>166</v>
      </c>
      <c r="C112" s="41"/>
      <c r="D112" s="42">
        <v>0</v>
      </c>
      <c r="E112" s="269"/>
      <c r="F112" s="270"/>
      <c r="G112" s="271"/>
      <c r="H112" s="271">
        <v>0</v>
      </c>
      <c r="I112" s="272"/>
      <c r="J112" s="273">
        <v>0</v>
      </c>
      <c r="K112" s="267"/>
      <c r="L112" s="268"/>
      <c r="M112" s="42"/>
      <c r="N112" s="274"/>
      <c r="O112" s="270"/>
      <c r="P112" s="272"/>
      <c r="Q112" s="153">
        <v>0</v>
      </c>
      <c r="R112" s="272"/>
      <c r="S112" s="159">
        <v>0</v>
      </c>
    </row>
    <row r="113" spans="1:19" ht="32.25" customHeight="1" thickBot="1">
      <c r="A113" s="39"/>
      <c r="B113" s="50" t="s">
        <v>19</v>
      </c>
      <c r="C113" s="50"/>
      <c r="D113" s="51">
        <v>3528.5600000000004</v>
      </c>
      <c r="E113" s="52"/>
      <c r="F113" s="53"/>
      <c r="G113" s="52"/>
      <c r="H113" s="51">
        <v>630.00000000000159</v>
      </c>
      <c r="I113" s="51">
        <v>0</v>
      </c>
      <c r="J113" s="51">
        <v>630.00000000000159</v>
      </c>
      <c r="K113" s="51">
        <v>0</v>
      </c>
      <c r="L113" s="51">
        <v>0</v>
      </c>
      <c r="M113" s="51">
        <f>SUM(K86:M112)</f>
        <v>0</v>
      </c>
      <c r="N113" s="51"/>
      <c r="O113" s="51">
        <v>0</v>
      </c>
      <c r="P113" s="51">
        <v>0</v>
      </c>
      <c r="Q113" s="51">
        <v>3.4106051316484809E-12</v>
      </c>
      <c r="R113" s="51">
        <v>0</v>
      </c>
      <c r="S113" s="51">
        <v>3.4106051316484809E-12</v>
      </c>
    </row>
    <row r="114" spans="1:19" ht="32.25" customHeight="1" thickTop="1">
      <c r="A114" s="39"/>
      <c r="B114" s="141" t="s">
        <v>167</v>
      </c>
      <c r="C114" s="142"/>
      <c r="D114" s="125"/>
      <c r="E114" s="131"/>
      <c r="F114" s="115"/>
      <c r="G114" s="33"/>
      <c r="H114" s="143"/>
      <c r="I114" s="143"/>
      <c r="J114" s="143"/>
      <c r="K114" s="34"/>
      <c r="L114" s="35"/>
      <c r="M114" s="36"/>
      <c r="N114" s="114"/>
      <c r="O114" s="115"/>
      <c r="P114" s="144"/>
      <c r="Q114" s="33"/>
      <c r="R114" s="33"/>
      <c r="S114" s="145"/>
    </row>
    <row r="115" spans="1:19" s="160" customFormat="1" ht="32.25" customHeight="1">
      <c r="A115" s="106">
        <v>1</v>
      </c>
      <c r="B115" s="142" t="s">
        <v>23</v>
      </c>
      <c r="C115" s="142" t="s">
        <v>168</v>
      </c>
      <c r="D115" s="151">
        <v>10925</v>
      </c>
      <c r="E115" s="163"/>
      <c r="F115" s="122"/>
      <c r="G115" s="122"/>
      <c r="H115" s="91"/>
      <c r="I115" s="122"/>
      <c r="J115" s="132"/>
      <c r="K115" s="276" t="s">
        <v>320</v>
      </c>
      <c r="L115" s="277" t="s">
        <v>345</v>
      </c>
      <c r="M115" s="278">
        <v>10925</v>
      </c>
      <c r="N115" s="279"/>
      <c r="O115" s="280"/>
      <c r="P115" s="280"/>
      <c r="Q115" s="91">
        <f>SUM(D115+J115-M115)</f>
        <v>0</v>
      </c>
      <c r="R115" s="91"/>
      <c r="S115" s="77">
        <f>SUM(D115+J115-M115)</f>
        <v>0</v>
      </c>
    </row>
    <row r="116" spans="1:19" s="160" customFormat="1" ht="32.25" customHeight="1">
      <c r="A116" s="106">
        <v>2</v>
      </c>
      <c r="B116" s="142" t="s">
        <v>69</v>
      </c>
      <c r="C116" s="142" t="s">
        <v>170</v>
      </c>
      <c r="D116" s="151">
        <v>920</v>
      </c>
      <c r="E116" s="163"/>
      <c r="F116" s="122"/>
      <c r="G116" s="122"/>
      <c r="H116" s="91"/>
      <c r="I116" s="122"/>
      <c r="J116" s="132"/>
      <c r="K116" s="276"/>
      <c r="L116" s="277"/>
      <c r="M116" s="278"/>
      <c r="N116" s="281" t="s">
        <v>125</v>
      </c>
      <c r="O116" s="280">
        <v>1</v>
      </c>
      <c r="P116" s="280" t="s">
        <v>72</v>
      </c>
      <c r="Q116" s="91">
        <f t="shared" ref="Q116:Q127" si="3">SUM(D116+J116-M116)</f>
        <v>920</v>
      </c>
      <c r="R116" s="91"/>
      <c r="S116" s="77">
        <f t="shared" ref="S116:S127" si="4">SUM(D116+J116-M116)</f>
        <v>920</v>
      </c>
    </row>
    <row r="117" spans="1:19" s="160" customFormat="1" ht="32.25" customHeight="1">
      <c r="A117" s="106">
        <v>3</v>
      </c>
      <c r="B117" s="142" t="s">
        <v>27</v>
      </c>
      <c r="C117" s="142" t="s">
        <v>172</v>
      </c>
      <c r="D117" s="151">
        <v>920</v>
      </c>
      <c r="E117" s="163"/>
      <c r="F117" s="122"/>
      <c r="G117" s="122"/>
      <c r="H117" s="91"/>
      <c r="I117" s="122"/>
      <c r="J117" s="132"/>
      <c r="K117" s="276" t="s">
        <v>323</v>
      </c>
      <c r="L117" s="277" t="s">
        <v>346</v>
      </c>
      <c r="M117" s="278">
        <v>920</v>
      </c>
      <c r="N117" s="279"/>
      <c r="O117" s="280"/>
      <c r="P117" s="280"/>
      <c r="Q117" s="91">
        <f t="shared" si="3"/>
        <v>0</v>
      </c>
      <c r="R117" s="91"/>
      <c r="S117" s="77">
        <f t="shared" si="4"/>
        <v>0</v>
      </c>
    </row>
    <row r="118" spans="1:19" s="160" customFormat="1" ht="32.25" customHeight="1">
      <c r="A118" s="106"/>
      <c r="B118" s="142" t="s">
        <v>341</v>
      </c>
      <c r="C118" s="142"/>
      <c r="D118" s="151"/>
      <c r="E118" s="163" t="s">
        <v>344</v>
      </c>
      <c r="F118" s="122">
        <v>2</v>
      </c>
      <c r="G118" s="122" t="s">
        <v>72</v>
      </c>
      <c r="H118" s="91">
        <v>360</v>
      </c>
      <c r="I118" s="122"/>
      <c r="J118" s="132">
        <v>360</v>
      </c>
      <c r="K118" s="276" t="s">
        <v>347</v>
      </c>
      <c r="L118" s="277" t="s">
        <v>348</v>
      </c>
      <c r="M118" s="278">
        <v>360</v>
      </c>
      <c r="N118" s="279"/>
      <c r="O118" s="280"/>
      <c r="P118" s="280"/>
      <c r="Q118" s="91">
        <f t="shared" si="3"/>
        <v>0</v>
      </c>
      <c r="R118" s="91"/>
      <c r="S118" s="77">
        <f t="shared" si="4"/>
        <v>0</v>
      </c>
    </row>
    <row r="119" spans="1:19" s="160" customFormat="1" ht="32.25" customHeight="1">
      <c r="A119" s="106"/>
      <c r="B119" s="142" t="s">
        <v>342</v>
      </c>
      <c r="C119" s="142"/>
      <c r="D119" s="151"/>
      <c r="E119" s="163"/>
      <c r="F119" s="122"/>
      <c r="G119" s="122"/>
      <c r="H119" s="91"/>
      <c r="I119" s="122"/>
      <c r="J119" s="132"/>
      <c r="K119" s="276"/>
      <c r="L119" s="277"/>
      <c r="M119" s="278"/>
      <c r="N119" s="279"/>
      <c r="O119" s="280"/>
      <c r="P119" s="280"/>
      <c r="Q119" s="91">
        <f t="shared" si="3"/>
        <v>0</v>
      </c>
      <c r="R119" s="91"/>
      <c r="S119" s="77">
        <f t="shared" si="4"/>
        <v>0</v>
      </c>
    </row>
    <row r="120" spans="1:19" s="160" customFormat="1" ht="32.25" customHeight="1">
      <c r="A120" s="106"/>
      <c r="B120" s="142" t="s">
        <v>343</v>
      </c>
      <c r="C120" s="142"/>
      <c r="D120" s="151"/>
      <c r="E120" s="163"/>
      <c r="F120" s="122"/>
      <c r="G120" s="122"/>
      <c r="H120" s="91"/>
      <c r="I120" s="122"/>
      <c r="J120" s="132"/>
      <c r="K120" s="276"/>
      <c r="L120" s="277"/>
      <c r="M120" s="278"/>
      <c r="N120" s="279"/>
      <c r="O120" s="280"/>
      <c r="P120" s="280"/>
      <c r="Q120" s="91">
        <f t="shared" si="3"/>
        <v>0</v>
      </c>
      <c r="R120" s="91"/>
      <c r="S120" s="77">
        <f t="shared" si="4"/>
        <v>0</v>
      </c>
    </row>
    <row r="121" spans="1:19" s="160" customFormat="1" ht="32.25" customHeight="1">
      <c r="A121" s="106">
        <v>4</v>
      </c>
      <c r="B121" s="142" t="s">
        <v>77</v>
      </c>
      <c r="C121" s="142" t="s">
        <v>174</v>
      </c>
      <c r="D121" s="151">
        <v>920</v>
      </c>
      <c r="E121" s="163"/>
      <c r="F121" s="122"/>
      <c r="G121" s="122"/>
      <c r="H121" s="91"/>
      <c r="I121" s="122"/>
      <c r="J121" s="132"/>
      <c r="K121" s="276" t="s">
        <v>327</v>
      </c>
      <c r="L121" s="277" t="s">
        <v>349</v>
      </c>
      <c r="M121" s="278">
        <v>920</v>
      </c>
      <c r="N121" s="279"/>
      <c r="O121" s="280"/>
      <c r="P121" s="280"/>
      <c r="Q121" s="91">
        <f t="shared" si="3"/>
        <v>0</v>
      </c>
      <c r="R121" s="91"/>
      <c r="S121" s="77">
        <f t="shared" si="4"/>
        <v>0</v>
      </c>
    </row>
    <row r="122" spans="1:19" s="160" customFormat="1" ht="32.25" customHeight="1">
      <c r="A122" s="106">
        <v>5</v>
      </c>
      <c r="B122" s="142" t="s">
        <v>176</v>
      </c>
      <c r="C122" s="142" t="s">
        <v>177</v>
      </c>
      <c r="D122" s="151">
        <v>2300</v>
      </c>
      <c r="E122" s="163"/>
      <c r="F122" s="122"/>
      <c r="G122" s="122"/>
      <c r="H122" s="91"/>
      <c r="I122" s="122"/>
      <c r="J122" s="132"/>
      <c r="K122" s="276" t="s">
        <v>320</v>
      </c>
      <c r="L122" s="277" t="s">
        <v>350</v>
      </c>
      <c r="M122" s="278">
        <v>2300</v>
      </c>
      <c r="N122" s="279"/>
      <c r="O122" s="280"/>
      <c r="P122" s="280"/>
      <c r="Q122" s="91">
        <f t="shared" si="3"/>
        <v>0</v>
      </c>
      <c r="R122" s="91"/>
      <c r="S122" s="77">
        <f t="shared" si="4"/>
        <v>0</v>
      </c>
    </row>
    <row r="123" spans="1:19" ht="32.25" customHeight="1">
      <c r="A123" s="106">
        <v>6</v>
      </c>
      <c r="B123" s="142" t="s">
        <v>75</v>
      </c>
      <c r="C123" s="142" t="s">
        <v>179</v>
      </c>
      <c r="D123" s="151"/>
      <c r="E123" s="163"/>
      <c r="F123" s="115"/>
      <c r="G123" s="115"/>
      <c r="H123" s="131"/>
      <c r="I123" s="115"/>
      <c r="J123" s="132"/>
      <c r="K123" s="282"/>
      <c r="L123" s="210"/>
      <c r="M123" s="283"/>
      <c r="N123" s="114"/>
      <c r="O123" s="122"/>
      <c r="P123" s="122"/>
      <c r="Q123" s="91">
        <f t="shared" si="3"/>
        <v>0</v>
      </c>
      <c r="R123" s="91"/>
      <c r="S123" s="77">
        <f t="shared" si="4"/>
        <v>0</v>
      </c>
    </row>
    <row r="124" spans="1:19" ht="32.25" customHeight="1">
      <c r="A124" s="106">
        <v>7</v>
      </c>
      <c r="B124" s="142" t="s">
        <v>75</v>
      </c>
      <c r="C124" s="142" t="s">
        <v>180</v>
      </c>
      <c r="D124" s="151"/>
      <c r="E124" s="163"/>
      <c r="F124" s="115"/>
      <c r="G124" s="115"/>
      <c r="H124" s="131"/>
      <c r="I124" s="115"/>
      <c r="J124" s="132"/>
      <c r="K124" s="282"/>
      <c r="L124" s="210"/>
      <c r="M124" s="283"/>
      <c r="N124" s="114"/>
      <c r="O124" s="122"/>
      <c r="P124" s="122"/>
      <c r="Q124" s="91">
        <f t="shared" si="3"/>
        <v>0</v>
      </c>
      <c r="R124" s="91"/>
      <c r="S124" s="77">
        <f t="shared" si="4"/>
        <v>0</v>
      </c>
    </row>
    <row r="125" spans="1:19" ht="32.25" customHeight="1">
      <c r="A125" s="106">
        <v>8</v>
      </c>
      <c r="B125" s="142" t="s">
        <v>75</v>
      </c>
      <c r="C125" s="142" t="s">
        <v>181</v>
      </c>
      <c r="D125" s="151">
        <v>0</v>
      </c>
      <c r="E125" s="163"/>
      <c r="F125" s="115"/>
      <c r="G125" s="115"/>
      <c r="H125" s="131"/>
      <c r="I125" s="115"/>
      <c r="J125" s="132"/>
      <c r="K125" s="282"/>
      <c r="L125" s="210"/>
      <c r="M125" s="283"/>
      <c r="N125" s="114"/>
      <c r="O125" s="122"/>
      <c r="P125" s="122"/>
      <c r="Q125" s="91">
        <f t="shared" si="3"/>
        <v>0</v>
      </c>
      <c r="R125" s="91"/>
      <c r="S125" s="77">
        <f t="shared" si="4"/>
        <v>0</v>
      </c>
    </row>
    <row r="126" spans="1:19" ht="32.25" customHeight="1">
      <c r="A126" s="106">
        <v>9</v>
      </c>
      <c r="B126" s="142" t="s">
        <v>75</v>
      </c>
      <c r="C126" s="142" t="s">
        <v>182</v>
      </c>
      <c r="D126" s="151">
        <v>0</v>
      </c>
      <c r="E126" s="163"/>
      <c r="F126" s="115"/>
      <c r="G126" s="115"/>
      <c r="H126" s="131"/>
      <c r="I126" s="115"/>
      <c r="J126" s="132"/>
      <c r="K126" s="282"/>
      <c r="L126" s="210"/>
      <c r="M126" s="283"/>
      <c r="N126" s="114"/>
      <c r="O126" s="122"/>
      <c r="P126" s="122"/>
      <c r="Q126" s="91">
        <f t="shared" si="3"/>
        <v>0</v>
      </c>
      <c r="R126" s="91"/>
      <c r="S126" s="77">
        <f t="shared" si="4"/>
        <v>0</v>
      </c>
    </row>
    <row r="127" spans="1:19" ht="32.25" customHeight="1">
      <c r="A127" s="106">
        <v>10</v>
      </c>
      <c r="B127" s="142" t="s">
        <v>75</v>
      </c>
      <c r="C127" s="142" t="s">
        <v>183</v>
      </c>
      <c r="D127" s="151">
        <v>0</v>
      </c>
      <c r="E127" s="163"/>
      <c r="F127" s="115"/>
      <c r="G127" s="115"/>
      <c r="H127" s="131"/>
      <c r="I127" s="115"/>
      <c r="J127" s="132"/>
      <c r="K127" s="282"/>
      <c r="L127" s="210"/>
      <c r="M127" s="283"/>
      <c r="N127" s="114"/>
      <c r="O127" s="115"/>
      <c r="P127" s="168"/>
      <c r="Q127" s="91">
        <f t="shared" si="3"/>
        <v>0</v>
      </c>
      <c r="R127" s="131"/>
      <c r="S127" s="77">
        <f t="shared" si="4"/>
        <v>0</v>
      </c>
    </row>
    <row r="128" spans="1:19" ht="32.25" customHeight="1" thickBot="1">
      <c r="A128" s="39"/>
      <c r="B128" s="50" t="s">
        <v>19</v>
      </c>
      <c r="C128" s="50"/>
      <c r="D128" s="51">
        <v>15985</v>
      </c>
      <c r="E128" s="52"/>
      <c r="F128" s="53"/>
      <c r="G128" s="52"/>
      <c r="H128" s="51">
        <f>SUM(H115:H127)</f>
        <v>360</v>
      </c>
      <c r="I128" s="51">
        <v>0</v>
      </c>
      <c r="J128" s="51">
        <f>SUM(J115:J127)</f>
        <v>360</v>
      </c>
      <c r="K128" s="54"/>
      <c r="L128" s="55"/>
      <c r="M128" s="56">
        <f>SUM(M115:M127)</f>
        <v>15425</v>
      </c>
      <c r="N128" s="57"/>
      <c r="O128" s="53"/>
      <c r="P128" s="51"/>
      <c r="Q128" s="51">
        <f>SUM(Q115:Q127)</f>
        <v>920</v>
      </c>
      <c r="R128" s="51">
        <v>0</v>
      </c>
      <c r="S128" s="51">
        <f>SUM(S115:S127)</f>
        <v>920</v>
      </c>
    </row>
    <row r="129" spans="1:19" ht="32.25" hidden="1" customHeight="1">
      <c r="A129" s="39"/>
      <c r="B129" s="58" t="s">
        <v>184</v>
      </c>
      <c r="C129" s="59"/>
      <c r="D129" s="60"/>
      <c r="E129" s="61"/>
      <c r="F129" s="62"/>
      <c r="G129" s="63"/>
      <c r="H129" s="64"/>
      <c r="I129" s="64"/>
      <c r="J129" s="64"/>
      <c r="K129" s="65"/>
      <c r="L129" s="66"/>
      <c r="M129" s="67"/>
      <c r="N129" s="68"/>
      <c r="O129" s="62"/>
      <c r="P129" s="69"/>
      <c r="Q129" s="63"/>
      <c r="R129" s="63"/>
      <c r="S129" s="70"/>
    </row>
    <row r="130" spans="1:19" ht="32.25" hidden="1" customHeight="1">
      <c r="A130" s="39">
        <v>1</v>
      </c>
      <c r="B130" s="40"/>
      <c r="C130" s="41"/>
      <c r="D130" s="42"/>
      <c r="E130" s="6"/>
      <c r="F130" s="43"/>
      <c r="G130" s="6"/>
      <c r="H130" s="42"/>
      <c r="I130" s="42"/>
      <c r="J130" s="42"/>
      <c r="K130" s="44"/>
      <c r="L130" s="45"/>
      <c r="M130" s="46"/>
      <c r="N130" s="5"/>
      <c r="O130" s="43"/>
      <c r="P130" s="47"/>
      <c r="Q130" s="48"/>
      <c r="R130" s="48"/>
      <c r="S130" s="49"/>
    </row>
    <row r="131" spans="1:19" ht="32.25" hidden="1" customHeight="1">
      <c r="A131" s="39"/>
      <c r="B131" s="50" t="s">
        <v>19</v>
      </c>
      <c r="C131" s="50"/>
      <c r="D131" s="51">
        <v>0</v>
      </c>
      <c r="E131" s="52"/>
      <c r="F131" s="53"/>
      <c r="G131" s="52"/>
      <c r="H131" s="51">
        <v>0</v>
      </c>
      <c r="I131" s="51">
        <v>0</v>
      </c>
      <c r="J131" s="51">
        <v>0</v>
      </c>
      <c r="K131" s="54"/>
      <c r="L131" s="55"/>
      <c r="M131" s="56"/>
      <c r="N131" s="57"/>
      <c r="O131" s="53"/>
      <c r="P131" s="51"/>
      <c r="Q131" s="51"/>
      <c r="R131" s="51"/>
      <c r="S131" s="51"/>
    </row>
    <row r="132" spans="1:19" ht="32.25" hidden="1" customHeight="1">
      <c r="A132" s="39"/>
      <c r="B132" s="58" t="s">
        <v>185</v>
      </c>
      <c r="C132" s="59"/>
      <c r="D132" s="60"/>
      <c r="E132" s="61"/>
      <c r="F132" s="62"/>
      <c r="G132" s="63"/>
      <c r="H132" s="64"/>
      <c r="I132" s="64"/>
      <c r="J132" s="64"/>
      <c r="K132" s="65"/>
      <c r="L132" s="66"/>
      <c r="M132" s="67"/>
      <c r="N132" s="68"/>
      <c r="O132" s="62"/>
      <c r="P132" s="69"/>
      <c r="Q132" s="63"/>
      <c r="R132" s="63"/>
      <c r="S132" s="70"/>
    </row>
    <row r="133" spans="1:19" ht="32.25" hidden="1" customHeight="1">
      <c r="A133" s="39">
        <v>1</v>
      </c>
      <c r="B133" s="40"/>
      <c r="C133" s="41"/>
      <c r="D133" s="42"/>
      <c r="E133" s="6"/>
      <c r="F133" s="43"/>
      <c r="G133" s="6"/>
      <c r="H133" s="42"/>
      <c r="I133" s="42"/>
      <c r="J133" s="42"/>
      <c r="K133" s="284"/>
      <c r="L133" s="285"/>
      <c r="M133" s="286"/>
      <c r="N133" s="5"/>
      <c r="O133" s="43"/>
      <c r="P133" s="47"/>
      <c r="Q133" s="48"/>
      <c r="R133" s="48"/>
      <c r="S133" s="49"/>
    </row>
    <row r="134" spans="1:19" ht="32.25" hidden="1" customHeight="1">
      <c r="A134" s="39"/>
      <c r="B134" s="50" t="s">
        <v>19</v>
      </c>
      <c r="C134" s="50"/>
      <c r="D134" s="51">
        <v>0</v>
      </c>
      <c r="E134" s="52"/>
      <c r="F134" s="53"/>
      <c r="G134" s="52"/>
      <c r="H134" s="51">
        <v>0</v>
      </c>
      <c r="I134" s="51">
        <v>0</v>
      </c>
      <c r="J134" s="51">
        <v>0</v>
      </c>
      <c r="K134" s="54"/>
      <c r="L134" s="55"/>
      <c r="M134" s="56"/>
      <c r="N134" s="57"/>
      <c r="O134" s="53"/>
      <c r="P134" s="51"/>
      <c r="Q134" s="51"/>
      <c r="R134" s="51"/>
      <c r="S134" s="51"/>
    </row>
    <row r="135" spans="1:19" ht="32.25" customHeight="1" thickTop="1">
      <c r="A135" s="39"/>
      <c r="B135" s="58" t="s">
        <v>186</v>
      </c>
      <c r="C135" s="59"/>
      <c r="D135" s="60"/>
      <c r="E135" s="61"/>
      <c r="F135" s="62"/>
      <c r="G135" s="63"/>
      <c r="H135" s="64"/>
      <c r="I135" s="64"/>
      <c r="J135" s="64"/>
      <c r="K135" s="65"/>
      <c r="L135" s="66"/>
      <c r="M135" s="67"/>
      <c r="N135" s="68"/>
      <c r="O135" s="62"/>
      <c r="P135" s="69"/>
      <c r="Q135" s="63"/>
      <c r="R135" s="63"/>
      <c r="S135" s="70"/>
    </row>
    <row r="136" spans="1:19" s="160" customFormat="1" ht="32.25" customHeight="1">
      <c r="A136" s="116">
        <v>1</v>
      </c>
      <c r="B136" s="41" t="s">
        <v>23</v>
      </c>
      <c r="C136" s="41" t="s">
        <v>187</v>
      </c>
      <c r="D136" s="287">
        <v>2140</v>
      </c>
      <c r="E136" s="240"/>
      <c r="F136" s="122"/>
      <c r="G136" s="91"/>
      <c r="H136" s="91">
        <v>0</v>
      </c>
      <c r="I136" s="92"/>
      <c r="J136" s="132">
        <v>0</v>
      </c>
      <c r="K136" s="288" t="s">
        <v>320</v>
      </c>
      <c r="L136" s="289" t="s">
        <v>351</v>
      </c>
      <c r="M136" s="290">
        <v>2140</v>
      </c>
      <c r="N136" s="291"/>
      <c r="O136" s="292"/>
      <c r="P136" s="293"/>
      <c r="Q136" s="91">
        <v>0</v>
      </c>
      <c r="R136" s="92"/>
      <c r="S136" s="294">
        <v>0</v>
      </c>
    </row>
    <row r="137" spans="1:19" s="160" customFormat="1" ht="32.25" customHeight="1">
      <c r="A137" s="116">
        <v>2</v>
      </c>
      <c r="B137" s="142" t="s">
        <v>23</v>
      </c>
      <c r="C137" s="142" t="s">
        <v>189</v>
      </c>
      <c r="D137" s="287">
        <v>23828.9</v>
      </c>
      <c r="E137" s="114"/>
      <c r="F137" s="115"/>
      <c r="G137" s="295"/>
      <c r="H137" s="131">
        <v>0</v>
      </c>
      <c r="I137" s="125"/>
      <c r="J137" s="132">
        <v>0</v>
      </c>
      <c r="K137" s="296" t="s">
        <v>352</v>
      </c>
      <c r="L137" s="297" t="s">
        <v>353</v>
      </c>
      <c r="M137" s="290">
        <v>23828.9</v>
      </c>
      <c r="N137" s="298"/>
      <c r="O137" s="292"/>
      <c r="P137" s="292"/>
      <c r="Q137" s="91">
        <v>0</v>
      </c>
      <c r="R137" s="92"/>
      <c r="S137" s="294">
        <v>0</v>
      </c>
    </row>
    <row r="138" spans="1:19" s="160" customFormat="1" ht="32.25" customHeight="1">
      <c r="A138" s="116">
        <v>3</v>
      </c>
      <c r="B138" s="142" t="s">
        <v>192</v>
      </c>
      <c r="C138" s="142" t="s">
        <v>193</v>
      </c>
      <c r="D138" s="293">
        <v>856</v>
      </c>
      <c r="E138" s="114"/>
      <c r="F138" s="115"/>
      <c r="G138" s="131"/>
      <c r="H138" s="131">
        <v>0</v>
      </c>
      <c r="I138" s="125"/>
      <c r="J138" s="132">
        <v>0</v>
      </c>
      <c r="K138" s="288" t="s">
        <v>314</v>
      </c>
      <c r="L138" s="289" t="s">
        <v>354</v>
      </c>
      <c r="M138" s="290">
        <v>856</v>
      </c>
      <c r="N138" s="298"/>
      <c r="O138" s="292"/>
      <c r="P138" s="299"/>
      <c r="Q138" s="91">
        <v>0</v>
      </c>
      <c r="R138" s="92"/>
      <c r="S138" s="294">
        <v>0</v>
      </c>
    </row>
    <row r="139" spans="1:19" ht="32.25" customHeight="1">
      <c r="A139" s="106">
        <v>4</v>
      </c>
      <c r="B139" s="300" t="s">
        <v>195</v>
      </c>
      <c r="C139" s="300" t="s">
        <v>193</v>
      </c>
      <c r="D139" s="287">
        <v>8260.4</v>
      </c>
      <c r="E139" s="301"/>
      <c r="F139" s="31"/>
      <c r="G139" s="301"/>
      <c r="H139" s="29">
        <v>0</v>
      </c>
      <c r="I139" s="29">
        <v>0</v>
      </c>
      <c r="J139" s="132">
        <v>0</v>
      </c>
      <c r="K139" s="288"/>
      <c r="L139" s="289"/>
      <c r="M139" s="290"/>
      <c r="N139" s="302" t="s">
        <v>125</v>
      </c>
      <c r="O139" s="303">
        <v>1</v>
      </c>
      <c r="P139" s="304" t="s">
        <v>72</v>
      </c>
      <c r="Q139" s="131">
        <v>7720</v>
      </c>
      <c r="R139" s="29">
        <v>540.39999999999952</v>
      </c>
      <c r="S139" s="77">
        <v>8260.4</v>
      </c>
    </row>
    <row r="140" spans="1:19" ht="32.25" customHeight="1">
      <c r="A140" s="39"/>
      <c r="B140" s="142"/>
      <c r="C140" s="142"/>
      <c r="D140" s="305"/>
      <c r="E140" s="131"/>
      <c r="F140" s="115"/>
      <c r="G140" s="131"/>
      <c r="H140" s="125">
        <v>0</v>
      </c>
      <c r="I140" s="125"/>
      <c r="J140" s="132">
        <v>0</v>
      </c>
      <c r="K140" s="306"/>
      <c r="L140" s="307"/>
      <c r="M140" s="308"/>
      <c r="N140" s="114"/>
      <c r="O140" s="115"/>
      <c r="P140" s="144"/>
      <c r="Q140" s="131">
        <v>0</v>
      </c>
      <c r="R140" s="125"/>
      <c r="S140" s="77">
        <v>0</v>
      </c>
    </row>
    <row r="141" spans="1:19" ht="32.25" customHeight="1">
      <c r="A141" s="39"/>
      <c r="B141" s="142"/>
      <c r="C141" s="142"/>
      <c r="D141" s="125"/>
      <c r="E141" s="131"/>
      <c r="F141" s="115"/>
      <c r="G141" s="131"/>
      <c r="H141" s="125">
        <v>0</v>
      </c>
      <c r="I141" s="125"/>
      <c r="J141" s="132">
        <v>0</v>
      </c>
      <c r="K141" s="34"/>
      <c r="L141" s="35"/>
      <c r="M141" s="36"/>
      <c r="N141" s="114"/>
      <c r="O141" s="115"/>
      <c r="P141" s="144"/>
      <c r="Q141" s="131">
        <v>0</v>
      </c>
      <c r="R141" s="125"/>
      <c r="S141" s="77">
        <v>0</v>
      </c>
    </row>
    <row r="142" spans="1:19" ht="32.25" customHeight="1">
      <c r="A142" s="39"/>
      <c r="B142" s="41"/>
      <c r="C142" s="41"/>
      <c r="D142" s="42"/>
      <c r="E142" s="6"/>
      <c r="F142" s="43"/>
      <c r="G142" s="6"/>
      <c r="H142" s="42"/>
      <c r="I142" s="42"/>
      <c r="J142" s="309"/>
      <c r="K142" s="284"/>
      <c r="L142" s="285"/>
      <c r="M142" s="286"/>
      <c r="N142" s="5"/>
      <c r="O142" s="43"/>
      <c r="P142" s="47"/>
      <c r="Q142" s="6"/>
      <c r="R142" s="42"/>
      <c r="S142" s="100"/>
    </row>
    <row r="143" spans="1:19" ht="32.25" customHeight="1" thickBot="1">
      <c r="A143" s="39"/>
      <c r="B143" s="50" t="s">
        <v>19</v>
      </c>
      <c r="C143" s="50"/>
      <c r="D143" s="51">
        <f>SUM(D136:D142)</f>
        <v>35085.300000000003</v>
      </c>
      <c r="E143" s="52"/>
      <c r="F143" s="53"/>
      <c r="G143" s="52"/>
      <c r="H143" s="51">
        <f>SUM(H136:H142)</f>
        <v>0</v>
      </c>
      <c r="I143" s="51">
        <f>SUM(I136:I142)</f>
        <v>0</v>
      </c>
      <c r="J143" s="51">
        <f>SUM(J136:J142)</f>
        <v>0</v>
      </c>
      <c r="K143" s="54"/>
      <c r="L143" s="55"/>
      <c r="M143" s="56">
        <f>SUM(M136:M141)</f>
        <v>26824.9</v>
      </c>
      <c r="N143" s="57"/>
      <c r="O143" s="53"/>
      <c r="P143" s="51"/>
      <c r="Q143" s="51">
        <f>SUM(Q136:Q142)</f>
        <v>7720</v>
      </c>
      <c r="R143" s="51">
        <f t="shared" ref="R143:S143" si="5">SUM(R136:R142)</f>
        <v>540.39999999999952</v>
      </c>
      <c r="S143" s="51">
        <f t="shared" si="5"/>
        <v>8260.4</v>
      </c>
    </row>
    <row r="144" spans="1:19" ht="32.25" customHeight="1" thickTop="1">
      <c r="A144" s="39"/>
      <c r="B144" s="58" t="s">
        <v>198</v>
      </c>
      <c r="C144" s="59"/>
      <c r="D144" s="60"/>
      <c r="E144" s="61"/>
      <c r="F144" s="62"/>
      <c r="G144" s="63"/>
      <c r="H144" s="64"/>
      <c r="I144" s="64"/>
      <c r="J144" s="64"/>
      <c r="K144" s="65"/>
      <c r="L144" s="66"/>
      <c r="M144" s="67"/>
      <c r="N144" s="68"/>
      <c r="O144" s="62"/>
      <c r="P144" s="69"/>
      <c r="Q144" s="63"/>
      <c r="R144" s="63"/>
      <c r="S144" s="70"/>
    </row>
    <row r="145" spans="1:26" s="327" customFormat="1" ht="32.25" customHeight="1">
      <c r="A145" s="310">
        <v>1</v>
      </c>
      <c r="B145" s="311" t="s">
        <v>152</v>
      </c>
      <c r="C145" s="312"/>
      <c r="D145" s="305">
        <v>0</v>
      </c>
      <c r="E145" s="313"/>
      <c r="F145" s="314"/>
      <c r="G145" s="315"/>
      <c r="H145" s="316">
        <v>0</v>
      </c>
      <c r="I145" s="72">
        <v>0</v>
      </c>
      <c r="J145" s="317">
        <v>0</v>
      </c>
      <c r="K145" s="318"/>
      <c r="L145" s="319"/>
      <c r="M145" s="320"/>
      <c r="N145" s="313"/>
      <c r="O145" s="314"/>
      <c r="P145" s="321"/>
      <c r="Q145" s="322">
        <v>0</v>
      </c>
      <c r="R145" s="323"/>
      <c r="S145" s="324">
        <v>0</v>
      </c>
      <c r="T145" s="325" t="s">
        <v>199</v>
      </c>
      <c r="U145" s="326"/>
      <c r="V145" s="326"/>
      <c r="W145" s="326"/>
      <c r="X145" s="326"/>
      <c r="Y145" s="326"/>
      <c r="Z145" s="326"/>
    </row>
    <row r="146" spans="1:26" s="327" customFormat="1" ht="32.25" customHeight="1">
      <c r="A146" s="328">
        <v>2</v>
      </c>
      <c r="B146" s="329" t="s">
        <v>200</v>
      </c>
      <c r="C146" s="330"/>
      <c r="D146" s="331">
        <v>0</v>
      </c>
      <c r="E146" s="332"/>
      <c r="F146" s="333"/>
      <c r="G146" s="334"/>
      <c r="H146" s="335">
        <v>0</v>
      </c>
      <c r="I146" s="72">
        <v>0</v>
      </c>
      <c r="J146" s="317">
        <v>0</v>
      </c>
      <c r="K146" s="318"/>
      <c r="L146" s="319"/>
      <c r="M146" s="320"/>
      <c r="N146" s="313"/>
      <c r="O146" s="314"/>
      <c r="P146" s="321"/>
      <c r="Q146" s="322">
        <v>0</v>
      </c>
      <c r="R146" s="323"/>
      <c r="S146" s="324">
        <v>0</v>
      </c>
      <c r="T146" s="325"/>
      <c r="U146" s="326"/>
      <c r="V146" s="326"/>
      <c r="W146" s="326"/>
      <c r="X146" s="326"/>
      <c r="Y146" s="326"/>
      <c r="Z146" s="326"/>
    </row>
    <row r="147" spans="1:26" ht="32.25" customHeight="1">
      <c r="A147" s="39"/>
      <c r="B147" s="223" t="s">
        <v>201</v>
      </c>
      <c r="C147" s="224"/>
      <c r="D147" s="125">
        <v>0</v>
      </c>
      <c r="E147" s="131"/>
      <c r="F147" s="115"/>
      <c r="G147" s="131"/>
      <c r="H147" s="125">
        <v>0</v>
      </c>
      <c r="I147" s="125">
        <v>0</v>
      </c>
      <c r="J147" s="125">
        <v>0</v>
      </c>
      <c r="K147" s="209"/>
      <c r="L147" s="336"/>
      <c r="M147" s="36"/>
      <c r="N147" s="114"/>
      <c r="O147" s="115"/>
      <c r="P147" s="115"/>
      <c r="Q147" s="131">
        <v>0</v>
      </c>
      <c r="R147" s="131"/>
      <c r="S147" s="77">
        <v>0</v>
      </c>
    </row>
    <row r="148" spans="1:26" ht="32.25" customHeight="1">
      <c r="A148" s="39"/>
      <c r="B148" s="223" t="s">
        <v>202</v>
      </c>
      <c r="C148" s="224"/>
      <c r="D148" s="42">
        <v>0</v>
      </c>
      <c r="E148" s="6"/>
      <c r="F148" s="43"/>
      <c r="G148" s="6"/>
      <c r="H148" s="42">
        <v>0</v>
      </c>
      <c r="I148" s="42">
        <v>0</v>
      </c>
      <c r="J148" s="125">
        <v>0</v>
      </c>
      <c r="K148" s="44"/>
      <c r="L148" s="45"/>
      <c r="M148" s="46"/>
      <c r="N148" s="114"/>
      <c r="O148" s="115"/>
      <c r="P148" s="47"/>
      <c r="Q148" s="131">
        <v>0</v>
      </c>
      <c r="R148" s="131"/>
      <c r="S148" s="77">
        <v>0</v>
      </c>
    </row>
    <row r="149" spans="1:26" ht="32.25" customHeight="1">
      <c r="A149" s="337">
        <v>3</v>
      </c>
      <c r="B149" s="338" t="s">
        <v>130</v>
      </c>
      <c r="C149" s="339"/>
      <c r="D149" s="42">
        <v>0</v>
      </c>
      <c r="E149" s="6"/>
      <c r="F149" s="43"/>
      <c r="G149" s="6"/>
      <c r="H149" s="42">
        <v>0</v>
      </c>
      <c r="I149" s="42">
        <v>0</v>
      </c>
      <c r="J149" s="42">
        <v>0</v>
      </c>
      <c r="K149" s="284"/>
      <c r="L149" s="285"/>
      <c r="M149" s="286"/>
      <c r="N149" s="5"/>
      <c r="O149" s="43"/>
      <c r="P149" s="47"/>
      <c r="Q149" s="6">
        <v>0</v>
      </c>
      <c r="R149" s="6"/>
      <c r="S149" s="100">
        <v>0</v>
      </c>
    </row>
    <row r="150" spans="1:26" ht="32.25" customHeight="1">
      <c r="A150" s="337"/>
      <c r="B150" s="340" t="s">
        <v>205</v>
      </c>
      <c r="C150" s="339"/>
      <c r="D150" s="42">
        <v>0</v>
      </c>
      <c r="E150" s="6"/>
      <c r="F150" s="43"/>
      <c r="G150" s="6"/>
      <c r="H150" s="42">
        <v>0</v>
      </c>
      <c r="I150" s="42">
        <v>0</v>
      </c>
      <c r="J150" s="42">
        <v>0</v>
      </c>
      <c r="K150" s="284"/>
      <c r="L150" s="285"/>
      <c r="M150" s="286"/>
      <c r="N150" s="5"/>
      <c r="O150" s="43"/>
      <c r="P150" s="47"/>
      <c r="Q150" s="6">
        <v>0</v>
      </c>
      <c r="R150" s="6"/>
      <c r="S150" s="100">
        <v>0</v>
      </c>
    </row>
    <row r="151" spans="1:26" ht="32.25" customHeight="1">
      <c r="A151" s="337"/>
      <c r="B151" s="341" t="s">
        <v>363</v>
      </c>
      <c r="C151" s="342"/>
      <c r="D151" s="42">
        <v>0</v>
      </c>
      <c r="E151" s="6"/>
      <c r="F151" s="43"/>
      <c r="G151" s="6"/>
      <c r="H151" s="42">
        <v>0</v>
      </c>
      <c r="I151" s="42">
        <v>0</v>
      </c>
      <c r="J151" s="42">
        <v>0</v>
      </c>
      <c r="K151" s="284"/>
      <c r="L151" s="285"/>
      <c r="M151" s="286"/>
      <c r="N151" s="5"/>
      <c r="O151" s="43"/>
      <c r="P151" s="47"/>
      <c r="Q151" s="6">
        <v>0</v>
      </c>
      <c r="R151" s="6"/>
      <c r="S151" s="100">
        <v>0</v>
      </c>
    </row>
    <row r="152" spans="1:26" ht="32.25" customHeight="1">
      <c r="A152" s="337">
        <v>4</v>
      </c>
      <c r="B152" s="420" t="s">
        <v>364</v>
      </c>
      <c r="C152" s="421"/>
      <c r="D152" s="42">
        <v>0</v>
      </c>
      <c r="E152" s="6" t="s">
        <v>365</v>
      </c>
      <c r="F152" s="43">
        <v>3</v>
      </c>
      <c r="G152" s="6" t="s">
        <v>134</v>
      </c>
      <c r="H152" s="42">
        <v>10400</v>
      </c>
      <c r="I152" s="42">
        <v>0</v>
      </c>
      <c r="J152" s="42">
        <v>10400</v>
      </c>
      <c r="K152" s="284" t="s">
        <v>337</v>
      </c>
      <c r="L152" s="285" t="s">
        <v>366</v>
      </c>
      <c r="M152" s="286">
        <v>10400</v>
      </c>
      <c r="N152" s="5"/>
      <c r="O152" s="43"/>
      <c r="P152" s="47"/>
      <c r="Q152" s="6">
        <v>0</v>
      </c>
      <c r="R152" s="6"/>
      <c r="S152" s="100">
        <v>0</v>
      </c>
    </row>
    <row r="153" spans="1:26" ht="32.25" customHeight="1">
      <c r="A153" s="337"/>
      <c r="B153" s="420" t="s">
        <v>367</v>
      </c>
      <c r="C153" s="421"/>
      <c r="D153" s="42">
        <v>0</v>
      </c>
      <c r="E153" s="6"/>
      <c r="F153" s="43"/>
      <c r="G153" s="6"/>
      <c r="H153" s="42">
        <v>0</v>
      </c>
      <c r="I153" s="42">
        <v>0</v>
      </c>
      <c r="J153" s="42">
        <v>0</v>
      </c>
      <c r="K153" s="284"/>
      <c r="L153" s="285"/>
      <c r="M153" s="286"/>
      <c r="N153" s="5"/>
      <c r="O153" s="43"/>
      <c r="P153" s="47"/>
      <c r="Q153" s="6">
        <v>0</v>
      </c>
      <c r="R153" s="6"/>
      <c r="S153" s="100">
        <v>0</v>
      </c>
    </row>
    <row r="154" spans="1:26" ht="32.25" customHeight="1">
      <c r="A154" s="337"/>
      <c r="B154" s="420" t="s">
        <v>368</v>
      </c>
      <c r="C154" s="421"/>
      <c r="D154" s="42">
        <v>0</v>
      </c>
      <c r="E154" s="6"/>
      <c r="F154" s="43"/>
      <c r="G154" s="6"/>
      <c r="H154" s="42">
        <v>0</v>
      </c>
      <c r="I154" s="42">
        <v>0</v>
      </c>
      <c r="J154" s="42">
        <v>0</v>
      </c>
      <c r="K154" s="284"/>
      <c r="L154" s="285"/>
      <c r="M154" s="286"/>
      <c r="N154" s="5"/>
      <c r="O154" s="43"/>
      <c r="P154" s="47"/>
      <c r="Q154" s="6">
        <v>0</v>
      </c>
      <c r="R154" s="6"/>
      <c r="S154" s="100">
        <v>0</v>
      </c>
    </row>
    <row r="155" spans="1:26" ht="32.25" customHeight="1">
      <c r="A155" s="337">
        <v>5</v>
      </c>
      <c r="B155" s="420" t="s">
        <v>369</v>
      </c>
      <c r="C155" s="421"/>
      <c r="D155" s="42">
        <v>0</v>
      </c>
      <c r="E155" s="6" t="s">
        <v>365</v>
      </c>
      <c r="F155" s="43">
        <v>3</v>
      </c>
      <c r="G155" s="6" t="s">
        <v>134</v>
      </c>
      <c r="H155" s="42">
        <v>5200</v>
      </c>
      <c r="I155" s="42">
        <v>0</v>
      </c>
      <c r="J155" s="42">
        <v>5200</v>
      </c>
      <c r="K155" s="284" t="s">
        <v>370</v>
      </c>
      <c r="L155" s="285" t="s">
        <v>371</v>
      </c>
      <c r="M155" s="286">
        <v>5200</v>
      </c>
      <c r="N155" s="5"/>
      <c r="O155" s="43"/>
      <c r="P155" s="47"/>
      <c r="Q155" s="6">
        <v>0</v>
      </c>
      <c r="R155" s="6"/>
      <c r="S155" s="100">
        <v>0</v>
      </c>
    </row>
    <row r="156" spans="1:26" ht="32.25" customHeight="1">
      <c r="A156" s="337"/>
      <c r="B156" s="420" t="s">
        <v>367</v>
      </c>
      <c r="C156" s="421"/>
      <c r="D156" s="42">
        <v>0</v>
      </c>
      <c r="E156" s="6"/>
      <c r="F156" s="43"/>
      <c r="G156" s="6"/>
      <c r="H156" s="42">
        <v>0</v>
      </c>
      <c r="I156" s="42">
        <v>0</v>
      </c>
      <c r="J156" s="42">
        <v>0</v>
      </c>
      <c r="K156" s="284"/>
      <c r="L156" s="285"/>
      <c r="M156" s="286"/>
      <c r="N156" s="5"/>
      <c r="O156" s="43"/>
      <c r="P156" s="47"/>
      <c r="Q156" s="6">
        <v>0</v>
      </c>
      <c r="R156" s="6"/>
      <c r="S156" s="100">
        <v>0</v>
      </c>
    </row>
    <row r="157" spans="1:26" ht="32.25" customHeight="1">
      <c r="A157" s="337"/>
      <c r="B157" s="420" t="s">
        <v>372</v>
      </c>
      <c r="C157" s="421"/>
      <c r="D157" s="42">
        <v>0</v>
      </c>
      <c r="E157" s="6"/>
      <c r="F157" s="43"/>
      <c r="G157" s="6"/>
      <c r="H157" s="42">
        <v>0</v>
      </c>
      <c r="I157" s="42">
        <v>0</v>
      </c>
      <c r="J157" s="42">
        <v>0</v>
      </c>
      <c r="K157" s="284"/>
      <c r="L157" s="285"/>
      <c r="M157" s="286"/>
      <c r="N157" s="5"/>
      <c r="O157" s="43"/>
      <c r="P157" s="47"/>
      <c r="Q157" s="6">
        <v>0</v>
      </c>
      <c r="R157" s="6"/>
      <c r="S157" s="100">
        <v>0</v>
      </c>
    </row>
    <row r="158" spans="1:26" ht="32.25" customHeight="1">
      <c r="A158" s="337">
        <v>6</v>
      </c>
      <c r="B158" s="420" t="s">
        <v>373</v>
      </c>
      <c r="C158" s="421"/>
      <c r="D158" s="42">
        <v>0</v>
      </c>
      <c r="E158" s="6" t="s">
        <v>365</v>
      </c>
      <c r="F158" s="43">
        <v>3</v>
      </c>
      <c r="G158" s="6" t="s">
        <v>134</v>
      </c>
      <c r="H158" s="42">
        <v>5200</v>
      </c>
      <c r="I158" s="42">
        <v>0</v>
      </c>
      <c r="J158" s="42">
        <v>5200</v>
      </c>
      <c r="K158" s="284" t="s">
        <v>337</v>
      </c>
      <c r="L158" s="285" t="s">
        <v>374</v>
      </c>
      <c r="M158" s="286">
        <v>5200</v>
      </c>
      <c r="N158" s="5"/>
      <c r="O158" s="43"/>
      <c r="P158" s="47"/>
      <c r="Q158" s="6">
        <v>0</v>
      </c>
      <c r="R158" s="6"/>
      <c r="S158" s="100">
        <v>0</v>
      </c>
    </row>
    <row r="159" spans="1:26" ht="32.25" customHeight="1">
      <c r="A159" s="337"/>
      <c r="B159" s="420" t="s">
        <v>367</v>
      </c>
      <c r="C159" s="421"/>
      <c r="D159" s="42">
        <v>0</v>
      </c>
      <c r="E159" s="6"/>
      <c r="F159" s="43"/>
      <c r="G159" s="6"/>
      <c r="H159" s="42">
        <v>0</v>
      </c>
      <c r="I159" s="42">
        <v>0</v>
      </c>
      <c r="J159" s="42">
        <v>0</v>
      </c>
      <c r="K159" s="284"/>
      <c r="L159" s="285"/>
      <c r="M159" s="286"/>
      <c r="N159" s="5"/>
      <c r="O159" s="43"/>
      <c r="P159" s="47"/>
      <c r="Q159" s="6">
        <v>0</v>
      </c>
      <c r="R159" s="6"/>
      <c r="S159" s="100">
        <v>0</v>
      </c>
    </row>
    <row r="160" spans="1:26" ht="32.25" customHeight="1">
      <c r="A160" s="337"/>
      <c r="B160" s="420" t="s">
        <v>375</v>
      </c>
      <c r="C160" s="421"/>
      <c r="D160" s="42">
        <v>0</v>
      </c>
      <c r="E160" s="6"/>
      <c r="F160" s="43"/>
      <c r="G160" s="6"/>
      <c r="H160" s="42">
        <v>0</v>
      </c>
      <c r="I160" s="42">
        <v>0</v>
      </c>
      <c r="J160" s="42">
        <v>0</v>
      </c>
      <c r="K160" s="284"/>
      <c r="L160" s="285"/>
      <c r="M160" s="286"/>
      <c r="N160" s="5"/>
      <c r="O160" s="43"/>
      <c r="P160" s="47"/>
      <c r="Q160" s="6">
        <v>0</v>
      </c>
      <c r="R160" s="6"/>
      <c r="S160" s="100">
        <v>0</v>
      </c>
    </row>
    <row r="161" spans="1:19" ht="32.25" customHeight="1">
      <c r="A161" s="337">
        <v>7</v>
      </c>
      <c r="B161" s="420" t="s">
        <v>376</v>
      </c>
      <c r="C161" s="421"/>
      <c r="D161" s="42">
        <v>0</v>
      </c>
      <c r="E161" s="6" t="s">
        <v>365</v>
      </c>
      <c r="F161" s="43">
        <v>3</v>
      </c>
      <c r="G161" s="6" t="s">
        <v>134</v>
      </c>
      <c r="H161" s="42">
        <v>5200</v>
      </c>
      <c r="I161" s="42">
        <v>0</v>
      </c>
      <c r="J161" s="42">
        <v>5200</v>
      </c>
      <c r="K161" s="284" t="s">
        <v>337</v>
      </c>
      <c r="L161" s="285" t="s">
        <v>377</v>
      </c>
      <c r="M161" s="286">
        <v>5200</v>
      </c>
      <c r="N161" s="5"/>
      <c r="O161" s="43"/>
      <c r="P161" s="47"/>
      <c r="Q161" s="6">
        <v>0</v>
      </c>
      <c r="R161" s="6"/>
      <c r="S161" s="100">
        <v>0</v>
      </c>
    </row>
    <row r="162" spans="1:19" ht="32.25" customHeight="1">
      <c r="A162" s="337"/>
      <c r="B162" s="420" t="s">
        <v>367</v>
      </c>
      <c r="C162" s="421"/>
      <c r="D162" s="42">
        <v>0</v>
      </c>
      <c r="E162" s="6"/>
      <c r="F162" s="43"/>
      <c r="G162" s="6"/>
      <c r="H162" s="42">
        <v>0</v>
      </c>
      <c r="I162" s="42">
        <v>0</v>
      </c>
      <c r="J162" s="42">
        <v>0</v>
      </c>
      <c r="K162" s="284"/>
      <c r="L162" s="285"/>
      <c r="M162" s="286"/>
      <c r="N162" s="5"/>
      <c r="O162" s="43"/>
      <c r="P162" s="47"/>
      <c r="Q162" s="6">
        <v>0</v>
      </c>
      <c r="R162" s="6"/>
      <c r="S162" s="100">
        <v>0</v>
      </c>
    </row>
    <row r="163" spans="1:19" ht="32.25" customHeight="1">
      <c r="A163" s="337"/>
      <c r="B163" s="420" t="s">
        <v>378</v>
      </c>
      <c r="C163" s="421"/>
      <c r="D163" s="42">
        <v>0</v>
      </c>
      <c r="E163" s="6"/>
      <c r="F163" s="43"/>
      <c r="G163" s="6"/>
      <c r="H163" s="42">
        <v>0</v>
      </c>
      <c r="I163" s="42">
        <v>0</v>
      </c>
      <c r="J163" s="42">
        <v>0</v>
      </c>
      <c r="K163" s="284"/>
      <c r="L163" s="285"/>
      <c r="M163" s="286"/>
      <c r="N163" s="5"/>
      <c r="O163" s="43"/>
      <c r="P163" s="47"/>
      <c r="Q163" s="6">
        <v>0</v>
      </c>
      <c r="R163" s="6"/>
      <c r="S163" s="100">
        <v>0</v>
      </c>
    </row>
    <row r="164" spans="1:19" ht="32.25" customHeight="1">
      <c r="A164" s="337">
        <v>8</v>
      </c>
      <c r="B164" s="420" t="s">
        <v>379</v>
      </c>
      <c r="C164" s="421"/>
      <c r="D164" s="42">
        <v>0</v>
      </c>
      <c r="E164" s="6"/>
      <c r="F164" s="43"/>
      <c r="G164" s="6"/>
      <c r="H164" s="42">
        <v>0</v>
      </c>
      <c r="I164" s="42">
        <v>0</v>
      </c>
      <c r="J164" s="42">
        <v>0</v>
      </c>
      <c r="K164" s="284"/>
      <c r="L164" s="285"/>
      <c r="M164" s="286"/>
      <c r="N164" s="5"/>
      <c r="O164" s="43"/>
      <c r="P164" s="47"/>
      <c r="Q164" s="6">
        <v>0</v>
      </c>
      <c r="R164" s="6"/>
      <c r="S164" s="100">
        <v>0</v>
      </c>
    </row>
    <row r="165" spans="1:19" ht="32.25" customHeight="1">
      <c r="A165" s="337"/>
      <c r="B165" s="420" t="s">
        <v>367</v>
      </c>
      <c r="C165" s="421"/>
      <c r="D165" s="42">
        <v>0</v>
      </c>
      <c r="E165" s="6"/>
      <c r="F165" s="43"/>
      <c r="G165" s="6"/>
      <c r="H165" s="42">
        <v>0</v>
      </c>
      <c r="I165" s="42">
        <v>0</v>
      </c>
      <c r="J165" s="42">
        <v>0</v>
      </c>
      <c r="K165" s="284"/>
      <c r="L165" s="285"/>
      <c r="M165" s="286"/>
      <c r="N165" s="5"/>
      <c r="O165" s="43"/>
      <c r="P165" s="47"/>
      <c r="Q165" s="6">
        <v>0</v>
      </c>
      <c r="R165" s="6"/>
      <c r="S165" s="100">
        <v>0</v>
      </c>
    </row>
    <row r="166" spans="1:19" ht="32.25" customHeight="1">
      <c r="A166" s="337"/>
      <c r="B166" s="420"/>
      <c r="C166" s="421"/>
      <c r="D166" s="42">
        <v>0</v>
      </c>
      <c r="E166" s="6"/>
      <c r="F166" s="43"/>
      <c r="G166" s="6"/>
      <c r="H166" s="42">
        <v>0</v>
      </c>
      <c r="I166" s="42">
        <v>0</v>
      </c>
      <c r="J166" s="42">
        <v>0</v>
      </c>
      <c r="K166" s="284"/>
      <c r="L166" s="285"/>
      <c r="M166" s="286"/>
      <c r="N166" s="5"/>
      <c r="O166" s="43"/>
      <c r="P166" s="47"/>
      <c r="Q166" s="6">
        <v>0</v>
      </c>
      <c r="R166" s="6"/>
      <c r="S166" s="100">
        <v>0</v>
      </c>
    </row>
    <row r="167" spans="1:19" ht="32.25" customHeight="1">
      <c r="A167" s="337">
        <v>9</v>
      </c>
      <c r="B167" s="420" t="s">
        <v>380</v>
      </c>
      <c r="C167" s="421"/>
      <c r="D167" s="42">
        <v>0</v>
      </c>
      <c r="E167" s="6" t="s">
        <v>365</v>
      </c>
      <c r="F167" s="43">
        <v>3</v>
      </c>
      <c r="G167" s="6" t="s">
        <v>134</v>
      </c>
      <c r="H167" s="42">
        <v>10400</v>
      </c>
      <c r="I167" s="42">
        <v>0</v>
      </c>
      <c r="J167" s="42">
        <v>10400</v>
      </c>
      <c r="K167" s="284" t="s">
        <v>314</v>
      </c>
      <c r="L167" s="285" t="s">
        <v>381</v>
      </c>
      <c r="M167" s="286">
        <v>10400</v>
      </c>
      <c r="N167" s="5"/>
      <c r="O167" s="43"/>
      <c r="P167" s="47"/>
      <c r="Q167" s="6">
        <v>0</v>
      </c>
      <c r="R167" s="6"/>
      <c r="S167" s="100">
        <v>0</v>
      </c>
    </row>
    <row r="168" spans="1:19" ht="32.25" customHeight="1">
      <c r="A168" s="337"/>
      <c r="B168" s="420" t="s">
        <v>367</v>
      </c>
      <c r="C168" s="421"/>
      <c r="D168" s="42">
        <v>0</v>
      </c>
      <c r="E168" s="6"/>
      <c r="F168" s="43"/>
      <c r="G168" s="6"/>
      <c r="H168" s="42">
        <v>0</v>
      </c>
      <c r="I168" s="42">
        <v>0</v>
      </c>
      <c r="J168" s="42">
        <v>0</v>
      </c>
      <c r="K168" s="284"/>
      <c r="L168" s="285"/>
      <c r="M168" s="286"/>
      <c r="N168" s="5"/>
      <c r="O168" s="43"/>
      <c r="P168" s="47"/>
      <c r="Q168" s="6">
        <v>0</v>
      </c>
      <c r="R168" s="6"/>
      <c r="S168" s="100">
        <v>0</v>
      </c>
    </row>
    <row r="169" spans="1:19" ht="32.25" customHeight="1">
      <c r="A169" s="337"/>
      <c r="B169" s="420" t="s">
        <v>382</v>
      </c>
      <c r="C169" s="421"/>
      <c r="D169" s="42">
        <v>0</v>
      </c>
      <c r="E169" s="6"/>
      <c r="F169" s="43"/>
      <c r="G169" s="6"/>
      <c r="H169" s="42">
        <v>0</v>
      </c>
      <c r="I169" s="42">
        <v>0</v>
      </c>
      <c r="J169" s="42">
        <v>0</v>
      </c>
      <c r="K169" s="284"/>
      <c r="L169" s="285"/>
      <c r="M169" s="286"/>
      <c r="N169" s="5"/>
      <c r="O169" s="43"/>
      <c r="P169" s="47"/>
      <c r="Q169" s="6">
        <v>0</v>
      </c>
      <c r="R169" s="6"/>
      <c r="S169" s="100">
        <v>0</v>
      </c>
    </row>
    <row r="170" spans="1:19" ht="32.25" customHeight="1">
      <c r="A170" s="337">
        <v>10</v>
      </c>
      <c r="B170" s="420" t="s">
        <v>383</v>
      </c>
      <c r="C170" s="421"/>
      <c r="D170" s="42">
        <v>0</v>
      </c>
      <c r="E170" s="6" t="s">
        <v>365</v>
      </c>
      <c r="F170" s="43">
        <v>3</v>
      </c>
      <c r="G170" s="6" t="s">
        <v>134</v>
      </c>
      <c r="H170" s="42">
        <v>5200</v>
      </c>
      <c r="I170" s="42">
        <v>0</v>
      </c>
      <c r="J170" s="42">
        <v>5200</v>
      </c>
      <c r="K170" s="284" t="s">
        <v>337</v>
      </c>
      <c r="L170" s="285" t="s">
        <v>384</v>
      </c>
      <c r="M170" s="286">
        <v>5200</v>
      </c>
      <c r="N170" s="5"/>
      <c r="O170" s="43"/>
      <c r="P170" s="47"/>
      <c r="Q170" s="6">
        <v>0</v>
      </c>
      <c r="R170" s="6"/>
      <c r="S170" s="100">
        <v>0</v>
      </c>
    </row>
    <row r="171" spans="1:19" ht="32.25" customHeight="1">
      <c r="A171" s="337"/>
      <c r="B171" s="420" t="s">
        <v>367</v>
      </c>
      <c r="C171" s="421"/>
      <c r="D171" s="42">
        <v>0</v>
      </c>
      <c r="E171" s="6"/>
      <c r="F171" s="43"/>
      <c r="G171" s="6"/>
      <c r="H171" s="42">
        <v>0</v>
      </c>
      <c r="I171" s="42">
        <v>0</v>
      </c>
      <c r="J171" s="42">
        <v>0</v>
      </c>
      <c r="K171" s="284"/>
      <c r="L171" s="285"/>
      <c r="M171" s="286"/>
      <c r="N171" s="5"/>
      <c r="O171" s="43"/>
      <c r="P171" s="47"/>
      <c r="Q171" s="6">
        <v>0</v>
      </c>
      <c r="R171" s="6"/>
      <c r="S171" s="100">
        <v>0</v>
      </c>
    </row>
    <row r="172" spans="1:19" ht="32.25" customHeight="1">
      <c r="A172" s="337"/>
      <c r="B172" s="420" t="s">
        <v>385</v>
      </c>
      <c r="C172" s="421"/>
      <c r="D172" s="42">
        <v>0</v>
      </c>
      <c r="E172" s="6"/>
      <c r="F172" s="43"/>
      <c r="G172" s="6"/>
      <c r="H172" s="42">
        <v>0</v>
      </c>
      <c r="I172" s="42">
        <v>0</v>
      </c>
      <c r="J172" s="42">
        <v>0</v>
      </c>
      <c r="K172" s="284"/>
      <c r="L172" s="285"/>
      <c r="M172" s="286"/>
      <c r="N172" s="5"/>
      <c r="O172" s="43"/>
      <c r="P172" s="47"/>
      <c r="Q172" s="6">
        <v>0</v>
      </c>
      <c r="R172" s="6"/>
      <c r="S172" s="100">
        <v>0</v>
      </c>
    </row>
    <row r="173" spans="1:19" ht="32.25" customHeight="1">
      <c r="A173" s="337">
        <v>11</v>
      </c>
      <c r="B173" s="420" t="s">
        <v>386</v>
      </c>
      <c r="C173" s="421"/>
      <c r="D173" s="42">
        <v>0</v>
      </c>
      <c r="E173" s="6"/>
      <c r="F173" s="43"/>
      <c r="G173" s="6"/>
      <c r="H173" s="42">
        <v>0</v>
      </c>
      <c r="I173" s="42">
        <v>0</v>
      </c>
      <c r="J173" s="42">
        <v>0</v>
      </c>
      <c r="K173" s="284"/>
      <c r="L173" s="285"/>
      <c r="M173" s="286"/>
      <c r="N173" s="5"/>
      <c r="O173" s="43"/>
      <c r="P173" s="47"/>
      <c r="Q173" s="6">
        <v>0</v>
      </c>
      <c r="R173" s="6"/>
      <c r="S173" s="100">
        <v>0</v>
      </c>
    </row>
    <row r="174" spans="1:19" ht="32.25" customHeight="1">
      <c r="A174" s="337"/>
      <c r="B174" s="420" t="s">
        <v>367</v>
      </c>
      <c r="C174" s="421"/>
      <c r="D174" s="42">
        <v>0</v>
      </c>
      <c r="E174" s="6"/>
      <c r="F174" s="43"/>
      <c r="G174" s="6"/>
      <c r="H174" s="42">
        <v>0</v>
      </c>
      <c r="I174" s="42">
        <v>0</v>
      </c>
      <c r="J174" s="42">
        <v>0</v>
      </c>
      <c r="K174" s="284"/>
      <c r="L174" s="285"/>
      <c r="M174" s="286"/>
      <c r="N174" s="5"/>
      <c r="O174" s="43"/>
      <c r="P174" s="47"/>
      <c r="Q174" s="6">
        <v>0</v>
      </c>
      <c r="R174" s="6"/>
      <c r="S174" s="100">
        <v>0</v>
      </c>
    </row>
    <row r="175" spans="1:19" ht="32.25" customHeight="1" thickBot="1">
      <c r="A175" s="39"/>
      <c r="B175" s="50" t="s">
        <v>19</v>
      </c>
      <c r="C175" s="50"/>
      <c r="D175" s="51">
        <v>0</v>
      </c>
      <c r="E175" s="52"/>
      <c r="F175" s="53"/>
      <c r="G175" s="52"/>
      <c r="H175" s="51">
        <f>SUM(H145:H174)</f>
        <v>41600</v>
      </c>
      <c r="I175" s="51">
        <f t="shared" ref="I175:M175" si="6">SUM(I145:I174)</f>
        <v>0</v>
      </c>
      <c r="J175" s="51">
        <f t="shared" si="6"/>
        <v>41600</v>
      </c>
      <c r="K175" s="51">
        <f t="shared" si="6"/>
        <v>0</v>
      </c>
      <c r="L175" s="51">
        <f t="shared" si="6"/>
        <v>0</v>
      </c>
      <c r="M175" s="51">
        <f t="shared" si="6"/>
        <v>41600</v>
      </c>
      <c r="N175" s="57"/>
      <c r="O175" s="53"/>
      <c r="P175" s="51"/>
      <c r="Q175" s="51">
        <v>0</v>
      </c>
      <c r="R175" s="51"/>
      <c r="S175" s="51">
        <v>0</v>
      </c>
    </row>
    <row r="176" spans="1:19" ht="32.25" customHeight="1" thickTop="1">
      <c r="A176" s="39"/>
      <c r="B176" s="58" t="s">
        <v>207</v>
      </c>
      <c r="C176" s="59"/>
      <c r="D176" s="60"/>
      <c r="E176" s="61"/>
      <c r="F176" s="62"/>
      <c r="G176" s="63"/>
      <c r="H176" s="64"/>
      <c r="I176" s="64"/>
      <c r="J176" s="64"/>
      <c r="K176" s="65"/>
      <c r="L176" s="66"/>
      <c r="M176" s="67"/>
      <c r="N176" s="68"/>
      <c r="O176" s="62"/>
      <c r="P176" s="69"/>
      <c r="Q176" s="63"/>
      <c r="R176" s="63"/>
      <c r="S176" s="70"/>
    </row>
    <row r="177" spans="1:19" ht="32.25" customHeight="1">
      <c r="A177" s="39">
        <v>1</v>
      </c>
      <c r="B177" s="40" t="s">
        <v>69</v>
      </c>
      <c r="C177" s="41" t="s">
        <v>208</v>
      </c>
      <c r="D177" s="42">
        <v>200</v>
      </c>
      <c r="E177" s="6"/>
      <c r="F177" s="43"/>
      <c r="G177" s="6"/>
      <c r="H177" s="42"/>
      <c r="I177" s="42"/>
      <c r="J177" s="42"/>
      <c r="K177" s="343" t="s">
        <v>73</v>
      </c>
      <c r="L177" s="344" t="s">
        <v>209</v>
      </c>
      <c r="M177" s="345">
        <v>200</v>
      </c>
      <c r="N177" s="5"/>
      <c r="O177" s="43"/>
      <c r="P177" s="47"/>
      <c r="Q177" s="48"/>
      <c r="R177" s="48"/>
      <c r="S177" s="49"/>
    </row>
    <row r="178" spans="1:19" ht="32.25" customHeight="1" thickBot="1">
      <c r="A178" s="39"/>
      <c r="B178" s="50" t="s">
        <v>19</v>
      </c>
      <c r="C178" s="50"/>
      <c r="D178" s="51">
        <v>200</v>
      </c>
      <c r="E178" s="52"/>
      <c r="F178" s="53"/>
      <c r="G178" s="52"/>
      <c r="H178" s="51">
        <v>0</v>
      </c>
      <c r="I178" s="51">
        <v>0</v>
      </c>
      <c r="J178" s="51">
        <v>0</v>
      </c>
      <c r="K178" s="54"/>
      <c r="L178" s="55"/>
      <c r="M178" s="56">
        <f>SUM(M177)</f>
        <v>200</v>
      </c>
      <c r="N178" s="57"/>
      <c r="O178" s="53"/>
      <c r="P178" s="51"/>
      <c r="Q178" s="51"/>
      <c r="R178" s="51"/>
      <c r="S178" s="51"/>
    </row>
    <row r="179" spans="1:19" ht="32.25" customHeight="1" thickTop="1">
      <c r="A179" s="39"/>
      <c r="B179" s="141" t="s">
        <v>210</v>
      </c>
      <c r="C179" s="142"/>
      <c r="D179" s="125"/>
      <c r="E179" s="131"/>
      <c r="F179" s="115"/>
      <c r="G179" s="33"/>
      <c r="H179" s="143"/>
      <c r="I179" s="143"/>
      <c r="J179" s="143"/>
      <c r="K179" s="34"/>
      <c r="L179" s="35"/>
      <c r="M179" s="36"/>
      <c r="N179" s="114"/>
      <c r="O179" s="115"/>
      <c r="P179" s="144"/>
      <c r="Q179" s="33"/>
      <c r="R179" s="33"/>
      <c r="S179" s="145"/>
    </row>
    <row r="180" spans="1:19" s="160" customFormat="1" ht="32.25" customHeight="1">
      <c r="A180" s="106">
        <v>1</v>
      </c>
      <c r="B180" s="142" t="s">
        <v>52</v>
      </c>
      <c r="C180" s="174" t="s">
        <v>211</v>
      </c>
      <c r="D180" s="151">
        <v>518</v>
      </c>
      <c r="E180" s="152" t="s">
        <v>57</v>
      </c>
      <c r="F180" s="346"/>
      <c r="G180" s="346"/>
      <c r="H180" s="153">
        <v>-259</v>
      </c>
      <c r="I180" s="346"/>
      <c r="J180" s="226">
        <v>-259</v>
      </c>
      <c r="K180" s="343" t="s">
        <v>320</v>
      </c>
      <c r="L180" s="277" t="s">
        <v>355</v>
      </c>
      <c r="M180" s="278">
        <v>518</v>
      </c>
      <c r="N180" s="347" t="s">
        <v>57</v>
      </c>
      <c r="O180" s="348"/>
      <c r="P180" s="280"/>
      <c r="Q180" s="153">
        <f>SUM(D180+J180-M180)</f>
        <v>-259</v>
      </c>
      <c r="R180" s="153"/>
      <c r="S180" s="159">
        <f>SUM(Q180)</f>
        <v>-259</v>
      </c>
    </row>
    <row r="181" spans="1:19" s="160" customFormat="1" ht="32.25" customHeight="1">
      <c r="A181" s="106">
        <v>2</v>
      </c>
      <c r="B181" s="161" t="s">
        <v>213</v>
      </c>
      <c r="C181" s="349" t="s">
        <v>214</v>
      </c>
      <c r="D181" s="151">
        <v>0</v>
      </c>
      <c r="E181" s="163"/>
      <c r="F181" s="122"/>
      <c r="G181" s="122"/>
      <c r="H181" s="91">
        <v>0</v>
      </c>
      <c r="I181" s="122"/>
      <c r="J181" s="132">
        <v>0</v>
      </c>
      <c r="K181" s="343"/>
      <c r="L181" s="350"/>
      <c r="M181" s="351"/>
      <c r="N181" s="352"/>
      <c r="O181" s="348"/>
      <c r="P181" s="280"/>
      <c r="Q181" s="153">
        <f t="shared" ref="Q181:Q223" si="7">SUM(D181+J181-M181)</f>
        <v>0</v>
      </c>
      <c r="R181" s="153"/>
      <c r="S181" s="159">
        <f t="shared" ref="S181:S223" si="8">SUM(Q181)</f>
        <v>0</v>
      </c>
    </row>
    <row r="182" spans="1:19" s="160" customFormat="1" ht="32.25" customHeight="1">
      <c r="A182" s="106">
        <v>3</v>
      </c>
      <c r="B182" s="142" t="s">
        <v>60</v>
      </c>
      <c r="C182" s="174" t="s">
        <v>215</v>
      </c>
      <c r="D182" s="151">
        <v>259</v>
      </c>
      <c r="E182" s="163"/>
      <c r="F182" s="122"/>
      <c r="G182" s="122"/>
      <c r="H182" s="91">
        <v>0</v>
      </c>
      <c r="I182" s="122"/>
      <c r="J182" s="132">
        <v>0</v>
      </c>
      <c r="K182" s="343" t="s">
        <v>320</v>
      </c>
      <c r="L182" s="277" t="s">
        <v>356</v>
      </c>
      <c r="M182" s="278">
        <v>259</v>
      </c>
      <c r="N182" s="352"/>
      <c r="O182" s="348"/>
      <c r="P182" s="280"/>
      <c r="Q182" s="153">
        <f t="shared" si="7"/>
        <v>0</v>
      </c>
      <c r="R182" s="153"/>
      <c r="S182" s="159">
        <f t="shared" si="8"/>
        <v>0</v>
      </c>
    </row>
    <row r="183" spans="1:19" s="160" customFormat="1" ht="32.25" customHeight="1">
      <c r="A183" s="106">
        <v>4</v>
      </c>
      <c r="B183" s="142" t="s">
        <v>27</v>
      </c>
      <c r="C183" s="174" t="s">
        <v>217</v>
      </c>
      <c r="D183" s="151">
        <v>259</v>
      </c>
      <c r="E183" s="163"/>
      <c r="F183" s="122"/>
      <c r="G183" s="122"/>
      <c r="H183" s="91">
        <v>0</v>
      </c>
      <c r="I183" s="122"/>
      <c r="J183" s="132">
        <v>0</v>
      </c>
      <c r="K183" s="343" t="s">
        <v>323</v>
      </c>
      <c r="L183" s="277" t="s">
        <v>357</v>
      </c>
      <c r="M183" s="278">
        <v>259</v>
      </c>
      <c r="N183" s="352"/>
      <c r="O183" s="348"/>
      <c r="P183" s="280"/>
      <c r="Q183" s="153">
        <f t="shared" si="7"/>
        <v>0</v>
      </c>
      <c r="R183" s="153"/>
      <c r="S183" s="159">
        <f t="shared" si="8"/>
        <v>0</v>
      </c>
    </row>
    <row r="184" spans="1:19" s="160" customFormat="1" ht="32.25" customHeight="1">
      <c r="A184" s="106">
        <v>5</v>
      </c>
      <c r="B184" s="168" t="s">
        <v>42</v>
      </c>
      <c r="C184" s="174" t="s">
        <v>219</v>
      </c>
      <c r="D184" s="125">
        <v>259</v>
      </c>
      <c r="E184" s="163"/>
      <c r="F184" s="122"/>
      <c r="G184" s="122"/>
      <c r="H184" s="91">
        <v>0</v>
      </c>
      <c r="I184" s="122"/>
      <c r="J184" s="132">
        <v>0</v>
      </c>
      <c r="K184" s="343" t="s">
        <v>325</v>
      </c>
      <c r="L184" s="277" t="s">
        <v>358</v>
      </c>
      <c r="M184" s="278">
        <v>259</v>
      </c>
      <c r="N184" s="352"/>
      <c r="O184" s="348"/>
      <c r="P184" s="280"/>
      <c r="Q184" s="153">
        <f t="shared" si="7"/>
        <v>0</v>
      </c>
      <c r="R184" s="153"/>
      <c r="S184" s="159">
        <f t="shared" si="8"/>
        <v>0</v>
      </c>
    </row>
    <row r="185" spans="1:19" s="160" customFormat="1" ht="32.25" customHeight="1">
      <c r="A185" s="106">
        <v>6</v>
      </c>
      <c r="B185" s="142" t="s">
        <v>69</v>
      </c>
      <c r="C185" s="174" t="s">
        <v>221</v>
      </c>
      <c r="D185" s="151">
        <v>259</v>
      </c>
      <c r="E185" s="163"/>
      <c r="F185" s="122"/>
      <c r="G185" s="122"/>
      <c r="H185" s="91">
        <v>0</v>
      </c>
      <c r="I185" s="122"/>
      <c r="J185" s="132">
        <v>0</v>
      </c>
      <c r="K185" s="343"/>
      <c r="L185" s="277"/>
      <c r="M185" s="278"/>
      <c r="N185" s="353" t="s">
        <v>125</v>
      </c>
      <c r="O185" s="348">
        <v>1</v>
      </c>
      <c r="P185" s="280" t="s">
        <v>72</v>
      </c>
      <c r="Q185" s="91">
        <f t="shared" si="7"/>
        <v>259</v>
      </c>
      <c r="R185" s="91"/>
      <c r="S185" s="77">
        <f t="shared" si="8"/>
        <v>259</v>
      </c>
    </row>
    <row r="186" spans="1:19" ht="32.25" customHeight="1">
      <c r="A186" s="106">
        <v>7</v>
      </c>
      <c r="B186" s="146" t="s">
        <v>75</v>
      </c>
      <c r="C186" s="173" t="s">
        <v>223</v>
      </c>
      <c r="D186" s="151"/>
      <c r="E186" s="163"/>
      <c r="F186" s="115"/>
      <c r="G186" s="115"/>
      <c r="H186" s="131">
        <v>0</v>
      </c>
      <c r="I186" s="115"/>
      <c r="J186" s="132">
        <v>0</v>
      </c>
      <c r="K186" s="356"/>
      <c r="L186" s="350"/>
      <c r="M186" s="351"/>
      <c r="N186" s="352"/>
      <c r="O186" s="348"/>
      <c r="P186" s="280"/>
      <c r="Q186" s="153">
        <f t="shared" si="7"/>
        <v>0</v>
      </c>
      <c r="R186" s="153"/>
      <c r="S186" s="159">
        <f t="shared" si="8"/>
        <v>0</v>
      </c>
    </row>
    <row r="187" spans="1:19" s="160" customFormat="1" ht="32.25" customHeight="1">
      <c r="A187" s="106">
        <v>8</v>
      </c>
      <c r="B187" s="142" t="s">
        <v>77</v>
      </c>
      <c r="C187" s="174" t="s">
        <v>224</v>
      </c>
      <c r="D187" s="151">
        <v>259</v>
      </c>
      <c r="E187" s="163"/>
      <c r="F187" s="122"/>
      <c r="G187" s="122"/>
      <c r="H187" s="91">
        <v>0</v>
      </c>
      <c r="I187" s="122"/>
      <c r="J187" s="132">
        <v>0</v>
      </c>
      <c r="K187" s="343" t="s">
        <v>327</v>
      </c>
      <c r="L187" s="277" t="s">
        <v>359</v>
      </c>
      <c r="M187" s="278">
        <v>259</v>
      </c>
      <c r="N187" s="352"/>
      <c r="O187" s="348"/>
      <c r="P187" s="280"/>
      <c r="Q187" s="153">
        <f t="shared" si="7"/>
        <v>0</v>
      </c>
      <c r="R187" s="153"/>
      <c r="S187" s="159">
        <f t="shared" si="8"/>
        <v>0</v>
      </c>
    </row>
    <row r="188" spans="1:19" s="160" customFormat="1" ht="32.25" customHeight="1">
      <c r="A188" s="106">
        <v>9</v>
      </c>
      <c r="B188" s="142" t="s">
        <v>77</v>
      </c>
      <c r="C188" s="174" t="s">
        <v>226</v>
      </c>
      <c r="D188" s="151">
        <v>259</v>
      </c>
      <c r="E188" s="163"/>
      <c r="F188" s="122"/>
      <c r="G188" s="122"/>
      <c r="H188" s="91">
        <v>0</v>
      </c>
      <c r="I188" s="122"/>
      <c r="J188" s="132">
        <v>0</v>
      </c>
      <c r="K188" s="343" t="s">
        <v>327</v>
      </c>
      <c r="L188" s="277" t="s">
        <v>359</v>
      </c>
      <c r="M188" s="278">
        <v>259</v>
      </c>
      <c r="N188" s="352"/>
      <c r="O188" s="348"/>
      <c r="P188" s="280"/>
      <c r="Q188" s="153">
        <f t="shared" si="7"/>
        <v>0</v>
      </c>
      <c r="R188" s="153"/>
      <c r="S188" s="159">
        <f t="shared" si="8"/>
        <v>0</v>
      </c>
    </row>
    <row r="189" spans="1:19" ht="32.25" customHeight="1">
      <c r="A189" s="106">
        <v>10</v>
      </c>
      <c r="B189" s="146" t="s">
        <v>75</v>
      </c>
      <c r="C189" s="173" t="s">
        <v>227</v>
      </c>
      <c r="D189" s="151"/>
      <c r="E189" s="163"/>
      <c r="F189" s="115"/>
      <c r="G189" s="115"/>
      <c r="H189" s="131">
        <v>0</v>
      </c>
      <c r="I189" s="115"/>
      <c r="J189" s="132">
        <v>0</v>
      </c>
      <c r="K189" s="356"/>
      <c r="L189" s="350"/>
      <c r="M189" s="351"/>
      <c r="N189" s="352"/>
      <c r="O189" s="348"/>
      <c r="P189" s="280"/>
      <c r="Q189" s="153">
        <f t="shared" si="7"/>
        <v>0</v>
      </c>
      <c r="R189" s="153"/>
      <c r="S189" s="159">
        <f t="shared" si="8"/>
        <v>0</v>
      </c>
    </row>
    <row r="190" spans="1:19" s="160" customFormat="1" ht="32.25" customHeight="1">
      <c r="A190" s="106">
        <v>11</v>
      </c>
      <c r="B190" s="142" t="s">
        <v>83</v>
      </c>
      <c r="C190" s="174" t="s">
        <v>228</v>
      </c>
      <c r="D190" s="151">
        <v>259</v>
      </c>
      <c r="E190" s="163"/>
      <c r="F190" s="122"/>
      <c r="G190" s="122"/>
      <c r="H190" s="91">
        <v>0</v>
      </c>
      <c r="I190" s="122"/>
      <c r="J190" s="132">
        <v>0</v>
      </c>
      <c r="K190" s="343" t="s">
        <v>325</v>
      </c>
      <c r="L190" s="277" t="s">
        <v>360</v>
      </c>
      <c r="M190" s="278">
        <v>259</v>
      </c>
      <c r="N190" s="352"/>
      <c r="O190" s="348"/>
      <c r="P190" s="280"/>
      <c r="Q190" s="153">
        <f t="shared" si="7"/>
        <v>0</v>
      </c>
      <c r="R190" s="153"/>
      <c r="S190" s="159">
        <f t="shared" si="8"/>
        <v>0</v>
      </c>
    </row>
    <row r="191" spans="1:19" s="160" customFormat="1" ht="32.25" customHeight="1">
      <c r="A191" s="106">
        <v>12</v>
      </c>
      <c r="B191" s="142" t="s">
        <v>87</v>
      </c>
      <c r="C191" s="174" t="s">
        <v>230</v>
      </c>
      <c r="D191" s="151">
        <v>259</v>
      </c>
      <c r="E191" s="163"/>
      <c r="F191" s="122"/>
      <c r="G191" s="122"/>
      <c r="H191" s="91">
        <v>0</v>
      </c>
      <c r="I191" s="122"/>
      <c r="J191" s="132">
        <v>0</v>
      </c>
      <c r="K191" s="343" t="s">
        <v>330</v>
      </c>
      <c r="L191" s="277" t="s">
        <v>361</v>
      </c>
      <c r="M191" s="278">
        <v>259</v>
      </c>
      <c r="N191" s="352"/>
      <c r="O191" s="348"/>
      <c r="P191" s="280"/>
      <c r="Q191" s="153">
        <f t="shared" si="7"/>
        <v>0</v>
      </c>
      <c r="R191" s="153"/>
      <c r="S191" s="159">
        <f t="shared" si="8"/>
        <v>0</v>
      </c>
    </row>
    <row r="192" spans="1:19" ht="32.25" customHeight="1">
      <c r="A192" s="357">
        <v>13</v>
      </c>
      <c r="B192" s="146" t="s">
        <v>75</v>
      </c>
      <c r="C192" s="173" t="s">
        <v>232</v>
      </c>
      <c r="D192" s="151"/>
      <c r="E192" s="163"/>
      <c r="F192" s="115"/>
      <c r="G192" s="115"/>
      <c r="H192" s="131">
        <v>0</v>
      </c>
      <c r="I192" s="115"/>
      <c r="J192" s="132">
        <v>0</v>
      </c>
      <c r="K192" s="358"/>
      <c r="L192" s="359"/>
      <c r="M192" s="360"/>
      <c r="N192" s="361"/>
      <c r="O192" s="362"/>
      <c r="P192" s="122"/>
      <c r="Q192" s="153">
        <f t="shared" si="7"/>
        <v>0</v>
      </c>
      <c r="R192" s="153"/>
      <c r="S192" s="159">
        <f t="shared" si="8"/>
        <v>0</v>
      </c>
    </row>
    <row r="193" spans="1:19" ht="32.25" customHeight="1">
      <c r="A193" s="106">
        <v>14</v>
      </c>
      <c r="B193" s="142" t="s">
        <v>92</v>
      </c>
      <c r="C193" s="174" t="s">
        <v>233</v>
      </c>
      <c r="D193" s="151"/>
      <c r="E193" s="163"/>
      <c r="F193" s="115"/>
      <c r="G193" s="115"/>
      <c r="H193" s="131">
        <v>0</v>
      </c>
      <c r="I193" s="115"/>
      <c r="J193" s="132">
        <v>0</v>
      </c>
      <c r="K193" s="358"/>
      <c r="L193" s="359"/>
      <c r="M193" s="360"/>
      <c r="N193" s="361"/>
      <c r="O193" s="362"/>
      <c r="P193" s="122"/>
      <c r="Q193" s="153">
        <f t="shared" si="7"/>
        <v>0</v>
      </c>
      <c r="R193" s="153"/>
      <c r="S193" s="159">
        <f t="shared" si="8"/>
        <v>0</v>
      </c>
    </row>
    <row r="194" spans="1:19" ht="32.25" customHeight="1">
      <c r="A194" s="106">
        <v>15</v>
      </c>
      <c r="B194" s="146" t="s">
        <v>75</v>
      </c>
      <c r="C194" s="173" t="s">
        <v>234</v>
      </c>
      <c r="D194" s="151">
        <v>0</v>
      </c>
      <c r="E194" s="163"/>
      <c r="F194" s="115"/>
      <c r="G194" s="115"/>
      <c r="H194" s="131">
        <v>0</v>
      </c>
      <c r="I194" s="115"/>
      <c r="J194" s="132">
        <v>0</v>
      </c>
      <c r="K194" s="358"/>
      <c r="L194" s="359"/>
      <c r="M194" s="360"/>
      <c r="N194" s="361"/>
      <c r="O194" s="362"/>
      <c r="P194" s="122"/>
      <c r="Q194" s="153">
        <f t="shared" si="7"/>
        <v>0</v>
      </c>
      <c r="R194" s="153"/>
      <c r="S194" s="159">
        <f t="shared" si="8"/>
        <v>0</v>
      </c>
    </row>
    <row r="195" spans="1:19" s="160" customFormat="1" ht="32.25" customHeight="1">
      <c r="A195" s="106">
        <v>16</v>
      </c>
      <c r="B195" s="142" t="s">
        <v>95</v>
      </c>
      <c r="C195" s="174" t="s">
        <v>235</v>
      </c>
      <c r="D195" s="151">
        <v>0</v>
      </c>
      <c r="E195" s="163"/>
      <c r="F195" s="122"/>
      <c r="G195" s="122"/>
      <c r="H195" s="91">
        <v>0</v>
      </c>
      <c r="I195" s="122"/>
      <c r="J195" s="132">
        <v>0</v>
      </c>
      <c r="K195" s="363"/>
      <c r="L195" s="363"/>
      <c r="M195" s="364"/>
      <c r="N195" s="361"/>
      <c r="O195" s="362"/>
      <c r="P195" s="122"/>
      <c r="Q195" s="153">
        <f t="shared" si="7"/>
        <v>0</v>
      </c>
      <c r="R195" s="153"/>
      <c r="S195" s="159">
        <f t="shared" si="8"/>
        <v>0</v>
      </c>
    </row>
    <row r="196" spans="1:19" s="160" customFormat="1" ht="32.25" customHeight="1">
      <c r="A196" s="106">
        <v>17</v>
      </c>
      <c r="B196" s="365" t="s">
        <v>236</v>
      </c>
      <c r="C196" s="174" t="s">
        <v>237</v>
      </c>
      <c r="D196" s="151">
        <v>0</v>
      </c>
      <c r="E196" s="163"/>
      <c r="F196" s="122"/>
      <c r="G196" s="122"/>
      <c r="H196" s="91">
        <v>0</v>
      </c>
      <c r="I196" s="122"/>
      <c r="J196" s="132">
        <v>0</v>
      </c>
      <c r="K196" s="358"/>
      <c r="L196" s="359"/>
      <c r="M196" s="360"/>
      <c r="N196" s="361"/>
      <c r="O196" s="362"/>
      <c r="P196" s="122"/>
      <c r="Q196" s="153">
        <f t="shared" si="7"/>
        <v>0</v>
      </c>
      <c r="R196" s="153"/>
      <c r="S196" s="159">
        <f t="shared" si="8"/>
        <v>0</v>
      </c>
    </row>
    <row r="197" spans="1:19" s="160" customFormat="1" ht="32.25" customHeight="1">
      <c r="A197" s="106">
        <v>18</v>
      </c>
      <c r="B197" s="142" t="s">
        <v>99</v>
      </c>
      <c r="C197" s="174" t="s">
        <v>238</v>
      </c>
      <c r="D197" s="151">
        <v>6750</v>
      </c>
      <c r="E197" s="163"/>
      <c r="F197" s="122"/>
      <c r="G197" s="122"/>
      <c r="H197" s="91">
        <v>0</v>
      </c>
      <c r="I197" s="122"/>
      <c r="J197" s="132">
        <v>0</v>
      </c>
      <c r="K197" s="343" t="s">
        <v>325</v>
      </c>
      <c r="L197" s="277" t="s">
        <v>362</v>
      </c>
      <c r="M197" s="278">
        <v>6750</v>
      </c>
      <c r="N197" s="361"/>
      <c r="O197" s="362"/>
      <c r="P197" s="122"/>
      <c r="Q197" s="153">
        <f t="shared" si="7"/>
        <v>0</v>
      </c>
      <c r="R197" s="153"/>
      <c r="S197" s="159">
        <f t="shared" si="8"/>
        <v>0</v>
      </c>
    </row>
    <row r="198" spans="1:19" s="160" customFormat="1" ht="32.25" customHeight="1">
      <c r="A198" s="106">
        <v>19</v>
      </c>
      <c r="B198" s="142" t="s">
        <v>141</v>
      </c>
      <c r="C198" s="193" t="s">
        <v>240</v>
      </c>
      <c r="D198" s="125">
        <v>114.5</v>
      </c>
      <c r="E198" s="152" t="s">
        <v>57</v>
      </c>
      <c r="F198" s="212"/>
      <c r="G198" s="213"/>
      <c r="H198" s="153">
        <v>-114.5</v>
      </c>
      <c r="I198" s="125"/>
      <c r="J198" s="132">
        <v>-114.5</v>
      </c>
      <c r="K198" s="363"/>
      <c r="L198" s="366"/>
      <c r="M198" s="367"/>
      <c r="N198" s="368"/>
      <c r="O198" s="362"/>
      <c r="P198" s="221"/>
      <c r="Q198" s="153">
        <f t="shared" si="7"/>
        <v>0</v>
      </c>
      <c r="R198" s="153"/>
      <c r="S198" s="159">
        <f t="shared" si="8"/>
        <v>0</v>
      </c>
    </row>
    <row r="199" spans="1:19" s="160" customFormat="1" ht="32.25" customHeight="1">
      <c r="A199" s="106"/>
      <c r="B199" s="222" t="s">
        <v>241</v>
      </c>
      <c r="C199" s="193"/>
      <c r="D199" s="92"/>
      <c r="E199" s="239"/>
      <c r="F199" s="122"/>
      <c r="G199" s="217"/>
      <c r="H199" s="91"/>
      <c r="I199" s="92"/>
      <c r="J199" s="132"/>
      <c r="K199" s="363"/>
      <c r="L199" s="366"/>
      <c r="M199" s="367"/>
      <c r="N199" s="361"/>
      <c r="O199" s="362"/>
      <c r="P199" s="221"/>
      <c r="Q199" s="153">
        <f t="shared" si="7"/>
        <v>0</v>
      </c>
      <c r="R199" s="153"/>
      <c r="S199" s="159">
        <f t="shared" si="8"/>
        <v>0</v>
      </c>
    </row>
    <row r="200" spans="1:19" s="160" customFormat="1" ht="32.25" customHeight="1">
      <c r="A200" s="106"/>
      <c r="B200" s="222" t="s">
        <v>242</v>
      </c>
      <c r="C200" s="193"/>
      <c r="D200" s="92"/>
      <c r="E200" s="239"/>
      <c r="F200" s="122"/>
      <c r="G200" s="217"/>
      <c r="H200" s="91"/>
      <c r="I200" s="92"/>
      <c r="J200" s="132"/>
      <c r="K200" s="363"/>
      <c r="L200" s="366"/>
      <c r="M200" s="367"/>
      <c r="N200" s="361"/>
      <c r="O200" s="362"/>
      <c r="P200" s="221"/>
      <c r="Q200" s="153">
        <f t="shared" si="7"/>
        <v>0</v>
      </c>
      <c r="R200" s="153"/>
      <c r="S200" s="159">
        <f t="shared" si="8"/>
        <v>0</v>
      </c>
    </row>
    <row r="201" spans="1:19" ht="32.25" customHeight="1">
      <c r="A201" s="106">
        <v>20</v>
      </c>
      <c r="B201" s="222" t="s">
        <v>52</v>
      </c>
      <c r="C201" s="193" t="s">
        <v>243</v>
      </c>
      <c r="D201" s="92">
        <v>11.5</v>
      </c>
      <c r="E201" s="369" t="s">
        <v>57</v>
      </c>
      <c r="F201" s="346"/>
      <c r="G201" s="213"/>
      <c r="H201" s="153">
        <v>-11.5</v>
      </c>
      <c r="I201" s="370"/>
      <c r="J201" s="226">
        <v>-11.5</v>
      </c>
      <c r="K201" s="358"/>
      <c r="L201" s="359"/>
      <c r="M201" s="371"/>
      <c r="N201" s="368"/>
      <c r="O201" s="362"/>
      <c r="P201" s="221"/>
      <c r="Q201" s="153">
        <f t="shared" si="7"/>
        <v>0</v>
      </c>
      <c r="R201" s="153"/>
      <c r="S201" s="159">
        <f t="shared" si="8"/>
        <v>0</v>
      </c>
    </row>
    <row r="202" spans="1:19" ht="32.25" customHeight="1">
      <c r="A202" s="116"/>
      <c r="B202" s="222" t="s">
        <v>244</v>
      </c>
      <c r="C202" s="193"/>
      <c r="D202" s="92"/>
      <c r="E202" s="239"/>
      <c r="F202" s="122"/>
      <c r="G202" s="217"/>
      <c r="H202" s="91">
        <v>0</v>
      </c>
      <c r="I202" s="92"/>
      <c r="J202" s="132">
        <v>0</v>
      </c>
      <c r="K202" s="358"/>
      <c r="L202" s="359"/>
      <c r="M202" s="371"/>
      <c r="N202" s="361"/>
      <c r="O202" s="362"/>
      <c r="P202" s="221"/>
      <c r="Q202" s="153">
        <f t="shared" si="7"/>
        <v>0</v>
      </c>
      <c r="R202" s="153"/>
      <c r="S202" s="159">
        <f t="shared" si="8"/>
        <v>0</v>
      </c>
    </row>
    <row r="203" spans="1:19" ht="32.25" customHeight="1">
      <c r="A203" s="116"/>
      <c r="B203" s="222" t="s">
        <v>245</v>
      </c>
      <c r="C203" s="193"/>
      <c r="D203" s="92"/>
      <c r="E203" s="239"/>
      <c r="F203" s="122"/>
      <c r="G203" s="91"/>
      <c r="H203" s="91">
        <v>0</v>
      </c>
      <c r="I203" s="92"/>
      <c r="J203" s="132">
        <v>0</v>
      </c>
      <c r="K203" s="372"/>
      <c r="L203" s="359"/>
      <c r="M203" s="371"/>
      <c r="N203" s="361"/>
      <c r="O203" s="362"/>
      <c r="P203" s="92"/>
      <c r="Q203" s="153">
        <f t="shared" si="7"/>
        <v>0</v>
      </c>
      <c r="R203" s="153"/>
      <c r="S203" s="159">
        <f t="shared" si="8"/>
        <v>0</v>
      </c>
    </row>
    <row r="204" spans="1:19" ht="32.25" customHeight="1">
      <c r="A204" s="106">
        <v>21</v>
      </c>
      <c r="B204" s="222" t="s">
        <v>152</v>
      </c>
      <c r="C204" s="193" t="s">
        <v>246</v>
      </c>
      <c r="D204" s="125">
        <v>70.42</v>
      </c>
      <c r="E204" s="163" t="s">
        <v>57</v>
      </c>
      <c r="F204" s="115"/>
      <c r="G204" s="91"/>
      <c r="H204" s="91">
        <v>-563.32000000000016</v>
      </c>
      <c r="I204" s="125"/>
      <c r="J204" s="132">
        <v>-563.32000000000016</v>
      </c>
      <c r="K204" s="372"/>
      <c r="L204" s="373"/>
      <c r="M204" s="371"/>
      <c r="N204" s="374" t="s">
        <v>57</v>
      </c>
      <c r="O204" s="362"/>
      <c r="P204" s="92"/>
      <c r="Q204" s="153">
        <f t="shared" si="7"/>
        <v>-492.90000000000015</v>
      </c>
      <c r="R204" s="91"/>
      <c r="S204" s="159">
        <f t="shared" si="8"/>
        <v>-492.90000000000015</v>
      </c>
    </row>
    <row r="205" spans="1:19" ht="32.25" customHeight="1">
      <c r="A205" s="106"/>
      <c r="B205" s="664" t="s">
        <v>247</v>
      </c>
      <c r="C205" s="665"/>
      <c r="D205" s="92"/>
      <c r="E205" s="239"/>
      <c r="F205" s="122"/>
      <c r="G205" s="91"/>
      <c r="H205" s="91">
        <v>0</v>
      </c>
      <c r="I205" s="92"/>
      <c r="J205" s="132">
        <v>0</v>
      </c>
      <c r="K205" s="359"/>
      <c r="L205" s="358"/>
      <c r="M205" s="371"/>
      <c r="N205" s="361"/>
      <c r="O205" s="362"/>
      <c r="P205" s="92"/>
      <c r="Q205" s="153">
        <f t="shared" si="7"/>
        <v>0</v>
      </c>
      <c r="R205" s="91"/>
      <c r="S205" s="159">
        <f t="shared" si="8"/>
        <v>0</v>
      </c>
    </row>
    <row r="206" spans="1:19" ht="32.25" customHeight="1">
      <c r="A206" s="106"/>
      <c r="B206" s="652" t="s">
        <v>248</v>
      </c>
      <c r="C206" s="654"/>
      <c r="D206" s="92"/>
      <c r="E206" s="239"/>
      <c r="F206" s="122"/>
      <c r="G206" s="91"/>
      <c r="H206" s="91">
        <v>0</v>
      </c>
      <c r="I206" s="92"/>
      <c r="J206" s="132">
        <v>0</v>
      </c>
      <c r="K206" s="359"/>
      <c r="L206" s="358"/>
      <c r="M206" s="371"/>
      <c r="N206" s="361"/>
      <c r="O206" s="362"/>
      <c r="P206" s="92"/>
      <c r="Q206" s="153">
        <f t="shared" si="7"/>
        <v>0</v>
      </c>
      <c r="R206" s="91"/>
      <c r="S206" s="159">
        <f t="shared" si="8"/>
        <v>0</v>
      </c>
    </row>
    <row r="207" spans="1:19" ht="32.25" customHeight="1">
      <c r="A207" s="106"/>
      <c r="B207" s="375" t="s">
        <v>249</v>
      </c>
      <c r="C207" s="376"/>
      <c r="D207" s="377"/>
      <c r="E207" s="378"/>
      <c r="F207" s="194"/>
      <c r="G207" s="195"/>
      <c r="H207" s="195">
        <v>0</v>
      </c>
      <c r="I207" s="377"/>
      <c r="J207" s="379">
        <v>0</v>
      </c>
      <c r="K207" s="359"/>
      <c r="L207" s="358"/>
      <c r="M207" s="371"/>
      <c r="N207" s="361"/>
      <c r="O207" s="362"/>
      <c r="P207" s="92"/>
      <c r="Q207" s="153">
        <f t="shared" si="7"/>
        <v>0</v>
      </c>
      <c r="R207" s="91"/>
      <c r="S207" s="159">
        <f t="shared" si="8"/>
        <v>0</v>
      </c>
    </row>
    <row r="208" spans="1:19" ht="32.25" customHeight="1">
      <c r="A208" s="106">
        <v>22</v>
      </c>
      <c r="B208" s="222" t="s">
        <v>130</v>
      </c>
      <c r="C208" s="193" t="s">
        <v>250</v>
      </c>
      <c r="D208" s="92">
        <v>0</v>
      </c>
      <c r="E208" s="239"/>
      <c r="F208" s="122"/>
      <c r="G208" s="91"/>
      <c r="H208" s="91"/>
      <c r="I208" s="92"/>
      <c r="J208" s="132"/>
      <c r="K208" s="380"/>
      <c r="L208" s="381"/>
      <c r="M208" s="382"/>
      <c r="N208" s="2"/>
      <c r="O208" s="362"/>
      <c r="P208" s="92"/>
      <c r="Q208" s="153">
        <f t="shared" si="7"/>
        <v>0</v>
      </c>
      <c r="R208" s="91"/>
      <c r="S208" s="159">
        <f t="shared" si="8"/>
        <v>0</v>
      </c>
    </row>
    <row r="209" spans="1:19" ht="32.25" customHeight="1">
      <c r="A209" s="116"/>
      <c r="B209" s="222" t="s">
        <v>251</v>
      </c>
      <c r="C209" s="193"/>
      <c r="D209" s="92"/>
      <c r="E209" s="239"/>
      <c r="F209" s="122"/>
      <c r="G209" s="91"/>
      <c r="H209" s="91">
        <v>0</v>
      </c>
      <c r="I209" s="92"/>
      <c r="J209" s="132">
        <v>0</v>
      </c>
      <c r="K209" s="372"/>
      <c r="L209" s="359"/>
      <c r="M209" s="371"/>
      <c r="N209" s="361"/>
      <c r="O209" s="362"/>
      <c r="P209" s="92"/>
      <c r="Q209" s="153">
        <f t="shared" si="7"/>
        <v>0</v>
      </c>
      <c r="R209" s="383"/>
      <c r="S209" s="159">
        <f t="shared" si="8"/>
        <v>0</v>
      </c>
    </row>
    <row r="210" spans="1:19" ht="32.25" customHeight="1">
      <c r="A210" s="116"/>
      <c r="B210" s="222" t="s">
        <v>253</v>
      </c>
      <c r="C210" s="193"/>
      <c r="D210" s="92"/>
      <c r="E210" s="239"/>
      <c r="F210" s="122"/>
      <c r="G210" s="91"/>
      <c r="H210" s="91">
        <v>0</v>
      </c>
      <c r="I210" s="92"/>
      <c r="J210" s="132">
        <v>0</v>
      </c>
      <c r="K210" s="372"/>
      <c r="L210" s="359"/>
      <c r="M210" s="371"/>
      <c r="N210" s="361"/>
      <c r="O210" s="362"/>
      <c r="P210" s="92"/>
      <c r="Q210" s="153">
        <f t="shared" si="7"/>
        <v>0</v>
      </c>
      <c r="R210" s="383"/>
      <c r="S210" s="159">
        <f t="shared" si="8"/>
        <v>0</v>
      </c>
    </row>
    <row r="211" spans="1:19" ht="32.25" customHeight="1">
      <c r="A211" s="116"/>
      <c r="B211" s="222" t="s">
        <v>255</v>
      </c>
      <c r="C211" s="193"/>
      <c r="D211" s="92">
        <v>25.83</v>
      </c>
      <c r="E211" s="239" t="s">
        <v>57</v>
      </c>
      <c r="F211" s="122"/>
      <c r="G211" s="91"/>
      <c r="H211" s="91">
        <v>-284.17</v>
      </c>
      <c r="I211" s="92"/>
      <c r="J211" s="132">
        <v>-284.17</v>
      </c>
      <c r="K211" s="372"/>
      <c r="L211" s="359"/>
      <c r="M211" s="371"/>
      <c r="N211" s="361" t="s">
        <v>57</v>
      </c>
      <c r="O211" s="362"/>
      <c r="P211" s="92"/>
      <c r="Q211" s="153">
        <f t="shared" si="7"/>
        <v>-258.34000000000003</v>
      </c>
      <c r="R211" s="383"/>
      <c r="S211" s="159">
        <f t="shared" si="8"/>
        <v>-258.34000000000003</v>
      </c>
    </row>
    <row r="212" spans="1:19" ht="32.25" customHeight="1">
      <c r="A212" s="116"/>
      <c r="B212" s="222" t="s">
        <v>257</v>
      </c>
      <c r="C212" s="193"/>
      <c r="D212" s="92"/>
      <c r="E212" s="239"/>
      <c r="F212" s="122"/>
      <c r="G212" s="91"/>
      <c r="H212" s="91"/>
      <c r="I212" s="92"/>
      <c r="J212" s="132"/>
      <c r="K212" s="372"/>
      <c r="L212" s="359"/>
      <c r="M212" s="371"/>
      <c r="N212" s="361"/>
      <c r="O212" s="362"/>
      <c r="P212" s="92"/>
      <c r="Q212" s="153">
        <f t="shared" si="7"/>
        <v>0</v>
      </c>
      <c r="R212" s="383"/>
      <c r="S212" s="159">
        <f t="shared" si="8"/>
        <v>0</v>
      </c>
    </row>
    <row r="213" spans="1:19" ht="32.25" customHeight="1">
      <c r="A213" s="116">
        <v>23</v>
      </c>
      <c r="B213" s="142" t="s">
        <v>145</v>
      </c>
      <c r="C213" s="193" t="s">
        <v>258</v>
      </c>
      <c r="D213" s="92">
        <v>29.17</v>
      </c>
      <c r="E213" s="239" t="s">
        <v>57</v>
      </c>
      <c r="F213" s="122"/>
      <c r="G213" s="91"/>
      <c r="H213" s="91">
        <v>-116.63999999999994</v>
      </c>
      <c r="I213" s="92"/>
      <c r="J213" s="132">
        <v>-116.63999999999994</v>
      </c>
      <c r="K213" s="372"/>
      <c r="L213" s="359"/>
      <c r="M213" s="371"/>
      <c r="N213" s="361" t="s">
        <v>57</v>
      </c>
      <c r="O213" s="362"/>
      <c r="P213" s="92"/>
      <c r="Q213" s="153">
        <f t="shared" si="7"/>
        <v>-87.469999999999942</v>
      </c>
      <c r="R213" s="153"/>
      <c r="S213" s="159">
        <f t="shared" si="8"/>
        <v>-87.469999999999942</v>
      </c>
    </row>
    <row r="214" spans="1:19" ht="32.25" customHeight="1">
      <c r="A214" s="116"/>
      <c r="B214" s="384" t="s">
        <v>259</v>
      </c>
      <c r="C214" s="385"/>
      <c r="D214" s="386"/>
      <c r="E214" s="387"/>
      <c r="F214" s="388"/>
      <c r="G214" s="389"/>
      <c r="H214" s="389">
        <v>0</v>
      </c>
      <c r="I214" s="92"/>
      <c r="J214" s="132">
        <v>0</v>
      </c>
      <c r="K214" s="372"/>
      <c r="L214" s="359"/>
      <c r="M214" s="371"/>
      <c r="N214" s="361"/>
      <c r="O214" s="362"/>
      <c r="P214" s="92"/>
      <c r="Q214" s="153">
        <f t="shared" si="7"/>
        <v>0</v>
      </c>
      <c r="R214" s="153"/>
      <c r="S214" s="159">
        <f t="shared" si="8"/>
        <v>0</v>
      </c>
    </row>
    <row r="215" spans="1:19" ht="32.25" customHeight="1">
      <c r="A215" s="116"/>
      <c r="B215" s="384" t="s">
        <v>260</v>
      </c>
      <c r="C215" s="385"/>
      <c r="D215" s="386"/>
      <c r="E215" s="387"/>
      <c r="F215" s="388"/>
      <c r="G215" s="389"/>
      <c r="H215" s="389">
        <v>0</v>
      </c>
      <c r="I215" s="92"/>
      <c r="J215" s="132">
        <v>0</v>
      </c>
      <c r="K215" s="372"/>
      <c r="L215" s="359"/>
      <c r="M215" s="371"/>
      <c r="N215" s="361"/>
      <c r="O215" s="362"/>
      <c r="P215" s="92"/>
      <c r="Q215" s="153">
        <f t="shared" si="7"/>
        <v>0</v>
      </c>
      <c r="R215" s="153"/>
      <c r="S215" s="159">
        <f t="shared" si="8"/>
        <v>0</v>
      </c>
    </row>
    <row r="216" spans="1:19" ht="32.25" customHeight="1">
      <c r="A216" s="116">
        <v>24</v>
      </c>
      <c r="B216" s="142" t="s">
        <v>158</v>
      </c>
      <c r="C216" s="390" t="s">
        <v>261</v>
      </c>
      <c r="D216" s="92">
        <v>24.17</v>
      </c>
      <c r="E216" s="239" t="s">
        <v>57</v>
      </c>
      <c r="F216" s="122"/>
      <c r="G216" s="91"/>
      <c r="H216" s="91">
        <v>-217.49</v>
      </c>
      <c r="I216" s="92"/>
      <c r="J216" s="132">
        <v>-217.49</v>
      </c>
      <c r="K216" s="372"/>
      <c r="L216" s="359"/>
      <c r="M216" s="371"/>
      <c r="N216" s="361" t="s">
        <v>57</v>
      </c>
      <c r="O216" s="362"/>
      <c r="P216" s="92"/>
      <c r="Q216" s="153">
        <f t="shared" si="7"/>
        <v>-193.32</v>
      </c>
      <c r="R216" s="354"/>
      <c r="S216" s="159">
        <f t="shared" si="8"/>
        <v>-193.32</v>
      </c>
    </row>
    <row r="217" spans="1:19" ht="32.25" customHeight="1">
      <c r="A217" s="116"/>
      <c r="B217" s="275" t="s">
        <v>262</v>
      </c>
      <c r="C217" s="390"/>
      <c r="D217" s="92"/>
      <c r="E217" s="239"/>
      <c r="F217" s="122"/>
      <c r="G217" s="91"/>
      <c r="H217" s="91">
        <v>0</v>
      </c>
      <c r="I217" s="92"/>
      <c r="J217" s="132">
        <v>0</v>
      </c>
      <c r="K217" s="372"/>
      <c r="L217" s="359"/>
      <c r="M217" s="371"/>
      <c r="N217" s="361"/>
      <c r="O217" s="362"/>
      <c r="P217" s="92"/>
      <c r="Q217" s="153">
        <f t="shared" si="7"/>
        <v>0</v>
      </c>
      <c r="R217" s="354"/>
      <c r="S217" s="159">
        <f t="shared" si="8"/>
        <v>0</v>
      </c>
    </row>
    <row r="218" spans="1:19" ht="32.25" customHeight="1">
      <c r="A218" s="116"/>
      <c r="B218" s="275" t="s">
        <v>263</v>
      </c>
      <c r="C218" s="390"/>
      <c r="D218" s="92"/>
      <c r="E218" s="239"/>
      <c r="F218" s="122"/>
      <c r="G218" s="91"/>
      <c r="H218" s="91">
        <v>0</v>
      </c>
      <c r="I218" s="92"/>
      <c r="J218" s="132">
        <v>0</v>
      </c>
      <c r="K218" s="372"/>
      <c r="L218" s="359"/>
      <c r="M218" s="371"/>
      <c r="N218" s="361"/>
      <c r="O218" s="362"/>
      <c r="P218" s="92"/>
      <c r="Q218" s="153">
        <f t="shared" si="7"/>
        <v>0</v>
      </c>
      <c r="R218" s="354"/>
      <c r="S218" s="159">
        <f t="shared" si="8"/>
        <v>0</v>
      </c>
    </row>
    <row r="219" spans="1:19" ht="32.25" customHeight="1">
      <c r="A219" s="116"/>
      <c r="B219" s="275" t="s">
        <v>264</v>
      </c>
      <c r="C219" s="390"/>
      <c r="D219" s="92">
        <v>0</v>
      </c>
      <c r="E219" s="239"/>
      <c r="F219" s="122"/>
      <c r="G219" s="91"/>
      <c r="H219" s="91">
        <v>0</v>
      </c>
      <c r="I219" s="92"/>
      <c r="J219" s="132">
        <v>0</v>
      </c>
      <c r="K219" s="372"/>
      <c r="L219" s="359"/>
      <c r="M219" s="371"/>
      <c r="N219" s="361"/>
      <c r="O219" s="362"/>
      <c r="P219" s="92"/>
      <c r="Q219" s="153">
        <f t="shared" si="7"/>
        <v>0</v>
      </c>
      <c r="R219" s="354"/>
      <c r="S219" s="159">
        <f t="shared" si="8"/>
        <v>0</v>
      </c>
    </row>
    <row r="220" spans="1:19" ht="32.25" customHeight="1">
      <c r="A220" s="116"/>
      <c r="B220" s="275" t="s">
        <v>265</v>
      </c>
      <c r="C220" s="390"/>
      <c r="D220" s="92">
        <v>0</v>
      </c>
      <c r="E220" s="2"/>
      <c r="F220" s="2"/>
      <c r="G220" s="2"/>
      <c r="K220" s="372"/>
      <c r="L220" s="359"/>
      <c r="M220" s="371"/>
      <c r="N220" s="361"/>
      <c r="O220" s="362"/>
      <c r="P220" s="92"/>
      <c r="Q220" s="153">
        <f t="shared" si="7"/>
        <v>0</v>
      </c>
      <c r="R220" s="354"/>
      <c r="S220" s="159">
        <f t="shared" si="8"/>
        <v>0</v>
      </c>
    </row>
    <row r="221" spans="1:19" ht="32.25" customHeight="1">
      <c r="A221" s="116"/>
      <c r="B221" s="142" t="s">
        <v>266</v>
      </c>
      <c r="C221" s="390"/>
      <c r="D221" s="92"/>
      <c r="E221" s="239"/>
      <c r="F221" s="122"/>
      <c r="G221" s="91"/>
      <c r="H221" s="91">
        <v>0</v>
      </c>
      <c r="I221" s="92"/>
      <c r="J221" s="132">
        <v>0</v>
      </c>
      <c r="K221" s="372"/>
      <c r="L221" s="359"/>
      <c r="M221" s="371"/>
      <c r="N221" s="361"/>
      <c r="O221" s="362"/>
      <c r="P221" s="92"/>
      <c r="Q221" s="153">
        <f t="shared" si="7"/>
        <v>0</v>
      </c>
      <c r="R221" s="153"/>
      <c r="S221" s="159">
        <f t="shared" si="8"/>
        <v>0</v>
      </c>
    </row>
    <row r="222" spans="1:19" ht="32.25" customHeight="1">
      <c r="A222" s="116"/>
      <c r="B222" s="142" t="s">
        <v>267</v>
      </c>
      <c r="C222" s="390"/>
      <c r="D222" s="92"/>
      <c r="E222" s="239"/>
      <c r="F222" s="122"/>
      <c r="G222" s="91"/>
      <c r="H222" s="91"/>
      <c r="I222" s="92"/>
      <c r="J222" s="132">
        <v>0</v>
      </c>
      <c r="K222" s="372"/>
      <c r="L222" s="359"/>
      <c r="M222" s="371"/>
      <c r="N222" s="361"/>
      <c r="O222" s="362"/>
      <c r="P222" s="92"/>
      <c r="Q222" s="153">
        <f t="shared" si="7"/>
        <v>0</v>
      </c>
      <c r="R222" s="153"/>
      <c r="S222" s="159">
        <f t="shared" si="8"/>
        <v>0</v>
      </c>
    </row>
    <row r="223" spans="1:19" ht="32.25" customHeight="1">
      <c r="A223" s="106">
        <v>25</v>
      </c>
      <c r="B223" s="142" t="s">
        <v>23</v>
      </c>
      <c r="C223" s="174" t="s">
        <v>268</v>
      </c>
      <c r="D223" s="151"/>
      <c r="E223" s="163"/>
      <c r="F223" s="122"/>
      <c r="G223" s="122"/>
      <c r="H223" s="91">
        <v>0</v>
      </c>
      <c r="I223" s="122"/>
      <c r="J223" s="132">
        <v>0</v>
      </c>
      <c r="K223" s="372"/>
      <c r="L223" s="359"/>
      <c r="M223" s="360"/>
      <c r="N223" s="361"/>
      <c r="O223" s="391"/>
      <c r="P223" s="122"/>
      <c r="Q223" s="153">
        <f t="shared" si="7"/>
        <v>0</v>
      </c>
      <c r="R223" s="153"/>
      <c r="S223" s="159">
        <f t="shared" si="8"/>
        <v>0</v>
      </c>
    </row>
    <row r="224" spans="1:19" ht="32.25" customHeight="1" thickBot="1">
      <c r="A224" s="39"/>
      <c r="B224" s="50" t="s">
        <v>19</v>
      </c>
      <c r="C224" s="50"/>
      <c r="D224" s="51">
        <v>9615.59</v>
      </c>
      <c r="E224" s="52"/>
      <c r="F224" s="53"/>
      <c r="G224" s="52"/>
      <c r="H224" s="51"/>
      <c r="I224" s="51"/>
      <c r="J224" s="51"/>
      <c r="K224" s="54"/>
      <c r="L224" s="55"/>
      <c r="M224" s="56">
        <f>SUM(M180:M223)</f>
        <v>9081</v>
      </c>
      <c r="N224" s="57"/>
      <c r="O224" s="53"/>
      <c r="P224" s="51"/>
      <c r="Q224" s="51">
        <f>SUM(Q185)</f>
        <v>259</v>
      </c>
      <c r="R224" s="51">
        <f t="shared" ref="R224:S224" si="9">SUM(R185)</f>
        <v>0</v>
      </c>
      <c r="S224" s="51">
        <f t="shared" si="9"/>
        <v>259</v>
      </c>
    </row>
    <row r="225" spans="1:19" ht="32.25" customHeight="1" thickTop="1">
      <c r="A225" s="39"/>
      <c r="B225" s="58" t="s">
        <v>269</v>
      </c>
      <c r="C225" s="59"/>
      <c r="D225" s="60"/>
      <c r="E225" s="61"/>
      <c r="F225" s="62"/>
      <c r="G225" s="63"/>
      <c r="H225" s="64"/>
      <c r="I225" s="64"/>
      <c r="J225" s="64"/>
      <c r="K225" s="65"/>
      <c r="L225" s="66"/>
      <c r="M225" s="67"/>
      <c r="N225" s="68"/>
      <c r="O225" s="62"/>
      <c r="P225" s="69"/>
      <c r="Q225" s="63"/>
      <c r="R225" s="63"/>
      <c r="S225" s="70"/>
    </row>
    <row r="226" spans="1:19" ht="32.25" customHeight="1">
      <c r="A226" s="39">
        <v>1</v>
      </c>
      <c r="B226" s="142" t="s">
        <v>99</v>
      </c>
      <c r="C226" s="392" t="s">
        <v>270</v>
      </c>
      <c r="D226" s="125">
        <v>0</v>
      </c>
      <c r="E226" s="131"/>
      <c r="F226" s="115"/>
      <c r="G226" s="131"/>
      <c r="H226" s="125">
        <v>0</v>
      </c>
      <c r="I226" s="125"/>
      <c r="J226" s="125">
        <v>0</v>
      </c>
      <c r="K226" s="34"/>
      <c r="L226" s="35"/>
      <c r="M226" s="36"/>
      <c r="N226" s="114"/>
      <c r="O226" s="115"/>
      <c r="P226" s="144"/>
      <c r="Q226" s="131">
        <v>0</v>
      </c>
      <c r="R226" s="33"/>
      <c r="S226" s="77">
        <v>0</v>
      </c>
    </row>
    <row r="227" spans="1:19" ht="32.25" customHeight="1">
      <c r="A227" s="106">
        <v>2</v>
      </c>
      <c r="B227" s="142" t="s">
        <v>99</v>
      </c>
      <c r="C227" s="392" t="s">
        <v>271</v>
      </c>
      <c r="D227" s="125">
        <v>0</v>
      </c>
      <c r="E227" s="131"/>
      <c r="F227" s="115"/>
      <c r="G227" s="131"/>
      <c r="H227" s="125">
        <v>0</v>
      </c>
      <c r="I227" s="125"/>
      <c r="J227" s="125">
        <v>0</v>
      </c>
      <c r="K227" s="34"/>
      <c r="L227" s="35"/>
      <c r="M227" s="36"/>
      <c r="N227" s="114"/>
      <c r="O227" s="115"/>
      <c r="P227" s="144"/>
      <c r="Q227" s="131">
        <v>0</v>
      </c>
      <c r="R227" s="33"/>
      <c r="S227" s="77">
        <v>0</v>
      </c>
    </row>
    <row r="228" spans="1:19" ht="32.25" customHeight="1">
      <c r="A228" s="106">
        <v>3</v>
      </c>
      <c r="B228" s="142" t="s">
        <v>99</v>
      </c>
      <c r="C228" s="392" t="s">
        <v>272</v>
      </c>
      <c r="D228" s="125">
        <v>0</v>
      </c>
      <c r="E228" s="131"/>
      <c r="F228" s="115"/>
      <c r="G228" s="131"/>
      <c r="H228" s="125">
        <v>0</v>
      </c>
      <c r="I228" s="125"/>
      <c r="J228" s="125">
        <v>0</v>
      </c>
      <c r="K228" s="34"/>
      <c r="L228" s="35"/>
      <c r="M228" s="36"/>
      <c r="N228" s="114"/>
      <c r="O228" s="115"/>
      <c r="P228" s="144"/>
      <c r="Q228" s="131">
        <v>0</v>
      </c>
      <c r="R228" s="33"/>
      <c r="S228" s="77">
        <v>0</v>
      </c>
    </row>
    <row r="229" spans="1:19" ht="32.25" customHeight="1">
      <c r="A229" s="106">
        <v>4</v>
      </c>
      <c r="B229" s="142" t="s">
        <v>273</v>
      </c>
      <c r="C229" s="392" t="s">
        <v>274</v>
      </c>
      <c r="D229" s="125">
        <v>0</v>
      </c>
      <c r="E229" s="131"/>
      <c r="F229" s="115"/>
      <c r="G229" s="131"/>
      <c r="H229" s="125">
        <v>0</v>
      </c>
      <c r="I229" s="125"/>
      <c r="J229" s="125">
        <v>0</v>
      </c>
      <c r="K229" s="34"/>
      <c r="L229" s="35"/>
      <c r="M229" s="36"/>
      <c r="N229" s="114"/>
      <c r="O229" s="115"/>
      <c r="P229" s="144"/>
      <c r="Q229" s="131">
        <v>0</v>
      </c>
      <c r="R229" s="33"/>
      <c r="S229" s="77">
        <v>0</v>
      </c>
    </row>
    <row r="230" spans="1:19" ht="32.25" customHeight="1">
      <c r="A230" s="106">
        <v>5</v>
      </c>
      <c r="B230" s="142" t="s">
        <v>273</v>
      </c>
      <c r="C230" s="392" t="s">
        <v>275</v>
      </c>
      <c r="D230" s="125">
        <v>0</v>
      </c>
      <c r="E230" s="131"/>
      <c r="F230" s="115"/>
      <c r="G230" s="131"/>
      <c r="H230" s="125">
        <v>0</v>
      </c>
      <c r="I230" s="125"/>
      <c r="J230" s="125">
        <v>0</v>
      </c>
      <c r="K230" s="34"/>
      <c r="L230" s="35"/>
      <c r="M230" s="36"/>
      <c r="N230" s="114"/>
      <c r="O230" s="115"/>
      <c r="P230" s="144"/>
      <c r="Q230" s="131">
        <v>0</v>
      </c>
      <c r="R230" s="33"/>
      <c r="S230" s="77">
        <v>0</v>
      </c>
    </row>
    <row r="231" spans="1:19" ht="32.25" customHeight="1">
      <c r="A231" s="106">
        <v>6</v>
      </c>
      <c r="B231" s="142" t="s">
        <v>276</v>
      </c>
      <c r="C231" s="392" t="s">
        <v>277</v>
      </c>
      <c r="D231" s="125">
        <v>0</v>
      </c>
      <c r="E231" s="131"/>
      <c r="F231" s="115"/>
      <c r="G231" s="131"/>
      <c r="H231" s="125">
        <v>0</v>
      </c>
      <c r="I231" s="125"/>
      <c r="J231" s="125">
        <v>0</v>
      </c>
      <c r="K231" s="34"/>
      <c r="L231" s="35"/>
      <c r="M231" s="36"/>
      <c r="N231" s="114"/>
      <c r="O231" s="115"/>
      <c r="P231" s="144"/>
      <c r="Q231" s="131">
        <v>0</v>
      </c>
      <c r="R231" s="33"/>
      <c r="S231" s="77">
        <v>0</v>
      </c>
    </row>
    <row r="232" spans="1:19" ht="32.25" customHeight="1">
      <c r="A232" s="106">
        <v>7</v>
      </c>
      <c r="B232" s="142" t="s">
        <v>27</v>
      </c>
      <c r="C232" s="392" t="s">
        <v>278</v>
      </c>
      <c r="D232" s="125">
        <v>0</v>
      </c>
      <c r="E232" s="131"/>
      <c r="F232" s="115"/>
      <c r="G232" s="131"/>
      <c r="H232" s="125">
        <v>0</v>
      </c>
      <c r="I232" s="125"/>
      <c r="J232" s="125">
        <v>0</v>
      </c>
      <c r="K232" s="34"/>
      <c r="L232" s="35"/>
      <c r="M232" s="36"/>
      <c r="N232" s="114"/>
      <c r="O232" s="115"/>
      <c r="P232" s="144"/>
      <c r="Q232" s="131">
        <v>0</v>
      </c>
      <c r="R232" s="33"/>
      <c r="S232" s="77">
        <v>0</v>
      </c>
    </row>
    <row r="233" spans="1:19" ht="32.25" customHeight="1">
      <c r="A233" s="106">
        <v>8</v>
      </c>
      <c r="B233" s="142" t="s">
        <v>42</v>
      </c>
      <c r="C233" s="392" t="s">
        <v>279</v>
      </c>
      <c r="D233" s="125">
        <v>0</v>
      </c>
      <c r="E233" s="131"/>
      <c r="F233" s="115"/>
      <c r="G233" s="131"/>
      <c r="H233" s="125">
        <v>0</v>
      </c>
      <c r="I233" s="125"/>
      <c r="J233" s="125">
        <v>0</v>
      </c>
      <c r="K233" s="343"/>
      <c r="L233" s="307"/>
      <c r="M233" s="308"/>
      <c r="N233" s="114"/>
      <c r="O233" s="115"/>
      <c r="P233" s="144"/>
      <c r="Q233" s="131">
        <v>0</v>
      </c>
      <c r="R233" s="33"/>
      <c r="S233" s="77">
        <v>0</v>
      </c>
    </row>
    <row r="234" spans="1:19" ht="32.25" customHeight="1">
      <c r="A234" s="106">
        <v>9</v>
      </c>
      <c r="B234" s="142" t="s">
        <v>69</v>
      </c>
      <c r="C234" s="392" t="s">
        <v>280</v>
      </c>
      <c r="D234" s="125">
        <v>0</v>
      </c>
      <c r="E234" s="131"/>
      <c r="F234" s="115"/>
      <c r="G234" s="131"/>
      <c r="H234" s="125">
        <v>0</v>
      </c>
      <c r="I234" s="125"/>
      <c r="J234" s="125">
        <v>0</v>
      </c>
      <c r="K234" s="343"/>
      <c r="L234" s="307"/>
      <c r="M234" s="308"/>
      <c r="N234" s="114"/>
      <c r="O234" s="115"/>
      <c r="P234" s="144"/>
      <c r="Q234" s="131">
        <v>0</v>
      </c>
      <c r="R234" s="33"/>
      <c r="S234" s="77">
        <v>0</v>
      </c>
    </row>
    <row r="235" spans="1:19" ht="32.25" customHeight="1">
      <c r="A235" s="106">
        <v>10</v>
      </c>
      <c r="B235" s="142" t="s">
        <v>75</v>
      </c>
      <c r="C235" s="392" t="s">
        <v>281</v>
      </c>
      <c r="D235" s="125">
        <v>0</v>
      </c>
      <c r="E235" s="131"/>
      <c r="F235" s="115"/>
      <c r="G235" s="131"/>
      <c r="H235" s="125">
        <v>0</v>
      </c>
      <c r="I235" s="125"/>
      <c r="J235" s="125">
        <v>0</v>
      </c>
      <c r="K235" s="34"/>
      <c r="L235" s="35"/>
      <c r="M235" s="36"/>
      <c r="N235" s="114"/>
      <c r="O235" s="115"/>
      <c r="P235" s="144"/>
      <c r="Q235" s="131">
        <v>0</v>
      </c>
      <c r="R235" s="33"/>
      <c r="S235" s="77">
        <v>0</v>
      </c>
    </row>
    <row r="236" spans="1:19" ht="32.25" customHeight="1">
      <c r="A236" s="106">
        <v>11</v>
      </c>
      <c r="B236" s="142" t="s">
        <v>77</v>
      </c>
      <c r="C236" s="392" t="s">
        <v>282</v>
      </c>
      <c r="D236" s="125">
        <v>0</v>
      </c>
      <c r="E236" s="131"/>
      <c r="F236" s="115"/>
      <c r="G236" s="131"/>
      <c r="H236" s="125">
        <v>0</v>
      </c>
      <c r="I236" s="125"/>
      <c r="J236" s="125">
        <v>0</v>
      </c>
      <c r="K236" s="34"/>
      <c r="L236" s="35"/>
      <c r="M236" s="36"/>
      <c r="N236" s="114"/>
      <c r="O236" s="115"/>
      <c r="P236" s="144"/>
      <c r="Q236" s="131">
        <v>0</v>
      </c>
      <c r="R236" s="33"/>
      <c r="S236" s="77">
        <v>0</v>
      </c>
    </row>
    <row r="237" spans="1:19" ht="32.25" customHeight="1">
      <c r="A237" s="106">
        <v>12</v>
      </c>
      <c r="B237" s="142" t="s">
        <v>77</v>
      </c>
      <c r="C237" s="392" t="s">
        <v>283</v>
      </c>
      <c r="D237" s="125">
        <v>0</v>
      </c>
      <c r="E237" s="131"/>
      <c r="F237" s="115"/>
      <c r="G237" s="131"/>
      <c r="H237" s="125">
        <v>0</v>
      </c>
      <c r="I237" s="125"/>
      <c r="J237" s="125">
        <v>0</v>
      </c>
      <c r="K237" s="34"/>
      <c r="L237" s="35"/>
      <c r="M237" s="36"/>
      <c r="N237" s="114"/>
      <c r="O237" s="115"/>
      <c r="P237" s="144"/>
      <c r="Q237" s="131">
        <v>0</v>
      </c>
      <c r="R237" s="33"/>
      <c r="S237" s="77">
        <v>0</v>
      </c>
    </row>
    <row r="238" spans="1:19" ht="32.25" customHeight="1">
      <c r="A238" s="106">
        <v>13</v>
      </c>
      <c r="B238" s="142" t="s">
        <v>75</v>
      </c>
      <c r="C238" s="392" t="s">
        <v>284</v>
      </c>
      <c r="D238" s="125">
        <v>0</v>
      </c>
      <c r="E238" s="131"/>
      <c r="F238" s="115"/>
      <c r="G238" s="131"/>
      <c r="H238" s="125">
        <v>0</v>
      </c>
      <c r="I238" s="125"/>
      <c r="J238" s="125">
        <v>0</v>
      </c>
      <c r="K238" s="34"/>
      <c r="L238" s="35"/>
      <c r="M238" s="36"/>
      <c r="N238" s="114"/>
      <c r="O238" s="115"/>
      <c r="P238" s="144"/>
      <c r="Q238" s="131">
        <v>0</v>
      </c>
      <c r="R238" s="33"/>
      <c r="S238" s="77">
        <v>0</v>
      </c>
    </row>
    <row r="239" spans="1:19" ht="32.25" customHeight="1">
      <c r="A239" s="106">
        <v>14</v>
      </c>
      <c r="B239" s="142" t="s">
        <v>83</v>
      </c>
      <c r="C239" s="392" t="s">
        <v>285</v>
      </c>
      <c r="D239" s="125">
        <v>0</v>
      </c>
      <c r="E239" s="131"/>
      <c r="F239" s="115"/>
      <c r="G239" s="131"/>
      <c r="H239" s="125">
        <v>0</v>
      </c>
      <c r="I239" s="125"/>
      <c r="J239" s="125">
        <v>0</v>
      </c>
      <c r="K239" s="34"/>
      <c r="L239" s="35"/>
      <c r="M239" s="36"/>
      <c r="N239" s="114"/>
      <c r="O239" s="115"/>
      <c r="P239" s="144"/>
      <c r="Q239" s="131">
        <v>0</v>
      </c>
      <c r="R239" s="33"/>
      <c r="S239" s="77">
        <v>0</v>
      </c>
    </row>
    <row r="240" spans="1:19" ht="32.25" customHeight="1">
      <c r="A240" s="106">
        <v>15</v>
      </c>
      <c r="B240" s="142" t="s">
        <v>87</v>
      </c>
      <c r="C240" s="392" t="s">
        <v>286</v>
      </c>
      <c r="D240" s="125">
        <v>0</v>
      </c>
      <c r="E240" s="131"/>
      <c r="F240" s="115"/>
      <c r="G240" s="131"/>
      <c r="H240" s="125">
        <v>0</v>
      </c>
      <c r="I240" s="125"/>
      <c r="J240" s="125">
        <v>0</v>
      </c>
      <c r="K240" s="343"/>
      <c r="L240" s="307"/>
      <c r="M240" s="308"/>
      <c r="N240" s="114"/>
      <c r="O240" s="115"/>
      <c r="P240" s="144"/>
      <c r="Q240" s="131">
        <v>0</v>
      </c>
      <c r="R240" s="33"/>
      <c r="S240" s="77">
        <v>0</v>
      </c>
    </row>
    <row r="241" spans="1:19" ht="32.25" customHeight="1">
      <c r="A241" s="106">
        <v>16</v>
      </c>
      <c r="B241" s="142" t="s">
        <v>75</v>
      </c>
      <c r="C241" s="392" t="s">
        <v>287</v>
      </c>
      <c r="D241" s="125">
        <v>0</v>
      </c>
      <c r="E241" s="131"/>
      <c r="F241" s="115"/>
      <c r="G241" s="131"/>
      <c r="H241" s="125">
        <v>0</v>
      </c>
      <c r="I241" s="125"/>
      <c r="J241" s="125">
        <v>0</v>
      </c>
      <c r="K241" s="34"/>
      <c r="L241" s="35"/>
      <c r="M241" s="36"/>
      <c r="N241" s="114"/>
      <c r="O241" s="115"/>
      <c r="P241" s="144"/>
      <c r="Q241" s="131">
        <v>0</v>
      </c>
      <c r="R241" s="33"/>
      <c r="S241" s="77">
        <v>0</v>
      </c>
    </row>
    <row r="242" spans="1:19" ht="32.25" customHeight="1">
      <c r="A242" s="106">
        <v>17</v>
      </c>
      <c r="B242" s="142" t="s">
        <v>92</v>
      </c>
      <c r="C242" s="392" t="s">
        <v>288</v>
      </c>
      <c r="D242" s="125">
        <v>0</v>
      </c>
      <c r="E242" s="131"/>
      <c r="F242" s="115"/>
      <c r="G242" s="131"/>
      <c r="H242" s="125">
        <v>0</v>
      </c>
      <c r="I242" s="125"/>
      <c r="J242" s="125">
        <v>0</v>
      </c>
      <c r="K242" s="34"/>
      <c r="L242" s="35"/>
      <c r="M242" s="36"/>
      <c r="N242" s="114"/>
      <c r="O242" s="115"/>
      <c r="P242" s="144"/>
      <c r="Q242" s="131">
        <v>0</v>
      </c>
      <c r="R242" s="33"/>
      <c r="S242" s="77">
        <v>0</v>
      </c>
    </row>
    <row r="243" spans="1:19" ht="32.25" customHeight="1">
      <c r="A243" s="106">
        <v>18</v>
      </c>
      <c r="B243" s="142" t="s">
        <v>75</v>
      </c>
      <c r="C243" s="392" t="s">
        <v>289</v>
      </c>
      <c r="D243" s="125">
        <v>0</v>
      </c>
      <c r="E243" s="131"/>
      <c r="F243" s="115"/>
      <c r="G243" s="131"/>
      <c r="H243" s="125">
        <v>0</v>
      </c>
      <c r="I243" s="125"/>
      <c r="J243" s="125">
        <v>0</v>
      </c>
      <c r="K243" s="34"/>
      <c r="L243" s="35"/>
      <c r="M243" s="36"/>
      <c r="N243" s="114"/>
      <c r="O243" s="115"/>
      <c r="P243" s="144"/>
      <c r="Q243" s="131">
        <v>0</v>
      </c>
      <c r="R243" s="33"/>
      <c r="S243" s="77">
        <v>0</v>
      </c>
    </row>
    <row r="244" spans="1:19" ht="32.25" customHeight="1">
      <c r="A244" s="106">
        <v>19</v>
      </c>
      <c r="B244" s="142" t="s">
        <v>95</v>
      </c>
      <c r="C244" s="392" t="s">
        <v>290</v>
      </c>
      <c r="D244" s="125">
        <v>0</v>
      </c>
      <c r="E244" s="131"/>
      <c r="F244" s="115"/>
      <c r="G244" s="131"/>
      <c r="H244" s="125">
        <v>0</v>
      </c>
      <c r="I244" s="125"/>
      <c r="J244" s="125">
        <v>0</v>
      </c>
      <c r="K244" s="343"/>
      <c r="L244" s="307"/>
      <c r="M244" s="308"/>
      <c r="N244" s="114"/>
      <c r="O244" s="115"/>
      <c r="P244" s="144"/>
      <c r="Q244" s="131">
        <v>0</v>
      </c>
      <c r="R244" s="33"/>
      <c r="S244" s="77">
        <v>0</v>
      </c>
    </row>
    <row r="245" spans="1:19" ht="32.25" customHeight="1">
      <c r="A245" s="106">
        <v>20</v>
      </c>
      <c r="B245" s="142" t="s">
        <v>236</v>
      </c>
      <c r="C245" s="392" t="s">
        <v>291</v>
      </c>
      <c r="D245" s="125">
        <v>0</v>
      </c>
      <c r="E245" s="131"/>
      <c r="F245" s="115"/>
      <c r="G245" s="131"/>
      <c r="H245" s="125">
        <v>0</v>
      </c>
      <c r="I245" s="125"/>
      <c r="J245" s="125">
        <v>0</v>
      </c>
      <c r="K245" s="343"/>
      <c r="L245" s="307"/>
      <c r="M245" s="308"/>
      <c r="N245" s="114"/>
      <c r="O245" s="115"/>
      <c r="P245" s="144"/>
      <c r="Q245" s="131">
        <v>0</v>
      </c>
      <c r="R245" s="33"/>
      <c r="S245" s="77">
        <v>0</v>
      </c>
    </row>
    <row r="246" spans="1:19" ht="32.25" customHeight="1" thickBot="1">
      <c r="A246" s="39"/>
      <c r="B246" s="50" t="s">
        <v>19</v>
      </c>
      <c r="C246" s="50"/>
      <c r="D246" s="51">
        <v>0</v>
      </c>
      <c r="E246" s="52"/>
      <c r="F246" s="53"/>
      <c r="G246" s="52"/>
      <c r="H246" s="51">
        <v>0</v>
      </c>
      <c r="I246" s="51">
        <v>0</v>
      </c>
      <c r="J246" s="51">
        <v>0</v>
      </c>
      <c r="K246" s="54"/>
      <c r="L246" s="55"/>
      <c r="M246" s="56">
        <v>0</v>
      </c>
      <c r="N246" s="57"/>
      <c r="O246" s="53"/>
      <c r="P246" s="51"/>
      <c r="Q246" s="51">
        <v>0</v>
      </c>
      <c r="R246" s="51">
        <v>0</v>
      </c>
      <c r="S246" s="51">
        <v>0</v>
      </c>
    </row>
    <row r="247" spans="1:19" ht="32.25" customHeight="1" thickTop="1">
      <c r="A247" s="39"/>
      <c r="B247" s="141" t="s">
        <v>292</v>
      </c>
      <c r="C247" s="142"/>
      <c r="D247" s="125"/>
      <c r="E247" s="131"/>
      <c r="F247" s="115"/>
      <c r="G247" s="33"/>
      <c r="H247" s="143"/>
      <c r="I247" s="143"/>
      <c r="J247" s="143"/>
      <c r="K247" s="34"/>
      <c r="L247" s="35"/>
      <c r="M247" s="36"/>
      <c r="N247" s="114"/>
      <c r="O247" s="115"/>
      <c r="P247" s="144"/>
      <c r="Q247" s="33"/>
      <c r="R247" s="33"/>
      <c r="S247" s="145"/>
    </row>
    <row r="248" spans="1:19" ht="32.25" customHeight="1">
      <c r="A248" s="39">
        <v>1</v>
      </c>
      <c r="B248" s="41" t="s">
        <v>152</v>
      </c>
      <c r="C248" s="41" t="s">
        <v>293</v>
      </c>
      <c r="D248" s="42"/>
      <c r="E248" s="6"/>
      <c r="F248" s="43"/>
      <c r="G248" s="6"/>
      <c r="H248" s="42"/>
      <c r="I248" s="42"/>
      <c r="J248" s="42"/>
      <c r="K248" s="44"/>
      <c r="L248" s="45"/>
      <c r="M248" s="46"/>
      <c r="N248" s="5"/>
      <c r="O248" s="43"/>
      <c r="P248" s="47"/>
      <c r="Q248" s="48"/>
      <c r="R248" s="48"/>
      <c r="S248" s="49"/>
    </row>
    <row r="249" spans="1:19" ht="32.25" customHeight="1">
      <c r="A249" s="39">
        <v>2</v>
      </c>
      <c r="B249" s="41" t="s">
        <v>294</v>
      </c>
      <c r="C249" s="41" t="s">
        <v>295</v>
      </c>
      <c r="D249" s="42" t="s">
        <v>296</v>
      </c>
      <c r="E249" s="6"/>
      <c r="F249" s="43"/>
      <c r="G249" s="6"/>
      <c r="H249" s="42"/>
      <c r="I249" s="42"/>
      <c r="J249" s="42"/>
      <c r="K249" s="393"/>
      <c r="L249" s="394"/>
      <c r="M249" s="395"/>
      <c r="N249" s="5"/>
      <c r="O249" s="43"/>
      <c r="P249" s="47"/>
      <c r="Q249" s="48"/>
      <c r="R249" s="48"/>
      <c r="S249" s="49"/>
    </row>
    <row r="250" spans="1:19" ht="32.25" customHeight="1">
      <c r="A250" s="39"/>
      <c r="B250" s="40" t="s">
        <v>297</v>
      </c>
      <c r="C250" s="41"/>
      <c r="D250" s="42"/>
      <c r="E250" s="6"/>
      <c r="F250" s="43"/>
      <c r="G250" s="6"/>
      <c r="H250" s="42"/>
      <c r="I250" s="42"/>
      <c r="J250" s="42"/>
      <c r="K250" s="284"/>
      <c r="L250" s="285"/>
      <c r="M250" s="286"/>
      <c r="N250" s="5"/>
      <c r="O250" s="43"/>
      <c r="P250" s="47"/>
      <c r="Q250" s="48"/>
      <c r="R250" s="48"/>
      <c r="S250" s="49"/>
    </row>
    <row r="251" spans="1:19" ht="32.25" customHeight="1">
      <c r="A251" s="39"/>
      <c r="B251" s="40" t="s">
        <v>298</v>
      </c>
      <c r="C251" s="41"/>
      <c r="D251" s="42"/>
      <c r="E251" s="6"/>
      <c r="F251" s="43"/>
      <c r="G251" s="6"/>
      <c r="H251" s="42"/>
      <c r="I251" s="42"/>
      <c r="J251" s="42"/>
      <c r="K251" s="284"/>
      <c r="L251" s="285"/>
      <c r="M251" s="286"/>
      <c r="N251" s="5"/>
      <c r="O251" s="43"/>
      <c r="P251" s="47"/>
      <c r="Q251" s="48"/>
      <c r="R251" s="48"/>
      <c r="S251" s="49"/>
    </row>
    <row r="252" spans="1:19" ht="32.25" customHeight="1">
      <c r="A252" s="39">
        <v>3</v>
      </c>
      <c r="B252" s="40" t="s">
        <v>130</v>
      </c>
      <c r="C252" s="41" t="s">
        <v>299</v>
      </c>
      <c r="D252" s="42"/>
      <c r="E252" s="6"/>
      <c r="F252" s="43"/>
      <c r="G252" s="6"/>
      <c r="H252" s="42"/>
      <c r="I252" s="42"/>
      <c r="J252" s="42"/>
      <c r="K252" s="284"/>
      <c r="L252" s="285"/>
      <c r="M252" s="286"/>
      <c r="N252" s="5"/>
      <c r="O252" s="43"/>
      <c r="P252" s="47"/>
      <c r="Q252" s="48"/>
      <c r="R252" s="48"/>
      <c r="S252" s="49"/>
    </row>
    <row r="253" spans="1:19" ht="32.25" customHeight="1">
      <c r="A253" s="39">
        <v>4</v>
      </c>
      <c r="B253" s="40" t="s">
        <v>276</v>
      </c>
      <c r="C253" s="41" t="s">
        <v>302</v>
      </c>
      <c r="D253" s="42"/>
      <c r="E253" s="6"/>
      <c r="F253" s="43"/>
      <c r="G253" s="6"/>
      <c r="H253" s="42"/>
      <c r="I253" s="42"/>
      <c r="J253" s="42"/>
      <c r="K253" s="284"/>
      <c r="L253" s="285"/>
      <c r="M253" s="286"/>
      <c r="N253" s="5"/>
      <c r="O253" s="43"/>
      <c r="P253" s="47"/>
      <c r="Q253" s="48"/>
      <c r="R253" s="48"/>
      <c r="S253" s="49"/>
    </row>
    <row r="254" spans="1:19" ht="32.25" customHeight="1">
      <c r="A254" s="39">
        <v>5</v>
      </c>
      <c r="B254" s="40" t="s">
        <v>192</v>
      </c>
      <c r="C254" s="41" t="s">
        <v>306</v>
      </c>
      <c r="D254" s="42"/>
      <c r="E254" s="6"/>
      <c r="F254" s="43"/>
      <c r="G254" s="6"/>
      <c r="H254" s="42"/>
      <c r="I254" s="42"/>
      <c r="J254" s="42"/>
      <c r="K254" s="284"/>
      <c r="L254" s="285"/>
      <c r="M254" s="286"/>
      <c r="N254" s="5"/>
      <c r="O254" s="43"/>
      <c r="P254" s="47"/>
      <c r="Q254" s="48"/>
      <c r="R254" s="48"/>
      <c r="S254" s="49"/>
    </row>
    <row r="255" spans="1:19" ht="32.25" customHeight="1">
      <c r="A255" s="39">
        <v>6</v>
      </c>
      <c r="B255" s="40" t="s">
        <v>387</v>
      </c>
      <c r="C255" s="41" t="s">
        <v>388</v>
      </c>
      <c r="D255" s="42">
        <v>0</v>
      </c>
      <c r="E255" s="6" t="s">
        <v>389</v>
      </c>
      <c r="F255" s="43">
        <v>1</v>
      </c>
      <c r="G255" s="6" t="s">
        <v>134</v>
      </c>
      <c r="H255" s="42">
        <v>3300</v>
      </c>
      <c r="I255" s="42">
        <v>0</v>
      </c>
      <c r="J255" s="42">
        <v>3300</v>
      </c>
      <c r="K255" s="284" t="s">
        <v>337</v>
      </c>
      <c r="L255" s="285" t="s">
        <v>390</v>
      </c>
      <c r="M255" s="286">
        <v>3300</v>
      </c>
      <c r="N255" s="5"/>
      <c r="O255" s="43"/>
      <c r="P255" s="47"/>
      <c r="Q255" s="48"/>
      <c r="R255" s="48"/>
      <c r="S255" s="49"/>
    </row>
    <row r="256" spans="1:19" ht="32.25" customHeight="1">
      <c r="A256" s="39"/>
      <c r="B256" s="40" t="s">
        <v>391</v>
      </c>
      <c r="C256" s="41"/>
      <c r="D256" s="42">
        <v>0</v>
      </c>
      <c r="E256" s="6"/>
      <c r="F256" s="43"/>
      <c r="G256" s="6"/>
      <c r="H256" s="42">
        <v>0</v>
      </c>
      <c r="I256" s="42">
        <v>0</v>
      </c>
      <c r="J256" s="42">
        <v>0</v>
      </c>
      <c r="K256" s="284"/>
      <c r="L256" s="285"/>
      <c r="M256" s="286"/>
      <c r="N256" s="5"/>
      <c r="O256" s="43"/>
      <c r="P256" s="47"/>
      <c r="Q256" s="48"/>
      <c r="R256" s="48"/>
      <c r="S256" s="49"/>
    </row>
    <row r="257" spans="1:19" ht="32.25" customHeight="1" thickBot="1">
      <c r="A257" s="39"/>
      <c r="B257" s="50" t="s">
        <v>19</v>
      </c>
      <c r="C257" s="50"/>
      <c r="D257" s="51">
        <v>0</v>
      </c>
      <c r="E257" s="52"/>
      <c r="F257" s="53"/>
      <c r="G257" s="52"/>
      <c r="H257" s="51">
        <f>SUM(H255:H256)</f>
        <v>3300</v>
      </c>
      <c r="I257" s="51">
        <v>0</v>
      </c>
      <c r="J257" s="51">
        <f>SUM(J248:J256)</f>
        <v>3300</v>
      </c>
      <c r="K257" s="54"/>
      <c r="L257" s="55"/>
      <c r="M257" s="56">
        <f>SUM(M255:M256)</f>
        <v>3300</v>
      </c>
      <c r="N257" s="57"/>
      <c r="O257" s="53"/>
      <c r="P257" s="51"/>
      <c r="Q257" s="51"/>
      <c r="R257" s="51"/>
      <c r="S257" s="51"/>
    </row>
    <row r="258" spans="1:19" ht="32.25" customHeight="1" thickTop="1" thickBot="1">
      <c r="A258" s="396"/>
      <c r="B258" s="397" t="s">
        <v>309</v>
      </c>
      <c r="C258" s="398"/>
      <c r="D258" s="399">
        <f>SUM(D9+D16+D21+D39+D42+D45+D48+D84+D113+D128+D143+D175+D178+D224+D246+D257)</f>
        <v>171232.21</v>
      </c>
      <c r="E258" s="399">
        <f t="shared" ref="E258:S258" si="10">SUM(E9+E16+E21+E39+E42+E45+E48+E84+E113+E128+E143+E175+E178+E224+E246+E257)</f>
        <v>0</v>
      </c>
      <c r="F258" s="399">
        <f t="shared" si="10"/>
        <v>0</v>
      </c>
      <c r="G258" s="399">
        <f t="shared" si="10"/>
        <v>0</v>
      </c>
      <c r="H258" s="399">
        <f t="shared" si="10"/>
        <v>52640</v>
      </c>
      <c r="I258" s="399">
        <f t="shared" si="10"/>
        <v>0</v>
      </c>
      <c r="J258" s="399">
        <f t="shared" si="10"/>
        <v>52640</v>
      </c>
      <c r="K258" s="399">
        <f t="shared" si="10"/>
        <v>0</v>
      </c>
      <c r="L258" s="399">
        <f t="shared" si="10"/>
        <v>0</v>
      </c>
      <c r="M258" s="399">
        <f t="shared" si="10"/>
        <v>201178.66</v>
      </c>
      <c r="N258" s="399">
        <f t="shared" si="10"/>
        <v>0</v>
      </c>
      <c r="O258" s="399">
        <f t="shared" si="10"/>
        <v>0</v>
      </c>
      <c r="P258" s="399">
        <f t="shared" si="10"/>
        <v>0</v>
      </c>
      <c r="Q258" s="399">
        <f t="shared" si="10"/>
        <v>10969.000000000004</v>
      </c>
      <c r="R258" s="399">
        <f t="shared" si="10"/>
        <v>540.39999999999952</v>
      </c>
      <c r="S258" s="399">
        <f t="shared" si="10"/>
        <v>11509.400000000003</v>
      </c>
    </row>
    <row r="259" spans="1:19" ht="17.399999999999999" thickTop="1">
      <c r="K259" s="404"/>
      <c r="L259" s="404"/>
      <c r="M259" s="2"/>
    </row>
    <row r="260" spans="1:19">
      <c r="K260" s="404"/>
      <c r="L260" s="404"/>
      <c r="M260" s="2"/>
    </row>
    <row r="261" spans="1:19">
      <c r="K261" s="404"/>
      <c r="L261" s="404"/>
      <c r="M261" s="2"/>
    </row>
    <row r="262" spans="1:19">
      <c r="K262" s="404"/>
      <c r="L262" s="404"/>
      <c r="M262" s="2"/>
    </row>
    <row r="263" spans="1:19">
      <c r="K263" s="404"/>
      <c r="L263" s="404"/>
      <c r="M263" s="2"/>
    </row>
    <row r="264" spans="1:19" s="406" customFormat="1" ht="32.25" customHeight="1">
      <c r="A264" s="2"/>
      <c r="B264" s="643"/>
      <c r="C264" s="642"/>
      <c r="D264" s="642"/>
      <c r="E264" s="1"/>
      <c r="F264" s="407"/>
      <c r="G264" s="1"/>
      <c r="H264" s="408"/>
      <c r="I264" s="409"/>
      <c r="J264" s="408"/>
      <c r="K264" s="410"/>
      <c r="L264" s="411"/>
      <c r="M264" s="666"/>
      <c r="N264" s="642"/>
      <c r="O264" s="642"/>
      <c r="P264" s="642"/>
      <c r="Q264" s="412"/>
      <c r="S264" s="2"/>
    </row>
    <row r="265" spans="1:19" s="406" customFormat="1" ht="32.25" customHeight="1">
      <c r="A265" s="2"/>
      <c r="B265" s="413"/>
      <c r="C265" s="667"/>
      <c r="D265" s="642"/>
      <c r="E265" s="1"/>
      <c r="F265" s="407"/>
      <c r="G265" s="1"/>
      <c r="H265" s="667"/>
      <c r="I265" s="642"/>
      <c r="J265" s="642"/>
      <c r="K265" s="642"/>
      <c r="L265" s="411"/>
      <c r="M265" s="668"/>
      <c r="N265" s="642"/>
      <c r="O265" s="642"/>
      <c r="P265" s="642"/>
      <c r="Q265" s="412"/>
      <c r="S265" s="2"/>
    </row>
    <row r="266" spans="1:19" s="406" customFormat="1" ht="32.25" customHeight="1">
      <c r="A266" s="2"/>
      <c r="B266" s="413"/>
      <c r="C266" s="662"/>
      <c r="D266" s="642"/>
      <c r="E266" s="1"/>
      <c r="F266" s="407"/>
      <c r="G266" s="1"/>
      <c r="H266" s="663"/>
      <c r="I266" s="642"/>
      <c r="J266" s="642"/>
      <c r="K266" s="410"/>
      <c r="L266" s="641"/>
      <c r="M266" s="642"/>
      <c r="N266" s="642"/>
      <c r="O266" s="642"/>
      <c r="P266" s="642"/>
      <c r="Q266" s="642"/>
      <c r="S266" s="2"/>
    </row>
  </sheetData>
  <mergeCells count="28">
    <mergeCell ref="B83:D83"/>
    <mergeCell ref="A1:S1"/>
    <mergeCell ref="A2:S2"/>
    <mergeCell ref="A3:S3"/>
    <mergeCell ref="B4:B6"/>
    <mergeCell ref="C4:C6"/>
    <mergeCell ref="E4:J4"/>
    <mergeCell ref="K4:M4"/>
    <mergeCell ref="N4:S4"/>
    <mergeCell ref="H5:J5"/>
    <mergeCell ref="Q5:S5"/>
    <mergeCell ref="B69:D69"/>
    <mergeCell ref="B71:D71"/>
    <mergeCell ref="B73:D73"/>
    <mergeCell ref="B75:D75"/>
    <mergeCell ref="B77:D77"/>
    <mergeCell ref="K96:M96"/>
    <mergeCell ref="B104:C104"/>
    <mergeCell ref="B205:C205"/>
    <mergeCell ref="B206:C206"/>
    <mergeCell ref="B264:D264"/>
    <mergeCell ref="M264:P264"/>
    <mergeCell ref="C265:D265"/>
    <mergeCell ref="H265:K265"/>
    <mergeCell ref="M265:P265"/>
    <mergeCell ref="C266:D266"/>
    <mergeCell ref="H266:J266"/>
    <mergeCell ref="L266:Q266"/>
  </mergeCells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54C4-6282-44F8-9EE8-4BFF6DDE221B}">
  <sheetPr>
    <tabColor rgb="FF92D050"/>
  </sheetPr>
  <dimension ref="A1:I95"/>
  <sheetViews>
    <sheetView zoomScale="70" zoomScaleNormal="70" workbookViewId="0">
      <pane ySplit="6" topLeftCell="A78" activePane="bottomLeft" state="frozen"/>
      <selection pane="bottomLeft" activeCell="B93" sqref="B93:C93"/>
    </sheetView>
  </sheetViews>
  <sheetFormatPr defaultColWidth="12.5546875" defaultRowHeight="27"/>
  <cols>
    <col min="1" max="1" width="5.6640625" style="2" customWidth="1"/>
    <col min="2" max="2" width="42.5546875" style="2" customWidth="1"/>
    <col min="3" max="3" width="31.44140625" style="2" customWidth="1"/>
    <col min="4" max="4" width="17.6640625" style="414" customWidth="1"/>
    <col min="5" max="5" width="25" style="414" customWidth="1"/>
    <col min="6" max="6" width="16.109375" style="192" customWidth="1"/>
    <col min="7" max="7" width="12.5546875" style="2"/>
    <col min="8" max="8" width="12.5546875" style="422"/>
    <col min="9" max="9" width="12.5546875" style="78"/>
    <col min="10" max="16384" width="12.5546875" style="2"/>
  </cols>
  <sheetData>
    <row r="1" spans="1:8" ht="22.5" customHeight="1">
      <c r="A1" s="643" t="s">
        <v>0</v>
      </c>
      <c r="B1" s="642"/>
      <c r="C1" s="642"/>
      <c r="D1" s="642"/>
      <c r="E1" s="642"/>
      <c r="F1" s="642"/>
    </row>
    <row r="2" spans="1:8" ht="27" customHeight="1">
      <c r="A2" s="643" t="s">
        <v>1</v>
      </c>
      <c r="B2" s="642"/>
      <c r="C2" s="642"/>
      <c r="D2" s="642"/>
      <c r="E2" s="642"/>
      <c r="F2" s="642"/>
    </row>
    <row r="3" spans="1:8" ht="22.5" customHeight="1">
      <c r="A3" s="644" t="s">
        <v>310</v>
      </c>
      <c r="B3" s="645"/>
      <c r="C3" s="645"/>
      <c r="D3" s="645"/>
      <c r="E3" s="645"/>
      <c r="F3" s="645"/>
    </row>
    <row r="4" spans="1:8" ht="34.5" customHeight="1">
      <c r="A4" s="3" t="s">
        <v>3</v>
      </c>
      <c r="B4" s="646" t="s">
        <v>4</v>
      </c>
      <c r="C4" s="646" t="s">
        <v>5</v>
      </c>
      <c r="D4" s="669" t="s">
        <v>8</v>
      </c>
      <c r="E4" s="670"/>
      <c r="F4" s="671"/>
    </row>
    <row r="5" spans="1:8" ht="24.75" customHeight="1">
      <c r="A5" s="5"/>
      <c r="B5" s="647"/>
      <c r="C5" s="647"/>
      <c r="D5" s="9" t="s">
        <v>14</v>
      </c>
      <c r="E5" s="10" t="s">
        <v>15</v>
      </c>
      <c r="F5" s="11" t="s">
        <v>16</v>
      </c>
    </row>
    <row r="6" spans="1:8" ht="27.75" customHeight="1" thickBot="1">
      <c r="A6" s="14"/>
      <c r="B6" s="648"/>
      <c r="C6" s="648"/>
      <c r="D6" s="21"/>
      <c r="E6" s="22"/>
      <c r="F6" s="23"/>
    </row>
    <row r="7" spans="1:8" ht="32.25" customHeight="1" thickTop="1">
      <c r="A7" s="39"/>
      <c r="B7" s="58" t="s">
        <v>22</v>
      </c>
      <c r="C7" s="59"/>
      <c r="D7" s="65"/>
      <c r="E7" s="66"/>
      <c r="F7" s="67"/>
    </row>
    <row r="8" spans="1:8" s="78" customFormat="1" ht="32.25" customHeight="1">
      <c r="A8" s="39">
        <v>1</v>
      </c>
      <c r="B8" s="71" t="s">
        <v>23</v>
      </c>
      <c r="C8" s="71" t="s">
        <v>24</v>
      </c>
      <c r="D8" s="74" t="s">
        <v>311</v>
      </c>
      <c r="E8" s="75" t="s">
        <v>312</v>
      </c>
      <c r="F8" s="76">
        <v>1926</v>
      </c>
      <c r="H8" s="422"/>
    </row>
    <row r="9" spans="1:8" s="78" customFormat="1" ht="32.25" customHeight="1">
      <c r="A9" s="39">
        <v>2</v>
      </c>
      <c r="B9" s="71" t="s">
        <v>27</v>
      </c>
      <c r="C9" s="71" t="s">
        <v>24</v>
      </c>
      <c r="D9" s="74" t="s">
        <v>311</v>
      </c>
      <c r="E9" s="75" t="s">
        <v>313</v>
      </c>
      <c r="F9" s="76">
        <v>436.56</v>
      </c>
      <c r="H9" s="422"/>
    </row>
    <row r="10" spans="1:8" s="78" customFormat="1" ht="32.25" customHeight="1">
      <c r="A10" s="39">
        <v>3</v>
      </c>
      <c r="B10" s="71" t="s">
        <v>30</v>
      </c>
      <c r="C10" s="71" t="s">
        <v>24</v>
      </c>
      <c r="D10" s="74" t="s">
        <v>314</v>
      </c>
      <c r="E10" s="75" t="s">
        <v>315</v>
      </c>
      <c r="F10" s="76">
        <v>64.2</v>
      </c>
      <c r="H10" s="422"/>
    </row>
    <row r="11" spans="1:8" ht="32.25" customHeight="1" thickBot="1">
      <c r="A11" s="39"/>
      <c r="B11" s="50" t="s">
        <v>19</v>
      </c>
      <c r="C11" s="50"/>
      <c r="D11" s="83"/>
      <c r="E11" s="84"/>
      <c r="F11" s="56">
        <v>2426.7599999999998</v>
      </c>
      <c r="H11" s="423">
        <f>SUM(F8:F10)</f>
        <v>2426.7599999999998</v>
      </c>
    </row>
    <row r="12" spans="1:8" ht="32.25" customHeight="1" thickTop="1">
      <c r="A12" s="39"/>
      <c r="B12" s="58" t="s">
        <v>32</v>
      </c>
      <c r="C12" s="59"/>
      <c r="D12" s="65"/>
      <c r="E12" s="66"/>
      <c r="F12" s="67"/>
    </row>
    <row r="13" spans="1:8" s="78" customFormat="1" ht="32.25" customHeight="1">
      <c r="A13" s="39">
        <v>1</v>
      </c>
      <c r="B13" s="71" t="s">
        <v>23</v>
      </c>
      <c r="C13" s="71" t="s">
        <v>33</v>
      </c>
      <c r="D13" s="74" t="s">
        <v>311</v>
      </c>
      <c r="E13" s="90" t="s">
        <v>316</v>
      </c>
      <c r="F13" s="76">
        <v>720</v>
      </c>
      <c r="H13" s="422"/>
    </row>
    <row r="14" spans="1:8" s="78" customFormat="1" ht="32.25" customHeight="1">
      <c r="A14" s="39">
        <v>2</v>
      </c>
      <c r="B14" s="71" t="s">
        <v>27</v>
      </c>
      <c r="C14" s="71" t="s">
        <v>33</v>
      </c>
      <c r="D14" s="74" t="s">
        <v>311</v>
      </c>
      <c r="E14" s="94" t="s">
        <v>317</v>
      </c>
      <c r="F14" s="76">
        <v>180</v>
      </c>
      <c r="H14" s="422"/>
    </row>
    <row r="15" spans="1:8" ht="32.25" customHeight="1" thickBot="1">
      <c r="A15" s="39"/>
      <c r="B15" s="50" t="s">
        <v>19</v>
      </c>
      <c r="C15" s="50"/>
      <c r="D15" s="101"/>
      <c r="E15" s="102"/>
      <c r="F15" s="103">
        <v>900</v>
      </c>
      <c r="H15" s="423">
        <f>SUM(F13:F14)</f>
        <v>900</v>
      </c>
    </row>
    <row r="16" spans="1:8" ht="32.25" hidden="1" customHeight="1" thickBot="1">
      <c r="A16" s="104" t="s">
        <v>36</v>
      </c>
      <c r="B16" s="104" t="s">
        <v>37</v>
      </c>
      <c r="C16" s="105">
        <v>780</v>
      </c>
      <c r="D16" s="65"/>
      <c r="E16" s="66"/>
      <c r="F16" s="67"/>
    </row>
    <row r="17" spans="1:9" ht="32.25" hidden="1" customHeight="1" thickTop="1">
      <c r="A17" s="104" t="s">
        <v>36</v>
      </c>
      <c r="B17" s="104" t="s">
        <v>38</v>
      </c>
      <c r="C17" s="105">
        <v>180</v>
      </c>
      <c r="D17" s="44"/>
      <c r="E17" s="45"/>
      <c r="F17" s="46"/>
    </row>
    <row r="18" spans="1:9" ht="32.25" hidden="1" customHeight="1" thickTop="1">
      <c r="A18" s="39"/>
      <c r="B18" s="50" t="s">
        <v>19</v>
      </c>
      <c r="C18" s="50"/>
      <c r="D18" s="54"/>
      <c r="E18" s="55"/>
      <c r="F18" s="56"/>
    </row>
    <row r="19" spans="1:9" ht="32.25" hidden="1" customHeight="1" thickTop="1">
      <c r="A19" s="39"/>
      <c r="B19" s="58" t="s">
        <v>39</v>
      </c>
      <c r="C19" s="59"/>
      <c r="D19" s="65"/>
      <c r="E19" s="66"/>
      <c r="F19" s="67"/>
    </row>
    <row r="20" spans="1:9" ht="32.25" hidden="1" customHeight="1" thickTop="1">
      <c r="A20" s="39">
        <v>1</v>
      </c>
      <c r="B20" s="40"/>
      <c r="C20" s="41"/>
      <c r="D20" s="44"/>
      <c r="E20" s="45"/>
      <c r="F20" s="46"/>
    </row>
    <row r="21" spans="1:9" ht="32.25" hidden="1" customHeight="1" thickTop="1">
      <c r="A21" s="39"/>
      <c r="B21" s="50" t="s">
        <v>19</v>
      </c>
      <c r="C21" s="50"/>
      <c r="D21" s="54"/>
      <c r="E21" s="55"/>
      <c r="F21" s="56"/>
    </row>
    <row r="22" spans="1:9" ht="32.25" hidden="1" customHeight="1" thickTop="1">
      <c r="A22" s="39"/>
      <c r="B22" s="58" t="s">
        <v>40</v>
      </c>
      <c r="C22" s="59"/>
      <c r="D22" s="65"/>
      <c r="E22" s="66"/>
      <c r="F22" s="67"/>
    </row>
    <row r="23" spans="1:9" ht="32.25" hidden="1" customHeight="1" thickTop="1">
      <c r="A23" s="39">
        <v>1</v>
      </c>
      <c r="B23" s="40"/>
      <c r="C23" s="41"/>
      <c r="D23" s="44"/>
      <c r="E23" s="45"/>
      <c r="F23" s="46"/>
    </row>
    <row r="24" spans="1:9" ht="32.25" hidden="1" customHeight="1" thickTop="1">
      <c r="A24" s="39"/>
      <c r="B24" s="50" t="s">
        <v>19</v>
      </c>
      <c r="C24" s="50"/>
      <c r="D24" s="54"/>
      <c r="E24" s="55"/>
      <c r="F24" s="56"/>
    </row>
    <row r="25" spans="1:9" ht="32.25" customHeight="1" thickTop="1">
      <c r="A25" s="39"/>
      <c r="B25" s="58" t="s">
        <v>41</v>
      </c>
      <c r="C25" s="59"/>
      <c r="D25" s="65"/>
      <c r="E25" s="66"/>
      <c r="F25" s="67"/>
    </row>
    <row r="26" spans="1:9" ht="32.25" customHeight="1">
      <c r="A26" s="106">
        <v>1</v>
      </c>
      <c r="B26" s="107" t="s">
        <v>318</v>
      </c>
      <c r="C26" s="107" t="s">
        <v>43</v>
      </c>
      <c r="D26" s="74" t="s">
        <v>311</v>
      </c>
      <c r="E26" s="75" t="s">
        <v>319</v>
      </c>
      <c r="F26" s="76">
        <v>321</v>
      </c>
    </row>
    <row r="27" spans="1:9" ht="32.25" customHeight="1" thickBot="1">
      <c r="A27" s="39"/>
      <c r="B27" s="50" t="s">
        <v>19</v>
      </c>
      <c r="C27" s="50"/>
      <c r="D27" s="55"/>
      <c r="E27" s="55"/>
      <c r="F27" s="140">
        <v>321</v>
      </c>
      <c r="H27" s="423">
        <f>SUM(F26)</f>
        <v>321</v>
      </c>
    </row>
    <row r="28" spans="1:9" ht="32.25" customHeight="1" thickTop="1">
      <c r="A28" s="39"/>
      <c r="B28" s="141" t="s">
        <v>50</v>
      </c>
      <c r="C28" s="142"/>
      <c r="D28" s="34"/>
      <c r="E28" s="35"/>
      <c r="F28" s="36"/>
    </row>
    <row r="29" spans="1:9" s="160" customFormat="1" ht="32.25" customHeight="1">
      <c r="A29" s="106">
        <v>1</v>
      </c>
      <c r="B29" s="142" t="s">
        <v>52</v>
      </c>
      <c r="C29" s="150" t="s">
        <v>53</v>
      </c>
      <c r="D29" s="154" t="s">
        <v>320</v>
      </c>
      <c r="E29" s="155" t="s">
        <v>321</v>
      </c>
      <c r="F29" s="156">
        <v>4140</v>
      </c>
      <c r="H29" s="422"/>
      <c r="I29" s="78"/>
    </row>
    <row r="30" spans="1:9" s="160" customFormat="1" ht="32.25" customHeight="1">
      <c r="A30" s="106">
        <v>3</v>
      </c>
      <c r="B30" s="142" t="s">
        <v>60</v>
      </c>
      <c r="C30" s="150" t="s">
        <v>61</v>
      </c>
      <c r="D30" s="154" t="s">
        <v>320</v>
      </c>
      <c r="E30" s="155" t="s">
        <v>322</v>
      </c>
      <c r="F30" s="156">
        <v>2070</v>
      </c>
      <c r="H30" s="422"/>
      <c r="I30" s="78"/>
    </row>
    <row r="31" spans="1:9" s="160" customFormat="1" ht="32.25" customHeight="1">
      <c r="A31" s="106">
        <v>4</v>
      </c>
      <c r="B31" s="142" t="s">
        <v>27</v>
      </c>
      <c r="C31" s="150" t="s">
        <v>64</v>
      </c>
      <c r="D31" s="154" t="s">
        <v>323</v>
      </c>
      <c r="E31" s="155" t="s">
        <v>324</v>
      </c>
      <c r="F31" s="156">
        <v>2070</v>
      </c>
      <c r="H31" s="422"/>
      <c r="I31" s="78"/>
    </row>
    <row r="32" spans="1:9" s="160" customFormat="1" ht="32.25" customHeight="1">
      <c r="A32" s="106">
        <v>5</v>
      </c>
      <c r="B32" s="168" t="s">
        <v>42</v>
      </c>
      <c r="C32" s="150" t="s">
        <v>67</v>
      </c>
      <c r="D32" s="154" t="s">
        <v>325</v>
      </c>
      <c r="E32" s="155" t="s">
        <v>326</v>
      </c>
      <c r="F32" s="156">
        <v>2070</v>
      </c>
      <c r="H32" s="422"/>
      <c r="I32" s="78"/>
    </row>
    <row r="33" spans="1:9" s="160" customFormat="1" ht="32.25" customHeight="1">
      <c r="A33" s="106">
        <v>8</v>
      </c>
      <c r="B33" s="142" t="s">
        <v>77</v>
      </c>
      <c r="C33" s="150" t="s">
        <v>78</v>
      </c>
      <c r="D33" s="154" t="s">
        <v>327</v>
      </c>
      <c r="E33" s="171" t="s">
        <v>328</v>
      </c>
      <c r="F33" s="156">
        <v>2070</v>
      </c>
      <c r="H33" s="422"/>
      <c r="I33" s="78"/>
    </row>
    <row r="34" spans="1:9" s="160" customFormat="1" ht="32.25" customHeight="1">
      <c r="A34" s="106">
        <v>9</v>
      </c>
      <c r="B34" s="142" t="s">
        <v>77</v>
      </c>
      <c r="C34" s="150" t="s">
        <v>81</v>
      </c>
      <c r="D34" s="154" t="s">
        <v>327</v>
      </c>
      <c r="E34" s="171" t="s">
        <v>328</v>
      </c>
      <c r="F34" s="156">
        <v>2070</v>
      </c>
      <c r="H34" s="422"/>
      <c r="I34" s="78"/>
    </row>
    <row r="35" spans="1:9" s="160" customFormat="1" ht="32.25" customHeight="1">
      <c r="A35" s="106">
        <v>11</v>
      </c>
      <c r="B35" s="142" t="s">
        <v>83</v>
      </c>
      <c r="C35" s="150" t="s">
        <v>84</v>
      </c>
      <c r="D35" s="154" t="s">
        <v>325</v>
      </c>
      <c r="E35" s="155" t="s">
        <v>329</v>
      </c>
      <c r="F35" s="156">
        <v>2070</v>
      </c>
      <c r="H35" s="422"/>
      <c r="I35" s="78"/>
    </row>
    <row r="36" spans="1:9" s="160" customFormat="1" ht="32.25" customHeight="1">
      <c r="A36" s="106">
        <v>12</v>
      </c>
      <c r="B36" s="142" t="s">
        <v>87</v>
      </c>
      <c r="C36" s="150" t="s">
        <v>88</v>
      </c>
      <c r="D36" s="154" t="s">
        <v>330</v>
      </c>
      <c r="E36" s="171" t="s">
        <v>331</v>
      </c>
      <c r="F36" s="156">
        <v>2070</v>
      </c>
      <c r="H36" s="422"/>
      <c r="I36" s="78"/>
    </row>
    <row r="37" spans="1:9" s="160" customFormat="1" ht="32.25" customHeight="1">
      <c r="A37" s="106">
        <v>18</v>
      </c>
      <c r="B37" s="142" t="s">
        <v>99</v>
      </c>
      <c r="C37" s="174" t="s">
        <v>100</v>
      </c>
      <c r="D37" s="154" t="s">
        <v>325</v>
      </c>
      <c r="E37" s="171" t="s">
        <v>332</v>
      </c>
      <c r="F37" s="178">
        <v>37375</v>
      </c>
      <c r="H37" s="422"/>
      <c r="I37" s="78"/>
    </row>
    <row r="38" spans="1:9" s="160" customFormat="1" ht="32.25" customHeight="1">
      <c r="A38" s="106">
        <v>19</v>
      </c>
      <c r="B38" s="142" t="s">
        <v>103</v>
      </c>
      <c r="C38" s="174" t="s">
        <v>104</v>
      </c>
      <c r="D38" s="154" t="s">
        <v>333</v>
      </c>
      <c r="E38" s="171" t="s">
        <v>334</v>
      </c>
      <c r="F38" s="178">
        <v>15525</v>
      </c>
      <c r="H38" s="422"/>
      <c r="I38" s="78"/>
    </row>
    <row r="39" spans="1:9" s="160" customFormat="1" ht="32.25" customHeight="1">
      <c r="A39" s="106">
        <v>20</v>
      </c>
      <c r="B39" s="142" t="s">
        <v>107</v>
      </c>
      <c r="C39" s="174" t="s">
        <v>108</v>
      </c>
      <c r="D39" s="154" t="s">
        <v>320</v>
      </c>
      <c r="E39" s="155" t="s">
        <v>335</v>
      </c>
      <c r="F39" s="178">
        <v>14000</v>
      </c>
      <c r="H39" s="422"/>
      <c r="I39" s="78"/>
    </row>
    <row r="40" spans="1:9" s="160" customFormat="1" ht="32.25" customHeight="1">
      <c r="A40" s="106">
        <v>21</v>
      </c>
      <c r="B40" s="142" t="s">
        <v>111</v>
      </c>
      <c r="C40" s="142" t="s">
        <v>112</v>
      </c>
      <c r="D40" s="154" t="s">
        <v>320</v>
      </c>
      <c r="E40" s="155" t="s">
        <v>336</v>
      </c>
      <c r="F40" s="178">
        <v>7000</v>
      </c>
      <c r="H40" s="422"/>
      <c r="I40" s="78"/>
    </row>
    <row r="41" spans="1:9" s="160" customFormat="1" ht="32.25" customHeight="1">
      <c r="A41" s="106">
        <v>22</v>
      </c>
      <c r="B41" s="142" t="s">
        <v>30</v>
      </c>
      <c r="C41" s="174" t="s">
        <v>115</v>
      </c>
      <c r="D41" s="154" t="s">
        <v>337</v>
      </c>
      <c r="E41" s="155" t="s">
        <v>338</v>
      </c>
      <c r="F41" s="178">
        <v>3970</v>
      </c>
      <c r="H41" s="422"/>
      <c r="I41" s="78"/>
    </row>
    <row r="42" spans="1:9" s="160" customFormat="1" ht="32.25" customHeight="1">
      <c r="A42" s="106">
        <v>23</v>
      </c>
      <c r="B42" s="142" t="s">
        <v>23</v>
      </c>
      <c r="C42" s="174" t="s">
        <v>126</v>
      </c>
      <c r="D42" s="154" t="s">
        <v>320</v>
      </c>
      <c r="E42" s="155" t="s">
        <v>339</v>
      </c>
      <c r="F42" s="178">
        <v>4600</v>
      </c>
      <c r="H42" s="422"/>
      <c r="I42" s="78"/>
    </row>
    <row r="43" spans="1:9" ht="32.25" customHeight="1" thickBot="1">
      <c r="A43" s="39"/>
      <c r="B43" s="50" t="s">
        <v>19</v>
      </c>
      <c r="C43" s="50"/>
      <c r="D43" s="54"/>
      <c r="E43" s="55"/>
      <c r="F43" s="56">
        <v>101100</v>
      </c>
      <c r="H43" s="424">
        <f>SUM(F29:F42)</f>
        <v>101100</v>
      </c>
    </row>
    <row r="44" spans="1:9" ht="32.25" customHeight="1" thickTop="1">
      <c r="A44" s="39"/>
      <c r="B44" s="141" t="s">
        <v>167</v>
      </c>
      <c r="C44" s="142"/>
      <c r="D44" s="34"/>
      <c r="E44" s="35"/>
      <c r="F44" s="36"/>
    </row>
    <row r="45" spans="1:9" s="160" customFormat="1" ht="32.25" customHeight="1">
      <c r="A45" s="106">
        <v>1</v>
      </c>
      <c r="B45" s="142" t="s">
        <v>23</v>
      </c>
      <c r="C45" s="142" t="s">
        <v>168</v>
      </c>
      <c r="D45" s="276" t="s">
        <v>320</v>
      </c>
      <c r="E45" s="277" t="s">
        <v>345</v>
      </c>
      <c r="F45" s="278">
        <v>10925</v>
      </c>
      <c r="H45" s="422"/>
      <c r="I45" s="78"/>
    </row>
    <row r="46" spans="1:9" s="160" customFormat="1" ht="32.25" customHeight="1">
      <c r="A46" s="106">
        <v>2</v>
      </c>
      <c r="B46" s="142" t="s">
        <v>27</v>
      </c>
      <c r="C46" s="142" t="s">
        <v>172</v>
      </c>
      <c r="D46" s="276" t="s">
        <v>323</v>
      </c>
      <c r="E46" s="277" t="s">
        <v>346</v>
      </c>
      <c r="F46" s="278">
        <v>920</v>
      </c>
      <c r="H46" s="422"/>
      <c r="I46" s="78"/>
    </row>
    <row r="47" spans="1:9" s="160" customFormat="1" ht="32.25" customHeight="1">
      <c r="A47" s="106"/>
      <c r="B47" s="142" t="s">
        <v>341</v>
      </c>
      <c r="C47" s="142"/>
      <c r="D47" s="276" t="s">
        <v>347</v>
      </c>
      <c r="E47" s="277" t="s">
        <v>348</v>
      </c>
      <c r="F47" s="278">
        <v>360</v>
      </c>
      <c r="H47" s="422"/>
      <c r="I47" s="78"/>
    </row>
    <row r="48" spans="1:9" s="160" customFormat="1" ht="32.25" customHeight="1">
      <c r="A48" s="106">
        <v>3</v>
      </c>
      <c r="B48" s="142" t="s">
        <v>77</v>
      </c>
      <c r="C48" s="142" t="s">
        <v>174</v>
      </c>
      <c r="D48" s="276" t="s">
        <v>327</v>
      </c>
      <c r="E48" s="277" t="s">
        <v>349</v>
      </c>
      <c r="F48" s="278">
        <v>920</v>
      </c>
      <c r="H48" s="422"/>
      <c r="I48" s="78"/>
    </row>
    <row r="49" spans="1:9" s="160" customFormat="1" ht="32.25" customHeight="1">
      <c r="A49" s="106">
        <v>4</v>
      </c>
      <c r="B49" s="142" t="s">
        <v>176</v>
      </c>
      <c r="C49" s="142" t="s">
        <v>177</v>
      </c>
      <c r="D49" s="276" t="s">
        <v>320</v>
      </c>
      <c r="E49" s="277" t="s">
        <v>350</v>
      </c>
      <c r="F49" s="278">
        <v>2300</v>
      </c>
      <c r="H49" s="422"/>
      <c r="I49" s="78"/>
    </row>
    <row r="50" spans="1:9" ht="32.25" customHeight="1" thickBot="1">
      <c r="A50" s="39"/>
      <c r="B50" s="50" t="s">
        <v>19</v>
      </c>
      <c r="C50" s="50"/>
      <c r="D50" s="54"/>
      <c r="E50" s="55"/>
      <c r="F50" s="56">
        <v>15425</v>
      </c>
      <c r="H50" s="424">
        <f>SUM(F45:F49)</f>
        <v>15425</v>
      </c>
    </row>
    <row r="51" spans="1:9" ht="32.25" hidden="1" customHeight="1" thickBot="1">
      <c r="A51" s="39"/>
      <c r="B51" s="58" t="s">
        <v>184</v>
      </c>
      <c r="C51" s="59"/>
      <c r="D51" s="65"/>
      <c r="E51" s="66"/>
      <c r="F51" s="67"/>
    </row>
    <row r="52" spans="1:9" ht="32.25" hidden="1" customHeight="1" thickTop="1">
      <c r="A52" s="39">
        <v>1</v>
      </c>
      <c r="B52" s="40"/>
      <c r="C52" s="41"/>
      <c r="D52" s="44"/>
      <c r="E52" s="45"/>
      <c r="F52" s="46"/>
    </row>
    <row r="53" spans="1:9" ht="32.25" hidden="1" customHeight="1" thickTop="1">
      <c r="A53" s="39"/>
      <c r="B53" s="50" t="s">
        <v>19</v>
      </c>
      <c r="C53" s="50"/>
      <c r="D53" s="54"/>
      <c r="E53" s="55"/>
      <c r="F53" s="56"/>
    </row>
    <row r="54" spans="1:9" ht="32.25" hidden="1" customHeight="1" thickTop="1">
      <c r="A54" s="39"/>
      <c r="B54" s="58" t="s">
        <v>185</v>
      </c>
      <c r="C54" s="59"/>
      <c r="D54" s="65"/>
      <c r="E54" s="66"/>
      <c r="F54" s="67"/>
    </row>
    <row r="55" spans="1:9" ht="32.25" hidden="1" customHeight="1" thickTop="1">
      <c r="A55" s="39">
        <v>1</v>
      </c>
      <c r="B55" s="40"/>
      <c r="C55" s="41"/>
      <c r="D55" s="284"/>
      <c r="E55" s="285"/>
      <c r="F55" s="286"/>
    </row>
    <row r="56" spans="1:9" ht="32.25" hidden="1" customHeight="1" thickTop="1">
      <c r="A56" s="39"/>
      <c r="B56" s="50" t="s">
        <v>19</v>
      </c>
      <c r="C56" s="50"/>
      <c r="D56" s="54"/>
      <c r="E56" s="55"/>
      <c r="F56" s="56"/>
    </row>
    <row r="57" spans="1:9" ht="32.25" customHeight="1" thickTop="1">
      <c r="A57" s="39"/>
      <c r="B57" s="58" t="s">
        <v>186</v>
      </c>
      <c r="C57" s="59"/>
      <c r="D57" s="65"/>
      <c r="E57" s="66"/>
      <c r="F57" s="67"/>
    </row>
    <row r="58" spans="1:9" s="160" customFormat="1" ht="32.25" customHeight="1">
      <c r="A58" s="116">
        <v>1</v>
      </c>
      <c r="B58" s="41" t="s">
        <v>23</v>
      </c>
      <c r="C58" s="41" t="s">
        <v>187</v>
      </c>
      <c r="D58" s="288" t="s">
        <v>320</v>
      </c>
      <c r="E58" s="289" t="s">
        <v>351</v>
      </c>
      <c r="F58" s="290">
        <v>2140</v>
      </c>
      <c r="H58" s="422"/>
      <c r="I58" s="78"/>
    </row>
    <row r="59" spans="1:9" s="160" customFormat="1" ht="32.25" customHeight="1">
      <c r="A59" s="116">
        <v>2</v>
      </c>
      <c r="B59" s="142" t="s">
        <v>23</v>
      </c>
      <c r="C59" s="142" t="s">
        <v>189</v>
      </c>
      <c r="D59" s="296" t="s">
        <v>352</v>
      </c>
      <c r="E59" s="297" t="s">
        <v>353</v>
      </c>
      <c r="F59" s="290">
        <v>23828.9</v>
      </c>
      <c r="H59" s="422"/>
      <c r="I59" s="78"/>
    </row>
    <row r="60" spans="1:9" s="160" customFormat="1" ht="32.25" customHeight="1">
      <c r="A60" s="116">
        <v>3</v>
      </c>
      <c r="B60" s="142" t="s">
        <v>192</v>
      </c>
      <c r="C60" s="142" t="s">
        <v>193</v>
      </c>
      <c r="D60" s="288" t="s">
        <v>314</v>
      </c>
      <c r="E60" s="289" t="s">
        <v>354</v>
      </c>
      <c r="F60" s="290">
        <v>856</v>
      </c>
      <c r="H60" s="422"/>
      <c r="I60" s="78"/>
    </row>
    <row r="61" spans="1:9" ht="32.25" customHeight="1" thickBot="1">
      <c r="A61" s="39"/>
      <c r="B61" s="50" t="s">
        <v>19</v>
      </c>
      <c r="C61" s="50"/>
      <c r="D61" s="54"/>
      <c r="E61" s="55"/>
      <c r="F61" s="56">
        <v>26824.9</v>
      </c>
      <c r="H61" s="423">
        <f>SUM(F58:F60)</f>
        <v>26824.9</v>
      </c>
    </row>
    <row r="62" spans="1:9" ht="32.25" customHeight="1" thickTop="1">
      <c r="A62" s="39"/>
      <c r="B62" s="58" t="s">
        <v>198</v>
      </c>
      <c r="C62" s="59"/>
      <c r="D62" s="65"/>
      <c r="E62" s="66"/>
      <c r="F62" s="67"/>
    </row>
    <row r="63" spans="1:9" ht="32.25" customHeight="1">
      <c r="A63" s="337">
        <v>1</v>
      </c>
      <c r="B63" s="420" t="s">
        <v>364</v>
      </c>
      <c r="C63" s="421"/>
      <c r="D63" s="284" t="s">
        <v>337</v>
      </c>
      <c r="E63" s="285" t="s">
        <v>366</v>
      </c>
      <c r="F63" s="286">
        <v>10400</v>
      </c>
    </row>
    <row r="64" spans="1:9" ht="32.25" customHeight="1">
      <c r="A64" s="337">
        <v>2</v>
      </c>
      <c r="B64" s="420" t="s">
        <v>369</v>
      </c>
      <c r="C64" s="421"/>
      <c r="D64" s="284" t="s">
        <v>370</v>
      </c>
      <c r="E64" s="285" t="s">
        <v>371</v>
      </c>
      <c r="F64" s="286">
        <v>5200</v>
      </c>
    </row>
    <row r="65" spans="1:9" ht="32.25" customHeight="1">
      <c r="A65" s="337">
        <v>3</v>
      </c>
      <c r="B65" s="420" t="s">
        <v>373</v>
      </c>
      <c r="C65" s="421"/>
      <c r="D65" s="284" t="s">
        <v>337</v>
      </c>
      <c r="E65" s="285" t="s">
        <v>374</v>
      </c>
      <c r="F65" s="286">
        <v>5200</v>
      </c>
    </row>
    <row r="66" spans="1:9" ht="32.25" customHeight="1">
      <c r="A66" s="337">
        <v>4</v>
      </c>
      <c r="B66" s="420" t="s">
        <v>376</v>
      </c>
      <c r="C66" s="421"/>
      <c r="D66" s="284" t="s">
        <v>337</v>
      </c>
      <c r="E66" s="285" t="s">
        <v>377</v>
      </c>
      <c r="F66" s="286">
        <v>5200</v>
      </c>
    </row>
    <row r="67" spans="1:9" ht="32.25" customHeight="1">
      <c r="A67" s="337">
        <v>5</v>
      </c>
      <c r="B67" s="420" t="s">
        <v>380</v>
      </c>
      <c r="C67" s="421"/>
      <c r="D67" s="284" t="s">
        <v>314</v>
      </c>
      <c r="E67" s="285" t="s">
        <v>381</v>
      </c>
      <c r="F67" s="286">
        <v>10400</v>
      </c>
    </row>
    <row r="68" spans="1:9" ht="32.25" customHeight="1">
      <c r="A68" s="337">
        <v>6</v>
      </c>
      <c r="B68" s="420" t="s">
        <v>383</v>
      </c>
      <c r="C68" s="421"/>
      <c r="D68" s="284" t="s">
        <v>337</v>
      </c>
      <c r="E68" s="285" t="s">
        <v>384</v>
      </c>
      <c r="F68" s="286">
        <v>5200</v>
      </c>
    </row>
    <row r="69" spans="1:9" ht="32.25" customHeight="1" thickBot="1">
      <c r="A69" s="39"/>
      <c r="B69" s="50" t="s">
        <v>19</v>
      </c>
      <c r="C69" s="50"/>
      <c r="D69" s="51">
        <v>0</v>
      </c>
      <c r="E69" s="51">
        <v>0</v>
      </c>
      <c r="F69" s="51">
        <v>41600</v>
      </c>
      <c r="H69" s="423">
        <f>SUM(F63:F68)</f>
        <v>41600</v>
      </c>
    </row>
    <row r="70" spans="1:9" ht="32.25" customHeight="1" thickTop="1">
      <c r="A70" s="39"/>
      <c r="B70" s="58" t="s">
        <v>207</v>
      </c>
      <c r="C70" s="59"/>
      <c r="D70" s="65"/>
      <c r="E70" s="66"/>
      <c r="F70" s="67"/>
    </row>
    <row r="71" spans="1:9" ht="32.25" customHeight="1">
      <c r="A71" s="39">
        <v>1</v>
      </c>
      <c r="B71" s="40" t="s">
        <v>69</v>
      </c>
      <c r="C71" s="41" t="s">
        <v>208</v>
      </c>
      <c r="D71" s="343" t="s">
        <v>73</v>
      </c>
      <c r="E71" s="344" t="s">
        <v>209</v>
      </c>
      <c r="F71" s="345">
        <v>200</v>
      </c>
    </row>
    <row r="72" spans="1:9" ht="32.25" customHeight="1" thickBot="1">
      <c r="A72" s="39"/>
      <c r="B72" s="50" t="s">
        <v>19</v>
      </c>
      <c r="C72" s="50"/>
      <c r="D72" s="54"/>
      <c r="E72" s="55"/>
      <c r="F72" s="56">
        <v>200</v>
      </c>
      <c r="H72" s="423">
        <f>SUM(F71)</f>
        <v>200</v>
      </c>
    </row>
    <row r="73" spans="1:9" ht="32.25" customHeight="1" thickTop="1">
      <c r="A73" s="39"/>
      <c r="B73" s="141" t="s">
        <v>210</v>
      </c>
      <c r="C73" s="142"/>
      <c r="D73" s="34"/>
      <c r="E73" s="35"/>
      <c r="F73" s="36"/>
    </row>
    <row r="74" spans="1:9" s="160" customFormat="1" ht="32.25" customHeight="1">
      <c r="A74" s="106">
        <v>1</v>
      </c>
      <c r="B74" s="142" t="s">
        <v>52</v>
      </c>
      <c r="C74" s="174" t="s">
        <v>211</v>
      </c>
      <c r="D74" s="343" t="s">
        <v>320</v>
      </c>
      <c r="E74" s="277" t="s">
        <v>355</v>
      </c>
      <c r="F74" s="278">
        <v>518</v>
      </c>
      <c r="H74" s="422"/>
      <c r="I74" s="78"/>
    </row>
    <row r="75" spans="1:9" s="160" customFormat="1" ht="32.25" customHeight="1">
      <c r="A75" s="106">
        <v>2</v>
      </c>
      <c r="B75" s="142" t="s">
        <v>60</v>
      </c>
      <c r="C75" s="174" t="s">
        <v>215</v>
      </c>
      <c r="D75" s="343" t="s">
        <v>320</v>
      </c>
      <c r="E75" s="277" t="s">
        <v>356</v>
      </c>
      <c r="F75" s="278">
        <v>259</v>
      </c>
      <c r="H75" s="422"/>
      <c r="I75" s="78"/>
    </row>
    <row r="76" spans="1:9" s="160" customFormat="1" ht="32.25" customHeight="1">
      <c r="A76" s="106">
        <v>3</v>
      </c>
      <c r="B76" s="142" t="s">
        <v>27</v>
      </c>
      <c r="C76" s="174" t="s">
        <v>217</v>
      </c>
      <c r="D76" s="343" t="s">
        <v>323</v>
      </c>
      <c r="E76" s="277" t="s">
        <v>357</v>
      </c>
      <c r="F76" s="278">
        <v>259</v>
      </c>
      <c r="H76" s="422"/>
      <c r="I76" s="78"/>
    </row>
    <row r="77" spans="1:9" s="160" customFormat="1" ht="32.25" customHeight="1">
      <c r="A77" s="106">
        <v>4</v>
      </c>
      <c r="B77" s="168" t="s">
        <v>42</v>
      </c>
      <c r="C77" s="174" t="s">
        <v>219</v>
      </c>
      <c r="D77" s="343" t="s">
        <v>325</v>
      </c>
      <c r="E77" s="277" t="s">
        <v>358</v>
      </c>
      <c r="F77" s="278">
        <v>259</v>
      </c>
      <c r="H77" s="422"/>
      <c r="I77" s="78"/>
    </row>
    <row r="78" spans="1:9" s="160" customFormat="1" ht="32.25" customHeight="1">
      <c r="A78" s="106">
        <v>5</v>
      </c>
      <c r="B78" s="142" t="s">
        <v>77</v>
      </c>
      <c r="C78" s="174" t="s">
        <v>224</v>
      </c>
      <c r="D78" s="343" t="s">
        <v>327</v>
      </c>
      <c r="E78" s="277" t="s">
        <v>359</v>
      </c>
      <c r="F78" s="278">
        <v>259</v>
      </c>
      <c r="H78" s="422"/>
      <c r="I78" s="78"/>
    </row>
    <row r="79" spans="1:9" s="160" customFormat="1" ht="32.25" customHeight="1">
      <c r="A79" s="106">
        <v>6</v>
      </c>
      <c r="B79" s="142" t="s">
        <v>77</v>
      </c>
      <c r="C79" s="174" t="s">
        <v>226</v>
      </c>
      <c r="D79" s="343" t="s">
        <v>327</v>
      </c>
      <c r="E79" s="277" t="s">
        <v>359</v>
      </c>
      <c r="F79" s="278">
        <v>259</v>
      </c>
      <c r="H79" s="422"/>
      <c r="I79" s="78"/>
    </row>
    <row r="80" spans="1:9" s="160" customFormat="1" ht="32.25" customHeight="1">
      <c r="A80" s="106">
        <v>7</v>
      </c>
      <c r="B80" s="142" t="s">
        <v>83</v>
      </c>
      <c r="C80" s="174" t="s">
        <v>228</v>
      </c>
      <c r="D80" s="343" t="s">
        <v>325</v>
      </c>
      <c r="E80" s="277" t="s">
        <v>360</v>
      </c>
      <c r="F80" s="278">
        <v>259</v>
      </c>
      <c r="H80" s="422"/>
      <c r="I80" s="78"/>
    </row>
    <row r="81" spans="1:9" s="160" customFormat="1" ht="32.25" customHeight="1">
      <c r="A81" s="106">
        <v>8</v>
      </c>
      <c r="B81" s="142" t="s">
        <v>87</v>
      </c>
      <c r="C81" s="174" t="s">
        <v>230</v>
      </c>
      <c r="D81" s="343" t="s">
        <v>330</v>
      </c>
      <c r="E81" s="277" t="s">
        <v>361</v>
      </c>
      <c r="F81" s="278">
        <v>259</v>
      </c>
      <c r="H81" s="422"/>
      <c r="I81" s="78"/>
    </row>
    <row r="82" spans="1:9" s="160" customFormat="1" ht="32.25" customHeight="1">
      <c r="A82" s="106">
        <v>9</v>
      </c>
      <c r="B82" s="142" t="s">
        <v>99</v>
      </c>
      <c r="C82" s="174" t="s">
        <v>238</v>
      </c>
      <c r="D82" s="343" t="s">
        <v>325</v>
      </c>
      <c r="E82" s="277" t="s">
        <v>362</v>
      </c>
      <c r="F82" s="278">
        <v>6750</v>
      </c>
      <c r="H82" s="422"/>
      <c r="I82" s="78"/>
    </row>
    <row r="83" spans="1:9" ht="32.25" customHeight="1" thickBot="1">
      <c r="A83" s="39"/>
      <c r="B83" s="50" t="s">
        <v>19</v>
      </c>
      <c r="C83" s="50"/>
      <c r="D83" s="54"/>
      <c r="E83" s="55"/>
      <c r="F83" s="56">
        <v>9081</v>
      </c>
      <c r="H83" s="424">
        <f>SUM(F74:F82)</f>
        <v>9081</v>
      </c>
    </row>
    <row r="84" spans="1:9" ht="32.25" customHeight="1" thickTop="1">
      <c r="A84" s="39"/>
      <c r="B84" s="141" t="s">
        <v>292</v>
      </c>
      <c r="C84" s="142"/>
      <c r="D84" s="34"/>
      <c r="E84" s="35"/>
      <c r="F84" s="36"/>
    </row>
    <row r="85" spans="1:9" ht="32.25" customHeight="1">
      <c r="A85" s="39">
        <v>1</v>
      </c>
      <c r="B85" s="40" t="s">
        <v>387</v>
      </c>
      <c r="C85" s="41" t="s">
        <v>388</v>
      </c>
      <c r="D85" s="284" t="s">
        <v>337</v>
      </c>
      <c r="E85" s="285" t="s">
        <v>390</v>
      </c>
      <c r="F85" s="286">
        <v>3300</v>
      </c>
    </row>
    <row r="86" spans="1:9" ht="32.25" customHeight="1" thickBot="1">
      <c r="A86" s="39"/>
      <c r="B86" s="50" t="s">
        <v>19</v>
      </c>
      <c r="C86" s="50"/>
      <c r="D86" s="54"/>
      <c r="E86" s="55"/>
      <c r="F86" s="56">
        <v>3300</v>
      </c>
      <c r="H86" s="423">
        <f>SUM(F85)</f>
        <v>3300</v>
      </c>
    </row>
    <row r="87" spans="1:9" ht="32.25" customHeight="1" thickTop="1" thickBot="1">
      <c r="A87" s="396"/>
      <c r="B87" s="397" t="s">
        <v>309</v>
      </c>
      <c r="C87" s="398"/>
      <c r="D87" s="399">
        <v>0</v>
      </c>
      <c r="E87" s="399">
        <v>0</v>
      </c>
      <c r="F87" s="399">
        <v>201178.66</v>
      </c>
      <c r="I87" s="425">
        <f>SUM(H11:H86)</f>
        <v>201178.66</v>
      </c>
    </row>
    <row r="88" spans="1:9" ht="27.6" thickTop="1">
      <c r="D88" s="404"/>
      <c r="E88" s="404"/>
      <c r="F88" s="2"/>
    </row>
    <row r="89" spans="1:9">
      <c r="D89" s="404"/>
      <c r="E89" s="404"/>
      <c r="F89" s="2"/>
    </row>
    <row r="90" spans="1:9">
      <c r="D90" s="404"/>
      <c r="E90" s="404"/>
      <c r="F90" s="2"/>
    </row>
    <row r="91" spans="1:9">
      <c r="D91" s="404"/>
      <c r="E91" s="404"/>
      <c r="F91" s="2"/>
    </row>
    <row r="92" spans="1:9">
      <c r="D92" s="404"/>
      <c r="E92" s="404"/>
      <c r="F92" s="2"/>
    </row>
    <row r="93" spans="1:9" s="406" customFormat="1" ht="32.25" customHeight="1">
      <c r="A93" s="2"/>
      <c r="B93" s="643"/>
      <c r="C93" s="642"/>
      <c r="D93" s="410"/>
      <c r="E93" s="411"/>
      <c r="F93" s="417"/>
      <c r="H93" s="423"/>
      <c r="I93" s="425"/>
    </row>
    <row r="94" spans="1:9" s="406" customFormat="1" ht="32.25" customHeight="1">
      <c r="A94" s="2"/>
      <c r="B94" s="413"/>
      <c r="C94" s="415"/>
      <c r="D94" s="2"/>
      <c r="E94" s="411"/>
      <c r="F94" s="416"/>
      <c r="H94" s="423"/>
      <c r="I94" s="425"/>
    </row>
    <row r="95" spans="1:9" s="406" customFormat="1" ht="32.25" customHeight="1">
      <c r="A95" s="2"/>
      <c r="B95" s="413"/>
      <c r="C95" s="409"/>
      <c r="D95" s="410"/>
      <c r="E95" s="641"/>
      <c r="F95" s="642"/>
      <c r="H95" s="423"/>
      <c r="I95" s="425"/>
    </row>
  </sheetData>
  <mergeCells count="8">
    <mergeCell ref="E95:F95"/>
    <mergeCell ref="B93:C93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EE092-43E0-440B-8114-0F12A417DBED}">
  <sheetPr>
    <tabColor rgb="FF92D050"/>
  </sheetPr>
  <dimension ref="A1:J41"/>
  <sheetViews>
    <sheetView zoomScale="70" zoomScaleNormal="70" workbookViewId="0">
      <pane ySplit="6" topLeftCell="A11" activePane="bottomLeft" state="frozen"/>
      <selection pane="bottomLeft" activeCell="D16" sqref="D16"/>
    </sheetView>
  </sheetViews>
  <sheetFormatPr defaultColWidth="12.5546875" defaultRowHeight="27"/>
  <cols>
    <col min="1" max="1" width="5.6640625" style="2" customWidth="1"/>
    <col min="2" max="2" width="42.5546875" style="2" customWidth="1"/>
    <col min="3" max="3" width="31.44140625" style="2" customWidth="1"/>
    <col min="4" max="4" width="31.44140625" style="439" customWidth="1"/>
    <col min="5" max="5" width="20.5546875" style="461" customWidth="1"/>
    <col min="6" max="6" width="8.109375" style="405" customWidth="1"/>
    <col min="7" max="7" width="20" style="2" customWidth="1"/>
    <col min="8" max="8" width="12.5546875" style="2"/>
    <col min="9" max="9" width="12.5546875" style="78"/>
    <col min="10" max="16384" width="12.5546875" style="2"/>
  </cols>
  <sheetData>
    <row r="1" spans="1:10" ht="22.5" customHeight="1">
      <c r="A1" s="643" t="s">
        <v>0</v>
      </c>
      <c r="B1" s="642"/>
      <c r="C1" s="642"/>
      <c r="D1" s="642"/>
      <c r="E1" s="642"/>
      <c r="F1" s="642"/>
      <c r="G1" s="642"/>
    </row>
    <row r="2" spans="1:10" ht="27" customHeight="1">
      <c r="A2" s="643" t="s">
        <v>1</v>
      </c>
      <c r="B2" s="642"/>
      <c r="C2" s="642"/>
      <c r="D2" s="642"/>
      <c r="E2" s="642"/>
      <c r="F2" s="642"/>
      <c r="G2" s="642"/>
    </row>
    <row r="3" spans="1:10" ht="22.5" customHeight="1">
      <c r="A3" s="644" t="s">
        <v>310</v>
      </c>
      <c r="B3" s="645"/>
      <c r="C3" s="645"/>
      <c r="D3" s="645"/>
      <c r="E3" s="645"/>
      <c r="F3" s="645"/>
      <c r="G3" s="645"/>
    </row>
    <row r="4" spans="1:10" ht="34.5" customHeight="1">
      <c r="A4" s="3" t="s">
        <v>3</v>
      </c>
      <c r="B4" s="646" t="s">
        <v>4</v>
      </c>
      <c r="C4" s="646" t="s">
        <v>5</v>
      </c>
      <c r="D4" s="426"/>
      <c r="E4" s="658" t="s">
        <v>9</v>
      </c>
      <c r="F4" s="656"/>
      <c r="G4" s="657"/>
    </row>
    <row r="5" spans="1:10" ht="24.75" customHeight="1">
      <c r="A5" s="5"/>
      <c r="B5" s="647"/>
      <c r="C5" s="647"/>
      <c r="D5" s="427" t="s">
        <v>392</v>
      </c>
      <c r="E5" s="442" t="s">
        <v>10</v>
      </c>
      <c r="F5" s="12" t="s">
        <v>11</v>
      </c>
      <c r="G5" s="419"/>
    </row>
    <row r="6" spans="1:10" ht="27.75" customHeight="1">
      <c r="A6" s="14"/>
      <c r="B6" s="648"/>
      <c r="C6" s="648"/>
      <c r="D6" s="428"/>
      <c r="E6" s="428"/>
      <c r="F6" s="24"/>
      <c r="G6" s="20" t="s">
        <v>19</v>
      </c>
    </row>
    <row r="7" spans="1:10" ht="32.25" customHeight="1">
      <c r="A7" s="39"/>
      <c r="B7" s="141" t="s">
        <v>50</v>
      </c>
      <c r="C7" s="142"/>
      <c r="D7" s="429"/>
      <c r="E7" s="443"/>
      <c r="F7" s="115"/>
      <c r="G7" s="145"/>
    </row>
    <row r="8" spans="1:10" s="160" customFormat="1" ht="32.25" customHeight="1">
      <c r="A8" s="106">
        <v>1</v>
      </c>
      <c r="B8" s="142" t="s">
        <v>52</v>
      </c>
      <c r="C8" s="150" t="s">
        <v>53</v>
      </c>
      <c r="D8" s="430">
        <v>2070</v>
      </c>
      <c r="E8" s="444"/>
      <c r="F8" s="158"/>
      <c r="G8" s="159"/>
      <c r="I8" s="78"/>
    </row>
    <row r="9" spans="1:10" s="160" customFormat="1" ht="32.25" customHeight="1">
      <c r="A9" s="106">
        <v>2</v>
      </c>
      <c r="B9" s="142" t="s">
        <v>69</v>
      </c>
      <c r="C9" s="150" t="s">
        <v>70</v>
      </c>
      <c r="D9" s="430"/>
      <c r="E9" s="445" t="s">
        <v>125</v>
      </c>
      <c r="F9" s="158">
        <v>1</v>
      </c>
      <c r="G9" s="77">
        <v>2070</v>
      </c>
      <c r="I9" s="78"/>
    </row>
    <row r="10" spans="1:10" s="160" customFormat="1" ht="32.25" customHeight="1">
      <c r="A10" s="106">
        <v>3</v>
      </c>
      <c r="B10" s="142" t="s">
        <v>30</v>
      </c>
      <c r="C10" s="174" t="s">
        <v>115</v>
      </c>
      <c r="D10" s="431">
        <v>520</v>
      </c>
      <c r="E10" s="446"/>
      <c r="F10" s="184"/>
      <c r="G10" s="77">
        <v>0</v>
      </c>
      <c r="I10" s="78"/>
    </row>
    <row r="11" spans="1:10" ht="32.25" customHeight="1" thickBot="1">
      <c r="A11" s="39"/>
      <c r="B11" s="50" t="s">
        <v>19</v>
      </c>
      <c r="C11" s="50"/>
      <c r="D11" s="432"/>
      <c r="E11" s="447"/>
      <c r="F11" s="53"/>
      <c r="G11" s="51">
        <v>2070</v>
      </c>
      <c r="I11" s="462">
        <f>SUM(G8:G10)</f>
        <v>2070</v>
      </c>
    </row>
    <row r="12" spans="1:10" ht="32.25" customHeight="1" thickTop="1">
      <c r="A12" s="39"/>
      <c r="B12" s="141" t="s">
        <v>129</v>
      </c>
      <c r="C12" s="142"/>
      <c r="D12" s="429"/>
      <c r="E12" s="443"/>
      <c r="F12" s="115"/>
      <c r="G12" s="38"/>
    </row>
    <row r="13" spans="1:10" ht="30" customHeight="1">
      <c r="A13" s="106">
        <v>1</v>
      </c>
      <c r="B13" s="142" t="s">
        <v>130</v>
      </c>
      <c r="C13" s="193" t="s">
        <v>131</v>
      </c>
      <c r="D13" s="448">
        <v>2012.5</v>
      </c>
      <c r="F13" s="203"/>
      <c r="G13" s="207"/>
    </row>
    <row r="14" spans="1:10" ht="32.25" customHeight="1">
      <c r="A14" s="106">
        <v>2</v>
      </c>
      <c r="B14" s="142" t="s">
        <v>145</v>
      </c>
      <c r="C14" s="193" t="s">
        <v>146</v>
      </c>
      <c r="D14" s="449">
        <v>700.03</v>
      </c>
      <c r="F14" s="115"/>
      <c r="G14" s="207"/>
    </row>
    <row r="15" spans="1:10" s="230" customFormat="1" ht="32.25" customHeight="1">
      <c r="A15" s="106">
        <v>3</v>
      </c>
      <c r="B15" s="222" t="s">
        <v>149</v>
      </c>
      <c r="C15" s="222" t="s">
        <v>150</v>
      </c>
      <c r="D15" s="450">
        <v>8486.0499999999993</v>
      </c>
      <c r="F15" s="228"/>
      <c r="G15" s="207"/>
      <c r="I15" s="463"/>
    </row>
    <row r="16" spans="1:10" s="237" customFormat="1" ht="32.25" customHeight="1">
      <c r="A16" s="106">
        <v>4</v>
      </c>
      <c r="B16" s="222" t="s">
        <v>152</v>
      </c>
      <c r="C16" s="193" t="s">
        <v>153</v>
      </c>
      <c r="D16" s="450">
        <v>4695.8</v>
      </c>
      <c r="F16" s="228"/>
      <c r="G16" s="207"/>
      <c r="H16" s="2"/>
      <c r="I16" s="78"/>
      <c r="J16" s="2"/>
    </row>
    <row r="17" spans="1:9" ht="41.25" customHeight="1">
      <c r="A17" s="106">
        <v>5</v>
      </c>
      <c r="B17" s="142" t="s">
        <v>158</v>
      </c>
      <c r="C17" s="142" t="s">
        <v>159</v>
      </c>
      <c r="D17" s="451">
        <v>1533.32</v>
      </c>
      <c r="F17" s="212"/>
      <c r="G17" s="207"/>
    </row>
    <row r="18" spans="1:9" ht="32.25" customHeight="1" thickBot="1">
      <c r="A18" s="39"/>
      <c r="B18" s="50" t="s">
        <v>19</v>
      </c>
      <c r="C18" s="50"/>
      <c r="D18" s="432"/>
      <c r="E18" s="452"/>
      <c r="F18" s="51">
        <v>0</v>
      </c>
      <c r="G18" s="51">
        <v>3.4106051316484809E-12</v>
      </c>
    </row>
    <row r="19" spans="1:9" ht="32.25" customHeight="1" thickTop="1">
      <c r="A19" s="39"/>
      <c r="B19" s="141" t="s">
        <v>167</v>
      </c>
      <c r="C19" s="142"/>
      <c r="D19" s="429"/>
      <c r="E19" s="443"/>
      <c r="F19" s="115"/>
      <c r="G19" s="145"/>
    </row>
    <row r="20" spans="1:9" s="160" customFormat="1" ht="32.25" customHeight="1">
      <c r="A20" s="106">
        <v>1</v>
      </c>
      <c r="B20" s="142" t="s">
        <v>69</v>
      </c>
      <c r="C20" s="142" t="s">
        <v>170</v>
      </c>
      <c r="D20" s="429"/>
      <c r="E20" s="453" t="s">
        <v>125</v>
      </c>
      <c r="F20" s="280">
        <v>1</v>
      </c>
      <c r="G20" s="77">
        <v>920</v>
      </c>
      <c r="I20" s="78"/>
    </row>
    <row r="21" spans="1:9" ht="32.25" customHeight="1" thickBot="1">
      <c r="A21" s="39"/>
      <c r="B21" s="50" t="s">
        <v>19</v>
      </c>
      <c r="C21" s="50"/>
      <c r="D21" s="432"/>
      <c r="E21" s="447"/>
      <c r="F21" s="53"/>
      <c r="G21" s="51">
        <v>920</v>
      </c>
      <c r="I21" s="462">
        <f>SUM(G20)</f>
        <v>920</v>
      </c>
    </row>
    <row r="22" spans="1:9" ht="32.25" customHeight="1" thickTop="1">
      <c r="A22" s="39"/>
      <c r="B22" s="58" t="s">
        <v>186</v>
      </c>
      <c r="C22" s="59"/>
      <c r="D22" s="434"/>
      <c r="E22" s="454"/>
      <c r="F22" s="62"/>
      <c r="G22" s="70"/>
    </row>
    <row r="23" spans="1:9" ht="32.25" customHeight="1">
      <c r="A23" s="106">
        <v>1</v>
      </c>
      <c r="B23" s="300" t="s">
        <v>195</v>
      </c>
      <c r="C23" s="300" t="s">
        <v>193</v>
      </c>
      <c r="D23" s="435"/>
      <c r="E23" s="455" t="s">
        <v>125</v>
      </c>
      <c r="F23" s="303">
        <v>1</v>
      </c>
      <c r="G23" s="77">
        <v>8260.4</v>
      </c>
    </row>
    <row r="24" spans="1:9" ht="32.25" customHeight="1" thickBot="1">
      <c r="A24" s="39"/>
      <c r="B24" s="50" t="s">
        <v>19</v>
      </c>
      <c r="C24" s="50"/>
      <c r="D24" s="432"/>
      <c r="E24" s="447"/>
      <c r="F24" s="53"/>
      <c r="G24" s="51">
        <v>8260.4</v>
      </c>
      <c r="I24" s="462">
        <f>SUM(G23)</f>
        <v>8260.4</v>
      </c>
    </row>
    <row r="25" spans="1:9" ht="32.25" customHeight="1" thickTop="1">
      <c r="A25" s="39"/>
      <c r="B25" s="141" t="s">
        <v>210</v>
      </c>
      <c r="C25" s="142"/>
      <c r="D25" s="429"/>
      <c r="E25" s="443"/>
      <c r="F25" s="115"/>
      <c r="G25" s="145"/>
    </row>
    <row r="26" spans="1:9" s="160" customFormat="1" ht="32.25" customHeight="1">
      <c r="A26" s="106">
        <v>1</v>
      </c>
      <c r="B26" s="142" t="s">
        <v>52</v>
      </c>
      <c r="C26" s="174" t="s">
        <v>211</v>
      </c>
      <c r="D26" s="431">
        <v>259</v>
      </c>
      <c r="E26" s="456"/>
      <c r="F26" s="348"/>
      <c r="G26" s="159"/>
      <c r="I26" s="78"/>
    </row>
    <row r="27" spans="1:9" s="160" customFormat="1" ht="32.25" customHeight="1">
      <c r="A27" s="106">
        <v>2</v>
      </c>
      <c r="B27" s="142" t="s">
        <v>69</v>
      </c>
      <c r="C27" s="174" t="s">
        <v>221</v>
      </c>
      <c r="D27" s="431"/>
      <c r="E27" s="457" t="s">
        <v>125</v>
      </c>
      <c r="F27" s="348">
        <v>1</v>
      </c>
      <c r="G27" s="77">
        <v>259</v>
      </c>
      <c r="I27" s="78"/>
    </row>
    <row r="28" spans="1:9" ht="32.25" customHeight="1">
      <c r="A28" s="106">
        <v>3</v>
      </c>
      <c r="B28" s="222" t="s">
        <v>152</v>
      </c>
      <c r="C28" s="193" t="s">
        <v>246</v>
      </c>
      <c r="D28" s="433">
        <v>492.9</v>
      </c>
      <c r="E28" s="459"/>
      <c r="F28" s="362"/>
      <c r="G28" s="159"/>
    </row>
    <row r="29" spans="1:9" ht="32.25" customHeight="1">
      <c r="A29" s="106">
        <v>4</v>
      </c>
      <c r="B29" s="222" t="s">
        <v>130</v>
      </c>
      <c r="C29" s="193" t="s">
        <v>250</v>
      </c>
      <c r="D29" s="436">
        <v>258.33999999999997</v>
      </c>
      <c r="E29" s="439"/>
      <c r="F29" s="362"/>
      <c r="G29" s="159">
        <v>0</v>
      </c>
    </row>
    <row r="30" spans="1:9" ht="32.25" customHeight="1">
      <c r="A30" s="106">
        <v>5</v>
      </c>
      <c r="B30" s="142" t="s">
        <v>145</v>
      </c>
      <c r="C30" s="193" t="s">
        <v>258</v>
      </c>
      <c r="D30" s="433">
        <v>87.47</v>
      </c>
      <c r="E30" s="458"/>
      <c r="F30" s="362"/>
      <c r="G30" s="159"/>
    </row>
    <row r="31" spans="1:9" ht="32.25" customHeight="1">
      <c r="A31" s="106">
        <v>6</v>
      </c>
      <c r="B31" s="142" t="s">
        <v>158</v>
      </c>
      <c r="C31" s="390" t="s">
        <v>261</v>
      </c>
      <c r="D31" s="437">
        <v>193.32</v>
      </c>
      <c r="E31" s="458"/>
      <c r="F31" s="362"/>
      <c r="G31" s="159"/>
    </row>
    <row r="32" spans="1:9" ht="32.25" customHeight="1" thickBot="1">
      <c r="A32" s="39"/>
      <c r="B32" s="50" t="s">
        <v>19</v>
      </c>
      <c r="C32" s="50"/>
      <c r="D32" s="432"/>
      <c r="E32" s="447"/>
      <c r="F32" s="53"/>
      <c r="G32" s="51">
        <v>259</v>
      </c>
      <c r="I32" s="462">
        <f>SUM(G26:G31)</f>
        <v>259</v>
      </c>
    </row>
    <row r="33" spans="1:10" ht="32.25" customHeight="1" thickTop="1" thickBot="1">
      <c r="A33" s="396"/>
      <c r="B33" s="397" t="s">
        <v>309</v>
      </c>
      <c r="C33" s="398"/>
      <c r="D33" s="438"/>
      <c r="E33" s="460">
        <v>0</v>
      </c>
      <c r="F33" s="399">
        <v>0</v>
      </c>
      <c r="G33" s="399">
        <v>11509.400000000003</v>
      </c>
      <c r="J33" s="464">
        <f>SUM(I11:I32)</f>
        <v>11509.4</v>
      </c>
    </row>
    <row r="34" spans="1:10" ht="27.6" thickTop="1"/>
    <row r="39" spans="1:10" s="406" customFormat="1" ht="32.25" customHeight="1">
      <c r="A39" s="2"/>
      <c r="B39" s="643"/>
      <c r="C39" s="642"/>
      <c r="D39" s="439"/>
      <c r="E39" s="642"/>
      <c r="F39" s="642"/>
      <c r="G39" s="2"/>
      <c r="I39" s="425"/>
    </row>
    <row r="40" spans="1:10" s="406" customFormat="1" ht="32.25" customHeight="1">
      <c r="A40" s="2"/>
      <c r="B40" s="413"/>
      <c r="C40" s="415"/>
      <c r="D40" s="440"/>
      <c r="E40" s="642"/>
      <c r="F40" s="642"/>
      <c r="G40" s="2"/>
      <c r="I40" s="425"/>
    </row>
    <row r="41" spans="1:10" s="406" customFormat="1" ht="32.25" customHeight="1">
      <c r="A41" s="2"/>
      <c r="B41" s="413"/>
      <c r="C41" s="409"/>
      <c r="D41" s="441"/>
      <c r="E41" s="642"/>
      <c r="F41" s="642"/>
      <c r="G41" s="2"/>
      <c r="I41" s="425"/>
    </row>
  </sheetData>
  <mergeCells count="10">
    <mergeCell ref="E40:F40"/>
    <mergeCell ref="E41:F41"/>
    <mergeCell ref="B39:C39"/>
    <mergeCell ref="E39:F39"/>
    <mergeCell ref="A1:G1"/>
    <mergeCell ref="A2:G2"/>
    <mergeCell ref="A3:G3"/>
    <mergeCell ref="B4:B6"/>
    <mergeCell ref="C4:C6"/>
    <mergeCell ref="E4:G4"/>
  </mergeCells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203E8-35D8-4C8D-88C3-5DBE4517226E}">
  <sheetPr>
    <tabColor rgb="FF92D050"/>
  </sheetPr>
  <dimension ref="A1:I20"/>
  <sheetViews>
    <sheetView zoomScale="70" zoomScaleNormal="70" workbookViewId="0">
      <pane ySplit="6" topLeftCell="A7" activePane="bottomLeft" state="frozen"/>
      <selection pane="bottomLeft" activeCell="C26" sqref="C26"/>
    </sheetView>
  </sheetViews>
  <sheetFormatPr defaultColWidth="12.5546875" defaultRowHeight="27"/>
  <cols>
    <col min="1" max="1" width="5.6640625" style="2" customWidth="1"/>
    <col min="2" max="2" width="42.5546875" style="2" customWidth="1"/>
    <col min="3" max="3" width="31.44140625" style="2" customWidth="1"/>
    <col min="4" max="4" width="20.5546875" style="461" customWidth="1"/>
    <col min="5" max="5" width="8.109375" style="405" customWidth="1"/>
    <col min="6" max="6" width="20" style="2" customWidth="1"/>
    <col min="7" max="7" width="12.5546875" style="2"/>
    <col min="8" max="8" width="12.5546875" style="78"/>
    <col min="9" max="16384" width="12.5546875" style="2"/>
  </cols>
  <sheetData>
    <row r="1" spans="1:9" ht="22.5" customHeight="1">
      <c r="A1" s="643" t="s">
        <v>0</v>
      </c>
      <c r="B1" s="642"/>
      <c r="C1" s="642"/>
      <c r="D1" s="642"/>
      <c r="E1" s="642"/>
      <c r="F1" s="642"/>
    </row>
    <row r="2" spans="1:9" ht="27" customHeight="1">
      <c r="A2" s="643" t="s">
        <v>1</v>
      </c>
      <c r="B2" s="642"/>
      <c r="C2" s="642"/>
      <c r="D2" s="642"/>
      <c r="E2" s="642"/>
      <c r="F2" s="642"/>
    </row>
    <row r="3" spans="1:9" ht="22.5" customHeight="1">
      <c r="A3" s="644" t="s">
        <v>310</v>
      </c>
      <c r="B3" s="645"/>
      <c r="C3" s="645"/>
      <c r="D3" s="645"/>
      <c r="E3" s="645"/>
      <c r="F3" s="645"/>
    </row>
    <row r="4" spans="1:9" ht="34.5" customHeight="1">
      <c r="A4" s="3" t="s">
        <v>3</v>
      </c>
      <c r="B4" s="646" t="s">
        <v>4</v>
      </c>
      <c r="C4" s="646" t="s">
        <v>5</v>
      </c>
      <c r="D4" s="658" t="s">
        <v>9</v>
      </c>
      <c r="E4" s="656"/>
      <c r="F4" s="657"/>
    </row>
    <row r="5" spans="1:9" ht="24.75" customHeight="1">
      <c r="A5" s="5"/>
      <c r="B5" s="647"/>
      <c r="C5" s="647"/>
      <c r="D5" s="442" t="s">
        <v>10</v>
      </c>
      <c r="E5" s="12" t="s">
        <v>11</v>
      </c>
      <c r="F5" s="419"/>
    </row>
    <row r="6" spans="1:9" ht="27.75" customHeight="1">
      <c r="A6" s="14"/>
      <c r="B6" s="648"/>
      <c r="C6" s="648"/>
      <c r="D6" s="428"/>
      <c r="E6" s="24"/>
      <c r="F6" s="20" t="s">
        <v>19</v>
      </c>
    </row>
    <row r="7" spans="1:9" ht="27.75" customHeight="1">
      <c r="A7" s="5"/>
      <c r="B7" s="418" t="s">
        <v>393</v>
      </c>
      <c r="C7" s="418"/>
      <c r="D7" s="427"/>
      <c r="E7" s="43"/>
      <c r="F7" s="465"/>
    </row>
    <row r="8" spans="1:9" s="160" customFormat="1" ht="32.25" customHeight="1">
      <c r="A8" s="106">
        <v>1</v>
      </c>
      <c r="B8" s="142" t="s">
        <v>69</v>
      </c>
      <c r="C8" s="150" t="s">
        <v>70</v>
      </c>
      <c r="D8" s="445" t="s">
        <v>125</v>
      </c>
      <c r="E8" s="158">
        <v>1</v>
      </c>
      <c r="F8" s="77">
        <v>2070</v>
      </c>
      <c r="H8" s="78"/>
    </row>
    <row r="9" spans="1:9" s="160" customFormat="1" ht="32.25" customHeight="1">
      <c r="A9" s="106">
        <v>2</v>
      </c>
      <c r="B9" s="142" t="s">
        <v>69</v>
      </c>
      <c r="C9" s="142" t="s">
        <v>170</v>
      </c>
      <c r="D9" s="453" t="s">
        <v>125</v>
      </c>
      <c r="E9" s="280">
        <v>1</v>
      </c>
      <c r="F9" s="77">
        <v>920</v>
      </c>
      <c r="H9" s="78"/>
    </row>
    <row r="10" spans="1:9" ht="32.25" customHeight="1">
      <c r="A10" s="106">
        <v>3</v>
      </c>
      <c r="B10" s="300" t="s">
        <v>195</v>
      </c>
      <c r="C10" s="300" t="s">
        <v>193</v>
      </c>
      <c r="D10" s="455" t="s">
        <v>125</v>
      </c>
      <c r="E10" s="303">
        <v>1</v>
      </c>
      <c r="F10" s="77">
        <v>8260.4</v>
      </c>
    </row>
    <row r="11" spans="1:9" s="160" customFormat="1" ht="32.25" customHeight="1">
      <c r="A11" s="106">
        <v>4</v>
      </c>
      <c r="B11" s="142" t="s">
        <v>69</v>
      </c>
      <c r="C11" s="174" t="s">
        <v>221</v>
      </c>
      <c r="D11" s="457" t="s">
        <v>125</v>
      </c>
      <c r="E11" s="348">
        <v>1</v>
      </c>
      <c r="F11" s="77">
        <v>259</v>
      </c>
      <c r="H11" s="78"/>
    </row>
    <row r="12" spans="1:9" ht="32.25" customHeight="1" thickBot="1">
      <c r="A12" s="396"/>
      <c r="B12" s="397" t="s">
        <v>309</v>
      </c>
      <c r="C12" s="398"/>
      <c r="D12" s="460">
        <v>0</v>
      </c>
      <c r="E12" s="399">
        <v>0</v>
      </c>
      <c r="F12" s="399">
        <v>11509.400000000003</v>
      </c>
      <c r="I12" s="464">
        <f>SUM(F8:F11)</f>
        <v>11509.4</v>
      </c>
    </row>
    <row r="13" spans="1:9" ht="27.6" thickTop="1"/>
    <row r="18" spans="1:8" s="406" customFormat="1" ht="32.25" customHeight="1">
      <c r="A18" s="2"/>
      <c r="B18" s="643"/>
      <c r="C18" s="642"/>
      <c r="D18" s="642"/>
      <c r="E18" s="642"/>
      <c r="F18" s="2"/>
      <c r="H18" s="425"/>
    </row>
    <row r="19" spans="1:8" s="406" customFormat="1" ht="32.25" customHeight="1">
      <c r="A19" s="2"/>
      <c r="B19" s="413"/>
      <c r="C19" s="415"/>
      <c r="D19" s="642"/>
      <c r="E19" s="642"/>
      <c r="F19" s="2"/>
      <c r="H19" s="425"/>
    </row>
    <row r="20" spans="1:8" s="406" customFormat="1" ht="32.25" customHeight="1">
      <c r="A20" s="2"/>
      <c r="B20" s="413"/>
      <c r="C20" s="409"/>
      <c r="D20" s="642"/>
      <c r="E20" s="642"/>
      <c r="F20" s="2"/>
      <c r="H20" s="425"/>
    </row>
  </sheetData>
  <mergeCells count="10">
    <mergeCell ref="B18:C18"/>
    <mergeCell ref="D18:E18"/>
    <mergeCell ref="D19:E19"/>
    <mergeCell ref="D20:E20"/>
    <mergeCell ref="A1:F1"/>
    <mergeCell ref="A2:F2"/>
    <mergeCell ref="A3:F3"/>
    <mergeCell ref="B4:B6"/>
    <mergeCell ref="C4:C6"/>
    <mergeCell ref="D4:F4"/>
  </mergeCells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7C56-C0D4-49A9-B716-2A2CFA833795}">
  <dimension ref="A1:Z239"/>
  <sheetViews>
    <sheetView zoomScale="70" zoomScaleNormal="70" workbookViewId="0">
      <pane ySplit="6" topLeftCell="A7" activePane="bottomLeft" state="frozen"/>
      <selection pane="bottomLeft" activeCell="J31" sqref="J31"/>
    </sheetView>
  </sheetViews>
  <sheetFormatPr defaultColWidth="12.5546875" defaultRowHeight="16.8"/>
  <cols>
    <col min="1" max="1" width="5.6640625" style="2" customWidth="1"/>
    <col min="2" max="2" width="42.5546875" style="2" customWidth="1"/>
    <col min="3" max="3" width="31.44140625" style="2" customWidth="1"/>
    <col min="4" max="4" width="17.88671875" style="2" customWidth="1"/>
    <col min="5" max="5" width="16.6640625" style="404" customWidth="1"/>
    <col min="6" max="6" width="10" style="405" customWidth="1"/>
    <col min="7" max="7" width="5.5546875" style="404" customWidth="1"/>
    <col min="8" max="8" width="16.6640625" style="2" customWidth="1"/>
    <col min="9" max="9" width="13.109375" style="2" customWidth="1"/>
    <col min="10" max="10" width="17.88671875" style="2" customWidth="1"/>
    <col min="11" max="11" width="17.6640625" style="414" customWidth="1"/>
    <col min="12" max="12" width="25" style="414" customWidth="1"/>
    <col min="13" max="13" width="16.109375" style="192" customWidth="1"/>
    <col min="14" max="14" width="20.5546875" style="404" customWidth="1"/>
    <col min="15" max="15" width="8.109375" style="405" customWidth="1"/>
    <col min="16" max="16" width="12.109375" style="2" customWidth="1"/>
    <col min="17" max="17" width="17.6640625" style="406" customWidth="1"/>
    <col min="18" max="18" width="11.33203125" style="406" customWidth="1"/>
    <col min="19" max="19" width="20" style="2" customWidth="1"/>
    <col min="20" max="16384" width="12.5546875" style="2"/>
  </cols>
  <sheetData>
    <row r="1" spans="1:19" ht="22.5" customHeight="1">
      <c r="A1" s="643" t="s">
        <v>0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</row>
    <row r="2" spans="1:19" ht="27" customHeight="1">
      <c r="A2" s="643" t="s">
        <v>1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642"/>
      <c r="S2" s="642"/>
    </row>
    <row r="3" spans="1:19" ht="22.5" customHeight="1">
      <c r="A3" s="644" t="s">
        <v>2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</row>
    <row r="4" spans="1:19" ht="34.5" customHeight="1">
      <c r="A4" s="3" t="s">
        <v>3</v>
      </c>
      <c r="B4" s="646" t="s">
        <v>4</v>
      </c>
      <c r="C4" s="646" t="s">
        <v>5</v>
      </c>
      <c r="D4" s="4" t="s">
        <v>6</v>
      </c>
      <c r="E4" s="655" t="s">
        <v>7</v>
      </c>
      <c r="F4" s="656"/>
      <c r="G4" s="656"/>
      <c r="H4" s="656"/>
      <c r="I4" s="656"/>
      <c r="J4" s="657"/>
      <c r="K4" s="669" t="s">
        <v>8</v>
      </c>
      <c r="L4" s="670"/>
      <c r="M4" s="671"/>
      <c r="N4" s="658" t="s">
        <v>9</v>
      </c>
      <c r="O4" s="656"/>
      <c r="P4" s="656"/>
      <c r="Q4" s="656"/>
      <c r="R4" s="656"/>
      <c r="S4" s="657"/>
    </row>
    <row r="5" spans="1:19" ht="24.75" customHeight="1">
      <c r="A5" s="5"/>
      <c r="B5" s="647"/>
      <c r="C5" s="647"/>
      <c r="D5" s="6"/>
      <c r="E5" s="3" t="s">
        <v>10</v>
      </c>
      <c r="F5" s="7" t="s">
        <v>11</v>
      </c>
      <c r="G5" s="8" t="s">
        <v>12</v>
      </c>
      <c r="H5" s="655" t="s">
        <v>13</v>
      </c>
      <c r="I5" s="656"/>
      <c r="J5" s="657"/>
      <c r="K5" s="9" t="s">
        <v>14</v>
      </c>
      <c r="L5" s="10" t="s">
        <v>15</v>
      </c>
      <c r="M5" s="11" t="s">
        <v>16</v>
      </c>
      <c r="N5" s="3" t="s">
        <v>10</v>
      </c>
      <c r="O5" s="12" t="s">
        <v>11</v>
      </c>
      <c r="P5" s="13" t="s">
        <v>12</v>
      </c>
      <c r="Q5" s="655" t="s">
        <v>13</v>
      </c>
      <c r="R5" s="656"/>
      <c r="S5" s="657"/>
    </row>
    <row r="6" spans="1:19" ht="27.75" customHeight="1">
      <c r="A6" s="14"/>
      <c r="B6" s="648"/>
      <c r="C6" s="648"/>
      <c r="D6" s="15"/>
      <c r="E6" s="14"/>
      <c r="F6" s="16"/>
      <c r="G6" s="17" t="s">
        <v>17</v>
      </c>
      <c r="H6" s="18" t="s">
        <v>16</v>
      </c>
      <c r="I6" s="19" t="s">
        <v>18</v>
      </c>
      <c r="J6" s="20" t="s">
        <v>19</v>
      </c>
      <c r="K6" s="21"/>
      <c r="L6" s="22"/>
      <c r="M6" s="23"/>
      <c r="N6" s="14"/>
      <c r="O6" s="24"/>
      <c r="P6" s="17" t="s">
        <v>17</v>
      </c>
      <c r="Q6" s="18" t="s">
        <v>16</v>
      </c>
      <c r="R6" s="25" t="s">
        <v>18</v>
      </c>
      <c r="S6" s="20" t="s">
        <v>19</v>
      </c>
    </row>
    <row r="7" spans="1:19" ht="32.25" customHeight="1">
      <c r="A7" s="26"/>
      <c r="B7" s="27" t="s">
        <v>20</v>
      </c>
      <c r="C7" s="28"/>
      <c r="D7" s="29"/>
      <c r="E7" s="30"/>
      <c r="F7" s="31"/>
      <c r="G7" s="32"/>
      <c r="H7" s="32"/>
      <c r="I7" s="32"/>
      <c r="J7" s="33"/>
      <c r="K7" s="34"/>
      <c r="L7" s="35"/>
      <c r="M7" s="36"/>
      <c r="N7" s="30"/>
      <c r="O7" s="31"/>
      <c r="P7" s="32"/>
      <c r="Q7" s="37"/>
      <c r="R7" s="37"/>
      <c r="S7" s="38"/>
    </row>
    <row r="8" spans="1:19" ht="32.25" customHeight="1">
      <c r="A8" s="39">
        <v>1</v>
      </c>
      <c r="B8" s="40" t="s">
        <v>21</v>
      </c>
      <c r="C8" s="41"/>
      <c r="D8" s="42"/>
      <c r="E8" s="6"/>
      <c r="F8" s="43"/>
      <c r="G8" s="6"/>
      <c r="H8" s="42"/>
      <c r="I8" s="42"/>
      <c r="J8" s="42"/>
      <c r="K8" s="44"/>
      <c r="L8" s="45"/>
      <c r="M8" s="46"/>
      <c r="N8" s="5"/>
      <c r="O8" s="43"/>
      <c r="P8" s="47"/>
      <c r="Q8" s="48"/>
      <c r="R8" s="48"/>
      <c r="S8" s="49"/>
    </row>
    <row r="9" spans="1:19" ht="32.25" customHeight="1" thickBot="1">
      <c r="A9" s="39"/>
      <c r="B9" s="50" t="s">
        <v>19</v>
      </c>
      <c r="C9" s="50"/>
      <c r="D9" s="51">
        <v>0</v>
      </c>
      <c r="E9" s="52"/>
      <c r="F9" s="53"/>
      <c r="G9" s="52"/>
      <c r="H9" s="51">
        <v>0</v>
      </c>
      <c r="I9" s="51">
        <v>0</v>
      </c>
      <c r="J9" s="51">
        <v>0</v>
      </c>
      <c r="K9" s="54"/>
      <c r="L9" s="55"/>
      <c r="M9" s="56">
        <v>0</v>
      </c>
      <c r="N9" s="57"/>
      <c r="O9" s="53"/>
      <c r="P9" s="51"/>
      <c r="Q9" s="51"/>
      <c r="R9" s="51"/>
      <c r="S9" s="51"/>
    </row>
    <row r="10" spans="1:19" ht="32.25" customHeight="1" thickTop="1">
      <c r="A10" s="39"/>
      <c r="B10" s="58" t="s">
        <v>22</v>
      </c>
      <c r="C10" s="59"/>
      <c r="D10" s="60"/>
      <c r="E10" s="61"/>
      <c r="F10" s="62"/>
      <c r="G10" s="63"/>
      <c r="H10" s="64"/>
      <c r="I10" s="64"/>
      <c r="J10" s="64"/>
      <c r="K10" s="65"/>
      <c r="L10" s="66"/>
      <c r="M10" s="67"/>
      <c r="N10" s="68"/>
      <c r="O10" s="62"/>
      <c r="P10" s="69"/>
      <c r="Q10" s="63"/>
      <c r="R10" s="63"/>
      <c r="S10" s="70"/>
    </row>
    <row r="11" spans="1:19" s="78" customFormat="1" ht="32.25" customHeight="1">
      <c r="A11" s="39">
        <v>1</v>
      </c>
      <c r="B11" s="71" t="s">
        <v>23</v>
      </c>
      <c r="C11" s="71" t="s">
        <v>24</v>
      </c>
      <c r="D11" s="72">
        <v>2182.8000000000002</v>
      </c>
      <c r="E11" s="6"/>
      <c r="F11" s="43"/>
      <c r="G11" s="48"/>
      <c r="H11" s="73">
        <v>0</v>
      </c>
      <c r="I11" s="73">
        <v>0</v>
      </c>
      <c r="J11" s="73">
        <v>0</v>
      </c>
      <c r="K11" s="74" t="s">
        <v>25</v>
      </c>
      <c r="L11" s="75" t="s">
        <v>26</v>
      </c>
      <c r="M11" s="76">
        <v>2182.8000000000002</v>
      </c>
      <c r="N11" s="5"/>
      <c r="O11" s="43"/>
      <c r="P11" s="47"/>
      <c r="Q11" s="48">
        <f>+S11-R11</f>
        <v>0</v>
      </c>
      <c r="R11" s="48">
        <f>+S11*0.0654205607476635</f>
        <v>0</v>
      </c>
      <c r="S11" s="77">
        <f>+D11+J11-M11</f>
        <v>0</v>
      </c>
    </row>
    <row r="12" spans="1:19" s="78" customFormat="1" ht="32.25" customHeight="1">
      <c r="A12" s="39">
        <v>2</v>
      </c>
      <c r="B12" s="71" t="s">
        <v>27</v>
      </c>
      <c r="C12" s="71" t="s">
        <v>24</v>
      </c>
      <c r="D12" s="72">
        <v>429.07</v>
      </c>
      <c r="E12" s="6"/>
      <c r="F12" s="43"/>
      <c r="G12" s="48"/>
      <c r="H12" s="73">
        <v>0</v>
      </c>
      <c r="I12" s="73">
        <v>0</v>
      </c>
      <c r="J12" s="73">
        <v>0</v>
      </c>
      <c r="K12" s="74" t="s">
        <v>28</v>
      </c>
      <c r="L12" s="75" t="s">
        <v>29</v>
      </c>
      <c r="M12" s="76">
        <v>429.07</v>
      </c>
      <c r="N12" s="5"/>
      <c r="O12" s="43"/>
      <c r="P12" s="47"/>
      <c r="Q12" s="48">
        <f>+S12-R12</f>
        <v>0</v>
      </c>
      <c r="R12" s="48">
        <f>+S12*0.0654205607476635</f>
        <v>0</v>
      </c>
      <c r="S12" s="77">
        <f>+D12+J12-M12</f>
        <v>0</v>
      </c>
    </row>
    <row r="13" spans="1:19" s="78" customFormat="1" ht="32.25" customHeight="1">
      <c r="A13" s="39">
        <v>3</v>
      </c>
      <c r="B13" s="71" t="s">
        <v>30</v>
      </c>
      <c r="C13" s="71" t="s">
        <v>24</v>
      </c>
      <c r="D13" s="72">
        <v>199.02</v>
      </c>
      <c r="E13" s="6"/>
      <c r="F13" s="43"/>
      <c r="G13" s="48"/>
      <c r="H13" s="73">
        <v>0</v>
      </c>
      <c r="I13" s="73">
        <v>0</v>
      </c>
      <c r="J13" s="73">
        <v>0</v>
      </c>
      <c r="K13" s="74" t="s">
        <v>28</v>
      </c>
      <c r="L13" s="75" t="s">
        <v>31</v>
      </c>
      <c r="M13" s="76">
        <v>199.02</v>
      </c>
      <c r="N13" s="5"/>
      <c r="O13" s="43"/>
      <c r="P13" s="47"/>
      <c r="Q13" s="48">
        <f>+S13-R13</f>
        <v>0</v>
      </c>
      <c r="R13" s="48">
        <f>+S13*0.0654205607476635</f>
        <v>0</v>
      </c>
      <c r="S13" s="77">
        <f>+D13+J13-M13</f>
        <v>0</v>
      </c>
    </row>
    <row r="14" spans="1:19" s="78" customFormat="1" ht="32.25" customHeight="1">
      <c r="A14" s="39">
        <v>4</v>
      </c>
      <c r="B14" s="79"/>
      <c r="C14" s="80"/>
      <c r="D14" s="81"/>
      <c r="E14" s="6"/>
      <c r="F14" s="43"/>
      <c r="G14" s="48"/>
      <c r="H14" s="73"/>
      <c r="I14" s="73"/>
      <c r="J14" s="73"/>
      <c r="K14" s="82"/>
      <c r="L14" s="45"/>
      <c r="M14" s="46"/>
      <c r="N14" s="5"/>
      <c r="O14" s="43"/>
      <c r="P14" s="47"/>
      <c r="Q14" s="48"/>
      <c r="R14" s="48"/>
      <c r="S14" s="49"/>
    </row>
    <row r="15" spans="1:19" s="78" customFormat="1" ht="32.25" customHeight="1">
      <c r="A15" s="39">
        <v>5</v>
      </c>
      <c r="B15" s="80"/>
      <c r="C15" s="80"/>
      <c r="D15" s="81"/>
      <c r="E15" s="6"/>
      <c r="F15" s="43"/>
      <c r="G15" s="6"/>
      <c r="H15" s="42"/>
      <c r="I15" s="42"/>
      <c r="J15" s="42"/>
      <c r="K15" s="44"/>
      <c r="L15" s="45"/>
      <c r="M15" s="46"/>
      <c r="N15" s="5"/>
      <c r="O15" s="43"/>
      <c r="P15" s="47"/>
      <c r="Q15" s="48"/>
      <c r="R15" s="48"/>
      <c r="S15" s="49"/>
    </row>
    <row r="16" spans="1:19" ht="32.25" customHeight="1" thickBot="1">
      <c r="A16" s="39"/>
      <c r="B16" s="50" t="s">
        <v>19</v>
      </c>
      <c r="C16" s="50"/>
      <c r="D16" s="51">
        <f>SUM(D11:D15)</f>
        <v>2810.8900000000003</v>
      </c>
      <c r="E16" s="52"/>
      <c r="F16" s="53"/>
      <c r="G16" s="52"/>
      <c r="H16" s="51">
        <v>0</v>
      </c>
      <c r="I16" s="51">
        <v>0</v>
      </c>
      <c r="J16" s="51">
        <v>0</v>
      </c>
      <c r="K16" s="83"/>
      <c r="L16" s="84"/>
      <c r="M16" s="56">
        <f>SUM(M11:M15)</f>
        <v>2810.8900000000003</v>
      </c>
      <c r="N16" s="57"/>
      <c r="O16" s="53"/>
      <c r="P16" s="85"/>
      <c r="Q16" s="86"/>
      <c r="R16" s="86"/>
      <c r="S16" s="87"/>
    </row>
    <row r="17" spans="1:19" ht="32.25" customHeight="1" thickTop="1">
      <c r="A17" s="39"/>
      <c r="B17" s="58" t="s">
        <v>32</v>
      </c>
      <c r="C17" s="59"/>
      <c r="D17" s="60"/>
      <c r="E17" s="61"/>
      <c r="F17" s="62"/>
      <c r="G17" s="63"/>
      <c r="H17" s="64"/>
      <c r="I17" s="64"/>
      <c r="J17" s="64"/>
      <c r="K17" s="65"/>
      <c r="L17" s="66"/>
      <c r="M17" s="67"/>
      <c r="N17" s="68"/>
      <c r="O17" s="62"/>
      <c r="P17" s="69"/>
      <c r="Q17" s="63"/>
      <c r="R17" s="63"/>
      <c r="S17" s="70"/>
    </row>
    <row r="18" spans="1:19" s="78" customFormat="1" ht="32.25" customHeight="1">
      <c r="A18" s="39">
        <v>1</v>
      </c>
      <c r="B18" s="71" t="s">
        <v>23</v>
      </c>
      <c r="C18" s="71" t="s">
        <v>33</v>
      </c>
      <c r="D18" s="88">
        <v>600</v>
      </c>
      <c r="E18" s="6"/>
      <c r="F18" s="43"/>
      <c r="G18" s="89"/>
      <c r="H18" s="42">
        <v>0</v>
      </c>
      <c r="I18" s="42">
        <v>0</v>
      </c>
      <c r="J18" s="42">
        <v>0</v>
      </c>
      <c r="K18" s="74" t="s">
        <v>25</v>
      </c>
      <c r="L18" s="90" t="s">
        <v>34</v>
      </c>
      <c r="M18" s="76">
        <v>600</v>
      </c>
      <c r="N18" s="5"/>
      <c r="O18" s="43"/>
      <c r="P18" s="47"/>
      <c r="Q18" s="91">
        <f>+S18-R18</f>
        <v>0</v>
      </c>
      <c r="R18" s="92">
        <f>+S18*0.0654205607476635</f>
        <v>0</v>
      </c>
      <c r="S18" s="93">
        <f>+D18+J18-M18</f>
        <v>0</v>
      </c>
    </row>
    <row r="19" spans="1:19" s="78" customFormat="1" ht="32.25" customHeight="1">
      <c r="A19" s="39">
        <v>2</v>
      </c>
      <c r="B19" s="71" t="s">
        <v>27</v>
      </c>
      <c r="C19" s="71" t="s">
        <v>33</v>
      </c>
      <c r="D19" s="88">
        <v>180</v>
      </c>
      <c r="E19" s="6"/>
      <c r="F19" s="43"/>
      <c r="G19" s="89"/>
      <c r="H19" s="42"/>
      <c r="I19" s="42"/>
      <c r="J19" s="42">
        <v>0</v>
      </c>
      <c r="K19" s="74" t="s">
        <v>28</v>
      </c>
      <c r="L19" s="94" t="s">
        <v>35</v>
      </c>
      <c r="M19" s="76">
        <v>180</v>
      </c>
      <c r="N19" s="5"/>
      <c r="O19" s="43"/>
      <c r="P19" s="47"/>
      <c r="Q19" s="91">
        <f>+S19-R19</f>
        <v>0</v>
      </c>
      <c r="R19" s="92">
        <f>+S19*0.0654205607476635</f>
        <v>0</v>
      </c>
      <c r="S19" s="95">
        <f>+D19+J19-M19</f>
        <v>0</v>
      </c>
    </row>
    <row r="20" spans="1:19" s="78" customFormat="1" ht="32.25" customHeight="1">
      <c r="A20" s="39">
        <v>3</v>
      </c>
      <c r="B20" s="71" t="s">
        <v>30</v>
      </c>
      <c r="C20" s="71" t="s">
        <v>33</v>
      </c>
      <c r="D20" s="96">
        <v>0</v>
      </c>
      <c r="E20" s="6"/>
      <c r="F20" s="43"/>
      <c r="G20" s="89"/>
      <c r="H20" s="42"/>
      <c r="I20" s="42"/>
      <c r="J20" s="42"/>
      <c r="K20" s="97"/>
      <c r="L20" s="98"/>
      <c r="M20" s="99"/>
      <c r="N20" s="5"/>
      <c r="O20" s="43"/>
      <c r="P20" s="47"/>
      <c r="Q20" s="6"/>
      <c r="R20" s="42"/>
      <c r="S20" s="100"/>
    </row>
    <row r="21" spans="1:19" ht="32.25" customHeight="1" thickBot="1">
      <c r="A21" s="39"/>
      <c r="B21" s="50" t="s">
        <v>19</v>
      </c>
      <c r="C21" s="50"/>
      <c r="D21" s="51">
        <f>SUM(D18:D20)</f>
        <v>780</v>
      </c>
      <c r="E21" s="52"/>
      <c r="F21" s="53"/>
      <c r="G21" s="52"/>
      <c r="H21" s="51">
        <v>0</v>
      </c>
      <c r="I21" s="51">
        <v>0</v>
      </c>
      <c r="J21" s="51">
        <v>0</v>
      </c>
      <c r="K21" s="101"/>
      <c r="L21" s="102"/>
      <c r="M21" s="103">
        <f>SUM(M18:M20)</f>
        <v>780</v>
      </c>
      <c r="N21" s="57"/>
      <c r="O21" s="53"/>
      <c r="P21" s="51"/>
      <c r="Q21" s="51"/>
      <c r="R21" s="51"/>
      <c r="S21" s="51"/>
    </row>
    <row r="22" spans="1:19" ht="32.25" hidden="1" customHeight="1">
      <c r="A22" s="104" t="s">
        <v>36</v>
      </c>
      <c r="B22" s="104" t="s">
        <v>37</v>
      </c>
      <c r="C22" s="105">
        <v>780</v>
      </c>
      <c r="D22" s="60"/>
      <c r="E22" s="61"/>
      <c r="F22" s="62"/>
      <c r="G22" s="63"/>
      <c r="H22" s="64"/>
      <c r="I22" s="64"/>
      <c r="J22" s="64"/>
      <c r="K22" s="65"/>
      <c r="L22" s="66"/>
      <c r="M22" s="67"/>
      <c r="N22" s="68"/>
      <c r="O22" s="62"/>
      <c r="P22" s="69"/>
      <c r="Q22" s="63"/>
      <c r="R22" s="63"/>
      <c r="S22" s="70"/>
    </row>
    <row r="23" spans="1:19" ht="32.25" hidden="1" customHeight="1">
      <c r="A23" s="104" t="s">
        <v>36</v>
      </c>
      <c r="B23" s="104" t="s">
        <v>38</v>
      </c>
      <c r="C23" s="105">
        <v>180</v>
      </c>
      <c r="D23" s="42"/>
      <c r="E23" s="6"/>
      <c r="F23" s="43"/>
      <c r="G23" s="6"/>
      <c r="H23" s="42"/>
      <c r="I23" s="42"/>
      <c r="J23" s="42"/>
      <c r="K23" s="44"/>
      <c r="L23" s="45"/>
      <c r="M23" s="46"/>
      <c r="N23" s="5"/>
      <c r="O23" s="43"/>
      <c r="P23" s="47"/>
      <c r="Q23" s="48"/>
      <c r="R23" s="48"/>
      <c r="S23" s="49"/>
    </row>
    <row r="24" spans="1:19" ht="32.25" hidden="1" customHeight="1">
      <c r="A24" s="39"/>
      <c r="B24" s="50" t="s">
        <v>19</v>
      </c>
      <c r="C24" s="50"/>
      <c r="D24" s="51">
        <v>0</v>
      </c>
      <c r="E24" s="52"/>
      <c r="F24" s="53"/>
      <c r="G24" s="52"/>
      <c r="H24" s="51">
        <v>0</v>
      </c>
      <c r="I24" s="51">
        <v>0</v>
      </c>
      <c r="J24" s="51">
        <v>0</v>
      </c>
      <c r="K24" s="54"/>
      <c r="L24" s="55"/>
      <c r="M24" s="56"/>
      <c r="N24" s="57"/>
      <c r="O24" s="53"/>
      <c r="P24" s="51"/>
      <c r="Q24" s="51"/>
      <c r="R24" s="51"/>
      <c r="S24" s="51"/>
    </row>
    <row r="25" spans="1:19" ht="32.25" hidden="1" customHeight="1">
      <c r="A25" s="39"/>
      <c r="B25" s="58" t="s">
        <v>39</v>
      </c>
      <c r="C25" s="59"/>
      <c r="D25" s="60"/>
      <c r="E25" s="61"/>
      <c r="F25" s="62"/>
      <c r="G25" s="63"/>
      <c r="H25" s="64"/>
      <c r="I25" s="64"/>
      <c r="J25" s="64"/>
      <c r="K25" s="65"/>
      <c r="L25" s="66"/>
      <c r="M25" s="67"/>
      <c r="N25" s="68"/>
      <c r="O25" s="62"/>
      <c r="P25" s="69"/>
      <c r="Q25" s="63"/>
      <c r="R25" s="63"/>
      <c r="S25" s="70"/>
    </row>
    <row r="26" spans="1:19" ht="32.25" hidden="1" customHeight="1">
      <c r="A26" s="39">
        <v>1</v>
      </c>
      <c r="B26" s="40"/>
      <c r="C26" s="41"/>
      <c r="D26" s="42"/>
      <c r="E26" s="6"/>
      <c r="F26" s="43"/>
      <c r="G26" s="6"/>
      <c r="H26" s="42"/>
      <c r="I26" s="42"/>
      <c r="J26" s="42"/>
      <c r="K26" s="44"/>
      <c r="L26" s="45"/>
      <c r="M26" s="46"/>
      <c r="N26" s="5"/>
      <c r="O26" s="43"/>
      <c r="P26" s="47"/>
      <c r="Q26" s="48"/>
      <c r="R26" s="48"/>
      <c r="S26" s="49"/>
    </row>
    <row r="27" spans="1:19" ht="32.25" hidden="1" customHeight="1">
      <c r="A27" s="39"/>
      <c r="B27" s="50" t="s">
        <v>19</v>
      </c>
      <c r="C27" s="50"/>
      <c r="D27" s="51">
        <v>0</v>
      </c>
      <c r="E27" s="52"/>
      <c r="F27" s="53"/>
      <c r="G27" s="52"/>
      <c r="H27" s="51">
        <v>0</v>
      </c>
      <c r="I27" s="51">
        <v>0</v>
      </c>
      <c r="J27" s="51">
        <v>0</v>
      </c>
      <c r="K27" s="54"/>
      <c r="L27" s="55"/>
      <c r="M27" s="56"/>
      <c r="N27" s="57"/>
      <c r="O27" s="53"/>
      <c r="P27" s="51"/>
      <c r="Q27" s="51"/>
      <c r="R27" s="51"/>
      <c r="S27" s="51"/>
    </row>
    <row r="28" spans="1:19" ht="32.25" hidden="1" customHeight="1">
      <c r="A28" s="39"/>
      <c r="B28" s="58" t="s">
        <v>40</v>
      </c>
      <c r="C28" s="59"/>
      <c r="D28" s="60"/>
      <c r="E28" s="61"/>
      <c r="F28" s="62"/>
      <c r="G28" s="63"/>
      <c r="H28" s="64"/>
      <c r="I28" s="64"/>
      <c r="J28" s="64"/>
      <c r="K28" s="65"/>
      <c r="L28" s="66"/>
      <c r="M28" s="67"/>
      <c r="N28" s="68"/>
      <c r="O28" s="62"/>
      <c r="P28" s="69"/>
      <c r="Q28" s="63"/>
      <c r="R28" s="63"/>
      <c r="S28" s="70"/>
    </row>
    <row r="29" spans="1:19" ht="32.25" hidden="1" customHeight="1">
      <c r="A29" s="39">
        <v>1</v>
      </c>
      <c r="B29" s="40"/>
      <c r="C29" s="41"/>
      <c r="D29" s="42"/>
      <c r="E29" s="6"/>
      <c r="F29" s="43"/>
      <c r="G29" s="6"/>
      <c r="H29" s="42"/>
      <c r="I29" s="42"/>
      <c r="J29" s="42"/>
      <c r="K29" s="44"/>
      <c r="L29" s="45"/>
      <c r="M29" s="46"/>
      <c r="N29" s="5"/>
      <c r="O29" s="43"/>
      <c r="P29" s="47"/>
      <c r="Q29" s="48"/>
      <c r="R29" s="48"/>
      <c r="S29" s="49"/>
    </row>
    <row r="30" spans="1:19" ht="32.25" hidden="1" customHeight="1">
      <c r="A30" s="39"/>
      <c r="B30" s="50" t="s">
        <v>19</v>
      </c>
      <c r="C30" s="50"/>
      <c r="D30" s="51">
        <v>0</v>
      </c>
      <c r="E30" s="52"/>
      <c r="F30" s="53"/>
      <c r="G30" s="52"/>
      <c r="H30" s="51">
        <v>0</v>
      </c>
      <c r="I30" s="51">
        <v>0</v>
      </c>
      <c r="J30" s="51">
        <v>0</v>
      </c>
      <c r="K30" s="54"/>
      <c r="L30" s="55"/>
      <c r="M30" s="56"/>
      <c r="N30" s="57"/>
      <c r="O30" s="53"/>
      <c r="P30" s="51"/>
      <c r="Q30" s="51"/>
      <c r="R30" s="51"/>
      <c r="S30" s="51"/>
    </row>
    <row r="31" spans="1:19" ht="32.25" customHeight="1" thickTop="1">
      <c r="A31" s="39"/>
      <c r="B31" s="58" t="s">
        <v>41</v>
      </c>
      <c r="C31" s="59"/>
      <c r="D31" s="60"/>
      <c r="E31" s="61"/>
      <c r="F31" s="62"/>
      <c r="G31" s="63"/>
      <c r="H31" s="64"/>
      <c r="I31" s="64"/>
      <c r="J31" s="64"/>
      <c r="K31" s="65"/>
      <c r="L31" s="66"/>
      <c r="M31" s="67"/>
      <c r="N31" s="68"/>
      <c r="O31" s="62"/>
      <c r="P31" s="69"/>
      <c r="Q31" s="63"/>
      <c r="R31" s="63"/>
      <c r="S31" s="70"/>
    </row>
    <row r="32" spans="1:19" ht="32.25" customHeight="1">
      <c r="A32" s="106">
        <v>1</v>
      </c>
      <c r="B32" s="107" t="s">
        <v>42</v>
      </c>
      <c r="C32" s="107" t="s">
        <v>43</v>
      </c>
      <c r="D32" s="108"/>
      <c r="E32" s="109"/>
      <c r="F32" s="110"/>
      <c r="G32" s="111"/>
      <c r="H32" s="111"/>
      <c r="I32" s="112"/>
      <c r="J32" s="113"/>
      <c r="K32" s="74"/>
      <c r="L32" s="75"/>
      <c r="M32" s="76"/>
      <c r="N32" s="114"/>
      <c r="O32" s="115"/>
      <c r="P32" s="92"/>
      <c r="Q32" s="91">
        <f>+S32-R32</f>
        <v>0</v>
      </c>
      <c r="R32" s="92">
        <f>+S32*0.0654205607476635</f>
        <v>0</v>
      </c>
      <c r="S32" s="77">
        <f>+D32+J32-M32</f>
        <v>0</v>
      </c>
    </row>
    <row r="33" spans="1:19" ht="32.25" customHeight="1">
      <c r="A33" s="116">
        <v>2</v>
      </c>
      <c r="B33" s="117" t="s">
        <v>44</v>
      </c>
      <c r="C33" s="107" t="s">
        <v>43</v>
      </c>
      <c r="D33" s="108"/>
      <c r="E33" s="118"/>
      <c r="F33" s="119"/>
      <c r="G33" s="111"/>
      <c r="H33" s="111"/>
      <c r="I33" s="120"/>
      <c r="J33" s="121"/>
      <c r="K33" s="74"/>
      <c r="L33" s="75"/>
      <c r="M33" s="76"/>
      <c r="N33" s="114"/>
      <c r="O33" s="122"/>
      <c r="P33" s="92"/>
      <c r="Q33" s="91">
        <f>+S33-R33</f>
        <v>0</v>
      </c>
      <c r="R33" s="92">
        <f>+S33*0.0654205607476635</f>
        <v>0</v>
      </c>
      <c r="S33" s="77">
        <f>+D33+J33-M33</f>
        <v>0</v>
      </c>
    </row>
    <row r="34" spans="1:19" ht="32.25" customHeight="1">
      <c r="A34" s="106">
        <v>3</v>
      </c>
      <c r="B34" s="117" t="s">
        <v>45</v>
      </c>
      <c r="C34" s="107" t="s">
        <v>43</v>
      </c>
      <c r="D34" s="123"/>
      <c r="E34" s="109"/>
      <c r="F34" s="110"/>
      <c r="G34" s="124"/>
      <c r="H34" s="124"/>
      <c r="I34" s="112"/>
      <c r="J34" s="113"/>
      <c r="K34" s="74"/>
      <c r="L34" s="75"/>
      <c r="M34" s="76"/>
      <c r="N34" s="114"/>
      <c r="O34" s="115"/>
      <c r="P34" s="125"/>
      <c r="Q34" s="91">
        <f t="shared" ref="Q34:Q38" si="0">+S34-R34</f>
        <v>0</v>
      </c>
      <c r="R34" s="92">
        <f t="shared" ref="R34:R38" si="1">+S34*0.0654205607476635</f>
        <v>0</v>
      </c>
      <c r="S34" s="77">
        <f t="shared" ref="S34:S38" si="2">+D34+J34-M34</f>
        <v>0</v>
      </c>
    </row>
    <row r="35" spans="1:19" ht="32.25" customHeight="1">
      <c r="A35" s="116"/>
      <c r="B35" s="117"/>
      <c r="C35" s="107"/>
      <c r="D35" s="123"/>
      <c r="E35" s="126"/>
      <c r="F35" s="127"/>
      <c r="G35" s="126"/>
      <c r="H35" s="128"/>
      <c r="I35" s="128"/>
      <c r="J35" s="129"/>
      <c r="K35" s="74"/>
      <c r="L35" s="75"/>
      <c r="M35" s="76"/>
      <c r="N35" s="30"/>
      <c r="O35" s="31"/>
      <c r="P35" s="31"/>
      <c r="Q35" s="91">
        <f t="shared" si="0"/>
        <v>0</v>
      </c>
      <c r="R35" s="92">
        <f t="shared" si="1"/>
        <v>0</v>
      </c>
      <c r="S35" s="77">
        <f t="shared" si="2"/>
        <v>0</v>
      </c>
    </row>
    <row r="36" spans="1:19" ht="32.25" customHeight="1">
      <c r="A36" s="106"/>
      <c r="B36" s="117" t="s">
        <v>46</v>
      </c>
      <c r="C36" s="107"/>
      <c r="D36" s="123"/>
      <c r="E36" s="126"/>
      <c r="F36" s="127"/>
      <c r="G36" s="126"/>
      <c r="H36" s="128"/>
      <c r="I36" s="128"/>
      <c r="J36" s="129"/>
      <c r="K36" s="74"/>
      <c r="L36" s="75"/>
      <c r="M36" s="76"/>
      <c r="N36" s="114"/>
      <c r="O36" s="115"/>
      <c r="P36" s="115"/>
      <c r="Q36" s="91">
        <f t="shared" si="0"/>
        <v>0</v>
      </c>
      <c r="R36" s="92">
        <f t="shared" si="1"/>
        <v>0</v>
      </c>
      <c r="S36" s="77">
        <f t="shared" si="2"/>
        <v>0</v>
      </c>
    </row>
    <row r="37" spans="1:19" ht="32.25" customHeight="1">
      <c r="A37" s="116"/>
      <c r="B37" s="130"/>
      <c r="C37" s="130"/>
      <c r="D37" s="72"/>
      <c r="E37" s="131"/>
      <c r="F37" s="115"/>
      <c r="G37" s="131"/>
      <c r="H37" s="125"/>
      <c r="I37" s="125"/>
      <c r="J37" s="132"/>
      <c r="K37" s="133"/>
      <c r="L37" s="134"/>
      <c r="M37" s="135"/>
      <c r="N37" s="114"/>
      <c r="O37" s="115"/>
      <c r="P37" s="115"/>
      <c r="Q37" s="91">
        <f t="shared" si="0"/>
        <v>0</v>
      </c>
      <c r="R37" s="92">
        <f t="shared" si="1"/>
        <v>0</v>
      </c>
      <c r="S37" s="77">
        <f t="shared" si="2"/>
        <v>0</v>
      </c>
    </row>
    <row r="38" spans="1:19" ht="32.25" customHeight="1">
      <c r="A38" s="116"/>
      <c r="B38" s="130"/>
      <c r="C38" s="130"/>
      <c r="D38" s="72"/>
      <c r="E38" s="6"/>
      <c r="F38" s="43"/>
      <c r="G38" s="6"/>
      <c r="H38" s="42"/>
      <c r="I38" s="42"/>
      <c r="J38" s="136"/>
      <c r="K38" s="137"/>
      <c r="L38" s="138"/>
      <c r="M38" s="139"/>
      <c r="N38" s="5"/>
      <c r="O38" s="43"/>
      <c r="P38" s="43"/>
      <c r="Q38" s="91">
        <f t="shared" si="0"/>
        <v>0</v>
      </c>
      <c r="R38" s="92">
        <f t="shared" si="1"/>
        <v>0</v>
      </c>
      <c r="S38" s="77">
        <f t="shared" si="2"/>
        <v>0</v>
      </c>
    </row>
    <row r="39" spans="1:19" ht="32.25" customHeight="1" thickBot="1">
      <c r="A39" s="39"/>
      <c r="B39" s="50" t="s">
        <v>19</v>
      </c>
      <c r="C39" s="50"/>
      <c r="D39" s="51">
        <f>SUM(D32:D38)</f>
        <v>0</v>
      </c>
      <c r="E39" s="52"/>
      <c r="F39" s="53"/>
      <c r="G39" s="52"/>
      <c r="H39" s="51">
        <v>0</v>
      </c>
      <c r="I39" s="51">
        <v>0</v>
      </c>
      <c r="J39" s="51">
        <v>0</v>
      </c>
      <c r="K39" s="55"/>
      <c r="L39" s="55"/>
      <c r="M39" s="140">
        <f>SUM(M32:M38)</f>
        <v>0</v>
      </c>
      <c r="N39" s="57"/>
      <c r="O39" s="53"/>
      <c r="P39" s="51"/>
      <c r="Q39" s="51"/>
      <c r="R39" s="51"/>
      <c r="S39" s="51"/>
    </row>
    <row r="40" spans="1:19" ht="32.25" customHeight="1" thickTop="1">
      <c r="A40" s="39"/>
      <c r="B40" s="58" t="s">
        <v>47</v>
      </c>
      <c r="C40" s="59"/>
      <c r="D40" s="60"/>
      <c r="E40" s="61"/>
      <c r="F40" s="62"/>
      <c r="G40" s="63"/>
      <c r="H40" s="64"/>
      <c r="I40" s="64"/>
      <c r="J40" s="64"/>
      <c r="K40" s="65"/>
      <c r="L40" s="66"/>
      <c r="M40" s="67"/>
      <c r="N40" s="68"/>
      <c r="O40" s="62"/>
      <c r="P40" s="69"/>
      <c r="Q40" s="63"/>
      <c r="R40" s="63"/>
      <c r="S40" s="70"/>
    </row>
    <row r="41" spans="1:19" ht="32.25" customHeight="1">
      <c r="A41" s="39">
        <v>1</v>
      </c>
      <c r="B41" s="40"/>
      <c r="C41" s="41"/>
      <c r="D41" s="42"/>
      <c r="E41" s="6"/>
      <c r="F41" s="43"/>
      <c r="G41" s="6"/>
      <c r="H41" s="42"/>
      <c r="I41" s="42"/>
      <c r="J41" s="42"/>
      <c r="K41" s="44"/>
      <c r="L41" s="45"/>
      <c r="M41" s="46"/>
      <c r="N41" s="5"/>
      <c r="O41" s="43"/>
      <c r="P41" s="47"/>
      <c r="Q41" s="48"/>
      <c r="R41" s="48"/>
      <c r="S41" s="49"/>
    </row>
    <row r="42" spans="1:19" ht="32.25" customHeight="1" thickBot="1">
      <c r="A42" s="39"/>
      <c r="B42" s="50" t="s">
        <v>19</v>
      </c>
      <c r="C42" s="50"/>
      <c r="D42" s="51">
        <v>0</v>
      </c>
      <c r="E42" s="52"/>
      <c r="F42" s="53"/>
      <c r="G42" s="52"/>
      <c r="H42" s="51">
        <v>0</v>
      </c>
      <c r="I42" s="51">
        <v>0</v>
      </c>
      <c r="J42" s="51">
        <v>0</v>
      </c>
      <c r="K42" s="54"/>
      <c r="L42" s="55"/>
      <c r="M42" s="56"/>
      <c r="N42" s="57"/>
      <c r="O42" s="53"/>
      <c r="P42" s="51"/>
      <c r="Q42" s="51"/>
      <c r="R42" s="51"/>
      <c r="S42" s="51"/>
    </row>
    <row r="43" spans="1:19" ht="32.25" customHeight="1" thickTop="1">
      <c r="A43" s="39"/>
      <c r="B43" s="58" t="s">
        <v>48</v>
      </c>
      <c r="C43" s="59"/>
      <c r="D43" s="60"/>
      <c r="E43" s="61"/>
      <c r="F43" s="62"/>
      <c r="G43" s="63"/>
      <c r="H43" s="64"/>
      <c r="I43" s="64"/>
      <c r="J43" s="64"/>
      <c r="K43" s="65"/>
      <c r="L43" s="66"/>
      <c r="M43" s="67"/>
      <c r="N43" s="68"/>
      <c r="O43" s="62"/>
      <c r="P43" s="69"/>
      <c r="Q43" s="63"/>
      <c r="R43" s="63"/>
      <c r="S43" s="70"/>
    </row>
    <row r="44" spans="1:19" ht="32.25" customHeight="1">
      <c r="A44" s="39">
        <v>1</v>
      </c>
      <c r="B44" s="40"/>
      <c r="C44" s="41"/>
      <c r="D44" s="42"/>
      <c r="E44" s="6"/>
      <c r="F44" s="43"/>
      <c r="G44" s="6"/>
      <c r="H44" s="42"/>
      <c r="I44" s="42"/>
      <c r="J44" s="42"/>
      <c r="K44" s="44"/>
      <c r="L44" s="45"/>
      <c r="M44" s="46"/>
      <c r="N44" s="5"/>
      <c r="O44" s="43"/>
      <c r="P44" s="47"/>
      <c r="Q44" s="48"/>
      <c r="R44" s="48"/>
      <c r="S44" s="49"/>
    </row>
    <row r="45" spans="1:19" ht="32.25" customHeight="1" thickBot="1">
      <c r="A45" s="39"/>
      <c r="B45" s="50" t="s">
        <v>19</v>
      </c>
      <c r="C45" s="50"/>
      <c r="D45" s="51">
        <v>0</v>
      </c>
      <c r="E45" s="52"/>
      <c r="F45" s="53"/>
      <c r="G45" s="52"/>
      <c r="H45" s="51">
        <v>0</v>
      </c>
      <c r="I45" s="51">
        <v>0</v>
      </c>
      <c r="J45" s="51">
        <v>0</v>
      </c>
      <c r="K45" s="54"/>
      <c r="L45" s="55"/>
      <c r="M45" s="56"/>
      <c r="N45" s="57"/>
      <c r="O45" s="53"/>
      <c r="P45" s="51"/>
      <c r="Q45" s="51"/>
      <c r="R45" s="51"/>
      <c r="S45" s="51"/>
    </row>
    <row r="46" spans="1:19" ht="32.25" customHeight="1" thickTop="1">
      <c r="A46" s="39"/>
      <c r="B46" s="58" t="s">
        <v>49</v>
      </c>
      <c r="C46" s="59"/>
      <c r="D46" s="60"/>
      <c r="E46" s="61"/>
      <c r="F46" s="62"/>
      <c r="G46" s="63"/>
      <c r="H46" s="64"/>
      <c r="I46" s="64"/>
      <c r="J46" s="64"/>
      <c r="K46" s="65"/>
      <c r="L46" s="66"/>
      <c r="M46" s="67"/>
      <c r="N46" s="68"/>
      <c r="O46" s="62"/>
      <c r="P46" s="69"/>
      <c r="Q46" s="63"/>
      <c r="R46" s="63"/>
      <c r="S46" s="70"/>
    </row>
    <row r="47" spans="1:19" ht="32.25" customHeight="1">
      <c r="A47" s="39">
        <v>1</v>
      </c>
      <c r="B47" s="40"/>
      <c r="C47" s="41"/>
      <c r="D47" s="42"/>
      <c r="E47" s="6"/>
      <c r="F47" s="43"/>
      <c r="G47" s="6"/>
      <c r="H47" s="42"/>
      <c r="I47" s="42"/>
      <c r="J47" s="42"/>
      <c r="K47" s="44"/>
      <c r="L47" s="45"/>
      <c r="M47" s="46"/>
      <c r="N47" s="5"/>
      <c r="O47" s="43"/>
      <c r="P47" s="47"/>
      <c r="Q47" s="48"/>
      <c r="R47" s="48"/>
      <c r="S47" s="49"/>
    </row>
    <row r="48" spans="1:19" ht="32.25" customHeight="1" thickBot="1">
      <c r="A48" s="39"/>
      <c r="B48" s="50" t="s">
        <v>19</v>
      </c>
      <c r="C48" s="50"/>
      <c r="D48" s="51">
        <v>0</v>
      </c>
      <c r="E48" s="52"/>
      <c r="F48" s="53"/>
      <c r="G48" s="52"/>
      <c r="H48" s="51">
        <v>0</v>
      </c>
      <c r="I48" s="51">
        <v>0</v>
      </c>
      <c r="J48" s="51">
        <v>0</v>
      </c>
      <c r="K48" s="54"/>
      <c r="L48" s="55"/>
      <c r="M48" s="56">
        <v>0</v>
      </c>
      <c r="N48" s="57"/>
      <c r="O48" s="53"/>
      <c r="P48" s="51"/>
      <c r="Q48" s="51"/>
      <c r="R48" s="51"/>
      <c r="S48" s="51"/>
    </row>
    <row r="49" spans="1:19" ht="32.25" customHeight="1" thickTop="1">
      <c r="A49" s="39"/>
      <c r="B49" s="141" t="s">
        <v>50</v>
      </c>
      <c r="C49" s="142"/>
      <c r="D49" s="125"/>
      <c r="E49" s="131"/>
      <c r="F49" s="115"/>
      <c r="G49" s="33"/>
      <c r="H49" s="143"/>
      <c r="I49" s="143"/>
      <c r="J49" s="143"/>
      <c r="K49" s="34"/>
      <c r="L49" s="35"/>
      <c r="M49" s="36"/>
      <c r="N49" s="114"/>
      <c r="O49" s="115"/>
      <c r="P49" s="144"/>
      <c r="Q49" s="33"/>
      <c r="R49" s="33"/>
      <c r="S49" s="145"/>
    </row>
    <row r="50" spans="1:19" ht="32.25" customHeight="1">
      <c r="A50" s="39"/>
      <c r="B50" s="146" t="s">
        <v>51</v>
      </c>
      <c r="C50" s="146"/>
      <c r="D50" s="125"/>
      <c r="E50" s="131"/>
      <c r="F50" s="122"/>
      <c r="G50" s="147"/>
      <c r="H50" s="148"/>
      <c r="I50" s="148"/>
      <c r="J50" s="143"/>
      <c r="K50" s="34"/>
      <c r="L50" s="35"/>
      <c r="M50" s="36"/>
      <c r="N50" s="114"/>
      <c r="O50" s="122"/>
      <c r="P50" s="149"/>
      <c r="Q50" s="147"/>
      <c r="R50" s="147"/>
      <c r="S50" s="145"/>
    </row>
    <row r="51" spans="1:19" s="160" customFormat="1" ht="32.25" customHeight="1">
      <c r="A51" s="106">
        <v>1</v>
      </c>
      <c r="B51" s="142" t="s">
        <v>52</v>
      </c>
      <c r="C51" s="150" t="s">
        <v>53</v>
      </c>
      <c r="D51" s="151">
        <v>4140</v>
      </c>
      <c r="E51" s="152" t="s">
        <v>54</v>
      </c>
      <c r="F51" s="122"/>
      <c r="G51" s="122"/>
      <c r="H51" s="153">
        <v>-2070</v>
      </c>
      <c r="I51" s="122"/>
      <c r="J51" s="132">
        <v>-2070</v>
      </c>
      <c r="K51" s="154" t="s">
        <v>55</v>
      </c>
      <c r="L51" s="155" t="s">
        <v>56</v>
      </c>
      <c r="M51" s="156">
        <v>4140</v>
      </c>
      <c r="N51" s="157" t="s">
        <v>57</v>
      </c>
      <c r="O51" s="158"/>
      <c r="P51" s="158"/>
      <c r="Q51" s="153">
        <f t="shared" ref="Q51:Q83" si="3">S51</f>
        <v>-2070</v>
      </c>
      <c r="R51" s="153"/>
      <c r="S51" s="159">
        <f t="shared" ref="S51:S83" si="4">+D51+J51-M51</f>
        <v>-2070</v>
      </c>
    </row>
    <row r="52" spans="1:19" s="160" customFormat="1" ht="32.25" customHeight="1">
      <c r="A52" s="106">
        <v>2</v>
      </c>
      <c r="B52" s="161" t="s">
        <v>58</v>
      </c>
      <c r="C52" s="162" t="s">
        <v>59</v>
      </c>
      <c r="D52" s="151">
        <v>0</v>
      </c>
      <c r="E52" s="163"/>
      <c r="F52" s="122"/>
      <c r="G52" s="122"/>
      <c r="H52" s="91">
        <v>0</v>
      </c>
      <c r="I52" s="122"/>
      <c r="J52" s="132">
        <v>0</v>
      </c>
      <c r="K52" s="164"/>
      <c r="L52" s="165"/>
      <c r="M52" s="166"/>
      <c r="N52" s="167"/>
      <c r="O52" s="158"/>
      <c r="P52" s="158"/>
      <c r="Q52" s="91">
        <f t="shared" si="3"/>
        <v>0</v>
      </c>
      <c r="R52" s="91"/>
      <c r="S52" s="77">
        <f t="shared" si="4"/>
        <v>0</v>
      </c>
    </row>
    <row r="53" spans="1:19" s="160" customFormat="1" ht="32.25" customHeight="1">
      <c r="A53" s="106">
        <v>3</v>
      </c>
      <c r="B53" s="142" t="s">
        <v>60</v>
      </c>
      <c r="C53" s="150" t="s">
        <v>61</v>
      </c>
      <c r="D53" s="151">
        <v>2070</v>
      </c>
      <c r="E53" s="163"/>
      <c r="F53" s="122"/>
      <c r="G53" s="122"/>
      <c r="H53" s="91">
        <v>0</v>
      </c>
      <c r="I53" s="122"/>
      <c r="J53" s="132">
        <v>0</v>
      </c>
      <c r="K53" s="154" t="s">
        <v>62</v>
      </c>
      <c r="L53" s="155" t="s">
        <v>63</v>
      </c>
      <c r="M53" s="156">
        <v>2070</v>
      </c>
      <c r="N53" s="167"/>
      <c r="O53" s="158"/>
      <c r="P53" s="158"/>
      <c r="Q53" s="91">
        <f t="shared" si="3"/>
        <v>0</v>
      </c>
      <c r="R53" s="91"/>
      <c r="S53" s="77">
        <f t="shared" si="4"/>
        <v>0</v>
      </c>
    </row>
    <row r="54" spans="1:19" s="160" customFormat="1" ht="32.25" customHeight="1">
      <c r="A54" s="106">
        <v>4</v>
      </c>
      <c r="B54" s="142" t="s">
        <v>27</v>
      </c>
      <c r="C54" s="150" t="s">
        <v>64</v>
      </c>
      <c r="D54" s="151">
        <v>2070</v>
      </c>
      <c r="E54" s="163"/>
      <c r="F54" s="122"/>
      <c r="G54" s="122"/>
      <c r="H54" s="91">
        <v>0</v>
      </c>
      <c r="I54" s="122"/>
      <c r="J54" s="132">
        <v>0</v>
      </c>
      <c r="K54" s="154" t="s">
        <v>65</v>
      </c>
      <c r="L54" s="155" t="s">
        <v>66</v>
      </c>
      <c r="M54" s="156">
        <v>2070</v>
      </c>
      <c r="N54" s="167"/>
      <c r="O54" s="158"/>
      <c r="P54" s="158"/>
      <c r="Q54" s="91">
        <f t="shared" si="3"/>
        <v>0</v>
      </c>
      <c r="R54" s="91"/>
      <c r="S54" s="77">
        <f t="shared" si="4"/>
        <v>0</v>
      </c>
    </row>
    <row r="55" spans="1:19" s="160" customFormat="1" ht="32.25" customHeight="1">
      <c r="A55" s="106">
        <v>5</v>
      </c>
      <c r="B55" s="168" t="s">
        <v>42</v>
      </c>
      <c r="C55" s="150" t="s">
        <v>67</v>
      </c>
      <c r="D55" s="125">
        <v>2070</v>
      </c>
      <c r="E55" s="163"/>
      <c r="F55" s="122"/>
      <c r="G55" s="122"/>
      <c r="H55" s="91">
        <v>0</v>
      </c>
      <c r="I55" s="122"/>
      <c r="J55" s="132">
        <v>0</v>
      </c>
      <c r="K55" s="154" t="s">
        <v>65</v>
      </c>
      <c r="L55" s="155" t="s">
        <v>68</v>
      </c>
      <c r="M55" s="156">
        <v>2070</v>
      </c>
      <c r="N55" s="167"/>
      <c r="O55" s="158"/>
      <c r="P55" s="158"/>
      <c r="Q55" s="91">
        <f t="shared" si="3"/>
        <v>0</v>
      </c>
      <c r="R55" s="91"/>
      <c r="S55" s="77">
        <f t="shared" si="4"/>
        <v>0</v>
      </c>
    </row>
    <row r="56" spans="1:19" s="160" customFormat="1" ht="32.25" customHeight="1">
      <c r="A56" s="106">
        <v>6</v>
      </c>
      <c r="B56" s="142" t="s">
        <v>69</v>
      </c>
      <c r="C56" s="150" t="s">
        <v>70</v>
      </c>
      <c r="D56" s="151">
        <v>2070</v>
      </c>
      <c r="E56" s="169" t="s">
        <v>71</v>
      </c>
      <c r="F56" s="122">
        <v>1</v>
      </c>
      <c r="G56" s="122" t="s">
        <v>72</v>
      </c>
      <c r="H56" s="91">
        <v>2070</v>
      </c>
      <c r="I56" s="122"/>
      <c r="J56" s="132">
        <v>2070</v>
      </c>
      <c r="K56" s="154" t="s">
        <v>73</v>
      </c>
      <c r="L56" s="155" t="s">
        <v>74</v>
      </c>
      <c r="M56" s="156">
        <v>4140</v>
      </c>
      <c r="N56" s="169"/>
      <c r="O56" s="158"/>
      <c r="P56" s="158" t="s">
        <v>72</v>
      </c>
      <c r="Q56" s="91">
        <f t="shared" si="3"/>
        <v>0</v>
      </c>
      <c r="R56" s="91"/>
      <c r="S56" s="77">
        <f t="shared" si="4"/>
        <v>0</v>
      </c>
    </row>
    <row r="57" spans="1:19" ht="32.25" customHeight="1">
      <c r="A57" s="106">
        <v>7</v>
      </c>
      <c r="B57" s="146" t="s">
        <v>75</v>
      </c>
      <c r="C57" s="170" t="s">
        <v>76</v>
      </c>
      <c r="D57" s="151"/>
      <c r="E57" s="163"/>
      <c r="F57" s="115"/>
      <c r="G57" s="115"/>
      <c r="H57" s="131">
        <v>0</v>
      </c>
      <c r="I57" s="115"/>
      <c r="J57" s="132">
        <v>0</v>
      </c>
      <c r="K57" s="164"/>
      <c r="L57" s="165"/>
      <c r="M57" s="166"/>
      <c r="N57" s="167"/>
      <c r="O57" s="158"/>
      <c r="P57" s="158"/>
      <c r="Q57" s="91">
        <f t="shared" si="3"/>
        <v>0</v>
      </c>
      <c r="R57" s="91"/>
      <c r="S57" s="77">
        <f t="shared" si="4"/>
        <v>0</v>
      </c>
    </row>
    <row r="58" spans="1:19" s="160" customFormat="1" ht="32.25" customHeight="1">
      <c r="A58" s="106">
        <v>8</v>
      </c>
      <c r="B58" s="142" t="s">
        <v>77</v>
      </c>
      <c r="C58" s="150" t="s">
        <v>78</v>
      </c>
      <c r="D58" s="151">
        <v>2070</v>
      </c>
      <c r="E58" s="163"/>
      <c r="F58" s="122"/>
      <c r="G58" s="122"/>
      <c r="H58" s="91">
        <v>0</v>
      </c>
      <c r="I58" s="122"/>
      <c r="J58" s="132">
        <v>0</v>
      </c>
      <c r="K58" s="154" t="s">
        <v>79</v>
      </c>
      <c r="L58" s="171" t="s">
        <v>80</v>
      </c>
      <c r="M58" s="156">
        <v>2070</v>
      </c>
      <c r="N58" s="167"/>
      <c r="O58" s="158"/>
      <c r="P58" s="158"/>
      <c r="Q58" s="91">
        <f t="shared" si="3"/>
        <v>0</v>
      </c>
      <c r="R58" s="91"/>
      <c r="S58" s="77">
        <f t="shared" si="4"/>
        <v>0</v>
      </c>
    </row>
    <row r="59" spans="1:19" s="160" customFormat="1" ht="32.25" customHeight="1">
      <c r="A59" s="106">
        <v>9</v>
      </c>
      <c r="B59" s="142" t="s">
        <v>77</v>
      </c>
      <c r="C59" s="150" t="s">
        <v>81</v>
      </c>
      <c r="D59" s="151">
        <v>2070</v>
      </c>
      <c r="E59" s="163"/>
      <c r="F59" s="122"/>
      <c r="G59" s="122"/>
      <c r="H59" s="91">
        <v>0</v>
      </c>
      <c r="I59" s="122"/>
      <c r="J59" s="132">
        <v>0</v>
      </c>
      <c r="K59" s="154" t="s">
        <v>79</v>
      </c>
      <c r="L59" s="171" t="s">
        <v>80</v>
      </c>
      <c r="M59" s="156">
        <v>2070</v>
      </c>
      <c r="N59" s="167"/>
      <c r="O59" s="158"/>
      <c r="P59" s="158"/>
      <c r="Q59" s="91">
        <f t="shared" si="3"/>
        <v>0</v>
      </c>
      <c r="R59" s="91"/>
      <c r="S59" s="77">
        <f t="shared" si="4"/>
        <v>0</v>
      </c>
    </row>
    <row r="60" spans="1:19" ht="32.25" customHeight="1">
      <c r="A60" s="106">
        <v>10</v>
      </c>
      <c r="B60" s="146" t="s">
        <v>75</v>
      </c>
      <c r="C60" s="170" t="s">
        <v>82</v>
      </c>
      <c r="D60" s="151"/>
      <c r="E60" s="163"/>
      <c r="F60" s="115"/>
      <c r="G60" s="115"/>
      <c r="H60" s="131">
        <v>0</v>
      </c>
      <c r="I60" s="115"/>
      <c r="J60" s="132">
        <v>0</v>
      </c>
      <c r="K60" s="164"/>
      <c r="L60" s="172"/>
      <c r="M60" s="166"/>
      <c r="N60" s="167"/>
      <c r="O60" s="158"/>
      <c r="P60" s="158"/>
      <c r="Q60" s="91">
        <f t="shared" si="3"/>
        <v>0</v>
      </c>
      <c r="R60" s="91"/>
      <c r="S60" s="77">
        <f t="shared" si="4"/>
        <v>0</v>
      </c>
    </row>
    <row r="61" spans="1:19" s="160" customFormat="1" ht="32.25" customHeight="1">
      <c r="A61" s="106">
        <v>11</v>
      </c>
      <c r="B61" s="142" t="s">
        <v>83</v>
      </c>
      <c r="C61" s="150" t="s">
        <v>84</v>
      </c>
      <c r="D61" s="151">
        <v>2070</v>
      </c>
      <c r="E61" s="163"/>
      <c r="F61" s="122"/>
      <c r="G61" s="122"/>
      <c r="H61" s="91">
        <v>0</v>
      </c>
      <c r="I61" s="122"/>
      <c r="J61" s="132">
        <v>0</v>
      </c>
      <c r="K61" s="154" t="s">
        <v>85</v>
      </c>
      <c r="L61" s="155" t="s">
        <v>86</v>
      </c>
      <c r="M61" s="156">
        <v>2070</v>
      </c>
      <c r="N61" s="167"/>
      <c r="O61" s="158"/>
      <c r="P61" s="158"/>
      <c r="Q61" s="91">
        <f t="shared" si="3"/>
        <v>0</v>
      </c>
      <c r="R61" s="91"/>
      <c r="S61" s="77">
        <f t="shared" si="4"/>
        <v>0</v>
      </c>
    </row>
    <row r="62" spans="1:19" s="160" customFormat="1" ht="32.25" customHeight="1">
      <c r="A62" s="106">
        <v>12</v>
      </c>
      <c r="B62" s="142" t="s">
        <v>87</v>
      </c>
      <c r="C62" s="150" t="s">
        <v>88</v>
      </c>
      <c r="D62" s="151">
        <v>2070</v>
      </c>
      <c r="E62" s="163"/>
      <c r="F62" s="122"/>
      <c r="G62" s="122"/>
      <c r="H62" s="91">
        <v>0</v>
      </c>
      <c r="I62" s="122"/>
      <c r="J62" s="132">
        <v>0</v>
      </c>
      <c r="K62" s="154" t="s">
        <v>89</v>
      </c>
      <c r="L62" s="171" t="s">
        <v>90</v>
      </c>
      <c r="M62" s="156">
        <v>2070</v>
      </c>
      <c r="N62" s="167"/>
      <c r="O62" s="158"/>
      <c r="P62" s="158"/>
      <c r="Q62" s="91">
        <f t="shared" si="3"/>
        <v>0</v>
      </c>
      <c r="R62" s="91"/>
      <c r="S62" s="77">
        <f t="shared" si="4"/>
        <v>0</v>
      </c>
    </row>
    <row r="63" spans="1:19" ht="32.25" customHeight="1">
      <c r="A63" s="106">
        <v>13</v>
      </c>
      <c r="B63" s="146" t="s">
        <v>75</v>
      </c>
      <c r="C63" s="173" t="s">
        <v>91</v>
      </c>
      <c r="D63" s="151"/>
      <c r="E63" s="163"/>
      <c r="F63" s="115"/>
      <c r="G63" s="115"/>
      <c r="H63" s="131">
        <v>0</v>
      </c>
      <c r="I63" s="115"/>
      <c r="J63" s="132">
        <v>0</v>
      </c>
      <c r="K63" s="164"/>
      <c r="L63" s="165"/>
      <c r="M63" s="166"/>
      <c r="N63" s="167"/>
      <c r="O63" s="158"/>
      <c r="P63" s="158"/>
      <c r="Q63" s="91">
        <f t="shared" si="3"/>
        <v>0</v>
      </c>
      <c r="R63" s="91"/>
      <c r="S63" s="77">
        <f t="shared" si="4"/>
        <v>0</v>
      </c>
    </row>
    <row r="64" spans="1:19" ht="32.25" customHeight="1">
      <c r="A64" s="106">
        <v>14</v>
      </c>
      <c r="B64" s="142" t="s">
        <v>92</v>
      </c>
      <c r="C64" s="174" t="s">
        <v>93</v>
      </c>
      <c r="D64" s="151"/>
      <c r="E64" s="163"/>
      <c r="F64" s="115"/>
      <c r="G64" s="115"/>
      <c r="H64" s="131">
        <v>0</v>
      </c>
      <c r="I64" s="115"/>
      <c r="J64" s="132">
        <v>0</v>
      </c>
      <c r="K64" s="164"/>
      <c r="L64" s="165"/>
      <c r="M64" s="166"/>
      <c r="N64" s="167"/>
      <c r="O64" s="158"/>
      <c r="P64" s="158"/>
      <c r="Q64" s="91">
        <f t="shared" si="3"/>
        <v>0</v>
      </c>
      <c r="R64" s="91"/>
      <c r="S64" s="77">
        <f t="shared" si="4"/>
        <v>0</v>
      </c>
    </row>
    <row r="65" spans="1:19" ht="32.25" customHeight="1">
      <c r="A65" s="106">
        <v>15</v>
      </c>
      <c r="B65" s="146" t="s">
        <v>75</v>
      </c>
      <c r="C65" s="170" t="s">
        <v>94</v>
      </c>
      <c r="D65" s="151">
        <v>0</v>
      </c>
      <c r="E65" s="163"/>
      <c r="F65" s="115"/>
      <c r="G65" s="115"/>
      <c r="H65" s="131">
        <v>0</v>
      </c>
      <c r="I65" s="115"/>
      <c r="J65" s="132">
        <v>0</v>
      </c>
      <c r="K65" s="164"/>
      <c r="L65" s="165"/>
      <c r="M65" s="166"/>
      <c r="N65" s="167"/>
      <c r="O65" s="158"/>
      <c r="P65" s="158"/>
      <c r="Q65" s="91">
        <f t="shared" si="3"/>
        <v>0</v>
      </c>
      <c r="R65" s="91"/>
      <c r="S65" s="77">
        <f t="shared" si="4"/>
        <v>0</v>
      </c>
    </row>
    <row r="66" spans="1:19" s="160" customFormat="1" ht="32.25" customHeight="1">
      <c r="A66" s="106">
        <v>16</v>
      </c>
      <c r="B66" s="142" t="s">
        <v>95</v>
      </c>
      <c r="C66" s="150" t="s">
        <v>96</v>
      </c>
      <c r="D66" s="151">
        <v>0</v>
      </c>
      <c r="E66" s="163"/>
      <c r="F66" s="122"/>
      <c r="G66" s="122"/>
      <c r="H66" s="91">
        <v>0</v>
      </c>
      <c r="I66" s="122"/>
      <c r="J66" s="132">
        <v>0</v>
      </c>
      <c r="K66" s="164"/>
      <c r="L66" s="175"/>
      <c r="M66" s="166"/>
      <c r="N66" s="167"/>
      <c r="O66" s="158"/>
      <c r="P66" s="158"/>
      <c r="Q66" s="91">
        <f t="shared" si="3"/>
        <v>0</v>
      </c>
      <c r="R66" s="91"/>
      <c r="S66" s="77">
        <f t="shared" si="4"/>
        <v>0</v>
      </c>
    </row>
    <row r="67" spans="1:19" s="160" customFormat="1" ht="32.25" customHeight="1">
      <c r="A67" s="106">
        <v>17</v>
      </c>
      <c r="B67" s="176" t="s">
        <v>97</v>
      </c>
      <c r="C67" s="162" t="s">
        <v>98</v>
      </c>
      <c r="D67" s="151">
        <v>0</v>
      </c>
      <c r="E67" s="163"/>
      <c r="F67" s="122"/>
      <c r="G67" s="122"/>
      <c r="H67" s="91">
        <v>0</v>
      </c>
      <c r="I67" s="122"/>
      <c r="J67" s="132">
        <v>0</v>
      </c>
      <c r="K67" s="164"/>
      <c r="L67" s="165"/>
      <c r="M67" s="177"/>
      <c r="N67" s="167"/>
      <c r="O67" s="158"/>
      <c r="P67" s="158"/>
      <c r="Q67" s="91">
        <f t="shared" si="3"/>
        <v>0</v>
      </c>
      <c r="R67" s="91"/>
      <c r="S67" s="77">
        <f t="shared" si="4"/>
        <v>0</v>
      </c>
    </row>
    <row r="68" spans="1:19" s="160" customFormat="1" ht="32.25" customHeight="1">
      <c r="A68" s="106">
        <v>18</v>
      </c>
      <c r="B68" s="142" t="s">
        <v>99</v>
      </c>
      <c r="C68" s="174" t="s">
        <v>100</v>
      </c>
      <c r="D68" s="151">
        <v>37375</v>
      </c>
      <c r="E68" s="163"/>
      <c r="F68" s="122"/>
      <c r="G68" s="122"/>
      <c r="H68" s="91">
        <v>0</v>
      </c>
      <c r="I68" s="122"/>
      <c r="J68" s="132">
        <v>0</v>
      </c>
      <c r="K68" s="154" t="s">
        <v>65</v>
      </c>
      <c r="L68" s="171" t="s">
        <v>101</v>
      </c>
      <c r="M68" s="178">
        <v>37375</v>
      </c>
      <c r="N68" s="167"/>
      <c r="O68" s="158"/>
      <c r="P68" s="158"/>
      <c r="Q68" s="91">
        <f t="shared" si="3"/>
        <v>0</v>
      </c>
      <c r="R68" s="91"/>
      <c r="S68" s="77">
        <f t="shared" si="4"/>
        <v>0</v>
      </c>
    </row>
    <row r="69" spans="1:19" s="160" customFormat="1" ht="32.25" customHeight="1">
      <c r="A69" s="106"/>
      <c r="B69" s="652" t="s">
        <v>102</v>
      </c>
      <c r="C69" s="653"/>
      <c r="D69" s="654"/>
      <c r="E69" s="163"/>
      <c r="F69" s="122"/>
      <c r="G69" s="122"/>
      <c r="H69" s="91">
        <v>0</v>
      </c>
      <c r="I69" s="122"/>
      <c r="J69" s="132">
        <v>0</v>
      </c>
      <c r="K69" s="164"/>
      <c r="L69" s="182"/>
      <c r="M69" s="183"/>
      <c r="N69" s="167"/>
      <c r="O69" s="158"/>
      <c r="P69" s="158"/>
      <c r="Q69" s="91">
        <f t="shared" si="3"/>
        <v>0</v>
      </c>
      <c r="R69" s="91"/>
      <c r="S69" s="77">
        <f t="shared" si="4"/>
        <v>0</v>
      </c>
    </row>
    <row r="70" spans="1:19" s="160" customFormat="1" ht="32.25" customHeight="1">
      <c r="A70" s="106">
        <v>19</v>
      </c>
      <c r="B70" s="142" t="s">
        <v>103</v>
      </c>
      <c r="C70" s="174" t="s">
        <v>104</v>
      </c>
      <c r="D70" s="151">
        <v>15525</v>
      </c>
      <c r="E70" s="163"/>
      <c r="F70" s="122"/>
      <c r="G70" s="122"/>
      <c r="H70" s="91">
        <v>0</v>
      </c>
      <c r="I70" s="122"/>
      <c r="J70" s="132">
        <v>0</v>
      </c>
      <c r="K70" s="154" t="s">
        <v>89</v>
      </c>
      <c r="L70" s="171" t="s">
        <v>105</v>
      </c>
      <c r="M70" s="178">
        <v>15525</v>
      </c>
      <c r="N70" s="167"/>
      <c r="O70" s="158"/>
      <c r="P70" s="158"/>
      <c r="Q70" s="91">
        <f t="shared" si="3"/>
        <v>0</v>
      </c>
      <c r="R70" s="91"/>
      <c r="S70" s="77">
        <f t="shared" si="4"/>
        <v>0</v>
      </c>
    </row>
    <row r="71" spans="1:19" s="160" customFormat="1" ht="32.25" customHeight="1">
      <c r="A71" s="106"/>
      <c r="B71" s="652" t="s">
        <v>106</v>
      </c>
      <c r="C71" s="653"/>
      <c r="D71" s="654"/>
      <c r="E71" s="163"/>
      <c r="F71" s="122"/>
      <c r="G71" s="122"/>
      <c r="H71" s="91">
        <v>0</v>
      </c>
      <c r="I71" s="122"/>
      <c r="J71" s="132">
        <v>0</v>
      </c>
      <c r="K71" s="164"/>
      <c r="L71" s="182"/>
      <c r="M71" s="183"/>
      <c r="N71" s="167"/>
      <c r="O71" s="158"/>
      <c r="P71" s="158"/>
      <c r="Q71" s="91">
        <f t="shared" si="3"/>
        <v>0</v>
      </c>
      <c r="R71" s="91"/>
      <c r="S71" s="77">
        <f t="shared" si="4"/>
        <v>0</v>
      </c>
    </row>
    <row r="72" spans="1:19" s="160" customFormat="1" ht="32.25" customHeight="1">
      <c r="A72" s="106">
        <v>20</v>
      </c>
      <c r="B72" s="142" t="s">
        <v>107</v>
      </c>
      <c r="C72" s="174" t="s">
        <v>108</v>
      </c>
      <c r="D72" s="151">
        <v>14000</v>
      </c>
      <c r="E72" s="163"/>
      <c r="F72" s="122"/>
      <c r="G72" s="122"/>
      <c r="H72" s="91">
        <v>0</v>
      </c>
      <c r="I72" s="122"/>
      <c r="J72" s="132">
        <v>0</v>
      </c>
      <c r="K72" s="154" t="s">
        <v>62</v>
      </c>
      <c r="L72" s="155" t="s">
        <v>109</v>
      </c>
      <c r="M72" s="178">
        <v>14000</v>
      </c>
      <c r="N72" s="167"/>
      <c r="O72" s="158"/>
      <c r="P72" s="158"/>
      <c r="Q72" s="91">
        <f t="shared" si="3"/>
        <v>0</v>
      </c>
      <c r="R72" s="91"/>
      <c r="S72" s="77">
        <f t="shared" si="4"/>
        <v>0</v>
      </c>
    </row>
    <row r="73" spans="1:19" s="160" customFormat="1" ht="32.25" customHeight="1">
      <c r="A73" s="106"/>
      <c r="B73" s="652" t="s">
        <v>110</v>
      </c>
      <c r="C73" s="653"/>
      <c r="D73" s="654"/>
      <c r="E73" s="163"/>
      <c r="F73" s="122"/>
      <c r="G73" s="122"/>
      <c r="H73" s="91">
        <v>0</v>
      </c>
      <c r="I73" s="122"/>
      <c r="J73" s="132">
        <v>0</v>
      </c>
      <c r="K73" s="164"/>
      <c r="L73" s="182"/>
      <c r="M73" s="183"/>
      <c r="N73" s="167"/>
      <c r="O73" s="158"/>
      <c r="P73" s="158"/>
      <c r="Q73" s="91">
        <f t="shared" si="3"/>
        <v>0</v>
      </c>
      <c r="R73" s="91"/>
      <c r="S73" s="77">
        <f t="shared" si="4"/>
        <v>0</v>
      </c>
    </row>
    <row r="74" spans="1:19" s="160" customFormat="1" ht="32.25" customHeight="1">
      <c r="A74" s="106">
        <v>21</v>
      </c>
      <c r="B74" s="142" t="s">
        <v>111</v>
      </c>
      <c r="C74" s="142" t="s">
        <v>112</v>
      </c>
      <c r="D74" s="151">
        <v>7000</v>
      </c>
      <c r="E74" s="163"/>
      <c r="F74" s="122"/>
      <c r="G74" s="122"/>
      <c r="H74" s="91">
        <v>0</v>
      </c>
      <c r="I74" s="122"/>
      <c r="J74" s="132">
        <v>0</v>
      </c>
      <c r="K74" s="154" t="s">
        <v>55</v>
      </c>
      <c r="L74" s="155" t="s">
        <v>113</v>
      </c>
      <c r="M74" s="178">
        <v>7000</v>
      </c>
      <c r="N74" s="167"/>
      <c r="O74" s="158"/>
      <c r="P74" s="158"/>
      <c r="Q74" s="91">
        <f t="shared" si="3"/>
        <v>0</v>
      </c>
      <c r="R74" s="91"/>
      <c r="S74" s="77">
        <f t="shared" si="4"/>
        <v>0</v>
      </c>
    </row>
    <row r="75" spans="1:19" s="160" customFormat="1" ht="32.25" customHeight="1">
      <c r="A75" s="106"/>
      <c r="B75" s="652" t="s">
        <v>114</v>
      </c>
      <c r="C75" s="653"/>
      <c r="D75" s="654"/>
      <c r="E75" s="163"/>
      <c r="F75" s="122"/>
      <c r="G75" s="122"/>
      <c r="H75" s="91">
        <v>0</v>
      </c>
      <c r="I75" s="122"/>
      <c r="J75" s="132">
        <v>0</v>
      </c>
      <c r="K75" s="164"/>
      <c r="L75" s="165"/>
      <c r="M75" s="177"/>
      <c r="N75" s="167"/>
      <c r="O75" s="158"/>
      <c r="P75" s="158"/>
      <c r="Q75" s="91">
        <f t="shared" si="3"/>
        <v>0</v>
      </c>
      <c r="R75" s="91"/>
      <c r="S75" s="77">
        <f t="shared" si="4"/>
        <v>0</v>
      </c>
    </row>
    <row r="76" spans="1:19" s="160" customFormat="1" ht="32.25" customHeight="1">
      <c r="A76" s="106">
        <v>22</v>
      </c>
      <c r="B76" s="142" t="s">
        <v>30</v>
      </c>
      <c r="C76" s="174" t="s">
        <v>115</v>
      </c>
      <c r="D76" s="151">
        <v>3970</v>
      </c>
      <c r="E76" s="163"/>
      <c r="F76" s="115"/>
      <c r="G76" s="115"/>
      <c r="H76" s="131">
        <v>0</v>
      </c>
      <c r="I76" s="115"/>
      <c r="J76" s="132">
        <v>0</v>
      </c>
      <c r="K76" s="154" t="s">
        <v>116</v>
      </c>
      <c r="L76" s="155" t="s">
        <v>117</v>
      </c>
      <c r="M76" s="178">
        <v>3970</v>
      </c>
      <c r="N76" s="167"/>
      <c r="O76" s="184"/>
      <c r="P76" s="184"/>
      <c r="Q76" s="91">
        <f t="shared" si="3"/>
        <v>0</v>
      </c>
      <c r="R76" s="91"/>
      <c r="S76" s="77">
        <f t="shared" si="4"/>
        <v>0</v>
      </c>
    </row>
    <row r="77" spans="1:19" s="160" customFormat="1" ht="32.25" customHeight="1">
      <c r="A77" s="106"/>
      <c r="B77" s="659" t="s">
        <v>118</v>
      </c>
      <c r="C77" s="660"/>
      <c r="D77" s="661"/>
      <c r="E77" s="163"/>
      <c r="F77" s="115"/>
      <c r="G77" s="115"/>
      <c r="H77" s="131">
        <v>0</v>
      </c>
      <c r="I77" s="115"/>
      <c r="J77" s="132">
        <v>0</v>
      </c>
      <c r="K77" s="164"/>
      <c r="L77" s="182"/>
      <c r="M77" s="183"/>
      <c r="N77" s="167"/>
      <c r="O77" s="184"/>
      <c r="P77" s="184"/>
      <c r="Q77" s="91">
        <f t="shared" si="3"/>
        <v>0</v>
      </c>
      <c r="R77" s="91"/>
      <c r="S77" s="77">
        <f t="shared" si="4"/>
        <v>0</v>
      </c>
    </row>
    <row r="78" spans="1:19" s="160" customFormat="1" ht="32.25" customHeight="1">
      <c r="A78" s="106"/>
      <c r="B78" s="185" t="s">
        <v>119</v>
      </c>
      <c r="C78" s="186"/>
      <c r="D78" s="187"/>
      <c r="E78" s="163"/>
      <c r="F78" s="115"/>
      <c r="G78" s="115"/>
      <c r="H78" s="131"/>
      <c r="I78" s="115"/>
      <c r="J78" s="132"/>
      <c r="K78" s="164"/>
      <c r="L78" s="182"/>
      <c r="M78" s="183"/>
      <c r="N78" s="167"/>
      <c r="O78" s="184"/>
      <c r="P78" s="184"/>
      <c r="Q78" s="91">
        <f t="shared" si="3"/>
        <v>0</v>
      </c>
      <c r="R78" s="91"/>
      <c r="S78" s="77">
        <f t="shared" si="4"/>
        <v>0</v>
      </c>
    </row>
    <row r="79" spans="1:19" s="160" customFormat="1" ht="32.25" customHeight="1">
      <c r="A79" s="106"/>
      <c r="B79" s="185" t="s">
        <v>120</v>
      </c>
      <c r="C79" s="186"/>
      <c r="D79" s="187">
        <v>0</v>
      </c>
      <c r="E79" s="163" t="s">
        <v>121</v>
      </c>
      <c r="F79" s="115">
        <v>8</v>
      </c>
      <c r="G79" s="115" t="s">
        <v>72</v>
      </c>
      <c r="H79" s="131">
        <v>4680</v>
      </c>
      <c r="I79" s="115"/>
      <c r="J79" s="132">
        <v>4680</v>
      </c>
      <c r="K79" s="164" t="s">
        <v>116</v>
      </c>
      <c r="L79" s="182" t="s">
        <v>122</v>
      </c>
      <c r="M79" s="183">
        <v>4680</v>
      </c>
      <c r="N79" s="167"/>
      <c r="O79" s="184"/>
      <c r="P79" s="184"/>
      <c r="Q79" s="91">
        <f t="shared" si="3"/>
        <v>0</v>
      </c>
      <c r="R79" s="91"/>
      <c r="S79" s="77">
        <f t="shared" si="4"/>
        <v>0</v>
      </c>
    </row>
    <row r="80" spans="1:19" s="160" customFormat="1" ht="32.25" customHeight="1">
      <c r="A80" s="106"/>
      <c r="B80" s="188" t="s">
        <v>123</v>
      </c>
      <c r="C80" s="186"/>
      <c r="D80" s="187">
        <v>0</v>
      </c>
      <c r="E80" s="163"/>
      <c r="F80" s="115"/>
      <c r="G80" s="115"/>
      <c r="H80" s="131"/>
      <c r="I80" s="115"/>
      <c r="J80" s="132"/>
      <c r="K80" s="164" t="s">
        <v>116</v>
      </c>
      <c r="L80" s="182" t="s">
        <v>124</v>
      </c>
      <c r="M80" s="183">
        <v>520</v>
      </c>
      <c r="N80" s="167" t="s">
        <v>57</v>
      </c>
      <c r="O80" s="184" t="s">
        <v>125</v>
      </c>
      <c r="P80" s="184"/>
      <c r="Q80" s="91">
        <f t="shared" si="3"/>
        <v>-520</v>
      </c>
      <c r="R80" s="91"/>
      <c r="S80" s="77">
        <f t="shared" si="4"/>
        <v>-520</v>
      </c>
    </row>
    <row r="81" spans="1:19" s="160" customFormat="1" ht="32.25" customHeight="1">
      <c r="A81" s="106"/>
      <c r="B81" s="179"/>
      <c r="C81" s="180"/>
      <c r="D81" s="181"/>
      <c r="E81" s="163"/>
      <c r="F81" s="115"/>
      <c r="G81" s="115"/>
      <c r="H81" s="131"/>
      <c r="I81" s="115"/>
      <c r="J81" s="132"/>
      <c r="K81" s="164"/>
      <c r="L81" s="182"/>
      <c r="M81" s="183"/>
      <c r="N81" s="167"/>
      <c r="O81" s="184"/>
      <c r="P81" s="184"/>
      <c r="Q81" s="91">
        <f t="shared" si="3"/>
        <v>0</v>
      </c>
      <c r="R81" s="91"/>
      <c r="S81" s="77">
        <f t="shared" si="4"/>
        <v>0</v>
      </c>
    </row>
    <row r="82" spans="1:19" s="160" customFormat="1" ht="32.25" customHeight="1">
      <c r="A82" s="106">
        <v>23</v>
      </c>
      <c r="B82" s="142" t="s">
        <v>23</v>
      </c>
      <c r="C82" s="174" t="s">
        <v>126</v>
      </c>
      <c r="D82" s="151">
        <v>4600</v>
      </c>
      <c r="E82" s="163"/>
      <c r="F82" s="115"/>
      <c r="G82" s="115"/>
      <c r="H82" s="131">
        <v>0</v>
      </c>
      <c r="I82" s="115"/>
      <c r="J82" s="132">
        <v>0</v>
      </c>
      <c r="K82" s="154" t="s">
        <v>62</v>
      </c>
      <c r="L82" s="155" t="s">
        <v>127</v>
      </c>
      <c r="M82" s="178">
        <v>4600</v>
      </c>
      <c r="N82" s="167"/>
      <c r="O82" s="184"/>
      <c r="P82" s="184"/>
      <c r="Q82" s="91">
        <f t="shared" si="3"/>
        <v>0</v>
      </c>
      <c r="R82" s="91"/>
      <c r="S82" s="77">
        <f t="shared" si="4"/>
        <v>0</v>
      </c>
    </row>
    <row r="83" spans="1:19" ht="32.25" customHeight="1">
      <c r="A83" s="39"/>
      <c r="B83" s="652" t="s">
        <v>128</v>
      </c>
      <c r="C83" s="653"/>
      <c r="D83" s="654"/>
      <c r="E83" s="189"/>
      <c r="F83" s="43"/>
      <c r="G83" s="43"/>
      <c r="H83" s="6">
        <v>0</v>
      </c>
      <c r="I83" s="43"/>
      <c r="J83" s="136">
        <v>0</v>
      </c>
      <c r="K83" s="190"/>
      <c r="L83" s="191"/>
      <c r="N83" s="5"/>
      <c r="O83" s="43"/>
      <c r="P83" s="43"/>
      <c r="Q83" s="91">
        <f t="shared" si="3"/>
        <v>0</v>
      </c>
      <c r="R83" s="91"/>
      <c r="S83" s="77">
        <f t="shared" si="4"/>
        <v>0</v>
      </c>
    </row>
    <row r="84" spans="1:19" ht="32.25" customHeight="1" thickBot="1">
      <c r="A84" s="39"/>
      <c r="B84" s="50" t="s">
        <v>19</v>
      </c>
      <c r="C84" s="50"/>
      <c r="D84" s="51">
        <f>SUM(B51:D83)</f>
        <v>103170</v>
      </c>
      <c r="E84" s="52"/>
      <c r="F84" s="53"/>
      <c r="G84" s="52"/>
      <c r="H84" s="51">
        <f>SUM(H51:H83)-H51</f>
        <v>6750</v>
      </c>
      <c r="I84" s="51">
        <f t="shared" ref="I84:J84" si="5">SUM(I51:I83)-I51</f>
        <v>0</v>
      </c>
      <c r="J84" s="51">
        <f t="shared" si="5"/>
        <v>6750</v>
      </c>
      <c r="K84" s="54"/>
      <c r="L84" s="55"/>
      <c r="M84" s="56">
        <f>SUM(M51:M83)</f>
        <v>110440</v>
      </c>
      <c r="N84" s="57"/>
      <c r="O84" s="53"/>
      <c r="P84" s="51"/>
      <c r="Q84" s="51">
        <f>SUM(Q51:Q83)-Q80-Q51</f>
        <v>0</v>
      </c>
      <c r="R84" s="51">
        <f t="shared" ref="R84:S84" si="6">SUM(R51:R83)-R80-R51</f>
        <v>0</v>
      </c>
      <c r="S84" s="51">
        <f t="shared" si="6"/>
        <v>0</v>
      </c>
    </row>
    <row r="85" spans="1:19" ht="32.25" customHeight="1" thickTop="1">
      <c r="A85" s="39"/>
      <c r="B85" s="141" t="s">
        <v>129</v>
      </c>
      <c r="C85" s="142"/>
      <c r="D85" s="125"/>
      <c r="E85" s="131"/>
      <c r="F85" s="115"/>
      <c r="G85" s="33"/>
      <c r="H85" s="143"/>
      <c r="I85" s="143"/>
      <c r="J85" s="143"/>
      <c r="K85" s="34"/>
      <c r="L85" s="35"/>
      <c r="M85" s="36"/>
      <c r="N85" s="114"/>
      <c r="O85" s="115"/>
      <c r="P85" s="144"/>
      <c r="Q85" s="33"/>
      <c r="R85" s="33"/>
      <c r="S85" s="38"/>
    </row>
    <row r="86" spans="1:19" ht="30" customHeight="1">
      <c r="A86" s="106">
        <v>1</v>
      </c>
      <c r="B86" s="142" t="s">
        <v>130</v>
      </c>
      <c r="C86" s="193" t="s">
        <v>131</v>
      </c>
      <c r="D86" s="125">
        <v>175</v>
      </c>
      <c r="E86" s="152" t="s">
        <v>54</v>
      </c>
      <c r="F86" s="194"/>
      <c r="G86" s="195"/>
      <c r="H86" s="196">
        <v>-175</v>
      </c>
      <c r="I86" s="197"/>
      <c r="J86" s="198">
        <v>-175</v>
      </c>
      <c r="K86" s="199"/>
      <c r="L86" s="200"/>
      <c r="M86" s="201"/>
      <c r="N86" s="202"/>
      <c r="O86" s="203"/>
      <c r="P86" s="204"/>
      <c r="Q86" s="205">
        <f>H86+D86</f>
        <v>0</v>
      </c>
      <c r="R86" s="206"/>
      <c r="S86" s="207">
        <f>Q86</f>
        <v>0</v>
      </c>
    </row>
    <row r="87" spans="1:19" ht="30" customHeight="1">
      <c r="A87" s="106"/>
      <c r="B87" s="208" t="s">
        <v>132</v>
      </c>
      <c r="C87" s="193"/>
      <c r="D87" s="125"/>
      <c r="E87" s="163"/>
      <c r="F87" s="115"/>
      <c r="G87" s="91"/>
      <c r="H87" s="91"/>
      <c r="I87" s="125"/>
      <c r="J87" s="132"/>
      <c r="K87" s="209"/>
      <c r="L87" s="210"/>
      <c r="M87" s="36"/>
      <c r="N87" s="114"/>
      <c r="O87" s="115"/>
      <c r="P87" s="92"/>
      <c r="Q87" s="91"/>
      <c r="R87" s="125"/>
      <c r="S87" s="77"/>
    </row>
    <row r="88" spans="1:19" ht="30" customHeight="1">
      <c r="A88" s="106"/>
      <c r="B88" s="211" t="s">
        <v>133</v>
      </c>
      <c r="C88" s="193"/>
      <c r="D88" s="125"/>
      <c r="E88" s="163"/>
      <c r="F88" s="115">
        <v>1</v>
      </c>
      <c r="G88" s="91" t="s">
        <v>134</v>
      </c>
      <c r="H88" s="91">
        <v>315</v>
      </c>
      <c r="I88" s="125"/>
      <c r="J88" s="132">
        <v>315</v>
      </c>
      <c r="K88" s="209" t="s">
        <v>55</v>
      </c>
      <c r="L88" s="210" t="s">
        <v>135</v>
      </c>
      <c r="M88" s="36">
        <v>315</v>
      </c>
      <c r="N88" s="114"/>
      <c r="O88" s="115"/>
      <c r="P88" s="92"/>
      <c r="Q88" s="91"/>
      <c r="R88" s="125"/>
      <c r="S88" s="77"/>
    </row>
    <row r="89" spans="1:19" ht="30" customHeight="1">
      <c r="A89" s="106"/>
      <c r="B89" s="208" t="s">
        <v>136</v>
      </c>
      <c r="C89" s="193"/>
      <c r="D89" s="125"/>
      <c r="E89" s="163"/>
      <c r="F89" s="115">
        <v>1</v>
      </c>
      <c r="G89" s="91" t="s">
        <v>134</v>
      </c>
      <c r="H89" s="91">
        <v>315</v>
      </c>
      <c r="I89" s="125"/>
      <c r="J89" s="132">
        <v>315</v>
      </c>
      <c r="K89" s="209" t="s">
        <v>55</v>
      </c>
      <c r="L89" s="210" t="s">
        <v>137</v>
      </c>
      <c r="M89" s="36">
        <v>315</v>
      </c>
      <c r="N89" s="114"/>
      <c r="O89" s="115"/>
      <c r="P89" s="92"/>
      <c r="Q89" s="91"/>
      <c r="R89" s="125"/>
      <c r="S89" s="77"/>
    </row>
    <row r="90" spans="1:19" ht="30" customHeight="1">
      <c r="A90" s="106"/>
      <c r="B90" s="208" t="s">
        <v>138</v>
      </c>
      <c r="C90" s="193"/>
      <c r="D90" s="125"/>
      <c r="E90" s="163"/>
      <c r="F90" s="115"/>
      <c r="G90" s="91"/>
      <c r="H90" s="91"/>
      <c r="I90" s="125"/>
      <c r="J90" s="132"/>
      <c r="K90" s="209" t="s">
        <v>55</v>
      </c>
      <c r="L90" s="210" t="s">
        <v>139</v>
      </c>
      <c r="M90" s="36">
        <v>2415</v>
      </c>
      <c r="N90" s="114" t="s">
        <v>57</v>
      </c>
      <c r="O90" s="115"/>
      <c r="P90" s="92"/>
      <c r="Q90" s="91"/>
      <c r="R90" s="125"/>
      <c r="S90" s="77"/>
    </row>
    <row r="91" spans="1:19" ht="30" customHeight="1">
      <c r="A91" s="106"/>
      <c r="B91" s="208" t="s">
        <v>140</v>
      </c>
      <c r="C91" s="193"/>
      <c r="D91" s="125"/>
      <c r="E91" s="163"/>
      <c r="F91" s="115"/>
      <c r="G91" s="91"/>
      <c r="H91" s="91"/>
      <c r="I91" s="125"/>
      <c r="J91" s="132"/>
      <c r="K91" s="209"/>
      <c r="L91" s="210"/>
      <c r="M91" s="36"/>
      <c r="N91" s="114"/>
      <c r="O91" s="115"/>
      <c r="P91" s="92"/>
      <c r="Q91" s="91"/>
      <c r="R91" s="125"/>
      <c r="S91" s="77"/>
    </row>
    <row r="92" spans="1:19" ht="32.25" customHeight="1">
      <c r="A92" s="106">
        <v>2</v>
      </c>
      <c r="B92" s="142" t="s">
        <v>141</v>
      </c>
      <c r="C92" s="193" t="s">
        <v>142</v>
      </c>
      <c r="D92" s="125">
        <v>937.09</v>
      </c>
      <c r="E92" s="152" t="s">
        <v>54</v>
      </c>
      <c r="F92" s="212"/>
      <c r="G92" s="213"/>
      <c r="H92" s="153">
        <v>-1874.1799999999994</v>
      </c>
      <c r="I92" s="125"/>
      <c r="J92" s="132">
        <v>-1874.1799999999994</v>
      </c>
      <c r="K92" s="209"/>
      <c r="L92" s="210"/>
      <c r="M92" s="36"/>
      <c r="N92" s="214" t="s">
        <v>54</v>
      </c>
      <c r="O92" s="212"/>
      <c r="P92" s="215"/>
      <c r="Q92" s="153">
        <f>J92-M92+D92</f>
        <v>-937.08999999999935</v>
      </c>
      <c r="R92" s="216"/>
      <c r="S92" s="159">
        <f>J92-M92+D92</f>
        <v>-937.08999999999935</v>
      </c>
    </row>
    <row r="93" spans="1:19" ht="32.25" customHeight="1">
      <c r="A93" s="106"/>
      <c r="B93" s="142" t="s">
        <v>143</v>
      </c>
      <c r="C93" s="193"/>
      <c r="D93" s="125"/>
      <c r="E93" s="163"/>
      <c r="F93" s="115"/>
      <c r="G93" s="91"/>
      <c r="H93" s="91"/>
      <c r="I93" s="125"/>
      <c r="J93" s="132"/>
      <c r="K93" s="209"/>
      <c r="L93" s="210"/>
      <c r="M93" s="36"/>
      <c r="N93" s="114"/>
      <c r="O93" s="115"/>
      <c r="P93" s="92"/>
      <c r="Q93" s="153"/>
      <c r="R93" s="125"/>
      <c r="S93" s="159"/>
    </row>
    <row r="94" spans="1:19" ht="32.25" customHeight="1">
      <c r="A94" s="106"/>
      <c r="B94" s="146" t="s">
        <v>144</v>
      </c>
      <c r="C94" s="193"/>
      <c r="D94" s="125"/>
      <c r="E94" s="163"/>
      <c r="F94" s="115"/>
      <c r="G94" s="91"/>
      <c r="H94" s="91"/>
      <c r="I94" s="125"/>
      <c r="J94" s="132"/>
      <c r="K94" s="209"/>
      <c r="L94" s="210"/>
      <c r="M94" s="36"/>
      <c r="N94" s="114"/>
      <c r="O94" s="115"/>
      <c r="P94" s="92"/>
      <c r="Q94" s="153"/>
      <c r="R94" s="125"/>
      <c r="S94" s="159"/>
    </row>
    <row r="95" spans="1:19" ht="32.25" customHeight="1">
      <c r="A95" s="106">
        <v>3</v>
      </c>
      <c r="B95" s="142" t="s">
        <v>145</v>
      </c>
      <c r="C95" s="193" t="s">
        <v>146</v>
      </c>
      <c r="D95" s="125">
        <v>233.33</v>
      </c>
      <c r="E95" s="163" t="s">
        <v>54</v>
      </c>
      <c r="F95" s="115"/>
      <c r="G95" s="217"/>
      <c r="H95" s="91">
        <v>-1166.69</v>
      </c>
      <c r="I95" s="125"/>
      <c r="J95" s="132">
        <v>-1166.69</v>
      </c>
      <c r="K95" s="218"/>
      <c r="L95" s="219"/>
      <c r="M95" s="125"/>
      <c r="N95" s="220" t="s">
        <v>54</v>
      </c>
      <c r="O95" s="115"/>
      <c r="P95" s="221"/>
      <c r="Q95" s="153">
        <f t="shared" ref="Q95:Q100" si="7">J95-M95+D95</f>
        <v>-933.36</v>
      </c>
      <c r="R95" s="216"/>
      <c r="S95" s="159">
        <f t="shared" ref="S95:S98" si="8">J95-M95+D95</f>
        <v>-933.36</v>
      </c>
    </row>
    <row r="96" spans="1:19" ht="32.25" customHeight="1">
      <c r="A96" s="106"/>
      <c r="B96" s="142" t="s">
        <v>147</v>
      </c>
      <c r="C96" s="222"/>
      <c r="D96" s="125"/>
      <c r="E96" s="163"/>
      <c r="F96" s="115"/>
      <c r="G96" s="91"/>
      <c r="H96" s="91"/>
      <c r="I96" s="125"/>
      <c r="J96" s="132"/>
      <c r="K96" s="672"/>
      <c r="L96" s="673"/>
      <c r="M96" s="674"/>
      <c r="N96" s="220"/>
      <c r="O96" s="115"/>
      <c r="P96" s="92"/>
      <c r="Q96" s="153"/>
      <c r="R96" s="125"/>
      <c r="S96" s="159"/>
    </row>
    <row r="97" spans="1:21" ht="32.25" customHeight="1">
      <c r="A97" s="106"/>
      <c r="B97" s="223" t="s">
        <v>148</v>
      </c>
      <c r="C97" s="224"/>
      <c r="D97" s="125"/>
      <c r="E97" s="163"/>
      <c r="F97" s="115"/>
      <c r="G97" s="91"/>
      <c r="H97" s="91"/>
      <c r="I97" s="125"/>
      <c r="J97" s="132"/>
      <c r="K97" s="225"/>
      <c r="L97" s="219"/>
      <c r="M97" s="125"/>
      <c r="N97" s="220"/>
      <c r="O97" s="115"/>
      <c r="P97" s="92"/>
      <c r="Q97" s="153"/>
      <c r="R97" s="125"/>
      <c r="S97" s="159"/>
    </row>
    <row r="98" spans="1:21" s="230" customFormat="1" ht="32.25" customHeight="1">
      <c r="A98" s="106">
        <v>4</v>
      </c>
      <c r="B98" s="222" t="s">
        <v>149</v>
      </c>
      <c r="C98" s="222" t="s">
        <v>150</v>
      </c>
      <c r="D98" s="125">
        <v>1212.29</v>
      </c>
      <c r="E98" s="163" t="s">
        <v>54</v>
      </c>
      <c r="F98" s="115"/>
      <c r="G98" s="91"/>
      <c r="H98" s="153">
        <v>-10910.629999999997</v>
      </c>
      <c r="I98" s="216"/>
      <c r="J98" s="226">
        <v>-10910.629999999997</v>
      </c>
      <c r="K98" s="114"/>
      <c r="L98" s="114"/>
      <c r="M98" s="125"/>
      <c r="N98" s="227" t="s">
        <v>54</v>
      </c>
      <c r="O98" s="228"/>
      <c r="P98" s="92"/>
      <c r="Q98" s="153">
        <f t="shared" si="7"/>
        <v>-9698.3399999999965</v>
      </c>
      <c r="R98" s="229"/>
      <c r="S98" s="159">
        <f t="shared" si="8"/>
        <v>-9698.3399999999965</v>
      </c>
    </row>
    <row r="99" spans="1:21" s="235" customFormat="1" ht="32.25" customHeight="1">
      <c r="A99" s="106"/>
      <c r="B99" s="231" t="s">
        <v>151</v>
      </c>
      <c r="C99" s="232"/>
      <c r="D99" s="233"/>
      <c r="E99" s="163"/>
      <c r="F99" s="115"/>
      <c r="G99" s="91"/>
      <c r="H99" s="91">
        <v>0</v>
      </c>
      <c r="I99" s="125"/>
      <c r="J99" s="132"/>
      <c r="K99" s="225"/>
      <c r="L99" s="219"/>
      <c r="M99" s="125"/>
      <c r="N99" s="234"/>
      <c r="O99" s="228"/>
      <c r="P99" s="92"/>
      <c r="Q99" s="153">
        <f t="shared" si="7"/>
        <v>0</v>
      </c>
      <c r="R99" s="125"/>
      <c r="S99" s="77"/>
      <c r="T99" s="230"/>
    </row>
    <row r="100" spans="1:21" s="237" customFormat="1" ht="32.25" customHeight="1">
      <c r="A100" s="106">
        <v>5</v>
      </c>
      <c r="B100" s="222" t="s">
        <v>152</v>
      </c>
      <c r="C100" s="193" t="s">
        <v>153</v>
      </c>
      <c r="D100" s="125">
        <v>670.84</v>
      </c>
      <c r="E100" s="163" t="s">
        <v>54</v>
      </c>
      <c r="F100" s="115"/>
      <c r="G100" s="91"/>
      <c r="H100" s="91">
        <v>-6037.48</v>
      </c>
      <c r="I100" s="125"/>
      <c r="J100" s="132">
        <v>-6037.48</v>
      </c>
      <c r="K100" s="225"/>
      <c r="L100" s="219"/>
      <c r="M100" s="125"/>
      <c r="N100" s="227" t="s">
        <v>54</v>
      </c>
      <c r="O100" s="228"/>
      <c r="P100" s="92"/>
      <c r="Q100" s="153">
        <f t="shared" si="7"/>
        <v>-5366.6399999999994</v>
      </c>
      <c r="R100" s="229"/>
      <c r="S100" s="236">
        <f>Q100</f>
        <v>-5366.6399999999994</v>
      </c>
      <c r="T100" s="2"/>
      <c r="U100" s="2"/>
    </row>
    <row r="101" spans="1:21" s="237" customFormat="1" ht="32.25" customHeight="1">
      <c r="A101" s="106"/>
      <c r="B101" s="238" t="s">
        <v>154</v>
      </c>
      <c r="C101" s="193"/>
      <c r="D101" s="92"/>
      <c r="E101" s="239"/>
      <c r="F101" s="122"/>
      <c r="G101" s="91"/>
      <c r="H101" s="91"/>
      <c r="I101" s="92"/>
      <c r="J101" s="132"/>
      <c r="K101" s="225"/>
      <c r="L101" s="219"/>
      <c r="M101" s="125"/>
      <c r="N101" s="240"/>
      <c r="O101" s="122"/>
      <c r="P101" s="92"/>
      <c r="Q101" s="91"/>
      <c r="R101" s="125"/>
      <c r="S101" s="77"/>
      <c r="T101" s="2"/>
      <c r="U101" s="2"/>
    </row>
    <row r="102" spans="1:21" s="259" customFormat="1" ht="32.25" customHeight="1">
      <c r="A102" s="241">
        <v>6</v>
      </c>
      <c r="B102" s="242" t="s">
        <v>52</v>
      </c>
      <c r="C102" s="243" t="s">
        <v>155</v>
      </c>
      <c r="D102" s="244">
        <v>108.34</v>
      </c>
      <c r="E102" s="245" t="s">
        <v>54</v>
      </c>
      <c r="F102" s="246"/>
      <c r="G102" s="247"/>
      <c r="H102" s="248">
        <v>-216.59999999999982</v>
      </c>
      <c r="I102" s="249"/>
      <c r="J102" s="250">
        <v>-216.59999999999982</v>
      </c>
      <c r="K102" s="251"/>
      <c r="L102" s="252"/>
      <c r="M102" s="253"/>
      <c r="N102" s="254" t="s">
        <v>54</v>
      </c>
      <c r="O102" s="255"/>
      <c r="P102" s="256"/>
      <c r="Q102" s="248">
        <f t="shared" ref="Q102:Q112" si="9">S102</f>
        <v>-108.25999999999982</v>
      </c>
      <c r="R102" s="257"/>
      <c r="S102" s="258">
        <f>+D102+J102-M102</f>
        <v>-108.25999999999982</v>
      </c>
    </row>
    <row r="103" spans="1:21" s="259" customFormat="1" ht="32.25" customHeight="1">
      <c r="A103" s="260"/>
      <c r="B103" s="242" t="s">
        <v>156</v>
      </c>
      <c r="C103" s="242"/>
      <c r="D103" s="244"/>
      <c r="E103" s="245"/>
      <c r="F103" s="246"/>
      <c r="G103" s="248"/>
      <c r="H103" s="248">
        <v>0</v>
      </c>
      <c r="I103" s="249"/>
      <c r="J103" s="250">
        <v>0</v>
      </c>
      <c r="K103" s="251"/>
      <c r="L103" s="252"/>
      <c r="M103" s="253"/>
      <c r="N103" s="261"/>
      <c r="O103" s="246"/>
      <c r="P103" s="249"/>
      <c r="Q103" s="248">
        <f t="shared" si="9"/>
        <v>0</v>
      </c>
      <c r="R103" s="257"/>
      <c r="S103" s="258">
        <f t="shared" ref="S103:S112" si="10">+D103+J103-M103</f>
        <v>0</v>
      </c>
    </row>
    <row r="104" spans="1:21" s="259" customFormat="1" ht="32.25" customHeight="1">
      <c r="A104" s="260"/>
      <c r="B104" s="675" t="s">
        <v>157</v>
      </c>
      <c r="C104" s="676"/>
      <c r="D104" s="244"/>
      <c r="E104" s="245"/>
      <c r="F104" s="246"/>
      <c r="G104" s="248"/>
      <c r="H104" s="248">
        <v>0</v>
      </c>
      <c r="I104" s="249"/>
      <c r="J104" s="250">
        <v>0</v>
      </c>
      <c r="K104" s="251"/>
      <c r="L104" s="252"/>
      <c r="M104" s="253"/>
      <c r="N104" s="261"/>
      <c r="O104" s="246"/>
      <c r="P104" s="249"/>
      <c r="Q104" s="248">
        <f t="shared" si="9"/>
        <v>0</v>
      </c>
      <c r="R104" s="257"/>
      <c r="S104" s="258">
        <f t="shared" si="10"/>
        <v>0</v>
      </c>
    </row>
    <row r="105" spans="1:21" ht="41.25" customHeight="1">
      <c r="A105" s="106">
        <v>7</v>
      </c>
      <c r="B105" s="142" t="s">
        <v>158</v>
      </c>
      <c r="C105" s="142" t="s">
        <v>159</v>
      </c>
      <c r="D105" s="125">
        <v>191.67</v>
      </c>
      <c r="E105" s="152" t="s">
        <v>57</v>
      </c>
      <c r="F105" s="212"/>
      <c r="G105" s="262"/>
      <c r="H105" s="262">
        <v>-1916.66</v>
      </c>
      <c r="I105" s="216"/>
      <c r="J105" s="226">
        <v>-1916.66</v>
      </c>
      <c r="K105" s="225"/>
      <c r="L105" s="219"/>
      <c r="M105" s="263"/>
      <c r="N105" s="214"/>
      <c r="O105" s="212"/>
      <c r="P105" s="216"/>
      <c r="Q105" s="248">
        <f t="shared" si="9"/>
        <v>-1724.99</v>
      </c>
      <c r="R105" s="216"/>
      <c r="S105" s="258">
        <f t="shared" si="10"/>
        <v>-1724.99</v>
      </c>
    </row>
    <row r="106" spans="1:21" ht="39.75" customHeight="1">
      <c r="A106" s="264"/>
      <c r="B106" s="41" t="s">
        <v>160</v>
      </c>
      <c r="C106" s="41"/>
      <c r="D106" s="42"/>
      <c r="E106" s="189"/>
      <c r="F106" s="43"/>
      <c r="G106" s="6"/>
      <c r="H106" s="6">
        <v>0</v>
      </c>
      <c r="I106" s="42"/>
      <c r="J106" s="136">
        <v>0</v>
      </c>
      <c r="K106" s="265"/>
      <c r="L106" s="266"/>
      <c r="M106" s="92"/>
      <c r="N106" s="5"/>
      <c r="O106" s="43"/>
      <c r="P106" s="42"/>
      <c r="Q106" s="248">
        <f t="shared" si="9"/>
        <v>0</v>
      </c>
      <c r="R106" s="42"/>
      <c r="S106" s="258">
        <f t="shared" si="10"/>
        <v>0</v>
      </c>
    </row>
    <row r="107" spans="1:21" ht="41.25" customHeight="1">
      <c r="A107" s="264"/>
      <c r="B107" s="41" t="s">
        <v>161</v>
      </c>
      <c r="C107" s="41"/>
      <c r="D107" s="42"/>
      <c r="E107" s="189"/>
      <c r="F107" s="43"/>
      <c r="G107" s="6"/>
      <c r="H107" s="6">
        <v>0</v>
      </c>
      <c r="I107" s="42"/>
      <c r="J107" s="136">
        <v>0</v>
      </c>
      <c r="K107" s="267"/>
      <c r="L107" s="268"/>
      <c r="M107" s="42"/>
      <c r="N107" s="5"/>
      <c r="O107" s="43"/>
      <c r="P107" s="42"/>
      <c r="Q107" s="248">
        <f t="shared" si="9"/>
        <v>0</v>
      </c>
      <c r="R107" s="42"/>
      <c r="S107" s="258">
        <f t="shared" si="10"/>
        <v>0</v>
      </c>
    </row>
    <row r="108" spans="1:21" ht="41.25" customHeight="1">
      <c r="A108" s="264"/>
      <c r="B108" s="41" t="s">
        <v>162</v>
      </c>
      <c r="C108" s="41"/>
      <c r="D108" s="42"/>
      <c r="E108" s="189"/>
      <c r="F108" s="43"/>
      <c r="G108" s="6"/>
      <c r="H108" s="6">
        <v>0</v>
      </c>
      <c r="I108" s="42"/>
      <c r="J108" s="136">
        <v>0</v>
      </c>
      <c r="K108" s="267"/>
      <c r="L108" s="268"/>
      <c r="M108" s="42"/>
      <c r="N108" s="5"/>
      <c r="O108" s="43"/>
      <c r="P108" s="42"/>
      <c r="Q108" s="248">
        <f t="shared" si="9"/>
        <v>0</v>
      </c>
      <c r="R108" s="42"/>
      <c r="S108" s="258">
        <f t="shared" si="10"/>
        <v>0</v>
      </c>
    </row>
    <row r="109" spans="1:21" ht="41.25" customHeight="1">
      <c r="A109" s="264"/>
      <c r="B109" s="41" t="s">
        <v>163</v>
      </c>
      <c r="C109" s="41"/>
      <c r="D109" s="42"/>
      <c r="E109" s="269"/>
      <c r="F109" s="270"/>
      <c r="G109" s="271"/>
      <c r="H109" s="271">
        <v>0</v>
      </c>
      <c r="I109" s="272"/>
      <c r="J109" s="273">
        <v>0</v>
      </c>
      <c r="K109" s="265"/>
      <c r="L109" s="266"/>
      <c r="M109" s="92"/>
      <c r="N109" s="274"/>
      <c r="O109" s="270"/>
      <c r="P109" s="272"/>
      <c r="Q109" s="248">
        <f t="shared" si="9"/>
        <v>0</v>
      </c>
      <c r="R109" s="272"/>
      <c r="S109" s="258">
        <f t="shared" si="10"/>
        <v>0</v>
      </c>
    </row>
    <row r="110" spans="1:21" ht="41.25" customHeight="1">
      <c r="A110" s="264"/>
      <c r="B110" s="275" t="s">
        <v>164</v>
      </c>
      <c r="C110" s="41"/>
      <c r="D110" s="42"/>
      <c r="E110" s="269"/>
      <c r="F110" s="270"/>
      <c r="G110" s="271"/>
      <c r="H110" s="271">
        <v>0</v>
      </c>
      <c r="I110" s="272"/>
      <c r="J110" s="273">
        <v>0</v>
      </c>
      <c r="K110" s="267"/>
      <c r="L110" s="268"/>
      <c r="M110" s="42"/>
      <c r="N110" s="274"/>
      <c r="O110" s="270"/>
      <c r="P110" s="272"/>
      <c r="Q110" s="248">
        <f t="shared" si="9"/>
        <v>0</v>
      </c>
      <c r="R110" s="272"/>
      <c r="S110" s="258">
        <f t="shared" si="10"/>
        <v>0</v>
      </c>
    </row>
    <row r="111" spans="1:21" ht="41.25" customHeight="1">
      <c r="A111" s="264"/>
      <c r="B111" s="275" t="s">
        <v>165</v>
      </c>
      <c r="C111" s="41"/>
      <c r="D111" s="42">
        <v>0</v>
      </c>
      <c r="E111" s="269"/>
      <c r="F111" s="270"/>
      <c r="G111" s="271"/>
      <c r="H111" s="271">
        <v>0</v>
      </c>
      <c r="I111" s="272"/>
      <c r="J111" s="273">
        <v>0</v>
      </c>
      <c r="K111" s="267"/>
      <c r="L111" s="268"/>
      <c r="M111" s="42"/>
      <c r="N111" s="274"/>
      <c r="O111" s="270"/>
      <c r="P111" s="272"/>
      <c r="Q111" s="248">
        <f t="shared" si="9"/>
        <v>0</v>
      </c>
      <c r="R111" s="272"/>
      <c r="S111" s="258">
        <f t="shared" si="10"/>
        <v>0</v>
      </c>
    </row>
    <row r="112" spans="1:21" ht="41.25" customHeight="1">
      <c r="A112" s="264"/>
      <c r="B112" s="275" t="s">
        <v>166</v>
      </c>
      <c r="C112" s="41"/>
      <c r="D112" s="42">
        <v>0</v>
      </c>
      <c r="E112" s="269"/>
      <c r="F112" s="270"/>
      <c r="G112" s="271"/>
      <c r="H112" s="271"/>
      <c r="I112" s="272"/>
      <c r="J112" s="273"/>
      <c r="K112" s="267"/>
      <c r="L112" s="268"/>
      <c r="M112" s="42"/>
      <c r="N112" s="274"/>
      <c r="O112" s="270"/>
      <c r="P112" s="272"/>
      <c r="Q112" s="248">
        <f t="shared" si="9"/>
        <v>0</v>
      </c>
      <c r="R112" s="272"/>
      <c r="S112" s="258">
        <f t="shared" si="10"/>
        <v>0</v>
      </c>
    </row>
    <row r="113" spans="1:19" ht="32.25" customHeight="1" thickBot="1">
      <c r="A113" s="39"/>
      <c r="B113" s="50" t="s">
        <v>19</v>
      </c>
      <c r="C113" s="50"/>
      <c r="D113" s="51">
        <f>SUM(D86+D92+D95+D98+D100+D102+D105+D111+D112)</f>
        <v>3528.5600000000004</v>
      </c>
      <c r="E113" s="52"/>
      <c r="F113" s="53"/>
      <c r="G113" s="52"/>
      <c r="H113" s="51">
        <f>SUM(H86:H112)-H86-H92-H95-H98-H100-H102-H105</f>
        <v>630.00000000000159</v>
      </c>
      <c r="I113" s="51">
        <f t="shared" ref="I113:S113" si="11">SUM(I86:I112)-I86-I92-I95-I98-I100-I102-I105</f>
        <v>0</v>
      </c>
      <c r="J113" s="51">
        <f t="shared" si="11"/>
        <v>630.00000000000159</v>
      </c>
      <c r="K113" s="51">
        <f t="shared" si="11"/>
        <v>0</v>
      </c>
      <c r="L113" s="51">
        <f t="shared" si="11"/>
        <v>0</v>
      </c>
      <c r="M113" s="51">
        <f>SUM(M86:M112)-M86-M92-M95-M98-M100-M102-M105</f>
        <v>3045</v>
      </c>
      <c r="N113" s="51"/>
      <c r="O113" s="51">
        <f t="shared" si="11"/>
        <v>0</v>
      </c>
      <c r="P113" s="51">
        <f t="shared" si="11"/>
        <v>0</v>
      </c>
      <c r="Q113" s="51">
        <f>SUM(Q86:Q112)-Q86-Q92-Q95-Q98-Q100-Q102-Q105</f>
        <v>3.4106051316484809E-12</v>
      </c>
      <c r="R113" s="51">
        <f t="shared" si="11"/>
        <v>0</v>
      </c>
      <c r="S113" s="51">
        <f t="shared" si="11"/>
        <v>3.4106051316484809E-12</v>
      </c>
    </row>
    <row r="114" spans="1:19" ht="32.25" customHeight="1" thickTop="1">
      <c r="A114" s="39"/>
      <c r="B114" s="141" t="s">
        <v>167</v>
      </c>
      <c r="C114" s="142"/>
      <c r="D114" s="125"/>
      <c r="E114" s="131"/>
      <c r="F114" s="115"/>
      <c r="G114" s="33"/>
      <c r="H114" s="143"/>
      <c r="I114" s="143"/>
      <c r="J114" s="143"/>
      <c r="K114" s="34"/>
      <c r="L114" s="35"/>
      <c r="M114" s="36"/>
      <c r="N114" s="114"/>
      <c r="O114" s="115"/>
      <c r="P114" s="144"/>
      <c r="Q114" s="33"/>
      <c r="R114" s="33"/>
      <c r="S114" s="145"/>
    </row>
    <row r="115" spans="1:19" s="160" customFormat="1" ht="32.25" customHeight="1">
      <c r="A115" s="106">
        <v>1</v>
      </c>
      <c r="B115" s="142" t="s">
        <v>23</v>
      </c>
      <c r="C115" s="142" t="s">
        <v>168</v>
      </c>
      <c r="D115" s="151">
        <v>10925</v>
      </c>
      <c r="E115" s="163"/>
      <c r="F115" s="122"/>
      <c r="G115" s="122"/>
      <c r="H115" s="91"/>
      <c r="I115" s="122"/>
      <c r="J115" s="132"/>
      <c r="K115" s="276" t="s">
        <v>62</v>
      </c>
      <c r="L115" s="277" t="s">
        <v>169</v>
      </c>
      <c r="M115" s="278">
        <v>10925</v>
      </c>
      <c r="N115" s="279"/>
      <c r="O115" s="280"/>
      <c r="P115" s="280"/>
      <c r="Q115" s="91"/>
      <c r="R115" s="91"/>
      <c r="S115" s="77"/>
    </row>
    <row r="116" spans="1:19" s="160" customFormat="1" ht="32.25" customHeight="1">
      <c r="A116" s="106">
        <v>2</v>
      </c>
      <c r="B116" s="142" t="s">
        <v>69</v>
      </c>
      <c r="C116" s="142" t="s">
        <v>170</v>
      </c>
      <c r="D116" s="151">
        <v>920</v>
      </c>
      <c r="E116" s="163" t="s">
        <v>71</v>
      </c>
      <c r="F116" s="122">
        <v>1</v>
      </c>
      <c r="G116" s="122" t="s">
        <v>72</v>
      </c>
      <c r="H116" s="91">
        <v>920</v>
      </c>
      <c r="I116" s="122"/>
      <c r="J116" s="132">
        <v>920</v>
      </c>
      <c r="K116" s="276" t="s">
        <v>73</v>
      </c>
      <c r="L116" s="277" t="s">
        <v>171</v>
      </c>
      <c r="M116" s="278">
        <v>1840</v>
      </c>
      <c r="N116" s="281"/>
      <c r="O116" s="280"/>
      <c r="P116" s="280"/>
      <c r="Q116" s="91">
        <f>S116</f>
        <v>0</v>
      </c>
      <c r="R116" s="91"/>
      <c r="S116" s="77">
        <f>+D116+J116-M116</f>
        <v>0</v>
      </c>
    </row>
    <row r="117" spans="1:19" s="160" customFormat="1" ht="32.25" customHeight="1">
      <c r="A117" s="106">
        <v>3</v>
      </c>
      <c r="B117" s="142" t="s">
        <v>27</v>
      </c>
      <c r="C117" s="142" t="s">
        <v>172</v>
      </c>
      <c r="D117" s="151">
        <v>920</v>
      </c>
      <c r="E117" s="163"/>
      <c r="F117" s="122"/>
      <c r="G117" s="122"/>
      <c r="H117" s="91"/>
      <c r="I117" s="122"/>
      <c r="J117" s="132"/>
      <c r="K117" s="276" t="s">
        <v>65</v>
      </c>
      <c r="L117" s="277" t="s">
        <v>173</v>
      </c>
      <c r="M117" s="278">
        <v>920</v>
      </c>
      <c r="N117" s="279"/>
      <c r="O117" s="280"/>
      <c r="P117" s="280"/>
      <c r="Q117" s="91"/>
      <c r="R117" s="91"/>
      <c r="S117" s="77"/>
    </row>
    <row r="118" spans="1:19" s="160" customFormat="1" ht="32.25" customHeight="1">
      <c r="A118" s="106">
        <v>4</v>
      </c>
      <c r="B118" s="142" t="s">
        <v>77</v>
      </c>
      <c r="C118" s="142" t="s">
        <v>174</v>
      </c>
      <c r="D118" s="151">
        <v>920</v>
      </c>
      <c r="E118" s="163"/>
      <c r="F118" s="122"/>
      <c r="G118" s="122"/>
      <c r="H118" s="91"/>
      <c r="I118" s="122"/>
      <c r="J118" s="132"/>
      <c r="K118" s="276" t="s">
        <v>79</v>
      </c>
      <c r="L118" s="277" t="s">
        <v>175</v>
      </c>
      <c r="M118" s="278">
        <v>920</v>
      </c>
      <c r="N118" s="279"/>
      <c r="O118" s="280"/>
      <c r="P118" s="280"/>
      <c r="Q118" s="91"/>
      <c r="R118" s="91"/>
      <c r="S118" s="77"/>
    </row>
    <row r="119" spans="1:19" s="160" customFormat="1" ht="32.25" customHeight="1">
      <c r="A119" s="106">
        <v>5</v>
      </c>
      <c r="B119" s="142" t="s">
        <v>176</v>
      </c>
      <c r="C119" s="142" t="s">
        <v>177</v>
      </c>
      <c r="D119" s="151">
        <v>2300</v>
      </c>
      <c r="E119" s="163"/>
      <c r="F119" s="122"/>
      <c r="G119" s="122"/>
      <c r="H119" s="91"/>
      <c r="I119" s="122"/>
      <c r="J119" s="132"/>
      <c r="K119" s="276" t="s">
        <v>55</v>
      </c>
      <c r="L119" s="277" t="s">
        <v>178</v>
      </c>
      <c r="M119" s="278">
        <v>2300</v>
      </c>
      <c r="N119" s="279"/>
      <c r="O119" s="280"/>
      <c r="P119" s="280"/>
      <c r="Q119" s="91"/>
      <c r="R119" s="91"/>
      <c r="S119" s="77"/>
    </row>
    <row r="120" spans="1:19" ht="32.25" customHeight="1">
      <c r="A120" s="106">
        <v>6</v>
      </c>
      <c r="B120" s="142" t="s">
        <v>75</v>
      </c>
      <c r="C120" s="142" t="s">
        <v>179</v>
      </c>
      <c r="D120" s="151"/>
      <c r="E120" s="163"/>
      <c r="F120" s="115"/>
      <c r="G120" s="115"/>
      <c r="H120" s="131"/>
      <c r="I120" s="115"/>
      <c r="J120" s="132"/>
      <c r="K120" s="282"/>
      <c r="L120" s="210"/>
      <c r="M120" s="283"/>
      <c r="N120" s="114"/>
      <c r="O120" s="122"/>
      <c r="P120" s="122"/>
      <c r="Q120" s="91"/>
      <c r="R120" s="91"/>
      <c r="S120" s="77"/>
    </row>
    <row r="121" spans="1:19" ht="32.25" customHeight="1">
      <c r="A121" s="106">
        <v>7</v>
      </c>
      <c r="B121" s="142" t="s">
        <v>75</v>
      </c>
      <c r="C121" s="142" t="s">
        <v>180</v>
      </c>
      <c r="D121" s="151"/>
      <c r="E121" s="163"/>
      <c r="F121" s="115"/>
      <c r="G121" s="115"/>
      <c r="H121" s="131"/>
      <c r="I121" s="115"/>
      <c r="J121" s="132"/>
      <c r="K121" s="282"/>
      <c r="L121" s="210"/>
      <c r="M121" s="283"/>
      <c r="N121" s="114"/>
      <c r="O121" s="122"/>
      <c r="P121" s="122"/>
      <c r="Q121" s="91"/>
      <c r="R121" s="91"/>
      <c r="S121" s="77"/>
    </row>
    <row r="122" spans="1:19" ht="32.25" customHeight="1">
      <c r="A122" s="106">
        <v>8</v>
      </c>
      <c r="B122" s="142" t="s">
        <v>75</v>
      </c>
      <c r="C122" s="142" t="s">
        <v>181</v>
      </c>
      <c r="D122" s="151">
        <v>0</v>
      </c>
      <c r="E122" s="163"/>
      <c r="F122" s="115"/>
      <c r="G122" s="115"/>
      <c r="H122" s="131"/>
      <c r="I122" s="115"/>
      <c r="J122" s="132"/>
      <c r="K122" s="282"/>
      <c r="L122" s="210"/>
      <c r="M122" s="283"/>
      <c r="N122" s="114"/>
      <c r="O122" s="122"/>
      <c r="P122" s="122"/>
      <c r="Q122" s="91"/>
      <c r="R122" s="91"/>
      <c r="S122" s="77"/>
    </row>
    <row r="123" spans="1:19" ht="32.25" customHeight="1">
      <c r="A123" s="106">
        <v>9</v>
      </c>
      <c r="B123" s="142" t="s">
        <v>75</v>
      </c>
      <c r="C123" s="142" t="s">
        <v>182</v>
      </c>
      <c r="D123" s="151">
        <v>0</v>
      </c>
      <c r="E123" s="163"/>
      <c r="F123" s="115"/>
      <c r="G123" s="115"/>
      <c r="H123" s="131"/>
      <c r="I123" s="115"/>
      <c r="J123" s="132"/>
      <c r="K123" s="282"/>
      <c r="L123" s="210"/>
      <c r="M123" s="283"/>
      <c r="N123" s="114"/>
      <c r="O123" s="122"/>
      <c r="P123" s="122"/>
      <c r="Q123" s="91"/>
      <c r="R123" s="91"/>
      <c r="S123" s="77"/>
    </row>
    <row r="124" spans="1:19" ht="32.25" customHeight="1">
      <c r="A124" s="106">
        <v>10</v>
      </c>
      <c r="B124" s="142" t="s">
        <v>75</v>
      </c>
      <c r="C124" s="142" t="s">
        <v>183</v>
      </c>
      <c r="D124" s="151">
        <v>0</v>
      </c>
      <c r="E124" s="163"/>
      <c r="F124" s="115"/>
      <c r="G124" s="115"/>
      <c r="H124" s="131"/>
      <c r="I124" s="115"/>
      <c r="J124" s="132"/>
      <c r="K124" s="282"/>
      <c r="L124" s="210"/>
      <c r="M124" s="283"/>
      <c r="N124" s="114"/>
      <c r="O124" s="115"/>
      <c r="P124" s="168"/>
      <c r="Q124" s="131"/>
      <c r="R124" s="131"/>
      <c r="S124" s="77"/>
    </row>
    <row r="125" spans="1:19" ht="32.25" customHeight="1" thickBot="1">
      <c r="A125" s="39"/>
      <c r="B125" s="50" t="s">
        <v>19</v>
      </c>
      <c r="C125" s="50"/>
      <c r="D125" s="51">
        <f>SUM(D115:D119)</f>
        <v>15985</v>
      </c>
      <c r="E125" s="52"/>
      <c r="F125" s="53"/>
      <c r="G125" s="52"/>
      <c r="H125" s="51">
        <v>920</v>
      </c>
      <c r="I125" s="51">
        <v>0</v>
      </c>
      <c r="J125" s="51">
        <v>920</v>
      </c>
      <c r="K125" s="54"/>
      <c r="L125" s="55"/>
      <c r="M125" s="56">
        <f>SUM(M115:M124)</f>
        <v>16905</v>
      </c>
      <c r="N125" s="57"/>
      <c r="O125" s="53"/>
      <c r="P125" s="51"/>
      <c r="Q125" s="51">
        <f>SUM(Q115:Q124)</f>
        <v>0</v>
      </c>
      <c r="R125" s="51">
        <f>SUM(R115:R124)</f>
        <v>0</v>
      </c>
      <c r="S125" s="51">
        <f>SUM(S115:S124)</f>
        <v>0</v>
      </c>
    </row>
    <row r="126" spans="1:19" ht="32.25" hidden="1" customHeight="1">
      <c r="A126" s="39"/>
      <c r="B126" s="58" t="s">
        <v>184</v>
      </c>
      <c r="C126" s="59"/>
      <c r="D126" s="60"/>
      <c r="E126" s="61"/>
      <c r="F126" s="62"/>
      <c r="G126" s="63"/>
      <c r="H126" s="64"/>
      <c r="I126" s="64"/>
      <c r="J126" s="64"/>
      <c r="K126" s="65"/>
      <c r="L126" s="66"/>
      <c r="M126" s="67"/>
      <c r="N126" s="68"/>
      <c r="O126" s="62"/>
      <c r="P126" s="69"/>
      <c r="Q126" s="63"/>
      <c r="R126" s="63"/>
      <c r="S126" s="70"/>
    </row>
    <row r="127" spans="1:19" ht="32.25" hidden="1" customHeight="1">
      <c r="A127" s="39">
        <v>1</v>
      </c>
      <c r="B127" s="40"/>
      <c r="C127" s="41"/>
      <c r="D127" s="42"/>
      <c r="E127" s="6"/>
      <c r="F127" s="43"/>
      <c r="G127" s="6"/>
      <c r="H127" s="42"/>
      <c r="I127" s="42"/>
      <c r="J127" s="42"/>
      <c r="K127" s="44"/>
      <c r="L127" s="45"/>
      <c r="M127" s="46"/>
      <c r="N127" s="5"/>
      <c r="O127" s="43"/>
      <c r="P127" s="47"/>
      <c r="Q127" s="48"/>
      <c r="R127" s="48"/>
      <c r="S127" s="49"/>
    </row>
    <row r="128" spans="1:19" ht="32.25" hidden="1" customHeight="1">
      <c r="A128" s="39"/>
      <c r="B128" s="50" t="s">
        <v>19</v>
      </c>
      <c r="C128" s="50"/>
      <c r="D128" s="51">
        <v>0</v>
      </c>
      <c r="E128" s="52"/>
      <c r="F128" s="53"/>
      <c r="G128" s="52"/>
      <c r="H128" s="51">
        <v>0</v>
      </c>
      <c r="I128" s="51">
        <v>0</v>
      </c>
      <c r="J128" s="51">
        <v>0</v>
      </c>
      <c r="K128" s="54"/>
      <c r="L128" s="55"/>
      <c r="M128" s="56"/>
      <c r="N128" s="57"/>
      <c r="O128" s="53"/>
      <c r="P128" s="51"/>
      <c r="Q128" s="51"/>
      <c r="R128" s="51"/>
      <c r="S128" s="51"/>
    </row>
    <row r="129" spans="1:26" ht="32.25" hidden="1" customHeight="1">
      <c r="A129" s="39"/>
      <c r="B129" s="58" t="s">
        <v>185</v>
      </c>
      <c r="C129" s="59"/>
      <c r="D129" s="60"/>
      <c r="E129" s="61"/>
      <c r="F129" s="62"/>
      <c r="G129" s="63"/>
      <c r="H129" s="64"/>
      <c r="I129" s="64"/>
      <c r="J129" s="64"/>
      <c r="K129" s="65"/>
      <c r="L129" s="66"/>
      <c r="M129" s="67"/>
      <c r="N129" s="68"/>
      <c r="O129" s="62"/>
      <c r="P129" s="69"/>
      <c r="Q129" s="63"/>
      <c r="R129" s="63"/>
      <c r="S129" s="70"/>
    </row>
    <row r="130" spans="1:26" ht="32.25" hidden="1" customHeight="1">
      <c r="A130" s="39">
        <v>1</v>
      </c>
      <c r="B130" s="40"/>
      <c r="C130" s="41"/>
      <c r="D130" s="42"/>
      <c r="E130" s="6"/>
      <c r="F130" s="43"/>
      <c r="G130" s="6"/>
      <c r="H130" s="42"/>
      <c r="I130" s="42"/>
      <c r="J130" s="42"/>
      <c r="K130" s="284"/>
      <c r="L130" s="285"/>
      <c r="M130" s="286"/>
      <c r="N130" s="5"/>
      <c r="O130" s="43"/>
      <c r="P130" s="47"/>
      <c r="Q130" s="48"/>
      <c r="R130" s="48"/>
      <c r="S130" s="49"/>
    </row>
    <row r="131" spans="1:26" ht="32.25" hidden="1" customHeight="1">
      <c r="A131" s="39"/>
      <c r="B131" s="50" t="s">
        <v>19</v>
      </c>
      <c r="C131" s="50"/>
      <c r="D131" s="51">
        <v>0</v>
      </c>
      <c r="E131" s="52"/>
      <c r="F131" s="53"/>
      <c r="G131" s="52"/>
      <c r="H131" s="51">
        <v>0</v>
      </c>
      <c r="I131" s="51">
        <v>0</v>
      </c>
      <c r="J131" s="51">
        <v>0</v>
      </c>
      <c r="K131" s="54"/>
      <c r="L131" s="55"/>
      <c r="M131" s="56"/>
      <c r="N131" s="57"/>
      <c r="O131" s="53"/>
      <c r="P131" s="51"/>
      <c r="Q131" s="51"/>
      <c r="R131" s="51"/>
      <c r="S131" s="51"/>
    </row>
    <row r="132" spans="1:26" ht="32.25" customHeight="1" thickTop="1">
      <c r="A132" s="39"/>
      <c r="B132" s="58" t="s">
        <v>186</v>
      </c>
      <c r="C132" s="59"/>
      <c r="D132" s="60"/>
      <c r="E132" s="61"/>
      <c r="F132" s="62"/>
      <c r="G132" s="63"/>
      <c r="H132" s="64"/>
      <c r="I132" s="64"/>
      <c r="J132" s="64"/>
      <c r="K132" s="65"/>
      <c r="L132" s="66"/>
      <c r="M132" s="67"/>
      <c r="N132" s="68"/>
      <c r="O132" s="62"/>
      <c r="P132" s="69"/>
      <c r="Q132" s="63"/>
      <c r="R132" s="63"/>
      <c r="S132" s="70"/>
    </row>
    <row r="133" spans="1:26" s="160" customFormat="1" ht="32.25" customHeight="1">
      <c r="A133" s="116">
        <v>1</v>
      </c>
      <c r="B133" s="41" t="s">
        <v>23</v>
      </c>
      <c r="C133" s="41" t="s">
        <v>187</v>
      </c>
      <c r="D133" s="287">
        <v>2140</v>
      </c>
      <c r="E133" s="240"/>
      <c r="F133" s="122"/>
      <c r="G133" s="91"/>
      <c r="H133" s="91">
        <v>0</v>
      </c>
      <c r="I133" s="92"/>
      <c r="J133" s="132">
        <v>0</v>
      </c>
      <c r="K133" s="288" t="s">
        <v>62</v>
      </c>
      <c r="L133" s="289" t="s">
        <v>188</v>
      </c>
      <c r="M133" s="290">
        <v>2140</v>
      </c>
      <c r="N133" s="291"/>
      <c r="O133" s="292"/>
      <c r="P133" s="293"/>
      <c r="Q133" s="91">
        <f>S133</f>
        <v>0</v>
      </c>
      <c r="R133" s="92"/>
      <c r="S133" s="294">
        <f>+D133+J133-M133</f>
        <v>0</v>
      </c>
    </row>
    <row r="134" spans="1:26" s="160" customFormat="1" ht="32.25" customHeight="1">
      <c r="A134" s="116">
        <v>2</v>
      </c>
      <c r="B134" s="142" t="s">
        <v>23</v>
      </c>
      <c r="C134" s="142" t="s">
        <v>189</v>
      </c>
      <c r="D134" s="287">
        <v>24759.8</v>
      </c>
      <c r="E134" s="114"/>
      <c r="F134" s="115"/>
      <c r="G134" s="295"/>
      <c r="H134" s="131">
        <v>0</v>
      </c>
      <c r="I134" s="125"/>
      <c r="J134" s="132">
        <v>0</v>
      </c>
      <c r="K134" s="296" t="s">
        <v>190</v>
      </c>
      <c r="L134" s="297" t="s">
        <v>191</v>
      </c>
      <c r="M134" s="290">
        <v>24759.8</v>
      </c>
      <c r="N134" s="298"/>
      <c r="O134" s="292"/>
      <c r="P134" s="292"/>
      <c r="Q134" s="91">
        <f>S134</f>
        <v>0</v>
      </c>
      <c r="R134" s="92"/>
      <c r="S134" s="294">
        <f>+D134+J134-M134</f>
        <v>0</v>
      </c>
    </row>
    <row r="135" spans="1:26" s="160" customFormat="1" ht="32.25" customHeight="1">
      <c r="A135" s="116">
        <v>3</v>
      </c>
      <c r="B135" s="142" t="s">
        <v>192</v>
      </c>
      <c r="C135" s="142" t="s">
        <v>193</v>
      </c>
      <c r="D135" s="293">
        <v>930.9</v>
      </c>
      <c r="E135" s="114"/>
      <c r="F135" s="115"/>
      <c r="G135" s="131"/>
      <c r="H135" s="131">
        <v>0</v>
      </c>
      <c r="I135" s="125"/>
      <c r="J135" s="132">
        <v>0</v>
      </c>
      <c r="K135" s="288" t="s">
        <v>28</v>
      </c>
      <c r="L135" s="289" t="s">
        <v>194</v>
      </c>
      <c r="M135" s="290">
        <v>930.9</v>
      </c>
      <c r="N135" s="298"/>
      <c r="O135" s="292"/>
      <c r="P135" s="299"/>
      <c r="Q135" s="91">
        <f>S135</f>
        <v>0</v>
      </c>
      <c r="R135" s="92"/>
      <c r="S135" s="294">
        <f>+D135+J135-M135</f>
        <v>0</v>
      </c>
    </row>
    <row r="136" spans="1:26" ht="32.25" customHeight="1">
      <c r="A136" s="106">
        <v>4</v>
      </c>
      <c r="B136" s="300" t="s">
        <v>195</v>
      </c>
      <c r="C136" s="300" t="s">
        <v>193</v>
      </c>
      <c r="D136" s="287">
        <v>0</v>
      </c>
      <c r="E136" s="301" t="s">
        <v>71</v>
      </c>
      <c r="F136" s="31">
        <v>1</v>
      </c>
      <c r="G136" s="301" t="s">
        <v>72</v>
      </c>
      <c r="H136" s="29">
        <v>6460.0000000000009</v>
      </c>
      <c r="I136" s="29">
        <v>452.20000000000005</v>
      </c>
      <c r="J136" s="132">
        <v>6912.2000000000007</v>
      </c>
      <c r="K136" s="288" t="s">
        <v>196</v>
      </c>
      <c r="L136" s="289" t="s">
        <v>197</v>
      </c>
      <c r="M136" s="290">
        <v>6912.2</v>
      </c>
      <c r="N136" s="302"/>
      <c r="O136" s="303"/>
      <c r="P136" s="304"/>
      <c r="Q136" s="131">
        <f>S136*100/107</f>
        <v>0</v>
      </c>
      <c r="R136" s="29">
        <f>Q136*7/100</f>
        <v>0</v>
      </c>
      <c r="S136" s="77">
        <f>+D136+J136-M136</f>
        <v>0</v>
      </c>
    </row>
    <row r="137" spans="1:26" ht="32.25" customHeight="1">
      <c r="A137" s="39"/>
      <c r="B137" s="142"/>
      <c r="C137" s="142"/>
      <c r="D137" s="305"/>
      <c r="E137" s="131"/>
      <c r="F137" s="115"/>
      <c r="G137" s="131"/>
      <c r="H137" s="125"/>
      <c r="I137" s="125"/>
      <c r="J137" s="132"/>
      <c r="K137" s="306"/>
      <c r="L137" s="307"/>
      <c r="M137" s="308"/>
      <c r="N137" s="114"/>
      <c r="O137" s="115"/>
      <c r="P137" s="144"/>
      <c r="Q137" s="131">
        <f t="shared" ref="Q137:Q138" si="12">S137</f>
        <v>0</v>
      </c>
      <c r="R137" s="125"/>
      <c r="S137" s="77">
        <f t="shared" ref="S137:S138" si="13">+D137+J137-M137</f>
        <v>0</v>
      </c>
    </row>
    <row r="138" spans="1:26" ht="32.25" customHeight="1">
      <c r="A138" s="39"/>
      <c r="B138" s="142"/>
      <c r="C138" s="142"/>
      <c r="D138" s="125"/>
      <c r="E138" s="131"/>
      <c r="F138" s="115"/>
      <c r="G138" s="131"/>
      <c r="H138" s="125">
        <v>0</v>
      </c>
      <c r="I138" s="125">
        <v>0</v>
      </c>
      <c r="J138" s="132">
        <v>0</v>
      </c>
      <c r="K138" s="34"/>
      <c r="L138" s="35"/>
      <c r="M138" s="36"/>
      <c r="N138" s="114"/>
      <c r="O138" s="115"/>
      <c r="P138" s="144"/>
      <c r="Q138" s="131">
        <f t="shared" si="12"/>
        <v>0</v>
      </c>
      <c r="R138" s="125"/>
      <c r="S138" s="77">
        <f t="shared" si="13"/>
        <v>0</v>
      </c>
    </row>
    <row r="139" spans="1:26" ht="32.25" customHeight="1">
      <c r="A139" s="39"/>
      <c r="B139" s="41"/>
      <c r="C139" s="41"/>
      <c r="D139" s="42"/>
      <c r="E139" s="6"/>
      <c r="F139" s="43"/>
      <c r="G139" s="6"/>
      <c r="H139" s="42">
        <v>0</v>
      </c>
      <c r="I139" s="42">
        <v>0</v>
      </c>
      <c r="J139" s="309">
        <v>0</v>
      </c>
      <c r="K139" s="284"/>
      <c r="L139" s="285"/>
      <c r="M139" s="286"/>
      <c r="N139" s="5"/>
      <c r="O139" s="43"/>
      <c r="P139" s="47"/>
      <c r="Q139" s="6"/>
      <c r="R139" s="42"/>
      <c r="S139" s="100"/>
    </row>
    <row r="140" spans="1:26" ht="32.25" customHeight="1" thickBot="1">
      <c r="A140" s="39"/>
      <c r="B140" s="50" t="s">
        <v>19</v>
      </c>
      <c r="C140" s="50"/>
      <c r="D140" s="51">
        <f>SUM(D133:D139)</f>
        <v>27830.7</v>
      </c>
      <c r="E140" s="52"/>
      <c r="F140" s="53"/>
      <c r="G140" s="52"/>
      <c r="H140" s="51">
        <f>SUM(H133:H139)</f>
        <v>6460.0000000000009</v>
      </c>
      <c r="I140" s="51">
        <f t="shared" ref="I140:J140" si="14">SUM(I133:I139)</f>
        <v>452.20000000000005</v>
      </c>
      <c r="J140" s="51">
        <f t="shared" si="14"/>
        <v>6912.2000000000007</v>
      </c>
      <c r="K140" s="54"/>
      <c r="L140" s="55"/>
      <c r="M140" s="56">
        <f>SUM(M133:M139)</f>
        <v>34742.9</v>
      </c>
      <c r="N140" s="57"/>
      <c r="O140" s="53"/>
      <c r="P140" s="51"/>
      <c r="Q140" s="51">
        <f>SUM(Q133:Q136)</f>
        <v>0</v>
      </c>
      <c r="R140" s="51">
        <f>SUM(R133:R136)</f>
        <v>0</v>
      </c>
      <c r="S140" s="51">
        <f>SUM(S133:S136)</f>
        <v>0</v>
      </c>
    </row>
    <row r="141" spans="1:26" ht="32.25" customHeight="1" thickTop="1">
      <c r="A141" s="39"/>
      <c r="B141" s="58" t="s">
        <v>198</v>
      </c>
      <c r="C141" s="59"/>
      <c r="D141" s="60"/>
      <c r="E141" s="61"/>
      <c r="F141" s="62"/>
      <c r="G141" s="63"/>
      <c r="H141" s="64"/>
      <c r="I141" s="64"/>
      <c r="J141" s="64"/>
      <c r="K141" s="65"/>
      <c r="L141" s="66"/>
      <c r="M141" s="67"/>
      <c r="N141" s="68"/>
      <c r="O141" s="62"/>
      <c r="P141" s="69"/>
      <c r="Q141" s="63"/>
      <c r="R141" s="63"/>
      <c r="S141" s="70"/>
    </row>
    <row r="142" spans="1:26" s="327" customFormat="1" ht="32.25" customHeight="1">
      <c r="A142" s="310">
        <v>1</v>
      </c>
      <c r="B142" s="311" t="s">
        <v>152</v>
      </c>
      <c r="C142" s="312"/>
      <c r="D142" s="305">
        <v>0</v>
      </c>
      <c r="E142" s="313"/>
      <c r="F142" s="314"/>
      <c r="G142" s="315"/>
      <c r="H142" s="316">
        <v>0</v>
      </c>
      <c r="I142" s="72"/>
      <c r="J142" s="317">
        <v>0</v>
      </c>
      <c r="K142" s="318"/>
      <c r="L142" s="319"/>
      <c r="M142" s="320"/>
      <c r="N142" s="313"/>
      <c r="O142" s="314"/>
      <c r="P142" s="321"/>
      <c r="Q142" s="322">
        <f>S142</f>
        <v>0</v>
      </c>
      <c r="R142" s="323"/>
      <c r="S142" s="324">
        <f>+D142+J142-M142</f>
        <v>0</v>
      </c>
      <c r="T142" s="325" t="s">
        <v>199</v>
      </c>
      <c r="U142" s="326"/>
      <c r="V142" s="326"/>
      <c r="W142" s="326"/>
      <c r="X142" s="326"/>
      <c r="Y142" s="326"/>
      <c r="Z142" s="326"/>
    </row>
    <row r="143" spans="1:26" s="327" customFormat="1" ht="32.25" customHeight="1">
      <c r="A143" s="328">
        <v>2</v>
      </c>
      <c r="B143" s="329" t="s">
        <v>200</v>
      </c>
      <c r="C143" s="330"/>
      <c r="D143" s="331"/>
      <c r="E143" s="332"/>
      <c r="F143" s="333"/>
      <c r="G143" s="334"/>
      <c r="H143" s="335"/>
      <c r="I143" s="72"/>
      <c r="J143" s="317"/>
      <c r="K143" s="318"/>
      <c r="L143" s="319"/>
      <c r="M143" s="320"/>
      <c r="N143" s="313"/>
      <c r="O143" s="314"/>
      <c r="P143" s="321"/>
      <c r="Q143" s="322"/>
      <c r="R143" s="323"/>
      <c r="S143" s="324"/>
      <c r="T143" s="325"/>
      <c r="U143" s="326"/>
      <c r="V143" s="326"/>
      <c r="W143" s="326"/>
      <c r="X143" s="326"/>
      <c r="Y143" s="326"/>
      <c r="Z143" s="326"/>
    </row>
    <row r="144" spans="1:26" ht="32.25" customHeight="1">
      <c r="A144" s="39"/>
      <c r="B144" s="223" t="s">
        <v>201</v>
      </c>
      <c r="C144" s="224"/>
      <c r="D144" s="125"/>
      <c r="E144" s="131"/>
      <c r="F144" s="115"/>
      <c r="G144" s="131"/>
      <c r="H144" s="125"/>
      <c r="I144" s="125"/>
      <c r="J144" s="125"/>
      <c r="K144" s="209"/>
      <c r="L144" s="336"/>
      <c r="M144" s="36"/>
      <c r="N144" s="114"/>
      <c r="O144" s="115"/>
      <c r="P144" s="115"/>
      <c r="Q144" s="131"/>
      <c r="R144" s="131"/>
      <c r="S144" s="77"/>
    </row>
    <row r="145" spans="1:19" ht="32.25" customHeight="1">
      <c r="A145" s="39"/>
      <c r="B145" s="223" t="s">
        <v>202</v>
      </c>
      <c r="C145" s="224"/>
      <c r="D145" s="42"/>
      <c r="E145" s="6"/>
      <c r="F145" s="43"/>
      <c r="G145" s="6"/>
      <c r="H145" s="42"/>
      <c r="I145" s="42"/>
      <c r="J145" s="125"/>
      <c r="K145" s="44"/>
      <c r="L145" s="45"/>
      <c r="M145" s="46"/>
      <c r="N145" s="114"/>
      <c r="O145" s="115"/>
      <c r="P145" s="47"/>
      <c r="Q145" s="131"/>
      <c r="R145" s="131"/>
      <c r="S145" s="77"/>
    </row>
    <row r="146" spans="1:19" ht="32.25" customHeight="1">
      <c r="A146" s="337">
        <v>3</v>
      </c>
      <c r="B146" s="338" t="s">
        <v>130</v>
      </c>
      <c r="C146" s="339"/>
      <c r="D146" s="42"/>
      <c r="E146" s="6" t="s">
        <v>203</v>
      </c>
      <c r="F146" s="43">
        <v>3</v>
      </c>
      <c r="G146" s="6" t="s">
        <v>134</v>
      </c>
      <c r="H146" s="42">
        <v>2376</v>
      </c>
      <c r="I146" s="42"/>
      <c r="J146" s="42">
        <v>2376</v>
      </c>
      <c r="K146" s="284" t="s">
        <v>55</v>
      </c>
      <c r="L146" s="285" t="s">
        <v>204</v>
      </c>
      <c r="M146" s="286">
        <v>2376</v>
      </c>
      <c r="N146" s="5"/>
      <c r="O146" s="43"/>
      <c r="P146" s="47"/>
      <c r="Q146" s="6"/>
      <c r="R146" s="6"/>
      <c r="S146" s="100"/>
    </row>
    <row r="147" spans="1:19" ht="32.25" customHeight="1">
      <c r="A147" s="337"/>
      <c r="B147" s="340" t="s">
        <v>205</v>
      </c>
      <c r="C147" s="339"/>
      <c r="D147" s="42"/>
      <c r="E147" s="6"/>
      <c r="F147" s="43"/>
      <c r="G147" s="6"/>
      <c r="H147" s="42"/>
      <c r="I147" s="42"/>
      <c r="J147" s="42"/>
      <c r="K147" s="284"/>
      <c r="L147" s="285"/>
      <c r="M147" s="286"/>
      <c r="N147" s="5"/>
      <c r="O147" s="43"/>
      <c r="P147" s="47"/>
      <c r="Q147" s="6"/>
      <c r="R147" s="6"/>
      <c r="S147" s="100"/>
    </row>
    <row r="148" spans="1:19" ht="32.25" customHeight="1">
      <c r="A148" s="337"/>
      <c r="B148" s="341" t="s">
        <v>206</v>
      </c>
      <c r="C148" s="342"/>
      <c r="D148" s="42"/>
      <c r="E148" s="6"/>
      <c r="F148" s="43"/>
      <c r="G148" s="6"/>
      <c r="H148" s="42"/>
      <c r="I148" s="42"/>
      <c r="J148" s="42"/>
      <c r="K148" s="284"/>
      <c r="L148" s="285"/>
      <c r="M148" s="286"/>
      <c r="N148" s="5"/>
      <c r="O148" s="43"/>
      <c r="P148" s="47"/>
      <c r="Q148" s="6"/>
      <c r="R148" s="6"/>
      <c r="S148" s="100"/>
    </row>
    <row r="149" spans="1:19" ht="32.25" customHeight="1" thickBot="1">
      <c r="A149" s="39"/>
      <c r="B149" s="50" t="s">
        <v>19</v>
      </c>
      <c r="C149" s="50"/>
      <c r="D149" s="51">
        <v>0</v>
      </c>
      <c r="E149" s="52"/>
      <c r="F149" s="53"/>
      <c r="G149" s="52"/>
      <c r="H149" s="51">
        <f>SUM(H146:H148)</f>
        <v>2376</v>
      </c>
      <c r="I149" s="51">
        <f t="shared" ref="I149:J149" si="15">SUM(I146:I148)</f>
        <v>0</v>
      </c>
      <c r="J149" s="51">
        <f t="shared" si="15"/>
        <v>2376</v>
      </c>
      <c r="K149" s="55"/>
      <c r="L149" s="55"/>
      <c r="M149" s="56">
        <f>SUM(M142:M148)</f>
        <v>2376</v>
      </c>
      <c r="N149" s="57"/>
      <c r="O149" s="53"/>
      <c r="P149" s="51"/>
      <c r="Q149" s="51">
        <f>SUM(Q142:Q145)</f>
        <v>0</v>
      </c>
      <c r="R149" s="51"/>
      <c r="S149" s="51">
        <f>SUM(S142:S145)</f>
        <v>0</v>
      </c>
    </row>
    <row r="150" spans="1:19" ht="32.25" customHeight="1" thickTop="1">
      <c r="A150" s="39"/>
      <c r="B150" s="58" t="s">
        <v>207</v>
      </c>
      <c r="C150" s="59"/>
      <c r="D150" s="60"/>
      <c r="E150" s="61"/>
      <c r="F150" s="62"/>
      <c r="G150" s="63"/>
      <c r="H150" s="64"/>
      <c r="I150" s="64"/>
      <c r="J150" s="64"/>
      <c r="K150" s="65"/>
      <c r="L150" s="66"/>
      <c r="M150" s="67"/>
      <c r="N150" s="68"/>
      <c r="O150" s="62"/>
      <c r="P150" s="69"/>
      <c r="Q150" s="63"/>
      <c r="R150" s="63"/>
      <c r="S150" s="70"/>
    </row>
    <row r="151" spans="1:19" ht="32.25" customHeight="1">
      <c r="A151" s="39">
        <v>1</v>
      </c>
      <c r="B151" s="40" t="s">
        <v>69</v>
      </c>
      <c r="C151" s="41" t="s">
        <v>208</v>
      </c>
      <c r="D151" s="42">
        <v>200</v>
      </c>
      <c r="E151" s="6"/>
      <c r="F151" s="43"/>
      <c r="G151" s="6"/>
      <c r="H151" s="42"/>
      <c r="I151" s="42"/>
      <c r="J151" s="42"/>
      <c r="K151" s="343" t="s">
        <v>73</v>
      </c>
      <c r="L151" s="344" t="s">
        <v>209</v>
      </c>
      <c r="M151" s="345">
        <v>200</v>
      </c>
      <c r="N151" s="5"/>
      <c r="O151" s="43"/>
      <c r="P151" s="47"/>
      <c r="Q151" s="48"/>
      <c r="R151" s="48"/>
      <c r="S151" s="49"/>
    </row>
    <row r="152" spans="1:19" ht="32.25" customHeight="1" thickBot="1">
      <c r="A152" s="39"/>
      <c r="B152" s="50" t="s">
        <v>19</v>
      </c>
      <c r="C152" s="50"/>
      <c r="D152" s="51">
        <f>SUM(D151)</f>
        <v>200</v>
      </c>
      <c r="E152" s="52"/>
      <c r="F152" s="53"/>
      <c r="G152" s="52"/>
      <c r="H152" s="51">
        <v>0</v>
      </c>
      <c r="I152" s="51">
        <v>0</v>
      </c>
      <c r="J152" s="51">
        <v>0</v>
      </c>
      <c r="K152" s="54"/>
      <c r="L152" s="55"/>
      <c r="M152" s="56">
        <f>M151</f>
        <v>200</v>
      </c>
      <c r="N152" s="57"/>
      <c r="O152" s="53"/>
      <c r="P152" s="51"/>
      <c r="Q152" s="51"/>
      <c r="R152" s="51"/>
      <c r="S152" s="51"/>
    </row>
    <row r="153" spans="1:19" ht="32.25" customHeight="1" thickTop="1">
      <c r="A153" s="39"/>
      <c r="B153" s="141" t="s">
        <v>210</v>
      </c>
      <c r="C153" s="142"/>
      <c r="D153" s="125"/>
      <c r="E153" s="131"/>
      <c r="F153" s="115"/>
      <c r="G153" s="33"/>
      <c r="H153" s="143"/>
      <c r="I153" s="143"/>
      <c r="J153" s="143"/>
      <c r="K153" s="34"/>
      <c r="L153" s="35"/>
      <c r="M153" s="36"/>
      <c r="N153" s="114"/>
      <c r="O153" s="115"/>
      <c r="P153" s="144"/>
      <c r="Q153" s="33"/>
      <c r="R153" s="33"/>
      <c r="S153" s="145"/>
    </row>
    <row r="154" spans="1:19" s="160" customFormat="1" ht="32.25" customHeight="1">
      <c r="A154" s="106">
        <v>1</v>
      </c>
      <c r="B154" s="142" t="s">
        <v>52</v>
      </c>
      <c r="C154" s="174" t="s">
        <v>211</v>
      </c>
      <c r="D154" s="151">
        <v>518</v>
      </c>
      <c r="E154" s="152" t="s">
        <v>54</v>
      </c>
      <c r="F154" s="346"/>
      <c r="G154" s="346"/>
      <c r="H154" s="153">
        <v>-259</v>
      </c>
      <c r="I154" s="346"/>
      <c r="J154" s="226">
        <v>-259</v>
      </c>
      <c r="K154" s="343" t="s">
        <v>55</v>
      </c>
      <c r="L154" s="277" t="s">
        <v>212</v>
      </c>
      <c r="M154" s="278">
        <v>518</v>
      </c>
      <c r="N154" s="347" t="s">
        <v>57</v>
      </c>
      <c r="O154" s="348"/>
      <c r="P154" s="280"/>
      <c r="Q154" s="153">
        <f t="shared" ref="Q154:Q197" si="16">S154</f>
        <v>-259</v>
      </c>
      <c r="R154" s="153"/>
      <c r="S154" s="159">
        <v>-259</v>
      </c>
    </row>
    <row r="155" spans="1:19" s="160" customFormat="1" ht="32.25" customHeight="1">
      <c r="A155" s="106">
        <v>2</v>
      </c>
      <c r="B155" s="161" t="s">
        <v>213</v>
      </c>
      <c r="C155" s="349" t="s">
        <v>214</v>
      </c>
      <c r="D155" s="151">
        <v>0</v>
      </c>
      <c r="E155" s="163"/>
      <c r="F155" s="122"/>
      <c r="G155" s="122"/>
      <c r="H155" s="91">
        <v>0</v>
      </c>
      <c r="I155" s="122"/>
      <c r="J155" s="132">
        <v>0</v>
      </c>
      <c r="K155" s="343"/>
      <c r="L155" s="350"/>
      <c r="M155" s="351"/>
      <c r="N155" s="352"/>
      <c r="O155" s="348"/>
      <c r="P155" s="280"/>
      <c r="Q155" s="153">
        <f t="shared" si="16"/>
        <v>0</v>
      </c>
      <c r="R155" s="153"/>
      <c r="S155" s="159">
        <f t="shared" ref="S155:S197" si="17">+D155+J155-M155</f>
        <v>0</v>
      </c>
    </row>
    <row r="156" spans="1:19" s="160" customFormat="1" ht="32.25" customHeight="1">
      <c r="A156" s="106">
        <v>3</v>
      </c>
      <c r="B156" s="142" t="s">
        <v>60</v>
      </c>
      <c r="C156" s="174" t="s">
        <v>215</v>
      </c>
      <c r="D156" s="151">
        <v>259</v>
      </c>
      <c r="E156" s="163"/>
      <c r="F156" s="122"/>
      <c r="G156" s="122"/>
      <c r="H156" s="91">
        <v>0</v>
      </c>
      <c r="I156" s="122"/>
      <c r="J156" s="132">
        <v>0</v>
      </c>
      <c r="K156" s="343" t="s">
        <v>62</v>
      </c>
      <c r="L156" s="277" t="s">
        <v>216</v>
      </c>
      <c r="M156" s="278">
        <v>259</v>
      </c>
      <c r="N156" s="352"/>
      <c r="O156" s="348"/>
      <c r="P156" s="280"/>
      <c r="Q156" s="153">
        <f t="shared" si="16"/>
        <v>0</v>
      </c>
      <c r="R156" s="153"/>
      <c r="S156" s="159">
        <f t="shared" si="17"/>
        <v>0</v>
      </c>
    </row>
    <row r="157" spans="1:19" s="160" customFormat="1" ht="32.25" customHeight="1">
      <c r="A157" s="106">
        <v>4</v>
      </c>
      <c r="B157" s="142" t="s">
        <v>27</v>
      </c>
      <c r="C157" s="174" t="s">
        <v>217</v>
      </c>
      <c r="D157" s="151">
        <v>259</v>
      </c>
      <c r="E157" s="163"/>
      <c r="F157" s="122"/>
      <c r="G157" s="122"/>
      <c r="H157" s="91">
        <v>0</v>
      </c>
      <c r="I157" s="122"/>
      <c r="J157" s="132">
        <v>0</v>
      </c>
      <c r="K157" s="343" t="s">
        <v>65</v>
      </c>
      <c r="L157" s="277" t="s">
        <v>218</v>
      </c>
      <c r="M157" s="278">
        <v>259</v>
      </c>
      <c r="N157" s="352"/>
      <c r="O157" s="348"/>
      <c r="P157" s="280"/>
      <c r="Q157" s="153">
        <f t="shared" si="16"/>
        <v>0</v>
      </c>
      <c r="R157" s="153"/>
      <c r="S157" s="159">
        <f t="shared" si="17"/>
        <v>0</v>
      </c>
    </row>
    <row r="158" spans="1:19" s="160" customFormat="1" ht="32.25" customHeight="1">
      <c r="A158" s="106">
        <v>5</v>
      </c>
      <c r="B158" s="168" t="s">
        <v>42</v>
      </c>
      <c r="C158" s="174" t="s">
        <v>219</v>
      </c>
      <c r="D158" s="125">
        <v>259</v>
      </c>
      <c r="E158" s="163"/>
      <c r="F158" s="122"/>
      <c r="G158" s="122"/>
      <c r="H158" s="91">
        <v>0</v>
      </c>
      <c r="I158" s="122"/>
      <c r="J158" s="132">
        <v>0</v>
      </c>
      <c r="K158" s="343" t="s">
        <v>65</v>
      </c>
      <c r="L158" s="277" t="s">
        <v>220</v>
      </c>
      <c r="M158" s="278">
        <v>259</v>
      </c>
      <c r="N158" s="352"/>
      <c r="O158" s="348"/>
      <c r="P158" s="280"/>
      <c r="Q158" s="153">
        <f t="shared" si="16"/>
        <v>0</v>
      </c>
      <c r="R158" s="153"/>
      <c r="S158" s="159">
        <f t="shared" si="17"/>
        <v>0</v>
      </c>
    </row>
    <row r="159" spans="1:19" s="160" customFormat="1" ht="32.25" customHeight="1">
      <c r="A159" s="106">
        <v>6</v>
      </c>
      <c r="B159" s="142" t="s">
        <v>69</v>
      </c>
      <c r="C159" s="174" t="s">
        <v>221</v>
      </c>
      <c r="D159" s="151">
        <v>259</v>
      </c>
      <c r="E159" s="163" t="s">
        <v>71</v>
      </c>
      <c r="F159" s="122">
        <v>1</v>
      </c>
      <c r="G159" s="122" t="s">
        <v>72</v>
      </c>
      <c r="H159" s="91">
        <v>259</v>
      </c>
      <c r="I159" s="122"/>
      <c r="J159" s="132">
        <v>259</v>
      </c>
      <c r="K159" s="343" t="s">
        <v>73</v>
      </c>
      <c r="L159" s="277" t="s">
        <v>222</v>
      </c>
      <c r="M159" s="278">
        <v>518</v>
      </c>
      <c r="N159" s="353"/>
      <c r="O159" s="348"/>
      <c r="P159" s="280" t="s">
        <v>72</v>
      </c>
      <c r="Q159" s="354">
        <f t="shared" si="16"/>
        <v>0</v>
      </c>
      <c r="R159" s="354"/>
      <c r="S159" s="355">
        <f t="shared" si="17"/>
        <v>0</v>
      </c>
    </row>
    <row r="160" spans="1:19" ht="32.25" customHeight="1">
      <c r="A160" s="106">
        <v>7</v>
      </c>
      <c r="B160" s="146" t="s">
        <v>75</v>
      </c>
      <c r="C160" s="173" t="s">
        <v>223</v>
      </c>
      <c r="D160" s="151"/>
      <c r="E160" s="163"/>
      <c r="F160" s="115"/>
      <c r="G160" s="115"/>
      <c r="H160" s="131">
        <v>0</v>
      </c>
      <c r="I160" s="115"/>
      <c r="J160" s="132">
        <v>0</v>
      </c>
      <c r="K160" s="356"/>
      <c r="L160" s="350"/>
      <c r="M160" s="351"/>
      <c r="N160" s="352"/>
      <c r="O160" s="348"/>
      <c r="P160" s="280"/>
      <c r="Q160" s="153">
        <f t="shared" si="16"/>
        <v>0</v>
      </c>
      <c r="R160" s="153"/>
      <c r="S160" s="159">
        <f t="shared" si="17"/>
        <v>0</v>
      </c>
    </row>
    <row r="161" spans="1:19" s="160" customFormat="1" ht="32.25" customHeight="1">
      <c r="A161" s="106">
        <v>8</v>
      </c>
      <c r="B161" s="142" t="s">
        <v>77</v>
      </c>
      <c r="C161" s="174" t="s">
        <v>224</v>
      </c>
      <c r="D161" s="151">
        <v>259</v>
      </c>
      <c r="E161" s="163"/>
      <c r="F161" s="122"/>
      <c r="G161" s="122"/>
      <c r="H161" s="91">
        <v>0</v>
      </c>
      <c r="I161" s="122"/>
      <c r="J161" s="132">
        <v>0</v>
      </c>
      <c r="K161" s="343" t="s">
        <v>79</v>
      </c>
      <c r="L161" s="277" t="s">
        <v>225</v>
      </c>
      <c r="M161" s="278">
        <v>259</v>
      </c>
      <c r="N161" s="352"/>
      <c r="O161" s="348"/>
      <c r="P161" s="280"/>
      <c r="Q161" s="153">
        <f t="shared" si="16"/>
        <v>0</v>
      </c>
      <c r="R161" s="153"/>
      <c r="S161" s="159">
        <f t="shared" si="17"/>
        <v>0</v>
      </c>
    </row>
    <row r="162" spans="1:19" s="160" customFormat="1" ht="32.25" customHeight="1">
      <c r="A162" s="106">
        <v>9</v>
      </c>
      <c r="B162" s="142" t="s">
        <v>77</v>
      </c>
      <c r="C162" s="174" t="s">
        <v>226</v>
      </c>
      <c r="D162" s="151">
        <v>259</v>
      </c>
      <c r="E162" s="163"/>
      <c r="F162" s="122"/>
      <c r="G162" s="122"/>
      <c r="H162" s="91">
        <v>0</v>
      </c>
      <c r="I162" s="122"/>
      <c r="J162" s="132">
        <v>0</v>
      </c>
      <c r="K162" s="343" t="s">
        <v>79</v>
      </c>
      <c r="L162" s="277" t="s">
        <v>225</v>
      </c>
      <c r="M162" s="278">
        <v>259</v>
      </c>
      <c r="N162" s="352"/>
      <c r="O162" s="348"/>
      <c r="P162" s="280"/>
      <c r="Q162" s="153">
        <f t="shared" si="16"/>
        <v>0</v>
      </c>
      <c r="R162" s="153"/>
      <c r="S162" s="159">
        <f t="shared" si="17"/>
        <v>0</v>
      </c>
    </row>
    <row r="163" spans="1:19" ht="32.25" customHeight="1">
      <c r="A163" s="106">
        <v>10</v>
      </c>
      <c r="B163" s="146" t="s">
        <v>75</v>
      </c>
      <c r="C163" s="173" t="s">
        <v>227</v>
      </c>
      <c r="D163" s="151"/>
      <c r="E163" s="163"/>
      <c r="F163" s="115"/>
      <c r="G163" s="115"/>
      <c r="H163" s="131">
        <v>0</v>
      </c>
      <c r="I163" s="115"/>
      <c r="J163" s="132">
        <v>0</v>
      </c>
      <c r="K163" s="356"/>
      <c r="L163" s="350"/>
      <c r="M163" s="351"/>
      <c r="N163" s="352"/>
      <c r="O163" s="348"/>
      <c r="P163" s="280"/>
      <c r="Q163" s="153">
        <f t="shared" si="16"/>
        <v>0</v>
      </c>
      <c r="R163" s="153"/>
      <c r="S163" s="159">
        <f t="shared" si="17"/>
        <v>0</v>
      </c>
    </row>
    <row r="164" spans="1:19" s="160" customFormat="1" ht="32.25" customHeight="1">
      <c r="A164" s="106">
        <v>11</v>
      </c>
      <c r="B164" s="142" t="s">
        <v>83</v>
      </c>
      <c r="C164" s="174" t="s">
        <v>228</v>
      </c>
      <c r="D164" s="151">
        <v>259</v>
      </c>
      <c r="E164" s="163"/>
      <c r="F164" s="122"/>
      <c r="G164" s="122"/>
      <c r="H164" s="91">
        <v>0</v>
      </c>
      <c r="I164" s="122"/>
      <c r="J164" s="132">
        <v>0</v>
      </c>
      <c r="K164" s="343" t="s">
        <v>85</v>
      </c>
      <c r="L164" s="277" t="s">
        <v>229</v>
      </c>
      <c r="M164" s="278">
        <v>259</v>
      </c>
      <c r="N164" s="352"/>
      <c r="O164" s="348"/>
      <c r="P164" s="280"/>
      <c r="Q164" s="153">
        <f t="shared" si="16"/>
        <v>0</v>
      </c>
      <c r="R164" s="153"/>
      <c r="S164" s="159">
        <f t="shared" si="17"/>
        <v>0</v>
      </c>
    </row>
    <row r="165" spans="1:19" s="160" customFormat="1" ht="32.25" customHeight="1">
      <c r="A165" s="106">
        <v>12</v>
      </c>
      <c r="B165" s="142" t="s">
        <v>87</v>
      </c>
      <c r="C165" s="174" t="s">
        <v>230</v>
      </c>
      <c r="D165" s="151">
        <v>259</v>
      </c>
      <c r="E165" s="163"/>
      <c r="F165" s="122"/>
      <c r="G165" s="122"/>
      <c r="H165" s="91">
        <v>0</v>
      </c>
      <c r="I165" s="122"/>
      <c r="J165" s="132">
        <v>0</v>
      </c>
      <c r="K165" s="343" t="s">
        <v>89</v>
      </c>
      <c r="L165" s="277" t="s">
        <v>231</v>
      </c>
      <c r="M165" s="278">
        <v>259</v>
      </c>
      <c r="N165" s="352"/>
      <c r="O165" s="348"/>
      <c r="P165" s="280"/>
      <c r="Q165" s="153">
        <f t="shared" si="16"/>
        <v>0</v>
      </c>
      <c r="R165" s="153"/>
      <c r="S165" s="159">
        <f t="shared" si="17"/>
        <v>0</v>
      </c>
    </row>
    <row r="166" spans="1:19" ht="32.25" customHeight="1">
      <c r="A166" s="357">
        <v>13</v>
      </c>
      <c r="B166" s="146" t="s">
        <v>75</v>
      </c>
      <c r="C166" s="173" t="s">
        <v>232</v>
      </c>
      <c r="D166" s="151"/>
      <c r="E166" s="163"/>
      <c r="F166" s="115"/>
      <c r="G166" s="115"/>
      <c r="H166" s="131">
        <v>0</v>
      </c>
      <c r="I166" s="115"/>
      <c r="J166" s="132">
        <v>0</v>
      </c>
      <c r="K166" s="358"/>
      <c r="L166" s="359"/>
      <c r="M166" s="360"/>
      <c r="N166" s="361"/>
      <c r="O166" s="362"/>
      <c r="P166" s="122"/>
      <c r="Q166" s="153">
        <f t="shared" si="16"/>
        <v>0</v>
      </c>
      <c r="R166" s="153"/>
      <c r="S166" s="159">
        <f t="shared" si="17"/>
        <v>0</v>
      </c>
    </row>
    <row r="167" spans="1:19" ht="32.25" customHeight="1">
      <c r="A167" s="106">
        <v>14</v>
      </c>
      <c r="B167" s="142" t="s">
        <v>92</v>
      </c>
      <c r="C167" s="174" t="s">
        <v>233</v>
      </c>
      <c r="D167" s="151"/>
      <c r="E167" s="163"/>
      <c r="F167" s="115"/>
      <c r="G167" s="115"/>
      <c r="H167" s="131">
        <v>0</v>
      </c>
      <c r="I167" s="115"/>
      <c r="J167" s="132">
        <v>0</v>
      </c>
      <c r="K167" s="358"/>
      <c r="L167" s="359"/>
      <c r="M167" s="360"/>
      <c r="N167" s="361"/>
      <c r="O167" s="362"/>
      <c r="P167" s="122"/>
      <c r="Q167" s="153">
        <f t="shared" si="16"/>
        <v>0</v>
      </c>
      <c r="R167" s="153"/>
      <c r="S167" s="159">
        <f t="shared" si="17"/>
        <v>0</v>
      </c>
    </row>
    <row r="168" spans="1:19" ht="32.25" customHeight="1">
      <c r="A168" s="106">
        <v>15</v>
      </c>
      <c r="B168" s="146" t="s">
        <v>75</v>
      </c>
      <c r="C168" s="173" t="s">
        <v>234</v>
      </c>
      <c r="D168" s="151">
        <v>0</v>
      </c>
      <c r="E168" s="163"/>
      <c r="F168" s="115"/>
      <c r="G168" s="115"/>
      <c r="H168" s="131">
        <v>0</v>
      </c>
      <c r="I168" s="115"/>
      <c r="J168" s="132">
        <v>0</v>
      </c>
      <c r="K168" s="358"/>
      <c r="L168" s="359"/>
      <c r="M168" s="360"/>
      <c r="N168" s="361"/>
      <c r="O168" s="362"/>
      <c r="P168" s="122"/>
      <c r="Q168" s="153">
        <f t="shared" si="16"/>
        <v>0</v>
      </c>
      <c r="R168" s="153"/>
      <c r="S168" s="159">
        <f t="shared" si="17"/>
        <v>0</v>
      </c>
    </row>
    <row r="169" spans="1:19" s="160" customFormat="1" ht="32.25" customHeight="1">
      <c r="A169" s="106">
        <v>16</v>
      </c>
      <c r="B169" s="142" t="s">
        <v>95</v>
      </c>
      <c r="C169" s="174" t="s">
        <v>235</v>
      </c>
      <c r="D169" s="151">
        <v>0</v>
      </c>
      <c r="E169" s="163"/>
      <c r="F169" s="122"/>
      <c r="G169" s="122"/>
      <c r="H169" s="91">
        <v>0</v>
      </c>
      <c r="I169" s="122"/>
      <c r="J169" s="132">
        <v>0</v>
      </c>
      <c r="K169" s="363"/>
      <c r="L169" s="363"/>
      <c r="M169" s="364"/>
      <c r="N169" s="361"/>
      <c r="O169" s="362"/>
      <c r="P169" s="122"/>
      <c r="Q169" s="153">
        <f t="shared" si="16"/>
        <v>0</v>
      </c>
      <c r="R169" s="153"/>
      <c r="S169" s="159">
        <f t="shared" si="17"/>
        <v>0</v>
      </c>
    </row>
    <row r="170" spans="1:19" s="160" customFormat="1" ht="32.25" customHeight="1">
      <c r="A170" s="106">
        <v>17</v>
      </c>
      <c r="B170" s="365" t="s">
        <v>236</v>
      </c>
      <c r="C170" s="174" t="s">
        <v>237</v>
      </c>
      <c r="D170" s="151">
        <v>0</v>
      </c>
      <c r="E170" s="163"/>
      <c r="F170" s="122"/>
      <c r="G170" s="122"/>
      <c r="H170" s="91">
        <v>0</v>
      </c>
      <c r="I170" s="122"/>
      <c r="J170" s="132">
        <v>0</v>
      </c>
      <c r="K170" s="358"/>
      <c r="L170" s="359"/>
      <c r="M170" s="360"/>
      <c r="N170" s="361"/>
      <c r="O170" s="362"/>
      <c r="P170" s="122"/>
      <c r="Q170" s="153">
        <f t="shared" si="16"/>
        <v>0</v>
      </c>
      <c r="R170" s="153"/>
      <c r="S170" s="159">
        <f t="shared" si="17"/>
        <v>0</v>
      </c>
    </row>
    <row r="171" spans="1:19" s="160" customFormat="1" ht="32.25" customHeight="1">
      <c r="A171" s="106">
        <v>18</v>
      </c>
      <c r="B171" s="142" t="s">
        <v>99</v>
      </c>
      <c r="C171" s="174" t="s">
        <v>238</v>
      </c>
      <c r="D171" s="151">
        <v>6750</v>
      </c>
      <c r="E171" s="163"/>
      <c r="F171" s="122"/>
      <c r="G171" s="122"/>
      <c r="H171" s="91">
        <v>0</v>
      </c>
      <c r="I171" s="122"/>
      <c r="J171" s="132">
        <v>0</v>
      </c>
      <c r="K171" s="343" t="s">
        <v>65</v>
      </c>
      <c r="L171" s="277" t="s">
        <v>239</v>
      </c>
      <c r="M171" s="278">
        <v>6750</v>
      </c>
      <c r="N171" s="361"/>
      <c r="O171" s="362"/>
      <c r="P171" s="122"/>
      <c r="Q171" s="153">
        <f t="shared" si="16"/>
        <v>0</v>
      </c>
      <c r="R171" s="153"/>
      <c r="S171" s="159">
        <f t="shared" si="17"/>
        <v>0</v>
      </c>
    </row>
    <row r="172" spans="1:19" s="160" customFormat="1" ht="32.25" customHeight="1">
      <c r="A172" s="106">
        <v>19</v>
      </c>
      <c r="B172" s="142" t="s">
        <v>141</v>
      </c>
      <c r="C172" s="193" t="s">
        <v>240</v>
      </c>
      <c r="D172" s="125">
        <v>114.5</v>
      </c>
      <c r="E172" s="152" t="s">
        <v>54</v>
      </c>
      <c r="F172" s="212"/>
      <c r="G172" s="213"/>
      <c r="H172" s="153">
        <v>-229</v>
      </c>
      <c r="I172" s="125"/>
      <c r="J172" s="132">
        <v>-229</v>
      </c>
      <c r="K172" s="363"/>
      <c r="L172" s="366"/>
      <c r="M172" s="367"/>
      <c r="N172" s="368" t="s">
        <v>57</v>
      </c>
      <c r="O172" s="362"/>
      <c r="P172" s="221"/>
      <c r="Q172" s="153">
        <f>J172-M172+D172</f>
        <v>-114.5</v>
      </c>
      <c r="R172" s="153"/>
      <c r="S172" s="159">
        <f>Q172</f>
        <v>-114.5</v>
      </c>
    </row>
    <row r="173" spans="1:19" s="160" customFormat="1" ht="32.25" customHeight="1">
      <c r="A173" s="106"/>
      <c r="B173" s="222" t="s">
        <v>241</v>
      </c>
      <c r="C173" s="193"/>
      <c r="D173" s="92"/>
      <c r="E173" s="239"/>
      <c r="F173" s="122"/>
      <c r="G173" s="217"/>
      <c r="H173" s="91"/>
      <c r="I173" s="92"/>
      <c r="J173" s="132"/>
      <c r="K173" s="363"/>
      <c r="L173" s="366"/>
      <c r="M173" s="367"/>
      <c r="N173" s="361"/>
      <c r="O173" s="362"/>
      <c r="P173" s="221"/>
      <c r="Q173" s="153"/>
      <c r="R173" s="153"/>
      <c r="S173" s="159"/>
    </row>
    <row r="174" spans="1:19" s="160" customFormat="1" ht="32.25" customHeight="1">
      <c r="A174" s="106"/>
      <c r="B174" s="222" t="s">
        <v>242</v>
      </c>
      <c r="C174" s="193"/>
      <c r="D174" s="92"/>
      <c r="E174" s="239"/>
      <c r="F174" s="122"/>
      <c r="G174" s="217"/>
      <c r="H174" s="91"/>
      <c r="I174" s="92"/>
      <c r="J174" s="132"/>
      <c r="K174" s="363"/>
      <c r="L174" s="366"/>
      <c r="M174" s="367"/>
      <c r="N174" s="361"/>
      <c r="O174" s="362"/>
      <c r="P174" s="221"/>
      <c r="Q174" s="153"/>
      <c r="R174" s="153"/>
      <c r="S174" s="159"/>
    </row>
    <row r="175" spans="1:19" ht="32.25" customHeight="1">
      <c r="A175" s="106">
        <v>20</v>
      </c>
      <c r="B175" s="222" t="s">
        <v>52</v>
      </c>
      <c r="C175" s="193" t="s">
        <v>243</v>
      </c>
      <c r="D175" s="92">
        <v>11.5</v>
      </c>
      <c r="E175" s="369" t="s">
        <v>54</v>
      </c>
      <c r="F175" s="346"/>
      <c r="G175" s="213"/>
      <c r="H175" s="153">
        <v>-23</v>
      </c>
      <c r="I175" s="370"/>
      <c r="J175" s="226">
        <v>-23</v>
      </c>
      <c r="K175" s="358"/>
      <c r="L175" s="359"/>
      <c r="M175" s="371"/>
      <c r="N175" s="368" t="s">
        <v>57</v>
      </c>
      <c r="O175" s="362"/>
      <c r="P175" s="221"/>
      <c r="Q175" s="153">
        <f t="shared" si="16"/>
        <v>-11.5</v>
      </c>
      <c r="R175" s="153"/>
      <c r="S175" s="159">
        <f t="shared" si="17"/>
        <v>-11.5</v>
      </c>
    </row>
    <row r="176" spans="1:19" ht="32.25" customHeight="1">
      <c r="A176" s="116"/>
      <c r="B176" s="222" t="s">
        <v>244</v>
      </c>
      <c r="C176" s="193"/>
      <c r="D176" s="92"/>
      <c r="E176" s="239"/>
      <c r="F176" s="122"/>
      <c r="G176" s="217"/>
      <c r="H176" s="91">
        <v>0</v>
      </c>
      <c r="I176" s="92"/>
      <c r="J176" s="132">
        <v>0</v>
      </c>
      <c r="K176" s="358"/>
      <c r="L176" s="359"/>
      <c r="M176" s="371"/>
      <c r="N176" s="361"/>
      <c r="O176" s="362"/>
      <c r="P176" s="221"/>
      <c r="Q176" s="153">
        <f t="shared" si="16"/>
        <v>0</v>
      </c>
      <c r="R176" s="153"/>
      <c r="S176" s="159">
        <f t="shared" si="17"/>
        <v>0</v>
      </c>
    </row>
    <row r="177" spans="1:19" ht="32.25" customHeight="1">
      <c r="A177" s="116"/>
      <c r="B177" s="222" t="s">
        <v>245</v>
      </c>
      <c r="C177" s="193"/>
      <c r="D177" s="92"/>
      <c r="E177" s="239"/>
      <c r="F177" s="122"/>
      <c r="G177" s="91"/>
      <c r="H177" s="91">
        <v>0</v>
      </c>
      <c r="I177" s="92"/>
      <c r="J177" s="132">
        <v>0</v>
      </c>
      <c r="K177" s="372"/>
      <c r="L177" s="359"/>
      <c r="M177" s="371"/>
      <c r="N177" s="361"/>
      <c r="O177" s="362"/>
      <c r="P177" s="92"/>
      <c r="Q177" s="153">
        <f t="shared" si="16"/>
        <v>0</v>
      </c>
      <c r="R177" s="153"/>
      <c r="S177" s="159">
        <f t="shared" si="17"/>
        <v>0</v>
      </c>
    </row>
    <row r="178" spans="1:19" ht="32.25" customHeight="1">
      <c r="A178" s="106">
        <v>21</v>
      </c>
      <c r="B178" s="222" t="s">
        <v>152</v>
      </c>
      <c r="C178" s="193" t="s">
        <v>246</v>
      </c>
      <c r="D178" s="125">
        <v>70.42</v>
      </c>
      <c r="E178" s="163" t="s">
        <v>54</v>
      </c>
      <c r="F178" s="115"/>
      <c r="G178" s="91"/>
      <c r="H178" s="91">
        <v>-633.74000000000012</v>
      </c>
      <c r="I178" s="125"/>
      <c r="J178" s="132">
        <v>-633.74000000000012</v>
      </c>
      <c r="K178" s="372"/>
      <c r="L178" s="373"/>
      <c r="M178" s="371"/>
      <c r="N178" s="374" t="s">
        <v>57</v>
      </c>
      <c r="O178" s="362"/>
      <c r="P178" s="92"/>
      <c r="Q178" s="153">
        <f t="shared" si="16"/>
        <v>-563.32000000000016</v>
      </c>
      <c r="R178" s="91"/>
      <c r="S178" s="159">
        <f t="shared" si="17"/>
        <v>-563.32000000000016</v>
      </c>
    </row>
    <row r="179" spans="1:19" ht="32.25" customHeight="1">
      <c r="A179" s="106"/>
      <c r="B179" s="664" t="s">
        <v>247</v>
      </c>
      <c r="C179" s="665"/>
      <c r="D179" s="92"/>
      <c r="E179" s="239"/>
      <c r="F179" s="122"/>
      <c r="G179" s="91"/>
      <c r="H179" s="91">
        <v>0</v>
      </c>
      <c r="I179" s="92"/>
      <c r="J179" s="132">
        <v>0</v>
      </c>
      <c r="K179" s="359"/>
      <c r="L179" s="358"/>
      <c r="M179" s="371"/>
      <c r="N179" s="361"/>
      <c r="O179" s="362"/>
      <c r="P179" s="92"/>
      <c r="Q179" s="153">
        <f t="shared" si="16"/>
        <v>0</v>
      </c>
      <c r="R179" s="91"/>
      <c r="S179" s="159">
        <f t="shared" si="17"/>
        <v>0</v>
      </c>
    </row>
    <row r="180" spans="1:19" ht="32.25" customHeight="1">
      <c r="A180" s="106"/>
      <c r="B180" s="652" t="s">
        <v>248</v>
      </c>
      <c r="C180" s="654"/>
      <c r="D180" s="92"/>
      <c r="E180" s="239"/>
      <c r="F180" s="122"/>
      <c r="G180" s="91"/>
      <c r="H180" s="91">
        <v>0</v>
      </c>
      <c r="I180" s="92"/>
      <c r="J180" s="132">
        <v>0</v>
      </c>
      <c r="K180" s="359"/>
      <c r="L180" s="358"/>
      <c r="M180" s="371"/>
      <c r="N180" s="361"/>
      <c r="O180" s="362"/>
      <c r="P180" s="92"/>
      <c r="Q180" s="153">
        <f t="shared" si="16"/>
        <v>0</v>
      </c>
      <c r="R180" s="91"/>
      <c r="S180" s="159">
        <f t="shared" si="17"/>
        <v>0</v>
      </c>
    </row>
    <row r="181" spans="1:19" ht="32.25" customHeight="1">
      <c r="A181" s="106"/>
      <c r="B181" s="375" t="s">
        <v>249</v>
      </c>
      <c r="C181" s="376"/>
      <c r="D181" s="377"/>
      <c r="E181" s="378"/>
      <c r="F181" s="194"/>
      <c r="G181" s="195"/>
      <c r="H181" s="195">
        <v>0</v>
      </c>
      <c r="I181" s="377"/>
      <c r="J181" s="379">
        <v>0</v>
      </c>
      <c r="K181" s="359"/>
      <c r="L181" s="358"/>
      <c r="M181" s="371"/>
      <c r="N181" s="361"/>
      <c r="O181" s="362"/>
      <c r="P181" s="92"/>
      <c r="Q181" s="153">
        <f t="shared" si="16"/>
        <v>0</v>
      </c>
      <c r="R181" s="91"/>
      <c r="S181" s="159">
        <f t="shared" si="17"/>
        <v>0</v>
      </c>
    </row>
    <row r="182" spans="1:19" ht="32.25" customHeight="1">
      <c r="A182" s="106">
        <v>22</v>
      </c>
      <c r="B182" s="222" t="s">
        <v>130</v>
      </c>
      <c r="C182" s="193" t="s">
        <v>250</v>
      </c>
      <c r="D182" s="92">
        <v>0</v>
      </c>
      <c r="E182" s="239"/>
      <c r="F182" s="122"/>
      <c r="G182" s="91"/>
      <c r="H182" s="91"/>
      <c r="I182" s="92"/>
      <c r="J182" s="132"/>
      <c r="K182" s="380"/>
      <c r="L182" s="381"/>
      <c r="M182" s="382"/>
      <c r="N182" s="361"/>
      <c r="O182" s="362"/>
      <c r="P182" s="92"/>
      <c r="Q182" s="153"/>
      <c r="R182" s="91"/>
      <c r="S182" s="159"/>
    </row>
    <row r="183" spans="1:19" ht="32.25" customHeight="1">
      <c r="A183" s="116"/>
      <c r="B183" s="222" t="s">
        <v>251</v>
      </c>
      <c r="C183" s="193"/>
      <c r="D183" s="92"/>
      <c r="E183" s="239"/>
      <c r="F183" s="122">
        <v>1</v>
      </c>
      <c r="G183" s="91" t="s">
        <v>134</v>
      </c>
      <c r="H183" s="91">
        <v>47</v>
      </c>
      <c r="I183" s="92"/>
      <c r="J183" s="132">
        <v>47</v>
      </c>
      <c r="K183" s="372" t="s">
        <v>55</v>
      </c>
      <c r="L183" s="359" t="s">
        <v>252</v>
      </c>
      <c r="M183" s="371">
        <v>47</v>
      </c>
      <c r="N183" s="361"/>
      <c r="O183" s="362"/>
      <c r="P183" s="92"/>
      <c r="Q183" s="153">
        <f t="shared" si="16"/>
        <v>0</v>
      </c>
      <c r="R183" s="383"/>
      <c r="S183" s="159">
        <f t="shared" si="17"/>
        <v>0</v>
      </c>
    </row>
    <row r="184" spans="1:19" ht="32.25" customHeight="1">
      <c r="A184" s="116"/>
      <c r="B184" s="222" t="s">
        <v>253</v>
      </c>
      <c r="C184" s="193"/>
      <c r="D184" s="92"/>
      <c r="E184" s="239"/>
      <c r="F184" s="122">
        <v>1</v>
      </c>
      <c r="G184" s="91" t="s">
        <v>134</v>
      </c>
      <c r="H184" s="91">
        <v>47</v>
      </c>
      <c r="I184" s="92"/>
      <c r="J184" s="132">
        <v>47</v>
      </c>
      <c r="K184" s="372" t="s">
        <v>55</v>
      </c>
      <c r="L184" s="359" t="s">
        <v>254</v>
      </c>
      <c r="M184" s="371">
        <v>47</v>
      </c>
      <c r="N184" s="361"/>
      <c r="O184" s="362"/>
      <c r="P184" s="92"/>
      <c r="Q184" s="153">
        <f t="shared" si="16"/>
        <v>0</v>
      </c>
      <c r="R184" s="383"/>
      <c r="S184" s="159">
        <f t="shared" si="17"/>
        <v>0</v>
      </c>
    </row>
    <row r="185" spans="1:19" ht="32.25" customHeight="1">
      <c r="A185" s="116"/>
      <c r="B185" s="222" t="s">
        <v>255</v>
      </c>
      <c r="C185" s="193"/>
      <c r="D185" s="92">
        <v>25.83</v>
      </c>
      <c r="E185" s="239"/>
      <c r="F185" s="122"/>
      <c r="G185" s="91"/>
      <c r="H185" s="91"/>
      <c r="I185" s="92"/>
      <c r="J185" s="132"/>
      <c r="K185" s="372" t="s">
        <v>55</v>
      </c>
      <c r="L185" s="359" t="s">
        <v>256</v>
      </c>
      <c r="M185" s="371">
        <v>310</v>
      </c>
      <c r="N185" s="361" t="s">
        <v>57</v>
      </c>
      <c r="O185" s="362"/>
      <c r="P185" s="92"/>
      <c r="Q185" s="153">
        <f t="shared" si="16"/>
        <v>-284.17</v>
      </c>
      <c r="R185" s="383"/>
      <c r="S185" s="159">
        <f t="shared" si="17"/>
        <v>-284.17</v>
      </c>
    </row>
    <row r="186" spans="1:19" ht="32.25" customHeight="1">
      <c r="A186" s="116"/>
      <c r="B186" s="222" t="s">
        <v>257</v>
      </c>
      <c r="C186" s="193"/>
      <c r="D186" s="92"/>
      <c r="E186" s="239"/>
      <c r="F186" s="122"/>
      <c r="G186" s="91"/>
      <c r="H186" s="91"/>
      <c r="I186" s="92"/>
      <c r="J186" s="132"/>
      <c r="K186" s="372"/>
      <c r="L186" s="359"/>
      <c r="M186" s="371"/>
      <c r="N186" s="361"/>
      <c r="O186" s="362"/>
      <c r="P186" s="92"/>
      <c r="Q186" s="153"/>
      <c r="R186" s="383"/>
      <c r="S186" s="159"/>
    </row>
    <row r="187" spans="1:19" ht="32.25" customHeight="1">
      <c r="A187" s="116">
        <v>23</v>
      </c>
      <c r="B187" s="142" t="s">
        <v>145</v>
      </c>
      <c r="C187" s="193" t="s">
        <v>258</v>
      </c>
      <c r="D187" s="92">
        <v>29.17</v>
      </c>
      <c r="E187" s="239" t="s">
        <v>54</v>
      </c>
      <c r="F187" s="122"/>
      <c r="G187" s="91"/>
      <c r="H187" s="91">
        <v>-145.80999999999995</v>
      </c>
      <c r="I187" s="92"/>
      <c r="J187" s="132">
        <v>-145.80999999999995</v>
      </c>
      <c r="K187" s="372"/>
      <c r="L187" s="359"/>
      <c r="M187" s="371"/>
      <c r="N187" s="361" t="s">
        <v>57</v>
      </c>
      <c r="O187" s="362"/>
      <c r="P187" s="92"/>
      <c r="Q187" s="153">
        <f t="shared" si="16"/>
        <v>-116.63999999999994</v>
      </c>
      <c r="R187" s="153"/>
      <c r="S187" s="159">
        <f t="shared" si="17"/>
        <v>-116.63999999999994</v>
      </c>
    </row>
    <row r="188" spans="1:19" ht="32.25" customHeight="1">
      <c r="A188" s="116"/>
      <c r="B188" s="384" t="s">
        <v>259</v>
      </c>
      <c r="C188" s="385"/>
      <c r="D188" s="386"/>
      <c r="E188" s="387"/>
      <c r="F188" s="388"/>
      <c r="G188" s="389"/>
      <c r="H188" s="389">
        <v>0</v>
      </c>
      <c r="I188" s="92"/>
      <c r="J188" s="132">
        <v>0</v>
      </c>
      <c r="K188" s="372"/>
      <c r="L188" s="359"/>
      <c r="M188" s="371"/>
      <c r="N188" s="361"/>
      <c r="O188" s="362"/>
      <c r="P188" s="92"/>
      <c r="Q188" s="153">
        <f t="shared" si="16"/>
        <v>0</v>
      </c>
      <c r="R188" s="153"/>
      <c r="S188" s="159">
        <f t="shared" si="17"/>
        <v>0</v>
      </c>
    </row>
    <row r="189" spans="1:19" ht="32.25" customHeight="1">
      <c r="A189" s="116"/>
      <c r="B189" s="384" t="s">
        <v>260</v>
      </c>
      <c r="C189" s="385"/>
      <c r="D189" s="386"/>
      <c r="E189" s="387"/>
      <c r="F189" s="388"/>
      <c r="G189" s="389"/>
      <c r="H189" s="389">
        <v>0</v>
      </c>
      <c r="I189" s="92"/>
      <c r="J189" s="132">
        <v>0</v>
      </c>
      <c r="K189" s="372"/>
      <c r="L189" s="359"/>
      <c r="M189" s="371"/>
      <c r="N189" s="361"/>
      <c r="O189" s="362"/>
      <c r="P189" s="92"/>
      <c r="Q189" s="153">
        <f t="shared" si="16"/>
        <v>0</v>
      </c>
      <c r="R189" s="153"/>
      <c r="S189" s="159">
        <f t="shared" si="17"/>
        <v>0</v>
      </c>
    </row>
    <row r="190" spans="1:19" ht="32.25" customHeight="1">
      <c r="A190" s="116">
        <v>24</v>
      </c>
      <c r="B190" s="142" t="s">
        <v>158</v>
      </c>
      <c r="C190" s="390" t="s">
        <v>261</v>
      </c>
      <c r="D190" s="92">
        <v>24.17</v>
      </c>
      <c r="E190" s="239" t="s">
        <v>54</v>
      </c>
      <c r="F190" s="122"/>
      <c r="G190" s="91"/>
      <c r="H190" s="91">
        <v>-241.66</v>
      </c>
      <c r="I190" s="92"/>
      <c r="J190" s="132">
        <v>-241.66</v>
      </c>
      <c r="K190" s="372"/>
      <c r="L190" s="359"/>
      <c r="M190" s="371"/>
      <c r="N190" s="361" t="s">
        <v>57</v>
      </c>
      <c r="O190" s="362"/>
      <c r="P190" s="92"/>
      <c r="Q190" s="153">
        <f>S190</f>
        <v>-217.49</v>
      </c>
      <c r="R190" s="354"/>
      <c r="S190" s="159">
        <f t="shared" si="17"/>
        <v>-217.49</v>
      </c>
    </row>
    <row r="191" spans="1:19" ht="32.25" customHeight="1">
      <c r="A191" s="116"/>
      <c r="B191" s="275" t="s">
        <v>262</v>
      </c>
      <c r="C191" s="390"/>
      <c r="D191" s="92"/>
      <c r="E191" s="239"/>
      <c r="F191" s="122"/>
      <c r="G191" s="91"/>
      <c r="H191" s="91">
        <v>0</v>
      </c>
      <c r="I191" s="92"/>
      <c r="J191" s="132">
        <v>0</v>
      </c>
      <c r="K191" s="372"/>
      <c r="L191" s="359"/>
      <c r="M191" s="371"/>
      <c r="N191" s="361"/>
      <c r="O191" s="362"/>
      <c r="P191" s="92"/>
      <c r="Q191" s="153">
        <f t="shared" si="16"/>
        <v>0</v>
      </c>
      <c r="R191" s="354"/>
      <c r="S191" s="159">
        <f t="shared" si="17"/>
        <v>0</v>
      </c>
    </row>
    <row r="192" spans="1:19" ht="32.25" customHeight="1">
      <c r="A192" s="116"/>
      <c r="B192" s="275" t="s">
        <v>263</v>
      </c>
      <c r="C192" s="390"/>
      <c r="D192" s="92"/>
      <c r="E192" s="239"/>
      <c r="F192" s="122"/>
      <c r="G192" s="91"/>
      <c r="H192" s="91">
        <v>0</v>
      </c>
      <c r="I192" s="92"/>
      <c r="J192" s="132">
        <v>0</v>
      </c>
      <c r="K192" s="372"/>
      <c r="L192" s="359"/>
      <c r="M192" s="371"/>
      <c r="N192" s="361"/>
      <c r="O192" s="362"/>
      <c r="P192" s="92"/>
      <c r="Q192" s="153">
        <f t="shared" si="16"/>
        <v>0</v>
      </c>
      <c r="R192" s="354"/>
      <c r="S192" s="159">
        <f t="shared" si="17"/>
        <v>0</v>
      </c>
    </row>
    <row r="193" spans="1:19" ht="32.25" customHeight="1">
      <c r="A193" s="116"/>
      <c r="B193" s="275" t="s">
        <v>264</v>
      </c>
      <c r="C193" s="390"/>
      <c r="D193" s="92">
        <v>0</v>
      </c>
      <c r="E193" s="239"/>
      <c r="F193" s="122"/>
      <c r="G193" s="91"/>
      <c r="H193" s="91">
        <v>0</v>
      </c>
      <c r="I193" s="92"/>
      <c r="J193" s="132">
        <v>0</v>
      </c>
      <c r="K193" s="372"/>
      <c r="L193" s="359"/>
      <c r="M193" s="371"/>
      <c r="N193" s="361"/>
      <c r="O193" s="362"/>
      <c r="P193" s="92"/>
      <c r="Q193" s="153">
        <f t="shared" si="16"/>
        <v>0</v>
      </c>
      <c r="R193" s="354"/>
      <c r="S193" s="159">
        <f t="shared" si="17"/>
        <v>0</v>
      </c>
    </row>
    <row r="194" spans="1:19" ht="32.25" customHeight="1">
      <c r="A194" s="116"/>
      <c r="B194" s="275" t="s">
        <v>265</v>
      </c>
      <c r="C194" s="390"/>
      <c r="D194" s="92">
        <v>0</v>
      </c>
      <c r="E194" s="2"/>
      <c r="F194" s="2"/>
      <c r="G194" s="2"/>
      <c r="K194" s="372"/>
      <c r="L194" s="359"/>
      <c r="M194" s="371"/>
      <c r="N194" s="361"/>
      <c r="O194" s="362"/>
      <c r="P194" s="92"/>
      <c r="Q194" s="153"/>
      <c r="R194" s="354"/>
      <c r="S194" s="159"/>
    </row>
    <row r="195" spans="1:19" ht="32.25" customHeight="1">
      <c r="A195" s="116"/>
      <c r="B195" s="142" t="s">
        <v>266</v>
      </c>
      <c r="C195" s="390"/>
      <c r="D195" s="92"/>
      <c r="E195" s="239"/>
      <c r="F195" s="122"/>
      <c r="G195" s="91"/>
      <c r="H195" s="91">
        <v>0</v>
      </c>
      <c r="I195" s="92"/>
      <c r="J195" s="132">
        <v>0</v>
      </c>
      <c r="K195" s="372"/>
      <c r="L195" s="359"/>
      <c r="M195" s="371"/>
      <c r="N195" s="361"/>
      <c r="O195" s="362"/>
      <c r="P195" s="92"/>
      <c r="Q195" s="153">
        <f t="shared" si="16"/>
        <v>0</v>
      </c>
      <c r="R195" s="153"/>
      <c r="S195" s="159">
        <f t="shared" si="17"/>
        <v>0</v>
      </c>
    </row>
    <row r="196" spans="1:19" ht="32.25" customHeight="1">
      <c r="A196" s="116"/>
      <c r="B196" s="142" t="s">
        <v>267</v>
      </c>
      <c r="C196" s="390"/>
      <c r="D196" s="92"/>
      <c r="E196" s="239"/>
      <c r="F196" s="122"/>
      <c r="G196" s="91"/>
      <c r="H196" s="91"/>
      <c r="I196" s="92"/>
      <c r="J196" s="132">
        <v>0</v>
      </c>
      <c r="K196" s="372"/>
      <c r="L196" s="359"/>
      <c r="M196" s="371"/>
      <c r="N196" s="361"/>
      <c r="O196" s="362"/>
      <c r="P196" s="92"/>
      <c r="Q196" s="153"/>
      <c r="R196" s="153"/>
      <c r="S196" s="159">
        <f t="shared" si="17"/>
        <v>0</v>
      </c>
    </row>
    <row r="197" spans="1:19" ht="32.25" customHeight="1">
      <c r="A197" s="106">
        <v>25</v>
      </c>
      <c r="B197" s="142" t="s">
        <v>23</v>
      </c>
      <c r="C197" s="174" t="s">
        <v>268</v>
      </c>
      <c r="D197" s="151"/>
      <c r="E197" s="163"/>
      <c r="F197" s="122"/>
      <c r="G197" s="122"/>
      <c r="H197" s="91">
        <v>0</v>
      </c>
      <c r="I197" s="122"/>
      <c r="J197" s="132">
        <v>0</v>
      </c>
      <c r="K197" s="372"/>
      <c r="L197" s="359"/>
      <c r="M197" s="360"/>
      <c r="N197" s="361"/>
      <c r="O197" s="391"/>
      <c r="P197" s="122"/>
      <c r="Q197" s="153">
        <f t="shared" si="16"/>
        <v>0</v>
      </c>
      <c r="R197" s="153"/>
      <c r="S197" s="159">
        <f t="shared" si="17"/>
        <v>0</v>
      </c>
    </row>
    <row r="198" spans="1:19" ht="32.25" customHeight="1" thickBot="1">
      <c r="A198" s="39"/>
      <c r="B198" s="50" t="s">
        <v>19</v>
      </c>
      <c r="C198" s="50"/>
      <c r="D198" s="51">
        <f>SUM(D154:D197)</f>
        <v>9615.59</v>
      </c>
      <c r="E198" s="52"/>
      <c r="F198" s="53"/>
      <c r="G198" s="52"/>
      <c r="H198" s="51">
        <f>SUM(H154:H197)-H154-H172-H175-H178-H187-H190</f>
        <v>353</v>
      </c>
      <c r="I198" s="51">
        <f t="shared" ref="I198:J198" si="18">SUM(I154:I197)-I154-I172-I175-I178-I187-I190</f>
        <v>0</v>
      </c>
      <c r="J198" s="51">
        <f t="shared" si="18"/>
        <v>353</v>
      </c>
      <c r="K198" s="54"/>
      <c r="L198" s="55"/>
      <c r="M198" s="56">
        <f>SUM(M154:M197)</f>
        <v>10003</v>
      </c>
      <c r="N198" s="57"/>
      <c r="O198" s="53"/>
      <c r="P198" s="51"/>
      <c r="Q198" s="51">
        <f>SUM(Q154:Q197)-Q154-Q172-Q175-Q178-Q187-Q194-Q190-Q185</f>
        <v>0</v>
      </c>
      <c r="R198" s="51">
        <f t="shared" ref="R198:S198" si="19">SUM(R154:R197)-R154-R172-R175-R178-R187-R194-R190-R185</f>
        <v>0</v>
      </c>
      <c r="S198" s="51">
        <f t="shared" si="19"/>
        <v>0</v>
      </c>
    </row>
    <row r="199" spans="1:19" ht="32.25" customHeight="1" thickTop="1">
      <c r="A199" s="39"/>
      <c r="B199" s="58" t="s">
        <v>269</v>
      </c>
      <c r="C199" s="59"/>
      <c r="D199" s="60"/>
      <c r="E199" s="61"/>
      <c r="F199" s="62"/>
      <c r="G199" s="63"/>
      <c r="H199" s="64"/>
      <c r="I199" s="64"/>
      <c r="J199" s="64"/>
      <c r="K199" s="65"/>
      <c r="L199" s="66"/>
      <c r="M199" s="67"/>
      <c r="N199" s="68"/>
      <c r="O199" s="62"/>
      <c r="P199" s="69"/>
      <c r="Q199" s="63"/>
      <c r="R199" s="63"/>
      <c r="S199" s="70"/>
    </row>
    <row r="200" spans="1:19" ht="32.25" customHeight="1">
      <c r="A200" s="39">
        <v>1</v>
      </c>
      <c r="B200" s="142" t="s">
        <v>99</v>
      </c>
      <c r="C200" s="392" t="s">
        <v>270</v>
      </c>
      <c r="D200" s="125">
        <v>0</v>
      </c>
      <c r="E200" s="131"/>
      <c r="F200" s="115"/>
      <c r="G200" s="131"/>
      <c r="H200" s="125">
        <v>0</v>
      </c>
      <c r="I200" s="125"/>
      <c r="J200" s="125">
        <v>0</v>
      </c>
      <c r="K200" s="34"/>
      <c r="L200" s="35"/>
      <c r="M200" s="36"/>
      <c r="N200" s="114"/>
      <c r="O200" s="115"/>
      <c r="P200" s="144"/>
      <c r="Q200" s="131">
        <f>D200+J200-M200</f>
        <v>0</v>
      </c>
      <c r="R200" s="33"/>
      <c r="S200" s="77">
        <f>D200+J200-M200</f>
        <v>0</v>
      </c>
    </row>
    <row r="201" spans="1:19" ht="32.25" customHeight="1">
      <c r="A201" s="106">
        <v>2</v>
      </c>
      <c r="B201" s="142" t="s">
        <v>99</v>
      </c>
      <c r="C201" s="392" t="s">
        <v>271</v>
      </c>
      <c r="D201" s="125">
        <v>0</v>
      </c>
      <c r="E201" s="131"/>
      <c r="F201" s="115"/>
      <c r="G201" s="131"/>
      <c r="H201" s="125">
        <v>0</v>
      </c>
      <c r="I201" s="125"/>
      <c r="J201" s="125">
        <v>0</v>
      </c>
      <c r="K201" s="34"/>
      <c r="L201" s="35"/>
      <c r="M201" s="36"/>
      <c r="N201" s="114"/>
      <c r="O201" s="115"/>
      <c r="P201" s="144"/>
      <c r="Q201" s="131">
        <f t="shared" ref="Q201:Q219" si="20">D201+J201-M201</f>
        <v>0</v>
      </c>
      <c r="R201" s="33"/>
      <c r="S201" s="77">
        <f t="shared" ref="S201:S219" si="21">D201+J201-M201</f>
        <v>0</v>
      </c>
    </row>
    <row r="202" spans="1:19" ht="32.25" customHeight="1">
      <c r="A202" s="106">
        <v>3</v>
      </c>
      <c r="B202" s="142" t="s">
        <v>99</v>
      </c>
      <c r="C202" s="392" t="s">
        <v>272</v>
      </c>
      <c r="D202" s="125">
        <v>0</v>
      </c>
      <c r="E202" s="131"/>
      <c r="F202" s="115"/>
      <c r="G202" s="131"/>
      <c r="H202" s="125">
        <v>0</v>
      </c>
      <c r="I202" s="125"/>
      <c r="J202" s="125">
        <v>0</v>
      </c>
      <c r="K202" s="34"/>
      <c r="L202" s="35"/>
      <c r="M202" s="36"/>
      <c r="N202" s="114"/>
      <c r="O202" s="115"/>
      <c r="P202" s="144"/>
      <c r="Q202" s="131">
        <f t="shared" si="20"/>
        <v>0</v>
      </c>
      <c r="R202" s="33"/>
      <c r="S202" s="77">
        <f t="shared" si="21"/>
        <v>0</v>
      </c>
    </row>
    <row r="203" spans="1:19" ht="32.25" customHeight="1">
      <c r="A203" s="106">
        <v>4</v>
      </c>
      <c r="B203" s="142" t="s">
        <v>273</v>
      </c>
      <c r="C203" s="392" t="s">
        <v>274</v>
      </c>
      <c r="D203" s="125">
        <v>0</v>
      </c>
      <c r="E203" s="131"/>
      <c r="F203" s="115"/>
      <c r="G203" s="131"/>
      <c r="H203" s="125">
        <v>0</v>
      </c>
      <c r="I203" s="125"/>
      <c r="J203" s="125">
        <v>0</v>
      </c>
      <c r="K203" s="34"/>
      <c r="L203" s="35"/>
      <c r="M203" s="36"/>
      <c r="N203" s="114"/>
      <c r="O203" s="115"/>
      <c r="P203" s="144"/>
      <c r="Q203" s="131">
        <f t="shared" si="20"/>
        <v>0</v>
      </c>
      <c r="R203" s="33"/>
      <c r="S203" s="77">
        <f t="shared" si="21"/>
        <v>0</v>
      </c>
    </row>
    <row r="204" spans="1:19" ht="32.25" customHeight="1">
      <c r="A204" s="106">
        <v>5</v>
      </c>
      <c r="B204" s="142" t="s">
        <v>273</v>
      </c>
      <c r="C204" s="392" t="s">
        <v>275</v>
      </c>
      <c r="D204" s="125">
        <v>0</v>
      </c>
      <c r="E204" s="131"/>
      <c r="F204" s="115"/>
      <c r="G204" s="131"/>
      <c r="H204" s="125">
        <v>0</v>
      </c>
      <c r="I204" s="125"/>
      <c r="J204" s="125">
        <v>0</v>
      </c>
      <c r="K204" s="34"/>
      <c r="L204" s="35"/>
      <c r="M204" s="36"/>
      <c r="N204" s="114"/>
      <c r="O204" s="115"/>
      <c r="P204" s="144"/>
      <c r="Q204" s="131">
        <f t="shared" si="20"/>
        <v>0</v>
      </c>
      <c r="R204" s="33"/>
      <c r="S204" s="77">
        <f t="shared" si="21"/>
        <v>0</v>
      </c>
    </row>
    <row r="205" spans="1:19" ht="32.25" customHeight="1">
      <c r="A205" s="106">
        <v>6</v>
      </c>
      <c r="B205" s="142" t="s">
        <v>276</v>
      </c>
      <c r="C205" s="392" t="s">
        <v>277</v>
      </c>
      <c r="D205" s="125">
        <v>0</v>
      </c>
      <c r="E205" s="131"/>
      <c r="F205" s="115"/>
      <c r="G205" s="131"/>
      <c r="H205" s="125">
        <v>0</v>
      </c>
      <c r="I205" s="125"/>
      <c r="J205" s="125">
        <v>0</v>
      </c>
      <c r="K205" s="34"/>
      <c r="L205" s="35"/>
      <c r="M205" s="36"/>
      <c r="N205" s="114"/>
      <c r="O205" s="115"/>
      <c r="P205" s="144"/>
      <c r="Q205" s="131">
        <f t="shared" si="20"/>
        <v>0</v>
      </c>
      <c r="R205" s="33"/>
      <c r="S205" s="77">
        <f t="shared" si="21"/>
        <v>0</v>
      </c>
    </row>
    <row r="206" spans="1:19" ht="32.25" customHeight="1">
      <c r="A206" s="106">
        <v>7</v>
      </c>
      <c r="B206" s="142" t="s">
        <v>27</v>
      </c>
      <c r="C206" s="392" t="s">
        <v>278</v>
      </c>
      <c r="D206" s="125">
        <v>0</v>
      </c>
      <c r="E206" s="131"/>
      <c r="F206" s="115"/>
      <c r="G206" s="131"/>
      <c r="H206" s="125">
        <v>0</v>
      </c>
      <c r="I206" s="125"/>
      <c r="J206" s="125">
        <v>0</v>
      </c>
      <c r="K206" s="34"/>
      <c r="L206" s="35"/>
      <c r="M206" s="36"/>
      <c r="N206" s="114"/>
      <c r="O206" s="115"/>
      <c r="P206" s="144"/>
      <c r="Q206" s="131">
        <f t="shared" si="20"/>
        <v>0</v>
      </c>
      <c r="R206" s="33"/>
      <c r="S206" s="77">
        <f t="shared" si="21"/>
        <v>0</v>
      </c>
    </row>
    <row r="207" spans="1:19" ht="32.25" customHeight="1">
      <c r="A207" s="106">
        <v>8</v>
      </c>
      <c r="B207" s="142" t="s">
        <v>42</v>
      </c>
      <c r="C207" s="392" t="s">
        <v>279</v>
      </c>
      <c r="D207" s="125">
        <v>0</v>
      </c>
      <c r="E207" s="131"/>
      <c r="F207" s="115"/>
      <c r="G207" s="131"/>
      <c r="H207" s="125">
        <v>0</v>
      </c>
      <c r="I207" s="125"/>
      <c r="J207" s="125">
        <v>0</v>
      </c>
      <c r="K207" s="343"/>
      <c r="L207" s="307"/>
      <c r="M207" s="308"/>
      <c r="N207" s="114"/>
      <c r="O207" s="115"/>
      <c r="P207" s="144"/>
      <c r="Q207" s="131">
        <f t="shared" si="20"/>
        <v>0</v>
      </c>
      <c r="R207" s="33"/>
      <c r="S207" s="77">
        <f t="shared" si="21"/>
        <v>0</v>
      </c>
    </row>
    <row r="208" spans="1:19" ht="32.25" customHeight="1">
      <c r="A208" s="106">
        <v>9</v>
      </c>
      <c r="B208" s="142" t="s">
        <v>69</v>
      </c>
      <c r="C208" s="392" t="s">
        <v>280</v>
      </c>
      <c r="D208" s="125">
        <v>0</v>
      </c>
      <c r="E208" s="131"/>
      <c r="F208" s="115"/>
      <c r="G208" s="131"/>
      <c r="H208" s="125">
        <v>0</v>
      </c>
      <c r="I208" s="125"/>
      <c r="J208" s="125">
        <v>0</v>
      </c>
      <c r="K208" s="343"/>
      <c r="L208" s="307"/>
      <c r="M208" s="308"/>
      <c r="N208" s="114"/>
      <c r="O208" s="115"/>
      <c r="P208" s="144"/>
      <c r="Q208" s="131">
        <f t="shared" si="20"/>
        <v>0</v>
      </c>
      <c r="R208" s="33"/>
      <c r="S208" s="77">
        <f t="shared" si="21"/>
        <v>0</v>
      </c>
    </row>
    <row r="209" spans="1:19" ht="32.25" customHeight="1">
      <c r="A209" s="106">
        <v>10</v>
      </c>
      <c r="B209" s="142" t="s">
        <v>75</v>
      </c>
      <c r="C209" s="392" t="s">
        <v>281</v>
      </c>
      <c r="D209" s="125">
        <v>0</v>
      </c>
      <c r="E209" s="131"/>
      <c r="F209" s="115"/>
      <c r="G209" s="131"/>
      <c r="H209" s="125">
        <v>0</v>
      </c>
      <c r="I209" s="125"/>
      <c r="J209" s="125">
        <v>0</v>
      </c>
      <c r="K209" s="34"/>
      <c r="L209" s="35"/>
      <c r="M209" s="36"/>
      <c r="N209" s="114"/>
      <c r="O209" s="115"/>
      <c r="P209" s="144"/>
      <c r="Q209" s="131">
        <f t="shared" si="20"/>
        <v>0</v>
      </c>
      <c r="R209" s="33"/>
      <c r="S209" s="77">
        <f t="shared" si="21"/>
        <v>0</v>
      </c>
    </row>
    <row r="210" spans="1:19" ht="32.25" customHeight="1">
      <c r="A210" s="106">
        <v>11</v>
      </c>
      <c r="B210" s="142" t="s">
        <v>77</v>
      </c>
      <c r="C210" s="392" t="s">
        <v>282</v>
      </c>
      <c r="D210" s="125">
        <v>0</v>
      </c>
      <c r="E210" s="131"/>
      <c r="F210" s="115"/>
      <c r="G210" s="131"/>
      <c r="H210" s="125">
        <v>0</v>
      </c>
      <c r="I210" s="125"/>
      <c r="J210" s="125">
        <v>0</v>
      </c>
      <c r="K210" s="34"/>
      <c r="L210" s="35"/>
      <c r="M210" s="36"/>
      <c r="N210" s="114"/>
      <c r="O210" s="115"/>
      <c r="P210" s="144"/>
      <c r="Q210" s="131">
        <f t="shared" si="20"/>
        <v>0</v>
      </c>
      <c r="R210" s="33"/>
      <c r="S210" s="77">
        <f t="shared" si="21"/>
        <v>0</v>
      </c>
    </row>
    <row r="211" spans="1:19" ht="32.25" customHeight="1">
      <c r="A211" s="106">
        <v>12</v>
      </c>
      <c r="B211" s="142" t="s">
        <v>77</v>
      </c>
      <c r="C211" s="392" t="s">
        <v>283</v>
      </c>
      <c r="D211" s="125">
        <v>0</v>
      </c>
      <c r="E211" s="131"/>
      <c r="F211" s="115"/>
      <c r="G211" s="131"/>
      <c r="H211" s="125">
        <v>0</v>
      </c>
      <c r="I211" s="125"/>
      <c r="J211" s="125">
        <v>0</v>
      </c>
      <c r="K211" s="34"/>
      <c r="L211" s="35"/>
      <c r="M211" s="36"/>
      <c r="N211" s="114"/>
      <c r="O211" s="115"/>
      <c r="P211" s="144"/>
      <c r="Q211" s="131">
        <f t="shared" si="20"/>
        <v>0</v>
      </c>
      <c r="R211" s="33"/>
      <c r="S211" s="77">
        <f t="shared" si="21"/>
        <v>0</v>
      </c>
    </row>
    <row r="212" spans="1:19" ht="32.25" customHeight="1">
      <c r="A212" s="106">
        <v>13</v>
      </c>
      <c r="B212" s="142" t="s">
        <v>75</v>
      </c>
      <c r="C212" s="392" t="s">
        <v>284</v>
      </c>
      <c r="D212" s="125">
        <v>0</v>
      </c>
      <c r="E212" s="131"/>
      <c r="F212" s="115"/>
      <c r="G212" s="131"/>
      <c r="H212" s="125">
        <v>0</v>
      </c>
      <c r="I212" s="125"/>
      <c r="J212" s="125">
        <v>0</v>
      </c>
      <c r="K212" s="34"/>
      <c r="L212" s="35"/>
      <c r="M212" s="36"/>
      <c r="N212" s="114"/>
      <c r="O212" s="115"/>
      <c r="P212" s="144"/>
      <c r="Q212" s="131">
        <f t="shared" si="20"/>
        <v>0</v>
      </c>
      <c r="R212" s="33"/>
      <c r="S212" s="77">
        <f t="shared" si="21"/>
        <v>0</v>
      </c>
    </row>
    <row r="213" spans="1:19" ht="32.25" customHeight="1">
      <c r="A213" s="106">
        <v>14</v>
      </c>
      <c r="B213" s="142" t="s">
        <v>83</v>
      </c>
      <c r="C213" s="392" t="s">
        <v>285</v>
      </c>
      <c r="D213" s="125">
        <v>0</v>
      </c>
      <c r="E213" s="131"/>
      <c r="F213" s="115"/>
      <c r="G213" s="131"/>
      <c r="H213" s="125">
        <v>0</v>
      </c>
      <c r="I213" s="125"/>
      <c r="J213" s="125">
        <v>0</v>
      </c>
      <c r="K213" s="34"/>
      <c r="L213" s="35"/>
      <c r="M213" s="36"/>
      <c r="N213" s="114"/>
      <c r="O213" s="115"/>
      <c r="P213" s="144"/>
      <c r="Q213" s="131">
        <f t="shared" si="20"/>
        <v>0</v>
      </c>
      <c r="R213" s="33"/>
      <c r="S213" s="77">
        <f t="shared" si="21"/>
        <v>0</v>
      </c>
    </row>
    <row r="214" spans="1:19" ht="32.25" customHeight="1">
      <c r="A214" s="106">
        <v>15</v>
      </c>
      <c r="B214" s="142" t="s">
        <v>87</v>
      </c>
      <c r="C214" s="392" t="s">
        <v>286</v>
      </c>
      <c r="D214" s="125">
        <v>0</v>
      </c>
      <c r="E214" s="131"/>
      <c r="F214" s="115"/>
      <c r="G214" s="131"/>
      <c r="H214" s="125">
        <v>0</v>
      </c>
      <c r="I214" s="125"/>
      <c r="J214" s="125">
        <v>0</v>
      </c>
      <c r="K214" s="343"/>
      <c r="L214" s="307"/>
      <c r="M214" s="308"/>
      <c r="N214" s="114"/>
      <c r="O214" s="115"/>
      <c r="P214" s="144"/>
      <c r="Q214" s="131">
        <f t="shared" si="20"/>
        <v>0</v>
      </c>
      <c r="R214" s="33"/>
      <c r="S214" s="77">
        <f t="shared" si="21"/>
        <v>0</v>
      </c>
    </row>
    <row r="215" spans="1:19" ht="32.25" customHeight="1">
      <c r="A215" s="106">
        <v>16</v>
      </c>
      <c r="B215" s="142" t="s">
        <v>75</v>
      </c>
      <c r="C215" s="392" t="s">
        <v>287</v>
      </c>
      <c r="D215" s="125">
        <v>0</v>
      </c>
      <c r="E215" s="131"/>
      <c r="F215" s="115"/>
      <c r="G215" s="131"/>
      <c r="H215" s="125">
        <v>0</v>
      </c>
      <c r="I215" s="125"/>
      <c r="J215" s="125">
        <v>0</v>
      </c>
      <c r="K215" s="34"/>
      <c r="L215" s="35"/>
      <c r="M215" s="36"/>
      <c r="N215" s="114"/>
      <c r="O215" s="115"/>
      <c r="P215" s="144"/>
      <c r="Q215" s="131">
        <f t="shared" si="20"/>
        <v>0</v>
      </c>
      <c r="R215" s="33"/>
      <c r="S215" s="77">
        <f t="shared" si="21"/>
        <v>0</v>
      </c>
    </row>
    <row r="216" spans="1:19" ht="32.25" customHeight="1">
      <c r="A216" s="106">
        <v>17</v>
      </c>
      <c r="B216" s="142" t="s">
        <v>92</v>
      </c>
      <c r="C216" s="392" t="s">
        <v>288</v>
      </c>
      <c r="D216" s="125">
        <v>0</v>
      </c>
      <c r="E216" s="131"/>
      <c r="F216" s="115"/>
      <c r="G216" s="131"/>
      <c r="H216" s="125">
        <v>0</v>
      </c>
      <c r="I216" s="125"/>
      <c r="J216" s="125">
        <v>0</v>
      </c>
      <c r="K216" s="34"/>
      <c r="L216" s="35"/>
      <c r="M216" s="36"/>
      <c r="N216" s="114"/>
      <c r="O216" s="115"/>
      <c r="P216" s="144"/>
      <c r="Q216" s="131">
        <f t="shared" si="20"/>
        <v>0</v>
      </c>
      <c r="R216" s="33"/>
      <c r="S216" s="77">
        <f t="shared" si="21"/>
        <v>0</v>
      </c>
    </row>
    <row r="217" spans="1:19" ht="32.25" customHeight="1">
      <c r="A217" s="106">
        <v>18</v>
      </c>
      <c r="B217" s="142" t="s">
        <v>75</v>
      </c>
      <c r="C217" s="392" t="s">
        <v>289</v>
      </c>
      <c r="D217" s="125">
        <v>0</v>
      </c>
      <c r="E217" s="131"/>
      <c r="F217" s="115"/>
      <c r="G217" s="131"/>
      <c r="H217" s="125">
        <v>0</v>
      </c>
      <c r="I217" s="125"/>
      <c r="J217" s="125">
        <v>0</v>
      </c>
      <c r="K217" s="34"/>
      <c r="L217" s="35"/>
      <c r="M217" s="36"/>
      <c r="N217" s="114"/>
      <c r="O217" s="115"/>
      <c r="P217" s="144"/>
      <c r="Q217" s="131">
        <f t="shared" si="20"/>
        <v>0</v>
      </c>
      <c r="R217" s="33"/>
      <c r="S217" s="77">
        <f t="shared" si="21"/>
        <v>0</v>
      </c>
    </row>
    <row r="218" spans="1:19" ht="32.25" customHeight="1">
      <c r="A218" s="106">
        <v>19</v>
      </c>
      <c r="B218" s="142" t="s">
        <v>95</v>
      </c>
      <c r="C218" s="392" t="s">
        <v>290</v>
      </c>
      <c r="D218" s="125">
        <v>0</v>
      </c>
      <c r="E218" s="131"/>
      <c r="F218" s="115"/>
      <c r="G218" s="131"/>
      <c r="H218" s="125">
        <v>0</v>
      </c>
      <c r="I218" s="125"/>
      <c r="J218" s="125">
        <v>0</v>
      </c>
      <c r="K218" s="343"/>
      <c r="L218" s="307"/>
      <c r="M218" s="308"/>
      <c r="N218" s="114"/>
      <c r="O218" s="115"/>
      <c r="P218" s="144"/>
      <c r="Q218" s="131">
        <f t="shared" si="20"/>
        <v>0</v>
      </c>
      <c r="R218" s="33"/>
      <c r="S218" s="77">
        <f t="shared" si="21"/>
        <v>0</v>
      </c>
    </row>
    <row r="219" spans="1:19" ht="32.25" customHeight="1">
      <c r="A219" s="106">
        <v>20</v>
      </c>
      <c r="B219" s="142" t="s">
        <v>236</v>
      </c>
      <c r="C219" s="392" t="s">
        <v>291</v>
      </c>
      <c r="D219" s="125">
        <v>0</v>
      </c>
      <c r="E219" s="131"/>
      <c r="F219" s="115"/>
      <c r="G219" s="131"/>
      <c r="H219" s="125">
        <v>0</v>
      </c>
      <c r="I219" s="125"/>
      <c r="J219" s="125">
        <v>0</v>
      </c>
      <c r="K219" s="343"/>
      <c r="L219" s="307"/>
      <c r="M219" s="308"/>
      <c r="N219" s="114"/>
      <c r="O219" s="115"/>
      <c r="P219" s="144"/>
      <c r="Q219" s="131">
        <f t="shared" si="20"/>
        <v>0</v>
      </c>
      <c r="R219" s="33"/>
      <c r="S219" s="77">
        <f t="shared" si="21"/>
        <v>0</v>
      </c>
    </row>
    <row r="220" spans="1:19" ht="32.25" customHeight="1" thickBot="1">
      <c r="A220" s="39"/>
      <c r="B220" s="50" t="s">
        <v>19</v>
      </c>
      <c r="C220" s="50"/>
      <c r="D220" s="51">
        <f>SUM(D200:D219)</f>
        <v>0</v>
      </c>
      <c r="E220" s="52"/>
      <c r="F220" s="53"/>
      <c r="G220" s="52"/>
      <c r="H220" s="51">
        <f>SUM(H200:H219)</f>
        <v>0</v>
      </c>
      <c r="I220" s="51">
        <f t="shared" ref="I220:J220" si="22">SUM(I200:I219)</f>
        <v>0</v>
      </c>
      <c r="J220" s="51">
        <f t="shared" si="22"/>
        <v>0</v>
      </c>
      <c r="K220" s="54"/>
      <c r="L220" s="55"/>
      <c r="M220" s="56">
        <f>SUM(M200:M219)</f>
        <v>0</v>
      </c>
      <c r="N220" s="57"/>
      <c r="O220" s="53"/>
      <c r="P220" s="51"/>
      <c r="Q220" s="51">
        <f>SUM(Q200:Q219)</f>
        <v>0</v>
      </c>
      <c r="R220" s="51">
        <f t="shared" ref="R220:S220" si="23">SUM(R200:R219)</f>
        <v>0</v>
      </c>
      <c r="S220" s="51">
        <f t="shared" si="23"/>
        <v>0</v>
      </c>
    </row>
    <row r="221" spans="1:19" ht="32.25" customHeight="1" thickTop="1">
      <c r="A221" s="39"/>
      <c r="B221" s="141" t="s">
        <v>292</v>
      </c>
      <c r="C221" s="142"/>
      <c r="D221" s="125"/>
      <c r="E221" s="131"/>
      <c r="F221" s="115"/>
      <c r="G221" s="33"/>
      <c r="H221" s="143"/>
      <c r="I221" s="143"/>
      <c r="J221" s="143"/>
      <c r="K221" s="34"/>
      <c r="L221" s="35"/>
      <c r="M221" s="36"/>
      <c r="N221" s="114"/>
      <c r="O221" s="115"/>
      <c r="P221" s="144"/>
      <c r="Q221" s="33"/>
      <c r="R221" s="33"/>
      <c r="S221" s="145"/>
    </row>
    <row r="222" spans="1:19" ht="32.25" customHeight="1">
      <c r="A222" s="39">
        <v>1</v>
      </c>
      <c r="B222" s="41" t="s">
        <v>152</v>
      </c>
      <c r="C222" s="41" t="s">
        <v>293</v>
      </c>
      <c r="D222" s="42"/>
      <c r="E222" s="6"/>
      <c r="F222" s="43"/>
      <c r="G222" s="6"/>
      <c r="H222" s="42"/>
      <c r="I222" s="42"/>
      <c r="J222" s="42"/>
      <c r="K222" s="44"/>
      <c r="L222" s="45"/>
      <c r="M222" s="46"/>
      <c r="N222" s="5"/>
      <c r="O222" s="43"/>
      <c r="P222" s="47"/>
      <c r="Q222" s="48"/>
      <c r="R222" s="48"/>
      <c r="S222" s="49"/>
    </row>
    <row r="223" spans="1:19" ht="32.25" customHeight="1">
      <c r="A223" s="39">
        <v>2</v>
      </c>
      <c r="B223" s="41" t="s">
        <v>294</v>
      </c>
      <c r="C223" s="41" t="s">
        <v>295</v>
      </c>
      <c r="D223" s="42" t="s">
        <v>296</v>
      </c>
      <c r="E223" s="6"/>
      <c r="F223" s="43"/>
      <c r="G223" s="6"/>
      <c r="H223" s="42"/>
      <c r="I223" s="42"/>
      <c r="J223" s="42"/>
      <c r="K223" s="393"/>
      <c r="L223" s="394"/>
      <c r="M223" s="395"/>
      <c r="N223" s="5"/>
      <c r="O223" s="43"/>
      <c r="P223" s="47"/>
      <c r="Q223" s="48"/>
      <c r="R223" s="48"/>
      <c r="S223" s="49"/>
    </row>
    <row r="224" spans="1:19" ht="32.25" customHeight="1">
      <c r="A224" s="39"/>
      <c r="B224" s="40" t="s">
        <v>297</v>
      </c>
      <c r="C224" s="41"/>
      <c r="D224" s="42"/>
      <c r="E224" s="6"/>
      <c r="F224" s="43"/>
      <c r="G224" s="6"/>
      <c r="H224" s="42"/>
      <c r="I224" s="42"/>
      <c r="J224" s="42"/>
      <c r="K224" s="284"/>
      <c r="L224" s="285"/>
      <c r="M224" s="286"/>
      <c r="N224" s="5"/>
      <c r="O224" s="43"/>
      <c r="P224" s="47"/>
      <c r="Q224" s="48"/>
      <c r="R224" s="48"/>
      <c r="S224" s="49"/>
    </row>
    <row r="225" spans="1:19" ht="32.25" customHeight="1">
      <c r="A225" s="39"/>
      <c r="B225" s="40" t="s">
        <v>298</v>
      </c>
      <c r="C225" s="41"/>
      <c r="D225" s="42"/>
      <c r="E225" s="6"/>
      <c r="F225" s="43"/>
      <c r="G225" s="6"/>
      <c r="H225" s="42"/>
      <c r="I225" s="42"/>
      <c r="J225" s="42"/>
      <c r="K225" s="284"/>
      <c r="L225" s="285"/>
      <c r="M225" s="286"/>
      <c r="N225" s="5"/>
      <c r="O225" s="43"/>
      <c r="P225" s="47"/>
      <c r="Q225" s="48"/>
      <c r="R225" s="48"/>
      <c r="S225" s="49"/>
    </row>
    <row r="226" spans="1:19" ht="32.25" customHeight="1">
      <c r="A226" s="39">
        <v>3</v>
      </c>
      <c r="B226" s="40" t="s">
        <v>130</v>
      </c>
      <c r="C226" s="41" t="s">
        <v>299</v>
      </c>
      <c r="D226" s="42"/>
      <c r="E226" s="6" t="s">
        <v>300</v>
      </c>
      <c r="F226" s="43">
        <v>3</v>
      </c>
      <c r="G226" s="6" t="s">
        <v>134</v>
      </c>
      <c r="H226" s="42">
        <v>5135</v>
      </c>
      <c r="I226" s="42">
        <v>0</v>
      </c>
      <c r="J226" s="42">
        <v>5135</v>
      </c>
      <c r="K226" s="284" t="s">
        <v>55</v>
      </c>
      <c r="L226" s="285" t="s">
        <v>301</v>
      </c>
      <c r="M226" s="286">
        <v>5135</v>
      </c>
      <c r="N226" s="5"/>
      <c r="O226" s="43"/>
      <c r="P226" s="47"/>
      <c r="Q226" s="48"/>
      <c r="R226" s="48"/>
      <c r="S226" s="49"/>
    </row>
    <row r="227" spans="1:19" ht="32.25" customHeight="1">
      <c r="A227" s="39">
        <v>4</v>
      </c>
      <c r="B227" s="40" t="s">
        <v>276</v>
      </c>
      <c r="C227" s="41" t="s">
        <v>302</v>
      </c>
      <c r="D227" s="42"/>
      <c r="E227" s="6" t="s">
        <v>303</v>
      </c>
      <c r="F227" s="43">
        <v>3</v>
      </c>
      <c r="G227" s="6" t="s">
        <v>134</v>
      </c>
      <c r="H227" s="42">
        <v>810</v>
      </c>
      <c r="I227" s="42">
        <v>0</v>
      </c>
      <c r="J227" s="42">
        <v>810</v>
      </c>
      <c r="K227" s="284" t="s">
        <v>304</v>
      </c>
      <c r="L227" s="285" t="s">
        <v>305</v>
      </c>
      <c r="M227" s="286">
        <v>810</v>
      </c>
      <c r="N227" s="5"/>
      <c r="O227" s="43"/>
      <c r="P227" s="47"/>
      <c r="Q227" s="48"/>
      <c r="R227" s="48"/>
      <c r="S227" s="49"/>
    </row>
    <row r="228" spans="1:19" ht="32.25" customHeight="1">
      <c r="A228" s="39">
        <v>5</v>
      </c>
      <c r="B228" s="40" t="s">
        <v>192</v>
      </c>
      <c r="C228" s="41" t="s">
        <v>306</v>
      </c>
      <c r="D228" s="42"/>
      <c r="E228" s="6" t="s">
        <v>307</v>
      </c>
      <c r="F228" s="43">
        <v>3</v>
      </c>
      <c r="G228" s="6" t="s">
        <v>134</v>
      </c>
      <c r="H228" s="42">
        <v>1554</v>
      </c>
      <c r="I228" s="42">
        <v>0</v>
      </c>
      <c r="J228" s="42">
        <v>1554</v>
      </c>
      <c r="K228" s="284" t="s">
        <v>116</v>
      </c>
      <c r="L228" s="285" t="s">
        <v>308</v>
      </c>
      <c r="M228" s="286">
        <v>1554</v>
      </c>
      <c r="N228" s="5"/>
      <c r="O228" s="43"/>
      <c r="P228" s="47"/>
      <c r="Q228" s="48"/>
      <c r="R228" s="48"/>
      <c r="S228" s="49"/>
    </row>
    <row r="229" spans="1:19" ht="32.25" customHeight="1">
      <c r="A229" s="39"/>
      <c r="B229" s="40"/>
      <c r="C229" s="41"/>
      <c r="D229" s="42"/>
      <c r="E229" s="6"/>
      <c r="F229" s="43"/>
      <c r="G229" s="6"/>
      <c r="H229" s="42"/>
      <c r="I229" s="42"/>
      <c r="J229" s="42"/>
      <c r="K229" s="284"/>
      <c r="L229" s="285"/>
      <c r="M229" s="286"/>
      <c r="N229" s="5"/>
      <c r="O229" s="43"/>
      <c r="P229" s="47"/>
      <c r="Q229" s="48"/>
      <c r="R229" s="48"/>
      <c r="S229" s="49"/>
    </row>
    <row r="230" spans="1:19" ht="32.25" customHeight="1" thickBot="1">
      <c r="A230" s="39"/>
      <c r="B230" s="50" t="s">
        <v>19</v>
      </c>
      <c r="C230" s="50"/>
      <c r="D230" s="51">
        <f>SUM(D223:D224)</f>
        <v>0</v>
      </c>
      <c r="E230" s="52"/>
      <c r="F230" s="53"/>
      <c r="G230" s="52"/>
      <c r="H230" s="51">
        <f>SUM(H226:H229)</f>
        <v>7499</v>
      </c>
      <c r="I230" s="51">
        <f t="shared" ref="I230" si="24">SUM(I222:I224)</f>
        <v>0</v>
      </c>
      <c r="J230" s="51">
        <f>SUM(J226:J228)</f>
        <v>7499</v>
      </c>
      <c r="K230" s="54"/>
      <c r="L230" s="55"/>
      <c r="M230" s="56">
        <f>SUM(M226:M229)</f>
        <v>7499</v>
      </c>
      <c r="N230" s="57"/>
      <c r="O230" s="53"/>
      <c r="P230" s="51"/>
      <c r="Q230" s="51"/>
      <c r="R230" s="51"/>
      <c r="S230" s="51"/>
    </row>
    <row r="231" spans="1:19" ht="32.25" customHeight="1" thickTop="1" thickBot="1">
      <c r="A231" s="396"/>
      <c r="B231" s="397" t="s">
        <v>309</v>
      </c>
      <c r="C231" s="398"/>
      <c r="D231" s="399">
        <f>SUM(D9+D16+D21+D39+D42+D45+D48+D84+D113+D125+D140+D149+D152+D198+D220+D230)</f>
        <v>163920.74</v>
      </c>
      <c r="E231" s="400"/>
      <c r="F231" s="401"/>
      <c r="G231" s="400"/>
      <c r="H231" s="399">
        <f>SUM(H9+H16+H21+H39+H42+H45+H48+H84+H113+H125+H140+H149+H152+H198+H220+H230)</f>
        <v>24988.000000000004</v>
      </c>
      <c r="I231" s="399">
        <f>SUM(I9+I16+I21+I39+I42+I45+I48+I84+I113+I125+I140+I149+I152+I198+I220+I230)</f>
        <v>452.20000000000005</v>
      </c>
      <c r="J231" s="399">
        <f>SUM(J9+J16+J21+J39+J42+J45+J48+J84+J113+J125+J140+J149+J152+J198+J220+J230)</f>
        <v>25440.200000000004</v>
      </c>
      <c r="K231" s="402"/>
      <c r="L231" s="400"/>
      <c r="M231" s="399">
        <f>SUM(M9+M16+M21+M39+M42+M45+M48+M84+M113+M125+M140+M149+M152+M198+M220+M230)</f>
        <v>188801.79</v>
      </c>
      <c r="N231" s="403"/>
      <c r="O231" s="401"/>
      <c r="P231" s="399"/>
      <c r="Q231" s="399">
        <f>SUM(Q9+Q16+Q21+Q39+Q42+Q45+Q48+Q84+Q113+Q125+Q140+Q149+Q152+Q198+Q220+Q230)</f>
        <v>3.4106051316484809E-12</v>
      </c>
      <c r="R231" s="399">
        <f>SUM(R9+R16+R21+R39+R42+R45+R48+R84+R113+R125+R140+R149+R152+R198+R220+R230)</f>
        <v>0</v>
      </c>
      <c r="S231" s="399">
        <f>SUM(S9+S16+S21+S39+S42+S45+S48+S84+S113+S125+S140+S149+S152+S198+S220+S230)</f>
        <v>3.4106051316484809E-12</v>
      </c>
    </row>
    <row r="232" spans="1:19" ht="17.399999999999999" thickTop="1">
      <c r="K232" s="404"/>
      <c r="L232" s="404"/>
      <c r="M232" s="2"/>
    </row>
    <row r="233" spans="1:19">
      <c r="K233" s="404"/>
      <c r="L233" s="404"/>
      <c r="M233" s="2"/>
    </row>
    <row r="234" spans="1:19">
      <c r="K234" s="404"/>
      <c r="L234" s="404"/>
      <c r="M234" s="2"/>
    </row>
    <row r="235" spans="1:19">
      <c r="K235" s="404"/>
      <c r="L235" s="404"/>
      <c r="M235" s="2"/>
    </row>
    <row r="236" spans="1:19">
      <c r="K236" s="404"/>
      <c r="L236" s="404"/>
      <c r="M236" s="2"/>
    </row>
    <row r="237" spans="1:19" s="406" customFormat="1" ht="32.25" customHeight="1">
      <c r="A237" s="2"/>
      <c r="B237" s="643"/>
      <c r="C237" s="642"/>
      <c r="D237" s="642"/>
      <c r="E237" s="1"/>
      <c r="F237" s="407"/>
      <c r="G237" s="1"/>
      <c r="H237" s="408"/>
      <c r="I237" s="409"/>
      <c r="J237" s="408"/>
      <c r="K237" s="410"/>
      <c r="L237" s="411"/>
      <c r="M237" s="666"/>
      <c r="N237" s="642"/>
      <c r="O237" s="642"/>
      <c r="P237" s="642"/>
      <c r="Q237" s="412"/>
      <c r="S237" s="2"/>
    </row>
    <row r="238" spans="1:19" s="406" customFormat="1" ht="32.25" customHeight="1">
      <c r="A238" s="2"/>
      <c r="B238" s="413"/>
      <c r="C238" s="667"/>
      <c r="D238" s="642"/>
      <c r="E238" s="1"/>
      <c r="F238" s="407"/>
      <c r="G238" s="1"/>
      <c r="H238" s="667"/>
      <c r="I238" s="642"/>
      <c r="J238" s="642"/>
      <c r="K238" s="642"/>
      <c r="L238" s="411"/>
      <c r="M238" s="668"/>
      <c r="N238" s="642"/>
      <c r="O238" s="642"/>
      <c r="P238" s="642"/>
      <c r="Q238" s="412"/>
      <c r="S238" s="2"/>
    </row>
    <row r="239" spans="1:19" s="406" customFormat="1" ht="32.25" customHeight="1">
      <c r="A239" s="2"/>
      <c r="B239" s="413"/>
      <c r="C239" s="662"/>
      <c r="D239" s="642"/>
      <c r="E239" s="1"/>
      <c r="F239" s="407"/>
      <c r="G239" s="1"/>
      <c r="H239" s="663"/>
      <c r="I239" s="642"/>
      <c r="J239" s="642"/>
      <c r="K239" s="410"/>
      <c r="L239" s="641"/>
      <c r="M239" s="642"/>
      <c r="N239" s="642"/>
      <c r="O239" s="642"/>
      <c r="P239" s="642"/>
      <c r="Q239" s="642"/>
      <c r="S239" s="2"/>
    </row>
  </sheetData>
  <mergeCells count="28">
    <mergeCell ref="C238:D238"/>
    <mergeCell ref="H238:K238"/>
    <mergeCell ref="M238:P238"/>
    <mergeCell ref="C239:D239"/>
    <mergeCell ref="H239:J239"/>
    <mergeCell ref="L239:Q239"/>
    <mergeCell ref="K96:M96"/>
    <mergeCell ref="B104:C104"/>
    <mergeCell ref="B179:C179"/>
    <mergeCell ref="B180:C180"/>
    <mergeCell ref="B237:D237"/>
    <mergeCell ref="M237:P237"/>
    <mergeCell ref="B83:D83"/>
    <mergeCell ref="A1:S1"/>
    <mergeCell ref="A2:S2"/>
    <mergeCell ref="A3:S3"/>
    <mergeCell ref="B4:B6"/>
    <mergeCell ref="C4:C6"/>
    <mergeCell ref="E4:J4"/>
    <mergeCell ref="K4:M4"/>
    <mergeCell ref="N4:S4"/>
    <mergeCell ref="H5:J5"/>
    <mergeCell ref="Q5:S5"/>
    <mergeCell ref="B69:D69"/>
    <mergeCell ref="B71:D71"/>
    <mergeCell ref="B73:D73"/>
    <mergeCell ref="B75:D75"/>
    <mergeCell ref="B77:D77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13</vt:i4>
      </vt:variant>
    </vt:vector>
  </HeadingPairs>
  <TitlesOfParts>
    <vt:vector size="50" baseType="lpstr">
      <vt:lpstr>มิย.69</vt:lpstr>
      <vt:lpstr>รับชำระ มิย.69</vt:lpstr>
      <vt:lpstr>แนบ มิย.69</vt:lpstr>
      <vt:lpstr>เรียง มิย.69</vt:lpstr>
      <vt:lpstr>พ.ค.69</vt:lpstr>
      <vt:lpstr>รับชำระ พ.ค.69</vt:lpstr>
      <vt:lpstr>แนบ พ.ค.69</vt:lpstr>
      <vt:lpstr>เรียง พค.69</vt:lpstr>
      <vt:lpstr>เมย.69</vt:lpstr>
      <vt:lpstr>รับชำระ เมย.69</vt:lpstr>
      <vt:lpstr>แนบ เมย.69</vt:lpstr>
      <vt:lpstr>เรียง เมย.69</vt:lpstr>
      <vt:lpstr>มีค.69</vt:lpstr>
      <vt:lpstr>รับชำระ มีค.69</vt:lpstr>
      <vt:lpstr>แนบ มีค.69</vt:lpstr>
      <vt:lpstr>เรียง มีค.69</vt:lpstr>
      <vt:lpstr>กพ.69</vt:lpstr>
      <vt:lpstr>รับชำระ กพ.69</vt:lpstr>
      <vt:lpstr>แนบ กพ.69</vt:lpstr>
      <vt:lpstr>เรียง กพ.69</vt:lpstr>
      <vt:lpstr>มค.69</vt:lpstr>
      <vt:lpstr>รับชำระ มค.69</vt:lpstr>
      <vt:lpstr>แนบ มค.69</vt:lpstr>
      <vt:lpstr>เรียง มค.69</vt:lpstr>
      <vt:lpstr>ธค.68</vt:lpstr>
      <vt:lpstr>รับชำระ ธค.68</vt:lpstr>
      <vt:lpstr>แนบ ธค.68</vt:lpstr>
      <vt:lpstr>เรียง ธค.68 </vt:lpstr>
      <vt:lpstr>พย.68</vt:lpstr>
      <vt:lpstr>รับชำระ พย.68</vt:lpstr>
      <vt:lpstr>แนบ พย.68</vt:lpstr>
      <vt:lpstr>เรียง พย.68</vt:lpstr>
      <vt:lpstr>ตค.68</vt:lpstr>
      <vt:lpstr>รับชำระ ตค.68</vt:lpstr>
      <vt:lpstr>แนบ ตค.68</vt:lpstr>
      <vt:lpstr>เรียง ตค.68</vt:lpstr>
      <vt:lpstr>กย.68</vt:lpstr>
      <vt:lpstr>เมย.69!Print_Titles</vt:lpstr>
      <vt:lpstr>'เรียง เมย.69'!Print_Titles</vt:lpstr>
      <vt:lpstr>'เรียง พค.69'!Print_Titles</vt:lpstr>
      <vt:lpstr>'เรียง มิย.69'!Print_Titles</vt:lpstr>
      <vt:lpstr>'แนบ เมย.69'!Print_Titles</vt:lpstr>
      <vt:lpstr>'แนบ พ.ค.69'!Print_Titles</vt:lpstr>
      <vt:lpstr>'แนบ มิย.69'!Print_Titles</vt:lpstr>
      <vt:lpstr>พ.ค.69!Print_Titles</vt:lpstr>
      <vt:lpstr>มิย.69!Print_Titles</vt:lpstr>
      <vt:lpstr>มีค.69!Print_Titles</vt:lpstr>
      <vt:lpstr>'รับชำระ เมย.69'!Print_Titles</vt:lpstr>
      <vt:lpstr>'รับชำระ พ.ค.69'!Print_Titles</vt:lpstr>
      <vt:lpstr>'รับชำระ มิย.69'!Print_Titles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สนง.บริหารหนี้</dc:creator>
  <cp:lastModifiedBy>สนง.บริหารหนี้</cp:lastModifiedBy>
  <cp:lastPrinted>2026-08-14T06:57:03Z</cp:lastPrinted>
  <dcterms:created xsi:type="dcterms:W3CDTF">2025-10-06T08:34:50Z</dcterms:created>
  <dcterms:modified xsi:type="dcterms:W3CDTF">2026-08-14T06:58:39Z</dcterms:modified>
</cp:coreProperties>
</file>