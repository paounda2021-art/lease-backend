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B0B1751-D802-4705-B456-3F5285E53140}" xr6:coauthVersionLast="47" xr6:coauthVersionMax="47" xr10:uidLastSave="{00000000-0000-0000-0000-000000000000}"/>
  <bookViews>
    <workbookView xWindow="-108" yWindow="-108" windowWidth="23256" windowHeight="12456" xr2:uid="{E14172DB-F65A-43F0-9D1E-8B2104C6CBA2}"/>
  </bookViews>
  <sheets>
    <sheet name="1.เปรียบเทียบสรุปอายุหนี้" sheetId="1" r:id="rId1"/>
  </sheets>
  <externalReferences>
    <externalReference r:id="rId2"/>
  </externalReferences>
  <definedNames>
    <definedName name="_xlnm.Print_Area" localSheetId="0">'1.เปรียบเทียบสรุปอายุหนี้'!$A$1:$AB$25</definedName>
    <definedName name="_xlnm.Print_Titles" localSheetId="0">'1.เปรียบเทียบสรุปอายุหนี้'!$A:$B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80" i="1" l="1"/>
  <c r="AB81" i="1" s="1"/>
  <c r="Z73" i="1"/>
  <c r="X73" i="1"/>
  <c r="V73" i="1"/>
  <c r="Z72" i="1"/>
  <c r="R72" i="1"/>
  <c r="N72" i="1"/>
  <c r="J72" i="1"/>
  <c r="F72" i="1"/>
  <c r="Z71" i="1"/>
  <c r="R71" i="1"/>
  <c r="H71" i="1"/>
  <c r="F71" i="1"/>
  <c r="D71" i="1"/>
  <c r="Z70" i="1"/>
  <c r="D70" i="1"/>
  <c r="Z69" i="1"/>
  <c r="R69" i="1"/>
  <c r="N69" i="1"/>
  <c r="N75" i="1" s="1"/>
  <c r="Z68" i="1"/>
  <c r="R68" i="1"/>
  <c r="N68" i="1"/>
  <c r="J68" i="1"/>
  <c r="Z67" i="1"/>
  <c r="J67" i="1"/>
  <c r="H67" i="1"/>
  <c r="F67" i="1"/>
  <c r="D67" i="1"/>
  <c r="Z66" i="1"/>
  <c r="R66" i="1"/>
  <c r="D66" i="1"/>
  <c r="Z65" i="1"/>
  <c r="R65" i="1"/>
  <c r="N65" i="1"/>
  <c r="Z64" i="1"/>
  <c r="N64" i="1"/>
  <c r="P64" i="1" s="1"/>
  <c r="J64" i="1"/>
  <c r="F64" i="1"/>
  <c r="Z63" i="1"/>
  <c r="F63" i="1"/>
  <c r="D63" i="1"/>
  <c r="Z62" i="1"/>
  <c r="Z61" i="1"/>
  <c r="N61" i="1"/>
  <c r="Z60" i="1"/>
  <c r="N60" i="1"/>
  <c r="J60" i="1"/>
  <c r="Z59" i="1"/>
  <c r="D59" i="1"/>
  <c r="Z58" i="1"/>
  <c r="H58" i="1"/>
  <c r="D58" i="1"/>
  <c r="Z57" i="1"/>
  <c r="R57" i="1"/>
  <c r="N57" i="1"/>
  <c r="Z56" i="1"/>
  <c r="J56" i="1"/>
  <c r="F56" i="1"/>
  <c r="AR22" i="1"/>
  <c r="AE22" i="1"/>
  <c r="X22" i="1"/>
  <c r="W22" i="1"/>
  <c r="V22" i="1"/>
  <c r="Z22" i="1" s="1"/>
  <c r="U22" i="1"/>
  <c r="Y22" i="1" s="1"/>
  <c r="R22" i="1"/>
  <c r="Q22" i="1"/>
  <c r="N22" i="1"/>
  <c r="M22" i="1"/>
  <c r="J22" i="1"/>
  <c r="I22" i="1"/>
  <c r="H22" i="1"/>
  <c r="H72" i="1" s="1"/>
  <c r="G22" i="1"/>
  <c r="F22" i="1"/>
  <c r="E22" i="1"/>
  <c r="K22" i="1" s="1"/>
  <c r="D22" i="1"/>
  <c r="D72" i="1" s="1"/>
  <c r="C22" i="1"/>
  <c r="AR21" i="1"/>
  <c r="Z21" i="1"/>
  <c r="Y21" i="1"/>
  <c r="X21" i="1"/>
  <c r="W21" i="1"/>
  <c r="V21" i="1"/>
  <c r="U21" i="1"/>
  <c r="T21" i="1"/>
  <c r="S21" i="1"/>
  <c r="N21" i="1"/>
  <c r="AE21" i="1" s="1"/>
  <c r="M21" i="1"/>
  <c r="L21" i="1"/>
  <c r="AB21" i="1" s="1"/>
  <c r="J21" i="1"/>
  <c r="J71" i="1" s="1"/>
  <c r="I21" i="1"/>
  <c r="H21" i="1"/>
  <c r="G21" i="1"/>
  <c r="F21" i="1"/>
  <c r="E21" i="1"/>
  <c r="D21" i="1"/>
  <c r="C21" i="1"/>
  <c r="K21" i="1" s="1"/>
  <c r="AR20" i="1"/>
  <c r="AE20" i="1"/>
  <c r="X20" i="1"/>
  <c r="W20" i="1"/>
  <c r="V20" i="1"/>
  <c r="Z20" i="1" s="1"/>
  <c r="U20" i="1"/>
  <c r="Y20" i="1" s="1"/>
  <c r="T20" i="1"/>
  <c r="S20" i="1"/>
  <c r="R20" i="1"/>
  <c r="R70" i="1" s="1"/>
  <c r="Q20" i="1"/>
  <c r="N20" i="1"/>
  <c r="N70" i="1" s="1"/>
  <c r="P70" i="1" s="1"/>
  <c r="M20" i="1"/>
  <c r="J20" i="1"/>
  <c r="J70" i="1" s="1"/>
  <c r="I20" i="1"/>
  <c r="H20" i="1"/>
  <c r="H70" i="1" s="1"/>
  <c r="G20" i="1"/>
  <c r="F20" i="1"/>
  <c r="F70" i="1" s="1"/>
  <c r="E20" i="1"/>
  <c r="K20" i="1" s="1"/>
  <c r="D20" i="1"/>
  <c r="L20" i="1" s="1"/>
  <c r="C20" i="1"/>
  <c r="AR19" i="1"/>
  <c r="Z19" i="1"/>
  <c r="Y19" i="1"/>
  <c r="X19" i="1"/>
  <c r="W19" i="1"/>
  <c r="V19" i="1"/>
  <c r="U19" i="1"/>
  <c r="T19" i="1"/>
  <c r="S19" i="1"/>
  <c r="R19" i="1"/>
  <c r="Q19" i="1"/>
  <c r="N19" i="1"/>
  <c r="N77" i="1" s="1"/>
  <c r="N78" i="1" s="1"/>
  <c r="N79" i="1" s="1"/>
  <c r="M19" i="1"/>
  <c r="L19" i="1"/>
  <c r="AB19" i="1" s="1"/>
  <c r="J19" i="1"/>
  <c r="J69" i="1" s="1"/>
  <c r="I19" i="1"/>
  <c r="H19" i="1"/>
  <c r="H69" i="1" s="1"/>
  <c r="G19" i="1"/>
  <c r="F19" i="1"/>
  <c r="F69" i="1" s="1"/>
  <c r="E19" i="1"/>
  <c r="D19" i="1"/>
  <c r="D69" i="1" s="1"/>
  <c r="C19" i="1"/>
  <c r="K19" i="1" s="1"/>
  <c r="AR18" i="1"/>
  <c r="X18" i="1"/>
  <c r="W18" i="1"/>
  <c r="V18" i="1"/>
  <c r="Z18" i="1" s="1"/>
  <c r="U18" i="1"/>
  <c r="Y18" i="1" s="1"/>
  <c r="R18" i="1"/>
  <c r="Q18" i="1"/>
  <c r="N18" i="1"/>
  <c r="AE18" i="1" s="1"/>
  <c r="M18" i="1"/>
  <c r="J18" i="1"/>
  <c r="H18" i="1"/>
  <c r="H68" i="1" s="1"/>
  <c r="G18" i="1"/>
  <c r="F18" i="1"/>
  <c r="F68" i="1" s="1"/>
  <c r="E18" i="1"/>
  <c r="K18" i="1" s="1"/>
  <c r="D18" i="1"/>
  <c r="D68" i="1" s="1"/>
  <c r="C18" i="1"/>
  <c r="AR17" i="1"/>
  <c r="Z17" i="1"/>
  <c r="Y17" i="1"/>
  <c r="X17" i="1"/>
  <c r="W17" i="1"/>
  <c r="V17" i="1"/>
  <c r="U17" i="1"/>
  <c r="T17" i="1"/>
  <c r="S17" i="1"/>
  <c r="R17" i="1"/>
  <c r="R67" i="1" s="1"/>
  <c r="Q17" i="1"/>
  <c r="N17" i="1"/>
  <c r="N67" i="1" s="1"/>
  <c r="P67" i="1" s="1"/>
  <c r="M17" i="1"/>
  <c r="K17" i="1"/>
  <c r="AA17" i="1" s="1"/>
  <c r="J17" i="1"/>
  <c r="I17" i="1"/>
  <c r="H17" i="1"/>
  <c r="G17" i="1"/>
  <c r="F17" i="1"/>
  <c r="E17" i="1"/>
  <c r="D17" i="1"/>
  <c r="L17" i="1" s="1"/>
  <c r="C17" i="1"/>
  <c r="AR16" i="1"/>
  <c r="Z16" i="1"/>
  <c r="Y16" i="1"/>
  <c r="N16" i="1"/>
  <c r="AE16" i="1" s="1"/>
  <c r="M16" i="1"/>
  <c r="L16" i="1"/>
  <c r="AB16" i="1" s="1"/>
  <c r="J16" i="1"/>
  <c r="J66" i="1" s="1"/>
  <c r="I16" i="1"/>
  <c r="H16" i="1"/>
  <c r="H66" i="1" s="1"/>
  <c r="G16" i="1"/>
  <c r="F16" i="1"/>
  <c r="F66" i="1" s="1"/>
  <c r="E16" i="1"/>
  <c r="D16" i="1"/>
  <c r="C16" i="1"/>
  <c r="K16" i="1" s="1"/>
  <c r="AR15" i="1"/>
  <c r="AE15" i="1"/>
  <c r="Z15" i="1"/>
  <c r="Y15" i="1"/>
  <c r="T15" i="1"/>
  <c r="S15" i="1"/>
  <c r="R15" i="1"/>
  <c r="Q15" i="1"/>
  <c r="N15" i="1"/>
  <c r="M15" i="1"/>
  <c r="J15" i="1"/>
  <c r="J65" i="1" s="1"/>
  <c r="I15" i="1"/>
  <c r="H15" i="1"/>
  <c r="H65" i="1" s="1"/>
  <c r="G15" i="1"/>
  <c r="F15" i="1"/>
  <c r="F65" i="1" s="1"/>
  <c r="E15" i="1"/>
  <c r="D15" i="1"/>
  <c r="L15" i="1" s="1"/>
  <c r="C15" i="1"/>
  <c r="K15" i="1" s="1"/>
  <c r="AS14" i="1"/>
  <c r="AR14" i="1"/>
  <c r="V14" i="1"/>
  <c r="Z14" i="1" s="1"/>
  <c r="U14" i="1"/>
  <c r="Y14" i="1" s="1"/>
  <c r="N14" i="1"/>
  <c r="AE14" i="1" s="1"/>
  <c r="M14" i="1"/>
  <c r="J14" i="1"/>
  <c r="I14" i="1"/>
  <c r="H14" i="1"/>
  <c r="H64" i="1" s="1"/>
  <c r="G14" i="1"/>
  <c r="F14" i="1"/>
  <c r="L14" i="1" s="1"/>
  <c r="E14" i="1"/>
  <c r="K14" i="1" s="1"/>
  <c r="D14" i="1"/>
  <c r="D64" i="1" s="1"/>
  <c r="C14" i="1"/>
  <c r="AR13" i="1"/>
  <c r="AE13" i="1"/>
  <c r="Y13" i="1"/>
  <c r="V13" i="1"/>
  <c r="Z13" i="1" s="1"/>
  <c r="U13" i="1"/>
  <c r="R13" i="1"/>
  <c r="R63" i="1" s="1"/>
  <c r="Q13" i="1"/>
  <c r="N13" i="1"/>
  <c r="N63" i="1" s="1"/>
  <c r="M13" i="1"/>
  <c r="K13" i="1"/>
  <c r="O13" i="1" s="1"/>
  <c r="J13" i="1"/>
  <c r="J63" i="1" s="1"/>
  <c r="I13" i="1"/>
  <c r="H13" i="1"/>
  <c r="L13" i="1" s="1"/>
  <c r="G13" i="1"/>
  <c r="F13" i="1"/>
  <c r="E13" i="1"/>
  <c r="D13" i="1"/>
  <c r="C13" i="1"/>
  <c r="AR12" i="1"/>
  <c r="AE12" i="1"/>
  <c r="X12" i="1"/>
  <c r="Z12" i="1" s="1"/>
  <c r="W12" i="1"/>
  <c r="Y12" i="1" s="1"/>
  <c r="T12" i="1"/>
  <c r="S12" i="1"/>
  <c r="R12" i="1"/>
  <c r="R62" i="1" s="1"/>
  <c r="Q12" i="1"/>
  <c r="N12" i="1"/>
  <c r="N62" i="1" s="1"/>
  <c r="M12" i="1"/>
  <c r="J12" i="1"/>
  <c r="J62" i="1" s="1"/>
  <c r="I12" i="1"/>
  <c r="H12" i="1"/>
  <c r="H62" i="1" s="1"/>
  <c r="G12" i="1"/>
  <c r="F12" i="1"/>
  <c r="F62" i="1" s="1"/>
  <c r="E12" i="1"/>
  <c r="D12" i="1"/>
  <c r="L12" i="1" s="1"/>
  <c r="C12" i="1"/>
  <c r="K12" i="1" s="1"/>
  <c r="AR11" i="1"/>
  <c r="Z11" i="1"/>
  <c r="Y11" i="1"/>
  <c r="N11" i="1"/>
  <c r="AE11" i="1" s="1"/>
  <c r="M11" i="1"/>
  <c r="M23" i="1" s="1"/>
  <c r="M25" i="1" s="1"/>
  <c r="J11" i="1"/>
  <c r="J61" i="1" s="1"/>
  <c r="I11" i="1"/>
  <c r="H11" i="1"/>
  <c r="H61" i="1" s="1"/>
  <c r="G11" i="1"/>
  <c r="F11" i="1"/>
  <c r="F61" i="1" s="1"/>
  <c r="E11" i="1"/>
  <c r="D11" i="1"/>
  <c r="L11" i="1" s="1"/>
  <c r="C11" i="1"/>
  <c r="K11" i="1" s="1"/>
  <c r="AR10" i="1"/>
  <c r="AE10" i="1"/>
  <c r="X10" i="1"/>
  <c r="Z10" i="1" s="1"/>
  <c r="W10" i="1"/>
  <c r="Y10" i="1" s="1"/>
  <c r="T10" i="1"/>
  <c r="S10" i="1"/>
  <c r="R10" i="1"/>
  <c r="R60" i="1" s="1"/>
  <c r="Q10" i="1"/>
  <c r="N10" i="1"/>
  <c r="M10" i="1"/>
  <c r="J10" i="1"/>
  <c r="I10" i="1"/>
  <c r="K10" i="1" s="1"/>
  <c r="H10" i="1"/>
  <c r="H60" i="1" s="1"/>
  <c r="G10" i="1"/>
  <c r="F10" i="1"/>
  <c r="L10" i="1" s="1"/>
  <c r="E10" i="1"/>
  <c r="D10" i="1"/>
  <c r="D60" i="1" s="1"/>
  <c r="C10" i="1"/>
  <c r="AR9" i="1"/>
  <c r="AE9" i="1"/>
  <c r="Z9" i="1"/>
  <c r="Y9" i="1"/>
  <c r="R9" i="1"/>
  <c r="R59" i="1" s="1"/>
  <c r="N9" i="1"/>
  <c r="N59" i="1" s="1"/>
  <c r="M9" i="1"/>
  <c r="J9" i="1"/>
  <c r="J59" i="1" s="1"/>
  <c r="I9" i="1"/>
  <c r="K9" i="1" s="1"/>
  <c r="H9" i="1"/>
  <c r="H59" i="1" s="1"/>
  <c r="G9" i="1"/>
  <c r="F9" i="1"/>
  <c r="F59" i="1" s="1"/>
  <c r="E9" i="1"/>
  <c r="D9" i="1"/>
  <c r="C9" i="1"/>
  <c r="AR8" i="1"/>
  <c r="AE8" i="1"/>
  <c r="Z8" i="1"/>
  <c r="Y8" i="1"/>
  <c r="N8" i="1"/>
  <c r="M8" i="1"/>
  <c r="J8" i="1"/>
  <c r="J58" i="1" s="1"/>
  <c r="I8" i="1"/>
  <c r="G8" i="1"/>
  <c r="F8" i="1"/>
  <c r="F58" i="1" s="1"/>
  <c r="E8" i="1"/>
  <c r="K8" i="1" s="1"/>
  <c r="D8" i="1"/>
  <c r="AR7" i="1"/>
  <c r="AE7" i="1"/>
  <c r="Z7" i="1"/>
  <c r="V7" i="1"/>
  <c r="U7" i="1"/>
  <c r="Y7" i="1" s="1"/>
  <c r="R7" i="1"/>
  <c r="Q7" i="1"/>
  <c r="N7" i="1"/>
  <c r="M7" i="1"/>
  <c r="J7" i="1"/>
  <c r="J57" i="1" s="1"/>
  <c r="I7" i="1"/>
  <c r="H7" i="1"/>
  <c r="L7" i="1" s="1"/>
  <c r="G7" i="1"/>
  <c r="K7" i="1" s="1"/>
  <c r="F7" i="1"/>
  <c r="F57" i="1" s="1"/>
  <c r="E7" i="1"/>
  <c r="D7" i="1"/>
  <c r="D57" i="1" s="1"/>
  <c r="C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R6" i="1"/>
  <c r="Z6" i="1"/>
  <c r="Z23" i="1" s="1"/>
  <c r="Z25" i="1" s="1"/>
  <c r="X6" i="1"/>
  <c r="X23" i="1" s="1"/>
  <c r="X25" i="1" s="1"/>
  <c r="W6" i="1"/>
  <c r="W23" i="1" s="1"/>
  <c r="W25" i="1" s="1"/>
  <c r="V6" i="1"/>
  <c r="V23" i="1" s="1"/>
  <c r="U6" i="1"/>
  <c r="Y6" i="1" s="1"/>
  <c r="T6" i="1"/>
  <c r="T23" i="1" s="1"/>
  <c r="T25" i="1" s="1"/>
  <c r="S6" i="1"/>
  <c r="S23" i="1" s="1"/>
  <c r="S25" i="1" s="1"/>
  <c r="R6" i="1"/>
  <c r="R56" i="1" s="1"/>
  <c r="Q6" i="1"/>
  <c r="N6" i="1"/>
  <c r="N56" i="1" s="1"/>
  <c r="M6" i="1"/>
  <c r="J6" i="1"/>
  <c r="J23" i="1" s="1"/>
  <c r="J25" i="1" s="1"/>
  <c r="I6" i="1"/>
  <c r="I23" i="1" s="1"/>
  <c r="I25" i="1" s="1"/>
  <c r="H6" i="1"/>
  <c r="H23" i="1" s="1"/>
  <c r="H25" i="1" s="1"/>
  <c r="G6" i="1"/>
  <c r="G23" i="1" s="1"/>
  <c r="G25" i="1" s="1"/>
  <c r="F6" i="1"/>
  <c r="F23" i="1" s="1"/>
  <c r="F25" i="1" s="1"/>
  <c r="E6" i="1"/>
  <c r="K6" i="1" s="1"/>
  <c r="D6" i="1"/>
  <c r="D56" i="1" s="1"/>
  <c r="A2" i="1"/>
  <c r="Q2" i="1" s="1"/>
  <c r="R1" i="1"/>
  <c r="AK19" i="1" l="1"/>
  <c r="AI19" i="1"/>
  <c r="P68" i="1"/>
  <c r="AB64" i="1"/>
  <c r="O9" i="1"/>
  <c r="AA9" i="1"/>
  <c r="P62" i="1"/>
  <c r="J73" i="1"/>
  <c r="O10" i="1"/>
  <c r="AA10" i="1"/>
  <c r="AB20" i="1"/>
  <c r="P20" i="1"/>
  <c r="P72" i="1"/>
  <c r="AB72" i="1" s="1"/>
  <c r="AA12" i="1"/>
  <c r="O12" i="1"/>
  <c r="AA7" i="1"/>
  <c r="O7" i="1"/>
  <c r="AB57" i="1"/>
  <c r="AB66" i="1"/>
  <c r="AB69" i="1"/>
  <c r="O21" i="1"/>
  <c r="AA21" i="1"/>
  <c r="AB67" i="1"/>
  <c r="AB68" i="1"/>
  <c r="AA11" i="1"/>
  <c r="O11" i="1"/>
  <c r="P17" i="1"/>
  <c r="AB17" i="1"/>
  <c r="AA20" i="1"/>
  <c r="O20" i="1"/>
  <c r="P10" i="1"/>
  <c r="AB10" i="1"/>
  <c r="O18" i="1"/>
  <c r="AA18" i="1"/>
  <c r="P13" i="1"/>
  <c r="AB13" i="1"/>
  <c r="AB59" i="1"/>
  <c r="AB62" i="1"/>
  <c r="K23" i="1"/>
  <c r="K25" i="1" s="1"/>
  <c r="AA6" i="1"/>
  <c r="O6" i="1"/>
  <c r="P7" i="1"/>
  <c r="AB7" i="1"/>
  <c r="O14" i="1"/>
  <c r="AB15" i="1"/>
  <c r="P15" i="1"/>
  <c r="O16" i="1"/>
  <c r="AA16" i="1"/>
  <c r="P59" i="1"/>
  <c r="P57" i="1"/>
  <c r="P11" i="1"/>
  <c r="R11" i="1" s="1"/>
  <c r="R61" i="1" s="1"/>
  <c r="AB11" i="1"/>
  <c r="O19" i="1"/>
  <c r="AA19" i="1"/>
  <c r="P12" i="1"/>
  <c r="AB12" i="1"/>
  <c r="Y23" i="1"/>
  <c r="Y25" i="1" s="1"/>
  <c r="AA15" i="1"/>
  <c r="O15" i="1"/>
  <c r="AK21" i="1"/>
  <c r="AI21" i="1"/>
  <c r="D53" i="1"/>
  <c r="V25" i="1"/>
  <c r="AA8" i="1"/>
  <c r="O8" i="1"/>
  <c r="P14" i="1"/>
  <c r="R14" i="1" s="1"/>
  <c r="R64" i="1" s="1"/>
  <c r="AB70" i="1"/>
  <c r="AK16" i="1"/>
  <c r="AI16" i="1"/>
  <c r="O22" i="1"/>
  <c r="AA22" i="1"/>
  <c r="Q14" i="1"/>
  <c r="Q23" i="1" s="1"/>
  <c r="Q25" i="1" s="1"/>
  <c r="F60" i="1"/>
  <c r="F73" i="1" s="1"/>
  <c r="N23" i="1"/>
  <c r="N25" i="1" s="1"/>
  <c r="H56" i="1"/>
  <c r="P69" i="1"/>
  <c r="C23" i="1"/>
  <c r="C25" i="1" s="1"/>
  <c r="D23" i="1"/>
  <c r="AE19" i="1"/>
  <c r="L8" i="1"/>
  <c r="L9" i="1"/>
  <c r="P16" i="1"/>
  <c r="AE17" i="1"/>
  <c r="P21" i="1"/>
  <c r="N71" i="1"/>
  <c r="P71" i="1" s="1"/>
  <c r="AB71" i="1" s="1"/>
  <c r="AA13" i="1"/>
  <c r="E23" i="1"/>
  <c r="E25" i="1" s="1"/>
  <c r="L18" i="1"/>
  <c r="L22" i="1"/>
  <c r="O17" i="1"/>
  <c r="H63" i="1"/>
  <c r="P63" i="1" s="1"/>
  <c r="AB63" i="1" s="1"/>
  <c r="D62" i="1"/>
  <c r="U23" i="1"/>
  <c r="U25" i="1" s="1"/>
  <c r="D61" i="1"/>
  <c r="D73" i="1" s="1"/>
  <c r="D65" i="1"/>
  <c r="P65" i="1" s="1"/>
  <c r="AB65" i="1" s="1"/>
  <c r="P19" i="1"/>
  <c r="N58" i="1"/>
  <c r="P58" i="1" s="1"/>
  <c r="N66" i="1"/>
  <c r="P66" i="1" s="1"/>
  <c r="AE6" i="1"/>
  <c r="L6" i="1"/>
  <c r="H57" i="1"/>
  <c r="AK13" i="1" l="1"/>
  <c r="AI13" i="1"/>
  <c r="AA14" i="1"/>
  <c r="AK7" i="1"/>
  <c r="AI7" i="1"/>
  <c r="AK17" i="1"/>
  <c r="AI17" i="1"/>
  <c r="AK15" i="1"/>
  <c r="AI15" i="1"/>
  <c r="P8" i="1"/>
  <c r="R8" i="1" s="1"/>
  <c r="AB8" i="1"/>
  <c r="D52" i="1"/>
  <c r="D54" i="1" s="1"/>
  <c r="D25" i="1"/>
  <c r="AK10" i="1"/>
  <c r="AI10" i="1"/>
  <c r="P60" i="1"/>
  <c r="AB60" i="1" s="1"/>
  <c r="L23" i="1"/>
  <c r="L25" i="1" s="1"/>
  <c r="AB6" i="1"/>
  <c r="P6" i="1"/>
  <c r="AI12" i="1"/>
  <c r="AK12" i="1"/>
  <c r="AK20" i="1"/>
  <c r="AI20" i="1"/>
  <c r="P61" i="1"/>
  <c r="AB61" i="1" s="1"/>
  <c r="P22" i="1"/>
  <c r="AB22" i="1"/>
  <c r="O23" i="1"/>
  <c r="O25" i="1" s="1"/>
  <c r="AE23" i="1"/>
  <c r="P18" i="1"/>
  <c r="AB18" i="1"/>
  <c r="AB14" i="1"/>
  <c r="N73" i="1"/>
  <c r="AA23" i="1"/>
  <c r="AA25" i="1" s="1"/>
  <c r="AK11" i="1"/>
  <c r="AI11" i="1"/>
  <c r="P9" i="1"/>
  <c r="AB9" i="1"/>
  <c r="H73" i="1"/>
  <c r="P56" i="1"/>
  <c r="AB56" i="1" s="1"/>
  <c r="AI8" i="1" l="1"/>
  <c r="AK8" i="1"/>
  <c r="P23" i="1"/>
  <c r="P25" i="1" s="1"/>
  <c r="R58" i="1"/>
  <c r="R23" i="1"/>
  <c r="R25" i="1" s="1"/>
  <c r="AB23" i="1"/>
  <c r="AI6" i="1"/>
  <c r="AK6" i="1"/>
  <c r="AK14" i="1"/>
  <c r="AI14" i="1"/>
  <c r="AI18" i="1"/>
  <c r="AK18" i="1"/>
  <c r="AI22" i="1"/>
  <c r="AK22" i="1"/>
  <c r="AI9" i="1"/>
  <c r="AK9" i="1"/>
  <c r="AB58" i="1" l="1"/>
  <c r="R73" i="1"/>
  <c r="AB73" i="1" s="1"/>
  <c r="AB25" i="1"/>
  <c r="AI23" i="1"/>
</calcChain>
</file>

<file path=xl/sharedStrings.xml><?xml version="1.0" encoding="utf-8"?>
<sst xmlns="http://schemas.openxmlformats.org/spreadsheetml/2006/main" count="104" uniqueCount="49">
  <si>
    <t xml:space="preserve">                                         สรุปอายุลูกหนี้และยอดหนี้ค้างรับของสะพานปลาและท่าเทียบเรือประมง ณ วันที่ 31 กรกฎาคม 2569</t>
  </si>
  <si>
    <t xml:space="preserve"> </t>
  </si>
  <si>
    <t>หน่วย:บาท</t>
  </si>
  <si>
    <t>ลำดับ</t>
  </si>
  <si>
    <t>หน่วยงาน</t>
  </si>
  <si>
    <t>รายได้อยู่ระหว่างจัดเก็บ 1 - 30 วัน</t>
  </si>
  <si>
    <t>รายได้อยู่ระหว่างจัดเก็บ 30 วัน ไม่เกิน 60 วัน</t>
  </si>
  <si>
    <t>หนี้ค้างเกิน 60 วัน ไม่เกิน 180 วัน</t>
  </si>
  <si>
    <t>หนี้ค้างเกิน 180 วัน ไม่เกิน 1 ปี</t>
  </si>
  <si>
    <t>รวมหนี้ไม่เกิน 1 ปี</t>
  </si>
  <si>
    <t>หนี้ค้างเกิน 1 ปีขึ้นไป</t>
  </si>
  <si>
    <t>รวมเป็นเงิน</t>
  </si>
  <si>
    <t>หนี้ปรับโครงสร้างหนี้</t>
  </si>
  <si>
    <t>หนี้บอกเลิกสัญญา</t>
  </si>
  <si>
    <t>หนี้ดำเนินคดี</t>
  </si>
  <si>
    <t>หนี้อยู่ระหว่างดำเนินคดี</t>
  </si>
  <si>
    <t>รวมหนี้ดำเนินคดีเป็นเงิน</t>
  </si>
  <si>
    <t>รวมหนี้ค้างชำระทั้งสิ้น</t>
  </si>
  <si>
    <t xml:space="preserve">จำนวน </t>
  </si>
  <si>
    <t>มูลค่าหนี้</t>
  </si>
  <si>
    <t>จำนวน</t>
  </si>
  <si>
    <t>หมายเหตุ</t>
  </si>
  <si>
    <t>รายการ</t>
  </si>
  <si>
    <t>สะพานปลากรุงเทพ</t>
  </si>
  <si>
    <t>สะพานปลาสมุทรปราการ</t>
  </si>
  <si>
    <t>สะพานปลาสมุทรสาคร</t>
  </si>
  <si>
    <t>ท่าเทียบเรือประมงตราด</t>
  </si>
  <si>
    <t>ท่าเทียบเรือประมงอ่างศิลา ***</t>
  </si>
  <si>
    <t>ท่าเทียบเรือประมงหัวหิน</t>
  </si>
  <si>
    <t>ท่าเทียบเรือประมงชุมพร</t>
  </si>
  <si>
    <t>ท่าเทียบเรือประมงหลังสวน</t>
  </si>
  <si>
    <t>ท่าเทียบเรือประมงสุราษฎร์ธานี</t>
  </si>
  <si>
    <t>สะพานปลานครศรีธรรมราช</t>
  </si>
  <si>
    <t>ท่าเทียบเรือประมงสงขลา</t>
  </si>
  <si>
    <t>ท่าเทียบเรือประมงสงขลา(ท่าสะอ้าน)</t>
  </si>
  <si>
    <t>ท่าเทียบเรือประมงระนอง</t>
  </si>
  <si>
    <t>ท่าเทียบเรือประมงปัตตานี</t>
  </si>
  <si>
    <t>ท่าเทียบเรือประมงนราธิวาส</t>
  </si>
  <si>
    <t>ท่าเทียบเรือประมงภูเก็ต</t>
  </si>
  <si>
    <t>ท่าเทียบเรือประมงสตูล</t>
  </si>
  <si>
    <t>หนี้ค้างชำระเดือน มิถุนายน 2569</t>
  </si>
  <si>
    <t xml:space="preserve">เพิ่ม (ลด) </t>
  </si>
  <si>
    <t>ปรับยอดภูเก็ต+0.01</t>
  </si>
  <si>
    <t>สรุป</t>
  </si>
  <si>
    <t>ยอดหนีค้างชำระ 1 วัน - เกิน 1 ปีขึ้นไป</t>
  </si>
  <si>
    <t>ยอดหนี้ดำเนินคดี</t>
  </si>
  <si>
    <t>รวมยอดหนี้ค้างทั้งสิ้น</t>
  </si>
  <si>
    <t>ท่าเทียบเรือประมงสงขลา(สะอ้าน)</t>
  </si>
  <si>
    <t xml:space="preserve">%คิดจาก เดือนที่แล้ว-เดือนปจด. =ผลต่าง*100/เดือนที่แล้ว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</si>
</sst>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#,##0;\(#,##0\)"/>
    <numFmt numFmtId="166" formatCode="#,##0.00_ ;[Red]\-#,##0.00\ "/>
    <numFmt numFmtId="167" formatCode="_-* #,##0_-;\-* #,##0_-;_-* &quot;-&quot;_-;_-@_-"/>
    <numFmt numFmtId="168" formatCode="#,##0_ ;[Red]\-#,##0\ "/>
    <numFmt numFmtId="169" formatCode="#,##0.00;\(#,##0.00\)"/>
    <numFmt numFmtId="170" formatCode="_-* #,##0_-;\-* #,##0_-;_-* &quot;-&quot;??_-;_-@_-"/>
    <numFmt numFmtId="171" formatCode="#,##0;\(##,#00\)"/>
    <numFmt numFmtId="172" formatCode="#,##0.000;\(##,#00.00\)"/>
    <numFmt numFmtId="173" formatCode="#,##0.00;\(##,#00.0\)"/>
    <numFmt numFmtId="174" formatCode="#,##0.00;\(##,#00.00\)"/>
  </numFmts>
  <fonts count="8">
    <font>
      <sz val="11"/>
      <color theme="1"/>
      <name val="Calibri"/>
      <charset val="222"/>
      <scheme val="minor"/>
    </font>
    <font>
      <sz val="11"/>
      <color theme="1"/>
      <name val="Calibri"/>
      <family val="2"/>
      <scheme val="minor"/>
    </font>
    <font>
      <sz val="16"/>
      <name val="Angsana New"/>
      <family val="1"/>
    </font>
    <font>
      <b/>
      <sz val="16"/>
      <name val="Angsana New"/>
      <family val="1"/>
    </font>
    <font>
      <b/>
      <sz val="14"/>
      <name val="Angsana New"/>
      <family val="1"/>
    </font>
    <font>
      <sz val="14"/>
      <name val="Angsana New"/>
      <family val="1"/>
    </font>
    <font>
      <u val="singleAccounting"/>
      <sz val="16"/>
      <name val="Angsana New"/>
      <family val="1"/>
    </font>
    <font>
      <u val="doubleAccounting"/>
      <sz val="16"/>
      <name val="Angsana New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164" fontId="3" fillId="0" borderId="0" xfId="1" applyFont="1" applyFill="1"/>
    <xf numFmtId="164" fontId="3" fillId="0" borderId="0" xfId="1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distributed"/>
    </xf>
    <xf numFmtId="0" fontId="3" fillId="2" borderId="4" xfId="0" applyFont="1" applyFill="1" applyBorder="1" applyAlignment="1">
      <alignment horizontal="center" vertical="distributed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6" fontId="3" fillId="0" borderId="7" xfId="1" applyNumberFormat="1" applyFont="1" applyFill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165" fontId="2" fillId="0" borderId="9" xfId="0" applyNumberFormat="1" applyFont="1" applyBorder="1" applyAlignment="1">
      <alignment horizontal="center" vertical="center"/>
    </xf>
    <xf numFmtId="166" fontId="2" fillId="0" borderId="9" xfId="1" applyNumberFormat="1" applyFont="1" applyFill="1" applyBorder="1" applyAlignment="1">
      <alignment horizontal="right" vertical="center"/>
    </xf>
    <xf numFmtId="166" fontId="2" fillId="0" borderId="9" xfId="0" applyNumberFormat="1" applyFont="1" applyBorder="1" applyAlignment="1">
      <alignment horizontal="right" vertical="center"/>
    </xf>
    <xf numFmtId="3" fontId="2" fillId="0" borderId="9" xfId="0" applyNumberFormat="1" applyFont="1" applyBorder="1" applyAlignment="1">
      <alignment horizontal="center" vertical="center"/>
    </xf>
    <xf numFmtId="168" fontId="2" fillId="0" borderId="9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right" vertical="center"/>
    </xf>
    <xf numFmtId="4" fontId="2" fillId="0" borderId="11" xfId="0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4" fontId="2" fillId="0" borderId="12" xfId="0" applyNumberFormat="1" applyFont="1" applyBorder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vertical="center"/>
    </xf>
    <xf numFmtId="164" fontId="2" fillId="0" borderId="9" xfId="1" applyFont="1" applyFill="1" applyBorder="1" applyAlignment="1">
      <alignment horizontal="center" vertical="center"/>
    </xf>
    <xf numFmtId="164" fontId="2" fillId="0" borderId="0" xfId="1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164" fontId="2" fillId="0" borderId="0" xfId="1" applyFont="1" applyFill="1"/>
    <xf numFmtId="164" fontId="2" fillId="0" borderId="0" xfId="0" applyNumberFormat="1" applyFont="1"/>
    <xf numFmtId="4" fontId="2" fillId="0" borderId="0" xfId="0" applyNumberFormat="1" applyFont="1"/>
    <xf numFmtId="0" fontId="2" fillId="0" borderId="0" xfId="0" applyFont="1"/>
    <xf numFmtId="0" fontId="2" fillId="0" borderId="9" xfId="0" applyFont="1" applyBorder="1" applyAlignment="1">
      <alignment vertical="center"/>
    </xf>
    <xf numFmtId="4" fontId="2" fillId="0" borderId="9" xfId="0" applyNumberFormat="1" applyFont="1" applyBorder="1" applyAlignment="1">
      <alignment vertical="center"/>
    </xf>
    <xf numFmtId="1" fontId="2" fillId="0" borderId="9" xfId="0" applyNumberFormat="1" applyFont="1" applyBorder="1" applyAlignment="1">
      <alignment horizontal="center" vertical="center"/>
    </xf>
    <xf numFmtId="164" fontId="2" fillId="0" borderId="0" xfId="1" applyFont="1"/>
    <xf numFmtId="164" fontId="2" fillId="7" borderId="0" xfId="0" applyNumberFormat="1" applyFont="1" applyFill="1"/>
    <xf numFmtId="164" fontId="2" fillId="8" borderId="0" xfId="0" applyNumberFormat="1" applyFont="1" applyFill="1"/>
    <xf numFmtId="164" fontId="2" fillId="0" borderId="0" xfId="1" applyFont="1" applyFill="1" applyBorder="1"/>
    <xf numFmtId="0" fontId="2" fillId="0" borderId="11" xfId="0" applyFont="1" applyBorder="1" applyAlignment="1">
      <alignment horizontal="center" vertical="center"/>
    </xf>
    <xf numFmtId="164" fontId="2" fillId="0" borderId="5" xfId="1" applyFont="1" applyFill="1" applyBorder="1" applyAlignment="1">
      <alignment horizontal="right" vertical="center"/>
    </xf>
    <xf numFmtId="0" fontId="2" fillId="0" borderId="11" xfId="0" applyFont="1" applyBorder="1" applyAlignment="1">
      <alignment horizontal="left" vertical="center" shrinkToFit="1"/>
    </xf>
    <xf numFmtId="164" fontId="2" fillId="0" borderId="0" xfId="1" applyFont="1" applyAlignment="1">
      <alignment horizontal="left" vertical="center" shrinkToFit="1"/>
    </xf>
    <xf numFmtId="164" fontId="2" fillId="7" borderId="0" xfId="1" applyFont="1" applyFill="1"/>
    <xf numFmtId="37" fontId="2" fillId="0" borderId="9" xfId="0" applyNumberFormat="1" applyFont="1" applyBorder="1" applyAlignment="1">
      <alignment horizontal="center" vertical="center"/>
    </xf>
    <xf numFmtId="43" fontId="2" fillId="0" borderId="5" xfId="1" applyNumberFormat="1" applyFont="1" applyFill="1" applyBorder="1" applyAlignment="1">
      <alignment horizontal="right" vertical="center"/>
    </xf>
    <xf numFmtId="0" fontId="2" fillId="0" borderId="13" xfId="0" applyFont="1" applyBorder="1" applyAlignment="1">
      <alignment vertical="center"/>
    </xf>
    <xf numFmtId="165" fontId="2" fillId="0" borderId="13" xfId="0" applyNumberFormat="1" applyFont="1" applyBorder="1" applyAlignment="1">
      <alignment horizontal="center" vertical="center"/>
    </xf>
    <xf numFmtId="166" fontId="2" fillId="0" borderId="13" xfId="1" applyNumberFormat="1" applyFont="1" applyFill="1" applyBorder="1" applyAlignment="1">
      <alignment horizontal="right" vertical="center"/>
    </xf>
    <xf numFmtId="166" fontId="2" fillId="0" borderId="13" xfId="0" applyNumberFormat="1" applyFont="1" applyBorder="1" applyAlignment="1">
      <alignment horizontal="right" vertical="center"/>
    </xf>
    <xf numFmtId="3" fontId="2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4" fontId="2" fillId="0" borderId="13" xfId="0" applyNumberFormat="1" applyFont="1" applyBorder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4" fontId="2" fillId="0" borderId="13" xfId="0" applyNumberFormat="1" applyFont="1" applyBorder="1" applyAlignment="1">
      <alignment vertical="center"/>
    </xf>
    <xf numFmtId="1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65" fontId="2" fillId="0" borderId="2" xfId="1" applyNumberFormat="1" applyFont="1" applyFill="1" applyBorder="1" applyAlignment="1">
      <alignment horizontal="center" vertical="center"/>
    </xf>
    <xf numFmtId="169" fontId="2" fillId="0" borderId="2" xfId="1" applyNumberFormat="1" applyFont="1" applyFill="1" applyBorder="1" applyAlignment="1">
      <alignment horizontal="center" vertical="center"/>
    </xf>
    <xf numFmtId="164" fontId="2" fillId="0" borderId="2" xfId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15" xfId="1" applyFont="1" applyFill="1" applyBorder="1"/>
    <xf numFmtId="164" fontId="2" fillId="0" borderId="16" xfId="0" applyNumberFormat="1" applyFont="1" applyBorder="1" applyAlignment="1">
      <alignment vertical="center"/>
    </xf>
    <xf numFmtId="164" fontId="2" fillId="0" borderId="16" xfId="0" applyNumberFormat="1" applyFont="1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 vertical="center"/>
    </xf>
    <xf numFmtId="166" fontId="2" fillId="0" borderId="16" xfId="1" applyNumberFormat="1" applyFont="1" applyFill="1" applyBorder="1" applyAlignment="1">
      <alignment horizontal="center" vertical="center"/>
    </xf>
    <xf numFmtId="166" fontId="2" fillId="0" borderId="16" xfId="2" applyNumberFormat="1" applyFont="1" applyFill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68" fontId="2" fillId="0" borderId="16" xfId="2" applyNumberFormat="1" applyFont="1" applyFill="1" applyBorder="1" applyAlignment="1">
      <alignment horizontal="center" vertical="center"/>
    </xf>
    <xf numFmtId="1" fontId="2" fillId="0" borderId="16" xfId="2" applyNumberFormat="1" applyFont="1" applyFill="1" applyBorder="1" applyAlignment="1">
      <alignment horizontal="center" vertical="center"/>
    </xf>
    <xf numFmtId="170" fontId="2" fillId="0" borderId="16" xfId="1" applyNumberFormat="1" applyFont="1" applyFill="1" applyBorder="1" applyAlignment="1">
      <alignment horizontal="center" vertical="center"/>
    </xf>
    <xf numFmtId="164" fontId="2" fillId="0" borderId="16" xfId="2" applyNumberFormat="1" applyFont="1" applyFill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 vertical="center"/>
    </xf>
    <xf numFmtId="4" fontId="2" fillId="0" borderId="16" xfId="0" applyNumberFormat="1" applyFont="1" applyBorder="1" applyAlignment="1">
      <alignment horizontal="center" vertical="center"/>
    </xf>
    <xf numFmtId="170" fontId="2" fillId="0" borderId="16" xfId="2" applyNumberFormat="1" applyFont="1" applyFill="1" applyBorder="1" applyAlignment="1">
      <alignment horizontal="center" vertical="center"/>
    </xf>
    <xf numFmtId="170" fontId="2" fillId="0" borderId="16" xfId="1" applyNumberFormat="1" applyFont="1" applyBorder="1" applyAlignment="1">
      <alignment horizontal="center" vertical="center"/>
    </xf>
    <xf numFmtId="164" fontId="2" fillId="0" borderId="16" xfId="1" applyFont="1" applyFill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71" fontId="5" fillId="0" borderId="16" xfId="0" applyNumberFormat="1" applyFont="1" applyBorder="1" applyAlignment="1">
      <alignment horizontal="center" vertical="center"/>
    </xf>
    <xf numFmtId="172" fontId="2" fillId="0" borderId="16" xfId="0" applyNumberFormat="1" applyFont="1" applyBorder="1" applyAlignment="1">
      <alignment horizontal="center" vertical="center"/>
    </xf>
    <xf numFmtId="171" fontId="2" fillId="0" borderId="16" xfId="0" applyNumberFormat="1" applyFont="1" applyBorder="1" applyAlignment="1">
      <alignment horizontal="center" vertical="center"/>
    </xf>
    <xf numFmtId="43" fontId="2" fillId="0" borderId="16" xfId="1" applyNumberFormat="1" applyFont="1" applyBorder="1" applyAlignment="1">
      <alignment horizontal="center" vertical="center"/>
    </xf>
    <xf numFmtId="173" fontId="2" fillId="0" borderId="16" xfId="0" applyNumberFormat="1" applyFont="1" applyBorder="1" applyAlignment="1">
      <alignment horizontal="center" vertical="center"/>
    </xf>
    <xf numFmtId="174" fontId="2" fillId="0" borderId="16" xfId="0" applyNumberFormat="1" applyFont="1" applyBorder="1" applyAlignment="1">
      <alignment horizontal="center" vertical="center"/>
    </xf>
    <xf numFmtId="173" fontId="2" fillId="0" borderId="16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166" fontId="2" fillId="0" borderId="0" xfId="2" applyNumberFormat="1" applyFont="1" applyFill="1" applyBorder="1" applyAlignment="1">
      <alignment horizontal="center" vertical="center"/>
    </xf>
    <xf numFmtId="164" fontId="2" fillId="0" borderId="0" xfId="2" applyNumberFormat="1" applyFont="1" applyFill="1" applyBorder="1" applyAlignment="1">
      <alignment horizontal="right" vertical="center"/>
    </xf>
    <xf numFmtId="164" fontId="3" fillId="0" borderId="0" xfId="2" applyNumberFormat="1" applyFont="1" applyFill="1" applyBorder="1" applyAlignment="1">
      <alignment horizontal="center" vertical="center"/>
    </xf>
    <xf numFmtId="166" fontId="3" fillId="0" borderId="0" xfId="2" applyNumberFormat="1" applyFont="1" applyFill="1" applyBorder="1" applyAlignment="1">
      <alignment horizontal="center" vertical="center"/>
    </xf>
    <xf numFmtId="164" fontId="2" fillId="0" borderId="0" xfId="2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1" applyFont="1" applyFill="1" applyBorder="1" applyAlignment="1">
      <alignment horizontal="right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1" applyFont="1" applyAlignment="1">
      <alignment vertical="center"/>
    </xf>
    <xf numFmtId="0" fontId="2" fillId="0" borderId="0" xfId="1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vertical="center"/>
    </xf>
    <xf numFmtId="164" fontId="2" fillId="0" borderId="0" xfId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horizontal="center" vertical="center"/>
    </xf>
    <xf numFmtId="166" fontId="2" fillId="0" borderId="0" xfId="1" applyNumberFormat="1" applyFont="1" applyFill="1" applyBorder="1" applyAlignment="1">
      <alignment vertical="center"/>
    </xf>
    <xf numFmtId="164" fontId="2" fillId="0" borderId="0" xfId="0" applyNumberFormat="1" applyFont="1" applyAlignment="1">
      <alignment horizontal="left" vertical="center"/>
    </xf>
    <xf numFmtId="166" fontId="2" fillId="0" borderId="0" xfId="1" applyNumberFormat="1" applyFont="1" applyFill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" fillId="0" borderId="0" xfId="2" applyNumberFormat="1" applyFont="1" applyFill="1" applyAlignment="1">
      <alignment horizontal="center" vertical="center"/>
    </xf>
    <xf numFmtId="9" fontId="2" fillId="0" borderId="0" xfId="2" applyFont="1" applyFill="1" applyAlignment="1">
      <alignment horizontal="right" vertical="center"/>
    </xf>
    <xf numFmtId="3" fontId="3" fillId="0" borderId="0" xfId="2" applyNumberFormat="1" applyFont="1" applyFill="1" applyAlignment="1">
      <alignment horizontal="center" vertical="center"/>
    </xf>
    <xf numFmtId="166" fontId="3" fillId="0" borderId="0" xfId="2" applyNumberFormat="1" applyFont="1" applyFill="1" applyAlignment="1">
      <alignment horizontal="center" vertical="center"/>
    </xf>
    <xf numFmtId="167" fontId="3" fillId="0" borderId="0" xfId="2" applyNumberFormat="1" applyFont="1" applyFill="1" applyAlignment="1">
      <alignment horizontal="center" vertical="center"/>
    </xf>
    <xf numFmtId="9" fontId="3" fillId="0" borderId="0" xfId="2" applyFont="1" applyFill="1" applyAlignment="1">
      <alignment horizontal="center" vertical="center"/>
    </xf>
    <xf numFmtId="9" fontId="2" fillId="0" borderId="0" xfId="2" applyFont="1" applyFill="1"/>
    <xf numFmtId="1" fontId="3" fillId="0" borderId="0" xfId="2" applyNumberFormat="1" applyFont="1" applyFill="1" applyAlignment="1">
      <alignment horizontal="center" vertical="center"/>
    </xf>
    <xf numFmtId="9" fontId="3" fillId="0" borderId="0" xfId="2" applyFont="1" applyFill="1"/>
    <xf numFmtId="3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66" fontId="3" fillId="0" borderId="0" xfId="1" applyNumberFormat="1" applyFont="1" applyFill="1" applyAlignment="1">
      <alignment horizontal="center" vertical="center"/>
    </xf>
    <xf numFmtId="167" fontId="3" fillId="0" borderId="0" xfId="1" applyNumberFormat="1" applyFont="1" applyFill="1" applyAlignment="1">
      <alignment horizontal="center" vertical="center"/>
    </xf>
    <xf numFmtId="164" fontId="3" fillId="0" borderId="0" xfId="1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2" fillId="0" borderId="0" xfId="1" applyFont="1" applyFill="1" applyAlignment="1">
      <alignment horizontal="center" vertical="center"/>
    </xf>
    <xf numFmtId="166" fontId="6" fillId="0" borderId="0" xfId="1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7" fillId="0" borderId="0" xfId="1" applyNumberFormat="1" applyFont="1" applyFill="1" applyAlignment="1">
      <alignment horizontal="center" vertical="center"/>
    </xf>
    <xf numFmtId="164" fontId="3" fillId="0" borderId="0" xfId="0" applyNumberFormat="1" applyFont="1"/>
    <xf numFmtId="165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164" fontId="2" fillId="0" borderId="0" xfId="1" applyFont="1" applyFill="1" applyAlignment="1">
      <alignment vertical="center"/>
    </xf>
    <xf numFmtId="165" fontId="2" fillId="0" borderId="0" xfId="1" applyNumberFormat="1" applyFont="1" applyFill="1" applyAlignment="1">
      <alignment horizontal="center" vertical="center"/>
    </xf>
    <xf numFmtId="3" fontId="2" fillId="0" borderId="0" xfId="1" applyNumberFormat="1" applyFont="1" applyFill="1" applyAlignment="1">
      <alignment horizontal="center" vertical="center"/>
    </xf>
    <xf numFmtId="3" fontId="3" fillId="0" borderId="0" xfId="1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vertical="center"/>
    </xf>
    <xf numFmtId="166" fontId="3" fillId="0" borderId="0" xfId="1" applyNumberFormat="1" applyFont="1" applyFill="1" applyAlignment="1">
      <alignment vertical="center"/>
    </xf>
    <xf numFmtId="166" fontId="3" fillId="0" borderId="0" xfId="0" applyNumberFormat="1" applyFont="1"/>
    <xf numFmtId="4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vertical="center"/>
    </xf>
    <xf numFmtId="166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0" xfId="1" applyFont="1" applyFill="1" applyAlignment="1">
      <alignment vertical="center"/>
    </xf>
    <xf numFmtId="165" fontId="2" fillId="0" borderId="0" xfId="0" applyNumberFormat="1" applyFont="1"/>
    <xf numFmtId="166" fontId="2" fillId="0" borderId="0" xfId="1" applyNumberFormat="1" applyFont="1" applyFill="1"/>
    <xf numFmtId="165" fontId="2" fillId="0" borderId="0" xfId="0" applyNumberFormat="1" applyFont="1" applyAlignment="1">
      <alignment horizontal="center"/>
    </xf>
    <xf numFmtId="166" fontId="2" fillId="0" borderId="0" xfId="0" applyNumberFormat="1" applyFont="1"/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64</xdr:row>
      <xdr:rowOff>0</xdr:rowOff>
    </xdr:from>
    <xdr:to>
      <xdr:col>20</xdr:col>
      <xdr:colOff>0</xdr:colOff>
      <xdr:row>64</xdr:row>
      <xdr:rowOff>0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71CF149B-0FBC-46E8-A091-A4E62FAA49CC}"/>
            </a:ext>
          </a:extLst>
        </xdr:cNvPr>
        <xdr:cNvSpPr>
          <a:spLocks/>
        </xdr:cNvSpPr>
      </xdr:nvSpPr>
      <xdr:spPr bwMode="auto">
        <a:xfrm flipV="1">
          <a:off x="16619220" y="2310384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64</xdr:row>
      <xdr:rowOff>0</xdr:rowOff>
    </xdr:from>
    <xdr:to>
      <xdr:col>20</xdr:col>
      <xdr:colOff>0</xdr:colOff>
      <xdr:row>64</xdr:row>
      <xdr:rowOff>0</xdr:rowOff>
    </xdr:to>
    <xdr:sp macro="" textlink="">
      <xdr:nvSpPr>
        <xdr:cNvPr id="3" name="AutoShape 24">
          <a:extLst>
            <a:ext uri="{FF2B5EF4-FFF2-40B4-BE49-F238E27FC236}">
              <a16:creationId xmlns:a16="http://schemas.microsoft.com/office/drawing/2014/main" id="{A717A251-ED11-4ACB-9D63-1F5B5540BFBE}"/>
            </a:ext>
          </a:extLst>
        </xdr:cNvPr>
        <xdr:cNvSpPr>
          <a:spLocks/>
        </xdr:cNvSpPr>
      </xdr:nvSpPr>
      <xdr:spPr bwMode="auto">
        <a:xfrm flipV="1">
          <a:off x="16619220" y="2310384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64</xdr:row>
      <xdr:rowOff>0</xdr:rowOff>
    </xdr:from>
    <xdr:to>
      <xdr:col>20</xdr:col>
      <xdr:colOff>0</xdr:colOff>
      <xdr:row>64</xdr:row>
      <xdr:rowOff>0</xdr:rowOff>
    </xdr:to>
    <xdr:sp macro="" textlink="">
      <xdr:nvSpPr>
        <xdr:cNvPr id="4" name="AutoShape 12">
          <a:extLst>
            <a:ext uri="{FF2B5EF4-FFF2-40B4-BE49-F238E27FC236}">
              <a16:creationId xmlns:a16="http://schemas.microsoft.com/office/drawing/2014/main" id="{DD29D92F-8F73-400C-9953-F5B8577EFBED}"/>
            </a:ext>
          </a:extLst>
        </xdr:cNvPr>
        <xdr:cNvSpPr>
          <a:spLocks/>
        </xdr:cNvSpPr>
      </xdr:nvSpPr>
      <xdr:spPr bwMode="auto">
        <a:xfrm flipV="1">
          <a:off x="16619220" y="2310384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64</xdr:row>
      <xdr:rowOff>0</xdr:rowOff>
    </xdr:from>
    <xdr:to>
      <xdr:col>20</xdr:col>
      <xdr:colOff>0</xdr:colOff>
      <xdr:row>64</xdr:row>
      <xdr:rowOff>0</xdr:rowOff>
    </xdr:to>
    <xdr:sp macro="" textlink="">
      <xdr:nvSpPr>
        <xdr:cNvPr id="5" name="AutoShape 24">
          <a:extLst>
            <a:ext uri="{FF2B5EF4-FFF2-40B4-BE49-F238E27FC236}">
              <a16:creationId xmlns:a16="http://schemas.microsoft.com/office/drawing/2014/main" id="{7C6B0F3E-AF2D-476A-B0A6-3FC68C9ECC2D}"/>
            </a:ext>
          </a:extLst>
        </xdr:cNvPr>
        <xdr:cNvSpPr>
          <a:spLocks/>
        </xdr:cNvSpPr>
      </xdr:nvSpPr>
      <xdr:spPr bwMode="auto">
        <a:xfrm flipV="1">
          <a:off x="16619220" y="2310384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523875</xdr:colOff>
      <xdr:row>19</xdr:row>
      <xdr:rowOff>100012</xdr:rowOff>
    </xdr:from>
    <xdr:ext cx="65" cy="172227"/>
    <xdr:sp macro="" textlink="">
      <xdr:nvSpPr>
        <xdr:cNvPr id="6" name="กล่องข้อความ 9">
          <a:extLst>
            <a:ext uri="{FF2B5EF4-FFF2-40B4-BE49-F238E27FC236}">
              <a16:creationId xmlns:a16="http://schemas.microsoft.com/office/drawing/2014/main" id="{9C22164A-80A2-4377-A33F-AB6578D50162}"/>
            </a:ext>
          </a:extLst>
        </xdr:cNvPr>
        <xdr:cNvSpPr txBox="1"/>
      </xdr:nvSpPr>
      <xdr:spPr>
        <a:xfrm>
          <a:off x="11161395" y="59674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28</xdr:col>
      <xdr:colOff>0</xdr:colOff>
      <xdr:row>23</xdr:row>
      <xdr:rowOff>0</xdr:rowOff>
    </xdr:from>
    <xdr:to>
      <xdr:col>28</xdr:col>
      <xdr:colOff>0</xdr:colOff>
      <xdr:row>23</xdr:row>
      <xdr:rowOff>0</xdr:rowOff>
    </xdr:to>
    <xdr:sp macro="" textlink="">
      <xdr:nvSpPr>
        <xdr:cNvPr id="7" name="AutoShape 12">
          <a:extLst>
            <a:ext uri="{FF2B5EF4-FFF2-40B4-BE49-F238E27FC236}">
              <a16:creationId xmlns:a16="http://schemas.microsoft.com/office/drawing/2014/main" id="{B4E2D96E-0FF4-4F80-B781-BF929D1BDFD8}"/>
            </a:ext>
          </a:extLst>
        </xdr:cNvPr>
        <xdr:cNvSpPr/>
      </xdr:nvSpPr>
      <xdr:spPr>
        <a:xfrm flipV="1">
          <a:off x="23492460" y="713994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0</xdr:colOff>
      <xdr:row>23</xdr:row>
      <xdr:rowOff>0</xdr:rowOff>
    </xdr:to>
    <xdr:sp macro="" textlink="">
      <xdr:nvSpPr>
        <xdr:cNvPr id="8" name="AutoShape 24">
          <a:extLst>
            <a:ext uri="{FF2B5EF4-FFF2-40B4-BE49-F238E27FC236}">
              <a16:creationId xmlns:a16="http://schemas.microsoft.com/office/drawing/2014/main" id="{BECDA2FE-4C42-431E-BC3B-A25464BB1C3D}"/>
            </a:ext>
          </a:extLst>
        </xdr:cNvPr>
        <xdr:cNvSpPr/>
      </xdr:nvSpPr>
      <xdr:spPr>
        <a:xfrm flipV="1">
          <a:off x="23492460" y="713994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&#3591;&#3634;&#3609;&#3611;&#3655;&#3629;&#3611;\&#3591;&#3634;&#3609;&#3611;&#3655;&#3629;&#3611;%20&#3626;&#3610;&#3609;\&#3626;&#3610;&#3609;\6.&#3619;&#3634;&#3618;&#3591;&#3634;&#3609;&#3627;&#3609;&#3637;&#3657;&#3626;&#3619;&#3640;&#3611;&#3611;&#3619;&#3632;&#3592;&#3635;&#3648;&#3604;&#3639;&#3629;&#3609;(&#3652;&#3605;&#3619;&#3617;&#3634;&#3626;&#3649;&#3621;&#3632;&#3619;&#3634;&#3618;&#3648;&#3604;&#3639;&#3629;&#3609;)\&#3648;&#3604;&#3639;&#3629;&#3609;%20&#3585;&#3588;.69\&#3627;&#3609;&#3637;&#3657;%20&#3585;.&#3588;.69.xlsx" TargetMode="External"/><Relationship Id="rId1" Type="http://schemas.openxmlformats.org/officeDocument/2006/relationships/externalLinkPath" Target="&#3591;&#3634;&#3609;&#3611;&#3655;&#3629;&#3611;/&#3591;&#3634;&#3609;&#3611;&#3655;&#3629;&#3611;%20&#3626;&#3610;&#3609;/&#3626;&#3610;&#3609;/6.&#3619;&#3634;&#3618;&#3591;&#3634;&#3609;&#3627;&#3609;&#3637;&#3657;&#3626;&#3619;&#3640;&#3611;&#3611;&#3619;&#3632;&#3592;&#3635;&#3648;&#3604;&#3639;&#3629;&#3609;(&#3652;&#3605;&#3619;&#3617;&#3634;&#3626;&#3649;&#3621;&#3632;&#3619;&#3634;&#3618;&#3648;&#3604;&#3639;&#3629;&#3609;)/&#3648;&#3604;&#3639;&#3629;&#3609;%20&#3585;&#3588;.69/&#3627;&#3609;&#3637;&#3657;%20&#3585;.&#3588;.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ยอดหนี้"/>
      <sheetName val="ยกมา 1 ตค.64"/>
      <sheetName val="ตารางสรุป"/>
      <sheetName val="เดือนก่อน"/>
      <sheetName val="Sheet6"/>
      <sheetName val="สบน.(ปัจจุบัน)"/>
      <sheetName val="สรุปรวมยอดหนี้ค้าง"/>
      <sheetName val="1.เปรียบเทียบสรุปอายุหนี้"/>
      <sheetName val="1.เปรียบเทียบสรุปอายุหนี้ (2)"/>
      <sheetName val="1.เปรียบเทียบสรุปอายุหนี้ (3)"/>
      <sheetName val="2.สรุปผลติดตามปี69"/>
      <sheetName val="3.หนี้อ่างศิลา"/>
      <sheetName val="1 เดือน"/>
      <sheetName val="2 เดือน"/>
      <sheetName val="3-6"/>
      <sheetName val="7-12"/>
      <sheetName val="เกิน 12"/>
      <sheetName val="หนี้บอกเลิกสัญญา"/>
      <sheetName val="ปรับโครงสร้างหนี้"/>
      <sheetName val="หนี้ดำเนินคดี"/>
      <sheetName val="อยู่ระหว่างดำเนินคดี"/>
      <sheetName val="Sheet2"/>
      <sheetName val="ดำเนิน"/>
      <sheetName val="เอกสารอนุหนี้ 2-66"/>
      <sheetName val="หนี้หมดอายปี 64-66"/>
      <sheetName val="เสนอบอกเลิกเกิน 1ปี่(มิย.65)"/>
      <sheetName val="หมดอายุ"/>
      <sheetName val="หนี้ค่าต่ออายุสัญญา"/>
      <sheetName val="Sheet1"/>
      <sheetName val="Sheet4"/>
    </sheetNames>
    <sheetDataSet>
      <sheetData sheetId="0"/>
      <sheetData sheetId="1"/>
      <sheetData sheetId="2"/>
      <sheetData sheetId="3">
        <row r="8">
          <cell r="D8">
            <v>0</v>
          </cell>
        </row>
        <row r="11">
          <cell r="N11">
            <v>0</v>
          </cell>
        </row>
        <row r="13">
          <cell r="F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8">
          <cell r="G18">
            <v>0</v>
          </cell>
          <cell r="H18">
            <v>0</v>
          </cell>
        </row>
        <row r="20">
          <cell r="I20">
            <v>0</v>
          </cell>
          <cell r="J20">
            <v>0</v>
          </cell>
        </row>
      </sheetData>
      <sheetData sheetId="4"/>
      <sheetData sheetId="5"/>
      <sheetData sheetId="6">
        <row r="2">
          <cell r="A2" t="str">
            <v xml:space="preserve">                                                           </v>
          </cell>
        </row>
        <row r="8">
          <cell r="D8">
            <v>0</v>
          </cell>
        </row>
        <row r="11">
          <cell r="N11">
            <v>0</v>
          </cell>
        </row>
        <row r="13">
          <cell r="F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J15">
            <v>0</v>
          </cell>
        </row>
        <row r="18">
          <cell r="G18">
            <v>0</v>
          </cell>
          <cell r="H18">
            <v>0</v>
          </cell>
        </row>
        <row r="20">
          <cell r="I20">
            <v>0</v>
          </cell>
          <cell r="J20">
            <v>0</v>
          </cell>
        </row>
      </sheetData>
      <sheetData sheetId="7"/>
      <sheetData sheetId="8"/>
      <sheetData sheetId="9"/>
      <sheetData sheetId="10"/>
      <sheetData sheetId="11"/>
      <sheetData sheetId="12">
        <row r="56">
          <cell r="F56">
            <v>153092.65699999998</v>
          </cell>
        </row>
        <row r="86">
          <cell r="A86">
            <v>28</v>
          </cell>
          <cell r="F86">
            <v>72296.34</v>
          </cell>
        </row>
        <row r="92">
          <cell r="A92">
            <v>1</v>
          </cell>
          <cell r="F92">
            <v>3327.7</v>
          </cell>
        </row>
        <row r="100">
          <cell r="A100">
            <v>6</v>
          </cell>
          <cell r="F100">
            <v>23367.260000000002</v>
          </cell>
        </row>
        <row r="163">
          <cell r="A163">
            <v>61</v>
          </cell>
          <cell r="F163">
            <v>97061.801999999981</v>
          </cell>
        </row>
        <row r="166">
          <cell r="A166">
            <v>0</v>
          </cell>
          <cell r="F166">
            <v>0</v>
          </cell>
        </row>
        <row r="174">
          <cell r="F174">
            <v>0</v>
          </cell>
        </row>
        <row r="177">
          <cell r="A177">
            <v>0</v>
          </cell>
          <cell r="F177">
            <v>0</v>
          </cell>
        </row>
        <row r="351">
          <cell r="A351">
            <v>172</v>
          </cell>
          <cell r="F351">
            <v>197067.17</v>
          </cell>
        </row>
        <row r="365">
          <cell r="A365">
            <v>12</v>
          </cell>
          <cell r="F365">
            <v>27551.422710280371</v>
          </cell>
        </row>
        <row r="430">
          <cell r="A430">
            <v>63</v>
          </cell>
          <cell r="F430">
            <v>139609.18000000002</v>
          </cell>
        </row>
        <row r="435">
          <cell r="A435">
            <v>0</v>
          </cell>
          <cell r="F435">
            <v>0</v>
          </cell>
        </row>
        <row r="470">
          <cell r="A470">
            <v>33</v>
          </cell>
          <cell r="F470">
            <v>191268.32760000002</v>
          </cell>
        </row>
        <row r="475">
          <cell r="A475">
            <v>0</v>
          </cell>
          <cell r="F475">
            <v>0</v>
          </cell>
        </row>
      </sheetData>
      <sheetData sheetId="13">
        <row r="26">
          <cell r="A26">
            <v>20</v>
          </cell>
          <cell r="F26">
            <v>296027.28000000003</v>
          </cell>
        </row>
        <row r="30">
          <cell r="A30">
            <v>0</v>
          </cell>
          <cell r="F30">
            <v>0</v>
          </cell>
        </row>
        <row r="43">
          <cell r="A43">
            <v>7</v>
          </cell>
          <cell r="F43">
            <v>48300</v>
          </cell>
        </row>
        <row r="47">
          <cell r="A47">
            <v>0</v>
          </cell>
        </row>
        <row r="54">
          <cell r="A54">
            <v>0</v>
          </cell>
          <cell r="F54">
            <v>0</v>
          </cell>
        </row>
        <row r="60">
          <cell r="A60">
            <v>0</v>
          </cell>
          <cell r="F60">
            <v>0</v>
          </cell>
        </row>
        <row r="66">
          <cell r="A66">
            <v>0</v>
          </cell>
          <cell r="F66">
            <v>0</v>
          </cell>
        </row>
        <row r="69">
          <cell r="A69">
            <v>1</v>
          </cell>
          <cell r="F69">
            <v>96.300000000000026</v>
          </cell>
        </row>
        <row r="94">
          <cell r="A94">
            <v>23</v>
          </cell>
          <cell r="F94">
            <v>25895</v>
          </cell>
        </row>
        <row r="103">
          <cell r="A103">
            <v>3</v>
          </cell>
          <cell r="F103">
            <v>45030.9</v>
          </cell>
        </row>
        <row r="107">
          <cell r="A107">
            <v>2</v>
          </cell>
          <cell r="F107">
            <v>19300</v>
          </cell>
        </row>
        <row r="111">
          <cell r="A111">
            <v>0</v>
          </cell>
          <cell r="F111">
            <v>0</v>
          </cell>
        </row>
        <row r="114">
          <cell r="A114">
            <v>0</v>
          </cell>
          <cell r="F114">
            <v>0</v>
          </cell>
        </row>
      </sheetData>
      <sheetData sheetId="14">
        <row r="22">
          <cell r="A22">
            <v>16</v>
          </cell>
          <cell r="F22">
            <v>371555.93000000005</v>
          </cell>
        </row>
        <row r="25">
          <cell r="A25">
            <v>0</v>
          </cell>
          <cell r="F25">
            <v>0</v>
          </cell>
        </row>
        <row r="32">
          <cell r="A32">
            <v>0</v>
          </cell>
          <cell r="F32">
            <v>0</v>
          </cell>
        </row>
        <row r="38">
          <cell r="A38">
            <v>4</v>
          </cell>
          <cell r="F38">
            <v>21085.199999999997</v>
          </cell>
        </row>
        <row r="42">
          <cell r="F42">
            <v>0</v>
          </cell>
        </row>
        <row r="52">
          <cell r="A52">
            <v>4</v>
          </cell>
          <cell r="F52">
            <v>3487.02</v>
          </cell>
        </row>
        <row r="57">
          <cell r="A57">
            <v>0</v>
          </cell>
          <cell r="F57">
            <v>0</v>
          </cell>
        </row>
        <row r="92">
          <cell r="A92">
            <v>30</v>
          </cell>
          <cell r="F92">
            <v>125063.5</v>
          </cell>
        </row>
        <row r="99">
          <cell r="A99">
            <v>0</v>
          </cell>
          <cell r="F99">
            <v>0</v>
          </cell>
        </row>
        <row r="102">
          <cell r="A102">
            <v>0</v>
          </cell>
          <cell r="F102">
            <v>0</v>
          </cell>
        </row>
        <row r="105">
          <cell r="A105">
            <v>1</v>
          </cell>
          <cell r="F105">
            <v>9720</v>
          </cell>
        </row>
      </sheetData>
      <sheetData sheetId="15">
        <row r="9">
          <cell r="A9">
            <v>0</v>
          </cell>
          <cell r="F9">
            <v>0</v>
          </cell>
        </row>
        <row r="15">
          <cell r="A15">
            <v>4</v>
          </cell>
          <cell r="F15">
            <v>26201.52</v>
          </cell>
        </row>
        <row r="27">
          <cell r="A27">
            <v>0</v>
          </cell>
          <cell r="F27">
            <v>0</v>
          </cell>
        </row>
        <row r="33">
          <cell r="A33">
            <v>0</v>
          </cell>
          <cell r="F33">
            <v>0</v>
          </cell>
        </row>
        <row r="39">
          <cell r="A39">
            <v>0</v>
          </cell>
          <cell r="F39">
            <v>0</v>
          </cell>
        </row>
        <row r="46">
          <cell r="A46">
            <v>0</v>
          </cell>
        </row>
        <row r="65">
          <cell r="A65">
            <v>9</v>
          </cell>
          <cell r="F65">
            <v>37021</v>
          </cell>
        </row>
        <row r="88">
          <cell r="A88">
            <v>16</v>
          </cell>
          <cell r="F88">
            <v>103697.45000000003</v>
          </cell>
        </row>
        <row r="93">
          <cell r="A93">
            <v>0</v>
          </cell>
          <cell r="F93">
            <v>0</v>
          </cell>
        </row>
        <row r="96">
          <cell r="A96">
            <v>0</v>
          </cell>
          <cell r="F96">
            <v>0</v>
          </cell>
        </row>
      </sheetData>
      <sheetData sheetId="16">
        <row r="8">
          <cell r="A8">
            <v>2</v>
          </cell>
          <cell r="F8">
            <v>321800</v>
          </cell>
        </row>
        <row r="11">
          <cell r="A11">
            <v>0</v>
          </cell>
          <cell r="F11">
            <v>0</v>
          </cell>
        </row>
        <row r="23">
          <cell r="A23">
            <v>0</v>
          </cell>
          <cell r="F23">
            <v>0</v>
          </cell>
        </row>
        <row r="32">
          <cell r="A32">
            <v>0</v>
          </cell>
          <cell r="F32">
            <v>0</v>
          </cell>
        </row>
        <row r="40">
          <cell r="A40">
            <v>0</v>
          </cell>
          <cell r="F40">
            <v>0</v>
          </cell>
        </row>
        <row r="43">
          <cell r="A43">
            <v>0</v>
          </cell>
          <cell r="F43">
            <v>0</v>
          </cell>
        </row>
        <row r="46">
          <cell r="A46">
            <v>0</v>
          </cell>
          <cell r="F46">
            <v>0</v>
          </cell>
        </row>
        <row r="133">
          <cell r="A133">
            <v>85</v>
          </cell>
          <cell r="F133">
            <v>1155065.5586999999</v>
          </cell>
        </row>
        <row r="141">
          <cell r="A141">
            <v>6</v>
          </cell>
          <cell r="F141">
            <v>195600</v>
          </cell>
        </row>
        <row r="145">
          <cell r="A145">
            <v>2</v>
          </cell>
          <cell r="F145">
            <v>31095.895600000003</v>
          </cell>
        </row>
        <row r="148">
          <cell r="A148">
            <v>0</v>
          </cell>
          <cell r="F148">
            <v>0</v>
          </cell>
        </row>
        <row r="153">
          <cell r="A153">
            <v>0</v>
          </cell>
          <cell r="F153">
            <v>0</v>
          </cell>
        </row>
      </sheetData>
      <sheetData sheetId="17">
        <row r="10">
          <cell r="A10">
            <v>0</v>
          </cell>
          <cell r="F10">
            <v>0</v>
          </cell>
        </row>
        <row r="875">
          <cell r="A875">
            <v>575</v>
          </cell>
          <cell r="F875">
            <v>11359169.609999999</v>
          </cell>
        </row>
        <row r="878">
          <cell r="A878">
            <v>0</v>
          </cell>
          <cell r="F878">
            <v>0</v>
          </cell>
        </row>
        <row r="881">
          <cell r="A881">
            <v>1</v>
          </cell>
          <cell r="F881">
            <v>10408.5</v>
          </cell>
        </row>
        <row r="937">
          <cell r="A937">
            <v>19</v>
          </cell>
          <cell r="F937">
            <v>513079.00999999972</v>
          </cell>
        </row>
        <row r="941">
          <cell r="A941">
            <v>0</v>
          </cell>
          <cell r="F941">
            <v>0</v>
          </cell>
        </row>
        <row r="952">
          <cell r="A952">
            <v>0</v>
          </cell>
          <cell r="F952">
            <v>0</v>
          </cell>
        </row>
        <row r="963">
          <cell r="A963">
            <v>9</v>
          </cell>
          <cell r="F963">
            <v>347800</v>
          </cell>
        </row>
      </sheetData>
      <sheetData sheetId="18">
        <row r="9">
          <cell r="A9">
            <v>3</v>
          </cell>
          <cell r="F9">
            <v>2837069.44</v>
          </cell>
        </row>
        <row r="12">
          <cell r="A12">
            <v>0</v>
          </cell>
          <cell r="F12">
            <v>0</v>
          </cell>
        </row>
        <row r="16">
          <cell r="F16">
            <v>0</v>
          </cell>
        </row>
        <row r="25">
          <cell r="A25">
            <v>0</v>
          </cell>
          <cell r="F25">
            <v>0</v>
          </cell>
        </row>
        <row r="32">
          <cell r="A32">
            <v>0</v>
          </cell>
          <cell r="F32">
            <v>0</v>
          </cell>
        </row>
        <row r="37">
          <cell r="A37">
            <v>0</v>
          </cell>
          <cell r="F37">
            <v>0</v>
          </cell>
        </row>
        <row r="40">
          <cell r="A40">
            <v>1</v>
          </cell>
          <cell r="F40">
            <v>14471.5</v>
          </cell>
        </row>
        <row r="43">
          <cell r="A43">
            <v>0</v>
          </cell>
          <cell r="F43">
            <v>0</v>
          </cell>
        </row>
        <row r="47">
          <cell r="A47">
            <v>1</v>
          </cell>
          <cell r="F47">
            <v>10977</v>
          </cell>
        </row>
        <row r="55">
          <cell r="A55">
            <v>6</v>
          </cell>
          <cell r="F55">
            <v>488577</v>
          </cell>
        </row>
        <row r="60">
          <cell r="A60">
            <v>3</v>
          </cell>
          <cell r="F60">
            <v>100800</v>
          </cell>
        </row>
        <row r="66">
          <cell r="A66">
            <v>0</v>
          </cell>
          <cell r="F66">
            <v>0</v>
          </cell>
        </row>
      </sheetData>
      <sheetData sheetId="19">
        <row r="109">
          <cell r="A109">
            <v>38</v>
          </cell>
          <cell r="F109">
            <v>22923161.989999995</v>
          </cell>
        </row>
        <row r="114">
          <cell r="A114">
            <v>3</v>
          </cell>
          <cell r="F114">
            <v>999772.59000000008</v>
          </cell>
        </row>
        <row r="117">
          <cell r="A117">
            <v>1</v>
          </cell>
          <cell r="F117">
            <v>39933.51</v>
          </cell>
        </row>
        <row r="120">
          <cell r="A120">
            <v>0</v>
          </cell>
          <cell r="F120">
            <v>0</v>
          </cell>
        </row>
        <row r="123">
          <cell r="A123">
            <v>1</v>
          </cell>
          <cell r="F123">
            <v>5530855.9100000001</v>
          </cell>
        </row>
        <row r="134">
          <cell r="A134">
            <v>2</v>
          </cell>
          <cell r="F134">
            <v>421250.36</v>
          </cell>
        </row>
        <row r="146">
          <cell r="A146">
            <v>2</v>
          </cell>
          <cell r="F146">
            <v>9044330.9700000007</v>
          </cell>
        </row>
        <row r="154">
          <cell r="A154">
            <v>4</v>
          </cell>
          <cell r="F154">
            <v>1363508.3699999999</v>
          </cell>
        </row>
        <row r="165">
          <cell r="A165">
            <v>3</v>
          </cell>
          <cell r="F165">
            <v>712893.26</v>
          </cell>
        </row>
        <row r="168">
          <cell r="A168">
            <v>0</v>
          </cell>
          <cell r="F168">
            <v>0</v>
          </cell>
        </row>
      </sheetData>
      <sheetData sheetId="20">
        <row r="26">
          <cell r="A26">
            <v>9</v>
          </cell>
          <cell r="F26">
            <v>2094333.8599999999</v>
          </cell>
        </row>
        <row r="202">
          <cell r="A202">
            <v>107</v>
          </cell>
          <cell r="F202">
            <v>3347368.1300000004</v>
          </cell>
        </row>
        <row r="207">
          <cell r="A207">
            <v>3</v>
          </cell>
          <cell r="F207">
            <v>518359.52</v>
          </cell>
        </row>
        <row r="212">
          <cell r="A212">
            <v>0</v>
          </cell>
          <cell r="F212">
            <v>0</v>
          </cell>
        </row>
        <row r="217">
          <cell r="A217">
            <v>2</v>
          </cell>
          <cell r="F217">
            <v>91700</v>
          </cell>
        </row>
        <row r="224">
          <cell r="A224">
            <v>5</v>
          </cell>
          <cell r="F224">
            <v>83772.299999999988</v>
          </cell>
        </row>
        <row r="228">
          <cell r="A228">
            <v>0</v>
          </cell>
          <cell r="F228">
            <v>0</v>
          </cell>
        </row>
        <row r="234">
          <cell r="A234">
            <v>3</v>
          </cell>
          <cell r="F234">
            <v>136800</v>
          </cell>
        </row>
        <row r="237">
          <cell r="A237">
            <v>1</v>
          </cell>
          <cell r="F237">
            <v>39100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6DAF-C736-4B32-B27B-B217DE2710CC}">
  <sheetPr>
    <tabColor rgb="FFFFC000"/>
  </sheetPr>
  <dimension ref="A1:AS89"/>
  <sheetViews>
    <sheetView tabSelected="1" zoomScale="70" zoomScaleNormal="70" workbookViewId="0">
      <pane xSplit="2" ySplit="2" topLeftCell="I7" activePane="bottomRight" state="frozen"/>
      <selection pane="topRight" activeCell="C1" sqref="C1"/>
      <selection pane="bottomLeft" activeCell="A3" sqref="A3"/>
      <selection pane="bottomRight" activeCell="J25" sqref="J25"/>
    </sheetView>
  </sheetViews>
  <sheetFormatPr defaultColWidth="17" defaultRowHeight="23.4"/>
  <cols>
    <col min="1" max="1" width="5.88671875" style="71" customWidth="1"/>
    <col min="2" max="2" width="27.44140625" style="71" customWidth="1"/>
    <col min="3" max="3" width="7.6640625" style="191" customWidth="1"/>
    <col min="4" max="4" width="14.88671875" style="192" customWidth="1"/>
    <col min="5" max="5" width="8.33203125" style="193" customWidth="1"/>
    <col min="6" max="6" width="14.33203125" style="194" customWidth="1"/>
    <col min="7" max="7" width="8.33203125" style="195" customWidth="1"/>
    <col min="8" max="8" width="14" style="194" customWidth="1"/>
    <col min="9" max="9" width="8.109375" style="195" customWidth="1"/>
    <col min="10" max="10" width="14" style="194" customWidth="1"/>
    <col min="11" max="11" width="9.109375" style="194" customWidth="1"/>
    <col min="12" max="12" width="14.6640625" style="194" customWidth="1"/>
    <col min="13" max="13" width="8.33203125" style="71" customWidth="1"/>
    <col min="14" max="14" width="14.109375" style="194" customWidth="1"/>
    <col min="15" max="15" width="9.109375" style="196" customWidth="1"/>
    <col min="16" max="16" width="16.6640625" style="184" customWidth="1"/>
    <col min="17" max="17" width="7.88671875" style="197" customWidth="1"/>
    <col min="18" max="18" width="15" style="4" customWidth="1"/>
    <col min="19" max="19" width="8.109375" style="198" customWidth="1"/>
    <col min="20" max="20" width="16.33203125" style="4" customWidth="1"/>
    <col min="21" max="21" width="9" style="71" customWidth="1"/>
    <col min="22" max="22" width="16.6640625" style="71" customWidth="1"/>
    <col min="23" max="23" width="8.109375" style="71" customWidth="1"/>
    <col min="24" max="24" width="14.88671875" style="71" customWidth="1"/>
    <col min="25" max="25" width="8.33203125" style="167" customWidth="1"/>
    <col min="26" max="26" width="17" style="4" customWidth="1"/>
    <col min="27" max="27" width="7.21875" style="196" customWidth="1"/>
    <col min="28" max="28" width="19" style="6" customWidth="1"/>
    <col min="29" max="29" width="17" style="71"/>
    <col min="30" max="30" width="23.5546875" style="71" customWidth="1"/>
    <col min="31" max="31" width="17" style="71"/>
    <col min="32" max="33" width="17" style="68"/>
    <col min="34" max="35" width="17" style="71"/>
    <col min="36" max="37" width="17" style="68"/>
    <col min="38" max="39" width="17" style="71"/>
    <col min="40" max="40" width="17" style="75"/>
    <col min="41" max="41" width="17" style="71"/>
    <col min="42" max="43" width="17" style="75"/>
    <col min="44" max="44" width="17" style="71"/>
    <col min="45" max="45" width="17" style="75"/>
    <col min="46" max="16384" width="17" style="71"/>
  </cols>
  <sheetData>
    <row r="1" spans="1:45" s="4" customForma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  <c r="R1" s="3" t="str">
        <f>+A1</f>
        <v xml:space="preserve">                                         สรุปอายุลูกหนี้และยอดหนี้ค้างรับของสะพานปลาและท่าเทียบเรือประมง ณ วันที่ 31 กรกฎาคม 2569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J1" s="5"/>
      <c r="AK1" s="5"/>
      <c r="AN1" s="6"/>
      <c r="AP1" s="6"/>
      <c r="AQ1" s="6"/>
      <c r="AS1" s="6"/>
    </row>
    <row r="2" spans="1:45" s="4" customFormat="1">
      <c r="A2" s="7" t="str">
        <f>+[1]สรุปรวมยอดหนี้ค้าง!A2</f>
        <v xml:space="preserve">                                                           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 t="s">
        <v>2</v>
      </c>
      <c r="Q2" s="7" t="str">
        <f>+A2</f>
        <v xml:space="preserve">                                                           </v>
      </c>
      <c r="R2" s="7"/>
      <c r="S2" s="7"/>
      <c r="T2" s="7"/>
      <c r="U2" s="7"/>
      <c r="V2" s="7"/>
      <c r="W2" s="7"/>
      <c r="X2" s="7"/>
      <c r="Y2" s="7"/>
      <c r="Z2" s="7"/>
      <c r="AA2" s="7"/>
      <c r="AB2" s="9" t="s">
        <v>2</v>
      </c>
      <c r="AC2" s="10"/>
      <c r="AD2" s="10"/>
      <c r="AE2" s="10"/>
      <c r="AF2" s="10"/>
      <c r="AG2" s="10"/>
      <c r="AJ2" s="5"/>
      <c r="AK2" s="5"/>
      <c r="AN2" s="6"/>
      <c r="AP2" s="6"/>
      <c r="AQ2" s="6"/>
      <c r="AS2" s="6"/>
    </row>
    <row r="3" spans="1:45" s="4" customFormat="1" ht="49.5" customHeight="1">
      <c r="A3" s="11" t="s">
        <v>3</v>
      </c>
      <c r="B3" s="11" t="s">
        <v>4</v>
      </c>
      <c r="C3" s="12" t="s">
        <v>5</v>
      </c>
      <c r="D3" s="13"/>
      <c r="E3" s="14" t="s">
        <v>6</v>
      </c>
      <c r="F3" s="15"/>
      <c r="G3" s="14" t="s">
        <v>7</v>
      </c>
      <c r="H3" s="15"/>
      <c r="I3" s="14" t="s">
        <v>8</v>
      </c>
      <c r="J3" s="15"/>
      <c r="K3" s="14" t="s">
        <v>9</v>
      </c>
      <c r="L3" s="15"/>
      <c r="M3" s="16" t="s">
        <v>10</v>
      </c>
      <c r="N3" s="17"/>
      <c r="O3" s="16" t="s">
        <v>11</v>
      </c>
      <c r="P3" s="17"/>
      <c r="Q3" s="18" t="s">
        <v>12</v>
      </c>
      <c r="R3" s="19"/>
      <c r="S3" s="18" t="s">
        <v>13</v>
      </c>
      <c r="T3" s="19"/>
      <c r="U3" s="20" t="s">
        <v>14</v>
      </c>
      <c r="V3" s="21"/>
      <c r="W3" s="20" t="s">
        <v>15</v>
      </c>
      <c r="X3" s="21"/>
      <c r="Y3" s="22" t="s">
        <v>16</v>
      </c>
      <c r="Z3" s="23"/>
      <c r="AA3" s="24" t="s">
        <v>17</v>
      </c>
      <c r="AB3" s="25"/>
      <c r="AC3" s="26"/>
      <c r="AD3" s="2"/>
      <c r="AE3" s="2"/>
      <c r="AF3" s="5"/>
      <c r="AG3" s="5"/>
      <c r="AJ3" s="5"/>
      <c r="AK3" s="5"/>
      <c r="AN3" s="6"/>
      <c r="AP3" s="6"/>
      <c r="AQ3" s="6"/>
      <c r="AS3" s="6"/>
    </row>
    <row r="4" spans="1:45" s="4" customFormat="1" ht="24.75" customHeight="1">
      <c r="A4" s="27"/>
      <c r="B4" s="27"/>
      <c r="C4" s="28" t="s">
        <v>18</v>
      </c>
      <c r="D4" s="29" t="s">
        <v>19</v>
      </c>
      <c r="E4" s="28" t="s">
        <v>20</v>
      </c>
      <c r="F4" s="30" t="s">
        <v>19</v>
      </c>
      <c r="G4" s="31" t="s">
        <v>20</v>
      </c>
      <c r="H4" s="30" t="s">
        <v>19</v>
      </c>
      <c r="I4" s="31" t="s">
        <v>20</v>
      </c>
      <c r="J4" s="30" t="s">
        <v>19</v>
      </c>
      <c r="K4" s="31" t="s">
        <v>20</v>
      </c>
      <c r="L4" s="30" t="s">
        <v>19</v>
      </c>
      <c r="M4" s="31" t="s">
        <v>20</v>
      </c>
      <c r="N4" s="30" t="s">
        <v>19</v>
      </c>
      <c r="O4" s="32" t="s">
        <v>20</v>
      </c>
      <c r="P4" s="30" t="s">
        <v>19</v>
      </c>
      <c r="Q4" s="33" t="s">
        <v>20</v>
      </c>
      <c r="R4" s="31" t="s">
        <v>19</v>
      </c>
      <c r="S4" s="34" t="s">
        <v>20</v>
      </c>
      <c r="T4" s="34" t="s">
        <v>19</v>
      </c>
      <c r="U4" s="35" t="s">
        <v>20</v>
      </c>
      <c r="V4" s="36" t="s">
        <v>19</v>
      </c>
      <c r="W4" s="35" t="s">
        <v>20</v>
      </c>
      <c r="X4" s="36" t="s">
        <v>19</v>
      </c>
      <c r="Y4" s="37" t="s">
        <v>20</v>
      </c>
      <c r="Z4" s="38" t="s">
        <v>19</v>
      </c>
      <c r="AA4" s="32" t="s">
        <v>20</v>
      </c>
      <c r="AB4" s="39" t="s">
        <v>19</v>
      </c>
      <c r="AC4" s="34" t="s">
        <v>21</v>
      </c>
      <c r="AD4" s="40"/>
      <c r="AE4" s="2"/>
      <c r="AF4" s="5"/>
      <c r="AG4" s="5"/>
      <c r="AJ4" s="5"/>
      <c r="AK4" s="5"/>
      <c r="AN4" s="6"/>
      <c r="AP4" s="6"/>
      <c r="AQ4" s="6"/>
      <c r="AS4" s="6"/>
    </row>
    <row r="5" spans="1:45" s="4" customFormat="1">
      <c r="A5" s="41"/>
      <c r="B5" s="41"/>
      <c r="C5" s="42" t="s">
        <v>22</v>
      </c>
      <c r="D5" s="43"/>
      <c r="E5" s="42" t="s">
        <v>22</v>
      </c>
      <c r="F5" s="44"/>
      <c r="G5" s="45" t="s">
        <v>22</v>
      </c>
      <c r="H5" s="44"/>
      <c r="I5" s="45" t="s">
        <v>22</v>
      </c>
      <c r="J5" s="44"/>
      <c r="K5" s="45" t="s">
        <v>22</v>
      </c>
      <c r="L5" s="44"/>
      <c r="M5" s="45" t="s">
        <v>22</v>
      </c>
      <c r="N5" s="44"/>
      <c r="O5" s="46" t="s">
        <v>22</v>
      </c>
      <c r="P5" s="44"/>
      <c r="Q5" s="47" t="s">
        <v>22</v>
      </c>
      <c r="R5" s="45"/>
      <c r="S5" s="45" t="s">
        <v>22</v>
      </c>
      <c r="T5" s="45"/>
      <c r="U5" s="48" t="s">
        <v>22</v>
      </c>
      <c r="V5" s="49"/>
      <c r="W5" s="48" t="s">
        <v>22</v>
      </c>
      <c r="X5" s="49"/>
      <c r="Y5" s="48" t="s">
        <v>22</v>
      </c>
      <c r="Z5" s="50"/>
      <c r="AA5" s="46" t="s">
        <v>22</v>
      </c>
      <c r="AB5" s="51"/>
      <c r="AC5" s="45"/>
      <c r="AD5" s="40"/>
      <c r="AE5" s="2"/>
      <c r="AF5" s="5"/>
      <c r="AG5" s="5"/>
      <c r="AJ5" s="5"/>
      <c r="AK5" s="5"/>
      <c r="AN5" s="6"/>
      <c r="AP5" s="6"/>
      <c r="AQ5" s="6"/>
      <c r="AS5" s="6"/>
    </row>
    <row r="6" spans="1:45" ht="22.65" customHeight="1">
      <c r="A6" s="52">
        <v>1</v>
      </c>
      <c r="B6" s="53" t="s">
        <v>23</v>
      </c>
      <c r="C6" s="54">
        <v>43</v>
      </c>
      <c r="D6" s="55">
        <f>+'[1]1 เดือน'!F56</f>
        <v>153092.65699999998</v>
      </c>
      <c r="E6" s="54">
        <f>+'[1]2 เดือน'!A26</f>
        <v>20</v>
      </c>
      <c r="F6" s="56">
        <f>+'[1]2 เดือน'!F26</f>
        <v>296027.28000000003</v>
      </c>
      <c r="G6" s="57">
        <f>+'[1]3-6'!A22</f>
        <v>16</v>
      </c>
      <c r="H6" s="56">
        <f>+'[1]3-6'!F22</f>
        <v>371555.93000000005</v>
      </c>
      <c r="I6" s="57">
        <f>+'[1]7-12'!A9</f>
        <v>0</v>
      </c>
      <c r="J6" s="56">
        <f>+'[1]7-12'!F9</f>
        <v>0</v>
      </c>
      <c r="K6" s="58">
        <f>+C6+E6+G6+I6</f>
        <v>79</v>
      </c>
      <c r="L6" s="56">
        <f>+D6+F6+H6+J6</f>
        <v>820675.86700000009</v>
      </c>
      <c r="M6" s="57">
        <f>+'[1]เกิน 12'!A8</f>
        <v>2</v>
      </c>
      <c r="N6" s="56">
        <f>+'[1]เกิน 12'!F8</f>
        <v>321800</v>
      </c>
      <c r="O6" s="57">
        <f>+K6+M6</f>
        <v>81</v>
      </c>
      <c r="P6" s="56">
        <f>+L6+N6</f>
        <v>1142475.8670000001</v>
      </c>
      <c r="Q6" s="57">
        <f>+[1]ปรับโครงสร้างหนี้!A9</f>
        <v>3</v>
      </c>
      <c r="R6" s="59">
        <f>+[1]ปรับโครงสร้างหนี้!F9</f>
        <v>2837069.44</v>
      </c>
      <c r="S6" s="57">
        <f>+[1]หนี้บอกเลิกสัญญา!A10</f>
        <v>0</v>
      </c>
      <c r="T6" s="59">
        <f>+[1]หนี้บอกเลิกสัญญา!F10</f>
        <v>0</v>
      </c>
      <c r="U6" s="52">
        <f>+[1]หนี้ดำเนินคดี!A109</f>
        <v>38</v>
      </c>
      <c r="V6" s="60">
        <f>+[1]หนี้ดำเนินคดี!F109</f>
        <v>22923161.989999995</v>
      </c>
      <c r="W6" s="61">
        <f>+[1]อยู่ระหว่างดำเนินคดี!A26</f>
        <v>9</v>
      </c>
      <c r="X6" s="62">
        <f>+[1]อยู่ระหว่างดำเนินคดี!F26</f>
        <v>2094333.8599999999</v>
      </c>
      <c r="Y6" s="63">
        <f>+U6+W6</f>
        <v>47</v>
      </c>
      <c r="Z6" s="64">
        <f>+V6+X6</f>
        <v>25017495.849999994</v>
      </c>
      <c r="AA6" s="57">
        <f>+K6+M6+Q6+S6+U6+W6</f>
        <v>131</v>
      </c>
      <c r="AB6" s="65">
        <f>+L6+N6+R6+T6+V6+X6</f>
        <v>28997041.156999994</v>
      </c>
      <c r="AC6" s="52"/>
      <c r="AD6" s="66">
        <v>321800</v>
      </c>
      <c r="AE6" s="67">
        <f>+N6-AD6</f>
        <v>0</v>
      </c>
      <c r="AH6" s="69"/>
      <c r="AI6" s="70">
        <f>+AH6-AB6</f>
        <v>-28997041.156999994</v>
      </c>
      <c r="AJ6" s="68">
        <v>26913674.269999996</v>
      </c>
      <c r="AK6" s="68">
        <f t="shared" ref="AK6:AK22" si="0">+AJ6-AB6</f>
        <v>-2083366.8869999982</v>
      </c>
      <c r="AN6" s="68"/>
      <c r="AO6" s="69"/>
      <c r="AP6" s="68"/>
      <c r="AQ6" s="68">
        <v>27324688.07</v>
      </c>
      <c r="AR6" s="69">
        <f t="shared" ref="AR6:AR22" si="1">+AF6-AQ6</f>
        <v>-27324688.07</v>
      </c>
      <c r="AS6" s="68">
        <v>291844.12</v>
      </c>
    </row>
    <row r="7" spans="1:45" ht="22.65" customHeight="1">
      <c r="A7" s="52">
        <f t="shared" ref="A7:A22" si="2">+A6+1</f>
        <v>2</v>
      </c>
      <c r="B7" s="72" t="s">
        <v>24</v>
      </c>
      <c r="C7" s="54">
        <f>+'[1]1 เดือน'!A86</f>
        <v>28</v>
      </c>
      <c r="D7" s="55">
        <f>+'[1]1 เดือน'!F86</f>
        <v>72296.34</v>
      </c>
      <c r="E7" s="54">
        <f>+'[1]2 เดือน'!A30</f>
        <v>0</v>
      </c>
      <c r="F7" s="56">
        <f>+'[1]2 เดือน'!F30</f>
        <v>0</v>
      </c>
      <c r="G7" s="57">
        <f>+'[1]3-6'!A25</f>
        <v>0</v>
      </c>
      <c r="H7" s="56">
        <f>+'[1]3-6'!F25</f>
        <v>0</v>
      </c>
      <c r="I7" s="57">
        <f>+'[1]7-12'!A15</f>
        <v>4</v>
      </c>
      <c r="J7" s="56">
        <f>+'[1]7-12'!F15</f>
        <v>26201.52</v>
      </c>
      <c r="K7" s="58">
        <f t="shared" ref="K7:L22" si="3">+C7+E7+G7+I7</f>
        <v>32</v>
      </c>
      <c r="L7" s="56">
        <f t="shared" si="3"/>
        <v>98497.86</v>
      </c>
      <c r="M7" s="57">
        <f>+'[1]เกิน 12'!A11</f>
        <v>0</v>
      </c>
      <c r="N7" s="56">
        <f>+'[1]เกิน 12'!F11</f>
        <v>0</v>
      </c>
      <c r="O7" s="57">
        <f t="shared" ref="O7:P22" si="4">+K7+M7</f>
        <v>32</v>
      </c>
      <c r="P7" s="56">
        <f t="shared" si="4"/>
        <v>98497.86</v>
      </c>
      <c r="Q7" s="57">
        <f>+[1]ปรับโครงสร้างหนี้!A12</f>
        <v>0</v>
      </c>
      <c r="R7" s="59">
        <f>+[1]ปรับโครงสร้างหนี้!F12</f>
        <v>0</v>
      </c>
      <c r="S7" s="57">
        <v>0</v>
      </c>
      <c r="T7" s="59">
        <v>0</v>
      </c>
      <c r="U7" s="52">
        <f>+[1]หนี้ดำเนินคดี!A114</f>
        <v>3</v>
      </c>
      <c r="V7" s="73">
        <f>+[1]หนี้ดำเนินคดี!F114</f>
        <v>999772.59000000008</v>
      </c>
      <c r="W7" s="52">
        <v>0</v>
      </c>
      <c r="X7" s="73">
        <v>0</v>
      </c>
      <c r="Y7" s="74">
        <f t="shared" ref="Y7:Z22" si="5">+U7+W7</f>
        <v>3</v>
      </c>
      <c r="Z7" s="73">
        <f t="shared" si="5"/>
        <v>999772.59000000008</v>
      </c>
      <c r="AA7" s="57">
        <f t="shared" ref="AA7:AB22" si="6">+K7+M7+Q7+S7+U7+W7</f>
        <v>35</v>
      </c>
      <c r="AB7" s="65">
        <f t="shared" si="6"/>
        <v>1098270.4500000002</v>
      </c>
      <c r="AC7" s="52"/>
      <c r="AD7" s="66">
        <v>0</v>
      </c>
      <c r="AE7" s="67">
        <f t="shared" ref="AE7:AE22" si="7">+N7-AD7</f>
        <v>0</v>
      </c>
      <c r="AH7" s="69"/>
      <c r="AI7" s="70">
        <f t="shared" ref="AI7:AI23" si="8">+AH7-AB7</f>
        <v>-1098270.4500000002</v>
      </c>
      <c r="AJ7" s="68">
        <v>1429240.7400000002</v>
      </c>
      <c r="AK7" s="68">
        <f t="shared" si="0"/>
        <v>330970.29000000004</v>
      </c>
      <c r="AN7" s="68"/>
      <c r="AO7" s="69"/>
      <c r="AP7" s="68"/>
      <c r="AQ7" s="68">
        <v>1036033.59</v>
      </c>
      <c r="AR7" s="69">
        <f t="shared" si="1"/>
        <v>-1036033.59</v>
      </c>
      <c r="AS7" s="68">
        <v>96809.52</v>
      </c>
    </row>
    <row r="8" spans="1:45" ht="22.65" customHeight="1">
      <c r="A8" s="52">
        <f t="shared" si="2"/>
        <v>3</v>
      </c>
      <c r="B8" s="72" t="s">
        <v>25</v>
      </c>
      <c r="C8" s="54">
        <v>0</v>
      </c>
      <c r="D8" s="55">
        <f>+[1]สรุปรวมยอดหนี้ค้าง!D8-[1]เดือนก่อน!D8</f>
        <v>0</v>
      </c>
      <c r="E8" s="54">
        <f>+[1]สรุปรวมยอดหนี้ค้าง!E8-[1]เดือนก่อน!E8</f>
        <v>0</v>
      </c>
      <c r="F8" s="56">
        <f>+[1]สรุปรวมยอดหนี้ค้าง!F8-[1]เดือนก่อน!F8</f>
        <v>0</v>
      </c>
      <c r="G8" s="57">
        <f>+[1]สรุปรวมยอดหนี้ค้าง!G8-[1]เดือนก่อน!G8</f>
        <v>0</v>
      </c>
      <c r="H8" s="56">
        <v>0</v>
      </c>
      <c r="I8" s="57">
        <f>+[1]สรุปรวมยอดหนี้ค้าง!I8+[1]เดือนก่อน!I8</f>
        <v>0</v>
      </c>
      <c r="J8" s="56">
        <f>+[1]สรุปรวมยอดหนี้ค้าง!J8-[1]เดือนก่อน!J8</f>
        <v>0</v>
      </c>
      <c r="K8" s="58">
        <f t="shared" si="3"/>
        <v>0</v>
      </c>
      <c r="L8" s="56">
        <f>+D8+F8+H8+J8</f>
        <v>0</v>
      </c>
      <c r="M8" s="57">
        <f>+'[1]เกิน 12'!A15</f>
        <v>0</v>
      </c>
      <c r="N8" s="56">
        <f>+[1]สรุปรวมยอดหนี้ค้าง!N8-[1]เดือนก่อน!N8</f>
        <v>0</v>
      </c>
      <c r="O8" s="57">
        <f t="shared" si="4"/>
        <v>0</v>
      </c>
      <c r="P8" s="56">
        <f t="shared" si="4"/>
        <v>0</v>
      </c>
      <c r="Q8" s="57">
        <v>0</v>
      </c>
      <c r="R8" s="56">
        <f>+N8+P8</f>
        <v>0</v>
      </c>
      <c r="S8" s="57">
        <v>0</v>
      </c>
      <c r="T8" s="56">
        <v>0</v>
      </c>
      <c r="U8" s="52">
        <v>0</v>
      </c>
      <c r="V8" s="73">
        <v>0</v>
      </c>
      <c r="W8" s="52">
        <v>0</v>
      </c>
      <c r="X8" s="73">
        <v>0</v>
      </c>
      <c r="Y8" s="74">
        <f t="shared" si="5"/>
        <v>0</v>
      </c>
      <c r="Z8" s="73">
        <f t="shared" si="5"/>
        <v>0</v>
      </c>
      <c r="AA8" s="57">
        <f t="shared" si="6"/>
        <v>0</v>
      </c>
      <c r="AB8" s="65">
        <f t="shared" si="6"/>
        <v>0</v>
      </c>
      <c r="AC8" s="52"/>
      <c r="AD8" s="66">
        <v>0</v>
      </c>
      <c r="AE8" s="67">
        <f t="shared" si="7"/>
        <v>0</v>
      </c>
      <c r="AH8" s="69"/>
      <c r="AI8" s="70">
        <f t="shared" si="8"/>
        <v>0</v>
      </c>
      <c r="AJ8" s="68">
        <v>0</v>
      </c>
      <c r="AK8" s="68">
        <f t="shared" si="0"/>
        <v>0</v>
      </c>
      <c r="AO8" s="76"/>
      <c r="AR8" s="77">
        <f t="shared" si="1"/>
        <v>0</v>
      </c>
      <c r="AS8" s="75">
        <v>14445</v>
      </c>
    </row>
    <row r="9" spans="1:45" ht="22.65" customHeight="1">
      <c r="A9" s="52">
        <f t="shared" si="2"/>
        <v>4</v>
      </c>
      <c r="B9" s="72" t="s">
        <v>26</v>
      </c>
      <c r="C9" s="54">
        <f>+'[1]1 เดือน'!A92</f>
        <v>1</v>
      </c>
      <c r="D9" s="55">
        <f>+'[1]1 เดือน'!F92</f>
        <v>3327.7</v>
      </c>
      <c r="E9" s="54">
        <f>+'[1]2 เดือน'!A114</f>
        <v>0</v>
      </c>
      <c r="F9" s="56">
        <f>+'[1]2 เดือน'!F114</f>
        <v>0</v>
      </c>
      <c r="G9" s="57">
        <f>+'[1]3-6'!A32</f>
        <v>0</v>
      </c>
      <c r="H9" s="56">
        <f>+'[1]3-6'!F32</f>
        <v>0</v>
      </c>
      <c r="I9" s="57">
        <f>+'[1]7-12'!A27</f>
        <v>0</v>
      </c>
      <c r="J9" s="56">
        <f>+'[1]7-12'!F27</f>
        <v>0</v>
      </c>
      <c r="K9" s="58">
        <f t="shared" si="3"/>
        <v>1</v>
      </c>
      <c r="L9" s="56">
        <f t="shared" si="3"/>
        <v>3327.7</v>
      </c>
      <c r="M9" s="57">
        <f>+[1]สรุปรวมยอดหนี้ค้าง!M9-[1]เดือนก่อน!M9</f>
        <v>0</v>
      </c>
      <c r="N9" s="56">
        <f>+'[1]เกิน 12'!F11</f>
        <v>0</v>
      </c>
      <c r="O9" s="57">
        <f t="shared" si="4"/>
        <v>1</v>
      </c>
      <c r="P9" s="56">
        <f t="shared" si="4"/>
        <v>3327.7</v>
      </c>
      <c r="Q9" s="57">
        <v>0</v>
      </c>
      <c r="R9" s="56">
        <f>+[1]ปรับโครงสร้างหนี้!F16</f>
        <v>0</v>
      </c>
      <c r="S9" s="57">
        <v>0</v>
      </c>
      <c r="T9" s="56">
        <v>0</v>
      </c>
      <c r="U9" s="52">
        <v>0</v>
      </c>
      <c r="V9" s="73">
        <v>0</v>
      </c>
      <c r="W9" s="52">
        <v>0</v>
      </c>
      <c r="X9" s="73">
        <v>0</v>
      </c>
      <c r="Y9" s="74">
        <f t="shared" si="5"/>
        <v>0</v>
      </c>
      <c r="Z9" s="73">
        <f t="shared" si="5"/>
        <v>0</v>
      </c>
      <c r="AA9" s="57">
        <f t="shared" si="6"/>
        <v>1</v>
      </c>
      <c r="AB9" s="65">
        <f t="shared" si="6"/>
        <v>3327.7</v>
      </c>
      <c r="AC9" s="52"/>
      <c r="AD9" s="66">
        <v>0</v>
      </c>
      <c r="AE9" s="67">
        <f t="shared" si="7"/>
        <v>0</v>
      </c>
      <c r="AG9" s="78"/>
      <c r="AH9" s="69"/>
      <c r="AI9" s="70">
        <f t="shared" si="8"/>
        <v>-3327.7</v>
      </c>
      <c r="AJ9" s="68">
        <v>31193</v>
      </c>
      <c r="AK9" s="68">
        <f t="shared" si="0"/>
        <v>27865.3</v>
      </c>
      <c r="AO9" s="76"/>
      <c r="AR9" s="77">
        <f t="shared" si="1"/>
        <v>0</v>
      </c>
      <c r="AS9" s="75">
        <v>2042100</v>
      </c>
    </row>
    <row r="10" spans="1:45" ht="24.6" customHeight="1">
      <c r="A10" s="52">
        <f t="shared" si="2"/>
        <v>5</v>
      </c>
      <c r="B10" s="72" t="s">
        <v>27</v>
      </c>
      <c r="C10" s="54">
        <f>+'[1]1 เดือน'!A163</f>
        <v>61</v>
      </c>
      <c r="D10" s="55">
        <f>+'[1]1 เดือน'!F163</f>
        <v>97061.801999999981</v>
      </c>
      <c r="E10" s="54">
        <f>+'[1]2 เดือน'!A43</f>
        <v>7</v>
      </c>
      <c r="F10" s="56">
        <f>+'[1]2 เดือน'!F43</f>
        <v>48300</v>
      </c>
      <c r="G10" s="57">
        <f>+'[1]3-6'!A38</f>
        <v>4</v>
      </c>
      <c r="H10" s="56">
        <f>+'[1]3-6'!F38</f>
        <v>21085.199999999997</v>
      </c>
      <c r="I10" s="57">
        <f>+'[1]7-12'!A33</f>
        <v>0</v>
      </c>
      <c r="J10" s="56">
        <f>+'[1]7-12'!F33</f>
        <v>0</v>
      </c>
      <c r="K10" s="58">
        <f t="shared" si="3"/>
        <v>72</v>
      </c>
      <c r="L10" s="56">
        <f>+D10+F10+H10+J10</f>
        <v>166447.00199999998</v>
      </c>
      <c r="M10" s="57">
        <f>+'[1]เกิน 12'!A23</f>
        <v>0</v>
      </c>
      <c r="N10" s="56">
        <f>+'[1]เกิน 12'!F23</f>
        <v>0</v>
      </c>
      <c r="O10" s="57">
        <f t="shared" si="4"/>
        <v>72</v>
      </c>
      <c r="P10" s="56">
        <f>+L10+N10</f>
        <v>166447.00199999998</v>
      </c>
      <c r="Q10" s="57">
        <f>+[1]ปรับโครงสร้างหนี้!A55</f>
        <v>6</v>
      </c>
      <c r="R10" s="59">
        <f>+[1]ปรับโครงสร้างหนี้!F55</f>
        <v>488577</v>
      </c>
      <c r="S10" s="57">
        <f>+[1]หนี้บอกเลิกสัญญา!A875</f>
        <v>575</v>
      </c>
      <c r="T10" s="59">
        <f>+[1]หนี้บอกเลิกสัญญา!F875</f>
        <v>11359169.609999999</v>
      </c>
      <c r="U10" s="52">
        <v>0</v>
      </c>
      <c r="V10" s="73">
        <v>0</v>
      </c>
      <c r="W10" s="57">
        <f>+[1]อยู่ระหว่างดำเนินคดี!A202</f>
        <v>107</v>
      </c>
      <c r="X10" s="73">
        <f>+[1]อยู่ระหว่างดำเนินคดี!F202</f>
        <v>3347368.1300000004</v>
      </c>
      <c r="Y10" s="74">
        <f t="shared" si="5"/>
        <v>107</v>
      </c>
      <c r="Z10" s="73">
        <f t="shared" si="5"/>
        <v>3347368.1300000004</v>
      </c>
      <c r="AA10" s="57">
        <f t="shared" si="6"/>
        <v>760</v>
      </c>
      <c r="AB10" s="65">
        <f t="shared" si="6"/>
        <v>15361561.742000001</v>
      </c>
      <c r="AC10" s="79"/>
      <c r="AD10" s="66">
        <v>0</v>
      </c>
      <c r="AE10" s="67">
        <f t="shared" si="7"/>
        <v>0</v>
      </c>
      <c r="AG10" s="80"/>
      <c r="AH10" s="69"/>
      <c r="AI10" s="70">
        <f t="shared" si="8"/>
        <v>-15361561.742000001</v>
      </c>
      <c r="AJ10" s="68">
        <v>651519.50000000023</v>
      </c>
      <c r="AK10" s="68">
        <f t="shared" si="0"/>
        <v>-14710042.242000001</v>
      </c>
      <c r="AN10" s="68"/>
      <c r="AO10" s="69"/>
      <c r="AP10" s="68"/>
      <c r="AQ10" s="68">
        <v>7712933.2000000002</v>
      </c>
      <c r="AR10" s="69">
        <f t="shared" si="1"/>
        <v>-7712933.2000000002</v>
      </c>
      <c r="AS10" s="68">
        <v>485220.7</v>
      </c>
    </row>
    <row r="11" spans="1:45" ht="22.65" customHeight="1">
      <c r="A11" s="52">
        <f t="shared" si="2"/>
        <v>6</v>
      </c>
      <c r="B11" s="72" t="s">
        <v>28</v>
      </c>
      <c r="C11" s="54">
        <f>+[1]สรุปรวมยอดหนี้ค้าง!C11-[1]เดือนก่อน!C11</f>
        <v>0</v>
      </c>
      <c r="D11" s="55">
        <f>+[1]สรุปรวมยอดหนี้ค้าง!D11-[1]เดือนก่อน!D11</f>
        <v>0</v>
      </c>
      <c r="E11" s="54">
        <f>+[1]สรุปรวมยอดหนี้ค้าง!E11-[1]เดือนก่อน!E11</f>
        <v>0</v>
      </c>
      <c r="F11" s="56">
        <f>+[1]สรุปรวมยอดหนี้ค้าง!F11-[1]เดือนก่อน!F11</f>
        <v>0</v>
      </c>
      <c r="G11" s="57">
        <f>+[1]สรุปรวมยอดหนี้ค้าง!G11-[1]เดือนก่อน!G11</f>
        <v>0</v>
      </c>
      <c r="H11" s="56">
        <f>+[1]สรุปรวมยอดหนี้ค้าง!H11-[1]เดือนก่อน!H11</f>
        <v>0</v>
      </c>
      <c r="I11" s="57">
        <f>+[1]สรุปรวมยอดหนี้ค้าง!I11+[1]เดือนก่อน!I11</f>
        <v>0</v>
      </c>
      <c r="J11" s="56">
        <f>+[1]สรุปรวมยอดหนี้ค้าง!J11-[1]เดือนก่อน!J11</f>
        <v>0</v>
      </c>
      <c r="K11" s="58">
        <f t="shared" si="3"/>
        <v>0</v>
      </c>
      <c r="L11" s="56">
        <f t="shared" si="3"/>
        <v>0</v>
      </c>
      <c r="M11" s="57">
        <f>+'[1]เกิน 12'!A28</f>
        <v>0</v>
      </c>
      <c r="N11" s="56">
        <f>+[1]สรุปรวมยอดหนี้ค้าง!N11-[1]เดือนก่อน!N11</f>
        <v>0</v>
      </c>
      <c r="O11" s="57">
        <f t="shared" si="4"/>
        <v>0</v>
      </c>
      <c r="P11" s="56">
        <f t="shared" si="4"/>
        <v>0</v>
      </c>
      <c r="Q11" s="57">
        <v>0</v>
      </c>
      <c r="R11" s="56">
        <f>+N11+P11</f>
        <v>0</v>
      </c>
      <c r="S11" s="57">
        <v>0</v>
      </c>
      <c r="T11" s="56">
        <v>0</v>
      </c>
      <c r="U11" s="52">
        <v>0</v>
      </c>
      <c r="V11" s="73">
        <v>0</v>
      </c>
      <c r="W11" s="52">
        <v>0</v>
      </c>
      <c r="X11" s="73">
        <v>0</v>
      </c>
      <c r="Y11" s="74">
        <f t="shared" si="5"/>
        <v>0</v>
      </c>
      <c r="Z11" s="73">
        <f t="shared" si="5"/>
        <v>0</v>
      </c>
      <c r="AA11" s="57">
        <f t="shared" si="6"/>
        <v>0</v>
      </c>
      <c r="AB11" s="65">
        <f t="shared" si="6"/>
        <v>0</v>
      </c>
      <c r="AC11" s="81"/>
      <c r="AD11" s="82">
        <v>0</v>
      </c>
      <c r="AE11" s="67">
        <f t="shared" si="7"/>
        <v>0</v>
      </c>
      <c r="AG11" s="78"/>
      <c r="AH11" s="69"/>
      <c r="AI11" s="70">
        <f t="shared" si="8"/>
        <v>0</v>
      </c>
      <c r="AJ11" s="68">
        <v>654273.63</v>
      </c>
      <c r="AK11" s="68">
        <f t="shared" si="0"/>
        <v>654273.63</v>
      </c>
      <c r="AN11" s="68"/>
      <c r="AO11" s="69"/>
      <c r="AP11" s="68"/>
      <c r="AQ11" s="68">
        <v>62673.63</v>
      </c>
      <c r="AR11" s="69">
        <f t="shared" si="1"/>
        <v>-62673.63</v>
      </c>
      <c r="AS11" s="68">
        <v>21118169.800000001</v>
      </c>
    </row>
    <row r="12" spans="1:45" ht="22.65" customHeight="1">
      <c r="A12" s="52">
        <f t="shared" si="2"/>
        <v>7</v>
      </c>
      <c r="B12" s="72" t="s">
        <v>29</v>
      </c>
      <c r="C12" s="54">
        <f>+'[1]1 เดือน'!A100</f>
        <v>6</v>
      </c>
      <c r="D12" s="55">
        <f>+'[1]1 เดือน'!F100</f>
        <v>23367.260000000002</v>
      </c>
      <c r="E12" s="54">
        <f>+'[1]2 เดือน'!A54</f>
        <v>0</v>
      </c>
      <c r="F12" s="56">
        <f>+'[1]2 เดือน'!F54</f>
        <v>0</v>
      </c>
      <c r="G12" s="57">
        <f>+'[1]3-6'!A42</f>
        <v>0</v>
      </c>
      <c r="H12" s="56">
        <f>+'[1]3-6'!F42</f>
        <v>0</v>
      </c>
      <c r="I12" s="57">
        <f>+'[1]7-12'!A39</f>
        <v>0</v>
      </c>
      <c r="J12" s="56">
        <f>+'[1]7-12'!F39</f>
        <v>0</v>
      </c>
      <c r="K12" s="58">
        <f t="shared" si="3"/>
        <v>6</v>
      </c>
      <c r="L12" s="56">
        <f t="shared" si="3"/>
        <v>23367.260000000002</v>
      </c>
      <c r="M12" s="57">
        <f>+'[1]เกิน 12'!A32</f>
        <v>0</v>
      </c>
      <c r="N12" s="56">
        <f>+'[1]เกิน 12'!F32</f>
        <v>0</v>
      </c>
      <c r="O12" s="57">
        <f t="shared" si="4"/>
        <v>6</v>
      </c>
      <c r="P12" s="56">
        <f t="shared" si="4"/>
        <v>23367.260000000002</v>
      </c>
      <c r="Q12" s="57">
        <f>+[1]ปรับโครงสร้างหนี้!A25</f>
        <v>0</v>
      </c>
      <c r="R12" s="59">
        <f>+[1]ปรับโครงสร้างหนี้!F25</f>
        <v>0</v>
      </c>
      <c r="S12" s="57">
        <f>+[1]หนี้บอกเลิกสัญญา!A878</f>
        <v>0</v>
      </c>
      <c r="T12" s="59">
        <f>+[1]หนี้บอกเลิกสัญญา!F878</f>
        <v>0</v>
      </c>
      <c r="U12" s="52">
        <v>0</v>
      </c>
      <c r="V12" s="73">
        <v>0</v>
      </c>
      <c r="W12" s="52">
        <f>+[1]อยู่ระหว่างดำเนินคดี!A207</f>
        <v>3</v>
      </c>
      <c r="X12" s="73">
        <f>+[1]อยู่ระหว่างดำเนินคดี!F207</f>
        <v>518359.52</v>
      </c>
      <c r="Y12" s="74">
        <f t="shared" si="5"/>
        <v>3</v>
      </c>
      <c r="Z12" s="73">
        <f t="shared" si="5"/>
        <v>518359.52</v>
      </c>
      <c r="AA12" s="57">
        <f t="shared" si="6"/>
        <v>9</v>
      </c>
      <c r="AB12" s="65">
        <f t="shared" si="6"/>
        <v>541726.78</v>
      </c>
      <c r="AC12" s="79"/>
      <c r="AD12" s="66">
        <v>0</v>
      </c>
      <c r="AE12" s="67">
        <f t="shared" si="7"/>
        <v>0</v>
      </c>
      <c r="AH12" s="69"/>
      <c r="AI12" s="70">
        <f t="shared" si="8"/>
        <v>-541726.78</v>
      </c>
      <c r="AJ12" s="68">
        <v>945601.12</v>
      </c>
      <c r="AK12" s="68">
        <f t="shared" si="0"/>
        <v>403874.33999999997</v>
      </c>
      <c r="AN12" s="68"/>
      <c r="AO12" s="69"/>
      <c r="AP12" s="68"/>
      <c r="AQ12" s="68">
        <v>657989.42000000004</v>
      </c>
      <c r="AR12" s="69">
        <f t="shared" si="1"/>
        <v>-657989.42000000004</v>
      </c>
      <c r="AS12" s="68">
        <v>63865.35</v>
      </c>
    </row>
    <row r="13" spans="1:45" ht="22.65" customHeight="1">
      <c r="A13" s="52">
        <f t="shared" si="2"/>
        <v>8</v>
      </c>
      <c r="B13" s="72" t="s">
        <v>30</v>
      </c>
      <c r="C13" s="54">
        <f>+'[1]1 เดือน'!A166</f>
        <v>0</v>
      </c>
      <c r="D13" s="55">
        <f>+'[1]1 เดือน'!F166</f>
        <v>0</v>
      </c>
      <c r="E13" s="54">
        <f>+'[1]2 เดือน'!A47</f>
        <v>0</v>
      </c>
      <c r="F13" s="56">
        <f>+[1]สรุปรวมยอดหนี้ค้าง!F13-[1]เดือนก่อน!F13</f>
        <v>0</v>
      </c>
      <c r="G13" s="57">
        <f>+[1]สรุปรวมยอดหนี้ค้าง!G13-[1]เดือนก่อน!G13</f>
        <v>0</v>
      </c>
      <c r="H13" s="56">
        <f>+[1]สรุปรวมยอดหนี้ค้าง!H13-[1]เดือนก่อน!H13</f>
        <v>0</v>
      </c>
      <c r="I13" s="57">
        <f>+[1]สรุปรวมยอดหนี้ค้าง!I13+[1]เดือนก่อน!I13</f>
        <v>0</v>
      </c>
      <c r="J13" s="56">
        <f>+[1]สรุปรวมยอดหนี้ค้าง!J13-[1]เดือนก่อน!J13</f>
        <v>0</v>
      </c>
      <c r="K13" s="58">
        <f t="shared" si="3"/>
        <v>0</v>
      </c>
      <c r="L13" s="56">
        <f t="shared" si="3"/>
        <v>0</v>
      </c>
      <c r="M13" s="57">
        <f>+'[1]เกิน 12'!A148</f>
        <v>0</v>
      </c>
      <c r="N13" s="56">
        <f>+'[1]เกิน 12'!F148</f>
        <v>0</v>
      </c>
      <c r="O13" s="57">
        <f t="shared" si="4"/>
        <v>0</v>
      </c>
      <c r="P13" s="56">
        <f t="shared" si="4"/>
        <v>0</v>
      </c>
      <c r="Q13" s="57">
        <f>+[1]ปรับโครงสร้างหนี้!A32</f>
        <v>0</v>
      </c>
      <c r="R13" s="56">
        <f>+[1]ปรับโครงสร้างหนี้!F32</f>
        <v>0</v>
      </c>
      <c r="S13" s="57">
        <v>0</v>
      </c>
      <c r="T13" s="56">
        <v>0</v>
      </c>
      <c r="U13" s="52">
        <f>+[1]หนี้ดำเนินคดี!A120</f>
        <v>0</v>
      </c>
      <c r="V13" s="73">
        <f>+[1]หนี้ดำเนินคดี!F120</f>
        <v>0</v>
      </c>
      <c r="W13" s="52">
        <v>0</v>
      </c>
      <c r="X13" s="73">
        <v>0</v>
      </c>
      <c r="Y13" s="74">
        <f t="shared" si="5"/>
        <v>0</v>
      </c>
      <c r="Z13" s="73">
        <f t="shared" si="5"/>
        <v>0</v>
      </c>
      <c r="AA13" s="57">
        <f t="shared" si="6"/>
        <v>0</v>
      </c>
      <c r="AB13" s="65">
        <f t="shared" si="6"/>
        <v>0</v>
      </c>
      <c r="AC13" s="79"/>
      <c r="AD13" s="66">
        <v>0</v>
      </c>
      <c r="AE13" s="67">
        <f t="shared" si="7"/>
        <v>0</v>
      </c>
      <c r="AH13" s="69"/>
      <c r="AI13" s="70">
        <f t="shared" si="8"/>
        <v>0</v>
      </c>
      <c r="AJ13" s="68">
        <v>291714.77</v>
      </c>
      <c r="AK13" s="68">
        <f t="shared" si="0"/>
        <v>291714.77</v>
      </c>
      <c r="AN13" s="68"/>
      <c r="AO13" s="69"/>
      <c r="AP13" s="68"/>
      <c r="AQ13" s="68">
        <v>288906.02</v>
      </c>
      <c r="AR13" s="69">
        <f t="shared" si="1"/>
        <v>-288906.02</v>
      </c>
      <c r="AS13" s="68">
        <v>3212233.58</v>
      </c>
    </row>
    <row r="14" spans="1:45" ht="22.65" customHeight="1">
      <c r="A14" s="52">
        <f t="shared" si="2"/>
        <v>9</v>
      </c>
      <c r="B14" s="72" t="s">
        <v>31</v>
      </c>
      <c r="C14" s="54">
        <f>+'[1]1 เดือน'!A174</f>
        <v>0</v>
      </c>
      <c r="D14" s="55">
        <f>+'[1]1 เดือน'!F174</f>
        <v>0</v>
      </c>
      <c r="E14" s="54">
        <f>+[1]สรุปรวมยอดหนี้ค้าง!E14-[1]เดือนก่อน!E14</f>
        <v>0</v>
      </c>
      <c r="F14" s="56">
        <f>+[1]สรุปรวมยอดหนี้ค้าง!F14-[1]เดือนก่อน!F14</f>
        <v>0</v>
      </c>
      <c r="G14" s="57">
        <f>+[1]สรุปรวมยอดหนี้ค้าง!G14-[1]เดือนก่อน!G14</f>
        <v>0</v>
      </c>
      <c r="H14" s="56">
        <f>+[1]สรุปรวมยอดหนี้ค้าง!H14-[1]เดือนก่อน!H14</f>
        <v>0</v>
      </c>
      <c r="I14" s="57">
        <f>+[1]สรุปรวมยอดหนี้ค้าง!I14+[1]เดือนก่อน!I14</f>
        <v>0</v>
      </c>
      <c r="J14" s="56">
        <f>+[1]สรุปรวมยอดหนี้ค้าง!J14-[1]เดือนก่อน!J14</f>
        <v>0</v>
      </c>
      <c r="K14" s="58">
        <f t="shared" si="3"/>
        <v>0</v>
      </c>
      <c r="L14" s="56">
        <f t="shared" si="3"/>
        <v>0</v>
      </c>
      <c r="M14" s="57">
        <f>+[1]สรุปรวมยอดหนี้ค้าง!M14-[1]เดือนก่อน!M14</f>
        <v>0</v>
      </c>
      <c r="N14" s="56">
        <f>+[1]สรุปรวมยอดหนี้ค้าง!N14-[1]เดือนก่อน!N14</f>
        <v>0</v>
      </c>
      <c r="O14" s="57">
        <f t="shared" si="4"/>
        <v>0</v>
      </c>
      <c r="P14" s="56">
        <f t="shared" si="4"/>
        <v>0</v>
      </c>
      <c r="Q14" s="57">
        <f>+E14+G14+I14+L14+O14</f>
        <v>0</v>
      </c>
      <c r="R14" s="56">
        <f>+N14+P14</f>
        <v>0</v>
      </c>
      <c r="S14" s="57">
        <v>0</v>
      </c>
      <c r="T14" s="56">
        <v>0</v>
      </c>
      <c r="U14" s="52">
        <f>+[1]หนี้ดำเนินคดี!A123</f>
        <v>1</v>
      </c>
      <c r="V14" s="73">
        <f>+[1]หนี้ดำเนินคดี!F123</f>
        <v>5530855.9100000001</v>
      </c>
      <c r="W14" s="52">
        <v>0</v>
      </c>
      <c r="X14" s="73">
        <v>0</v>
      </c>
      <c r="Y14" s="74">
        <f t="shared" si="5"/>
        <v>1</v>
      </c>
      <c r="Z14" s="73">
        <f t="shared" si="5"/>
        <v>5530855.9100000001</v>
      </c>
      <c r="AA14" s="57">
        <f t="shared" si="6"/>
        <v>1</v>
      </c>
      <c r="AB14" s="65">
        <f t="shared" si="6"/>
        <v>5530855.9100000001</v>
      </c>
      <c r="AC14" s="79"/>
      <c r="AD14" s="66">
        <v>0</v>
      </c>
      <c r="AE14" s="67">
        <f t="shared" si="7"/>
        <v>0</v>
      </c>
      <c r="AH14" s="69"/>
      <c r="AI14" s="70">
        <f t="shared" si="8"/>
        <v>-5530855.9100000001</v>
      </c>
      <c r="AJ14" s="68">
        <v>5569595.1600000001</v>
      </c>
      <c r="AK14" s="68">
        <f t="shared" si="0"/>
        <v>38739.25</v>
      </c>
      <c r="AN14" s="83"/>
      <c r="AO14" s="76"/>
      <c r="AP14" s="83"/>
      <c r="AQ14" s="75">
        <v>5530855.9100000001</v>
      </c>
      <c r="AR14" s="77">
        <f t="shared" si="1"/>
        <v>-5530855.9100000001</v>
      </c>
      <c r="AS14" s="75">
        <f>SUM(AS6:AS13)</f>
        <v>27324688.07</v>
      </c>
    </row>
    <row r="15" spans="1:45" ht="27" customHeight="1">
      <c r="A15" s="52">
        <f t="shared" si="2"/>
        <v>10</v>
      </c>
      <c r="B15" s="72" t="s">
        <v>32</v>
      </c>
      <c r="C15" s="54">
        <f>+'[1]1 เดือน'!A177</f>
        <v>0</v>
      </c>
      <c r="D15" s="55">
        <f>+'[1]1 เดือน'!F177</f>
        <v>0</v>
      </c>
      <c r="E15" s="54">
        <f>+'[1]2 เดือน'!A60</f>
        <v>0</v>
      </c>
      <c r="F15" s="56">
        <f>+'[1]2 เดือน'!F60</f>
        <v>0</v>
      </c>
      <c r="G15" s="57">
        <f>+'[1]3-6'!A52</f>
        <v>4</v>
      </c>
      <c r="H15" s="56">
        <f>+'[1]3-6'!F52</f>
        <v>3487.02</v>
      </c>
      <c r="I15" s="57">
        <f>+'[1]7-12'!A46</f>
        <v>0</v>
      </c>
      <c r="J15" s="56">
        <f>+[1]สรุปรวมยอดหนี้ค้าง!J15-[1]เดือนก่อน!J15</f>
        <v>0</v>
      </c>
      <c r="K15" s="58">
        <f t="shared" si="3"/>
        <v>4</v>
      </c>
      <c r="L15" s="56">
        <f t="shared" si="3"/>
        <v>3487.02</v>
      </c>
      <c r="M15" s="57">
        <f>+'[1]เกิน 12'!A40</f>
        <v>0</v>
      </c>
      <c r="N15" s="56">
        <f>+'[1]เกิน 12'!F40</f>
        <v>0</v>
      </c>
      <c r="O15" s="57">
        <f t="shared" si="4"/>
        <v>4</v>
      </c>
      <c r="P15" s="56">
        <f t="shared" si="4"/>
        <v>3487.02</v>
      </c>
      <c r="Q15" s="57">
        <f>+[1]ปรับโครงสร้างหนี้!A37</f>
        <v>0</v>
      </c>
      <c r="R15" s="56">
        <f>+[1]ปรับโครงสร้างหนี้!F37</f>
        <v>0</v>
      </c>
      <c r="S15" s="57">
        <f>+[1]หนี้บอกเลิกสัญญา!A881</f>
        <v>1</v>
      </c>
      <c r="T15" s="56">
        <f>+[1]หนี้บอกเลิกสัญญา!F881</f>
        <v>10408.5</v>
      </c>
      <c r="U15" s="52">
        <v>0</v>
      </c>
      <c r="V15" s="73">
        <v>0</v>
      </c>
      <c r="W15" s="52">
        <v>0</v>
      </c>
      <c r="X15" s="73">
        <v>0</v>
      </c>
      <c r="Y15" s="74">
        <f t="shared" si="5"/>
        <v>0</v>
      </c>
      <c r="Z15" s="73">
        <f t="shared" si="5"/>
        <v>0</v>
      </c>
      <c r="AA15" s="57">
        <f t="shared" si="6"/>
        <v>5</v>
      </c>
      <c r="AB15" s="65">
        <f t="shared" si="6"/>
        <v>13895.52</v>
      </c>
      <c r="AC15" s="52"/>
      <c r="AD15" s="66">
        <v>0</v>
      </c>
      <c r="AE15" s="67">
        <f t="shared" si="7"/>
        <v>0</v>
      </c>
      <c r="AH15" s="69"/>
      <c r="AI15" s="70">
        <f t="shared" si="8"/>
        <v>-13895.52</v>
      </c>
      <c r="AJ15" s="68">
        <v>15100.949999999999</v>
      </c>
      <c r="AK15" s="68">
        <f t="shared" si="0"/>
        <v>1205.4299999999985</v>
      </c>
      <c r="AN15" s="83"/>
      <c r="AO15" s="76"/>
      <c r="AP15" s="83"/>
      <c r="AQ15" s="75">
        <v>12288.76</v>
      </c>
      <c r="AR15" s="77">
        <f t="shared" si="1"/>
        <v>-12288.76</v>
      </c>
    </row>
    <row r="16" spans="1:45" ht="22.65" customHeight="1">
      <c r="A16" s="52">
        <f t="shared" si="2"/>
        <v>11</v>
      </c>
      <c r="B16" s="72" t="s">
        <v>33</v>
      </c>
      <c r="C16" s="54">
        <f>+[1]สรุปรวมยอดหนี้ค้าง!C16-[1]เดือนก่อน!C16</f>
        <v>0</v>
      </c>
      <c r="D16" s="55">
        <f>+[1]สรุปรวมยอดหนี้ค้าง!D16-[1]เดือนก่อน!D16</f>
        <v>0</v>
      </c>
      <c r="E16" s="54">
        <f>+[1]สรุปรวมยอดหนี้ค้าง!E16-[1]เดือนก่อน!E16</f>
        <v>0</v>
      </c>
      <c r="F16" s="56">
        <f>+[1]สรุปรวมยอดหนี้ค้าง!F16-[1]เดือนก่อน!F16</f>
        <v>0</v>
      </c>
      <c r="G16" s="57">
        <f>+[1]สรุปรวมยอดหนี้ค้าง!G16-[1]เดือนก่อน!G16</f>
        <v>0</v>
      </c>
      <c r="H16" s="56">
        <f>+[1]สรุปรวมยอดหนี้ค้าง!H16-[1]เดือนก่อน!H16</f>
        <v>0</v>
      </c>
      <c r="I16" s="57">
        <f>+[1]สรุปรวมยอดหนี้ค้าง!I16+[1]เดือนก่อน!I16</f>
        <v>0</v>
      </c>
      <c r="J16" s="56">
        <f>+[1]สรุปรวมยอดหนี้ค้าง!J16-[1]เดือนก่อน!J16</f>
        <v>0</v>
      </c>
      <c r="K16" s="58">
        <f t="shared" si="3"/>
        <v>0</v>
      </c>
      <c r="L16" s="56">
        <f t="shared" si="3"/>
        <v>0</v>
      </c>
      <c r="M16" s="57">
        <f>+[1]สรุปรวมยอดหนี้ค้าง!M16-[1]เดือนก่อน!M16</f>
        <v>0</v>
      </c>
      <c r="N16" s="56">
        <f>+[1]สรุปรวมยอดหนี้ค้าง!N16-[1]เดือนก่อน!N16</f>
        <v>0</v>
      </c>
      <c r="O16" s="57">
        <f t="shared" si="4"/>
        <v>0</v>
      </c>
      <c r="P16" s="56">
        <f t="shared" si="4"/>
        <v>0</v>
      </c>
      <c r="Q16" s="57">
        <v>0</v>
      </c>
      <c r="R16" s="56">
        <v>0</v>
      </c>
      <c r="S16" s="57">
        <v>0</v>
      </c>
      <c r="T16" s="56">
        <v>0</v>
      </c>
      <c r="U16" s="52">
        <v>0</v>
      </c>
      <c r="V16" s="73">
        <v>0</v>
      </c>
      <c r="W16" s="52">
        <v>0</v>
      </c>
      <c r="X16" s="73">
        <v>0</v>
      </c>
      <c r="Y16" s="74">
        <f t="shared" si="5"/>
        <v>0</v>
      </c>
      <c r="Z16" s="73">
        <f t="shared" si="5"/>
        <v>0</v>
      </c>
      <c r="AA16" s="57">
        <f t="shared" si="6"/>
        <v>0</v>
      </c>
      <c r="AB16" s="65">
        <f t="shared" si="6"/>
        <v>0</v>
      </c>
      <c r="AC16" s="79"/>
      <c r="AD16" s="66">
        <v>0</v>
      </c>
      <c r="AE16" s="67">
        <f t="shared" si="7"/>
        <v>0</v>
      </c>
      <c r="AH16" s="69"/>
      <c r="AI16" s="70">
        <f t="shared" si="8"/>
        <v>0</v>
      </c>
      <c r="AJ16" s="68">
        <v>0</v>
      </c>
      <c r="AK16" s="68">
        <f t="shared" si="0"/>
        <v>0</v>
      </c>
      <c r="AN16" s="83"/>
      <c r="AO16" s="76"/>
      <c r="AP16" s="83"/>
      <c r="AR16" s="77">
        <f t="shared" si="1"/>
        <v>0</v>
      </c>
      <c r="AS16" s="75">
        <v>403098.64</v>
      </c>
    </row>
    <row r="17" spans="1:45" ht="22.65" customHeight="1">
      <c r="A17" s="52">
        <f t="shared" si="2"/>
        <v>12</v>
      </c>
      <c r="B17" s="72" t="s">
        <v>34</v>
      </c>
      <c r="C17" s="54">
        <f>+'[1]1 เดือน'!A430</f>
        <v>63</v>
      </c>
      <c r="D17" s="55">
        <f>+'[1]1 เดือน'!F430</f>
        <v>139609.18000000002</v>
      </c>
      <c r="E17" s="54">
        <f>+'[1]2 เดือน'!A66</f>
        <v>0</v>
      </c>
      <c r="F17" s="56">
        <f>+'[1]2 เดือน'!F66</f>
        <v>0</v>
      </c>
      <c r="G17" s="57">
        <f>+'[1]3-6'!A57</f>
        <v>0</v>
      </c>
      <c r="H17" s="56">
        <f>+'[1]3-6'!F57</f>
        <v>0</v>
      </c>
      <c r="I17" s="57">
        <f>+'[1]7-12'!A96</f>
        <v>0</v>
      </c>
      <c r="J17" s="56">
        <f>+'[1]7-12'!F96</f>
        <v>0</v>
      </c>
      <c r="K17" s="58">
        <f t="shared" si="3"/>
        <v>63</v>
      </c>
      <c r="L17" s="56">
        <f>+D17+F17+H17+J17</f>
        <v>139609.18000000002</v>
      </c>
      <c r="M17" s="57">
        <f>+'[1]เกิน 12'!A43</f>
        <v>0</v>
      </c>
      <c r="N17" s="56">
        <f>+'[1]เกิน 12'!F43</f>
        <v>0</v>
      </c>
      <c r="O17" s="57">
        <f t="shared" si="4"/>
        <v>63</v>
      </c>
      <c r="P17" s="56">
        <f>+L17+N17</f>
        <v>139609.18000000002</v>
      </c>
      <c r="Q17" s="57">
        <f>+[1]ปรับโครงสร้างหนี้!A40</f>
        <v>1</v>
      </c>
      <c r="R17" s="56">
        <f>+[1]ปรับโครงสร้างหนี้!F40</f>
        <v>14471.5</v>
      </c>
      <c r="S17" s="57">
        <f>+[1]หนี้บอกเลิกสัญญา!A941</f>
        <v>0</v>
      </c>
      <c r="T17" s="56">
        <f>+[1]หนี้บอกเลิกสัญญา!F941</f>
        <v>0</v>
      </c>
      <c r="U17" s="52">
        <f>+[1]หนี้ดำเนินคดี!A134</f>
        <v>2</v>
      </c>
      <c r="V17" s="73">
        <f>+[1]หนี้ดำเนินคดี!F134</f>
        <v>421250.36</v>
      </c>
      <c r="W17" s="57">
        <f>+[1]อยู่ระหว่างดำเนินคดี!A224</f>
        <v>5</v>
      </c>
      <c r="X17" s="73">
        <f>+[1]อยู่ระหว่างดำเนินคดี!F224</f>
        <v>83772.299999999988</v>
      </c>
      <c r="Y17" s="74">
        <f t="shared" si="5"/>
        <v>7</v>
      </c>
      <c r="Z17" s="73">
        <f t="shared" si="5"/>
        <v>505022.66</v>
      </c>
      <c r="AA17" s="57">
        <f t="shared" si="6"/>
        <v>71</v>
      </c>
      <c r="AB17" s="65">
        <f t="shared" si="6"/>
        <v>659103.34000000008</v>
      </c>
      <c r="AC17" s="79"/>
      <c r="AD17" s="66">
        <v>0</v>
      </c>
      <c r="AE17" s="67">
        <f t="shared" si="7"/>
        <v>0</v>
      </c>
      <c r="AH17" s="69"/>
      <c r="AI17" s="70">
        <f t="shared" si="8"/>
        <v>-659103.34000000008</v>
      </c>
      <c r="AJ17" s="68">
        <v>822198.31993239699</v>
      </c>
      <c r="AK17" s="68">
        <f t="shared" si="0"/>
        <v>163094.97993239691</v>
      </c>
      <c r="AN17" s="68"/>
      <c r="AO17" s="69"/>
      <c r="AP17" s="68"/>
      <c r="AQ17" s="68">
        <v>733240.35</v>
      </c>
      <c r="AR17" s="69">
        <f t="shared" si="1"/>
        <v>-733240.35</v>
      </c>
      <c r="AS17" s="68">
        <v>2042100</v>
      </c>
    </row>
    <row r="18" spans="1:45" ht="22.65" customHeight="1">
      <c r="A18" s="52">
        <f t="shared" si="2"/>
        <v>13</v>
      </c>
      <c r="B18" s="72" t="s">
        <v>35</v>
      </c>
      <c r="C18" s="54">
        <f>+'[1]1 เดือน'!A365</f>
        <v>12</v>
      </c>
      <c r="D18" s="55">
        <f>+'[1]1 เดือน'!F365</f>
        <v>27551.422710280371</v>
      </c>
      <c r="E18" s="54">
        <f>+'[1]2 เดือน'!A69</f>
        <v>1</v>
      </c>
      <c r="F18" s="56">
        <f>+'[1]2 เดือน'!F69</f>
        <v>96.300000000000026</v>
      </c>
      <c r="G18" s="57">
        <f>+[1]สรุปรวมยอดหนี้ค้าง!G18-[1]เดือนก่อน!G18</f>
        <v>0</v>
      </c>
      <c r="H18" s="56">
        <f>+[1]สรุปรวมยอดหนี้ค้าง!H18-[1]เดือนก่อน!H18</f>
        <v>0</v>
      </c>
      <c r="I18" s="57">
        <v>0</v>
      </c>
      <c r="J18" s="56">
        <f>+[1]สรุปรวมยอดหนี้ค้าง!J18-[1]เดือนก่อน!J18</f>
        <v>0</v>
      </c>
      <c r="K18" s="58">
        <f t="shared" si="3"/>
        <v>13</v>
      </c>
      <c r="L18" s="56">
        <f t="shared" si="3"/>
        <v>27647.72271028037</v>
      </c>
      <c r="M18" s="57">
        <f>+'[1]เกิน 12'!A46</f>
        <v>0</v>
      </c>
      <c r="N18" s="56">
        <f>+'[1]เกิน 12'!F46</f>
        <v>0</v>
      </c>
      <c r="O18" s="57">
        <f t="shared" si="4"/>
        <v>13</v>
      </c>
      <c r="P18" s="56">
        <f t="shared" si="4"/>
        <v>27647.72271028037</v>
      </c>
      <c r="Q18" s="74">
        <f>+[1]ปรับโครงสร้างหนี้!A43</f>
        <v>0</v>
      </c>
      <c r="R18" s="59">
        <f>+[1]ปรับโครงสร้างหนี้!F43</f>
        <v>0</v>
      </c>
      <c r="S18" s="57">
        <v>0</v>
      </c>
      <c r="T18" s="59">
        <v>0</v>
      </c>
      <c r="U18" s="84">
        <f>+[1]หนี้ดำเนินคดี!A146</f>
        <v>2</v>
      </c>
      <c r="V18" s="73">
        <f>+[1]หนี้ดำเนินคดี!F146</f>
        <v>9044330.9700000007</v>
      </c>
      <c r="W18" s="52">
        <f>+[1]อยู่ระหว่างดำเนินคดี!A212</f>
        <v>0</v>
      </c>
      <c r="X18" s="73">
        <f>+[1]อยู่ระหว่างดำเนินคดี!F212</f>
        <v>0</v>
      </c>
      <c r="Y18" s="74">
        <f t="shared" si="5"/>
        <v>2</v>
      </c>
      <c r="Z18" s="73">
        <f t="shared" si="5"/>
        <v>9044330.9700000007</v>
      </c>
      <c r="AA18" s="57">
        <f t="shared" si="6"/>
        <v>15</v>
      </c>
      <c r="AB18" s="65">
        <f t="shared" si="6"/>
        <v>9071978.6927102804</v>
      </c>
      <c r="AC18" s="79"/>
      <c r="AD18" s="66">
        <v>0</v>
      </c>
      <c r="AE18" s="67">
        <f t="shared" si="7"/>
        <v>0</v>
      </c>
      <c r="AG18" s="85"/>
      <c r="AH18" s="69"/>
      <c r="AI18" s="70">
        <f t="shared" si="8"/>
        <v>-9071978.6927102804</v>
      </c>
      <c r="AJ18" s="68">
        <v>9039191.9299999997</v>
      </c>
      <c r="AK18" s="68">
        <f t="shared" si="0"/>
        <v>-32786.762710280716</v>
      </c>
      <c r="AN18" s="83"/>
      <c r="AO18" s="76"/>
      <c r="AP18" s="83"/>
      <c r="AQ18" s="75">
        <v>8701630.1300000008</v>
      </c>
      <c r="AR18" s="77">
        <f t="shared" si="1"/>
        <v>-8701630.1300000008</v>
      </c>
      <c r="AS18" s="75">
        <v>63865.35</v>
      </c>
    </row>
    <row r="19" spans="1:45" ht="22.65" customHeight="1">
      <c r="A19" s="52">
        <f t="shared" si="2"/>
        <v>14</v>
      </c>
      <c r="B19" s="72" t="s">
        <v>36</v>
      </c>
      <c r="C19" s="54">
        <f>+'[1]1 เดือน'!A351</f>
        <v>172</v>
      </c>
      <c r="D19" s="55">
        <f>+'[1]1 เดือน'!F351</f>
        <v>197067.17</v>
      </c>
      <c r="E19" s="54">
        <f>+'[1]2 เดือน'!A94</f>
        <v>23</v>
      </c>
      <c r="F19" s="56">
        <f>+'[1]2 เดือน'!F94</f>
        <v>25895</v>
      </c>
      <c r="G19" s="57">
        <f>+'[1]3-6'!A92</f>
        <v>30</v>
      </c>
      <c r="H19" s="56">
        <f>+'[1]3-6'!F92</f>
        <v>125063.5</v>
      </c>
      <c r="I19" s="57">
        <f>+'[1]7-12'!A65</f>
        <v>9</v>
      </c>
      <c r="J19" s="56">
        <f>+'[1]7-12'!F65</f>
        <v>37021</v>
      </c>
      <c r="K19" s="58">
        <f>+C19+E19+G19+I19</f>
        <v>234</v>
      </c>
      <c r="L19" s="56">
        <f>+D19+F19+H19+J19</f>
        <v>385046.67000000004</v>
      </c>
      <c r="M19" s="57">
        <f>+'[1]เกิน 12'!A133</f>
        <v>85</v>
      </c>
      <c r="N19" s="56">
        <f>+'[1]เกิน 12'!F133</f>
        <v>1155065.5586999999</v>
      </c>
      <c r="O19" s="57">
        <f t="shared" si="4"/>
        <v>319</v>
      </c>
      <c r="P19" s="56">
        <f>+L19+N19</f>
        <v>1540112.2286999999</v>
      </c>
      <c r="Q19" s="74">
        <f>+[1]ปรับโครงสร้างหนี้!A47</f>
        <v>1</v>
      </c>
      <c r="R19" s="59">
        <f>+[1]ปรับโครงสร้างหนี้!F47</f>
        <v>10977</v>
      </c>
      <c r="S19" s="57">
        <f>+[1]หนี้บอกเลิกสัญญา!A937</f>
        <v>19</v>
      </c>
      <c r="T19" s="59">
        <f>+[1]หนี้บอกเลิกสัญญา!F937</f>
        <v>513079.00999999972</v>
      </c>
      <c r="U19" s="52">
        <f>+[1]หนี้ดำเนินคดี!A117</f>
        <v>1</v>
      </c>
      <c r="V19" s="73">
        <f>+[1]หนี้ดำเนินคดี!F117</f>
        <v>39933.51</v>
      </c>
      <c r="W19" s="57">
        <f>+[1]อยู่ระหว่างดำเนินคดี!A217</f>
        <v>2</v>
      </c>
      <c r="X19" s="73">
        <f>+[1]อยู่ระหว่างดำเนินคดี!F217</f>
        <v>91700</v>
      </c>
      <c r="Y19" s="74">
        <f t="shared" si="5"/>
        <v>3</v>
      </c>
      <c r="Z19" s="73">
        <f t="shared" si="5"/>
        <v>131633.51</v>
      </c>
      <c r="AA19" s="57">
        <f t="shared" si="6"/>
        <v>342</v>
      </c>
      <c r="AB19" s="65">
        <f t="shared" si="6"/>
        <v>2195801.7486999994</v>
      </c>
      <c r="AC19" s="79"/>
      <c r="AD19" s="66">
        <v>1401472.9387000001</v>
      </c>
      <c r="AE19" s="67">
        <f t="shared" si="7"/>
        <v>-246407.38000000012</v>
      </c>
      <c r="AH19" s="69"/>
      <c r="AI19" s="70">
        <f t="shared" si="8"/>
        <v>-2195801.7486999994</v>
      </c>
      <c r="AJ19" s="68">
        <v>3898901.1200000006</v>
      </c>
      <c r="AK19" s="68">
        <f t="shared" si="0"/>
        <v>1703099.3713000012</v>
      </c>
      <c r="AN19" s="68"/>
      <c r="AO19" s="69"/>
      <c r="AP19" s="68"/>
      <c r="AQ19" s="68">
        <v>1057364.75</v>
      </c>
      <c r="AR19" s="69">
        <f t="shared" si="1"/>
        <v>-1057364.75</v>
      </c>
      <c r="AS19" s="68">
        <v>21118169.800000001</v>
      </c>
    </row>
    <row r="20" spans="1:45" ht="22.65" customHeight="1">
      <c r="A20" s="52">
        <f t="shared" si="2"/>
        <v>15</v>
      </c>
      <c r="B20" s="72" t="s">
        <v>37</v>
      </c>
      <c r="C20" s="54">
        <f>+'[1]1 เดือน'!A435</f>
        <v>0</v>
      </c>
      <c r="D20" s="55">
        <f>+'[1]1 เดือน'!F435</f>
        <v>0</v>
      </c>
      <c r="E20" s="54">
        <f>+'[1]2 เดือน'!A111</f>
        <v>0</v>
      </c>
      <c r="F20" s="56">
        <f>+'[1]2 เดือน'!F111</f>
        <v>0</v>
      </c>
      <c r="G20" s="57">
        <f>+'[1]3-6'!A99</f>
        <v>0</v>
      </c>
      <c r="H20" s="56">
        <f>+'[1]3-6'!F99</f>
        <v>0</v>
      </c>
      <c r="I20" s="57">
        <f>+[1]สรุปรวมยอดหนี้ค้าง!I20+[1]เดือนก่อน!I20</f>
        <v>0</v>
      </c>
      <c r="J20" s="56">
        <f>+[1]สรุปรวมยอดหนี้ค้าง!J20-[1]เดือนก่อน!J20</f>
        <v>0</v>
      </c>
      <c r="K20" s="58">
        <f t="shared" si="3"/>
        <v>0</v>
      </c>
      <c r="L20" s="56">
        <f t="shared" si="3"/>
        <v>0</v>
      </c>
      <c r="M20" s="57">
        <f>+'[1]เกิน 12'!A141</f>
        <v>6</v>
      </c>
      <c r="N20" s="56">
        <f>+'[1]เกิน 12'!F141</f>
        <v>195600</v>
      </c>
      <c r="O20" s="57">
        <f t="shared" si="4"/>
        <v>6</v>
      </c>
      <c r="P20" s="56">
        <f t="shared" si="4"/>
        <v>195600</v>
      </c>
      <c r="Q20" s="57">
        <f>+[1]ปรับโครงสร้างหนี้!A60</f>
        <v>3</v>
      </c>
      <c r="R20" s="56">
        <f>+[1]ปรับโครงสร้างหนี้!F60</f>
        <v>100800</v>
      </c>
      <c r="S20" s="57">
        <f>+[1]หนี้บอกเลิกสัญญา!A963</f>
        <v>9</v>
      </c>
      <c r="T20" s="56">
        <f>+[1]หนี้บอกเลิกสัญญา!F963</f>
        <v>347800</v>
      </c>
      <c r="U20" s="52">
        <f>+[1]หนี้ดำเนินคดี!A168</f>
        <v>0</v>
      </c>
      <c r="V20" s="73">
        <f>+[1]หนี้ดำเนินคดี!F168</f>
        <v>0</v>
      </c>
      <c r="W20" s="74">
        <f>+[1]อยู่ระหว่างดำเนินคดี!A237</f>
        <v>1</v>
      </c>
      <c r="X20" s="73">
        <f>+[1]อยู่ระหว่างดำเนินคดี!F237</f>
        <v>39100</v>
      </c>
      <c r="Y20" s="74">
        <f t="shared" si="5"/>
        <v>1</v>
      </c>
      <c r="Z20" s="73">
        <f t="shared" si="5"/>
        <v>39100</v>
      </c>
      <c r="AA20" s="57">
        <f t="shared" si="6"/>
        <v>19</v>
      </c>
      <c r="AB20" s="65">
        <f t="shared" si="6"/>
        <v>683300</v>
      </c>
      <c r="AC20" s="52"/>
      <c r="AD20" s="66">
        <v>219200</v>
      </c>
      <c r="AE20" s="67">
        <f t="shared" si="7"/>
        <v>-23600</v>
      </c>
      <c r="AH20" s="69"/>
      <c r="AI20" s="70">
        <f t="shared" si="8"/>
        <v>-683300</v>
      </c>
      <c r="AJ20" s="68">
        <v>946200</v>
      </c>
      <c r="AK20" s="68">
        <f t="shared" si="0"/>
        <v>262900</v>
      </c>
      <c r="AN20" s="68"/>
      <c r="AO20" s="69"/>
      <c r="AP20" s="68"/>
      <c r="AQ20" s="68">
        <v>899400</v>
      </c>
      <c r="AR20" s="69">
        <f t="shared" si="1"/>
        <v>-899400</v>
      </c>
      <c r="AS20" s="68">
        <v>3212233.58</v>
      </c>
    </row>
    <row r="21" spans="1:45" ht="22.65" customHeight="1">
      <c r="A21" s="52">
        <f t="shared" si="2"/>
        <v>16</v>
      </c>
      <c r="B21" s="72" t="s">
        <v>38</v>
      </c>
      <c r="C21" s="54">
        <f>+'[1]1 เดือน'!A470</f>
        <v>33</v>
      </c>
      <c r="D21" s="55">
        <f>+'[1]1 เดือน'!F470</f>
        <v>191268.32760000002</v>
      </c>
      <c r="E21" s="54">
        <f>+'[1]2 เดือน'!A103</f>
        <v>3</v>
      </c>
      <c r="F21" s="56">
        <f>+'[1]2 เดือน'!F103</f>
        <v>45030.9</v>
      </c>
      <c r="G21" s="57">
        <f>+'[1]3-6'!A102</f>
        <v>0</v>
      </c>
      <c r="H21" s="56">
        <f>+'[1]3-6'!F102</f>
        <v>0</v>
      </c>
      <c r="I21" s="57">
        <f>+'[1]7-12'!A88</f>
        <v>16</v>
      </c>
      <c r="J21" s="56">
        <f>+'[1]7-12'!F88</f>
        <v>103697.45000000003</v>
      </c>
      <c r="K21" s="58">
        <f t="shared" si="3"/>
        <v>52</v>
      </c>
      <c r="L21" s="56">
        <f t="shared" si="3"/>
        <v>339996.67760000005</v>
      </c>
      <c r="M21" s="57">
        <f>+'[1]เกิน 12'!A145</f>
        <v>2</v>
      </c>
      <c r="N21" s="56">
        <f>+'[1]เกิน 12'!F145</f>
        <v>31095.895600000003</v>
      </c>
      <c r="O21" s="57">
        <f t="shared" si="4"/>
        <v>54</v>
      </c>
      <c r="P21" s="56">
        <f>+L21+N21+0.01</f>
        <v>371092.58320000005</v>
      </c>
      <c r="Q21" s="74">
        <v>0</v>
      </c>
      <c r="R21" s="59">
        <v>0</v>
      </c>
      <c r="S21" s="57">
        <f>+[1]หนี้บอกเลิกสัญญา!A952</f>
        <v>0</v>
      </c>
      <c r="T21" s="59">
        <f>+[1]หนี้บอกเลิกสัญญา!F952</f>
        <v>0</v>
      </c>
      <c r="U21" s="52">
        <f>+[1]หนี้ดำเนินคดี!A154</f>
        <v>4</v>
      </c>
      <c r="V21" s="73">
        <f>+[1]หนี้ดำเนินคดี!F154</f>
        <v>1363508.3699999999</v>
      </c>
      <c r="W21" s="52">
        <f>+[1]อยู่ระหว่างดำเนินคดี!A228</f>
        <v>0</v>
      </c>
      <c r="X21" s="73">
        <f>+[1]อยู่ระหว่างดำเนินคดี!F228</f>
        <v>0</v>
      </c>
      <c r="Y21" s="74">
        <f t="shared" si="5"/>
        <v>4</v>
      </c>
      <c r="Z21" s="73">
        <f t="shared" si="5"/>
        <v>1363508.3699999999</v>
      </c>
      <c r="AA21" s="57">
        <f t="shared" si="6"/>
        <v>58</v>
      </c>
      <c r="AB21" s="65">
        <f>+L21+N21+R21+T21+V21+X21+0.01</f>
        <v>1734600.9531999999</v>
      </c>
      <c r="AC21" s="52"/>
      <c r="AD21" s="66">
        <v>32160.335599999999</v>
      </c>
      <c r="AE21" s="67">
        <f t="shared" si="7"/>
        <v>-1064.4399999999951</v>
      </c>
      <c r="AH21" s="69"/>
      <c r="AI21" s="70">
        <f t="shared" si="8"/>
        <v>-1734600.9531999999</v>
      </c>
      <c r="AJ21" s="68">
        <v>5240446.0800000019</v>
      </c>
      <c r="AK21" s="68">
        <f t="shared" si="0"/>
        <v>3505845.1268000021</v>
      </c>
      <c r="AN21" s="68"/>
      <c r="AO21" s="69"/>
      <c r="AP21" s="68"/>
      <c r="AQ21" s="68">
        <v>4540259.71</v>
      </c>
      <c r="AR21" s="69">
        <f t="shared" si="1"/>
        <v>-4540259.71</v>
      </c>
      <c r="AS21" s="68"/>
    </row>
    <row r="22" spans="1:45" ht="22.65" customHeight="1">
      <c r="A22" s="52">
        <f t="shared" si="2"/>
        <v>17</v>
      </c>
      <c r="B22" s="86" t="s">
        <v>39</v>
      </c>
      <c r="C22" s="87">
        <f>+'[1]1 เดือน'!A475</f>
        <v>0</v>
      </c>
      <c r="D22" s="88">
        <f>+'[1]1 เดือน'!F475</f>
        <v>0</v>
      </c>
      <c r="E22" s="87">
        <f>+'[1]2 เดือน'!A107</f>
        <v>2</v>
      </c>
      <c r="F22" s="89">
        <f>+'[1]2 เดือน'!F107</f>
        <v>19300</v>
      </c>
      <c r="G22" s="90">
        <f>+'[1]3-6'!A105</f>
        <v>1</v>
      </c>
      <c r="H22" s="89">
        <f>+'[1]3-6'!F105</f>
        <v>9720</v>
      </c>
      <c r="I22" s="90">
        <f>+'[1]7-12'!A93</f>
        <v>0</v>
      </c>
      <c r="J22" s="89">
        <f>+'[1]7-12'!F93</f>
        <v>0</v>
      </c>
      <c r="K22" s="58">
        <f t="shared" si="3"/>
        <v>3</v>
      </c>
      <c r="L22" s="56">
        <f t="shared" si="3"/>
        <v>29020</v>
      </c>
      <c r="M22" s="90">
        <f>+'[1]เกิน 12'!A153</f>
        <v>0</v>
      </c>
      <c r="N22" s="89">
        <f>+'[1]เกิน 12'!F153</f>
        <v>0</v>
      </c>
      <c r="O22" s="57">
        <f t="shared" si="4"/>
        <v>3</v>
      </c>
      <c r="P22" s="56">
        <f t="shared" si="4"/>
        <v>29020</v>
      </c>
      <c r="Q22" s="91">
        <f>+[1]ปรับโครงสร้างหนี้!A66</f>
        <v>0</v>
      </c>
      <c r="R22" s="92">
        <f>+[1]ปรับโครงสร้างหนี้!F66</f>
        <v>0</v>
      </c>
      <c r="S22" s="90">
        <v>0</v>
      </c>
      <c r="T22" s="92">
        <v>0</v>
      </c>
      <c r="U22" s="93">
        <f>+[1]หนี้ดำเนินคดี!A165</f>
        <v>3</v>
      </c>
      <c r="V22" s="94">
        <f>+[1]หนี้ดำเนินคดี!F165</f>
        <v>712893.26</v>
      </c>
      <c r="W22" s="91">
        <f>+[1]อยู่ระหว่างดำเนินคดี!A234</f>
        <v>3</v>
      </c>
      <c r="X22" s="94">
        <f>+[1]อยู่ระหว่างดำเนินคดี!F234</f>
        <v>136800</v>
      </c>
      <c r="Y22" s="95">
        <f t="shared" si="5"/>
        <v>6</v>
      </c>
      <c r="Z22" s="96">
        <f t="shared" si="5"/>
        <v>849693.26</v>
      </c>
      <c r="AA22" s="57">
        <f t="shared" si="6"/>
        <v>9</v>
      </c>
      <c r="AB22" s="65">
        <f t="shared" si="6"/>
        <v>878713.26</v>
      </c>
      <c r="AC22" s="93"/>
      <c r="AD22" s="66">
        <v>0</v>
      </c>
      <c r="AE22" s="67">
        <f t="shared" si="7"/>
        <v>0</v>
      </c>
      <c r="AH22" s="69"/>
      <c r="AI22" s="70">
        <f t="shared" si="8"/>
        <v>-878713.26</v>
      </c>
      <c r="AJ22" s="68">
        <v>685739.29999999993</v>
      </c>
      <c r="AK22" s="68">
        <f t="shared" si="0"/>
        <v>-192973.96000000008</v>
      </c>
      <c r="AN22" s="68"/>
      <c r="AO22" s="69"/>
      <c r="AP22" s="68"/>
      <c r="AQ22" s="68">
        <v>680124.8</v>
      </c>
      <c r="AR22" s="69">
        <f t="shared" si="1"/>
        <v>-680124.8</v>
      </c>
      <c r="AS22" s="68"/>
    </row>
    <row r="23" spans="1:45" ht="33.75" customHeight="1" thickBot="1">
      <c r="A23" s="97"/>
      <c r="B23" s="98" t="s">
        <v>11</v>
      </c>
      <c r="C23" s="99">
        <f>SUM(C6:C22)</f>
        <v>419</v>
      </c>
      <c r="D23" s="100">
        <f t="shared" ref="D23:AA23" si="9">SUM(D6:D22)</f>
        <v>904641.85931028053</v>
      </c>
      <c r="E23" s="99">
        <f>SUM(E6:E22)</f>
        <v>56</v>
      </c>
      <c r="F23" s="100">
        <f t="shared" si="9"/>
        <v>434649.48000000004</v>
      </c>
      <c r="G23" s="99">
        <f>SUM(G6:G22)</f>
        <v>55</v>
      </c>
      <c r="H23" s="100">
        <f t="shared" si="9"/>
        <v>530911.65000000014</v>
      </c>
      <c r="I23" s="99">
        <f>SUM(I6:I22)</f>
        <v>29</v>
      </c>
      <c r="J23" s="100">
        <f t="shared" si="9"/>
        <v>166919.97000000003</v>
      </c>
      <c r="K23" s="99">
        <f>SUM(K6:K22)</f>
        <v>559</v>
      </c>
      <c r="L23" s="100">
        <f t="shared" si="9"/>
        <v>2037122.9593102806</v>
      </c>
      <c r="M23" s="99">
        <f>SUM(M6:M22)</f>
        <v>95</v>
      </c>
      <c r="N23" s="100">
        <f t="shared" si="9"/>
        <v>1703561.4542999999</v>
      </c>
      <c r="O23" s="99">
        <f>SUM(O6:O22)</f>
        <v>654</v>
      </c>
      <c r="P23" s="100">
        <f>SUM(P6:P22)</f>
        <v>3740684.4236102803</v>
      </c>
      <c r="Q23" s="99">
        <f>SUM(Q6:Q22)</f>
        <v>14</v>
      </c>
      <c r="R23" s="100">
        <f>SUM(R6:R22)</f>
        <v>3451894.94</v>
      </c>
      <c r="S23" s="99">
        <f t="shared" si="9"/>
        <v>604</v>
      </c>
      <c r="T23" s="100">
        <f t="shared" si="9"/>
        <v>12230457.119999999</v>
      </c>
      <c r="U23" s="99">
        <f t="shared" si="9"/>
        <v>54</v>
      </c>
      <c r="V23" s="100">
        <f t="shared" si="9"/>
        <v>41035706.959999986</v>
      </c>
      <c r="W23" s="99">
        <f t="shared" si="9"/>
        <v>130</v>
      </c>
      <c r="X23" s="100">
        <f t="shared" si="9"/>
        <v>6311433.8099999996</v>
      </c>
      <c r="Y23" s="99">
        <f t="shared" si="9"/>
        <v>184</v>
      </c>
      <c r="Z23" s="100">
        <f>SUM(Z6:Z22)</f>
        <v>47347140.769999981</v>
      </c>
      <c r="AA23" s="99">
        <f t="shared" si="9"/>
        <v>1456</v>
      </c>
      <c r="AB23" s="101">
        <f>SUM(AB6:AB22)+0.01</f>
        <v>66770177.263610274</v>
      </c>
      <c r="AC23" s="93"/>
      <c r="AD23" s="102"/>
      <c r="AE23" s="67">
        <f>SUM(AE6:AE22)</f>
        <v>-271071.82000000012</v>
      </c>
      <c r="AG23" s="103"/>
      <c r="AH23" s="69"/>
      <c r="AI23" s="70">
        <f t="shared" si="8"/>
        <v>-66770177.263610274</v>
      </c>
    </row>
    <row r="24" spans="1:45" s="69" customFormat="1" ht="37.5" customHeight="1" thickTop="1">
      <c r="A24" s="104"/>
      <c r="B24" s="105" t="s">
        <v>40</v>
      </c>
      <c r="C24" s="106">
        <v>359</v>
      </c>
      <c r="D24" s="107">
        <v>983968.0315794393</v>
      </c>
      <c r="E24" s="106">
        <v>72</v>
      </c>
      <c r="F24" s="108">
        <v>380362.03999999992</v>
      </c>
      <c r="G24" s="109">
        <v>46</v>
      </c>
      <c r="H24" s="108">
        <v>2531381.9899999998</v>
      </c>
      <c r="I24" s="109">
        <v>22</v>
      </c>
      <c r="J24" s="108">
        <v>83092.898699999991</v>
      </c>
      <c r="K24" s="110">
        <v>499</v>
      </c>
      <c r="L24" s="100">
        <v>3978804.9602794386</v>
      </c>
      <c r="M24" s="111">
        <v>136</v>
      </c>
      <c r="N24" s="108">
        <v>2148781.8955999999</v>
      </c>
      <c r="O24" s="112">
        <v>635</v>
      </c>
      <c r="P24" s="108">
        <v>6127586.855879439</v>
      </c>
      <c r="Q24" s="99">
        <v>12</v>
      </c>
      <c r="R24" s="113">
        <v>969903.94</v>
      </c>
      <c r="S24" s="114">
        <v>602</v>
      </c>
      <c r="T24" s="115">
        <v>12238113.559999997</v>
      </c>
      <c r="U24" s="111">
        <v>54</v>
      </c>
      <c r="V24" s="113">
        <v>41040265.359999992</v>
      </c>
      <c r="W24" s="111">
        <v>127</v>
      </c>
      <c r="X24" s="113">
        <v>6226286.21</v>
      </c>
      <c r="Y24" s="116">
        <v>181</v>
      </c>
      <c r="Z24" s="113">
        <v>47266551.569999985</v>
      </c>
      <c r="AA24" s="117">
        <v>1430</v>
      </c>
      <c r="AB24" s="118">
        <v>66602155.935879439</v>
      </c>
      <c r="AC24" s="119"/>
      <c r="AD24" s="119"/>
      <c r="AE24" s="102"/>
      <c r="AF24" s="68"/>
      <c r="AG24" s="68"/>
      <c r="AJ24" s="68"/>
      <c r="AK24" s="68"/>
      <c r="AN24" s="68"/>
      <c r="AP24" s="68"/>
      <c r="AQ24" s="68"/>
      <c r="AS24" s="68"/>
    </row>
    <row r="25" spans="1:45" s="69" customFormat="1" ht="37.5" customHeight="1">
      <c r="A25" s="104"/>
      <c r="B25" s="105" t="s">
        <v>41</v>
      </c>
      <c r="C25" s="120">
        <f>+C23-C24</f>
        <v>60</v>
      </c>
      <c r="D25" s="121">
        <f t="shared" ref="D25:AB25" si="10">+D23-D24</f>
        <v>-79326.172269158764</v>
      </c>
      <c r="E25" s="122">
        <f t="shared" si="10"/>
        <v>-16</v>
      </c>
      <c r="F25" s="123">
        <f t="shared" si="10"/>
        <v>54287.440000000119</v>
      </c>
      <c r="G25" s="122">
        <f t="shared" si="10"/>
        <v>9</v>
      </c>
      <c r="H25" s="121">
        <f t="shared" si="10"/>
        <v>-2000470.3399999996</v>
      </c>
      <c r="I25" s="122">
        <f t="shared" si="10"/>
        <v>7</v>
      </c>
      <c r="J25" s="124">
        <f t="shared" si="10"/>
        <v>83827.07130000004</v>
      </c>
      <c r="K25" s="122">
        <f t="shared" si="10"/>
        <v>60</v>
      </c>
      <c r="L25" s="121">
        <f t="shared" si="10"/>
        <v>-1941682.000969158</v>
      </c>
      <c r="M25" s="122">
        <f t="shared" si="10"/>
        <v>-41</v>
      </c>
      <c r="N25" s="121">
        <f t="shared" si="10"/>
        <v>-445220.44130000006</v>
      </c>
      <c r="O25" s="122">
        <f t="shared" si="10"/>
        <v>19</v>
      </c>
      <c r="P25" s="121">
        <f>+P23-P24</f>
        <v>-2386902.4322691588</v>
      </c>
      <c r="Q25" s="122">
        <f t="shared" si="10"/>
        <v>2</v>
      </c>
      <c r="R25" s="124">
        <f t="shared" si="10"/>
        <v>2481991</v>
      </c>
      <c r="S25" s="122">
        <f t="shared" si="10"/>
        <v>2</v>
      </c>
      <c r="T25" s="121">
        <f t="shared" si="10"/>
        <v>-7656.4399999976158</v>
      </c>
      <c r="U25" s="122">
        <f t="shared" si="10"/>
        <v>0</v>
      </c>
      <c r="V25" s="125">
        <f t="shared" si="10"/>
        <v>-4558.4000000059605</v>
      </c>
      <c r="W25" s="122">
        <f t="shared" si="10"/>
        <v>3</v>
      </c>
      <c r="X25" s="124">
        <f t="shared" si="10"/>
        <v>85147.599999999627</v>
      </c>
      <c r="Y25" s="122">
        <f t="shared" si="10"/>
        <v>3</v>
      </c>
      <c r="Z25" s="124">
        <f t="shared" si="10"/>
        <v>80589.19999999553</v>
      </c>
      <c r="AA25" s="122">
        <f t="shared" si="10"/>
        <v>26</v>
      </c>
      <c r="AB25" s="126">
        <f t="shared" si="10"/>
        <v>168021.32773083448</v>
      </c>
      <c r="AC25" s="119"/>
      <c r="AD25" s="119"/>
      <c r="AE25" s="102"/>
      <c r="AF25" s="68"/>
      <c r="AG25" s="68"/>
      <c r="AJ25" s="68"/>
      <c r="AK25" s="68"/>
      <c r="AN25" s="75" t="s">
        <v>1</v>
      </c>
      <c r="AP25" s="75"/>
      <c r="AQ25" s="75"/>
      <c r="AS25" s="75"/>
    </row>
    <row r="26" spans="1:45" s="69" customFormat="1" ht="9" customHeight="1">
      <c r="A26" s="127"/>
      <c r="B26" s="102"/>
      <c r="C26" s="128"/>
      <c r="D26" s="129"/>
      <c r="E26" s="128"/>
      <c r="F26" s="130"/>
      <c r="G26" s="102"/>
      <c r="H26" s="130"/>
      <c r="I26" s="102"/>
      <c r="J26" s="130"/>
      <c r="K26" s="130"/>
      <c r="L26" s="130"/>
      <c r="M26" s="131"/>
      <c r="N26" s="130"/>
      <c r="O26" s="132"/>
      <c r="P26" s="133"/>
      <c r="Q26" s="132"/>
      <c r="R26" s="132"/>
      <c r="S26" s="132"/>
      <c r="T26" s="132"/>
      <c r="U26" s="131"/>
      <c r="V26" s="134"/>
      <c r="W26" s="131"/>
      <c r="X26" s="134"/>
      <c r="Y26" s="132"/>
      <c r="Z26" s="132"/>
      <c r="AA26" s="135"/>
      <c r="AB26" s="136"/>
      <c r="AC26" s="119"/>
      <c r="AD26" s="119"/>
      <c r="AE26" s="102"/>
      <c r="AF26" s="68"/>
      <c r="AG26" s="68"/>
      <c r="AJ26" s="68"/>
      <c r="AK26" s="68"/>
      <c r="AN26" s="75"/>
      <c r="AP26" s="75"/>
      <c r="AQ26" s="75"/>
      <c r="AS26" s="75"/>
    </row>
    <row r="27" spans="1:45" s="69" customFormat="1" ht="26.25" customHeight="1">
      <c r="A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02"/>
      <c r="S27" s="137"/>
      <c r="U27" s="127"/>
      <c r="V27" s="127"/>
      <c r="W27" s="127"/>
      <c r="X27" s="127"/>
      <c r="Y27" s="127"/>
      <c r="Z27" s="127"/>
      <c r="AA27" s="135"/>
      <c r="AB27" s="136"/>
      <c r="AC27" s="119"/>
      <c r="AD27" s="119"/>
      <c r="AE27" s="102"/>
      <c r="AF27" s="78"/>
      <c r="AG27" s="78"/>
      <c r="AJ27" s="78"/>
      <c r="AK27" s="78"/>
      <c r="AN27" s="75"/>
      <c r="AP27" s="75"/>
      <c r="AQ27" s="75"/>
      <c r="AS27" s="75"/>
    </row>
    <row r="28" spans="1:45" s="69" customFormat="1" ht="26.25" customHeight="1">
      <c r="A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02"/>
      <c r="S28" s="137"/>
      <c r="U28" s="127"/>
      <c r="V28" s="127"/>
      <c r="W28" s="127"/>
      <c r="X28" s="127"/>
      <c r="Y28" s="127"/>
      <c r="Z28" s="127"/>
      <c r="AA28" s="135"/>
      <c r="AB28" s="136"/>
      <c r="AC28" s="119"/>
      <c r="AD28" s="119"/>
      <c r="AE28" s="102"/>
      <c r="AF28" s="78"/>
      <c r="AG28" s="78"/>
      <c r="AJ28" s="78"/>
      <c r="AK28" s="78"/>
      <c r="AN28" s="75"/>
      <c r="AP28" s="75"/>
      <c r="AQ28" s="75"/>
      <c r="AS28" s="75"/>
    </row>
    <row r="29" spans="1:45" s="69" customFormat="1" ht="26.25" customHeight="1">
      <c r="A29" s="12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138"/>
      <c r="T29" s="3"/>
      <c r="U29" s="3"/>
      <c r="V29" s="3"/>
      <c r="W29" s="3"/>
      <c r="X29" s="3"/>
      <c r="Y29" s="3"/>
      <c r="Z29" s="3"/>
      <c r="AA29" s="3"/>
      <c r="AB29" s="139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75"/>
      <c r="AQ29" s="3"/>
      <c r="AR29" s="3"/>
      <c r="AS29" s="75"/>
    </row>
    <row r="30" spans="1:45" s="69" customFormat="1" ht="26.25" customHeight="1">
      <c r="A30" s="127"/>
      <c r="C30" s="128"/>
      <c r="D30" s="140"/>
      <c r="E30" s="140"/>
      <c r="F30" s="140"/>
      <c r="G30" s="140"/>
      <c r="H30" s="140"/>
      <c r="I30" s="140"/>
      <c r="J30" s="140"/>
      <c r="K30" s="140"/>
      <c r="L30" s="140"/>
      <c r="M30" s="131"/>
      <c r="N30" s="130"/>
      <c r="O30" s="132"/>
      <c r="P30" s="133"/>
      <c r="Q30" s="141"/>
      <c r="R30" s="142"/>
      <c r="S30" s="141"/>
      <c r="T30" s="142"/>
      <c r="U30" s="142"/>
      <c r="V30" s="142"/>
      <c r="W30" s="142"/>
      <c r="X30" s="142"/>
      <c r="Y30" s="142"/>
      <c r="Z30" s="142"/>
      <c r="AA30" s="141"/>
      <c r="AB30" s="143"/>
      <c r="AC30" s="119"/>
      <c r="AD30" s="119"/>
      <c r="AE30" s="102"/>
      <c r="AF30" s="78"/>
      <c r="AG30" s="78"/>
      <c r="AJ30" s="78"/>
      <c r="AK30" s="78"/>
      <c r="AN30" s="75"/>
      <c r="AP30" s="75"/>
      <c r="AQ30" s="75"/>
      <c r="AS30" s="75"/>
    </row>
    <row r="31" spans="1:45" s="69" customFormat="1" ht="26.25" customHeight="1">
      <c r="A31" s="127"/>
      <c r="B31" s="3" t="s">
        <v>42</v>
      </c>
      <c r="C31" s="128"/>
      <c r="D31" s="144"/>
      <c r="E31" s="144"/>
      <c r="F31" s="144"/>
      <c r="G31" s="144"/>
      <c r="H31" s="144"/>
      <c r="I31" s="144"/>
      <c r="J31" s="144"/>
      <c r="K31" s="144"/>
      <c r="L31" s="144"/>
      <c r="M31" s="131"/>
      <c r="N31" s="130"/>
      <c r="O31" s="132"/>
      <c r="P31" s="133"/>
      <c r="Q31" s="129"/>
      <c r="R31" s="145"/>
      <c r="S31" s="129"/>
      <c r="T31" s="145"/>
      <c r="U31" s="145"/>
      <c r="V31" s="145"/>
      <c r="W31" s="145"/>
      <c r="X31" s="145"/>
      <c r="Y31" s="145"/>
      <c r="Z31" s="145"/>
      <c r="AA31" s="129"/>
      <c r="AB31" s="143"/>
      <c r="AC31" s="119"/>
      <c r="AD31" s="119"/>
      <c r="AE31" s="102"/>
      <c r="AF31" s="78"/>
      <c r="AG31" s="78"/>
      <c r="AJ31" s="78"/>
      <c r="AK31" s="78"/>
      <c r="AN31" s="75"/>
      <c r="AP31" s="75"/>
      <c r="AQ31" s="75"/>
      <c r="AS31" s="75"/>
    </row>
    <row r="32" spans="1:45" s="69" customFormat="1" ht="37.5" customHeight="1">
      <c r="A32" s="127"/>
      <c r="B32" s="102"/>
      <c r="C32" s="128"/>
      <c r="D32" s="129"/>
      <c r="E32" s="128"/>
      <c r="F32" s="130"/>
      <c r="G32" s="102"/>
      <c r="H32" s="130"/>
      <c r="I32" s="102"/>
      <c r="J32" s="130"/>
      <c r="K32" s="130"/>
      <c r="L32" s="130"/>
      <c r="M32" s="131"/>
      <c r="N32" s="130"/>
      <c r="O32" s="132"/>
      <c r="P32" s="133"/>
      <c r="Q32" s="132"/>
      <c r="R32" s="132"/>
      <c r="S32" s="132"/>
      <c r="T32" s="132"/>
      <c r="U32" s="131"/>
      <c r="V32" s="134"/>
      <c r="W32" s="131"/>
      <c r="X32" s="134"/>
      <c r="Y32" s="132"/>
      <c r="Z32" s="132"/>
      <c r="AA32" s="135"/>
      <c r="AB32" s="136"/>
      <c r="AC32" s="119"/>
      <c r="AD32" s="119"/>
      <c r="AE32" s="102"/>
      <c r="AF32" s="78"/>
      <c r="AG32" s="78"/>
      <c r="AJ32" s="78"/>
      <c r="AK32" s="78"/>
      <c r="AN32" s="75"/>
      <c r="AP32" s="75"/>
      <c r="AQ32" s="75"/>
      <c r="AS32" s="75"/>
    </row>
    <row r="33" spans="1:45" s="69" customFormat="1" ht="37.5" customHeight="1">
      <c r="A33" s="127"/>
      <c r="B33" s="102"/>
      <c r="C33" s="128"/>
      <c r="D33" s="129"/>
      <c r="E33" s="128"/>
      <c r="F33" s="130"/>
      <c r="G33" s="102"/>
      <c r="H33" s="130"/>
      <c r="I33" s="102"/>
      <c r="J33" s="130"/>
      <c r="K33" s="130"/>
      <c r="L33" s="130"/>
      <c r="M33" s="131"/>
      <c r="N33" s="130"/>
      <c r="O33" s="132"/>
      <c r="P33" s="133"/>
      <c r="Q33" s="132"/>
      <c r="R33" s="132"/>
      <c r="S33" s="132"/>
      <c r="T33" s="132"/>
      <c r="U33" s="131"/>
      <c r="V33" s="134"/>
      <c r="W33" s="131"/>
      <c r="X33" s="134"/>
      <c r="Y33" s="132"/>
      <c r="Z33" s="132"/>
      <c r="AA33" s="135"/>
      <c r="AB33" s="136"/>
      <c r="AC33" s="119"/>
      <c r="AD33" s="119"/>
      <c r="AE33" s="102"/>
      <c r="AF33" s="78"/>
      <c r="AG33" s="78"/>
      <c r="AJ33" s="78"/>
      <c r="AK33" s="78"/>
      <c r="AN33" s="75"/>
      <c r="AP33" s="75"/>
      <c r="AQ33" s="75"/>
      <c r="AS33" s="75"/>
    </row>
    <row r="34" spans="1:45" s="69" customFormat="1" ht="37.5" customHeight="1">
      <c r="A34" s="127"/>
      <c r="B34" s="146"/>
      <c r="C34" s="128"/>
      <c r="D34" s="129"/>
      <c r="E34" s="128"/>
      <c r="F34" s="130"/>
      <c r="G34" s="102"/>
      <c r="H34" s="130"/>
      <c r="I34" s="102"/>
      <c r="J34" s="130"/>
      <c r="K34" s="130"/>
      <c r="L34" s="130"/>
      <c r="M34" s="131"/>
      <c r="N34" s="130"/>
      <c r="O34" s="132"/>
      <c r="P34" s="133"/>
      <c r="Q34" s="132"/>
      <c r="R34" s="132"/>
      <c r="S34" s="132"/>
      <c r="T34" s="132"/>
      <c r="U34" s="131"/>
      <c r="V34" s="134"/>
      <c r="W34" s="131"/>
      <c r="X34" s="134"/>
      <c r="Y34" s="132"/>
      <c r="Z34" s="132"/>
      <c r="AA34" s="135"/>
      <c r="AB34" s="136"/>
      <c r="AC34" s="119"/>
      <c r="AD34" s="119"/>
      <c r="AE34" s="102"/>
      <c r="AF34" s="68"/>
      <c r="AG34" s="68"/>
      <c r="AJ34" s="68"/>
      <c r="AK34" s="68"/>
      <c r="AN34" s="75"/>
      <c r="AP34" s="75"/>
      <c r="AQ34" s="75"/>
      <c r="AS34" s="75"/>
    </row>
    <row r="35" spans="1:45" s="69" customFormat="1" ht="37.5" customHeight="1">
      <c r="A35" s="127"/>
      <c r="B35" s="102"/>
      <c r="C35" s="128"/>
      <c r="D35" s="129"/>
      <c r="E35" s="128"/>
      <c r="F35" s="130"/>
      <c r="G35" s="102"/>
      <c r="H35" s="130"/>
      <c r="I35" s="102"/>
      <c r="J35" s="130"/>
      <c r="K35" s="130"/>
      <c r="L35" s="130"/>
      <c r="M35" s="131"/>
      <c r="N35" s="130"/>
      <c r="O35" s="132"/>
      <c r="P35" s="133"/>
      <c r="Q35" s="132"/>
      <c r="R35" s="132"/>
      <c r="S35" s="132"/>
      <c r="T35" s="132"/>
      <c r="U35" s="131"/>
      <c r="V35" s="134"/>
      <c r="W35" s="131"/>
      <c r="X35" s="134"/>
      <c r="Y35" s="132"/>
      <c r="Z35" s="132"/>
      <c r="AA35" s="135"/>
      <c r="AB35" s="136"/>
      <c r="AC35" s="119"/>
      <c r="AD35" s="119"/>
      <c r="AE35" s="102"/>
      <c r="AF35" s="68"/>
      <c r="AG35" s="68"/>
      <c r="AJ35" s="68"/>
      <c r="AK35" s="68"/>
      <c r="AN35" s="75"/>
      <c r="AP35" s="75"/>
      <c r="AQ35" s="75"/>
      <c r="AS35" s="75"/>
    </row>
    <row r="36" spans="1:45" s="69" customFormat="1" ht="37.5" customHeight="1">
      <c r="A36" s="127"/>
      <c r="B36" s="102"/>
      <c r="C36" s="128"/>
      <c r="D36" s="129"/>
      <c r="E36" s="128"/>
      <c r="F36" s="130"/>
      <c r="G36" s="102"/>
      <c r="H36" s="130"/>
      <c r="I36" s="102"/>
      <c r="J36" s="130"/>
      <c r="K36" s="130"/>
      <c r="L36" s="130"/>
      <c r="M36" s="131"/>
      <c r="N36" s="130"/>
      <c r="O36" s="132"/>
      <c r="P36" s="133"/>
      <c r="Q36" s="132"/>
      <c r="R36" s="132"/>
      <c r="S36" s="132"/>
      <c r="T36" s="132"/>
      <c r="U36" s="131"/>
      <c r="V36" s="134"/>
      <c r="W36" s="131"/>
      <c r="X36" s="134"/>
      <c r="Y36" s="132"/>
      <c r="Z36" s="132"/>
      <c r="AA36" s="135"/>
      <c r="AB36" s="136"/>
      <c r="AC36" s="119"/>
      <c r="AD36" s="119"/>
      <c r="AE36" s="102"/>
      <c r="AF36" s="68"/>
      <c r="AG36" s="68"/>
      <c r="AJ36" s="68"/>
      <c r="AK36" s="68"/>
      <c r="AN36" s="75"/>
      <c r="AP36" s="75"/>
      <c r="AQ36" s="75"/>
      <c r="AS36" s="75"/>
    </row>
    <row r="37" spans="1:45" s="69" customFormat="1" ht="37.5" customHeight="1">
      <c r="A37" s="127"/>
      <c r="B37" s="102"/>
      <c r="C37" s="128"/>
      <c r="D37" s="129"/>
      <c r="E37" s="128"/>
      <c r="F37" s="130"/>
      <c r="G37" s="102"/>
      <c r="H37" s="130"/>
      <c r="I37" s="102"/>
      <c r="J37" s="130"/>
      <c r="K37" s="130"/>
      <c r="L37" s="130"/>
      <c r="M37" s="131"/>
      <c r="N37" s="130"/>
      <c r="O37" s="132"/>
      <c r="P37" s="133"/>
      <c r="Q37" s="132"/>
      <c r="R37" s="132"/>
      <c r="S37" s="132"/>
      <c r="T37" s="132"/>
      <c r="U37" s="131"/>
      <c r="V37" s="134"/>
      <c r="W37" s="131"/>
      <c r="X37" s="134"/>
      <c r="Y37" s="132"/>
      <c r="Z37" s="132"/>
      <c r="AA37" s="135"/>
      <c r="AB37" s="136"/>
      <c r="AC37" s="119"/>
      <c r="AD37" s="119"/>
      <c r="AE37" s="102"/>
      <c r="AF37" s="68"/>
      <c r="AG37" s="68"/>
      <c r="AJ37" s="68"/>
      <c r="AK37" s="68"/>
      <c r="AN37" s="75"/>
      <c r="AP37" s="75"/>
      <c r="AQ37" s="75"/>
      <c r="AS37" s="75"/>
    </row>
    <row r="38" spans="1:45" s="69" customFormat="1" ht="37.5" customHeight="1">
      <c r="A38" s="127"/>
      <c r="B38" s="102"/>
      <c r="C38" s="128"/>
      <c r="D38" s="129"/>
      <c r="E38" s="128"/>
      <c r="F38" s="130"/>
      <c r="G38" s="102"/>
      <c r="H38" s="130"/>
      <c r="I38" s="102"/>
      <c r="J38" s="130"/>
      <c r="K38" s="130"/>
      <c r="L38" s="130"/>
      <c r="M38" s="131"/>
      <c r="N38" s="130"/>
      <c r="O38" s="132"/>
      <c r="P38" s="133"/>
      <c r="Q38" s="132"/>
      <c r="R38" s="132"/>
      <c r="S38" s="132"/>
      <c r="T38" s="132"/>
      <c r="U38" s="131"/>
      <c r="V38" s="134"/>
      <c r="W38" s="131"/>
      <c r="X38" s="134"/>
      <c r="Y38" s="132"/>
      <c r="Z38" s="132"/>
      <c r="AA38" s="135"/>
      <c r="AB38" s="136"/>
      <c r="AC38" s="119"/>
      <c r="AD38" s="119"/>
      <c r="AE38" s="102"/>
      <c r="AF38" s="68"/>
      <c r="AG38" s="68"/>
      <c r="AJ38" s="68"/>
      <c r="AK38" s="68"/>
      <c r="AN38" s="75"/>
      <c r="AP38" s="75"/>
      <c r="AQ38" s="75"/>
      <c r="AS38" s="75"/>
    </row>
    <row r="39" spans="1:45" s="69" customFormat="1" ht="37.5" customHeight="1">
      <c r="A39" s="127"/>
      <c r="B39" s="102"/>
      <c r="C39" s="128"/>
      <c r="D39" s="129"/>
      <c r="E39" s="128"/>
      <c r="F39" s="130"/>
      <c r="G39" s="102"/>
      <c r="H39" s="130"/>
      <c r="I39" s="102"/>
      <c r="J39" s="130"/>
      <c r="K39" s="130"/>
      <c r="L39" s="130"/>
      <c r="M39" s="131"/>
      <c r="N39" s="130"/>
      <c r="O39" s="132"/>
      <c r="P39" s="133"/>
      <c r="Q39" s="132"/>
      <c r="R39" s="132"/>
      <c r="S39" s="132"/>
      <c r="T39" s="132"/>
      <c r="U39" s="131"/>
      <c r="V39" s="134"/>
      <c r="W39" s="131"/>
      <c r="X39" s="134"/>
      <c r="Y39" s="132"/>
      <c r="Z39" s="132"/>
      <c r="AA39" s="135"/>
      <c r="AB39" s="136"/>
      <c r="AC39" s="119"/>
      <c r="AD39" s="119"/>
      <c r="AE39" s="102"/>
      <c r="AF39" s="68"/>
      <c r="AG39" s="68"/>
      <c r="AJ39" s="68"/>
      <c r="AK39" s="68"/>
      <c r="AN39" s="75"/>
      <c r="AP39" s="75"/>
      <c r="AQ39" s="75"/>
      <c r="AS39" s="75"/>
    </row>
    <row r="40" spans="1:45" s="69" customFormat="1" ht="37.5" customHeight="1">
      <c r="A40" s="127"/>
      <c r="B40" s="102"/>
      <c r="C40" s="128"/>
      <c r="D40" s="129"/>
      <c r="E40" s="128"/>
      <c r="F40" s="130"/>
      <c r="G40" s="102"/>
      <c r="H40" s="130"/>
      <c r="I40" s="102"/>
      <c r="J40" s="130"/>
      <c r="K40" s="130"/>
      <c r="L40" s="130"/>
      <c r="M40" s="131"/>
      <c r="N40" s="130"/>
      <c r="O40" s="132"/>
      <c r="P40" s="133"/>
      <c r="Q40" s="132"/>
      <c r="R40" s="132"/>
      <c r="S40" s="132"/>
      <c r="T40" s="132"/>
      <c r="U40" s="131"/>
      <c r="V40" s="134"/>
      <c r="W40" s="131"/>
      <c r="X40" s="134"/>
      <c r="Y40" s="132"/>
      <c r="Z40" s="132"/>
      <c r="AA40" s="135"/>
      <c r="AB40" s="136"/>
      <c r="AC40" s="119"/>
      <c r="AD40" s="119"/>
      <c r="AE40" s="102"/>
      <c r="AF40" s="68"/>
      <c r="AG40" s="68"/>
      <c r="AJ40" s="68"/>
      <c r="AK40" s="68"/>
      <c r="AN40" s="75"/>
      <c r="AP40" s="75"/>
      <c r="AQ40" s="75"/>
      <c r="AS40" s="75"/>
    </row>
    <row r="41" spans="1:45" s="69" customFormat="1" ht="37.5" customHeight="1">
      <c r="A41" s="127"/>
      <c r="B41" s="102"/>
      <c r="C41" s="128"/>
      <c r="D41" s="129"/>
      <c r="E41" s="128"/>
      <c r="F41" s="130"/>
      <c r="G41" s="102"/>
      <c r="H41" s="130"/>
      <c r="I41" s="102"/>
      <c r="J41" s="130"/>
      <c r="K41" s="130"/>
      <c r="L41" s="130"/>
      <c r="M41" s="131"/>
      <c r="N41" s="130"/>
      <c r="O41" s="132"/>
      <c r="P41" s="133"/>
      <c r="Q41" s="132"/>
      <c r="R41" s="132"/>
      <c r="S41" s="132"/>
      <c r="T41" s="132"/>
      <c r="U41" s="131"/>
      <c r="V41" s="134"/>
      <c r="W41" s="131"/>
      <c r="X41" s="134"/>
      <c r="Y41" s="132"/>
      <c r="Z41" s="132"/>
      <c r="AA41" s="135"/>
      <c r="AB41" s="136"/>
      <c r="AC41" s="119"/>
      <c r="AD41" s="119"/>
      <c r="AE41" s="102"/>
      <c r="AF41" s="68"/>
      <c r="AG41" s="68"/>
      <c r="AJ41" s="68"/>
      <c r="AK41" s="68"/>
      <c r="AN41" s="75"/>
      <c r="AP41" s="75"/>
      <c r="AQ41" s="75"/>
      <c r="AS41" s="75"/>
    </row>
    <row r="42" spans="1:45" s="69" customFormat="1" ht="37.5" customHeight="1">
      <c r="A42" s="127"/>
      <c r="B42" s="102"/>
      <c r="C42" s="128"/>
      <c r="D42" s="129"/>
      <c r="E42" s="128"/>
      <c r="F42" s="130"/>
      <c r="G42" s="102"/>
      <c r="H42" s="130"/>
      <c r="I42" s="102"/>
      <c r="J42" s="130"/>
      <c r="K42" s="130"/>
      <c r="L42" s="130"/>
      <c r="M42" s="131"/>
      <c r="N42" s="130"/>
      <c r="O42" s="132"/>
      <c r="P42" s="133"/>
      <c r="Q42" s="132"/>
      <c r="R42" s="132"/>
      <c r="S42" s="132"/>
      <c r="T42" s="132"/>
      <c r="U42" s="131"/>
      <c r="V42" s="134"/>
      <c r="W42" s="131"/>
      <c r="X42" s="134"/>
      <c r="Y42" s="132"/>
      <c r="Z42" s="132"/>
      <c r="AA42" s="135"/>
      <c r="AB42" s="136"/>
      <c r="AC42" s="119"/>
      <c r="AD42" s="119"/>
      <c r="AE42" s="102"/>
      <c r="AF42" s="68"/>
      <c r="AG42" s="68"/>
      <c r="AJ42" s="68"/>
      <c r="AK42" s="68"/>
      <c r="AN42" s="75"/>
      <c r="AP42" s="75"/>
      <c r="AQ42" s="75"/>
      <c r="AS42" s="75"/>
    </row>
    <row r="43" spans="1:45" s="69" customFormat="1" ht="37.5" customHeight="1">
      <c r="A43" s="127"/>
      <c r="B43" s="102"/>
      <c r="C43" s="128"/>
      <c r="D43" s="129"/>
      <c r="E43" s="128"/>
      <c r="F43" s="130"/>
      <c r="G43" s="102"/>
      <c r="H43" s="130"/>
      <c r="I43" s="102"/>
      <c r="J43" s="130"/>
      <c r="K43" s="130"/>
      <c r="L43" s="130"/>
      <c r="M43" s="131"/>
      <c r="N43" s="130"/>
      <c r="O43" s="132"/>
      <c r="P43" s="133"/>
      <c r="Q43" s="132"/>
      <c r="R43" s="132"/>
      <c r="S43" s="132"/>
      <c r="T43" s="132"/>
      <c r="U43" s="131"/>
      <c r="V43" s="134"/>
      <c r="W43" s="131"/>
      <c r="X43" s="134"/>
      <c r="Y43" s="132"/>
      <c r="Z43" s="132"/>
      <c r="AA43" s="135"/>
      <c r="AB43" s="136"/>
      <c r="AC43" s="119"/>
      <c r="AD43" s="119"/>
      <c r="AE43" s="102"/>
      <c r="AF43" s="68"/>
      <c r="AG43" s="68"/>
      <c r="AJ43" s="68"/>
      <c r="AK43" s="68"/>
      <c r="AN43" s="75"/>
      <c r="AP43" s="75"/>
      <c r="AQ43" s="75"/>
      <c r="AS43" s="75"/>
    </row>
    <row r="44" spans="1:45" s="69" customFormat="1" ht="37.5" customHeight="1">
      <c r="A44" s="127"/>
      <c r="B44" s="102"/>
      <c r="C44" s="128"/>
      <c r="D44" s="129"/>
      <c r="E44" s="128"/>
      <c r="F44" s="130"/>
      <c r="G44" s="102"/>
      <c r="H44" s="130"/>
      <c r="I44" s="102"/>
      <c r="J44" s="130"/>
      <c r="K44" s="130"/>
      <c r="L44" s="130"/>
      <c r="M44" s="131"/>
      <c r="N44" s="130"/>
      <c r="O44" s="132"/>
      <c r="P44" s="133"/>
      <c r="Q44" s="132"/>
      <c r="R44" s="132"/>
      <c r="S44" s="132"/>
      <c r="T44" s="132"/>
      <c r="U44" s="131"/>
      <c r="V44" s="134"/>
      <c r="W44" s="131"/>
      <c r="X44" s="134"/>
      <c r="Y44" s="132"/>
      <c r="Z44" s="132"/>
      <c r="AA44" s="135"/>
      <c r="AB44" s="136"/>
      <c r="AC44" s="119"/>
      <c r="AD44" s="119"/>
      <c r="AE44" s="102"/>
      <c r="AF44" s="68"/>
      <c r="AG44" s="68"/>
      <c r="AJ44" s="68"/>
      <c r="AK44" s="68"/>
      <c r="AN44" s="75"/>
      <c r="AP44" s="75"/>
      <c r="AQ44" s="75"/>
      <c r="AS44" s="75"/>
    </row>
    <row r="45" spans="1:45" s="69" customFormat="1" ht="37.5" customHeight="1">
      <c r="A45" s="127"/>
      <c r="B45" s="102"/>
      <c r="C45" s="128"/>
      <c r="D45" s="129"/>
      <c r="E45" s="128"/>
      <c r="F45" s="130"/>
      <c r="G45" s="102"/>
      <c r="H45" s="130"/>
      <c r="I45" s="102"/>
      <c r="J45" s="130"/>
      <c r="K45" s="130"/>
      <c r="L45" s="130"/>
      <c r="M45" s="131"/>
      <c r="N45" s="130"/>
      <c r="O45" s="132"/>
      <c r="P45" s="133"/>
      <c r="Q45" s="132"/>
      <c r="R45" s="132"/>
      <c r="S45" s="132"/>
      <c r="T45" s="132"/>
      <c r="U45" s="131"/>
      <c r="V45" s="134"/>
      <c r="W45" s="131"/>
      <c r="X45" s="134"/>
      <c r="Y45" s="132"/>
      <c r="Z45" s="132"/>
      <c r="AA45" s="135"/>
      <c r="AB45" s="136"/>
      <c r="AC45" s="119"/>
      <c r="AD45" s="119"/>
      <c r="AE45" s="102"/>
      <c r="AF45" s="68"/>
      <c r="AG45" s="68"/>
      <c r="AJ45" s="68"/>
      <c r="AK45" s="68"/>
      <c r="AN45" s="75"/>
      <c r="AP45" s="75"/>
      <c r="AQ45" s="75"/>
      <c r="AS45" s="75"/>
    </row>
    <row r="46" spans="1:45" s="69" customFormat="1" ht="37.5" customHeight="1">
      <c r="A46" s="127"/>
      <c r="B46" s="102"/>
      <c r="C46" s="128"/>
      <c r="D46" s="129"/>
      <c r="E46" s="128"/>
      <c r="F46" s="130"/>
      <c r="G46" s="102"/>
      <c r="H46" s="130"/>
      <c r="I46" s="102"/>
      <c r="J46" s="130"/>
      <c r="K46" s="130"/>
      <c r="L46" s="130"/>
      <c r="M46" s="131"/>
      <c r="N46" s="130"/>
      <c r="O46" s="132"/>
      <c r="P46" s="133"/>
      <c r="Q46" s="132"/>
      <c r="R46" s="132"/>
      <c r="S46" s="132"/>
      <c r="T46" s="132"/>
      <c r="U46" s="131"/>
      <c r="V46" s="134"/>
      <c r="W46" s="131"/>
      <c r="X46" s="134"/>
      <c r="Y46" s="132"/>
      <c r="Z46" s="132"/>
      <c r="AA46" s="135"/>
      <c r="AB46" s="136"/>
      <c r="AC46" s="119"/>
      <c r="AD46" s="119"/>
      <c r="AE46" s="102"/>
      <c r="AF46" s="68"/>
      <c r="AG46" s="68"/>
      <c r="AJ46" s="68"/>
      <c r="AK46" s="68"/>
      <c r="AN46" s="75"/>
      <c r="AP46" s="75"/>
      <c r="AQ46" s="75"/>
      <c r="AS46" s="75"/>
    </row>
    <row r="47" spans="1:45" s="69" customFormat="1" ht="37.5" customHeight="1">
      <c r="A47" s="127"/>
      <c r="B47" s="102"/>
      <c r="C47" s="128"/>
      <c r="D47" s="129"/>
      <c r="E47" s="128"/>
      <c r="F47" s="130"/>
      <c r="G47" s="102"/>
      <c r="H47" s="130"/>
      <c r="I47" s="102"/>
      <c r="J47" s="130"/>
      <c r="K47" s="130"/>
      <c r="L47" s="130"/>
      <c r="M47" s="131"/>
      <c r="N47" s="130"/>
      <c r="O47" s="132"/>
      <c r="P47" s="133"/>
      <c r="Q47" s="132"/>
      <c r="R47" s="132"/>
      <c r="S47" s="132"/>
      <c r="T47" s="132"/>
      <c r="U47" s="131"/>
      <c r="V47" s="134"/>
      <c r="W47" s="131"/>
      <c r="X47" s="134"/>
      <c r="Y47" s="132"/>
      <c r="Z47" s="132"/>
      <c r="AA47" s="135"/>
      <c r="AB47" s="136"/>
      <c r="AC47" s="119"/>
      <c r="AD47" s="119"/>
      <c r="AE47" s="102"/>
      <c r="AF47" s="68"/>
      <c r="AG47" s="68"/>
      <c r="AJ47" s="68"/>
      <c r="AK47" s="68"/>
      <c r="AN47" s="75"/>
      <c r="AP47" s="75"/>
      <c r="AQ47" s="75"/>
      <c r="AS47" s="75"/>
    </row>
    <row r="48" spans="1:45" s="69" customFormat="1" ht="37.5" customHeight="1">
      <c r="A48" s="127"/>
      <c r="B48" s="102"/>
      <c r="C48" s="128"/>
      <c r="D48" s="129"/>
      <c r="E48" s="128"/>
      <c r="F48" s="130"/>
      <c r="G48" s="102"/>
      <c r="H48" s="130"/>
      <c r="I48" s="102"/>
      <c r="J48" s="130"/>
      <c r="K48" s="130"/>
      <c r="L48" s="130"/>
      <c r="M48" s="131"/>
      <c r="N48" s="130"/>
      <c r="O48" s="132"/>
      <c r="P48" s="133"/>
      <c r="Q48" s="132"/>
      <c r="R48" s="132"/>
      <c r="S48" s="132"/>
      <c r="T48" s="132"/>
      <c r="U48" s="131"/>
      <c r="V48" s="134"/>
      <c r="W48" s="131"/>
      <c r="X48" s="134"/>
      <c r="Y48" s="132"/>
      <c r="Z48" s="132"/>
      <c r="AA48" s="135"/>
      <c r="AB48" s="136"/>
      <c r="AC48" s="119"/>
      <c r="AD48" s="119"/>
      <c r="AE48" s="102"/>
      <c r="AF48" s="68"/>
      <c r="AG48" s="68"/>
      <c r="AJ48" s="68"/>
      <c r="AK48" s="68"/>
      <c r="AN48" s="75"/>
      <c r="AP48" s="75"/>
      <c r="AQ48" s="75"/>
      <c r="AS48" s="75"/>
    </row>
    <row r="49" spans="1:45" s="69" customFormat="1" ht="37.5" customHeight="1">
      <c r="A49" s="127"/>
      <c r="B49" s="102"/>
      <c r="C49" s="128"/>
      <c r="D49" s="129"/>
      <c r="E49" s="128"/>
      <c r="F49" s="130"/>
      <c r="G49" s="102"/>
      <c r="H49" s="130"/>
      <c r="I49" s="102"/>
      <c r="J49" s="130"/>
      <c r="K49" s="130"/>
      <c r="L49" s="130"/>
      <c r="M49" s="131"/>
      <c r="N49" s="130"/>
      <c r="O49" s="132"/>
      <c r="P49" s="133"/>
      <c r="Q49" s="132"/>
      <c r="R49" s="132"/>
      <c r="S49" s="132"/>
      <c r="T49" s="132"/>
      <c r="U49" s="131"/>
      <c r="V49" s="134"/>
      <c r="W49" s="131"/>
      <c r="X49" s="134"/>
      <c r="Y49" s="132"/>
      <c r="Z49" s="132"/>
      <c r="AA49" s="135"/>
      <c r="AB49" s="136"/>
      <c r="AC49" s="119"/>
      <c r="AD49" s="119"/>
      <c r="AE49" s="102"/>
      <c r="AF49" s="68"/>
      <c r="AG49" s="68"/>
      <c r="AJ49" s="68"/>
      <c r="AK49" s="68"/>
      <c r="AN49" s="75"/>
      <c r="AP49" s="75"/>
      <c r="AQ49" s="75"/>
      <c r="AS49" s="75"/>
    </row>
    <row r="50" spans="1:45" s="69" customFormat="1" ht="37.5" customHeight="1">
      <c r="A50" s="127"/>
      <c r="B50" s="102"/>
      <c r="C50" s="128"/>
      <c r="D50" s="129"/>
      <c r="E50" s="128"/>
      <c r="F50" s="130"/>
      <c r="G50" s="102"/>
      <c r="H50" s="130"/>
      <c r="I50" s="102"/>
      <c r="J50" s="130"/>
      <c r="K50" s="130"/>
      <c r="L50" s="130"/>
      <c r="M50" s="131"/>
      <c r="N50" s="130"/>
      <c r="O50" s="132"/>
      <c r="P50" s="133"/>
      <c r="Q50" s="132"/>
      <c r="R50" s="132"/>
      <c r="S50" s="132"/>
      <c r="T50" s="132"/>
      <c r="U50" s="131"/>
      <c r="V50" s="134"/>
      <c r="W50" s="131"/>
      <c r="X50" s="134"/>
      <c r="Y50" s="132"/>
      <c r="Z50" s="132"/>
      <c r="AA50" s="135"/>
      <c r="AB50" s="136"/>
      <c r="AC50" s="119"/>
      <c r="AD50" s="119"/>
      <c r="AE50" s="102"/>
      <c r="AF50" s="68"/>
      <c r="AG50" s="68"/>
      <c r="AJ50" s="68"/>
      <c r="AK50" s="68"/>
      <c r="AN50" s="75"/>
      <c r="AP50" s="75"/>
      <c r="AQ50" s="75"/>
      <c r="AS50" s="75"/>
    </row>
    <row r="51" spans="1:45" ht="25.5" customHeight="1">
      <c r="A51" s="3"/>
      <c r="B51" s="138"/>
      <c r="C51" s="128"/>
      <c r="D51" s="147"/>
      <c r="E51" s="128"/>
      <c r="F51" s="148"/>
      <c r="G51" s="149"/>
      <c r="H51" s="147"/>
      <c r="I51" s="149"/>
      <c r="J51" s="150"/>
      <c r="K51" s="150"/>
      <c r="L51" s="150"/>
      <c r="M51" s="151"/>
      <c r="N51" s="150">
        <v>365937.62</v>
      </c>
      <c r="O51" s="152"/>
      <c r="P51" s="153"/>
      <c r="Q51" s="154"/>
      <c r="R51" s="155"/>
      <c r="S51" s="155"/>
      <c r="T51" s="155"/>
      <c r="U51" s="156"/>
      <c r="V51" s="156"/>
      <c r="W51" s="156"/>
      <c r="X51" s="156"/>
      <c r="Y51" s="157"/>
      <c r="Z51" s="158"/>
      <c r="AA51" s="159"/>
      <c r="AB51" s="160"/>
      <c r="AC51" s="161"/>
      <c r="AD51" s="161"/>
      <c r="AE51" s="162"/>
      <c r="AH51" s="69"/>
    </row>
    <row r="52" spans="1:45">
      <c r="A52" s="163" t="s">
        <v>43</v>
      </c>
      <c r="B52" s="3" t="s">
        <v>44</v>
      </c>
      <c r="C52" s="128"/>
      <c r="D52" s="147">
        <f>+D23+F23+H23+J23+N23</f>
        <v>3740684.4136102805</v>
      </c>
      <c r="E52" s="128"/>
      <c r="F52" s="147"/>
      <c r="G52" s="149"/>
      <c r="H52" s="148"/>
      <c r="I52" s="149"/>
      <c r="J52" s="148"/>
      <c r="K52" s="148"/>
      <c r="L52" s="148"/>
      <c r="M52" s="161"/>
      <c r="N52" s="148"/>
      <c r="O52" s="159"/>
      <c r="P52" s="164"/>
      <c r="Q52" s="165"/>
      <c r="R52" s="166"/>
      <c r="S52" s="166"/>
      <c r="T52" s="166"/>
      <c r="Z52" s="5"/>
      <c r="AA52" s="159"/>
      <c r="AB52" s="160">
        <v>56677411.099944808</v>
      </c>
      <c r="AC52" s="161"/>
      <c r="AD52" s="161"/>
      <c r="AE52" s="168"/>
    </row>
    <row r="53" spans="1:45" ht="25.2">
      <c r="A53" s="3"/>
      <c r="B53" s="3" t="s">
        <v>45</v>
      </c>
      <c r="C53" s="128"/>
      <c r="D53" s="169" t="e">
        <f>+#REF!+V23+X23</f>
        <v>#REF!</v>
      </c>
      <c r="E53" s="128"/>
      <c r="F53" s="147"/>
      <c r="G53" s="149"/>
      <c r="H53" s="148"/>
      <c r="I53" s="149"/>
      <c r="J53" s="148"/>
      <c r="K53" s="148"/>
      <c r="L53" s="148"/>
      <c r="M53" s="161"/>
      <c r="N53" s="148"/>
      <c r="O53" s="159"/>
      <c r="P53" s="170"/>
      <c r="Q53" s="171"/>
      <c r="R53" s="172"/>
      <c r="S53" s="172"/>
      <c r="T53" s="172"/>
      <c r="AA53" s="159"/>
      <c r="AB53" s="166"/>
      <c r="AC53" s="161"/>
      <c r="AD53" s="161"/>
      <c r="AE53" s="162"/>
      <c r="AH53" s="70"/>
    </row>
    <row r="54" spans="1:45" ht="30" customHeight="1">
      <c r="A54" s="3"/>
      <c r="B54" s="173" t="s">
        <v>46</v>
      </c>
      <c r="C54" s="128"/>
      <c r="D54" s="174" t="e">
        <f>SUM(D52:D53)</f>
        <v>#REF!</v>
      </c>
      <c r="E54" s="128"/>
      <c r="F54" s="147"/>
      <c r="G54" s="149"/>
      <c r="H54" s="148"/>
      <c r="I54" s="149"/>
      <c r="J54" s="148"/>
      <c r="K54" s="148"/>
      <c r="L54" s="148"/>
      <c r="M54" s="161"/>
      <c r="N54" s="148"/>
      <c r="O54" s="159"/>
      <c r="P54" s="170"/>
      <c r="Q54" s="171"/>
      <c r="R54" s="167"/>
      <c r="S54" s="167"/>
      <c r="T54" s="167"/>
      <c r="AA54" s="159"/>
      <c r="AB54" s="160"/>
      <c r="AC54" s="161"/>
      <c r="AD54" s="161"/>
      <c r="AE54" s="162"/>
    </row>
    <row r="55" spans="1:45">
      <c r="A55" s="3"/>
      <c r="B55" s="173"/>
      <c r="C55" s="128"/>
      <c r="D55" s="147"/>
      <c r="E55" s="128"/>
      <c r="F55" s="147"/>
      <c r="G55" s="149"/>
      <c r="H55" s="148"/>
      <c r="I55" s="149"/>
      <c r="J55" s="148"/>
      <c r="K55" s="148"/>
      <c r="L55" s="148"/>
      <c r="M55" s="161"/>
      <c r="N55" s="148"/>
      <c r="O55" s="159"/>
      <c r="P55" s="170"/>
      <c r="Q55" s="171"/>
      <c r="R55" s="167"/>
      <c r="S55" s="167"/>
      <c r="T55" s="167"/>
      <c r="AA55" s="159"/>
      <c r="AB55" s="166"/>
      <c r="AC55" s="161"/>
      <c r="AD55" s="161"/>
      <c r="AE55" s="162"/>
    </row>
    <row r="56" spans="1:45">
      <c r="A56" s="3">
        <v>1</v>
      </c>
      <c r="B56" s="173" t="s">
        <v>23</v>
      </c>
      <c r="C56" s="128">
        <v>38</v>
      </c>
      <c r="D56" s="147">
        <f t="shared" ref="D56:D72" si="11">+D6*0.0287</f>
        <v>4393.7592558999995</v>
      </c>
      <c r="E56" s="128">
        <v>70</v>
      </c>
      <c r="F56" s="147">
        <f t="shared" ref="F56:F72" si="12">+F6*0.0287</f>
        <v>8495.9829360000003</v>
      </c>
      <c r="G56" s="149">
        <v>3</v>
      </c>
      <c r="H56" s="147">
        <f t="shared" ref="H56:H72" si="13">+H6*0.0287</f>
        <v>10663.655191000002</v>
      </c>
      <c r="I56" s="149">
        <v>4</v>
      </c>
      <c r="J56" s="147">
        <f t="shared" ref="J56:J72" si="14">J6*0.0287</f>
        <v>0</v>
      </c>
      <c r="K56" s="147"/>
      <c r="L56" s="147"/>
      <c r="M56" s="161">
        <v>7</v>
      </c>
      <c r="N56" s="147">
        <f t="shared" ref="N56:N68" si="15">+N6</f>
        <v>321800</v>
      </c>
      <c r="O56" s="159">
        <v>122</v>
      </c>
      <c r="P56" s="164">
        <f t="shared" ref="P56:P72" si="16">+N56+J56+H56+F56+D56</f>
        <v>345353.3973829</v>
      </c>
      <c r="Q56" s="171"/>
      <c r="R56" s="167">
        <f t="shared" ref="R56:R72" si="17">+R6*0.0287</f>
        <v>81423.892928000001</v>
      </c>
      <c r="S56" s="167"/>
      <c r="T56" s="167"/>
      <c r="U56" s="71">
        <v>58</v>
      </c>
      <c r="V56" s="68">
        <v>21192764.329999998</v>
      </c>
      <c r="W56" s="71">
        <v>13</v>
      </c>
      <c r="X56" s="68">
        <v>3010698.58</v>
      </c>
      <c r="Y56" s="167">
        <v>73</v>
      </c>
      <c r="Z56" s="175" t="e">
        <f>+X56+V56+#REF!</f>
        <v>#REF!</v>
      </c>
      <c r="AA56" s="159">
        <v>195</v>
      </c>
      <c r="AB56" s="160" t="e">
        <f t="shared" ref="AB56:AB73" si="18">+Z56+R56+P56</f>
        <v>#REF!</v>
      </c>
      <c r="AC56" s="161"/>
      <c r="AD56" s="161"/>
      <c r="AE56" s="162"/>
      <c r="AH56" s="75"/>
    </row>
    <row r="57" spans="1:45">
      <c r="A57" s="3">
        <v>2</v>
      </c>
      <c r="B57" s="138" t="s">
        <v>24</v>
      </c>
      <c r="C57" s="128">
        <v>46</v>
      </c>
      <c r="D57" s="147">
        <f t="shared" si="11"/>
        <v>2074.9049580000001</v>
      </c>
      <c r="E57" s="128">
        <v>2</v>
      </c>
      <c r="F57" s="147">
        <f t="shared" si="12"/>
        <v>0</v>
      </c>
      <c r="G57" s="149">
        <v>2</v>
      </c>
      <c r="H57" s="147">
        <f t="shared" si="13"/>
        <v>0</v>
      </c>
      <c r="I57" s="149">
        <v>2</v>
      </c>
      <c r="J57" s="147">
        <f t="shared" si="14"/>
        <v>751.98362399999996</v>
      </c>
      <c r="K57" s="147"/>
      <c r="L57" s="147"/>
      <c r="M57" s="161"/>
      <c r="N57" s="147">
        <f t="shared" si="15"/>
        <v>0</v>
      </c>
      <c r="O57" s="159">
        <v>52</v>
      </c>
      <c r="P57" s="164">
        <f t="shared" si="16"/>
        <v>2826.888582</v>
      </c>
      <c r="Q57" s="171"/>
      <c r="R57" s="167">
        <f t="shared" si="17"/>
        <v>0</v>
      </c>
      <c r="S57" s="167"/>
      <c r="T57" s="167"/>
      <c r="U57" s="71">
        <v>3</v>
      </c>
      <c r="V57" s="68">
        <v>999772.59000000008</v>
      </c>
      <c r="X57" s="68"/>
      <c r="Y57" s="167">
        <v>3</v>
      </c>
      <c r="Z57" s="175" t="e">
        <f>+X57+V57+#REF!</f>
        <v>#REF!</v>
      </c>
      <c r="AA57" s="159">
        <v>55</v>
      </c>
      <c r="AB57" s="160" t="e">
        <f t="shared" si="18"/>
        <v>#REF!</v>
      </c>
      <c r="AC57" s="161"/>
      <c r="AD57" s="161"/>
      <c r="AE57" s="162"/>
    </row>
    <row r="58" spans="1:45">
      <c r="A58" s="3">
        <v>3</v>
      </c>
      <c r="B58" s="138" t="s">
        <v>25</v>
      </c>
      <c r="C58" s="128">
        <v>0</v>
      </c>
      <c r="D58" s="147">
        <f t="shared" si="11"/>
        <v>0</v>
      </c>
      <c r="E58" s="128"/>
      <c r="F58" s="147">
        <f t="shared" si="12"/>
        <v>0</v>
      </c>
      <c r="G58" s="149"/>
      <c r="H58" s="147">
        <f t="shared" si="13"/>
        <v>0</v>
      </c>
      <c r="I58" s="149"/>
      <c r="J58" s="147">
        <f t="shared" si="14"/>
        <v>0</v>
      </c>
      <c r="K58" s="147"/>
      <c r="L58" s="147"/>
      <c r="M58" s="161"/>
      <c r="N58" s="147">
        <f t="shared" si="15"/>
        <v>0</v>
      </c>
      <c r="O58" s="159"/>
      <c r="P58" s="164">
        <f t="shared" si="16"/>
        <v>0</v>
      </c>
      <c r="Q58" s="171"/>
      <c r="R58" s="167">
        <f t="shared" si="17"/>
        <v>0</v>
      </c>
      <c r="S58" s="167"/>
      <c r="T58" s="167"/>
      <c r="V58" s="68"/>
      <c r="X58" s="68"/>
      <c r="Z58" s="175" t="e">
        <f>+X58+V58+#REF!</f>
        <v>#REF!</v>
      </c>
      <c r="AA58" s="159">
        <v>0</v>
      </c>
      <c r="AB58" s="160" t="e">
        <f t="shared" si="18"/>
        <v>#REF!</v>
      </c>
      <c r="AC58" s="161"/>
      <c r="AD58" s="161"/>
      <c r="AE58" s="162"/>
    </row>
    <row r="59" spans="1:45">
      <c r="A59" s="3">
        <v>4</v>
      </c>
      <c r="B59" s="138" t="s">
        <v>26</v>
      </c>
      <c r="C59" s="128">
        <v>2</v>
      </c>
      <c r="D59" s="147">
        <f t="shared" si="11"/>
        <v>95.504989999999992</v>
      </c>
      <c r="E59" s="128"/>
      <c r="F59" s="147">
        <f t="shared" si="12"/>
        <v>0</v>
      </c>
      <c r="G59" s="149">
        <v>0</v>
      </c>
      <c r="H59" s="147">
        <f t="shared" si="13"/>
        <v>0</v>
      </c>
      <c r="I59" s="149"/>
      <c r="J59" s="147">
        <f t="shared" si="14"/>
        <v>0</v>
      </c>
      <c r="K59" s="147"/>
      <c r="L59" s="147"/>
      <c r="M59" s="161"/>
      <c r="N59" s="147">
        <f t="shared" si="15"/>
        <v>0</v>
      </c>
      <c r="O59" s="159">
        <v>2</v>
      </c>
      <c r="P59" s="164">
        <f t="shared" si="16"/>
        <v>95.504989999999992</v>
      </c>
      <c r="Q59" s="171"/>
      <c r="R59" s="167">
        <f t="shared" si="17"/>
        <v>0</v>
      </c>
      <c r="S59" s="167"/>
      <c r="T59" s="167"/>
      <c r="V59" s="68"/>
      <c r="X59" s="68"/>
      <c r="Z59" s="175" t="e">
        <f>+X59+V59+#REF!</f>
        <v>#REF!</v>
      </c>
      <c r="AA59" s="159">
        <v>2</v>
      </c>
      <c r="AB59" s="160" t="e">
        <f t="shared" si="18"/>
        <v>#REF!</v>
      </c>
      <c r="AC59" s="161"/>
      <c r="AD59" s="161"/>
      <c r="AE59" s="162"/>
    </row>
    <row r="60" spans="1:45">
      <c r="A60" s="3">
        <v>5</v>
      </c>
      <c r="B60" s="138" t="s">
        <v>27</v>
      </c>
      <c r="C60" s="128">
        <v>287</v>
      </c>
      <c r="D60" s="147">
        <f t="shared" si="11"/>
        <v>2785.6737173999995</v>
      </c>
      <c r="E60" s="128">
        <v>135</v>
      </c>
      <c r="F60" s="147">
        <f t="shared" si="12"/>
        <v>1386.21</v>
      </c>
      <c r="G60" s="149">
        <v>231</v>
      </c>
      <c r="H60" s="147">
        <f t="shared" si="13"/>
        <v>605.14523999999994</v>
      </c>
      <c r="I60" s="149">
        <v>92</v>
      </c>
      <c r="J60" s="147">
        <f t="shared" si="14"/>
        <v>0</v>
      </c>
      <c r="K60" s="147"/>
      <c r="L60" s="147"/>
      <c r="M60" s="161"/>
      <c r="N60" s="147">
        <f t="shared" si="15"/>
        <v>0</v>
      </c>
      <c r="O60" s="159">
        <v>745</v>
      </c>
      <c r="P60" s="164">
        <f t="shared" si="16"/>
        <v>4777.0289573999999</v>
      </c>
      <c r="Q60" s="171"/>
      <c r="R60" s="167">
        <f t="shared" si="17"/>
        <v>14022.159900000001</v>
      </c>
      <c r="S60" s="167"/>
      <c r="T60" s="167"/>
      <c r="V60" s="68"/>
      <c r="X60" s="68"/>
      <c r="Z60" s="175" t="e">
        <f>+X60+V60+#REF!</f>
        <v>#REF!</v>
      </c>
      <c r="AA60" s="159">
        <v>745</v>
      </c>
      <c r="AB60" s="160" t="e">
        <f t="shared" si="18"/>
        <v>#REF!</v>
      </c>
      <c r="AC60" s="161"/>
      <c r="AD60" s="161"/>
      <c r="AE60" s="162"/>
    </row>
    <row r="61" spans="1:45">
      <c r="A61" s="3">
        <v>6</v>
      </c>
      <c r="B61" s="138" t="s">
        <v>28</v>
      </c>
      <c r="C61" s="128"/>
      <c r="D61" s="147">
        <f t="shared" si="11"/>
        <v>0</v>
      </c>
      <c r="E61" s="128"/>
      <c r="F61" s="147">
        <f t="shared" si="12"/>
        <v>0</v>
      </c>
      <c r="G61" s="149"/>
      <c r="H61" s="147">
        <f t="shared" si="13"/>
        <v>0</v>
      </c>
      <c r="I61" s="149"/>
      <c r="J61" s="147">
        <f t="shared" si="14"/>
        <v>0</v>
      </c>
      <c r="K61" s="147"/>
      <c r="L61" s="147"/>
      <c r="M61" s="161"/>
      <c r="N61" s="147">
        <f t="shared" si="15"/>
        <v>0</v>
      </c>
      <c r="O61" s="159">
        <v>0</v>
      </c>
      <c r="P61" s="164">
        <f t="shared" si="16"/>
        <v>0</v>
      </c>
      <c r="Q61" s="171"/>
      <c r="R61" s="167">
        <f t="shared" si="17"/>
        <v>0</v>
      </c>
      <c r="S61" s="167"/>
      <c r="T61" s="167"/>
      <c r="U61" s="71">
        <v>1</v>
      </c>
      <c r="V61" s="68">
        <v>62673.63</v>
      </c>
      <c r="X61" s="68"/>
      <c r="Y61" s="167">
        <v>1</v>
      </c>
      <c r="Z61" s="175" t="e">
        <f>+X61+V61+#REF!</f>
        <v>#REF!</v>
      </c>
      <c r="AA61" s="159">
        <v>1</v>
      </c>
      <c r="AB61" s="160" t="e">
        <f t="shared" si="18"/>
        <v>#REF!</v>
      </c>
      <c r="AC61" s="161"/>
      <c r="AD61" s="161"/>
      <c r="AE61" s="162"/>
    </row>
    <row r="62" spans="1:45">
      <c r="A62" s="3">
        <v>7</v>
      </c>
      <c r="B62" s="138" t="s">
        <v>29</v>
      </c>
      <c r="C62" s="128">
        <v>23</v>
      </c>
      <c r="D62" s="147">
        <f t="shared" si="11"/>
        <v>670.6403620000001</v>
      </c>
      <c r="E62" s="128">
        <v>4</v>
      </c>
      <c r="F62" s="147">
        <f t="shared" si="12"/>
        <v>0</v>
      </c>
      <c r="G62" s="149">
        <v>4</v>
      </c>
      <c r="H62" s="147">
        <f t="shared" si="13"/>
        <v>0</v>
      </c>
      <c r="I62" s="149">
        <v>6</v>
      </c>
      <c r="J62" s="147">
        <f t="shared" si="14"/>
        <v>0</v>
      </c>
      <c r="K62" s="147"/>
      <c r="L62" s="147"/>
      <c r="M62" s="161">
        <v>3</v>
      </c>
      <c r="N62" s="147">
        <f t="shared" si="15"/>
        <v>0</v>
      </c>
      <c r="O62" s="159">
        <v>40</v>
      </c>
      <c r="P62" s="164">
        <f t="shared" si="16"/>
        <v>670.6403620000001</v>
      </c>
      <c r="Q62" s="171">
        <v>6</v>
      </c>
      <c r="R62" s="167">
        <f t="shared" si="17"/>
        <v>0</v>
      </c>
      <c r="S62" s="167"/>
      <c r="T62" s="167"/>
      <c r="V62" s="68"/>
      <c r="X62" s="68"/>
      <c r="Z62" s="175" t="e">
        <f>+X62+V62+#REF!</f>
        <v>#REF!</v>
      </c>
      <c r="AA62" s="159">
        <v>46</v>
      </c>
      <c r="AB62" s="160" t="e">
        <f t="shared" si="18"/>
        <v>#REF!</v>
      </c>
      <c r="AC62" s="161"/>
      <c r="AD62" s="161"/>
      <c r="AE62" s="168"/>
      <c r="AH62" s="69"/>
    </row>
    <row r="63" spans="1:45">
      <c r="A63" s="3">
        <v>8</v>
      </c>
      <c r="B63" s="3" t="s">
        <v>30</v>
      </c>
      <c r="C63" s="176">
        <v>1</v>
      </c>
      <c r="D63" s="147">
        <f t="shared" si="11"/>
        <v>0</v>
      </c>
      <c r="E63" s="128"/>
      <c r="F63" s="147">
        <f t="shared" si="12"/>
        <v>0</v>
      </c>
      <c r="G63" s="149"/>
      <c r="H63" s="147">
        <f t="shared" si="13"/>
        <v>0</v>
      </c>
      <c r="I63" s="149"/>
      <c r="J63" s="147">
        <f t="shared" si="14"/>
        <v>0</v>
      </c>
      <c r="K63" s="147"/>
      <c r="L63" s="147"/>
      <c r="M63" s="3"/>
      <c r="N63" s="147">
        <f t="shared" si="15"/>
        <v>0</v>
      </c>
      <c r="O63" s="159">
        <v>1</v>
      </c>
      <c r="P63" s="164">
        <f t="shared" si="16"/>
        <v>0</v>
      </c>
      <c r="Q63" s="171"/>
      <c r="R63" s="167">
        <f t="shared" si="17"/>
        <v>0</v>
      </c>
      <c r="S63" s="167"/>
      <c r="T63" s="167"/>
      <c r="U63" s="71">
        <v>1</v>
      </c>
      <c r="V63" s="68">
        <v>288906.02</v>
      </c>
      <c r="X63" s="68"/>
      <c r="Y63" s="167">
        <v>1</v>
      </c>
      <c r="Z63" s="175" t="e">
        <f>+X63+V63+#REF!</f>
        <v>#REF!</v>
      </c>
      <c r="AA63" s="159">
        <v>2</v>
      </c>
      <c r="AB63" s="160" t="e">
        <f t="shared" si="18"/>
        <v>#REF!</v>
      </c>
      <c r="AC63" s="3"/>
      <c r="AD63" s="3"/>
      <c r="AE63" s="177"/>
    </row>
    <row r="64" spans="1:45">
      <c r="A64" s="3">
        <v>9</v>
      </c>
      <c r="B64" s="3" t="s">
        <v>31</v>
      </c>
      <c r="C64" s="176">
        <v>10</v>
      </c>
      <c r="D64" s="147">
        <f t="shared" si="11"/>
        <v>0</v>
      </c>
      <c r="E64" s="128">
        <v>0</v>
      </c>
      <c r="F64" s="147">
        <f t="shared" si="12"/>
        <v>0</v>
      </c>
      <c r="G64" s="149">
        <v>2</v>
      </c>
      <c r="H64" s="147">
        <f t="shared" si="13"/>
        <v>0</v>
      </c>
      <c r="I64" s="149"/>
      <c r="J64" s="147">
        <f t="shared" si="14"/>
        <v>0</v>
      </c>
      <c r="K64" s="147"/>
      <c r="L64" s="147"/>
      <c r="M64" s="3"/>
      <c r="N64" s="147">
        <f t="shared" si="15"/>
        <v>0</v>
      </c>
      <c r="O64" s="159">
        <v>12</v>
      </c>
      <c r="P64" s="164">
        <f t="shared" si="16"/>
        <v>0</v>
      </c>
      <c r="Q64" s="171"/>
      <c r="R64" s="167">
        <f t="shared" si="17"/>
        <v>0</v>
      </c>
      <c r="S64" s="167"/>
      <c r="T64" s="167"/>
      <c r="U64" s="71">
        <v>1</v>
      </c>
      <c r="V64" s="68">
        <v>5530855.9100000001</v>
      </c>
      <c r="X64" s="68"/>
      <c r="Y64" s="167">
        <v>1</v>
      </c>
      <c r="Z64" s="175" t="e">
        <f>+X64+V64+#REF!</f>
        <v>#REF!</v>
      </c>
      <c r="AA64" s="159">
        <v>13</v>
      </c>
      <c r="AB64" s="160" t="e">
        <f t="shared" si="18"/>
        <v>#REF!</v>
      </c>
      <c r="AC64" s="3"/>
      <c r="AD64" s="3"/>
      <c r="AE64" s="3"/>
    </row>
    <row r="65" spans="1:31">
      <c r="A65" s="3">
        <v>10</v>
      </c>
      <c r="B65" s="3" t="s">
        <v>32</v>
      </c>
      <c r="C65" s="176">
        <v>4</v>
      </c>
      <c r="D65" s="147">
        <f t="shared" si="11"/>
        <v>0</v>
      </c>
      <c r="E65" s="128">
        <v>0</v>
      </c>
      <c r="F65" s="147">
        <f t="shared" si="12"/>
        <v>0</v>
      </c>
      <c r="G65" s="149">
        <v>0</v>
      </c>
      <c r="H65" s="147">
        <f t="shared" si="13"/>
        <v>100.077474</v>
      </c>
      <c r="I65" s="149"/>
      <c r="J65" s="147">
        <f t="shared" si="14"/>
        <v>0</v>
      </c>
      <c r="K65" s="147"/>
      <c r="L65" s="147"/>
      <c r="M65" s="3">
        <v>3</v>
      </c>
      <c r="N65" s="147">
        <f t="shared" si="15"/>
        <v>0</v>
      </c>
      <c r="O65" s="159">
        <v>7</v>
      </c>
      <c r="P65" s="164">
        <f t="shared" si="16"/>
        <v>100.077474</v>
      </c>
      <c r="Q65" s="171"/>
      <c r="R65" s="167">
        <f t="shared" si="17"/>
        <v>0</v>
      </c>
      <c r="S65" s="167"/>
      <c r="T65" s="167"/>
      <c r="V65" s="68"/>
      <c r="X65" s="68"/>
      <c r="Z65" s="175" t="e">
        <f>+X65+V65+#REF!</f>
        <v>#REF!</v>
      </c>
      <c r="AA65" s="159">
        <v>7</v>
      </c>
      <c r="AB65" s="160" t="e">
        <f t="shared" si="18"/>
        <v>#REF!</v>
      </c>
      <c r="AC65" s="3"/>
      <c r="AD65" s="3"/>
      <c r="AE65" s="177"/>
    </row>
    <row r="66" spans="1:31">
      <c r="A66" s="3">
        <v>11</v>
      </c>
      <c r="B66" s="3" t="s">
        <v>33</v>
      </c>
      <c r="C66" s="176"/>
      <c r="D66" s="147">
        <f t="shared" si="11"/>
        <v>0</v>
      </c>
      <c r="E66" s="128"/>
      <c r="F66" s="147">
        <f t="shared" si="12"/>
        <v>0</v>
      </c>
      <c r="G66" s="149"/>
      <c r="H66" s="147">
        <f t="shared" si="13"/>
        <v>0</v>
      </c>
      <c r="I66" s="149"/>
      <c r="J66" s="147">
        <f t="shared" si="14"/>
        <v>0</v>
      </c>
      <c r="K66" s="147"/>
      <c r="L66" s="147"/>
      <c r="M66" s="3"/>
      <c r="N66" s="147">
        <f t="shared" si="15"/>
        <v>0</v>
      </c>
      <c r="O66" s="159"/>
      <c r="P66" s="164">
        <f t="shared" si="16"/>
        <v>0</v>
      </c>
      <c r="Q66" s="171"/>
      <c r="R66" s="167">
        <f t="shared" si="17"/>
        <v>0</v>
      </c>
      <c r="S66" s="167"/>
      <c r="T66" s="167"/>
      <c r="V66" s="68"/>
      <c r="X66" s="68"/>
      <c r="Z66" s="175" t="e">
        <f>+X66+V66+#REF!</f>
        <v>#REF!</v>
      </c>
      <c r="AA66" s="159">
        <v>0</v>
      </c>
      <c r="AB66" s="160" t="e">
        <f t="shared" si="18"/>
        <v>#REF!</v>
      </c>
      <c r="AC66" s="3"/>
      <c r="AD66" s="3"/>
      <c r="AE66" s="127"/>
    </row>
    <row r="67" spans="1:31">
      <c r="A67" s="3">
        <v>12</v>
      </c>
      <c r="B67" s="3" t="s">
        <v>47</v>
      </c>
      <c r="C67" s="176">
        <v>76</v>
      </c>
      <c r="D67" s="147">
        <f t="shared" si="11"/>
        <v>4006.7834660000008</v>
      </c>
      <c r="E67" s="128">
        <v>1</v>
      </c>
      <c r="F67" s="147">
        <f t="shared" si="12"/>
        <v>0</v>
      </c>
      <c r="G67" s="149">
        <v>2</v>
      </c>
      <c r="H67" s="147">
        <f t="shared" si="13"/>
        <v>0</v>
      </c>
      <c r="I67" s="149"/>
      <c r="J67" s="147">
        <f t="shared" si="14"/>
        <v>0</v>
      </c>
      <c r="K67" s="147"/>
      <c r="L67" s="147"/>
      <c r="M67" s="3">
        <v>30</v>
      </c>
      <c r="N67" s="147">
        <f t="shared" si="15"/>
        <v>0</v>
      </c>
      <c r="O67" s="159">
        <v>109</v>
      </c>
      <c r="P67" s="164">
        <f t="shared" si="16"/>
        <v>4006.7834660000008</v>
      </c>
      <c r="Q67" s="171"/>
      <c r="R67" s="167">
        <f t="shared" si="17"/>
        <v>415.33204999999998</v>
      </c>
      <c r="S67" s="167"/>
      <c r="T67" s="167"/>
      <c r="U67" s="71">
        <v>3</v>
      </c>
      <c r="V67" s="68">
        <v>374098.89</v>
      </c>
      <c r="X67" s="68"/>
      <c r="Y67" s="167">
        <v>4</v>
      </c>
      <c r="Z67" s="175" t="e">
        <f>+X67+V67+#REF!</f>
        <v>#REF!</v>
      </c>
      <c r="AA67" s="159">
        <v>113</v>
      </c>
      <c r="AB67" s="160" t="e">
        <f t="shared" si="18"/>
        <v>#REF!</v>
      </c>
      <c r="AC67" s="3"/>
      <c r="AD67" s="3"/>
      <c r="AE67" s="178"/>
    </row>
    <row r="68" spans="1:31">
      <c r="A68" s="3">
        <v>13</v>
      </c>
      <c r="B68" s="3" t="s">
        <v>35</v>
      </c>
      <c r="C68" s="176">
        <v>5</v>
      </c>
      <c r="D68" s="147">
        <f t="shared" si="11"/>
        <v>790.72583178504658</v>
      </c>
      <c r="E68" s="128">
        <v>0</v>
      </c>
      <c r="F68" s="147">
        <f t="shared" si="12"/>
        <v>2.7638100000000008</v>
      </c>
      <c r="G68" s="149">
        <v>0</v>
      </c>
      <c r="H68" s="147">
        <f t="shared" si="13"/>
        <v>0</v>
      </c>
      <c r="I68" s="149"/>
      <c r="J68" s="147">
        <f t="shared" si="14"/>
        <v>0</v>
      </c>
      <c r="K68" s="147"/>
      <c r="L68" s="147"/>
      <c r="M68" s="3">
        <v>0</v>
      </c>
      <c r="N68" s="147">
        <f t="shared" si="15"/>
        <v>0</v>
      </c>
      <c r="O68" s="159">
        <v>5</v>
      </c>
      <c r="P68" s="164">
        <f t="shared" si="16"/>
        <v>793.48964178504662</v>
      </c>
      <c r="Q68" s="171"/>
      <c r="R68" s="167">
        <f t="shared" si="17"/>
        <v>0</v>
      </c>
      <c r="S68" s="167"/>
      <c r="T68" s="167"/>
      <c r="U68" s="71">
        <v>2</v>
      </c>
      <c r="V68" s="68">
        <v>8257832.2000000002</v>
      </c>
      <c r="W68" s="71">
        <v>3</v>
      </c>
      <c r="X68" s="68">
        <v>389377.67</v>
      </c>
      <c r="Y68" s="167">
        <v>5</v>
      </c>
      <c r="Z68" s="175" t="e">
        <f>+X68+V68+#REF!</f>
        <v>#REF!</v>
      </c>
      <c r="AA68" s="159">
        <v>10</v>
      </c>
      <c r="AB68" s="160" t="e">
        <f t="shared" si="18"/>
        <v>#REF!</v>
      </c>
      <c r="AC68" s="177"/>
      <c r="AD68" s="177"/>
      <c r="AE68" s="178"/>
    </row>
    <row r="69" spans="1:31">
      <c r="A69" s="3">
        <v>14</v>
      </c>
      <c r="B69" s="3" t="s">
        <v>36</v>
      </c>
      <c r="C69" s="176">
        <v>62</v>
      </c>
      <c r="D69" s="147">
        <f t="shared" si="11"/>
        <v>5655.8277790000002</v>
      </c>
      <c r="E69" s="128">
        <v>16</v>
      </c>
      <c r="F69" s="147">
        <f t="shared" si="12"/>
        <v>743.18650000000002</v>
      </c>
      <c r="G69" s="149">
        <v>36</v>
      </c>
      <c r="H69" s="147">
        <f t="shared" si="13"/>
        <v>3589.3224500000001</v>
      </c>
      <c r="I69" s="149">
        <v>33</v>
      </c>
      <c r="J69" s="147">
        <f t="shared" si="14"/>
        <v>1062.5027</v>
      </c>
      <c r="K69" s="147"/>
      <c r="L69" s="147"/>
      <c r="M69" s="3">
        <v>20</v>
      </c>
      <c r="N69" s="147">
        <f>575573.91+(383137.62*0.0287)</f>
        <v>586569.95969400008</v>
      </c>
      <c r="O69" s="159">
        <v>167</v>
      </c>
      <c r="P69" s="164">
        <f t="shared" si="16"/>
        <v>597620.799123</v>
      </c>
      <c r="Q69" s="171"/>
      <c r="R69" s="167">
        <f t="shared" si="17"/>
        <v>315.03989999999999</v>
      </c>
      <c r="S69" s="167"/>
      <c r="T69" s="167"/>
      <c r="V69" s="68"/>
      <c r="X69" s="68"/>
      <c r="Z69" s="175" t="e">
        <f>+X69+V69+#REF!</f>
        <v>#REF!</v>
      </c>
      <c r="AA69" s="159">
        <v>167</v>
      </c>
      <c r="AB69" s="160" t="e">
        <f t="shared" si="18"/>
        <v>#REF!</v>
      </c>
      <c r="AC69" s="3"/>
      <c r="AD69" s="3"/>
      <c r="AE69" s="177"/>
    </row>
    <row r="70" spans="1:31">
      <c r="A70" s="3">
        <v>15</v>
      </c>
      <c r="B70" s="3" t="s">
        <v>37</v>
      </c>
      <c r="C70" s="176">
        <v>1</v>
      </c>
      <c r="D70" s="147">
        <f t="shared" si="11"/>
        <v>0</v>
      </c>
      <c r="E70" s="128"/>
      <c r="F70" s="147">
        <f t="shared" si="12"/>
        <v>0</v>
      </c>
      <c r="G70" s="149"/>
      <c r="H70" s="147">
        <f t="shared" si="13"/>
        <v>0</v>
      </c>
      <c r="I70" s="149">
        <v>0</v>
      </c>
      <c r="J70" s="147">
        <f t="shared" si="14"/>
        <v>0</v>
      </c>
      <c r="K70" s="147"/>
      <c r="L70" s="147"/>
      <c r="M70" s="3">
        <v>23</v>
      </c>
      <c r="N70" s="147">
        <f>+N20</f>
        <v>195600</v>
      </c>
      <c r="O70" s="159">
        <v>24</v>
      </c>
      <c r="P70" s="164">
        <f t="shared" si="16"/>
        <v>195600</v>
      </c>
      <c r="Q70" s="171"/>
      <c r="R70" s="167">
        <f t="shared" si="17"/>
        <v>2892.96</v>
      </c>
      <c r="S70" s="167"/>
      <c r="T70" s="167"/>
      <c r="V70" s="68"/>
      <c r="X70" s="68"/>
      <c r="Z70" s="175" t="e">
        <f>+X70+V70+#REF!</f>
        <v>#REF!</v>
      </c>
      <c r="AA70" s="159">
        <v>24</v>
      </c>
      <c r="AB70" s="160" t="e">
        <f t="shared" si="18"/>
        <v>#REF!</v>
      </c>
      <c r="AC70" s="3"/>
      <c r="AD70" s="3"/>
      <c r="AE70" s="3"/>
    </row>
    <row r="71" spans="1:31">
      <c r="A71" s="3">
        <v>16</v>
      </c>
      <c r="B71" s="3" t="s">
        <v>38</v>
      </c>
      <c r="C71" s="176">
        <v>36</v>
      </c>
      <c r="D71" s="147">
        <f t="shared" si="11"/>
        <v>5489.4010021200002</v>
      </c>
      <c r="E71" s="179">
        <v>3</v>
      </c>
      <c r="F71" s="147">
        <f t="shared" si="12"/>
        <v>1292.3868300000001</v>
      </c>
      <c r="G71" s="180">
        <v>1</v>
      </c>
      <c r="H71" s="147">
        <f t="shared" si="13"/>
        <v>0</v>
      </c>
      <c r="I71" s="180">
        <v>2</v>
      </c>
      <c r="J71" s="147">
        <f t="shared" si="14"/>
        <v>2976.1168150000008</v>
      </c>
      <c r="K71" s="147"/>
      <c r="L71" s="147"/>
      <c r="M71" s="3">
        <v>6</v>
      </c>
      <c r="N71" s="147">
        <f>+N21</f>
        <v>31095.895600000003</v>
      </c>
      <c r="O71" s="181">
        <v>48</v>
      </c>
      <c r="P71" s="164">
        <f t="shared" si="16"/>
        <v>40853.800247120009</v>
      </c>
      <c r="Q71" s="165">
        <v>1</v>
      </c>
      <c r="R71" s="167">
        <f t="shared" si="17"/>
        <v>0</v>
      </c>
      <c r="S71" s="167"/>
      <c r="T71" s="167"/>
      <c r="U71" s="71">
        <v>2</v>
      </c>
      <c r="V71" s="68">
        <v>889780.4</v>
      </c>
      <c r="W71" s="71">
        <v>6</v>
      </c>
      <c r="X71" s="68">
        <v>1536577.5299999998</v>
      </c>
      <c r="Y71" s="167">
        <v>8</v>
      </c>
      <c r="Z71" s="175" t="e">
        <f>+X71+V71+#REF!</f>
        <v>#REF!</v>
      </c>
      <c r="AA71" s="159">
        <v>57</v>
      </c>
      <c r="AB71" s="160" t="e">
        <f t="shared" si="18"/>
        <v>#REF!</v>
      </c>
      <c r="AC71" s="3"/>
      <c r="AD71" s="3"/>
      <c r="AE71" s="177"/>
    </row>
    <row r="72" spans="1:31">
      <c r="A72" s="3">
        <v>17</v>
      </c>
      <c r="B72" s="3" t="s">
        <v>39</v>
      </c>
      <c r="C72" s="176">
        <v>16</v>
      </c>
      <c r="D72" s="147">
        <f t="shared" si="11"/>
        <v>0</v>
      </c>
      <c r="E72" s="179">
        <v>1</v>
      </c>
      <c r="F72" s="147">
        <f t="shared" si="12"/>
        <v>553.91</v>
      </c>
      <c r="G72" s="180">
        <v>6</v>
      </c>
      <c r="H72" s="147">
        <f t="shared" si="13"/>
        <v>278.964</v>
      </c>
      <c r="I72" s="180">
        <v>0</v>
      </c>
      <c r="J72" s="147">
        <f t="shared" si="14"/>
        <v>0</v>
      </c>
      <c r="K72" s="147"/>
      <c r="L72" s="147"/>
      <c r="M72" s="3">
        <v>3</v>
      </c>
      <c r="N72" s="147">
        <f>+N22</f>
        <v>0</v>
      </c>
      <c r="O72" s="181">
        <v>26</v>
      </c>
      <c r="P72" s="164">
        <f t="shared" si="16"/>
        <v>832.87400000000002</v>
      </c>
      <c r="Q72" s="165"/>
      <c r="R72" s="167">
        <f t="shared" si="17"/>
        <v>0</v>
      </c>
      <c r="S72" s="167"/>
      <c r="T72" s="167"/>
      <c r="U72" s="71">
        <v>3</v>
      </c>
      <c r="V72" s="68">
        <v>215104.80000000002</v>
      </c>
      <c r="X72" s="68"/>
      <c r="Y72" s="167">
        <v>3</v>
      </c>
      <c r="Z72" s="175" t="e">
        <f>+X72+V72+#REF!</f>
        <v>#REF!</v>
      </c>
      <c r="AA72" s="159">
        <v>29</v>
      </c>
      <c r="AB72" s="160" t="e">
        <f t="shared" si="18"/>
        <v>#REF!</v>
      </c>
      <c r="AC72" s="3"/>
      <c r="AD72" s="3"/>
      <c r="AE72" s="3"/>
    </row>
    <row r="73" spans="1:31">
      <c r="A73" s="3"/>
      <c r="B73" s="3" t="s">
        <v>11</v>
      </c>
      <c r="C73" s="176">
        <v>607</v>
      </c>
      <c r="D73" s="182">
        <f>SUM(D56:D72)</f>
        <v>25963.221362205048</v>
      </c>
      <c r="E73" s="179">
        <v>232</v>
      </c>
      <c r="F73" s="182">
        <f>SUM(F56:F72)</f>
        <v>12474.440075999999</v>
      </c>
      <c r="G73" s="180">
        <v>287</v>
      </c>
      <c r="H73" s="182">
        <f>SUM(H56:H72)</f>
        <v>15237.164355000001</v>
      </c>
      <c r="I73" s="180">
        <v>139</v>
      </c>
      <c r="J73" s="182">
        <f>SUM(J56:J72)</f>
        <v>4790.6031390000007</v>
      </c>
      <c r="K73" s="182"/>
      <c r="L73" s="182"/>
      <c r="M73" s="3">
        <v>95</v>
      </c>
      <c r="N73" s="182">
        <f>SUM(N56:N72)</f>
        <v>1135065.8552939999</v>
      </c>
      <c r="O73" s="181">
        <v>1360</v>
      </c>
      <c r="P73" s="183">
        <v>13293429.5</v>
      </c>
      <c r="Q73" s="165">
        <v>7</v>
      </c>
      <c r="R73" s="178">
        <f>SUM(R56:R72)</f>
        <v>99069.384778000007</v>
      </c>
      <c r="S73" s="168"/>
      <c r="T73" s="178"/>
      <c r="U73" s="71">
        <v>74</v>
      </c>
      <c r="V73" s="178">
        <f>SUM(V56:V72)</f>
        <v>37811788.769999996</v>
      </c>
      <c r="W73" s="71">
        <v>22</v>
      </c>
      <c r="X73" s="178">
        <f>SUM(X56:X72)</f>
        <v>4936653.7799999993</v>
      </c>
      <c r="Y73" s="167">
        <v>99</v>
      </c>
      <c r="Z73" s="178" t="e">
        <f>SUM(Z56:Z72)</f>
        <v>#REF!</v>
      </c>
      <c r="AA73" s="159">
        <v>1466</v>
      </c>
      <c r="AB73" s="160" t="e">
        <f t="shared" si="18"/>
        <v>#REF!</v>
      </c>
      <c r="AC73" s="3"/>
      <c r="AD73" s="3"/>
      <c r="AE73" s="3"/>
    </row>
    <row r="74" spans="1:31">
      <c r="A74" s="3"/>
      <c r="B74" s="3"/>
      <c r="C74" s="176"/>
      <c r="D74" s="182"/>
      <c r="E74" s="128"/>
      <c r="F74" s="67"/>
      <c r="G74" s="149"/>
      <c r="H74" s="67"/>
      <c r="I74" s="149"/>
      <c r="J74" s="67"/>
      <c r="K74" s="67"/>
      <c r="L74" s="67"/>
      <c r="M74" s="177"/>
      <c r="N74" s="67">
        <v>958711.52999999991</v>
      </c>
      <c r="O74" s="159"/>
      <c r="Q74" s="171"/>
      <c r="R74" s="185"/>
      <c r="S74" s="186"/>
      <c r="T74" s="185"/>
      <c r="Z74" s="175"/>
      <c r="AA74" s="159"/>
      <c r="AB74" s="187"/>
      <c r="AC74" s="3"/>
      <c r="AD74" s="3"/>
      <c r="AE74" s="3"/>
    </row>
    <row r="75" spans="1:31">
      <c r="A75" s="3"/>
      <c r="B75" s="3"/>
      <c r="C75" s="176"/>
      <c r="D75" s="182"/>
      <c r="E75" s="128"/>
      <c r="F75" s="67"/>
      <c r="G75" s="149"/>
      <c r="H75" s="67"/>
      <c r="I75" s="149"/>
      <c r="J75" s="67"/>
      <c r="K75" s="67"/>
      <c r="L75" s="67"/>
      <c r="M75" s="3"/>
      <c r="N75" s="67">
        <f>+N74-N69</f>
        <v>372141.57030599983</v>
      </c>
      <c r="O75" s="159"/>
      <c r="P75" s="188"/>
      <c r="Q75" s="171"/>
      <c r="R75" s="189"/>
      <c r="S75" s="135"/>
      <c r="T75" s="189"/>
      <c r="X75" s="69"/>
      <c r="Z75" s="175"/>
      <c r="AA75" s="159"/>
      <c r="AB75" s="187"/>
      <c r="AC75" s="3"/>
      <c r="AD75" s="3"/>
      <c r="AE75" s="3"/>
    </row>
    <row r="76" spans="1:31">
      <c r="A76" s="3"/>
      <c r="B76" s="3"/>
      <c r="C76" s="176"/>
      <c r="D76" s="182"/>
      <c r="E76" s="128"/>
      <c r="F76" s="67"/>
      <c r="G76" s="149"/>
      <c r="H76" s="67"/>
      <c r="I76" s="149"/>
      <c r="J76" s="67"/>
      <c r="K76" s="67"/>
      <c r="L76" s="67"/>
      <c r="M76" s="3"/>
      <c r="N76" s="67"/>
      <c r="O76" s="159"/>
      <c r="P76" s="188"/>
      <c r="Q76" s="171"/>
      <c r="R76" s="189"/>
      <c r="S76" s="135"/>
      <c r="T76" s="189"/>
      <c r="Z76" s="175"/>
      <c r="AA76" s="159"/>
      <c r="AB76" s="187"/>
      <c r="AC76" s="3"/>
      <c r="AD76" s="3"/>
      <c r="AE76" s="3"/>
    </row>
    <row r="77" spans="1:31">
      <c r="A77" s="3"/>
      <c r="B77" s="3"/>
      <c r="C77" s="176"/>
      <c r="D77" s="182"/>
      <c r="E77" s="128"/>
      <c r="F77" s="67"/>
      <c r="G77" s="149"/>
      <c r="H77" s="67"/>
      <c r="I77" s="149"/>
      <c r="J77" s="67"/>
      <c r="K77" s="67"/>
      <c r="L77" s="67"/>
      <c r="M77" s="3"/>
      <c r="N77" s="67">
        <f>+N19-N69</f>
        <v>568495.59900599986</v>
      </c>
      <c r="O77" s="159"/>
      <c r="P77" s="188"/>
      <c r="Q77" s="171"/>
      <c r="R77" s="2"/>
      <c r="S77" s="40"/>
      <c r="T77" s="2"/>
      <c r="AA77" s="159"/>
      <c r="AB77" s="187"/>
      <c r="AC77" s="3"/>
      <c r="AD77" s="3"/>
      <c r="AE77" s="3"/>
    </row>
    <row r="78" spans="1:31">
      <c r="A78" s="3"/>
      <c r="B78" s="3"/>
      <c r="C78" s="176"/>
      <c r="D78" s="182"/>
      <c r="E78" s="179"/>
      <c r="F78" s="182"/>
      <c r="G78" s="180"/>
      <c r="H78" s="182"/>
      <c r="I78" s="180"/>
      <c r="J78" s="182"/>
      <c r="K78" s="182"/>
      <c r="L78" s="182"/>
      <c r="M78" s="3"/>
      <c r="N78" s="67">
        <f>+N77-344937.62</f>
        <v>223557.97900599986</v>
      </c>
      <c r="O78" s="159"/>
      <c r="P78" s="188"/>
      <c r="Q78" s="171"/>
      <c r="R78" s="2"/>
      <c r="S78" s="40"/>
      <c r="T78" s="2"/>
      <c r="AA78" s="159"/>
      <c r="AB78" s="187">
        <v>64088078.947801597</v>
      </c>
      <c r="AC78" s="177"/>
      <c r="AD78" s="177"/>
      <c r="AE78" s="3"/>
    </row>
    <row r="79" spans="1:31">
      <c r="A79" s="3"/>
      <c r="B79" s="3"/>
      <c r="C79" s="176"/>
      <c r="D79" s="182"/>
      <c r="E79" s="179"/>
      <c r="F79" s="182"/>
      <c r="G79" s="180"/>
      <c r="H79" s="182"/>
      <c r="I79" s="180"/>
      <c r="J79" s="182"/>
      <c r="K79" s="182"/>
      <c r="L79" s="182"/>
      <c r="M79" s="3"/>
      <c r="N79" s="67">
        <f>344937.62-N78</f>
        <v>121379.64099400013</v>
      </c>
      <c r="O79" s="159"/>
      <c r="P79" s="188"/>
      <c r="Q79" s="171"/>
      <c r="R79" s="185"/>
      <c r="S79" s="186"/>
      <c r="T79" s="185"/>
      <c r="AA79" s="159"/>
      <c r="AB79" s="190">
        <v>58792109.298009403</v>
      </c>
      <c r="AC79" s="177"/>
      <c r="AD79" s="177"/>
      <c r="AE79" s="3"/>
    </row>
    <row r="80" spans="1:31">
      <c r="A80" s="3"/>
      <c r="B80" s="3"/>
      <c r="C80" s="176"/>
      <c r="D80" s="182"/>
      <c r="E80" s="128"/>
      <c r="F80" s="67"/>
      <c r="G80" s="149"/>
      <c r="H80" s="67"/>
      <c r="I80" s="149"/>
      <c r="J80" s="67"/>
      <c r="K80" s="67"/>
      <c r="L80" s="67"/>
      <c r="M80" s="3"/>
      <c r="N80" s="67"/>
      <c r="O80" s="159"/>
      <c r="P80" s="188"/>
      <c r="Q80" s="171"/>
      <c r="R80" s="189"/>
      <c r="S80" s="135"/>
      <c r="T80" s="189"/>
      <c r="AA80" s="159"/>
      <c r="AB80" s="187">
        <f>+AB79-AB78</f>
        <v>-5295969.6497921944</v>
      </c>
      <c r="AC80" s="177"/>
      <c r="AD80" s="177"/>
      <c r="AE80" s="3"/>
    </row>
    <row r="81" spans="1:31">
      <c r="A81" s="3"/>
      <c r="B81" s="3"/>
      <c r="C81" s="176"/>
      <c r="D81" s="182"/>
      <c r="E81" s="128"/>
      <c r="F81" s="67"/>
      <c r="G81" s="149"/>
      <c r="H81" s="67"/>
      <c r="I81" s="149"/>
      <c r="J81" s="67"/>
      <c r="K81" s="67"/>
      <c r="L81" s="67"/>
      <c r="M81" s="3"/>
      <c r="N81" s="67"/>
      <c r="O81" s="159"/>
      <c r="P81" s="188"/>
      <c r="Q81" s="171"/>
      <c r="R81" s="2"/>
      <c r="S81" s="40"/>
      <c r="T81" s="2"/>
      <c r="AA81" s="159"/>
      <c r="AB81" s="190">
        <f>+AB80*100/AB78</f>
        <v>-8.2635799617361769</v>
      </c>
      <c r="AC81" s="3"/>
      <c r="AD81" s="3"/>
      <c r="AE81" s="3"/>
    </row>
    <row r="82" spans="1:31">
      <c r="A82" s="3"/>
      <c r="B82" s="3"/>
      <c r="C82" s="176"/>
      <c r="D82" s="182"/>
      <c r="E82" s="128"/>
      <c r="F82" s="67"/>
      <c r="G82" s="149"/>
      <c r="H82" s="67"/>
      <c r="I82" s="149"/>
      <c r="J82" s="67"/>
      <c r="K82" s="67"/>
      <c r="L82" s="67"/>
      <c r="M82" s="3"/>
      <c r="N82" s="67"/>
      <c r="O82" s="159"/>
      <c r="P82" s="188"/>
      <c r="Q82" s="171"/>
      <c r="R82" s="2"/>
      <c r="S82" s="40"/>
      <c r="T82" s="2"/>
      <c r="AA82" s="159"/>
      <c r="AB82" s="187"/>
      <c r="AC82" s="3"/>
      <c r="AD82" s="3"/>
      <c r="AE82" s="3"/>
    </row>
    <row r="83" spans="1:31">
      <c r="A83" s="3"/>
      <c r="B83" s="3"/>
      <c r="C83" s="176"/>
      <c r="D83" s="182"/>
      <c r="E83" s="128"/>
      <c r="F83" s="67"/>
      <c r="G83" s="149"/>
      <c r="H83" s="67"/>
      <c r="I83" s="149"/>
      <c r="J83" s="67"/>
      <c r="K83" s="67"/>
      <c r="L83" s="67"/>
      <c r="M83" s="3"/>
      <c r="N83" s="67"/>
      <c r="O83" s="159"/>
      <c r="P83" s="188"/>
      <c r="Q83" s="171"/>
      <c r="R83" s="2"/>
      <c r="S83" s="40"/>
      <c r="T83" s="2"/>
      <c r="AA83" s="159"/>
      <c r="AB83" s="187"/>
      <c r="AC83" s="3"/>
      <c r="AD83" s="3"/>
      <c r="AE83" s="3"/>
    </row>
    <row r="84" spans="1:31">
      <c r="A84" s="3"/>
      <c r="B84" s="3"/>
      <c r="C84" s="176"/>
      <c r="D84" s="182"/>
      <c r="E84" s="128"/>
      <c r="F84" s="67"/>
      <c r="G84" s="149"/>
      <c r="H84" s="67"/>
      <c r="I84" s="149"/>
      <c r="J84" s="67"/>
      <c r="K84" s="67"/>
      <c r="L84" s="67"/>
      <c r="M84" s="3"/>
      <c r="N84" s="67"/>
      <c r="O84" s="159"/>
      <c r="P84" s="188"/>
      <c r="Q84" s="171"/>
      <c r="R84" s="2"/>
      <c r="S84" s="40"/>
      <c r="T84" s="2"/>
      <c r="AA84" s="159"/>
      <c r="AB84" s="187"/>
      <c r="AC84" s="3"/>
      <c r="AD84" s="3"/>
      <c r="AE84" s="3"/>
    </row>
    <row r="85" spans="1:31">
      <c r="A85" s="3"/>
      <c r="B85" s="3"/>
      <c r="C85" s="176"/>
      <c r="D85" s="182" t="s">
        <v>48</v>
      </c>
      <c r="E85" s="128"/>
      <c r="F85" s="67"/>
      <c r="G85" s="149"/>
      <c r="H85" s="67"/>
      <c r="I85" s="149"/>
      <c r="J85" s="67"/>
      <c r="K85" s="67"/>
      <c r="L85" s="67"/>
      <c r="M85" s="3"/>
      <c r="N85" s="67"/>
      <c r="O85" s="159"/>
      <c r="P85" s="188"/>
      <c r="Q85" s="171"/>
      <c r="R85" s="2"/>
      <c r="S85" s="40"/>
      <c r="T85" s="2"/>
      <c r="AA85" s="159"/>
      <c r="AB85" s="187"/>
      <c r="AC85" s="3"/>
      <c r="AD85" s="3"/>
      <c r="AE85" s="3"/>
    </row>
    <row r="86" spans="1:31">
      <c r="A86" s="3"/>
      <c r="B86" s="3"/>
      <c r="C86" s="176"/>
      <c r="D86" s="182"/>
      <c r="E86" s="128"/>
      <c r="F86" s="67"/>
      <c r="G86" s="149"/>
      <c r="H86" s="67"/>
      <c r="I86" s="149"/>
      <c r="J86" s="67"/>
      <c r="K86" s="67"/>
      <c r="L86" s="67"/>
      <c r="M86" s="3"/>
      <c r="N86" s="67"/>
      <c r="O86" s="159"/>
      <c r="P86" s="188"/>
      <c r="Q86" s="171"/>
      <c r="R86" s="2"/>
      <c r="S86" s="40"/>
      <c r="T86" s="2"/>
      <c r="AA86" s="159"/>
      <c r="AB86" s="187"/>
      <c r="AC86" s="3"/>
      <c r="AD86" s="3"/>
      <c r="AE86" s="3"/>
    </row>
    <row r="87" spans="1:31">
      <c r="A87" s="3"/>
      <c r="B87" s="3"/>
      <c r="C87" s="176"/>
      <c r="D87" s="182"/>
      <c r="E87" s="128"/>
      <c r="F87" s="67"/>
      <c r="G87" s="149"/>
      <c r="H87" s="67"/>
      <c r="I87" s="149"/>
      <c r="J87" s="67"/>
      <c r="K87" s="67"/>
      <c r="L87" s="67"/>
      <c r="M87" s="3"/>
      <c r="N87" s="67"/>
      <c r="O87" s="159"/>
      <c r="P87" s="188"/>
      <c r="Q87" s="171"/>
      <c r="R87" s="2"/>
      <c r="S87" s="40"/>
      <c r="T87" s="2"/>
      <c r="AA87" s="159"/>
      <c r="AB87" s="187"/>
      <c r="AC87" s="3"/>
      <c r="AD87" s="3"/>
      <c r="AE87" s="3"/>
    </row>
    <row r="88" spans="1:31">
      <c r="A88" s="3"/>
      <c r="B88" s="3"/>
      <c r="C88" s="176"/>
      <c r="D88" s="182"/>
      <c r="E88" s="128"/>
      <c r="F88" s="67"/>
      <c r="G88" s="149"/>
      <c r="H88" s="67"/>
      <c r="I88" s="149"/>
      <c r="J88" s="67"/>
      <c r="K88" s="67"/>
      <c r="L88" s="67"/>
      <c r="M88" s="3"/>
      <c r="N88" s="67"/>
      <c r="O88" s="159"/>
      <c r="P88" s="188"/>
      <c r="Q88" s="171"/>
      <c r="R88" s="2"/>
      <c r="S88" s="40"/>
      <c r="T88" s="2"/>
      <c r="AA88" s="159"/>
      <c r="AB88" s="190"/>
      <c r="AC88" s="3"/>
      <c r="AD88" s="3"/>
      <c r="AE88" s="3"/>
    </row>
    <row r="89" spans="1:31">
      <c r="A89" s="3"/>
      <c r="B89" s="3"/>
      <c r="C89" s="176"/>
      <c r="D89" s="182"/>
      <c r="E89" s="128"/>
      <c r="F89" s="67"/>
      <c r="G89" s="149"/>
      <c r="H89" s="67"/>
      <c r="I89" s="149"/>
      <c r="J89" s="67"/>
      <c r="K89" s="67"/>
      <c r="L89" s="67"/>
      <c r="M89" s="3"/>
      <c r="N89" s="67"/>
      <c r="O89" s="159"/>
      <c r="P89" s="188"/>
      <c r="Q89" s="171"/>
      <c r="R89" s="2"/>
      <c r="S89" s="40"/>
      <c r="T89" s="2"/>
      <c r="AA89" s="159"/>
      <c r="AB89" s="190"/>
      <c r="AC89" s="3"/>
      <c r="AD89" s="3"/>
      <c r="AE89" s="3"/>
    </row>
  </sheetData>
  <mergeCells count="20">
    <mergeCell ref="Y3:Z3"/>
    <mergeCell ref="AA3:AB3"/>
    <mergeCell ref="D30:L30"/>
    <mergeCell ref="D31:L31"/>
    <mergeCell ref="M3:N3"/>
    <mergeCell ref="O3:P3"/>
    <mergeCell ref="Q3:R3"/>
    <mergeCell ref="S3:T3"/>
    <mergeCell ref="U3:V3"/>
    <mergeCell ref="W3:X3"/>
    <mergeCell ref="A1:P1"/>
    <mergeCell ref="A2:O2"/>
    <mergeCell ref="Q2:AA2"/>
    <mergeCell ref="A3:A5"/>
    <mergeCell ref="B3:B5"/>
    <mergeCell ref="C3:D3"/>
    <mergeCell ref="E3:F3"/>
    <mergeCell ref="G3:H3"/>
    <mergeCell ref="I3:J3"/>
    <mergeCell ref="K3:L3"/>
  </mergeCells>
  <pageMargins left="0.47244094488188998" right="0.35433070866141703" top="0.47244094488188998" bottom="0.118110236220472" header="0.39370078740157499" footer="0.118110236220472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1.เปรียบเทียบสรุปอายุหนี้</vt:lpstr>
      <vt:lpstr>'1.เปรียบเทียบสรุปอายุหนี้'!Print_Area</vt:lpstr>
      <vt:lpstr>'1.เปรียบเทียบสรุปอายุหนี้'!Print_Titles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สนง.บริหารหนี้</dc:creator>
  <cp:lastModifiedBy>สนง.บริหารหนี้</cp:lastModifiedBy>
  <dcterms:created xsi:type="dcterms:W3CDTF">2026-08-13T07:34:54Z</dcterms:created>
  <dcterms:modified xsi:type="dcterms:W3CDTF">2026-08-13T07:35:37Z</dcterms:modified>
</cp:coreProperties>
</file>