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หนี้ มิย.69 ส่งให้พี่หนี้\ไฟล์ส่ง พี่หนิง\"/>
    </mc:Choice>
  </mc:AlternateContent>
  <xr:revisionPtr revIDLastSave="0" documentId="8_{BEC04469-EC92-4B2F-922D-7CA5658CD955}" xr6:coauthVersionLast="47" xr6:coauthVersionMax="47" xr10:uidLastSave="{00000000-0000-0000-0000-000000000000}"/>
  <bookViews>
    <workbookView xWindow="-108" yWindow="-108" windowWidth="23256" windowHeight="12456" xr2:uid="{4AAE6C28-992B-4851-B698-80BC4997C1FF}"/>
  </bookViews>
  <sheets>
    <sheet name="มิย.69" sheetId="34" r:id="rId1"/>
    <sheet name="รับชำระ มิย.69" sheetId="35" r:id="rId2"/>
    <sheet name="แนบ มิย.69" sheetId="36" r:id="rId3"/>
    <sheet name="เรียง มิย.69" sheetId="37" r:id="rId4"/>
    <sheet name="พค.69" sheetId="30" r:id="rId5"/>
    <sheet name="รับชำระ พค.69 " sheetId="31" r:id="rId6"/>
    <sheet name="แนบ พค.69" sheetId="32" r:id="rId7"/>
    <sheet name="เรียง พค.69" sheetId="33" r:id="rId8"/>
    <sheet name="เมย.69" sheetId="26" r:id="rId9"/>
    <sheet name="รับชำระ เมย.69" sheetId="27" r:id="rId10"/>
    <sheet name="แนบ เมย.69" sheetId="28" r:id="rId11"/>
    <sheet name="เรียง เมย.69" sheetId="29" r:id="rId12"/>
    <sheet name="มีค.69" sheetId="22" r:id="rId13"/>
    <sheet name="รับชำระ มีค.69" sheetId="23" r:id="rId14"/>
    <sheet name="แนบ มีค.69" sheetId="24" r:id="rId15"/>
    <sheet name="เรียง มีค.69" sheetId="25" r:id="rId16"/>
    <sheet name="กพ.69" sheetId="18" r:id="rId17"/>
    <sheet name="รับชำระ กพ.69" sheetId="19" r:id="rId18"/>
    <sheet name="แนบ กพ.69" sheetId="20" r:id="rId19"/>
    <sheet name="เรียง กพ.69" sheetId="21" r:id="rId20"/>
    <sheet name="มค.69" sheetId="14" r:id="rId21"/>
    <sheet name="รับชำระ มค.69" sheetId="15" r:id="rId22"/>
    <sheet name="แนบ มค.69" sheetId="16" r:id="rId23"/>
    <sheet name="เรียง มค.69" sheetId="17" r:id="rId24"/>
    <sheet name="ธค.68" sheetId="10" r:id="rId25"/>
    <sheet name="รับชำระ ธค.68" sheetId="11" r:id="rId26"/>
    <sheet name="แนบ ธค.68" sheetId="12" r:id="rId27"/>
    <sheet name="เรียง ธค.68" sheetId="13" r:id="rId28"/>
    <sheet name="พย.68" sheetId="6" r:id="rId29"/>
    <sheet name="รับชำระ พย.68" sheetId="7" r:id="rId30"/>
    <sheet name="แนบ พย.68" sheetId="8" r:id="rId31"/>
    <sheet name="เรียง พย.68" sheetId="9" r:id="rId32"/>
    <sheet name="ตค.68" sheetId="2" r:id="rId33"/>
    <sheet name="รับชำระ ตค.68 " sheetId="3" r:id="rId34"/>
    <sheet name="แนบ ตค.68" sheetId="4" r:id="rId35"/>
    <sheet name="เรียง ตค.68" sheetId="5" r:id="rId36"/>
    <sheet name="กย.68" sheetId="1" r:id="rId3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5" i="35" l="1"/>
  <c r="I118" i="35"/>
  <c r="I30" i="35"/>
  <c r="P40" i="37"/>
  <c r="G112" i="36"/>
  <c r="Q112" i="36"/>
  <c r="P115" i="36"/>
  <c r="G92" i="36"/>
  <c r="G16" i="36"/>
  <c r="F20" i="37"/>
  <c r="F40" i="37" s="1"/>
  <c r="Q110" i="36"/>
  <c r="Q105" i="36"/>
  <c r="Q92" i="36"/>
  <c r="P67" i="36"/>
  <c r="G47" i="36"/>
  <c r="P47" i="36"/>
  <c r="P42" i="36"/>
  <c r="P38" i="36"/>
  <c r="P16" i="36"/>
  <c r="H208" i="35"/>
  <c r="H205" i="35"/>
  <c r="H191" i="35"/>
  <c r="H141" i="35"/>
  <c r="H134" i="35"/>
  <c r="H118" i="35"/>
  <c r="H105" i="35"/>
  <c r="H95" i="35"/>
  <c r="H87" i="35"/>
  <c r="H84" i="35"/>
  <c r="H77" i="35"/>
  <c r="H30" i="35"/>
  <c r="H26" i="35"/>
  <c r="H23" i="35"/>
  <c r="I209" i="35" s="1"/>
  <c r="L248" i="34"/>
  <c r="I247" i="34"/>
  <c r="G222" i="34"/>
  <c r="H82" i="34"/>
  <c r="I82" i="34"/>
  <c r="G82" i="34"/>
  <c r="O28" i="34"/>
  <c r="Q266" i="34" l="1"/>
  <c r="O266" i="34"/>
  <c r="I266" i="34"/>
  <c r="G266" i="34"/>
  <c r="I261" i="34"/>
  <c r="G261" i="34"/>
  <c r="O258" i="34"/>
  <c r="Q258" i="34" s="1"/>
  <c r="O257" i="34"/>
  <c r="Q257" i="34" s="1"/>
  <c r="O256" i="34"/>
  <c r="Q256" i="34" s="1"/>
  <c r="O255" i="34"/>
  <c r="Q255" i="34" s="1"/>
  <c r="O254" i="34"/>
  <c r="Q254" i="34" s="1"/>
  <c r="O253" i="34"/>
  <c r="Q253" i="34" s="1"/>
  <c r="O252" i="34"/>
  <c r="Q252" i="34" s="1"/>
  <c r="O251" i="34"/>
  <c r="P247" i="34"/>
  <c r="L247" i="34"/>
  <c r="H247" i="34"/>
  <c r="G247" i="34"/>
  <c r="D247" i="34"/>
  <c r="Q244" i="34"/>
  <c r="O244" i="34" s="1"/>
  <c r="Q241" i="34"/>
  <c r="O241" i="34" s="1"/>
  <c r="P239" i="34"/>
  <c r="L239" i="34"/>
  <c r="D239" i="34"/>
  <c r="O238" i="34"/>
  <c r="Q238" i="34" s="1"/>
  <c r="L236" i="34"/>
  <c r="D236" i="34"/>
  <c r="O232" i="34"/>
  <c r="Q232" i="34" s="1"/>
  <c r="O231" i="34"/>
  <c r="Q231" i="34" s="1"/>
  <c r="O230" i="34"/>
  <c r="Q230" i="34" s="1"/>
  <c r="O228" i="34"/>
  <c r="Q228" i="34" s="1"/>
  <c r="O226" i="34"/>
  <c r="Q226" i="34" s="1"/>
  <c r="O224" i="34"/>
  <c r="Q224" i="34" s="1"/>
  <c r="L222" i="34"/>
  <c r="I222" i="34"/>
  <c r="D222" i="34"/>
  <c r="O219" i="34"/>
  <c r="Q219" i="34" s="1"/>
  <c r="O218" i="34"/>
  <c r="Q218" i="34" s="1"/>
  <c r="O217" i="34"/>
  <c r="Q217" i="34" s="1"/>
  <c r="O216" i="34"/>
  <c r="Q216" i="34" s="1"/>
  <c r="O215" i="34"/>
  <c r="Q215" i="34" s="1"/>
  <c r="O214" i="34"/>
  <c r="Q214" i="34" s="1"/>
  <c r="O213" i="34"/>
  <c r="Q213" i="34" s="1"/>
  <c r="O212" i="34"/>
  <c r="Q212" i="34" s="1"/>
  <c r="O211" i="34"/>
  <c r="Q211" i="34" s="1"/>
  <c r="O210" i="34"/>
  <c r="Q210" i="34" s="1"/>
  <c r="O209" i="34"/>
  <c r="Q209" i="34" s="1"/>
  <c r="O208" i="34"/>
  <c r="Q208" i="34" s="1"/>
  <c r="O207" i="34"/>
  <c r="Q207" i="34" s="1"/>
  <c r="O206" i="34"/>
  <c r="Q206" i="34" s="1"/>
  <c r="O205" i="34"/>
  <c r="Q205" i="34" s="1"/>
  <c r="O204" i="34"/>
  <c r="Q204" i="34" s="1"/>
  <c r="O203" i="34"/>
  <c r="Q203" i="34" s="1"/>
  <c r="O202" i="34"/>
  <c r="Q202" i="34" s="1"/>
  <c r="O201" i="34"/>
  <c r="Q201" i="34" s="1"/>
  <c r="O200" i="34"/>
  <c r="Q200" i="34" s="1"/>
  <c r="O199" i="34"/>
  <c r="Q199" i="34" s="1"/>
  <c r="O198" i="34"/>
  <c r="Q198" i="34" s="1"/>
  <c r="O197" i="34"/>
  <c r="Q197" i="34" s="1"/>
  <c r="O196" i="34"/>
  <c r="Q196" i="34" s="1"/>
  <c r="O195" i="34"/>
  <c r="Q195" i="34" s="1"/>
  <c r="O194" i="34"/>
  <c r="Q194" i="34" s="1"/>
  <c r="O193" i="34"/>
  <c r="Q193" i="34" s="1"/>
  <c r="O192" i="34"/>
  <c r="Q192" i="34" s="1"/>
  <c r="O191" i="34"/>
  <c r="Q191" i="34" s="1"/>
  <c r="O190" i="34"/>
  <c r="Q190" i="34" s="1"/>
  <c r="O189" i="34"/>
  <c r="Q189" i="34" s="1"/>
  <c r="O188" i="34"/>
  <c r="Q188" i="34" s="1"/>
  <c r="O187" i="34"/>
  <c r="Q187" i="34" s="1"/>
  <c r="O186" i="34"/>
  <c r="Q186" i="34" s="1"/>
  <c r="O185" i="34"/>
  <c r="Q185" i="34" s="1"/>
  <c r="O184" i="34"/>
  <c r="Q184" i="34" s="1"/>
  <c r="O183" i="34"/>
  <c r="Q183" i="34" s="1"/>
  <c r="O182" i="34"/>
  <c r="Q182" i="34" s="1"/>
  <c r="O181" i="34"/>
  <c r="Q181" i="34" s="1"/>
  <c r="O180" i="34"/>
  <c r="Q180" i="34" s="1"/>
  <c r="O179" i="34"/>
  <c r="Q179" i="34" s="1"/>
  <c r="O178" i="34"/>
  <c r="Q178" i="34" s="1"/>
  <c r="O177" i="34"/>
  <c r="Q177" i="34" s="1"/>
  <c r="O176" i="34"/>
  <c r="Q176" i="34" s="1"/>
  <c r="O175" i="34"/>
  <c r="Q175" i="34" s="1"/>
  <c r="O174" i="34"/>
  <c r="Q174" i="34" s="1"/>
  <c r="O173" i="34"/>
  <c r="Q173" i="34" s="1"/>
  <c r="O172" i="34"/>
  <c r="Q172" i="34" s="1"/>
  <c r="O171" i="34"/>
  <c r="Q171" i="34" s="1"/>
  <c r="O170" i="34"/>
  <c r="Q170" i="34" s="1"/>
  <c r="O169" i="34"/>
  <c r="Q169" i="34" s="1"/>
  <c r="L166" i="34"/>
  <c r="I166" i="34"/>
  <c r="H166" i="34"/>
  <c r="G166" i="34"/>
  <c r="D166" i="34"/>
  <c r="Q164" i="34"/>
  <c r="O164" i="34"/>
  <c r="P164" i="34" s="1"/>
  <c r="Q163" i="34"/>
  <c r="O163" i="34"/>
  <c r="P163" i="34" s="1"/>
  <c r="Q162" i="34"/>
  <c r="O162" i="34"/>
  <c r="P162" i="34" s="1"/>
  <c r="Q161" i="34"/>
  <c r="O161" i="34"/>
  <c r="P161" i="34" s="1"/>
  <c r="Q160" i="34"/>
  <c r="O160" i="34"/>
  <c r="P160" i="34" s="1"/>
  <c r="Q159" i="34"/>
  <c r="O159" i="34"/>
  <c r="P159" i="34" s="1"/>
  <c r="Q158" i="34"/>
  <c r="O158" i="34"/>
  <c r="P158" i="34" s="1"/>
  <c r="Q157" i="34"/>
  <c r="O157" i="34"/>
  <c r="P155" i="34"/>
  <c r="L155" i="34"/>
  <c r="I155" i="34"/>
  <c r="G155" i="34"/>
  <c r="D155" i="34"/>
  <c r="Q153" i="34"/>
  <c r="Q155" i="34" s="1"/>
  <c r="O153" i="34"/>
  <c r="O155" i="34" s="1"/>
  <c r="L151" i="34"/>
  <c r="I151" i="34"/>
  <c r="H151" i="34"/>
  <c r="G151" i="34"/>
  <c r="D151" i="34"/>
  <c r="O150" i="34"/>
  <c r="O149" i="34"/>
  <c r="O148" i="34"/>
  <c r="O147" i="34"/>
  <c r="P147" i="34" s="1"/>
  <c r="P146" i="34"/>
  <c r="O146" i="34"/>
  <c r="O145" i="34"/>
  <c r="O144" i="34"/>
  <c r="O143" i="34"/>
  <c r="P143" i="34" s="1"/>
  <c r="O142" i="34"/>
  <c r="O141" i="34"/>
  <c r="O140" i="34"/>
  <c r="L138" i="34"/>
  <c r="I138" i="34"/>
  <c r="H138" i="34"/>
  <c r="G138" i="34"/>
  <c r="D138" i="34"/>
  <c r="O137" i="34"/>
  <c r="P137" i="34" s="1"/>
  <c r="Q137" i="34" s="1"/>
  <c r="O136" i="34"/>
  <c r="O135" i="34"/>
  <c r="P135" i="34" s="1"/>
  <c r="Q135" i="34" s="1"/>
  <c r="O134" i="34"/>
  <c r="O133" i="34"/>
  <c r="P133" i="34" s="1"/>
  <c r="Q133" i="34" s="1"/>
  <c r="O132" i="34"/>
  <c r="O131" i="34"/>
  <c r="P131" i="34" s="1"/>
  <c r="Q131" i="34" s="1"/>
  <c r="O130" i="34"/>
  <c r="O129" i="34"/>
  <c r="P129" i="34" s="1"/>
  <c r="Q129" i="34" s="1"/>
  <c r="O128" i="34"/>
  <c r="O127" i="34"/>
  <c r="P127" i="34" s="1"/>
  <c r="Q127" i="34" s="1"/>
  <c r="O126" i="34"/>
  <c r="O125" i="34"/>
  <c r="P125" i="34" s="1"/>
  <c r="Q125" i="34" s="1"/>
  <c r="O124" i="34"/>
  <c r="L122" i="34"/>
  <c r="I122" i="34"/>
  <c r="H122" i="34"/>
  <c r="G122" i="34"/>
  <c r="D122" i="34"/>
  <c r="O121" i="34"/>
  <c r="P121" i="34" s="1"/>
  <c r="O120" i="34"/>
  <c r="P120" i="34" s="1"/>
  <c r="Q120" i="34" s="1"/>
  <c r="O119" i="34"/>
  <c r="P119" i="34" s="1"/>
  <c r="Q119" i="34" s="1"/>
  <c r="O118" i="34"/>
  <c r="O117" i="34"/>
  <c r="P117" i="34" s="1"/>
  <c r="O116" i="34"/>
  <c r="P116" i="34" s="1"/>
  <c r="Q116" i="34" s="1"/>
  <c r="O115" i="34"/>
  <c r="P115" i="34" s="1"/>
  <c r="Q115" i="34" s="1"/>
  <c r="O114" i="34"/>
  <c r="P114" i="34" s="1"/>
  <c r="O113" i="34"/>
  <c r="O112" i="34"/>
  <c r="P112" i="34" s="1"/>
  <c r="Q112" i="34" s="1"/>
  <c r="O111" i="34"/>
  <c r="P111" i="34" s="1"/>
  <c r="Q111" i="34" s="1"/>
  <c r="O110" i="34"/>
  <c r="P110" i="34" s="1"/>
  <c r="L108" i="34"/>
  <c r="D108" i="34"/>
  <c r="O107" i="34"/>
  <c r="P107" i="34" s="1"/>
  <c r="O106" i="34"/>
  <c r="P106" i="34" s="1"/>
  <c r="Q106" i="34" s="1"/>
  <c r="O105" i="34"/>
  <c r="O104" i="34"/>
  <c r="O103" i="34"/>
  <c r="P103" i="34" s="1"/>
  <c r="O102" i="34"/>
  <c r="P102" i="34" s="1"/>
  <c r="Q102" i="34" s="1"/>
  <c r="O101" i="34"/>
  <c r="O100" i="34"/>
  <c r="O99" i="34"/>
  <c r="P99" i="34" s="1"/>
  <c r="O98" i="34"/>
  <c r="O97" i="34"/>
  <c r="O96" i="34"/>
  <c r="O95" i="34"/>
  <c r="P95" i="34" s="1"/>
  <c r="L92" i="34"/>
  <c r="L89" i="34"/>
  <c r="I89" i="34"/>
  <c r="H89" i="34"/>
  <c r="G89" i="34"/>
  <c r="D89" i="34"/>
  <c r="O88" i="34"/>
  <c r="O87" i="34"/>
  <c r="O86" i="34"/>
  <c r="O85" i="34"/>
  <c r="O84" i="34"/>
  <c r="P84" i="34" s="1"/>
  <c r="L82" i="34"/>
  <c r="D82" i="34"/>
  <c r="O81" i="34"/>
  <c r="O80" i="34"/>
  <c r="P80" i="34" s="1"/>
  <c r="Q80" i="34" s="1"/>
  <c r="O79" i="34"/>
  <c r="O78" i="34"/>
  <c r="P78" i="34" s="1"/>
  <c r="Q78" i="34" s="1"/>
  <c r="O77" i="34"/>
  <c r="O76" i="34"/>
  <c r="P76" i="34" s="1"/>
  <c r="Q76" i="34" s="1"/>
  <c r="O75" i="34"/>
  <c r="O74" i="34"/>
  <c r="P74" i="34" s="1"/>
  <c r="Q74" i="34" s="1"/>
  <c r="O73" i="34"/>
  <c r="O72" i="34"/>
  <c r="P72" i="34" s="1"/>
  <c r="Q72" i="34" s="1"/>
  <c r="O71" i="34"/>
  <c r="O70" i="34"/>
  <c r="P70" i="34" s="1"/>
  <c r="Q70" i="34" s="1"/>
  <c r="O69" i="34"/>
  <c r="O68" i="34"/>
  <c r="P68" i="34" s="1"/>
  <c r="Q68" i="34" s="1"/>
  <c r="O67" i="34"/>
  <c r="O66" i="34"/>
  <c r="P66" i="34" s="1"/>
  <c r="Q66" i="34" s="1"/>
  <c r="O65" i="34"/>
  <c r="O64" i="34"/>
  <c r="P64" i="34" s="1"/>
  <c r="Q64" i="34" s="1"/>
  <c r="O63" i="34"/>
  <c r="O62" i="34"/>
  <c r="P62" i="34" s="1"/>
  <c r="Q62" i="34" s="1"/>
  <c r="O61" i="34"/>
  <c r="O60" i="34"/>
  <c r="P60" i="34" s="1"/>
  <c r="Q60" i="34" s="1"/>
  <c r="O59" i="34"/>
  <c r="O58" i="34"/>
  <c r="P58" i="34" s="1"/>
  <c r="Q58" i="34" s="1"/>
  <c r="O57" i="34"/>
  <c r="O56" i="34"/>
  <c r="P56" i="34" s="1"/>
  <c r="Q56" i="34" s="1"/>
  <c r="O55" i="34"/>
  <c r="O54" i="34"/>
  <c r="P54" i="34" s="1"/>
  <c r="Q54" i="34" s="1"/>
  <c r="O53" i="34"/>
  <c r="O52" i="34"/>
  <c r="P52" i="34" s="1"/>
  <c r="Q52" i="34" s="1"/>
  <c r="O51" i="34"/>
  <c r="O50" i="34"/>
  <c r="P50" i="34" s="1"/>
  <c r="Q50" i="34" s="1"/>
  <c r="O49" i="34"/>
  <c r="O48" i="34"/>
  <c r="P48" i="34" s="1"/>
  <c r="Q48" i="34" s="1"/>
  <c r="O47" i="34"/>
  <c r="L45" i="34"/>
  <c r="K45" i="34"/>
  <c r="I45" i="34"/>
  <c r="H45" i="34"/>
  <c r="G45" i="34"/>
  <c r="D45" i="34"/>
  <c r="O44" i="34"/>
  <c r="O43" i="34"/>
  <c r="P43" i="34" s="1"/>
  <c r="Q43" i="34" s="1"/>
  <c r="O42" i="34"/>
  <c r="O41" i="34"/>
  <c r="P41" i="34" s="1"/>
  <c r="Q41" i="34" s="1"/>
  <c r="O40" i="34"/>
  <c r="O39" i="34"/>
  <c r="P39" i="34" s="1"/>
  <c r="Q39" i="34" s="1"/>
  <c r="O38" i="34"/>
  <c r="O37" i="34"/>
  <c r="P37" i="34" s="1"/>
  <c r="Q37" i="34" s="1"/>
  <c r="O36" i="34"/>
  <c r="O35" i="34"/>
  <c r="P35" i="34" s="1"/>
  <c r="Q35" i="34" s="1"/>
  <c r="O34" i="34"/>
  <c r="O33" i="34"/>
  <c r="P33" i="34" s="1"/>
  <c r="Q33" i="34" s="1"/>
  <c r="O32" i="34"/>
  <c r="L31" i="34"/>
  <c r="I31" i="34"/>
  <c r="H31" i="34"/>
  <c r="G31" i="34"/>
  <c r="D31" i="34"/>
  <c r="O30" i="34"/>
  <c r="P30" i="34" s="1"/>
  <c r="Q30" i="34" s="1"/>
  <c r="O29" i="34"/>
  <c r="P29" i="34" s="1"/>
  <c r="Q29" i="34" s="1"/>
  <c r="L27" i="34"/>
  <c r="D27" i="34"/>
  <c r="O26" i="34"/>
  <c r="O25" i="34"/>
  <c r="P25" i="34" s="1"/>
  <c r="X24" i="34"/>
  <c r="W24" i="34"/>
  <c r="V24" i="34"/>
  <c r="U24" i="34"/>
  <c r="T24" i="34"/>
  <c r="S24" i="34"/>
  <c r="R24" i="34"/>
  <c r="L24" i="34"/>
  <c r="I24" i="34"/>
  <c r="H24" i="34"/>
  <c r="G24" i="34"/>
  <c r="D24" i="34"/>
  <c r="O23" i="34"/>
  <c r="P23" i="34" s="1"/>
  <c r="O22" i="34"/>
  <c r="P22" i="34" s="1"/>
  <c r="Q22" i="34" s="1"/>
  <c r="O21" i="34"/>
  <c r="O20" i="34"/>
  <c r="O19" i="34"/>
  <c r="P19" i="34" s="1"/>
  <c r="O18" i="34"/>
  <c r="P18" i="34" s="1"/>
  <c r="Q18" i="34" s="1"/>
  <c r="O17" i="34"/>
  <c r="O16" i="34"/>
  <c r="O15" i="34"/>
  <c r="P15" i="34" s="1"/>
  <c r="O14" i="34"/>
  <c r="P14" i="34" s="1"/>
  <c r="O13" i="34"/>
  <c r="P13" i="34" s="1"/>
  <c r="O12" i="34"/>
  <c r="O11" i="34"/>
  <c r="P11" i="34" s="1"/>
  <c r="O10" i="34"/>
  <c r="O9" i="34"/>
  <c r="P8" i="34"/>
  <c r="Q8" i="34" s="1"/>
  <c r="O16" i="33"/>
  <c r="F21" i="33"/>
  <c r="F16" i="33"/>
  <c r="Q77" i="32"/>
  <c r="P64" i="32"/>
  <c r="G47" i="32"/>
  <c r="P47" i="32"/>
  <c r="P40" i="32"/>
  <c r="P36" i="32"/>
  <c r="P14" i="32"/>
  <c r="H182" i="31"/>
  <c r="H179" i="31"/>
  <c r="H171" i="31"/>
  <c r="H131" i="31"/>
  <c r="H124" i="31"/>
  <c r="H108" i="31"/>
  <c r="F95" i="31"/>
  <c r="H95" i="31"/>
  <c r="F24" i="31"/>
  <c r="H24" i="31"/>
  <c r="I183" i="31" s="1"/>
  <c r="H77" i="31"/>
  <c r="H74" i="31"/>
  <c r="H67" i="31"/>
  <c r="Q270" i="30"/>
  <c r="O270" i="30"/>
  <c r="G249" i="30"/>
  <c r="H122" i="30"/>
  <c r="I122" i="30"/>
  <c r="G122" i="30"/>
  <c r="P24" i="30"/>
  <c r="Q24" i="30"/>
  <c r="O24" i="30"/>
  <c r="Q268" i="30"/>
  <c r="O268" i="30"/>
  <c r="I268" i="30"/>
  <c r="G268" i="30"/>
  <c r="I263" i="30"/>
  <c r="G263" i="30"/>
  <c r="O260" i="30"/>
  <c r="Q260" i="30" s="1"/>
  <c r="O259" i="30"/>
  <c r="Q259" i="30" s="1"/>
  <c r="O258" i="30"/>
  <c r="Q258" i="30" s="1"/>
  <c r="O257" i="30"/>
  <c r="Q257" i="30" s="1"/>
  <c r="O256" i="30"/>
  <c r="Q256" i="30" s="1"/>
  <c r="O255" i="30"/>
  <c r="Q255" i="30" s="1"/>
  <c r="O254" i="30"/>
  <c r="Q254" i="30" s="1"/>
  <c r="O253" i="30"/>
  <c r="O263" i="30" s="1"/>
  <c r="P249" i="30"/>
  <c r="L249" i="30"/>
  <c r="I249" i="30"/>
  <c r="H249" i="30"/>
  <c r="D249" i="30"/>
  <c r="Q246" i="30"/>
  <c r="O246" i="30" s="1"/>
  <c r="Q243" i="30"/>
  <c r="O243" i="30" s="1"/>
  <c r="P241" i="30"/>
  <c r="L241" i="30"/>
  <c r="D241" i="30"/>
  <c r="O240" i="30"/>
  <c r="Q240" i="30" s="1"/>
  <c r="O238" i="30"/>
  <c r="L236" i="30"/>
  <c r="D236" i="30"/>
  <c r="O232" i="30"/>
  <c r="Q232" i="30" s="1"/>
  <c r="O231" i="30"/>
  <c r="Q231" i="30" s="1"/>
  <c r="O230" i="30"/>
  <c r="Q230" i="30" s="1"/>
  <c r="O228" i="30"/>
  <c r="Q228" i="30" s="1"/>
  <c r="O226" i="30"/>
  <c r="Q226" i="30" s="1"/>
  <c r="O224" i="30"/>
  <c r="Q224" i="30" s="1"/>
  <c r="L222" i="30"/>
  <c r="I222" i="30"/>
  <c r="G222" i="30"/>
  <c r="D222" i="30"/>
  <c r="O219" i="30"/>
  <c r="Q219" i="30" s="1"/>
  <c r="O218" i="30"/>
  <c r="Q218" i="30" s="1"/>
  <c r="O217" i="30"/>
  <c r="Q217" i="30" s="1"/>
  <c r="O216" i="30"/>
  <c r="Q216" i="30" s="1"/>
  <c r="O215" i="30"/>
  <c r="Q215" i="30" s="1"/>
  <c r="O214" i="30"/>
  <c r="Q214" i="30" s="1"/>
  <c r="O213" i="30"/>
  <c r="Q213" i="30" s="1"/>
  <c r="O212" i="30"/>
  <c r="Q212" i="30" s="1"/>
  <c r="O211" i="30"/>
  <c r="Q211" i="30" s="1"/>
  <c r="O210" i="30"/>
  <c r="Q210" i="30" s="1"/>
  <c r="O209" i="30"/>
  <c r="Q209" i="30" s="1"/>
  <c r="O208" i="30"/>
  <c r="Q208" i="30" s="1"/>
  <c r="O207" i="30"/>
  <c r="Q207" i="30" s="1"/>
  <c r="O206" i="30"/>
  <c r="Q206" i="30" s="1"/>
  <c r="O205" i="30"/>
  <c r="Q205" i="30" s="1"/>
  <c r="O204" i="30"/>
  <c r="Q204" i="30" s="1"/>
  <c r="O203" i="30"/>
  <c r="Q203" i="30" s="1"/>
  <c r="O202" i="30"/>
  <c r="Q202" i="30" s="1"/>
  <c r="O201" i="30"/>
  <c r="Q201" i="30" s="1"/>
  <c r="O200" i="30"/>
  <c r="Q200" i="30" s="1"/>
  <c r="O199" i="30"/>
  <c r="Q199" i="30" s="1"/>
  <c r="O198" i="30"/>
  <c r="Q198" i="30" s="1"/>
  <c r="O197" i="30"/>
  <c r="Q197" i="30" s="1"/>
  <c r="O196" i="30"/>
  <c r="Q196" i="30" s="1"/>
  <c r="O195" i="30"/>
  <c r="Q195" i="30" s="1"/>
  <c r="O194" i="30"/>
  <c r="Q194" i="30" s="1"/>
  <c r="O193" i="30"/>
  <c r="Q193" i="30" s="1"/>
  <c r="O192" i="30"/>
  <c r="Q192" i="30" s="1"/>
  <c r="O191" i="30"/>
  <c r="Q191" i="30" s="1"/>
  <c r="O190" i="30"/>
  <c r="Q190" i="30" s="1"/>
  <c r="O189" i="30"/>
  <c r="Q189" i="30" s="1"/>
  <c r="O188" i="30"/>
  <c r="Q188" i="30" s="1"/>
  <c r="O187" i="30"/>
  <c r="Q187" i="30" s="1"/>
  <c r="O186" i="30"/>
  <c r="Q186" i="30" s="1"/>
  <c r="O185" i="30"/>
  <c r="Q185" i="30" s="1"/>
  <c r="O184" i="30"/>
  <c r="Q184" i="30" s="1"/>
  <c r="O183" i="30"/>
  <c r="Q183" i="30" s="1"/>
  <c r="O182" i="30"/>
  <c r="Q182" i="30" s="1"/>
  <c r="O181" i="30"/>
  <c r="Q181" i="30" s="1"/>
  <c r="O180" i="30"/>
  <c r="Q180" i="30" s="1"/>
  <c r="O179" i="30"/>
  <c r="Q179" i="30" s="1"/>
  <c r="O178" i="30"/>
  <c r="Q178" i="30" s="1"/>
  <c r="O177" i="30"/>
  <c r="Q177" i="30" s="1"/>
  <c r="O176" i="30"/>
  <c r="Q176" i="30" s="1"/>
  <c r="O175" i="30"/>
  <c r="Q175" i="30" s="1"/>
  <c r="O174" i="30"/>
  <c r="Q174" i="30" s="1"/>
  <c r="O173" i="30"/>
  <c r="Q173" i="30" s="1"/>
  <c r="O172" i="30"/>
  <c r="Q172" i="30" s="1"/>
  <c r="O171" i="30"/>
  <c r="Q171" i="30" s="1"/>
  <c r="O170" i="30"/>
  <c r="Q170" i="30" s="1"/>
  <c r="O169" i="30"/>
  <c r="Q169" i="30" s="1"/>
  <c r="L166" i="30"/>
  <c r="I166" i="30"/>
  <c r="H166" i="30"/>
  <c r="G166" i="30"/>
  <c r="D166" i="30"/>
  <c r="Q164" i="30"/>
  <c r="O164" i="30"/>
  <c r="P164" i="30" s="1"/>
  <c r="Q163" i="30"/>
  <c r="O163" i="30"/>
  <c r="P163" i="30" s="1"/>
  <c r="Q162" i="30"/>
  <c r="O162" i="30"/>
  <c r="P162" i="30" s="1"/>
  <c r="Q161" i="30"/>
  <c r="O161" i="30"/>
  <c r="P161" i="30" s="1"/>
  <c r="Q160" i="30"/>
  <c r="O160" i="30"/>
  <c r="P160" i="30" s="1"/>
  <c r="Q159" i="30"/>
  <c r="O159" i="30"/>
  <c r="P159" i="30" s="1"/>
  <c r="Q158" i="30"/>
  <c r="O158" i="30"/>
  <c r="P158" i="30" s="1"/>
  <c r="Q157" i="30"/>
  <c r="O157" i="30"/>
  <c r="P155" i="30"/>
  <c r="L155" i="30"/>
  <c r="I155" i="30"/>
  <c r="G155" i="30"/>
  <c r="D155" i="30"/>
  <c r="Q153" i="30"/>
  <c r="Q155" i="30" s="1"/>
  <c r="O153" i="30"/>
  <c r="O155" i="30" s="1"/>
  <c r="L151" i="30"/>
  <c r="I151" i="30"/>
  <c r="H151" i="30"/>
  <c r="G151" i="30"/>
  <c r="D151" i="30"/>
  <c r="O150" i="30"/>
  <c r="O149" i="30"/>
  <c r="O148" i="30"/>
  <c r="P147" i="30"/>
  <c r="O147" i="30"/>
  <c r="Q147" i="30" s="1"/>
  <c r="O146" i="30"/>
  <c r="O145" i="30"/>
  <c r="O144" i="30"/>
  <c r="P143" i="30"/>
  <c r="O143" i="30"/>
  <c r="Q143" i="30" s="1"/>
  <c r="O142" i="30"/>
  <c r="O141" i="30"/>
  <c r="O140" i="30"/>
  <c r="O151" i="30" s="1"/>
  <c r="L138" i="30"/>
  <c r="I138" i="30"/>
  <c r="H138" i="30"/>
  <c r="G138" i="30"/>
  <c r="D138" i="30"/>
  <c r="O137" i="30"/>
  <c r="P137" i="30" s="1"/>
  <c r="Q137" i="30" s="1"/>
  <c r="O136" i="30"/>
  <c r="O135" i="30"/>
  <c r="P135" i="30" s="1"/>
  <c r="Q135" i="30" s="1"/>
  <c r="O134" i="30"/>
  <c r="P134" i="30" s="1"/>
  <c r="Q134" i="30" s="1"/>
  <c r="O133" i="30"/>
  <c r="O132" i="30"/>
  <c r="O131" i="30"/>
  <c r="P131" i="30" s="1"/>
  <c r="Q131" i="30" s="1"/>
  <c r="O130" i="30"/>
  <c r="P130" i="30" s="1"/>
  <c r="Q130" i="30" s="1"/>
  <c r="O129" i="30"/>
  <c r="O128" i="30"/>
  <c r="P127" i="30"/>
  <c r="Q127" i="30" s="1"/>
  <c r="O127" i="30"/>
  <c r="O126" i="30"/>
  <c r="P126" i="30" s="1"/>
  <c r="Q126" i="30" s="1"/>
  <c r="O125" i="30"/>
  <c r="O124" i="30"/>
  <c r="L122" i="30"/>
  <c r="D122" i="30"/>
  <c r="O121" i="30"/>
  <c r="O120" i="30"/>
  <c r="P120" i="30" s="1"/>
  <c r="Q120" i="30" s="1"/>
  <c r="O119" i="30"/>
  <c r="P119" i="30" s="1"/>
  <c r="Q119" i="30" s="1"/>
  <c r="O118" i="30"/>
  <c r="P118" i="30" s="1"/>
  <c r="Q118" i="30" s="1"/>
  <c r="O117" i="30"/>
  <c r="O116" i="30"/>
  <c r="P116" i="30" s="1"/>
  <c r="Q116" i="30" s="1"/>
  <c r="O115" i="30"/>
  <c r="O114" i="30"/>
  <c r="O113" i="30"/>
  <c r="O112" i="30"/>
  <c r="P112" i="30" s="1"/>
  <c r="Q112" i="30" s="1"/>
  <c r="O111" i="30"/>
  <c r="P111" i="30" s="1"/>
  <c r="Q111" i="30" s="1"/>
  <c r="O110" i="30"/>
  <c r="L108" i="30"/>
  <c r="D108" i="30"/>
  <c r="O107" i="30"/>
  <c r="O106" i="30"/>
  <c r="P106" i="30" s="1"/>
  <c r="O105" i="30"/>
  <c r="O104" i="30"/>
  <c r="P104" i="30" s="1"/>
  <c r="Q104" i="30" s="1"/>
  <c r="O103" i="30"/>
  <c r="O102" i="30"/>
  <c r="P102" i="30" s="1"/>
  <c r="O101" i="30"/>
  <c r="O100" i="30"/>
  <c r="P100" i="30" s="1"/>
  <c r="Q100" i="30" s="1"/>
  <c r="O99" i="30"/>
  <c r="O98" i="30"/>
  <c r="O97" i="30"/>
  <c r="O96" i="30"/>
  <c r="P96" i="30" s="1"/>
  <c r="Q96" i="30" s="1"/>
  <c r="O95" i="30"/>
  <c r="L92" i="30"/>
  <c r="L89" i="30"/>
  <c r="I89" i="30"/>
  <c r="H89" i="30"/>
  <c r="G89" i="30"/>
  <c r="D89" i="30"/>
  <c r="O88" i="30"/>
  <c r="O87" i="30"/>
  <c r="P87" i="30" s="1"/>
  <c r="O86" i="30"/>
  <c r="O85" i="30"/>
  <c r="P85" i="30" s="1"/>
  <c r="Q85" i="30" s="1"/>
  <c r="O84" i="30"/>
  <c r="L82" i="30"/>
  <c r="I82" i="30"/>
  <c r="H82" i="30"/>
  <c r="G82" i="30"/>
  <c r="D82" i="30"/>
  <c r="O81" i="30"/>
  <c r="O80" i="30"/>
  <c r="P80" i="30" s="1"/>
  <c r="Q80" i="30" s="1"/>
  <c r="O79" i="30"/>
  <c r="P79" i="30" s="1"/>
  <c r="Q79" i="30" s="1"/>
  <c r="O78" i="30"/>
  <c r="P78" i="30" s="1"/>
  <c r="O77" i="30"/>
  <c r="O76" i="30"/>
  <c r="P76" i="30" s="1"/>
  <c r="Q76" i="30" s="1"/>
  <c r="O75" i="30"/>
  <c r="P75" i="30" s="1"/>
  <c r="Q75" i="30" s="1"/>
  <c r="O74" i="30"/>
  <c r="P74" i="30" s="1"/>
  <c r="O73" i="30"/>
  <c r="O72" i="30"/>
  <c r="P72" i="30" s="1"/>
  <c r="Q72" i="30" s="1"/>
  <c r="O71" i="30"/>
  <c r="P71" i="30" s="1"/>
  <c r="Q71" i="30" s="1"/>
  <c r="O70" i="30"/>
  <c r="O69" i="30"/>
  <c r="O68" i="30"/>
  <c r="P68" i="30" s="1"/>
  <c r="Q68" i="30" s="1"/>
  <c r="O67" i="30"/>
  <c r="P67" i="30" s="1"/>
  <c r="Q67" i="30" s="1"/>
  <c r="O66" i="30"/>
  <c r="O65" i="30"/>
  <c r="O64" i="30"/>
  <c r="P64" i="30" s="1"/>
  <c r="Q64" i="30" s="1"/>
  <c r="O63" i="30"/>
  <c r="P63" i="30" s="1"/>
  <c r="Q63" i="30" s="1"/>
  <c r="O62" i="30"/>
  <c r="P62" i="30" s="1"/>
  <c r="Q62" i="30" s="1"/>
  <c r="O61" i="30"/>
  <c r="O60" i="30"/>
  <c r="P60" i="30" s="1"/>
  <c r="Q60" i="30" s="1"/>
  <c r="P59" i="30"/>
  <c r="Q59" i="30" s="1"/>
  <c r="O59" i="30"/>
  <c r="O58" i="30"/>
  <c r="O57" i="30"/>
  <c r="O56" i="30"/>
  <c r="P56" i="30" s="1"/>
  <c r="Q56" i="30" s="1"/>
  <c r="O55" i="30"/>
  <c r="P55" i="30" s="1"/>
  <c r="Q55" i="30" s="1"/>
  <c r="O54" i="30"/>
  <c r="O53" i="30"/>
  <c r="O52" i="30"/>
  <c r="P52" i="30" s="1"/>
  <c r="Q52" i="30" s="1"/>
  <c r="O51" i="30"/>
  <c r="P51" i="30" s="1"/>
  <c r="Q51" i="30" s="1"/>
  <c r="O50" i="30"/>
  <c r="P50" i="30" s="1"/>
  <c r="O49" i="30"/>
  <c r="O48" i="30"/>
  <c r="P48" i="30" s="1"/>
  <c r="Q48" i="30" s="1"/>
  <c r="O47" i="30"/>
  <c r="P47" i="30" s="1"/>
  <c r="Q47" i="30" s="1"/>
  <c r="L45" i="30"/>
  <c r="K45" i="30"/>
  <c r="I45" i="30"/>
  <c r="H45" i="30"/>
  <c r="G45" i="30"/>
  <c r="D45" i="30"/>
  <c r="P44" i="30"/>
  <c r="Q44" i="30" s="1"/>
  <c r="O44" i="30"/>
  <c r="Q43" i="30"/>
  <c r="P43" i="30"/>
  <c r="O43" i="30"/>
  <c r="O42" i="30"/>
  <c r="O41" i="30"/>
  <c r="P41" i="30" s="1"/>
  <c r="Q41" i="30" s="1"/>
  <c r="P40" i="30"/>
  <c r="Q40" i="30" s="1"/>
  <c r="O40" i="30"/>
  <c r="Q39" i="30"/>
  <c r="P39" i="30"/>
  <c r="O39" i="30"/>
  <c r="O38" i="30"/>
  <c r="O37" i="30"/>
  <c r="P37" i="30" s="1"/>
  <c r="Q37" i="30" s="1"/>
  <c r="P36" i="30"/>
  <c r="Q36" i="30" s="1"/>
  <c r="O36" i="30"/>
  <c r="Q35" i="30"/>
  <c r="P35" i="30"/>
  <c r="O35" i="30"/>
  <c r="O34" i="30"/>
  <c r="O33" i="30"/>
  <c r="O45" i="30" s="1"/>
  <c r="P32" i="30"/>
  <c r="O32" i="30"/>
  <c r="L31" i="30"/>
  <c r="I31" i="30"/>
  <c r="H31" i="30"/>
  <c r="G31" i="30"/>
  <c r="D31" i="30"/>
  <c r="O30" i="30"/>
  <c r="O29" i="30"/>
  <c r="O28" i="30"/>
  <c r="L27" i="30"/>
  <c r="D27" i="30"/>
  <c r="O26" i="30"/>
  <c r="O25" i="30"/>
  <c r="X24" i="30"/>
  <c r="W24" i="30"/>
  <c r="V24" i="30"/>
  <c r="U24" i="30"/>
  <c r="T24" i="30"/>
  <c r="S24" i="30"/>
  <c r="R24" i="30"/>
  <c r="L24" i="30"/>
  <c r="I24" i="30"/>
  <c r="H24" i="30"/>
  <c r="G24" i="30"/>
  <c r="D24" i="30"/>
  <c r="O23" i="30"/>
  <c r="O22" i="30"/>
  <c r="P22" i="30" s="1"/>
  <c r="O21" i="30"/>
  <c r="P21" i="30" s="1"/>
  <c r="O20" i="30"/>
  <c r="P20" i="30" s="1"/>
  <c r="Q20" i="30" s="1"/>
  <c r="O19" i="30"/>
  <c r="O18" i="30"/>
  <c r="O17" i="30"/>
  <c r="O16" i="30"/>
  <c r="P16" i="30" s="1"/>
  <c r="Q16" i="30" s="1"/>
  <c r="O15" i="30"/>
  <c r="O14" i="30"/>
  <c r="P14" i="30" s="1"/>
  <c r="O13" i="30"/>
  <c r="P13" i="30" s="1"/>
  <c r="O12" i="30"/>
  <c r="P12" i="30" s="1"/>
  <c r="Q12" i="30" s="1"/>
  <c r="O11" i="30"/>
  <c r="O10" i="30"/>
  <c r="O9" i="30"/>
  <c r="Q8" i="30"/>
  <c r="P8" i="30"/>
  <c r="F18" i="29"/>
  <c r="Q107" i="28"/>
  <c r="P105" i="28"/>
  <c r="P102" i="28"/>
  <c r="P66" i="28"/>
  <c r="G49" i="28"/>
  <c r="P49" i="28"/>
  <c r="P41" i="28"/>
  <c r="P37" i="28"/>
  <c r="P14" i="28"/>
  <c r="Q89" i="28" s="1"/>
  <c r="H200" i="27"/>
  <c r="H199" i="27"/>
  <c r="H196" i="27"/>
  <c r="H114" i="27"/>
  <c r="F114" i="27"/>
  <c r="H188" i="27"/>
  <c r="H138" i="27"/>
  <c r="H130" i="27"/>
  <c r="H86" i="27"/>
  <c r="H83" i="27"/>
  <c r="H76" i="27"/>
  <c r="H30" i="27"/>
  <c r="H26" i="27"/>
  <c r="H23" i="27"/>
  <c r="O166" i="26"/>
  <c r="Q158" i="26"/>
  <c r="Q159" i="26"/>
  <c r="Q160" i="26"/>
  <c r="Q161" i="26"/>
  <c r="Q162" i="26"/>
  <c r="Q163" i="26"/>
  <c r="Q164" i="26"/>
  <c r="Q157" i="26"/>
  <c r="P158" i="26"/>
  <c r="P159" i="26"/>
  <c r="P160" i="26"/>
  <c r="P161" i="26"/>
  <c r="P162" i="26"/>
  <c r="P163" i="26"/>
  <c r="P164" i="26"/>
  <c r="O158" i="26"/>
  <c r="O159" i="26"/>
  <c r="O160" i="26"/>
  <c r="O161" i="26"/>
  <c r="O162" i="26"/>
  <c r="O163" i="26"/>
  <c r="O164" i="26"/>
  <c r="O157" i="26"/>
  <c r="O133" i="26"/>
  <c r="P157" i="26"/>
  <c r="P166" i="26" s="1"/>
  <c r="P132" i="26"/>
  <c r="O138" i="26"/>
  <c r="O122" i="26"/>
  <c r="P122" i="26" s="1"/>
  <c r="Q122" i="26" s="1"/>
  <c r="O89" i="26"/>
  <c r="H24" i="26"/>
  <c r="I24" i="26"/>
  <c r="G24" i="26"/>
  <c r="P24" i="26"/>
  <c r="Q24" i="26"/>
  <c r="O24" i="26"/>
  <c r="Q268" i="26"/>
  <c r="O268" i="26"/>
  <c r="I268" i="26"/>
  <c r="G268" i="26"/>
  <c r="I263" i="26"/>
  <c r="G263" i="26"/>
  <c r="O260" i="26"/>
  <c r="Q260" i="26" s="1"/>
  <c r="O259" i="26"/>
  <c r="Q259" i="26" s="1"/>
  <c r="O258" i="26"/>
  <c r="Q258" i="26" s="1"/>
  <c r="O257" i="26"/>
  <c r="Q257" i="26" s="1"/>
  <c r="O256" i="26"/>
  <c r="Q256" i="26" s="1"/>
  <c r="O255" i="26"/>
  <c r="Q255" i="26" s="1"/>
  <c r="O254" i="26"/>
  <c r="Q254" i="26" s="1"/>
  <c r="O253" i="26"/>
  <c r="P249" i="26"/>
  <c r="L249" i="26"/>
  <c r="I249" i="26"/>
  <c r="H249" i="26"/>
  <c r="G249" i="26"/>
  <c r="D249" i="26"/>
  <c r="Q246" i="26"/>
  <c r="O246" i="26"/>
  <c r="Q243" i="26"/>
  <c r="O243" i="26"/>
  <c r="P241" i="26"/>
  <c r="L241" i="26"/>
  <c r="D241" i="26"/>
  <c r="O240" i="26"/>
  <c r="Q240" i="26" s="1"/>
  <c r="O238" i="26"/>
  <c r="L236" i="26"/>
  <c r="D236" i="26"/>
  <c r="O232" i="26"/>
  <c r="Q232" i="26" s="1"/>
  <c r="O231" i="26"/>
  <c r="Q231" i="26" s="1"/>
  <c r="O230" i="26"/>
  <c r="Q230" i="26" s="1"/>
  <c r="O228" i="26"/>
  <c r="Q228" i="26" s="1"/>
  <c r="O226" i="26"/>
  <c r="Q226" i="26" s="1"/>
  <c r="O224" i="26"/>
  <c r="Q224" i="26" s="1"/>
  <c r="L222" i="26"/>
  <c r="I222" i="26"/>
  <c r="G222" i="26"/>
  <c r="D222" i="26"/>
  <c r="O219" i="26"/>
  <c r="Q219" i="26" s="1"/>
  <c r="O218" i="26"/>
  <c r="Q218" i="26" s="1"/>
  <c r="O217" i="26"/>
  <c r="Q217" i="26" s="1"/>
  <c r="O216" i="26"/>
  <c r="Q216" i="26" s="1"/>
  <c r="O215" i="26"/>
  <c r="Q215" i="26" s="1"/>
  <c r="O214" i="26"/>
  <c r="Q214" i="26" s="1"/>
  <c r="O213" i="26"/>
  <c r="Q213" i="26" s="1"/>
  <c r="O212" i="26"/>
  <c r="Q212" i="26" s="1"/>
  <c r="O211" i="26"/>
  <c r="Q211" i="26" s="1"/>
  <c r="O210" i="26"/>
  <c r="Q210" i="26" s="1"/>
  <c r="O209" i="26"/>
  <c r="Q209" i="26" s="1"/>
  <c r="O208" i="26"/>
  <c r="Q208" i="26" s="1"/>
  <c r="O207" i="26"/>
  <c r="Q207" i="26" s="1"/>
  <c r="O206" i="26"/>
  <c r="Q206" i="26" s="1"/>
  <c r="O205" i="26"/>
  <c r="Q205" i="26" s="1"/>
  <c r="O204" i="26"/>
  <c r="O203" i="26"/>
  <c r="Q203" i="26" s="1"/>
  <c r="O202" i="26"/>
  <c r="Q202" i="26" s="1"/>
  <c r="O201" i="26"/>
  <c r="Q201" i="26" s="1"/>
  <c r="O200" i="26"/>
  <c r="Q200" i="26" s="1"/>
  <c r="O199" i="26"/>
  <c r="Q199" i="26" s="1"/>
  <c r="O198" i="26"/>
  <c r="Q198" i="26" s="1"/>
  <c r="O197" i="26"/>
  <c r="Q197" i="26" s="1"/>
  <c r="O196" i="26"/>
  <c r="Q196" i="26" s="1"/>
  <c r="O195" i="26"/>
  <c r="Q195" i="26" s="1"/>
  <c r="O194" i="26"/>
  <c r="Q194" i="26" s="1"/>
  <c r="O193" i="26"/>
  <c r="Q193" i="26" s="1"/>
  <c r="O192" i="26"/>
  <c r="Q192" i="26" s="1"/>
  <c r="O191" i="26"/>
  <c r="Q191" i="26" s="1"/>
  <c r="O190" i="26"/>
  <c r="Q190" i="26" s="1"/>
  <c r="O189" i="26"/>
  <c r="Q189" i="26" s="1"/>
  <c r="O188" i="26"/>
  <c r="Q188" i="26" s="1"/>
  <c r="O187" i="26"/>
  <c r="Q187" i="26" s="1"/>
  <c r="O186" i="26"/>
  <c r="Q186" i="26" s="1"/>
  <c r="O185" i="26"/>
  <c r="Q185" i="26" s="1"/>
  <c r="O184" i="26"/>
  <c r="Q184" i="26" s="1"/>
  <c r="O183" i="26"/>
  <c r="Q183" i="26" s="1"/>
  <c r="O182" i="26"/>
  <c r="Q182" i="26" s="1"/>
  <c r="O181" i="26"/>
  <c r="Q181" i="26" s="1"/>
  <c r="O180" i="26"/>
  <c r="Q180" i="26" s="1"/>
  <c r="O179" i="26"/>
  <c r="Q179" i="26" s="1"/>
  <c r="O178" i="26"/>
  <c r="Q178" i="26" s="1"/>
  <c r="O177" i="26"/>
  <c r="Q177" i="26" s="1"/>
  <c r="O176" i="26"/>
  <c r="Q176" i="26" s="1"/>
  <c r="O175" i="26"/>
  <c r="Q175" i="26" s="1"/>
  <c r="O174" i="26"/>
  <c r="Q174" i="26" s="1"/>
  <c r="O173" i="26"/>
  <c r="Q173" i="26" s="1"/>
  <c r="O172" i="26"/>
  <c r="Q172" i="26" s="1"/>
  <c r="O171" i="26"/>
  <c r="Q171" i="26" s="1"/>
  <c r="O170" i="26"/>
  <c r="Q170" i="26" s="1"/>
  <c r="O169" i="26"/>
  <c r="Q169" i="26" s="1"/>
  <c r="L166" i="26"/>
  <c r="I166" i="26"/>
  <c r="H166" i="26"/>
  <c r="G166" i="26"/>
  <c r="D166" i="26"/>
  <c r="P155" i="26"/>
  <c r="L155" i="26"/>
  <c r="I155" i="26"/>
  <c r="G155" i="26"/>
  <c r="D155" i="26"/>
  <c r="Q153" i="26"/>
  <c r="Q155" i="26" s="1"/>
  <c r="O153" i="26"/>
  <c r="O155" i="26" s="1"/>
  <c r="L151" i="26"/>
  <c r="I151" i="26"/>
  <c r="H151" i="26"/>
  <c r="G151" i="26"/>
  <c r="D151" i="26"/>
  <c r="O150" i="26"/>
  <c r="O149" i="26"/>
  <c r="O148" i="26"/>
  <c r="O147" i="26"/>
  <c r="O146" i="26"/>
  <c r="O145" i="26"/>
  <c r="O144" i="26"/>
  <c r="O143" i="26"/>
  <c r="O142" i="26"/>
  <c r="O141" i="26"/>
  <c r="O140" i="26"/>
  <c r="L138" i="26"/>
  <c r="I138" i="26"/>
  <c r="H138" i="26"/>
  <c r="G138" i="26"/>
  <c r="D138" i="26"/>
  <c r="O137" i="26"/>
  <c r="O136" i="26"/>
  <c r="O135" i="26"/>
  <c r="O134" i="26"/>
  <c r="O132" i="26"/>
  <c r="O131" i="26"/>
  <c r="O130" i="26"/>
  <c r="O129" i="26"/>
  <c r="O128" i="26"/>
  <c r="O127" i="26"/>
  <c r="O126" i="26"/>
  <c r="O125" i="26"/>
  <c r="O124" i="26"/>
  <c r="L122" i="26"/>
  <c r="D122" i="26"/>
  <c r="O121" i="26"/>
  <c r="O120" i="26"/>
  <c r="O119" i="26"/>
  <c r="O118" i="26"/>
  <c r="O117" i="26"/>
  <c r="O116" i="26"/>
  <c r="O115" i="26"/>
  <c r="O114" i="26"/>
  <c r="O113" i="26"/>
  <c r="O112" i="26"/>
  <c r="O111" i="26"/>
  <c r="O110" i="26"/>
  <c r="L108" i="26"/>
  <c r="D108" i="26"/>
  <c r="O107" i="26"/>
  <c r="O106" i="26"/>
  <c r="O105" i="26"/>
  <c r="O104" i="26"/>
  <c r="O103" i="26"/>
  <c r="O102" i="26"/>
  <c r="O101" i="26"/>
  <c r="O100" i="26"/>
  <c r="O99" i="26"/>
  <c r="O98" i="26"/>
  <c r="O97" i="26"/>
  <c r="O96" i="26"/>
  <c r="O95" i="26"/>
  <c r="L92" i="26"/>
  <c r="L89" i="26"/>
  <c r="I89" i="26"/>
  <c r="H89" i="26"/>
  <c r="G89" i="26"/>
  <c r="D89" i="26"/>
  <c r="O88" i="26"/>
  <c r="O87" i="26"/>
  <c r="O86" i="26"/>
  <c r="O85" i="26"/>
  <c r="O84" i="26"/>
  <c r="L82" i="26"/>
  <c r="I82" i="26"/>
  <c r="H82" i="26"/>
  <c r="G82" i="26"/>
  <c r="D82" i="26"/>
  <c r="O81" i="26"/>
  <c r="O80" i="26"/>
  <c r="O79" i="26"/>
  <c r="O78" i="26"/>
  <c r="O77" i="26"/>
  <c r="O76" i="26"/>
  <c r="O75" i="26"/>
  <c r="O74" i="26"/>
  <c r="O73" i="26"/>
  <c r="O72" i="26"/>
  <c r="P72" i="26" s="1"/>
  <c r="Q72" i="26" s="1"/>
  <c r="O71" i="26"/>
  <c r="O70" i="26"/>
  <c r="O69" i="26"/>
  <c r="O68" i="26"/>
  <c r="O67" i="26"/>
  <c r="O66" i="26"/>
  <c r="O65" i="26"/>
  <c r="P65" i="26" s="1"/>
  <c r="Q65" i="26" s="1"/>
  <c r="O64" i="26"/>
  <c r="O63" i="26"/>
  <c r="O62" i="26"/>
  <c r="O61" i="26"/>
  <c r="O60" i="26"/>
  <c r="O59" i="26"/>
  <c r="O58" i="26"/>
  <c r="O57" i="26"/>
  <c r="O56" i="26"/>
  <c r="O55" i="26"/>
  <c r="O54" i="26"/>
  <c r="O53" i="26"/>
  <c r="O52" i="26"/>
  <c r="O51" i="26"/>
  <c r="O50" i="26"/>
  <c r="O49" i="26"/>
  <c r="O48" i="26"/>
  <c r="O47" i="26"/>
  <c r="L45" i="26"/>
  <c r="K45" i="26"/>
  <c r="I45" i="26"/>
  <c r="H45" i="26"/>
  <c r="G45" i="26"/>
  <c r="D45" i="26"/>
  <c r="O44" i="26"/>
  <c r="O43" i="26"/>
  <c r="O42" i="26"/>
  <c r="O41" i="26"/>
  <c r="O40" i="26"/>
  <c r="O39" i="26"/>
  <c r="O38" i="26"/>
  <c r="O37" i="26"/>
  <c r="O36" i="26"/>
  <c r="O35" i="26"/>
  <c r="O34" i="26"/>
  <c r="O33" i="26"/>
  <c r="P32" i="26"/>
  <c r="O32" i="26"/>
  <c r="L31" i="26"/>
  <c r="I31" i="26"/>
  <c r="H31" i="26"/>
  <c r="G31" i="26"/>
  <c r="D31" i="26"/>
  <c r="O30" i="26"/>
  <c r="P30" i="26" s="1"/>
  <c r="Q30" i="26" s="1"/>
  <c r="O29" i="26"/>
  <c r="O28" i="26"/>
  <c r="L27" i="26"/>
  <c r="D27" i="26"/>
  <c r="O26" i="26"/>
  <c r="O25" i="26"/>
  <c r="X24" i="26"/>
  <c r="W24" i="26"/>
  <c r="V24" i="26"/>
  <c r="U24" i="26"/>
  <c r="T24" i="26"/>
  <c r="S24" i="26"/>
  <c r="R24" i="26"/>
  <c r="L24" i="26"/>
  <c r="D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P8" i="26"/>
  <c r="Q8" i="26" s="1"/>
  <c r="G16" i="25"/>
  <c r="R94" i="24"/>
  <c r="Q92" i="24"/>
  <c r="Q87" i="24"/>
  <c r="Q74" i="24"/>
  <c r="P61" i="24"/>
  <c r="P45" i="24"/>
  <c r="P38" i="24"/>
  <c r="P35" i="24"/>
  <c r="P13" i="24"/>
  <c r="I199" i="23"/>
  <c r="H198" i="23"/>
  <c r="H195" i="23"/>
  <c r="H187" i="23"/>
  <c r="H144" i="23"/>
  <c r="H136" i="23"/>
  <c r="H120" i="23"/>
  <c r="H105" i="23"/>
  <c r="H95" i="23"/>
  <c r="H83" i="23"/>
  <c r="H80" i="23"/>
  <c r="H73" i="23"/>
  <c r="H28" i="23"/>
  <c r="H24" i="23"/>
  <c r="H21" i="23"/>
  <c r="P222" i="22"/>
  <c r="Q222" i="22"/>
  <c r="O222" i="22"/>
  <c r="I222" i="22"/>
  <c r="G222" i="22"/>
  <c r="I31" i="22"/>
  <c r="P24" i="22"/>
  <c r="Q24" i="22"/>
  <c r="O24" i="22"/>
  <c r="H248" i="34" l="1"/>
  <c r="H268" i="34" s="1"/>
  <c r="O151" i="34"/>
  <c r="P150" i="34"/>
  <c r="Q150" i="34" s="1"/>
  <c r="O261" i="34"/>
  <c r="Q142" i="34"/>
  <c r="P142" i="34"/>
  <c r="Q146" i="34"/>
  <c r="D268" i="34"/>
  <c r="O31" i="34"/>
  <c r="P31" i="34" s="1"/>
  <c r="Q31" i="34" s="1"/>
  <c r="O239" i="34"/>
  <c r="Q166" i="34"/>
  <c r="O166" i="34"/>
  <c r="P157" i="34"/>
  <c r="P166" i="34" s="1"/>
  <c r="O138" i="34"/>
  <c r="G248" i="34"/>
  <c r="G268" i="34" s="1"/>
  <c r="Q114" i="34"/>
  <c r="O122" i="34"/>
  <c r="P122" i="34" s="1"/>
  <c r="Q121" i="34"/>
  <c r="P118" i="34"/>
  <c r="Q118" i="34" s="1"/>
  <c r="Q117" i="34"/>
  <c r="P113" i="34"/>
  <c r="Q113" i="34" s="1"/>
  <c r="P98" i="34"/>
  <c r="Q98" i="34" s="1"/>
  <c r="P87" i="34"/>
  <c r="Q87" i="34" s="1"/>
  <c r="O82" i="34"/>
  <c r="P28" i="34"/>
  <c r="Q28" i="34" s="1"/>
  <c r="P26" i="34"/>
  <c r="Q26" i="34" s="1"/>
  <c r="L268" i="34"/>
  <c r="I248" i="34"/>
  <c r="I268" i="34" s="1"/>
  <c r="Q14" i="34"/>
  <c r="P10" i="34"/>
  <c r="Q10" i="34" s="1"/>
  <c r="Q32" i="34"/>
  <c r="P89" i="34"/>
  <c r="P88" i="34"/>
  <c r="Q88" i="34" s="1"/>
  <c r="Q11" i="34"/>
  <c r="Q15" i="34"/>
  <c r="Q19" i="34"/>
  <c r="Q23" i="34"/>
  <c r="P34" i="34"/>
  <c r="Q34" i="34" s="1"/>
  <c r="P38" i="34"/>
  <c r="Q38" i="34" s="1"/>
  <c r="P42" i="34"/>
  <c r="Q42" i="34" s="1"/>
  <c r="P49" i="34"/>
  <c r="P53" i="34"/>
  <c r="Q53" i="34" s="1"/>
  <c r="P57" i="34"/>
  <c r="Q57" i="34" s="1"/>
  <c r="P61" i="34"/>
  <c r="Q61" i="34" s="1"/>
  <c r="P65" i="34"/>
  <c r="Q65" i="34" s="1"/>
  <c r="P69" i="34"/>
  <c r="Q69" i="34" s="1"/>
  <c r="P73" i="34"/>
  <c r="Q73" i="34" s="1"/>
  <c r="P77" i="34"/>
  <c r="Q77" i="34" s="1"/>
  <c r="P81" i="34"/>
  <c r="Q81" i="34" s="1"/>
  <c r="Q84" i="34"/>
  <c r="Q95" i="34"/>
  <c r="Q99" i="34"/>
  <c r="Q103" i="34"/>
  <c r="Q107" i="34"/>
  <c r="P124" i="34"/>
  <c r="Q124" i="34" s="1"/>
  <c r="P128" i="34"/>
  <c r="Q128" i="34" s="1"/>
  <c r="P132" i="34"/>
  <c r="Q132" i="34" s="1"/>
  <c r="P136" i="34"/>
  <c r="Q136" i="34" s="1"/>
  <c r="Q143" i="34"/>
  <c r="Q147" i="34"/>
  <c r="Q239" i="34"/>
  <c r="P12" i="34"/>
  <c r="Q12" i="34" s="1"/>
  <c r="P16" i="34"/>
  <c r="Q16" i="34" s="1"/>
  <c r="O45" i="34"/>
  <c r="P85" i="34"/>
  <c r="Q85" i="34" s="1"/>
  <c r="P96" i="34"/>
  <c r="Q96" i="34" s="1"/>
  <c r="P100" i="34"/>
  <c r="Q100" i="34" s="1"/>
  <c r="P104" i="34"/>
  <c r="Q104" i="34" s="1"/>
  <c r="P140" i="34"/>
  <c r="Q140" i="34" s="1"/>
  <c r="P144" i="34"/>
  <c r="Q144" i="34" s="1"/>
  <c r="P148" i="34"/>
  <c r="Q148" i="34" s="1"/>
  <c r="Q251" i="34"/>
  <c r="Q261" i="34" s="1"/>
  <c r="AB266" i="34" s="1"/>
  <c r="P20" i="34"/>
  <c r="Q20" i="34" s="1"/>
  <c r="P9" i="34"/>
  <c r="P17" i="34"/>
  <c r="Q17" i="34" s="1"/>
  <c r="P21" i="34"/>
  <c r="Q21" i="34" s="1"/>
  <c r="P86" i="34"/>
  <c r="Q86" i="34" s="1"/>
  <c r="P97" i="34"/>
  <c r="Q97" i="34" s="1"/>
  <c r="P101" i="34"/>
  <c r="Q101" i="34" s="1"/>
  <c r="P105" i="34"/>
  <c r="Q105" i="34" s="1"/>
  <c r="Q110" i="34"/>
  <c r="P141" i="34"/>
  <c r="Q141" i="34" s="1"/>
  <c r="P145" i="34"/>
  <c r="Q145" i="34" s="1"/>
  <c r="P149" i="34"/>
  <c r="Q149" i="34" s="1"/>
  <c r="Q13" i="34"/>
  <c r="O24" i="34"/>
  <c r="Q25" i="34"/>
  <c r="P32" i="34"/>
  <c r="P36" i="34"/>
  <c r="Q36" i="34" s="1"/>
  <c r="P40" i="34"/>
  <c r="Q40" i="34" s="1"/>
  <c r="P44" i="34"/>
  <c r="Q44" i="34" s="1"/>
  <c r="P47" i="34"/>
  <c r="Q47" i="34" s="1"/>
  <c r="P51" i="34"/>
  <c r="Q51" i="34" s="1"/>
  <c r="P55" i="34"/>
  <c r="Q55" i="34" s="1"/>
  <c r="P59" i="34"/>
  <c r="Q59" i="34" s="1"/>
  <c r="P63" i="34"/>
  <c r="Q63" i="34" s="1"/>
  <c r="P67" i="34"/>
  <c r="Q67" i="34" s="1"/>
  <c r="P71" i="34"/>
  <c r="Q71" i="34" s="1"/>
  <c r="P75" i="34"/>
  <c r="Q75" i="34" s="1"/>
  <c r="P79" i="34"/>
  <c r="Q79" i="34" s="1"/>
  <c r="O89" i="34"/>
  <c r="P126" i="34"/>
  <c r="Q126" i="34" s="1"/>
  <c r="P130" i="34"/>
  <c r="Q130" i="34" s="1"/>
  <c r="P134" i="34"/>
  <c r="Q134" i="34" s="1"/>
  <c r="D270" i="30"/>
  <c r="O241" i="30"/>
  <c r="O166" i="30"/>
  <c r="Q166" i="30"/>
  <c r="P114" i="30"/>
  <c r="Q114" i="30" s="1"/>
  <c r="O122" i="30"/>
  <c r="P110" i="30"/>
  <c r="Q110" i="30" s="1"/>
  <c r="P98" i="30"/>
  <c r="Q98" i="30" s="1"/>
  <c r="Q106" i="30"/>
  <c r="Q102" i="30"/>
  <c r="Q87" i="30"/>
  <c r="Q74" i="30"/>
  <c r="P70" i="30"/>
  <c r="Q70" i="30" s="1"/>
  <c r="P58" i="30"/>
  <c r="Q58" i="30" s="1"/>
  <c r="Q78" i="30"/>
  <c r="Q50" i="30"/>
  <c r="P66" i="30"/>
  <c r="Q66" i="30" s="1"/>
  <c r="H250" i="30"/>
  <c r="H270" i="30" s="1"/>
  <c r="P54" i="30"/>
  <c r="Q54" i="30" s="1"/>
  <c r="L250" i="30"/>
  <c r="L270" i="30" s="1"/>
  <c r="O31" i="30"/>
  <c r="P31" i="30" s="1"/>
  <c r="Q31" i="30" s="1"/>
  <c r="P29" i="30"/>
  <c r="Q29" i="30" s="1"/>
  <c r="P26" i="30"/>
  <c r="Q26" i="30" s="1"/>
  <c r="G250" i="30"/>
  <c r="G270" i="30" s="1"/>
  <c r="I250" i="30"/>
  <c r="I270" i="30" s="1"/>
  <c r="P18" i="30"/>
  <c r="Q18" i="30" s="1"/>
  <c r="Q22" i="30"/>
  <c r="P10" i="30"/>
  <c r="Q10" i="30" s="1"/>
  <c r="Q14" i="30"/>
  <c r="Q38" i="30"/>
  <c r="Q142" i="30"/>
  <c r="Q150" i="30"/>
  <c r="P122" i="30"/>
  <c r="Q122" i="30" s="1"/>
  <c r="Q141" i="30"/>
  <c r="Q88" i="30"/>
  <c r="Q42" i="30"/>
  <c r="Q34" i="30"/>
  <c r="Q146" i="30"/>
  <c r="Q13" i="30"/>
  <c r="Q21" i="30"/>
  <c r="O89" i="30"/>
  <c r="P30" i="30"/>
  <c r="Q30" i="30" s="1"/>
  <c r="Q32" i="30"/>
  <c r="O82" i="30"/>
  <c r="P115" i="30"/>
  <c r="Q115" i="30" s="1"/>
  <c r="O138" i="30"/>
  <c r="P33" i="30"/>
  <c r="Q33" i="30" s="1"/>
  <c r="P124" i="30"/>
  <c r="P128" i="30"/>
  <c r="Q128" i="30" s="1"/>
  <c r="P132" i="30"/>
  <c r="Q132" i="30" s="1"/>
  <c r="P136" i="30"/>
  <c r="Q136" i="30" s="1"/>
  <c r="Q238" i="30"/>
  <c r="Q241" i="30" s="1"/>
  <c r="P15" i="30"/>
  <c r="Q15" i="30" s="1"/>
  <c r="P19" i="30"/>
  <c r="Q19" i="30" s="1"/>
  <c r="P23" i="30"/>
  <c r="Q23" i="30" s="1"/>
  <c r="P84" i="30"/>
  <c r="P88" i="30"/>
  <c r="P95" i="30"/>
  <c r="Q95" i="30" s="1"/>
  <c r="P99" i="30"/>
  <c r="Q99" i="30" s="1"/>
  <c r="P103" i="30"/>
  <c r="Q103" i="30" s="1"/>
  <c r="P140" i="30"/>
  <c r="P144" i="30"/>
  <c r="Q144" i="30" s="1"/>
  <c r="P148" i="30"/>
  <c r="Q148" i="30" s="1"/>
  <c r="Q253" i="30"/>
  <c r="Q263" i="30" s="1"/>
  <c r="AB268" i="30" s="1"/>
  <c r="P11" i="30"/>
  <c r="Q11" i="30" s="1"/>
  <c r="P107" i="30"/>
  <c r="Q107" i="30" s="1"/>
  <c r="P34" i="30"/>
  <c r="P38" i="30"/>
  <c r="P42" i="30"/>
  <c r="P49" i="30"/>
  <c r="Q49" i="30" s="1"/>
  <c r="P53" i="30"/>
  <c r="Q53" i="30" s="1"/>
  <c r="P57" i="30"/>
  <c r="Q57" i="30" s="1"/>
  <c r="P61" i="30"/>
  <c r="Q61" i="30" s="1"/>
  <c r="P65" i="30"/>
  <c r="Q65" i="30" s="1"/>
  <c r="P69" i="30"/>
  <c r="Q69" i="30" s="1"/>
  <c r="P73" i="30"/>
  <c r="Q73" i="30" s="1"/>
  <c r="P77" i="30"/>
  <c r="Q77" i="30" s="1"/>
  <c r="P81" i="30"/>
  <c r="Q81" i="30" s="1"/>
  <c r="P125" i="30"/>
  <c r="Q125" i="30" s="1"/>
  <c r="P129" i="30"/>
  <c r="Q129" i="30" s="1"/>
  <c r="P133" i="30"/>
  <c r="Q133" i="30" s="1"/>
  <c r="P28" i="30"/>
  <c r="Q28" i="30" s="1"/>
  <c r="P113" i="30"/>
  <c r="Q113" i="30" s="1"/>
  <c r="P117" i="30"/>
  <c r="Q117" i="30" s="1"/>
  <c r="P121" i="30"/>
  <c r="Q121" i="30" s="1"/>
  <c r="P157" i="30"/>
  <c r="P166" i="30" s="1"/>
  <c r="P141" i="30"/>
  <c r="P145" i="30"/>
  <c r="Q145" i="30" s="1"/>
  <c r="P149" i="30"/>
  <c r="Q149" i="30" s="1"/>
  <c r="P9" i="30"/>
  <c r="Q9" i="30" s="1"/>
  <c r="P17" i="30"/>
  <c r="Q17" i="30" s="1"/>
  <c r="P25" i="30"/>
  <c r="Q25" i="30" s="1"/>
  <c r="P86" i="30"/>
  <c r="Q86" i="30" s="1"/>
  <c r="P97" i="30"/>
  <c r="Q97" i="30" s="1"/>
  <c r="P101" i="30"/>
  <c r="Q101" i="30" s="1"/>
  <c r="P105" i="30"/>
  <c r="Q105" i="30" s="1"/>
  <c r="P142" i="30"/>
  <c r="P146" i="30"/>
  <c r="P150" i="30"/>
  <c r="Q166" i="26"/>
  <c r="D270" i="26"/>
  <c r="L250" i="26"/>
  <c r="L270" i="26" s="1"/>
  <c r="I250" i="26"/>
  <c r="I270" i="26" s="1"/>
  <c r="H250" i="26"/>
  <c r="H270" i="26" s="1"/>
  <c r="G250" i="26"/>
  <c r="G270" i="26" s="1"/>
  <c r="O263" i="26"/>
  <c r="Q253" i="26"/>
  <c r="Q263" i="26" s="1"/>
  <c r="O241" i="26"/>
  <c r="Q238" i="26"/>
  <c r="Q241" i="26" s="1"/>
  <c r="Q204" i="26"/>
  <c r="P150" i="26"/>
  <c r="Q150" i="26"/>
  <c r="P149" i="26"/>
  <c r="Q149" i="26" s="1"/>
  <c r="P148" i="26"/>
  <c r="Q148" i="26"/>
  <c r="P147" i="26"/>
  <c r="Q147" i="26" s="1"/>
  <c r="P146" i="26"/>
  <c r="Q146" i="26" s="1"/>
  <c r="P145" i="26"/>
  <c r="Q145" i="26"/>
  <c r="P144" i="26"/>
  <c r="Q144" i="26"/>
  <c r="P143" i="26"/>
  <c r="Q143" i="26"/>
  <c r="P142" i="26"/>
  <c r="Q142" i="26" s="1"/>
  <c r="Q151" i="26" s="1"/>
  <c r="P141" i="26"/>
  <c r="Q141" i="26"/>
  <c r="P140" i="26"/>
  <c r="P151" i="26" s="1"/>
  <c r="Q140" i="26"/>
  <c r="O151" i="26"/>
  <c r="P137" i="26"/>
  <c r="Q137" i="26" s="1"/>
  <c r="P136" i="26"/>
  <c r="Q136" i="26" s="1"/>
  <c r="P135" i="26"/>
  <c r="Q135" i="26" s="1"/>
  <c r="P134" i="26"/>
  <c r="Q134" i="26" s="1"/>
  <c r="P133" i="26"/>
  <c r="Q133" i="26" s="1"/>
  <c r="Q132" i="26"/>
  <c r="P131" i="26"/>
  <c r="Q131" i="26" s="1"/>
  <c r="P130" i="26"/>
  <c r="Q130" i="26" s="1"/>
  <c r="P129" i="26"/>
  <c r="Q129" i="26" s="1"/>
  <c r="P128" i="26"/>
  <c r="Q128" i="26" s="1"/>
  <c r="P127" i="26"/>
  <c r="Q127" i="26" s="1"/>
  <c r="P126" i="26"/>
  <c r="Q126" i="26" s="1"/>
  <c r="P125" i="26"/>
  <c r="Q125" i="26" s="1"/>
  <c r="P124" i="26"/>
  <c r="Q124" i="26" s="1"/>
  <c r="P121" i="26"/>
  <c r="Q121" i="26" s="1"/>
  <c r="P120" i="26"/>
  <c r="Q120" i="26" s="1"/>
  <c r="P119" i="26"/>
  <c r="Q119" i="26" s="1"/>
  <c r="P118" i="26"/>
  <c r="Q118" i="26" s="1"/>
  <c r="P117" i="26"/>
  <c r="Q117" i="26"/>
  <c r="P116" i="26"/>
  <c r="Q116" i="26" s="1"/>
  <c r="P115" i="26"/>
  <c r="Q115" i="26" s="1"/>
  <c r="P114" i="26"/>
  <c r="Q114" i="26" s="1"/>
  <c r="P113" i="26"/>
  <c r="Q113" i="26" s="1"/>
  <c r="P112" i="26"/>
  <c r="Q112" i="26" s="1"/>
  <c r="P111" i="26"/>
  <c r="Q111" i="26" s="1"/>
  <c r="P110" i="26"/>
  <c r="Q110" i="26" s="1"/>
  <c r="P107" i="26"/>
  <c r="Q107" i="26" s="1"/>
  <c r="P106" i="26"/>
  <c r="Q106" i="26" s="1"/>
  <c r="P105" i="26"/>
  <c r="Q105" i="26" s="1"/>
  <c r="P104" i="26"/>
  <c r="Q104" i="26" s="1"/>
  <c r="P103" i="26"/>
  <c r="Q103" i="26" s="1"/>
  <c r="P102" i="26"/>
  <c r="Q102" i="26" s="1"/>
  <c r="P101" i="26"/>
  <c r="Q101" i="26" s="1"/>
  <c r="P100" i="26"/>
  <c r="Q100" i="26" s="1"/>
  <c r="P99" i="26"/>
  <c r="Q99" i="26" s="1"/>
  <c r="P98" i="26"/>
  <c r="Q98" i="26" s="1"/>
  <c r="P97" i="26"/>
  <c r="Q97" i="26" s="1"/>
  <c r="P96" i="26"/>
  <c r="Q96" i="26" s="1"/>
  <c r="P95" i="26"/>
  <c r="Q95" i="26" s="1"/>
  <c r="P88" i="26"/>
  <c r="Q88" i="26" s="1"/>
  <c r="P87" i="26"/>
  <c r="Q87" i="26" s="1"/>
  <c r="P86" i="26"/>
  <c r="Q86" i="26" s="1"/>
  <c r="P85" i="26"/>
  <c r="Q85" i="26" s="1"/>
  <c r="P84" i="26"/>
  <c r="P81" i="26"/>
  <c r="Q81" i="26" s="1"/>
  <c r="P80" i="26"/>
  <c r="Q80" i="26" s="1"/>
  <c r="P79" i="26"/>
  <c r="Q79" i="26" s="1"/>
  <c r="P78" i="26"/>
  <c r="Q78" i="26" s="1"/>
  <c r="P77" i="26"/>
  <c r="Q77" i="26" s="1"/>
  <c r="P76" i="26"/>
  <c r="Q76" i="26" s="1"/>
  <c r="P75" i="26"/>
  <c r="Q75" i="26"/>
  <c r="P74" i="26"/>
  <c r="Q74" i="26" s="1"/>
  <c r="P73" i="26"/>
  <c r="Q73" i="26" s="1"/>
  <c r="P71" i="26"/>
  <c r="Q71" i="26" s="1"/>
  <c r="P70" i="26"/>
  <c r="Q70" i="26"/>
  <c r="O82" i="26"/>
  <c r="P69" i="26"/>
  <c r="Q69" i="26" s="1"/>
  <c r="P68" i="26"/>
  <c r="Q68" i="26" s="1"/>
  <c r="P67" i="26"/>
  <c r="Q67" i="26" s="1"/>
  <c r="P66" i="26"/>
  <c r="Q66" i="26" s="1"/>
  <c r="P64" i="26"/>
  <c r="Q64" i="26" s="1"/>
  <c r="P63" i="26"/>
  <c r="Q63" i="26" s="1"/>
  <c r="P62" i="26"/>
  <c r="Q62" i="26" s="1"/>
  <c r="P61" i="26"/>
  <c r="Q61" i="26" s="1"/>
  <c r="P60" i="26"/>
  <c r="Q60" i="26" s="1"/>
  <c r="P59" i="26"/>
  <c r="Q59" i="26" s="1"/>
  <c r="P58" i="26"/>
  <c r="Q58" i="26" s="1"/>
  <c r="P57" i="26"/>
  <c r="Q57" i="26" s="1"/>
  <c r="P56" i="26"/>
  <c r="Q56" i="26" s="1"/>
  <c r="P55" i="26"/>
  <c r="Q55" i="26" s="1"/>
  <c r="P54" i="26"/>
  <c r="Q54" i="26" s="1"/>
  <c r="P53" i="26"/>
  <c r="Q53" i="26" s="1"/>
  <c r="P52" i="26"/>
  <c r="Q52" i="26" s="1"/>
  <c r="P51" i="26"/>
  <c r="Q51" i="26"/>
  <c r="P50" i="26"/>
  <c r="Q50" i="26" s="1"/>
  <c r="P49" i="26"/>
  <c r="Q49" i="26" s="1"/>
  <c r="P48" i="26"/>
  <c r="Q48" i="26" s="1"/>
  <c r="P47" i="26"/>
  <c r="Q47" i="26"/>
  <c r="P44" i="26"/>
  <c r="Q44" i="26"/>
  <c r="P43" i="26"/>
  <c r="Q43" i="26"/>
  <c r="P42" i="26"/>
  <c r="Q42" i="26" s="1"/>
  <c r="P41" i="26"/>
  <c r="Q41" i="26" s="1"/>
  <c r="P40" i="26"/>
  <c r="Q40" i="26"/>
  <c r="P39" i="26"/>
  <c r="Q39" i="26"/>
  <c r="P38" i="26"/>
  <c r="Q38" i="26" s="1"/>
  <c r="P37" i="26"/>
  <c r="Q37" i="26" s="1"/>
  <c r="P36" i="26"/>
  <c r="Q36" i="26" s="1"/>
  <c r="P35" i="26"/>
  <c r="Q35" i="26"/>
  <c r="P34" i="26"/>
  <c r="Q34" i="26" s="1"/>
  <c r="P33" i="26"/>
  <c r="Q32" i="26"/>
  <c r="O45" i="26"/>
  <c r="P29" i="26"/>
  <c r="Q29" i="26" s="1"/>
  <c r="P28" i="26"/>
  <c r="Q28" i="26" s="1"/>
  <c r="O31" i="26"/>
  <c r="P26" i="26"/>
  <c r="Q26" i="26" s="1"/>
  <c r="P25" i="26"/>
  <c r="Q25" i="26" s="1"/>
  <c r="P23" i="26"/>
  <c r="Q23" i="26" s="1"/>
  <c r="P22" i="26"/>
  <c r="Q22" i="26" s="1"/>
  <c r="P21" i="26"/>
  <c r="Q21" i="26" s="1"/>
  <c r="P20" i="26"/>
  <c r="Q20" i="26" s="1"/>
  <c r="P19" i="26"/>
  <c r="Q19" i="26" s="1"/>
  <c r="P18" i="26"/>
  <c r="Q18" i="26" s="1"/>
  <c r="P17" i="26"/>
  <c r="Q17" i="26" s="1"/>
  <c r="P16" i="26"/>
  <c r="Q16" i="26" s="1"/>
  <c r="P15" i="26"/>
  <c r="Q15" i="26" s="1"/>
  <c r="P14" i="26"/>
  <c r="Q14" i="26" s="1"/>
  <c r="P13" i="26"/>
  <c r="Q13" i="26" s="1"/>
  <c r="P12" i="26"/>
  <c r="Q12" i="26" s="1"/>
  <c r="P11" i="26"/>
  <c r="Q11" i="26" s="1"/>
  <c r="P10" i="26"/>
  <c r="Q10" i="26" s="1"/>
  <c r="P9" i="26"/>
  <c r="Q9" i="26" s="1"/>
  <c r="AB268" i="22"/>
  <c r="Q268" i="22"/>
  <c r="O268" i="22"/>
  <c r="I268" i="22"/>
  <c r="G268" i="22"/>
  <c r="I263" i="22"/>
  <c r="G263" i="22"/>
  <c r="O260" i="22"/>
  <c r="Q260" i="22" s="1"/>
  <c r="Q259" i="22"/>
  <c r="O259" i="22"/>
  <c r="O258" i="22"/>
  <c r="Q258" i="22" s="1"/>
  <c r="O257" i="22"/>
  <c r="Q257" i="22" s="1"/>
  <c r="O256" i="22"/>
  <c r="Q256" i="22" s="1"/>
  <c r="O255" i="22"/>
  <c r="Q255" i="22" s="1"/>
  <c r="O254" i="22"/>
  <c r="Q254" i="22" s="1"/>
  <c r="Q253" i="22"/>
  <c r="O253" i="22"/>
  <c r="O263" i="22" s="1"/>
  <c r="P249" i="22"/>
  <c r="L249" i="22"/>
  <c r="I249" i="22"/>
  <c r="H249" i="22"/>
  <c r="G249" i="22"/>
  <c r="D249" i="22"/>
  <c r="Q246" i="22"/>
  <c r="O246" i="22"/>
  <c r="Q243" i="22"/>
  <c r="O243" i="22" s="1"/>
  <c r="P241" i="22"/>
  <c r="L241" i="22"/>
  <c r="D241" i="22"/>
  <c r="O240" i="22"/>
  <c r="Q240" i="22" s="1"/>
  <c r="O238" i="22"/>
  <c r="Q238" i="22" s="1"/>
  <c r="L236" i="22"/>
  <c r="D236" i="22"/>
  <c r="O232" i="22"/>
  <c r="Q232" i="22" s="1"/>
  <c r="O231" i="22"/>
  <c r="Q231" i="22" s="1"/>
  <c r="O230" i="22"/>
  <c r="Q230" i="22" s="1"/>
  <c r="O228" i="22"/>
  <c r="Q228" i="22" s="1"/>
  <c r="O226" i="22"/>
  <c r="Q226" i="22" s="1"/>
  <c r="O224" i="22"/>
  <c r="Q224" i="22" s="1"/>
  <c r="L222" i="22"/>
  <c r="D222" i="22"/>
  <c r="O219" i="22"/>
  <c r="Q219" i="22" s="1"/>
  <c r="O218" i="22"/>
  <c r="Q218" i="22" s="1"/>
  <c r="O217" i="22"/>
  <c r="Q217" i="22" s="1"/>
  <c r="O216" i="22"/>
  <c r="Q216" i="22" s="1"/>
  <c r="O215" i="22"/>
  <c r="Q215" i="22" s="1"/>
  <c r="O214" i="22"/>
  <c r="Q214" i="22" s="1"/>
  <c r="O213" i="22"/>
  <c r="Q213" i="22" s="1"/>
  <c r="O212" i="22"/>
  <c r="Q212" i="22" s="1"/>
  <c r="O211" i="22"/>
  <c r="Q211" i="22" s="1"/>
  <c r="O210" i="22"/>
  <c r="Q210" i="22" s="1"/>
  <c r="O209" i="22"/>
  <c r="Q209" i="22" s="1"/>
  <c r="O208" i="22"/>
  <c r="Q208" i="22" s="1"/>
  <c r="O207" i="22"/>
  <c r="Q207" i="22" s="1"/>
  <c r="O206" i="22"/>
  <c r="Q206" i="22" s="1"/>
  <c r="O205" i="22"/>
  <c r="Q205" i="22" s="1"/>
  <c r="O204" i="22"/>
  <c r="Q204" i="22" s="1"/>
  <c r="O203" i="22"/>
  <c r="Q203" i="22" s="1"/>
  <c r="O202" i="22"/>
  <c r="Q202" i="22" s="1"/>
  <c r="O201" i="22"/>
  <c r="Q201" i="22" s="1"/>
  <c r="O200" i="22"/>
  <c r="Q200" i="22" s="1"/>
  <c r="O199" i="22"/>
  <c r="Q199" i="22" s="1"/>
  <c r="O198" i="22"/>
  <c r="Q198" i="22" s="1"/>
  <c r="O197" i="22"/>
  <c r="Q197" i="22" s="1"/>
  <c r="O196" i="22"/>
  <c r="Q196" i="22" s="1"/>
  <c r="O195" i="22"/>
  <c r="Q195" i="22" s="1"/>
  <c r="O194" i="22"/>
  <c r="Q194" i="22" s="1"/>
  <c r="O193" i="22"/>
  <c r="Q193" i="22" s="1"/>
  <c r="O192" i="22"/>
  <c r="Q192" i="22" s="1"/>
  <c r="O191" i="22"/>
  <c r="Q191" i="22" s="1"/>
  <c r="O190" i="22"/>
  <c r="Q190" i="22" s="1"/>
  <c r="O189" i="22"/>
  <c r="Q189" i="22" s="1"/>
  <c r="O188" i="22"/>
  <c r="Q188" i="22" s="1"/>
  <c r="O187" i="22"/>
  <c r="Q187" i="22" s="1"/>
  <c r="O186" i="22"/>
  <c r="Q186" i="22" s="1"/>
  <c r="O185" i="22"/>
  <c r="Q185" i="22" s="1"/>
  <c r="O184" i="22"/>
  <c r="Q184" i="22" s="1"/>
  <c r="O183" i="22"/>
  <c r="Q183" i="22" s="1"/>
  <c r="O182" i="22"/>
  <c r="Q182" i="22" s="1"/>
  <c r="O181" i="22"/>
  <c r="Q181" i="22" s="1"/>
  <c r="O180" i="22"/>
  <c r="Q180" i="22" s="1"/>
  <c r="O179" i="22"/>
  <c r="Q179" i="22" s="1"/>
  <c r="O178" i="22"/>
  <c r="Q178" i="22" s="1"/>
  <c r="O177" i="22"/>
  <c r="Q177" i="22" s="1"/>
  <c r="O176" i="22"/>
  <c r="Q176" i="22" s="1"/>
  <c r="O175" i="22"/>
  <c r="Q175" i="22" s="1"/>
  <c r="O174" i="22"/>
  <c r="Q174" i="22" s="1"/>
  <c r="O173" i="22"/>
  <c r="Q173" i="22" s="1"/>
  <c r="O172" i="22"/>
  <c r="Q172" i="22" s="1"/>
  <c r="O171" i="22"/>
  <c r="Q171" i="22" s="1"/>
  <c r="O170" i="22"/>
  <c r="O169" i="22"/>
  <c r="Q169" i="22" s="1"/>
  <c r="Q166" i="22"/>
  <c r="P166" i="22"/>
  <c r="O166" i="22"/>
  <c r="L166" i="22"/>
  <c r="I166" i="22"/>
  <c r="H166" i="22"/>
  <c r="G166" i="22"/>
  <c r="D166" i="22"/>
  <c r="P155" i="22"/>
  <c r="L155" i="22"/>
  <c r="I155" i="22"/>
  <c r="G155" i="22"/>
  <c r="D155" i="22"/>
  <c r="Q153" i="22"/>
  <c r="Q155" i="22" s="1"/>
  <c r="O153" i="22"/>
  <c r="O155" i="22" s="1"/>
  <c r="L151" i="22"/>
  <c r="I151" i="22"/>
  <c r="H151" i="22"/>
  <c r="G151" i="22"/>
  <c r="D151" i="22"/>
  <c r="O150" i="22"/>
  <c r="O149" i="22"/>
  <c r="P149" i="22" s="1"/>
  <c r="O148" i="22"/>
  <c r="P148" i="22" s="1"/>
  <c r="Q148" i="22" s="1"/>
  <c r="O147" i="22"/>
  <c r="O146" i="22"/>
  <c r="O145" i="22"/>
  <c r="P145" i="22" s="1"/>
  <c r="O144" i="22"/>
  <c r="P144" i="22" s="1"/>
  <c r="Q144" i="22" s="1"/>
  <c r="O143" i="22"/>
  <c r="O142" i="22"/>
  <c r="O141" i="22"/>
  <c r="O140" i="22"/>
  <c r="P140" i="22" s="1"/>
  <c r="L138" i="22"/>
  <c r="I138" i="22"/>
  <c r="H138" i="22"/>
  <c r="G138" i="22"/>
  <c r="D138" i="22"/>
  <c r="O137" i="22"/>
  <c r="P137" i="22" s="1"/>
  <c r="Q137" i="22" s="1"/>
  <c r="O136" i="22"/>
  <c r="O135" i="22"/>
  <c r="P135" i="22" s="1"/>
  <c r="Q135" i="22" s="1"/>
  <c r="O134" i="22"/>
  <c r="O133" i="22"/>
  <c r="P133" i="22" s="1"/>
  <c r="Q133" i="22" s="1"/>
  <c r="O132" i="22"/>
  <c r="O131" i="22"/>
  <c r="P131" i="22" s="1"/>
  <c r="Q131" i="22" s="1"/>
  <c r="O130" i="22"/>
  <c r="O129" i="22"/>
  <c r="O128" i="22"/>
  <c r="O127" i="22"/>
  <c r="P127" i="22" s="1"/>
  <c r="Q127" i="22" s="1"/>
  <c r="O126" i="22"/>
  <c r="O125" i="22"/>
  <c r="P125" i="22" s="1"/>
  <c r="Q125" i="22" s="1"/>
  <c r="O124" i="22"/>
  <c r="L122" i="22"/>
  <c r="D122" i="22"/>
  <c r="O121" i="22"/>
  <c r="O120" i="22"/>
  <c r="O119" i="22"/>
  <c r="P119" i="22" s="1"/>
  <c r="Q119" i="22" s="1"/>
  <c r="O118" i="22"/>
  <c r="P118" i="22" s="1"/>
  <c r="Q118" i="22" s="1"/>
  <c r="O117" i="22"/>
  <c r="O116" i="22"/>
  <c r="P116" i="22" s="1"/>
  <c r="O115" i="22"/>
  <c r="P115" i="22" s="1"/>
  <c r="Q115" i="22" s="1"/>
  <c r="O114" i="22"/>
  <c r="P114" i="22" s="1"/>
  <c r="Q114" i="22" s="1"/>
  <c r="O113" i="22"/>
  <c r="O112" i="22"/>
  <c r="O111" i="22"/>
  <c r="O110" i="22"/>
  <c r="P110" i="22" s="1"/>
  <c r="Q110" i="22" s="1"/>
  <c r="L108" i="22"/>
  <c r="D108" i="22"/>
  <c r="O107" i="22"/>
  <c r="P107" i="22" s="1"/>
  <c r="O106" i="22"/>
  <c r="P106" i="22" s="1"/>
  <c r="O105" i="22"/>
  <c r="O104" i="22"/>
  <c r="P104" i="22" s="1"/>
  <c r="Q104" i="22" s="1"/>
  <c r="O103" i="22"/>
  <c r="O102" i="22"/>
  <c r="O101" i="22"/>
  <c r="O100" i="22"/>
  <c r="P100" i="22" s="1"/>
  <c r="Q100" i="22" s="1"/>
  <c r="O99" i="22"/>
  <c r="P99" i="22" s="1"/>
  <c r="O98" i="22"/>
  <c r="P98" i="22" s="1"/>
  <c r="O97" i="22"/>
  <c r="O96" i="22"/>
  <c r="P96" i="22" s="1"/>
  <c r="Q96" i="22" s="1"/>
  <c r="O95" i="22"/>
  <c r="P95" i="22" s="1"/>
  <c r="L92" i="22"/>
  <c r="L89" i="22"/>
  <c r="I89" i="22"/>
  <c r="H89" i="22"/>
  <c r="G89" i="22"/>
  <c r="D89" i="22"/>
  <c r="O88" i="22"/>
  <c r="P88" i="22" s="1"/>
  <c r="O87" i="22"/>
  <c r="P87" i="22" s="1"/>
  <c r="O86" i="22"/>
  <c r="O85" i="22"/>
  <c r="P85" i="22" s="1"/>
  <c r="O84" i="22"/>
  <c r="L82" i="22"/>
  <c r="I82" i="22"/>
  <c r="H82" i="22"/>
  <c r="G82" i="22"/>
  <c r="D82" i="22"/>
  <c r="O81" i="22"/>
  <c r="O80" i="22"/>
  <c r="P80" i="22" s="1"/>
  <c r="Q80" i="22" s="1"/>
  <c r="O79" i="22"/>
  <c r="O78" i="22"/>
  <c r="P78" i="22" s="1"/>
  <c r="Q78" i="22" s="1"/>
  <c r="O77" i="22"/>
  <c r="O76" i="22"/>
  <c r="P76" i="22" s="1"/>
  <c r="Q76" i="22" s="1"/>
  <c r="O75" i="22"/>
  <c r="O74" i="22"/>
  <c r="P74" i="22" s="1"/>
  <c r="Q74" i="22" s="1"/>
  <c r="O73" i="22"/>
  <c r="O72" i="22"/>
  <c r="P72" i="22" s="1"/>
  <c r="Q72" i="22" s="1"/>
  <c r="O71" i="22"/>
  <c r="O70" i="22"/>
  <c r="P70" i="22" s="1"/>
  <c r="Q70" i="22" s="1"/>
  <c r="O69" i="22"/>
  <c r="O68" i="22"/>
  <c r="P68" i="22" s="1"/>
  <c r="Q68" i="22" s="1"/>
  <c r="O67" i="22"/>
  <c r="O66" i="22"/>
  <c r="P66" i="22" s="1"/>
  <c r="Q66" i="22" s="1"/>
  <c r="O65" i="22"/>
  <c r="O64" i="22"/>
  <c r="P64" i="22" s="1"/>
  <c r="Q64" i="22" s="1"/>
  <c r="O63" i="22"/>
  <c r="O62" i="22"/>
  <c r="P62" i="22" s="1"/>
  <c r="Q62" i="22" s="1"/>
  <c r="O61" i="22"/>
  <c r="O60" i="22"/>
  <c r="P60" i="22" s="1"/>
  <c r="Q60" i="22" s="1"/>
  <c r="O59" i="22"/>
  <c r="O58" i="22"/>
  <c r="P58" i="22" s="1"/>
  <c r="Q58" i="22" s="1"/>
  <c r="O57" i="22"/>
  <c r="O56" i="22"/>
  <c r="P56" i="22" s="1"/>
  <c r="Q56" i="22" s="1"/>
  <c r="O55" i="22"/>
  <c r="O54" i="22"/>
  <c r="P54" i="22" s="1"/>
  <c r="Q54" i="22" s="1"/>
  <c r="O53" i="22"/>
  <c r="O52" i="22"/>
  <c r="P52" i="22" s="1"/>
  <c r="Q52" i="22" s="1"/>
  <c r="O51" i="22"/>
  <c r="O50" i="22"/>
  <c r="P50" i="22" s="1"/>
  <c r="Q50" i="22" s="1"/>
  <c r="O49" i="22"/>
  <c r="O48" i="22"/>
  <c r="P48" i="22" s="1"/>
  <c r="Q48" i="22" s="1"/>
  <c r="O47" i="22"/>
  <c r="L45" i="22"/>
  <c r="K45" i="22"/>
  <c r="I45" i="22"/>
  <c r="H45" i="22"/>
  <c r="G45" i="22"/>
  <c r="D45" i="22"/>
  <c r="O44" i="22"/>
  <c r="O43" i="22"/>
  <c r="P43" i="22" s="1"/>
  <c r="Q43" i="22" s="1"/>
  <c r="O42" i="22"/>
  <c r="P41" i="22"/>
  <c r="Q41" i="22" s="1"/>
  <c r="O41" i="22"/>
  <c r="O40" i="22"/>
  <c r="O39" i="22"/>
  <c r="P39" i="22" s="1"/>
  <c r="Q39" i="22" s="1"/>
  <c r="O38" i="22"/>
  <c r="P37" i="22"/>
  <c r="Q37" i="22" s="1"/>
  <c r="O37" i="22"/>
  <c r="O36" i="22"/>
  <c r="O35" i="22"/>
  <c r="P35" i="22" s="1"/>
  <c r="Q35" i="22" s="1"/>
  <c r="O34" i="22"/>
  <c r="P33" i="22"/>
  <c r="Q33" i="22" s="1"/>
  <c r="O33" i="22"/>
  <c r="O32" i="22"/>
  <c r="O45" i="22" s="1"/>
  <c r="L31" i="22"/>
  <c r="H31" i="22"/>
  <c r="G31" i="22"/>
  <c r="D31" i="22"/>
  <c r="O30" i="22"/>
  <c r="P30" i="22" s="1"/>
  <c r="Q30" i="22" s="1"/>
  <c r="O29" i="22"/>
  <c r="P29" i="22" s="1"/>
  <c r="Q29" i="22" s="1"/>
  <c r="O28" i="22"/>
  <c r="P28" i="22" s="1"/>
  <c r="Q28" i="22" s="1"/>
  <c r="L27" i="22"/>
  <c r="D27" i="22"/>
  <c r="O26" i="22"/>
  <c r="O25" i="22"/>
  <c r="P25" i="22" s="1"/>
  <c r="X24" i="22"/>
  <c r="W24" i="22"/>
  <c r="V24" i="22"/>
  <c r="U24" i="22"/>
  <c r="T24" i="22"/>
  <c r="S24" i="22"/>
  <c r="R24" i="22"/>
  <c r="L24" i="22"/>
  <c r="I24" i="22"/>
  <c r="H24" i="22"/>
  <c r="G24" i="22"/>
  <c r="D24" i="22"/>
  <c r="O23" i="22"/>
  <c r="P23" i="22" s="1"/>
  <c r="O22" i="22"/>
  <c r="O21" i="22"/>
  <c r="O20" i="22"/>
  <c r="O19" i="22"/>
  <c r="O18" i="22"/>
  <c r="O17" i="22"/>
  <c r="P17" i="22" s="1"/>
  <c r="O16" i="22"/>
  <c r="O15" i="22"/>
  <c r="P15" i="22" s="1"/>
  <c r="O14" i="22"/>
  <c r="O13" i="22"/>
  <c r="O12" i="22"/>
  <c r="P12" i="22" s="1"/>
  <c r="O11" i="22"/>
  <c r="P11" i="22" s="1"/>
  <c r="O10" i="22"/>
  <c r="O9" i="22"/>
  <c r="P8" i="22"/>
  <c r="Q8" i="22" s="1"/>
  <c r="P26" i="21"/>
  <c r="F25" i="21"/>
  <c r="F22" i="21"/>
  <c r="R112" i="20"/>
  <c r="Q110" i="20"/>
  <c r="Q105" i="20"/>
  <c r="Q92" i="20"/>
  <c r="P68" i="20"/>
  <c r="P52" i="20"/>
  <c r="P45" i="20"/>
  <c r="P41" i="20"/>
  <c r="P18" i="20"/>
  <c r="P13" i="20"/>
  <c r="P84" i="20"/>
  <c r="G52" i="20"/>
  <c r="H197" i="19"/>
  <c r="H186" i="19"/>
  <c r="H194" i="19"/>
  <c r="H139" i="19"/>
  <c r="H130" i="19"/>
  <c r="F114" i="19"/>
  <c r="H101" i="19"/>
  <c r="H114" i="19"/>
  <c r="H95" i="19"/>
  <c r="H83" i="19"/>
  <c r="H80" i="19"/>
  <c r="H73" i="19"/>
  <c r="H27" i="19"/>
  <c r="H24" i="19"/>
  <c r="H21" i="19"/>
  <c r="H198" i="19" s="1"/>
  <c r="Q122" i="34" l="1"/>
  <c r="Q89" i="34"/>
  <c r="O248" i="34"/>
  <c r="O268" i="34" s="1"/>
  <c r="P82" i="34"/>
  <c r="P24" i="34"/>
  <c r="Q151" i="34"/>
  <c r="Q45" i="34"/>
  <c r="Q138" i="34"/>
  <c r="Q49" i="34"/>
  <c r="Q82" i="34" s="1"/>
  <c r="Q9" i="34"/>
  <c r="Q24" i="34" s="1"/>
  <c r="P151" i="34"/>
  <c r="P45" i="34"/>
  <c r="P138" i="34"/>
  <c r="O250" i="30"/>
  <c r="Q82" i="30"/>
  <c r="P151" i="30"/>
  <c r="P138" i="30"/>
  <c r="Q124" i="30"/>
  <c r="Q138" i="30" s="1"/>
  <c r="P89" i="30"/>
  <c r="Q45" i="30"/>
  <c r="Q140" i="30"/>
  <c r="Q151" i="30" s="1"/>
  <c r="P82" i="30"/>
  <c r="P45" i="30"/>
  <c r="Q84" i="30"/>
  <c r="Q89" i="30" s="1"/>
  <c r="P138" i="26"/>
  <c r="AB268" i="26"/>
  <c r="P31" i="26"/>
  <c r="Q31" i="26" s="1"/>
  <c r="P82" i="26"/>
  <c r="Q82" i="26"/>
  <c r="Q138" i="26"/>
  <c r="O250" i="26"/>
  <c r="O270" i="26" s="1"/>
  <c r="P89" i="26"/>
  <c r="Q84" i="26"/>
  <c r="Q89" i="26" s="1"/>
  <c r="P45" i="26"/>
  <c r="Q33" i="26"/>
  <c r="Q45" i="26" s="1"/>
  <c r="O241" i="22"/>
  <c r="D270" i="22"/>
  <c r="Q241" i="22"/>
  <c r="Q170" i="22"/>
  <c r="O138" i="22"/>
  <c r="P129" i="22"/>
  <c r="Q129" i="22" s="1"/>
  <c r="H250" i="22"/>
  <c r="H270" i="22" s="1"/>
  <c r="G250" i="22"/>
  <c r="G270" i="22" s="1"/>
  <c r="I250" i="22"/>
  <c r="I270" i="22" s="1"/>
  <c r="P102" i="22"/>
  <c r="Q102" i="22" s="1"/>
  <c r="Q98" i="22"/>
  <c r="Q106" i="22"/>
  <c r="Q87" i="22"/>
  <c r="Q85" i="22"/>
  <c r="O31" i="22"/>
  <c r="P31" i="22" s="1"/>
  <c r="Q31" i="22" s="1"/>
  <c r="P26" i="22"/>
  <c r="Q26" i="22" s="1"/>
  <c r="L250" i="22"/>
  <c r="L270" i="22" s="1"/>
  <c r="P20" i="22"/>
  <c r="Q20" i="22" s="1"/>
  <c r="P14" i="22"/>
  <c r="Q14" i="22" s="1"/>
  <c r="P10" i="22"/>
  <c r="Q10" i="22" s="1"/>
  <c r="P18" i="22"/>
  <c r="Q18" i="22" s="1"/>
  <c r="P22" i="22"/>
  <c r="Q22" i="22" s="1"/>
  <c r="P16" i="22"/>
  <c r="Q16" i="22" s="1"/>
  <c r="Q12" i="22"/>
  <c r="Q36" i="22"/>
  <c r="Q140" i="22"/>
  <c r="Q44" i="22"/>
  <c r="Q141" i="22"/>
  <c r="Q263" i="22"/>
  <c r="Q143" i="22"/>
  <c r="Q40" i="22"/>
  <c r="P9" i="22"/>
  <c r="Q9" i="22" s="1"/>
  <c r="P21" i="22"/>
  <c r="Q21" i="22" s="1"/>
  <c r="P86" i="22"/>
  <c r="Q86" i="22" s="1"/>
  <c r="P97" i="22"/>
  <c r="Q97" i="22" s="1"/>
  <c r="P101" i="22"/>
  <c r="Q101" i="22" s="1"/>
  <c r="P105" i="22"/>
  <c r="Q105" i="22" s="1"/>
  <c r="P143" i="22"/>
  <c r="P147" i="22"/>
  <c r="Q147" i="22" s="1"/>
  <c r="P13" i="22"/>
  <c r="Q13" i="22" s="1"/>
  <c r="Q17" i="22"/>
  <c r="Q25" i="22"/>
  <c r="P32" i="22"/>
  <c r="P36" i="22"/>
  <c r="P40" i="22"/>
  <c r="P44" i="22"/>
  <c r="P47" i="22"/>
  <c r="Q47" i="22" s="1"/>
  <c r="P51" i="22"/>
  <c r="Q51" i="22" s="1"/>
  <c r="P55" i="22"/>
  <c r="Q55" i="22" s="1"/>
  <c r="P59" i="22"/>
  <c r="Q59" i="22" s="1"/>
  <c r="P63" i="22"/>
  <c r="Q63" i="22" s="1"/>
  <c r="P67" i="22"/>
  <c r="Q67" i="22" s="1"/>
  <c r="P71" i="22"/>
  <c r="Q71" i="22" s="1"/>
  <c r="P75" i="22"/>
  <c r="Q75" i="22" s="1"/>
  <c r="P79" i="22"/>
  <c r="Q79" i="22" s="1"/>
  <c r="O89" i="22"/>
  <c r="P124" i="22"/>
  <c r="Q124" i="22" s="1"/>
  <c r="P128" i="22"/>
  <c r="Q128" i="22" s="1"/>
  <c r="P132" i="22"/>
  <c r="Q132" i="22" s="1"/>
  <c r="P136" i="22"/>
  <c r="Q136" i="22" s="1"/>
  <c r="Q32" i="22"/>
  <c r="O82" i="22"/>
  <c r="P111" i="22"/>
  <c r="Q111" i="22" s="1"/>
  <c r="O151" i="22"/>
  <c r="P19" i="22"/>
  <c r="Q19" i="22" s="1"/>
  <c r="P84" i="22"/>
  <c r="Q84" i="22" s="1"/>
  <c r="P103" i="22"/>
  <c r="Q103" i="22" s="1"/>
  <c r="P141" i="22"/>
  <c r="P151" i="22" s="1"/>
  <c r="Q11" i="22"/>
  <c r="Q15" i="22"/>
  <c r="Q23" i="22"/>
  <c r="P34" i="22"/>
  <c r="Q34" i="22" s="1"/>
  <c r="P38" i="22"/>
  <c r="Q38" i="22" s="1"/>
  <c r="P42" i="22"/>
  <c r="Q42" i="22" s="1"/>
  <c r="P49" i="22"/>
  <c r="Q49" i="22" s="1"/>
  <c r="P53" i="22"/>
  <c r="Q53" i="22" s="1"/>
  <c r="P57" i="22"/>
  <c r="Q57" i="22" s="1"/>
  <c r="P61" i="22"/>
  <c r="Q61" i="22" s="1"/>
  <c r="P65" i="22"/>
  <c r="Q65" i="22" s="1"/>
  <c r="P69" i="22"/>
  <c r="Q69" i="22" s="1"/>
  <c r="P73" i="22"/>
  <c r="Q73" i="22" s="1"/>
  <c r="P77" i="22"/>
  <c r="Q77" i="22" s="1"/>
  <c r="P81" i="22"/>
  <c r="Q81" i="22" s="1"/>
  <c r="Q88" i="22"/>
  <c r="Q95" i="22"/>
  <c r="Q99" i="22"/>
  <c r="Q107" i="22"/>
  <c r="P126" i="22"/>
  <c r="Q126" i="22" s="1"/>
  <c r="P130" i="22"/>
  <c r="Q130" i="22" s="1"/>
  <c r="P134" i="22"/>
  <c r="Q134" i="22" s="1"/>
  <c r="Q145" i="22"/>
  <c r="Q149" i="22"/>
  <c r="P120" i="22"/>
  <c r="Q120" i="22" s="1"/>
  <c r="P113" i="22"/>
  <c r="Q113" i="22" s="1"/>
  <c r="P117" i="22"/>
  <c r="Q117" i="22" s="1"/>
  <c r="P121" i="22"/>
  <c r="Q121" i="22" s="1"/>
  <c r="P112" i="22"/>
  <c r="Q112" i="22" s="1"/>
  <c r="Q116" i="22"/>
  <c r="P142" i="22"/>
  <c r="Q142" i="22" s="1"/>
  <c r="P146" i="22"/>
  <c r="Q146" i="22" s="1"/>
  <c r="P150" i="22"/>
  <c r="Q150" i="22" s="1"/>
  <c r="J114" i="19"/>
  <c r="P248" i="34" l="1"/>
  <c r="P268" i="34" s="1"/>
  <c r="Q248" i="34"/>
  <c r="Q268" i="34" s="1"/>
  <c r="Q250" i="30"/>
  <c r="P250" i="30"/>
  <c r="P270" i="30" s="1"/>
  <c r="P250" i="26"/>
  <c r="P270" i="26" s="1"/>
  <c r="Q250" i="26"/>
  <c r="Q270" i="26" s="1"/>
  <c r="O250" i="22"/>
  <c r="O270" i="22" s="1"/>
  <c r="Q82" i="22"/>
  <c r="Q138" i="22"/>
  <c r="P138" i="22"/>
  <c r="P82" i="22"/>
  <c r="Q45" i="22"/>
  <c r="P45" i="22"/>
  <c r="P89" i="22"/>
  <c r="Q89" i="22"/>
  <c r="Q151" i="22"/>
  <c r="P82" i="18"/>
  <c r="Q82" i="18"/>
  <c r="O82" i="18"/>
  <c r="Q24" i="18"/>
  <c r="P24" i="18"/>
  <c r="O24" i="18"/>
  <c r="Q250" i="22" l="1"/>
  <c r="Q270" i="22" s="1"/>
  <c r="P250" i="22"/>
  <c r="P270" i="22" s="1"/>
  <c r="Q268" i="18"/>
  <c r="O268" i="18"/>
  <c r="I268" i="18"/>
  <c r="G268" i="18"/>
  <c r="I263" i="18"/>
  <c r="G263" i="18"/>
  <c r="O260" i="18"/>
  <c r="Q260" i="18" s="1"/>
  <c r="O259" i="18"/>
  <c r="Q259" i="18" s="1"/>
  <c r="O258" i="18"/>
  <c r="Q258" i="18" s="1"/>
  <c r="O257" i="18"/>
  <c r="Q257" i="18" s="1"/>
  <c r="O256" i="18"/>
  <c r="Q256" i="18" s="1"/>
  <c r="O255" i="18"/>
  <c r="Q255" i="18" s="1"/>
  <c r="O254" i="18"/>
  <c r="Q254" i="18" s="1"/>
  <c r="O253" i="18"/>
  <c r="P249" i="18"/>
  <c r="L249" i="18"/>
  <c r="I249" i="18"/>
  <c r="H249" i="18"/>
  <c r="G249" i="18"/>
  <c r="D249" i="18"/>
  <c r="Q246" i="18"/>
  <c r="O246" i="18" s="1"/>
  <c r="Q243" i="18"/>
  <c r="O243" i="18" s="1"/>
  <c r="P241" i="18"/>
  <c r="L241" i="18"/>
  <c r="D241" i="18"/>
  <c r="O240" i="18"/>
  <c r="Q240" i="18" s="1"/>
  <c r="O238" i="18"/>
  <c r="L236" i="18"/>
  <c r="D236" i="18"/>
  <c r="O232" i="18"/>
  <c r="Q232" i="18" s="1"/>
  <c r="O231" i="18"/>
  <c r="Q231" i="18" s="1"/>
  <c r="O230" i="18"/>
  <c r="Q230" i="18" s="1"/>
  <c r="O228" i="18"/>
  <c r="Q228" i="18" s="1"/>
  <c r="O226" i="18"/>
  <c r="Q226" i="18" s="1"/>
  <c r="O224" i="18"/>
  <c r="Q224" i="18" s="1"/>
  <c r="P222" i="18"/>
  <c r="L222" i="18"/>
  <c r="D222" i="18"/>
  <c r="O219" i="18"/>
  <c r="Q219" i="18" s="1"/>
  <c r="O218" i="18"/>
  <c r="Q218" i="18" s="1"/>
  <c r="O217" i="18"/>
  <c r="Q217" i="18" s="1"/>
  <c r="O216" i="18"/>
  <c r="Q216" i="18" s="1"/>
  <c r="O215" i="18"/>
  <c r="Q215" i="18" s="1"/>
  <c r="O214" i="18"/>
  <c r="Q214" i="18" s="1"/>
  <c r="O213" i="18"/>
  <c r="Q213" i="18" s="1"/>
  <c r="O212" i="18"/>
  <c r="Q212" i="18" s="1"/>
  <c r="O211" i="18"/>
  <c r="Q211" i="18" s="1"/>
  <c r="O210" i="18"/>
  <c r="Q210" i="18" s="1"/>
  <c r="O209" i="18"/>
  <c r="Q209" i="18" s="1"/>
  <c r="O208" i="18"/>
  <c r="Q208" i="18" s="1"/>
  <c r="O207" i="18"/>
  <c r="Q207" i="18" s="1"/>
  <c r="O206" i="18"/>
  <c r="Q206" i="18" s="1"/>
  <c r="O205" i="18"/>
  <c r="Q205" i="18" s="1"/>
  <c r="O204" i="18"/>
  <c r="Q204" i="18" s="1"/>
  <c r="O203" i="18"/>
  <c r="Q203" i="18" s="1"/>
  <c r="O202" i="18"/>
  <c r="Q202" i="18" s="1"/>
  <c r="O201" i="18"/>
  <c r="Q201" i="18" s="1"/>
  <c r="O200" i="18"/>
  <c r="Q200" i="18" s="1"/>
  <c r="O199" i="18"/>
  <c r="Q199" i="18" s="1"/>
  <c r="O198" i="18"/>
  <c r="Q198" i="18" s="1"/>
  <c r="O197" i="18"/>
  <c r="Q197" i="18" s="1"/>
  <c r="O196" i="18"/>
  <c r="Q196" i="18" s="1"/>
  <c r="O195" i="18"/>
  <c r="Q195" i="18" s="1"/>
  <c r="O194" i="18"/>
  <c r="Q194" i="18" s="1"/>
  <c r="O193" i="18"/>
  <c r="Q193" i="18" s="1"/>
  <c r="O192" i="18"/>
  <c r="Q192" i="18" s="1"/>
  <c r="O191" i="18"/>
  <c r="Q191" i="18" s="1"/>
  <c r="O190" i="18"/>
  <c r="O189" i="18"/>
  <c r="Q189" i="18" s="1"/>
  <c r="O188" i="18"/>
  <c r="Q188" i="18" s="1"/>
  <c r="O187" i="18"/>
  <c r="Q187" i="18" s="1"/>
  <c r="O186" i="18"/>
  <c r="Q186" i="18" s="1"/>
  <c r="O185" i="18"/>
  <c r="Q185" i="18" s="1"/>
  <c r="O184" i="18"/>
  <c r="Q184" i="18" s="1"/>
  <c r="O183" i="18"/>
  <c r="Q183" i="18" s="1"/>
  <c r="O182" i="18"/>
  <c r="Q182" i="18" s="1"/>
  <c r="O181" i="18"/>
  <c r="Q181" i="18" s="1"/>
  <c r="O180" i="18"/>
  <c r="Q180" i="18" s="1"/>
  <c r="O179" i="18"/>
  <c r="Q179" i="18" s="1"/>
  <c r="O178" i="18"/>
  <c r="Q178" i="18" s="1"/>
  <c r="O177" i="18"/>
  <c r="Q177" i="18" s="1"/>
  <c r="O176" i="18"/>
  <c r="Q176" i="18" s="1"/>
  <c r="O175" i="18"/>
  <c r="Q175" i="18" s="1"/>
  <c r="O174" i="18"/>
  <c r="Q174" i="18" s="1"/>
  <c r="O173" i="18"/>
  <c r="Q173" i="18" s="1"/>
  <c r="O172" i="18"/>
  <c r="Q172" i="18" s="1"/>
  <c r="O171" i="18"/>
  <c r="Q171" i="18" s="1"/>
  <c r="O170" i="18"/>
  <c r="O169" i="18"/>
  <c r="Q169" i="18" s="1"/>
  <c r="Q166" i="18"/>
  <c r="P166" i="18"/>
  <c r="O166" i="18"/>
  <c r="L166" i="18"/>
  <c r="I166" i="18"/>
  <c r="H166" i="18"/>
  <c r="G166" i="18"/>
  <c r="D166" i="18"/>
  <c r="P155" i="18"/>
  <c r="L155" i="18"/>
  <c r="I155" i="18"/>
  <c r="G155" i="18"/>
  <c r="D155" i="18"/>
  <c r="Q153" i="18"/>
  <c r="Q155" i="18" s="1"/>
  <c r="O153" i="18"/>
  <c r="O155" i="18" s="1"/>
  <c r="L151" i="18"/>
  <c r="I151" i="18"/>
  <c r="H151" i="18"/>
  <c r="G151" i="18"/>
  <c r="D151" i="18"/>
  <c r="O150" i="18"/>
  <c r="O149" i="18"/>
  <c r="O148" i="18"/>
  <c r="P148" i="18" s="1"/>
  <c r="O147" i="18"/>
  <c r="P147" i="18" s="1"/>
  <c r="O146" i="18"/>
  <c r="O145" i="18"/>
  <c r="O144" i="18"/>
  <c r="P144" i="18" s="1"/>
  <c r="O143" i="18"/>
  <c r="O142" i="18"/>
  <c r="O141" i="18"/>
  <c r="O140" i="18"/>
  <c r="P140" i="18" s="1"/>
  <c r="L138" i="18"/>
  <c r="I138" i="18"/>
  <c r="H138" i="18"/>
  <c r="G138" i="18"/>
  <c r="D138" i="18"/>
  <c r="O137" i="18"/>
  <c r="O136" i="18"/>
  <c r="O135" i="18"/>
  <c r="P135" i="18" s="1"/>
  <c r="Q135" i="18" s="1"/>
  <c r="O134" i="18"/>
  <c r="P134" i="18" s="1"/>
  <c r="Q134" i="18" s="1"/>
  <c r="O133" i="18"/>
  <c r="O132" i="18"/>
  <c r="O131" i="18"/>
  <c r="P131" i="18" s="1"/>
  <c r="Q131" i="18" s="1"/>
  <c r="O130" i="18"/>
  <c r="P130" i="18" s="1"/>
  <c r="Q130" i="18" s="1"/>
  <c r="O129" i="18"/>
  <c r="O128" i="18"/>
  <c r="O127" i="18"/>
  <c r="P127" i="18" s="1"/>
  <c r="Q127" i="18" s="1"/>
  <c r="O126" i="18"/>
  <c r="P126" i="18" s="1"/>
  <c r="Q126" i="18" s="1"/>
  <c r="O125" i="18"/>
  <c r="O124" i="18"/>
  <c r="L122" i="18"/>
  <c r="D122" i="18"/>
  <c r="O121" i="18"/>
  <c r="P121" i="18" s="1"/>
  <c r="Q121" i="18" s="1"/>
  <c r="O120" i="18"/>
  <c r="P120" i="18" s="1"/>
  <c r="Q120" i="18" s="1"/>
  <c r="O119" i="18"/>
  <c r="P119" i="18" s="1"/>
  <c r="Q119" i="18" s="1"/>
  <c r="O118" i="18"/>
  <c r="P118" i="18" s="1"/>
  <c r="Q118" i="18" s="1"/>
  <c r="O117" i="18"/>
  <c r="P117" i="18" s="1"/>
  <c r="O116" i="18"/>
  <c r="P116" i="18" s="1"/>
  <c r="Q116" i="18" s="1"/>
  <c r="P115" i="18"/>
  <c r="Q115" i="18" s="1"/>
  <c r="O115" i="18"/>
  <c r="O114" i="18"/>
  <c r="P114" i="18" s="1"/>
  <c r="Q114" i="18" s="1"/>
  <c r="O113" i="18"/>
  <c r="O112" i="18"/>
  <c r="O111" i="18"/>
  <c r="P111" i="18" s="1"/>
  <c r="Q111" i="18" s="1"/>
  <c r="O110" i="18"/>
  <c r="P110" i="18" s="1"/>
  <c r="Q110" i="18" s="1"/>
  <c r="L108" i="18"/>
  <c r="D108" i="18"/>
  <c r="O107" i="18"/>
  <c r="O106" i="18"/>
  <c r="P106" i="18" s="1"/>
  <c r="O105" i="18"/>
  <c r="P105" i="18" s="1"/>
  <c r="O104" i="18"/>
  <c r="O103" i="18"/>
  <c r="O102" i="18"/>
  <c r="P102" i="18" s="1"/>
  <c r="O101" i="18"/>
  <c r="O100" i="18"/>
  <c r="O99" i="18"/>
  <c r="O98" i="18"/>
  <c r="P98" i="18" s="1"/>
  <c r="O97" i="18"/>
  <c r="P97" i="18" s="1"/>
  <c r="O96" i="18"/>
  <c r="O95" i="18"/>
  <c r="L92" i="18"/>
  <c r="L89" i="18"/>
  <c r="I89" i="18"/>
  <c r="H89" i="18"/>
  <c r="G89" i="18"/>
  <c r="D89" i="18"/>
  <c r="O88" i="18"/>
  <c r="O87" i="18"/>
  <c r="O86" i="18"/>
  <c r="P86" i="18" s="1"/>
  <c r="O85" i="18"/>
  <c r="O84" i="18"/>
  <c r="L82" i="18"/>
  <c r="I82" i="18"/>
  <c r="H82" i="18"/>
  <c r="G82" i="18"/>
  <c r="D82" i="18"/>
  <c r="O81" i="18"/>
  <c r="P81" i="18" s="1"/>
  <c r="Q81" i="18" s="1"/>
  <c r="O80" i="18"/>
  <c r="O79" i="18"/>
  <c r="O78" i="18"/>
  <c r="P78" i="18" s="1"/>
  <c r="Q78" i="18" s="1"/>
  <c r="O77" i="18"/>
  <c r="P77" i="18" s="1"/>
  <c r="Q77" i="18" s="1"/>
  <c r="O76" i="18"/>
  <c r="O75" i="18"/>
  <c r="O74" i="18"/>
  <c r="P74" i="18" s="1"/>
  <c r="Q74" i="18" s="1"/>
  <c r="O73" i="18"/>
  <c r="P73" i="18" s="1"/>
  <c r="Q73" i="18" s="1"/>
  <c r="O72" i="18"/>
  <c r="O71" i="18"/>
  <c r="O70" i="18"/>
  <c r="P70" i="18" s="1"/>
  <c r="Q70" i="18" s="1"/>
  <c r="O69" i="18"/>
  <c r="P69" i="18" s="1"/>
  <c r="Q69" i="18" s="1"/>
  <c r="O68" i="18"/>
  <c r="O67" i="18"/>
  <c r="O66" i="18"/>
  <c r="P66" i="18" s="1"/>
  <c r="Q66" i="18" s="1"/>
  <c r="O65" i="18"/>
  <c r="P65" i="18" s="1"/>
  <c r="Q65" i="18" s="1"/>
  <c r="O64" i="18"/>
  <c r="O63" i="18"/>
  <c r="O62" i="18"/>
  <c r="P62" i="18" s="1"/>
  <c r="Q62" i="18" s="1"/>
  <c r="O61" i="18"/>
  <c r="P61" i="18" s="1"/>
  <c r="Q61" i="18" s="1"/>
  <c r="O60" i="18"/>
  <c r="O59" i="18"/>
  <c r="O58" i="18"/>
  <c r="P58" i="18" s="1"/>
  <c r="Q58" i="18" s="1"/>
  <c r="O57" i="18"/>
  <c r="P57" i="18" s="1"/>
  <c r="Q57" i="18" s="1"/>
  <c r="O56" i="18"/>
  <c r="O55" i="18"/>
  <c r="O54" i="18"/>
  <c r="P54" i="18" s="1"/>
  <c r="Q54" i="18" s="1"/>
  <c r="O53" i="18"/>
  <c r="P53" i="18" s="1"/>
  <c r="Q53" i="18" s="1"/>
  <c r="O52" i="18"/>
  <c r="O51" i="18"/>
  <c r="P51" i="18" s="1"/>
  <c r="Q51" i="18" s="1"/>
  <c r="O50" i="18"/>
  <c r="P50" i="18" s="1"/>
  <c r="Q50" i="18" s="1"/>
  <c r="O49" i="18"/>
  <c r="O48" i="18"/>
  <c r="O47" i="18"/>
  <c r="P47" i="18" s="1"/>
  <c r="Q47" i="18" s="1"/>
  <c r="L45" i="18"/>
  <c r="K45" i="18"/>
  <c r="I45" i="18"/>
  <c r="H45" i="18"/>
  <c r="G45" i="18"/>
  <c r="D45" i="18"/>
  <c r="O44" i="18"/>
  <c r="P44" i="18" s="1"/>
  <c r="Q44" i="18" s="1"/>
  <c r="O43" i="18"/>
  <c r="O42" i="18"/>
  <c r="O41" i="18"/>
  <c r="O40" i="18"/>
  <c r="P40" i="18" s="1"/>
  <c r="Q40" i="18" s="1"/>
  <c r="O39" i="18"/>
  <c r="O38" i="18"/>
  <c r="O37" i="18"/>
  <c r="O36" i="18"/>
  <c r="P36" i="18" s="1"/>
  <c r="Q36" i="18" s="1"/>
  <c r="O35" i="18"/>
  <c r="O34" i="18"/>
  <c r="O33" i="18"/>
  <c r="O32" i="18"/>
  <c r="P32" i="18" s="1"/>
  <c r="L31" i="18"/>
  <c r="I31" i="18"/>
  <c r="H31" i="18"/>
  <c r="G31" i="18"/>
  <c r="D31" i="18"/>
  <c r="O30" i="18"/>
  <c r="P30" i="18" s="1"/>
  <c r="Q30" i="18" s="1"/>
  <c r="O29" i="18"/>
  <c r="O31" i="18" s="1"/>
  <c r="O28" i="18"/>
  <c r="P28" i="18" s="1"/>
  <c r="L27" i="18"/>
  <c r="D27" i="18"/>
  <c r="O26" i="18"/>
  <c r="P26" i="18" s="1"/>
  <c r="O25" i="18"/>
  <c r="X24" i="18"/>
  <c r="W24" i="18"/>
  <c r="V24" i="18"/>
  <c r="U24" i="18"/>
  <c r="T24" i="18"/>
  <c r="S24" i="18"/>
  <c r="R24" i="18"/>
  <c r="L24" i="18"/>
  <c r="I24" i="18"/>
  <c r="H24" i="18"/>
  <c r="G24" i="18"/>
  <c r="D24" i="18"/>
  <c r="O23" i="18"/>
  <c r="P23" i="18" s="1"/>
  <c r="O22" i="18"/>
  <c r="P22" i="18" s="1"/>
  <c r="O21" i="18"/>
  <c r="P21" i="18" s="1"/>
  <c r="O20" i="18"/>
  <c r="O19" i="18"/>
  <c r="P19" i="18" s="1"/>
  <c r="O18" i="18"/>
  <c r="P18" i="18" s="1"/>
  <c r="O17" i="18"/>
  <c r="P17" i="18" s="1"/>
  <c r="O16" i="18"/>
  <c r="P16" i="18" s="1"/>
  <c r="O15" i="18"/>
  <c r="O14" i="18"/>
  <c r="O13" i="18"/>
  <c r="P13" i="18" s="1"/>
  <c r="O12" i="18"/>
  <c r="P12" i="18" s="1"/>
  <c r="O11" i="18"/>
  <c r="P11" i="18" s="1"/>
  <c r="O10" i="18"/>
  <c r="P10" i="18" s="1"/>
  <c r="O9" i="18"/>
  <c r="P9" i="18" s="1"/>
  <c r="P8" i="18"/>
  <c r="Q8" i="18" s="1"/>
  <c r="P16" i="17"/>
  <c r="Q84" i="16"/>
  <c r="P48" i="16"/>
  <c r="P42" i="16"/>
  <c r="P38" i="16"/>
  <c r="P15" i="16"/>
  <c r="I201" i="15"/>
  <c r="I198" i="15"/>
  <c r="I191" i="15"/>
  <c r="I141" i="15"/>
  <c r="I133" i="15"/>
  <c r="F117" i="15"/>
  <c r="H103" i="15"/>
  <c r="I85" i="15"/>
  <c r="I82" i="15"/>
  <c r="I75" i="15"/>
  <c r="F28" i="15"/>
  <c r="H27" i="15"/>
  <c r="H24" i="15"/>
  <c r="H22" i="15"/>
  <c r="H116" i="15"/>
  <c r="H95" i="15"/>
  <c r="O90" i="14"/>
  <c r="O83" i="14"/>
  <c r="H83" i="14"/>
  <c r="I83" i="14"/>
  <c r="G83" i="14"/>
  <c r="P24" i="14"/>
  <c r="Q24" i="14"/>
  <c r="R24" i="14"/>
  <c r="S24" i="14"/>
  <c r="T24" i="14"/>
  <c r="U24" i="14"/>
  <c r="V24" i="14"/>
  <c r="W24" i="14"/>
  <c r="X24" i="14"/>
  <c r="O24" i="14"/>
  <c r="H24" i="14"/>
  <c r="I24" i="14"/>
  <c r="G24" i="14"/>
  <c r="Q190" i="18" l="1"/>
  <c r="O222" i="18"/>
  <c r="O241" i="18"/>
  <c r="O263" i="18"/>
  <c r="D270" i="18"/>
  <c r="P143" i="18"/>
  <c r="Q143" i="18" s="1"/>
  <c r="Q147" i="18"/>
  <c r="Q238" i="18"/>
  <c r="Q241" i="18" s="1"/>
  <c r="P113" i="18"/>
  <c r="Q113" i="18" s="1"/>
  <c r="Q117" i="18"/>
  <c r="P112" i="18"/>
  <c r="Q112" i="18" s="1"/>
  <c r="P96" i="18"/>
  <c r="Q96" i="18" s="1"/>
  <c r="P104" i="18"/>
  <c r="Q104" i="18" s="1"/>
  <c r="P100" i="18"/>
  <c r="Q100" i="18" s="1"/>
  <c r="P85" i="18"/>
  <c r="Q85" i="18" s="1"/>
  <c r="G250" i="18"/>
  <c r="G270" i="18" s="1"/>
  <c r="P29" i="18"/>
  <c r="Q29" i="18" s="1"/>
  <c r="Q28" i="18"/>
  <c r="H250" i="18"/>
  <c r="H270" i="18" s="1"/>
  <c r="P31" i="18"/>
  <c r="Q31" i="18" s="1"/>
  <c r="P25" i="18"/>
  <c r="Q25" i="18" s="1"/>
  <c r="L250" i="18"/>
  <c r="L270" i="18" s="1"/>
  <c r="I250" i="18"/>
  <c r="I270" i="18" s="1"/>
  <c r="Q12" i="18"/>
  <c r="Q21" i="18"/>
  <c r="P20" i="18"/>
  <c r="Q20" i="18" s="1"/>
  <c r="Q16" i="18"/>
  <c r="Q13" i="18"/>
  <c r="Q17" i="18"/>
  <c r="Q41" i="18"/>
  <c r="Q42" i="18"/>
  <c r="Q43" i="18"/>
  <c r="Q142" i="18"/>
  <c r="Q32" i="18"/>
  <c r="Q35" i="18"/>
  <c r="Q39" i="18"/>
  <c r="O138" i="18"/>
  <c r="P14" i="18"/>
  <c r="Q14" i="18" s="1"/>
  <c r="P101" i="18"/>
  <c r="Q101" i="18" s="1"/>
  <c r="Q10" i="18"/>
  <c r="Q18" i="18"/>
  <c r="Q22" i="18"/>
  <c r="Q26" i="18"/>
  <c r="P33" i="18"/>
  <c r="P37" i="18"/>
  <c r="Q37" i="18" s="1"/>
  <c r="P41" i="18"/>
  <c r="P48" i="18"/>
  <c r="Q48" i="18" s="1"/>
  <c r="P52" i="18"/>
  <c r="Q52" i="18" s="1"/>
  <c r="P55" i="18"/>
  <c r="Q55" i="18" s="1"/>
  <c r="P59" i="18"/>
  <c r="Q59" i="18" s="1"/>
  <c r="P63" i="18"/>
  <c r="Q63" i="18" s="1"/>
  <c r="P67" i="18"/>
  <c r="Q67" i="18" s="1"/>
  <c r="P71" i="18"/>
  <c r="Q71" i="18" s="1"/>
  <c r="P75" i="18"/>
  <c r="Q75" i="18" s="1"/>
  <c r="P79" i="18"/>
  <c r="Q79" i="18" s="1"/>
  <c r="Q86" i="18"/>
  <c r="O89" i="18"/>
  <c r="Q97" i="18"/>
  <c r="Q105" i="18"/>
  <c r="P124" i="18"/>
  <c r="Q124" i="18" s="1"/>
  <c r="P128" i="18"/>
  <c r="Q128" i="18" s="1"/>
  <c r="P132" i="18"/>
  <c r="Q132" i="18" s="1"/>
  <c r="P136" i="18"/>
  <c r="Q136" i="18" s="1"/>
  <c r="P15" i="18"/>
  <c r="P87" i="18"/>
  <c r="Q87" i="18" s="1"/>
  <c r="Q11" i="18"/>
  <c r="Q19" i="18"/>
  <c r="Q23" i="18"/>
  <c r="P34" i="18"/>
  <c r="Q34" i="18" s="1"/>
  <c r="P38" i="18"/>
  <c r="Q38" i="18" s="1"/>
  <c r="P42" i="18"/>
  <c r="P49" i="18"/>
  <c r="Q49" i="18" s="1"/>
  <c r="P56" i="18"/>
  <c r="Q56" i="18" s="1"/>
  <c r="P60" i="18"/>
  <c r="Q60" i="18" s="1"/>
  <c r="P64" i="18"/>
  <c r="Q64" i="18" s="1"/>
  <c r="P68" i="18"/>
  <c r="Q68" i="18" s="1"/>
  <c r="P72" i="18"/>
  <c r="Q72" i="18" s="1"/>
  <c r="P76" i="18"/>
  <c r="Q76" i="18" s="1"/>
  <c r="P80" i="18"/>
  <c r="Q80" i="18" s="1"/>
  <c r="Q98" i="18"/>
  <c r="Q102" i="18"/>
  <c r="Q106" i="18"/>
  <c r="P125" i="18"/>
  <c r="Q125" i="18" s="1"/>
  <c r="P129" i="18"/>
  <c r="Q129" i="18" s="1"/>
  <c r="P133" i="18"/>
  <c r="Q133" i="18" s="1"/>
  <c r="P137" i="18"/>
  <c r="Q137" i="18" s="1"/>
  <c r="Q140" i="18"/>
  <c r="Q144" i="18"/>
  <c r="Q148" i="18"/>
  <c r="O151" i="18"/>
  <c r="Q253" i="18"/>
  <c r="Q263" i="18" s="1"/>
  <c r="Q170" i="18"/>
  <c r="Q222" i="18" s="1"/>
  <c r="O45" i="18"/>
  <c r="P84" i="18"/>
  <c r="Q84" i="18" s="1"/>
  <c r="P88" i="18"/>
  <c r="Q88" i="18" s="1"/>
  <c r="P95" i="18"/>
  <c r="Q95" i="18" s="1"/>
  <c r="P99" i="18"/>
  <c r="Q99" i="18" s="1"/>
  <c r="P103" i="18"/>
  <c r="Q103" i="18" s="1"/>
  <c r="P107" i="18"/>
  <c r="Q107" i="18" s="1"/>
  <c r="P141" i="18"/>
  <c r="P145" i="18"/>
  <c r="Q145" i="18" s="1"/>
  <c r="P149" i="18"/>
  <c r="Q149" i="18" s="1"/>
  <c r="P35" i="18"/>
  <c r="P39" i="18"/>
  <c r="P43" i="18"/>
  <c r="P142" i="18"/>
  <c r="P146" i="18"/>
  <c r="Q146" i="18" s="1"/>
  <c r="P150" i="18"/>
  <c r="Q150" i="18" s="1"/>
  <c r="Q9" i="18"/>
  <c r="I117" i="15"/>
  <c r="I28" i="15"/>
  <c r="J202" i="15" s="1"/>
  <c r="P151" i="18" l="1"/>
  <c r="P45" i="18"/>
  <c r="Q89" i="18"/>
  <c r="O250" i="18"/>
  <c r="O270" i="18" s="1"/>
  <c r="Q15" i="18"/>
  <c r="Q138" i="18"/>
  <c r="Q33" i="18"/>
  <c r="Q45" i="18" s="1"/>
  <c r="P138" i="18"/>
  <c r="P89" i="18"/>
  <c r="Q141" i="18"/>
  <c r="Q151" i="18" s="1"/>
  <c r="O220" i="14"/>
  <c r="Q220" i="14" s="1"/>
  <c r="O219" i="14"/>
  <c r="Q219" i="14" s="1"/>
  <c r="O218" i="14"/>
  <c r="Q218" i="14" s="1"/>
  <c r="O217" i="14"/>
  <c r="Q217" i="14" s="1"/>
  <c r="O216" i="14"/>
  <c r="Q216" i="14" s="1"/>
  <c r="O215" i="14"/>
  <c r="Q215" i="14" s="1"/>
  <c r="O214" i="14"/>
  <c r="Q214" i="14" s="1"/>
  <c r="O213" i="14"/>
  <c r="Q213" i="14" s="1"/>
  <c r="O212" i="14"/>
  <c r="Q212" i="14" s="1"/>
  <c r="O211" i="14"/>
  <c r="Q211" i="14" s="1"/>
  <c r="O210" i="14"/>
  <c r="Q210" i="14" s="1"/>
  <c r="O209" i="14"/>
  <c r="Q209" i="14" s="1"/>
  <c r="O208" i="14"/>
  <c r="Q208" i="14" s="1"/>
  <c r="O207" i="14"/>
  <c r="Q207" i="14" s="1"/>
  <c r="O206" i="14"/>
  <c r="Q206" i="14" s="1"/>
  <c r="O205" i="14"/>
  <c r="Q205" i="14" s="1"/>
  <c r="O203" i="14"/>
  <c r="Q203" i="14" s="1"/>
  <c r="O202" i="14"/>
  <c r="Q202" i="14" s="1"/>
  <c r="O201" i="14"/>
  <c r="Q201" i="14" s="1"/>
  <c r="O200" i="14"/>
  <c r="Q200" i="14" s="1"/>
  <c r="O199" i="14"/>
  <c r="Q199" i="14" s="1"/>
  <c r="O198" i="14"/>
  <c r="Q198" i="14" s="1"/>
  <c r="O197" i="14"/>
  <c r="Q197" i="14" s="1"/>
  <c r="O196" i="14"/>
  <c r="Q196" i="14" s="1"/>
  <c r="O195" i="14"/>
  <c r="Q195" i="14" s="1"/>
  <c r="O194" i="14"/>
  <c r="Q194" i="14" s="1"/>
  <c r="O193" i="14"/>
  <c r="Q193" i="14" s="1"/>
  <c r="O192" i="14"/>
  <c r="Q192" i="14" s="1"/>
  <c r="O191" i="14"/>
  <c r="Q191" i="14" s="1"/>
  <c r="O190" i="14"/>
  <c r="Q190" i="14" s="1"/>
  <c r="O189" i="14"/>
  <c r="Q189" i="14" s="1"/>
  <c r="O188" i="14"/>
  <c r="Q188" i="14" s="1"/>
  <c r="O187" i="14"/>
  <c r="Q187" i="14" s="1"/>
  <c r="O186" i="14"/>
  <c r="Q186" i="14" s="1"/>
  <c r="O185" i="14"/>
  <c r="Q185" i="14" s="1"/>
  <c r="O184" i="14"/>
  <c r="Q184" i="14" s="1"/>
  <c r="O183" i="14"/>
  <c r="Q183" i="14" s="1"/>
  <c r="O182" i="14"/>
  <c r="Q182" i="14" s="1"/>
  <c r="O181" i="14"/>
  <c r="Q181" i="14" s="1"/>
  <c r="O180" i="14"/>
  <c r="Q180" i="14" s="1"/>
  <c r="O179" i="14"/>
  <c r="Q179" i="14" s="1"/>
  <c r="O178" i="14"/>
  <c r="Q178" i="14" s="1"/>
  <c r="O177" i="14"/>
  <c r="Q177" i="14" s="1"/>
  <c r="O176" i="14"/>
  <c r="Q176" i="14" s="1"/>
  <c r="O175" i="14"/>
  <c r="Q175" i="14" s="1"/>
  <c r="O173" i="14"/>
  <c r="Q173" i="14" s="1"/>
  <c r="O172" i="14"/>
  <c r="Q172" i="14" s="1"/>
  <c r="O171" i="14"/>
  <c r="Q171" i="14" s="1"/>
  <c r="O170" i="14"/>
  <c r="Q170" i="14" s="1"/>
  <c r="Q269" i="14"/>
  <c r="O269" i="14"/>
  <c r="I269" i="14"/>
  <c r="G269" i="14"/>
  <c r="I264" i="14"/>
  <c r="G264" i="14"/>
  <c r="Q261" i="14"/>
  <c r="O261" i="14"/>
  <c r="O260" i="14"/>
  <c r="Q260" i="14" s="1"/>
  <c r="O259" i="14"/>
  <c r="Q259" i="14" s="1"/>
  <c r="Q258" i="14"/>
  <c r="O258" i="14"/>
  <c r="O257" i="14"/>
  <c r="Q257" i="14" s="1"/>
  <c r="O256" i="14"/>
  <c r="Q256" i="14" s="1"/>
  <c r="O255" i="14"/>
  <c r="Q255" i="14" s="1"/>
  <c r="Q254" i="14"/>
  <c r="O254" i="14"/>
  <c r="P250" i="14"/>
  <c r="L250" i="14"/>
  <c r="I250" i="14"/>
  <c r="H250" i="14"/>
  <c r="G250" i="14"/>
  <c r="D250" i="14"/>
  <c r="Q247" i="14"/>
  <c r="O247" i="14" s="1"/>
  <c r="Q244" i="14"/>
  <c r="O244" i="14"/>
  <c r="P242" i="14"/>
  <c r="L242" i="14"/>
  <c r="D242" i="14"/>
  <c r="O241" i="14"/>
  <c r="Q241" i="14" s="1"/>
  <c r="O239" i="14"/>
  <c r="L237" i="14"/>
  <c r="D237" i="14"/>
  <c r="O233" i="14"/>
  <c r="Q233" i="14" s="1"/>
  <c r="O232" i="14"/>
  <c r="Q232" i="14" s="1"/>
  <c r="O231" i="14"/>
  <c r="Q231" i="14" s="1"/>
  <c r="O229" i="14"/>
  <c r="Q229" i="14" s="1"/>
  <c r="O227" i="14"/>
  <c r="Q227" i="14" s="1"/>
  <c r="O225" i="14"/>
  <c r="Q225" i="14" s="1"/>
  <c r="P223" i="14"/>
  <c r="L223" i="14"/>
  <c r="D223" i="14"/>
  <c r="O204" i="14"/>
  <c r="Q204" i="14" s="1"/>
  <c r="O174" i="14"/>
  <c r="Q174" i="14" s="1"/>
  <c r="L167" i="14"/>
  <c r="I167" i="14"/>
  <c r="H167" i="14"/>
  <c r="G167" i="14"/>
  <c r="D167" i="14"/>
  <c r="Q156" i="14"/>
  <c r="P156" i="14"/>
  <c r="O156" i="14"/>
  <c r="L156" i="14"/>
  <c r="I156" i="14"/>
  <c r="G156" i="14"/>
  <c r="D156" i="14"/>
  <c r="Q154" i="14"/>
  <c r="O154" i="14"/>
  <c r="L152" i="14"/>
  <c r="I152" i="14"/>
  <c r="H152" i="14"/>
  <c r="G152" i="14"/>
  <c r="D152" i="14"/>
  <c r="Q151" i="14"/>
  <c r="P151" i="14"/>
  <c r="O151" i="14"/>
  <c r="O150" i="14"/>
  <c r="O149" i="14"/>
  <c r="O148" i="14"/>
  <c r="P148" i="14" s="1"/>
  <c r="P147" i="14"/>
  <c r="Q147" i="14" s="1"/>
  <c r="O147" i="14"/>
  <c r="O146" i="14"/>
  <c r="O145" i="14"/>
  <c r="O144" i="14"/>
  <c r="P143" i="14"/>
  <c r="Q143" i="14" s="1"/>
  <c r="O143" i="14"/>
  <c r="O142" i="14"/>
  <c r="O141" i="14"/>
  <c r="P141" i="14" s="1"/>
  <c r="L139" i="14"/>
  <c r="I139" i="14"/>
  <c r="H139" i="14"/>
  <c r="G139" i="14"/>
  <c r="D139" i="14"/>
  <c r="O138" i="14"/>
  <c r="P138" i="14" s="1"/>
  <c r="O137" i="14"/>
  <c r="O136" i="14"/>
  <c r="O135" i="14"/>
  <c r="O134" i="14"/>
  <c r="P134" i="14" s="1"/>
  <c r="O133" i="14"/>
  <c r="O132" i="14"/>
  <c r="O131" i="14"/>
  <c r="O130" i="14"/>
  <c r="O129" i="14"/>
  <c r="O128" i="14"/>
  <c r="O127" i="14"/>
  <c r="O126" i="14"/>
  <c r="O125" i="14"/>
  <c r="L123" i="14"/>
  <c r="D123" i="14"/>
  <c r="O122" i="14"/>
  <c r="P122" i="14" s="1"/>
  <c r="O121" i="14"/>
  <c r="O120" i="14"/>
  <c r="P120" i="14" s="1"/>
  <c r="Q120" i="14" s="1"/>
  <c r="O119" i="14"/>
  <c r="O118" i="14"/>
  <c r="P118" i="14" s="1"/>
  <c r="Q118" i="14" s="1"/>
  <c r="O117" i="14"/>
  <c r="O116" i="14"/>
  <c r="O115" i="14"/>
  <c r="P115" i="14" s="1"/>
  <c r="Q115" i="14" s="1"/>
  <c r="O114" i="14"/>
  <c r="P114" i="14" s="1"/>
  <c r="Q114" i="14" s="1"/>
  <c r="O113" i="14"/>
  <c r="O112" i="14"/>
  <c r="O111" i="14"/>
  <c r="L109" i="14"/>
  <c r="D109" i="14"/>
  <c r="O108" i="14"/>
  <c r="O107" i="14"/>
  <c r="O106" i="14"/>
  <c r="O105" i="14"/>
  <c r="O104" i="14"/>
  <c r="O103" i="14"/>
  <c r="O102" i="14"/>
  <c r="O101" i="14"/>
  <c r="P101" i="14" s="1"/>
  <c r="Q101" i="14" s="1"/>
  <c r="O100" i="14"/>
  <c r="O99" i="14"/>
  <c r="P99" i="14" s="1"/>
  <c r="Q99" i="14" s="1"/>
  <c r="O98" i="14"/>
  <c r="O97" i="14"/>
  <c r="P97" i="14" s="1"/>
  <c r="Q97" i="14" s="1"/>
  <c r="O96" i="14"/>
  <c r="L93" i="14"/>
  <c r="L90" i="14"/>
  <c r="I90" i="14"/>
  <c r="H90" i="14"/>
  <c r="G90" i="14"/>
  <c r="D90" i="14"/>
  <c r="O89" i="14"/>
  <c r="O88" i="14"/>
  <c r="O87" i="14"/>
  <c r="P87" i="14" s="1"/>
  <c r="O86" i="14"/>
  <c r="P86" i="14" s="1"/>
  <c r="Q86" i="14" s="1"/>
  <c r="O85" i="14"/>
  <c r="L83" i="14"/>
  <c r="D83" i="14"/>
  <c r="O82" i="14"/>
  <c r="O81" i="14"/>
  <c r="O80" i="14"/>
  <c r="O79" i="14"/>
  <c r="P79" i="14" s="1"/>
  <c r="O78" i="14"/>
  <c r="O77" i="14"/>
  <c r="O76" i="14"/>
  <c r="O75" i="14"/>
  <c r="O74" i="14"/>
  <c r="O73" i="14"/>
  <c r="P73" i="14" s="1"/>
  <c r="O72" i="14"/>
  <c r="P72" i="14" s="1"/>
  <c r="O71" i="14"/>
  <c r="O70" i="14"/>
  <c r="O69" i="14"/>
  <c r="P69" i="14" s="1"/>
  <c r="O68" i="14"/>
  <c r="P68" i="14" s="1"/>
  <c r="O67" i="14"/>
  <c r="P67" i="14" s="1"/>
  <c r="O66" i="14"/>
  <c r="O65" i="14"/>
  <c r="O64" i="14"/>
  <c r="O63" i="14"/>
  <c r="P63" i="14" s="1"/>
  <c r="O62" i="14"/>
  <c r="O61" i="14"/>
  <c r="P61" i="14" s="1"/>
  <c r="O60" i="14"/>
  <c r="P83" i="14" s="1"/>
  <c r="O59" i="14"/>
  <c r="O58" i="14"/>
  <c r="O57" i="14"/>
  <c r="O56" i="14"/>
  <c r="P56" i="14" s="1"/>
  <c r="O55" i="14"/>
  <c r="O54" i="14"/>
  <c r="O53" i="14"/>
  <c r="P53" i="14" s="1"/>
  <c r="O52" i="14"/>
  <c r="P52" i="14" s="1"/>
  <c r="O51" i="14"/>
  <c r="P51" i="14" s="1"/>
  <c r="O50" i="14"/>
  <c r="O49" i="14"/>
  <c r="O48" i="14"/>
  <c r="O47" i="14"/>
  <c r="P47" i="14" s="1"/>
  <c r="L45" i="14"/>
  <c r="K45" i="14"/>
  <c r="I45" i="14"/>
  <c r="H45" i="14"/>
  <c r="G45" i="14"/>
  <c r="D45" i="14"/>
  <c r="O44" i="14"/>
  <c r="O43" i="14"/>
  <c r="P42" i="14"/>
  <c r="Q42" i="14" s="1"/>
  <c r="O42" i="14"/>
  <c r="P41" i="14"/>
  <c r="Q41" i="14" s="1"/>
  <c r="O41" i="14"/>
  <c r="O40" i="14"/>
  <c r="O39" i="14"/>
  <c r="O38" i="14"/>
  <c r="P37" i="14"/>
  <c r="Q37" i="14" s="1"/>
  <c r="O37" i="14"/>
  <c r="P36" i="14"/>
  <c r="Q36" i="14" s="1"/>
  <c r="O36" i="14"/>
  <c r="O35" i="14"/>
  <c r="O34" i="14"/>
  <c r="P34" i="14" s="1"/>
  <c r="O33" i="14"/>
  <c r="P33" i="14" s="1"/>
  <c r="O32" i="14"/>
  <c r="O45" i="14" s="1"/>
  <c r="L31" i="14"/>
  <c r="I31" i="14"/>
  <c r="H31" i="14"/>
  <c r="G31" i="14"/>
  <c r="D31" i="14"/>
  <c r="O30" i="14"/>
  <c r="O29" i="14"/>
  <c r="P29" i="14" s="1"/>
  <c r="Q29" i="14" s="1"/>
  <c r="O28" i="14"/>
  <c r="P28" i="14" s="1"/>
  <c r="L27" i="14"/>
  <c r="D27" i="14"/>
  <c r="O26" i="14"/>
  <c r="O25" i="14"/>
  <c r="P25" i="14" s="1"/>
  <c r="Q25" i="14" s="1"/>
  <c r="L24" i="14"/>
  <c r="D24" i="14"/>
  <c r="O23" i="14"/>
  <c r="P23" i="14" s="1"/>
  <c r="O22" i="14"/>
  <c r="O21" i="14"/>
  <c r="P21" i="14" s="1"/>
  <c r="O20" i="14"/>
  <c r="O19" i="14"/>
  <c r="P19" i="14" s="1"/>
  <c r="Q19" i="14" s="1"/>
  <c r="O18" i="14"/>
  <c r="O17" i="14"/>
  <c r="O16" i="14"/>
  <c r="O15" i="14"/>
  <c r="P15" i="14" s="1"/>
  <c r="O14" i="14"/>
  <c r="O13" i="14"/>
  <c r="P13" i="14" s="1"/>
  <c r="O12" i="14"/>
  <c r="O11" i="14"/>
  <c r="P11" i="14" s="1"/>
  <c r="Q11" i="14" s="1"/>
  <c r="O10" i="14"/>
  <c r="O9" i="14"/>
  <c r="P9" i="14" s="1"/>
  <c r="P8" i="14"/>
  <c r="Q8" i="14" s="1"/>
  <c r="O18" i="13"/>
  <c r="P96" i="12"/>
  <c r="P94" i="12"/>
  <c r="P89" i="12"/>
  <c r="P76" i="12"/>
  <c r="P53" i="12"/>
  <c r="P49" i="12"/>
  <c r="P43" i="12"/>
  <c r="P39" i="12"/>
  <c r="P17" i="12"/>
  <c r="H225" i="11"/>
  <c r="H216" i="11"/>
  <c r="H211" i="11"/>
  <c r="H197" i="11"/>
  <c r="I197" i="11" s="1"/>
  <c r="H142" i="11"/>
  <c r="H136" i="11"/>
  <c r="H119" i="11"/>
  <c r="F119" i="11"/>
  <c r="H27" i="11"/>
  <c r="H31" i="11"/>
  <c r="H88" i="11"/>
  <c r="H85" i="11"/>
  <c r="H78" i="11"/>
  <c r="H24" i="11"/>
  <c r="P223" i="10"/>
  <c r="Q223" i="10"/>
  <c r="O223" i="10"/>
  <c r="O83" i="10"/>
  <c r="P24" i="10"/>
  <c r="Q24" i="10"/>
  <c r="O24" i="10"/>
  <c r="Q250" i="18" l="1"/>
  <c r="Q270" i="18" s="1"/>
  <c r="P250" i="18"/>
  <c r="P270" i="18" s="1"/>
  <c r="Q122" i="14"/>
  <c r="O242" i="14"/>
  <c r="P105" i="14"/>
  <c r="Q105" i="14" s="1"/>
  <c r="Q144" i="14"/>
  <c r="Q9" i="14"/>
  <c r="Q40" i="14"/>
  <c r="Q141" i="14"/>
  <c r="Q145" i="14"/>
  <c r="P121" i="14"/>
  <c r="Q121" i="14" s="1"/>
  <c r="P128" i="14"/>
  <c r="Q128" i="14" s="1"/>
  <c r="P133" i="14"/>
  <c r="Q133" i="14" s="1"/>
  <c r="Q15" i="14"/>
  <c r="P20" i="14"/>
  <c r="Q20" i="14" s="1"/>
  <c r="P32" i="14"/>
  <c r="Q51" i="14"/>
  <c r="Q56" i="14"/>
  <c r="Q67" i="14"/>
  <c r="Q72" i="14"/>
  <c r="Q87" i="14"/>
  <c r="P111" i="14"/>
  <c r="Q111" i="14" s="1"/>
  <c r="P116" i="14"/>
  <c r="Q116" i="14" s="1"/>
  <c r="O223" i="14"/>
  <c r="O264" i="14"/>
  <c r="P16" i="14"/>
  <c r="Q16" i="14" s="1"/>
  <c r="P88" i="14"/>
  <c r="Q88" i="14" s="1"/>
  <c r="P129" i="14"/>
  <c r="Q129" i="14" s="1"/>
  <c r="Q43" i="14"/>
  <c r="Q52" i="14"/>
  <c r="Q68" i="14"/>
  <c r="Q79" i="14"/>
  <c r="P106" i="14"/>
  <c r="Q106" i="14" s="1"/>
  <c r="P112" i="14"/>
  <c r="Q112" i="14" s="1"/>
  <c r="Q148" i="14"/>
  <c r="D271" i="14"/>
  <c r="Q138" i="14"/>
  <c r="Q264" i="14"/>
  <c r="P144" i="14"/>
  <c r="O152" i="14"/>
  <c r="Q239" i="14"/>
  <c r="Q242" i="14" s="1"/>
  <c r="G251" i="14"/>
  <c r="G271" i="14" s="1"/>
  <c r="O31" i="14"/>
  <c r="Q28" i="14"/>
  <c r="P77" i="14"/>
  <c r="Q77" i="14" s="1"/>
  <c r="Q47" i="14"/>
  <c r="Q21" i="14"/>
  <c r="P17" i="14"/>
  <c r="Q17" i="14" s="1"/>
  <c r="P44" i="14"/>
  <c r="Q44" i="14" s="1"/>
  <c r="P48" i="14"/>
  <c r="Q48" i="14" s="1"/>
  <c r="P59" i="14"/>
  <c r="Q59" i="14" s="1"/>
  <c r="P64" i="14"/>
  <c r="Q64" i="14" s="1"/>
  <c r="P75" i="14"/>
  <c r="Q75" i="14" s="1"/>
  <c r="P80" i="14"/>
  <c r="Q80" i="14" s="1"/>
  <c r="Q83" i="14"/>
  <c r="P102" i="14"/>
  <c r="Q102" i="14" s="1"/>
  <c r="P113" i="14"/>
  <c r="Q113" i="14" s="1"/>
  <c r="P125" i="14"/>
  <c r="P130" i="14"/>
  <c r="Q130" i="14" s="1"/>
  <c r="P136" i="14"/>
  <c r="Q136" i="14" s="1"/>
  <c r="O139" i="14"/>
  <c r="P149" i="14"/>
  <c r="Q149" i="14" s="1"/>
  <c r="H251" i="14"/>
  <c r="H271" i="14" s="1"/>
  <c r="Q61" i="14"/>
  <c r="Q32" i="14"/>
  <c r="Q53" i="14"/>
  <c r="P107" i="14"/>
  <c r="Q107" i="14" s="1"/>
  <c r="P119" i="14"/>
  <c r="Q119" i="14" s="1"/>
  <c r="I251" i="14"/>
  <c r="I271" i="14" s="1"/>
  <c r="Q134" i="14"/>
  <c r="P117" i="14"/>
  <c r="Q117" i="14" s="1"/>
  <c r="P167" i="14"/>
  <c r="O167" i="14"/>
  <c r="Q63" i="14"/>
  <c r="P30" i="14"/>
  <c r="Q30" i="14" s="1"/>
  <c r="P38" i="14"/>
  <c r="Q38" i="14" s="1"/>
  <c r="P26" i="14"/>
  <c r="Q26" i="14" s="1"/>
  <c r="P40" i="14"/>
  <c r="P98" i="14"/>
  <c r="Q98" i="14" s="1"/>
  <c r="P145" i="14"/>
  <c r="L251" i="14"/>
  <c r="L271" i="14" s="1"/>
  <c r="P57" i="14"/>
  <c r="Q57" i="14" s="1"/>
  <c r="P12" i="14"/>
  <c r="Q12" i="14" s="1"/>
  <c r="Q33" i="14"/>
  <c r="Q69" i="14"/>
  <c r="Q34" i="14"/>
  <c r="Q13" i="14"/>
  <c r="Q23" i="14"/>
  <c r="P49" i="14"/>
  <c r="Q49" i="14" s="1"/>
  <c r="P55" i="14"/>
  <c r="Q55" i="14" s="1"/>
  <c r="P60" i="14"/>
  <c r="Q60" i="14" s="1"/>
  <c r="P65" i="14"/>
  <c r="Q65" i="14" s="1"/>
  <c r="P71" i="14"/>
  <c r="Q71" i="14" s="1"/>
  <c r="P76" i="14"/>
  <c r="Q76" i="14" s="1"/>
  <c r="P81" i="14"/>
  <c r="Q81" i="14" s="1"/>
  <c r="P103" i="14"/>
  <c r="Q103" i="14" s="1"/>
  <c r="P126" i="14"/>
  <c r="Q126" i="14" s="1"/>
  <c r="P132" i="14"/>
  <c r="Q132" i="14" s="1"/>
  <c r="P137" i="14"/>
  <c r="Q137" i="14" s="1"/>
  <c r="Q73" i="14"/>
  <c r="Q223" i="14"/>
  <c r="P85" i="14"/>
  <c r="Q85" i="14" s="1"/>
  <c r="P89" i="14"/>
  <c r="Q89" i="14" s="1"/>
  <c r="P96" i="14"/>
  <c r="Q96" i="14" s="1"/>
  <c r="P100" i="14"/>
  <c r="Q100" i="14" s="1"/>
  <c r="P104" i="14"/>
  <c r="Q104" i="14" s="1"/>
  <c r="P108" i="14"/>
  <c r="Q108" i="14" s="1"/>
  <c r="P142" i="14"/>
  <c r="Q142" i="14" s="1"/>
  <c r="P146" i="14"/>
  <c r="Q146" i="14" s="1"/>
  <c r="P150" i="14"/>
  <c r="Q150" i="14" s="1"/>
  <c r="P10" i="14"/>
  <c r="Q10" i="14" s="1"/>
  <c r="P14" i="14"/>
  <c r="Q14" i="14" s="1"/>
  <c r="P18" i="14"/>
  <c r="P22" i="14"/>
  <c r="Q22" i="14" s="1"/>
  <c r="P35" i="14"/>
  <c r="Q35" i="14" s="1"/>
  <c r="P39" i="14"/>
  <c r="Q39" i="14" s="1"/>
  <c r="P43" i="14"/>
  <c r="P50" i="14"/>
  <c r="Q50" i="14" s="1"/>
  <c r="P54" i="14"/>
  <c r="Q54" i="14" s="1"/>
  <c r="P58" i="14"/>
  <c r="Q58" i="14" s="1"/>
  <c r="P62" i="14"/>
  <c r="Q62" i="14" s="1"/>
  <c r="P66" i="14"/>
  <c r="Q66" i="14" s="1"/>
  <c r="P70" i="14"/>
  <c r="Q70" i="14" s="1"/>
  <c r="P74" i="14"/>
  <c r="Q74" i="14" s="1"/>
  <c r="P78" i="14"/>
  <c r="Q78" i="14" s="1"/>
  <c r="P82" i="14"/>
  <c r="Q82" i="14" s="1"/>
  <c r="P127" i="14"/>
  <c r="Q127" i="14" s="1"/>
  <c r="P131" i="14"/>
  <c r="Q131" i="14" s="1"/>
  <c r="P135" i="14"/>
  <c r="Q135" i="14" s="1"/>
  <c r="O105" i="10"/>
  <c r="P105" i="10" s="1"/>
  <c r="Q105" i="10" s="1"/>
  <c r="O102" i="10"/>
  <c r="O101" i="10"/>
  <c r="G280" i="10"/>
  <c r="Q269" i="10"/>
  <c r="O269" i="10"/>
  <c r="I269" i="10"/>
  <c r="G269" i="10"/>
  <c r="I280" i="10" s="1"/>
  <c r="I264" i="10"/>
  <c r="G264" i="10"/>
  <c r="Q261" i="10"/>
  <c r="O261" i="10"/>
  <c r="O260" i="10"/>
  <c r="Q260" i="10" s="1"/>
  <c r="O259" i="10"/>
  <c r="Q259" i="10" s="1"/>
  <c r="O258" i="10"/>
  <c r="Q258" i="10" s="1"/>
  <c r="O257" i="10"/>
  <c r="Q257" i="10" s="1"/>
  <c r="O256" i="10"/>
  <c r="Q256" i="10" s="1"/>
  <c r="Q255" i="10"/>
  <c r="O255" i="10"/>
  <c r="O254" i="10"/>
  <c r="P250" i="10"/>
  <c r="L250" i="10"/>
  <c r="I250" i="10"/>
  <c r="H250" i="10"/>
  <c r="G250" i="10"/>
  <c r="D250" i="10"/>
  <c r="Q247" i="10"/>
  <c r="O247" i="10" s="1"/>
  <c r="Q244" i="10"/>
  <c r="O244" i="10"/>
  <c r="P242" i="10"/>
  <c r="L242" i="10"/>
  <c r="D242" i="10"/>
  <c r="O241" i="10"/>
  <c r="Q241" i="10" s="1"/>
  <c r="O239" i="10"/>
  <c r="L237" i="10"/>
  <c r="D237" i="10"/>
  <c r="O233" i="10"/>
  <c r="Q233" i="10" s="1"/>
  <c r="O232" i="10"/>
  <c r="Q232" i="10" s="1"/>
  <c r="O231" i="10"/>
  <c r="Q231" i="10" s="1"/>
  <c r="O229" i="10"/>
  <c r="Q229" i="10" s="1"/>
  <c r="O227" i="10"/>
  <c r="Q227" i="10" s="1"/>
  <c r="O225" i="10"/>
  <c r="Q225" i="10" s="1"/>
  <c r="L223" i="10"/>
  <c r="D223" i="10"/>
  <c r="O220" i="10"/>
  <c r="Q220" i="10" s="1"/>
  <c r="O219" i="10"/>
  <c r="Q219" i="10" s="1"/>
  <c r="O218" i="10"/>
  <c r="Q218" i="10" s="1"/>
  <c r="O217" i="10"/>
  <c r="Q217" i="10" s="1"/>
  <c r="O216" i="10"/>
  <c r="Q216" i="10" s="1"/>
  <c r="O215" i="10"/>
  <c r="Q215" i="10" s="1"/>
  <c r="O214" i="10"/>
  <c r="Q214" i="10" s="1"/>
  <c r="O213" i="10"/>
  <c r="Q213" i="10" s="1"/>
  <c r="O212" i="10"/>
  <c r="Q212" i="10" s="1"/>
  <c r="O211" i="10"/>
  <c r="Q211" i="10" s="1"/>
  <c r="O210" i="10"/>
  <c r="Q210" i="10" s="1"/>
  <c r="O209" i="10"/>
  <c r="Q209" i="10" s="1"/>
  <c r="O208" i="10"/>
  <c r="Q208" i="10" s="1"/>
  <c r="O207" i="10"/>
  <c r="Q207" i="10" s="1"/>
  <c r="O206" i="10"/>
  <c r="Q206" i="10" s="1"/>
  <c r="O205" i="10"/>
  <c r="Q205" i="10" s="1"/>
  <c r="O204" i="10"/>
  <c r="Q204" i="10" s="1"/>
  <c r="O203" i="10"/>
  <c r="Q203" i="10" s="1"/>
  <c r="O202" i="10"/>
  <c r="Q202" i="10" s="1"/>
  <c r="O201" i="10"/>
  <c r="Q201" i="10" s="1"/>
  <c r="O200" i="10"/>
  <c r="Q200" i="10" s="1"/>
  <c r="O199" i="10"/>
  <c r="Q199" i="10" s="1"/>
  <c r="O198" i="10"/>
  <c r="Q198" i="10" s="1"/>
  <c r="O197" i="10"/>
  <c r="Q197" i="10" s="1"/>
  <c r="O196" i="10"/>
  <c r="Q196" i="10" s="1"/>
  <c r="O195" i="10"/>
  <c r="Q195" i="10" s="1"/>
  <c r="O194" i="10"/>
  <c r="Q194" i="10" s="1"/>
  <c r="O193" i="10"/>
  <c r="Q193" i="10" s="1"/>
  <c r="O192" i="10"/>
  <c r="Q192" i="10" s="1"/>
  <c r="O191" i="10"/>
  <c r="Q191" i="10" s="1"/>
  <c r="O190" i="10"/>
  <c r="Q190" i="10" s="1"/>
  <c r="O189" i="10"/>
  <c r="Q189" i="10" s="1"/>
  <c r="O188" i="10"/>
  <c r="Q188" i="10" s="1"/>
  <c r="O187" i="10"/>
  <c r="Q187" i="10" s="1"/>
  <c r="O186" i="10"/>
  <c r="Q186" i="10" s="1"/>
  <c r="O185" i="10"/>
  <c r="Q185" i="10" s="1"/>
  <c r="O184" i="10"/>
  <c r="Q184" i="10" s="1"/>
  <c r="O183" i="10"/>
  <c r="Q183" i="10" s="1"/>
  <c r="O182" i="10"/>
  <c r="Q182" i="10" s="1"/>
  <c r="O181" i="10"/>
  <c r="Q181" i="10" s="1"/>
  <c r="O180" i="10"/>
  <c r="Q180" i="10" s="1"/>
  <c r="O179" i="10"/>
  <c r="Q179" i="10" s="1"/>
  <c r="O178" i="10"/>
  <c r="Q178" i="10" s="1"/>
  <c r="O177" i="10"/>
  <c r="Q177" i="10" s="1"/>
  <c r="O176" i="10"/>
  <c r="Q176" i="10" s="1"/>
  <c r="O175" i="10"/>
  <c r="Q175" i="10" s="1"/>
  <c r="O174" i="10"/>
  <c r="Q174" i="10" s="1"/>
  <c r="O173" i="10"/>
  <c r="Q173" i="10" s="1"/>
  <c r="O172" i="10"/>
  <c r="Q172" i="10" s="1"/>
  <c r="O171" i="10"/>
  <c r="O170" i="10"/>
  <c r="Q170" i="10" s="1"/>
  <c r="L167" i="10"/>
  <c r="I167" i="10"/>
  <c r="H167" i="10"/>
  <c r="G167" i="10"/>
  <c r="D167" i="10"/>
  <c r="O165" i="10"/>
  <c r="O164" i="10"/>
  <c r="O163" i="10"/>
  <c r="O162" i="10"/>
  <c r="P162" i="10" s="1"/>
  <c r="Q162" i="10" s="1"/>
  <c r="O160" i="10"/>
  <c r="O159" i="10"/>
  <c r="O158" i="10"/>
  <c r="P156" i="10"/>
  <c r="L156" i="10"/>
  <c r="I156" i="10"/>
  <c r="G156" i="10"/>
  <c r="D156" i="10"/>
  <c r="Q154" i="10"/>
  <c r="Q156" i="10" s="1"/>
  <c r="O154" i="10"/>
  <c r="O156" i="10" s="1"/>
  <c r="L152" i="10"/>
  <c r="I152" i="10"/>
  <c r="H152" i="10"/>
  <c r="G152" i="10"/>
  <c r="D152" i="10"/>
  <c r="O151" i="10"/>
  <c r="P151" i="10" s="1"/>
  <c r="Q151" i="10" s="1"/>
  <c r="O150" i="10"/>
  <c r="P150" i="10" s="1"/>
  <c r="P149" i="10"/>
  <c r="Q149" i="10" s="1"/>
  <c r="O149" i="10"/>
  <c r="P148" i="10"/>
  <c r="O148" i="10"/>
  <c r="O147" i="10"/>
  <c r="P147" i="10" s="1"/>
  <c r="Q147" i="10" s="1"/>
  <c r="O146" i="10"/>
  <c r="P146" i="10" s="1"/>
  <c r="P145" i="10"/>
  <c r="Q145" i="10" s="1"/>
  <c r="O145" i="10"/>
  <c r="O144" i="10"/>
  <c r="O143" i="10"/>
  <c r="P143" i="10" s="1"/>
  <c r="Q143" i="10" s="1"/>
  <c r="O142" i="10"/>
  <c r="P142" i="10" s="1"/>
  <c r="P141" i="10"/>
  <c r="O141" i="10"/>
  <c r="L139" i="10"/>
  <c r="I139" i="10"/>
  <c r="H139" i="10"/>
  <c r="G139" i="10"/>
  <c r="D139" i="10"/>
  <c r="O138" i="10"/>
  <c r="O137" i="10"/>
  <c r="O136" i="10"/>
  <c r="P136" i="10" s="1"/>
  <c r="Q136" i="10" s="1"/>
  <c r="O135" i="10"/>
  <c r="O134" i="10"/>
  <c r="P134" i="10" s="1"/>
  <c r="O133" i="10"/>
  <c r="O132" i="10"/>
  <c r="O131" i="10"/>
  <c r="O130" i="10"/>
  <c r="O129" i="10"/>
  <c r="O128" i="10"/>
  <c r="P128" i="10" s="1"/>
  <c r="Q128" i="10" s="1"/>
  <c r="O127" i="10"/>
  <c r="O126" i="10"/>
  <c r="O125" i="10"/>
  <c r="L123" i="10"/>
  <c r="D123" i="10"/>
  <c r="O122" i="10"/>
  <c r="O121" i="10"/>
  <c r="O120" i="10"/>
  <c r="P120" i="10" s="1"/>
  <c r="Q120" i="10" s="1"/>
  <c r="O119" i="10"/>
  <c r="P119" i="10" s="1"/>
  <c r="Q119" i="10" s="1"/>
  <c r="O118" i="10"/>
  <c r="O117" i="10"/>
  <c r="O116" i="10"/>
  <c r="P116" i="10" s="1"/>
  <c r="Q116" i="10" s="1"/>
  <c r="O115" i="10"/>
  <c r="O114" i="10"/>
  <c r="O113" i="10"/>
  <c r="O112" i="10"/>
  <c r="P112" i="10" s="1"/>
  <c r="Q112" i="10" s="1"/>
  <c r="O111" i="10"/>
  <c r="P111" i="10" s="1"/>
  <c r="L109" i="10"/>
  <c r="D109" i="10"/>
  <c r="O108" i="10"/>
  <c r="O107" i="10"/>
  <c r="P107" i="10" s="1"/>
  <c r="Q107" i="10" s="1"/>
  <c r="O104" i="10"/>
  <c r="O103" i="10"/>
  <c r="P103" i="10" s="1"/>
  <c r="Q103" i="10" s="1"/>
  <c r="O100" i="10"/>
  <c r="P100" i="10" s="1"/>
  <c r="O99" i="10"/>
  <c r="P99" i="10" s="1"/>
  <c r="Q99" i="10" s="1"/>
  <c r="O98" i="10"/>
  <c r="P98" i="10" s="1"/>
  <c r="O97" i="10"/>
  <c r="O96" i="10"/>
  <c r="L93" i="10"/>
  <c r="L90" i="10"/>
  <c r="I90" i="10"/>
  <c r="H90" i="10"/>
  <c r="G90" i="10"/>
  <c r="D90" i="10"/>
  <c r="O89" i="10"/>
  <c r="P89" i="10" s="1"/>
  <c r="O88" i="10"/>
  <c r="P88" i="10" s="1"/>
  <c r="Q88" i="10" s="1"/>
  <c r="O87" i="10"/>
  <c r="O86" i="10"/>
  <c r="O85" i="10"/>
  <c r="L83" i="10"/>
  <c r="I83" i="10"/>
  <c r="H83" i="10"/>
  <c r="G83" i="10"/>
  <c r="D83" i="10"/>
  <c r="O82" i="10"/>
  <c r="O81" i="10"/>
  <c r="O80" i="10"/>
  <c r="O79" i="10"/>
  <c r="P79" i="10" s="1"/>
  <c r="Q79" i="10" s="1"/>
  <c r="O78" i="10"/>
  <c r="P78" i="10" s="1"/>
  <c r="O77" i="10"/>
  <c r="P77" i="10" s="1"/>
  <c r="O76" i="10"/>
  <c r="O75" i="10"/>
  <c r="P75" i="10" s="1"/>
  <c r="Q75" i="10" s="1"/>
  <c r="O74" i="10"/>
  <c r="P74" i="10" s="1"/>
  <c r="O73" i="10"/>
  <c r="O72" i="10"/>
  <c r="O71" i="10"/>
  <c r="P71" i="10" s="1"/>
  <c r="Q71" i="10" s="1"/>
  <c r="O70" i="10"/>
  <c r="O69" i="10"/>
  <c r="O68" i="10"/>
  <c r="O67" i="10"/>
  <c r="P67" i="10" s="1"/>
  <c r="Q67" i="10" s="1"/>
  <c r="O66" i="10"/>
  <c r="P66" i="10" s="1"/>
  <c r="O65" i="10"/>
  <c r="O64" i="10"/>
  <c r="O63" i="10"/>
  <c r="P63" i="10" s="1"/>
  <c r="Q63" i="10" s="1"/>
  <c r="O62" i="10"/>
  <c r="O61" i="10"/>
  <c r="O60" i="10"/>
  <c r="O59" i="10"/>
  <c r="P59" i="10" s="1"/>
  <c r="Q59" i="10" s="1"/>
  <c r="O58" i="10"/>
  <c r="P58" i="10" s="1"/>
  <c r="O57" i="10"/>
  <c r="O56" i="10"/>
  <c r="O55" i="10"/>
  <c r="P55" i="10" s="1"/>
  <c r="Q55" i="10" s="1"/>
  <c r="O54" i="10"/>
  <c r="P54" i="10" s="1"/>
  <c r="O53" i="10"/>
  <c r="O52" i="10"/>
  <c r="O51" i="10"/>
  <c r="P51" i="10" s="1"/>
  <c r="Q51" i="10" s="1"/>
  <c r="O50" i="10"/>
  <c r="O49" i="10"/>
  <c r="O48" i="10"/>
  <c r="O47" i="10"/>
  <c r="P47" i="10" s="1"/>
  <c r="Q47" i="10" s="1"/>
  <c r="L45" i="10"/>
  <c r="K45" i="10"/>
  <c r="I45" i="10"/>
  <c r="H45" i="10"/>
  <c r="G45" i="10"/>
  <c r="D45" i="10"/>
  <c r="Q44" i="10"/>
  <c r="P44" i="10"/>
  <c r="O44" i="10"/>
  <c r="O43" i="10"/>
  <c r="P43" i="10" s="1"/>
  <c r="O42" i="10"/>
  <c r="O41" i="10"/>
  <c r="P40" i="10"/>
  <c r="Q40" i="10" s="1"/>
  <c r="O40" i="10"/>
  <c r="O39" i="10"/>
  <c r="O38" i="10"/>
  <c r="O37" i="10"/>
  <c r="Q36" i="10"/>
  <c r="P36" i="10"/>
  <c r="O36" i="10"/>
  <c r="O35" i="10"/>
  <c r="P35" i="10" s="1"/>
  <c r="O34" i="10"/>
  <c r="O33" i="10"/>
  <c r="P32" i="10"/>
  <c r="O32" i="10"/>
  <c r="L31" i="10"/>
  <c r="I31" i="10"/>
  <c r="H31" i="10"/>
  <c r="G31" i="10"/>
  <c r="D31" i="10"/>
  <c r="O30" i="10"/>
  <c r="O29" i="10"/>
  <c r="O28" i="10"/>
  <c r="L27" i="10"/>
  <c r="D27" i="10"/>
  <c r="O26" i="10"/>
  <c r="P26" i="10" s="1"/>
  <c r="O25" i="10"/>
  <c r="P25" i="10" s="1"/>
  <c r="Q25" i="10" s="1"/>
  <c r="L24" i="10"/>
  <c r="I24" i="10"/>
  <c r="H24" i="10"/>
  <c r="G24" i="10"/>
  <c r="D24" i="10"/>
  <c r="O23" i="10"/>
  <c r="P23" i="10" s="1"/>
  <c r="Q23" i="10" s="1"/>
  <c r="O22" i="10"/>
  <c r="P22" i="10" s="1"/>
  <c r="O21" i="10"/>
  <c r="O20" i="10"/>
  <c r="O19" i="10"/>
  <c r="P19" i="10" s="1"/>
  <c r="Q19" i="10" s="1"/>
  <c r="O18" i="10"/>
  <c r="O17" i="10"/>
  <c r="O16" i="10"/>
  <c r="O15" i="10"/>
  <c r="P15" i="10" s="1"/>
  <c r="Q15" i="10" s="1"/>
  <c r="O14" i="10"/>
  <c r="P14" i="10" s="1"/>
  <c r="O13" i="10"/>
  <c r="O12" i="10"/>
  <c r="O11" i="10"/>
  <c r="P11" i="10" s="1"/>
  <c r="Q11" i="10" s="1"/>
  <c r="O10" i="10"/>
  <c r="P10" i="10" s="1"/>
  <c r="O9" i="10"/>
  <c r="P9" i="10" s="1"/>
  <c r="P8" i="10"/>
  <c r="P31" i="9"/>
  <c r="O29" i="9"/>
  <c r="F29" i="9"/>
  <c r="P13" i="9"/>
  <c r="Q62" i="8"/>
  <c r="P40" i="8"/>
  <c r="P36" i="8"/>
  <c r="P32" i="8"/>
  <c r="P11" i="8"/>
  <c r="H216" i="7"/>
  <c r="H215" i="7"/>
  <c r="H212" i="7"/>
  <c r="H204" i="7"/>
  <c r="H151" i="7"/>
  <c r="H143" i="7"/>
  <c r="H127" i="7"/>
  <c r="H113" i="7"/>
  <c r="H99" i="7"/>
  <c r="H87" i="7"/>
  <c r="H84" i="7"/>
  <c r="H77" i="7"/>
  <c r="H31" i="7"/>
  <c r="H27" i="7"/>
  <c r="H24" i="7"/>
  <c r="O251" i="14" l="1"/>
  <c r="O271" i="14" s="1"/>
  <c r="Q18" i="14"/>
  <c r="P139" i="14"/>
  <c r="Q125" i="14"/>
  <c r="Q139" i="14" s="1"/>
  <c r="Q45" i="14"/>
  <c r="P152" i="14"/>
  <c r="P31" i="14"/>
  <c r="Q31" i="14" s="1"/>
  <c r="P45" i="14"/>
  <c r="Q152" i="14"/>
  <c r="P90" i="14"/>
  <c r="Q90" i="14"/>
  <c r="Q167" i="14"/>
  <c r="O139" i="10"/>
  <c r="O242" i="10"/>
  <c r="O167" i="10"/>
  <c r="P132" i="10"/>
  <c r="Q132" i="10" s="1"/>
  <c r="P101" i="10"/>
  <c r="Q101" i="10" s="1"/>
  <c r="P97" i="10"/>
  <c r="Q97" i="10" s="1"/>
  <c r="O106" i="10"/>
  <c r="P106" i="10" s="1"/>
  <c r="P86" i="10"/>
  <c r="Q86" i="10" s="1"/>
  <c r="H251" i="10"/>
  <c r="H271" i="10" s="1"/>
  <c r="I251" i="10"/>
  <c r="I271" i="10" s="1"/>
  <c r="P52" i="10"/>
  <c r="Q52" i="10" s="1"/>
  <c r="P60" i="10"/>
  <c r="Q60" i="10" s="1"/>
  <c r="P68" i="10"/>
  <c r="Q68" i="10" s="1"/>
  <c r="P76" i="10"/>
  <c r="Q76" i="10" s="1"/>
  <c r="Q98" i="10"/>
  <c r="Q111" i="10"/>
  <c r="Q148" i="10"/>
  <c r="P160" i="10"/>
  <c r="Q160" i="10" s="1"/>
  <c r="L251" i="10"/>
  <c r="L271" i="10" s="1"/>
  <c r="P87" i="10"/>
  <c r="Q87" i="10" s="1"/>
  <c r="P125" i="10"/>
  <c r="P126" i="10"/>
  <c r="Q17" i="10"/>
  <c r="P53" i="10"/>
  <c r="Q53" i="10" s="1"/>
  <c r="P69" i="10"/>
  <c r="Q69" i="10" s="1"/>
  <c r="P17" i="10"/>
  <c r="Q171" i="10"/>
  <c r="O45" i="10"/>
  <c r="P33" i="10"/>
  <c r="Q33" i="10" s="1"/>
  <c r="P41" i="10"/>
  <c r="Q41" i="10" s="1"/>
  <c r="P137" i="10"/>
  <c r="Q137" i="10" s="1"/>
  <c r="P34" i="10"/>
  <c r="Q34" i="10" s="1"/>
  <c r="P12" i="10"/>
  <c r="P81" i="10"/>
  <c r="Q81" i="10" s="1"/>
  <c r="P21" i="10"/>
  <c r="Q21" i="10" s="1"/>
  <c r="P37" i="10"/>
  <c r="Q37" i="10" s="1"/>
  <c r="P102" i="10"/>
  <c r="Q102" i="10" s="1"/>
  <c r="P133" i="10"/>
  <c r="Q133" i="10" s="1"/>
  <c r="Q26" i="10"/>
  <c r="P38" i="10"/>
  <c r="Q38" i="10" s="1"/>
  <c r="Q239" i="10"/>
  <c r="Q242" i="10" s="1"/>
  <c r="Q9" i="10"/>
  <c r="Q39" i="10"/>
  <c r="P16" i="10"/>
  <c r="Q16" i="10" s="1"/>
  <c r="P61" i="10"/>
  <c r="Q61" i="10" s="1"/>
  <c r="Q77" i="10"/>
  <c r="Q32" i="10"/>
  <c r="O264" i="10"/>
  <c r="P129" i="10"/>
  <c r="Q129" i="10" s="1"/>
  <c r="P42" i="10"/>
  <c r="Q42" i="10" s="1"/>
  <c r="P130" i="10"/>
  <c r="Q130" i="10" s="1"/>
  <c r="P30" i="10"/>
  <c r="Q30" i="10" s="1"/>
  <c r="O152" i="10"/>
  <c r="P48" i="10"/>
  <c r="Q48" i="10" s="1"/>
  <c r="P56" i="10"/>
  <c r="Q56" i="10" s="1"/>
  <c r="P64" i="10"/>
  <c r="Q64" i="10" s="1"/>
  <c r="P72" i="10"/>
  <c r="Q72" i="10" s="1"/>
  <c r="P115" i="10"/>
  <c r="Q115" i="10" s="1"/>
  <c r="P144" i="10"/>
  <c r="P152" i="10" s="1"/>
  <c r="P165" i="10"/>
  <c r="Q165" i="10" s="1"/>
  <c r="D271" i="10"/>
  <c r="P13" i="10"/>
  <c r="Q13" i="10" s="1"/>
  <c r="P20" i="10"/>
  <c r="Q20" i="10" s="1"/>
  <c r="P49" i="10"/>
  <c r="Q49" i="10" s="1"/>
  <c r="P57" i="10"/>
  <c r="Q57" i="10" s="1"/>
  <c r="P65" i="10"/>
  <c r="Q65" i="10" s="1"/>
  <c r="P73" i="10"/>
  <c r="Q73" i="10" s="1"/>
  <c r="P80" i="10"/>
  <c r="Q80" i="10" s="1"/>
  <c r="G251" i="10"/>
  <c r="G271" i="10" s="1"/>
  <c r="O90" i="10"/>
  <c r="Q254" i="10"/>
  <c r="Q264" i="10" s="1"/>
  <c r="Q8" i="10"/>
  <c r="Q141" i="10"/>
  <c r="P28" i="10"/>
  <c r="Q28" i="10" s="1"/>
  <c r="P117" i="10"/>
  <c r="Q117" i="10" s="1"/>
  <c r="P96" i="10"/>
  <c r="Q96" i="10" s="1"/>
  <c r="P39" i="10"/>
  <c r="P50" i="10"/>
  <c r="Q50" i="10" s="1"/>
  <c r="P62" i="10"/>
  <c r="Q62" i="10" s="1"/>
  <c r="P70" i="10"/>
  <c r="Q70" i="10" s="1"/>
  <c r="P82" i="10"/>
  <c r="Q82" i="10" s="1"/>
  <c r="Q89" i="10"/>
  <c r="Q100" i="10"/>
  <c r="P127" i="10"/>
  <c r="Q127" i="10" s="1"/>
  <c r="P131" i="10"/>
  <c r="Q131" i="10" s="1"/>
  <c r="P135" i="10"/>
  <c r="Q135" i="10" s="1"/>
  <c r="Q142" i="10"/>
  <c r="Q146" i="10"/>
  <c r="Q150" i="10"/>
  <c r="P138" i="10"/>
  <c r="Q138" i="10" s="1"/>
  <c r="P113" i="10"/>
  <c r="Q113" i="10" s="1"/>
  <c r="P121" i="10"/>
  <c r="Q121" i="10" s="1"/>
  <c r="Q134" i="10"/>
  <c r="P158" i="10"/>
  <c r="O31" i="10"/>
  <c r="O251" i="10" s="1"/>
  <c r="P85" i="10"/>
  <c r="P104" i="10"/>
  <c r="Q104" i="10" s="1"/>
  <c r="P108" i="10"/>
  <c r="Q108" i="10" s="1"/>
  <c r="P18" i="10"/>
  <c r="Q18" i="10" s="1"/>
  <c r="Q10" i="10"/>
  <c r="Q14" i="10"/>
  <c r="Q22" i="10"/>
  <c r="P29" i="10"/>
  <c r="Q29" i="10" s="1"/>
  <c r="Q35" i="10"/>
  <c r="Q43" i="10"/>
  <c r="Q54" i="10"/>
  <c r="Q58" i="10"/>
  <c r="Q66" i="10"/>
  <c r="Q74" i="10"/>
  <c r="Q78" i="10"/>
  <c r="P114" i="10"/>
  <c r="Q114" i="10" s="1"/>
  <c r="P118" i="10"/>
  <c r="Q118" i="10" s="1"/>
  <c r="P122" i="10"/>
  <c r="Q122" i="10" s="1"/>
  <c r="P159" i="10"/>
  <c r="Q159" i="10" s="1"/>
  <c r="P164" i="10"/>
  <c r="Q164" i="10" s="1"/>
  <c r="P163" i="10"/>
  <c r="Q163" i="10" s="1"/>
  <c r="O83" i="6"/>
  <c r="H83" i="6"/>
  <c r="I83" i="6"/>
  <c r="G83" i="6"/>
  <c r="I24" i="6"/>
  <c r="H24" i="6"/>
  <c r="G24" i="6"/>
  <c r="P251" i="14" l="1"/>
  <c r="P271" i="14" s="1"/>
  <c r="Q251" i="14"/>
  <c r="Q271" i="14" s="1"/>
  <c r="Q126" i="10"/>
  <c r="P139" i="10"/>
  <c r="P90" i="10"/>
  <c r="Q106" i="10"/>
  <c r="Q85" i="10"/>
  <c r="O271" i="10"/>
  <c r="P31" i="10"/>
  <c r="Q31" i="10" s="1"/>
  <c r="Q144" i="10"/>
  <c r="P83" i="10"/>
  <c r="Q83" i="10" s="1"/>
  <c r="Q12" i="10"/>
  <c r="P45" i="10"/>
  <c r="Q90" i="10"/>
  <c r="Q152" i="10"/>
  <c r="P167" i="10"/>
  <c r="Q125" i="10"/>
  <c r="Q139" i="10" s="1"/>
  <c r="Q158" i="10"/>
  <c r="Q167" i="10" s="1"/>
  <c r="Q45" i="10"/>
  <c r="I280" i="6"/>
  <c r="G280" i="6"/>
  <c r="Q269" i="6"/>
  <c r="O269" i="6"/>
  <c r="I269" i="6"/>
  <c r="G269" i="6"/>
  <c r="I264" i="6"/>
  <c r="G264" i="6"/>
  <c r="Q261" i="6"/>
  <c r="O261" i="6"/>
  <c r="O260" i="6"/>
  <c r="Q260" i="6" s="1"/>
  <c r="O259" i="6"/>
  <c r="Q259" i="6" s="1"/>
  <c r="Q258" i="6"/>
  <c r="O258" i="6"/>
  <c r="Q257" i="6"/>
  <c r="O257" i="6"/>
  <c r="O256" i="6"/>
  <c r="Q256" i="6" s="1"/>
  <c r="O255" i="6"/>
  <c r="Q255" i="6" s="1"/>
  <c r="O254" i="6"/>
  <c r="P250" i="6"/>
  <c r="L250" i="6"/>
  <c r="I250" i="6"/>
  <c r="H250" i="6"/>
  <c r="G250" i="6"/>
  <c r="D250" i="6"/>
  <c r="Q247" i="6"/>
  <c r="O247" i="6" s="1"/>
  <c r="Q244" i="6"/>
  <c r="O244" i="6"/>
  <c r="P242" i="6"/>
  <c r="L242" i="6"/>
  <c r="D242" i="6"/>
  <c r="O241" i="6"/>
  <c r="Q241" i="6" s="1"/>
  <c r="O239" i="6"/>
  <c r="L237" i="6"/>
  <c r="D237" i="6"/>
  <c r="O233" i="6"/>
  <c r="Q233" i="6" s="1"/>
  <c r="O232" i="6"/>
  <c r="Q232" i="6" s="1"/>
  <c r="O231" i="6"/>
  <c r="Q231" i="6" s="1"/>
  <c r="O229" i="6"/>
  <c r="Q229" i="6" s="1"/>
  <c r="O227" i="6"/>
  <c r="Q227" i="6" s="1"/>
  <c r="O225" i="6"/>
  <c r="Q225" i="6" s="1"/>
  <c r="P223" i="6"/>
  <c r="L223" i="6"/>
  <c r="D223" i="6"/>
  <c r="O220" i="6"/>
  <c r="Q220" i="6" s="1"/>
  <c r="O219" i="6"/>
  <c r="Q219" i="6" s="1"/>
  <c r="O218" i="6"/>
  <c r="Q218" i="6" s="1"/>
  <c r="O217" i="6"/>
  <c r="Q217" i="6" s="1"/>
  <c r="O216" i="6"/>
  <c r="Q216" i="6" s="1"/>
  <c r="O215" i="6"/>
  <c r="Q215" i="6" s="1"/>
  <c r="O214" i="6"/>
  <c r="Q214" i="6" s="1"/>
  <c r="O213" i="6"/>
  <c r="Q213" i="6" s="1"/>
  <c r="O212" i="6"/>
  <c r="Q212" i="6" s="1"/>
  <c r="O211" i="6"/>
  <c r="Q211" i="6" s="1"/>
  <c r="O210" i="6"/>
  <c r="Q210" i="6" s="1"/>
  <c r="O209" i="6"/>
  <c r="Q209" i="6" s="1"/>
  <c r="O208" i="6"/>
  <c r="Q208" i="6" s="1"/>
  <c r="O207" i="6"/>
  <c r="Q207" i="6" s="1"/>
  <c r="O206" i="6"/>
  <c r="Q206" i="6" s="1"/>
  <c r="O205" i="6"/>
  <c r="Q205" i="6" s="1"/>
  <c r="O204" i="6"/>
  <c r="Q204" i="6" s="1"/>
  <c r="O203" i="6"/>
  <c r="Q203" i="6" s="1"/>
  <c r="O202" i="6"/>
  <c r="Q202" i="6" s="1"/>
  <c r="O201" i="6"/>
  <c r="Q201" i="6" s="1"/>
  <c r="O200" i="6"/>
  <c r="Q200" i="6" s="1"/>
  <c r="O199" i="6"/>
  <c r="Q199" i="6" s="1"/>
  <c r="O198" i="6"/>
  <c r="Q198" i="6" s="1"/>
  <c r="O197" i="6"/>
  <c r="Q197" i="6" s="1"/>
  <c r="O196" i="6"/>
  <c r="Q196" i="6" s="1"/>
  <c r="O195" i="6"/>
  <c r="Q195" i="6" s="1"/>
  <c r="O194" i="6"/>
  <c r="Q194" i="6" s="1"/>
  <c r="O193" i="6"/>
  <c r="Q193" i="6" s="1"/>
  <c r="O192" i="6"/>
  <c r="Q192" i="6" s="1"/>
  <c r="O191" i="6"/>
  <c r="Q191" i="6" s="1"/>
  <c r="O190" i="6"/>
  <c r="Q190" i="6" s="1"/>
  <c r="O189" i="6"/>
  <c r="Q189" i="6" s="1"/>
  <c r="O188" i="6"/>
  <c r="Q188" i="6" s="1"/>
  <c r="O187" i="6"/>
  <c r="Q187" i="6" s="1"/>
  <c r="O186" i="6"/>
  <c r="Q186" i="6" s="1"/>
  <c r="O185" i="6"/>
  <c r="Q185" i="6" s="1"/>
  <c r="O184" i="6"/>
  <c r="Q184" i="6" s="1"/>
  <c r="O183" i="6"/>
  <c r="Q183" i="6" s="1"/>
  <c r="O182" i="6"/>
  <c r="Q182" i="6" s="1"/>
  <c r="O181" i="6"/>
  <c r="Q181" i="6" s="1"/>
  <c r="O180" i="6"/>
  <c r="Q180" i="6" s="1"/>
  <c r="O179" i="6"/>
  <c r="Q179" i="6" s="1"/>
  <c r="O178" i="6"/>
  <c r="Q178" i="6" s="1"/>
  <c r="O177" i="6"/>
  <c r="Q177" i="6" s="1"/>
  <c r="O176" i="6"/>
  <c r="Q176" i="6" s="1"/>
  <c r="O175" i="6"/>
  <c r="Q175" i="6" s="1"/>
  <c r="O174" i="6"/>
  <c r="Q174" i="6" s="1"/>
  <c r="O173" i="6"/>
  <c r="Q173" i="6" s="1"/>
  <c r="O172" i="6"/>
  <c r="Q172" i="6" s="1"/>
  <c r="O171" i="6"/>
  <c r="Q171" i="6" s="1"/>
  <c r="O170" i="6"/>
  <c r="Q170" i="6" s="1"/>
  <c r="L167" i="6"/>
  <c r="I167" i="6"/>
  <c r="H167" i="6"/>
  <c r="G167" i="6"/>
  <c r="D167" i="6"/>
  <c r="O165" i="6"/>
  <c r="P165" i="6" s="1"/>
  <c r="O164" i="6"/>
  <c r="O163" i="6"/>
  <c r="O162" i="6"/>
  <c r="P162" i="6" s="1"/>
  <c r="Q162" i="6" s="1"/>
  <c r="O160" i="6"/>
  <c r="P160" i="6" s="1"/>
  <c r="O159" i="6"/>
  <c r="O158" i="6"/>
  <c r="P156" i="6"/>
  <c r="L156" i="6"/>
  <c r="I156" i="6"/>
  <c r="G156" i="6"/>
  <c r="D156" i="6"/>
  <c r="Q154" i="6"/>
  <c r="Q156" i="6" s="1"/>
  <c r="O154" i="6"/>
  <c r="O156" i="6" s="1"/>
  <c r="L152" i="6"/>
  <c r="I152" i="6"/>
  <c r="H152" i="6"/>
  <c r="G152" i="6"/>
  <c r="D152" i="6"/>
  <c r="Q151" i="6"/>
  <c r="P151" i="6"/>
  <c r="O151" i="6"/>
  <c r="Q150" i="6"/>
  <c r="O150" i="6"/>
  <c r="P150" i="6" s="1"/>
  <c r="O149" i="6"/>
  <c r="P149" i="6" s="1"/>
  <c r="O148" i="6"/>
  <c r="P148" i="6" s="1"/>
  <c r="Q147" i="6"/>
  <c r="P147" i="6"/>
  <c r="O147" i="6"/>
  <c r="O146" i="6"/>
  <c r="P146" i="6" s="1"/>
  <c r="Q146" i="6" s="1"/>
  <c r="P145" i="6"/>
  <c r="O145" i="6"/>
  <c r="O144" i="6"/>
  <c r="Q143" i="6"/>
  <c r="P143" i="6"/>
  <c r="O143" i="6"/>
  <c r="O142" i="6"/>
  <c r="P142" i="6" s="1"/>
  <c r="Q142" i="6" s="1"/>
  <c r="O141" i="6"/>
  <c r="L139" i="6"/>
  <c r="I139" i="6"/>
  <c r="H139" i="6"/>
  <c r="G139" i="6"/>
  <c r="D139" i="6"/>
  <c r="O138" i="6"/>
  <c r="O137" i="6"/>
  <c r="O136" i="6"/>
  <c r="O135" i="6"/>
  <c r="P135" i="6" s="1"/>
  <c r="Q135" i="6" s="1"/>
  <c r="O134" i="6"/>
  <c r="O133" i="6"/>
  <c r="O132" i="6"/>
  <c r="O131" i="6"/>
  <c r="P131" i="6" s="1"/>
  <c r="Q131" i="6" s="1"/>
  <c r="O130" i="6"/>
  <c r="O129" i="6"/>
  <c r="O128" i="6"/>
  <c r="P128" i="6" s="1"/>
  <c r="O127" i="6"/>
  <c r="P127" i="6" s="1"/>
  <c r="Q127" i="6" s="1"/>
  <c r="O126" i="6"/>
  <c r="O125" i="6"/>
  <c r="P125" i="6" s="1"/>
  <c r="Q125" i="6" s="1"/>
  <c r="L123" i="6"/>
  <c r="D123" i="6"/>
  <c r="O122" i="6"/>
  <c r="P122" i="6" s="1"/>
  <c r="O121" i="6"/>
  <c r="O120" i="6"/>
  <c r="P120" i="6" s="1"/>
  <c r="O119" i="6"/>
  <c r="P119" i="6" s="1"/>
  <c r="Q119" i="6" s="1"/>
  <c r="O118" i="6"/>
  <c r="P118" i="6" s="1"/>
  <c r="O117" i="6"/>
  <c r="O116" i="6"/>
  <c r="P116" i="6" s="1"/>
  <c r="O115" i="6"/>
  <c r="O114" i="6"/>
  <c r="P114" i="6" s="1"/>
  <c r="O113" i="6"/>
  <c r="O112" i="6"/>
  <c r="P112" i="6" s="1"/>
  <c r="O111" i="6"/>
  <c r="L109" i="6"/>
  <c r="D109" i="6"/>
  <c r="O108" i="6"/>
  <c r="P108" i="6" s="1"/>
  <c r="Q108" i="6" s="1"/>
  <c r="O107" i="6"/>
  <c r="P107" i="6" s="1"/>
  <c r="O106" i="6"/>
  <c r="P106" i="6" s="1"/>
  <c r="O105" i="6"/>
  <c r="P105" i="6" s="1"/>
  <c r="Q105" i="6" s="1"/>
  <c r="O104" i="6"/>
  <c r="P104" i="6" s="1"/>
  <c r="Q104" i="6" s="1"/>
  <c r="O103" i="6"/>
  <c r="O102" i="6"/>
  <c r="P102" i="6" s="1"/>
  <c r="O101" i="6"/>
  <c r="P101" i="6" s="1"/>
  <c r="Q101" i="6" s="1"/>
  <c r="O100" i="6"/>
  <c r="P100" i="6" s="1"/>
  <c r="Q100" i="6" s="1"/>
  <c r="O99" i="6"/>
  <c r="O98" i="6"/>
  <c r="P98" i="6" s="1"/>
  <c r="Q98" i="6" s="1"/>
  <c r="O97" i="6"/>
  <c r="P97" i="6" s="1"/>
  <c r="Q97" i="6" s="1"/>
  <c r="O96" i="6"/>
  <c r="P96" i="6" s="1"/>
  <c r="Q96" i="6" s="1"/>
  <c r="L93" i="6"/>
  <c r="L90" i="6"/>
  <c r="I90" i="6"/>
  <c r="H90" i="6"/>
  <c r="G90" i="6"/>
  <c r="D90" i="6"/>
  <c r="O89" i="6"/>
  <c r="P89" i="6" s="1"/>
  <c r="Q89" i="6" s="1"/>
  <c r="O88" i="6"/>
  <c r="O87" i="6"/>
  <c r="O86" i="6"/>
  <c r="P86" i="6" s="1"/>
  <c r="Q86" i="6" s="1"/>
  <c r="O85" i="6"/>
  <c r="P85" i="6" s="1"/>
  <c r="Q85" i="6" s="1"/>
  <c r="L83" i="6"/>
  <c r="D83" i="6"/>
  <c r="O82" i="6"/>
  <c r="P82" i="6" s="1"/>
  <c r="Q82" i="6" s="1"/>
  <c r="O81" i="6"/>
  <c r="O80" i="6"/>
  <c r="O79" i="6"/>
  <c r="O78" i="6"/>
  <c r="P78" i="6" s="1"/>
  <c r="Q78" i="6" s="1"/>
  <c r="O77" i="6"/>
  <c r="P77" i="6" s="1"/>
  <c r="O76" i="6"/>
  <c r="O75" i="6"/>
  <c r="O74" i="6"/>
  <c r="P74" i="6" s="1"/>
  <c r="Q74" i="6" s="1"/>
  <c r="O73" i="6"/>
  <c r="P73" i="6" s="1"/>
  <c r="O72" i="6"/>
  <c r="O71" i="6"/>
  <c r="O70" i="6"/>
  <c r="P70" i="6" s="1"/>
  <c r="Q70" i="6" s="1"/>
  <c r="O69" i="6"/>
  <c r="O68" i="6"/>
  <c r="P68" i="6" s="1"/>
  <c r="Q68" i="6" s="1"/>
  <c r="O67" i="6"/>
  <c r="O66" i="6"/>
  <c r="P66" i="6" s="1"/>
  <c r="Q66" i="6" s="1"/>
  <c r="O65" i="6"/>
  <c r="O64" i="6"/>
  <c r="P64" i="6" s="1"/>
  <c r="Q64" i="6" s="1"/>
  <c r="O63" i="6"/>
  <c r="O62" i="6"/>
  <c r="P62" i="6" s="1"/>
  <c r="Q62" i="6" s="1"/>
  <c r="O61" i="6"/>
  <c r="O60" i="6"/>
  <c r="O59" i="6"/>
  <c r="O58" i="6"/>
  <c r="P58" i="6" s="1"/>
  <c r="Q58" i="6" s="1"/>
  <c r="O57" i="6"/>
  <c r="O56" i="6"/>
  <c r="O55" i="6"/>
  <c r="O54" i="6"/>
  <c r="P54" i="6" s="1"/>
  <c r="Q54" i="6" s="1"/>
  <c r="O53" i="6"/>
  <c r="O52" i="6"/>
  <c r="P52" i="6" s="1"/>
  <c r="O51" i="6"/>
  <c r="P51" i="6" s="1"/>
  <c r="Q51" i="6" s="1"/>
  <c r="O50" i="6"/>
  <c r="P50" i="6" s="1"/>
  <c r="Q50" i="6" s="1"/>
  <c r="O49" i="6"/>
  <c r="O48" i="6"/>
  <c r="O47" i="6"/>
  <c r="P47" i="6" s="1"/>
  <c r="L45" i="6"/>
  <c r="K45" i="6"/>
  <c r="I45" i="6"/>
  <c r="H45" i="6"/>
  <c r="G45" i="6"/>
  <c r="D45" i="6"/>
  <c r="O44" i="6"/>
  <c r="Q43" i="6"/>
  <c r="P43" i="6"/>
  <c r="O43" i="6"/>
  <c r="O42" i="6"/>
  <c r="P42" i="6" s="1"/>
  <c r="O41" i="6"/>
  <c r="O40" i="6"/>
  <c r="P39" i="6"/>
  <c r="Q39" i="6" s="1"/>
  <c r="O39" i="6"/>
  <c r="O38" i="6"/>
  <c r="O37" i="6"/>
  <c r="P37" i="6" s="1"/>
  <c r="O36" i="6"/>
  <c r="P35" i="6"/>
  <c r="Q35" i="6" s="1"/>
  <c r="O35" i="6"/>
  <c r="P34" i="6"/>
  <c r="O34" i="6"/>
  <c r="O33" i="6"/>
  <c r="O32" i="6"/>
  <c r="P32" i="6" s="1"/>
  <c r="L31" i="6"/>
  <c r="I31" i="6"/>
  <c r="H31" i="6"/>
  <c r="G31" i="6"/>
  <c r="D31" i="6"/>
  <c r="O30" i="6"/>
  <c r="P30" i="6" s="1"/>
  <c r="O29" i="6"/>
  <c r="O28" i="6"/>
  <c r="L27" i="6"/>
  <c r="D27" i="6"/>
  <c r="O26" i="6"/>
  <c r="O25" i="6"/>
  <c r="L24" i="6"/>
  <c r="D24" i="6"/>
  <c r="O23" i="6"/>
  <c r="O22" i="6"/>
  <c r="O21" i="6"/>
  <c r="P21" i="6" s="1"/>
  <c r="Q21" i="6" s="1"/>
  <c r="O20" i="6"/>
  <c r="O19" i="6"/>
  <c r="O18" i="6"/>
  <c r="P18" i="6" s="1"/>
  <c r="O17" i="6"/>
  <c r="P17" i="6" s="1"/>
  <c r="Q17" i="6" s="1"/>
  <c r="O16" i="6"/>
  <c r="O15" i="6"/>
  <c r="O14" i="6"/>
  <c r="P14" i="6" s="1"/>
  <c r="Q14" i="6" s="1"/>
  <c r="O13" i="6"/>
  <c r="P13" i="6" s="1"/>
  <c r="Q13" i="6" s="1"/>
  <c r="O12" i="6"/>
  <c r="O11" i="6"/>
  <c r="P11" i="6" s="1"/>
  <c r="O10" i="6"/>
  <c r="P10" i="6" s="1"/>
  <c r="O9" i="6"/>
  <c r="P9" i="6" s="1"/>
  <c r="Q9" i="6" s="1"/>
  <c r="P8" i="6"/>
  <c r="F22" i="5"/>
  <c r="Q78" i="4"/>
  <c r="P70" i="4"/>
  <c r="P64" i="4"/>
  <c r="P48" i="4"/>
  <c r="P43" i="4"/>
  <c r="P39" i="4"/>
  <c r="P15" i="4"/>
  <c r="P10" i="4"/>
  <c r="H185" i="3"/>
  <c r="H182" i="3"/>
  <c r="H174" i="3"/>
  <c r="H135" i="3"/>
  <c r="H114" i="3"/>
  <c r="H102" i="3"/>
  <c r="F102" i="3"/>
  <c r="H79" i="3"/>
  <c r="H76" i="3"/>
  <c r="H69" i="3"/>
  <c r="H24" i="3"/>
  <c r="H22" i="3"/>
  <c r="H19" i="3"/>
  <c r="I186" i="3" s="1"/>
  <c r="P223" i="2"/>
  <c r="Q223" i="2"/>
  <c r="O223" i="2"/>
  <c r="O167" i="2"/>
  <c r="H167" i="2"/>
  <c r="I167" i="2"/>
  <c r="G167" i="2"/>
  <c r="P139" i="2"/>
  <c r="Q139" i="2"/>
  <c r="O139" i="2"/>
  <c r="O83" i="2"/>
  <c r="H83" i="2"/>
  <c r="I83" i="2"/>
  <c r="G83" i="2"/>
  <c r="D83" i="2"/>
  <c r="P24" i="2"/>
  <c r="Q24" i="2"/>
  <c r="O24" i="2"/>
  <c r="L24" i="2"/>
  <c r="Q251" i="10" l="1"/>
  <c r="Q271" i="10" s="1"/>
  <c r="P251" i="10"/>
  <c r="P271" i="10" s="1"/>
  <c r="O242" i="6"/>
  <c r="P136" i="6"/>
  <c r="Q136" i="6" s="1"/>
  <c r="Q102" i="6"/>
  <c r="P55" i="6"/>
  <c r="Q55" i="6" s="1"/>
  <c r="P83" i="6"/>
  <c r="Q83" i="6" s="1"/>
  <c r="H251" i="6"/>
  <c r="H271" i="6" s="1"/>
  <c r="I251" i="6"/>
  <c r="I271" i="6" s="1"/>
  <c r="Q18" i="6"/>
  <c r="P132" i="6"/>
  <c r="Q132" i="6"/>
  <c r="P56" i="6"/>
  <c r="Q56" i="6" s="1"/>
  <c r="P103" i="6"/>
  <c r="Q103" i="6" s="1"/>
  <c r="O31" i="6"/>
  <c r="P28" i="6"/>
  <c r="Q28" i="6" s="1"/>
  <c r="Q239" i="6"/>
  <c r="Q242" i="6" s="1"/>
  <c r="Q114" i="6"/>
  <c r="P44" i="6"/>
  <c r="Q44" i="6" s="1"/>
  <c r="P87" i="6"/>
  <c r="O90" i="6"/>
  <c r="D271" i="6"/>
  <c r="O152" i="6"/>
  <c r="P141" i="6"/>
  <c r="P152" i="6" s="1"/>
  <c r="P15" i="6"/>
  <c r="Q15" i="6" s="1"/>
  <c r="P137" i="6"/>
  <c r="Q137" i="6" s="1"/>
  <c r="P19" i="6"/>
  <c r="Q19" i="6" s="1"/>
  <c r="Q36" i="6"/>
  <c r="Q73" i="6"/>
  <c r="P126" i="6"/>
  <c r="O223" i="6"/>
  <c r="P23" i="6"/>
  <c r="Q23" i="6" s="1"/>
  <c r="Q223" i="6"/>
  <c r="O24" i="6"/>
  <c r="P60" i="6"/>
  <c r="Q60" i="6" s="1"/>
  <c r="Q10" i="6"/>
  <c r="Q41" i="6"/>
  <c r="Q47" i="6"/>
  <c r="P69" i="6"/>
  <c r="Q69" i="6" s="1"/>
  <c r="Q111" i="6"/>
  <c r="Q144" i="6"/>
  <c r="P99" i="6"/>
  <c r="Q99" i="6" s="1"/>
  <c r="P115" i="6"/>
  <c r="Q115" i="6" s="1"/>
  <c r="P29" i="6"/>
  <c r="Q29" i="6" s="1"/>
  <c r="P36" i="6"/>
  <c r="P48" i="6"/>
  <c r="Q48" i="6" s="1"/>
  <c r="Q52" i="6"/>
  <c r="Q120" i="6"/>
  <c r="P138" i="6"/>
  <c r="Q138" i="6" s="1"/>
  <c r="P75" i="6"/>
  <c r="Q75" i="6" s="1"/>
  <c r="P111" i="6"/>
  <c r="Q128" i="6"/>
  <c r="Q165" i="6"/>
  <c r="P25" i="6"/>
  <c r="Q25" i="6" s="1"/>
  <c r="P71" i="6"/>
  <c r="Q71" i="6" s="1"/>
  <c r="O264" i="6"/>
  <c r="Q30" i="6"/>
  <c r="Q37" i="6"/>
  <c r="P67" i="6"/>
  <c r="Q67" i="6" s="1"/>
  <c r="P76" i="6"/>
  <c r="Q76" i="6" s="1"/>
  <c r="P129" i="6"/>
  <c r="Q129" i="6" s="1"/>
  <c r="Q148" i="6"/>
  <c r="Q254" i="6"/>
  <c r="Q264" i="6" s="1"/>
  <c r="L251" i="6"/>
  <c r="L271" i="6" s="1"/>
  <c r="P65" i="6"/>
  <c r="Q65" i="6" s="1"/>
  <c r="P79" i="6"/>
  <c r="Q79" i="6" s="1"/>
  <c r="O45" i="6"/>
  <c r="P61" i="6"/>
  <c r="Q61" i="6" s="1"/>
  <c r="Q11" i="6"/>
  <c r="P20" i="6"/>
  <c r="P88" i="6"/>
  <c r="Q88" i="6" s="1"/>
  <c r="P133" i="6"/>
  <c r="Q133" i="6" s="1"/>
  <c r="Q32" i="6"/>
  <c r="O167" i="6"/>
  <c r="P12" i="6"/>
  <c r="Q12" i="6" s="1"/>
  <c r="Q116" i="6"/>
  <c r="P134" i="6"/>
  <c r="Q134" i="6" s="1"/>
  <c r="P33" i="6"/>
  <c r="P45" i="6" s="1"/>
  <c r="P63" i="6"/>
  <c r="Q63" i="6" s="1"/>
  <c r="P144" i="6"/>
  <c r="P22" i="6"/>
  <c r="Q22" i="6" s="1"/>
  <c r="P26" i="6"/>
  <c r="Q26" i="6" s="1"/>
  <c r="Q34" i="6"/>
  <c r="P38" i="6"/>
  <c r="Q38" i="6" s="1"/>
  <c r="P59" i="6"/>
  <c r="Q59" i="6" s="1"/>
  <c r="P72" i="6"/>
  <c r="Q72" i="6" s="1"/>
  <c r="Q77" i="6"/>
  <c r="Q106" i="6"/>
  <c r="Q112" i="6"/>
  <c r="Q118" i="6"/>
  <c r="P130" i="6"/>
  <c r="Q130" i="6" s="1"/>
  <c r="O139" i="6"/>
  <c r="Q160" i="6"/>
  <c r="P40" i="6"/>
  <c r="Q40" i="6" s="1"/>
  <c r="P164" i="6"/>
  <c r="Q164" i="6" s="1"/>
  <c r="P57" i="6"/>
  <c r="Q57" i="6" s="1"/>
  <c r="P16" i="6"/>
  <c r="Q16" i="6" s="1"/>
  <c r="P41" i="6"/>
  <c r="P53" i="6"/>
  <c r="Q53" i="6" s="1"/>
  <c r="P80" i="6"/>
  <c r="Q80" i="6" s="1"/>
  <c r="P49" i="6"/>
  <c r="Q49" i="6" s="1"/>
  <c r="Q122" i="6"/>
  <c r="P159" i="6"/>
  <c r="Q159" i="6" s="1"/>
  <c r="Q8" i="6"/>
  <c r="Q42" i="6"/>
  <c r="P81" i="6"/>
  <c r="Q81" i="6" s="1"/>
  <c r="Q149" i="6"/>
  <c r="Q107" i="6"/>
  <c r="Q145" i="6"/>
  <c r="G251" i="6"/>
  <c r="G271" i="6" s="1"/>
  <c r="P113" i="6"/>
  <c r="Q113" i="6" s="1"/>
  <c r="P117" i="6"/>
  <c r="Q117" i="6" s="1"/>
  <c r="P121" i="6"/>
  <c r="Q121" i="6" s="1"/>
  <c r="P158" i="6"/>
  <c r="P163" i="6"/>
  <c r="Q163" i="6" s="1"/>
  <c r="P8" i="2"/>
  <c r="Q8" i="2" s="1"/>
  <c r="O9" i="2"/>
  <c r="P9" i="2" s="1"/>
  <c r="Q9" i="2" s="1"/>
  <c r="O10" i="2"/>
  <c r="P10" i="2"/>
  <c r="O11" i="2"/>
  <c r="P11" i="2" s="1"/>
  <c r="O12" i="2"/>
  <c r="P12" i="2"/>
  <c r="Q12" i="2" s="1"/>
  <c r="O13" i="2"/>
  <c r="O14" i="2"/>
  <c r="P14" i="2" s="1"/>
  <c r="O15" i="2"/>
  <c r="P15" i="2" s="1"/>
  <c r="Q15" i="2" s="1"/>
  <c r="O16" i="2"/>
  <c r="P16" i="2" s="1"/>
  <c r="Q16" i="2" s="1"/>
  <c r="O17" i="2"/>
  <c r="O18" i="2"/>
  <c r="P18" i="2" s="1"/>
  <c r="O19" i="2"/>
  <c r="P19" i="2" s="1"/>
  <c r="Q19" i="2" s="1"/>
  <c r="O20" i="2"/>
  <c r="P20" i="2" s="1"/>
  <c r="Q20" i="2" s="1"/>
  <c r="O21" i="2"/>
  <c r="O22" i="2"/>
  <c r="P22" i="2" s="1"/>
  <c r="O23" i="2"/>
  <c r="P23" i="2" s="1"/>
  <c r="Q23" i="2" s="1"/>
  <c r="D24" i="2"/>
  <c r="O25" i="2"/>
  <c r="P25" i="2" s="1"/>
  <c r="Q25" i="2" s="1"/>
  <c r="O26" i="2"/>
  <c r="P26" i="2" s="1"/>
  <c r="Q26" i="2" s="1"/>
  <c r="D27" i="2"/>
  <c r="L27" i="2"/>
  <c r="O28" i="2"/>
  <c r="P28" i="2" s="1"/>
  <c r="Q28" i="2" s="1"/>
  <c r="O29" i="2"/>
  <c r="P29" i="2" s="1"/>
  <c r="Q29" i="2" s="1"/>
  <c r="O30" i="2"/>
  <c r="D31" i="2"/>
  <c r="G31" i="2"/>
  <c r="H31" i="2"/>
  <c r="I31" i="2"/>
  <c r="L31" i="2"/>
  <c r="O32" i="2"/>
  <c r="O33" i="2"/>
  <c r="Q33" i="2" s="1"/>
  <c r="P33" i="2"/>
  <c r="O34" i="2"/>
  <c r="P34" i="2" s="1"/>
  <c r="Q34" i="2" s="1"/>
  <c r="O35" i="2"/>
  <c r="Q35" i="2" s="1"/>
  <c r="P35" i="2"/>
  <c r="O36" i="2"/>
  <c r="O37" i="2"/>
  <c r="P37" i="2"/>
  <c r="Q37" i="2" s="1"/>
  <c r="O38" i="2"/>
  <c r="P38" i="2" s="1"/>
  <c r="Q38" i="2" s="1"/>
  <c r="O39" i="2"/>
  <c r="Q39" i="2" s="1"/>
  <c r="P39" i="2"/>
  <c r="O40" i="2"/>
  <c r="O41" i="2"/>
  <c r="Q41" i="2" s="1"/>
  <c r="P41" i="2"/>
  <c r="O42" i="2"/>
  <c r="P42" i="2" s="1"/>
  <c r="Q42" i="2" s="1"/>
  <c r="O43" i="2"/>
  <c r="Q43" i="2" s="1"/>
  <c r="P43" i="2"/>
  <c r="O44" i="2"/>
  <c r="D45" i="2"/>
  <c r="G45" i="2"/>
  <c r="H45" i="2"/>
  <c r="I45" i="2"/>
  <c r="K45" i="2"/>
  <c r="L45" i="2"/>
  <c r="O47" i="2"/>
  <c r="O48" i="2"/>
  <c r="P48" i="2" s="1"/>
  <c r="O49" i="2"/>
  <c r="P49" i="2" s="1"/>
  <c r="Q49" i="2" s="1"/>
  <c r="O50" i="2"/>
  <c r="P50" i="2" s="1"/>
  <c r="O51" i="2"/>
  <c r="O52" i="2"/>
  <c r="O53" i="2"/>
  <c r="P53" i="2" s="1"/>
  <c r="Q53" i="2" s="1"/>
  <c r="O54" i="2"/>
  <c r="P54" i="2" s="1"/>
  <c r="Q54" i="2" s="1"/>
  <c r="O55" i="2"/>
  <c r="O56" i="2"/>
  <c r="P56" i="2" s="1"/>
  <c r="O57" i="2"/>
  <c r="P57" i="2" s="1"/>
  <c r="Q57" i="2" s="1"/>
  <c r="O58" i="2"/>
  <c r="P58" i="2" s="1"/>
  <c r="Q58" i="2" s="1"/>
  <c r="O59" i="2"/>
  <c r="O60" i="2"/>
  <c r="P60" i="2" s="1"/>
  <c r="O61" i="2"/>
  <c r="P61" i="2" s="1"/>
  <c r="Q61" i="2" s="1"/>
  <c r="O62" i="2"/>
  <c r="P62" i="2" s="1"/>
  <c r="Q62" i="2" s="1"/>
  <c r="O63" i="2"/>
  <c r="O64" i="2"/>
  <c r="P64" i="2" s="1"/>
  <c r="O65" i="2"/>
  <c r="P65" i="2" s="1"/>
  <c r="Q65" i="2" s="1"/>
  <c r="O66" i="2"/>
  <c r="P66" i="2" s="1"/>
  <c r="O67" i="2"/>
  <c r="O68" i="2"/>
  <c r="P68" i="2" s="1"/>
  <c r="O69" i="2"/>
  <c r="P69" i="2" s="1"/>
  <c r="Q69" i="2" s="1"/>
  <c r="O70" i="2"/>
  <c r="P70" i="2" s="1"/>
  <c r="Q70" i="2" s="1"/>
  <c r="O71" i="2"/>
  <c r="O72" i="2"/>
  <c r="P72" i="2" s="1"/>
  <c r="O73" i="2"/>
  <c r="P73" i="2" s="1"/>
  <c r="Q73" i="2" s="1"/>
  <c r="O74" i="2"/>
  <c r="P74" i="2" s="1"/>
  <c r="Q74" i="2" s="1"/>
  <c r="O75" i="2"/>
  <c r="O76" i="2"/>
  <c r="P76" i="2" s="1"/>
  <c r="O77" i="2"/>
  <c r="P77" i="2" s="1"/>
  <c r="Q77" i="2" s="1"/>
  <c r="O78" i="2"/>
  <c r="P78" i="2" s="1"/>
  <c r="O79" i="2"/>
  <c r="O80" i="2"/>
  <c r="P80" i="2" s="1"/>
  <c r="O81" i="2"/>
  <c r="P81" i="2" s="1"/>
  <c r="Q81" i="2" s="1"/>
  <c r="O82" i="2"/>
  <c r="P82" i="2" s="1"/>
  <c r="L83" i="2"/>
  <c r="O85" i="2"/>
  <c r="P85" i="2" s="1"/>
  <c r="O86" i="2"/>
  <c r="O87" i="2"/>
  <c r="P87" i="2" s="1"/>
  <c r="O88" i="2"/>
  <c r="P88" i="2" s="1"/>
  <c r="Q88" i="2" s="1"/>
  <c r="O89" i="2"/>
  <c r="P89" i="2" s="1"/>
  <c r="Q89" i="2" s="1"/>
  <c r="D90" i="2"/>
  <c r="G90" i="2"/>
  <c r="H90" i="2"/>
  <c r="I90" i="2"/>
  <c r="L90" i="2"/>
  <c r="L93" i="2"/>
  <c r="O96" i="2"/>
  <c r="P96" i="2" s="1"/>
  <c r="Q96" i="2" s="1"/>
  <c r="O97" i="2"/>
  <c r="O98" i="2"/>
  <c r="P98" i="2" s="1"/>
  <c r="O99" i="2"/>
  <c r="P99" i="2"/>
  <c r="Q99" i="2" s="1"/>
  <c r="O100" i="2"/>
  <c r="P100" i="2"/>
  <c r="O101" i="2"/>
  <c r="O102" i="2"/>
  <c r="P102" i="2" s="1"/>
  <c r="O103" i="2"/>
  <c r="P103" i="2" s="1"/>
  <c r="Q103" i="2" s="1"/>
  <c r="O104" i="2"/>
  <c r="P104" i="2" s="1"/>
  <c r="Q104" i="2" s="1"/>
  <c r="O105" i="2"/>
  <c r="O106" i="2"/>
  <c r="P106" i="2" s="1"/>
  <c r="O107" i="2"/>
  <c r="P107" i="2" s="1"/>
  <c r="Q107" i="2" s="1"/>
  <c r="O108" i="2"/>
  <c r="P108" i="2" s="1"/>
  <c r="Q108" i="2" s="1"/>
  <c r="D109" i="2"/>
  <c r="L109" i="2"/>
  <c r="O111" i="2"/>
  <c r="P111" i="2"/>
  <c r="Q111" i="2"/>
  <c r="O112" i="2"/>
  <c r="P112" i="2" s="1"/>
  <c r="O113" i="2"/>
  <c r="O114" i="2"/>
  <c r="P114" i="2"/>
  <c r="O115" i="2"/>
  <c r="P115" i="2" s="1"/>
  <c r="Q115" i="2" s="1"/>
  <c r="O116" i="2"/>
  <c r="P116" i="2" s="1"/>
  <c r="O117" i="2"/>
  <c r="O118" i="2"/>
  <c r="P118" i="2" s="1"/>
  <c r="O119" i="2"/>
  <c r="P119" i="2" s="1"/>
  <c r="O120" i="2"/>
  <c r="P120" i="2"/>
  <c r="Q120" i="2" s="1"/>
  <c r="O121" i="2"/>
  <c r="P121" i="2" s="1"/>
  <c r="Q121" i="2" s="1"/>
  <c r="O122" i="2"/>
  <c r="P122" i="2" s="1"/>
  <c r="D123" i="2"/>
  <c r="L123" i="2"/>
  <c r="O125" i="2"/>
  <c r="P125" i="2" s="1"/>
  <c r="O126" i="2"/>
  <c r="P126" i="2" s="1"/>
  <c r="O127" i="2"/>
  <c r="P127" i="2" s="1"/>
  <c r="O128" i="2"/>
  <c r="P128" i="2" s="1"/>
  <c r="O129" i="2"/>
  <c r="P129" i="2" s="1"/>
  <c r="Q129" i="2" s="1"/>
  <c r="O130" i="2"/>
  <c r="P130" i="2" s="1"/>
  <c r="O131" i="2"/>
  <c r="P131" i="2" s="1"/>
  <c r="O132" i="2"/>
  <c r="P132" i="2" s="1"/>
  <c r="Q132" i="2" s="1"/>
  <c r="O133" i="2"/>
  <c r="O134" i="2"/>
  <c r="P134" i="2" s="1"/>
  <c r="O135" i="2"/>
  <c r="P135" i="2"/>
  <c r="Q135" i="2" s="1"/>
  <c r="O136" i="2"/>
  <c r="P136" i="2" s="1"/>
  <c r="Q136" i="2" s="1"/>
  <c r="O137" i="2"/>
  <c r="O138" i="2"/>
  <c r="P138" i="2" s="1"/>
  <c r="D139" i="2"/>
  <c r="G139" i="2"/>
  <c r="H139" i="2"/>
  <c r="I139" i="2"/>
  <c r="L139" i="2"/>
  <c r="O141" i="2"/>
  <c r="P141" i="2"/>
  <c r="Q141" i="2" s="1"/>
  <c r="O142" i="2"/>
  <c r="P142" i="2" s="1"/>
  <c r="O143" i="2"/>
  <c r="O144" i="2"/>
  <c r="P144" i="2" s="1"/>
  <c r="O145" i="2"/>
  <c r="P145" i="2"/>
  <c r="Q145" i="2" s="1"/>
  <c r="O146" i="2"/>
  <c r="P146" i="2" s="1"/>
  <c r="Q146" i="2" s="1"/>
  <c r="O147" i="2"/>
  <c r="O148" i="2"/>
  <c r="P148" i="2" s="1"/>
  <c r="O149" i="2"/>
  <c r="P149" i="2"/>
  <c r="Q149" i="2" s="1"/>
  <c r="O150" i="2"/>
  <c r="P150" i="2" s="1"/>
  <c r="Q150" i="2" s="1"/>
  <c r="O151" i="2"/>
  <c r="D152" i="2"/>
  <c r="G152" i="2"/>
  <c r="H152" i="2"/>
  <c r="I152" i="2"/>
  <c r="L152" i="2"/>
  <c r="O152" i="2"/>
  <c r="O154" i="2"/>
  <c r="O156" i="2" s="1"/>
  <c r="Q154" i="2"/>
  <c r="Q156" i="2" s="1"/>
  <c r="D156" i="2"/>
  <c r="G156" i="2"/>
  <c r="I156" i="2"/>
  <c r="L156" i="2"/>
  <c r="P156" i="2"/>
  <c r="O158" i="2"/>
  <c r="O159" i="2"/>
  <c r="P159" i="2" s="1"/>
  <c r="O160" i="2"/>
  <c r="P160" i="2" s="1"/>
  <c r="Q160" i="2" s="1"/>
  <c r="O162" i="2"/>
  <c r="P162" i="2" s="1"/>
  <c r="Q162" i="2" s="1"/>
  <c r="O163" i="2"/>
  <c r="P163" i="2" s="1"/>
  <c r="Q163" i="2" s="1"/>
  <c r="O164" i="2"/>
  <c r="O165" i="2"/>
  <c r="P165" i="2" s="1"/>
  <c r="D167" i="2"/>
  <c r="L167" i="2"/>
  <c r="O170" i="2"/>
  <c r="Q170" i="2" s="1"/>
  <c r="O171" i="2"/>
  <c r="O172" i="2"/>
  <c r="Q172" i="2"/>
  <c r="O173" i="2"/>
  <c r="Q173" i="2" s="1"/>
  <c r="O174" i="2"/>
  <c r="Q174" i="2" s="1"/>
  <c r="O175" i="2"/>
  <c r="O176" i="2"/>
  <c r="O177" i="2"/>
  <c r="Q177" i="2" s="1"/>
  <c r="O178" i="2"/>
  <c r="Q178" i="2" s="1"/>
  <c r="O179" i="2"/>
  <c r="O180" i="2"/>
  <c r="Q180" i="2"/>
  <c r="O181" i="2"/>
  <c r="Q181" i="2" s="1"/>
  <c r="O182" i="2"/>
  <c r="Q182" i="2" s="1"/>
  <c r="O183" i="2"/>
  <c r="O184" i="2"/>
  <c r="Q184" i="2" s="1"/>
  <c r="O185" i="2"/>
  <c r="Q185" i="2" s="1"/>
  <c r="O186" i="2"/>
  <c r="O187" i="2"/>
  <c r="O188" i="2"/>
  <c r="O189" i="2"/>
  <c r="O190" i="2"/>
  <c r="O191" i="2"/>
  <c r="Q191" i="2" s="1"/>
  <c r="O192" i="2"/>
  <c r="Q192" i="2" s="1"/>
  <c r="O193" i="2"/>
  <c r="Q193" i="2" s="1"/>
  <c r="O194" i="2"/>
  <c r="O195" i="2"/>
  <c r="Q195" i="2" s="1"/>
  <c r="O196" i="2"/>
  <c r="Q196" i="2" s="1"/>
  <c r="O197" i="2"/>
  <c r="Q197" i="2"/>
  <c r="O198" i="2"/>
  <c r="O199" i="2"/>
  <c r="Q199" i="2"/>
  <c r="O200" i="2"/>
  <c r="Q200" i="2" s="1"/>
  <c r="O201" i="2"/>
  <c r="Q201" i="2"/>
  <c r="O202" i="2"/>
  <c r="O203" i="2"/>
  <c r="Q203" i="2"/>
  <c r="O204" i="2"/>
  <c r="Q204" i="2" s="1"/>
  <c r="O205" i="2"/>
  <c r="O206" i="2"/>
  <c r="O207" i="2"/>
  <c r="Q207" i="2" s="1"/>
  <c r="O208" i="2"/>
  <c r="Q208" i="2" s="1"/>
  <c r="O209" i="2"/>
  <c r="O210" i="2"/>
  <c r="O211" i="2"/>
  <c r="Q211" i="2" s="1"/>
  <c r="O212" i="2"/>
  <c r="Q212" i="2" s="1"/>
  <c r="O213" i="2"/>
  <c r="Q213" i="2"/>
  <c r="O214" i="2"/>
  <c r="O215" i="2"/>
  <c r="Q215" i="2"/>
  <c r="O216" i="2"/>
  <c r="Q216" i="2" s="1"/>
  <c r="O217" i="2"/>
  <c r="Q217" i="2" s="1"/>
  <c r="O218" i="2"/>
  <c r="O219" i="2"/>
  <c r="Q219" i="2"/>
  <c r="O220" i="2"/>
  <c r="Q220" i="2" s="1"/>
  <c r="D223" i="2"/>
  <c r="L223" i="2"/>
  <c r="O225" i="2"/>
  <c r="Q225" i="2" s="1"/>
  <c r="O227" i="2"/>
  <c r="Q227" i="2" s="1"/>
  <c r="O229" i="2"/>
  <c r="Q229" i="2" s="1"/>
  <c r="O231" i="2"/>
  <c r="Q231" i="2"/>
  <c r="O232" i="2"/>
  <c r="Q232" i="2" s="1"/>
  <c r="O233" i="2"/>
  <c r="Q233" i="2" s="1"/>
  <c r="D237" i="2"/>
  <c r="L237" i="2"/>
  <c r="O239" i="2"/>
  <c r="Q239" i="2" s="1"/>
  <c r="O241" i="2"/>
  <c r="Q241" i="2" s="1"/>
  <c r="D242" i="2"/>
  <c r="L242" i="2"/>
  <c r="P242" i="2"/>
  <c r="Q244" i="2"/>
  <c r="O244" i="2" s="1"/>
  <c r="Q247" i="2"/>
  <c r="O247" i="2" s="1"/>
  <c r="D250" i="2"/>
  <c r="G250" i="2"/>
  <c r="H250" i="2"/>
  <c r="I250" i="2"/>
  <c r="L250" i="2"/>
  <c r="P250" i="2"/>
  <c r="O254" i="2"/>
  <c r="Q254" i="2" s="1"/>
  <c r="O255" i="2"/>
  <c r="Q255" i="2" s="1"/>
  <c r="O256" i="2"/>
  <c r="Q256" i="2" s="1"/>
  <c r="O257" i="2"/>
  <c r="Q257" i="2" s="1"/>
  <c r="O258" i="2"/>
  <c r="Q258" i="2" s="1"/>
  <c r="O259" i="2"/>
  <c r="Q259" i="2" s="1"/>
  <c r="O260" i="2"/>
  <c r="Q260" i="2" s="1"/>
  <c r="O261" i="2"/>
  <c r="Q261" i="2" s="1"/>
  <c r="G264" i="2"/>
  <c r="I264" i="2"/>
  <c r="G269" i="2"/>
  <c r="I269" i="2"/>
  <c r="O269" i="2"/>
  <c r="Q269" i="2"/>
  <c r="G280" i="2"/>
  <c r="I280" i="2" s="1"/>
  <c r="G280" i="1"/>
  <c r="Q269" i="1"/>
  <c r="O269" i="1"/>
  <c r="I269" i="1"/>
  <c r="G269" i="1"/>
  <c r="I280" i="1" s="1"/>
  <c r="O264" i="1"/>
  <c r="I264" i="1"/>
  <c r="G264" i="1"/>
  <c r="O261" i="1"/>
  <c r="Q261" i="1" s="1"/>
  <c r="O260" i="1"/>
  <c r="Q260" i="1" s="1"/>
  <c r="O259" i="1"/>
  <c r="Q259" i="1" s="1"/>
  <c r="O258" i="1"/>
  <c r="Q258" i="1" s="1"/>
  <c r="O257" i="1"/>
  <c r="Q257" i="1" s="1"/>
  <c r="O256" i="1"/>
  <c r="Q256" i="1" s="1"/>
  <c r="O255" i="1"/>
  <c r="Q255" i="1" s="1"/>
  <c r="O254" i="1"/>
  <c r="Q254" i="1" s="1"/>
  <c r="H251" i="1"/>
  <c r="H271" i="1" s="1"/>
  <c r="P250" i="1"/>
  <c r="L250" i="1"/>
  <c r="I250" i="1"/>
  <c r="H250" i="1"/>
  <c r="G250" i="1"/>
  <c r="D250" i="1"/>
  <c r="Q247" i="1"/>
  <c r="O247" i="1" s="1"/>
  <c r="Q244" i="1"/>
  <c r="O244" i="1" s="1"/>
  <c r="P242" i="1"/>
  <c r="L242" i="1"/>
  <c r="D242" i="1"/>
  <c r="O241" i="1"/>
  <c r="Q241" i="1" s="1"/>
  <c r="O239" i="1"/>
  <c r="L237" i="1"/>
  <c r="D237" i="1"/>
  <c r="O233" i="1"/>
  <c r="Q233" i="1" s="1"/>
  <c r="O232" i="1"/>
  <c r="Q232" i="1" s="1"/>
  <c r="O231" i="1"/>
  <c r="Q231" i="1" s="1"/>
  <c r="O229" i="1"/>
  <c r="Q229" i="1" s="1"/>
  <c r="O227" i="1"/>
  <c r="Q227" i="1" s="1"/>
  <c r="O225" i="1"/>
  <c r="Q225" i="1" s="1"/>
  <c r="P223" i="1"/>
  <c r="L223" i="1"/>
  <c r="D223" i="1"/>
  <c r="Q220" i="1"/>
  <c r="O220" i="1"/>
  <c r="N220" i="1"/>
  <c r="O219" i="1"/>
  <c r="Q218" i="1"/>
  <c r="O218" i="1"/>
  <c r="N218" i="1"/>
  <c r="O217" i="1"/>
  <c r="Q217" i="1" s="1"/>
  <c r="Q216" i="1"/>
  <c r="O216" i="1"/>
  <c r="N216" i="1"/>
  <c r="O215" i="1"/>
  <c r="Q214" i="1"/>
  <c r="O214" i="1"/>
  <c r="N214" i="1"/>
  <c r="O213" i="1"/>
  <c r="Q213" i="1" s="1"/>
  <c r="Q212" i="1"/>
  <c r="O212" i="1"/>
  <c r="N212" i="1"/>
  <c r="O211" i="1"/>
  <c r="Q210" i="1"/>
  <c r="O210" i="1"/>
  <c r="N210" i="1"/>
  <c r="O209" i="1"/>
  <c r="Q209" i="1" s="1"/>
  <c r="Q208" i="1"/>
  <c r="O208" i="1"/>
  <c r="N208" i="1"/>
  <c r="O207" i="1"/>
  <c r="Q206" i="1"/>
  <c r="O206" i="1"/>
  <c r="N206" i="1"/>
  <c r="O205" i="1"/>
  <c r="Q205" i="1" s="1"/>
  <c r="Q204" i="1"/>
  <c r="O204" i="1"/>
  <c r="N204" i="1"/>
  <c r="O203" i="1"/>
  <c r="Q202" i="1"/>
  <c r="O202" i="1"/>
  <c r="N202" i="1"/>
  <c r="O201" i="1"/>
  <c r="Q201" i="1" s="1"/>
  <c r="Q200" i="1"/>
  <c r="O200" i="1"/>
  <c r="N200" i="1"/>
  <c r="O199" i="1"/>
  <c r="Q198" i="1"/>
  <c r="O198" i="1"/>
  <c r="N198" i="1"/>
  <c r="O197" i="1"/>
  <c r="O223" i="1" s="1"/>
  <c r="Q196" i="1"/>
  <c r="O196" i="1"/>
  <c r="N196" i="1"/>
  <c r="O195" i="1"/>
  <c r="Q194" i="1"/>
  <c r="O194" i="1"/>
  <c r="N194" i="1"/>
  <c r="O193" i="1"/>
  <c r="Q193" i="1" s="1"/>
  <c r="Q192" i="1"/>
  <c r="O192" i="1"/>
  <c r="N192" i="1"/>
  <c r="O191" i="1"/>
  <c r="Q190" i="1"/>
  <c r="O190" i="1"/>
  <c r="N190" i="1"/>
  <c r="M190" i="1"/>
  <c r="Q189" i="1"/>
  <c r="O189" i="1"/>
  <c r="N189" i="1"/>
  <c r="M189" i="1"/>
  <c r="Q188" i="1"/>
  <c r="O188" i="1"/>
  <c r="N188" i="1"/>
  <c r="M188" i="1"/>
  <c r="Q187" i="1"/>
  <c r="O187" i="1"/>
  <c r="N187" i="1"/>
  <c r="Q186" i="1"/>
  <c r="O186" i="1"/>
  <c r="N186" i="1" s="1"/>
  <c r="Q185" i="1"/>
  <c r="O185" i="1"/>
  <c r="N185" i="1" s="1"/>
  <c r="O184" i="1"/>
  <c r="Q183" i="1"/>
  <c r="O183" i="1"/>
  <c r="N183" i="1"/>
  <c r="Q182" i="1"/>
  <c r="O182" i="1"/>
  <c r="N182" i="1" s="1"/>
  <c r="Q181" i="1"/>
  <c r="O181" i="1"/>
  <c r="N181" i="1" s="1"/>
  <c r="O180" i="1"/>
  <c r="Q179" i="1"/>
  <c r="O179" i="1"/>
  <c r="N179" i="1"/>
  <c r="Q178" i="1"/>
  <c r="O178" i="1"/>
  <c r="N178" i="1" s="1"/>
  <c r="Q177" i="1"/>
  <c r="O177" i="1"/>
  <c r="N177" i="1" s="1"/>
  <c r="O176" i="1"/>
  <c r="Q175" i="1"/>
  <c r="O175" i="1"/>
  <c r="N175" i="1"/>
  <c r="Q174" i="1"/>
  <c r="O174" i="1"/>
  <c r="N174" i="1" s="1"/>
  <c r="Q173" i="1"/>
  <c r="O173" i="1"/>
  <c r="N173" i="1" s="1"/>
  <c r="O172" i="1"/>
  <c r="Q171" i="1"/>
  <c r="O171" i="1"/>
  <c r="N171" i="1"/>
  <c r="Q170" i="1"/>
  <c r="O170" i="1"/>
  <c r="N170" i="1" s="1"/>
  <c r="L167" i="1"/>
  <c r="D167" i="1"/>
  <c r="P165" i="1"/>
  <c r="Q165" i="1" s="1"/>
  <c r="O165" i="1"/>
  <c r="Q164" i="1"/>
  <c r="O164" i="1"/>
  <c r="P164" i="1" s="1"/>
  <c r="P163" i="1"/>
  <c r="O163" i="1"/>
  <c r="Q163" i="1" s="1"/>
  <c r="O162" i="1"/>
  <c r="N161" i="1"/>
  <c r="O160" i="1"/>
  <c r="P159" i="1"/>
  <c r="Q159" i="1" s="1"/>
  <c r="O159" i="1"/>
  <c r="Q158" i="1"/>
  <c r="O158" i="1"/>
  <c r="P158" i="1" s="1"/>
  <c r="P156" i="1"/>
  <c r="O156" i="1"/>
  <c r="L156" i="1"/>
  <c r="I156" i="1"/>
  <c r="G156" i="1"/>
  <c r="D156" i="1"/>
  <c r="Q154" i="1"/>
  <c r="Q156" i="1" s="1"/>
  <c r="O154" i="1"/>
  <c r="L152" i="1"/>
  <c r="I152" i="1"/>
  <c r="H152" i="1"/>
  <c r="G152" i="1"/>
  <c r="D152" i="1"/>
  <c r="Q151" i="1"/>
  <c r="O151" i="1"/>
  <c r="P151" i="1" s="1"/>
  <c r="P150" i="1"/>
  <c r="O150" i="1"/>
  <c r="Q150" i="1" s="1"/>
  <c r="O149" i="1"/>
  <c r="P148" i="1"/>
  <c r="Q148" i="1" s="1"/>
  <c r="O148" i="1"/>
  <c r="Q147" i="1"/>
  <c r="O147" i="1"/>
  <c r="P147" i="1" s="1"/>
  <c r="P146" i="1"/>
  <c r="O146" i="1"/>
  <c r="Q146" i="1" s="1"/>
  <c r="O145" i="1"/>
  <c r="P144" i="1"/>
  <c r="Q144" i="1" s="1"/>
  <c r="O144" i="1"/>
  <c r="O143" i="1"/>
  <c r="P143" i="1" s="1"/>
  <c r="Q143" i="1" s="1"/>
  <c r="P142" i="1"/>
  <c r="O142" i="1"/>
  <c r="O141" i="1"/>
  <c r="L139" i="1"/>
  <c r="I139" i="1"/>
  <c r="H139" i="1"/>
  <c r="G139" i="1"/>
  <c r="D139" i="1"/>
  <c r="P138" i="1"/>
  <c r="Q138" i="1" s="1"/>
  <c r="O138" i="1"/>
  <c r="O137" i="1"/>
  <c r="P137" i="1" s="1"/>
  <c r="Q137" i="1" s="1"/>
  <c r="P136" i="1"/>
  <c r="O136" i="1"/>
  <c r="O135" i="1"/>
  <c r="P134" i="1"/>
  <c r="Q134" i="1" s="1"/>
  <c r="O134" i="1"/>
  <c r="O133" i="1"/>
  <c r="P133" i="1" s="1"/>
  <c r="Q133" i="1" s="1"/>
  <c r="P132" i="1"/>
  <c r="O132" i="1"/>
  <c r="O131" i="1"/>
  <c r="P130" i="1"/>
  <c r="Q130" i="1" s="1"/>
  <c r="O130" i="1"/>
  <c r="Q129" i="1"/>
  <c r="O129" i="1"/>
  <c r="P129" i="1" s="1"/>
  <c r="P128" i="1"/>
  <c r="O128" i="1"/>
  <c r="Q128" i="1" s="1"/>
  <c r="O127" i="1"/>
  <c r="P126" i="1"/>
  <c r="Q126" i="1" s="1"/>
  <c r="O126" i="1"/>
  <c r="Q125" i="1"/>
  <c r="O125" i="1"/>
  <c r="P125" i="1" s="1"/>
  <c r="L123" i="1"/>
  <c r="D123" i="1"/>
  <c r="P122" i="1"/>
  <c r="Q122" i="1" s="1"/>
  <c r="O122" i="1"/>
  <c r="O121" i="1"/>
  <c r="P121" i="1" s="1"/>
  <c r="Q121" i="1" s="1"/>
  <c r="P120" i="1"/>
  <c r="O120" i="1"/>
  <c r="O119" i="1"/>
  <c r="P118" i="1"/>
  <c r="Q118" i="1" s="1"/>
  <c r="O118" i="1"/>
  <c r="Q117" i="1"/>
  <c r="O117" i="1"/>
  <c r="P117" i="1" s="1"/>
  <c r="P116" i="1"/>
  <c r="O116" i="1"/>
  <c r="Q116" i="1" s="1"/>
  <c r="O115" i="1"/>
  <c r="P114" i="1"/>
  <c r="Q114" i="1" s="1"/>
  <c r="O114" i="1"/>
  <c r="Q113" i="1"/>
  <c r="O113" i="1"/>
  <c r="P113" i="1" s="1"/>
  <c r="P112" i="1"/>
  <c r="O112" i="1"/>
  <c r="Q112" i="1" s="1"/>
  <c r="O111" i="1"/>
  <c r="L109" i="1"/>
  <c r="D109" i="1"/>
  <c r="P108" i="1"/>
  <c r="O108" i="1"/>
  <c r="Q108" i="1" s="1"/>
  <c r="O107" i="1"/>
  <c r="P106" i="1"/>
  <c r="Q106" i="1" s="1"/>
  <c r="O106" i="1"/>
  <c r="Q105" i="1"/>
  <c r="O105" i="1"/>
  <c r="P105" i="1" s="1"/>
  <c r="P104" i="1"/>
  <c r="O104" i="1"/>
  <c r="Q104" i="1" s="1"/>
  <c r="O103" i="1"/>
  <c r="P102" i="1"/>
  <c r="Q102" i="1" s="1"/>
  <c r="O102" i="1"/>
  <c r="O101" i="1"/>
  <c r="P101" i="1" s="1"/>
  <c r="Q101" i="1" s="1"/>
  <c r="P100" i="1"/>
  <c r="O100" i="1"/>
  <c r="O99" i="1"/>
  <c r="P98" i="1"/>
  <c r="Q98" i="1" s="1"/>
  <c r="O98" i="1"/>
  <c r="O97" i="1"/>
  <c r="P97" i="1" s="1"/>
  <c r="Q97" i="1" s="1"/>
  <c r="P96" i="1"/>
  <c r="O96" i="1"/>
  <c r="L93" i="1"/>
  <c r="L90" i="1"/>
  <c r="I90" i="1"/>
  <c r="H90" i="1"/>
  <c r="G90" i="1"/>
  <c r="D90" i="1"/>
  <c r="P89" i="1"/>
  <c r="O89" i="1"/>
  <c r="O88" i="1"/>
  <c r="P88" i="1" s="1"/>
  <c r="P87" i="1"/>
  <c r="Q87" i="1" s="1"/>
  <c r="O87" i="1"/>
  <c r="O86" i="1"/>
  <c r="P86" i="1" s="1"/>
  <c r="P85" i="1"/>
  <c r="P90" i="1" s="1"/>
  <c r="O85" i="1"/>
  <c r="L83" i="1"/>
  <c r="D83" i="1"/>
  <c r="P82" i="1"/>
  <c r="O82" i="1"/>
  <c r="Q82" i="1" s="1"/>
  <c r="Q81" i="1"/>
  <c r="O81" i="1"/>
  <c r="P81" i="1" s="1"/>
  <c r="P80" i="1"/>
  <c r="Q80" i="1" s="1"/>
  <c r="O80" i="1"/>
  <c r="Q79" i="1"/>
  <c r="O79" i="1"/>
  <c r="P79" i="1" s="1"/>
  <c r="P78" i="1"/>
  <c r="O78" i="1"/>
  <c r="Q78" i="1" s="1"/>
  <c r="Q77" i="1"/>
  <c r="O77" i="1"/>
  <c r="P77" i="1" s="1"/>
  <c r="P76" i="1"/>
  <c r="Q76" i="1" s="1"/>
  <c r="O76" i="1"/>
  <c r="Q75" i="1"/>
  <c r="O75" i="1"/>
  <c r="P75" i="1" s="1"/>
  <c r="P74" i="1"/>
  <c r="O74" i="1"/>
  <c r="Q74" i="1" s="1"/>
  <c r="O73" i="1"/>
  <c r="P73" i="1" s="1"/>
  <c r="Q73" i="1" s="1"/>
  <c r="P72" i="1"/>
  <c r="Q72" i="1" s="1"/>
  <c r="O72" i="1"/>
  <c r="O71" i="1"/>
  <c r="P71" i="1" s="1"/>
  <c r="P70" i="1"/>
  <c r="O70" i="1"/>
  <c r="Q70" i="1" s="1"/>
  <c r="O69" i="1"/>
  <c r="P69" i="1" s="1"/>
  <c r="P68" i="1"/>
  <c r="Q68" i="1" s="1"/>
  <c r="O68" i="1"/>
  <c r="O67" i="1"/>
  <c r="P67" i="1" s="1"/>
  <c r="P66" i="1"/>
  <c r="O66" i="1"/>
  <c r="Q66" i="1" s="1"/>
  <c r="O65" i="1"/>
  <c r="P65" i="1" s="1"/>
  <c r="P64" i="1"/>
  <c r="Q64" i="1" s="1"/>
  <c r="O64" i="1"/>
  <c r="O63" i="1"/>
  <c r="P63" i="1" s="1"/>
  <c r="O62" i="1"/>
  <c r="P61" i="1"/>
  <c r="Q61" i="1" s="1"/>
  <c r="O61" i="1"/>
  <c r="O60" i="1"/>
  <c r="P60" i="1" s="1"/>
  <c r="O59" i="1"/>
  <c r="O58" i="1"/>
  <c r="P58" i="1" s="1"/>
  <c r="Q58" i="1" s="1"/>
  <c r="P57" i="1"/>
  <c r="Q57" i="1" s="1"/>
  <c r="O57" i="1"/>
  <c r="O56" i="1"/>
  <c r="O55" i="1"/>
  <c r="O54" i="1"/>
  <c r="P54" i="1" s="1"/>
  <c r="Q54" i="1" s="1"/>
  <c r="P53" i="1"/>
  <c r="Q53" i="1" s="1"/>
  <c r="O53" i="1"/>
  <c r="O52" i="1"/>
  <c r="O51" i="1"/>
  <c r="O50" i="1"/>
  <c r="P50" i="1" s="1"/>
  <c r="Q50" i="1" s="1"/>
  <c r="P49" i="1"/>
  <c r="Q49" i="1" s="1"/>
  <c r="O49" i="1"/>
  <c r="O48" i="1"/>
  <c r="O47" i="1"/>
  <c r="L45" i="1"/>
  <c r="K45" i="1"/>
  <c r="I45" i="1"/>
  <c r="H45" i="1"/>
  <c r="G45" i="1"/>
  <c r="D45" i="1"/>
  <c r="O44" i="1"/>
  <c r="O43" i="1"/>
  <c r="P43" i="1" s="1"/>
  <c r="Q43" i="1" s="1"/>
  <c r="P42" i="1"/>
  <c r="Q42" i="1" s="1"/>
  <c r="O42" i="1"/>
  <c r="O41" i="1"/>
  <c r="P41" i="1" s="1"/>
  <c r="O40" i="1"/>
  <c r="O39" i="1"/>
  <c r="P39" i="1" s="1"/>
  <c r="Q39" i="1" s="1"/>
  <c r="P38" i="1"/>
  <c r="Q38" i="1" s="1"/>
  <c r="O38" i="1"/>
  <c r="O37" i="1"/>
  <c r="P37" i="1" s="1"/>
  <c r="O36" i="1"/>
  <c r="O35" i="1"/>
  <c r="P35" i="1" s="1"/>
  <c r="Q35" i="1" s="1"/>
  <c r="P34" i="1"/>
  <c r="Q34" i="1" s="1"/>
  <c r="O34" i="1"/>
  <c r="O33" i="1"/>
  <c r="P33" i="1" s="1"/>
  <c r="O32" i="1"/>
  <c r="L31" i="1"/>
  <c r="I31" i="1"/>
  <c r="H31" i="1"/>
  <c r="G31" i="1"/>
  <c r="D31" i="1"/>
  <c r="O30" i="1"/>
  <c r="P30" i="1" s="1"/>
  <c r="Q30" i="1" s="1"/>
  <c r="P29" i="1"/>
  <c r="Q29" i="1" s="1"/>
  <c r="O29" i="1"/>
  <c r="O28" i="1"/>
  <c r="O31" i="1" s="1"/>
  <c r="L27" i="1"/>
  <c r="D27" i="1"/>
  <c r="P26" i="1"/>
  <c r="Q26" i="1" s="1"/>
  <c r="O26" i="1"/>
  <c r="O25" i="1"/>
  <c r="L24" i="1"/>
  <c r="D24" i="1"/>
  <c r="P23" i="1"/>
  <c r="Q23" i="1" s="1"/>
  <c r="O23" i="1"/>
  <c r="O22" i="1"/>
  <c r="O21" i="1"/>
  <c r="Q20" i="1"/>
  <c r="P20" i="1"/>
  <c r="O20" i="1"/>
  <c r="P19" i="1"/>
  <c r="Q19" i="1" s="1"/>
  <c r="O19" i="1"/>
  <c r="O18" i="1"/>
  <c r="O17" i="1"/>
  <c r="Q16" i="1"/>
  <c r="P16" i="1"/>
  <c r="O16" i="1"/>
  <c r="P15" i="1"/>
  <c r="Q15" i="1" s="1"/>
  <c r="O15" i="1"/>
  <c r="O14" i="1"/>
  <c r="O13" i="1"/>
  <c r="Q12" i="1"/>
  <c r="P12" i="1"/>
  <c r="O12" i="1"/>
  <c r="P11" i="1"/>
  <c r="Q11" i="1" s="1"/>
  <c r="O11" i="1"/>
  <c r="O10" i="1"/>
  <c r="O9" i="1"/>
  <c r="Q8" i="1"/>
  <c r="P8" i="1"/>
  <c r="P90" i="6" l="1"/>
  <c r="Q87" i="6"/>
  <c r="P139" i="6"/>
  <c r="O251" i="6"/>
  <c r="O271" i="6" s="1"/>
  <c r="P24" i="6"/>
  <c r="Q90" i="6"/>
  <c r="P167" i="6"/>
  <c r="Q33" i="6"/>
  <c r="Q45" i="6" s="1"/>
  <c r="Q141" i="6"/>
  <c r="Q152" i="6" s="1"/>
  <c r="Q20" i="6"/>
  <c r="Q126" i="6"/>
  <c r="Q139" i="6" s="1"/>
  <c r="Q24" i="6"/>
  <c r="Q158" i="6"/>
  <c r="Q167" i="6" s="1"/>
  <c r="P31" i="6"/>
  <c r="Q31" i="6" s="1"/>
  <c r="Q100" i="2"/>
  <c r="D271" i="2"/>
  <c r="I251" i="2"/>
  <c r="O242" i="2"/>
  <c r="Q242" i="2"/>
  <c r="Q176" i="2"/>
  <c r="Q205" i="2"/>
  <c r="Q218" i="2"/>
  <c r="Q209" i="2"/>
  <c r="L251" i="2"/>
  <c r="L271" i="2" s="1"/>
  <c r="Q128" i="2"/>
  <c r="Q127" i="2"/>
  <c r="Q131" i="2"/>
  <c r="Q114" i="2"/>
  <c r="G251" i="2"/>
  <c r="G271" i="2" s="1"/>
  <c r="H251" i="2"/>
  <c r="H271" i="2" s="1"/>
  <c r="O90" i="2"/>
  <c r="P83" i="2"/>
  <c r="Q83" i="2" s="1"/>
  <c r="Q82" i="2"/>
  <c r="Q66" i="2"/>
  <c r="Q48" i="2"/>
  <c r="Q78" i="2"/>
  <c r="Q56" i="2"/>
  <c r="P52" i="2"/>
  <c r="Q52" i="2" s="1"/>
  <c r="O31" i="2"/>
  <c r="P31" i="2" s="1"/>
  <c r="Q31" i="2" s="1"/>
  <c r="I271" i="2"/>
  <c r="P30" i="2"/>
  <c r="Q30" i="2" s="1"/>
  <c r="Q18" i="2"/>
  <c r="Q10" i="2"/>
  <c r="Q22" i="2"/>
  <c r="Q14" i="2"/>
  <c r="Q264" i="2"/>
  <c r="Q85" i="2"/>
  <c r="O264" i="2"/>
  <c r="Q125" i="2"/>
  <c r="Q142" i="2"/>
  <c r="Q186" i="2"/>
  <c r="Q165" i="2"/>
  <c r="P164" i="2"/>
  <c r="Q164" i="2" s="1"/>
  <c r="Q159" i="2"/>
  <c r="P158" i="2"/>
  <c r="P151" i="2"/>
  <c r="Q151" i="2" s="1"/>
  <c r="Q148" i="2"/>
  <c r="P147" i="2"/>
  <c r="Q147" i="2" s="1"/>
  <c r="Q144" i="2"/>
  <c r="P143" i="2"/>
  <c r="P152" i="2" s="1"/>
  <c r="Q138" i="2"/>
  <c r="P137" i="2"/>
  <c r="Q137" i="2" s="1"/>
  <c r="Q134" i="2"/>
  <c r="P133" i="2"/>
  <c r="Q130" i="2"/>
  <c r="Q126" i="2"/>
  <c r="Q122" i="2"/>
  <c r="Q118" i="2"/>
  <c r="P117" i="2"/>
  <c r="Q117" i="2" s="1"/>
  <c r="P113" i="2"/>
  <c r="Q113" i="2" s="1"/>
  <c r="Q106" i="2"/>
  <c r="P105" i="2"/>
  <c r="Q105" i="2" s="1"/>
  <c r="Q102" i="2"/>
  <c r="P101" i="2"/>
  <c r="Q101" i="2" s="1"/>
  <c r="Q98" i="2"/>
  <c r="P97" i="2"/>
  <c r="Q97" i="2" s="1"/>
  <c r="Q87" i="2"/>
  <c r="P86" i="2"/>
  <c r="Q86" i="2" s="1"/>
  <c r="Q80" i="2"/>
  <c r="P79" i="2"/>
  <c r="Q79" i="2" s="1"/>
  <c r="Q76" i="2"/>
  <c r="P75" i="2"/>
  <c r="Q75" i="2" s="1"/>
  <c r="Q72" i="2"/>
  <c r="P71" i="2"/>
  <c r="Q71" i="2" s="1"/>
  <c r="Q68" i="2"/>
  <c r="P67" i="2"/>
  <c r="Q67" i="2" s="1"/>
  <c r="Q64" i="2"/>
  <c r="P63" i="2"/>
  <c r="Q63" i="2" s="1"/>
  <c r="Q60" i="2"/>
  <c r="P59" i="2"/>
  <c r="Q59" i="2" s="1"/>
  <c r="P55" i="2"/>
  <c r="Q55" i="2" s="1"/>
  <c r="P51" i="2"/>
  <c r="Q51" i="2" s="1"/>
  <c r="P47" i="2"/>
  <c r="Q47" i="2" s="1"/>
  <c r="O45" i="2"/>
  <c r="P44" i="2"/>
  <c r="Q44" i="2" s="1"/>
  <c r="P40" i="2"/>
  <c r="Q40" i="2" s="1"/>
  <c r="P36" i="2"/>
  <c r="Q36" i="2" s="1"/>
  <c r="P32" i="2"/>
  <c r="Q32" i="2" s="1"/>
  <c r="P21" i="2"/>
  <c r="Q21" i="2" s="1"/>
  <c r="P17" i="2"/>
  <c r="Q17" i="2" s="1"/>
  <c r="P13" i="2"/>
  <c r="Q13" i="2" s="1"/>
  <c r="Q214" i="2"/>
  <c r="Q210" i="2"/>
  <c r="Q206" i="2"/>
  <c r="Q202" i="2"/>
  <c r="Q198" i="2"/>
  <c r="Q194" i="2"/>
  <c r="Q190" i="2"/>
  <c r="Q189" i="2"/>
  <c r="Q188" i="2"/>
  <c r="Q187" i="2"/>
  <c r="Q183" i="2"/>
  <c r="Q179" i="2"/>
  <c r="Q175" i="2"/>
  <c r="Q171" i="2"/>
  <c r="Q119" i="2"/>
  <c r="Q11" i="2"/>
  <c r="Q116" i="2"/>
  <c r="Q112" i="2"/>
  <c r="Q50" i="2"/>
  <c r="Q25" i="1"/>
  <c r="P31" i="1"/>
  <c r="Q31" i="1"/>
  <c r="Q32" i="1"/>
  <c r="P103" i="1"/>
  <c r="Q103" i="1" s="1"/>
  <c r="P111" i="1"/>
  <c r="Q111" i="1" s="1"/>
  <c r="P145" i="1"/>
  <c r="Q145" i="1" s="1"/>
  <c r="P162" i="1"/>
  <c r="Q162" i="1" s="1"/>
  <c r="Q86" i="1"/>
  <c r="Q88" i="1"/>
  <c r="Q99" i="1"/>
  <c r="P99" i="1"/>
  <c r="O139" i="1"/>
  <c r="P135" i="1"/>
  <c r="Q135" i="1" s="1"/>
  <c r="O152" i="1"/>
  <c r="Q141" i="1"/>
  <c r="P141" i="1"/>
  <c r="L251" i="1"/>
  <c r="L271" i="1" s="1"/>
  <c r="I251" i="1"/>
  <c r="O83" i="1"/>
  <c r="P10" i="1"/>
  <c r="Q10" i="1" s="1"/>
  <c r="P14" i="1"/>
  <c r="Q14" i="1" s="1"/>
  <c r="P18" i="1"/>
  <c r="Q18" i="1" s="1"/>
  <c r="P22" i="1"/>
  <c r="Q22" i="1" s="1"/>
  <c r="P25" i="1"/>
  <c r="P28" i="1"/>
  <c r="P48" i="1"/>
  <c r="Q48" i="1" s="1"/>
  <c r="P52" i="1"/>
  <c r="Q52" i="1" s="1"/>
  <c r="P56" i="1"/>
  <c r="Q56" i="1" s="1"/>
  <c r="P9" i="1"/>
  <c r="Q9" i="1" s="1"/>
  <c r="P13" i="1"/>
  <c r="Q13" i="1" s="1"/>
  <c r="P17" i="1"/>
  <c r="Q17" i="1" s="1"/>
  <c r="P21" i="1"/>
  <c r="Q21" i="1" s="1"/>
  <c r="Q28" i="1"/>
  <c r="P32" i="1"/>
  <c r="Q33" i="1"/>
  <c r="P36" i="1"/>
  <c r="Q36" i="1" s="1"/>
  <c r="Q37" i="1"/>
  <c r="P40" i="1"/>
  <c r="Q40" i="1" s="1"/>
  <c r="Q41" i="1"/>
  <c r="P44" i="1"/>
  <c r="Q44" i="1" s="1"/>
  <c r="O45" i="1"/>
  <c r="P47" i="1"/>
  <c r="Q47" i="1" s="1"/>
  <c r="P51" i="1"/>
  <c r="Q51" i="1" s="1"/>
  <c r="P55" i="1"/>
  <c r="Q55" i="1" s="1"/>
  <c r="P59" i="1"/>
  <c r="Q59" i="1" s="1"/>
  <c r="Q60" i="1"/>
  <c r="Q63" i="1"/>
  <c r="O90" i="1"/>
  <c r="Q89" i="1"/>
  <c r="Q100" i="1"/>
  <c r="P119" i="1"/>
  <c r="Q119" i="1" s="1"/>
  <c r="Q131" i="1"/>
  <c r="P131" i="1"/>
  <c r="Q136" i="1"/>
  <c r="Q142" i="1"/>
  <c r="P167" i="1"/>
  <c r="P160" i="1"/>
  <c r="Q160" i="1" s="1"/>
  <c r="Q167" i="1" s="1"/>
  <c r="O242" i="1"/>
  <c r="Q239" i="1"/>
  <c r="Q242" i="1" s="1"/>
  <c r="D271" i="1"/>
  <c r="Q264" i="1"/>
  <c r="I271" i="1"/>
  <c r="P62" i="1"/>
  <c r="Q62" i="1" s="1"/>
  <c r="Q65" i="1"/>
  <c r="Q67" i="1"/>
  <c r="Q69" i="1"/>
  <c r="Q71" i="1"/>
  <c r="Q96" i="1"/>
  <c r="P107" i="1"/>
  <c r="Q107" i="1" s="1"/>
  <c r="Q115" i="1"/>
  <c r="P115" i="1"/>
  <c r="Q120" i="1"/>
  <c r="P127" i="1"/>
  <c r="Q127" i="1" s="1"/>
  <c r="Q139" i="1" s="1"/>
  <c r="Q132" i="1"/>
  <c r="P149" i="1"/>
  <c r="Q149" i="1" s="1"/>
  <c r="N172" i="1"/>
  <c r="Q172" i="1"/>
  <c r="N176" i="1"/>
  <c r="Q176" i="1"/>
  <c r="N180" i="1"/>
  <c r="Q180" i="1"/>
  <c r="N184" i="1"/>
  <c r="Q184" i="1"/>
  <c r="N191" i="1"/>
  <c r="Q191" i="1"/>
  <c r="N195" i="1"/>
  <c r="Q195" i="1"/>
  <c r="N199" i="1"/>
  <c r="Q199" i="1"/>
  <c r="N203" i="1"/>
  <c r="Q203" i="1"/>
  <c r="N207" i="1"/>
  <c r="Q207" i="1"/>
  <c r="N211" i="1"/>
  <c r="Q211" i="1"/>
  <c r="N215" i="1"/>
  <c r="Q215" i="1"/>
  <c r="N219" i="1"/>
  <c r="Q219" i="1"/>
  <c r="G251" i="1"/>
  <c r="G271" i="1" s="1"/>
  <c r="Q85" i="1"/>
  <c r="N193" i="1"/>
  <c r="N197" i="1"/>
  <c r="N201" i="1"/>
  <c r="N205" i="1"/>
  <c r="N209" i="1"/>
  <c r="N213" i="1"/>
  <c r="N217" i="1"/>
  <c r="O167" i="1"/>
  <c r="Q197" i="1"/>
  <c r="Q223" i="1" s="1"/>
  <c r="Q251" i="6" l="1"/>
  <c r="Q271" i="6" s="1"/>
  <c r="P251" i="6"/>
  <c r="P271" i="6" s="1"/>
  <c r="P167" i="2"/>
  <c r="O251" i="2"/>
  <c r="O271" i="2" s="1"/>
  <c r="Q45" i="2"/>
  <c r="Q133" i="2"/>
  <c r="Q90" i="2"/>
  <c r="Q158" i="2"/>
  <c r="Q167" i="2" s="1"/>
  <c r="P45" i="2"/>
  <c r="Q143" i="2"/>
  <c r="Q152" i="2" s="1"/>
  <c r="P90" i="2"/>
  <c r="P251" i="1"/>
  <c r="P271" i="1" s="1"/>
  <c r="P139" i="1"/>
  <c r="P152" i="1"/>
  <c r="P83" i="1"/>
  <c r="Q83" i="1"/>
  <c r="Q152" i="1"/>
  <c r="Q45" i="1"/>
  <c r="O251" i="1"/>
  <c r="O271" i="1" s="1"/>
  <c r="Q90" i="1"/>
  <c r="Q251" i="1" s="1"/>
  <c r="Q271" i="1" s="1"/>
  <c r="P45" i="1"/>
  <c r="P251" i="2" l="1"/>
  <c r="P271" i="2" s="1"/>
  <c r="Q251" i="2"/>
  <c r="Q271" i="2" s="1"/>
</calcChain>
</file>

<file path=xl/sharedStrings.xml><?xml version="1.0" encoding="utf-8"?>
<sst xmlns="http://schemas.openxmlformats.org/spreadsheetml/2006/main" count="18248" uniqueCount="1497">
  <si>
    <t>สำนักงานท่าเทียบเรือประมงระนอง</t>
  </si>
  <si>
    <t>รายละเอียดหนี้ค้างชำระค่าเช่าอาคาร,ที่ดินและอื่น ๆ</t>
  </si>
  <si>
    <t>ณ วันที่ 30 กันยายน 2568</t>
  </si>
  <si>
    <t>ค้างชำระยกมา</t>
  </si>
  <si>
    <t>รับชำระ</t>
  </si>
  <si>
    <t>ค้างชำระยกไป</t>
  </si>
  <si>
    <t>ระยะเวลา</t>
  </si>
  <si>
    <t>เริ่ม</t>
  </si>
  <si>
    <t>สิ้นสุด</t>
  </si>
  <si>
    <t>เงินประกัน</t>
  </si>
  <si>
    <t>หมายเหตุ</t>
  </si>
  <si>
    <t>ลำดับ</t>
  </si>
  <si>
    <t>รายชื่อ</t>
  </si>
  <si>
    <t>สถานที่ตั้ง</t>
  </si>
  <si>
    <t>อัตราค่าเช่า/ค่าธรรมเนียม</t>
  </si>
  <si>
    <t>ค้างตั้งแต่</t>
  </si>
  <si>
    <t>งวด</t>
  </si>
  <si>
    <t>ยอดหนี้</t>
  </si>
  <si>
    <t>วดป.</t>
  </si>
  <si>
    <t>เลขที่ใบเสร็จ</t>
  </si>
  <si>
    <t>จำนวนเงิน</t>
  </si>
  <si>
    <t>ภาษีมูล  ค่าเพิ่ม</t>
  </si>
  <si>
    <t>รวม</t>
  </si>
  <si>
    <t>ค่าธรรมเนียมสัตว์น้ำผ่านท่า 4600200</t>
  </si>
  <si>
    <t xml:space="preserve">นางสลิ่ม  ธนาชีวิต </t>
  </si>
  <si>
    <t>คูหาที่ 1</t>
  </si>
  <si>
    <t xml:space="preserve"> - </t>
  </si>
  <si>
    <t>1341/67023</t>
  </si>
  <si>
    <t xml:space="preserve">นางวรินธร  เหมเรืองเงิน </t>
  </si>
  <si>
    <t>คูหาที่ 2-3</t>
  </si>
  <si>
    <t>1,30 ก.ย. 68</t>
  </si>
  <si>
    <t>1341/67022,1543/77129</t>
  </si>
  <si>
    <t>ต.ค.68-ต.ค.68</t>
  </si>
  <si>
    <t>คูหาที่ 4-6</t>
  </si>
  <si>
    <t>นางวรินธร เหมเรืองเงิน(โกกิ้ม)</t>
  </si>
  <si>
    <t>คูหาที่ 7-11</t>
  </si>
  <si>
    <t>นางสาววารุณี ลิ่มศิลา (รับโอนจากนางนิตยา  ลิ่มศิลา)</t>
  </si>
  <si>
    <t>คูหาที่ 12-15</t>
  </si>
  <si>
    <t>1341/67043</t>
  </si>
  <si>
    <t>คูหาที่ 16-18</t>
  </si>
  <si>
    <t>นางสาวมณีรัตน์ จิรภัทรสกุล</t>
  </si>
  <si>
    <t>คูหาที่ 19-21</t>
  </si>
  <si>
    <t>1341/67032</t>
  </si>
  <si>
    <t>นายคชาภรณ์ ใสสุข (รับโอนจากนางพิณพร  ใสสุข)</t>
  </si>
  <si>
    <t>คูหาที่ 22-23</t>
  </si>
  <si>
    <t>-</t>
  </si>
  <si>
    <t>1341/67031</t>
  </si>
  <si>
    <t xml:space="preserve">น.ส.บังอร  โถวสมบัติ </t>
  </si>
  <si>
    <t>คูหาที่ 24-27</t>
  </si>
  <si>
    <t>1341/67035</t>
  </si>
  <si>
    <t xml:space="preserve">นางสาวอรุณรัตน์  ใสสุข </t>
  </si>
  <si>
    <t>คูหาที่ 28-30</t>
  </si>
  <si>
    <t>1341/67036</t>
  </si>
  <si>
    <t xml:space="preserve">นายมนูญ  ปิยะปัญญาวงศ์ </t>
  </si>
  <si>
    <t>คูหาที่ 31-33</t>
  </si>
  <si>
    <t>1341/67039</t>
  </si>
  <si>
    <t>ปรับปรุงยกมา</t>
  </si>
  <si>
    <t>นายวันชัย เต็มอุดมภาค</t>
  </si>
  <si>
    <t>คูหาที่ 34-39</t>
  </si>
  <si>
    <t>1341/67025</t>
  </si>
  <si>
    <t xml:space="preserve">นางกมลทิพย์  วิภาคกิจอนันต์ </t>
  </si>
  <si>
    <t>คูหาที่ 40-43</t>
  </si>
  <si>
    <t>1341/67026</t>
  </si>
  <si>
    <t>นางสาวสมจิตร์  ประพันธ์วงศ์และนายสมโภชน์  ประพันธ์วงศ์</t>
  </si>
  <si>
    <t>คูหาที่ 44-47</t>
  </si>
  <si>
    <t>1341/67037</t>
  </si>
  <si>
    <t xml:space="preserve">บริษัท แน่นแฟ้น จำกัด </t>
  </si>
  <si>
    <t>คูหาที่ 48-50</t>
  </si>
  <si>
    <t>1543/77111</t>
  </si>
  <si>
    <t>คูหาที่ 51</t>
  </si>
  <si>
    <t>1543/77112</t>
  </si>
  <si>
    <t>บ.ระนองอุตสาหกรรมห้องเย็น</t>
  </si>
  <si>
    <t>ค/ธ สัตว์น้ำ</t>
  </si>
  <si>
    <t>16ส.ค.68-15ก.ย.68</t>
  </si>
  <si>
    <t>798/39873</t>
  </si>
  <si>
    <t>16ก.ย.68-15ต.ค.68</t>
  </si>
  <si>
    <t>นางสาวสุภาภรณ์ ปิยบุญมา(นายประกวด ตันโสภณ)</t>
  </si>
  <si>
    <t>1341/67038</t>
  </si>
  <si>
    <t>บ.แน่นแฟ้น(นายกฤษฎา บุญบัวเกิด)</t>
  </si>
  <si>
    <t>สค.68</t>
  </si>
  <si>
    <t>24,30 ก.ย. 68</t>
  </si>
  <si>
    <t>798/39875,77</t>
  </si>
  <si>
    <t>หจก.ปลาทองอุตสาหกรรม (นายกฤษณะ เอี่ยมวงศ์นที)</t>
  </si>
  <si>
    <t>1,29 ก.ย. 68</t>
  </si>
  <si>
    <t>798/39864,76</t>
  </si>
  <si>
    <t>บ.สยามชัยโภคภัณฑ์</t>
  </si>
  <si>
    <t>5,30 ก.ย. 68</t>
  </si>
  <si>
    <t>798/39868,81</t>
  </si>
  <si>
    <t>เรือ DANA HLAING-77 (ขวัญ)</t>
  </si>
  <si>
    <t>NTV</t>
  </si>
  <si>
    <t>นายนนชภัทร นวลเขียน (แพต่าย)</t>
  </si>
  <si>
    <t>นายพศิน เทียนศิริ (ป้าติ๋ว)</t>
  </si>
  <si>
    <t>นายพีรพงษ์ มหามงคลสวัสดิ์ (โกชุ้น)</t>
  </si>
  <si>
    <t>นายไกรณัฏฐนันท์ ทับสุวรรณ (สาคร)</t>
  </si>
  <si>
    <t>นางรตนพร หน่อเนื้อ (ป้าลั้ง)</t>
  </si>
  <si>
    <t>นางบุปผา พุ่มนิคม (เจ๊ผา)</t>
  </si>
  <si>
    <t>เจ๊อร (เมาซอ)</t>
  </si>
  <si>
    <t>นางวาสนา เก่าเงินโชติ (เพิ่มสิน)</t>
  </si>
  <si>
    <t>นางอารีนันท์ เจริญพรพูนสิน (อดิศร)</t>
  </si>
  <si>
    <t xml:space="preserve">ศรีไทย </t>
  </si>
  <si>
    <t>ค่าธรรมเนียมรถผ่านท่า 4600300</t>
  </si>
  <si>
    <r>
      <t xml:space="preserve">นส.จันทิมา สุวัตถิกุล </t>
    </r>
    <r>
      <rPr>
        <b/>
        <sz val="18"/>
        <color rgb="FFFF0000"/>
        <rFont val="TH SarabunPSK"/>
        <family val="2"/>
      </rPr>
      <t>(12 ราศี)</t>
    </r>
  </si>
  <si>
    <t>ค/ธ รถผ่านท่า</t>
  </si>
  <si>
    <t>1349/67431</t>
  </si>
  <si>
    <r>
      <t xml:space="preserve">นางสาวชฎารัตน์ รักวงศ์ไทย </t>
    </r>
    <r>
      <rPr>
        <b/>
        <sz val="18"/>
        <color rgb="FFFF0000"/>
        <rFont val="TH SarabunPSK"/>
        <family val="2"/>
      </rPr>
      <t>(3ชาย)</t>
    </r>
  </si>
  <si>
    <t>1543/77115</t>
  </si>
  <si>
    <t>MRS.PHYU PHYU WHA พิว พิว วอ (JO)</t>
  </si>
  <si>
    <t>ก.ย.68-ก.ค.69</t>
  </si>
  <si>
    <t>ต.ค.68-ก.ค.69</t>
  </si>
  <si>
    <r>
      <t>นางสาวระพีพร ศิริทอง</t>
    </r>
    <r>
      <rPr>
        <b/>
        <sz val="18"/>
        <color rgb="FFFF0000"/>
        <rFont val="TH SarabunPSK"/>
        <family val="2"/>
      </rPr>
      <t xml:space="preserve"> (KH)</t>
    </r>
  </si>
  <si>
    <t>1343/67147</t>
  </si>
  <si>
    <r>
      <t xml:space="preserve">นางพรทิพย์ ลี </t>
    </r>
    <r>
      <rPr>
        <b/>
        <sz val="18"/>
        <color rgb="FFFF0000"/>
        <rFont val="TH SarabunPSK"/>
        <family val="2"/>
      </rPr>
      <t>(LAY บฉ6339)</t>
    </r>
  </si>
  <si>
    <t>1341/67047</t>
  </si>
  <si>
    <r>
      <t xml:space="preserve">MR.THANT ZIN TUN นาย หม่าว ตาน เซน ท่อ </t>
    </r>
    <r>
      <rPr>
        <b/>
        <sz val="18"/>
        <color rgb="FFFF0000"/>
        <rFont val="TH SarabunPSK"/>
        <family val="2"/>
      </rPr>
      <t>(NY)</t>
    </r>
  </si>
  <si>
    <t>1346/67275</t>
  </si>
  <si>
    <r>
      <t xml:space="preserve">นางสุพรรณี เจ๊กสูงเนิน </t>
    </r>
    <r>
      <rPr>
        <b/>
        <sz val="18"/>
        <color rgb="FFFF0000"/>
        <rFont val="TH SarabunPSK"/>
        <family val="2"/>
      </rPr>
      <t>(PO)</t>
    </r>
  </si>
  <si>
    <t>1343/67101</t>
  </si>
  <si>
    <r>
      <t xml:space="preserve">บริษัท ระนองโฟรเซ่นฟู้ดส์ จำกัด </t>
    </r>
    <r>
      <rPr>
        <b/>
        <sz val="18"/>
        <color rgb="FFFF0000"/>
        <rFont val="TH SarabunPSK"/>
        <family val="2"/>
      </rPr>
      <t>(RFF)</t>
    </r>
  </si>
  <si>
    <t>798/39871</t>
  </si>
  <si>
    <r>
      <t xml:space="preserve">นางสาวนภารัตน์ บุดดีวงศ์ </t>
    </r>
    <r>
      <rPr>
        <b/>
        <sz val="18"/>
        <color rgb="FFFF0000"/>
        <rFont val="TH SarabunPSK"/>
        <family val="2"/>
      </rPr>
      <t>(SAI)</t>
    </r>
  </si>
  <si>
    <t>1543/77108</t>
  </si>
  <si>
    <r>
      <t xml:space="preserve">นส.สุจิรา เดชจูด </t>
    </r>
    <r>
      <rPr>
        <b/>
        <sz val="18"/>
        <color rgb="FFFF0000"/>
        <rFont val="TH SarabunPSK"/>
        <family val="2"/>
      </rPr>
      <t>(TAM)</t>
    </r>
  </si>
  <si>
    <t>1341/67050</t>
  </si>
  <si>
    <r>
      <t xml:space="preserve">นางสาวภคพร วัฒนมณี </t>
    </r>
    <r>
      <rPr>
        <b/>
        <sz val="18"/>
        <color rgb="FFFF0000"/>
        <rFont val="TH SarabunPSK"/>
        <family val="2"/>
      </rPr>
      <t>(ก้อยเนย)</t>
    </r>
  </si>
  <si>
    <t>ก.ย.68-พ.ย.68</t>
  </si>
  <si>
    <t>ต.ค.68-พ.ย.68</t>
  </si>
  <si>
    <r>
      <t>นางวรินธร เหมเรืองเงิน</t>
    </r>
    <r>
      <rPr>
        <b/>
        <sz val="18"/>
        <color rgb="FFFF0000"/>
        <rFont val="TH SarabunPSK"/>
        <family val="2"/>
      </rPr>
      <t>(โกกิ้ม)</t>
    </r>
  </si>
  <si>
    <t>1341/67021,1543/77128</t>
  </si>
  <si>
    <r>
      <t>หจก.พีรพงษ์ 2019</t>
    </r>
    <r>
      <rPr>
        <b/>
        <sz val="18"/>
        <color rgb="FFFF0000"/>
        <rFont val="TH SarabunPSK"/>
        <family val="2"/>
      </rPr>
      <t>(โกชุ้น)</t>
    </r>
  </si>
  <si>
    <t>1543/77101</t>
  </si>
  <si>
    <r>
      <t>นายสุเมธ คุ้มวงษ์</t>
    </r>
    <r>
      <rPr>
        <b/>
        <sz val="18"/>
        <color rgb="FFFF0000"/>
        <rFont val="TH SarabunPSK"/>
        <family val="2"/>
      </rPr>
      <t>(โกแมว-เจ๊ทุ่ม)</t>
    </r>
  </si>
  <si>
    <t>ก.ย.68-ก.ย.68</t>
  </si>
  <si>
    <r>
      <t xml:space="preserve">นส.พัชรา พรหมทองนุ่น </t>
    </r>
    <r>
      <rPr>
        <b/>
        <sz val="18"/>
        <color rgb="FFFF0000"/>
        <rFont val="TH SarabunPSK"/>
        <family val="2"/>
      </rPr>
      <t>(จิ๋มวัฒน์)</t>
    </r>
  </si>
  <si>
    <t>1543/77113</t>
  </si>
  <si>
    <r>
      <t>นส.กนกพร แพ่งยัง (นายพรจิต แพ่งยัง)</t>
    </r>
    <r>
      <rPr>
        <b/>
        <sz val="18"/>
        <color rgb="FFFF0000"/>
        <rFont val="TH SarabunPSK"/>
        <family val="2"/>
      </rPr>
      <t xml:space="preserve"> (เจ้นก)</t>
    </r>
  </si>
  <si>
    <t>1543/77110</t>
  </si>
  <si>
    <r>
      <t>นายยุตติศักดิ์  นิ่มประเสริฐ</t>
    </r>
    <r>
      <rPr>
        <b/>
        <sz val="18"/>
        <color rgb="FFFF0000"/>
        <rFont val="TH SarabunPSK"/>
        <family val="2"/>
      </rPr>
      <t xml:space="preserve"> (ต๋อย)</t>
    </r>
  </si>
  <si>
    <t>1543/77105</t>
  </si>
  <si>
    <t>นางสาวนพารัตน์ อินแป้น</t>
  </si>
  <si>
    <t>นภารัตน์ปลาทะเล</t>
  </si>
  <si>
    <t>ก.ย.68-ธ.ค.68</t>
  </si>
  <si>
    <t>ต.ค.68-ธ.ค.68</t>
  </si>
  <si>
    <t>นายพงษ์ชาญ หีตชะนา (นางปราณี จุลยุเสน)</t>
  </si>
  <si>
    <t>น้องจอม</t>
  </si>
  <si>
    <t>1543/77125</t>
  </si>
  <si>
    <r>
      <t>บริษัทเบสท์ดีลซีฟู้ดโปรดักท์ จำกัด</t>
    </r>
    <r>
      <rPr>
        <b/>
        <sz val="18"/>
        <color rgb="FFFF0000"/>
        <rFont val="TH SarabunPSK"/>
        <family val="2"/>
      </rPr>
      <t xml:space="preserve"> (เบสท์ดีล)</t>
    </r>
  </si>
  <si>
    <t>798/39872</t>
  </si>
  <si>
    <r>
      <t xml:space="preserve">นายปรีดา ทองแจ่ม </t>
    </r>
    <r>
      <rPr>
        <b/>
        <sz val="18"/>
        <color rgb="FFFF0000"/>
        <rFont val="TH SarabunPSK"/>
        <family val="2"/>
      </rPr>
      <t>(ปรีดา)</t>
    </r>
  </si>
  <si>
    <t>1344/67151</t>
  </si>
  <si>
    <t>นางรตนพร หน่อเนื่อ</t>
  </si>
  <si>
    <t>1341/67049</t>
  </si>
  <si>
    <r>
      <t xml:space="preserve">นางสาวกริษฐา พยุงพงษ์ </t>
    </r>
    <r>
      <rPr>
        <b/>
        <sz val="18"/>
        <color rgb="FFFF0000"/>
        <rFont val="TH SarabunPSK"/>
        <family val="2"/>
      </rPr>
      <t>(โป่ง)</t>
    </r>
  </si>
  <si>
    <t>1341/67020</t>
  </si>
  <si>
    <r>
      <t xml:space="preserve">หจก.เอสเอฟเค ฟิชเชอรี่ (นส.กรกช) </t>
    </r>
    <r>
      <rPr>
        <b/>
        <sz val="18"/>
        <color rgb="FFFF0000"/>
        <rFont val="TH SarabunPSK"/>
        <family val="2"/>
      </rPr>
      <t>(ฝ้าย-โสภา)</t>
    </r>
  </si>
  <si>
    <r>
      <t xml:space="preserve">นายเสรี /นส.ดวงนภา ทองแก้ว </t>
    </r>
    <r>
      <rPr>
        <b/>
        <sz val="18"/>
        <color rgb="FFFF0000"/>
        <rFont val="TH SarabunPSK"/>
        <family val="2"/>
      </rPr>
      <t>(แพเสรี)</t>
    </r>
  </si>
  <si>
    <t>1543/77107</t>
  </si>
  <si>
    <t>นางสาวธัญมน แมชัยภูมิ (เมย์-อุ๊)</t>
  </si>
  <si>
    <t>1341/67041</t>
  </si>
  <si>
    <r>
      <t xml:space="preserve">บริษัท รอแยลอันดามันซีฟูด จำกัด (สำนักงานใหญ่) </t>
    </r>
    <r>
      <rPr>
        <b/>
        <sz val="18"/>
        <color rgb="FFFF0000"/>
        <rFont val="TH SarabunPSK"/>
        <family val="2"/>
      </rPr>
      <t>(รอแยลอันดามันซีฟูด)</t>
    </r>
  </si>
  <si>
    <t>ก.ย.68-ก.ย.69</t>
  </si>
  <si>
    <t>ต.ค.68-ก.ย.69</t>
  </si>
  <si>
    <t>นางสาวเจวิภา เหล่าอมรพันธุ์กุล</t>
  </si>
  <si>
    <t>1543/77102</t>
  </si>
  <si>
    <t>นางวันดี บัวเขียว</t>
  </si>
  <si>
    <t>1543/77106</t>
  </si>
  <si>
    <r>
      <t xml:space="preserve">บริษัท สยามชัยอาหารสากล จำกัด (สำนักงานใหญ่) </t>
    </r>
    <r>
      <rPr>
        <b/>
        <sz val="18"/>
        <color rgb="FFFF0000"/>
        <rFont val="TH SarabunPSK"/>
        <family val="2"/>
      </rPr>
      <t>(สยามชัย)</t>
    </r>
  </si>
  <si>
    <t>798/39866</t>
  </si>
  <si>
    <t>นางอารีนันท์ เจริญพรพูนสิน</t>
  </si>
  <si>
    <t>1543/77118</t>
  </si>
  <si>
    <r>
      <t>หจก.เฉลิมผล (นางสาวสุดาพร แซ่เจีย)</t>
    </r>
    <r>
      <rPr>
        <b/>
        <sz val="18"/>
        <color rgb="FFFF0000"/>
        <rFont val="TH SarabunPSK"/>
        <family val="2"/>
      </rPr>
      <t>(เอ๋)</t>
    </r>
  </si>
  <si>
    <t>1543/77103</t>
  </si>
  <si>
    <t>บริษัทเอชระนองกรุ๊ป จำกัด</t>
  </si>
  <si>
    <t>798/39882</t>
  </si>
  <si>
    <t>บริษัทเอเชี่ยน ซีทคอร์ปอเรชั่น จำกัด</t>
  </si>
  <si>
    <t>798/39863</t>
  </si>
  <si>
    <t>นางสาววราภรณ์ พุ่มพฤกษา</t>
  </si>
  <si>
    <t>1341/67029</t>
  </si>
  <si>
    <t>หจก.ระนองซีมาสเตอร์(ไฮจิว)</t>
  </si>
  <si>
    <t>1543/77104</t>
  </si>
  <si>
    <t>ค่าธรรมเนียมน้ำแข็งผ่านท่า 4600400</t>
  </si>
  <si>
    <t>บริษัท สยามชัยโภคภัณฑ์(สนง.ใหญ่)</t>
  </si>
  <si>
    <t>ค/ธ น้ำแข็ง</t>
  </si>
  <si>
    <t>ส.ค.68-ส.ค.68</t>
  </si>
  <si>
    <t>798/39867,880</t>
  </si>
  <si>
    <t>โรงน้ำแข็งเหมเรืองเงิน จำกัด</t>
  </si>
  <si>
    <t>798/39870</t>
  </si>
  <si>
    <t>โรงน้ำแข็งวาสนาอดิศร</t>
  </si>
  <si>
    <t>1543/77117</t>
  </si>
  <si>
    <t>โรงน้ำแข็งไทยประดิษฐ์</t>
  </si>
  <si>
    <t>1341/67027</t>
  </si>
  <si>
    <t>798/39874</t>
  </si>
  <si>
    <t>ค่าธรรมเนียมน้ำมันผ่านท่า 4600500</t>
  </si>
  <si>
    <t>หจก.ตันปุ้นระนอง</t>
  </si>
  <si>
    <t>ค/ธน้ำมันผ่านท่า</t>
  </si>
  <si>
    <t>798/39869</t>
  </si>
  <si>
    <t>3 ปี</t>
  </si>
  <si>
    <t>ค่าธรรมเนียมใช้สถานที่ 4600700</t>
  </si>
  <si>
    <t>ใช้สถานที่ชั่วคราวโรงประมูลด้านซ้าย</t>
  </si>
  <si>
    <t>นายสมพร ประพันธ์วงศ์ (3K)</t>
  </si>
  <si>
    <t>ล็อค B1</t>
  </si>
  <si>
    <t>1341/67030</t>
  </si>
  <si>
    <t>ว่าง</t>
  </si>
  <si>
    <t>ล็อค B2</t>
  </si>
  <si>
    <t>ยกเลิก ใบคำร้อง 2563/011 ลว.16 มิย.63 1สค.63 เป็นต้นไป</t>
  </si>
  <si>
    <t>นางรตนพร  หน่อเนื้อ (แพป้าลั้ง)</t>
  </si>
  <si>
    <t>ล็อค B3</t>
  </si>
  <si>
    <t>1341/67048</t>
  </si>
  <si>
    <t>ล็อค B4</t>
  </si>
  <si>
    <t>ล็อค B5</t>
  </si>
  <si>
    <t>ล็อค B6</t>
  </si>
  <si>
    <t>นายไกรณฏัฐนันท์  ทับสุวรรณ (แพสาคร)</t>
  </si>
  <si>
    <t>ล็อค B7</t>
  </si>
  <si>
    <t>1543/77114</t>
  </si>
  <si>
    <t>ล็อค B8</t>
  </si>
  <si>
    <t>นางวราภรณ์  พุ่มพฤกษา (แพแอ๋วน้อย)</t>
  </si>
  <si>
    <t>ล็อค B9</t>
  </si>
  <si>
    <t>1341/67028</t>
  </si>
  <si>
    <t>นางสาวสรวีย์  ภาคย์เติมพงศ์ (เจ๊น้อย)</t>
  </si>
  <si>
    <t>ล็อค B10</t>
  </si>
  <si>
    <t>1341/67046</t>
  </si>
  <si>
    <t>ล็อค B11</t>
  </si>
  <si>
    <t>ล็อค B12</t>
  </si>
  <si>
    <t>นางสลิ่ม  ธนาชีวิต (แพสยามชัย)</t>
  </si>
  <si>
    <t>ล็อค B13</t>
  </si>
  <si>
    <t>1341/67024</t>
  </si>
  <si>
    <t>ยกเลิก กค.62</t>
  </si>
  <si>
    <t>ใช้สถานที่ชั่วคราวโรงประมูลด้านขวา</t>
  </si>
  <si>
    <t>นางอารีนันท์ เจริญพรพูนสิน (แพวาสนาอดิศร) (เจ๊เจียม)</t>
  </si>
  <si>
    <t>ล็อคA1</t>
  </si>
  <si>
    <t>1543/77122</t>
  </si>
  <si>
    <t>ล็อคA2</t>
  </si>
  <si>
    <t>ล็อคA3</t>
  </si>
  <si>
    <t>ล็อคA4</t>
  </si>
  <si>
    <t>ล็อคA5</t>
  </si>
  <si>
    <t>นางอารีนันท์ เจริญพรพูนสิน (แพวาสนาอดิศร) (เจ๊ผา)</t>
  </si>
  <si>
    <t>ล็อคA6</t>
  </si>
  <si>
    <t>นางวาสนา เก่าเงินโชติ (แพเพิ่มสิน)</t>
  </si>
  <si>
    <t>ล็อคA7</t>
  </si>
  <si>
    <t>1543/77119</t>
  </si>
  <si>
    <t>ล็อคA8</t>
  </si>
  <si>
    <t>ล็อคA9</t>
  </si>
  <si>
    <t>1543/77120</t>
  </si>
  <si>
    <t>ล็อคA10</t>
  </si>
  <si>
    <t>นายพศิน เทียนศิริ (แพป้าติ๋ว)</t>
  </si>
  <si>
    <t>ล็อคA11</t>
  </si>
  <si>
    <t>1543/77123</t>
  </si>
  <si>
    <t>ล็อคA12</t>
  </si>
  <si>
    <t>1543/77116</t>
  </si>
  <si>
    <t>ใช้สถานที่ชั่วคราววอาคารตลาดสัตว์น้ำส่งออก</t>
  </si>
  <si>
    <t>นายสราวุฒิ  วายุภักดิ์ (แพไอลดา) วิชัย</t>
  </si>
  <si>
    <t>ล็อค A1</t>
  </si>
  <si>
    <t>1543/77126</t>
  </si>
  <si>
    <t>นางสาวธาราทิพย์ เหมทานนท์</t>
  </si>
  <si>
    <t>ล็อค A2 (เริ่มเช่า 1 ก.ย. 68)</t>
  </si>
  <si>
    <t xml:space="preserve">นายสุเมธ คุ้มวงษ์  (โกแมว-เจ๊ทุ่ม) </t>
  </si>
  <si>
    <t>ล็อค A3</t>
  </si>
  <si>
    <t>ล็อค A4</t>
  </si>
  <si>
    <t xml:space="preserve">นางสาวกนกพร  แพ่งยัง (นกอ้วน) </t>
  </si>
  <si>
    <t>ล็อค A5</t>
  </si>
  <si>
    <t>1543/77109</t>
  </si>
  <si>
    <t>ล็อค A6 (เริ่มเช่า 16 ส.ค. 65)</t>
  </si>
  <si>
    <t>นางวรรณลดา  วรรณประภักดิ์ (แพเอกนคร)</t>
  </si>
  <si>
    <t>ล็อค A7 (เริ่มเช่า 16 ส.ค. 65)</t>
  </si>
  <si>
    <t>1341/67033</t>
  </si>
  <si>
    <t>นายสุชาติ  นิสัยชล (แพก๊ะสาว ท่าศาลา)</t>
  </si>
  <si>
    <t>1543/77131</t>
  </si>
  <si>
    <t>รายใหม่</t>
  </si>
  <si>
    <t>นายณัฐพงศ์ วายุภักดิ์</t>
  </si>
  <si>
    <t>ล็อค B2 (เริ่มเช่า 1 ก.ย. 68)</t>
  </si>
  <si>
    <t>เริ่มเช่า กย.68</t>
  </si>
  <si>
    <t>1341/67040</t>
  </si>
  <si>
    <t>นางวราภรณ์ เนียมเงิน (แพผึ้ง)</t>
  </si>
  <si>
    <t>1543/77130</t>
  </si>
  <si>
    <t>นางสาวมะดิหน๊ะ เจ๊ะดุหมัน (เจ๊กุ-เจ๊สุ)</t>
  </si>
  <si>
    <t>1341/67044</t>
  </si>
  <si>
    <t>นายพงษ์ชาญ  หีตชะนา (น้องจอม)</t>
  </si>
  <si>
    <t>ล็อค B7 (เริ่มเช่า 16 มิ.ย. 64)</t>
  </si>
  <si>
    <t>1543/77124</t>
  </si>
  <si>
    <t>ค่าธรรมเนียมใช้เครน 4601300</t>
  </si>
  <si>
    <t>เครน</t>
  </si>
  <si>
    <t>ขวัญ</t>
  </si>
  <si>
    <t>นายนนชภัทร นวลเขียน (ต่าย)</t>
  </si>
  <si>
    <t>ศรีไทย</t>
  </si>
  <si>
    <t>ค่าเช่าที่จำหน่ายน้ำมัน 4601200</t>
  </si>
  <si>
    <t>ปั้มน้ำมัน,ที่ดิน 625 ตรว.</t>
  </si>
  <si>
    <t>5,16 ก.ย. 68</t>
  </si>
  <si>
    <t>375/37471,75</t>
  </si>
  <si>
    <t>2.5 ปี</t>
  </si>
  <si>
    <t>1รน 1/2565 ลว.24 มิย.65</t>
  </si>
  <si>
    <t>ค่าปรับ 1.5 ต่อเดือน ค่าจัดส่งหนังสือทวงถามฉบับละ 100.-</t>
  </si>
  <si>
    <t>หจก. ตันปุ้นระนอง โดย นางชนิตา จรัสโชคชัย 3-8599-00066-44-5 ที่อยู่ 234 ถ.ท่าเมือง ต.เขานิเวศน์ อ.เมือง จ.ระนอง</t>
  </si>
  <si>
    <t>1พค.65-30กย.67</t>
  </si>
  <si>
    <t>ค่าจำหน่ายไฟฟ้า 4700300</t>
  </si>
  <si>
    <t>1543/77127</t>
  </si>
  <si>
    <t>นายสุเมธ คุ้มวงษ์ (โกแมว-เจ๊ทุ่ม)</t>
  </si>
  <si>
    <t>นางสาวกนกพร แพ่งยัง (นกอ้วน)</t>
  </si>
  <si>
    <t>นางสาวศศิกานต์  วรรณประภักดิ์ (แพเอกนคร)</t>
  </si>
  <si>
    <t>1341/67034</t>
  </si>
  <si>
    <t>นายสุชาติ  นิสัยชล (สุชาติ-กะสาว)</t>
  </si>
  <si>
    <t>1543/77132</t>
  </si>
  <si>
    <t>1341/67042</t>
  </si>
  <si>
    <t>1341/67045</t>
  </si>
  <si>
    <t>ล็อค A9-A10 (โรงประมูล)</t>
  </si>
  <si>
    <t>1543/77121</t>
  </si>
  <si>
    <t>ค่าเช่าอาคารและที่ดิน 4700400</t>
  </si>
  <si>
    <t>อาคารคูหา 1-51 ต่อสัญญา 1 สค.64-31 กค.67 ปรับเพิ่ม 15 %</t>
  </si>
  <si>
    <t>375/37456</t>
  </si>
  <si>
    <t>1 สค.64</t>
  </si>
  <si>
    <t>31 กค.67</t>
  </si>
  <si>
    <t>ลว.29 มิย.65 2รน3/2565</t>
  </si>
  <si>
    <t>นางสลิ่ม ธนาชีวิต 3-8599-00021-84-1 ที่อยู่ 73/3 หมู่ 2 ต.บางริ้น อ.เมือง จ.ระนอง</t>
  </si>
  <si>
    <t>คูหาที่ 2</t>
  </si>
  <si>
    <t>375/37455</t>
  </si>
  <si>
    <t>.2-3,7-11,16-18</t>
  </si>
  <si>
    <t>2,440.- /6,100.-/3,660.- ลว.29 มิย.65 2รน4/2565,2รน6/2565,2รน8/2565</t>
  </si>
  <si>
    <t>คูหาที่ 3</t>
  </si>
  <si>
    <t>คูหาที่ 4</t>
  </si>
  <si>
    <t>ลว.29 มิย.65 2รน5/2565</t>
  </si>
  <si>
    <t>คูหาที่ 5</t>
  </si>
  <si>
    <t>คูหาที่ 6</t>
  </si>
  <si>
    <t>คูหาที่ 7</t>
  </si>
  <si>
    <t>คูหาที่ 8</t>
  </si>
  <si>
    <t>คูหาที่ 9</t>
  </si>
  <si>
    <t>คูหาที่ 10</t>
  </si>
  <si>
    <t>คูหาที่ 11</t>
  </si>
  <si>
    <t>นางสาววารุณี  ลิ่มศิลา (รับโอนจากนางนิตยา  ลิ่มศิลา )</t>
  </si>
  <si>
    <t>คูหาที่ 12</t>
  </si>
  <si>
    <t>375/37473</t>
  </si>
  <si>
    <t>ลว.29 มิย.65 2รน7/2565</t>
  </si>
  <si>
    <t>นางสาววารุณี ลิ่มศิลา 3-501-00325-26-0 ที่อยู่ 28/209-210 หมู่ 5 ต.บางริ้น อ.เมือง จ.ระนอง</t>
  </si>
  <si>
    <t>คูหาที่ 13</t>
  </si>
  <si>
    <t>คูหาที่ 14</t>
  </si>
  <si>
    <t>คูหาที่ 15</t>
  </si>
  <si>
    <t>คูหาที่ 16</t>
  </si>
  <si>
    <t>คูหาที่ 17</t>
  </si>
  <si>
    <t>คูหาที่ 18</t>
  </si>
  <si>
    <t>คูหาที่ 19</t>
  </si>
  <si>
    <t>375/37462</t>
  </si>
  <si>
    <t>คูหาที่ 20</t>
  </si>
  <si>
    <t>คูหาที่ 21</t>
  </si>
  <si>
    <t>คูหาที่ 22</t>
  </si>
  <si>
    <t>375/37461</t>
  </si>
  <si>
    <t>ลว.29 มิย.65 2รน10/2565</t>
  </si>
  <si>
    <t>นายคชาภรณ์ ใสสุข 1-8599-00094-04-3 ที่อยู่ 83/147 ม.2 ต.บางนอน อ.เมือง จ.ระนอง</t>
  </si>
  <si>
    <t>คูหาที่ 23</t>
  </si>
  <si>
    <t xml:space="preserve">น.ส.บังอร  โถงสมบัติ </t>
  </si>
  <si>
    <t>คูหาที่ 24</t>
  </si>
  <si>
    <t>375/37465</t>
  </si>
  <si>
    <t>คูหาที่ 25</t>
  </si>
  <si>
    <t>คูหาที่ 26</t>
  </si>
  <si>
    <t>คูหาที่ 27</t>
  </si>
  <si>
    <t>นส.อรุณรัตน์  ใสสุข</t>
  </si>
  <si>
    <t>คูหาที่ 28</t>
  </si>
  <si>
    <t>375/37468</t>
  </si>
  <si>
    <t>คูหาที่ 29</t>
  </si>
  <si>
    <t>คูหาที่ 30</t>
  </si>
  <si>
    <t>นายมนูญ  ปิยะปัญญาวงศ์</t>
  </si>
  <si>
    <t>คูหาที่ 31</t>
  </si>
  <si>
    <t>375/37472</t>
  </si>
  <si>
    <t>ทร.แจ้งได้มีการต่อสัญญา 1 สค.61-31กค.64</t>
  </si>
  <si>
    <t>คูหาที่ 32</t>
  </si>
  <si>
    <t>คูหาที่ 33</t>
  </si>
  <si>
    <t>นายวันขัย เต็มอุดมภาค</t>
  </si>
  <si>
    <t>คูหาที่ 34</t>
  </si>
  <si>
    <t>375/37458</t>
  </si>
  <si>
    <t>ลว.29 มิย.56 2รน14/2565</t>
  </si>
  <si>
    <t>นายวันชัย เต็มอุดมภาค 109/200 ม.1 ต.ปากน้ำ อ.เมือง จ.ระนอง 3-1199-00048-78-8</t>
  </si>
  <si>
    <t>คูหาที่ 35</t>
  </si>
  <si>
    <t>คูหาที่ 36</t>
  </si>
  <si>
    <t>คูหาที่ 37</t>
  </si>
  <si>
    <t>คูหาที่ 38</t>
  </si>
  <si>
    <t>คูหาที่ 39</t>
  </si>
  <si>
    <t xml:space="preserve">นางกมลทิพย์ วิภาคกิจอนันต์ </t>
  </si>
  <si>
    <t>คูหาที่ 40</t>
  </si>
  <si>
    <t>375/37459</t>
  </si>
  <si>
    <t>ลว.29 มิย.65 2รน15/2565</t>
  </si>
  <si>
    <t>นางกมลทิพย์ วิภาคกิจอนันต์ 3-8599-00094-33-3 ที่อยู่ 115/4 หมู่ 1 ต.ปากน้ำ อ.เมือง จ.ระนอง</t>
  </si>
  <si>
    <t>คูหาที่ 41</t>
  </si>
  <si>
    <t>คูหาที่ 42</t>
  </si>
  <si>
    <t>คูหาที่ 43</t>
  </si>
  <si>
    <t>นางสาวสมจิตร์ ประพันวงศ์ และ</t>
  </si>
  <si>
    <t>คูหาที่ 44</t>
  </si>
  <si>
    <t>375/37469</t>
  </si>
  <si>
    <t>ลว.29 มิย.65 2รน16/2565</t>
  </si>
  <si>
    <t>นางสาวสมจิตร์ ประพันธ์วงศ์ 3-8501-00316-13-9 ที่อยู่ 329/15 หมู่ 5 ต.บางริ้น อ.เมือง จ.ระนอง</t>
  </si>
  <si>
    <t>คูหาที่45</t>
  </si>
  <si>
    <t>คูหาที่ 46</t>
  </si>
  <si>
    <t>คูหาที่ 47</t>
  </si>
  <si>
    <t>คูหาที่ 48</t>
  </si>
  <si>
    <t>375/37484</t>
  </si>
  <si>
    <t>คูหาที่ 49</t>
  </si>
  <si>
    <t>คูหาที่ 50</t>
  </si>
  <si>
    <t>375/37485</t>
  </si>
  <si>
    <t>โดยนายกฤษฎา  บุญบัวเกิด</t>
  </si>
  <si>
    <t>และนายสุนันท์  บุญบัวเกิด</t>
  </si>
  <si>
    <t>ที่ดินรายเดือน</t>
  </si>
  <si>
    <t>สะพานขนถ่ายสินค้าสัตว์น้ำและลำเลียงน้ำแข็งลงเรือ</t>
  </si>
  <si>
    <t>375/37470</t>
  </si>
  <si>
    <t>1 รน 1/2564 ลว.12 มีค.2564</t>
  </si>
  <si>
    <t>3-8599-00133-62-3</t>
  </si>
  <si>
    <t>1 ถ.ลุวัง ต.เขานิเวศน์ อ.เมืองระนอง จ.ระนอง</t>
  </si>
  <si>
    <t>1 ธ.ค. 67 - 31 ธ.ค. 69</t>
  </si>
  <si>
    <t>ประมงพร้อมด้วยโรงคลุมคัดเลือกและดองสัตว์น้ำ</t>
  </si>
  <si>
    <t>ที่ดินที่ ทร.รน. เนื้อที่ 54 ตรว. พร้อม</t>
  </si>
  <si>
    <t>375/37457</t>
  </si>
  <si>
    <t>2.9 ปี</t>
  </si>
  <si>
    <t>30 กย.67</t>
  </si>
  <si>
    <t>บันทึกข้อตกลง 16 ปี  1 ม.ค.53-31 ธ.ค.68</t>
  </si>
  <si>
    <t>ลว. 20 พค.65 2รน1/2565</t>
  </si>
  <si>
    <t>1 ต.ค. 67 - 31 ธ.ค. 69</t>
  </si>
  <si>
    <t>สิ่งปลูกสร้างบริเวณปีกซ้ายของ ทร.รน.</t>
  </si>
  <si>
    <t xml:space="preserve">นายมานิตย์   ศิริทัศน์ </t>
  </si>
  <si>
    <t>ที่ดินที่ ทร.รน. เนื้อที่ 10*12 เมตร เพื่อใช้ประโยชน์</t>
  </si>
  <si>
    <t>375/37466</t>
  </si>
  <si>
    <t>2รน2/2565 ลว.7 กพ.65</t>
  </si>
  <si>
    <t>นายมานิตย์ ศิริทัศน์ 3-9499-00047-77-6 ที่อยู่ 21/19 หมู่ 4 ต.รูสะมิแล อ.เมืองปัตตานี จ.ปัตตานี</t>
  </si>
  <si>
    <t>เป็นที่คัดเลือกและขนถ่ายสัตว์น้ำ</t>
  </si>
  <si>
    <t>บจก.ระนองอุตสาหกรรมห้องเย็นประมง</t>
  </si>
  <si>
    <t>อาคารตลาดสัตว์น้ำคุณภาพ</t>
  </si>
  <si>
    <t>375/37480</t>
  </si>
  <si>
    <t xml:space="preserve">บันทึกข้อตกลงการเช่า 14 ปี ตั้งแต่ 16 ก.ย 52 -15 ก.ย.66 </t>
  </si>
  <si>
    <t>ที่ดินด้านข้างอาคารแพปลาริมน้ำ ระหว่างอาคาร</t>
  </si>
  <si>
    <t>375/37454</t>
  </si>
  <si>
    <t>1 ตค.64</t>
  </si>
  <si>
    <t>ลว.1 มิย.65 2รน19/2565</t>
  </si>
  <si>
    <t>บ.ระนองอุตสาหกรรมห้องเย็นประมง จำกัด โดย นายพันธ์เลิศ ใบหยก ที่อยู่ 52 สะพานปลากรุงเทพ แขวงยานนาวา เขตสาทร กทม.</t>
  </si>
  <si>
    <t xml:space="preserve">โดยนายพันธ์เลิศ ใบหยก </t>
  </si>
  <si>
    <t>แพปลาเลขที่ 31-31 เนือที่ 60.32 ตารางวา</t>
  </si>
  <si>
    <t>นายวรินทร ลีสกุล</t>
  </si>
  <si>
    <t>เช่าศูนย์อาหารเพื่อใช้ประโยชน์ในการให้บริการจำหน่าย</t>
  </si>
  <si>
    <t>375/37463</t>
  </si>
  <si>
    <t>1 ก.ย. 67 - 31 ธ.ค. 69</t>
  </si>
  <si>
    <t>อาหารทะเล</t>
  </si>
  <si>
    <t>ค่าเช่าที่อื่น ๆ (ชั่วคราว) 4700700</t>
  </si>
  <si>
    <t>บริษัท เวิร์คเซ้าท์ ทูเกธเธอร์ จำกัด</t>
  </si>
  <si>
    <t>ติดตั้งป้ายประชาสัมพันธ์บริเวณโรงประมูลสัตว์น้ำ</t>
  </si>
  <si>
    <t>1 ต.ค. 65 - 30 ก.ย. 66 (ค่าเช่าปีละ 52,908.00 บาท)</t>
  </si>
  <si>
    <t>ด้าน A ขนาด 45*1.8 เมตร</t>
  </si>
  <si>
    <t>นายศิวกร ภักดิ์กำเลา</t>
  </si>
  <si>
    <t>บ้านพักพนักงานเลขที่ 90/7 ม.1</t>
  </si>
  <si>
    <t>375/37467</t>
  </si>
  <si>
    <t>ค่าเช่าที่รายปี (ค่าเช่าอาคารและที่ดิน) 4700400</t>
  </si>
  <si>
    <t>นายกฤษณะ  เอี่ยมวงศ์นที (ปลาทอง)</t>
  </si>
  <si>
    <t>อาคารและที่ดินอู่เรือ-คานเรือและ</t>
  </si>
  <si>
    <t>1,24 ก.ย. 68</t>
  </si>
  <si>
    <t>375/37460,81</t>
  </si>
  <si>
    <t>1.8 ปี</t>
  </si>
  <si>
    <t>ลว.19พค.63 ปีละ  1,032,500.-</t>
  </si>
  <si>
    <t>1 ม.ค. 65 - 30 ก.ย. 67</t>
  </si>
  <si>
    <t>โรงงานปลาป่นเนือที่ 3,534 ตรว.</t>
  </si>
  <si>
    <t>ค่าเช่าปีละ 1,187,375.00 บาท (890,532.00)</t>
  </si>
  <si>
    <t>บริษัท แน่นแฟ้น จำกัด โดยนายยุทธนา</t>
  </si>
  <si>
    <t>อาคารและที่ดินโรงงาน</t>
  </si>
  <si>
    <t>ต.ค.67-ส.ค.68</t>
  </si>
  <si>
    <t>375/37478</t>
  </si>
  <si>
    <t>ต.ค.68-พ.ย.69</t>
  </si>
  <si>
    <t>1.3 ปี</t>
  </si>
  <si>
    <t>1 ตค.63</t>
  </si>
  <si>
    <t>31 ธค.64</t>
  </si>
  <si>
    <t>ลว.1 ตค.63 2รน2/2563</t>
  </si>
  <si>
    <t xml:space="preserve">โอภาโสและนายสุนันท์ บุญบัวเกิด </t>
  </si>
  <si>
    <t>ปลาป่นเนื้อที่ 800 ตารางวา</t>
  </si>
  <si>
    <t>ค่าเช่าปีละ 508,990.00 บาท (381,744.00)</t>
  </si>
  <si>
    <t>1 ปี</t>
  </si>
  <si>
    <t>16 มีค.64</t>
  </si>
  <si>
    <t>15 มีค.65</t>
  </si>
  <si>
    <t>ลว.30 กย.64 3รน1/2564</t>
  </si>
  <si>
    <t>บ.เวิร์คเซ้าท์ทูเกธเธอร์ จำกัด โดย น.ส.สุรางคณางค์ รัตนเนตร ที่อยู่ 204/69 ม.1 ถ.วัดโพธิ์-บางใหญ่ ต.มะขามเตี้ย อ.เมือง จ.สุราษฎร์ธานี โทร.086-947-4845</t>
  </si>
  <si>
    <t>รวมหนี้ปกติ</t>
  </si>
  <si>
    <t>ลูกหนี้ที่มีคำพิพากษา</t>
  </si>
  <si>
    <t>นายพงษ์อินทร์ โชควัฒนรัตน์</t>
  </si>
  <si>
    <t>ค่าศูนย์อาหารพร้อมดอกเบี้ย</t>
  </si>
  <si>
    <t>อยู่ระหว่างดำเนินคดี</t>
  </si>
  <si>
    <t>ธค.61-สค.63</t>
  </si>
  <si>
    <t>หลังปี 66 จะมีค่าต่ออายุสัญญา</t>
  </si>
  <si>
    <t>ปรับตามคำพิพากษา</t>
  </si>
  <si>
    <t>สัญญาหมด 31 สค.60 ส่วนต่างค่าเช่าสัญญาใหม่ 15%  เดือนละ 2,250.- ตั้งแต่ กย.60 เป็นต้นไป</t>
  </si>
  <si>
    <t>ทร.ระนอง ยุติการเดินหนี้ ตามบันทึก กษ1709/3564 ลว.2 กย.63</t>
  </si>
  <si>
    <t>ค่าเช่าศูนย์อาหารพร้อมดอกเบี้ย</t>
  </si>
  <si>
    <t>กย.63-กพ.64</t>
  </si>
  <si>
    <t>ค่าเสียหายพร้อมดอกเบี้ย</t>
  </si>
  <si>
    <t>กย.63-ธค.64</t>
  </si>
  <si>
    <t>ค่าภาษีโรงเรือนอาคารศูนย์อาหารและสุขาสาธารณะพร้อมดอกเบี้ย</t>
  </si>
  <si>
    <t>ปี 2560-2562</t>
  </si>
  <si>
    <t>(1ก.ย.57-31 ส.ค.60) ก่อนดอกเบี้ย 46,630.43</t>
  </si>
  <si>
    <t>อัคคีภัย อยู่ระหว่างดำเนินคดี</t>
  </si>
  <si>
    <t>25ธ.ค.61-25ธ.ค.64</t>
  </si>
  <si>
    <t xml:space="preserve">  </t>
  </si>
  <si>
    <t>(25 ธ.ค. 61 - 25 ธ.ค. 63) ก่อนดอกเบี้ย 27,747.24</t>
  </si>
  <si>
    <t>อยู่ในขั้นตอนสบน.สืบทรัพย์</t>
  </si>
  <si>
    <t>หนี้ดำเนินคดี/ศาลพิพากษา</t>
  </si>
  <si>
    <t>นายบุญช่วย โพธิ์ทอง</t>
  </si>
  <si>
    <t>โรงกลึง</t>
  </si>
  <si>
    <t xml:space="preserve">ตัดหนี้สูญตาม กษ 1705.3/237 ลว19กย.68 </t>
  </si>
  <si>
    <t xml:space="preserve">ตัดหนี้สูญ มีค.44-ธค.44 ยอด 43,302.95 บาท ตาม กษ 1705.3/237 ลว19กย.68 </t>
  </si>
  <si>
    <r>
      <t>หจก.มหกิจมั่นคง</t>
    </r>
    <r>
      <rPr>
        <b/>
        <sz val="18"/>
        <color rgb="FFFF0000"/>
        <rFont val="TH SarabunPSK"/>
        <family val="2"/>
      </rPr>
      <t xml:space="preserve"> (รอตัดหนี้สูญ)</t>
    </r>
  </si>
  <si>
    <t>(ตามคำสั่งศาล)</t>
  </si>
  <si>
    <t>ศาล</t>
  </si>
  <si>
    <t>รวมเป็นเงินทั้งสิ้น</t>
  </si>
  <si>
    <t>1544/77161</t>
  </si>
  <si>
    <t>1544/77173</t>
  </si>
  <si>
    <t>1544/77158</t>
  </si>
  <si>
    <t>1544/77153</t>
  </si>
  <si>
    <t>1544/77163</t>
  </si>
  <si>
    <t>1544/77164</t>
  </si>
  <si>
    <t>1544/77155</t>
  </si>
  <si>
    <t>1544/77151</t>
  </si>
  <si>
    <t>1544/77152</t>
  </si>
  <si>
    <t>1544/77172</t>
  </si>
  <si>
    <t>799/39909</t>
  </si>
  <si>
    <t>16ต.ค.68-15พ.ย.68</t>
  </si>
  <si>
    <t>1544/77174</t>
  </si>
  <si>
    <t>799/39907</t>
  </si>
  <si>
    <t>1552/77594</t>
  </si>
  <si>
    <t>พ.ย.68-ก.ค.69</t>
  </si>
  <si>
    <t>1546/77269</t>
  </si>
  <si>
    <t>1544/77178</t>
  </si>
  <si>
    <t>1547/77319</t>
  </si>
  <si>
    <t>1542/77094</t>
  </si>
  <si>
    <t>799/39908</t>
  </si>
  <si>
    <t>1544/77182</t>
  </si>
  <si>
    <t>1544/77189</t>
  </si>
  <si>
    <t>พ.ย.68-พ.ย.68</t>
  </si>
  <si>
    <t>1558/77855</t>
  </si>
  <si>
    <t>1544/77166</t>
  </si>
  <si>
    <t>1544/77177</t>
  </si>
  <si>
    <t>1544/77186</t>
  </si>
  <si>
    <t>1544/77191</t>
  </si>
  <si>
    <t>พ.ย.68-ธ.ค.68</t>
  </si>
  <si>
    <t>799/39912</t>
  </si>
  <si>
    <t>1545/77248</t>
  </si>
  <si>
    <t>1544/77181</t>
  </si>
  <si>
    <t>1544/77156</t>
  </si>
  <si>
    <t>1544/77190</t>
  </si>
  <si>
    <t>1544/77170</t>
  </si>
  <si>
    <t>พ.ย.68-ก.ย.69</t>
  </si>
  <si>
    <t>1544/77187</t>
  </si>
  <si>
    <t>1544/77199</t>
  </si>
  <si>
    <t>799/39905</t>
  </si>
  <si>
    <t>1544/77196</t>
  </si>
  <si>
    <t>1544/77200</t>
  </si>
  <si>
    <t>799/39911</t>
  </si>
  <si>
    <t>799/39901</t>
  </si>
  <si>
    <t>1544/77160</t>
  </si>
  <si>
    <t>1544/77188</t>
  </si>
  <si>
    <t>799/39904</t>
  </si>
  <si>
    <t>799/39906</t>
  </si>
  <si>
    <t>1544/77195</t>
  </si>
  <si>
    <t>1544/77154</t>
  </si>
  <si>
    <t>799/39910</t>
  </si>
  <si>
    <t>799/39903</t>
  </si>
  <si>
    <t>1544/77168</t>
  </si>
  <si>
    <t>1544/77180</t>
  </si>
  <si>
    <t>1544/77184</t>
  </si>
  <si>
    <t>1544/77159</t>
  </si>
  <si>
    <t>1544/77179</t>
  </si>
  <si>
    <t>1544/77162</t>
  </si>
  <si>
    <t>รับล่วงหน้า</t>
  </si>
  <si>
    <t>1558/77853</t>
  </si>
  <si>
    <t>1544/77183</t>
  </si>
  <si>
    <t>1544/77198</t>
  </si>
  <si>
    <t>1558/77857</t>
  </si>
  <si>
    <t>1544/77192</t>
  </si>
  <si>
    <t>1544/77193</t>
  </si>
  <si>
    <t>1544/77165</t>
  </si>
  <si>
    <t>1544/77185</t>
  </si>
  <si>
    <t>1544/77157</t>
  </si>
  <si>
    <t>1558/77851</t>
  </si>
  <si>
    <t>1544/77169</t>
  </si>
  <si>
    <t>1558/77858</t>
  </si>
  <si>
    <t>1544/77176</t>
  </si>
  <si>
    <t>1558/77956</t>
  </si>
  <si>
    <t>1544/77194</t>
  </si>
  <si>
    <t>1544/77167</t>
  </si>
  <si>
    <t>1558/77852</t>
  </si>
  <si>
    <t>1544/77171</t>
  </si>
  <si>
    <t>1544/77175</t>
  </si>
  <si>
    <t>1544/77197</t>
  </si>
  <si>
    <t>376/37509</t>
  </si>
  <si>
    <t>376/37515</t>
  </si>
  <si>
    <t>376/37506</t>
  </si>
  <si>
    <t>376/37504</t>
  </si>
  <si>
    <t>376/37508</t>
  </si>
  <si>
    <t>376/37511</t>
  </si>
  <si>
    <t>376/37505</t>
  </si>
  <si>
    <t>376/37501</t>
  </si>
  <si>
    <t>376/37503</t>
  </si>
  <si>
    <t>376/37514</t>
  </si>
  <si>
    <t>376/37516</t>
  </si>
  <si>
    <t>376/37510</t>
  </si>
  <si>
    <t>376/37507</t>
  </si>
  <si>
    <t>376/37519</t>
  </si>
  <si>
    <t>376/37502</t>
  </si>
  <si>
    <t>376/37512</t>
  </si>
  <si>
    <t>พ.ย.68-พ.ย.69</t>
  </si>
  <si>
    <t>376/37513</t>
  </si>
  <si>
    <t>หนี้ค้าง 1 เดือน</t>
  </si>
  <si>
    <t>ณ วันที่ 30 พฤศจิกายน 2568</t>
  </si>
  <si>
    <t>1558/77882</t>
  </si>
  <si>
    <t>1558/77866</t>
  </si>
  <si>
    <t>1558/77890</t>
  </si>
  <si>
    <t>1558/77889</t>
  </si>
  <si>
    <t>1558/77869</t>
  </si>
  <si>
    <t>1558/77873</t>
  </si>
  <si>
    <t>1558/77881</t>
  </si>
  <si>
    <t>1558/77886</t>
  </si>
  <si>
    <t>1558/77859</t>
  </si>
  <si>
    <t>1558/77861</t>
  </si>
  <si>
    <t>1558/77888</t>
  </si>
  <si>
    <t>1,28 พ.ย. 68</t>
  </si>
  <si>
    <t>1558/77867,1568/78369</t>
  </si>
  <si>
    <t>1558/77868,1568/78368</t>
  </si>
  <si>
    <t>799/39924</t>
  </si>
  <si>
    <t>16พ.ย.68-15ธ.ค.68</t>
  </si>
  <si>
    <t>1558/77887</t>
  </si>
  <si>
    <t>799/39925</t>
  </si>
  <si>
    <t>799/39919</t>
  </si>
  <si>
    <t>799/39918</t>
  </si>
  <si>
    <t>1566/78296</t>
  </si>
  <si>
    <t>1558/77878</t>
  </si>
  <si>
    <t>1560/77966</t>
  </si>
  <si>
    <t>1558/77885</t>
  </si>
  <si>
    <t>1563/78143</t>
  </si>
  <si>
    <t>1559/77935</t>
  </si>
  <si>
    <t>799/39921</t>
  </si>
  <si>
    <t>1558/77898</t>
  </si>
  <si>
    <t>1568/78356</t>
  </si>
  <si>
    <t>1558/77865</t>
  </si>
  <si>
    <t>1568/78363</t>
  </si>
  <si>
    <t>3,28 พ.ย. 68</t>
  </si>
  <si>
    <t>1558/77875,1568/78371</t>
  </si>
  <si>
    <t>1558/77897</t>
  </si>
  <si>
    <t>1568/78352</t>
  </si>
  <si>
    <t>1568/78358</t>
  </si>
  <si>
    <t>ธ.ค.68-ธ.ค.68</t>
  </si>
  <si>
    <t>1568/78366</t>
  </si>
  <si>
    <t>1560/77958</t>
  </si>
  <si>
    <t>1558/77896</t>
  </si>
  <si>
    <t>1558/77884</t>
  </si>
  <si>
    <t>1568/78354</t>
  </si>
  <si>
    <t>1558/77871</t>
  </si>
  <si>
    <t>ธ.ค.68-ก.ย.69</t>
  </si>
  <si>
    <t>1568/78355</t>
  </si>
  <si>
    <t>1568/78357</t>
  </si>
  <si>
    <t>799/39917</t>
  </si>
  <si>
    <t>1568/78360</t>
  </si>
  <si>
    <t>1568/78364</t>
  </si>
  <si>
    <t>799/39926</t>
  </si>
  <si>
    <t>799/39913</t>
  </si>
  <si>
    <t>1558/77864</t>
  </si>
  <si>
    <t>1568/78353</t>
  </si>
  <si>
    <t>799/39916</t>
  </si>
  <si>
    <t>799/39920</t>
  </si>
  <si>
    <t>1568/78361</t>
  </si>
  <si>
    <t>1558/77860</t>
  </si>
  <si>
    <t>799/39922</t>
  </si>
  <si>
    <t>799/39914</t>
  </si>
  <si>
    <t>1558/77891</t>
  </si>
  <si>
    <t>1558/77895</t>
  </si>
  <si>
    <t>1558/77893</t>
  </si>
  <si>
    <t>1558/77863</t>
  </si>
  <si>
    <t>1558/77894</t>
  </si>
  <si>
    <t>1558/77883</t>
  </si>
  <si>
    <t>1568/78362</t>
  </si>
  <si>
    <t>1568/78373</t>
  </si>
  <si>
    <t>1568/78377</t>
  </si>
  <si>
    <t>1568/78376</t>
  </si>
  <si>
    <t>1558/77862</t>
  </si>
  <si>
    <t>1558/77892</t>
  </si>
  <si>
    <t>1558/77874,1568/78370</t>
  </si>
  <si>
    <t>1568/78351</t>
  </si>
  <si>
    <t>1558/77877</t>
  </si>
  <si>
    <t>1568/78380</t>
  </si>
  <si>
    <t>1558/77870</t>
  </si>
  <si>
    <t>1568/78379</t>
  </si>
  <si>
    <t>1558/77879</t>
  </si>
  <si>
    <t>1568/78365</t>
  </si>
  <si>
    <t>376/37539</t>
  </si>
  <si>
    <t>1568/78375</t>
  </si>
  <si>
    <t>1558/77876,1568/78372</t>
  </si>
  <si>
    <t>1568/78381</t>
  </si>
  <si>
    <t>1558/77872</t>
  </si>
  <si>
    <t>1558/77880</t>
  </si>
  <si>
    <t>1568/78378</t>
  </si>
  <si>
    <t>376/37529</t>
  </si>
  <si>
    <t>376/37523</t>
  </si>
  <si>
    <t>376/37540</t>
  </si>
  <si>
    <t>376/37537</t>
  </si>
  <si>
    <t>376/37527</t>
  </si>
  <si>
    <t>376/37528</t>
  </si>
  <si>
    <t>376/37531</t>
  </si>
  <si>
    <t>376/37535</t>
  </si>
  <si>
    <t>376/37520</t>
  </si>
  <si>
    <t>376/37521</t>
  </si>
  <si>
    <t>376/37538</t>
  </si>
  <si>
    <t>376/37524,376/37546</t>
  </si>
  <si>
    <t>376/37525,376/37547</t>
  </si>
  <si>
    <t>376/37536</t>
  </si>
  <si>
    <t>4,18 พ.ย. 68</t>
  </si>
  <si>
    <t>376/37530,42</t>
  </si>
  <si>
    <t>ธ.ค.68-ม.ค.69</t>
  </si>
  <si>
    <t>376/37532</t>
  </si>
  <si>
    <t>376/37545</t>
  </si>
  <si>
    <t>376/37522</t>
  </si>
  <si>
    <t>376/37534</t>
  </si>
  <si>
    <t>376/37533</t>
  </si>
  <si>
    <t>ธ.ค.68-พ.ย.69</t>
  </si>
  <si>
    <t>ฤฆธ</t>
  </si>
  <si>
    <t>หนี้ 1 เดือน</t>
  </si>
  <si>
    <t>ณ วันที่ 31 ธันวาคม 2568</t>
  </si>
  <si>
    <t>1568/78387</t>
  </si>
  <si>
    <t>1572/78559</t>
  </si>
  <si>
    <t>1572/78558</t>
  </si>
  <si>
    <t>1568/78386</t>
  </si>
  <si>
    <t>1568/78397</t>
  </si>
  <si>
    <t>1568/78398</t>
  </si>
  <si>
    <t>1568/78389</t>
  </si>
  <si>
    <t>1568/78400</t>
  </si>
  <si>
    <t>1572/78554</t>
  </si>
  <si>
    <t>1572/78585</t>
  </si>
  <si>
    <t>1572/78586</t>
  </si>
  <si>
    <t>799/39938</t>
  </si>
  <si>
    <t>16ธ.ค.68-15ม.ค.69</t>
  </si>
  <si>
    <t>1572/78551</t>
  </si>
  <si>
    <t>799/39941</t>
  </si>
  <si>
    <t>799/39929</t>
  </si>
  <si>
    <t>799/39932</t>
  </si>
  <si>
    <t>1580/78966</t>
  </si>
  <si>
    <t>1568/78385</t>
  </si>
  <si>
    <t>1573/78602</t>
  </si>
  <si>
    <t>1572/78556</t>
  </si>
  <si>
    <t>1575/78729</t>
  </si>
  <si>
    <t>1568/78382</t>
  </si>
  <si>
    <t>799/39936</t>
  </si>
  <si>
    <t>1572/78581</t>
  </si>
  <si>
    <t>1572/78566</t>
  </si>
  <si>
    <t>1581/79006</t>
  </si>
  <si>
    <t>ม.ค.69-พ.ค.69</t>
  </si>
  <si>
    <t>1572/78567</t>
  </si>
  <si>
    <t>1568/78390</t>
  </si>
  <si>
    <t>1572/78583</t>
  </si>
  <si>
    <t>1572/78568</t>
  </si>
  <si>
    <t>1572/78587</t>
  </si>
  <si>
    <t>799/39940</t>
  </si>
  <si>
    <t>1573/78613</t>
  </si>
  <si>
    <t>1572/78565</t>
  </si>
  <si>
    <t>1568/78384</t>
  </si>
  <si>
    <t>1572/78573</t>
  </si>
  <si>
    <t>1568/78392</t>
  </si>
  <si>
    <t>ม.ค.69-ก.ย.69</t>
  </si>
  <si>
    <t>1572/78572</t>
  </si>
  <si>
    <t>1572/78570</t>
  </si>
  <si>
    <t>799/39931</t>
  </si>
  <si>
    <t>1572/78578</t>
  </si>
  <si>
    <t>1572/78569</t>
  </si>
  <si>
    <t>799/39939</t>
  </si>
  <si>
    <t>799/39928</t>
  </si>
  <si>
    <t>1568/78394</t>
  </si>
  <si>
    <t>1572/78571</t>
  </si>
  <si>
    <t>799/39933</t>
  </si>
  <si>
    <t>799/39935</t>
  </si>
  <si>
    <t>1572/78577</t>
  </si>
  <si>
    <t>1568/78399</t>
  </si>
  <si>
    <t>799/39937</t>
  </si>
  <si>
    <t>799/39934</t>
  </si>
  <si>
    <t>1572/78560</t>
  </si>
  <si>
    <t>1572/78564</t>
  </si>
  <si>
    <t>1568/78395</t>
  </si>
  <si>
    <t>1572/78563</t>
  </si>
  <si>
    <t>1568/78388</t>
  </si>
  <si>
    <t>1572/78576</t>
  </si>
  <si>
    <t>1572/78591</t>
  </si>
  <si>
    <t>1572/78574</t>
  </si>
  <si>
    <t>1572/78592</t>
  </si>
  <si>
    <t>1572/78579</t>
  </si>
  <si>
    <t>1572/8592</t>
  </si>
  <si>
    <t>1572/78582</t>
  </si>
  <si>
    <t>1572/78557</t>
  </si>
  <si>
    <t>1568/78383</t>
  </si>
  <si>
    <t>1568/78391</t>
  </si>
  <si>
    <t>1572/78596</t>
  </si>
  <si>
    <t>1572/78561</t>
  </si>
  <si>
    <t>1572/78584</t>
  </si>
  <si>
    <t>376/37565</t>
  </si>
  <si>
    <t>1572/78593</t>
  </si>
  <si>
    <t>1568/78393</t>
  </si>
  <si>
    <t>1572/78562</t>
  </si>
  <si>
    <t>1572/78575</t>
  </si>
  <si>
    <t>376/37551</t>
  </si>
  <si>
    <t>376/37564</t>
  </si>
  <si>
    <t>376/37562</t>
  </si>
  <si>
    <t>376/37550</t>
  </si>
  <si>
    <t>376/37555</t>
  </si>
  <si>
    <t>376/37556</t>
  </si>
  <si>
    <t>376/37553</t>
  </si>
  <si>
    <t>376/37552</t>
  </si>
  <si>
    <t>376/37558</t>
  </si>
  <si>
    <t>376/37560</t>
  </si>
  <si>
    <t>376/37569</t>
  </si>
  <si>
    <t>376/37570</t>
  </si>
  <si>
    <t>376/37557</t>
  </si>
  <si>
    <t>ม.ค.69-ม.ค.69</t>
  </si>
  <si>
    <t>376/37561</t>
  </si>
  <si>
    <t>376/37566</t>
  </si>
  <si>
    <t>376/37549</t>
  </si>
  <si>
    <t>376/37563</t>
  </si>
  <si>
    <t>ม.ค.69-พ.ย.69</t>
  </si>
  <si>
    <t>376/37554</t>
  </si>
  <si>
    <t>4,30 ธ.ค. 68</t>
  </si>
  <si>
    <t>1572/78553,1572/78590</t>
  </si>
  <si>
    <t>3,27 ธ.ค. 68</t>
  </si>
  <si>
    <t>1568/78396,157/78580</t>
  </si>
  <si>
    <t>ม.ค.69-ก.ค.69</t>
  </si>
  <si>
    <t>1572/78552,1572/78589</t>
  </si>
  <si>
    <t>1572/78595</t>
  </si>
  <si>
    <t>376/37559,376/37571</t>
  </si>
  <si>
    <t xml:space="preserve">3,27 ธ.ค. 68 </t>
  </si>
  <si>
    <t>376/37553,376/37567</t>
  </si>
  <si>
    <t>หนี้ปกติ</t>
  </si>
  <si>
    <t>หนี้ปกติ+หนี้ตามคำพิพากษา</t>
  </si>
  <si>
    <t>ณ วันที่ 31 มกราคม 2569</t>
  </si>
  <si>
    <t>1587/79305</t>
  </si>
  <si>
    <t>1598/79860</t>
  </si>
  <si>
    <t>ก.พ.69-ก.พ.69</t>
  </si>
  <si>
    <t>1587/79322</t>
  </si>
  <si>
    <t>1587/39314</t>
  </si>
  <si>
    <t>5,31 ม.ค. 69</t>
  </si>
  <si>
    <t>1587/79313,1598/79862</t>
  </si>
  <si>
    <t>1587/79301</t>
  </si>
  <si>
    <t>1572/78597</t>
  </si>
  <si>
    <t>1572/78600</t>
  </si>
  <si>
    <t>1572/78598</t>
  </si>
  <si>
    <t>1587/79311</t>
  </si>
  <si>
    <t>1598/79856</t>
  </si>
  <si>
    <t>1598/79855</t>
  </si>
  <si>
    <t>800/39953</t>
  </si>
  <si>
    <t>16ม.ค.69-15ก.พ.69</t>
  </si>
  <si>
    <t>1587/79325</t>
  </si>
  <si>
    <t>800/39955</t>
  </si>
  <si>
    <t>799/39943</t>
  </si>
  <si>
    <t>799/39944</t>
  </si>
  <si>
    <t>1592/79578</t>
  </si>
  <si>
    <t>ก.พ.69-ก.ค.69</t>
  </si>
  <si>
    <t>1585/79223</t>
  </si>
  <si>
    <t>1587/79332</t>
  </si>
  <si>
    <t>1586/79284</t>
  </si>
  <si>
    <t>800/39951</t>
  </si>
  <si>
    <t>1587/79337</t>
  </si>
  <si>
    <t>1587/79336</t>
  </si>
  <si>
    <t>ก.พ.69-พ.ค.69</t>
  </si>
  <si>
    <t>1598/79861</t>
  </si>
  <si>
    <t>1587/79342</t>
  </si>
  <si>
    <t>1587/79316</t>
  </si>
  <si>
    <t>1587/79328</t>
  </si>
  <si>
    <t>1587/79334</t>
  </si>
  <si>
    <t>1587/79338</t>
  </si>
  <si>
    <t>1587/79344</t>
  </si>
  <si>
    <t>ก.พ.69-ธ.ค.69</t>
  </si>
  <si>
    <t>1598/79854</t>
  </si>
  <si>
    <t>800/39952</t>
  </si>
  <si>
    <t>1585/79241</t>
  </si>
  <si>
    <t>1587/79331</t>
  </si>
  <si>
    <t>1587/79327</t>
  </si>
  <si>
    <t>799/39948</t>
  </si>
  <si>
    <t>1587/79343</t>
  </si>
  <si>
    <t>1587/79309</t>
  </si>
  <si>
    <t>ก.พ.69-ก.ย.69</t>
  </si>
  <si>
    <t>1587/79339</t>
  </si>
  <si>
    <t>1587/79335</t>
  </si>
  <si>
    <t>799/39946</t>
  </si>
  <si>
    <t>1587/79348</t>
  </si>
  <si>
    <t>1587/79340</t>
  </si>
  <si>
    <t>800/39956</t>
  </si>
  <si>
    <t>799/39950</t>
  </si>
  <si>
    <t>1587/79304</t>
  </si>
  <si>
    <t>1587/79341</t>
  </si>
  <si>
    <t>799/39945</t>
  </si>
  <si>
    <t>799/39947</t>
  </si>
  <si>
    <t>1587/79347</t>
  </si>
  <si>
    <t>1572/78599</t>
  </si>
  <si>
    <t>800/39954</t>
  </si>
  <si>
    <t>799/39942</t>
  </si>
  <si>
    <t>1587/79326</t>
  </si>
  <si>
    <t>1587/79330</t>
  </si>
  <si>
    <t>5,29 ม.ค. 69</t>
  </si>
  <si>
    <t>1587/79321,345</t>
  </si>
  <si>
    <t>1587/79303</t>
  </si>
  <si>
    <t>1587/79329</t>
  </si>
  <si>
    <t>1587/79306</t>
  </si>
  <si>
    <t>1598/79852</t>
  </si>
  <si>
    <t>1598/79851</t>
  </si>
  <si>
    <t>1587/79349</t>
  </si>
  <si>
    <t>1598/79857</t>
  </si>
  <si>
    <t>1587/79346</t>
  </si>
  <si>
    <t>1598/79858</t>
  </si>
  <si>
    <t>1587/79302</t>
  </si>
  <si>
    <t>1587/79315</t>
  </si>
  <si>
    <t>1598/79864</t>
  </si>
  <si>
    <t>1587/79333</t>
  </si>
  <si>
    <t>1587/79307</t>
  </si>
  <si>
    <t>1598/79866</t>
  </si>
  <si>
    <t>1587/79323</t>
  </si>
  <si>
    <t>1587/79308</t>
  </si>
  <si>
    <t>1598/79863</t>
  </si>
  <si>
    <t>1587/79318</t>
  </si>
  <si>
    <t>1598/79853</t>
  </si>
  <si>
    <t>376/37584</t>
  </si>
  <si>
    <t>1598/79859</t>
  </si>
  <si>
    <t>1587/79317</t>
  </si>
  <si>
    <t>1587/79321,1598/79865</t>
  </si>
  <si>
    <t>1587/79310</t>
  </si>
  <si>
    <t>1587/79319</t>
  </si>
  <si>
    <t>1587/79350</t>
  </si>
  <si>
    <t>376/37578</t>
  </si>
  <si>
    <t>376/37591</t>
  </si>
  <si>
    <t>376/37585</t>
  </si>
  <si>
    <t>376/37582</t>
  </si>
  <si>
    <t>376/37581,376/37592</t>
  </si>
  <si>
    <t>376/37576</t>
  </si>
  <si>
    <t>376/37573</t>
  </si>
  <si>
    <t>376/37575</t>
  </si>
  <si>
    <t>376/37574</t>
  </si>
  <si>
    <t>376/37580</t>
  </si>
  <si>
    <t>376/37589</t>
  </si>
  <si>
    <t>376/37588</t>
  </si>
  <si>
    <t>ม.ค.69-ม.ค.70</t>
  </si>
  <si>
    <t>376/37586</t>
  </si>
  <si>
    <t>376/37579</t>
  </si>
  <si>
    <t>376/37587</t>
  </si>
  <si>
    <t>376/37572</t>
  </si>
  <si>
    <t>376/37583</t>
  </si>
  <si>
    <t>376/37577</t>
  </si>
  <si>
    <t>หมายเหตุ  : 1. ขอปรับปรุงยอดลูกหนี้ยกมารายนายนูญ ปิยะปัญญาวงศ์ ผู้เช่าที่ดินอาคารแพปลาคูหาที่ 33 จาก 0.00 บาท เป็น (1,410.00) บาท เนื่องจากได้รับชำระล่วงหน้า จำนวน 1,410.00 บาท ตามใบเสร็จรับเงินเลขที่ 376/37567 ลว 27 ธ.ค. 68</t>
  </si>
  <si>
    <r>
      <rPr>
        <sz val="16"/>
        <color theme="0"/>
        <rFont val="TH Sarabun New"/>
        <family val="2"/>
      </rPr>
      <t>หมายเหตุ  :</t>
    </r>
    <r>
      <rPr>
        <sz val="16"/>
        <rFont val="TH Sarabun New"/>
        <family val="2"/>
      </rPr>
      <t xml:space="preserve"> 2. ผู้ใช้รถผ่านท่ารายนางสุพรรณี เจ๊กสูงเนิน (PO) ขอยกเลิกใช้รถผ่านท่าตั้งแต่วันที่ 1 มกราคม 2569 เป็นต้นไป</t>
    </r>
  </si>
  <si>
    <t>หนี้ค้าง 1เดือน</t>
  </si>
  <si>
    <t>ณ กุมภาพันธ์ 2569</t>
  </si>
  <si>
    <t>1598/79878</t>
  </si>
  <si>
    <t>607/30326</t>
  </si>
  <si>
    <t>1598/79887</t>
  </si>
  <si>
    <t>1598/79883</t>
  </si>
  <si>
    <t>1598/79884</t>
  </si>
  <si>
    <t>1598/79885</t>
  </si>
  <si>
    <t>1598/79879</t>
  </si>
  <si>
    <t>1598/79867</t>
  </si>
  <si>
    <t>1598/79871</t>
  </si>
  <si>
    <t>1598/79886</t>
  </si>
  <si>
    <t>800/39968</t>
  </si>
  <si>
    <t>1598/79888</t>
  </si>
  <si>
    <t>ม.ค.69-ก.พ.69</t>
  </si>
  <si>
    <t>800/39963</t>
  </si>
  <si>
    <t>800/39958</t>
  </si>
  <si>
    <t>16ก.พ.69-15มี.ค.69</t>
  </si>
  <si>
    <t>มี.ค.69-มี.ค.69</t>
  </si>
  <si>
    <t>604/30194</t>
  </si>
  <si>
    <t>607/30315</t>
  </si>
  <si>
    <t>มี.ค.69-ก.ค.69</t>
  </si>
  <si>
    <t>1599/79948</t>
  </si>
  <si>
    <t>1598/39895</t>
  </si>
  <si>
    <t>1599/79949</t>
  </si>
  <si>
    <t>800/39965</t>
  </si>
  <si>
    <t>607/30301</t>
  </si>
  <si>
    <t>607/30304</t>
  </si>
  <si>
    <t>มี.ค.69-พ.ค.69</t>
  </si>
  <si>
    <t>28/2</t>
  </si>
  <si>
    <t>607/30327</t>
  </si>
  <si>
    <t>607/30309</t>
  </si>
  <si>
    <t>1598/79892</t>
  </si>
  <si>
    <t>1598/79877</t>
  </si>
  <si>
    <t>1598/79900</t>
  </si>
  <si>
    <t>607/30307</t>
  </si>
  <si>
    <t>มี.ค.69-ธ.ค.69</t>
  </si>
  <si>
    <t>607/30321</t>
  </si>
  <si>
    <t>800/39966</t>
  </si>
  <si>
    <t>1599/79915</t>
  </si>
  <si>
    <t>607/30303</t>
  </si>
  <si>
    <t>1598/79875</t>
  </si>
  <si>
    <t>6074/30310</t>
  </si>
  <si>
    <t>1598/79882</t>
  </si>
  <si>
    <t>มี.ค.69-ก.ย.69</t>
  </si>
  <si>
    <t>607/30305</t>
  </si>
  <si>
    <t>6074/30311</t>
  </si>
  <si>
    <t>800/39961</t>
  </si>
  <si>
    <t>607/30317</t>
  </si>
  <si>
    <t>607/30308</t>
  </si>
  <si>
    <t>800/39967</t>
  </si>
  <si>
    <t>800/39957</t>
  </si>
  <si>
    <t>1598/79869</t>
  </si>
  <si>
    <t>607/30306</t>
  </si>
  <si>
    <t>800/39959</t>
  </si>
  <si>
    <t>800/39964</t>
  </si>
  <si>
    <t>607/30318</t>
  </si>
  <si>
    <t>1598/79870</t>
  </si>
  <si>
    <t>800/39969</t>
  </si>
  <si>
    <t>800/39962</t>
  </si>
  <si>
    <t>1598/79894</t>
  </si>
  <si>
    <t>6074/30302</t>
  </si>
  <si>
    <t>607/30312</t>
  </si>
  <si>
    <t>1598/79868</t>
  </si>
  <si>
    <t>1598/79898</t>
  </si>
  <si>
    <t>607/30316</t>
  </si>
  <si>
    <t>607/30322</t>
  </si>
  <si>
    <t>607/30314</t>
  </si>
  <si>
    <t>607/30325</t>
  </si>
  <si>
    <t>607/30319</t>
  </si>
  <si>
    <t>607/30323</t>
  </si>
  <si>
    <t>1598/79876</t>
  </si>
  <si>
    <t>1598/79891</t>
  </si>
  <si>
    <t>1598/79899</t>
  </si>
  <si>
    <t>1598/79873</t>
  </si>
  <si>
    <t>607/30329</t>
  </si>
  <si>
    <t>1598/79872</t>
  </si>
  <si>
    <t>1598/79880</t>
  </si>
  <si>
    <t>607/30328</t>
  </si>
  <si>
    <t>1598/79889</t>
  </si>
  <si>
    <t>607/30320</t>
  </si>
  <si>
    <t>377/37607</t>
  </si>
  <si>
    <t>607/30324</t>
  </si>
  <si>
    <t>1588/79893</t>
  </si>
  <si>
    <t>1598/79874</t>
  </si>
  <si>
    <t>607/30330</t>
  </si>
  <si>
    <t>1598/79881</t>
  </si>
  <si>
    <t>1598/79890</t>
  </si>
  <si>
    <t>607/30313</t>
  </si>
  <si>
    <t>376/37598</t>
  </si>
  <si>
    <t>377/37610</t>
  </si>
  <si>
    <t>377/37608</t>
  </si>
  <si>
    <t>377/37601</t>
  </si>
  <si>
    <t>377/37602</t>
  </si>
  <si>
    <t>377/37603</t>
  </si>
  <si>
    <t>376/37597</t>
  </si>
  <si>
    <t>376/37593</t>
  </si>
  <si>
    <t>376/37595</t>
  </si>
  <si>
    <t>377/37606</t>
  </si>
  <si>
    <t>377/37604</t>
  </si>
  <si>
    <t>376/37590</t>
  </si>
  <si>
    <t>376/37596</t>
  </si>
  <si>
    <t>377/37609</t>
  </si>
  <si>
    <t>376/37594</t>
  </si>
  <si>
    <t>377/37605</t>
  </si>
  <si>
    <t>มี.ค.69-พ.ย.69</t>
  </si>
  <si>
    <t>ก.พ.69-พ.ย.69</t>
  </si>
  <si>
    <t>376/37600</t>
  </si>
  <si>
    <t>รับชำระล่วงหน้า</t>
  </si>
  <si>
    <t>รวมหนี้ปกติ+พิพากษา</t>
  </si>
  <si>
    <t>หนี้ค้าง 2 เดือน</t>
  </si>
  <si>
    <t xml:space="preserve">นายจงเจริญชัย คุ้มวงษ์ </t>
  </si>
  <si>
    <t>ณ มีนาคม 2569</t>
  </si>
  <si>
    <t>607/30340</t>
  </si>
  <si>
    <t>614/30655</t>
  </si>
  <si>
    <t>4,26 มี.ค. 69</t>
  </si>
  <si>
    <t>614/30651,614/30672-3</t>
  </si>
  <si>
    <t>เม.ย.69-พ.ค.69</t>
  </si>
  <si>
    <t>607/30334</t>
  </si>
  <si>
    <t>607/30335</t>
  </si>
  <si>
    <t>607/30338</t>
  </si>
  <si>
    <t>607/30349</t>
  </si>
  <si>
    <t>607/30332</t>
  </si>
  <si>
    <t>607/30337</t>
  </si>
  <si>
    <t>614/30653</t>
  </si>
  <si>
    <t>2,30 มี.ค. 69</t>
  </si>
  <si>
    <t>607/30342,614/30688</t>
  </si>
  <si>
    <t>607/30341,614/30689</t>
  </si>
  <si>
    <t>800/39980</t>
  </si>
  <si>
    <t>16มี.ค.69-15เม.ย.69</t>
  </si>
  <si>
    <t>614/30656</t>
  </si>
  <si>
    <t>800/39971,800/39983</t>
  </si>
  <si>
    <t>800/39972</t>
  </si>
  <si>
    <t>800/39974</t>
  </si>
  <si>
    <t>621/31004</t>
  </si>
  <si>
    <t>614/30675</t>
  </si>
  <si>
    <t>เม.ย.69-ก.ค.69</t>
  </si>
  <si>
    <t>610/30487</t>
  </si>
  <si>
    <t>607/30350</t>
  </si>
  <si>
    <t>619/30935</t>
  </si>
  <si>
    <t>800/39979</t>
  </si>
  <si>
    <t>614/30684</t>
  </si>
  <si>
    <t>614/30668</t>
  </si>
  <si>
    <t>614/30685</t>
  </si>
  <si>
    <t>614/30658</t>
  </si>
  <si>
    <t>614/30663</t>
  </si>
  <si>
    <t>614/30679</t>
  </si>
  <si>
    <t>614/30674</t>
  </si>
  <si>
    <t>เม.ย.69-ธ.ค.69</t>
  </si>
  <si>
    <t>614/30691</t>
  </si>
  <si>
    <t>800/39982</t>
  </si>
  <si>
    <t>610/30478</t>
  </si>
  <si>
    <t>614/30666</t>
  </si>
  <si>
    <t>607/30333</t>
  </si>
  <si>
    <t>614/30671</t>
  </si>
  <si>
    <t>607/30347</t>
  </si>
  <si>
    <t>เม.ย.69-ก.ย.69</t>
  </si>
  <si>
    <t>614/30669</t>
  </si>
  <si>
    <t>614/30670</t>
  </si>
  <si>
    <t>800/39973</t>
  </si>
  <si>
    <t>614/30677</t>
  </si>
  <si>
    <t>614/30686</t>
  </si>
  <si>
    <t>800/39984</t>
  </si>
  <si>
    <t>800/39970</t>
  </si>
  <si>
    <t>607/30344</t>
  </si>
  <si>
    <t>614/30667</t>
  </si>
  <si>
    <t>800/39977</t>
  </si>
  <si>
    <t>800/39978</t>
  </si>
  <si>
    <t>614/30676</t>
  </si>
  <si>
    <t>607/30336</t>
  </si>
  <si>
    <t>800/39981</t>
  </si>
  <si>
    <t>800/39975</t>
  </si>
  <si>
    <t>614/30662</t>
  </si>
  <si>
    <t>614/30665</t>
  </si>
  <si>
    <t>614/30687</t>
  </si>
  <si>
    <t>เม.ย.69-เม.ย.69</t>
  </si>
  <si>
    <t>607/30343</t>
  </si>
  <si>
    <t>614/30664</t>
  </si>
  <si>
    <t>607/30339</t>
  </si>
  <si>
    <t>614/30683</t>
  </si>
  <si>
    <t>614/30680</t>
  </si>
  <si>
    <t>614/30692</t>
  </si>
  <si>
    <t>614/30696</t>
  </si>
  <si>
    <t>614/30697</t>
  </si>
  <si>
    <t>614/30694</t>
  </si>
  <si>
    <t>614/30654</t>
  </si>
  <si>
    <t>614/30657</t>
  </si>
  <si>
    <t>607/30331</t>
  </si>
  <si>
    <t>614/30678</t>
  </si>
  <si>
    <t>607/30345</t>
  </si>
  <si>
    <t>614/30681</t>
  </si>
  <si>
    <t>614/30652</t>
  </si>
  <si>
    <t>607/30346</t>
  </si>
  <si>
    <t>614/30698</t>
  </si>
  <si>
    <t>614/30660</t>
  </si>
  <si>
    <t>614/30690</t>
  </si>
  <si>
    <t>377/37629</t>
  </si>
  <si>
    <t>614/30659</t>
  </si>
  <si>
    <t>614/30682</t>
  </si>
  <si>
    <t>607/30348</t>
  </si>
  <si>
    <t>614/30661</t>
  </si>
  <si>
    <t>614/30693</t>
  </si>
  <si>
    <t>377/37617</t>
  </si>
  <si>
    <t>377/37628</t>
  </si>
  <si>
    <t>377/37624,32-33</t>
  </si>
  <si>
    <t>377/37613</t>
  </si>
  <si>
    <t>377/37614</t>
  </si>
  <si>
    <t>377/37616</t>
  </si>
  <si>
    <t>377/37623</t>
  </si>
  <si>
    <t>377/37612</t>
  </si>
  <si>
    <t>377/37615</t>
  </si>
  <si>
    <t>377/37627</t>
  </si>
  <si>
    <t>377/37619,37</t>
  </si>
  <si>
    <t>377/37620,38</t>
  </si>
  <si>
    <t>377/37630</t>
  </si>
  <si>
    <t>377/37618</t>
  </si>
  <si>
    <t>377/37622</t>
  </si>
  <si>
    <t>377/37631</t>
  </si>
  <si>
    <t>377/37611</t>
  </si>
  <si>
    <t>377/37626</t>
  </si>
  <si>
    <t>เม.ย.69-พ.ย.69</t>
  </si>
  <si>
    <t>377/37625</t>
  </si>
  <si>
    <t>หนี้ปกติ+ดำเนินคดี</t>
  </si>
  <si>
    <t>ณ เมษายน 2569</t>
  </si>
  <si>
    <t>624/31160</t>
  </si>
  <si>
    <t>1,30เม.ย. 69</t>
  </si>
  <si>
    <t>624/31152,630/31454</t>
  </si>
  <si>
    <t>พ.ค.69-พ.ค.69</t>
  </si>
  <si>
    <t>624/31170</t>
  </si>
  <si>
    <t>624/31155</t>
  </si>
  <si>
    <t>624/31166</t>
  </si>
  <si>
    <t>624/31167</t>
  </si>
  <si>
    <t>624/31162</t>
  </si>
  <si>
    <t>614/30699</t>
  </si>
  <si>
    <t>624/31153</t>
  </si>
  <si>
    <t>624/31168</t>
  </si>
  <si>
    <t>630/31461</t>
  </si>
  <si>
    <t>630/31462</t>
  </si>
  <si>
    <t>800/39994</t>
  </si>
  <si>
    <t>16เม.ย.69-15พ.ค.69</t>
  </si>
  <si>
    <t>624/31173</t>
  </si>
  <si>
    <t>800/39998</t>
  </si>
  <si>
    <t>800/39986</t>
  </si>
  <si>
    <t>800/39990</t>
  </si>
  <si>
    <t>628/31368</t>
  </si>
  <si>
    <t>630/31456</t>
  </si>
  <si>
    <t>พ.ค.69-ก.ค.69</t>
  </si>
  <si>
    <t>622/31072</t>
  </si>
  <si>
    <t>624/31165</t>
  </si>
  <si>
    <t>623/31103</t>
  </si>
  <si>
    <t>800/39993</t>
  </si>
  <si>
    <t>624/31196</t>
  </si>
  <si>
    <t>624/31190</t>
  </si>
  <si>
    <t>1,30 เม.ย. 69</t>
  </si>
  <si>
    <t>624/31151,630/31455</t>
  </si>
  <si>
    <t>624/31191</t>
  </si>
  <si>
    <t>624/31157</t>
  </si>
  <si>
    <t>624/31174</t>
  </si>
  <si>
    <t>624/31184</t>
  </si>
  <si>
    <t>624/31192</t>
  </si>
  <si>
    <t>พ.ค.69-ธ.ค.69</t>
  </si>
  <si>
    <t>624/31198</t>
  </si>
  <si>
    <t>800/39996</t>
  </si>
  <si>
    <t>624/31304</t>
  </si>
  <si>
    <t>624/31182</t>
  </si>
  <si>
    <t>614/30700</t>
  </si>
  <si>
    <t>624/31189</t>
  </si>
  <si>
    <t>624/31176</t>
  </si>
  <si>
    <t>พ.ค.69-ก.ย.69</t>
  </si>
  <si>
    <t>624/31193</t>
  </si>
  <si>
    <t>630/31452</t>
  </si>
  <si>
    <t>800/39989</t>
  </si>
  <si>
    <t>624/31200</t>
  </si>
  <si>
    <t>624/31195</t>
  </si>
  <si>
    <t>800/39997</t>
  </si>
  <si>
    <t>800/39985</t>
  </si>
  <si>
    <t>624/31163</t>
  </si>
  <si>
    <t>624/31194</t>
  </si>
  <si>
    <t>800/39992</t>
  </si>
  <si>
    <t>624/31199</t>
  </si>
  <si>
    <t>624/31154</t>
  </si>
  <si>
    <t>800/39995</t>
  </si>
  <si>
    <t>800/39991</t>
  </si>
  <si>
    <t>624/31172</t>
  </si>
  <si>
    <t>624/31181</t>
  </si>
  <si>
    <t>624/31188</t>
  </si>
  <si>
    <t>624/31164</t>
  </si>
  <si>
    <t>624/31178</t>
  </si>
  <si>
    <t>624/31159</t>
  </si>
  <si>
    <t>ยกเลิก เม.ย. 69</t>
  </si>
  <si>
    <t>630/31453</t>
  </si>
  <si>
    <t>630/31459</t>
  </si>
  <si>
    <t>624/31186</t>
  </si>
  <si>
    <t>630/31451</t>
  </si>
  <si>
    <t>624/31169</t>
  </si>
  <si>
    <t>624/31156</t>
  </si>
  <si>
    <t>624/31183</t>
  </si>
  <si>
    <t>624/31161</t>
  </si>
  <si>
    <t>630/31457</t>
  </si>
  <si>
    <t>624/31171</t>
  </si>
  <si>
    <t>624/31175</t>
  </si>
  <si>
    <t>630/31460</t>
  </si>
  <si>
    <t>624/31179</t>
  </si>
  <si>
    <t>624/31197</t>
  </si>
  <si>
    <t>377/37656</t>
  </si>
  <si>
    <t>624/31158</t>
  </si>
  <si>
    <t>624/31185</t>
  </si>
  <si>
    <t>630/31458</t>
  </si>
  <si>
    <t>607/31177</t>
  </si>
  <si>
    <t>624/31180</t>
  </si>
  <si>
    <t>624/31187</t>
  </si>
  <si>
    <t>377/37645</t>
  </si>
  <si>
    <t>377/37642,377/37658</t>
  </si>
  <si>
    <t>377/37653</t>
  </si>
  <si>
    <t>377/37644</t>
  </si>
  <si>
    <t>377/37649</t>
  </si>
  <si>
    <t>377/37650</t>
  </si>
  <si>
    <t>377/37648</t>
  </si>
  <si>
    <t>377/37640</t>
  </si>
  <si>
    <t>377/37643</t>
  </si>
  <si>
    <t>377/37651</t>
  </si>
  <si>
    <t>377/37659</t>
  </si>
  <si>
    <t>377/37660</t>
  </si>
  <si>
    <t>377/37646</t>
  </si>
  <si>
    <t>377/37647</t>
  </si>
  <si>
    <t>377/37657</t>
  </si>
  <si>
    <t>377/37641</t>
  </si>
  <si>
    <t>27/4</t>
  </si>
  <si>
    <t>377/37652</t>
  </si>
  <si>
    <t>377/37655</t>
  </si>
  <si>
    <t>พ.ค.69-พ.ย.69</t>
  </si>
  <si>
    <r>
      <t xml:space="preserve">นางสาวภคพร วัฒนมณี </t>
    </r>
    <r>
      <rPr>
        <b/>
        <sz val="18"/>
        <rFont val="TH SarabunPSK"/>
        <family val="2"/>
      </rPr>
      <t>(ก้อยเนย)</t>
    </r>
  </si>
  <si>
    <r>
      <t>นางวรินธร เหมเรืองเงิน</t>
    </r>
    <r>
      <rPr>
        <b/>
        <sz val="18"/>
        <rFont val="TH SarabunPSK"/>
        <family val="2"/>
      </rPr>
      <t>(โกกิ้ม)</t>
    </r>
  </si>
  <si>
    <r>
      <t>นายสุเมธ คุ้มวงษ์</t>
    </r>
    <r>
      <rPr>
        <b/>
        <sz val="18"/>
        <rFont val="TH SarabunPSK"/>
        <family val="2"/>
      </rPr>
      <t>(โกแมว-เจ๊ทุ่ม)</t>
    </r>
  </si>
  <si>
    <r>
      <t xml:space="preserve">หจก.เอสเอฟเค ฟิชเชอรี่ (นส.กรกช) </t>
    </r>
    <r>
      <rPr>
        <b/>
        <sz val="18"/>
        <rFont val="TH SarabunPSK"/>
        <family val="2"/>
      </rPr>
      <t>(ฝ้าย-โสภา)</t>
    </r>
  </si>
  <si>
    <t>หนี้ปกติ+หนี้ดำเนินคดี</t>
  </si>
  <si>
    <t>ณ พฤษภาคม 2569</t>
  </si>
  <si>
    <t>630/31474</t>
  </si>
  <si>
    <t>630/31481</t>
  </si>
  <si>
    <t>630/31466</t>
  </si>
  <si>
    <t>630/31469</t>
  </si>
  <si>
    <t>630/31476</t>
  </si>
  <si>
    <t>5,27 พ.ค. 69</t>
  </si>
  <si>
    <t>630/31482,640/31956</t>
  </si>
  <si>
    <t>มิ.ย. 69</t>
  </si>
  <si>
    <t>630/31463</t>
  </si>
  <si>
    <t>630/31477</t>
  </si>
  <si>
    <t>630/31480</t>
  </si>
  <si>
    <t>640/31964</t>
  </si>
  <si>
    <t>640/31965</t>
  </si>
  <si>
    <t>801/40010</t>
  </si>
  <si>
    <t>16พ.ค.69-15มิ.ย.69</t>
  </si>
  <si>
    <t>630/31484</t>
  </si>
  <si>
    <t>พ.ค.69</t>
  </si>
  <si>
    <t>801/40001,03</t>
  </si>
  <si>
    <t>801/40006</t>
  </si>
  <si>
    <t>641/32031</t>
  </si>
  <si>
    <t>มิ.ย.69-ก.ค.69</t>
  </si>
  <si>
    <t>629/31428</t>
  </si>
  <si>
    <t>630/31479</t>
  </si>
  <si>
    <t>637/31807</t>
  </si>
  <si>
    <t>801/40008</t>
  </si>
  <si>
    <t>630/31495</t>
  </si>
  <si>
    <t>630/31498</t>
  </si>
  <si>
    <t>640/31954</t>
  </si>
  <si>
    <t>630/31483</t>
  </si>
  <si>
    <t>630/31497</t>
  </si>
  <si>
    <t>640/31952</t>
  </si>
  <si>
    <t>มิ.ย.69-ธ.ค.69</t>
  </si>
  <si>
    <t>640/31962</t>
  </si>
  <si>
    <t>801/40009</t>
  </si>
  <si>
    <t>628/31396</t>
  </si>
  <si>
    <t>630/31494</t>
  </si>
  <si>
    <t>630/31464</t>
  </si>
  <si>
    <t>640/31951</t>
  </si>
  <si>
    <t>630/31471</t>
  </si>
  <si>
    <t>มิ.ย.69-ก.ย.69</t>
  </si>
  <si>
    <t>630/31500</t>
  </si>
  <si>
    <t>630/31953</t>
  </si>
  <si>
    <t>801/40005</t>
  </si>
  <si>
    <t>640/31957</t>
  </si>
  <si>
    <t>640/31955</t>
  </si>
  <si>
    <t>801/40013</t>
  </si>
  <si>
    <t>800/40000</t>
  </si>
  <si>
    <t>630/31468</t>
  </si>
  <si>
    <t>630/31499</t>
  </si>
  <si>
    <t>801/40004</t>
  </si>
  <si>
    <t>801/40007</t>
  </si>
  <si>
    <t>640/31958</t>
  </si>
  <si>
    <t>630/31478</t>
  </si>
  <si>
    <t>801/40012</t>
  </si>
  <si>
    <t>801/40002</t>
  </si>
  <si>
    <t>630/31488</t>
  </si>
  <si>
    <t>630/31493</t>
  </si>
  <si>
    <t>640/31959</t>
  </si>
  <si>
    <t>มิ.ย.69</t>
  </si>
  <si>
    <t>630/31467</t>
  </si>
  <si>
    <t>630/31491</t>
  </si>
  <si>
    <t>630/31475</t>
  </si>
  <si>
    <t>640/31960</t>
  </si>
  <si>
    <t>640/31969</t>
  </si>
  <si>
    <t>641/32011</t>
  </si>
  <si>
    <t>640/31963</t>
  </si>
  <si>
    <t>630/31465</t>
  </si>
  <si>
    <t>630/31486</t>
  </si>
  <si>
    <t>630/31485</t>
  </si>
  <si>
    <t>630/31496</t>
  </si>
  <si>
    <t>630/31473</t>
  </si>
  <si>
    <t>640/31966</t>
  </si>
  <si>
    <t>630/31492</t>
  </si>
  <si>
    <t>630/31470</t>
  </si>
  <si>
    <t>640/31968</t>
  </si>
  <si>
    <t>630/31489</t>
  </si>
  <si>
    <t>29/5</t>
  </si>
  <si>
    <t>640/31961</t>
  </si>
  <si>
    <t>น.ส.ศรัญยา ช้างขาว</t>
  </si>
  <si>
    <t>นายจงเจริญชัย คุ้มวงษ์ (เปลี่ยนชื่อจากนายสุเมธ คุ้มวงษ์)</t>
  </si>
  <si>
    <t>นางสาวศศิกานต์  จันสุกแก้ว (แพเอกนคร)</t>
  </si>
  <si>
    <t>นางสาวมะดิหน๊ะ เจ๊ะดุหมันและนายอุทัย การะศรี</t>
  </si>
  <si>
    <t>377/37676</t>
  </si>
  <si>
    <t>630/31487</t>
  </si>
  <si>
    <t>640/31967</t>
  </si>
  <si>
    <t>630/31472</t>
  </si>
  <si>
    <t>630/31490</t>
  </si>
  <si>
    <t>641/32012</t>
  </si>
  <si>
    <t>377/37669</t>
  </si>
  <si>
    <t>377/37675</t>
  </si>
  <si>
    <t>377/37666</t>
  </si>
  <si>
    <t>377/37667</t>
  </si>
  <si>
    <t>377/37671</t>
  </si>
  <si>
    <t>377/37678,84</t>
  </si>
  <si>
    <t>377/37664</t>
  </si>
  <si>
    <t>377/37672</t>
  </si>
  <si>
    <t>377/37673</t>
  </si>
  <si>
    <t>377/37685</t>
  </si>
  <si>
    <t>377/37686</t>
  </si>
  <si>
    <t>377/37680</t>
  </si>
  <si>
    <t>377/37668</t>
  </si>
  <si>
    <t>377/37670</t>
  </si>
  <si>
    <t>377/37683</t>
  </si>
  <si>
    <t>377/37665</t>
  </si>
  <si>
    <t>377/37674</t>
  </si>
  <si>
    <t>มิ.ย.69-พ.ย.69</t>
  </si>
  <si>
    <t>4 พค.69</t>
  </si>
  <si>
    <t>377/37679</t>
  </si>
  <si>
    <t>ณ มิถุนายน 2569</t>
  </si>
  <si>
    <t>640/31975</t>
  </si>
  <si>
    <t>640/31971,RC20260619010057</t>
  </si>
  <si>
    <t>ก.ค.69</t>
  </si>
  <si>
    <t>640/31971,RC20260619010064</t>
  </si>
  <si>
    <t>640/31989</t>
  </si>
  <si>
    <t>640/31971,RC20260619010001</t>
  </si>
  <si>
    <t>640/31984</t>
  </si>
  <si>
    <t>640/31982</t>
  </si>
  <si>
    <t>640/31980</t>
  </si>
  <si>
    <t>640/31990</t>
  </si>
  <si>
    <t>640/31972</t>
  </si>
  <si>
    <t>640/31973</t>
  </si>
  <si>
    <t>640/31988</t>
  </si>
  <si>
    <t>647/32323</t>
  </si>
  <si>
    <t>647/32324</t>
  </si>
  <si>
    <t>801/40023</t>
  </si>
  <si>
    <t>16มิ.ย.69-15ก.ค.69</t>
  </si>
  <si>
    <t>640/31997</t>
  </si>
  <si>
    <t>801/40026</t>
  </si>
  <si>
    <t>801/40015</t>
  </si>
  <si>
    <t>801/40020</t>
  </si>
  <si>
    <t>30มิย.69</t>
  </si>
  <si>
    <t>1,26 มิ.ย. 69</t>
  </si>
  <si>
    <t>641/32036,32565</t>
  </si>
  <si>
    <t>647/32329</t>
  </si>
  <si>
    <t>642/32092</t>
  </si>
  <si>
    <t>640/31983</t>
  </si>
  <si>
    <t>645/32205</t>
  </si>
  <si>
    <t>801/40027</t>
  </si>
  <si>
    <t>647/32308</t>
  </si>
  <si>
    <t>647/32309</t>
  </si>
  <si>
    <t>651/32514</t>
  </si>
  <si>
    <t>1,29 มิ.ย. 69</t>
  </si>
  <si>
    <t>640/31970,RC20260619010057</t>
  </si>
  <si>
    <t>647/32314</t>
  </si>
  <si>
    <t>5,15 มิ.ย. 69</t>
  </si>
  <si>
    <t>640/31986,647/32303</t>
  </si>
  <si>
    <t>640/31996</t>
  </si>
  <si>
    <t>647/32318</t>
  </si>
  <si>
    <t>647/32315</t>
  </si>
  <si>
    <t>ก.ค.69-ธ.ค.69</t>
  </si>
  <si>
    <t>647/32331</t>
  </si>
  <si>
    <t>801/40025</t>
  </si>
  <si>
    <t>651/32515</t>
  </si>
  <si>
    <t>647/32307</t>
  </si>
  <si>
    <t>647/32301</t>
  </si>
  <si>
    <t>647/32312</t>
  </si>
  <si>
    <t>640/31992</t>
  </si>
  <si>
    <t>ก.ค.69-ก.ย.69</t>
  </si>
  <si>
    <t>647/32310</t>
  </si>
  <si>
    <t>647/32313</t>
  </si>
  <si>
    <t>801/40014</t>
  </si>
  <si>
    <t>647/32327</t>
  </si>
  <si>
    <t>647/32316</t>
  </si>
  <si>
    <t>801/40024</t>
  </si>
  <si>
    <t>801/40018</t>
  </si>
  <si>
    <t>640/31978</t>
  </si>
  <si>
    <t>647/32311</t>
  </si>
  <si>
    <t>801/40017</t>
  </si>
  <si>
    <t>801/40019</t>
  </si>
  <si>
    <t>647/32326</t>
  </si>
  <si>
    <t>640/31974</t>
  </si>
  <si>
    <t>801/40022</t>
  </si>
  <si>
    <t>16มิ.ย.69-15ก.ค..69</t>
  </si>
  <si>
    <t>801/40016</t>
  </si>
  <si>
    <t>(ยกเลิก)</t>
  </si>
  <si>
    <t>640/32000</t>
  </si>
  <si>
    <t>647/32306</t>
  </si>
  <si>
    <t>640/31977</t>
  </si>
  <si>
    <t>801/40021</t>
  </si>
  <si>
    <t>640/31976</t>
  </si>
  <si>
    <t>647/32325</t>
  </si>
  <si>
    <t>647/32333</t>
  </si>
  <si>
    <t>647/32320</t>
  </si>
  <si>
    <t>647/32328</t>
  </si>
  <si>
    <t>640/31981</t>
  </si>
  <si>
    <t>9,30 มิ.ย. 69</t>
  </si>
  <si>
    <t>640/31998,647/32334</t>
  </si>
  <si>
    <t>640/31985,647/32302</t>
  </si>
  <si>
    <t>647/32317</t>
  </si>
  <si>
    <t>640/31979</t>
  </si>
  <si>
    <t>647/32322</t>
  </si>
  <si>
    <t>647/32305</t>
  </si>
  <si>
    <t>640/31991</t>
  </si>
  <si>
    <t>647/32332</t>
  </si>
  <si>
    <t>640/31994</t>
  </si>
  <si>
    <t>647/32330</t>
  </si>
  <si>
    <t>378/37704</t>
  </si>
  <si>
    <t>640/31999</t>
  </si>
  <si>
    <t>640/31987,647/32304</t>
  </si>
  <si>
    <t>640/31993</t>
  </si>
  <si>
    <t>640/31995</t>
  </si>
  <si>
    <t>647/32321</t>
  </si>
  <si>
    <t>377/37693</t>
  </si>
  <si>
    <t>377/37689,RC20260619010056</t>
  </si>
  <si>
    <t>377/37692</t>
  </si>
  <si>
    <t>377/37689,RC20260619010065</t>
  </si>
  <si>
    <t>377/37700</t>
  </si>
  <si>
    <t>377/37689,RC2026719010002</t>
  </si>
  <si>
    <t>377/37697</t>
  </si>
  <si>
    <t>377/37695</t>
  </si>
  <si>
    <t>377/37694</t>
  </si>
  <si>
    <t>378/37703</t>
  </si>
  <si>
    <t>377/37690</t>
  </si>
  <si>
    <t>377/37691</t>
  </si>
  <si>
    <t>377/37699</t>
  </si>
  <si>
    <t>378/37709</t>
  </si>
  <si>
    <t>378/37710</t>
  </si>
  <si>
    <t>373/37706</t>
  </si>
  <si>
    <t>377/37698</t>
  </si>
  <si>
    <t>378/37708</t>
  </si>
  <si>
    <t>377/37688</t>
  </si>
  <si>
    <t>378/37701</t>
  </si>
  <si>
    <t>377/37696</t>
  </si>
  <si>
    <t>4 มิย.69</t>
  </si>
  <si>
    <t>ก.ค.69-พ.ย.69</t>
  </si>
  <si>
    <t>นายสุเมธ คุ้มวงษ์(โกแมว-เจ๊ทุ่ม)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</si>
</sst>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.00_-;\-* #,##0.00_-;_-* &quot;-&quot;??_-;_-@_-"/>
    <numFmt numFmtId="165" formatCode="[$-107041E]d\ mmm\ yy;@"/>
    <numFmt numFmtId="166" formatCode="#,##0.00_ ;[Red]\-#,##0.00\ "/>
    <numFmt numFmtId="167" formatCode="0_);\(0\)"/>
    <numFmt numFmtId="168" formatCode="ดดด\ bb"/>
    <numFmt numFmtId="169" formatCode="0_ ;\-0\ "/>
    <numFmt numFmtId="170" formatCode="[$-1070000]d/m/yy;@"/>
    <numFmt numFmtId="171" formatCode="#,##0_ ;[Red]\-#,##0\ "/>
    <numFmt numFmtId="172" formatCode="#,##0.00_ ;\-#,##0.00\ "/>
  </numFmts>
  <fonts count="2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8"/>
      <name val="TH SarabunPSK"/>
      <family val="2"/>
      <charset val="222"/>
    </font>
    <font>
      <b/>
      <sz val="18"/>
      <color rgb="FFFF0000"/>
      <name val="TH SarabunPSK"/>
      <family val="2"/>
      <charset val="222"/>
    </font>
    <font>
      <sz val="11"/>
      <color rgb="FF000000"/>
      <name val="Calibri"/>
      <family val="2"/>
    </font>
    <font>
      <b/>
      <u/>
      <sz val="18"/>
      <name val="TH SarabunPSK"/>
      <family val="2"/>
      <charset val="222"/>
    </font>
    <font>
      <sz val="14"/>
      <name val="AngsanaUPC"/>
      <family val="1"/>
    </font>
    <font>
      <sz val="16"/>
      <name val="TH Sarabun New"/>
      <family val="2"/>
    </font>
    <font>
      <sz val="12"/>
      <name val="TH Sarabun New"/>
      <family val="2"/>
    </font>
    <font>
      <b/>
      <sz val="18"/>
      <name val="TH SarabunPSK"/>
      <family val="2"/>
    </font>
    <font>
      <b/>
      <sz val="18"/>
      <color rgb="FFFF0000"/>
      <name val="TH SarabunPSK"/>
      <family val="2"/>
    </font>
    <font>
      <b/>
      <sz val="18"/>
      <color theme="1"/>
      <name val="TH SarabunPSK"/>
      <family val="2"/>
      <charset val="222"/>
    </font>
    <font>
      <b/>
      <sz val="18"/>
      <color rgb="FFFF00FF"/>
      <name val="TH SarabunPSK"/>
      <family val="2"/>
      <charset val="222"/>
    </font>
    <font>
      <sz val="18"/>
      <name val="TH Sarabun New"/>
      <family val="2"/>
      <charset val="222"/>
    </font>
    <font>
      <b/>
      <u/>
      <sz val="18"/>
      <color rgb="FFFF0000"/>
      <name val="TH SarabunPSK"/>
      <family val="2"/>
      <charset val="222"/>
    </font>
    <font>
      <sz val="8"/>
      <name val="Calibri"/>
      <family val="2"/>
      <charset val="222"/>
      <scheme val="minor"/>
    </font>
    <font>
      <sz val="16"/>
      <color theme="1"/>
      <name val="TH Sarabun New"/>
      <family val="2"/>
    </font>
    <font>
      <sz val="16"/>
      <color theme="0"/>
      <name val="TH Sarabun New"/>
      <family val="2"/>
    </font>
    <font>
      <b/>
      <u val="double"/>
      <sz val="18"/>
      <name val="TH SarabunPSK"/>
      <family val="2"/>
      <charset val="222"/>
    </font>
    <font>
      <sz val="18"/>
      <color rgb="FFFF0000"/>
      <name val="TH Sarabun New"/>
      <family val="2"/>
      <charset val="222"/>
    </font>
    <font>
      <sz val="16"/>
      <color rgb="FFFF0000"/>
      <name val="TH Sarabun New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indexed="64"/>
      </bottom>
      <diagonal/>
    </border>
    <border>
      <left/>
      <right style="thin">
        <color auto="1"/>
      </right>
      <top style="hair">
        <color auto="1"/>
      </top>
      <bottom style="double">
        <color indexed="64"/>
      </bottom>
      <diagonal/>
    </border>
    <border>
      <left/>
      <right/>
      <top style="hair">
        <color auto="1"/>
      </top>
      <bottom/>
      <diagonal/>
    </border>
    <border>
      <left style="thin">
        <color theme="1" tint="0.34998626667073579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tted">
        <color indexed="64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theme="1" tint="0.34998626667073579"/>
      </right>
      <top style="thin">
        <color theme="1" tint="0.34998626667073579"/>
      </top>
      <bottom style="hair">
        <color auto="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hair">
        <color auto="1"/>
      </bottom>
      <diagonal/>
    </border>
    <border>
      <left style="thin">
        <color auto="1"/>
      </left>
      <right style="thin">
        <color theme="1" tint="0.34998626667073579"/>
      </right>
      <top style="hair">
        <color auto="1"/>
      </top>
      <bottom style="hair">
        <color auto="1"/>
      </bottom>
      <diagonal/>
    </border>
    <border>
      <left style="thin">
        <color theme="1" tint="0.34998626667073579"/>
      </left>
      <right style="thin">
        <color theme="1" tint="0.34998626667073579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auto="1"/>
      </right>
      <top style="thin">
        <color indexed="64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theme="1" tint="0.34998626667073579"/>
      </left>
      <right style="thin">
        <color indexed="64"/>
      </right>
      <top style="thin">
        <color theme="1" tint="0.34998626667073579"/>
      </top>
      <bottom style="thin">
        <color theme="1" tint="0.34998626667073579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6" fillId="0" borderId="0"/>
    <xf numFmtId="43" fontId="1" fillId="0" borderId="0" applyFont="0" applyFill="0" applyBorder="0" applyAlignment="0" applyProtection="0"/>
  </cellStyleXfs>
  <cellXfs count="695">
    <xf numFmtId="0" fontId="0" fillId="0" borderId="0" xfId="0"/>
    <xf numFmtId="39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" fontId="3" fillId="0" borderId="0" xfId="0" applyNumberFormat="1" applyFont="1" applyAlignment="1">
      <alignment horizontal="left" vertical="center"/>
    </xf>
    <xf numFmtId="4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vertical="center"/>
    </xf>
    <xf numFmtId="4" fontId="2" fillId="0" borderId="2" xfId="0" applyNumberFormat="1" applyFont="1" applyBorder="1" applyAlignment="1">
      <alignment horizontal="right" vertical="center"/>
    </xf>
    <xf numFmtId="165" fontId="2" fillId="2" borderId="6" xfId="0" applyNumberFormat="1" applyFont="1" applyFill="1" applyBorder="1" applyAlignment="1">
      <alignment horizontal="center" vertical="center"/>
    </xf>
    <xf numFmtId="43" fontId="2" fillId="2" borderId="4" xfId="0" applyNumberFormat="1" applyFont="1" applyFill="1" applyBorder="1" applyAlignment="1">
      <alignment horizontal="center" vertical="center"/>
    </xf>
    <xf numFmtId="43" fontId="2" fillId="2" borderId="5" xfId="0" applyNumberFormat="1" applyFont="1" applyFill="1" applyBorder="1" applyAlignment="1">
      <alignment vertical="center"/>
    </xf>
    <xf numFmtId="165" fontId="2" fillId="2" borderId="7" xfId="0" applyNumberFormat="1" applyFont="1" applyFill="1" applyBorder="1" applyAlignment="1">
      <alignment horizontal="center" vertical="center"/>
    </xf>
    <xf numFmtId="166" fontId="2" fillId="0" borderId="11" xfId="1" applyNumberFormat="1" applyFont="1" applyFill="1" applyBorder="1" applyAlignment="1">
      <alignment horizontal="right" vertical="center"/>
    </xf>
    <xf numFmtId="166" fontId="2" fillId="0" borderId="11" xfId="1" applyNumberFormat="1" applyFont="1" applyFill="1" applyBorder="1" applyAlignment="1">
      <alignment horizontal="right" vertical="center" wrapText="1"/>
    </xf>
    <xf numFmtId="166" fontId="2" fillId="0" borderId="11" xfId="0" applyNumberFormat="1" applyFont="1" applyBorder="1" applyAlignment="1">
      <alignment horizontal="right" vertical="center"/>
    </xf>
    <xf numFmtId="165" fontId="2" fillId="2" borderId="9" xfId="0" applyNumberFormat="1" applyFont="1" applyFill="1" applyBorder="1" applyAlignment="1">
      <alignment horizontal="center" vertical="center"/>
    </xf>
    <xf numFmtId="166" fontId="2" fillId="0" borderId="11" xfId="1" applyNumberFormat="1" applyFont="1" applyFill="1" applyBorder="1" applyAlignment="1">
      <alignment horizontal="center" vertical="center"/>
    </xf>
    <xf numFmtId="166" fontId="2" fillId="0" borderId="11" xfId="1" applyNumberFormat="1" applyFont="1" applyFill="1" applyBorder="1" applyAlignment="1">
      <alignment horizontal="center" vertical="center" wrapText="1"/>
    </xf>
    <xf numFmtId="166" fontId="2" fillId="0" borderId="11" xfId="0" applyNumberFormat="1" applyFont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164" fontId="2" fillId="0" borderId="13" xfId="1" applyFont="1" applyFill="1" applyBorder="1" applyAlignment="1">
      <alignment horizontal="right" vertical="center"/>
    </xf>
    <xf numFmtId="164" fontId="2" fillId="0" borderId="13" xfId="1" applyFont="1" applyFill="1" applyBorder="1" applyAlignment="1">
      <alignment horizontal="left" vertical="center"/>
    </xf>
    <xf numFmtId="3" fontId="2" fillId="0" borderId="13" xfId="1" applyNumberFormat="1" applyFont="1" applyFill="1" applyBorder="1" applyAlignment="1">
      <alignment horizontal="right" vertical="center"/>
    </xf>
    <xf numFmtId="166" fontId="2" fillId="0" borderId="14" xfId="1" applyNumberFormat="1" applyFont="1" applyFill="1" applyBorder="1" applyAlignment="1">
      <alignment horizontal="right" vertical="center"/>
    </xf>
    <xf numFmtId="165" fontId="2" fillId="2" borderId="14" xfId="0" applyNumberFormat="1" applyFont="1" applyFill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 shrinkToFit="1"/>
    </xf>
    <xf numFmtId="164" fontId="2" fillId="2" borderId="13" xfId="0" applyNumberFormat="1" applyFont="1" applyFill="1" applyBorder="1" applyAlignment="1">
      <alignment horizontal="right" vertical="center"/>
    </xf>
    <xf numFmtId="0" fontId="2" fillId="0" borderId="13" xfId="0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166" fontId="2" fillId="0" borderId="14" xfId="0" applyNumberFormat="1" applyFont="1" applyBorder="1" applyAlignment="1">
      <alignment horizontal="center" vertical="center"/>
    </xf>
    <xf numFmtId="166" fontId="2" fillId="0" borderId="14" xfId="0" applyNumberFormat="1" applyFont="1" applyBorder="1" applyAlignment="1">
      <alignment horizontal="right" vertical="center"/>
    </xf>
    <xf numFmtId="43" fontId="2" fillId="0" borderId="15" xfId="0" applyNumberFormat="1" applyFont="1" applyBorder="1" applyAlignment="1">
      <alignment horizontal="left" vertical="center"/>
    </xf>
    <xf numFmtId="165" fontId="2" fillId="0" borderId="15" xfId="0" applyNumberFormat="1" applyFont="1" applyBorder="1" applyAlignment="1">
      <alignment horizontal="right" vertical="center"/>
    </xf>
    <xf numFmtId="43" fontId="2" fillId="0" borderId="15" xfId="0" applyNumberFormat="1" applyFont="1" applyBorder="1" applyAlignment="1">
      <alignment horizontal="right" vertical="center"/>
    </xf>
    <xf numFmtId="1" fontId="2" fillId="0" borderId="16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left" vertical="center"/>
    </xf>
    <xf numFmtId="49" fontId="2" fillId="0" borderId="16" xfId="0" applyNumberFormat="1" applyFont="1" applyBorder="1" applyAlignment="1">
      <alignment vertical="center"/>
    </xf>
    <xf numFmtId="39" fontId="2" fillId="0" borderId="17" xfId="0" applyNumberFormat="1" applyFont="1" applyBorder="1" applyAlignment="1">
      <alignment horizontal="right" vertical="center"/>
    </xf>
    <xf numFmtId="39" fontId="2" fillId="0" borderId="16" xfId="0" applyNumberFormat="1" applyFont="1" applyBorder="1" applyAlignment="1">
      <alignment horizontal="left" vertical="center"/>
    </xf>
    <xf numFmtId="3" fontId="2" fillId="0" borderId="18" xfId="0" applyNumberFormat="1" applyFont="1" applyBorder="1" applyAlignment="1">
      <alignment horizontal="center" vertical="center"/>
    </xf>
    <xf numFmtId="166" fontId="2" fillId="0" borderId="18" xfId="1" applyNumberFormat="1" applyFont="1" applyFill="1" applyBorder="1" applyAlignment="1">
      <alignment horizontal="right" vertical="center"/>
    </xf>
    <xf numFmtId="166" fontId="2" fillId="0" borderId="12" xfId="1" applyNumberFormat="1" applyFont="1" applyFill="1" applyBorder="1" applyAlignment="1">
      <alignment horizontal="right" vertical="center"/>
    </xf>
    <xf numFmtId="166" fontId="2" fillId="0" borderId="16" xfId="0" applyNumberFormat="1" applyFont="1" applyBorder="1" applyAlignment="1">
      <alignment horizontal="right" vertical="center"/>
    </xf>
    <xf numFmtId="165" fontId="7" fillId="2" borderId="19" xfId="3" applyNumberFormat="1" applyFont="1" applyFill="1" applyBorder="1" applyAlignment="1">
      <alignment horizontal="center"/>
    </xf>
    <xf numFmtId="49" fontId="7" fillId="2" borderId="19" xfId="3" applyNumberFormat="1" applyFont="1" applyFill="1" applyBorder="1" applyAlignment="1">
      <alignment horizontal="center"/>
    </xf>
    <xf numFmtId="43" fontId="7" fillId="2" borderId="19" xfId="3" applyNumberFormat="1" applyFont="1" applyFill="1" applyBorder="1" applyAlignment="1">
      <alignment horizontal="center"/>
    </xf>
    <xf numFmtId="168" fontId="7" fillId="0" borderId="19" xfId="3" applyNumberFormat="1" applyFont="1" applyBorder="1" applyAlignment="1">
      <alignment horizontal="center"/>
    </xf>
    <xf numFmtId="169" fontId="7" fillId="0" borderId="19" xfId="4" applyNumberFormat="1" applyFont="1" applyFill="1" applyBorder="1" applyAlignment="1">
      <alignment horizontal="center"/>
    </xf>
    <xf numFmtId="166" fontId="2" fillId="0" borderId="15" xfId="0" applyNumberFormat="1" applyFont="1" applyBorder="1" applyAlignment="1">
      <alignment horizontal="center" vertical="center"/>
    </xf>
    <xf numFmtId="166" fontId="2" fillId="0" borderId="15" xfId="0" applyNumberFormat="1" applyFont="1" applyBorder="1" applyAlignment="1">
      <alignment horizontal="right" vertical="center"/>
    </xf>
    <xf numFmtId="165" fontId="2" fillId="0" borderId="16" xfId="0" applyNumberFormat="1" applyFont="1" applyBorder="1" applyAlignment="1">
      <alignment horizontal="right" vertical="center"/>
    </xf>
    <xf numFmtId="43" fontId="2" fillId="0" borderId="16" xfId="0" applyNumberFormat="1" applyFont="1" applyBorder="1" applyAlignment="1">
      <alignment horizontal="right" vertical="center"/>
    </xf>
    <xf numFmtId="39" fontId="2" fillId="0" borderId="0" xfId="0" applyNumberFormat="1" applyFont="1" applyAlignment="1">
      <alignment vertical="center"/>
    </xf>
    <xf numFmtId="39" fontId="2" fillId="0" borderId="16" xfId="0" applyNumberFormat="1" applyFont="1" applyBorder="1" applyAlignment="1">
      <alignment horizontal="right" vertical="center"/>
    </xf>
    <xf numFmtId="49" fontId="8" fillId="2" borderId="19" xfId="3" applyNumberFormat="1" applyFont="1" applyFill="1" applyBorder="1" applyAlignment="1">
      <alignment horizontal="center"/>
    </xf>
    <xf numFmtId="3" fontId="2" fillId="0" borderId="16" xfId="0" applyNumberFormat="1" applyFont="1" applyBorder="1" applyAlignment="1">
      <alignment horizontal="center" vertical="center"/>
    </xf>
    <xf numFmtId="166" fontId="2" fillId="0" borderId="16" xfId="1" applyNumberFormat="1" applyFont="1" applyFill="1" applyBorder="1" applyAlignment="1">
      <alignment horizontal="right" vertical="center"/>
    </xf>
    <xf numFmtId="165" fontId="7" fillId="2" borderId="20" xfId="3" applyNumberFormat="1" applyFont="1" applyFill="1" applyBorder="1" applyAlignment="1">
      <alignment horizontal="center"/>
    </xf>
    <xf numFmtId="39" fontId="2" fillId="0" borderId="18" xfId="0" applyNumberFormat="1" applyFont="1" applyBorder="1" applyAlignment="1">
      <alignment horizontal="right" vertical="center"/>
    </xf>
    <xf numFmtId="39" fontId="2" fillId="0" borderId="18" xfId="0" applyNumberFormat="1" applyFont="1" applyBorder="1" applyAlignment="1">
      <alignment horizontal="left" vertical="center"/>
    </xf>
    <xf numFmtId="166" fontId="2" fillId="0" borderId="8" xfId="1" applyNumberFormat="1" applyFont="1" applyFill="1" applyBorder="1" applyAlignment="1">
      <alignment horizontal="right" vertical="center"/>
    </xf>
    <xf numFmtId="166" fontId="2" fillId="0" borderId="18" xfId="0" applyNumberFormat="1" applyFont="1" applyBorder="1" applyAlignment="1">
      <alignment horizontal="right" vertical="center"/>
    </xf>
    <xf numFmtId="1" fontId="9" fillId="3" borderId="16" xfId="0" applyNumberFormat="1" applyFont="1" applyFill="1" applyBorder="1" applyAlignment="1">
      <alignment horizontal="center" vertical="center"/>
    </xf>
    <xf numFmtId="49" fontId="9" fillId="3" borderId="21" xfId="0" applyNumberFormat="1" applyFont="1" applyFill="1" applyBorder="1" applyAlignment="1">
      <alignment horizontal="left" vertical="center"/>
    </xf>
    <xf numFmtId="49" fontId="9" fillId="3" borderId="21" xfId="0" applyNumberFormat="1" applyFont="1" applyFill="1" applyBorder="1" applyAlignment="1">
      <alignment vertical="center"/>
    </xf>
    <xf numFmtId="39" fontId="9" fillId="3" borderId="21" xfId="0" applyNumberFormat="1" applyFont="1" applyFill="1" applyBorder="1" applyAlignment="1">
      <alignment horizontal="right" vertical="center"/>
    </xf>
    <xf numFmtId="39" fontId="9" fillId="3" borderId="21" xfId="0" applyNumberFormat="1" applyFont="1" applyFill="1" applyBorder="1" applyAlignment="1">
      <alignment horizontal="left" vertical="center"/>
    </xf>
    <xf numFmtId="3" fontId="9" fillId="3" borderId="21" xfId="0" applyNumberFormat="1" applyFont="1" applyFill="1" applyBorder="1" applyAlignment="1">
      <alignment horizontal="center" vertical="center"/>
    </xf>
    <xf numFmtId="166" fontId="9" fillId="3" borderId="21" xfId="1" applyNumberFormat="1" applyFont="1" applyFill="1" applyBorder="1" applyAlignment="1">
      <alignment horizontal="right" vertical="center"/>
    </xf>
    <xf numFmtId="165" fontId="9" fillId="3" borderId="21" xfId="3" applyNumberFormat="1" applyFont="1" applyFill="1" applyBorder="1" applyAlignment="1">
      <alignment horizontal="center" vertical="center"/>
    </xf>
    <xf numFmtId="49" fontId="9" fillId="3" borderId="21" xfId="3" applyNumberFormat="1" applyFont="1" applyFill="1" applyBorder="1" applyAlignment="1">
      <alignment horizontal="center" vertical="center"/>
    </xf>
    <xf numFmtId="43" fontId="9" fillId="3" borderId="21" xfId="3" applyNumberFormat="1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1" fontId="9" fillId="3" borderId="21" xfId="0" applyNumberFormat="1" applyFont="1" applyFill="1" applyBorder="1" applyAlignment="1">
      <alignment horizontal="center" vertical="center"/>
    </xf>
    <xf numFmtId="166" fontId="9" fillId="3" borderId="22" xfId="0" applyNumberFormat="1" applyFont="1" applyFill="1" applyBorder="1" applyAlignment="1">
      <alignment horizontal="center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vertical="center"/>
    </xf>
    <xf numFmtId="39" fontId="2" fillId="0" borderId="12" xfId="0" applyNumberFormat="1" applyFont="1" applyBorder="1" applyAlignment="1">
      <alignment horizontal="right" vertical="center"/>
    </xf>
    <xf numFmtId="0" fontId="2" fillId="0" borderId="12" xfId="0" applyFont="1" applyBorder="1" applyAlignment="1">
      <alignment horizontal="center" vertical="center"/>
    </xf>
    <xf numFmtId="3" fontId="2" fillId="0" borderId="12" xfId="0" applyNumberFormat="1" applyFont="1" applyBorder="1" applyAlignment="1">
      <alignment horizontal="center" vertical="center"/>
    </xf>
    <xf numFmtId="166" fontId="2" fillId="0" borderId="12" xfId="0" applyNumberFormat="1" applyFont="1" applyBorder="1" applyAlignment="1">
      <alignment horizontal="right" vertical="center"/>
    </xf>
    <xf numFmtId="43" fontId="7" fillId="2" borderId="19" xfId="4" applyFont="1" applyFill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37" fontId="3" fillId="0" borderId="12" xfId="0" applyNumberFormat="1" applyFont="1" applyBorder="1" applyAlignment="1">
      <alignment horizontal="center" vertical="center"/>
    </xf>
    <xf numFmtId="166" fontId="3" fillId="0" borderId="15" xfId="0" applyNumberFormat="1" applyFont="1" applyBorder="1" applyAlignment="1">
      <alignment horizontal="center" vertical="center"/>
    </xf>
    <xf numFmtId="166" fontId="3" fillId="0" borderId="15" xfId="0" applyNumberFormat="1" applyFont="1" applyBorder="1" applyAlignment="1">
      <alignment horizontal="right" vertical="center"/>
    </xf>
    <xf numFmtId="39" fontId="2" fillId="0" borderId="23" xfId="0" applyNumberFormat="1" applyFont="1" applyBorder="1" applyAlignment="1">
      <alignment vertical="center"/>
    </xf>
    <xf numFmtId="49" fontId="2" fillId="0" borderId="16" xfId="0" applyNumberFormat="1" applyFont="1" applyBorder="1" applyAlignment="1">
      <alignment horizontal="left" vertical="center" wrapText="1"/>
    </xf>
    <xf numFmtId="43" fontId="7" fillId="2" borderId="20" xfId="4" applyFont="1" applyFill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37" fontId="2" fillId="0" borderId="16" xfId="0" applyNumberFormat="1" applyFont="1" applyBorder="1" applyAlignment="1">
      <alignment horizontal="center" vertical="center"/>
    </xf>
    <xf numFmtId="1" fontId="2" fillId="3" borderId="16" xfId="0" applyNumberFormat="1" applyFont="1" applyFill="1" applyBorder="1" applyAlignment="1">
      <alignment horizontal="center" vertical="center"/>
    </xf>
    <xf numFmtId="49" fontId="2" fillId="3" borderId="21" xfId="0" applyNumberFormat="1" applyFont="1" applyFill="1" applyBorder="1" applyAlignment="1">
      <alignment horizontal="left" vertical="center"/>
    </xf>
    <xf numFmtId="49" fontId="2" fillId="3" borderId="21" xfId="0" applyNumberFormat="1" applyFont="1" applyFill="1" applyBorder="1" applyAlignment="1">
      <alignment vertical="center"/>
    </xf>
    <xf numFmtId="39" fontId="2" fillId="3" borderId="21" xfId="0" applyNumberFormat="1" applyFont="1" applyFill="1" applyBorder="1" applyAlignment="1">
      <alignment horizontal="right" vertical="center"/>
    </xf>
    <xf numFmtId="39" fontId="2" fillId="3" borderId="21" xfId="0" applyNumberFormat="1" applyFont="1" applyFill="1" applyBorder="1" applyAlignment="1">
      <alignment horizontal="left" vertical="center"/>
    </xf>
    <xf numFmtId="3" fontId="2" fillId="3" borderId="21" xfId="0" applyNumberFormat="1" applyFont="1" applyFill="1" applyBorder="1" applyAlignment="1">
      <alignment horizontal="center" vertical="center"/>
    </xf>
    <xf numFmtId="166" fontId="2" fillId="3" borderId="21" xfId="1" applyNumberFormat="1" applyFont="1" applyFill="1" applyBorder="1" applyAlignment="1">
      <alignment horizontal="right" vertical="center"/>
    </xf>
    <xf numFmtId="165" fontId="2" fillId="3" borderId="21" xfId="3" applyNumberFormat="1" applyFont="1" applyFill="1" applyBorder="1" applyAlignment="1">
      <alignment horizontal="center" vertical="center"/>
    </xf>
    <xf numFmtId="49" fontId="2" fillId="3" borderId="21" xfId="3" applyNumberFormat="1" applyFont="1" applyFill="1" applyBorder="1" applyAlignment="1">
      <alignment horizontal="center" vertical="center"/>
    </xf>
    <xf numFmtId="43" fontId="2" fillId="3" borderId="21" xfId="3" applyNumberFormat="1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1" fontId="2" fillId="3" borderId="21" xfId="0" applyNumberFormat="1" applyFont="1" applyFill="1" applyBorder="1" applyAlignment="1">
      <alignment horizontal="center" vertical="center"/>
    </xf>
    <xf numFmtId="166" fontId="2" fillId="3" borderId="22" xfId="0" applyNumberFormat="1" applyFont="1" applyFill="1" applyBorder="1" applyAlignment="1">
      <alignment horizontal="center" vertical="center"/>
    </xf>
    <xf numFmtId="166" fontId="2" fillId="3" borderId="22" xfId="0" applyNumberFormat="1" applyFont="1" applyFill="1" applyBorder="1" applyAlignment="1">
      <alignment horizontal="right" vertical="center"/>
    </xf>
    <xf numFmtId="43" fontId="2" fillId="0" borderId="0" xfId="3" applyNumberFormat="1" applyFont="1" applyAlignment="1">
      <alignment vertical="center"/>
    </xf>
    <xf numFmtId="49" fontId="2" fillId="0" borderId="24" xfId="3" applyNumberFormat="1" applyFont="1" applyBorder="1" applyAlignment="1">
      <alignment horizontal="center"/>
    </xf>
    <xf numFmtId="3" fontId="2" fillId="0" borderId="16" xfId="4" applyNumberFormat="1" applyFont="1" applyFill="1" applyBorder="1" applyAlignment="1">
      <alignment horizontal="center"/>
    </xf>
    <xf numFmtId="165" fontId="2" fillId="2" borderId="12" xfId="3" applyNumberFormat="1" applyFont="1" applyFill="1" applyBorder="1" applyAlignment="1">
      <alignment horizontal="center" vertical="center"/>
    </xf>
    <xf numFmtId="49" fontId="2" fillId="2" borderId="12" xfId="3" applyNumberFormat="1" applyFont="1" applyFill="1" applyBorder="1" applyAlignment="1">
      <alignment horizontal="center" vertical="center"/>
    </xf>
    <xf numFmtId="43" fontId="2" fillId="2" borderId="12" xfId="3" applyNumberFormat="1" applyFont="1" applyFill="1" applyBorder="1" applyAlignment="1">
      <alignment vertical="center"/>
    </xf>
    <xf numFmtId="1" fontId="2" fillId="0" borderId="18" xfId="0" applyNumberFormat="1" applyFont="1" applyBorder="1" applyAlignment="1">
      <alignment horizontal="center" vertical="center"/>
    </xf>
    <xf numFmtId="165" fontId="2" fillId="2" borderId="16" xfId="3" applyNumberFormat="1" applyFont="1" applyFill="1" applyBorder="1" applyAlignment="1">
      <alignment horizontal="center" vertical="center"/>
    </xf>
    <xf numFmtId="49" fontId="2" fillId="2" borderId="16" xfId="3" applyNumberFormat="1" applyFont="1" applyFill="1" applyBorder="1" applyAlignment="1">
      <alignment horizontal="center" vertical="center"/>
    </xf>
    <xf numFmtId="43" fontId="2" fillId="2" borderId="16" xfId="3" applyNumberFormat="1" applyFont="1" applyFill="1" applyBorder="1" applyAlignment="1">
      <alignment vertical="center"/>
    </xf>
    <xf numFmtId="43" fontId="2" fillId="0" borderId="16" xfId="3" applyNumberFormat="1" applyFont="1" applyBorder="1" applyAlignment="1">
      <alignment vertical="center"/>
    </xf>
    <xf numFmtId="164" fontId="2" fillId="2" borderId="12" xfId="1" applyFont="1" applyFill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left" vertical="center"/>
    </xf>
    <xf numFmtId="43" fontId="2" fillId="0" borderId="8" xfId="3" applyNumberFormat="1" applyFont="1" applyBorder="1" applyAlignment="1">
      <alignment vertical="center"/>
    </xf>
    <xf numFmtId="39" fontId="2" fillId="0" borderId="8" xfId="0" applyNumberFormat="1" applyFont="1" applyBorder="1" applyAlignment="1">
      <alignment horizontal="left" vertical="center"/>
    </xf>
    <xf numFmtId="3" fontId="2" fillId="0" borderId="8" xfId="0" applyNumberFormat="1" applyFont="1" applyBorder="1" applyAlignment="1">
      <alignment horizontal="center" vertical="center"/>
    </xf>
    <xf numFmtId="165" fontId="2" fillId="2" borderId="8" xfId="3" applyNumberFormat="1" applyFont="1" applyFill="1" applyBorder="1" applyAlignment="1">
      <alignment horizontal="center" vertical="center"/>
    </xf>
    <xf numFmtId="49" fontId="2" fillId="2" borderId="8" xfId="3" applyNumberFormat="1" applyFont="1" applyFill="1" applyBorder="1" applyAlignment="1">
      <alignment horizontal="center" vertical="center"/>
    </xf>
    <xf numFmtId="43" fontId="2" fillId="2" borderId="8" xfId="3" applyNumberFormat="1" applyFont="1" applyFill="1" applyBorder="1" applyAlignment="1">
      <alignment vertical="center"/>
    </xf>
    <xf numFmtId="1" fontId="2" fillId="0" borderId="12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164" fontId="2" fillId="0" borderId="25" xfId="1" applyFont="1" applyFill="1" applyBorder="1" applyAlignment="1">
      <alignment horizontal="right" vertical="center"/>
    </xf>
    <xf numFmtId="164" fontId="2" fillId="0" borderId="25" xfId="1" applyFont="1" applyFill="1" applyBorder="1" applyAlignment="1">
      <alignment horizontal="left" vertical="center"/>
    </xf>
    <xf numFmtId="3" fontId="2" fillId="0" borderId="25" xfId="1" applyNumberFormat="1" applyFont="1" applyFill="1" applyBorder="1" applyAlignment="1">
      <alignment horizontal="right" vertical="center"/>
    </xf>
    <xf numFmtId="166" fontId="2" fillId="0" borderId="25" xfId="1" applyNumberFormat="1" applyFont="1" applyFill="1" applyBorder="1" applyAlignment="1">
      <alignment horizontal="right" vertical="center"/>
    </xf>
    <xf numFmtId="164" fontId="2" fillId="2" borderId="25" xfId="1" applyFont="1" applyFill="1" applyBorder="1" applyAlignment="1">
      <alignment horizontal="center" vertical="center"/>
    </xf>
    <xf numFmtId="164" fontId="2" fillId="2" borderId="25" xfId="1" applyFont="1" applyFill="1" applyBorder="1" applyAlignment="1">
      <alignment horizontal="right" vertical="center"/>
    </xf>
    <xf numFmtId="0" fontId="2" fillId="0" borderId="25" xfId="1" applyNumberFormat="1" applyFont="1" applyFill="1" applyBorder="1" applyAlignment="1">
      <alignment horizontal="center" vertical="center"/>
    </xf>
    <xf numFmtId="39" fontId="2" fillId="0" borderId="16" xfId="0" applyNumberFormat="1" applyFont="1" applyBorder="1" applyAlignment="1">
      <alignment vertical="center"/>
    </xf>
    <xf numFmtId="4" fontId="2" fillId="0" borderId="16" xfId="0" applyNumberFormat="1" applyFont="1" applyBorder="1" applyAlignment="1">
      <alignment horizontal="right" vertical="center"/>
    </xf>
    <xf numFmtId="168" fontId="11" fillId="0" borderId="19" xfId="3" applyNumberFormat="1" applyFont="1" applyBorder="1" applyAlignment="1">
      <alignment horizontal="center" vertical="center"/>
    </xf>
    <xf numFmtId="169" fontId="12" fillId="0" borderId="19" xfId="4" applyNumberFormat="1" applyFont="1" applyFill="1" applyBorder="1" applyAlignment="1">
      <alignment horizontal="center" vertical="center"/>
    </xf>
    <xf numFmtId="43" fontId="2" fillId="2" borderId="12" xfId="3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1" fontId="11" fillId="0" borderId="16" xfId="0" applyNumberFormat="1" applyFont="1" applyBorder="1" applyAlignment="1">
      <alignment horizontal="center" vertical="center"/>
    </xf>
    <xf numFmtId="166" fontId="2" fillId="0" borderId="16" xfId="1" applyNumberFormat="1" applyFont="1" applyFill="1" applyBorder="1" applyAlignment="1">
      <alignment horizontal="center" vertical="center"/>
    </xf>
    <xf numFmtId="165" fontId="11" fillId="0" borderId="16" xfId="0" applyNumberFormat="1" applyFont="1" applyBorder="1" applyAlignment="1">
      <alignment horizontal="right" vertical="center"/>
    </xf>
    <xf numFmtId="43" fontId="11" fillId="0" borderId="16" xfId="0" applyNumberFormat="1" applyFont="1" applyBorder="1" applyAlignment="1">
      <alignment horizontal="right" vertical="center"/>
    </xf>
    <xf numFmtId="49" fontId="2" fillId="0" borderId="17" xfId="0" applyNumberFormat="1" applyFont="1" applyBorder="1" applyAlignment="1">
      <alignment horizontal="left" vertical="center"/>
    </xf>
    <xf numFmtId="43" fontId="2" fillId="2" borderId="16" xfId="3" applyNumberFormat="1" applyFont="1" applyFill="1" applyBorder="1" applyAlignment="1">
      <alignment horizontal="center" vertical="center"/>
    </xf>
    <xf numFmtId="167" fontId="10" fillId="0" borderId="12" xfId="0" applyNumberFormat="1" applyFont="1" applyBorder="1" applyAlignment="1">
      <alignment horizontal="center" vertical="center"/>
    </xf>
    <xf numFmtId="49" fontId="10" fillId="0" borderId="26" xfId="0" applyNumberFormat="1" applyFont="1" applyBorder="1" applyAlignment="1">
      <alignment horizontal="left" vertical="center"/>
    </xf>
    <xf numFmtId="39" fontId="10" fillId="0" borderId="16" xfId="0" applyNumberFormat="1" applyFont="1" applyBorder="1" applyAlignment="1">
      <alignment vertical="center"/>
    </xf>
    <xf numFmtId="4" fontId="10" fillId="0" borderId="16" xfId="0" applyNumberFormat="1" applyFont="1" applyBorder="1" applyAlignment="1">
      <alignment horizontal="right" vertical="center"/>
    </xf>
    <xf numFmtId="168" fontId="10" fillId="0" borderId="19" xfId="3" applyNumberFormat="1" applyFont="1" applyBorder="1" applyAlignment="1">
      <alignment horizontal="center" vertical="center"/>
    </xf>
    <xf numFmtId="169" fontId="10" fillId="0" borderId="19" xfId="4" applyNumberFormat="1" applyFont="1" applyFill="1" applyBorder="1" applyAlignment="1">
      <alignment horizontal="center" vertical="center"/>
    </xf>
    <xf numFmtId="166" fontId="10" fillId="0" borderId="16" xfId="1" applyNumberFormat="1" applyFont="1" applyFill="1" applyBorder="1" applyAlignment="1">
      <alignment horizontal="right" vertical="center"/>
    </xf>
    <xf numFmtId="166" fontId="10" fillId="0" borderId="16" xfId="0" applyNumberFormat="1" applyFont="1" applyBorder="1" applyAlignment="1">
      <alignment horizontal="right" vertical="center"/>
    </xf>
    <xf numFmtId="165" fontId="10" fillId="2" borderId="16" xfId="3" applyNumberFormat="1" applyFont="1" applyFill="1" applyBorder="1" applyAlignment="1">
      <alignment horizontal="center" vertical="center"/>
    </xf>
    <xf numFmtId="49" fontId="10" fillId="2" borderId="16" xfId="3" applyNumberFormat="1" applyFont="1" applyFill="1" applyBorder="1" applyAlignment="1">
      <alignment horizontal="center" vertical="center"/>
    </xf>
    <xf numFmtId="43" fontId="10" fillId="2" borderId="16" xfId="3" applyNumberFormat="1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 wrapText="1"/>
    </xf>
    <xf numFmtId="1" fontId="10" fillId="0" borderId="18" xfId="0" applyNumberFormat="1" applyFont="1" applyBorder="1" applyAlignment="1">
      <alignment horizontal="center" vertical="center"/>
    </xf>
    <xf numFmtId="166" fontId="10" fillId="0" borderId="16" xfId="1" applyNumberFormat="1" applyFont="1" applyFill="1" applyBorder="1" applyAlignment="1">
      <alignment horizontal="center" vertical="center"/>
    </xf>
    <xf numFmtId="1" fontId="10" fillId="0" borderId="16" xfId="0" applyNumberFormat="1" applyFont="1" applyBorder="1" applyAlignment="1">
      <alignment horizontal="center" vertical="center"/>
    </xf>
    <xf numFmtId="165" fontId="10" fillId="0" borderId="16" xfId="0" applyNumberFormat="1" applyFont="1" applyBorder="1" applyAlignment="1">
      <alignment horizontal="right" vertical="center"/>
    </xf>
    <xf numFmtId="43" fontId="10" fillId="0" borderId="16" xfId="0" applyNumberFormat="1" applyFont="1" applyBorder="1" applyAlignment="1">
      <alignment horizontal="right" vertical="center"/>
    </xf>
    <xf numFmtId="39" fontId="10" fillId="0" borderId="0" xfId="0" applyNumberFormat="1" applyFont="1" applyAlignment="1">
      <alignment vertical="center"/>
    </xf>
    <xf numFmtId="49" fontId="2" fillId="0" borderId="26" xfId="0" applyNumberFormat="1" applyFont="1" applyBorder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1" fontId="11" fillId="0" borderId="18" xfId="0" applyNumberFormat="1" applyFont="1" applyBorder="1" applyAlignment="1">
      <alignment horizontal="center" vertical="center"/>
    </xf>
    <xf numFmtId="164" fontId="2" fillId="0" borderId="12" xfId="1" applyFont="1" applyFill="1" applyBorder="1" applyAlignment="1">
      <alignment horizontal="right" vertical="center"/>
    </xf>
    <xf numFmtId="0" fontId="3" fillId="0" borderId="18" xfId="0" applyFont="1" applyBorder="1" applyAlignment="1">
      <alignment horizontal="center" vertical="center"/>
    </xf>
    <xf numFmtId="165" fontId="2" fillId="2" borderId="16" xfId="0" applyNumberFormat="1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4" fontId="11" fillId="2" borderId="16" xfId="0" applyNumberFormat="1" applyFont="1" applyFill="1" applyBorder="1" applyAlignment="1">
      <alignment horizontal="right" vertical="center"/>
    </xf>
    <xf numFmtId="165" fontId="2" fillId="2" borderId="12" xfId="0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4" fontId="11" fillId="2" borderId="12" xfId="0" applyNumberFormat="1" applyFont="1" applyFill="1" applyBorder="1" applyAlignment="1">
      <alignment horizontal="right" vertical="center"/>
    </xf>
    <xf numFmtId="0" fontId="13" fillId="0" borderId="19" xfId="3" applyFont="1" applyBorder="1" applyAlignment="1">
      <alignment horizontal="left"/>
    </xf>
    <xf numFmtId="0" fontId="13" fillId="0" borderId="19" xfId="3" applyFont="1" applyBorder="1" applyAlignment="1">
      <alignment horizontal="left" indent="1"/>
    </xf>
    <xf numFmtId="165" fontId="2" fillId="2" borderId="18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4" fontId="11" fillId="2" borderId="18" xfId="0" applyNumberFormat="1" applyFont="1" applyFill="1" applyBorder="1" applyAlignment="1">
      <alignment horizontal="right" vertical="center"/>
    </xf>
    <xf numFmtId="0" fontId="2" fillId="0" borderId="18" xfId="0" applyFont="1" applyBorder="1" applyAlignment="1">
      <alignment horizontal="center" vertical="center"/>
    </xf>
    <xf numFmtId="166" fontId="2" fillId="0" borderId="27" xfId="1" applyNumberFormat="1" applyFont="1" applyFill="1" applyBorder="1" applyAlignment="1">
      <alignment horizontal="right" vertical="center"/>
    </xf>
    <xf numFmtId="1" fontId="11" fillId="0" borderId="15" xfId="0" applyNumberFormat="1" applyFont="1" applyBorder="1" applyAlignment="1">
      <alignment horizontal="center" vertical="center"/>
    </xf>
    <xf numFmtId="165" fontId="11" fillId="0" borderId="15" xfId="0" applyNumberFormat="1" applyFont="1" applyBorder="1" applyAlignment="1">
      <alignment horizontal="right" vertical="center"/>
    </xf>
    <xf numFmtId="43" fontId="11" fillId="0" borderId="15" xfId="0" applyNumberFormat="1" applyFont="1" applyBorder="1" applyAlignment="1">
      <alignment horizontal="right" vertical="center"/>
    </xf>
    <xf numFmtId="49" fontId="2" fillId="0" borderId="28" xfId="0" applyNumberFormat="1" applyFont="1" applyBorder="1" applyAlignment="1">
      <alignment horizontal="left" vertical="center"/>
    </xf>
    <xf numFmtId="4" fontId="2" fillId="0" borderId="12" xfId="0" applyNumberFormat="1" applyFont="1" applyBorder="1" applyAlignment="1">
      <alignment horizontal="right" vertical="center"/>
    </xf>
    <xf numFmtId="167" fontId="2" fillId="3" borderId="12" xfId="0" applyNumberFormat="1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vertical="center"/>
    </xf>
    <xf numFmtId="0" fontId="3" fillId="3" borderId="25" xfId="0" applyFont="1" applyFill="1" applyBorder="1" applyAlignment="1">
      <alignment vertical="center"/>
    </xf>
    <xf numFmtId="164" fontId="2" fillId="3" borderId="25" xfId="1" applyFont="1" applyFill="1" applyBorder="1" applyAlignment="1">
      <alignment horizontal="right" vertical="center"/>
    </xf>
    <xf numFmtId="3" fontId="2" fillId="3" borderId="25" xfId="1" applyNumberFormat="1" applyFont="1" applyFill="1" applyBorder="1" applyAlignment="1">
      <alignment horizontal="right" vertical="center"/>
    </xf>
    <xf numFmtId="166" fontId="2" fillId="3" borderId="25" xfId="1" applyNumberFormat="1" applyFont="1" applyFill="1" applyBorder="1" applyAlignment="1">
      <alignment horizontal="right" vertical="center"/>
    </xf>
    <xf numFmtId="164" fontId="2" fillId="3" borderId="25" xfId="1" applyFont="1" applyFill="1" applyBorder="1" applyAlignment="1">
      <alignment horizontal="center" vertical="center"/>
    </xf>
    <xf numFmtId="0" fontId="2" fillId="3" borderId="25" xfId="1" applyNumberFormat="1" applyFont="1" applyFill="1" applyBorder="1" applyAlignment="1">
      <alignment horizontal="center" vertical="center"/>
    </xf>
    <xf numFmtId="164" fontId="2" fillId="0" borderId="16" xfId="1" applyFont="1" applyFill="1" applyBorder="1" applyAlignment="1">
      <alignment horizontal="left" vertical="center"/>
    </xf>
    <xf numFmtId="43" fontId="7" fillId="2" borderId="19" xfId="3" applyNumberFormat="1" applyFont="1" applyFill="1" applyBorder="1"/>
    <xf numFmtId="165" fontId="2" fillId="0" borderId="18" xfId="0" applyNumberFormat="1" applyFont="1" applyBorder="1" applyAlignment="1">
      <alignment horizontal="right" vertical="center"/>
    </xf>
    <xf numFmtId="43" fontId="2" fillId="0" borderId="18" xfId="0" applyNumberFormat="1" applyFont="1" applyBorder="1" applyAlignment="1">
      <alignment horizontal="righ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vertical="center"/>
    </xf>
    <xf numFmtId="164" fontId="2" fillId="0" borderId="18" xfId="1" applyFont="1" applyFill="1" applyBorder="1" applyAlignment="1">
      <alignment horizontal="left" vertical="center"/>
    </xf>
    <xf numFmtId="49" fontId="2" fillId="0" borderId="29" xfId="0" applyNumberFormat="1" applyFont="1" applyBorder="1" applyAlignment="1">
      <alignment horizontal="left" vertical="center"/>
    </xf>
    <xf numFmtId="49" fontId="2" fillId="0" borderId="29" xfId="0" applyNumberFormat="1" applyFont="1" applyBorder="1" applyAlignment="1">
      <alignment vertical="center"/>
    </xf>
    <xf numFmtId="164" fontId="2" fillId="0" borderId="29" xfId="1" applyFont="1" applyFill="1" applyBorder="1" applyAlignment="1">
      <alignment horizontal="left" vertical="center"/>
    </xf>
    <xf numFmtId="39" fontId="2" fillId="0" borderId="29" xfId="0" applyNumberFormat="1" applyFont="1" applyBorder="1" applyAlignment="1">
      <alignment horizontal="left" vertical="center"/>
    </xf>
    <xf numFmtId="3" fontId="2" fillId="0" borderId="29" xfId="0" applyNumberFormat="1" applyFont="1" applyBorder="1" applyAlignment="1">
      <alignment horizontal="center" vertical="center"/>
    </xf>
    <xf numFmtId="166" fontId="2" fillId="0" borderId="29" xfId="1" applyNumberFormat="1" applyFont="1" applyFill="1" applyBorder="1" applyAlignment="1">
      <alignment horizontal="right" vertical="center"/>
    </xf>
    <xf numFmtId="166" fontId="2" fillId="0" borderId="29" xfId="0" applyNumberFormat="1" applyFont="1" applyBorder="1" applyAlignment="1">
      <alignment horizontal="right" vertical="center"/>
    </xf>
    <xf numFmtId="49" fontId="7" fillId="2" borderId="20" xfId="3" applyNumberFormat="1" applyFont="1" applyFill="1" applyBorder="1" applyAlignment="1">
      <alignment horizontal="center"/>
    </xf>
    <xf numFmtId="0" fontId="3" fillId="0" borderId="29" xfId="0" applyFont="1" applyBorder="1" applyAlignment="1">
      <alignment horizontal="center" vertical="center" wrapText="1"/>
    </xf>
    <xf numFmtId="1" fontId="2" fillId="0" borderId="29" xfId="0" applyNumberFormat="1" applyFont="1" applyBorder="1" applyAlignment="1">
      <alignment horizontal="center" vertical="center"/>
    </xf>
    <xf numFmtId="165" fontId="2" fillId="0" borderId="29" xfId="0" applyNumberFormat="1" applyFont="1" applyBorder="1" applyAlignment="1">
      <alignment horizontal="right" vertical="center"/>
    </xf>
    <xf numFmtId="43" fontId="2" fillId="0" borderId="29" xfId="0" applyNumberFormat="1" applyFont="1" applyBorder="1" applyAlignment="1">
      <alignment horizontal="right" vertical="center"/>
    </xf>
    <xf numFmtId="0" fontId="2" fillId="0" borderId="30" xfId="0" applyFont="1" applyBorder="1" applyAlignment="1">
      <alignment vertical="center"/>
    </xf>
    <xf numFmtId="164" fontId="2" fillId="3" borderId="25" xfId="1" applyFont="1" applyFill="1" applyBorder="1" applyAlignment="1">
      <alignment horizontal="left" vertical="center"/>
    </xf>
    <xf numFmtId="164" fontId="2" fillId="2" borderId="16" xfId="0" applyNumberFormat="1" applyFont="1" applyFill="1" applyBorder="1" applyAlignment="1">
      <alignment horizontal="right" vertical="center"/>
    </xf>
    <xf numFmtId="49" fontId="5" fillId="0" borderId="16" xfId="0" applyNumberFormat="1" applyFont="1" applyBorder="1" applyAlignment="1">
      <alignment vertical="center"/>
    </xf>
    <xf numFmtId="4" fontId="2" fillId="0" borderId="16" xfId="0" applyNumberFormat="1" applyFont="1" applyBorder="1" applyAlignment="1">
      <alignment vertical="center"/>
    </xf>
    <xf numFmtId="164" fontId="2" fillId="0" borderId="16" xfId="0" applyNumberFormat="1" applyFont="1" applyBorder="1" applyAlignment="1">
      <alignment horizontal="right" vertical="center"/>
    </xf>
    <xf numFmtId="4" fontId="2" fillId="0" borderId="0" xfId="0" applyNumberFormat="1" applyFont="1" applyAlignment="1">
      <alignment vertical="center"/>
    </xf>
    <xf numFmtId="4" fontId="2" fillId="0" borderId="18" xfId="0" applyNumberFormat="1" applyFont="1" applyBorder="1" applyAlignment="1">
      <alignment vertical="center"/>
    </xf>
    <xf numFmtId="164" fontId="2" fillId="0" borderId="18" xfId="0" applyNumberFormat="1" applyFont="1" applyBorder="1" applyAlignment="1">
      <alignment horizontal="right" vertical="center"/>
    </xf>
    <xf numFmtId="166" fontId="2" fillId="0" borderId="8" xfId="0" applyNumberFormat="1" applyFont="1" applyBorder="1" applyAlignment="1">
      <alignment horizontal="right" vertical="center"/>
    </xf>
    <xf numFmtId="165" fontId="2" fillId="2" borderId="8" xfId="0" applyNumberFormat="1" applyFont="1" applyFill="1" applyBorder="1" applyAlignment="1">
      <alignment horizontal="center" vertical="center"/>
    </xf>
    <xf numFmtId="164" fontId="2" fillId="2" borderId="18" xfId="0" applyNumberFormat="1" applyFont="1" applyFill="1" applyBorder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166" fontId="2" fillId="0" borderId="18" xfId="1" applyNumberFormat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4" fontId="2" fillId="3" borderId="11" xfId="0" applyNumberFormat="1" applyFont="1" applyFill="1" applyBorder="1" applyAlignment="1">
      <alignment vertical="center"/>
    </xf>
    <xf numFmtId="164" fontId="2" fillId="3" borderId="11" xfId="0" applyNumberFormat="1" applyFont="1" applyFill="1" applyBorder="1" applyAlignment="1">
      <alignment horizontal="right" vertical="center"/>
    </xf>
    <xf numFmtId="49" fontId="2" fillId="3" borderId="11" xfId="0" applyNumberFormat="1" applyFont="1" applyFill="1" applyBorder="1" applyAlignment="1">
      <alignment horizontal="left" vertical="center"/>
    </xf>
    <xf numFmtId="3" fontId="2" fillId="3" borderId="11" xfId="0" applyNumberFormat="1" applyFont="1" applyFill="1" applyBorder="1" applyAlignment="1">
      <alignment horizontal="center" vertical="center"/>
    </xf>
    <xf numFmtId="166" fontId="2" fillId="3" borderId="11" xfId="1" applyNumberFormat="1" applyFont="1" applyFill="1" applyBorder="1" applyAlignment="1">
      <alignment horizontal="right" vertical="center"/>
    </xf>
    <xf numFmtId="166" fontId="2" fillId="3" borderId="11" xfId="0" applyNumberFormat="1" applyFont="1" applyFill="1" applyBorder="1" applyAlignment="1">
      <alignment horizontal="right" vertical="center"/>
    </xf>
    <xf numFmtId="165" fontId="2" fillId="3" borderId="11" xfId="0" applyNumberFormat="1" applyFont="1" applyFill="1" applyBorder="1" applyAlignment="1">
      <alignment horizontal="center" vertical="center"/>
    </xf>
    <xf numFmtId="1" fontId="2" fillId="3" borderId="11" xfId="0" applyNumberFormat="1" applyFont="1" applyFill="1" applyBorder="1" applyAlignment="1">
      <alignment horizontal="center" vertical="center"/>
    </xf>
    <xf numFmtId="166" fontId="2" fillId="3" borderId="11" xfId="1" applyNumberFormat="1" applyFont="1" applyFill="1" applyBorder="1" applyAlignment="1">
      <alignment horizontal="center" vertical="center"/>
    </xf>
    <xf numFmtId="49" fontId="5" fillId="0" borderId="12" xfId="0" applyNumberFormat="1" applyFont="1" applyBorder="1" applyAlignment="1">
      <alignment vertical="center"/>
    </xf>
    <xf numFmtId="4" fontId="2" fillId="0" borderId="12" xfId="0" applyNumberFormat="1" applyFont="1" applyBorder="1" applyAlignment="1">
      <alignment vertical="center"/>
    </xf>
    <xf numFmtId="164" fontId="2" fillId="0" borderId="12" xfId="0" applyNumberFormat="1" applyFont="1" applyBorder="1" applyAlignment="1">
      <alignment horizontal="right" vertical="center"/>
    </xf>
    <xf numFmtId="166" fontId="2" fillId="0" borderId="31" xfId="0" applyNumberFormat="1" applyFont="1" applyBorder="1" applyAlignment="1">
      <alignment horizontal="right" vertical="center"/>
    </xf>
    <xf numFmtId="165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2" fillId="2" borderId="15" xfId="0" applyNumberFormat="1" applyFont="1" applyFill="1" applyBorder="1" applyAlignment="1">
      <alignment horizontal="right" vertical="center"/>
    </xf>
    <xf numFmtId="1" fontId="2" fillId="0" borderId="8" xfId="0" applyNumberFormat="1" applyFont="1" applyBorder="1" applyAlignment="1">
      <alignment horizontal="center" vertical="center"/>
    </xf>
    <xf numFmtId="166" fontId="2" fillId="0" borderId="12" xfId="1" applyNumberFormat="1" applyFont="1" applyFill="1" applyBorder="1" applyAlignment="1">
      <alignment horizontal="center" vertical="center"/>
    </xf>
    <xf numFmtId="43" fontId="2" fillId="2" borderId="15" xfId="3" applyNumberFormat="1" applyFont="1" applyFill="1" applyBorder="1" applyAlignment="1">
      <alignment horizontal="center" vertical="center"/>
    </xf>
    <xf numFmtId="165" fontId="2" fillId="2" borderId="18" xfId="3" applyNumberFormat="1" applyFont="1" applyFill="1" applyBorder="1" applyAlignment="1">
      <alignment horizontal="center" vertical="center"/>
    </xf>
    <xf numFmtId="49" fontId="2" fillId="2" borderId="18" xfId="3" applyNumberFormat="1" applyFont="1" applyFill="1" applyBorder="1" applyAlignment="1">
      <alignment horizontal="center" vertical="center"/>
    </xf>
    <xf numFmtId="43" fontId="2" fillId="2" borderId="27" xfId="3" applyNumberFormat="1" applyFont="1" applyFill="1" applyBorder="1" applyAlignment="1">
      <alignment horizontal="center" vertical="center"/>
    </xf>
    <xf numFmtId="43" fontId="2" fillId="2" borderId="32" xfId="3" applyNumberFormat="1" applyFont="1" applyFill="1" applyBorder="1" applyAlignment="1">
      <alignment horizontal="center" vertical="center"/>
    </xf>
    <xf numFmtId="43" fontId="2" fillId="2" borderId="33" xfId="3" applyNumberFormat="1" applyFont="1" applyFill="1" applyBorder="1" applyAlignment="1">
      <alignment horizontal="center" vertical="center"/>
    </xf>
    <xf numFmtId="165" fontId="2" fillId="2" borderId="9" xfId="3" applyNumberFormat="1" applyFont="1" applyFill="1" applyBorder="1" applyAlignment="1">
      <alignment horizontal="center" vertical="center"/>
    </xf>
    <xf numFmtId="49" fontId="2" fillId="3" borderId="11" xfId="0" applyNumberFormat="1" applyFont="1" applyFill="1" applyBorder="1" applyAlignment="1">
      <alignment vertical="center"/>
    </xf>
    <xf numFmtId="165" fontId="2" fillId="3" borderId="11" xfId="3" applyNumberFormat="1" applyFont="1" applyFill="1" applyBorder="1" applyAlignment="1">
      <alignment horizontal="center" vertical="center"/>
    </xf>
    <xf numFmtId="49" fontId="2" fillId="3" borderId="11" xfId="3" applyNumberFormat="1" applyFont="1" applyFill="1" applyBorder="1" applyAlignment="1">
      <alignment horizontal="center" vertical="center"/>
    </xf>
    <xf numFmtId="43" fontId="2" fillId="3" borderId="5" xfId="3" applyNumberFormat="1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right" vertical="center"/>
    </xf>
    <xf numFmtId="0" fontId="2" fillId="0" borderId="16" xfId="3" applyFont="1" applyBorder="1" applyAlignment="1">
      <alignment horizontal="left" vertical="center"/>
    </xf>
    <xf numFmtId="0" fontId="2" fillId="0" borderId="12" xfId="3" applyFont="1" applyBorder="1" applyAlignment="1">
      <alignment horizontal="left" vertical="center"/>
    </xf>
    <xf numFmtId="164" fontId="2" fillId="4" borderId="16" xfId="0" applyNumberFormat="1" applyFont="1" applyFill="1" applyBorder="1" applyAlignment="1">
      <alignment horizontal="right" vertical="center"/>
    </xf>
    <xf numFmtId="4" fontId="2" fillId="2" borderId="17" xfId="0" applyNumberFormat="1" applyFont="1" applyFill="1" applyBorder="1" applyAlignment="1">
      <alignment horizontal="center" vertical="center"/>
    </xf>
    <xf numFmtId="4" fontId="2" fillId="2" borderId="16" xfId="0" applyNumberFormat="1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164" fontId="2" fillId="0" borderId="16" xfId="1" applyFont="1" applyFill="1" applyBorder="1" applyAlignment="1">
      <alignment horizontal="right" vertical="center"/>
    </xf>
    <xf numFmtId="164" fontId="2" fillId="0" borderId="8" xfId="1" applyFont="1" applyFill="1" applyBorder="1" applyAlignment="1">
      <alignment horizontal="left" vertical="center"/>
    </xf>
    <xf numFmtId="3" fontId="2" fillId="0" borderId="8" xfId="1" applyNumberFormat="1" applyFont="1" applyFill="1" applyBorder="1" applyAlignment="1">
      <alignment horizontal="right" vertical="center"/>
    </xf>
    <xf numFmtId="165" fontId="2" fillId="2" borderId="32" xfId="0" applyNumberFormat="1" applyFont="1" applyFill="1" applyBorder="1" applyAlignment="1">
      <alignment horizontal="center" vertical="center"/>
    </xf>
    <xf numFmtId="164" fontId="2" fillId="2" borderId="32" xfId="0" applyNumberFormat="1" applyFont="1" applyFill="1" applyBorder="1" applyAlignment="1">
      <alignment horizontal="center" vertical="center" shrinkToFit="1"/>
    </xf>
    <xf numFmtId="164" fontId="2" fillId="2" borderId="8" xfId="0" applyNumberFormat="1" applyFont="1" applyFill="1" applyBorder="1" applyAlignment="1">
      <alignment horizontal="right" vertical="center"/>
    </xf>
    <xf numFmtId="43" fontId="2" fillId="0" borderId="32" xfId="0" applyNumberFormat="1" applyFont="1" applyBorder="1" applyAlignment="1">
      <alignment horizontal="left" vertical="center"/>
    </xf>
    <xf numFmtId="165" fontId="2" fillId="0" borderId="32" xfId="0" applyNumberFormat="1" applyFont="1" applyBorder="1" applyAlignment="1">
      <alignment horizontal="right" vertical="center"/>
    </xf>
    <xf numFmtId="0" fontId="2" fillId="0" borderId="16" xfId="0" applyFont="1" applyBorder="1" applyAlignment="1">
      <alignment vertical="center"/>
    </xf>
    <xf numFmtId="3" fontId="2" fillId="0" borderId="16" xfId="1" applyNumberFormat="1" applyFont="1" applyFill="1" applyBorder="1" applyAlignment="1">
      <alignment horizontal="right" vertical="center"/>
    </xf>
    <xf numFmtId="164" fontId="2" fillId="2" borderId="16" xfId="0" applyNumberFormat="1" applyFont="1" applyFill="1" applyBorder="1" applyAlignment="1">
      <alignment horizontal="center" vertical="center" shrinkToFit="1"/>
    </xf>
    <xf numFmtId="43" fontId="2" fillId="0" borderId="16" xfId="0" applyNumberFormat="1" applyFont="1" applyBorder="1" applyAlignment="1">
      <alignment horizontal="left" vertical="center"/>
    </xf>
    <xf numFmtId="164" fontId="2" fillId="0" borderId="8" xfId="1" applyFont="1" applyFill="1" applyBorder="1" applyAlignment="1">
      <alignment horizontal="right" vertical="center"/>
    </xf>
    <xf numFmtId="0" fontId="2" fillId="0" borderId="12" xfId="0" applyFont="1" applyBorder="1" applyAlignment="1">
      <alignment vertical="center"/>
    </xf>
    <xf numFmtId="164" fontId="2" fillId="0" borderId="29" xfId="1" applyFont="1" applyFill="1" applyBorder="1" applyAlignment="1">
      <alignment horizontal="right" vertical="center"/>
    </xf>
    <xf numFmtId="165" fontId="2" fillId="2" borderId="25" xfId="1" applyNumberFormat="1" applyFont="1" applyFill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166" fontId="2" fillId="0" borderId="34" xfId="1" applyNumberFormat="1" applyFont="1" applyFill="1" applyBorder="1" applyAlignment="1">
      <alignment horizontal="right" vertical="center"/>
    </xf>
    <xf numFmtId="165" fontId="2" fillId="2" borderId="34" xfId="0" applyNumberFormat="1" applyFont="1" applyFill="1" applyBorder="1" applyAlignment="1">
      <alignment horizontal="center" vertical="center"/>
    </xf>
    <xf numFmtId="164" fontId="2" fillId="2" borderId="34" xfId="0" applyNumberFormat="1" applyFont="1" applyFill="1" applyBorder="1" applyAlignment="1">
      <alignment horizontal="center" vertical="center" shrinkToFit="1"/>
    </xf>
    <xf numFmtId="166" fontId="2" fillId="0" borderId="34" xfId="0" applyNumberFormat="1" applyFont="1" applyBorder="1" applyAlignment="1">
      <alignment horizontal="center" vertical="center"/>
    </xf>
    <xf numFmtId="166" fontId="2" fillId="0" borderId="34" xfId="0" applyNumberFormat="1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4" fontId="2" fillId="0" borderId="18" xfId="0" applyNumberFormat="1" applyFont="1" applyBorder="1" applyAlignment="1">
      <alignment horizontal="right" vertical="center"/>
    </xf>
    <xf numFmtId="1" fontId="3" fillId="0" borderId="18" xfId="0" applyNumberFormat="1" applyFont="1" applyBorder="1" applyAlignment="1">
      <alignment horizontal="center" vertical="center"/>
    </xf>
    <xf numFmtId="165" fontId="3" fillId="0" borderId="18" xfId="0" applyNumberFormat="1" applyFont="1" applyBorder="1" applyAlignment="1">
      <alignment horizontal="right" vertical="center"/>
    </xf>
    <xf numFmtId="165" fontId="3" fillId="0" borderId="16" xfId="0" applyNumberFormat="1" applyFont="1" applyBorder="1" applyAlignment="1">
      <alignment horizontal="right" vertical="center"/>
    </xf>
    <xf numFmtId="4" fontId="2" fillId="0" borderId="29" xfId="0" applyNumberFormat="1" applyFont="1" applyBorder="1" applyAlignment="1">
      <alignment horizontal="right" vertical="center"/>
    </xf>
    <xf numFmtId="165" fontId="2" fillId="2" borderId="29" xfId="0" applyNumberFormat="1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164" fontId="2" fillId="2" borderId="29" xfId="0" applyNumberFormat="1" applyFont="1" applyFill="1" applyBorder="1" applyAlignment="1">
      <alignment horizontal="right" vertical="center"/>
    </xf>
    <xf numFmtId="0" fontId="2" fillId="0" borderId="29" xfId="0" applyFont="1" applyBorder="1" applyAlignment="1">
      <alignment horizontal="center" vertical="center"/>
    </xf>
    <xf numFmtId="166" fontId="2" fillId="0" borderId="29" xfId="1" applyNumberFormat="1" applyFont="1" applyFill="1" applyBorder="1" applyAlignment="1">
      <alignment horizontal="center" vertical="center"/>
    </xf>
    <xf numFmtId="1" fontId="2" fillId="0" borderId="35" xfId="0" applyNumberFormat="1" applyFont="1" applyBorder="1" applyAlignment="1">
      <alignment horizontal="center" vertical="center"/>
    </xf>
    <xf numFmtId="165" fontId="2" fillId="0" borderId="35" xfId="0" applyNumberFormat="1" applyFont="1" applyBorder="1" applyAlignment="1">
      <alignment horizontal="right" vertical="center"/>
    </xf>
    <xf numFmtId="0" fontId="2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164" fontId="2" fillId="3" borderId="10" xfId="1" applyFont="1" applyFill="1" applyBorder="1" applyAlignment="1">
      <alignment horizontal="right" vertical="center"/>
    </xf>
    <xf numFmtId="164" fontId="2" fillId="3" borderId="10" xfId="1" applyFont="1" applyFill="1" applyBorder="1" applyAlignment="1">
      <alignment horizontal="left" vertical="center"/>
    </xf>
    <xf numFmtId="3" fontId="2" fillId="3" borderId="10" xfId="1" applyNumberFormat="1" applyFont="1" applyFill="1" applyBorder="1" applyAlignment="1">
      <alignment horizontal="right" vertical="center"/>
    </xf>
    <xf numFmtId="166" fontId="2" fillId="3" borderId="10" xfId="1" applyNumberFormat="1" applyFont="1" applyFill="1" applyBorder="1" applyAlignment="1">
      <alignment horizontal="right" vertical="center"/>
    </xf>
    <xf numFmtId="164" fontId="2" fillId="3" borderId="10" xfId="1" applyFont="1" applyFill="1" applyBorder="1" applyAlignment="1">
      <alignment horizontal="center" vertical="center"/>
    </xf>
    <xf numFmtId="0" fontId="2" fillId="3" borderId="10" xfId="1" applyNumberFormat="1" applyFont="1" applyFill="1" applyBorder="1" applyAlignment="1">
      <alignment horizontal="center" vertical="center"/>
    </xf>
    <xf numFmtId="167" fontId="2" fillId="0" borderId="16" xfId="0" applyNumberFormat="1" applyFont="1" applyBorder="1" applyAlignment="1">
      <alignment horizontal="center" vertical="center"/>
    </xf>
    <xf numFmtId="165" fontId="2" fillId="2" borderId="36" xfId="3" applyNumberFormat="1" applyFont="1" applyFill="1" applyBorder="1" applyAlignment="1">
      <alignment horizontal="center"/>
    </xf>
    <xf numFmtId="49" fontId="2" fillId="2" borderId="37" xfId="3" applyNumberFormat="1" applyFont="1" applyFill="1" applyBorder="1" applyAlignment="1">
      <alignment horizontal="center"/>
    </xf>
    <xf numFmtId="43" fontId="2" fillId="2" borderId="37" xfId="3" applyNumberFormat="1" applyFont="1" applyFill="1" applyBorder="1"/>
    <xf numFmtId="168" fontId="11" fillId="0" borderId="19" xfId="3" applyNumberFormat="1" applyFont="1" applyBorder="1" applyAlignment="1">
      <alignment horizontal="center"/>
    </xf>
    <xf numFmtId="165" fontId="2" fillId="2" borderId="38" xfId="3" applyNumberFormat="1" applyFont="1" applyFill="1" applyBorder="1" applyAlignment="1">
      <alignment horizontal="center"/>
    </xf>
    <xf numFmtId="49" fontId="2" fillId="2" borderId="39" xfId="3" applyNumberFormat="1" applyFont="1" applyFill="1" applyBorder="1" applyAlignment="1">
      <alignment horizontal="center"/>
    </xf>
    <xf numFmtId="43" fontId="2" fillId="2" borderId="39" xfId="3" applyNumberFormat="1" applyFont="1" applyFill="1" applyBorder="1"/>
    <xf numFmtId="165" fontId="2" fillId="2" borderId="17" xfId="3" applyNumberFormat="1" applyFont="1" applyFill="1" applyBorder="1" applyAlignment="1">
      <alignment horizontal="center"/>
    </xf>
    <xf numFmtId="49" fontId="2" fillId="2" borderId="40" xfId="3" applyNumberFormat="1" applyFont="1" applyFill="1" applyBorder="1" applyAlignment="1">
      <alignment horizontal="center"/>
    </xf>
    <xf numFmtId="43" fontId="2" fillId="2" borderId="40" xfId="3" applyNumberFormat="1" applyFont="1" applyFill="1" applyBorder="1"/>
    <xf numFmtId="168" fontId="11" fillId="0" borderId="0" xfId="3" applyNumberFormat="1" applyFont="1" applyAlignment="1">
      <alignment horizontal="center"/>
    </xf>
    <xf numFmtId="165" fontId="2" fillId="2" borderId="16" xfId="3" applyNumberFormat="1" applyFont="1" applyFill="1" applyBorder="1" applyAlignment="1">
      <alignment horizontal="center"/>
    </xf>
    <xf numFmtId="49" fontId="2" fillId="2" borderId="16" xfId="3" applyNumberFormat="1" applyFont="1" applyFill="1" applyBorder="1" applyAlignment="1">
      <alignment horizontal="center"/>
    </xf>
    <xf numFmtId="43" fontId="2" fillId="2" borderId="16" xfId="3" applyNumberFormat="1" applyFont="1" applyFill="1" applyBorder="1"/>
    <xf numFmtId="165" fontId="2" fillId="2" borderId="9" xfId="3" applyNumberFormat="1" applyFont="1" applyFill="1" applyBorder="1" applyAlignment="1">
      <alignment horizontal="center"/>
    </xf>
    <xf numFmtId="49" fontId="2" fillId="2" borderId="9" xfId="3" applyNumberFormat="1" applyFont="1" applyFill="1" applyBorder="1" applyAlignment="1">
      <alignment horizontal="center"/>
    </xf>
    <xf numFmtId="43" fontId="2" fillId="2" borderId="9" xfId="3" applyNumberFormat="1" applyFont="1" applyFill="1" applyBorder="1"/>
    <xf numFmtId="165" fontId="2" fillId="2" borderId="8" xfId="3" applyNumberFormat="1" applyFont="1" applyFill="1" applyBorder="1" applyAlignment="1">
      <alignment horizontal="center"/>
    </xf>
    <xf numFmtId="49" fontId="2" fillId="2" borderId="8" xfId="3" applyNumberFormat="1" applyFont="1" applyFill="1" applyBorder="1" applyAlignment="1">
      <alignment horizontal="center"/>
    </xf>
    <xf numFmtId="43" fontId="2" fillId="2" borderId="8" xfId="3" applyNumberFormat="1" applyFont="1" applyFill="1" applyBorder="1"/>
    <xf numFmtId="166" fontId="2" fillId="0" borderId="8" xfId="1" applyNumberFormat="1" applyFont="1" applyFill="1" applyBorder="1" applyAlignment="1">
      <alignment horizontal="center" vertical="center"/>
    </xf>
    <xf numFmtId="165" fontId="2" fillId="3" borderId="25" xfId="1" applyNumberFormat="1" applyFont="1" applyFill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3" fontId="2" fillId="0" borderId="18" xfId="1" applyNumberFormat="1" applyFont="1" applyFill="1" applyBorder="1" applyAlignment="1">
      <alignment horizontal="right" vertical="center"/>
    </xf>
    <xf numFmtId="165" fontId="2" fillId="2" borderId="15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 shrinkToFit="1"/>
    </xf>
    <xf numFmtId="166" fontId="2" fillId="0" borderId="27" xfId="0" applyNumberFormat="1" applyFont="1" applyBorder="1" applyAlignment="1">
      <alignment horizontal="center" vertical="center"/>
    </xf>
    <xf numFmtId="43" fontId="2" fillId="0" borderId="0" xfId="0" applyNumberFormat="1" applyFont="1" applyAlignment="1">
      <alignment horizontal="right" vertical="center"/>
    </xf>
    <xf numFmtId="49" fontId="2" fillId="0" borderId="16" xfId="0" applyNumberFormat="1" applyFont="1" applyBorder="1" applyAlignment="1">
      <alignment horizontal="right" vertical="center"/>
    </xf>
    <xf numFmtId="164" fontId="2" fillId="2" borderId="12" xfId="1" applyFont="1" applyFill="1" applyBorder="1" applyAlignment="1">
      <alignment horizontal="left" vertical="center"/>
    </xf>
    <xf numFmtId="1" fontId="3" fillId="0" borderId="16" xfId="0" applyNumberFormat="1" applyFont="1" applyBorder="1" applyAlignment="1">
      <alignment horizontal="center" vertical="center"/>
    </xf>
    <xf numFmtId="43" fontId="3" fillId="0" borderId="16" xfId="0" applyNumberFormat="1" applyFont="1" applyBorder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2" fillId="0" borderId="34" xfId="0" applyNumberFormat="1" applyFont="1" applyBorder="1" applyAlignment="1">
      <alignment horizontal="left" vertical="center"/>
    </xf>
    <xf numFmtId="49" fontId="2" fillId="0" borderId="2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right" vertical="center"/>
    </xf>
    <xf numFmtId="166" fontId="2" fillId="0" borderId="26" xfId="0" applyNumberFormat="1" applyFont="1" applyBorder="1" applyAlignment="1">
      <alignment horizontal="right" vertical="center"/>
    </xf>
    <xf numFmtId="0" fontId="2" fillId="2" borderId="23" xfId="0" applyFont="1" applyFill="1" applyBorder="1" applyAlignment="1">
      <alignment horizontal="center" vertical="center"/>
    </xf>
    <xf numFmtId="1" fontId="2" fillId="0" borderId="34" xfId="0" applyNumberFormat="1" applyFont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49" fontId="2" fillId="3" borderId="41" xfId="0" applyNumberFormat="1" applyFont="1" applyFill="1" applyBorder="1" applyAlignment="1">
      <alignment horizontal="left" vertical="center"/>
    </xf>
    <xf numFmtId="49" fontId="2" fillId="3" borderId="21" xfId="0" applyNumberFormat="1" applyFont="1" applyFill="1" applyBorder="1" applyAlignment="1">
      <alignment horizontal="right" vertical="center"/>
    </xf>
    <xf numFmtId="4" fontId="2" fillId="3" borderId="21" xfId="0" applyNumberFormat="1" applyFont="1" applyFill="1" applyBorder="1" applyAlignment="1">
      <alignment horizontal="right" vertical="center"/>
    </xf>
    <xf numFmtId="0" fontId="2" fillId="3" borderId="42" xfId="0" applyFont="1" applyFill="1" applyBorder="1" applyAlignment="1">
      <alignment horizontal="center" vertical="center"/>
    </xf>
    <xf numFmtId="164" fontId="2" fillId="3" borderId="41" xfId="0" applyNumberFormat="1" applyFont="1" applyFill="1" applyBorder="1" applyAlignment="1">
      <alignment vertical="center"/>
    </xf>
    <xf numFmtId="166" fontId="2" fillId="3" borderId="21" xfId="1" applyNumberFormat="1" applyFont="1" applyFill="1" applyBorder="1" applyAlignment="1">
      <alignment horizontal="center" vertical="center"/>
    </xf>
    <xf numFmtId="49" fontId="5" fillId="0" borderId="12" xfId="0" applyNumberFormat="1" applyFont="1" applyBorder="1" applyAlignment="1">
      <alignment horizontal="left" vertical="center"/>
    </xf>
    <xf numFmtId="39" fontId="2" fillId="0" borderId="12" xfId="0" applyNumberFormat="1" applyFont="1" applyBorder="1" applyAlignment="1">
      <alignment horizontal="left" vertical="center"/>
    </xf>
    <xf numFmtId="0" fontId="7" fillId="0" borderId="19" xfId="3" applyFont="1" applyBorder="1"/>
    <xf numFmtId="0" fontId="7" fillId="0" borderId="19" xfId="3" applyFont="1" applyBorder="1" applyAlignment="1">
      <alignment horizontal="left"/>
    </xf>
    <xf numFmtId="166" fontId="11" fillId="0" borderId="16" xfId="0" applyNumberFormat="1" applyFont="1" applyBorder="1" applyAlignment="1">
      <alignment horizontal="right" vertical="center"/>
    </xf>
    <xf numFmtId="43" fontId="3" fillId="0" borderId="16" xfId="0" applyNumberFormat="1" applyFont="1" applyBorder="1" applyAlignment="1">
      <alignment horizontal="right" vertical="center"/>
    </xf>
    <xf numFmtId="43" fontId="11" fillId="0" borderId="16" xfId="0" applyNumberFormat="1" applyFont="1" applyBorder="1" applyAlignment="1">
      <alignment shrinkToFit="1"/>
    </xf>
    <xf numFmtId="43" fontId="11" fillId="0" borderId="16" xfId="0" applyNumberFormat="1" applyFont="1" applyBorder="1"/>
    <xf numFmtId="0" fontId="2" fillId="0" borderId="0" xfId="0" applyFont="1" applyAlignment="1">
      <alignment horizontal="center" vertical="center"/>
    </xf>
    <xf numFmtId="39" fontId="3" fillId="0" borderId="16" xfId="0" applyNumberFormat="1" applyFont="1" applyBorder="1" applyAlignment="1">
      <alignment horizontal="left" vertical="center"/>
    </xf>
    <xf numFmtId="3" fontId="3" fillId="0" borderId="18" xfId="0" applyNumberFormat="1" applyFont="1" applyBorder="1" applyAlignment="1">
      <alignment horizontal="center" vertical="center"/>
    </xf>
    <xf numFmtId="166" fontId="3" fillId="0" borderId="18" xfId="1" applyNumberFormat="1" applyFont="1" applyFill="1" applyBorder="1" applyAlignment="1">
      <alignment horizontal="right" vertical="center"/>
    </xf>
    <xf numFmtId="166" fontId="3" fillId="0" borderId="16" xfId="0" applyNumberFormat="1" applyFont="1" applyBorder="1" applyAlignment="1">
      <alignment horizontal="right" vertical="center"/>
    </xf>
    <xf numFmtId="0" fontId="3" fillId="0" borderId="19" xfId="3" applyFont="1" applyBorder="1" applyAlignment="1">
      <alignment horizontal="center" vertical="center"/>
    </xf>
    <xf numFmtId="43" fontId="2" fillId="0" borderId="16" xfId="0" applyNumberFormat="1" applyFont="1" applyBorder="1" applyAlignment="1">
      <alignment shrinkToFit="1"/>
    </xf>
    <xf numFmtId="0" fontId="7" fillId="0" borderId="19" xfId="3" applyFont="1" applyBorder="1" applyAlignment="1">
      <alignment horizontal="left" indent="1"/>
    </xf>
    <xf numFmtId="0" fontId="3" fillId="0" borderId="8" xfId="0" applyFont="1" applyBorder="1" applyAlignment="1">
      <alignment vertical="center"/>
    </xf>
    <xf numFmtId="166" fontId="2" fillId="0" borderId="32" xfId="1" applyNumberFormat="1" applyFont="1" applyFill="1" applyBorder="1" applyAlignment="1">
      <alignment horizontal="right" vertical="center"/>
    </xf>
    <xf numFmtId="164" fontId="2" fillId="2" borderId="32" xfId="1" applyFont="1" applyFill="1" applyBorder="1" applyAlignment="1">
      <alignment horizontal="center" vertical="center"/>
    </xf>
    <xf numFmtId="164" fontId="2" fillId="2" borderId="8" xfId="1" applyFont="1" applyFill="1" applyBorder="1" applyAlignment="1">
      <alignment horizontal="right" vertical="center"/>
    </xf>
    <xf numFmtId="0" fontId="2" fillId="0" borderId="8" xfId="1" applyNumberFormat="1" applyFont="1" applyFill="1" applyBorder="1" applyAlignment="1">
      <alignment horizontal="center" vertical="center"/>
    </xf>
    <xf numFmtId="15" fontId="2" fillId="2" borderId="32" xfId="1" applyNumberFormat="1" applyFont="1" applyFill="1" applyBorder="1" applyAlignment="1">
      <alignment horizontal="center" vertical="center"/>
    </xf>
    <xf numFmtId="13" fontId="2" fillId="2" borderId="32" xfId="1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66" fontId="3" fillId="0" borderId="18" xfId="1" applyNumberFormat="1" applyFont="1" applyFill="1" applyBorder="1" applyAlignment="1">
      <alignment horizontal="center" vertical="center"/>
    </xf>
    <xf numFmtId="170" fontId="2" fillId="2" borderId="32" xfId="1" applyNumberFormat="1" applyFont="1" applyFill="1" applyBorder="1" applyAlignment="1">
      <alignment horizontal="center" vertical="center"/>
    </xf>
    <xf numFmtId="0" fontId="2" fillId="0" borderId="32" xfId="1" applyNumberFormat="1" applyFont="1" applyFill="1" applyBorder="1" applyAlignment="1">
      <alignment horizontal="center" vertical="center"/>
    </xf>
    <xf numFmtId="164" fontId="2" fillId="0" borderId="32" xfId="1" applyFont="1" applyFill="1" applyBorder="1" applyAlignment="1">
      <alignment horizontal="right" vertical="center"/>
    </xf>
    <xf numFmtId="166" fontId="2" fillId="3" borderId="43" xfId="1" applyNumberFormat="1" applyFont="1" applyFill="1" applyBorder="1" applyAlignment="1">
      <alignment horizontal="right" vertical="center"/>
    </xf>
    <xf numFmtId="164" fontId="2" fillId="3" borderId="43" xfId="1" applyFont="1" applyFill="1" applyBorder="1" applyAlignment="1">
      <alignment horizontal="center" vertical="center"/>
    </xf>
    <xf numFmtId="164" fontId="2" fillId="3" borderId="43" xfId="1" applyFont="1" applyFill="1" applyBorder="1" applyAlignment="1">
      <alignment horizontal="right" vertical="center"/>
    </xf>
    <xf numFmtId="0" fontId="2" fillId="3" borderId="43" xfId="1" applyNumberFormat="1" applyFont="1" applyFill="1" applyBorder="1" applyAlignment="1">
      <alignment horizontal="center" vertical="center"/>
    </xf>
    <xf numFmtId="49" fontId="3" fillId="0" borderId="18" xfId="0" applyNumberFormat="1" applyFont="1" applyBorder="1" applyAlignment="1">
      <alignment horizontal="left" vertical="center"/>
    </xf>
    <xf numFmtId="43" fontId="3" fillId="0" borderId="18" xfId="0" applyNumberFormat="1" applyFont="1" applyBorder="1" applyAlignment="1">
      <alignment horizontal="right" vertical="center"/>
    </xf>
    <xf numFmtId="43" fontId="2" fillId="0" borderId="19" xfId="3" applyNumberFormat="1" applyFont="1" applyBorder="1"/>
    <xf numFmtId="0" fontId="11" fillId="0" borderId="19" xfId="3" applyFont="1" applyBorder="1" applyAlignment="1">
      <alignment horizontal="center"/>
    </xf>
    <xf numFmtId="165" fontId="11" fillId="0" borderId="18" xfId="0" applyNumberFormat="1" applyFont="1" applyBorder="1" applyAlignment="1">
      <alignment horizontal="right" vertical="center"/>
    </xf>
    <xf numFmtId="43" fontId="11" fillId="0" borderId="18" xfId="0" applyNumberFormat="1" applyFont="1" applyBorder="1" applyAlignment="1">
      <alignment horizontal="right" vertical="center"/>
    </xf>
    <xf numFmtId="49" fontId="3" fillId="0" borderId="16" xfId="0" applyNumberFormat="1" applyFont="1" applyBorder="1" applyAlignment="1">
      <alignment horizontal="left" vertical="center"/>
    </xf>
    <xf numFmtId="166" fontId="11" fillId="0" borderId="18" xfId="0" applyNumberFormat="1" applyFont="1" applyBorder="1" applyAlignment="1">
      <alignment horizontal="right" vertical="center"/>
    </xf>
    <xf numFmtId="0" fontId="2" fillId="0" borderId="8" xfId="3" applyFont="1" applyBorder="1" applyAlignment="1">
      <alignment vertical="center"/>
    </xf>
    <xf numFmtId="167" fontId="2" fillId="3" borderId="11" xfId="0" applyNumberFormat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164" fontId="2" fillId="3" borderId="11" xfId="1" applyFont="1" applyFill="1" applyBorder="1" applyAlignment="1">
      <alignment horizontal="right" vertical="center"/>
    </xf>
    <xf numFmtId="164" fontId="2" fillId="3" borderId="11" xfId="1" applyFont="1" applyFill="1" applyBorder="1" applyAlignment="1">
      <alignment horizontal="left" vertical="center"/>
    </xf>
    <xf numFmtId="3" fontId="2" fillId="3" borderId="11" xfId="1" applyNumberFormat="1" applyFont="1" applyFill="1" applyBorder="1" applyAlignment="1">
      <alignment horizontal="right" vertical="center"/>
    </xf>
    <xf numFmtId="164" fontId="2" fillId="3" borderId="11" xfId="1" applyFont="1" applyFill="1" applyBorder="1" applyAlignment="1">
      <alignment horizontal="center" vertical="center"/>
    </xf>
    <xf numFmtId="0" fontId="2" fillId="3" borderId="11" xfId="1" applyNumberFormat="1" applyFont="1" applyFill="1" applyBorder="1" applyAlignment="1">
      <alignment horizontal="center" vertical="center"/>
    </xf>
    <xf numFmtId="43" fontId="2" fillId="0" borderId="32" xfId="0" applyNumberFormat="1" applyFont="1" applyBorder="1" applyAlignment="1">
      <alignment horizontal="right" vertical="center"/>
    </xf>
    <xf numFmtId="167" fontId="2" fillId="5" borderId="44" xfId="0" applyNumberFormat="1" applyFont="1" applyFill="1" applyBorder="1" applyAlignment="1">
      <alignment horizontal="center" vertical="center"/>
    </xf>
    <xf numFmtId="0" fontId="2" fillId="5" borderId="44" xfId="0" applyFont="1" applyFill="1" applyBorder="1" applyAlignment="1">
      <alignment vertical="center"/>
    </xf>
    <xf numFmtId="0" fontId="2" fillId="5" borderId="44" xfId="0" applyFont="1" applyFill="1" applyBorder="1" applyAlignment="1">
      <alignment horizontal="center" vertical="center"/>
    </xf>
    <xf numFmtId="164" fontId="2" fillId="5" borderId="44" xfId="1" applyFont="1" applyFill="1" applyBorder="1" applyAlignment="1">
      <alignment horizontal="right" vertical="center"/>
    </xf>
    <xf numFmtId="164" fontId="2" fillId="5" borderId="25" xfId="1" applyFont="1" applyFill="1" applyBorder="1" applyAlignment="1">
      <alignment horizontal="left" vertical="center"/>
    </xf>
    <xf numFmtId="3" fontId="2" fillId="5" borderId="25" xfId="1" applyNumberFormat="1" applyFont="1" applyFill="1" applyBorder="1" applyAlignment="1">
      <alignment horizontal="right" vertical="center"/>
    </xf>
    <xf numFmtId="166" fontId="2" fillId="5" borderId="25" xfId="1" applyNumberFormat="1" applyFont="1" applyFill="1" applyBorder="1" applyAlignment="1">
      <alignment horizontal="right" vertical="center"/>
    </xf>
    <xf numFmtId="164" fontId="2" fillId="5" borderId="25" xfId="1" applyFont="1" applyFill="1" applyBorder="1" applyAlignment="1">
      <alignment horizontal="center" vertical="center"/>
    </xf>
    <xf numFmtId="164" fontId="2" fillId="5" borderId="25" xfId="1" applyFont="1" applyFill="1" applyBorder="1" applyAlignment="1">
      <alignment horizontal="right" vertical="center"/>
    </xf>
    <xf numFmtId="0" fontId="2" fillId="5" borderId="25" xfId="1" applyNumberFormat="1" applyFont="1" applyFill="1" applyBorder="1" applyAlignment="1">
      <alignment horizontal="center" vertical="center"/>
    </xf>
    <xf numFmtId="43" fontId="2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right" vertical="center"/>
    </xf>
    <xf numFmtId="167" fontId="2" fillId="0" borderId="0" xfId="0" applyNumberFormat="1" applyFont="1" applyAlignment="1">
      <alignment horizontal="center" vertical="center"/>
    </xf>
    <xf numFmtId="164" fontId="2" fillId="0" borderId="0" xfId="1" applyFont="1" applyFill="1" applyBorder="1" applyAlignment="1">
      <alignment horizontal="right" vertical="center"/>
    </xf>
    <xf numFmtId="164" fontId="2" fillId="0" borderId="0" xfId="1" applyFont="1" applyFill="1" applyBorder="1" applyAlignment="1">
      <alignment horizontal="left" vertical="center"/>
    </xf>
    <xf numFmtId="3" fontId="2" fillId="0" borderId="0" xfId="1" applyNumberFormat="1" applyFont="1" applyFill="1" applyBorder="1" applyAlignment="1">
      <alignment horizontal="right" vertical="center"/>
    </xf>
    <xf numFmtId="166" fontId="2" fillId="0" borderId="0" xfId="1" applyNumberFormat="1" applyFont="1" applyFill="1" applyBorder="1" applyAlignment="1">
      <alignment horizontal="right" vertical="center"/>
    </xf>
    <xf numFmtId="165" fontId="2" fillId="0" borderId="0" xfId="1" applyNumberFormat="1" applyFont="1" applyFill="1" applyBorder="1" applyAlignment="1">
      <alignment horizontal="center" vertical="center"/>
    </xf>
    <xf numFmtId="164" fontId="2" fillId="0" borderId="0" xfId="1" applyFont="1" applyFill="1" applyBorder="1" applyAlignment="1">
      <alignment horizontal="center" vertical="center"/>
    </xf>
    <xf numFmtId="0" fontId="2" fillId="0" borderId="0" xfId="1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4" fontId="3" fillId="0" borderId="11" xfId="0" applyNumberFormat="1" applyFont="1" applyBorder="1" applyAlignment="1">
      <alignment horizontal="right" vertical="center"/>
    </xf>
    <xf numFmtId="39" fontId="2" fillId="0" borderId="11" xfId="0" applyNumberFormat="1" applyFont="1" applyBorder="1" applyAlignment="1">
      <alignment horizontal="left" vertical="center"/>
    </xf>
    <xf numFmtId="3" fontId="2" fillId="0" borderId="11" xfId="0" applyNumberFormat="1" applyFont="1" applyBorder="1" applyAlignment="1">
      <alignment horizontal="center" vertical="center"/>
    </xf>
    <xf numFmtId="165" fontId="2" fillId="2" borderId="11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164" fontId="2" fillId="2" borderId="11" xfId="0" applyNumberFormat="1" applyFont="1" applyFill="1" applyBorder="1" applyAlignment="1">
      <alignment horizontal="right" vertical="center"/>
    </xf>
    <xf numFmtId="1" fontId="2" fillId="0" borderId="11" xfId="0" applyNumberFormat="1" applyFont="1" applyBorder="1" applyAlignment="1">
      <alignment horizontal="center" vertical="center"/>
    </xf>
    <xf numFmtId="164" fontId="2" fillId="0" borderId="11" xfId="1" applyFont="1" applyFill="1" applyBorder="1" applyAlignment="1">
      <alignment horizontal="center" vertical="center"/>
    </xf>
    <xf numFmtId="165" fontId="2" fillId="0" borderId="8" xfId="0" applyNumberFormat="1" applyFont="1" applyBorder="1" applyAlignment="1">
      <alignment horizontal="right" vertical="center"/>
    </xf>
    <xf numFmtId="43" fontId="2" fillId="0" borderId="8" xfId="0" applyNumberFormat="1" applyFont="1" applyBorder="1" applyAlignment="1">
      <alignment horizontal="right" vertical="center"/>
    </xf>
    <xf numFmtId="4" fontId="2" fillId="0" borderId="11" xfId="0" applyNumberFormat="1" applyFont="1" applyBorder="1" applyAlignment="1">
      <alignment horizontal="right" vertical="center"/>
    </xf>
    <xf numFmtId="49" fontId="3" fillId="0" borderId="5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5" xfId="0" applyNumberFormat="1" applyFont="1" applyBorder="1" applyAlignment="1">
      <alignment horizontal="left" vertical="center"/>
    </xf>
    <xf numFmtId="4" fontId="2" fillId="0" borderId="11" xfId="0" applyNumberFormat="1" applyFont="1" applyBorder="1" applyAlignment="1">
      <alignment vertical="center"/>
    </xf>
    <xf numFmtId="4" fontId="3" fillId="0" borderId="11" xfId="0" applyNumberFormat="1" applyFont="1" applyBorder="1" applyAlignment="1">
      <alignment horizontal="right" vertical="center" shrinkToFit="1"/>
    </xf>
    <xf numFmtId="4" fontId="2" fillId="0" borderId="11" xfId="0" applyNumberFormat="1" applyFont="1" applyBorder="1" applyAlignment="1">
      <alignment horizontal="left" vertical="center"/>
    </xf>
    <xf numFmtId="3" fontId="2" fillId="0" borderId="11" xfId="0" applyNumberFormat="1" applyFont="1" applyBorder="1" applyAlignment="1">
      <alignment horizontal="right" vertical="center"/>
    </xf>
    <xf numFmtId="4" fontId="2" fillId="2" borderId="11" xfId="0" applyNumberFormat="1" applyFont="1" applyFill="1" applyBorder="1" applyAlignment="1">
      <alignment horizontal="center" vertical="center"/>
    </xf>
    <xf numFmtId="4" fontId="2" fillId="2" borderId="11" xfId="0" applyNumberFormat="1" applyFont="1" applyFill="1" applyBorder="1" applyAlignment="1">
      <alignment horizontal="right" vertical="center"/>
    </xf>
    <xf numFmtId="4" fontId="2" fillId="0" borderId="15" xfId="0" applyNumberFormat="1" applyFont="1" applyBorder="1" applyAlignment="1">
      <alignment horizontal="right" vertical="center"/>
    </xf>
    <xf numFmtId="167" fontId="2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3" fontId="2" fillId="0" borderId="11" xfId="1" applyNumberFormat="1" applyFont="1" applyFill="1" applyBorder="1" applyAlignment="1">
      <alignment horizontal="right" vertical="center"/>
    </xf>
    <xf numFmtId="164" fontId="2" fillId="2" borderId="11" xfId="0" applyNumberFormat="1" applyFont="1" applyFill="1" applyBorder="1" applyAlignment="1">
      <alignment horizontal="center" vertical="center" shrinkToFit="1"/>
    </xf>
    <xf numFmtId="164" fontId="2" fillId="0" borderId="11" xfId="1" applyFont="1" applyFill="1" applyBorder="1" applyAlignment="1">
      <alignment horizontal="right" vertical="center"/>
    </xf>
    <xf numFmtId="167" fontId="2" fillId="3" borderId="25" xfId="0" applyNumberFormat="1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165" fontId="2" fillId="3" borderId="10" xfId="1" applyNumberFormat="1" applyFont="1" applyFill="1" applyBorder="1" applyAlignment="1">
      <alignment horizontal="center" vertical="center"/>
    </xf>
    <xf numFmtId="167" fontId="2" fillId="0" borderId="28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2" xfId="0" applyFont="1" applyBorder="1" applyAlignment="1">
      <alignment vertical="center"/>
    </xf>
    <xf numFmtId="164" fontId="2" fillId="0" borderId="18" xfId="1" applyFont="1" applyFill="1" applyBorder="1" applyAlignment="1">
      <alignment horizontal="right" vertical="center"/>
    </xf>
    <xf numFmtId="165" fontId="2" fillId="2" borderId="27" xfId="0" applyNumberFormat="1" applyFont="1" applyFill="1" applyBorder="1" applyAlignment="1">
      <alignment horizontal="center" vertical="center"/>
    </xf>
    <xf numFmtId="164" fontId="2" fillId="2" borderId="27" xfId="0" applyNumberFormat="1" applyFont="1" applyFill="1" applyBorder="1" applyAlignment="1">
      <alignment horizontal="center" vertical="center" shrinkToFit="1"/>
    </xf>
    <xf numFmtId="166" fontId="2" fillId="0" borderId="27" xfId="0" applyNumberFormat="1" applyFont="1" applyBorder="1" applyAlignment="1">
      <alignment horizontal="right" vertical="center"/>
    </xf>
    <xf numFmtId="37" fontId="2" fillId="0" borderId="11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right" vertical="center"/>
    </xf>
    <xf numFmtId="0" fontId="2" fillId="0" borderId="11" xfId="0" applyFont="1" applyBorder="1" applyAlignment="1">
      <alignment horizontal="left" vertical="center"/>
    </xf>
    <xf numFmtId="3" fontId="2" fillId="0" borderId="11" xfId="0" applyNumberFormat="1" applyFont="1" applyBorder="1" applyAlignment="1">
      <alignment horizontal="left" vertical="center"/>
    </xf>
    <xf numFmtId="40" fontId="2" fillId="2" borderId="11" xfId="0" applyNumberFormat="1" applyFont="1" applyFill="1" applyBorder="1" applyAlignment="1">
      <alignment horizontal="right" vertical="center"/>
    </xf>
    <xf numFmtId="166" fontId="2" fillId="0" borderId="11" xfId="1" applyNumberFormat="1" applyFont="1" applyFill="1" applyBorder="1" applyAlignment="1">
      <alignment horizontal="left" vertical="center"/>
    </xf>
    <xf numFmtId="166" fontId="2" fillId="0" borderId="11" xfId="0" applyNumberFormat="1" applyFont="1" applyBorder="1" applyAlignment="1">
      <alignment vertical="center"/>
    </xf>
    <xf numFmtId="165" fontId="2" fillId="0" borderId="34" xfId="0" applyNumberFormat="1" applyFont="1" applyBorder="1" applyAlignment="1">
      <alignment vertical="center"/>
    </xf>
    <xf numFmtId="43" fontId="2" fillId="0" borderId="34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horizontal="left" vertical="center"/>
    </xf>
    <xf numFmtId="1" fontId="2" fillId="0" borderId="32" xfId="0" applyNumberFormat="1" applyFont="1" applyBorder="1" applyAlignment="1">
      <alignment horizontal="center" vertical="center"/>
    </xf>
    <xf numFmtId="165" fontId="2" fillId="0" borderId="32" xfId="0" applyNumberFormat="1" applyFont="1" applyBorder="1" applyAlignment="1">
      <alignment vertical="center"/>
    </xf>
    <xf numFmtId="43" fontId="2" fillId="0" borderId="32" xfId="0" applyNumberFormat="1" applyFont="1" applyBorder="1" applyAlignment="1">
      <alignment vertical="center"/>
    </xf>
    <xf numFmtId="167" fontId="2" fillId="6" borderId="44" xfId="0" applyNumberFormat="1" applyFont="1" applyFill="1" applyBorder="1" applyAlignment="1">
      <alignment horizontal="center" vertical="center"/>
    </xf>
    <xf numFmtId="0" fontId="2" fillId="6" borderId="44" xfId="0" applyFont="1" applyFill="1" applyBorder="1" applyAlignment="1">
      <alignment horizontal="right" vertical="center"/>
    </xf>
    <xf numFmtId="0" fontId="2" fillId="6" borderId="43" xfId="0" applyFont="1" applyFill="1" applyBorder="1" applyAlignment="1">
      <alignment vertical="center"/>
    </xf>
    <xf numFmtId="164" fontId="2" fillId="6" borderId="25" xfId="1" applyFont="1" applyFill="1" applyBorder="1" applyAlignment="1">
      <alignment vertical="center"/>
    </xf>
    <xf numFmtId="3" fontId="2" fillId="6" borderId="25" xfId="1" applyNumberFormat="1" applyFont="1" applyFill="1" applyBorder="1" applyAlignment="1">
      <alignment vertical="center"/>
    </xf>
    <xf numFmtId="166" fontId="2" fillId="6" borderId="25" xfId="1" applyNumberFormat="1" applyFont="1" applyFill="1" applyBorder="1" applyAlignment="1">
      <alignment horizontal="right" vertical="center"/>
    </xf>
    <xf numFmtId="164" fontId="2" fillId="6" borderId="25" xfId="1" applyFont="1" applyFill="1" applyBorder="1" applyAlignment="1">
      <alignment horizontal="center" vertical="center"/>
    </xf>
    <xf numFmtId="0" fontId="2" fillId="6" borderId="25" xfId="1" applyNumberFormat="1" applyFont="1" applyFill="1" applyBorder="1" applyAlignment="1">
      <alignment horizontal="center" vertical="center"/>
    </xf>
    <xf numFmtId="171" fontId="2" fillId="6" borderId="25" xfId="1" applyNumberFormat="1" applyFont="1" applyFill="1" applyBorder="1" applyAlignment="1">
      <alignment horizontal="right" vertical="center"/>
    </xf>
    <xf numFmtId="166" fontId="2" fillId="0" borderId="10" xfId="1" applyNumberFormat="1" applyFont="1" applyFill="1" applyBorder="1" applyAlignment="1">
      <alignment horizontal="right" vertical="center"/>
    </xf>
    <xf numFmtId="165" fontId="2" fillId="0" borderId="10" xfId="1" applyNumberFormat="1" applyFont="1" applyFill="1" applyBorder="1" applyAlignment="1">
      <alignment vertical="center"/>
    </xf>
    <xf numFmtId="43" fontId="2" fillId="0" borderId="10" xfId="1" applyNumberFormat="1" applyFont="1" applyFill="1" applyBorder="1" applyAlignment="1">
      <alignment vertical="center"/>
    </xf>
    <xf numFmtId="49" fontId="2" fillId="0" borderId="0" xfId="0" applyNumberFormat="1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4" fontId="2" fillId="0" borderId="0" xfId="0" applyNumberFormat="1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166" fontId="2" fillId="0" borderId="0" xfId="1" applyNumberFormat="1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39" fontId="2" fillId="0" borderId="0" xfId="0" applyNumberFormat="1" applyFont="1" applyAlignment="1">
      <alignment horizontal="left" vertical="center"/>
    </xf>
    <xf numFmtId="43" fontId="2" fillId="0" borderId="0" xfId="0" applyNumberFormat="1" applyFont="1" applyAlignment="1">
      <alignment vertical="center"/>
    </xf>
    <xf numFmtId="166" fontId="2" fillId="0" borderId="0" xfId="1" applyNumberFormat="1" applyFont="1" applyFill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165" fontId="2" fillId="0" borderId="8" xfId="2" applyNumberFormat="1" applyFont="1" applyBorder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1" fontId="2" fillId="0" borderId="8" xfId="2" applyNumberFormat="1" applyFont="1" applyBorder="1" applyAlignment="1">
      <alignment horizontal="center" vertical="center" wrapText="1"/>
    </xf>
    <xf numFmtId="166" fontId="11" fillId="0" borderId="15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right" vertical="center"/>
    </xf>
    <xf numFmtId="164" fontId="2" fillId="0" borderId="0" xfId="0" applyNumberFormat="1" applyFont="1" applyAlignment="1">
      <alignment vertical="center"/>
    </xf>
    <xf numFmtId="39" fontId="2" fillId="4" borderId="0" xfId="0" applyNumberFormat="1" applyFont="1" applyFill="1" applyAlignment="1">
      <alignment vertical="center"/>
    </xf>
    <xf numFmtId="164" fontId="2" fillId="0" borderId="45" xfId="1" applyFont="1" applyBorder="1" applyAlignment="1">
      <alignment vertical="center"/>
    </xf>
    <xf numFmtId="164" fontId="2" fillId="0" borderId="2" xfId="1" applyFont="1" applyBorder="1" applyAlignment="1">
      <alignment horizontal="center" vertical="center"/>
    </xf>
    <xf numFmtId="164" fontId="2" fillId="0" borderId="10" xfId="1" applyFont="1" applyBorder="1" applyAlignment="1">
      <alignment horizontal="center" vertical="center"/>
    </xf>
    <xf numFmtId="164" fontId="3" fillId="0" borderId="13" xfId="1" applyFont="1" applyBorder="1" applyAlignment="1">
      <alignment vertical="center"/>
    </xf>
    <xf numFmtId="164" fontId="2" fillId="0" borderId="0" xfId="1" applyFont="1" applyBorder="1" applyAlignment="1">
      <alignment vertical="center"/>
    </xf>
    <xf numFmtId="164" fontId="9" fillId="3" borderId="21" xfId="1" applyFont="1" applyFill="1" applyBorder="1" applyAlignment="1">
      <alignment vertical="center"/>
    </xf>
    <xf numFmtId="164" fontId="2" fillId="0" borderId="12" xfId="1" applyFont="1" applyBorder="1" applyAlignment="1">
      <alignment vertical="center"/>
    </xf>
    <xf numFmtId="164" fontId="2" fillId="0" borderId="16" xfId="1" applyFont="1" applyBorder="1" applyAlignment="1">
      <alignment vertical="center"/>
    </xf>
    <xf numFmtId="164" fontId="2" fillId="3" borderId="21" xfId="1" applyFont="1" applyFill="1" applyBorder="1" applyAlignment="1">
      <alignment vertical="center"/>
    </xf>
    <xf numFmtId="164" fontId="3" fillId="0" borderId="25" xfId="1" applyFont="1" applyBorder="1" applyAlignment="1">
      <alignment vertical="center"/>
    </xf>
    <xf numFmtId="164" fontId="10" fillId="0" borderId="18" xfId="1" applyFont="1" applyBorder="1" applyAlignment="1">
      <alignment vertical="center"/>
    </xf>
    <xf numFmtId="164" fontId="2" fillId="0" borderId="18" xfId="1" applyFont="1" applyBorder="1" applyAlignment="1">
      <alignment vertical="center"/>
    </xf>
    <xf numFmtId="164" fontId="13" fillId="0" borderId="0" xfId="1" applyFont="1" applyBorder="1" applyAlignment="1">
      <alignment horizontal="left" indent="1"/>
    </xf>
    <xf numFmtId="164" fontId="3" fillId="3" borderId="25" xfId="1" applyFont="1" applyFill="1" applyBorder="1" applyAlignment="1">
      <alignment vertical="center"/>
    </xf>
    <xf numFmtId="164" fontId="2" fillId="0" borderId="29" xfId="1" applyFont="1" applyBorder="1" applyAlignment="1">
      <alignment vertical="center"/>
    </xf>
    <xf numFmtId="164" fontId="2" fillId="0" borderId="8" xfId="1" applyFont="1" applyBorder="1" applyAlignment="1">
      <alignment vertical="center"/>
    </xf>
    <xf numFmtId="164" fontId="3" fillId="0" borderId="16" xfId="1" applyFont="1" applyBorder="1" applyAlignment="1">
      <alignment vertical="center"/>
    </xf>
    <xf numFmtId="164" fontId="3" fillId="3" borderId="10" xfId="1" applyFont="1" applyFill="1" applyBorder="1" applyAlignment="1">
      <alignment vertical="center"/>
    </xf>
    <xf numFmtId="164" fontId="2" fillId="0" borderId="16" xfId="1" applyFont="1" applyBorder="1" applyAlignment="1">
      <alignment horizontal="right" vertical="center"/>
    </xf>
    <xf numFmtId="164" fontId="2" fillId="3" borderId="21" xfId="1" applyFont="1" applyFill="1" applyBorder="1" applyAlignment="1">
      <alignment horizontal="right" vertical="center"/>
    </xf>
    <xf numFmtId="164" fontId="7" fillId="0" borderId="19" xfId="1" applyFont="1" applyBorder="1" applyAlignment="1">
      <alignment horizontal="left"/>
    </xf>
    <xf numFmtId="164" fontId="3" fillId="0" borderId="32" xfId="1" applyFont="1" applyBorder="1" applyAlignment="1">
      <alignment vertical="center"/>
    </xf>
    <xf numFmtId="164" fontId="3" fillId="3" borderId="11" xfId="1" applyFont="1" applyFill="1" applyBorder="1" applyAlignment="1">
      <alignment vertical="center"/>
    </xf>
    <xf numFmtId="164" fontId="2" fillId="5" borderId="44" xfId="1" applyFont="1" applyFill="1" applyBorder="1" applyAlignment="1">
      <alignment horizontal="center" vertical="center"/>
    </xf>
    <xf numFmtId="164" fontId="3" fillId="0" borderId="0" xfId="1" applyFont="1" applyAlignment="1">
      <alignment vertical="center"/>
    </xf>
    <xf numFmtId="164" fontId="2" fillId="0" borderId="11" xfId="1" applyFont="1" applyBorder="1" applyAlignment="1">
      <alignment vertical="center"/>
    </xf>
    <xf numFmtId="164" fontId="3" fillId="0" borderId="4" xfId="1" applyFont="1" applyBorder="1" applyAlignment="1">
      <alignment horizontal="left" vertical="center"/>
    </xf>
    <xf numFmtId="164" fontId="2" fillId="0" borderId="4" xfId="1" applyFont="1" applyBorder="1" applyAlignment="1">
      <alignment horizontal="left" vertical="center"/>
    </xf>
    <xf numFmtId="164" fontId="3" fillId="0" borderId="11" xfId="1" applyFont="1" applyBorder="1" applyAlignment="1">
      <alignment vertical="center"/>
    </xf>
    <xf numFmtId="164" fontId="2" fillId="6" borderId="43" xfId="1" applyFont="1" applyFill="1" applyBorder="1" applyAlignment="1">
      <alignment vertical="center"/>
    </xf>
    <xf numFmtId="164" fontId="2" fillId="0" borderId="0" xfId="1" applyFont="1" applyAlignment="1">
      <alignment vertical="center"/>
    </xf>
    <xf numFmtId="49" fontId="2" fillId="0" borderId="8" xfId="0" applyNumberFormat="1" applyFont="1" applyBorder="1" applyAlignment="1">
      <alignment horizontal="center" vertical="center"/>
    </xf>
    <xf numFmtId="166" fontId="2" fillId="0" borderId="32" xfId="0" applyNumberFormat="1" applyFont="1" applyBorder="1" applyAlignment="1">
      <alignment horizontal="center" vertical="center"/>
    </xf>
    <xf numFmtId="164" fontId="7" fillId="0" borderId="0" xfId="1" applyFont="1" applyBorder="1" applyAlignment="1">
      <alignment horizontal="left"/>
    </xf>
    <xf numFmtId="172" fontId="2" fillId="0" borderId="0" xfId="0" applyNumberFormat="1" applyFont="1" applyAlignment="1">
      <alignment vertical="center"/>
    </xf>
    <xf numFmtId="43" fontId="2" fillId="2" borderId="34" xfId="3" applyNumberFormat="1" applyFont="1" applyFill="1" applyBorder="1" applyAlignment="1">
      <alignment horizontal="center" vertical="center"/>
    </xf>
    <xf numFmtId="164" fontId="2" fillId="0" borderId="23" xfId="1" applyFont="1" applyBorder="1" applyAlignment="1">
      <alignment vertical="center"/>
    </xf>
    <xf numFmtId="164" fontId="10" fillId="0" borderId="0" xfId="1" applyFont="1" applyAlignment="1">
      <alignment vertical="center"/>
    </xf>
    <xf numFmtId="164" fontId="2" fillId="0" borderId="30" xfId="1" applyFont="1" applyBorder="1" applyAlignment="1">
      <alignment vertical="center"/>
    </xf>
    <xf numFmtId="164" fontId="2" fillId="4" borderId="0" xfId="1" applyFont="1" applyFill="1" applyAlignment="1">
      <alignment vertical="center"/>
    </xf>
    <xf numFmtId="164" fontId="2" fillId="5" borderId="16" xfId="1" applyFont="1" applyFill="1" applyBorder="1" applyAlignment="1">
      <alignment horizontal="left" vertical="center"/>
    </xf>
    <xf numFmtId="164" fontId="2" fillId="5" borderId="18" xfId="1" applyFont="1" applyFill="1" applyBorder="1" applyAlignment="1">
      <alignment horizontal="left" vertical="center"/>
    </xf>
    <xf numFmtId="164" fontId="2" fillId="5" borderId="29" xfId="1" applyFont="1" applyFill="1" applyBorder="1" applyAlignment="1">
      <alignment horizontal="left" vertical="center"/>
    </xf>
    <xf numFmtId="39" fontId="2" fillId="5" borderId="0" xfId="0" applyNumberFormat="1" applyFont="1" applyFill="1" applyAlignment="1">
      <alignment vertical="center"/>
    </xf>
    <xf numFmtId="43" fontId="2" fillId="5" borderId="0" xfId="0" applyNumberFormat="1" applyFont="1" applyFill="1" applyAlignment="1">
      <alignment vertical="center"/>
    </xf>
    <xf numFmtId="164" fontId="2" fillId="5" borderId="0" xfId="0" applyNumberFormat="1" applyFont="1" applyFill="1" applyAlignment="1">
      <alignment vertical="center"/>
    </xf>
    <xf numFmtId="49" fontId="18" fillId="0" borderId="8" xfId="0" applyNumberFormat="1" applyFont="1" applyBorder="1" applyAlignment="1">
      <alignment horizontal="center" vertical="center"/>
    </xf>
    <xf numFmtId="49" fontId="2" fillId="0" borderId="34" xfId="0" applyNumberFormat="1" applyFont="1" applyBorder="1" applyAlignment="1">
      <alignment vertical="center"/>
    </xf>
    <xf numFmtId="168" fontId="11" fillId="0" borderId="16" xfId="3" applyNumberFormat="1" applyFont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49" fontId="2" fillId="0" borderId="27" xfId="0" applyNumberFormat="1" applyFont="1" applyBorder="1" applyAlignment="1">
      <alignment vertical="center"/>
    </xf>
    <xf numFmtId="0" fontId="2" fillId="0" borderId="25" xfId="0" applyFont="1" applyBorder="1" applyAlignment="1">
      <alignment horizontal="center" vertical="center"/>
    </xf>
    <xf numFmtId="49" fontId="2" fillId="0" borderId="43" xfId="0" applyNumberFormat="1" applyFont="1" applyBorder="1" applyAlignment="1">
      <alignment vertical="center"/>
    </xf>
    <xf numFmtId="4" fontId="2" fillId="0" borderId="25" xfId="0" applyNumberFormat="1" applyFont="1" applyBorder="1" applyAlignment="1">
      <alignment vertical="center"/>
    </xf>
    <xf numFmtId="1" fontId="2" fillId="0" borderId="25" xfId="0" applyNumberFormat="1" applyFont="1" applyBorder="1" applyAlignment="1">
      <alignment horizontal="center" vertical="center"/>
    </xf>
    <xf numFmtId="166" fontId="2" fillId="0" borderId="25" xfId="0" applyNumberFormat="1" applyFont="1" applyBorder="1" applyAlignment="1">
      <alignment horizontal="right" vertical="center"/>
    </xf>
    <xf numFmtId="49" fontId="2" fillId="0" borderId="15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vertical="center"/>
    </xf>
    <xf numFmtId="167" fontId="2" fillId="5" borderId="46" xfId="0" applyNumberFormat="1" applyFont="1" applyFill="1" applyBorder="1" applyAlignment="1">
      <alignment horizontal="center" vertical="center"/>
    </xf>
    <xf numFmtId="0" fontId="2" fillId="5" borderId="46" xfId="0" applyFont="1" applyFill="1" applyBorder="1" applyAlignment="1">
      <alignment vertical="center"/>
    </xf>
    <xf numFmtId="0" fontId="2" fillId="5" borderId="46" xfId="0" applyFont="1" applyFill="1" applyBorder="1" applyAlignment="1">
      <alignment horizontal="center" vertical="center"/>
    </xf>
    <xf numFmtId="0" fontId="2" fillId="5" borderId="10" xfId="1" applyNumberFormat="1" applyFont="1" applyFill="1" applyBorder="1" applyAlignment="1">
      <alignment horizontal="center" vertical="center"/>
    </xf>
    <xf numFmtId="164" fontId="2" fillId="5" borderId="10" xfId="1" applyFont="1" applyFill="1" applyBorder="1" applyAlignment="1">
      <alignment horizontal="right" vertical="center"/>
    </xf>
    <xf numFmtId="166" fontId="2" fillId="5" borderId="10" xfId="1" applyNumberFormat="1" applyFont="1" applyFill="1" applyBorder="1" applyAlignment="1">
      <alignment horizontal="right" vertical="center"/>
    </xf>
    <xf numFmtId="1" fontId="2" fillId="0" borderId="44" xfId="0" applyNumberFormat="1" applyFont="1" applyBorder="1" applyAlignment="1">
      <alignment horizontal="center" vertical="center"/>
    </xf>
    <xf numFmtId="49" fontId="2" fillId="0" borderId="44" xfId="0" applyNumberFormat="1" applyFont="1" applyBorder="1" applyAlignment="1">
      <alignment horizontal="left" vertical="center"/>
    </xf>
    <xf numFmtId="49" fontId="2" fillId="0" borderId="44" xfId="0" applyNumberFormat="1" applyFont="1" applyBorder="1" applyAlignment="1">
      <alignment vertical="center"/>
    </xf>
    <xf numFmtId="40" fontId="2" fillId="0" borderId="0" xfId="0" applyNumberFormat="1" applyFont="1" applyAlignment="1">
      <alignment vertical="center"/>
    </xf>
    <xf numFmtId="166" fontId="2" fillId="0" borderId="30" xfId="0" applyNumberFormat="1" applyFont="1" applyBorder="1" applyAlignment="1">
      <alignment vertical="center"/>
    </xf>
    <xf numFmtId="39" fontId="2" fillId="7" borderId="0" xfId="0" applyNumberFormat="1" applyFont="1" applyFill="1" applyAlignment="1">
      <alignment vertical="center"/>
    </xf>
    <xf numFmtId="164" fontId="2" fillId="0" borderId="8" xfId="1" applyFont="1" applyBorder="1" applyAlignment="1">
      <alignment horizontal="center" vertical="center"/>
    </xf>
    <xf numFmtId="49" fontId="7" fillId="0" borderId="47" xfId="3" applyNumberFormat="1" applyFont="1" applyBorder="1" applyAlignment="1">
      <alignment horizontal="center"/>
    </xf>
    <xf numFmtId="39" fontId="2" fillId="8" borderId="0" xfId="0" applyNumberFormat="1" applyFont="1" applyFill="1" applyAlignment="1">
      <alignment vertical="center"/>
    </xf>
    <xf numFmtId="167" fontId="9" fillId="0" borderId="12" xfId="0" applyNumberFormat="1" applyFont="1" applyBorder="1" applyAlignment="1">
      <alignment horizontal="center" vertical="center"/>
    </xf>
    <xf numFmtId="49" fontId="9" fillId="0" borderId="26" xfId="0" applyNumberFormat="1" applyFont="1" applyBorder="1" applyAlignment="1">
      <alignment horizontal="left" vertical="center"/>
    </xf>
    <xf numFmtId="39" fontId="9" fillId="0" borderId="16" xfId="0" applyNumberFormat="1" applyFont="1" applyBorder="1" applyAlignment="1">
      <alignment vertical="center"/>
    </xf>
    <xf numFmtId="164" fontId="9" fillId="0" borderId="18" xfId="1" applyFont="1" applyBorder="1" applyAlignment="1">
      <alignment vertical="center"/>
    </xf>
    <xf numFmtId="168" fontId="11" fillId="0" borderId="12" xfId="3" applyNumberFormat="1" applyFont="1" applyBorder="1" applyAlignment="1">
      <alignment horizontal="center"/>
    </xf>
    <xf numFmtId="0" fontId="11" fillId="0" borderId="19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68" fontId="11" fillId="0" borderId="8" xfId="3" applyNumberFormat="1" applyFont="1" applyBorder="1" applyAlignment="1">
      <alignment horizontal="center"/>
    </xf>
    <xf numFmtId="167" fontId="2" fillId="0" borderId="25" xfId="0" applyNumberFormat="1" applyFont="1" applyBorder="1" applyAlignment="1">
      <alignment horizontal="center" vertical="center"/>
    </xf>
    <xf numFmtId="168" fontId="11" fillId="0" borderId="25" xfId="3" applyNumberFormat="1" applyFont="1" applyBorder="1" applyAlignment="1">
      <alignment horizontal="center"/>
    </xf>
    <xf numFmtId="164" fontId="7" fillId="0" borderId="0" xfId="1" applyFont="1" applyBorder="1" applyAlignment="1">
      <alignment horizontal="left" indent="1"/>
    </xf>
    <xf numFmtId="49" fontId="3" fillId="0" borderId="16" xfId="0" applyNumberFormat="1" applyFont="1" applyBorder="1" applyAlignment="1">
      <alignment vertical="center"/>
    </xf>
    <xf numFmtId="164" fontId="3" fillId="0" borderId="0" xfId="1" applyFont="1" applyBorder="1" applyAlignment="1">
      <alignment vertical="center"/>
    </xf>
    <xf numFmtId="49" fontId="3" fillId="0" borderId="12" xfId="0" applyNumberFormat="1" applyFont="1" applyBorder="1" applyAlignment="1">
      <alignment horizontal="left" vertical="center"/>
    </xf>
    <xf numFmtId="49" fontId="3" fillId="0" borderId="12" xfId="0" applyNumberFormat="1" applyFont="1" applyBorder="1" applyAlignment="1">
      <alignment vertical="center"/>
    </xf>
    <xf numFmtId="164" fontId="3" fillId="0" borderId="12" xfId="1" applyFont="1" applyBorder="1" applyAlignment="1">
      <alignment vertical="center"/>
    </xf>
    <xf numFmtId="49" fontId="3" fillId="0" borderId="29" xfId="0" applyNumberFormat="1" applyFont="1" applyBorder="1" applyAlignment="1">
      <alignment horizontal="left" vertical="center"/>
    </xf>
    <xf numFmtId="49" fontId="3" fillId="0" borderId="29" xfId="0" applyNumberFormat="1" applyFont="1" applyBorder="1" applyAlignment="1">
      <alignment vertical="center"/>
    </xf>
    <xf numFmtId="164" fontId="3" fillId="0" borderId="29" xfId="1" applyFont="1" applyBorder="1" applyAlignment="1">
      <alignment vertical="center"/>
    </xf>
    <xf numFmtId="1" fontId="3" fillId="0" borderId="29" xfId="0" applyNumberFormat="1" applyFont="1" applyBorder="1" applyAlignment="1">
      <alignment horizontal="center" vertical="center"/>
    </xf>
    <xf numFmtId="49" fontId="3" fillId="0" borderId="26" xfId="0" applyNumberFormat="1" applyFont="1" applyBorder="1" applyAlignment="1">
      <alignment horizontal="left" vertical="center"/>
    </xf>
    <xf numFmtId="39" fontId="3" fillId="0" borderId="16" xfId="0" applyNumberFormat="1" applyFont="1" applyBorder="1" applyAlignment="1">
      <alignment vertical="center"/>
    </xf>
    <xf numFmtId="164" fontId="3" fillId="0" borderId="18" xfId="1" applyFont="1" applyBorder="1" applyAlignment="1">
      <alignment vertical="center"/>
    </xf>
    <xf numFmtId="0" fontId="3" fillId="0" borderId="18" xfId="0" applyFont="1" applyBorder="1" applyAlignment="1">
      <alignment horizontal="center" vertical="center" wrapText="1"/>
    </xf>
    <xf numFmtId="0" fontId="19" fillId="0" borderId="19" xfId="3" applyFont="1" applyBorder="1" applyAlignment="1">
      <alignment horizontal="left"/>
    </xf>
    <xf numFmtId="0" fontId="19" fillId="0" borderId="19" xfId="3" applyFont="1" applyBorder="1" applyAlignment="1">
      <alignment horizontal="left" indent="1"/>
    </xf>
    <xf numFmtId="164" fontId="19" fillId="0" borderId="0" xfId="1" applyFont="1" applyBorder="1" applyAlignment="1">
      <alignment horizontal="left" indent="1"/>
    </xf>
    <xf numFmtId="49" fontId="3" fillId="0" borderId="18" xfId="0" applyNumberFormat="1" applyFont="1" applyBorder="1" applyAlignment="1">
      <alignment vertical="center"/>
    </xf>
    <xf numFmtId="4" fontId="3" fillId="0" borderId="16" xfId="0" applyNumberFormat="1" applyFont="1" applyBorder="1" applyAlignment="1">
      <alignment vertical="center"/>
    </xf>
    <xf numFmtId="164" fontId="3" fillId="0" borderId="8" xfId="1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168" fontId="3" fillId="0" borderId="19" xfId="3" applyNumberFormat="1" applyFont="1" applyBorder="1" applyAlignment="1">
      <alignment horizontal="center"/>
    </xf>
    <xf numFmtId="166" fontId="3" fillId="0" borderId="18" xfId="0" applyNumberFormat="1" applyFont="1" applyBorder="1" applyAlignment="1">
      <alignment horizontal="right" vertical="center"/>
    </xf>
    <xf numFmtId="168" fontId="3" fillId="0" borderId="0" xfId="3" applyNumberFormat="1" applyFont="1" applyAlignment="1">
      <alignment horizontal="center"/>
    </xf>
    <xf numFmtId="1" fontId="3" fillId="0" borderId="8" xfId="0" applyNumberFormat="1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right" vertical="center"/>
    </xf>
    <xf numFmtId="164" fontId="3" fillId="0" borderId="16" xfId="1" applyFont="1" applyBorder="1" applyAlignment="1">
      <alignment horizontal="right" vertical="center"/>
    </xf>
    <xf numFmtId="0" fontId="20" fillId="0" borderId="19" xfId="3" applyFont="1" applyBorder="1"/>
    <xf numFmtId="0" fontId="20" fillId="0" borderId="19" xfId="3" applyFont="1" applyBorder="1" applyAlignment="1">
      <alignment horizontal="left"/>
    </xf>
    <xf numFmtId="164" fontId="20" fillId="0" borderId="19" xfId="1" applyFont="1" applyBorder="1" applyAlignment="1">
      <alignment horizontal="left"/>
    </xf>
    <xf numFmtId="43" fontId="3" fillId="0" borderId="19" xfId="3" applyNumberFormat="1" applyFont="1" applyBorder="1"/>
    <xf numFmtId="164" fontId="3" fillId="0" borderId="0" xfId="1" applyFont="1" applyBorder="1"/>
    <xf numFmtId="0" fontId="3" fillId="0" borderId="8" xfId="3" applyFont="1" applyBorder="1" applyAlignment="1">
      <alignment vertical="center"/>
    </xf>
    <xf numFmtId="49" fontId="10" fillId="0" borderId="16" xfId="0" applyNumberFormat="1" applyFont="1" applyBorder="1" applyAlignment="1">
      <alignment horizontal="left" vertical="center"/>
    </xf>
    <xf numFmtId="49" fontId="10" fillId="0" borderId="12" xfId="0" applyNumberFormat="1" applyFont="1" applyBorder="1" applyAlignment="1">
      <alignment vertical="center"/>
    </xf>
    <xf numFmtId="0" fontId="10" fillId="0" borderId="16" xfId="0" applyFont="1" applyBorder="1" applyAlignment="1">
      <alignment horizontal="center" vertical="center"/>
    </xf>
    <xf numFmtId="166" fontId="10" fillId="0" borderId="15" xfId="0" applyNumberFormat="1" applyFont="1" applyBorder="1" applyAlignment="1">
      <alignment horizontal="right" vertical="center"/>
    </xf>
    <xf numFmtId="49" fontId="10" fillId="0" borderId="16" xfId="0" applyNumberFormat="1" applyFont="1" applyBorder="1" applyAlignment="1">
      <alignment vertical="center"/>
    </xf>
    <xf numFmtId="0" fontId="10" fillId="0" borderId="12" xfId="0" applyFont="1" applyBorder="1" applyAlignment="1">
      <alignment horizontal="center" vertical="center"/>
    </xf>
    <xf numFmtId="49" fontId="10" fillId="0" borderId="18" xfId="0" applyNumberFormat="1" applyFont="1" applyBorder="1" applyAlignment="1">
      <alignment vertical="center"/>
    </xf>
    <xf numFmtId="4" fontId="10" fillId="0" borderId="16" xfId="0" applyNumberFormat="1" applyFont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10" fillId="0" borderId="16" xfId="0" applyFont="1" applyBorder="1" applyAlignment="1">
      <alignment vertical="center"/>
    </xf>
    <xf numFmtId="168" fontId="10" fillId="0" borderId="19" xfId="3" applyNumberFormat="1" applyFont="1" applyBorder="1" applyAlignment="1">
      <alignment horizontal="center"/>
    </xf>
    <xf numFmtId="166" fontId="10" fillId="0" borderId="18" xfId="0" applyNumberFormat="1" applyFont="1" applyBorder="1" applyAlignment="1">
      <alignment horizontal="right" vertical="center"/>
    </xf>
    <xf numFmtId="0" fontId="10" fillId="0" borderId="8" xfId="0" applyFont="1" applyBorder="1" applyAlignment="1">
      <alignment vertical="center"/>
    </xf>
    <xf numFmtId="168" fontId="10" fillId="0" borderId="0" xfId="3" applyNumberFormat="1" applyFont="1" applyAlignment="1">
      <alignment horizontal="center"/>
    </xf>
    <xf numFmtId="1" fontId="10" fillId="0" borderId="8" xfId="0" applyNumberFormat="1" applyFont="1" applyBorder="1" applyAlignment="1">
      <alignment horizontal="center" vertical="center"/>
    </xf>
    <xf numFmtId="39" fontId="2" fillId="0" borderId="0" xfId="0" applyNumberFormat="1" applyFont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" fontId="2" fillId="0" borderId="2" xfId="2" applyNumberFormat="1" applyFont="1" applyBorder="1" applyAlignment="1">
      <alignment horizontal="center" vertical="center" wrapText="1"/>
    </xf>
    <xf numFmtId="1" fontId="2" fillId="0" borderId="8" xfId="2" applyNumberFormat="1" applyFont="1" applyBorder="1" applyAlignment="1">
      <alignment horizontal="center" vertical="center" wrapText="1"/>
    </xf>
    <xf numFmtId="1" fontId="2" fillId="0" borderId="9" xfId="2" applyNumberFormat="1" applyFont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0" fontId="2" fillId="0" borderId="9" xfId="2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165" fontId="2" fillId="0" borderId="2" xfId="2" applyNumberFormat="1" applyFont="1" applyBorder="1" applyAlignment="1">
      <alignment horizontal="center" vertical="center"/>
    </xf>
    <xf numFmtId="165" fontId="2" fillId="0" borderId="8" xfId="2" applyNumberFormat="1" applyFont="1" applyBorder="1" applyAlignment="1">
      <alignment horizontal="center" vertical="center"/>
    </xf>
    <xf numFmtId="165" fontId="2" fillId="0" borderId="9" xfId="2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7" fillId="0" borderId="0" xfId="3" applyNumberFormat="1" applyFont="1"/>
    <xf numFmtId="166" fontId="2" fillId="0" borderId="3" xfId="0" applyNumberFormat="1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left" vertical="center"/>
    </xf>
    <xf numFmtId="49" fontId="2" fillId="0" borderId="5" xfId="0" applyNumberFormat="1" applyFont="1" applyBorder="1" applyAlignment="1">
      <alignment horizontal="left" vertical="center"/>
    </xf>
    <xf numFmtId="49" fontId="16" fillId="0" borderId="0" xfId="3" applyNumberFormat="1" applyFont="1"/>
    <xf numFmtId="4" fontId="2" fillId="0" borderId="2" xfId="0" applyNumberFormat="1" applyFont="1" applyBorder="1" applyAlignment="1">
      <alignment horizontal="center" vertical="center" wrapText="1"/>
    </xf>
    <xf numFmtId="4" fontId="2" fillId="0" borderId="10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3" fontId="2" fillId="0" borderId="2" xfId="0" applyNumberFormat="1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43" fontId="2" fillId="2" borderId="2" xfId="0" applyNumberFormat="1" applyFont="1" applyFill="1" applyBorder="1" applyAlignment="1">
      <alignment horizontal="center" vertical="center"/>
    </xf>
    <xf numFmtId="43" fontId="2" fillId="2" borderId="10" xfId="0" applyNumberFormat="1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_Copy of พ.ย" xfId="3" xr:uid="{61943D03-5DCB-441B-B838-32D1620A894D}"/>
    <cellStyle name="จุลภาค 2" xfId="4" xr:uid="{8F65B56E-9210-440C-8222-E32866C2D6C0}"/>
    <cellStyle name="ปกติ 2" xfId="2" xr:uid="{B8590E58-C9D5-4EE6-BB7F-32270EE2AA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50F58-CB03-4994-8A71-F2229B55C26B}">
  <sheetPr>
    <tabColor rgb="FF00B0F0"/>
  </sheetPr>
  <dimension ref="A1:AB325"/>
  <sheetViews>
    <sheetView tabSelected="1" zoomScale="60" zoomScaleNormal="60" workbookViewId="0">
      <pane ySplit="6" topLeftCell="A240" activePane="bottomLeft" state="frozen"/>
      <selection pane="bottomLeft" activeCell="G247" sqref="G247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0.5546875" style="510" customWidth="1"/>
    <col min="5" max="5" width="18.88671875" style="511" customWidth="1"/>
    <col min="6" max="6" width="4.88671875" style="506" customWidth="1"/>
    <col min="7" max="7" width="20.109375" style="509" customWidth="1"/>
    <col min="8" max="8" width="18.33203125" style="509" customWidth="1"/>
    <col min="9" max="9" width="21.44140625" style="504" customWidth="1"/>
    <col min="10" max="10" width="21.6640625" style="3" customWidth="1"/>
    <col min="11" max="11" width="24.5546875" style="372" customWidth="1"/>
    <col min="12" max="12" width="22.109375" style="512" customWidth="1"/>
    <col min="13" max="13" width="20" style="372" customWidth="1"/>
    <col min="14" max="14" width="9.109375" style="2" customWidth="1"/>
    <col min="15" max="15" width="24" style="513" customWidth="1"/>
    <col min="16" max="16" width="16.6640625" style="513" customWidth="1"/>
    <col min="17" max="17" width="23.6640625" style="507" customWidth="1"/>
    <col min="18" max="18" width="5.33203125" style="2" hidden="1" customWidth="1"/>
    <col min="19" max="19" width="9" style="508" hidden="1" customWidth="1"/>
    <col min="20" max="20" width="9.6640625" style="508" hidden="1" customWidth="1"/>
    <col min="21" max="21" width="10.88671875" style="512" hidden="1" customWidth="1"/>
    <col min="22" max="22" width="24.5546875" style="512" hidden="1" customWidth="1"/>
    <col min="23" max="24" width="8.88671875" style="4" hidden="1" customWidth="1"/>
    <col min="25" max="27" width="8.88671875" style="4"/>
    <col min="28" max="28" width="14.5546875" style="4" bestFit="1" customWidth="1"/>
    <col min="29" max="16384" width="8.88671875" style="4"/>
  </cols>
  <sheetData>
    <row r="1" spans="1:23" ht="28.5" customHeight="1">
      <c r="A1" s="653" t="s">
        <v>0</v>
      </c>
      <c r="B1" s="653"/>
      <c r="C1" s="653"/>
      <c r="D1" s="653"/>
      <c r="E1" s="653"/>
      <c r="F1" s="653"/>
      <c r="G1" s="653"/>
      <c r="H1" s="653"/>
      <c r="I1" s="653"/>
      <c r="J1" s="653"/>
      <c r="K1" s="653"/>
      <c r="L1" s="653"/>
      <c r="M1" s="653"/>
      <c r="N1" s="653"/>
      <c r="O1" s="653"/>
      <c r="P1" s="653"/>
      <c r="Q1" s="653"/>
      <c r="S1" s="3"/>
      <c r="T1" s="3"/>
      <c r="U1" s="1"/>
      <c r="V1" s="1"/>
    </row>
    <row r="2" spans="1:23" ht="23.25" customHeight="1">
      <c r="A2" s="653" t="s">
        <v>1</v>
      </c>
      <c r="B2" s="653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3"/>
      <c r="R2" s="5"/>
      <c r="S2" s="3"/>
      <c r="T2" s="3"/>
      <c r="U2" s="1"/>
      <c r="V2" s="1"/>
    </row>
    <row r="3" spans="1:23" ht="28.5" customHeight="1">
      <c r="A3" s="654" t="s">
        <v>1379</v>
      </c>
      <c r="B3" s="654"/>
      <c r="C3" s="654"/>
      <c r="D3" s="654"/>
      <c r="E3" s="654"/>
      <c r="F3" s="654"/>
      <c r="G3" s="654"/>
      <c r="H3" s="654"/>
      <c r="I3" s="654"/>
      <c r="J3" s="654"/>
      <c r="K3" s="654"/>
      <c r="L3" s="654"/>
      <c r="M3" s="654"/>
      <c r="N3" s="654"/>
      <c r="O3" s="654"/>
      <c r="P3" s="654"/>
      <c r="Q3" s="654"/>
      <c r="S3" s="3"/>
      <c r="T3" s="3"/>
      <c r="U3" s="6"/>
      <c r="V3" s="6"/>
    </row>
    <row r="4" spans="1:23" ht="27.75" customHeight="1">
      <c r="A4" s="7"/>
      <c r="B4" s="8"/>
      <c r="C4" s="9"/>
      <c r="D4" s="10"/>
      <c r="E4" s="655" t="s">
        <v>3</v>
      </c>
      <c r="F4" s="656"/>
      <c r="G4" s="656"/>
      <c r="H4" s="656"/>
      <c r="I4" s="657"/>
      <c r="J4" s="11"/>
      <c r="K4" s="12" t="s">
        <v>4</v>
      </c>
      <c r="L4" s="13"/>
      <c r="M4" s="655" t="s">
        <v>5</v>
      </c>
      <c r="N4" s="656"/>
      <c r="O4" s="656"/>
      <c r="P4" s="656"/>
      <c r="Q4" s="657"/>
      <c r="R4" s="658" t="s">
        <v>6</v>
      </c>
      <c r="S4" s="671" t="s">
        <v>7</v>
      </c>
      <c r="T4" s="671" t="s">
        <v>8</v>
      </c>
      <c r="U4" s="661" t="s">
        <v>9</v>
      </c>
      <c r="V4" s="661" t="s">
        <v>10</v>
      </c>
    </row>
    <row r="5" spans="1:23" ht="27.75" customHeight="1">
      <c r="A5" s="664" t="s">
        <v>11</v>
      </c>
      <c r="B5" s="666" t="s">
        <v>12</v>
      </c>
      <c r="C5" s="666" t="s">
        <v>13</v>
      </c>
      <c r="D5" s="685" t="s">
        <v>14</v>
      </c>
      <c r="E5" s="687" t="s">
        <v>15</v>
      </c>
      <c r="F5" s="689" t="s">
        <v>16</v>
      </c>
      <c r="G5" s="679" t="s">
        <v>17</v>
      </c>
      <c r="H5" s="680"/>
      <c r="I5" s="681"/>
      <c r="J5" s="14" t="s">
        <v>18</v>
      </c>
      <c r="K5" s="691" t="s">
        <v>19</v>
      </c>
      <c r="L5" s="693" t="s">
        <v>20</v>
      </c>
      <c r="M5" s="664" t="s">
        <v>15</v>
      </c>
      <c r="N5" s="669" t="s">
        <v>16</v>
      </c>
      <c r="O5" s="679" t="s">
        <v>17</v>
      </c>
      <c r="P5" s="680"/>
      <c r="Q5" s="681"/>
      <c r="R5" s="659"/>
      <c r="S5" s="672"/>
      <c r="T5" s="672"/>
      <c r="U5" s="662"/>
      <c r="V5" s="662"/>
    </row>
    <row r="6" spans="1:23" ht="27.75" customHeight="1" thickBot="1">
      <c r="A6" s="665"/>
      <c r="B6" s="667"/>
      <c r="C6" s="667"/>
      <c r="D6" s="686"/>
      <c r="E6" s="688"/>
      <c r="F6" s="690"/>
      <c r="G6" s="15" t="s">
        <v>20</v>
      </c>
      <c r="H6" s="16" t="s">
        <v>21</v>
      </c>
      <c r="I6" s="17" t="s">
        <v>22</v>
      </c>
      <c r="J6" s="18"/>
      <c r="K6" s="692"/>
      <c r="L6" s="694"/>
      <c r="M6" s="668"/>
      <c r="N6" s="670"/>
      <c r="O6" s="19" t="s">
        <v>20</v>
      </c>
      <c r="P6" s="20" t="s">
        <v>21</v>
      </c>
      <c r="Q6" s="21" t="s">
        <v>22</v>
      </c>
      <c r="R6" s="660"/>
      <c r="S6" s="673"/>
      <c r="T6" s="673"/>
      <c r="U6" s="663"/>
      <c r="V6" s="663"/>
    </row>
    <row r="7" spans="1:23" ht="27.75" customHeight="1" thickTop="1">
      <c r="A7" s="22"/>
      <c r="B7" s="23" t="s">
        <v>23</v>
      </c>
      <c r="C7" s="24"/>
      <c r="D7" s="25"/>
      <c r="E7" s="26"/>
      <c r="F7" s="27"/>
      <c r="G7" s="28"/>
      <c r="H7" s="28"/>
      <c r="I7" s="28"/>
      <c r="J7" s="29"/>
      <c r="K7" s="30"/>
      <c r="L7" s="31"/>
      <c r="M7" s="32"/>
      <c r="N7" s="33"/>
      <c r="O7" s="34"/>
      <c r="P7" s="34"/>
      <c r="Q7" s="35"/>
      <c r="R7" s="36"/>
      <c r="S7" s="37"/>
      <c r="T7" s="37"/>
      <c r="U7" s="38"/>
      <c r="V7" s="38"/>
      <c r="W7" s="38"/>
    </row>
    <row r="8" spans="1:23" s="57" customFormat="1" ht="27.75" customHeight="1">
      <c r="A8" s="39">
        <v>1</v>
      </c>
      <c r="B8" s="40" t="s">
        <v>24</v>
      </c>
      <c r="C8" s="41" t="s">
        <v>25</v>
      </c>
      <c r="D8" s="42">
        <v>4012.5</v>
      </c>
      <c r="E8" s="43" t="s">
        <v>26</v>
      </c>
      <c r="F8" s="44">
        <v>0</v>
      </c>
      <c r="G8" s="45">
        <v>0</v>
      </c>
      <c r="H8" s="46">
        <v>0</v>
      </c>
      <c r="I8" s="47">
        <v>0</v>
      </c>
      <c r="J8" s="48">
        <v>46175</v>
      </c>
      <c r="K8" s="49" t="s">
        <v>1380</v>
      </c>
      <c r="L8" s="50">
        <v>4012.5</v>
      </c>
      <c r="M8" s="51" t="s">
        <v>26</v>
      </c>
      <c r="N8" s="52">
        <v>0</v>
      </c>
      <c r="O8" s="53">
        <v>0</v>
      </c>
      <c r="P8" s="53">
        <f t="shared" ref="P8:P44" si="0">ROUND((O8*0.07),2)</f>
        <v>0</v>
      </c>
      <c r="Q8" s="54">
        <f t="shared" ref="Q8:Q44" si="1">+O8+P8</f>
        <v>0</v>
      </c>
      <c r="R8" s="39"/>
      <c r="S8" s="55"/>
      <c r="T8" s="55"/>
      <c r="U8" s="56"/>
      <c r="V8" s="56"/>
    </row>
    <row r="9" spans="1:23" s="57" customFormat="1" ht="27.75" customHeight="1">
      <c r="A9" s="39">
        <v>2</v>
      </c>
      <c r="B9" s="40" t="s">
        <v>28</v>
      </c>
      <c r="C9" s="41" t="s">
        <v>29</v>
      </c>
      <c r="D9" s="58">
        <v>4012.5</v>
      </c>
      <c r="E9" s="43" t="s">
        <v>26</v>
      </c>
      <c r="F9" s="44">
        <v>0</v>
      </c>
      <c r="G9" s="45">
        <v>0</v>
      </c>
      <c r="H9" s="46">
        <v>0</v>
      </c>
      <c r="I9" s="47">
        <v>0</v>
      </c>
      <c r="J9" s="48">
        <v>46174</v>
      </c>
      <c r="K9" s="49" t="s">
        <v>1381</v>
      </c>
      <c r="L9" s="50">
        <v>8025</v>
      </c>
      <c r="M9" s="51" t="s">
        <v>1382</v>
      </c>
      <c r="N9" s="52">
        <v>-1</v>
      </c>
      <c r="O9" s="53">
        <f>+(D9*100/107)+G9-(L9*100/107)</f>
        <v>-3750</v>
      </c>
      <c r="P9" s="53">
        <f t="shared" si="0"/>
        <v>-262.5</v>
      </c>
      <c r="Q9" s="54">
        <f t="shared" si="1"/>
        <v>-4012.5</v>
      </c>
      <c r="R9" s="39"/>
      <c r="S9" s="55"/>
      <c r="T9" s="55"/>
      <c r="U9" s="56"/>
      <c r="V9" s="56"/>
    </row>
    <row r="10" spans="1:23" s="57" customFormat="1" ht="27.75" customHeight="1">
      <c r="A10" s="39">
        <v>3</v>
      </c>
      <c r="B10" s="40" t="s">
        <v>24</v>
      </c>
      <c r="C10" s="41" t="s">
        <v>33</v>
      </c>
      <c r="D10" s="58">
        <v>4012.5</v>
      </c>
      <c r="E10" s="43" t="s">
        <v>26</v>
      </c>
      <c r="F10" s="44">
        <v>0</v>
      </c>
      <c r="G10" s="45">
        <v>0</v>
      </c>
      <c r="H10" s="46">
        <v>0</v>
      </c>
      <c r="I10" s="47">
        <v>0</v>
      </c>
      <c r="J10" s="48">
        <v>46175</v>
      </c>
      <c r="K10" s="49" t="s">
        <v>1380</v>
      </c>
      <c r="L10" s="50">
        <v>4012.5</v>
      </c>
      <c r="M10" s="51" t="s">
        <v>26</v>
      </c>
      <c r="N10" s="52">
        <v>0</v>
      </c>
      <c r="O10" s="53">
        <f t="shared" ref="O10:O23" si="2">+(D10*100/107)+G10-(L10*100/107)</f>
        <v>0</v>
      </c>
      <c r="P10" s="53">
        <f t="shared" si="0"/>
        <v>0</v>
      </c>
      <c r="Q10" s="54">
        <f t="shared" si="1"/>
        <v>0</v>
      </c>
      <c r="R10" s="39"/>
      <c r="S10" s="55"/>
      <c r="T10" s="55"/>
      <c r="U10" s="56"/>
      <c r="V10" s="56"/>
    </row>
    <row r="11" spans="1:23" s="57" customFormat="1" ht="27.75" customHeight="1">
      <c r="A11" s="39">
        <v>4</v>
      </c>
      <c r="B11" s="40" t="s">
        <v>34</v>
      </c>
      <c r="C11" s="41" t="s">
        <v>35</v>
      </c>
      <c r="D11" s="58">
        <v>4012.5</v>
      </c>
      <c r="E11" s="43" t="s">
        <v>26</v>
      </c>
      <c r="F11" s="44">
        <v>0</v>
      </c>
      <c r="G11" s="45">
        <v>0</v>
      </c>
      <c r="H11" s="46">
        <v>0</v>
      </c>
      <c r="I11" s="47">
        <v>0</v>
      </c>
      <c r="J11" s="48">
        <v>46174</v>
      </c>
      <c r="K11" s="49" t="s">
        <v>1383</v>
      </c>
      <c r="L11" s="50">
        <v>8025</v>
      </c>
      <c r="M11" s="51" t="s">
        <v>1382</v>
      </c>
      <c r="N11" s="52">
        <v>-1</v>
      </c>
      <c r="O11" s="53">
        <f t="shared" si="2"/>
        <v>-3750</v>
      </c>
      <c r="P11" s="53">
        <f t="shared" si="0"/>
        <v>-262.5</v>
      </c>
      <c r="Q11" s="54">
        <f t="shared" si="1"/>
        <v>-4012.5</v>
      </c>
      <c r="R11" s="39"/>
      <c r="S11" s="55"/>
      <c r="T11" s="55"/>
      <c r="U11" s="56"/>
      <c r="V11" s="56"/>
    </row>
    <row r="12" spans="1:23" s="57" customFormat="1" ht="27.75" customHeight="1">
      <c r="A12" s="39">
        <v>5</v>
      </c>
      <c r="B12" s="40" t="s">
        <v>36</v>
      </c>
      <c r="C12" s="41" t="s">
        <v>37</v>
      </c>
      <c r="D12" s="58">
        <v>4012.5</v>
      </c>
      <c r="E12" s="43" t="s">
        <v>26</v>
      </c>
      <c r="F12" s="44">
        <v>0</v>
      </c>
      <c r="G12" s="45">
        <v>0</v>
      </c>
      <c r="H12" s="46">
        <v>0</v>
      </c>
      <c r="I12" s="47">
        <v>0</v>
      </c>
      <c r="J12" s="48">
        <v>46178</v>
      </c>
      <c r="K12" s="49" t="s">
        <v>1384</v>
      </c>
      <c r="L12" s="50">
        <v>4012.5</v>
      </c>
      <c r="M12" s="51" t="s">
        <v>26</v>
      </c>
      <c r="N12" s="52">
        <v>0</v>
      </c>
      <c r="O12" s="53">
        <f t="shared" si="2"/>
        <v>0</v>
      </c>
      <c r="P12" s="53">
        <f t="shared" si="0"/>
        <v>0</v>
      </c>
      <c r="Q12" s="54">
        <f t="shared" si="1"/>
        <v>0</v>
      </c>
      <c r="R12" s="39"/>
      <c r="S12" s="55"/>
      <c r="T12" s="55"/>
      <c r="U12" s="56"/>
      <c r="V12" s="56"/>
    </row>
    <row r="13" spans="1:23" s="57" customFormat="1" ht="27.75" customHeight="1">
      <c r="A13" s="39">
        <v>6</v>
      </c>
      <c r="B13" s="40" t="s">
        <v>34</v>
      </c>
      <c r="C13" s="41" t="s">
        <v>39</v>
      </c>
      <c r="D13" s="58">
        <v>4012.5</v>
      </c>
      <c r="E13" s="43" t="s">
        <v>26</v>
      </c>
      <c r="F13" s="44">
        <v>0</v>
      </c>
      <c r="G13" s="45">
        <v>0</v>
      </c>
      <c r="H13" s="46">
        <v>0</v>
      </c>
      <c r="I13" s="47">
        <v>0</v>
      </c>
      <c r="J13" s="48">
        <v>46174</v>
      </c>
      <c r="K13" s="49" t="s">
        <v>1385</v>
      </c>
      <c r="L13" s="50">
        <v>8025</v>
      </c>
      <c r="M13" s="51" t="s">
        <v>1382</v>
      </c>
      <c r="N13" s="52">
        <v>-1</v>
      </c>
      <c r="O13" s="53">
        <f t="shared" si="2"/>
        <v>-3750</v>
      </c>
      <c r="P13" s="53">
        <f t="shared" si="0"/>
        <v>-262.5</v>
      </c>
      <c r="Q13" s="54">
        <f t="shared" si="1"/>
        <v>-4012.5</v>
      </c>
      <c r="R13" s="39"/>
      <c r="S13" s="55"/>
      <c r="T13" s="55"/>
      <c r="U13" s="56"/>
      <c r="V13" s="56"/>
    </row>
    <row r="14" spans="1:23" s="57" customFormat="1" ht="27.75" customHeight="1">
      <c r="A14" s="39">
        <v>7</v>
      </c>
      <c r="B14" s="40" t="s">
        <v>40</v>
      </c>
      <c r="C14" s="41" t="s">
        <v>41</v>
      </c>
      <c r="D14" s="58">
        <v>4012.5</v>
      </c>
      <c r="E14" s="43" t="s">
        <v>26</v>
      </c>
      <c r="F14" s="44">
        <v>0</v>
      </c>
      <c r="G14" s="45">
        <v>0</v>
      </c>
      <c r="H14" s="46">
        <v>0</v>
      </c>
      <c r="I14" s="47">
        <v>0</v>
      </c>
      <c r="J14" s="48">
        <v>46177</v>
      </c>
      <c r="K14" s="49" t="s">
        <v>1386</v>
      </c>
      <c r="L14" s="50">
        <v>4012.5</v>
      </c>
      <c r="M14" s="51" t="s">
        <v>26</v>
      </c>
      <c r="N14" s="52">
        <v>0</v>
      </c>
      <c r="O14" s="53">
        <f t="shared" si="2"/>
        <v>0</v>
      </c>
      <c r="P14" s="53">
        <f t="shared" si="0"/>
        <v>0</v>
      </c>
      <c r="Q14" s="54">
        <f t="shared" si="1"/>
        <v>0</v>
      </c>
      <c r="R14" s="39"/>
      <c r="S14" s="55"/>
      <c r="T14" s="55"/>
      <c r="U14" s="56"/>
      <c r="V14" s="56"/>
    </row>
    <row r="15" spans="1:23" s="57" customFormat="1" ht="27.75" customHeight="1">
      <c r="A15" s="39">
        <v>8</v>
      </c>
      <c r="B15" s="40" t="s">
        <v>43</v>
      </c>
      <c r="C15" s="41" t="s">
        <v>44</v>
      </c>
      <c r="D15" s="58">
        <v>4012.5</v>
      </c>
      <c r="E15" s="43" t="s">
        <v>45</v>
      </c>
      <c r="F15" s="44">
        <v>0</v>
      </c>
      <c r="G15" s="45">
        <v>0</v>
      </c>
      <c r="H15" s="46">
        <v>0</v>
      </c>
      <c r="I15" s="47">
        <v>0</v>
      </c>
      <c r="J15" s="48">
        <v>46177</v>
      </c>
      <c r="K15" s="49" t="s">
        <v>1387</v>
      </c>
      <c r="L15" s="50">
        <v>4012.5</v>
      </c>
      <c r="M15" s="51" t="s">
        <v>45</v>
      </c>
      <c r="N15" s="52">
        <v>0</v>
      </c>
      <c r="O15" s="53">
        <f t="shared" si="2"/>
        <v>0</v>
      </c>
      <c r="P15" s="53">
        <f t="shared" si="0"/>
        <v>0</v>
      </c>
      <c r="Q15" s="54">
        <f t="shared" si="1"/>
        <v>0</v>
      </c>
      <c r="R15" s="39"/>
      <c r="S15" s="55"/>
      <c r="T15" s="55"/>
      <c r="U15" s="56"/>
      <c r="V15" s="56"/>
    </row>
    <row r="16" spans="1:23" s="57" customFormat="1" ht="27.75" customHeight="1">
      <c r="A16" s="39">
        <v>9</v>
      </c>
      <c r="B16" s="40" t="s">
        <v>47</v>
      </c>
      <c r="C16" s="41" t="s">
        <v>48</v>
      </c>
      <c r="D16" s="58">
        <v>4012.5</v>
      </c>
      <c r="E16" s="43" t="s">
        <v>26</v>
      </c>
      <c r="F16" s="44">
        <v>0</v>
      </c>
      <c r="G16" s="45">
        <v>0</v>
      </c>
      <c r="H16" s="46">
        <v>0</v>
      </c>
      <c r="I16" s="47">
        <v>0</v>
      </c>
      <c r="J16" s="48">
        <v>46176</v>
      </c>
      <c r="K16" s="49" t="s">
        <v>1388</v>
      </c>
      <c r="L16" s="50">
        <v>4012.5</v>
      </c>
      <c r="M16" s="51" t="s">
        <v>26</v>
      </c>
      <c r="N16" s="52">
        <v>0</v>
      </c>
      <c r="O16" s="53">
        <f t="shared" si="2"/>
        <v>0</v>
      </c>
      <c r="P16" s="53">
        <f t="shared" si="0"/>
        <v>0</v>
      </c>
      <c r="Q16" s="54">
        <f t="shared" si="1"/>
        <v>0</v>
      </c>
      <c r="R16" s="39"/>
      <c r="S16" s="55"/>
      <c r="T16" s="55"/>
      <c r="U16" s="56"/>
      <c r="V16" s="56"/>
    </row>
    <row r="17" spans="1:25" s="57" customFormat="1" ht="27.75" customHeight="1">
      <c r="A17" s="39">
        <v>10</v>
      </c>
      <c r="B17" s="40" t="s">
        <v>50</v>
      </c>
      <c r="C17" s="41" t="s">
        <v>51</v>
      </c>
      <c r="D17" s="58">
        <v>4012.5</v>
      </c>
      <c r="E17" s="43" t="s">
        <v>45</v>
      </c>
      <c r="F17" s="44">
        <v>0</v>
      </c>
      <c r="G17" s="45">
        <v>0</v>
      </c>
      <c r="H17" s="46">
        <v>0</v>
      </c>
      <c r="I17" s="47">
        <v>0</v>
      </c>
      <c r="J17" s="48">
        <v>46178</v>
      </c>
      <c r="K17" s="49" t="s">
        <v>1389</v>
      </c>
      <c r="L17" s="50">
        <v>4012.5</v>
      </c>
      <c r="M17" s="51" t="s">
        <v>45</v>
      </c>
      <c r="N17" s="52">
        <v>0</v>
      </c>
      <c r="O17" s="53">
        <f t="shared" si="2"/>
        <v>0</v>
      </c>
      <c r="P17" s="53">
        <f t="shared" si="0"/>
        <v>0</v>
      </c>
      <c r="Q17" s="54">
        <f t="shared" si="1"/>
        <v>0</v>
      </c>
      <c r="R17" s="39"/>
      <c r="S17" s="55"/>
      <c r="T17" s="55"/>
      <c r="U17" s="56"/>
      <c r="V17" s="56"/>
    </row>
    <row r="18" spans="1:25" s="57" customFormat="1" ht="27.75" customHeight="1">
      <c r="A18" s="39">
        <v>11</v>
      </c>
      <c r="B18" s="40" t="s">
        <v>53</v>
      </c>
      <c r="C18" s="41" t="s">
        <v>54</v>
      </c>
      <c r="D18" s="58">
        <v>4012.5</v>
      </c>
      <c r="E18" s="43" t="s">
        <v>1278</v>
      </c>
      <c r="F18" s="44">
        <v>0</v>
      </c>
      <c r="G18" s="45">
        <v>-3750</v>
      </c>
      <c r="H18" s="46">
        <v>-262.5</v>
      </c>
      <c r="I18" s="47">
        <v>-4012.5</v>
      </c>
      <c r="J18" s="48"/>
      <c r="K18" s="59"/>
      <c r="L18" s="50">
        <v>0</v>
      </c>
      <c r="M18" s="51" t="s">
        <v>45</v>
      </c>
      <c r="N18" s="52">
        <v>0</v>
      </c>
      <c r="O18" s="53">
        <f t="shared" si="2"/>
        <v>0</v>
      </c>
      <c r="P18" s="53">
        <f t="shared" si="0"/>
        <v>0</v>
      </c>
      <c r="Q18" s="54">
        <f t="shared" si="1"/>
        <v>0</v>
      </c>
      <c r="R18" s="39"/>
      <c r="S18" s="55"/>
      <c r="T18" s="55"/>
      <c r="U18" s="56"/>
      <c r="V18" s="56"/>
      <c r="Y18" s="57" t="s">
        <v>56</v>
      </c>
    </row>
    <row r="19" spans="1:25" s="57" customFormat="1" ht="27.75" customHeight="1">
      <c r="A19" s="39">
        <v>12</v>
      </c>
      <c r="B19" s="40" t="s">
        <v>57</v>
      </c>
      <c r="C19" s="41" t="s">
        <v>58</v>
      </c>
      <c r="D19" s="58">
        <v>4012.5</v>
      </c>
      <c r="E19" s="43" t="s">
        <v>26</v>
      </c>
      <c r="F19" s="44">
        <v>0</v>
      </c>
      <c r="G19" s="45">
        <v>0</v>
      </c>
      <c r="H19" s="46">
        <v>0</v>
      </c>
      <c r="I19" s="47">
        <v>0</v>
      </c>
      <c r="J19" s="48">
        <v>46175</v>
      </c>
      <c r="K19" s="49" t="s">
        <v>1390</v>
      </c>
      <c r="L19" s="50">
        <v>4012.5</v>
      </c>
      <c r="M19" s="51" t="s">
        <v>26</v>
      </c>
      <c r="N19" s="52">
        <v>0</v>
      </c>
      <c r="O19" s="53">
        <f t="shared" si="2"/>
        <v>0</v>
      </c>
      <c r="P19" s="53">
        <f t="shared" si="0"/>
        <v>0</v>
      </c>
      <c r="Q19" s="54">
        <f t="shared" si="1"/>
        <v>0</v>
      </c>
      <c r="R19" s="39"/>
      <c r="S19" s="55"/>
      <c r="T19" s="55"/>
      <c r="U19" s="56"/>
      <c r="V19" s="56"/>
    </row>
    <row r="20" spans="1:25" s="57" customFormat="1" ht="27.75" customHeight="1">
      <c r="A20" s="39">
        <v>13</v>
      </c>
      <c r="B20" s="40" t="s">
        <v>60</v>
      </c>
      <c r="C20" s="41" t="s">
        <v>61</v>
      </c>
      <c r="D20" s="58">
        <v>4012.5</v>
      </c>
      <c r="E20" s="43" t="s">
        <v>26</v>
      </c>
      <c r="F20" s="44">
        <v>0</v>
      </c>
      <c r="G20" s="45">
        <v>0</v>
      </c>
      <c r="H20" s="46">
        <v>0</v>
      </c>
      <c r="I20" s="47">
        <v>0</v>
      </c>
      <c r="J20" s="48">
        <v>46175</v>
      </c>
      <c r="K20" s="49" t="s">
        <v>1391</v>
      </c>
      <c r="L20" s="50">
        <v>4012.5</v>
      </c>
      <c r="M20" s="51" t="s">
        <v>26</v>
      </c>
      <c r="N20" s="52">
        <v>0</v>
      </c>
      <c r="O20" s="53">
        <f t="shared" si="2"/>
        <v>0</v>
      </c>
      <c r="P20" s="53">
        <f t="shared" si="0"/>
        <v>0</v>
      </c>
      <c r="Q20" s="54">
        <f t="shared" si="1"/>
        <v>0</v>
      </c>
      <c r="R20" s="39"/>
      <c r="S20" s="55"/>
      <c r="T20" s="55"/>
      <c r="U20" s="56"/>
      <c r="V20" s="56"/>
    </row>
    <row r="21" spans="1:25" s="57" customFormat="1" ht="27.75" customHeight="1">
      <c r="A21" s="39">
        <v>14</v>
      </c>
      <c r="B21" s="40" t="s">
        <v>63</v>
      </c>
      <c r="C21" s="41" t="s">
        <v>64</v>
      </c>
      <c r="D21" s="58">
        <v>4012.5</v>
      </c>
      <c r="E21" s="43" t="s">
        <v>26</v>
      </c>
      <c r="F21" s="44">
        <v>0</v>
      </c>
      <c r="G21" s="45">
        <v>0</v>
      </c>
      <c r="H21" s="46">
        <v>0</v>
      </c>
      <c r="I21" s="47">
        <v>0</v>
      </c>
      <c r="J21" s="48">
        <v>46178</v>
      </c>
      <c r="K21" s="49" t="s">
        <v>1392</v>
      </c>
      <c r="L21" s="50">
        <v>4012.5</v>
      </c>
      <c r="M21" s="51" t="s">
        <v>26</v>
      </c>
      <c r="N21" s="52">
        <v>0</v>
      </c>
      <c r="O21" s="53">
        <f t="shared" si="2"/>
        <v>0</v>
      </c>
      <c r="P21" s="53">
        <f t="shared" si="0"/>
        <v>0</v>
      </c>
      <c r="Q21" s="54">
        <f t="shared" si="1"/>
        <v>0</v>
      </c>
      <c r="R21" s="39"/>
      <c r="S21" s="55"/>
      <c r="T21" s="55"/>
      <c r="U21" s="56"/>
      <c r="V21" s="56"/>
    </row>
    <row r="22" spans="1:25" s="57" customFormat="1" ht="27.75" customHeight="1">
      <c r="A22" s="39">
        <v>15</v>
      </c>
      <c r="B22" s="40" t="s">
        <v>66</v>
      </c>
      <c r="C22" s="41" t="s">
        <v>67</v>
      </c>
      <c r="D22" s="58">
        <v>12037.5</v>
      </c>
      <c r="E22" s="43" t="s">
        <v>45</v>
      </c>
      <c r="F22" s="60">
        <v>0</v>
      </c>
      <c r="G22" s="61">
        <v>0</v>
      </c>
      <c r="H22" s="46">
        <v>0</v>
      </c>
      <c r="I22" s="47">
        <v>0</v>
      </c>
      <c r="J22" s="62">
        <v>46203</v>
      </c>
      <c r="K22" s="49" t="s">
        <v>1393</v>
      </c>
      <c r="L22" s="50">
        <v>12037.5</v>
      </c>
      <c r="M22" s="51" t="s">
        <v>45</v>
      </c>
      <c r="N22" s="52">
        <v>0</v>
      </c>
      <c r="O22" s="53">
        <f t="shared" si="2"/>
        <v>0</v>
      </c>
      <c r="P22" s="53">
        <f t="shared" si="0"/>
        <v>0</v>
      </c>
      <c r="Q22" s="54">
        <f t="shared" si="1"/>
        <v>0</v>
      </c>
      <c r="R22" s="39"/>
      <c r="S22" s="55"/>
      <c r="T22" s="55"/>
      <c r="U22" s="56"/>
      <c r="V22" s="56"/>
    </row>
    <row r="23" spans="1:25" s="57" customFormat="1" ht="27.75" customHeight="1">
      <c r="A23" s="39">
        <v>16</v>
      </c>
      <c r="B23" s="40" t="s">
        <v>66</v>
      </c>
      <c r="C23" s="41" t="s">
        <v>69</v>
      </c>
      <c r="D23" s="63">
        <v>4012.5</v>
      </c>
      <c r="E23" s="64" t="s">
        <v>45</v>
      </c>
      <c r="F23" s="44">
        <v>0</v>
      </c>
      <c r="G23" s="45">
        <v>0</v>
      </c>
      <c r="H23" s="65">
        <v>0</v>
      </c>
      <c r="I23" s="66">
        <v>0</v>
      </c>
      <c r="J23" s="62">
        <v>46203</v>
      </c>
      <c r="K23" s="49" t="s">
        <v>1394</v>
      </c>
      <c r="L23" s="50">
        <v>4012.5</v>
      </c>
      <c r="M23" s="51" t="s">
        <v>45</v>
      </c>
      <c r="N23" s="52">
        <v>0</v>
      </c>
      <c r="O23" s="53">
        <f t="shared" si="2"/>
        <v>0</v>
      </c>
      <c r="P23" s="53">
        <f t="shared" si="0"/>
        <v>0</v>
      </c>
      <c r="Q23" s="54">
        <f t="shared" si="1"/>
        <v>0</v>
      </c>
      <c r="R23" s="39"/>
      <c r="S23" s="55"/>
      <c r="T23" s="55"/>
      <c r="U23" s="56"/>
      <c r="V23" s="56"/>
    </row>
    <row r="24" spans="1:25" s="57" customFormat="1" ht="35.25" customHeight="1" thickBot="1">
      <c r="A24" s="67"/>
      <c r="B24" s="68" t="s">
        <v>22</v>
      </c>
      <c r="C24" s="69"/>
      <c r="D24" s="70">
        <f>SUM(D8:D23)</f>
        <v>72225</v>
      </c>
      <c r="E24" s="71"/>
      <c r="F24" s="72"/>
      <c r="G24" s="73">
        <f>SUM(G8:G23)-G9-G11-G13-G18-G14</f>
        <v>0</v>
      </c>
      <c r="H24" s="73">
        <f t="shared" ref="H24:I24" si="3">SUM(H8:H23)-H9-H11-H13-H18-H14</f>
        <v>0</v>
      </c>
      <c r="I24" s="73">
        <f t="shared" si="3"/>
        <v>0</v>
      </c>
      <c r="J24" s="74"/>
      <c r="K24" s="75"/>
      <c r="L24" s="76">
        <f>SUM(L8:L23)</f>
        <v>80250</v>
      </c>
      <c r="M24" s="77"/>
      <c r="N24" s="78"/>
      <c r="O24" s="79">
        <f>SUM(O8:O23)-O14-O9-O11-O13-O18</f>
        <v>0</v>
      </c>
      <c r="P24" s="79">
        <f t="shared" ref="P24:Q24" si="4">SUM(P8:P23)-P14-P9-P11-P13-P18</f>
        <v>0</v>
      </c>
      <c r="Q24" s="79">
        <f t="shared" si="4"/>
        <v>0</v>
      </c>
      <c r="R24" s="79">
        <f t="shared" ref="R24:X24" si="5">SUM(R8:R23)-R9-R11-R13-R15</f>
        <v>0</v>
      </c>
      <c r="S24" s="79">
        <f t="shared" si="5"/>
        <v>0</v>
      </c>
      <c r="T24" s="79">
        <f t="shared" si="5"/>
        <v>0</v>
      </c>
      <c r="U24" s="79">
        <f t="shared" si="5"/>
        <v>0</v>
      </c>
      <c r="V24" s="79">
        <f t="shared" si="5"/>
        <v>0</v>
      </c>
      <c r="W24" s="79">
        <f t="shared" si="5"/>
        <v>0</v>
      </c>
      <c r="X24" s="79">
        <f t="shared" si="5"/>
        <v>0</v>
      </c>
    </row>
    <row r="25" spans="1:25" s="91" customFormat="1" ht="27.75" customHeight="1" thickTop="1">
      <c r="A25" s="39">
        <v>1</v>
      </c>
      <c r="B25" s="80" t="s">
        <v>71</v>
      </c>
      <c r="C25" s="81" t="s">
        <v>72</v>
      </c>
      <c r="D25" s="82">
        <v>13375</v>
      </c>
      <c r="E25" s="83" t="s">
        <v>1285</v>
      </c>
      <c r="F25" s="84">
        <v>-0.5</v>
      </c>
      <c r="G25" s="85">
        <v>-6250</v>
      </c>
      <c r="H25" s="46">
        <v>-437.5</v>
      </c>
      <c r="I25" s="85">
        <v>-6687.5</v>
      </c>
      <c r="J25" s="48">
        <v>46196</v>
      </c>
      <c r="K25" s="49" t="s">
        <v>1395</v>
      </c>
      <c r="L25" s="86">
        <v>13375</v>
      </c>
      <c r="M25" s="87" t="s">
        <v>1396</v>
      </c>
      <c r="N25" s="88">
        <v>-0.5</v>
      </c>
      <c r="O25" s="518">
        <f>+(D25*100/107)+G25-(L25*100/107)</f>
        <v>-6250</v>
      </c>
      <c r="P25" s="518">
        <f t="shared" ref="P25" si="6">ROUND((O25*0.07),2)</f>
        <v>-437.5</v>
      </c>
      <c r="Q25" s="519">
        <f t="shared" ref="Q25" si="7">+O25+P25</f>
        <v>-6687.5</v>
      </c>
      <c r="R25" s="39"/>
      <c r="S25" s="55"/>
      <c r="T25" s="55"/>
      <c r="U25" s="58"/>
      <c r="V25" s="58"/>
    </row>
    <row r="26" spans="1:25" s="57" customFormat="1" ht="27.75" customHeight="1">
      <c r="A26" s="39">
        <v>2</v>
      </c>
      <c r="B26" s="92" t="s">
        <v>76</v>
      </c>
      <c r="C26" s="41" t="s">
        <v>72</v>
      </c>
      <c r="D26" s="58">
        <v>1605</v>
      </c>
      <c r="E26" s="43" t="s">
        <v>45</v>
      </c>
      <c r="F26" s="60">
        <v>0</v>
      </c>
      <c r="G26" s="47">
        <v>0</v>
      </c>
      <c r="H26" s="46">
        <v>0</v>
      </c>
      <c r="I26" s="47">
        <v>0</v>
      </c>
      <c r="J26" s="62">
        <v>46182</v>
      </c>
      <c r="K26" s="49" t="s">
        <v>1397</v>
      </c>
      <c r="L26" s="93">
        <v>1605</v>
      </c>
      <c r="M26" s="94" t="s">
        <v>45</v>
      </c>
      <c r="N26" s="95">
        <v>0</v>
      </c>
      <c r="O26" s="53">
        <f>+(D26*100/107)+G26-(L26*100/107)</f>
        <v>0</v>
      </c>
      <c r="P26" s="53">
        <f t="shared" si="0"/>
        <v>0</v>
      </c>
      <c r="Q26" s="54">
        <f t="shared" si="1"/>
        <v>0</v>
      </c>
      <c r="R26" s="39"/>
      <c r="S26" s="55"/>
      <c r="T26" s="55"/>
      <c r="U26" s="58"/>
      <c r="V26" s="58"/>
    </row>
    <row r="27" spans="1:25" s="57" customFormat="1" ht="27.75" customHeight="1" thickBot="1">
      <c r="A27" s="96"/>
      <c r="B27" s="97" t="s">
        <v>22</v>
      </c>
      <c r="C27" s="98"/>
      <c r="D27" s="99">
        <f>SUM(D25:D26)</f>
        <v>14980</v>
      </c>
      <c r="E27" s="100"/>
      <c r="F27" s="101"/>
      <c r="G27" s="102"/>
      <c r="H27" s="102"/>
      <c r="I27" s="102"/>
      <c r="J27" s="103"/>
      <c r="K27" s="104"/>
      <c r="L27" s="105">
        <f>SUM(L25:L26)</f>
        <v>14980</v>
      </c>
      <c r="M27" s="106"/>
      <c r="N27" s="107"/>
      <c r="O27" s="108"/>
      <c r="P27" s="108"/>
      <c r="Q27" s="109"/>
      <c r="R27" s="39"/>
      <c r="S27" s="55"/>
      <c r="T27" s="55"/>
      <c r="U27" s="56"/>
      <c r="V27" s="56"/>
    </row>
    <row r="28" spans="1:25" ht="27.75" customHeight="1" thickTop="1">
      <c r="A28" s="39">
        <v>1</v>
      </c>
      <c r="B28" s="40" t="s">
        <v>78</v>
      </c>
      <c r="C28" s="81" t="s">
        <v>72</v>
      </c>
      <c r="D28" s="110">
        <v>4577.8900000000003</v>
      </c>
      <c r="E28" s="111" t="s">
        <v>1287</v>
      </c>
      <c r="F28" s="112">
        <v>1</v>
      </c>
      <c r="G28" s="61">
        <v>12723.195514018693</v>
      </c>
      <c r="H28" s="46">
        <v>890.62</v>
      </c>
      <c r="I28" s="47">
        <v>13613.815514018694</v>
      </c>
      <c r="J28" s="113" t="s">
        <v>1401</v>
      </c>
      <c r="K28" s="114" t="s">
        <v>1398</v>
      </c>
      <c r="L28" s="115">
        <v>13613.82</v>
      </c>
      <c r="M28" s="94" t="s">
        <v>1329</v>
      </c>
      <c r="N28" s="116">
        <v>1</v>
      </c>
      <c r="O28" s="53">
        <f>+(D28*100/107)+G28-(L28*100/107)</f>
        <v>4278.4011214953262</v>
      </c>
      <c r="P28" s="53">
        <f t="shared" ref="P28:P30" si="8">ROUND((O28*0.07),2)</f>
        <v>299.49</v>
      </c>
      <c r="Q28" s="54">
        <f>+O28+P28</f>
        <v>4577.8911214953259</v>
      </c>
      <c r="R28" s="39"/>
      <c r="S28" s="55"/>
      <c r="T28" s="55"/>
      <c r="U28" s="56"/>
      <c r="V28" s="56"/>
    </row>
    <row r="29" spans="1:25" ht="27.75" customHeight="1">
      <c r="A29" s="39">
        <v>2</v>
      </c>
      <c r="B29" s="40" t="s">
        <v>82</v>
      </c>
      <c r="C29" s="41" t="s">
        <v>72</v>
      </c>
      <c r="D29" s="110">
        <v>616.32000000000005</v>
      </c>
      <c r="E29" s="111" t="s">
        <v>1287</v>
      </c>
      <c r="F29" s="112">
        <v>1</v>
      </c>
      <c r="G29" s="61">
        <v>1679.998130841122</v>
      </c>
      <c r="H29" s="46">
        <v>117.6</v>
      </c>
      <c r="I29" s="47">
        <v>1797.5981308411219</v>
      </c>
      <c r="J29" s="113">
        <v>46178</v>
      </c>
      <c r="K29" s="114" t="s">
        <v>1399</v>
      </c>
      <c r="L29" s="115">
        <v>1797.6</v>
      </c>
      <c r="M29" s="94" t="s">
        <v>1329</v>
      </c>
      <c r="N29" s="116">
        <v>1</v>
      </c>
      <c r="O29" s="53">
        <f>+(D29*100/107)+G29-(L29*100/107)</f>
        <v>575.99813084112202</v>
      </c>
      <c r="P29" s="53">
        <f t="shared" si="8"/>
        <v>40.32</v>
      </c>
      <c r="Q29" s="54">
        <f t="shared" ref="Q29:Q30" si="9">+O29+P29</f>
        <v>616.31813084112207</v>
      </c>
      <c r="R29" s="39"/>
      <c r="S29" s="55"/>
      <c r="T29" s="55"/>
      <c r="U29" s="56"/>
      <c r="V29" s="56"/>
    </row>
    <row r="30" spans="1:25" ht="27.75" customHeight="1">
      <c r="A30" s="39">
        <v>3</v>
      </c>
      <c r="B30" s="40" t="s">
        <v>85</v>
      </c>
      <c r="C30" s="41" t="s">
        <v>72</v>
      </c>
      <c r="D30" s="110">
        <v>10000</v>
      </c>
      <c r="E30" s="111"/>
      <c r="F30" s="112">
        <v>0</v>
      </c>
      <c r="G30" s="61">
        <v>7.4766354737221263E-4</v>
      </c>
      <c r="H30" s="46">
        <v>0</v>
      </c>
      <c r="I30" s="47">
        <v>7.4766354737221263E-4</v>
      </c>
      <c r="J30" s="117">
        <v>46190</v>
      </c>
      <c r="K30" s="118" t="s">
        <v>1400</v>
      </c>
      <c r="L30" s="119">
        <v>10000</v>
      </c>
      <c r="M30" s="94"/>
      <c r="N30" s="116">
        <v>0</v>
      </c>
      <c r="O30" s="53">
        <f>+(D30*100/107)+G30-(L30*100/107)</f>
        <v>7.4766354737221263E-4</v>
      </c>
      <c r="P30" s="53">
        <f t="shared" si="8"/>
        <v>0</v>
      </c>
      <c r="Q30" s="54">
        <f t="shared" si="9"/>
        <v>7.4766354737221263E-4</v>
      </c>
      <c r="R30" s="39"/>
      <c r="S30" s="55"/>
      <c r="T30" s="55"/>
      <c r="U30" s="56"/>
      <c r="V30" s="56"/>
    </row>
    <row r="31" spans="1:25" s="57" customFormat="1" ht="27.75" customHeight="1" thickBot="1">
      <c r="A31" s="96"/>
      <c r="B31" s="97" t="s">
        <v>22</v>
      </c>
      <c r="C31" s="98"/>
      <c r="D31" s="99">
        <f>SUM(D28:D30)</f>
        <v>15194.21</v>
      </c>
      <c r="E31" s="100"/>
      <c r="F31" s="101"/>
      <c r="G31" s="102">
        <f>SUM(G28:G30)</f>
        <v>14403.194392523363</v>
      </c>
      <c r="H31" s="102">
        <f t="shared" ref="H31" si="10">SUM(H28:H30)</f>
        <v>1008.22</v>
      </c>
      <c r="I31" s="102">
        <f>SUM(I28:I30)</f>
        <v>15411.414392523362</v>
      </c>
      <c r="J31" s="103"/>
      <c r="K31" s="104"/>
      <c r="L31" s="105">
        <f>SUM(L28+L29+L30)</f>
        <v>25411.42</v>
      </c>
      <c r="M31" s="106"/>
      <c r="N31" s="107"/>
      <c r="O31" s="108">
        <f>SUM(O28:O30)</f>
        <v>4854.399999999996</v>
      </c>
      <c r="P31" s="108">
        <f t="shared" si="0"/>
        <v>339.81</v>
      </c>
      <c r="Q31" s="108">
        <f t="shared" si="1"/>
        <v>5194.2099999999964</v>
      </c>
      <c r="R31" s="39"/>
      <c r="S31" s="55"/>
      <c r="T31" s="55"/>
      <c r="U31" s="56"/>
      <c r="V31" s="56"/>
    </row>
    <row r="32" spans="1:25" ht="27.75" hidden="1" customHeight="1" thickBot="1">
      <c r="A32" s="39">
        <v>1</v>
      </c>
      <c r="B32" s="40" t="s">
        <v>88</v>
      </c>
      <c r="C32" s="41" t="s">
        <v>72</v>
      </c>
      <c r="D32" s="120">
        <v>0</v>
      </c>
      <c r="E32" s="43"/>
      <c r="F32" s="60"/>
      <c r="G32" s="61">
        <v>0</v>
      </c>
      <c r="H32" s="46">
        <v>0</v>
      </c>
      <c r="I32" s="47">
        <v>0</v>
      </c>
      <c r="J32" s="113"/>
      <c r="K32" s="118"/>
      <c r="L32" s="121">
        <v>0</v>
      </c>
      <c r="M32" s="94"/>
      <c r="N32" s="39"/>
      <c r="O32" s="53">
        <f t="shared" ref="O32:O44" si="11">+(D32*100/107)+G32-(L32*100/107)</f>
        <v>0</v>
      </c>
      <c r="P32" s="53">
        <f t="shared" si="0"/>
        <v>0</v>
      </c>
      <c r="Q32" s="54">
        <f t="shared" si="1"/>
        <v>0</v>
      </c>
      <c r="R32" s="122"/>
      <c r="S32" s="37"/>
      <c r="T32" s="37"/>
      <c r="U32" s="38"/>
      <c r="V32" s="38"/>
    </row>
    <row r="33" spans="1:23" ht="27.75" hidden="1" customHeight="1" thickTop="1">
      <c r="A33" s="39">
        <v>2</v>
      </c>
      <c r="B33" s="40" t="s">
        <v>89</v>
      </c>
      <c r="C33" s="41" t="s">
        <v>72</v>
      </c>
      <c r="D33" s="120">
        <v>0</v>
      </c>
      <c r="E33" s="43"/>
      <c r="F33" s="60"/>
      <c r="G33" s="61">
        <v>0</v>
      </c>
      <c r="H33" s="46">
        <v>0</v>
      </c>
      <c r="I33" s="47">
        <v>0</v>
      </c>
      <c r="J33" s="113"/>
      <c r="K33" s="118"/>
      <c r="L33" s="121">
        <v>0</v>
      </c>
      <c r="M33" s="94"/>
      <c r="N33" s="39"/>
      <c r="O33" s="53">
        <f t="shared" si="11"/>
        <v>0</v>
      </c>
      <c r="P33" s="53">
        <f t="shared" si="0"/>
        <v>0</v>
      </c>
      <c r="Q33" s="54">
        <f t="shared" si="1"/>
        <v>0</v>
      </c>
      <c r="R33" s="122"/>
      <c r="S33" s="37"/>
      <c r="T33" s="37"/>
      <c r="U33" s="38"/>
      <c r="V33" s="38"/>
    </row>
    <row r="34" spans="1:23" ht="27.75" hidden="1" customHeight="1" thickTop="1">
      <c r="A34" s="39">
        <v>3</v>
      </c>
      <c r="B34" s="40" t="s">
        <v>90</v>
      </c>
      <c r="C34" s="41" t="s">
        <v>72</v>
      </c>
      <c r="D34" s="120"/>
      <c r="E34" s="43"/>
      <c r="F34" s="60"/>
      <c r="G34" s="61">
        <v>0</v>
      </c>
      <c r="H34" s="46">
        <v>0</v>
      </c>
      <c r="I34" s="47">
        <v>0</v>
      </c>
      <c r="J34" s="113"/>
      <c r="K34" s="118"/>
      <c r="L34" s="121"/>
      <c r="M34" s="94"/>
      <c r="N34" s="39"/>
      <c r="O34" s="53">
        <f t="shared" si="11"/>
        <v>0</v>
      </c>
      <c r="P34" s="53">
        <f t="shared" si="0"/>
        <v>0</v>
      </c>
      <c r="Q34" s="54">
        <f t="shared" si="1"/>
        <v>0</v>
      </c>
      <c r="R34" s="122"/>
      <c r="S34" s="37"/>
      <c r="T34" s="37"/>
      <c r="U34" s="38"/>
      <c r="V34" s="38"/>
    </row>
    <row r="35" spans="1:23" ht="27.75" hidden="1" customHeight="1" thickTop="1">
      <c r="A35" s="39">
        <v>4</v>
      </c>
      <c r="B35" s="40" t="s">
        <v>91</v>
      </c>
      <c r="C35" s="41" t="s">
        <v>72</v>
      </c>
      <c r="D35" s="120"/>
      <c r="E35" s="43"/>
      <c r="F35" s="60"/>
      <c r="G35" s="61">
        <v>0</v>
      </c>
      <c r="H35" s="46">
        <v>0</v>
      </c>
      <c r="I35" s="47">
        <v>0</v>
      </c>
      <c r="J35" s="113"/>
      <c r="K35" s="118"/>
      <c r="L35" s="121">
        <v>0</v>
      </c>
      <c r="M35" s="94"/>
      <c r="N35" s="39"/>
      <c r="O35" s="53">
        <f t="shared" si="11"/>
        <v>0</v>
      </c>
      <c r="P35" s="53">
        <f t="shared" si="0"/>
        <v>0</v>
      </c>
      <c r="Q35" s="54">
        <f t="shared" si="1"/>
        <v>0</v>
      </c>
      <c r="R35" s="122"/>
      <c r="S35" s="37"/>
      <c r="T35" s="37"/>
      <c r="U35" s="38"/>
      <c r="V35" s="38"/>
    </row>
    <row r="36" spans="1:23" ht="27.75" hidden="1" customHeight="1" thickTop="1">
      <c r="A36" s="39">
        <v>5</v>
      </c>
      <c r="B36" s="40" t="s">
        <v>92</v>
      </c>
      <c r="C36" s="41" t="s">
        <v>72</v>
      </c>
      <c r="D36" s="120"/>
      <c r="E36" s="43"/>
      <c r="F36" s="60"/>
      <c r="G36" s="61">
        <v>0</v>
      </c>
      <c r="H36" s="46">
        <v>0</v>
      </c>
      <c r="I36" s="47">
        <v>0</v>
      </c>
      <c r="J36" s="117"/>
      <c r="K36" s="118"/>
      <c r="L36" s="119">
        <v>0</v>
      </c>
      <c r="M36" s="94"/>
      <c r="N36" s="39"/>
      <c r="O36" s="53">
        <f t="shared" si="11"/>
        <v>0</v>
      </c>
      <c r="P36" s="53">
        <f t="shared" si="0"/>
        <v>0</v>
      </c>
      <c r="Q36" s="54">
        <f t="shared" si="1"/>
        <v>0</v>
      </c>
      <c r="R36" s="122"/>
      <c r="S36" s="37"/>
      <c r="T36" s="37"/>
      <c r="U36" s="38"/>
      <c r="V36" s="38"/>
    </row>
    <row r="37" spans="1:23" ht="27.75" hidden="1" customHeight="1" thickTop="1">
      <c r="A37" s="39">
        <v>6</v>
      </c>
      <c r="B37" s="123" t="s">
        <v>93</v>
      </c>
      <c r="C37" s="41" t="s">
        <v>72</v>
      </c>
      <c r="D37" s="124">
        <v>0</v>
      </c>
      <c r="E37" s="125"/>
      <c r="F37" s="126"/>
      <c r="G37" s="65">
        <v>0</v>
      </c>
      <c r="H37" s="46">
        <v>0</v>
      </c>
      <c r="I37" s="47">
        <v>0</v>
      </c>
      <c r="J37" s="127"/>
      <c r="K37" s="128"/>
      <c r="L37" s="129">
        <v>0</v>
      </c>
      <c r="M37" s="94"/>
      <c r="N37" s="39"/>
      <c r="O37" s="53">
        <f t="shared" si="11"/>
        <v>0</v>
      </c>
      <c r="P37" s="53">
        <f t="shared" si="0"/>
        <v>0</v>
      </c>
      <c r="Q37" s="54">
        <f t="shared" si="1"/>
        <v>0</v>
      </c>
      <c r="R37" s="122"/>
      <c r="S37" s="37"/>
      <c r="T37" s="37"/>
      <c r="U37" s="38"/>
      <c r="V37" s="38"/>
    </row>
    <row r="38" spans="1:23" ht="27.75" hidden="1" customHeight="1" thickTop="1">
      <c r="A38" s="39">
        <v>7</v>
      </c>
      <c r="B38" s="40" t="s">
        <v>94</v>
      </c>
      <c r="C38" s="41" t="s">
        <v>72</v>
      </c>
      <c r="D38" s="120"/>
      <c r="E38" s="43"/>
      <c r="F38" s="60"/>
      <c r="G38" s="61">
        <v>0</v>
      </c>
      <c r="H38" s="46">
        <v>0</v>
      </c>
      <c r="I38" s="47">
        <v>0</v>
      </c>
      <c r="J38" s="117"/>
      <c r="K38" s="118"/>
      <c r="L38" s="119">
        <v>0</v>
      </c>
      <c r="M38" s="94"/>
      <c r="N38" s="39"/>
      <c r="O38" s="53">
        <f t="shared" si="11"/>
        <v>0</v>
      </c>
      <c r="P38" s="53">
        <f t="shared" si="0"/>
        <v>0</v>
      </c>
      <c r="Q38" s="54">
        <f t="shared" si="1"/>
        <v>0</v>
      </c>
      <c r="R38" s="122"/>
      <c r="S38" s="37"/>
      <c r="T38" s="37"/>
      <c r="U38" s="38"/>
      <c r="V38" s="38"/>
    </row>
    <row r="39" spans="1:23" ht="27.75" hidden="1" customHeight="1" thickTop="1">
      <c r="A39" s="39">
        <v>8</v>
      </c>
      <c r="B39" s="40" t="s">
        <v>95</v>
      </c>
      <c r="C39" s="41" t="s">
        <v>72</v>
      </c>
      <c r="D39" s="120"/>
      <c r="E39" s="43"/>
      <c r="F39" s="60"/>
      <c r="G39" s="61">
        <v>0</v>
      </c>
      <c r="H39" s="46">
        <v>0</v>
      </c>
      <c r="I39" s="47">
        <v>0</v>
      </c>
      <c r="J39" s="117"/>
      <c r="K39" s="118"/>
      <c r="L39" s="119">
        <v>0</v>
      </c>
      <c r="M39" s="94"/>
      <c r="N39" s="39"/>
      <c r="O39" s="53">
        <f t="shared" si="11"/>
        <v>0</v>
      </c>
      <c r="P39" s="53">
        <f t="shared" si="0"/>
        <v>0</v>
      </c>
      <c r="Q39" s="54">
        <f t="shared" si="1"/>
        <v>0</v>
      </c>
      <c r="R39" s="122"/>
      <c r="S39" s="37"/>
      <c r="T39" s="37"/>
      <c r="U39" s="38"/>
      <c r="V39" s="38"/>
    </row>
    <row r="40" spans="1:23" ht="27.75" hidden="1" customHeight="1" thickTop="1">
      <c r="A40" s="39">
        <v>9</v>
      </c>
      <c r="B40" s="40" t="s">
        <v>96</v>
      </c>
      <c r="C40" s="41" t="s">
        <v>72</v>
      </c>
      <c r="D40" s="120"/>
      <c r="E40" s="43"/>
      <c r="F40" s="60"/>
      <c r="G40" s="61">
        <v>0</v>
      </c>
      <c r="H40" s="46">
        <v>0</v>
      </c>
      <c r="I40" s="47">
        <v>0</v>
      </c>
      <c r="J40" s="117"/>
      <c r="K40" s="118"/>
      <c r="L40" s="119">
        <v>0</v>
      </c>
      <c r="M40" s="94"/>
      <c r="N40" s="39"/>
      <c r="O40" s="53">
        <f t="shared" si="11"/>
        <v>0</v>
      </c>
      <c r="P40" s="53">
        <f t="shared" si="0"/>
        <v>0</v>
      </c>
      <c r="Q40" s="54">
        <f t="shared" si="1"/>
        <v>0</v>
      </c>
      <c r="R40" s="122"/>
      <c r="S40" s="37"/>
      <c r="T40" s="37"/>
      <c r="U40" s="38"/>
      <c r="V40" s="38"/>
    </row>
    <row r="41" spans="1:23" ht="27.75" hidden="1" customHeight="1" thickTop="1">
      <c r="A41" s="39">
        <v>10</v>
      </c>
      <c r="B41" s="40" t="s">
        <v>97</v>
      </c>
      <c r="C41" s="41" t="s">
        <v>72</v>
      </c>
      <c r="D41" s="120">
        <v>0</v>
      </c>
      <c r="E41" s="43"/>
      <c r="F41" s="60"/>
      <c r="G41" s="61">
        <v>0</v>
      </c>
      <c r="H41" s="46">
        <v>0</v>
      </c>
      <c r="I41" s="47">
        <v>0</v>
      </c>
      <c r="J41" s="117"/>
      <c r="K41" s="118"/>
      <c r="L41" s="119">
        <v>0</v>
      </c>
      <c r="M41" s="94"/>
      <c r="N41" s="39"/>
      <c r="O41" s="53">
        <f t="shared" si="11"/>
        <v>0</v>
      </c>
      <c r="P41" s="53">
        <f t="shared" si="0"/>
        <v>0</v>
      </c>
      <c r="Q41" s="54">
        <f t="shared" si="1"/>
        <v>0</v>
      </c>
      <c r="R41" s="122"/>
      <c r="S41" s="37"/>
      <c r="T41" s="37"/>
      <c r="U41" s="38"/>
      <c r="V41" s="38"/>
    </row>
    <row r="42" spans="1:23" ht="27.75" hidden="1" customHeight="1" thickTop="1">
      <c r="A42" s="39">
        <v>11</v>
      </c>
      <c r="B42" s="40" t="s">
        <v>98</v>
      </c>
      <c r="C42" s="41" t="s">
        <v>72</v>
      </c>
      <c r="D42" s="120"/>
      <c r="E42" s="43"/>
      <c r="F42" s="60"/>
      <c r="G42" s="61">
        <v>0</v>
      </c>
      <c r="H42" s="46">
        <v>0</v>
      </c>
      <c r="I42" s="47">
        <v>0</v>
      </c>
      <c r="J42" s="117"/>
      <c r="K42" s="118"/>
      <c r="L42" s="119">
        <v>0</v>
      </c>
      <c r="M42" s="94"/>
      <c r="N42" s="39"/>
      <c r="O42" s="53">
        <f t="shared" si="11"/>
        <v>0</v>
      </c>
      <c r="P42" s="53">
        <f t="shared" si="0"/>
        <v>0</v>
      </c>
      <c r="Q42" s="54">
        <f t="shared" si="1"/>
        <v>0</v>
      </c>
      <c r="R42" s="122"/>
      <c r="S42" s="37"/>
      <c r="T42" s="37"/>
      <c r="U42" s="38"/>
      <c r="V42" s="38"/>
    </row>
    <row r="43" spans="1:23" ht="27.75" hidden="1" customHeight="1" thickTop="1">
      <c r="A43" s="39">
        <v>12</v>
      </c>
      <c r="B43" s="40" t="s">
        <v>99</v>
      </c>
      <c r="C43" s="41" t="s">
        <v>72</v>
      </c>
      <c r="D43" s="120">
        <v>0</v>
      </c>
      <c r="E43" s="43"/>
      <c r="F43" s="60"/>
      <c r="G43" s="61">
        <v>0</v>
      </c>
      <c r="H43" s="46">
        <v>0</v>
      </c>
      <c r="I43" s="47">
        <v>0</v>
      </c>
      <c r="J43" s="117"/>
      <c r="K43" s="118"/>
      <c r="L43" s="119">
        <v>0</v>
      </c>
      <c r="M43" s="94"/>
      <c r="N43" s="39"/>
      <c r="O43" s="53">
        <f t="shared" si="11"/>
        <v>0</v>
      </c>
      <c r="P43" s="53">
        <f t="shared" si="0"/>
        <v>0</v>
      </c>
      <c r="Q43" s="54">
        <f t="shared" si="1"/>
        <v>0</v>
      </c>
      <c r="R43" s="122"/>
      <c r="S43" s="37"/>
      <c r="T43" s="37"/>
      <c r="U43" s="38"/>
      <c r="V43" s="38"/>
    </row>
    <row r="44" spans="1:23" ht="27.75" hidden="1" customHeight="1" thickTop="1">
      <c r="A44" s="39"/>
      <c r="B44" s="123"/>
      <c r="C44" s="41"/>
      <c r="D44" s="124"/>
      <c r="E44" s="125"/>
      <c r="F44" s="126"/>
      <c r="G44" s="65">
        <v>0</v>
      </c>
      <c r="H44" s="46">
        <v>0</v>
      </c>
      <c r="I44" s="47">
        <v>0</v>
      </c>
      <c r="J44" s="127"/>
      <c r="K44" s="128"/>
      <c r="L44" s="129"/>
      <c r="M44" s="83"/>
      <c r="N44" s="130"/>
      <c r="O44" s="53">
        <f t="shared" si="11"/>
        <v>0</v>
      </c>
      <c r="P44" s="53">
        <f t="shared" si="0"/>
        <v>0</v>
      </c>
      <c r="Q44" s="54">
        <f t="shared" si="1"/>
        <v>0</v>
      </c>
      <c r="R44" s="122"/>
      <c r="S44" s="37"/>
      <c r="T44" s="37"/>
      <c r="U44" s="38"/>
      <c r="V44" s="38"/>
    </row>
    <row r="45" spans="1:23" ht="27.75" hidden="1" customHeight="1" thickTop="1">
      <c r="A45" s="22"/>
      <c r="B45" s="131" t="s">
        <v>22</v>
      </c>
      <c r="C45" s="132"/>
      <c r="D45" s="133">
        <f>SUM(D32:D43)</f>
        <v>0</v>
      </c>
      <c r="E45" s="134"/>
      <c r="F45" s="135"/>
      <c r="G45" s="136">
        <f>SUM(G32:G43)</f>
        <v>0</v>
      </c>
      <c r="H45" s="136">
        <f t="shared" ref="H45:I45" si="12">SUM(H32:H43)</f>
        <v>0</v>
      </c>
      <c r="I45" s="136">
        <f t="shared" si="12"/>
        <v>0</v>
      </c>
      <c r="J45" s="137">
        <v>0</v>
      </c>
      <c r="K45" s="137">
        <f>SUM(K8:K44)</f>
        <v>0</v>
      </c>
      <c r="L45" s="138">
        <f>SUM(L32:L44)</f>
        <v>0</v>
      </c>
      <c r="M45" s="139"/>
      <c r="N45" s="133"/>
      <c r="O45" s="136">
        <f>SUM(O32:O44)</f>
        <v>0</v>
      </c>
      <c r="P45" s="136">
        <f t="shared" ref="P45:Q45" si="13">SUM(P32:P44)</f>
        <v>0</v>
      </c>
      <c r="Q45" s="136">
        <f t="shared" si="13"/>
        <v>0</v>
      </c>
      <c r="R45" s="36"/>
      <c r="S45" s="37"/>
      <c r="T45" s="37"/>
      <c r="U45" s="38"/>
      <c r="V45" s="38"/>
      <c r="W45" s="38"/>
    </row>
    <row r="46" spans="1:23" ht="27.75" customHeight="1" thickTop="1">
      <c r="A46" s="22"/>
      <c r="B46" s="23" t="s">
        <v>100</v>
      </c>
      <c r="C46" s="24"/>
      <c r="D46" s="25"/>
      <c r="E46" s="26"/>
      <c r="F46" s="27"/>
      <c r="G46" s="28"/>
      <c r="H46" s="28"/>
      <c r="I46" s="28"/>
      <c r="J46" s="29"/>
      <c r="K46" s="30"/>
      <c r="L46" s="31"/>
      <c r="M46" s="32"/>
      <c r="N46" s="33"/>
      <c r="O46" s="34"/>
      <c r="P46" s="34"/>
      <c r="Q46" s="35"/>
      <c r="R46" s="36"/>
      <c r="S46" s="37"/>
      <c r="T46" s="37"/>
      <c r="U46" s="38"/>
      <c r="V46" s="38"/>
      <c r="W46" s="38"/>
    </row>
    <row r="47" spans="1:23" s="57" customFormat="1" ht="27.75" customHeight="1">
      <c r="A47" s="22">
        <v>1</v>
      </c>
      <c r="B47" s="40" t="s">
        <v>101</v>
      </c>
      <c r="C47" s="140" t="s">
        <v>102</v>
      </c>
      <c r="D47" s="141">
        <v>160.5</v>
      </c>
      <c r="E47" s="142" t="s">
        <v>1287</v>
      </c>
      <c r="F47" s="143">
        <v>1</v>
      </c>
      <c r="G47" s="61">
        <v>150</v>
      </c>
      <c r="H47" s="61">
        <v>10.5</v>
      </c>
      <c r="I47" s="47">
        <v>160.5</v>
      </c>
      <c r="J47" s="113" t="s">
        <v>1402</v>
      </c>
      <c r="K47" s="114" t="s">
        <v>1403</v>
      </c>
      <c r="L47" s="144">
        <v>321</v>
      </c>
      <c r="M47" s="145" t="s">
        <v>45</v>
      </c>
      <c r="N47" s="146">
        <v>0</v>
      </c>
      <c r="O47" s="147">
        <f t="shared" ref="O47:O81" si="14">+(D47*100/107)+G47-(L47*100/107)</f>
        <v>0</v>
      </c>
      <c r="P47" s="147">
        <f t="shared" ref="P47" si="15">ROUND((O47*0.07),2)</f>
        <v>0</v>
      </c>
      <c r="Q47" s="47">
        <f t="shared" ref="Q47" si="16">+O47+P47</f>
        <v>0</v>
      </c>
      <c r="R47" s="146"/>
      <c r="S47" s="148"/>
      <c r="T47" s="148"/>
      <c r="U47" s="149"/>
      <c r="V47" s="149"/>
    </row>
    <row r="48" spans="1:23" s="57" customFormat="1" ht="27.75" customHeight="1">
      <c r="A48" s="22">
        <v>2</v>
      </c>
      <c r="B48" s="150" t="s">
        <v>104</v>
      </c>
      <c r="C48" s="140" t="s">
        <v>102</v>
      </c>
      <c r="D48" s="141">
        <v>321</v>
      </c>
      <c r="E48" s="142" t="s">
        <v>45</v>
      </c>
      <c r="F48" s="143">
        <v>0</v>
      </c>
      <c r="G48" s="61">
        <v>0</v>
      </c>
      <c r="H48" s="61">
        <v>0</v>
      </c>
      <c r="I48" s="47">
        <v>0</v>
      </c>
      <c r="J48" s="117">
        <v>46203</v>
      </c>
      <c r="K48" s="118" t="s">
        <v>1404</v>
      </c>
      <c r="L48" s="151">
        <v>321</v>
      </c>
      <c r="M48" s="94" t="s">
        <v>45</v>
      </c>
      <c r="N48" s="39">
        <v>0</v>
      </c>
      <c r="O48" s="147">
        <f t="shared" si="14"/>
        <v>0</v>
      </c>
      <c r="P48" s="147">
        <f>ROUND((O48*0.07),2)</f>
        <v>0</v>
      </c>
      <c r="Q48" s="47">
        <f>+O48+P48</f>
        <v>0</v>
      </c>
      <c r="R48" s="146"/>
      <c r="S48" s="148"/>
      <c r="T48" s="148"/>
      <c r="U48" s="149"/>
      <c r="V48" s="149"/>
    </row>
    <row r="49" spans="1:22" s="169" customFormat="1" ht="27.75" customHeight="1">
      <c r="A49" s="152">
        <v>3</v>
      </c>
      <c r="B49" s="153" t="s">
        <v>106</v>
      </c>
      <c r="C49" s="154" t="s">
        <v>102</v>
      </c>
      <c r="D49" s="155">
        <v>160.5</v>
      </c>
      <c r="E49" s="156" t="s">
        <v>1291</v>
      </c>
      <c r="F49" s="157">
        <v>-2</v>
      </c>
      <c r="G49" s="158">
        <v>-300</v>
      </c>
      <c r="H49" s="158">
        <v>-21</v>
      </c>
      <c r="I49" s="159">
        <v>-321</v>
      </c>
      <c r="J49" s="160"/>
      <c r="K49" s="161"/>
      <c r="L49" s="162"/>
      <c r="M49" s="163" t="s">
        <v>1382</v>
      </c>
      <c r="N49" s="164">
        <v>-1</v>
      </c>
      <c r="O49" s="165">
        <f t="shared" si="14"/>
        <v>-150</v>
      </c>
      <c r="P49" s="165">
        <f t="shared" ref="P49:P67" si="17">ROUND((O49*0.07),2)</f>
        <v>-10.5</v>
      </c>
      <c r="Q49" s="159">
        <f t="shared" ref="Q49:Q67" si="18">+O49+P49</f>
        <v>-160.5</v>
      </c>
      <c r="R49" s="166"/>
      <c r="S49" s="167"/>
      <c r="T49" s="167"/>
      <c r="U49" s="168"/>
      <c r="V49" s="168"/>
    </row>
    <row r="50" spans="1:22" s="57" customFormat="1" ht="27.75" customHeight="1">
      <c r="A50" s="22">
        <v>4</v>
      </c>
      <c r="B50" s="170" t="s">
        <v>109</v>
      </c>
      <c r="C50" s="140" t="s">
        <v>102</v>
      </c>
      <c r="D50" s="141">
        <v>321</v>
      </c>
      <c r="E50" s="142" t="s">
        <v>45</v>
      </c>
      <c r="F50" s="143">
        <v>0</v>
      </c>
      <c r="G50" s="61">
        <v>0</v>
      </c>
      <c r="H50" s="61">
        <v>0</v>
      </c>
      <c r="I50" s="47">
        <v>0</v>
      </c>
      <c r="J50" s="117">
        <v>46178</v>
      </c>
      <c r="K50" s="118" t="s">
        <v>1405</v>
      </c>
      <c r="L50" s="151">
        <v>321</v>
      </c>
      <c r="M50" s="171" t="s">
        <v>45</v>
      </c>
      <c r="N50" s="172">
        <v>0</v>
      </c>
      <c r="O50" s="147">
        <f t="shared" si="14"/>
        <v>0</v>
      </c>
      <c r="P50" s="147">
        <f t="shared" si="17"/>
        <v>0</v>
      </c>
      <c r="Q50" s="47">
        <f t="shared" si="18"/>
        <v>0</v>
      </c>
      <c r="R50" s="146"/>
      <c r="S50" s="148"/>
      <c r="T50" s="148"/>
      <c r="U50" s="149"/>
      <c r="V50" s="149"/>
    </row>
    <row r="51" spans="1:22" s="57" customFormat="1" ht="27.75" customHeight="1">
      <c r="A51" s="22">
        <v>5</v>
      </c>
      <c r="B51" s="170" t="s">
        <v>111</v>
      </c>
      <c r="C51" s="140" t="s">
        <v>102</v>
      </c>
      <c r="D51" s="141">
        <v>321</v>
      </c>
      <c r="E51" s="142" t="s">
        <v>45</v>
      </c>
      <c r="F51" s="143">
        <v>0</v>
      </c>
      <c r="G51" s="61">
        <v>0</v>
      </c>
      <c r="H51" s="61">
        <v>0</v>
      </c>
      <c r="I51" s="47">
        <v>0</v>
      </c>
      <c r="J51" s="117">
        <v>46177</v>
      </c>
      <c r="K51" s="118" t="s">
        <v>1406</v>
      </c>
      <c r="L51" s="151">
        <v>321</v>
      </c>
      <c r="M51" s="171" t="s">
        <v>45</v>
      </c>
      <c r="N51" s="172">
        <v>0</v>
      </c>
      <c r="O51" s="147">
        <f t="shared" si="14"/>
        <v>0</v>
      </c>
      <c r="P51" s="147">
        <f t="shared" si="17"/>
        <v>0</v>
      </c>
      <c r="Q51" s="47">
        <f t="shared" si="18"/>
        <v>0</v>
      </c>
      <c r="R51" s="146"/>
      <c r="S51" s="148"/>
      <c r="T51" s="148"/>
      <c r="U51" s="149"/>
      <c r="V51" s="149"/>
    </row>
    <row r="52" spans="1:22" s="57" customFormat="1" ht="27.75" customHeight="1">
      <c r="A52" s="22">
        <v>6</v>
      </c>
      <c r="B52" s="170" t="s">
        <v>113</v>
      </c>
      <c r="C52" s="140" t="s">
        <v>102</v>
      </c>
      <c r="D52" s="141">
        <v>160.5</v>
      </c>
      <c r="E52" s="142" t="s">
        <v>45</v>
      </c>
      <c r="F52" s="143">
        <v>0</v>
      </c>
      <c r="G52" s="61">
        <v>0</v>
      </c>
      <c r="H52" s="61">
        <v>0</v>
      </c>
      <c r="I52" s="47">
        <v>0</v>
      </c>
      <c r="J52" s="113">
        <v>46185</v>
      </c>
      <c r="K52" s="114" t="s">
        <v>1407</v>
      </c>
      <c r="L52" s="151">
        <v>160.5</v>
      </c>
      <c r="M52" s="171" t="s">
        <v>45</v>
      </c>
      <c r="N52" s="172">
        <v>0</v>
      </c>
      <c r="O52" s="147">
        <f t="shared" si="14"/>
        <v>0</v>
      </c>
      <c r="P52" s="147">
        <f t="shared" si="17"/>
        <v>0</v>
      </c>
      <c r="Q52" s="47">
        <f t="shared" si="18"/>
        <v>0</v>
      </c>
      <c r="R52" s="146"/>
      <c r="S52" s="148"/>
      <c r="T52" s="148"/>
      <c r="U52" s="149"/>
      <c r="V52" s="149"/>
    </row>
    <row r="53" spans="1:22" s="57" customFormat="1" ht="27.75" customHeight="1">
      <c r="A53" s="22">
        <v>7</v>
      </c>
      <c r="B53" s="170" t="s">
        <v>117</v>
      </c>
      <c r="C53" s="140" t="s">
        <v>102</v>
      </c>
      <c r="D53" s="141">
        <v>535</v>
      </c>
      <c r="E53" s="142" t="s">
        <v>45</v>
      </c>
      <c r="F53" s="143">
        <v>0</v>
      </c>
      <c r="G53" s="45">
        <v>0</v>
      </c>
      <c r="H53" s="61">
        <v>0</v>
      </c>
      <c r="I53" s="47">
        <v>0</v>
      </c>
      <c r="J53" s="113">
        <v>46203</v>
      </c>
      <c r="K53" s="114" t="s">
        <v>1408</v>
      </c>
      <c r="L53" s="151">
        <v>535</v>
      </c>
      <c r="M53" s="171" t="s">
        <v>45</v>
      </c>
      <c r="N53" s="172">
        <v>0</v>
      </c>
      <c r="O53" s="147">
        <f t="shared" si="14"/>
        <v>0</v>
      </c>
      <c r="P53" s="147">
        <f t="shared" si="17"/>
        <v>0</v>
      </c>
      <c r="Q53" s="47">
        <f t="shared" si="18"/>
        <v>0</v>
      </c>
      <c r="R53" s="146"/>
      <c r="S53" s="148"/>
      <c r="T53" s="148"/>
      <c r="U53" s="149"/>
      <c r="V53" s="149"/>
    </row>
    <row r="54" spans="1:22" s="57" customFormat="1" ht="27.75" customHeight="1">
      <c r="A54" s="22">
        <v>8</v>
      </c>
      <c r="B54" s="170" t="s">
        <v>119</v>
      </c>
      <c r="C54" s="140" t="s">
        <v>102</v>
      </c>
      <c r="D54" s="141">
        <v>321</v>
      </c>
      <c r="E54" s="142" t="s">
        <v>45</v>
      </c>
      <c r="F54" s="143">
        <v>0</v>
      </c>
      <c r="G54" s="45">
        <v>0</v>
      </c>
      <c r="H54" s="61">
        <v>0</v>
      </c>
      <c r="I54" s="47">
        <v>0</v>
      </c>
      <c r="J54" s="113">
        <v>46198</v>
      </c>
      <c r="K54" s="114" t="s">
        <v>1409</v>
      </c>
      <c r="L54" s="151">
        <v>321</v>
      </c>
      <c r="M54" s="171" t="s">
        <v>45</v>
      </c>
      <c r="N54" s="172">
        <v>0</v>
      </c>
      <c r="O54" s="147">
        <f t="shared" si="14"/>
        <v>0</v>
      </c>
      <c r="P54" s="147">
        <f t="shared" si="17"/>
        <v>0</v>
      </c>
      <c r="Q54" s="47">
        <f t="shared" si="18"/>
        <v>0</v>
      </c>
      <c r="R54" s="146"/>
      <c r="S54" s="148"/>
      <c r="T54" s="148"/>
      <c r="U54" s="149"/>
      <c r="V54" s="149"/>
    </row>
    <row r="55" spans="1:22" s="57" customFormat="1" ht="27.75" customHeight="1">
      <c r="A55" s="22">
        <v>9</v>
      </c>
      <c r="B55" s="170" t="s">
        <v>121</v>
      </c>
      <c r="C55" s="140" t="s">
        <v>102</v>
      </c>
      <c r="D55" s="173">
        <v>321</v>
      </c>
      <c r="E55" s="142" t="s">
        <v>45</v>
      </c>
      <c r="F55" s="143">
        <v>0</v>
      </c>
      <c r="G55" s="45">
        <v>0</v>
      </c>
      <c r="H55" s="61">
        <v>0</v>
      </c>
      <c r="I55" s="47">
        <v>0</v>
      </c>
      <c r="J55" s="113">
        <v>46202</v>
      </c>
      <c r="K55" s="114" t="s">
        <v>1410</v>
      </c>
      <c r="L55" s="151">
        <v>321</v>
      </c>
      <c r="M55" s="171" t="s">
        <v>45</v>
      </c>
      <c r="N55" s="172">
        <v>0</v>
      </c>
      <c r="O55" s="147">
        <f t="shared" si="14"/>
        <v>0</v>
      </c>
      <c r="P55" s="147">
        <f t="shared" si="17"/>
        <v>0</v>
      </c>
      <c r="Q55" s="47">
        <f t="shared" si="18"/>
        <v>0</v>
      </c>
      <c r="R55" s="146"/>
      <c r="S55" s="148"/>
      <c r="T55" s="148"/>
      <c r="U55" s="149"/>
      <c r="V55" s="149"/>
    </row>
    <row r="56" spans="1:22" s="57" customFormat="1" ht="27.75" customHeight="1">
      <c r="A56" s="22">
        <v>10</v>
      </c>
      <c r="B56" s="40" t="s">
        <v>123</v>
      </c>
      <c r="C56" s="140" t="s">
        <v>102</v>
      </c>
      <c r="D56" s="173">
        <v>160.5</v>
      </c>
      <c r="E56" s="142" t="s">
        <v>45</v>
      </c>
      <c r="F56" s="143">
        <v>0</v>
      </c>
      <c r="G56" s="45">
        <v>0</v>
      </c>
      <c r="H56" s="61">
        <v>0</v>
      </c>
      <c r="I56" s="47">
        <v>0</v>
      </c>
      <c r="J56" s="113">
        <v>46196</v>
      </c>
      <c r="K56" s="114" t="s">
        <v>1411</v>
      </c>
      <c r="L56" s="144">
        <v>160.5</v>
      </c>
      <c r="M56" s="145" t="s">
        <v>45</v>
      </c>
      <c r="N56" s="146">
        <v>0</v>
      </c>
      <c r="O56" s="147">
        <f t="shared" si="14"/>
        <v>0</v>
      </c>
      <c r="P56" s="147">
        <f t="shared" si="17"/>
        <v>0</v>
      </c>
      <c r="Q56" s="47">
        <f t="shared" si="18"/>
        <v>0</v>
      </c>
      <c r="R56" s="146"/>
      <c r="S56" s="148"/>
      <c r="T56" s="148"/>
      <c r="U56" s="149"/>
      <c r="V56" s="149"/>
    </row>
    <row r="57" spans="1:22" s="57" customFormat="1" ht="27.75" customHeight="1">
      <c r="A57" s="22">
        <v>11</v>
      </c>
      <c r="B57" s="40" t="s">
        <v>126</v>
      </c>
      <c r="C57" s="140" t="s">
        <v>102</v>
      </c>
      <c r="D57" s="173">
        <v>642</v>
      </c>
      <c r="E57" s="142" t="s">
        <v>45</v>
      </c>
      <c r="F57" s="143">
        <v>0</v>
      </c>
      <c r="G57" s="61">
        <v>0</v>
      </c>
      <c r="H57" s="61">
        <v>0</v>
      </c>
      <c r="I57" s="47">
        <v>0</v>
      </c>
      <c r="J57" s="113" t="s">
        <v>1412</v>
      </c>
      <c r="K57" s="114" t="s">
        <v>1413</v>
      </c>
      <c r="L57" s="144">
        <v>1284</v>
      </c>
      <c r="M57" s="145" t="s">
        <v>1382</v>
      </c>
      <c r="N57" s="146">
        <v>-1</v>
      </c>
      <c r="O57" s="147">
        <f t="shared" si="14"/>
        <v>-600</v>
      </c>
      <c r="P57" s="147">
        <f t="shared" si="17"/>
        <v>-42</v>
      </c>
      <c r="Q57" s="47">
        <f t="shared" si="18"/>
        <v>-642</v>
      </c>
      <c r="R57" s="146"/>
      <c r="S57" s="148"/>
      <c r="T57" s="148"/>
      <c r="U57" s="149"/>
      <c r="V57" s="149"/>
    </row>
    <row r="58" spans="1:22" s="57" customFormat="1" ht="27.75" customHeight="1">
      <c r="A58" s="22">
        <v>12</v>
      </c>
      <c r="B58" s="40" t="s">
        <v>128</v>
      </c>
      <c r="C58" s="140" t="s">
        <v>102</v>
      </c>
      <c r="D58" s="141">
        <v>642</v>
      </c>
      <c r="E58" s="142" t="s">
        <v>45</v>
      </c>
      <c r="F58" s="143">
        <v>0</v>
      </c>
      <c r="G58" s="61">
        <v>0</v>
      </c>
      <c r="H58" s="61">
        <v>0</v>
      </c>
      <c r="I58" s="47">
        <v>0</v>
      </c>
      <c r="J58" s="113">
        <v>46202</v>
      </c>
      <c r="K58" s="114" t="s">
        <v>1414</v>
      </c>
      <c r="L58" s="144">
        <v>642</v>
      </c>
      <c r="M58" s="145" t="s">
        <v>45</v>
      </c>
      <c r="N58" s="146">
        <v>0</v>
      </c>
      <c r="O58" s="147">
        <f t="shared" si="14"/>
        <v>0</v>
      </c>
      <c r="P58" s="147">
        <f t="shared" si="17"/>
        <v>0</v>
      </c>
      <c r="Q58" s="47">
        <f t="shared" si="18"/>
        <v>0</v>
      </c>
      <c r="R58" s="146"/>
      <c r="S58" s="148"/>
      <c r="T58" s="148"/>
      <c r="U58" s="149"/>
      <c r="V58" s="149"/>
    </row>
    <row r="59" spans="1:22" s="57" customFormat="1" ht="27.75" customHeight="1">
      <c r="A59" s="22">
        <v>13</v>
      </c>
      <c r="B59" s="40" t="s">
        <v>130</v>
      </c>
      <c r="C59" s="140" t="s">
        <v>102</v>
      </c>
      <c r="D59" s="141">
        <v>160.5</v>
      </c>
      <c r="E59" s="142" t="s">
        <v>1051</v>
      </c>
      <c r="F59" s="143">
        <v>2</v>
      </c>
      <c r="G59" s="61">
        <v>300</v>
      </c>
      <c r="H59" s="61">
        <v>21</v>
      </c>
      <c r="I59" s="47">
        <v>321</v>
      </c>
      <c r="J59" s="175" t="s">
        <v>1415</v>
      </c>
      <c r="K59" s="176" t="s">
        <v>1416</v>
      </c>
      <c r="L59" s="177">
        <v>321</v>
      </c>
      <c r="M59" s="145" t="s">
        <v>1278</v>
      </c>
      <c r="N59" s="146">
        <v>1</v>
      </c>
      <c r="O59" s="147">
        <f t="shared" si="14"/>
        <v>150</v>
      </c>
      <c r="P59" s="147">
        <f t="shared" si="17"/>
        <v>10.5</v>
      </c>
      <c r="Q59" s="47">
        <f t="shared" si="18"/>
        <v>160.5</v>
      </c>
      <c r="R59" s="146"/>
      <c r="S59" s="148"/>
      <c r="T59" s="148"/>
      <c r="U59" s="149"/>
      <c r="V59" s="149"/>
    </row>
    <row r="60" spans="1:22" s="57" customFormat="1" ht="27.75" customHeight="1">
      <c r="A60" s="22">
        <v>14</v>
      </c>
      <c r="B60" s="170" t="s">
        <v>132</v>
      </c>
      <c r="C60" s="140" t="s">
        <v>102</v>
      </c>
      <c r="D60" s="141">
        <v>321</v>
      </c>
      <c r="E60" s="142" t="s">
        <v>45</v>
      </c>
      <c r="F60" s="143">
        <v>0</v>
      </c>
      <c r="G60" s="45">
        <v>0</v>
      </c>
      <c r="H60" s="61">
        <v>0</v>
      </c>
      <c r="I60" s="47">
        <v>0</v>
      </c>
      <c r="J60" s="178">
        <v>46181</v>
      </c>
      <c r="K60" s="179" t="s">
        <v>1417</v>
      </c>
      <c r="L60" s="180">
        <v>321</v>
      </c>
      <c r="M60" s="171" t="s">
        <v>45</v>
      </c>
      <c r="N60" s="172">
        <v>0</v>
      </c>
      <c r="O60" s="147">
        <f t="shared" si="14"/>
        <v>0</v>
      </c>
      <c r="P60" s="147">
        <f t="shared" si="17"/>
        <v>0</v>
      </c>
      <c r="Q60" s="47">
        <f t="shared" si="18"/>
        <v>0</v>
      </c>
      <c r="R60" s="146"/>
      <c r="S60" s="148"/>
      <c r="T60" s="148"/>
      <c r="U60" s="149"/>
      <c r="V60" s="149"/>
    </row>
    <row r="61" spans="1:22" s="57" customFormat="1" ht="27.75" customHeight="1">
      <c r="A61" s="22">
        <v>15</v>
      </c>
      <c r="B61" s="40" t="s">
        <v>134</v>
      </c>
      <c r="C61" s="140" t="s">
        <v>102</v>
      </c>
      <c r="D61" s="141">
        <v>160.5</v>
      </c>
      <c r="E61" s="142" t="s">
        <v>45</v>
      </c>
      <c r="F61" s="143">
        <v>0</v>
      </c>
      <c r="G61" s="61">
        <v>0</v>
      </c>
      <c r="H61" s="61">
        <v>0</v>
      </c>
      <c r="I61" s="47">
        <v>0</v>
      </c>
      <c r="J61" s="175">
        <v>46202</v>
      </c>
      <c r="K61" s="176" t="s">
        <v>1418</v>
      </c>
      <c r="L61" s="177">
        <v>160.5</v>
      </c>
      <c r="M61" s="145" t="s">
        <v>45</v>
      </c>
      <c r="N61" s="146">
        <v>0</v>
      </c>
      <c r="O61" s="147">
        <f t="shared" si="14"/>
        <v>0</v>
      </c>
      <c r="P61" s="147">
        <f t="shared" si="17"/>
        <v>0</v>
      </c>
      <c r="Q61" s="47">
        <f t="shared" si="18"/>
        <v>0</v>
      </c>
      <c r="R61" s="146"/>
      <c r="S61" s="148"/>
      <c r="T61" s="148"/>
      <c r="U61" s="149"/>
      <c r="V61" s="149"/>
    </row>
    <row r="62" spans="1:22" s="57" customFormat="1" ht="27.75" customHeight="1">
      <c r="A62" s="22">
        <v>16</v>
      </c>
      <c r="B62" s="170" t="s">
        <v>136</v>
      </c>
      <c r="C62" s="140" t="s">
        <v>102</v>
      </c>
      <c r="D62" s="141">
        <v>321</v>
      </c>
      <c r="E62" s="142" t="s">
        <v>45</v>
      </c>
      <c r="F62" s="143">
        <v>0</v>
      </c>
      <c r="G62" s="45">
        <v>0</v>
      </c>
      <c r="H62" s="61">
        <v>0</v>
      </c>
      <c r="I62" s="47">
        <v>0</v>
      </c>
      <c r="J62" s="113">
        <v>46202</v>
      </c>
      <c r="K62" s="114" t="s">
        <v>1419</v>
      </c>
      <c r="L62" s="144">
        <v>321</v>
      </c>
      <c r="M62" s="171" t="s">
        <v>45</v>
      </c>
      <c r="N62" s="172">
        <v>0</v>
      </c>
      <c r="O62" s="147">
        <f t="shared" si="14"/>
        <v>0</v>
      </c>
      <c r="P62" s="147">
        <f t="shared" si="17"/>
        <v>0</v>
      </c>
      <c r="Q62" s="47">
        <f t="shared" si="18"/>
        <v>0</v>
      </c>
      <c r="R62" s="146"/>
      <c r="S62" s="148"/>
      <c r="T62" s="148"/>
      <c r="U62" s="149"/>
      <c r="V62" s="149"/>
    </row>
    <row r="63" spans="1:22" s="57" customFormat="1" ht="27.75" customHeight="1">
      <c r="A63" s="22">
        <v>17</v>
      </c>
      <c r="B63" s="181" t="s">
        <v>138</v>
      </c>
      <c r="C63" s="182" t="s">
        <v>139</v>
      </c>
      <c r="D63" s="173">
        <v>160.5</v>
      </c>
      <c r="E63" s="142" t="s">
        <v>1302</v>
      </c>
      <c r="F63" s="143">
        <v>-7</v>
      </c>
      <c r="G63" s="45">
        <v>-1050</v>
      </c>
      <c r="H63" s="61">
        <v>-73.5</v>
      </c>
      <c r="I63" s="47">
        <v>-1123.5</v>
      </c>
      <c r="J63" s="183"/>
      <c r="K63" s="184"/>
      <c r="L63" s="185"/>
      <c r="M63" s="171" t="s">
        <v>1420</v>
      </c>
      <c r="N63" s="44">
        <v>-6</v>
      </c>
      <c r="O63" s="147">
        <f t="shared" si="14"/>
        <v>-900</v>
      </c>
      <c r="P63" s="147">
        <f t="shared" si="17"/>
        <v>-63</v>
      </c>
      <c r="Q63" s="47">
        <f t="shared" si="18"/>
        <v>-963</v>
      </c>
      <c r="R63" s="146"/>
      <c r="S63" s="148"/>
      <c r="T63" s="148"/>
      <c r="U63" s="149"/>
      <c r="V63" s="149"/>
    </row>
    <row r="64" spans="1:22" s="57" customFormat="1" ht="27.75" customHeight="1">
      <c r="A64" s="22">
        <v>18</v>
      </c>
      <c r="B64" s="181" t="s">
        <v>142</v>
      </c>
      <c r="C64" s="182" t="s">
        <v>143</v>
      </c>
      <c r="D64" s="173">
        <v>160.5</v>
      </c>
      <c r="E64" s="142" t="s">
        <v>45</v>
      </c>
      <c r="F64" s="143">
        <v>0</v>
      </c>
      <c r="G64" s="45">
        <v>0</v>
      </c>
      <c r="H64" s="61">
        <v>0</v>
      </c>
      <c r="I64" s="47">
        <v>0</v>
      </c>
      <c r="J64" s="183">
        <v>46203</v>
      </c>
      <c r="K64" s="184" t="s">
        <v>1421</v>
      </c>
      <c r="L64" s="185">
        <v>160.5</v>
      </c>
      <c r="M64" s="186" t="s">
        <v>45</v>
      </c>
      <c r="N64" s="44">
        <v>0</v>
      </c>
      <c r="O64" s="147">
        <f t="shared" si="14"/>
        <v>0</v>
      </c>
      <c r="P64" s="147">
        <f t="shared" si="17"/>
        <v>0</v>
      </c>
      <c r="Q64" s="47">
        <f t="shared" si="18"/>
        <v>0</v>
      </c>
      <c r="R64" s="146"/>
      <c r="S64" s="148"/>
      <c r="T64" s="148"/>
      <c r="U64" s="149"/>
      <c r="V64" s="149"/>
    </row>
    <row r="65" spans="1:22" s="57" customFormat="1" ht="27.75" customHeight="1">
      <c r="A65" s="22">
        <v>19</v>
      </c>
      <c r="B65" s="40" t="s">
        <v>145</v>
      </c>
      <c r="C65" s="140" t="s">
        <v>102</v>
      </c>
      <c r="D65" s="173">
        <v>321</v>
      </c>
      <c r="E65" s="142" t="s">
        <v>45</v>
      </c>
      <c r="F65" s="143">
        <v>0</v>
      </c>
      <c r="G65" s="45">
        <v>0</v>
      </c>
      <c r="H65" s="61">
        <v>0</v>
      </c>
      <c r="I65" s="47">
        <v>0</v>
      </c>
      <c r="J65" s="175">
        <v>46202</v>
      </c>
      <c r="K65" s="176" t="s">
        <v>1422</v>
      </c>
      <c r="L65" s="177">
        <v>321</v>
      </c>
      <c r="M65" s="171" t="s">
        <v>45</v>
      </c>
      <c r="N65" s="172">
        <v>0</v>
      </c>
      <c r="O65" s="147">
        <f t="shared" si="14"/>
        <v>0</v>
      </c>
      <c r="P65" s="147">
        <f t="shared" si="17"/>
        <v>0</v>
      </c>
      <c r="Q65" s="47">
        <f t="shared" si="18"/>
        <v>0</v>
      </c>
      <c r="R65" s="146"/>
      <c r="S65" s="148"/>
      <c r="T65" s="148"/>
      <c r="U65" s="149"/>
      <c r="V65" s="149"/>
    </row>
    <row r="66" spans="1:22" s="57" customFormat="1" ht="27.75" customHeight="1">
      <c r="A66" s="22">
        <v>20</v>
      </c>
      <c r="B66" s="40" t="s">
        <v>147</v>
      </c>
      <c r="C66" s="140" t="s">
        <v>102</v>
      </c>
      <c r="D66" s="173">
        <v>160.5</v>
      </c>
      <c r="E66" s="142" t="s">
        <v>45</v>
      </c>
      <c r="F66" s="143">
        <v>0</v>
      </c>
      <c r="G66" s="45">
        <v>0</v>
      </c>
      <c r="H66" s="61">
        <v>0</v>
      </c>
      <c r="I66" s="47">
        <v>0</v>
      </c>
      <c r="J66" s="175">
        <v>46196</v>
      </c>
      <c r="K66" s="176" t="s">
        <v>1423</v>
      </c>
      <c r="L66" s="177">
        <v>160.5</v>
      </c>
      <c r="M66" s="171" t="s">
        <v>45</v>
      </c>
      <c r="N66" s="172">
        <v>0</v>
      </c>
      <c r="O66" s="147">
        <f t="shared" si="14"/>
        <v>0</v>
      </c>
      <c r="P66" s="147">
        <f t="shared" si="17"/>
        <v>0</v>
      </c>
      <c r="Q66" s="47">
        <f t="shared" si="18"/>
        <v>0</v>
      </c>
      <c r="R66" s="146"/>
      <c r="S66" s="148"/>
      <c r="T66" s="148"/>
      <c r="U66" s="149"/>
      <c r="V66" s="149"/>
    </row>
    <row r="67" spans="1:22" s="57" customFormat="1" ht="27.75" customHeight="1">
      <c r="A67" s="22">
        <v>21</v>
      </c>
      <c r="B67" s="80" t="s">
        <v>149</v>
      </c>
      <c r="C67" s="140" t="s">
        <v>102</v>
      </c>
      <c r="D67" s="173">
        <v>1070</v>
      </c>
      <c r="E67" s="142" t="s">
        <v>45</v>
      </c>
      <c r="F67" s="143">
        <v>0</v>
      </c>
      <c r="G67" s="187">
        <v>0</v>
      </c>
      <c r="H67" s="61">
        <v>0</v>
      </c>
      <c r="I67" s="47">
        <v>0</v>
      </c>
      <c r="J67" s="175">
        <v>46195</v>
      </c>
      <c r="K67" s="176" t="s">
        <v>1424</v>
      </c>
      <c r="L67" s="177">
        <v>1070</v>
      </c>
      <c r="M67" s="171" t="s">
        <v>45</v>
      </c>
      <c r="N67" s="172">
        <v>0</v>
      </c>
      <c r="O67" s="147">
        <f t="shared" si="14"/>
        <v>0</v>
      </c>
      <c r="P67" s="147">
        <f t="shared" si="17"/>
        <v>0</v>
      </c>
      <c r="Q67" s="47">
        <f t="shared" si="18"/>
        <v>0</v>
      </c>
      <c r="R67" s="188"/>
      <c r="S67" s="189"/>
      <c r="T67" s="189"/>
      <c r="U67" s="190"/>
      <c r="V67" s="190"/>
    </row>
    <row r="68" spans="1:22" s="57" customFormat="1" ht="27.75" customHeight="1">
      <c r="A68" s="22">
        <v>22</v>
      </c>
      <c r="B68" s="170" t="s">
        <v>151</v>
      </c>
      <c r="C68" s="140" t="s">
        <v>102</v>
      </c>
      <c r="D68" s="141">
        <v>160.5</v>
      </c>
      <c r="E68" s="142" t="s">
        <v>45</v>
      </c>
      <c r="F68" s="143">
        <v>0</v>
      </c>
      <c r="G68" s="45">
        <v>0</v>
      </c>
      <c r="H68" s="61">
        <v>0</v>
      </c>
      <c r="I68" s="47">
        <v>0</v>
      </c>
      <c r="J68" s="117">
        <v>46184</v>
      </c>
      <c r="K68" s="118" t="s">
        <v>1425</v>
      </c>
      <c r="L68" s="151">
        <v>160.5</v>
      </c>
      <c r="M68" s="171" t="s">
        <v>45</v>
      </c>
      <c r="N68" s="172">
        <v>0</v>
      </c>
      <c r="O68" s="147">
        <f t="shared" si="14"/>
        <v>0</v>
      </c>
      <c r="P68" s="147">
        <f>ROUND((O68*0.07),2)</f>
        <v>0</v>
      </c>
      <c r="Q68" s="47">
        <f>+O68+P68</f>
        <v>0</v>
      </c>
      <c r="R68" s="146"/>
      <c r="S68" s="148"/>
      <c r="T68" s="148"/>
      <c r="U68" s="149"/>
      <c r="V68" s="149"/>
    </row>
    <row r="69" spans="1:22" s="57" customFormat="1" ht="27.75" customHeight="1">
      <c r="A69" s="22">
        <v>23</v>
      </c>
      <c r="B69" s="170" t="s">
        <v>153</v>
      </c>
      <c r="C69" s="140" t="s">
        <v>102</v>
      </c>
      <c r="D69" s="141">
        <v>160.5</v>
      </c>
      <c r="E69" s="142" t="s">
        <v>1302</v>
      </c>
      <c r="F69" s="143">
        <v>-7</v>
      </c>
      <c r="G69" s="45">
        <v>-1050</v>
      </c>
      <c r="H69" s="61">
        <v>-73.5</v>
      </c>
      <c r="I69" s="47">
        <v>-1123.5</v>
      </c>
      <c r="J69" s="175"/>
      <c r="K69" s="176"/>
      <c r="L69" s="177"/>
      <c r="M69" s="171" t="s">
        <v>1420</v>
      </c>
      <c r="N69" s="172">
        <v>-6</v>
      </c>
      <c r="O69" s="147">
        <f t="shared" si="14"/>
        <v>-900</v>
      </c>
      <c r="P69" s="147">
        <f>ROUND((O69*0.07),2)</f>
        <v>-63</v>
      </c>
      <c r="Q69" s="47">
        <f>+O69+P69</f>
        <v>-963</v>
      </c>
      <c r="R69" s="146"/>
      <c r="S69" s="148"/>
      <c r="T69" s="148"/>
      <c r="U69" s="149"/>
      <c r="V69" s="149"/>
    </row>
    <row r="70" spans="1:22" s="57" customFormat="1" ht="27.75" customHeight="1">
      <c r="A70" s="22">
        <v>24</v>
      </c>
      <c r="B70" s="170" t="s">
        <v>154</v>
      </c>
      <c r="C70" s="140" t="s">
        <v>102</v>
      </c>
      <c r="D70" s="141">
        <v>321</v>
      </c>
      <c r="E70" s="142" t="s">
        <v>45</v>
      </c>
      <c r="F70" s="143">
        <v>0</v>
      </c>
      <c r="G70" s="45">
        <v>0</v>
      </c>
      <c r="H70" s="61">
        <v>0</v>
      </c>
      <c r="I70" s="47">
        <v>0</v>
      </c>
      <c r="J70" s="175">
        <v>46202</v>
      </c>
      <c r="K70" s="176" t="s">
        <v>1426</v>
      </c>
      <c r="L70" s="177">
        <v>321</v>
      </c>
      <c r="M70" s="186" t="s">
        <v>45</v>
      </c>
      <c r="N70" s="44">
        <v>0</v>
      </c>
      <c r="O70" s="147">
        <f t="shared" si="14"/>
        <v>0</v>
      </c>
      <c r="P70" s="147">
        <f>ROUND((O70*0.07),2)</f>
        <v>0</v>
      </c>
      <c r="Q70" s="47">
        <f>+O70+P70</f>
        <v>0</v>
      </c>
      <c r="R70" s="146"/>
      <c r="S70" s="148"/>
      <c r="T70" s="148"/>
      <c r="U70" s="149"/>
      <c r="V70" s="149"/>
    </row>
    <row r="71" spans="1:22" s="57" customFormat="1" ht="27.75" customHeight="1">
      <c r="A71" s="22">
        <v>25</v>
      </c>
      <c r="B71" s="191" t="s">
        <v>156</v>
      </c>
      <c r="C71" s="140" t="s">
        <v>102</v>
      </c>
      <c r="D71" s="192">
        <v>160.5</v>
      </c>
      <c r="E71" s="142" t="s">
        <v>45</v>
      </c>
      <c r="F71" s="143">
        <v>0</v>
      </c>
      <c r="G71" s="187">
        <v>0</v>
      </c>
      <c r="H71" s="61">
        <v>0</v>
      </c>
      <c r="I71" s="47">
        <v>0</v>
      </c>
      <c r="J71" s="175">
        <v>46178</v>
      </c>
      <c r="K71" s="176" t="s">
        <v>1427</v>
      </c>
      <c r="L71" s="177">
        <v>160.5</v>
      </c>
      <c r="M71" s="186" t="s">
        <v>45</v>
      </c>
      <c r="N71" s="44">
        <v>0</v>
      </c>
      <c r="O71" s="147">
        <f t="shared" si="14"/>
        <v>0</v>
      </c>
      <c r="P71" s="147">
        <f t="shared" ref="P71:P76" si="19">ROUND((O71*0.07),2)</f>
        <v>0</v>
      </c>
      <c r="Q71" s="47">
        <f t="shared" ref="Q71:Q76" si="20">+O71+P71</f>
        <v>0</v>
      </c>
      <c r="R71" s="188"/>
      <c r="S71" s="189"/>
      <c r="T71" s="189"/>
      <c r="U71" s="190"/>
      <c r="V71" s="190"/>
    </row>
    <row r="72" spans="1:22" s="57" customFormat="1" ht="27.75" customHeight="1">
      <c r="A72" s="22">
        <v>26</v>
      </c>
      <c r="B72" s="170" t="s">
        <v>158</v>
      </c>
      <c r="C72" s="140" t="s">
        <v>102</v>
      </c>
      <c r="D72" s="141">
        <v>321</v>
      </c>
      <c r="E72" s="142" t="s">
        <v>1310</v>
      </c>
      <c r="F72" s="143">
        <v>-3.1183666666666676</v>
      </c>
      <c r="G72" s="45">
        <v>-935.51000000000022</v>
      </c>
      <c r="H72" s="61">
        <v>-65.489999999999995</v>
      </c>
      <c r="I72" s="47">
        <v>-1001.0000000000002</v>
      </c>
      <c r="J72" s="117"/>
      <c r="K72" s="118"/>
      <c r="L72" s="151"/>
      <c r="M72" s="171" t="s">
        <v>1428</v>
      </c>
      <c r="N72" s="172">
        <v>-2.1183666666666676</v>
      </c>
      <c r="O72" s="147">
        <f t="shared" si="14"/>
        <v>-635.51000000000022</v>
      </c>
      <c r="P72" s="147">
        <f t="shared" si="19"/>
        <v>-44.49</v>
      </c>
      <c r="Q72" s="47">
        <f t="shared" si="20"/>
        <v>-680.00000000000023</v>
      </c>
      <c r="R72" s="146"/>
      <c r="S72" s="148"/>
      <c r="T72" s="148"/>
      <c r="U72" s="149"/>
      <c r="V72" s="149"/>
    </row>
    <row r="73" spans="1:22" s="57" customFormat="1" ht="27.75" customHeight="1">
      <c r="A73" s="22">
        <v>27</v>
      </c>
      <c r="B73" s="191" t="s">
        <v>161</v>
      </c>
      <c r="C73" s="140" t="s">
        <v>102</v>
      </c>
      <c r="D73" s="192">
        <v>321</v>
      </c>
      <c r="E73" s="142" t="s">
        <v>45</v>
      </c>
      <c r="F73" s="143">
        <v>0</v>
      </c>
      <c r="G73" s="187">
        <v>0</v>
      </c>
      <c r="H73" s="61">
        <v>0</v>
      </c>
      <c r="I73" s="47">
        <v>0</v>
      </c>
      <c r="J73" s="117">
        <v>46202</v>
      </c>
      <c r="K73" s="118" t="s">
        <v>1429</v>
      </c>
      <c r="L73" s="151">
        <v>321</v>
      </c>
      <c r="M73" s="171" t="s">
        <v>45</v>
      </c>
      <c r="N73" s="172">
        <v>0</v>
      </c>
      <c r="O73" s="147">
        <f t="shared" si="14"/>
        <v>0</v>
      </c>
      <c r="P73" s="147">
        <f t="shared" si="19"/>
        <v>0</v>
      </c>
      <c r="Q73" s="47">
        <f t="shared" si="20"/>
        <v>0</v>
      </c>
      <c r="R73" s="188"/>
      <c r="S73" s="189"/>
      <c r="T73" s="189"/>
      <c r="U73" s="190"/>
      <c r="V73" s="190"/>
    </row>
    <row r="74" spans="1:22" s="57" customFormat="1" ht="27.75" customHeight="1">
      <c r="A74" s="22">
        <v>28</v>
      </c>
      <c r="B74" s="191" t="s">
        <v>163</v>
      </c>
      <c r="C74" s="140" t="s">
        <v>102</v>
      </c>
      <c r="D74" s="192">
        <v>160.5</v>
      </c>
      <c r="E74" s="142" t="s">
        <v>45</v>
      </c>
      <c r="F74" s="143">
        <v>0</v>
      </c>
      <c r="G74" s="187">
        <v>0</v>
      </c>
      <c r="H74" s="61">
        <v>0</v>
      </c>
      <c r="I74" s="47">
        <v>0</v>
      </c>
      <c r="J74" s="117">
        <v>46202</v>
      </c>
      <c r="K74" s="118" t="s">
        <v>1430</v>
      </c>
      <c r="L74" s="151">
        <v>160.5</v>
      </c>
      <c r="M74" s="171" t="s">
        <v>45</v>
      </c>
      <c r="N74" s="172">
        <v>0</v>
      </c>
      <c r="O74" s="147">
        <f t="shared" si="14"/>
        <v>0</v>
      </c>
      <c r="P74" s="147">
        <f t="shared" si="19"/>
        <v>0</v>
      </c>
      <c r="Q74" s="47">
        <f t="shared" si="20"/>
        <v>0</v>
      </c>
      <c r="R74" s="188"/>
      <c r="S74" s="189"/>
      <c r="T74" s="189"/>
      <c r="U74" s="190"/>
      <c r="V74" s="190"/>
    </row>
    <row r="75" spans="1:22" s="57" customFormat="1" ht="27.75" customHeight="1">
      <c r="A75" s="22">
        <v>29</v>
      </c>
      <c r="B75" s="170" t="s">
        <v>165</v>
      </c>
      <c r="C75" s="140" t="s">
        <v>102</v>
      </c>
      <c r="D75" s="141">
        <v>1070</v>
      </c>
      <c r="E75" s="142" t="s">
        <v>45</v>
      </c>
      <c r="F75" s="143">
        <v>0</v>
      </c>
      <c r="G75" s="45">
        <v>0</v>
      </c>
      <c r="H75" s="61">
        <v>0</v>
      </c>
      <c r="I75" s="47">
        <v>0</v>
      </c>
      <c r="J75" s="175">
        <v>46178</v>
      </c>
      <c r="K75" s="176" t="s">
        <v>1431</v>
      </c>
      <c r="L75" s="177">
        <v>1070</v>
      </c>
      <c r="M75" s="171" t="s">
        <v>45</v>
      </c>
      <c r="N75" s="172">
        <v>0</v>
      </c>
      <c r="O75" s="147">
        <f t="shared" si="14"/>
        <v>0</v>
      </c>
      <c r="P75" s="147">
        <f t="shared" si="19"/>
        <v>0</v>
      </c>
      <c r="Q75" s="47">
        <f t="shared" si="20"/>
        <v>0</v>
      </c>
      <c r="R75" s="146"/>
      <c r="S75" s="148"/>
      <c r="T75" s="148"/>
      <c r="U75" s="149"/>
      <c r="V75" s="149"/>
    </row>
    <row r="76" spans="1:22" s="57" customFormat="1" ht="27.75" customHeight="1">
      <c r="A76" s="22">
        <v>30</v>
      </c>
      <c r="B76" s="191" t="s">
        <v>167</v>
      </c>
      <c r="C76" s="140" t="s">
        <v>102</v>
      </c>
      <c r="D76" s="192">
        <v>535</v>
      </c>
      <c r="E76" s="142" t="s">
        <v>45</v>
      </c>
      <c r="F76" s="143">
        <v>0</v>
      </c>
      <c r="G76" s="187">
        <v>0</v>
      </c>
      <c r="H76" s="61">
        <v>0</v>
      </c>
      <c r="I76" s="47">
        <v>0</v>
      </c>
      <c r="J76" s="117">
        <v>46203</v>
      </c>
      <c r="K76" s="118" t="s">
        <v>1432</v>
      </c>
      <c r="L76" s="151">
        <v>535</v>
      </c>
      <c r="M76" s="171" t="s">
        <v>45</v>
      </c>
      <c r="N76" s="172">
        <v>0</v>
      </c>
      <c r="O76" s="147">
        <f t="shared" si="14"/>
        <v>0</v>
      </c>
      <c r="P76" s="147">
        <f t="shared" si="19"/>
        <v>0</v>
      </c>
      <c r="Q76" s="47">
        <f t="shared" si="20"/>
        <v>0</v>
      </c>
      <c r="R76" s="188"/>
      <c r="S76" s="189"/>
      <c r="T76" s="189"/>
      <c r="U76" s="190"/>
      <c r="V76" s="190"/>
    </row>
    <row r="77" spans="1:22" s="57" customFormat="1" ht="27.75" customHeight="1">
      <c r="A77" s="22">
        <v>31</v>
      </c>
      <c r="B77" s="170" t="s">
        <v>169</v>
      </c>
      <c r="C77" s="140" t="s">
        <v>102</v>
      </c>
      <c r="D77" s="173">
        <v>321</v>
      </c>
      <c r="E77" s="142" t="s">
        <v>45</v>
      </c>
      <c r="F77" s="143">
        <v>0</v>
      </c>
      <c r="G77" s="45">
        <v>0</v>
      </c>
      <c r="H77" s="61">
        <v>0</v>
      </c>
      <c r="I77" s="47">
        <v>0</v>
      </c>
      <c r="J77" s="175">
        <v>46202</v>
      </c>
      <c r="K77" s="176" t="s">
        <v>1433</v>
      </c>
      <c r="L77" s="177">
        <v>321</v>
      </c>
      <c r="M77" s="171" t="s">
        <v>45</v>
      </c>
      <c r="N77" s="172">
        <v>0</v>
      </c>
      <c r="O77" s="147">
        <f t="shared" si="14"/>
        <v>0</v>
      </c>
      <c r="P77" s="147">
        <f>ROUND((O77*0.07),2)</f>
        <v>0</v>
      </c>
      <c r="Q77" s="47">
        <f>+O77+P77</f>
        <v>0</v>
      </c>
      <c r="R77" s="146"/>
      <c r="S77" s="148"/>
      <c r="T77" s="148"/>
      <c r="U77" s="149"/>
      <c r="V77" s="149"/>
    </row>
    <row r="78" spans="1:22" s="57" customFormat="1" ht="27.75" customHeight="1">
      <c r="A78" s="22">
        <v>32</v>
      </c>
      <c r="B78" s="191" t="s">
        <v>171</v>
      </c>
      <c r="C78" s="140" t="s">
        <v>102</v>
      </c>
      <c r="D78" s="173">
        <v>963</v>
      </c>
      <c r="E78" s="142" t="s">
        <v>45</v>
      </c>
      <c r="F78" s="143">
        <v>0</v>
      </c>
      <c r="G78" s="187">
        <v>0</v>
      </c>
      <c r="H78" s="61">
        <v>0</v>
      </c>
      <c r="I78" s="47">
        <v>0</v>
      </c>
      <c r="J78" s="175">
        <v>46202</v>
      </c>
      <c r="K78" s="176" t="s">
        <v>1434</v>
      </c>
      <c r="L78" s="177">
        <v>963</v>
      </c>
      <c r="M78" s="171" t="s">
        <v>45</v>
      </c>
      <c r="N78" s="172">
        <v>0</v>
      </c>
      <c r="O78" s="147">
        <f t="shared" si="14"/>
        <v>0</v>
      </c>
      <c r="P78" s="147">
        <f t="shared" ref="P78:P81" si="21">ROUND((O78*0.07),2)</f>
        <v>0</v>
      </c>
      <c r="Q78" s="47">
        <f t="shared" ref="Q78:Q81" si="22">+O78+P78</f>
        <v>0</v>
      </c>
      <c r="R78" s="188"/>
      <c r="S78" s="189"/>
      <c r="T78" s="189"/>
      <c r="U78" s="190"/>
      <c r="V78" s="190"/>
    </row>
    <row r="79" spans="1:22" s="57" customFormat="1" ht="27.75" customHeight="1">
      <c r="A79" s="22">
        <v>33</v>
      </c>
      <c r="B79" s="191" t="s">
        <v>173</v>
      </c>
      <c r="C79" s="140" t="s">
        <v>102</v>
      </c>
      <c r="D79" s="173">
        <v>321</v>
      </c>
      <c r="E79" s="142" t="s">
        <v>45</v>
      </c>
      <c r="F79" s="143">
        <v>0</v>
      </c>
      <c r="G79" s="187">
        <v>0</v>
      </c>
      <c r="H79" s="61">
        <v>0</v>
      </c>
      <c r="I79" s="47">
        <v>0</v>
      </c>
      <c r="J79" s="175">
        <v>46181</v>
      </c>
      <c r="K79" s="176" t="s">
        <v>1435</v>
      </c>
      <c r="L79" s="177">
        <v>321</v>
      </c>
      <c r="M79" s="171" t="s">
        <v>45</v>
      </c>
      <c r="N79" s="172">
        <v>0</v>
      </c>
      <c r="O79" s="147">
        <f t="shared" si="14"/>
        <v>0</v>
      </c>
      <c r="P79" s="147">
        <f t="shared" si="21"/>
        <v>0</v>
      </c>
      <c r="Q79" s="47">
        <f t="shared" si="22"/>
        <v>0</v>
      </c>
      <c r="R79" s="188"/>
      <c r="S79" s="189"/>
      <c r="T79" s="189"/>
      <c r="U79" s="190"/>
      <c r="V79" s="190"/>
    </row>
    <row r="80" spans="1:22" s="57" customFormat="1" ht="27.75" customHeight="1">
      <c r="A80" s="22">
        <v>34</v>
      </c>
      <c r="B80" s="191" t="s">
        <v>175</v>
      </c>
      <c r="C80" s="140" t="s">
        <v>102</v>
      </c>
      <c r="D80" s="173">
        <v>321</v>
      </c>
      <c r="E80" s="142" t="s">
        <v>26</v>
      </c>
      <c r="F80" s="143">
        <v>0</v>
      </c>
      <c r="G80" s="187">
        <v>0</v>
      </c>
      <c r="H80" s="61">
        <v>0</v>
      </c>
      <c r="I80" s="47">
        <v>0</v>
      </c>
      <c r="J80" s="175">
        <v>46175</v>
      </c>
      <c r="K80" s="176" t="s">
        <v>1436</v>
      </c>
      <c r="L80" s="177">
        <v>321</v>
      </c>
      <c r="M80" s="171" t="s">
        <v>26</v>
      </c>
      <c r="N80" s="172">
        <v>0</v>
      </c>
      <c r="O80" s="147">
        <f t="shared" si="14"/>
        <v>0</v>
      </c>
      <c r="P80" s="147">
        <f t="shared" si="21"/>
        <v>0</v>
      </c>
      <c r="Q80" s="47">
        <f t="shared" si="22"/>
        <v>0</v>
      </c>
      <c r="R80" s="188"/>
      <c r="S80" s="189"/>
      <c r="T80" s="189"/>
      <c r="U80" s="190"/>
      <c r="V80" s="190"/>
    </row>
    <row r="81" spans="1:23" s="57" customFormat="1" ht="27.75" customHeight="1">
      <c r="A81" s="22">
        <v>35</v>
      </c>
      <c r="B81" s="191" t="s">
        <v>177</v>
      </c>
      <c r="C81" s="140" t="s">
        <v>102</v>
      </c>
      <c r="D81" s="192">
        <v>321</v>
      </c>
      <c r="E81" s="142" t="s">
        <v>45</v>
      </c>
      <c r="F81" s="143">
        <v>0</v>
      </c>
      <c r="G81" s="187">
        <v>0</v>
      </c>
      <c r="H81" s="61">
        <v>0</v>
      </c>
      <c r="I81" s="47">
        <v>0</v>
      </c>
      <c r="J81" s="117">
        <v>46202</v>
      </c>
      <c r="K81" s="118" t="s">
        <v>1437</v>
      </c>
      <c r="L81" s="151">
        <v>321</v>
      </c>
      <c r="M81" s="171" t="s">
        <v>45</v>
      </c>
      <c r="N81" s="172">
        <v>0</v>
      </c>
      <c r="O81" s="147">
        <f t="shared" si="14"/>
        <v>0</v>
      </c>
      <c r="P81" s="147">
        <f t="shared" si="21"/>
        <v>0</v>
      </c>
      <c r="Q81" s="47">
        <f t="shared" si="22"/>
        <v>0</v>
      </c>
      <c r="R81" s="188"/>
      <c r="S81" s="189"/>
      <c r="T81" s="189"/>
      <c r="U81" s="190"/>
      <c r="V81" s="190"/>
    </row>
    <row r="82" spans="1:23" ht="27.75" customHeight="1" thickBot="1">
      <c r="A82" s="193"/>
      <c r="B82" s="194" t="s">
        <v>22</v>
      </c>
      <c r="C82" s="195"/>
      <c r="D82" s="196">
        <f>SUM(D47:D81)</f>
        <v>12358.5</v>
      </c>
      <c r="E82" s="196"/>
      <c r="F82" s="197"/>
      <c r="G82" s="198">
        <f>SUM(G59+G47)</f>
        <v>450</v>
      </c>
      <c r="H82" s="198">
        <f t="shared" ref="H82:I82" si="23">SUM(H59+H47)</f>
        <v>31.5</v>
      </c>
      <c r="I82" s="198">
        <f t="shared" si="23"/>
        <v>481.5</v>
      </c>
      <c r="J82" s="199"/>
      <c r="K82" s="199"/>
      <c r="L82" s="196">
        <f>SUM(L47:L81)</f>
        <v>12519</v>
      </c>
      <c r="M82" s="200"/>
      <c r="N82" s="196"/>
      <c r="O82" s="198">
        <f>SUM(O47:O81)-O49-O56-O57-O63-O69-O72</f>
        <v>150</v>
      </c>
      <c r="P82" s="198">
        <f t="shared" ref="P82:Q82" si="24">SUM(P47:P81)-P49-P56-P57-P63-P69-P72</f>
        <v>10.499999999999993</v>
      </c>
      <c r="Q82" s="198">
        <f t="shared" si="24"/>
        <v>160.50000000000023</v>
      </c>
      <c r="R82" s="36"/>
      <c r="S82" s="37"/>
      <c r="T82" s="37"/>
      <c r="U82" s="38"/>
      <c r="V82" s="38"/>
      <c r="W82" s="38"/>
    </row>
    <row r="83" spans="1:23" ht="27.75" customHeight="1" thickTop="1">
      <c r="A83" s="22"/>
      <c r="B83" s="23" t="s">
        <v>179</v>
      </c>
      <c r="C83" s="24"/>
      <c r="D83" s="25"/>
      <c r="E83" s="26"/>
      <c r="F83" s="27"/>
      <c r="G83" s="28"/>
      <c r="H83" s="28"/>
      <c r="I83" s="28"/>
      <c r="J83" s="29"/>
      <c r="K83" s="30"/>
      <c r="L83" s="31"/>
      <c r="M83" s="32"/>
      <c r="N83" s="33"/>
      <c r="O83" s="34"/>
      <c r="P83" s="34"/>
      <c r="Q83" s="35"/>
      <c r="R83" s="36"/>
      <c r="S83" s="37"/>
      <c r="T83" s="37"/>
      <c r="U83" s="38"/>
      <c r="V83" s="38"/>
      <c r="W83" s="38"/>
    </row>
    <row r="84" spans="1:23" ht="27.75" customHeight="1">
      <c r="A84" s="94">
        <v>1</v>
      </c>
      <c r="B84" s="40" t="s">
        <v>180</v>
      </c>
      <c r="C84" s="41" t="s">
        <v>181</v>
      </c>
      <c r="D84" s="562">
        <v>481.5</v>
      </c>
      <c r="E84" s="43" t="s">
        <v>1287</v>
      </c>
      <c r="F84" s="44">
        <v>1</v>
      </c>
      <c r="G84" s="45">
        <v>187.5</v>
      </c>
      <c r="H84" s="61">
        <v>13.13</v>
      </c>
      <c r="I84" s="47">
        <v>200.63</v>
      </c>
      <c r="J84" s="48">
        <v>46181</v>
      </c>
      <c r="K84" s="49" t="s">
        <v>1438</v>
      </c>
      <c r="L84" s="202">
        <v>200.63</v>
      </c>
      <c r="M84" s="83" t="s">
        <v>1329</v>
      </c>
      <c r="N84" s="39">
        <v>1</v>
      </c>
      <c r="O84" s="147">
        <f>+(D84*100/107)+G84-(L84*100/107)</f>
        <v>449.99532710280374</v>
      </c>
      <c r="P84" s="147">
        <f t="shared" ref="P84:P88" si="25">ROUND((O84*0.07),2)</f>
        <v>31.5</v>
      </c>
      <c r="Q84" s="47">
        <f t="shared" ref="Q84:Q88" si="26">+O84+P84</f>
        <v>481.49532710280374</v>
      </c>
      <c r="R84" s="116"/>
      <c r="S84" s="203"/>
      <c r="T84" s="203"/>
      <c r="U84" s="204"/>
      <c r="V84" s="204"/>
    </row>
    <row r="85" spans="1:23" ht="27.75" customHeight="1">
      <c r="A85" s="94">
        <v>2</v>
      </c>
      <c r="B85" s="40" t="s">
        <v>184</v>
      </c>
      <c r="C85" s="41" t="s">
        <v>181</v>
      </c>
      <c r="D85" s="562">
        <v>3370.5</v>
      </c>
      <c r="E85" s="43" t="s">
        <v>45</v>
      </c>
      <c r="F85" s="44">
        <v>0</v>
      </c>
      <c r="G85" s="45">
        <v>0</v>
      </c>
      <c r="H85" s="61">
        <v>0</v>
      </c>
      <c r="I85" s="47">
        <v>0</v>
      </c>
      <c r="J85" s="48">
        <v>46181</v>
      </c>
      <c r="K85" s="49" t="s">
        <v>1439</v>
      </c>
      <c r="L85" s="202">
        <v>3370.5</v>
      </c>
      <c r="M85" s="94" t="s">
        <v>45</v>
      </c>
      <c r="N85" s="116">
        <v>0</v>
      </c>
      <c r="O85" s="147">
        <f>+(D85*100/107)+G85-(L85*100/107)</f>
        <v>0</v>
      </c>
      <c r="P85" s="147">
        <f t="shared" si="25"/>
        <v>0</v>
      </c>
      <c r="Q85" s="47">
        <f t="shared" si="26"/>
        <v>0</v>
      </c>
      <c r="R85" s="116"/>
      <c r="S85" s="203"/>
      <c r="T85" s="203"/>
      <c r="U85" s="204"/>
      <c r="V85" s="204"/>
    </row>
    <row r="86" spans="1:23" ht="27.75" customHeight="1">
      <c r="A86" s="94">
        <v>3</v>
      </c>
      <c r="B86" s="205" t="s">
        <v>186</v>
      </c>
      <c r="C86" s="206" t="s">
        <v>181</v>
      </c>
      <c r="D86" s="563">
        <v>3370.5</v>
      </c>
      <c r="E86" s="64" t="s">
        <v>45</v>
      </c>
      <c r="F86" s="44">
        <v>0</v>
      </c>
      <c r="G86" s="45">
        <v>0</v>
      </c>
      <c r="H86" s="61">
        <v>0</v>
      </c>
      <c r="I86" s="47">
        <v>0</v>
      </c>
      <c r="J86" s="48">
        <v>46203</v>
      </c>
      <c r="K86" s="49" t="s">
        <v>1440</v>
      </c>
      <c r="L86" s="202">
        <v>3370.5</v>
      </c>
      <c r="M86" s="186" t="s">
        <v>45</v>
      </c>
      <c r="N86" s="116">
        <v>0</v>
      </c>
      <c r="O86" s="147">
        <f>+(D86*100/107)+G86-(L86*100/107)</f>
        <v>0</v>
      </c>
      <c r="P86" s="147">
        <f t="shared" si="25"/>
        <v>0</v>
      </c>
      <c r="Q86" s="47">
        <f t="shared" si="26"/>
        <v>0</v>
      </c>
      <c r="R86" s="116"/>
      <c r="S86" s="203"/>
      <c r="T86" s="203"/>
      <c r="U86" s="204"/>
      <c r="V86" s="204"/>
    </row>
    <row r="87" spans="1:23" ht="27.75" customHeight="1">
      <c r="A87" s="186">
        <v>4</v>
      </c>
      <c r="B87" s="205" t="s">
        <v>188</v>
      </c>
      <c r="C87" s="206" t="s">
        <v>181</v>
      </c>
      <c r="D87" s="563">
        <v>2140</v>
      </c>
      <c r="E87" s="64" t="s">
        <v>26</v>
      </c>
      <c r="F87" s="44">
        <v>0</v>
      </c>
      <c r="G87" s="45">
        <v>0</v>
      </c>
      <c r="H87" s="45">
        <v>0</v>
      </c>
      <c r="I87" s="66">
        <v>0</v>
      </c>
      <c r="J87" s="48">
        <v>46175</v>
      </c>
      <c r="K87" s="49" t="s">
        <v>1441</v>
      </c>
      <c r="L87" s="202">
        <v>2140</v>
      </c>
      <c r="M87" s="186" t="s">
        <v>26</v>
      </c>
      <c r="N87" s="116">
        <v>0</v>
      </c>
      <c r="O87" s="147">
        <f>+(D87*100/107)+G87-(L87*100/107)</f>
        <v>0</v>
      </c>
      <c r="P87" s="147">
        <f t="shared" si="25"/>
        <v>0</v>
      </c>
      <c r="Q87" s="47">
        <f t="shared" si="26"/>
        <v>0</v>
      </c>
      <c r="R87" s="116"/>
      <c r="S87" s="203"/>
      <c r="T87" s="203"/>
      <c r="U87" s="204"/>
      <c r="V87" s="204"/>
    </row>
    <row r="88" spans="1:23" s="220" customFormat="1" ht="27.75" customHeight="1">
      <c r="A88" s="186">
        <v>5</v>
      </c>
      <c r="B88" s="208" t="s">
        <v>71</v>
      </c>
      <c r="C88" s="209" t="s">
        <v>181</v>
      </c>
      <c r="D88" s="564">
        <v>2675</v>
      </c>
      <c r="E88" s="211" t="s">
        <v>1285</v>
      </c>
      <c r="F88" s="212">
        <v>-0.5</v>
      </c>
      <c r="G88" s="213">
        <v>-1250</v>
      </c>
      <c r="H88" s="213">
        <v>-87.5</v>
      </c>
      <c r="I88" s="214">
        <v>-1337.5</v>
      </c>
      <c r="J88" s="62">
        <v>46196</v>
      </c>
      <c r="K88" s="215" t="s">
        <v>1442</v>
      </c>
      <c r="L88" s="202">
        <v>2675</v>
      </c>
      <c r="M88" s="216" t="s">
        <v>1443</v>
      </c>
      <c r="N88" s="217">
        <v>-0.5</v>
      </c>
      <c r="O88" s="147">
        <f>+(D88*100/107)+G88-(L88*100/107)</f>
        <v>-1250</v>
      </c>
      <c r="P88" s="147">
        <f t="shared" si="25"/>
        <v>-87.5</v>
      </c>
      <c r="Q88" s="47">
        <f t="shared" si="26"/>
        <v>-1337.5</v>
      </c>
      <c r="R88" s="217"/>
      <c r="S88" s="218"/>
      <c r="T88" s="218"/>
      <c r="U88" s="219"/>
      <c r="V88" s="219"/>
    </row>
    <row r="89" spans="1:23" ht="27.75" customHeight="1" thickBot="1">
      <c r="A89" s="193"/>
      <c r="B89" s="194" t="s">
        <v>22</v>
      </c>
      <c r="C89" s="195"/>
      <c r="D89" s="196">
        <f>SUM(D84:D88)</f>
        <v>12037.5</v>
      </c>
      <c r="E89" s="221"/>
      <c r="F89" s="197"/>
      <c r="G89" s="198">
        <f>SUM(G84:G88)-G88</f>
        <v>187.5</v>
      </c>
      <c r="H89" s="198">
        <f t="shared" ref="H89:I89" si="27">SUM(H84:H88)-H88</f>
        <v>13.129999999999995</v>
      </c>
      <c r="I89" s="198">
        <f t="shared" si="27"/>
        <v>200.63000000000011</v>
      </c>
      <c r="J89" s="199"/>
      <c r="K89" s="199"/>
      <c r="L89" s="196">
        <f>SUM(L84:L88)</f>
        <v>11756.630000000001</v>
      </c>
      <c r="M89" s="200"/>
      <c r="N89" s="196"/>
      <c r="O89" s="198">
        <f>SUM(O84:O87)</f>
        <v>449.99532710280374</v>
      </c>
      <c r="P89" s="198">
        <f>SUM(P84:P87)</f>
        <v>31.5</v>
      </c>
      <c r="Q89" s="198">
        <f t="shared" ref="Q89" si="28">ROUND(SUM(Q84:Q88),2)-Q88</f>
        <v>481.5</v>
      </c>
      <c r="R89" s="36"/>
      <c r="S89" s="37"/>
      <c r="T89" s="37"/>
      <c r="U89" s="38"/>
      <c r="V89" s="38"/>
      <c r="W89" s="38"/>
    </row>
    <row r="90" spans="1:23" ht="27.75" customHeight="1" thickTop="1">
      <c r="A90" s="22"/>
      <c r="B90" s="23" t="s">
        <v>191</v>
      </c>
      <c r="C90" s="24"/>
      <c r="D90" s="25"/>
      <c r="E90" s="26"/>
      <c r="F90" s="27"/>
      <c r="G90" s="28"/>
      <c r="H90" s="28"/>
      <c r="I90" s="28"/>
      <c r="J90" s="29"/>
      <c r="K90" s="30"/>
      <c r="L90" s="31"/>
      <c r="M90" s="32"/>
      <c r="N90" s="33"/>
      <c r="O90" s="34"/>
      <c r="P90" s="34"/>
      <c r="Q90" s="35"/>
      <c r="R90" s="36"/>
      <c r="S90" s="37"/>
      <c r="T90" s="37"/>
      <c r="U90" s="38"/>
      <c r="V90" s="38"/>
      <c r="W90" s="38"/>
    </row>
    <row r="91" spans="1:23" ht="27.75" customHeight="1">
      <c r="A91" s="94">
        <v>1</v>
      </c>
      <c r="B91" s="40" t="s">
        <v>192</v>
      </c>
      <c r="C91" s="41" t="s">
        <v>193</v>
      </c>
      <c r="D91" s="141">
        <v>2140</v>
      </c>
      <c r="E91" s="43"/>
      <c r="F91" s="44"/>
      <c r="G91" s="45">
        <v>0</v>
      </c>
      <c r="H91" s="61">
        <v>0</v>
      </c>
      <c r="I91" s="47">
        <v>0</v>
      </c>
      <c r="J91" s="175">
        <v>46178</v>
      </c>
      <c r="K91" s="176" t="s">
        <v>1444</v>
      </c>
      <c r="L91" s="222">
        <v>2140</v>
      </c>
      <c r="M91" s="94" t="s">
        <v>45</v>
      </c>
      <c r="N91" s="116">
        <v>0</v>
      </c>
      <c r="O91" s="147">
        <v>0</v>
      </c>
      <c r="P91" s="147">
        <v>0</v>
      </c>
      <c r="Q91" s="47">
        <v>0</v>
      </c>
      <c r="R91" s="39" t="s">
        <v>195</v>
      </c>
      <c r="S91" s="55">
        <v>42491</v>
      </c>
      <c r="T91" s="55">
        <v>43585</v>
      </c>
      <c r="U91" s="56">
        <v>262800</v>
      </c>
      <c r="V91" s="56"/>
    </row>
    <row r="92" spans="1:23" ht="27.75" customHeight="1" thickBot="1">
      <c r="A92" s="193"/>
      <c r="B92" s="194" t="s">
        <v>22</v>
      </c>
      <c r="C92" s="195"/>
      <c r="D92" s="196">
        <v>2140</v>
      </c>
      <c r="E92" s="221"/>
      <c r="F92" s="197"/>
      <c r="G92" s="198">
        <v>0</v>
      </c>
      <c r="H92" s="198">
        <v>0</v>
      </c>
      <c r="I92" s="198">
        <v>0</v>
      </c>
      <c r="J92" s="199"/>
      <c r="K92" s="199"/>
      <c r="L92" s="196">
        <f>SUM(L91)</f>
        <v>2140</v>
      </c>
      <c r="M92" s="200"/>
      <c r="N92" s="196"/>
      <c r="O92" s="198">
        <v>0</v>
      </c>
      <c r="P92" s="198">
        <v>0</v>
      </c>
      <c r="Q92" s="198">
        <v>0</v>
      </c>
      <c r="R92" s="36"/>
      <c r="S92" s="37"/>
      <c r="T92" s="37"/>
      <c r="U92" s="38"/>
      <c r="V92" s="38"/>
      <c r="W92" s="38"/>
    </row>
    <row r="93" spans="1:23" ht="27.75" customHeight="1" thickTop="1">
      <c r="A93" s="22"/>
      <c r="B93" s="23" t="s">
        <v>196</v>
      </c>
      <c r="C93" s="24"/>
      <c r="D93" s="25"/>
      <c r="E93" s="26"/>
      <c r="F93" s="27"/>
      <c r="G93" s="28"/>
      <c r="H93" s="28"/>
      <c r="I93" s="28"/>
      <c r="J93" s="29"/>
      <c r="K93" s="30"/>
      <c r="L93" s="31"/>
      <c r="M93" s="32"/>
      <c r="N93" s="33"/>
      <c r="O93" s="34"/>
      <c r="P93" s="34"/>
      <c r="Q93" s="35"/>
      <c r="R93" s="36"/>
      <c r="S93" s="37"/>
      <c r="T93" s="37"/>
      <c r="U93" s="38"/>
      <c r="V93" s="38"/>
      <c r="W93" s="38"/>
    </row>
    <row r="94" spans="1:23" s="226" customFormat="1" ht="27.75" customHeight="1">
      <c r="A94" s="94"/>
      <c r="B94" s="223" t="s">
        <v>197</v>
      </c>
      <c r="C94" s="224"/>
      <c r="D94" s="225"/>
      <c r="E94" s="80"/>
      <c r="F94" s="44"/>
      <c r="G94" s="61"/>
      <c r="H94" s="61"/>
      <c r="I94" s="85"/>
      <c r="J94" s="178"/>
      <c r="K94" s="176"/>
      <c r="L94" s="222"/>
      <c r="M94" s="83"/>
      <c r="N94" s="116"/>
      <c r="O94" s="147"/>
      <c r="P94" s="147"/>
      <c r="Q94" s="47"/>
      <c r="R94" s="39"/>
      <c r="S94" s="55"/>
      <c r="T94" s="55"/>
      <c r="U94" s="56"/>
      <c r="V94" s="56"/>
    </row>
    <row r="95" spans="1:23" s="226" customFormat="1" ht="27.75" customHeight="1">
      <c r="A95" s="94">
        <v>1</v>
      </c>
      <c r="B95" s="181" t="s">
        <v>198</v>
      </c>
      <c r="C95" s="224" t="s">
        <v>199</v>
      </c>
      <c r="D95" s="225">
        <v>26750</v>
      </c>
      <c r="E95" s="80" t="s">
        <v>26</v>
      </c>
      <c r="F95" s="44">
        <v>0</v>
      </c>
      <c r="G95" s="61">
        <v>0</v>
      </c>
      <c r="H95" s="61">
        <v>0</v>
      </c>
      <c r="I95" s="85">
        <v>0</v>
      </c>
      <c r="J95" s="113">
        <v>46183</v>
      </c>
      <c r="K95" s="114" t="s">
        <v>1446</v>
      </c>
      <c r="L95" s="144">
        <v>26750</v>
      </c>
      <c r="M95" s="83" t="s">
        <v>26</v>
      </c>
      <c r="N95" s="116">
        <v>0</v>
      </c>
      <c r="O95" s="147">
        <f t="shared" ref="O95:O107" si="29">+(D95*100/107)+G95-(L95*100/107)</f>
        <v>0</v>
      </c>
      <c r="P95" s="147">
        <f t="shared" ref="P95:P107" si="30">ROUND((O95*0.07),2)</f>
        <v>0</v>
      </c>
      <c r="Q95" s="47">
        <f t="shared" ref="Q95:Q107" si="31">+O95+P95</f>
        <v>0</v>
      </c>
      <c r="R95" s="39"/>
      <c r="S95" s="55"/>
      <c r="T95" s="55"/>
      <c r="U95" s="56"/>
      <c r="V95" s="56"/>
    </row>
    <row r="96" spans="1:23" s="226" customFormat="1" ht="27.75" customHeight="1">
      <c r="A96" s="94">
        <v>2</v>
      </c>
      <c r="B96" s="181" t="s">
        <v>201</v>
      </c>
      <c r="C96" s="224" t="s">
        <v>202</v>
      </c>
      <c r="D96" s="225">
        <v>0</v>
      </c>
      <c r="E96" s="80" t="s">
        <v>26</v>
      </c>
      <c r="F96" s="44">
        <v>0</v>
      </c>
      <c r="G96" s="61">
        <v>0</v>
      </c>
      <c r="H96" s="61">
        <v>0</v>
      </c>
      <c r="I96" s="85">
        <v>0</v>
      </c>
      <c r="J96" s="113"/>
      <c r="K96" s="114"/>
      <c r="L96" s="144"/>
      <c r="M96" s="83" t="s">
        <v>26</v>
      </c>
      <c r="N96" s="116">
        <v>0</v>
      </c>
      <c r="O96" s="147">
        <f t="shared" si="29"/>
        <v>0</v>
      </c>
      <c r="P96" s="147">
        <f t="shared" si="30"/>
        <v>0</v>
      </c>
      <c r="Q96" s="47">
        <f t="shared" si="31"/>
        <v>0</v>
      </c>
      <c r="R96" s="39"/>
      <c r="S96" s="55"/>
      <c r="T96" s="55"/>
      <c r="U96" s="56"/>
      <c r="V96" s="226" t="s">
        <v>203</v>
      </c>
    </row>
    <row r="97" spans="1:25" s="226" customFormat="1" ht="27.75" customHeight="1">
      <c r="A97" s="94">
        <v>3</v>
      </c>
      <c r="B97" s="181" t="s">
        <v>204</v>
      </c>
      <c r="C97" s="224" t="s">
        <v>205</v>
      </c>
      <c r="D97" s="225">
        <v>22470</v>
      </c>
      <c r="E97" s="80" t="s">
        <v>45</v>
      </c>
      <c r="F97" s="44">
        <v>0</v>
      </c>
      <c r="G97" s="61">
        <v>0</v>
      </c>
      <c r="H97" s="61">
        <v>0</v>
      </c>
      <c r="I97" s="85">
        <v>0</v>
      </c>
      <c r="J97" s="113">
        <v>46195</v>
      </c>
      <c r="K97" s="114" t="s">
        <v>1447</v>
      </c>
      <c r="L97" s="144">
        <v>22470</v>
      </c>
      <c r="M97" s="83" t="s">
        <v>45</v>
      </c>
      <c r="N97" s="116">
        <v>0</v>
      </c>
      <c r="O97" s="147">
        <f t="shared" si="29"/>
        <v>0</v>
      </c>
      <c r="P97" s="147">
        <f t="shared" si="30"/>
        <v>0</v>
      </c>
      <c r="Q97" s="47">
        <f t="shared" si="31"/>
        <v>0</v>
      </c>
      <c r="R97" s="39"/>
      <c r="S97" s="55"/>
      <c r="T97" s="55"/>
      <c r="U97" s="56"/>
      <c r="V97" s="56"/>
    </row>
    <row r="98" spans="1:25" s="226" customFormat="1" ht="27.75" customHeight="1">
      <c r="A98" s="94">
        <v>4</v>
      </c>
      <c r="B98" s="181" t="s">
        <v>201</v>
      </c>
      <c r="C98" s="224" t="s">
        <v>207</v>
      </c>
      <c r="D98" s="225">
        <v>0</v>
      </c>
      <c r="E98" s="80" t="s">
        <v>45</v>
      </c>
      <c r="F98" s="44">
        <v>0</v>
      </c>
      <c r="G98" s="61">
        <v>0</v>
      </c>
      <c r="H98" s="61">
        <v>0</v>
      </c>
      <c r="I98" s="85">
        <v>0</v>
      </c>
      <c r="J98" s="113"/>
      <c r="K98" s="114"/>
      <c r="L98" s="144"/>
      <c r="M98" s="83" t="s">
        <v>45</v>
      </c>
      <c r="N98" s="116">
        <v>0</v>
      </c>
      <c r="O98" s="147">
        <f t="shared" si="29"/>
        <v>0</v>
      </c>
      <c r="P98" s="147">
        <f t="shared" si="30"/>
        <v>0</v>
      </c>
      <c r="Q98" s="47">
        <f t="shared" si="31"/>
        <v>0</v>
      </c>
      <c r="R98" s="39"/>
      <c r="S98" s="55"/>
      <c r="T98" s="55"/>
      <c r="U98" s="56"/>
      <c r="V98" s="56"/>
      <c r="Y98" s="226" t="s">
        <v>1445</v>
      </c>
    </row>
    <row r="99" spans="1:25" s="226" customFormat="1" ht="27.75" customHeight="1">
      <c r="A99" s="94">
        <v>5</v>
      </c>
      <c r="B99" s="181" t="s">
        <v>201</v>
      </c>
      <c r="C99" s="224" t="s">
        <v>208</v>
      </c>
      <c r="D99" s="225">
        <v>0</v>
      </c>
      <c r="E99" s="80" t="s">
        <v>26</v>
      </c>
      <c r="F99" s="44">
        <v>0</v>
      </c>
      <c r="G99" s="61">
        <v>0</v>
      </c>
      <c r="H99" s="61">
        <v>0</v>
      </c>
      <c r="I99" s="85">
        <v>0</v>
      </c>
      <c r="J99" s="113"/>
      <c r="K99" s="114"/>
      <c r="L99" s="144"/>
      <c r="M99" s="83" t="s">
        <v>26</v>
      </c>
      <c r="N99" s="116">
        <v>0</v>
      </c>
      <c r="O99" s="147">
        <f t="shared" si="29"/>
        <v>0</v>
      </c>
      <c r="P99" s="147">
        <f t="shared" si="30"/>
        <v>0</v>
      </c>
      <c r="Q99" s="47">
        <f t="shared" si="31"/>
        <v>0</v>
      </c>
      <c r="R99" s="39"/>
      <c r="S99" s="55"/>
      <c r="T99" s="55"/>
      <c r="U99" s="56"/>
      <c r="V99" s="56"/>
    </row>
    <row r="100" spans="1:25" s="226" customFormat="1" ht="27.75" customHeight="1">
      <c r="A100" s="94">
        <v>6</v>
      </c>
      <c r="B100" s="181" t="s">
        <v>201</v>
      </c>
      <c r="C100" s="224" t="s">
        <v>209</v>
      </c>
      <c r="D100" s="225">
        <v>0</v>
      </c>
      <c r="E100" s="80" t="s">
        <v>26</v>
      </c>
      <c r="F100" s="44">
        <v>0</v>
      </c>
      <c r="G100" s="61">
        <v>0</v>
      </c>
      <c r="H100" s="61">
        <v>0</v>
      </c>
      <c r="I100" s="85">
        <v>0</v>
      </c>
      <c r="J100" s="113"/>
      <c r="K100" s="114"/>
      <c r="L100" s="144"/>
      <c r="M100" s="83" t="s">
        <v>26</v>
      </c>
      <c r="N100" s="116">
        <v>0</v>
      </c>
      <c r="O100" s="147">
        <f t="shared" si="29"/>
        <v>0</v>
      </c>
      <c r="P100" s="147">
        <f t="shared" si="30"/>
        <v>0</v>
      </c>
      <c r="Q100" s="47">
        <f t="shared" si="31"/>
        <v>0</v>
      </c>
      <c r="R100" s="39"/>
      <c r="S100" s="55"/>
      <c r="T100" s="55"/>
      <c r="U100" s="56"/>
      <c r="V100" s="56"/>
    </row>
    <row r="101" spans="1:25" s="226" customFormat="1" ht="27.75" customHeight="1">
      <c r="A101" s="94">
        <v>7</v>
      </c>
      <c r="B101" s="181" t="s">
        <v>210</v>
      </c>
      <c r="C101" s="224" t="s">
        <v>211</v>
      </c>
      <c r="D101" s="225">
        <v>22470</v>
      </c>
      <c r="E101" s="80" t="s">
        <v>1329</v>
      </c>
      <c r="F101" s="44">
        <v>-0.934579439252336</v>
      </c>
      <c r="G101" s="61">
        <v>-21000</v>
      </c>
      <c r="H101" s="61">
        <v>-1470</v>
      </c>
      <c r="I101" s="85">
        <v>-22470</v>
      </c>
      <c r="J101" s="113"/>
      <c r="K101" s="114"/>
      <c r="L101" s="144">
        <v>0</v>
      </c>
      <c r="M101" s="87" t="s">
        <v>45</v>
      </c>
      <c r="N101" s="116">
        <v>0</v>
      </c>
      <c r="O101" s="147">
        <f t="shared" si="29"/>
        <v>0</v>
      </c>
      <c r="P101" s="147">
        <f t="shared" si="30"/>
        <v>0</v>
      </c>
      <c r="Q101" s="47">
        <f t="shared" si="31"/>
        <v>0</v>
      </c>
      <c r="R101" s="39"/>
      <c r="S101" s="55"/>
      <c r="T101" s="55"/>
      <c r="U101" s="56"/>
      <c r="V101" s="56"/>
    </row>
    <row r="102" spans="1:25" s="226" customFormat="1" ht="27.75" customHeight="1">
      <c r="A102" s="94">
        <v>8</v>
      </c>
      <c r="B102" s="181" t="s">
        <v>201</v>
      </c>
      <c r="C102" s="224" t="s">
        <v>213</v>
      </c>
      <c r="D102" s="225">
        <v>0</v>
      </c>
      <c r="E102" s="80" t="s">
        <v>26</v>
      </c>
      <c r="F102" s="44">
        <v>0</v>
      </c>
      <c r="G102" s="61">
        <v>0</v>
      </c>
      <c r="H102" s="61">
        <v>0</v>
      </c>
      <c r="I102" s="85">
        <v>0</v>
      </c>
      <c r="J102" s="113"/>
      <c r="K102" s="114"/>
      <c r="L102" s="144"/>
      <c r="M102" s="83" t="s">
        <v>26</v>
      </c>
      <c r="N102" s="116">
        <v>0</v>
      </c>
      <c r="O102" s="147">
        <f t="shared" si="29"/>
        <v>0</v>
      </c>
      <c r="P102" s="147">
        <f t="shared" si="30"/>
        <v>0</v>
      </c>
      <c r="Q102" s="47">
        <f t="shared" si="31"/>
        <v>0</v>
      </c>
      <c r="R102" s="39"/>
      <c r="S102" s="55"/>
      <c r="T102" s="55"/>
      <c r="U102" s="56"/>
      <c r="V102" s="56"/>
    </row>
    <row r="103" spans="1:25" s="226" customFormat="1" ht="27.75" customHeight="1">
      <c r="A103" s="94">
        <v>9</v>
      </c>
      <c r="B103" s="181" t="s">
        <v>214</v>
      </c>
      <c r="C103" s="224" t="s">
        <v>215</v>
      </c>
      <c r="D103" s="225">
        <v>22470</v>
      </c>
      <c r="E103" s="80" t="s">
        <v>26</v>
      </c>
      <c r="F103" s="44">
        <v>0</v>
      </c>
      <c r="G103" s="61">
        <v>0</v>
      </c>
      <c r="H103" s="61">
        <v>0</v>
      </c>
      <c r="I103" s="85">
        <v>0</v>
      </c>
      <c r="J103" s="113">
        <v>46175</v>
      </c>
      <c r="K103" s="114" t="s">
        <v>1448</v>
      </c>
      <c r="L103" s="144">
        <v>22470</v>
      </c>
      <c r="M103" s="83" t="s">
        <v>26</v>
      </c>
      <c r="N103" s="116">
        <v>0</v>
      </c>
      <c r="O103" s="147">
        <f t="shared" si="29"/>
        <v>0</v>
      </c>
      <c r="P103" s="147">
        <f t="shared" si="30"/>
        <v>0</v>
      </c>
      <c r="Q103" s="47">
        <f t="shared" si="31"/>
        <v>0</v>
      </c>
      <c r="R103" s="39"/>
      <c r="S103" s="55"/>
      <c r="T103" s="55"/>
      <c r="U103" s="56"/>
      <c r="V103" s="56"/>
    </row>
    <row r="104" spans="1:25" s="226" customFormat="1" ht="27.75" customHeight="1">
      <c r="A104" s="94">
        <v>10</v>
      </c>
      <c r="B104" s="181" t="s">
        <v>217</v>
      </c>
      <c r="C104" s="224" t="s">
        <v>218</v>
      </c>
      <c r="D104" s="225">
        <v>0</v>
      </c>
      <c r="E104" s="80" t="s">
        <v>26</v>
      </c>
      <c r="F104" s="44">
        <v>0</v>
      </c>
      <c r="G104" s="61">
        <v>0</v>
      </c>
      <c r="H104" s="61">
        <v>0</v>
      </c>
      <c r="I104" s="85">
        <v>0</v>
      </c>
      <c r="J104" s="113"/>
      <c r="K104" s="114"/>
      <c r="L104" s="144">
        <v>0</v>
      </c>
      <c r="M104" s="83" t="s">
        <v>26</v>
      </c>
      <c r="N104" s="116">
        <v>0</v>
      </c>
      <c r="O104" s="147">
        <f t="shared" si="29"/>
        <v>0</v>
      </c>
      <c r="P104" s="147">
        <f t="shared" si="30"/>
        <v>0</v>
      </c>
      <c r="Q104" s="47">
        <f t="shared" si="31"/>
        <v>0</v>
      </c>
      <c r="R104" s="39"/>
      <c r="S104" s="55"/>
      <c r="T104" s="55"/>
      <c r="U104" s="56"/>
      <c r="V104" s="56"/>
      <c r="Y104" s="593" t="s">
        <v>1223</v>
      </c>
    </row>
    <row r="105" spans="1:25" s="226" customFormat="1" ht="27.75" customHeight="1">
      <c r="A105" s="94">
        <v>11</v>
      </c>
      <c r="B105" s="181" t="s">
        <v>217</v>
      </c>
      <c r="C105" s="224" t="s">
        <v>220</v>
      </c>
      <c r="D105" s="225">
        <v>22470</v>
      </c>
      <c r="E105" s="80" t="s">
        <v>26</v>
      </c>
      <c r="F105" s="44">
        <v>0</v>
      </c>
      <c r="G105" s="61">
        <v>0</v>
      </c>
      <c r="H105" s="61">
        <v>0</v>
      </c>
      <c r="I105" s="85">
        <v>0</v>
      </c>
      <c r="J105" s="113">
        <v>46190</v>
      </c>
      <c r="K105" s="114" t="s">
        <v>1449</v>
      </c>
      <c r="L105" s="144">
        <v>22470</v>
      </c>
      <c r="M105" s="83" t="s">
        <v>26</v>
      </c>
      <c r="N105" s="116">
        <v>0</v>
      </c>
      <c r="O105" s="147">
        <f t="shared" si="29"/>
        <v>0</v>
      </c>
      <c r="P105" s="147">
        <f t="shared" si="30"/>
        <v>0</v>
      </c>
      <c r="Q105" s="47">
        <f t="shared" si="31"/>
        <v>0</v>
      </c>
      <c r="R105" s="39"/>
      <c r="S105" s="55"/>
      <c r="T105" s="55"/>
      <c r="U105" s="56"/>
      <c r="V105" s="56"/>
    </row>
    <row r="106" spans="1:25" s="226" customFormat="1" ht="27.75" customHeight="1">
      <c r="A106" s="94">
        <v>12</v>
      </c>
      <c r="B106" s="181" t="s">
        <v>217</v>
      </c>
      <c r="C106" s="224" t="s">
        <v>221</v>
      </c>
      <c r="D106" s="225">
        <v>22470</v>
      </c>
      <c r="E106" s="80" t="s">
        <v>26</v>
      </c>
      <c r="F106" s="44">
        <v>0</v>
      </c>
      <c r="G106" s="61">
        <v>0</v>
      </c>
      <c r="H106" s="61">
        <v>0</v>
      </c>
      <c r="I106" s="85">
        <v>0</v>
      </c>
      <c r="J106" s="113">
        <v>46190</v>
      </c>
      <c r="K106" s="114" t="s">
        <v>1449</v>
      </c>
      <c r="L106" s="144">
        <v>22470</v>
      </c>
      <c r="M106" s="83" t="s">
        <v>26</v>
      </c>
      <c r="N106" s="116">
        <v>0</v>
      </c>
      <c r="O106" s="147">
        <f t="shared" si="29"/>
        <v>0</v>
      </c>
      <c r="P106" s="147">
        <f t="shared" si="30"/>
        <v>0</v>
      </c>
      <c r="Q106" s="47">
        <f t="shared" si="31"/>
        <v>0</v>
      </c>
      <c r="R106" s="39"/>
      <c r="S106" s="55"/>
      <c r="T106" s="55"/>
      <c r="U106" s="56"/>
      <c r="V106" s="56"/>
    </row>
    <row r="107" spans="1:25" s="226" customFormat="1" ht="27.75" customHeight="1">
      <c r="A107" s="186">
        <v>13</v>
      </c>
      <c r="B107" s="181" t="s">
        <v>222</v>
      </c>
      <c r="C107" s="227" t="s">
        <v>223</v>
      </c>
      <c r="D107" s="228">
        <v>32100</v>
      </c>
      <c r="E107" s="123" t="s">
        <v>26</v>
      </c>
      <c r="F107" s="44">
        <v>0</v>
      </c>
      <c r="G107" s="45">
        <v>0</v>
      </c>
      <c r="H107" s="45">
        <v>0</v>
      </c>
      <c r="I107" s="229">
        <v>0</v>
      </c>
      <c r="J107" s="230">
        <v>46175</v>
      </c>
      <c r="K107" s="184" t="s">
        <v>1450</v>
      </c>
      <c r="L107" s="231">
        <v>32100</v>
      </c>
      <c r="M107" s="232" t="s">
        <v>26</v>
      </c>
      <c r="N107" s="116">
        <v>0</v>
      </c>
      <c r="O107" s="233">
        <f t="shared" si="29"/>
        <v>0</v>
      </c>
      <c r="P107" s="233">
        <f t="shared" si="30"/>
        <v>0</v>
      </c>
      <c r="Q107" s="66">
        <f t="shared" si="31"/>
        <v>0</v>
      </c>
      <c r="R107" s="39"/>
      <c r="S107" s="55"/>
      <c r="T107" s="55"/>
      <c r="U107" s="56"/>
      <c r="V107" s="56" t="s">
        <v>225</v>
      </c>
    </row>
    <row r="108" spans="1:25" s="226" customFormat="1" ht="27.75" customHeight="1" thickBot="1">
      <c r="A108" s="234"/>
      <c r="B108" s="194" t="s">
        <v>22</v>
      </c>
      <c r="C108" s="235"/>
      <c r="D108" s="236">
        <f>SUM(D95:D107)</f>
        <v>171200</v>
      </c>
      <c r="E108" s="237"/>
      <c r="F108" s="238"/>
      <c r="G108" s="239"/>
      <c r="H108" s="239"/>
      <c r="I108" s="240"/>
      <c r="J108" s="241"/>
      <c r="K108" s="234"/>
      <c r="L108" s="236">
        <f>SUM(L95:L107)</f>
        <v>148730</v>
      </c>
      <c r="M108" s="234"/>
      <c r="N108" s="242"/>
      <c r="O108" s="243"/>
      <c r="P108" s="243"/>
      <c r="Q108" s="240"/>
      <c r="R108" s="39"/>
      <c r="S108" s="55"/>
      <c r="T108" s="55"/>
      <c r="U108" s="56"/>
      <c r="V108" s="56"/>
    </row>
    <row r="109" spans="1:25" s="226" customFormat="1" ht="27.75" customHeight="1" thickTop="1">
      <c r="A109" s="83"/>
      <c r="B109" s="244" t="s">
        <v>226</v>
      </c>
      <c r="C109" s="245"/>
      <c r="D109" s="246"/>
      <c r="E109" s="80"/>
      <c r="F109" s="126"/>
      <c r="G109" s="46"/>
      <c r="H109" s="46"/>
      <c r="I109" s="247"/>
      <c r="J109" s="248"/>
      <c r="K109" s="249"/>
      <c r="L109" s="250"/>
      <c r="M109" s="83"/>
      <c r="N109" s="251"/>
      <c r="O109" s="252"/>
      <c r="P109" s="252"/>
      <c r="Q109" s="85"/>
      <c r="R109" s="39"/>
      <c r="S109" s="55"/>
      <c r="T109" s="55"/>
      <c r="U109" s="56"/>
      <c r="V109" s="56"/>
    </row>
    <row r="110" spans="1:25" s="226" customFormat="1" ht="27.75" customHeight="1">
      <c r="A110" s="94">
        <v>1</v>
      </c>
      <c r="B110" s="41" t="s">
        <v>227</v>
      </c>
      <c r="C110" s="224" t="s">
        <v>228</v>
      </c>
      <c r="D110" s="225">
        <v>22470</v>
      </c>
      <c r="E110" s="80" t="s">
        <v>26</v>
      </c>
      <c r="F110" s="44">
        <v>0</v>
      </c>
      <c r="G110" s="61">
        <v>0</v>
      </c>
      <c r="H110" s="61">
        <v>0</v>
      </c>
      <c r="I110" s="85">
        <v>0</v>
      </c>
      <c r="J110" s="113">
        <v>46203</v>
      </c>
      <c r="K110" s="114" t="s">
        <v>1451</v>
      </c>
      <c r="L110" s="253">
        <v>22470</v>
      </c>
      <c r="M110" s="83" t="s">
        <v>26</v>
      </c>
      <c r="N110" s="116">
        <v>0</v>
      </c>
      <c r="O110" s="147">
        <f>+(D110*100/107)+G110-(L110*100/107)</f>
        <v>0</v>
      </c>
      <c r="P110" s="147">
        <f t="shared" ref="P110:P122" si="32">ROUND((O110*0.07),2)</f>
        <v>0</v>
      </c>
      <c r="Q110" s="47">
        <f t="shared" ref="Q110:Q122" si="33">+O110+P110</f>
        <v>0</v>
      </c>
      <c r="R110" s="39"/>
      <c r="S110" s="55"/>
      <c r="T110" s="55"/>
      <c r="U110" s="56"/>
      <c r="V110" s="56"/>
    </row>
    <row r="111" spans="1:25" s="226" customFormat="1" ht="27.75" customHeight="1">
      <c r="A111" s="94">
        <v>2</v>
      </c>
      <c r="B111" s="41" t="s">
        <v>227</v>
      </c>
      <c r="C111" s="224" t="s">
        <v>230</v>
      </c>
      <c r="D111" s="246">
        <v>22470</v>
      </c>
      <c r="E111" s="80" t="s">
        <v>26</v>
      </c>
      <c r="F111" s="44">
        <v>0</v>
      </c>
      <c r="G111" s="61">
        <v>0</v>
      </c>
      <c r="H111" s="61">
        <v>0</v>
      </c>
      <c r="I111" s="85">
        <v>0</v>
      </c>
      <c r="J111" s="113">
        <v>46203</v>
      </c>
      <c r="K111" s="114" t="s">
        <v>1451</v>
      </c>
      <c r="L111" s="253">
        <v>22470</v>
      </c>
      <c r="M111" s="83" t="s">
        <v>26</v>
      </c>
      <c r="N111" s="116">
        <v>0</v>
      </c>
      <c r="O111" s="147">
        <f>+(D111*100/107)+G111-(L111*100/107)</f>
        <v>0</v>
      </c>
      <c r="P111" s="147">
        <f t="shared" si="32"/>
        <v>0</v>
      </c>
      <c r="Q111" s="47">
        <f t="shared" si="33"/>
        <v>0</v>
      </c>
      <c r="R111" s="39"/>
      <c r="S111" s="55"/>
      <c r="T111" s="55"/>
      <c r="U111" s="56"/>
      <c r="V111" s="56"/>
    </row>
    <row r="112" spans="1:25" s="226" customFormat="1" ht="27.75" customHeight="1">
      <c r="A112" s="94">
        <v>3</v>
      </c>
      <c r="B112" s="41" t="s">
        <v>227</v>
      </c>
      <c r="C112" s="224" t="s">
        <v>231</v>
      </c>
      <c r="D112" s="246">
        <v>22470</v>
      </c>
      <c r="E112" s="80" t="s">
        <v>26</v>
      </c>
      <c r="F112" s="44">
        <v>0</v>
      </c>
      <c r="G112" s="61">
        <v>0</v>
      </c>
      <c r="H112" s="61">
        <v>0</v>
      </c>
      <c r="I112" s="85">
        <v>0</v>
      </c>
      <c r="J112" s="117">
        <v>46203</v>
      </c>
      <c r="K112" s="118" t="s">
        <v>1451</v>
      </c>
      <c r="L112" s="557">
        <v>22470</v>
      </c>
      <c r="M112" s="83" t="s">
        <v>26</v>
      </c>
      <c r="N112" s="116">
        <v>0</v>
      </c>
      <c r="O112" s="147">
        <f t="shared" ref="O112:O119" si="34">+(D112*100/107)+G112-(L112*100/107)</f>
        <v>0</v>
      </c>
      <c r="P112" s="147">
        <f t="shared" si="32"/>
        <v>0</v>
      </c>
      <c r="Q112" s="47">
        <f t="shared" si="33"/>
        <v>0</v>
      </c>
      <c r="R112" s="39"/>
      <c r="S112" s="55"/>
      <c r="T112" s="55"/>
      <c r="U112" s="56"/>
      <c r="V112" s="56"/>
    </row>
    <row r="113" spans="1:22" s="226" customFormat="1" ht="27.75" customHeight="1">
      <c r="A113" s="94">
        <v>4</v>
      </c>
      <c r="B113" s="41" t="s">
        <v>201</v>
      </c>
      <c r="C113" s="224" t="s">
        <v>232</v>
      </c>
      <c r="D113" s="246">
        <v>0</v>
      </c>
      <c r="E113" s="80" t="s">
        <v>26</v>
      </c>
      <c r="F113" s="44">
        <v>0</v>
      </c>
      <c r="G113" s="61">
        <v>0</v>
      </c>
      <c r="H113" s="61">
        <v>0</v>
      </c>
      <c r="I113" s="85">
        <v>0</v>
      </c>
      <c r="J113" s="117"/>
      <c r="K113" s="118"/>
      <c r="L113" s="557"/>
      <c r="M113" s="83" t="s">
        <v>26</v>
      </c>
      <c r="N113" s="116">
        <v>0</v>
      </c>
      <c r="O113" s="147">
        <f t="shared" si="34"/>
        <v>0</v>
      </c>
      <c r="P113" s="147">
        <f t="shared" si="32"/>
        <v>0</v>
      </c>
      <c r="Q113" s="47">
        <f t="shared" si="33"/>
        <v>0</v>
      </c>
      <c r="R113" s="39"/>
      <c r="S113" s="55"/>
      <c r="T113" s="55"/>
      <c r="U113" s="56"/>
      <c r="V113" s="56"/>
    </row>
    <row r="114" spans="1:22" s="226" customFormat="1" ht="27.75" customHeight="1">
      <c r="A114" s="94">
        <v>5</v>
      </c>
      <c r="B114" s="41" t="s">
        <v>201</v>
      </c>
      <c r="C114" s="224" t="s">
        <v>233</v>
      </c>
      <c r="D114" s="246">
        <v>0</v>
      </c>
      <c r="E114" s="80" t="s">
        <v>26</v>
      </c>
      <c r="F114" s="44">
        <v>0</v>
      </c>
      <c r="G114" s="61">
        <v>0</v>
      </c>
      <c r="H114" s="61">
        <v>0</v>
      </c>
      <c r="I114" s="85">
        <v>0</v>
      </c>
      <c r="J114" s="117"/>
      <c r="K114" s="118"/>
      <c r="L114" s="557"/>
      <c r="M114" s="83" t="s">
        <v>26</v>
      </c>
      <c r="N114" s="116">
        <v>0</v>
      </c>
      <c r="O114" s="147">
        <f t="shared" si="34"/>
        <v>0</v>
      </c>
      <c r="P114" s="147">
        <f t="shared" si="32"/>
        <v>0</v>
      </c>
      <c r="Q114" s="47">
        <f t="shared" si="33"/>
        <v>0</v>
      </c>
      <c r="R114" s="39"/>
      <c r="S114" s="55"/>
      <c r="T114" s="55"/>
      <c r="U114" s="56"/>
      <c r="V114" s="56"/>
    </row>
    <row r="115" spans="1:22" s="226" customFormat="1" ht="27.75" customHeight="1">
      <c r="A115" s="94">
        <v>6</v>
      </c>
      <c r="B115" s="41" t="s">
        <v>201</v>
      </c>
      <c r="C115" s="224" t="s">
        <v>235</v>
      </c>
      <c r="D115" s="246">
        <v>0</v>
      </c>
      <c r="E115" s="80" t="s">
        <v>26</v>
      </c>
      <c r="F115" s="44">
        <v>0</v>
      </c>
      <c r="G115" s="61">
        <v>0</v>
      </c>
      <c r="H115" s="61">
        <v>0</v>
      </c>
      <c r="I115" s="85">
        <v>0</v>
      </c>
      <c r="J115" s="117"/>
      <c r="K115" s="118"/>
      <c r="L115" s="557"/>
      <c r="M115" s="83" t="s">
        <v>26</v>
      </c>
      <c r="N115" s="116">
        <v>0</v>
      </c>
      <c r="O115" s="147">
        <f t="shared" si="34"/>
        <v>0</v>
      </c>
      <c r="P115" s="147">
        <f t="shared" si="32"/>
        <v>0</v>
      </c>
      <c r="Q115" s="47">
        <f t="shared" si="33"/>
        <v>0</v>
      </c>
      <c r="R115" s="39"/>
      <c r="S115" s="55"/>
      <c r="T115" s="55"/>
      <c r="U115" s="56"/>
      <c r="V115" s="56"/>
    </row>
    <row r="116" spans="1:22" s="226" customFormat="1" ht="27.75" customHeight="1">
      <c r="A116" s="94">
        <v>7</v>
      </c>
      <c r="B116" s="41" t="s">
        <v>201</v>
      </c>
      <c r="C116" s="224" t="s">
        <v>237</v>
      </c>
      <c r="D116" s="225">
        <v>0</v>
      </c>
      <c r="E116" s="80" t="s">
        <v>26</v>
      </c>
      <c r="F116" s="44">
        <v>0</v>
      </c>
      <c r="G116" s="61">
        <v>0</v>
      </c>
      <c r="H116" s="61">
        <v>0</v>
      </c>
      <c r="I116" s="85">
        <v>0</v>
      </c>
      <c r="J116" s="117"/>
      <c r="K116" s="118"/>
      <c r="L116" s="557"/>
      <c r="M116" s="83" t="s">
        <v>26</v>
      </c>
      <c r="N116" s="116">
        <v>0</v>
      </c>
      <c r="O116" s="147">
        <f t="shared" si="34"/>
        <v>0</v>
      </c>
      <c r="P116" s="147">
        <f t="shared" si="32"/>
        <v>0</v>
      </c>
      <c r="Q116" s="47">
        <f t="shared" si="33"/>
        <v>0</v>
      </c>
      <c r="R116" s="39"/>
      <c r="S116" s="55"/>
      <c r="T116" s="55"/>
      <c r="U116" s="56"/>
      <c r="V116" s="56"/>
    </row>
    <row r="117" spans="1:22" s="226" customFormat="1" ht="27.75" customHeight="1">
      <c r="A117" s="94">
        <v>8</v>
      </c>
      <c r="B117" s="41" t="s">
        <v>236</v>
      </c>
      <c r="C117" s="224" t="s">
        <v>239</v>
      </c>
      <c r="D117" s="225">
        <v>22470</v>
      </c>
      <c r="E117" s="80" t="s">
        <v>26</v>
      </c>
      <c r="F117" s="44">
        <v>0</v>
      </c>
      <c r="G117" s="61">
        <v>0</v>
      </c>
      <c r="H117" s="61">
        <v>0</v>
      </c>
      <c r="I117" s="85">
        <v>0</v>
      </c>
      <c r="J117" s="113">
        <v>46203</v>
      </c>
      <c r="K117" s="114" t="s">
        <v>1452</v>
      </c>
      <c r="L117" s="257">
        <v>22470</v>
      </c>
      <c r="M117" s="83" t="s">
        <v>26</v>
      </c>
      <c r="N117" s="116">
        <v>0</v>
      </c>
      <c r="O117" s="147">
        <f t="shared" si="34"/>
        <v>0</v>
      </c>
      <c r="P117" s="147">
        <f t="shared" si="32"/>
        <v>0</v>
      </c>
      <c r="Q117" s="47">
        <f t="shared" si="33"/>
        <v>0</v>
      </c>
      <c r="R117" s="39"/>
      <c r="S117" s="55"/>
      <c r="T117" s="55"/>
      <c r="U117" s="56"/>
      <c r="V117" s="56"/>
    </row>
    <row r="118" spans="1:22" s="226" customFormat="1" ht="27.75" customHeight="1">
      <c r="A118" s="94">
        <v>9</v>
      </c>
      <c r="B118" s="41" t="s">
        <v>92</v>
      </c>
      <c r="C118" s="224" t="s">
        <v>240</v>
      </c>
      <c r="D118" s="225">
        <v>22470</v>
      </c>
      <c r="E118" s="80" t="s">
        <v>26</v>
      </c>
      <c r="F118" s="44">
        <v>0</v>
      </c>
      <c r="G118" s="61">
        <v>0</v>
      </c>
      <c r="H118" s="61">
        <v>0</v>
      </c>
      <c r="I118" s="85">
        <v>0</v>
      </c>
      <c r="J118" s="113">
        <v>46202</v>
      </c>
      <c r="K118" s="114" t="s">
        <v>1453</v>
      </c>
      <c r="L118" s="258">
        <v>22470</v>
      </c>
      <c r="M118" s="83" t="s">
        <v>26</v>
      </c>
      <c r="N118" s="116">
        <v>0</v>
      </c>
      <c r="O118" s="147">
        <f t="shared" si="34"/>
        <v>0</v>
      </c>
      <c r="P118" s="147">
        <f t="shared" si="32"/>
        <v>0</v>
      </c>
      <c r="Q118" s="47">
        <f t="shared" si="33"/>
        <v>0</v>
      </c>
      <c r="R118" s="39"/>
      <c r="S118" s="55"/>
      <c r="T118" s="55"/>
      <c r="U118" s="56"/>
      <c r="V118" s="56"/>
    </row>
    <row r="119" spans="1:22" s="226" customFormat="1" ht="27.75" customHeight="1">
      <c r="A119" s="94">
        <v>10</v>
      </c>
      <c r="B119" s="41" t="s">
        <v>92</v>
      </c>
      <c r="C119" s="224" t="s">
        <v>242</v>
      </c>
      <c r="D119" s="225">
        <v>22470</v>
      </c>
      <c r="E119" s="80" t="s">
        <v>26</v>
      </c>
      <c r="F119" s="44">
        <v>0</v>
      </c>
      <c r="G119" s="61">
        <v>0</v>
      </c>
      <c r="H119" s="61">
        <v>0</v>
      </c>
      <c r="I119" s="85">
        <v>0</v>
      </c>
      <c r="J119" s="113">
        <v>46202</v>
      </c>
      <c r="K119" s="114" t="s">
        <v>1453</v>
      </c>
      <c r="L119" s="253">
        <v>22470</v>
      </c>
      <c r="M119" s="83" t="s">
        <v>26</v>
      </c>
      <c r="N119" s="116">
        <v>0</v>
      </c>
      <c r="O119" s="147">
        <f t="shared" si="34"/>
        <v>0</v>
      </c>
      <c r="P119" s="147">
        <f t="shared" si="32"/>
        <v>0</v>
      </c>
      <c r="Q119" s="47">
        <f t="shared" si="33"/>
        <v>0</v>
      </c>
      <c r="R119" s="39"/>
      <c r="S119" s="55"/>
      <c r="T119" s="55"/>
      <c r="U119" s="56"/>
      <c r="V119" s="56"/>
    </row>
    <row r="120" spans="1:22" s="226" customFormat="1" ht="27.75" customHeight="1">
      <c r="A120" s="94">
        <v>11</v>
      </c>
      <c r="B120" s="41" t="s">
        <v>243</v>
      </c>
      <c r="C120" s="224" t="s">
        <v>244</v>
      </c>
      <c r="D120" s="225">
        <v>22470</v>
      </c>
      <c r="E120" s="80" t="s">
        <v>26</v>
      </c>
      <c r="F120" s="44">
        <v>0</v>
      </c>
      <c r="G120" s="61">
        <v>0</v>
      </c>
      <c r="H120" s="61">
        <v>0</v>
      </c>
      <c r="I120" s="85">
        <v>0</v>
      </c>
      <c r="J120" s="113">
        <v>46203</v>
      </c>
      <c r="K120" s="114" t="s">
        <v>1454</v>
      </c>
      <c r="L120" s="253">
        <v>22470</v>
      </c>
      <c r="M120" s="83" t="s">
        <v>26</v>
      </c>
      <c r="N120" s="116">
        <v>0</v>
      </c>
      <c r="O120" s="147">
        <f>+(D120*100/107)+G120-(L120*100/107)</f>
        <v>0</v>
      </c>
      <c r="P120" s="147">
        <f t="shared" si="32"/>
        <v>0</v>
      </c>
      <c r="Q120" s="47">
        <f t="shared" si="33"/>
        <v>0</v>
      </c>
      <c r="R120" s="39"/>
      <c r="S120" s="55"/>
      <c r="T120" s="55"/>
      <c r="U120" s="56"/>
      <c r="V120" s="56"/>
    </row>
    <row r="121" spans="1:22" s="226" customFormat="1" ht="27.75" customHeight="1">
      <c r="A121" s="186">
        <v>12</v>
      </c>
      <c r="B121" s="206" t="s">
        <v>90</v>
      </c>
      <c r="C121" s="224" t="s">
        <v>246</v>
      </c>
      <c r="D121" s="228">
        <v>22470</v>
      </c>
      <c r="E121" s="123" t="s">
        <v>1287</v>
      </c>
      <c r="F121" s="44">
        <v>0.93457943925233644</v>
      </c>
      <c r="G121" s="45">
        <v>21000</v>
      </c>
      <c r="H121" s="45">
        <v>1470</v>
      </c>
      <c r="I121" s="229">
        <v>22470</v>
      </c>
      <c r="J121" s="259">
        <v>46176</v>
      </c>
      <c r="K121" s="114" t="s">
        <v>1455</v>
      </c>
      <c r="L121" s="253">
        <v>22470</v>
      </c>
      <c r="M121" s="232" t="s">
        <v>1329</v>
      </c>
      <c r="N121" s="116">
        <v>0.93457943925233644</v>
      </c>
      <c r="O121" s="147">
        <f>+(D121*100/107)+G121-(L121*100/107)</f>
        <v>21000</v>
      </c>
      <c r="P121" s="147">
        <f t="shared" si="32"/>
        <v>1470</v>
      </c>
      <c r="Q121" s="47">
        <f t="shared" si="33"/>
        <v>22470</v>
      </c>
      <c r="R121" s="39"/>
      <c r="S121" s="55"/>
      <c r="T121" s="55"/>
      <c r="U121" s="56"/>
      <c r="V121" s="56"/>
    </row>
    <row r="122" spans="1:22" s="226" customFormat="1" ht="27.75" customHeight="1">
      <c r="A122" s="234"/>
      <c r="B122" s="260"/>
      <c r="C122" s="235"/>
      <c r="D122" s="236">
        <f>SUM(D110:D121)</f>
        <v>179760</v>
      </c>
      <c r="E122" s="237"/>
      <c r="F122" s="238"/>
      <c r="G122" s="239">
        <f>SUM(G110:G121)</f>
        <v>21000</v>
      </c>
      <c r="H122" s="239">
        <f t="shared" ref="H122:I122" si="35">SUM(H110:H121)</f>
        <v>1470</v>
      </c>
      <c r="I122" s="239">
        <f t="shared" si="35"/>
        <v>22470</v>
      </c>
      <c r="J122" s="261"/>
      <c r="K122" s="262"/>
      <c r="L122" s="263">
        <f>SUM(L110:L121)</f>
        <v>179760</v>
      </c>
      <c r="M122" s="234"/>
      <c r="N122" s="242"/>
      <c r="O122" s="243">
        <f>SUM(O110:O121)</f>
        <v>21000</v>
      </c>
      <c r="P122" s="243">
        <f t="shared" si="32"/>
        <v>1470</v>
      </c>
      <c r="Q122" s="240">
        <f t="shared" si="33"/>
        <v>22470</v>
      </c>
      <c r="R122" s="39"/>
      <c r="S122" s="55"/>
      <c r="T122" s="55"/>
      <c r="U122" s="56"/>
      <c r="V122" s="56"/>
    </row>
    <row r="123" spans="1:22" s="226" customFormat="1" ht="27.75" customHeight="1">
      <c r="A123" s="83"/>
      <c r="B123" s="244" t="s">
        <v>248</v>
      </c>
      <c r="C123" s="245"/>
      <c r="D123" s="246"/>
      <c r="E123" s="80"/>
      <c r="F123" s="126"/>
      <c r="G123" s="46"/>
      <c r="H123" s="46"/>
      <c r="I123" s="85"/>
      <c r="J123" s="178"/>
      <c r="K123" s="179"/>
      <c r="L123" s="264"/>
      <c r="M123" s="83"/>
      <c r="N123" s="251"/>
      <c r="O123" s="252"/>
      <c r="P123" s="252"/>
      <c r="Q123" s="85"/>
      <c r="R123" s="39"/>
      <c r="S123" s="55"/>
      <c r="T123" s="55"/>
      <c r="U123" s="56"/>
      <c r="V123" s="56"/>
    </row>
    <row r="124" spans="1:22" s="226" customFormat="1" ht="27.75" customHeight="1">
      <c r="A124" s="94">
        <v>1</v>
      </c>
      <c r="B124" s="41" t="s">
        <v>249</v>
      </c>
      <c r="C124" s="224" t="s">
        <v>250</v>
      </c>
      <c r="D124" s="225">
        <v>6420</v>
      </c>
      <c r="E124" s="80" t="s">
        <v>1287</v>
      </c>
      <c r="F124" s="44">
        <v>0.934579439252336</v>
      </c>
      <c r="G124" s="61">
        <v>6000</v>
      </c>
      <c r="H124" s="61">
        <v>420</v>
      </c>
      <c r="I124" s="85">
        <v>6420</v>
      </c>
      <c r="J124" s="113" t="s">
        <v>1456</v>
      </c>
      <c r="K124" s="114" t="s">
        <v>1457</v>
      </c>
      <c r="L124" s="144">
        <v>12840</v>
      </c>
      <c r="M124" s="83" t="s">
        <v>45</v>
      </c>
      <c r="N124" s="116">
        <v>0</v>
      </c>
      <c r="O124" s="147">
        <f t="shared" ref="O124:O134" si="36">+(D124*100/107)+G124-(L124*100/107)</f>
        <v>0</v>
      </c>
      <c r="P124" s="147">
        <f t="shared" ref="P124:P134" si="37">ROUND((O124*0.07),2)</f>
        <v>0</v>
      </c>
      <c r="Q124" s="47">
        <f t="shared" ref="Q124:Q135" si="38">+O124+P124</f>
        <v>0</v>
      </c>
      <c r="R124" s="39"/>
      <c r="S124" s="55"/>
      <c r="T124" s="55"/>
      <c r="U124" s="56"/>
      <c r="V124" s="56"/>
    </row>
    <row r="125" spans="1:22" s="226" customFormat="1" ht="27.75" customHeight="1">
      <c r="A125" s="94">
        <v>2</v>
      </c>
      <c r="B125" s="41" t="s">
        <v>1349</v>
      </c>
      <c r="C125" s="224" t="s">
        <v>253</v>
      </c>
      <c r="D125" s="225">
        <v>0</v>
      </c>
      <c r="E125" s="80"/>
      <c r="F125" s="44">
        <v>0</v>
      </c>
      <c r="G125" s="61">
        <v>0</v>
      </c>
      <c r="H125" s="61">
        <v>0</v>
      </c>
      <c r="I125" s="85">
        <v>0</v>
      </c>
      <c r="J125" s="113"/>
      <c r="K125" s="114"/>
      <c r="L125" s="144"/>
      <c r="M125" s="83"/>
      <c r="N125" s="116">
        <v>0</v>
      </c>
      <c r="O125" s="147">
        <f t="shared" si="36"/>
        <v>0</v>
      </c>
      <c r="P125" s="147">
        <f t="shared" si="37"/>
        <v>0</v>
      </c>
      <c r="Q125" s="47">
        <f t="shared" si="38"/>
        <v>0</v>
      </c>
      <c r="R125" s="39"/>
      <c r="S125" s="55"/>
      <c r="T125" s="55"/>
      <c r="U125" s="56"/>
      <c r="V125" s="56"/>
    </row>
    <row r="126" spans="1:22" s="226" customFormat="1" ht="27.75" customHeight="1">
      <c r="A126" s="94">
        <v>3</v>
      </c>
      <c r="B126" s="41" t="s">
        <v>1350</v>
      </c>
      <c r="C126" s="224" t="s">
        <v>255</v>
      </c>
      <c r="D126" s="225">
        <v>9630</v>
      </c>
      <c r="E126" s="80" t="s">
        <v>1051</v>
      </c>
      <c r="F126" s="44">
        <v>1.8691588785046722</v>
      </c>
      <c r="G126" s="61">
        <v>18000</v>
      </c>
      <c r="H126" s="61">
        <v>1260</v>
      </c>
      <c r="I126" s="85">
        <v>19260</v>
      </c>
      <c r="J126" s="113" t="s">
        <v>1415</v>
      </c>
      <c r="K126" s="114" t="s">
        <v>1458</v>
      </c>
      <c r="L126" s="144">
        <v>19260</v>
      </c>
      <c r="M126" s="83" t="s">
        <v>1329</v>
      </c>
      <c r="N126" s="116">
        <v>0.93457943925233611</v>
      </c>
      <c r="O126" s="147">
        <f t="shared" si="36"/>
        <v>9000</v>
      </c>
      <c r="P126" s="147">
        <f t="shared" si="37"/>
        <v>630</v>
      </c>
      <c r="Q126" s="47">
        <f t="shared" si="38"/>
        <v>9630</v>
      </c>
      <c r="R126" s="39"/>
      <c r="S126" s="55"/>
      <c r="T126" s="55"/>
      <c r="U126" s="56"/>
      <c r="V126" s="56"/>
    </row>
    <row r="127" spans="1:22" s="226" customFormat="1" ht="27.75" customHeight="1">
      <c r="A127" s="94">
        <v>4</v>
      </c>
      <c r="B127" s="41" t="s">
        <v>201</v>
      </c>
      <c r="C127" s="224" t="s">
        <v>256</v>
      </c>
      <c r="D127" s="225">
        <v>0</v>
      </c>
      <c r="E127" s="80"/>
      <c r="F127" s="44">
        <v>0</v>
      </c>
      <c r="G127" s="61">
        <v>0</v>
      </c>
      <c r="H127" s="61">
        <v>0</v>
      </c>
      <c r="I127" s="85">
        <v>0</v>
      </c>
      <c r="J127" s="113"/>
      <c r="K127" s="114"/>
      <c r="L127" s="144"/>
      <c r="M127" s="83"/>
      <c r="N127" s="116">
        <v>0</v>
      </c>
      <c r="O127" s="147">
        <f t="shared" si="36"/>
        <v>0</v>
      </c>
      <c r="P127" s="147">
        <f t="shared" si="37"/>
        <v>0</v>
      </c>
      <c r="Q127" s="47">
        <f t="shared" si="38"/>
        <v>0</v>
      </c>
      <c r="R127" s="39"/>
      <c r="S127" s="55"/>
      <c r="T127" s="55"/>
      <c r="U127" s="56"/>
      <c r="V127" s="56"/>
    </row>
    <row r="128" spans="1:22" s="226" customFormat="1" ht="27.75" customHeight="1">
      <c r="A128" s="94">
        <v>5</v>
      </c>
      <c r="B128" s="41" t="s">
        <v>257</v>
      </c>
      <c r="C128" s="224" t="s">
        <v>258</v>
      </c>
      <c r="D128" s="225">
        <v>9630</v>
      </c>
      <c r="E128" s="80" t="s">
        <v>45</v>
      </c>
      <c r="F128" s="44">
        <v>0</v>
      </c>
      <c r="G128" s="61">
        <v>0</v>
      </c>
      <c r="H128" s="61">
        <v>0</v>
      </c>
      <c r="I128" s="85">
        <v>0</v>
      </c>
      <c r="J128" s="113">
        <v>46201</v>
      </c>
      <c r="K128" s="114" t="s">
        <v>1459</v>
      </c>
      <c r="L128" s="144">
        <v>9630</v>
      </c>
      <c r="M128" s="83" t="s">
        <v>45</v>
      </c>
      <c r="N128" s="116">
        <v>0</v>
      </c>
      <c r="O128" s="147">
        <f t="shared" si="36"/>
        <v>0</v>
      </c>
      <c r="P128" s="147">
        <f t="shared" si="37"/>
        <v>0</v>
      </c>
      <c r="Q128" s="47">
        <f t="shared" si="38"/>
        <v>0</v>
      </c>
      <c r="R128" s="39"/>
      <c r="S128" s="55"/>
      <c r="T128" s="55"/>
      <c r="U128" s="56"/>
      <c r="V128" s="56"/>
    </row>
    <row r="129" spans="1:25" s="226" customFormat="1" ht="27.75" customHeight="1">
      <c r="A129" s="94">
        <v>6</v>
      </c>
      <c r="B129" s="206" t="s">
        <v>257</v>
      </c>
      <c r="C129" s="224" t="s">
        <v>260</v>
      </c>
      <c r="D129" s="225">
        <v>9630</v>
      </c>
      <c r="E129" s="80" t="s">
        <v>45</v>
      </c>
      <c r="F129" s="44">
        <v>0</v>
      </c>
      <c r="G129" s="61">
        <v>0</v>
      </c>
      <c r="H129" s="61">
        <v>0</v>
      </c>
      <c r="I129" s="85">
        <v>0</v>
      </c>
      <c r="J129" s="113">
        <v>46201</v>
      </c>
      <c r="K129" s="114" t="s">
        <v>1459</v>
      </c>
      <c r="L129" s="144">
        <v>9630</v>
      </c>
      <c r="M129" s="83" t="s">
        <v>45</v>
      </c>
      <c r="N129" s="116">
        <v>0</v>
      </c>
      <c r="O129" s="147">
        <f t="shared" si="36"/>
        <v>0</v>
      </c>
      <c r="P129" s="147">
        <f t="shared" si="37"/>
        <v>0</v>
      </c>
      <c r="Q129" s="47">
        <f t="shared" si="38"/>
        <v>0</v>
      </c>
      <c r="R129" s="39"/>
      <c r="S129" s="55"/>
      <c r="T129" s="55"/>
      <c r="U129" s="56"/>
      <c r="V129" s="56"/>
    </row>
    <row r="130" spans="1:25" s="226" customFormat="1" ht="27.75" customHeight="1">
      <c r="A130" s="94">
        <v>7</v>
      </c>
      <c r="B130" s="265" t="s">
        <v>1351</v>
      </c>
      <c r="C130" s="224" t="s">
        <v>262</v>
      </c>
      <c r="D130" s="225">
        <v>6420</v>
      </c>
      <c r="E130" s="80" t="s">
        <v>45</v>
      </c>
      <c r="F130" s="44">
        <v>0</v>
      </c>
      <c r="G130" s="61">
        <v>0</v>
      </c>
      <c r="H130" s="61">
        <v>0</v>
      </c>
      <c r="I130" s="85">
        <v>0</v>
      </c>
      <c r="J130" s="113">
        <v>46176</v>
      </c>
      <c r="K130" s="114" t="s">
        <v>1460</v>
      </c>
      <c r="L130" s="144">
        <v>6420</v>
      </c>
      <c r="M130" s="83" t="s">
        <v>45</v>
      </c>
      <c r="N130" s="116">
        <v>0</v>
      </c>
      <c r="O130" s="147">
        <f t="shared" si="36"/>
        <v>0</v>
      </c>
      <c r="P130" s="147">
        <f t="shared" si="37"/>
        <v>0</v>
      </c>
      <c r="Q130" s="47">
        <f t="shared" si="38"/>
        <v>0</v>
      </c>
      <c r="R130" s="39"/>
      <c r="S130" s="55"/>
      <c r="T130" s="55"/>
      <c r="U130" s="56"/>
      <c r="V130" s="56"/>
    </row>
    <row r="131" spans="1:25" s="226" customFormat="1" ht="27.75" customHeight="1">
      <c r="A131" s="94">
        <v>8</v>
      </c>
      <c r="B131" s="266" t="s">
        <v>264</v>
      </c>
      <c r="C131" s="224" t="s">
        <v>199</v>
      </c>
      <c r="D131" s="225">
        <v>6420</v>
      </c>
      <c r="E131" s="80" t="s">
        <v>45</v>
      </c>
      <c r="F131" s="44">
        <v>0</v>
      </c>
      <c r="G131" s="61">
        <v>0</v>
      </c>
      <c r="H131" s="61">
        <v>0</v>
      </c>
      <c r="I131" s="85">
        <v>0</v>
      </c>
      <c r="J131" s="113">
        <v>46202</v>
      </c>
      <c r="K131" s="114" t="s">
        <v>1461</v>
      </c>
      <c r="L131" s="144">
        <v>6420</v>
      </c>
      <c r="M131" s="83" t="s">
        <v>45</v>
      </c>
      <c r="N131" s="116">
        <v>0</v>
      </c>
      <c r="O131" s="147">
        <f t="shared" si="36"/>
        <v>0</v>
      </c>
      <c r="P131" s="147">
        <f t="shared" si="37"/>
        <v>0</v>
      </c>
      <c r="Q131" s="47">
        <f t="shared" si="38"/>
        <v>0</v>
      </c>
      <c r="R131" s="39"/>
      <c r="S131" s="55"/>
      <c r="T131" s="55"/>
      <c r="U131" s="56"/>
      <c r="V131" s="56"/>
      <c r="Y131" s="226" t="s">
        <v>266</v>
      </c>
    </row>
    <row r="132" spans="1:25" s="226" customFormat="1" ht="27.75" customHeight="1">
      <c r="A132" s="94">
        <v>9</v>
      </c>
      <c r="B132" s="81" t="s">
        <v>267</v>
      </c>
      <c r="C132" s="224" t="s">
        <v>268</v>
      </c>
      <c r="D132" s="267">
        <v>6420</v>
      </c>
      <c r="E132" s="81" t="s">
        <v>1287</v>
      </c>
      <c r="F132" s="116">
        <v>0.93457943925233578</v>
      </c>
      <c r="G132" s="147">
        <v>6000</v>
      </c>
      <c r="H132" s="147">
        <v>420</v>
      </c>
      <c r="I132" s="47">
        <v>6420</v>
      </c>
      <c r="J132" s="113">
        <v>46192</v>
      </c>
      <c r="K132" s="114" t="s">
        <v>1462</v>
      </c>
      <c r="L132" s="144">
        <v>6420</v>
      </c>
      <c r="M132" s="83" t="s">
        <v>1329</v>
      </c>
      <c r="N132" s="116">
        <v>0.93457943925233578</v>
      </c>
      <c r="O132" s="147">
        <f t="shared" si="36"/>
        <v>6000</v>
      </c>
      <c r="P132" s="147">
        <f>ROUND((O132*0.07),2)</f>
        <v>420</v>
      </c>
      <c r="Q132" s="47">
        <f t="shared" si="38"/>
        <v>6420</v>
      </c>
      <c r="R132" s="39"/>
      <c r="S132" s="55"/>
      <c r="T132" s="55"/>
      <c r="U132" s="56"/>
      <c r="V132" s="56"/>
      <c r="Y132" s="226" t="s">
        <v>269</v>
      </c>
    </row>
    <row r="133" spans="1:25" s="226" customFormat="1" ht="27.75" customHeight="1">
      <c r="A133" s="94">
        <v>10</v>
      </c>
      <c r="B133" s="81" t="s">
        <v>201</v>
      </c>
      <c r="C133" s="224" t="s">
        <v>205</v>
      </c>
      <c r="D133" s="225"/>
      <c r="E133" s="81" t="s">
        <v>45</v>
      </c>
      <c r="F133" s="116">
        <v>0</v>
      </c>
      <c r="G133" s="147">
        <v>0</v>
      </c>
      <c r="H133" s="147">
        <v>0</v>
      </c>
      <c r="I133" s="85">
        <v>0</v>
      </c>
      <c r="J133" s="113"/>
      <c r="K133" s="114"/>
      <c r="L133" s="144"/>
      <c r="M133" s="83" t="s">
        <v>45</v>
      </c>
      <c r="N133" s="116">
        <v>0</v>
      </c>
      <c r="O133" s="147">
        <f>+(D133*100/107)+G133-(L133*100/107)</f>
        <v>0</v>
      </c>
      <c r="P133" s="147">
        <f t="shared" si="37"/>
        <v>0</v>
      </c>
      <c r="Q133" s="47">
        <f t="shared" si="38"/>
        <v>0</v>
      </c>
      <c r="R133" s="39"/>
      <c r="S133" s="55"/>
      <c r="T133" s="55"/>
      <c r="U133" s="56"/>
      <c r="V133" s="56"/>
    </row>
    <row r="134" spans="1:25" s="226" customFormat="1" ht="27.75" customHeight="1">
      <c r="A134" s="94">
        <v>11</v>
      </c>
      <c r="B134" s="81" t="s">
        <v>156</v>
      </c>
      <c r="C134" s="224" t="s">
        <v>207</v>
      </c>
      <c r="D134" s="225">
        <v>6420</v>
      </c>
      <c r="E134" s="80" t="s">
        <v>45</v>
      </c>
      <c r="F134" s="44">
        <v>0</v>
      </c>
      <c r="G134" s="61">
        <v>0</v>
      </c>
      <c r="H134" s="61">
        <v>0</v>
      </c>
      <c r="I134" s="85">
        <v>0</v>
      </c>
      <c r="J134" s="113">
        <v>46178</v>
      </c>
      <c r="K134" s="114" t="s">
        <v>1463</v>
      </c>
      <c r="L134" s="144">
        <v>6420</v>
      </c>
      <c r="M134" s="83" t="s">
        <v>45</v>
      </c>
      <c r="N134" s="116">
        <v>0</v>
      </c>
      <c r="O134" s="147">
        <f t="shared" si="36"/>
        <v>0</v>
      </c>
      <c r="P134" s="147">
        <f t="shared" si="37"/>
        <v>0</v>
      </c>
      <c r="Q134" s="47">
        <f t="shared" si="38"/>
        <v>0</v>
      </c>
      <c r="R134" s="39"/>
      <c r="S134" s="55"/>
      <c r="T134" s="55"/>
      <c r="U134" s="56"/>
      <c r="V134" s="56"/>
    </row>
    <row r="135" spans="1:25" s="226" customFormat="1" ht="27.75" customHeight="1">
      <c r="A135" s="94">
        <v>12</v>
      </c>
      <c r="B135" s="41" t="s">
        <v>271</v>
      </c>
      <c r="C135" s="224" t="s">
        <v>208</v>
      </c>
      <c r="D135" s="225">
        <v>6420</v>
      </c>
      <c r="E135" s="80" t="s">
        <v>45</v>
      </c>
      <c r="F135" s="44">
        <v>0</v>
      </c>
      <c r="G135" s="61">
        <v>0</v>
      </c>
      <c r="H135" s="61">
        <v>0</v>
      </c>
      <c r="I135" s="85">
        <v>0</v>
      </c>
      <c r="J135" s="113">
        <v>46203</v>
      </c>
      <c r="K135" s="268" t="s">
        <v>1464</v>
      </c>
      <c r="L135" s="269">
        <v>6420</v>
      </c>
      <c r="M135" s="83" t="s">
        <v>45</v>
      </c>
      <c r="N135" s="116">
        <v>0</v>
      </c>
      <c r="O135" s="147">
        <f>+(D135*100/107)+G135-(L135*100/107)</f>
        <v>0</v>
      </c>
      <c r="P135" s="147">
        <f>ROUND((O135*0.07),2)</f>
        <v>0</v>
      </c>
      <c r="Q135" s="47">
        <f t="shared" si="38"/>
        <v>0</v>
      </c>
      <c r="R135" s="39"/>
      <c r="S135" s="55"/>
      <c r="T135" s="55"/>
      <c r="U135" s="56"/>
      <c r="V135" s="56"/>
    </row>
    <row r="136" spans="1:25" s="226" customFormat="1" ht="27.75" customHeight="1">
      <c r="A136" s="94">
        <v>13</v>
      </c>
      <c r="B136" s="41" t="s">
        <v>1352</v>
      </c>
      <c r="C136" s="224" t="s">
        <v>209</v>
      </c>
      <c r="D136" s="225">
        <v>6420</v>
      </c>
      <c r="E136" s="80" t="s">
        <v>45</v>
      </c>
      <c r="F136" s="44">
        <v>0</v>
      </c>
      <c r="G136" s="61">
        <v>0</v>
      </c>
      <c r="H136" s="61">
        <v>0</v>
      </c>
      <c r="I136" s="85">
        <v>0</v>
      </c>
      <c r="J136" s="113">
        <v>46180</v>
      </c>
      <c r="K136" s="114" t="s">
        <v>1465</v>
      </c>
      <c r="L136" s="144">
        <v>6420</v>
      </c>
      <c r="M136" s="83" t="s">
        <v>45</v>
      </c>
      <c r="N136" s="116">
        <v>0</v>
      </c>
      <c r="O136" s="147">
        <f>+(D136*100/107)+G136-(L136*100/107)</f>
        <v>0</v>
      </c>
      <c r="P136" s="147">
        <f>ROUND((O136*0.07),2)</f>
        <v>0</v>
      </c>
      <c r="Q136" s="47">
        <f>+O136+P136</f>
        <v>0</v>
      </c>
      <c r="R136" s="39"/>
      <c r="S136" s="55"/>
      <c r="T136" s="55"/>
      <c r="U136" s="56"/>
      <c r="V136" s="56"/>
    </row>
    <row r="137" spans="1:25" s="226" customFormat="1" ht="27.75" customHeight="1">
      <c r="A137" s="94">
        <v>14</v>
      </c>
      <c r="B137" s="41" t="s">
        <v>275</v>
      </c>
      <c r="C137" s="224" t="s">
        <v>276</v>
      </c>
      <c r="D137" s="225">
        <v>6420</v>
      </c>
      <c r="E137" s="80" t="s">
        <v>45</v>
      </c>
      <c r="F137" s="44">
        <v>0</v>
      </c>
      <c r="G137" s="61">
        <v>0</v>
      </c>
      <c r="H137" s="61">
        <v>0</v>
      </c>
      <c r="I137" s="85">
        <v>0</v>
      </c>
      <c r="J137" s="113">
        <v>46203</v>
      </c>
      <c r="K137" s="114" t="s">
        <v>1466</v>
      </c>
      <c r="L137" s="144">
        <v>6420</v>
      </c>
      <c r="M137" s="87" t="s">
        <v>45</v>
      </c>
      <c r="N137" s="116">
        <v>0</v>
      </c>
      <c r="O137" s="147">
        <f>+(D137*100/107)+G137-(L137*100/107)</f>
        <v>0</v>
      </c>
      <c r="P137" s="147">
        <f>ROUND((O137*0.07),2)</f>
        <v>0</v>
      </c>
      <c r="Q137" s="47">
        <f>+O137+P137</f>
        <v>0</v>
      </c>
      <c r="R137" s="39"/>
      <c r="S137" s="55"/>
      <c r="T137" s="55"/>
      <c r="U137" s="56"/>
      <c r="V137" s="56"/>
    </row>
    <row r="138" spans="1:25" ht="27.75" customHeight="1" thickBot="1">
      <c r="A138" s="22"/>
      <c r="B138" s="194" t="s">
        <v>22</v>
      </c>
      <c r="C138" s="195"/>
      <c r="D138" s="196">
        <f>SUM(D124:D137)</f>
        <v>80250</v>
      </c>
      <c r="E138" s="196"/>
      <c r="F138" s="197"/>
      <c r="G138" s="196">
        <f>SUM(G124:G137)</f>
        <v>30000</v>
      </c>
      <c r="H138" s="196">
        <f>SUM(H124:H137)</f>
        <v>2100</v>
      </c>
      <c r="I138" s="196">
        <f>SUM(I124:I137)</f>
        <v>32100</v>
      </c>
      <c r="J138" s="199"/>
      <c r="K138" s="199"/>
      <c r="L138" s="196">
        <f>SUM(L124:L137)</f>
        <v>96300</v>
      </c>
      <c r="M138" s="200"/>
      <c r="N138" s="196"/>
      <c r="O138" s="196">
        <f>SUM(O124:O137)</f>
        <v>15000</v>
      </c>
      <c r="P138" s="196">
        <f>SUM(P124:P137)</f>
        <v>1050</v>
      </c>
      <c r="Q138" s="196">
        <f t="shared" ref="Q138" si="39">SUM(Q124:Q137)</f>
        <v>16050</v>
      </c>
      <c r="R138" s="36"/>
      <c r="S138" s="37"/>
      <c r="T138" s="37"/>
      <c r="U138" s="38"/>
      <c r="V138" s="38"/>
      <c r="W138" s="38"/>
    </row>
    <row r="139" spans="1:25" ht="27.75" hidden="1" customHeight="1" thickBot="1">
      <c r="A139" s="22"/>
      <c r="B139" s="23" t="s">
        <v>278</v>
      </c>
      <c r="C139" s="24"/>
      <c r="D139" s="25"/>
      <c r="E139" s="26"/>
      <c r="F139" s="27"/>
      <c r="G139" s="28"/>
      <c r="H139" s="28"/>
      <c r="I139" s="28"/>
      <c r="J139" s="29"/>
      <c r="K139" s="30"/>
      <c r="L139" s="31"/>
      <c r="M139" s="32"/>
      <c r="N139" s="33"/>
      <c r="O139" s="34"/>
      <c r="P139" s="34"/>
      <c r="Q139" s="35"/>
      <c r="R139" s="36"/>
      <c r="S139" s="37"/>
      <c r="T139" s="37"/>
      <c r="U139" s="38"/>
      <c r="V139" s="38"/>
      <c r="W139" s="38"/>
    </row>
    <row r="140" spans="1:25" ht="27.75" hidden="1" customHeight="1" thickTop="1">
      <c r="A140" s="22">
        <v>1</v>
      </c>
      <c r="B140" s="270" t="s">
        <v>88</v>
      </c>
      <c r="C140" s="271" t="s">
        <v>279</v>
      </c>
      <c r="D140" s="272"/>
      <c r="E140" s="273"/>
      <c r="F140" s="274"/>
      <c r="G140" s="65">
        <v>0</v>
      </c>
      <c r="H140" s="45">
        <v>0</v>
      </c>
      <c r="I140" s="61">
        <v>0</v>
      </c>
      <c r="J140" s="275"/>
      <c r="K140" s="276"/>
      <c r="L140" s="277"/>
      <c r="M140" s="232"/>
      <c r="N140" s="251"/>
      <c r="O140" s="233">
        <f t="shared" ref="O140:O150" si="40">+(D140*100/107)+G140-(L140*100/107)</f>
        <v>0</v>
      </c>
      <c r="P140" s="233">
        <f t="shared" ref="P140:P150" si="41">ROUND((O140*0.07),2)</f>
        <v>0</v>
      </c>
      <c r="Q140" s="66">
        <f t="shared" ref="Q140:Q150" si="42">+O140+P140</f>
        <v>0</v>
      </c>
      <c r="R140" s="278"/>
      <c r="S140" s="279"/>
      <c r="T140" s="37"/>
      <c r="U140" s="38"/>
      <c r="V140" s="38"/>
      <c r="W140" s="38"/>
    </row>
    <row r="141" spans="1:25" ht="27.75" hidden="1" customHeight="1" thickTop="1">
      <c r="A141" s="22">
        <v>2</v>
      </c>
      <c r="B141" s="280" t="s">
        <v>89</v>
      </c>
      <c r="C141" s="271" t="s">
        <v>279</v>
      </c>
      <c r="D141" s="272"/>
      <c r="E141" s="201"/>
      <c r="F141" s="281"/>
      <c r="G141" s="61">
        <v>0</v>
      </c>
      <c r="H141" s="45">
        <v>0</v>
      </c>
      <c r="I141" s="61">
        <v>0</v>
      </c>
      <c r="J141" s="175"/>
      <c r="K141" s="282"/>
      <c r="L141" s="222"/>
      <c r="M141" s="94"/>
      <c r="N141" s="39"/>
      <c r="O141" s="233">
        <f t="shared" si="40"/>
        <v>0</v>
      </c>
      <c r="P141" s="233">
        <f t="shared" si="41"/>
        <v>0</v>
      </c>
      <c r="Q141" s="66">
        <f t="shared" si="42"/>
        <v>0</v>
      </c>
      <c r="R141" s="278"/>
      <c r="S141" s="279"/>
      <c r="T141" s="37"/>
      <c r="U141" s="38"/>
      <c r="V141" s="38"/>
      <c r="W141" s="38"/>
    </row>
    <row r="142" spans="1:25" ht="27.75" hidden="1" customHeight="1" thickTop="1">
      <c r="A142" s="22">
        <v>3</v>
      </c>
      <c r="B142" s="270" t="s">
        <v>280</v>
      </c>
      <c r="C142" s="271" t="s">
        <v>279</v>
      </c>
      <c r="D142" s="272"/>
      <c r="E142" s="201"/>
      <c r="F142" s="281"/>
      <c r="G142" s="61">
        <v>0</v>
      </c>
      <c r="H142" s="45">
        <v>0</v>
      </c>
      <c r="I142" s="61">
        <v>0</v>
      </c>
      <c r="J142" s="175"/>
      <c r="K142" s="282"/>
      <c r="L142" s="222"/>
      <c r="M142" s="94"/>
      <c r="N142" s="39"/>
      <c r="O142" s="233">
        <f t="shared" si="40"/>
        <v>0</v>
      </c>
      <c r="P142" s="233">
        <f t="shared" si="41"/>
        <v>0</v>
      </c>
      <c r="Q142" s="66">
        <f t="shared" si="42"/>
        <v>0</v>
      </c>
      <c r="R142" s="278"/>
      <c r="S142" s="279"/>
      <c r="T142" s="37"/>
      <c r="U142" s="38"/>
      <c r="V142" s="38"/>
      <c r="W142" s="38"/>
    </row>
    <row r="143" spans="1:25" ht="27.75" hidden="1" customHeight="1" thickTop="1">
      <c r="A143" s="22">
        <v>4</v>
      </c>
      <c r="B143" s="280" t="s">
        <v>96</v>
      </c>
      <c r="C143" s="271" t="s">
        <v>279</v>
      </c>
      <c r="D143" s="272"/>
      <c r="E143" s="201"/>
      <c r="F143" s="281"/>
      <c r="G143" s="61">
        <v>0</v>
      </c>
      <c r="H143" s="45">
        <v>0</v>
      </c>
      <c r="I143" s="61">
        <v>0</v>
      </c>
      <c r="J143" s="175"/>
      <c r="K143" s="282"/>
      <c r="L143" s="222"/>
      <c r="M143" s="94"/>
      <c r="N143" s="39"/>
      <c r="O143" s="233">
        <f t="shared" si="40"/>
        <v>0</v>
      </c>
      <c r="P143" s="233">
        <f t="shared" si="41"/>
        <v>0</v>
      </c>
      <c r="Q143" s="66">
        <f t="shared" si="42"/>
        <v>0</v>
      </c>
      <c r="R143" s="283"/>
      <c r="S143" s="55"/>
      <c r="T143" s="37"/>
      <c r="U143" s="38"/>
      <c r="V143" s="38"/>
      <c r="W143" s="38"/>
    </row>
    <row r="144" spans="1:25" ht="27.75" hidden="1" customHeight="1" thickTop="1">
      <c r="A144" s="22">
        <v>5</v>
      </c>
      <c r="B144" s="280" t="s">
        <v>281</v>
      </c>
      <c r="C144" s="271" t="s">
        <v>279</v>
      </c>
      <c r="D144" s="272">
        <v>0</v>
      </c>
      <c r="E144" s="201"/>
      <c r="F144" s="281"/>
      <c r="G144" s="61">
        <v>0</v>
      </c>
      <c r="H144" s="45">
        <v>0</v>
      </c>
      <c r="I144" s="61">
        <v>0</v>
      </c>
      <c r="J144" s="175"/>
      <c r="K144" s="282"/>
      <c r="L144" s="222"/>
      <c r="M144" s="94"/>
      <c r="N144" s="39"/>
      <c r="O144" s="233">
        <f t="shared" si="40"/>
        <v>0</v>
      </c>
      <c r="P144" s="233">
        <f t="shared" si="41"/>
        <v>0</v>
      </c>
      <c r="Q144" s="66">
        <f t="shared" si="42"/>
        <v>0</v>
      </c>
      <c r="R144" s="283"/>
      <c r="S144" s="55"/>
      <c r="T144" s="37"/>
      <c r="U144" s="38"/>
      <c r="V144" s="38"/>
      <c r="W144" s="38"/>
    </row>
    <row r="145" spans="1:24" ht="27.75" hidden="1" customHeight="1" thickTop="1">
      <c r="A145" s="22">
        <v>6</v>
      </c>
      <c r="B145" s="280" t="s">
        <v>282</v>
      </c>
      <c r="C145" s="271" t="s">
        <v>279</v>
      </c>
      <c r="D145" s="272"/>
      <c r="E145" s="201"/>
      <c r="F145" s="281"/>
      <c r="G145" s="61">
        <v>0</v>
      </c>
      <c r="H145" s="45">
        <v>0</v>
      </c>
      <c r="I145" s="61">
        <v>0</v>
      </c>
      <c r="J145" s="175"/>
      <c r="K145" s="282"/>
      <c r="L145" s="222"/>
      <c r="M145" s="94"/>
      <c r="N145" s="39"/>
      <c r="O145" s="233">
        <f t="shared" si="40"/>
        <v>0</v>
      </c>
      <c r="P145" s="233">
        <f t="shared" si="41"/>
        <v>0</v>
      </c>
      <c r="Q145" s="66">
        <f t="shared" si="42"/>
        <v>0</v>
      </c>
      <c r="R145" s="283"/>
      <c r="S145" s="37"/>
      <c r="T145" s="37"/>
      <c r="U145" s="38"/>
      <c r="V145" s="38"/>
      <c r="W145" s="38"/>
    </row>
    <row r="146" spans="1:24" ht="27.75" hidden="1" customHeight="1" thickTop="1">
      <c r="A146" s="22">
        <v>7</v>
      </c>
      <c r="B146" s="280" t="s">
        <v>92</v>
      </c>
      <c r="C146" s="271" t="s">
        <v>279</v>
      </c>
      <c r="D146" s="272"/>
      <c r="E146" s="201"/>
      <c r="F146" s="281"/>
      <c r="G146" s="61">
        <v>0</v>
      </c>
      <c r="H146" s="45">
        <v>0</v>
      </c>
      <c r="I146" s="61">
        <v>0</v>
      </c>
      <c r="J146" s="175"/>
      <c r="K146" s="282"/>
      <c r="L146" s="222"/>
      <c r="M146" s="94"/>
      <c r="N146" s="39"/>
      <c r="O146" s="233">
        <f t="shared" si="40"/>
        <v>0</v>
      </c>
      <c r="P146" s="233">
        <f t="shared" si="41"/>
        <v>0</v>
      </c>
      <c r="Q146" s="66">
        <f t="shared" si="42"/>
        <v>0</v>
      </c>
      <c r="R146" s="283"/>
      <c r="S146" s="37"/>
      <c r="T146" s="37"/>
      <c r="U146" s="38"/>
      <c r="V146" s="38"/>
      <c r="W146" s="38"/>
    </row>
    <row r="147" spans="1:24" ht="27.75" hidden="1" customHeight="1" thickTop="1">
      <c r="A147" s="22">
        <v>8</v>
      </c>
      <c r="B147" s="280" t="s">
        <v>91</v>
      </c>
      <c r="C147" s="271" t="s">
        <v>279</v>
      </c>
      <c r="D147" s="284"/>
      <c r="E147" s="201"/>
      <c r="F147" s="281"/>
      <c r="G147" s="61">
        <v>0</v>
      </c>
      <c r="H147" s="45">
        <v>0</v>
      </c>
      <c r="I147" s="61">
        <v>0</v>
      </c>
      <c r="J147" s="175"/>
      <c r="K147" s="282"/>
      <c r="L147" s="222"/>
      <c r="M147" s="94"/>
      <c r="N147" s="39"/>
      <c r="O147" s="233">
        <f t="shared" si="40"/>
        <v>0</v>
      </c>
      <c r="P147" s="233">
        <f t="shared" si="41"/>
        <v>0</v>
      </c>
      <c r="Q147" s="66">
        <f t="shared" si="42"/>
        <v>0</v>
      </c>
      <c r="R147" s="283"/>
      <c r="S147" s="37"/>
      <c r="T147" s="37"/>
      <c r="U147" s="38"/>
      <c r="V147" s="38"/>
      <c r="W147" s="38"/>
    </row>
    <row r="148" spans="1:24" ht="27.75" hidden="1" customHeight="1" thickTop="1">
      <c r="A148" s="22">
        <v>9</v>
      </c>
      <c r="B148" s="280" t="s">
        <v>236</v>
      </c>
      <c r="C148" s="271" t="s">
        <v>279</v>
      </c>
      <c r="D148" s="272">
        <v>0</v>
      </c>
      <c r="E148" s="201"/>
      <c r="F148" s="281"/>
      <c r="G148" s="61">
        <v>0</v>
      </c>
      <c r="H148" s="45">
        <v>0</v>
      </c>
      <c r="I148" s="61">
        <v>0</v>
      </c>
      <c r="J148" s="175"/>
      <c r="K148" s="282"/>
      <c r="L148" s="222"/>
      <c r="M148" s="94"/>
      <c r="N148" s="39"/>
      <c r="O148" s="233">
        <f t="shared" si="40"/>
        <v>0</v>
      </c>
      <c r="P148" s="233">
        <f t="shared" si="41"/>
        <v>0</v>
      </c>
      <c r="Q148" s="66">
        <f t="shared" si="42"/>
        <v>0</v>
      </c>
      <c r="R148" s="283"/>
      <c r="S148" s="37"/>
      <c r="T148" s="37"/>
      <c r="U148" s="38"/>
      <c r="V148" s="38"/>
      <c r="W148" s="38"/>
    </row>
    <row r="149" spans="1:24" ht="27.75" hidden="1" customHeight="1" thickTop="1">
      <c r="A149" s="22">
        <v>10</v>
      </c>
      <c r="B149" s="280" t="s">
        <v>94</v>
      </c>
      <c r="C149" s="280" t="s">
        <v>279</v>
      </c>
      <c r="D149" s="284"/>
      <c r="E149" s="201"/>
      <c r="F149" s="281"/>
      <c r="G149" s="61">
        <v>0</v>
      </c>
      <c r="H149" s="45">
        <v>0</v>
      </c>
      <c r="I149" s="61">
        <v>0</v>
      </c>
      <c r="J149" s="175"/>
      <c r="K149" s="282"/>
      <c r="L149" s="222"/>
      <c r="M149" s="94"/>
      <c r="N149" s="39"/>
      <c r="O149" s="233">
        <f t="shared" si="40"/>
        <v>0</v>
      </c>
      <c r="P149" s="233">
        <f t="shared" si="41"/>
        <v>0</v>
      </c>
      <c r="Q149" s="66">
        <f t="shared" si="42"/>
        <v>0</v>
      </c>
      <c r="R149" s="36"/>
      <c r="S149" s="37"/>
      <c r="T149" s="37"/>
      <c r="U149" s="38"/>
      <c r="V149" s="38"/>
      <c r="W149" s="38"/>
    </row>
    <row r="150" spans="1:24" ht="27.75" hidden="1" customHeight="1" thickTop="1">
      <c r="A150" s="22">
        <v>11</v>
      </c>
      <c r="B150" s="270"/>
      <c r="C150" s="285"/>
      <c r="D150" s="286"/>
      <c r="E150" s="273"/>
      <c r="F150" s="274"/>
      <c r="G150" s="65">
        <v>0</v>
      </c>
      <c r="H150" s="45">
        <v>0</v>
      </c>
      <c r="I150" s="61">
        <v>0</v>
      </c>
      <c r="J150" s="275"/>
      <c r="K150" s="276"/>
      <c r="L150" s="277"/>
      <c r="M150" s="232"/>
      <c r="N150" s="251"/>
      <c r="O150" s="233">
        <f t="shared" si="40"/>
        <v>0</v>
      </c>
      <c r="P150" s="233">
        <f t="shared" si="41"/>
        <v>0</v>
      </c>
      <c r="Q150" s="66">
        <f t="shared" si="42"/>
        <v>0</v>
      </c>
      <c r="R150" s="36"/>
      <c r="S150" s="37"/>
      <c r="T150" s="37"/>
      <c r="U150" s="38"/>
      <c r="V150" s="38"/>
      <c r="W150" s="38"/>
    </row>
    <row r="151" spans="1:24" ht="27.75" hidden="1" customHeight="1" thickTop="1">
      <c r="A151" s="22"/>
      <c r="B151" s="131" t="s">
        <v>22</v>
      </c>
      <c r="C151" s="132"/>
      <c r="D151" s="133">
        <f>SUM(D140:D150)</f>
        <v>0</v>
      </c>
      <c r="E151" s="134"/>
      <c r="F151" s="135"/>
      <c r="G151" s="136">
        <f>SUM(G140:G150)</f>
        <v>0</v>
      </c>
      <c r="H151" s="136">
        <f t="shared" ref="H151:I151" si="43">SUM(H140:H150)</f>
        <v>0</v>
      </c>
      <c r="I151" s="136">
        <f t="shared" si="43"/>
        <v>0</v>
      </c>
      <c r="J151" s="287"/>
      <c r="K151" s="137"/>
      <c r="L151" s="138">
        <f>SUM(L144:L150)</f>
        <v>0</v>
      </c>
      <c r="M151" s="139"/>
      <c r="N151" s="133"/>
      <c r="O151" s="136">
        <f>SUM(O140:O150)</f>
        <v>0</v>
      </c>
      <c r="P151" s="136">
        <f t="shared" ref="P151:Q151" si="44">SUM(P140:P150)</f>
        <v>0</v>
      </c>
      <c r="Q151" s="136">
        <f t="shared" si="44"/>
        <v>0</v>
      </c>
      <c r="R151" s="36"/>
      <c r="S151" s="37"/>
      <c r="T151" s="37"/>
      <c r="U151" s="38"/>
      <c r="V151" s="38"/>
      <c r="W151" s="38"/>
    </row>
    <row r="152" spans="1:24" ht="27.75" customHeight="1" thickTop="1">
      <c r="A152" s="22"/>
      <c r="B152" s="288" t="s">
        <v>283</v>
      </c>
      <c r="C152" s="289"/>
      <c r="D152" s="272"/>
      <c r="E152" s="201"/>
      <c r="F152" s="281"/>
      <c r="G152" s="290"/>
      <c r="H152" s="290"/>
      <c r="I152" s="290"/>
      <c r="J152" s="291"/>
      <c r="K152" s="292"/>
      <c r="L152" s="222"/>
      <c r="M152" s="94"/>
      <c r="N152" s="39"/>
      <c r="O152" s="293"/>
      <c r="P152" s="293"/>
      <c r="Q152" s="294"/>
      <c r="R152" s="36"/>
      <c r="S152" s="37"/>
      <c r="T152" s="37"/>
      <c r="U152" s="38"/>
      <c r="V152" s="38"/>
      <c r="W152" s="295"/>
    </row>
    <row r="153" spans="1:24" ht="27.75" customHeight="1">
      <c r="A153" s="94">
        <v>1</v>
      </c>
      <c r="B153" s="205" t="s">
        <v>192</v>
      </c>
      <c r="C153" s="206" t="s">
        <v>284</v>
      </c>
      <c r="D153" s="296">
        <v>66660</v>
      </c>
      <c r="E153" s="64"/>
      <c r="F153" s="44"/>
      <c r="G153" s="45">
        <v>0</v>
      </c>
      <c r="H153" s="45">
        <v>0</v>
      </c>
      <c r="I153" s="66">
        <v>0</v>
      </c>
      <c r="J153" s="183">
        <v>46178</v>
      </c>
      <c r="K153" s="184" t="s">
        <v>1467</v>
      </c>
      <c r="L153" s="231">
        <v>66660</v>
      </c>
      <c r="M153" s="186" t="s">
        <v>45</v>
      </c>
      <c r="N153" s="116">
        <v>0</v>
      </c>
      <c r="O153" s="233">
        <f>SUM(D153+G153-L153)</f>
        <v>0</v>
      </c>
      <c r="P153" s="233">
        <v>0</v>
      </c>
      <c r="Q153" s="66">
        <f>SUM(D153+I153-L153)</f>
        <v>0</v>
      </c>
      <c r="R153" s="297" t="s">
        <v>287</v>
      </c>
      <c r="S153" s="298">
        <v>44682</v>
      </c>
      <c r="T153" s="299">
        <v>45565</v>
      </c>
      <c r="U153" s="56">
        <v>347760</v>
      </c>
      <c r="V153" s="56" t="s">
        <v>288</v>
      </c>
      <c r="W153" s="295" t="s">
        <v>289</v>
      </c>
      <c r="X153" s="4" t="s">
        <v>290</v>
      </c>
    </row>
    <row r="154" spans="1:24" ht="27.75" customHeight="1">
      <c r="A154" s="83"/>
      <c r="B154" s="208" t="s">
        <v>291</v>
      </c>
      <c r="C154" s="209"/>
      <c r="D154" s="300"/>
      <c r="E154" s="211"/>
      <c r="F154" s="212"/>
      <c r="G154" s="213"/>
      <c r="H154" s="213"/>
      <c r="I154" s="214"/>
      <c r="J154" s="301"/>
      <c r="K154" s="302"/>
      <c r="L154" s="303"/>
      <c r="M154" s="304"/>
      <c r="N154" s="217"/>
      <c r="O154" s="305"/>
      <c r="P154" s="305"/>
      <c r="Q154" s="214"/>
      <c r="R154" s="306"/>
      <c r="S154" s="307"/>
      <c r="T154" s="37"/>
      <c r="U154" s="38"/>
      <c r="V154" s="38"/>
    </row>
    <row r="155" spans="1:24" ht="27.75" customHeight="1" thickBot="1">
      <c r="A155" s="193"/>
      <c r="B155" s="308" t="s">
        <v>22</v>
      </c>
      <c r="C155" s="309"/>
      <c r="D155" s="310">
        <f>SUM(D153:D154)</f>
        <v>66660</v>
      </c>
      <c r="E155" s="311"/>
      <c r="F155" s="312"/>
      <c r="G155" s="313">
        <f>SUM(G153:G154)</f>
        <v>0</v>
      </c>
      <c r="H155" s="313">
        <v>0</v>
      </c>
      <c r="I155" s="313">
        <f>SUM(I153)</f>
        <v>0</v>
      </c>
      <c r="J155" s="314"/>
      <c r="K155" s="314"/>
      <c r="L155" s="310">
        <f>SUM(L153:L154)</f>
        <v>66660</v>
      </c>
      <c r="M155" s="315"/>
      <c r="N155" s="310"/>
      <c r="O155" s="198">
        <f>SUM(O153:O154)-O153</f>
        <v>0</v>
      </c>
      <c r="P155" s="198">
        <f t="shared" ref="P155:Q155" si="45">SUM(P153:P154)-P153</f>
        <v>0</v>
      </c>
      <c r="Q155" s="198">
        <f t="shared" si="45"/>
        <v>0</v>
      </c>
      <c r="R155" s="36"/>
      <c r="S155" s="37"/>
      <c r="T155" s="37"/>
      <c r="U155" s="38"/>
      <c r="V155" s="38"/>
      <c r="W155" s="38"/>
    </row>
    <row r="156" spans="1:24" ht="27.75" customHeight="1" thickTop="1">
      <c r="A156" s="22"/>
      <c r="B156" s="23" t="s">
        <v>292</v>
      </c>
      <c r="C156" s="24"/>
      <c r="D156" s="25"/>
      <c r="E156" s="26"/>
      <c r="F156" s="27"/>
      <c r="G156" s="28"/>
      <c r="H156" s="28"/>
      <c r="I156" s="28"/>
      <c r="J156" s="29"/>
      <c r="K156" s="30"/>
      <c r="L156" s="31"/>
      <c r="M156" s="32"/>
      <c r="N156" s="33"/>
      <c r="O156" s="34"/>
      <c r="P156" s="34"/>
      <c r="Q156" s="35"/>
      <c r="R156" s="36"/>
      <c r="S156" s="37"/>
      <c r="T156" s="37"/>
      <c r="U156" s="38"/>
      <c r="V156" s="38"/>
      <c r="W156" s="38"/>
    </row>
    <row r="157" spans="1:24" ht="27.75" customHeight="1">
      <c r="A157" s="316">
        <v>1</v>
      </c>
      <c r="B157" s="280" t="s">
        <v>249</v>
      </c>
      <c r="C157" s="280" t="s">
        <v>250</v>
      </c>
      <c r="D157" s="272">
        <v>139.10000000000002</v>
      </c>
      <c r="E157" s="201" t="s">
        <v>1287</v>
      </c>
      <c r="F157" s="281">
        <v>1</v>
      </c>
      <c r="G157" s="61">
        <v>110</v>
      </c>
      <c r="H157" s="61">
        <v>7.7</v>
      </c>
      <c r="I157" s="61">
        <v>117.70000000000002</v>
      </c>
      <c r="J157" s="317" t="s">
        <v>1456</v>
      </c>
      <c r="K157" s="318" t="s">
        <v>1468</v>
      </c>
      <c r="L157" s="319">
        <v>181.9</v>
      </c>
      <c r="M157" s="320" t="s">
        <v>1329</v>
      </c>
      <c r="N157" s="39">
        <v>1</v>
      </c>
      <c r="O157" s="233">
        <f>+(D157*100/107)+G157-(L157*100/107)</f>
        <v>70.000000000000028</v>
      </c>
      <c r="P157" s="233">
        <f>ROUND((O157*0.07),2)</f>
        <v>4.9000000000000004</v>
      </c>
      <c r="Q157" s="66">
        <f>SUM(D157+I157-L157)</f>
        <v>74.900000000000063</v>
      </c>
      <c r="R157" s="36"/>
      <c r="S157" s="37"/>
      <c r="T157" s="37"/>
      <c r="U157" s="38"/>
      <c r="V157" s="38"/>
      <c r="W157" s="38"/>
    </row>
    <row r="158" spans="1:24" ht="27.75" customHeight="1">
      <c r="A158" s="316">
        <v>2</v>
      </c>
      <c r="B158" s="280" t="s">
        <v>294</v>
      </c>
      <c r="C158" s="280" t="s">
        <v>255</v>
      </c>
      <c r="D158" s="272">
        <v>96.3</v>
      </c>
      <c r="E158" s="201" t="s">
        <v>1051</v>
      </c>
      <c r="F158" s="281">
        <v>2</v>
      </c>
      <c r="G158" s="61">
        <v>100.00000000000001</v>
      </c>
      <c r="H158" s="61">
        <v>7</v>
      </c>
      <c r="I158" s="61">
        <v>107</v>
      </c>
      <c r="J158" s="321" t="s">
        <v>1415</v>
      </c>
      <c r="K158" s="322" t="s">
        <v>1469</v>
      </c>
      <c r="L158" s="323">
        <v>107</v>
      </c>
      <c r="M158" s="320" t="s">
        <v>1329</v>
      </c>
      <c r="N158" s="39">
        <v>1</v>
      </c>
      <c r="O158" s="233">
        <f t="shared" ref="O158:O164" si="46">+(D158*100/107)+G158-(L158*100/107)</f>
        <v>90</v>
      </c>
      <c r="P158" s="233">
        <f t="shared" ref="P158:P164" si="47">ROUND((O158*0.07),2)</f>
        <v>6.3</v>
      </c>
      <c r="Q158" s="66">
        <f t="shared" ref="Q158:Q164" si="48">SUM(D158+I158-L158)</f>
        <v>96.300000000000011</v>
      </c>
      <c r="R158" s="36"/>
      <c r="S158" s="37"/>
      <c r="T158" s="37"/>
      <c r="U158" s="38"/>
      <c r="V158" s="38"/>
      <c r="W158" s="38"/>
    </row>
    <row r="159" spans="1:24" ht="27.75" customHeight="1">
      <c r="A159" s="316">
        <v>3</v>
      </c>
      <c r="B159" s="270" t="s">
        <v>295</v>
      </c>
      <c r="C159" s="285" t="s">
        <v>255</v>
      </c>
      <c r="D159" s="284">
        <v>0</v>
      </c>
      <c r="E159" s="273" t="s">
        <v>45</v>
      </c>
      <c r="F159" s="274">
        <v>0</v>
      </c>
      <c r="G159" s="61">
        <v>0</v>
      </c>
      <c r="H159" s="61">
        <v>0</v>
      </c>
      <c r="I159" s="61">
        <v>0</v>
      </c>
      <c r="J159" s="321"/>
      <c r="K159" s="322"/>
      <c r="L159" s="323"/>
      <c r="M159" s="320" t="s">
        <v>45</v>
      </c>
      <c r="N159" s="251">
        <v>0</v>
      </c>
      <c r="O159" s="233">
        <f t="shared" si="46"/>
        <v>0</v>
      </c>
      <c r="P159" s="233">
        <f t="shared" si="47"/>
        <v>0</v>
      </c>
      <c r="Q159" s="66">
        <f t="shared" si="48"/>
        <v>0</v>
      </c>
      <c r="R159" s="36"/>
      <c r="S159" s="37"/>
      <c r="T159" s="37"/>
      <c r="U159" s="38"/>
      <c r="V159" s="38"/>
      <c r="W159" s="38"/>
    </row>
    <row r="160" spans="1:24" ht="27.75" customHeight="1">
      <c r="A160" s="22">
        <v>4</v>
      </c>
      <c r="B160" s="270" t="s">
        <v>296</v>
      </c>
      <c r="C160" s="270" t="s">
        <v>262</v>
      </c>
      <c r="D160" s="284">
        <v>0</v>
      </c>
      <c r="E160" s="273" t="s">
        <v>45</v>
      </c>
      <c r="F160" s="274">
        <v>0</v>
      </c>
      <c r="G160" s="65">
        <v>0</v>
      </c>
      <c r="H160" s="65">
        <v>0</v>
      </c>
      <c r="I160" s="65">
        <v>0</v>
      </c>
      <c r="J160" s="324"/>
      <c r="K160" s="325"/>
      <c r="L160" s="326"/>
      <c r="M160" s="327" t="s">
        <v>45</v>
      </c>
      <c r="N160" s="251">
        <v>0</v>
      </c>
      <c r="O160" s="233">
        <f t="shared" si="46"/>
        <v>0</v>
      </c>
      <c r="P160" s="233">
        <f t="shared" si="47"/>
        <v>0</v>
      </c>
      <c r="Q160" s="66">
        <f t="shared" si="48"/>
        <v>0</v>
      </c>
      <c r="R160" s="36"/>
      <c r="S160" s="37"/>
      <c r="T160" s="37"/>
      <c r="U160" s="38"/>
      <c r="V160" s="38"/>
      <c r="W160" s="38"/>
    </row>
    <row r="161" spans="1:24" ht="27.75" customHeight="1">
      <c r="A161" s="22">
        <v>5</v>
      </c>
      <c r="B161" s="270" t="s">
        <v>298</v>
      </c>
      <c r="C161" s="270" t="s">
        <v>199</v>
      </c>
      <c r="D161" s="284">
        <v>21.4</v>
      </c>
      <c r="E161" s="273" t="s">
        <v>45</v>
      </c>
      <c r="F161" s="274">
        <v>0</v>
      </c>
      <c r="G161" s="65">
        <v>0</v>
      </c>
      <c r="H161" s="65">
        <v>0</v>
      </c>
      <c r="I161" s="65">
        <v>0</v>
      </c>
      <c r="J161" s="328"/>
      <c r="K161" s="329"/>
      <c r="L161" s="330">
        <v>0</v>
      </c>
      <c r="M161" s="327" t="s">
        <v>1329</v>
      </c>
      <c r="N161" s="251">
        <v>1</v>
      </c>
      <c r="O161" s="233">
        <f t="shared" si="46"/>
        <v>20</v>
      </c>
      <c r="P161" s="233">
        <f t="shared" si="47"/>
        <v>1.4</v>
      </c>
      <c r="Q161" s="66">
        <f t="shared" si="48"/>
        <v>21.4</v>
      </c>
      <c r="R161" s="36"/>
      <c r="S161" s="37"/>
      <c r="T161" s="37"/>
      <c r="U161" s="38"/>
      <c r="V161" s="38"/>
      <c r="W161" s="38"/>
    </row>
    <row r="162" spans="1:24" ht="27.75" customHeight="1">
      <c r="A162" s="22">
        <v>6</v>
      </c>
      <c r="B162" s="270" t="s">
        <v>156</v>
      </c>
      <c r="C162" s="270" t="s">
        <v>208</v>
      </c>
      <c r="D162" s="284">
        <v>235.4</v>
      </c>
      <c r="E162" s="273" t="s">
        <v>45</v>
      </c>
      <c r="F162" s="274">
        <v>0</v>
      </c>
      <c r="G162" s="65">
        <v>0</v>
      </c>
      <c r="H162" s="65">
        <v>0</v>
      </c>
      <c r="I162" s="65">
        <v>0</v>
      </c>
      <c r="J162" s="328">
        <v>46178</v>
      </c>
      <c r="K162" s="329" t="s">
        <v>1470</v>
      </c>
      <c r="L162" s="330">
        <v>117.7</v>
      </c>
      <c r="M162" s="327" t="s">
        <v>1329</v>
      </c>
      <c r="N162" s="251">
        <v>1</v>
      </c>
      <c r="O162" s="233">
        <f t="shared" si="46"/>
        <v>110</v>
      </c>
      <c r="P162" s="233">
        <f t="shared" si="47"/>
        <v>7.7</v>
      </c>
      <c r="Q162" s="66">
        <f t="shared" si="48"/>
        <v>117.7</v>
      </c>
      <c r="R162" s="36"/>
      <c r="S162" s="37"/>
      <c r="T162" s="37"/>
      <c r="U162" s="38"/>
      <c r="V162" s="38"/>
      <c r="W162" s="38"/>
    </row>
    <row r="163" spans="1:24" ht="27.75" customHeight="1">
      <c r="A163" s="22">
        <v>7</v>
      </c>
      <c r="B163" s="270" t="s">
        <v>273</v>
      </c>
      <c r="C163" s="270" t="s">
        <v>211</v>
      </c>
      <c r="D163" s="284">
        <v>85.6</v>
      </c>
      <c r="E163" s="273" t="s">
        <v>45</v>
      </c>
      <c r="F163" s="274">
        <v>0</v>
      </c>
      <c r="G163" s="65">
        <v>0</v>
      </c>
      <c r="H163" s="65">
        <v>0</v>
      </c>
      <c r="I163" s="65">
        <v>0</v>
      </c>
      <c r="J163" s="328">
        <v>46180</v>
      </c>
      <c r="K163" s="329" t="s">
        <v>1471</v>
      </c>
      <c r="L163" s="330">
        <v>42.8</v>
      </c>
      <c r="M163" s="327" t="s">
        <v>1329</v>
      </c>
      <c r="N163" s="251">
        <v>1</v>
      </c>
      <c r="O163" s="233">
        <f t="shared" si="46"/>
        <v>40</v>
      </c>
      <c r="P163" s="233">
        <f t="shared" si="47"/>
        <v>2.8</v>
      </c>
      <c r="Q163" s="66">
        <f t="shared" si="48"/>
        <v>42.8</v>
      </c>
      <c r="R163" s="36"/>
      <c r="S163" s="37"/>
      <c r="T163" s="37"/>
      <c r="U163" s="38"/>
      <c r="V163" s="38"/>
      <c r="W163" s="38"/>
    </row>
    <row r="164" spans="1:24" ht="27.75" customHeight="1">
      <c r="A164" s="22">
        <v>8</v>
      </c>
      <c r="B164" s="270" t="s">
        <v>92</v>
      </c>
      <c r="C164" s="270" t="s">
        <v>302</v>
      </c>
      <c r="D164" s="284">
        <v>214</v>
      </c>
      <c r="E164" s="273" t="s">
        <v>45</v>
      </c>
      <c r="F164" s="274">
        <v>0</v>
      </c>
      <c r="G164" s="65">
        <v>0</v>
      </c>
      <c r="H164" s="65">
        <v>0</v>
      </c>
      <c r="I164" s="65">
        <v>0</v>
      </c>
      <c r="J164" s="331">
        <v>46202</v>
      </c>
      <c r="K164" s="332" t="s">
        <v>1472</v>
      </c>
      <c r="L164" s="333">
        <v>214</v>
      </c>
      <c r="M164" s="327" t="s">
        <v>45</v>
      </c>
      <c r="N164" s="251"/>
      <c r="O164" s="233">
        <f t="shared" si="46"/>
        <v>0</v>
      </c>
      <c r="P164" s="233">
        <f t="shared" si="47"/>
        <v>0</v>
      </c>
      <c r="Q164" s="66">
        <f t="shared" si="48"/>
        <v>0</v>
      </c>
      <c r="R164" s="36"/>
      <c r="S164" s="37"/>
      <c r="T164" s="37"/>
      <c r="U164" s="38"/>
      <c r="V164" s="38"/>
      <c r="W164" s="38"/>
    </row>
    <row r="165" spans="1:24" ht="27.75" customHeight="1">
      <c r="A165" s="22"/>
      <c r="B165" s="270"/>
      <c r="C165" s="270"/>
      <c r="D165" s="284"/>
      <c r="E165" s="273"/>
      <c r="F165" s="274"/>
      <c r="G165" s="65"/>
      <c r="H165" s="65"/>
      <c r="I165" s="65"/>
      <c r="J165" s="334"/>
      <c r="K165" s="335"/>
      <c r="L165" s="336"/>
      <c r="M165" s="327"/>
      <c r="N165" s="251"/>
      <c r="O165" s="337"/>
      <c r="P165" s="337"/>
      <c r="Q165" s="229"/>
      <c r="R165" s="36"/>
      <c r="S165" s="37"/>
      <c r="T165" s="37"/>
      <c r="U165" s="38"/>
      <c r="V165" s="38"/>
      <c r="W165" s="38"/>
    </row>
    <row r="166" spans="1:24" ht="27.75" customHeight="1" thickBot="1">
      <c r="A166" s="193"/>
      <c r="B166" s="194"/>
      <c r="C166" s="195"/>
      <c r="D166" s="196">
        <f>SUM(D157:D164)</f>
        <v>791.80000000000007</v>
      </c>
      <c r="E166" s="221"/>
      <c r="F166" s="197"/>
      <c r="G166" s="198">
        <f>SUM(G157:G165)</f>
        <v>210</v>
      </c>
      <c r="H166" s="198">
        <f t="shared" ref="H166:I166" si="49">SUM(H157:H165)</f>
        <v>14.7</v>
      </c>
      <c r="I166" s="198">
        <f t="shared" si="49"/>
        <v>224.70000000000002</v>
      </c>
      <c r="J166" s="338"/>
      <c r="K166" s="199"/>
      <c r="L166" s="196">
        <f>SUM(L157:L164)</f>
        <v>663.4</v>
      </c>
      <c r="M166" s="200"/>
      <c r="N166" s="196"/>
      <c r="O166" s="198">
        <f>SUM(O157:O164)</f>
        <v>330</v>
      </c>
      <c r="P166" s="198">
        <f t="shared" ref="P166:Q166" si="50">SUM(P157:P164)</f>
        <v>23.1</v>
      </c>
      <c r="Q166" s="198">
        <f t="shared" si="50"/>
        <v>353.10000000000008</v>
      </c>
      <c r="R166" s="36"/>
      <c r="S166" s="37"/>
      <c r="T166" s="37"/>
      <c r="U166" s="38"/>
      <c r="V166" s="38"/>
      <c r="W166" s="38"/>
    </row>
    <row r="167" spans="1:24" ht="27.75" customHeight="1" thickTop="1">
      <c r="A167" s="22"/>
      <c r="B167" s="288" t="s">
        <v>304</v>
      </c>
      <c r="C167" s="289"/>
      <c r="D167" s="272"/>
      <c r="E167" s="201"/>
      <c r="F167" s="281"/>
      <c r="G167" s="290"/>
      <c r="H167" s="290"/>
      <c r="I167" s="290"/>
      <c r="J167" s="291"/>
      <c r="K167" s="292"/>
      <c r="L167" s="222"/>
      <c r="M167" s="94"/>
      <c r="N167" s="39"/>
      <c r="O167" s="293"/>
      <c r="P167" s="293"/>
      <c r="Q167" s="294"/>
      <c r="R167" s="36"/>
      <c r="S167" s="37"/>
      <c r="T167" s="37"/>
      <c r="U167" s="38"/>
      <c r="V167" s="38"/>
      <c r="W167" s="38"/>
    </row>
    <row r="168" spans="1:24" ht="27.75" customHeight="1">
      <c r="A168" s="339"/>
      <c r="B168" s="340" t="s">
        <v>305</v>
      </c>
      <c r="C168" s="289"/>
      <c r="D168" s="272"/>
      <c r="E168" s="201"/>
      <c r="F168" s="341"/>
      <c r="G168" s="187"/>
      <c r="H168" s="187"/>
      <c r="I168" s="290"/>
      <c r="J168" s="342"/>
      <c r="K168" s="343"/>
      <c r="L168" s="264"/>
      <c r="M168" s="94"/>
      <c r="N168" s="116"/>
      <c r="O168" s="344"/>
      <c r="P168" s="344"/>
      <c r="Q168" s="294"/>
      <c r="R168" s="36"/>
      <c r="S168" s="37"/>
      <c r="T168" s="37"/>
      <c r="U168" s="38"/>
      <c r="V168" s="38"/>
      <c r="W168" s="345"/>
    </row>
    <row r="169" spans="1:24" ht="27.75" customHeight="1">
      <c r="A169" s="186">
        <v>1</v>
      </c>
      <c r="B169" s="205" t="s">
        <v>24</v>
      </c>
      <c r="C169" s="346" t="s">
        <v>25</v>
      </c>
      <c r="D169" s="141">
        <v>1410</v>
      </c>
      <c r="E169" s="43" t="s">
        <v>45</v>
      </c>
      <c r="F169" s="44">
        <v>0</v>
      </c>
      <c r="G169" s="45">
        <v>0</v>
      </c>
      <c r="H169" s="45"/>
      <c r="I169" s="47">
        <v>0</v>
      </c>
      <c r="J169" s="113">
        <v>46175</v>
      </c>
      <c r="K169" s="114" t="s">
        <v>1473</v>
      </c>
      <c r="L169" s="347">
        <v>1410</v>
      </c>
      <c r="M169" s="94" t="s">
        <v>45</v>
      </c>
      <c r="N169" s="116">
        <v>0</v>
      </c>
      <c r="O169" s="233">
        <f t="shared" ref="O169:O219" si="51">+I169+D169-L169</f>
        <v>0</v>
      </c>
      <c r="P169" s="233"/>
      <c r="Q169" s="47">
        <f t="shared" ref="Q169:Q219" si="52">+O169+P169</f>
        <v>0</v>
      </c>
      <c r="R169" s="348" t="s">
        <v>195</v>
      </c>
      <c r="S169" s="299" t="s">
        <v>307</v>
      </c>
      <c r="T169" s="299" t="s">
        <v>308</v>
      </c>
      <c r="U169" s="56">
        <v>3660</v>
      </c>
      <c r="V169" s="349" t="s">
        <v>309</v>
      </c>
      <c r="W169" s="295" t="s">
        <v>289</v>
      </c>
      <c r="X169" s="4" t="s">
        <v>310</v>
      </c>
    </row>
    <row r="170" spans="1:24" ht="27.75" customHeight="1">
      <c r="A170" s="186">
        <v>2</v>
      </c>
      <c r="B170" s="205" t="s">
        <v>28</v>
      </c>
      <c r="C170" s="346" t="s">
        <v>311</v>
      </c>
      <c r="D170" s="141">
        <v>1410</v>
      </c>
      <c r="E170" s="43" t="s">
        <v>45</v>
      </c>
      <c r="F170" s="44">
        <v>0</v>
      </c>
      <c r="G170" s="45">
        <v>0</v>
      </c>
      <c r="H170" s="45"/>
      <c r="I170" s="47">
        <v>0</v>
      </c>
      <c r="J170" s="113" t="s">
        <v>1412</v>
      </c>
      <c r="K170" s="114" t="s">
        <v>1474</v>
      </c>
      <c r="L170" s="347">
        <v>2820</v>
      </c>
      <c r="M170" s="94" t="s">
        <v>1382</v>
      </c>
      <c r="N170" s="116">
        <v>-1</v>
      </c>
      <c r="O170" s="233">
        <f t="shared" si="51"/>
        <v>-1410</v>
      </c>
      <c r="P170" s="233"/>
      <c r="Q170" s="47">
        <f t="shared" si="52"/>
        <v>-1410</v>
      </c>
      <c r="R170" s="348" t="s">
        <v>195</v>
      </c>
      <c r="S170" s="299" t="s">
        <v>307</v>
      </c>
      <c r="T170" s="299" t="s">
        <v>308</v>
      </c>
      <c r="U170" s="56">
        <v>36600</v>
      </c>
      <c r="V170" s="349" t="s">
        <v>313</v>
      </c>
      <c r="W170" s="4" t="s">
        <v>314</v>
      </c>
      <c r="X170" s="295" t="s">
        <v>289</v>
      </c>
    </row>
    <row r="171" spans="1:24" ht="27.75" customHeight="1">
      <c r="A171" s="186">
        <v>3</v>
      </c>
      <c r="B171" s="205" t="s">
        <v>28</v>
      </c>
      <c r="C171" s="346" t="s">
        <v>315</v>
      </c>
      <c r="D171" s="141">
        <v>1410</v>
      </c>
      <c r="E171" s="43" t="s">
        <v>45</v>
      </c>
      <c r="F171" s="44">
        <v>0</v>
      </c>
      <c r="G171" s="45">
        <v>0</v>
      </c>
      <c r="H171" s="45"/>
      <c r="I171" s="47">
        <v>0</v>
      </c>
      <c r="J171" s="113" t="s">
        <v>1412</v>
      </c>
      <c r="K171" s="114" t="s">
        <v>1474</v>
      </c>
      <c r="L171" s="347">
        <v>2820</v>
      </c>
      <c r="M171" s="94" t="s">
        <v>1382</v>
      </c>
      <c r="N171" s="116">
        <v>-1</v>
      </c>
      <c r="O171" s="233">
        <f t="shared" si="51"/>
        <v>-1410</v>
      </c>
      <c r="P171" s="233"/>
      <c r="Q171" s="47">
        <f t="shared" si="52"/>
        <v>-1410</v>
      </c>
      <c r="R171" s="348"/>
      <c r="S171" s="299"/>
      <c r="T171" s="299"/>
      <c r="U171" s="56"/>
      <c r="V171" s="349"/>
      <c r="X171" s="295"/>
    </row>
    <row r="172" spans="1:24" ht="27.75" customHeight="1">
      <c r="A172" s="186">
        <v>4</v>
      </c>
      <c r="B172" s="205" t="s">
        <v>24</v>
      </c>
      <c r="C172" s="346" t="s">
        <v>316</v>
      </c>
      <c r="D172" s="141">
        <v>1410</v>
      </c>
      <c r="E172" s="43" t="s">
        <v>45</v>
      </c>
      <c r="F172" s="44">
        <v>0</v>
      </c>
      <c r="G172" s="45">
        <v>0</v>
      </c>
      <c r="H172" s="45"/>
      <c r="I172" s="47">
        <v>0</v>
      </c>
      <c r="J172" s="113">
        <v>46175</v>
      </c>
      <c r="K172" s="114" t="s">
        <v>1475</v>
      </c>
      <c r="L172" s="347">
        <v>1410</v>
      </c>
      <c r="M172" s="94" t="s">
        <v>45</v>
      </c>
      <c r="N172" s="116">
        <v>0</v>
      </c>
      <c r="O172" s="233">
        <f t="shared" si="51"/>
        <v>0</v>
      </c>
      <c r="P172" s="233"/>
      <c r="Q172" s="47">
        <f t="shared" si="52"/>
        <v>0</v>
      </c>
      <c r="R172" s="348" t="s">
        <v>195</v>
      </c>
      <c r="S172" s="299" t="s">
        <v>307</v>
      </c>
      <c r="T172" s="299" t="s">
        <v>308</v>
      </c>
      <c r="U172" s="56">
        <v>10980</v>
      </c>
      <c r="V172" s="349" t="s">
        <v>317</v>
      </c>
      <c r="W172" s="295" t="s">
        <v>289</v>
      </c>
      <c r="X172" s="4" t="s">
        <v>310</v>
      </c>
    </row>
    <row r="173" spans="1:24" ht="27.75" customHeight="1">
      <c r="A173" s="186">
        <v>5</v>
      </c>
      <c r="B173" s="205" t="s">
        <v>24</v>
      </c>
      <c r="C173" s="346" t="s">
        <v>318</v>
      </c>
      <c r="D173" s="141">
        <v>1410</v>
      </c>
      <c r="E173" s="43" t="s">
        <v>45</v>
      </c>
      <c r="F173" s="44">
        <v>0</v>
      </c>
      <c r="G173" s="45">
        <v>0</v>
      </c>
      <c r="H173" s="45"/>
      <c r="I173" s="47">
        <v>0</v>
      </c>
      <c r="J173" s="113">
        <v>46175</v>
      </c>
      <c r="K173" s="114" t="s">
        <v>1473</v>
      </c>
      <c r="L173" s="347">
        <v>1410</v>
      </c>
      <c r="M173" s="94" t="s">
        <v>45</v>
      </c>
      <c r="N173" s="116">
        <v>0</v>
      </c>
      <c r="O173" s="233">
        <f t="shared" si="51"/>
        <v>0</v>
      </c>
      <c r="P173" s="233"/>
      <c r="Q173" s="47">
        <f t="shared" si="52"/>
        <v>0</v>
      </c>
      <c r="R173" s="348"/>
      <c r="S173" s="299"/>
      <c r="T173" s="299"/>
      <c r="U173" s="56"/>
      <c r="V173" s="349"/>
      <c r="W173" s="295"/>
    </row>
    <row r="174" spans="1:24" ht="27.75" customHeight="1">
      <c r="A174" s="186">
        <v>6</v>
      </c>
      <c r="B174" s="205" t="s">
        <v>24</v>
      </c>
      <c r="C174" s="346" t="s">
        <v>319</v>
      </c>
      <c r="D174" s="141">
        <v>1410</v>
      </c>
      <c r="E174" s="43" t="s">
        <v>45</v>
      </c>
      <c r="F174" s="44">
        <v>0</v>
      </c>
      <c r="G174" s="45">
        <v>0</v>
      </c>
      <c r="H174" s="45"/>
      <c r="I174" s="47">
        <v>0</v>
      </c>
      <c r="J174" s="113">
        <v>46175</v>
      </c>
      <c r="K174" s="114" t="s">
        <v>1473</v>
      </c>
      <c r="L174" s="347">
        <v>1410</v>
      </c>
      <c r="M174" s="94" t="s">
        <v>45</v>
      </c>
      <c r="N174" s="116">
        <v>0</v>
      </c>
      <c r="O174" s="233">
        <f t="shared" si="51"/>
        <v>0</v>
      </c>
      <c r="P174" s="233"/>
      <c r="Q174" s="47">
        <f t="shared" si="52"/>
        <v>0</v>
      </c>
      <c r="R174" s="348"/>
      <c r="S174" s="299"/>
      <c r="T174" s="299"/>
      <c r="U174" s="56"/>
      <c r="V174" s="349"/>
      <c r="W174" s="295"/>
    </row>
    <row r="175" spans="1:24" ht="27.75" customHeight="1">
      <c r="A175" s="186">
        <v>7</v>
      </c>
      <c r="B175" s="205" t="s">
        <v>28</v>
      </c>
      <c r="C175" s="346" t="s">
        <v>320</v>
      </c>
      <c r="D175" s="141">
        <v>1410</v>
      </c>
      <c r="E175" s="43" t="s">
        <v>45</v>
      </c>
      <c r="F175" s="44">
        <v>0</v>
      </c>
      <c r="G175" s="45">
        <v>0</v>
      </c>
      <c r="H175" s="45"/>
      <c r="I175" s="47">
        <v>0</v>
      </c>
      <c r="J175" s="113" t="s">
        <v>1412</v>
      </c>
      <c r="K175" s="114" t="s">
        <v>1476</v>
      </c>
      <c r="L175" s="347">
        <v>2820</v>
      </c>
      <c r="M175" s="94" t="s">
        <v>1382</v>
      </c>
      <c r="N175" s="116">
        <v>-1</v>
      </c>
      <c r="O175" s="233">
        <f t="shared" si="51"/>
        <v>-1410</v>
      </c>
      <c r="P175" s="233"/>
      <c r="Q175" s="47">
        <f t="shared" si="52"/>
        <v>-1410</v>
      </c>
      <c r="R175" s="348"/>
      <c r="S175" s="299"/>
      <c r="T175" s="299"/>
      <c r="U175" s="56"/>
      <c r="V175" s="349"/>
      <c r="W175" s="295"/>
    </row>
    <row r="176" spans="1:24" ht="27.75" customHeight="1">
      <c r="A176" s="186">
        <v>8</v>
      </c>
      <c r="B176" s="205" t="s">
        <v>28</v>
      </c>
      <c r="C176" s="346" t="s">
        <v>321</v>
      </c>
      <c r="D176" s="141">
        <v>1410</v>
      </c>
      <c r="E176" s="43" t="s">
        <v>45</v>
      </c>
      <c r="F176" s="44">
        <v>0</v>
      </c>
      <c r="G176" s="45">
        <v>0</v>
      </c>
      <c r="H176" s="45"/>
      <c r="I176" s="47">
        <v>0</v>
      </c>
      <c r="J176" s="113" t="s">
        <v>1412</v>
      </c>
      <c r="K176" s="114" t="s">
        <v>1476</v>
      </c>
      <c r="L176" s="347">
        <v>2820</v>
      </c>
      <c r="M176" s="94" t="s">
        <v>1382</v>
      </c>
      <c r="N176" s="116">
        <v>-1</v>
      </c>
      <c r="O176" s="233">
        <f t="shared" si="51"/>
        <v>-1410</v>
      </c>
      <c r="P176" s="233"/>
      <c r="Q176" s="47">
        <f t="shared" si="52"/>
        <v>-1410</v>
      </c>
      <c r="R176" s="348"/>
      <c r="S176" s="299"/>
      <c r="T176" s="299"/>
      <c r="U176" s="56"/>
      <c r="V176" s="349"/>
      <c r="W176" s="295"/>
    </row>
    <row r="177" spans="1:24" ht="27.75" customHeight="1">
      <c r="A177" s="186">
        <v>9</v>
      </c>
      <c r="B177" s="205" t="s">
        <v>28</v>
      </c>
      <c r="C177" s="346" t="s">
        <v>322</v>
      </c>
      <c r="D177" s="141">
        <v>1410</v>
      </c>
      <c r="E177" s="43" t="s">
        <v>45</v>
      </c>
      <c r="F177" s="44">
        <v>0</v>
      </c>
      <c r="G177" s="45">
        <v>0</v>
      </c>
      <c r="H177" s="45"/>
      <c r="I177" s="47">
        <v>0</v>
      </c>
      <c r="J177" s="113" t="s">
        <v>1412</v>
      </c>
      <c r="K177" s="114" t="s">
        <v>1476</v>
      </c>
      <c r="L177" s="347">
        <v>2820</v>
      </c>
      <c r="M177" s="94" t="s">
        <v>1382</v>
      </c>
      <c r="N177" s="116">
        <v>-1</v>
      </c>
      <c r="O177" s="233">
        <f t="shared" si="51"/>
        <v>-1410</v>
      </c>
      <c r="P177" s="233"/>
      <c r="Q177" s="47">
        <f t="shared" si="52"/>
        <v>-1410</v>
      </c>
      <c r="R177" s="348"/>
      <c r="S177" s="299"/>
      <c r="T177" s="299"/>
      <c r="U177" s="56"/>
      <c r="V177" s="349"/>
      <c r="W177" s="295"/>
    </row>
    <row r="178" spans="1:24" ht="27.75" customHeight="1">
      <c r="A178" s="186">
        <v>10</v>
      </c>
      <c r="B178" s="205" t="s">
        <v>28</v>
      </c>
      <c r="C178" s="346" t="s">
        <v>323</v>
      </c>
      <c r="D178" s="141">
        <v>1410</v>
      </c>
      <c r="E178" s="43" t="s">
        <v>45</v>
      </c>
      <c r="F178" s="44">
        <v>0</v>
      </c>
      <c r="G178" s="45">
        <v>0</v>
      </c>
      <c r="H178" s="45"/>
      <c r="I178" s="47">
        <v>0</v>
      </c>
      <c r="J178" s="113" t="s">
        <v>1412</v>
      </c>
      <c r="K178" s="114" t="s">
        <v>1476</v>
      </c>
      <c r="L178" s="347">
        <v>2820</v>
      </c>
      <c r="M178" s="94" t="s">
        <v>1382</v>
      </c>
      <c r="N178" s="116">
        <v>-1</v>
      </c>
      <c r="O178" s="233">
        <f t="shared" si="51"/>
        <v>-1410</v>
      </c>
      <c r="P178" s="233"/>
      <c r="Q178" s="47">
        <f t="shared" si="52"/>
        <v>-1410</v>
      </c>
      <c r="R178" s="348"/>
      <c r="S178" s="299"/>
      <c r="T178" s="299"/>
      <c r="U178" s="56"/>
      <c r="V178" s="349"/>
      <c r="W178" s="295"/>
    </row>
    <row r="179" spans="1:24" ht="27.75" customHeight="1">
      <c r="A179" s="186">
        <v>11</v>
      </c>
      <c r="B179" s="205" t="s">
        <v>28</v>
      </c>
      <c r="C179" s="346" t="s">
        <v>324</v>
      </c>
      <c r="D179" s="141">
        <v>1410</v>
      </c>
      <c r="E179" s="43" t="s">
        <v>45</v>
      </c>
      <c r="F179" s="44">
        <v>0</v>
      </c>
      <c r="G179" s="45">
        <v>0</v>
      </c>
      <c r="H179" s="45"/>
      <c r="I179" s="47">
        <v>0</v>
      </c>
      <c r="J179" s="113" t="s">
        <v>1412</v>
      </c>
      <c r="K179" s="114" t="s">
        <v>1476</v>
      </c>
      <c r="L179" s="347">
        <v>2820</v>
      </c>
      <c r="M179" s="94" t="s">
        <v>1382</v>
      </c>
      <c r="N179" s="116">
        <v>-1</v>
      </c>
      <c r="O179" s="233">
        <f t="shared" si="51"/>
        <v>-1410</v>
      </c>
      <c r="P179" s="233"/>
      <c r="Q179" s="47">
        <f t="shared" si="52"/>
        <v>-1410</v>
      </c>
      <c r="R179" s="348"/>
      <c r="S179" s="299"/>
      <c r="T179" s="299"/>
      <c r="U179" s="56"/>
      <c r="V179" s="349"/>
      <c r="W179" s="295"/>
    </row>
    <row r="180" spans="1:24" ht="27.75" customHeight="1">
      <c r="A180" s="186">
        <v>12</v>
      </c>
      <c r="B180" s="205" t="s">
        <v>325</v>
      </c>
      <c r="C180" s="346" t="s">
        <v>326</v>
      </c>
      <c r="D180" s="141">
        <v>1410</v>
      </c>
      <c r="E180" s="43" t="s">
        <v>45</v>
      </c>
      <c r="F180" s="44">
        <v>0</v>
      </c>
      <c r="G180" s="45">
        <v>0</v>
      </c>
      <c r="H180" s="45"/>
      <c r="I180" s="47">
        <v>0</v>
      </c>
      <c r="J180" s="113">
        <v>46178</v>
      </c>
      <c r="K180" s="114" t="s">
        <v>1477</v>
      </c>
      <c r="L180" s="347">
        <v>1410</v>
      </c>
      <c r="M180" s="94" t="s">
        <v>45</v>
      </c>
      <c r="N180" s="116">
        <v>0</v>
      </c>
      <c r="O180" s="233">
        <f t="shared" si="51"/>
        <v>0</v>
      </c>
      <c r="P180" s="233"/>
      <c r="Q180" s="47">
        <f t="shared" si="52"/>
        <v>0</v>
      </c>
      <c r="R180" s="348" t="s">
        <v>195</v>
      </c>
      <c r="S180" s="299" t="s">
        <v>307</v>
      </c>
      <c r="T180" s="299" t="s">
        <v>308</v>
      </c>
      <c r="U180" s="56">
        <v>14640</v>
      </c>
      <c r="V180" s="349" t="s">
        <v>328</v>
      </c>
      <c r="W180" s="295" t="s">
        <v>289</v>
      </c>
      <c r="X180" s="4" t="s">
        <v>329</v>
      </c>
    </row>
    <row r="181" spans="1:24" ht="27.75" customHeight="1">
      <c r="A181" s="186">
        <v>13</v>
      </c>
      <c r="B181" s="205" t="s">
        <v>325</v>
      </c>
      <c r="C181" s="346" t="s">
        <v>330</v>
      </c>
      <c r="D181" s="141">
        <v>1410</v>
      </c>
      <c r="E181" s="43" t="s">
        <v>45</v>
      </c>
      <c r="F181" s="44">
        <v>0</v>
      </c>
      <c r="G181" s="45">
        <v>0</v>
      </c>
      <c r="H181" s="45"/>
      <c r="I181" s="47">
        <v>0</v>
      </c>
      <c r="J181" s="113">
        <v>46178</v>
      </c>
      <c r="K181" s="114" t="s">
        <v>1477</v>
      </c>
      <c r="L181" s="347">
        <v>1410</v>
      </c>
      <c r="M181" s="94" t="s">
        <v>45</v>
      </c>
      <c r="N181" s="116">
        <v>0</v>
      </c>
      <c r="O181" s="233">
        <f t="shared" si="51"/>
        <v>0</v>
      </c>
      <c r="P181" s="233"/>
      <c r="Q181" s="47">
        <f t="shared" si="52"/>
        <v>0</v>
      </c>
      <c r="R181" s="348"/>
      <c r="S181" s="299"/>
      <c r="T181" s="299"/>
      <c r="U181" s="56"/>
      <c r="V181" s="349"/>
      <c r="W181" s="295"/>
    </row>
    <row r="182" spans="1:24" ht="27.75" customHeight="1">
      <c r="A182" s="186">
        <v>14</v>
      </c>
      <c r="B182" s="205" t="s">
        <v>325</v>
      </c>
      <c r="C182" s="346" t="s">
        <v>331</v>
      </c>
      <c r="D182" s="141">
        <v>1410</v>
      </c>
      <c r="E182" s="43" t="s">
        <v>45</v>
      </c>
      <c r="F182" s="44">
        <v>0</v>
      </c>
      <c r="G182" s="45">
        <v>0</v>
      </c>
      <c r="H182" s="45"/>
      <c r="I182" s="47">
        <v>0</v>
      </c>
      <c r="J182" s="113">
        <v>46178</v>
      </c>
      <c r="K182" s="114" t="s">
        <v>1477</v>
      </c>
      <c r="L182" s="347">
        <v>1410</v>
      </c>
      <c r="M182" s="94" t="s">
        <v>45</v>
      </c>
      <c r="N182" s="116">
        <v>0</v>
      </c>
      <c r="O182" s="233">
        <f t="shared" si="51"/>
        <v>0</v>
      </c>
      <c r="P182" s="233"/>
      <c r="Q182" s="47">
        <f t="shared" si="52"/>
        <v>0</v>
      </c>
      <c r="R182" s="348"/>
      <c r="S182" s="299"/>
      <c r="T182" s="299"/>
      <c r="U182" s="56"/>
      <c r="V182" s="349"/>
      <c r="W182" s="295"/>
    </row>
    <row r="183" spans="1:24" ht="27.75" customHeight="1">
      <c r="A183" s="186">
        <v>15</v>
      </c>
      <c r="B183" s="205" t="s">
        <v>325</v>
      </c>
      <c r="C183" s="346" t="s">
        <v>332</v>
      </c>
      <c r="D183" s="141">
        <v>1410</v>
      </c>
      <c r="E183" s="43" t="s">
        <v>45</v>
      </c>
      <c r="F183" s="44">
        <v>0</v>
      </c>
      <c r="G183" s="45">
        <v>0</v>
      </c>
      <c r="H183" s="45"/>
      <c r="I183" s="47">
        <v>0</v>
      </c>
      <c r="J183" s="113">
        <v>46178</v>
      </c>
      <c r="K183" s="114" t="s">
        <v>1477</v>
      </c>
      <c r="L183" s="347">
        <v>1410</v>
      </c>
      <c r="M183" s="94" t="s">
        <v>45</v>
      </c>
      <c r="N183" s="116">
        <v>0</v>
      </c>
      <c r="O183" s="233">
        <f t="shared" si="51"/>
        <v>0</v>
      </c>
      <c r="P183" s="233"/>
      <c r="Q183" s="47">
        <f t="shared" si="52"/>
        <v>0</v>
      </c>
      <c r="R183" s="348"/>
      <c r="S183" s="299"/>
      <c r="T183" s="299"/>
      <c r="U183" s="56"/>
      <c r="V183" s="349"/>
      <c r="W183" s="295"/>
    </row>
    <row r="184" spans="1:24" ht="27.75" customHeight="1">
      <c r="A184" s="186">
        <v>16</v>
      </c>
      <c r="B184" s="205" t="s">
        <v>28</v>
      </c>
      <c r="C184" s="346" t="s">
        <v>333</v>
      </c>
      <c r="D184" s="141">
        <v>1410</v>
      </c>
      <c r="E184" s="43" t="s">
        <v>45</v>
      </c>
      <c r="F184" s="44">
        <v>0</v>
      </c>
      <c r="G184" s="45">
        <v>0</v>
      </c>
      <c r="H184" s="45"/>
      <c r="I184" s="47">
        <v>0</v>
      </c>
      <c r="J184" s="113">
        <v>46174</v>
      </c>
      <c r="K184" s="114" t="s">
        <v>1478</v>
      </c>
      <c r="L184" s="347">
        <v>2820</v>
      </c>
      <c r="M184" s="94" t="s">
        <v>1382</v>
      </c>
      <c r="N184" s="116">
        <v>-1</v>
      </c>
      <c r="O184" s="233">
        <f t="shared" si="51"/>
        <v>-1410</v>
      </c>
      <c r="P184" s="233"/>
      <c r="Q184" s="47">
        <f t="shared" si="52"/>
        <v>-1410</v>
      </c>
      <c r="R184" s="348"/>
      <c r="S184" s="299"/>
      <c r="T184" s="299"/>
      <c r="U184" s="56"/>
      <c r="V184" s="349"/>
      <c r="W184" s="295"/>
    </row>
    <row r="185" spans="1:24" ht="27.75" customHeight="1">
      <c r="A185" s="186">
        <v>17</v>
      </c>
      <c r="B185" s="205" t="s">
        <v>28</v>
      </c>
      <c r="C185" s="346" t="s">
        <v>334</v>
      </c>
      <c r="D185" s="141">
        <v>1410</v>
      </c>
      <c r="E185" s="43" t="s">
        <v>45</v>
      </c>
      <c r="F185" s="44">
        <v>0</v>
      </c>
      <c r="G185" s="45">
        <v>0</v>
      </c>
      <c r="H185" s="45"/>
      <c r="I185" s="47">
        <v>0</v>
      </c>
      <c r="J185" s="113">
        <v>46174</v>
      </c>
      <c r="K185" s="114" t="s">
        <v>1478</v>
      </c>
      <c r="L185" s="347">
        <v>2820</v>
      </c>
      <c r="M185" s="94" t="s">
        <v>1382</v>
      </c>
      <c r="N185" s="116">
        <v>-1</v>
      </c>
      <c r="O185" s="233">
        <f t="shared" si="51"/>
        <v>-1410</v>
      </c>
      <c r="P185" s="233"/>
      <c r="Q185" s="47">
        <f t="shared" si="52"/>
        <v>-1410</v>
      </c>
      <c r="R185" s="348"/>
      <c r="S185" s="299"/>
      <c r="T185" s="299"/>
      <c r="U185" s="56"/>
      <c r="V185" s="349"/>
      <c r="W185" s="295"/>
    </row>
    <row r="186" spans="1:24" ht="27.75" customHeight="1">
      <c r="A186" s="186">
        <v>18</v>
      </c>
      <c r="B186" s="205" t="s">
        <v>28</v>
      </c>
      <c r="C186" s="346" t="s">
        <v>335</v>
      </c>
      <c r="D186" s="141">
        <v>1410</v>
      </c>
      <c r="E186" s="43" t="s">
        <v>45</v>
      </c>
      <c r="F186" s="44">
        <v>0</v>
      </c>
      <c r="G186" s="45">
        <v>0</v>
      </c>
      <c r="H186" s="45"/>
      <c r="I186" s="47">
        <v>0</v>
      </c>
      <c r="J186" s="113">
        <v>46174</v>
      </c>
      <c r="K186" s="114" t="s">
        <v>1478</v>
      </c>
      <c r="L186" s="347">
        <v>2820</v>
      </c>
      <c r="M186" s="94" t="s">
        <v>1382</v>
      </c>
      <c r="N186" s="116">
        <v>-1</v>
      </c>
      <c r="O186" s="233">
        <f t="shared" si="51"/>
        <v>-1410</v>
      </c>
      <c r="P186" s="233"/>
      <c r="Q186" s="47">
        <f t="shared" si="52"/>
        <v>-1410</v>
      </c>
      <c r="R186" s="348"/>
      <c r="S186" s="299"/>
      <c r="T186" s="299"/>
      <c r="U186" s="56"/>
      <c r="V186" s="349"/>
      <c r="W186" s="295"/>
    </row>
    <row r="187" spans="1:24" ht="27.75" customHeight="1">
      <c r="A187" s="186">
        <v>19</v>
      </c>
      <c r="B187" s="205" t="s">
        <v>40</v>
      </c>
      <c r="C187" s="346" t="s">
        <v>336</v>
      </c>
      <c r="D187" s="141">
        <v>1500</v>
      </c>
      <c r="E187" s="43" t="s">
        <v>45</v>
      </c>
      <c r="F187" s="44">
        <v>0</v>
      </c>
      <c r="G187" s="45">
        <v>0</v>
      </c>
      <c r="H187" s="45"/>
      <c r="I187" s="47">
        <v>0</v>
      </c>
      <c r="J187" s="113">
        <v>46177</v>
      </c>
      <c r="K187" s="114" t="s">
        <v>1479</v>
      </c>
      <c r="L187" s="347">
        <v>1500</v>
      </c>
      <c r="M187" s="94" t="s">
        <v>45</v>
      </c>
      <c r="N187" s="116">
        <v>0</v>
      </c>
      <c r="O187" s="233">
        <f t="shared" si="51"/>
        <v>0</v>
      </c>
      <c r="P187" s="233"/>
      <c r="Q187" s="47">
        <f t="shared" si="52"/>
        <v>0</v>
      </c>
      <c r="R187" s="39" t="s">
        <v>195</v>
      </c>
      <c r="S187" s="55">
        <v>43313</v>
      </c>
      <c r="T187" s="55">
        <v>44408</v>
      </c>
      <c r="U187" s="56">
        <v>9540</v>
      </c>
      <c r="V187" s="349"/>
    </row>
    <row r="188" spans="1:24" ht="27.75" customHeight="1">
      <c r="A188" s="186">
        <v>20</v>
      </c>
      <c r="B188" s="205" t="s">
        <v>40</v>
      </c>
      <c r="C188" s="346" t="s">
        <v>338</v>
      </c>
      <c r="D188" s="141">
        <v>1500</v>
      </c>
      <c r="E188" s="43" t="s">
        <v>45</v>
      </c>
      <c r="F188" s="44">
        <v>0</v>
      </c>
      <c r="G188" s="45">
        <v>0</v>
      </c>
      <c r="H188" s="45"/>
      <c r="I188" s="47">
        <v>0</v>
      </c>
      <c r="J188" s="113">
        <v>46177</v>
      </c>
      <c r="K188" s="114" t="s">
        <v>1479</v>
      </c>
      <c r="L188" s="347">
        <v>1500</v>
      </c>
      <c r="M188" s="94" t="s">
        <v>45</v>
      </c>
      <c r="N188" s="116">
        <v>0</v>
      </c>
      <c r="O188" s="233">
        <f t="shared" si="51"/>
        <v>0</v>
      </c>
      <c r="P188" s="233"/>
      <c r="Q188" s="47">
        <f t="shared" si="52"/>
        <v>0</v>
      </c>
      <c r="R188" s="39"/>
      <c r="S188" s="55"/>
      <c r="T188" s="55"/>
      <c r="U188" s="56"/>
      <c r="V188" s="349"/>
    </row>
    <row r="189" spans="1:24" ht="27.75" customHeight="1">
      <c r="A189" s="186">
        <v>21</v>
      </c>
      <c r="B189" s="205" t="s">
        <v>40</v>
      </c>
      <c r="C189" s="346" t="s">
        <v>339</v>
      </c>
      <c r="D189" s="141">
        <v>1500</v>
      </c>
      <c r="E189" s="43" t="s">
        <v>45</v>
      </c>
      <c r="F189" s="44">
        <v>0</v>
      </c>
      <c r="G189" s="45">
        <v>0</v>
      </c>
      <c r="H189" s="45"/>
      <c r="I189" s="47">
        <v>0</v>
      </c>
      <c r="J189" s="113">
        <v>46177</v>
      </c>
      <c r="K189" s="114" t="s">
        <v>1479</v>
      </c>
      <c r="L189" s="347">
        <v>1500</v>
      </c>
      <c r="M189" s="94" t="s">
        <v>45</v>
      </c>
      <c r="N189" s="116">
        <v>0</v>
      </c>
      <c r="O189" s="233">
        <f t="shared" si="51"/>
        <v>0</v>
      </c>
      <c r="P189" s="233"/>
      <c r="Q189" s="47">
        <f t="shared" si="52"/>
        <v>0</v>
      </c>
      <c r="R189" s="39"/>
      <c r="S189" s="55"/>
      <c r="T189" s="55"/>
      <c r="U189" s="56"/>
      <c r="V189" s="349"/>
    </row>
    <row r="190" spans="1:24" ht="27.75" customHeight="1">
      <c r="A190" s="186">
        <v>22</v>
      </c>
      <c r="B190" s="40" t="s">
        <v>43</v>
      </c>
      <c r="C190" s="346" t="s">
        <v>340</v>
      </c>
      <c r="D190" s="141">
        <v>1410</v>
      </c>
      <c r="E190" s="43" t="s">
        <v>45</v>
      </c>
      <c r="F190" s="44">
        <v>0</v>
      </c>
      <c r="G190" s="45">
        <v>0</v>
      </c>
      <c r="H190" s="45"/>
      <c r="I190" s="47">
        <v>0</v>
      </c>
      <c r="J190" s="113">
        <v>46177</v>
      </c>
      <c r="K190" s="114" t="s">
        <v>1480</v>
      </c>
      <c r="L190" s="347">
        <v>1410</v>
      </c>
      <c r="M190" s="94" t="s">
        <v>45</v>
      </c>
      <c r="N190" s="116">
        <v>0</v>
      </c>
      <c r="O190" s="233">
        <f t="shared" si="51"/>
        <v>0</v>
      </c>
      <c r="P190" s="233"/>
      <c r="Q190" s="47">
        <f t="shared" si="52"/>
        <v>0</v>
      </c>
      <c r="R190" s="348" t="s">
        <v>195</v>
      </c>
      <c r="S190" s="299" t="s">
        <v>307</v>
      </c>
      <c r="T190" s="299" t="s">
        <v>308</v>
      </c>
      <c r="U190" s="56">
        <v>7320</v>
      </c>
      <c r="V190" s="349" t="s">
        <v>342</v>
      </c>
      <c r="W190" s="295" t="s">
        <v>289</v>
      </c>
      <c r="X190" s="4" t="s">
        <v>343</v>
      </c>
    </row>
    <row r="191" spans="1:24" ht="27.75" customHeight="1">
      <c r="A191" s="186">
        <v>23</v>
      </c>
      <c r="B191" s="40" t="s">
        <v>43</v>
      </c>
      <c r="C191" s="346" t="s">
        <v>344</v>
      </c>
      <c r="D191" s="141">
        <v>1410</v>
      </c>
      <c r="E191" s="43" t="s">
        <v>45</v>
      </c>
      <c r="F191" s="44">
        <v>0</v>
      </c>
      <c r="G191" s="45">
        <v>0</v>
      </c>
      <c r="H191" s="45"/>
      <c r="I191" s="47">
        <v>0</v>
      </c>
      <c r="J191" s="113">
        <v>46177</v>
      </c>
      <c r="K191" s="114" t="s">
        <v>1480</v>
      </c>
      <c r="L191" s="347">
        <v>1410</v>
      </c>
      <c r="M191" s="94" t="s">
        <v>45</v>
      </c>
      <c r="N191" s="116">
        <v>0</v>
      </c>
      <c r="O191" s="233">
        <f t="shared" si="51"/>
        <v>0</v>
      </c>
      <c r="P191" s="233"/>
      <c r="Q191" s="47">
        <f t="shared" si="52"/>
        <v>0</v>
      </c>
      <c r="R191" s="348"/>
      <c r="S191" s="299"/>
      <c r="T191" s="299"/>
      <c r="U191" s="56"/>
      <c r="V191" s="349"/>
      <c r="W191" s="295"/>
    </row>
    <row r="192" spans="1:24" ht="27.75" customHeight="1">
      <c r="A192" s="186">
        <v>24</v>
      </c>
      <c r="B192" s="40" t="s">
        <v>345</v>
      </c>
      <c r="C192" s="346" t="s">
        <v>346</v>
      </c>
      <c r="D192" s="141">
        <v>1410</v>
      </c>
      <c r="E192" s="43" t="s">
        <v>45</v>
      </c>
      <c r="F192" s="44">
        <v>0</v>
      </c>
      <c r="G192" s="45">
        <v>0</v>
      </c>
      <c r="H192" s="45"/>
      <c r="I192" s="47">
        <v>0</v>
      </c>
      <c r="J192" s="113">
        <v>46176</v>
      </c>
      <c r="K192" s="114" t="s">
        <v>1481</v>
      </c>
      <c r="L192" s="347">
        <v>1410</v>
      </c>
      <c r="M192" s="94" t="s">
        <v>45</v>
      </c>
      <c r="N192" s="116">
        <v>0</v>
      </c>
      <c r="O192" s="233">
        <f t="shared" si="51"/>
        <v>0</v>
      </c>
      <c r="P192" s="233"/>
      <c r="Q192" s="47">
        <f t="shared" si="52"/>
        <v>0</v>
      </c>
      <c r="R192" s="39" t="s">
        <v>195</v>
      </c>
      <c r="S192" s="55">
        <v>43313</v>
      </c>
      <c r="T192" s="55">
        <v>44408</v>
      </c>
      <c r="U192" s="56">
        <v>12720</v>
      </c>
      <c r="V192" s="349"/>
    </row>
    <row r="193" spans="1:25" ht="27.75" customHeight="1">
      <c r="A193" s="186">
        <v>25</v>
      </c>
      <c r="B193" s="40" t="s">
        <v>345</v>
      </c>
      <c r="C193" s="346" t="s">
        <v>348</v>
      </c>
      <c r="D193" s="141">
        <v>1410</v>
      </c>
      <c r="E193" s="43" t="s">
        <v>45</v>
      </c>
      <c r="F193" s="44">
        <v>0</v>
      </c>
      <c r="G193" s="45">
        <v>0</v>
      </c>
      <c r="H193" s="45"/>
      <c r="I193" s="47">
        <v>0</v>
      </c>
      <c r="J193" s="113">
        <v>46176</v>
      </c>
      <c r="K193" s="114" t="s">
        <v>1481</v>
      </c>
      <c r="L193" s="347">
        <v>1410</v>
      </c>
      <c r="M193" s="94" t="s">
        <v>45</v>
      </c>
      <c r="N193" s="116">
        <v>0</v>
      </c>
      <c r="O193" s="233">
        <f t="shared" si="51"/>
        <v>0</v>
      </c>
      <c r="P193" s="233"/>
      <c r="Q193" s="47">
        <f t="shared" si="52"/>
        <v>0</v>
      </c>
      <c r="R193" s="39"/>
      <c r="S193" s="55"/>
      <c r="T193" s="55"/>
      <c r="U193" s="56"/>
      <c r="V193" s="349"/>
    </row>
    <row r="194" spans="1:25" ht="27.75" customHeight="1">
      <c r="A194" s="186">
        <v>26</v>
      </c>
      <c r="B194" s="40" t="s">
        <v>345</v>
      </c>
      <c r="C194" s="346" t="s">
        <v>349</v>
      </c>
      <c r="D194" s="141">
        <v>1410</v>
      </c>
      <c r="E194" s="43" t="s">
        <v>45</v>
      </c>
      <c r="F194" s="44">
        <v>0</v>
      </c>
      <c r="G194" s="45">
        <v>0</v>
      </c>
      <c r="H194" s="45"/>
      <c r="I194" s="47">
        <v>0</v>
      </c>
      <c r="J194" s="113">
        <v>46176</v>
      </c>
      <c r="K194" s="114" t="s">
        <v>1481</v>
      </c>
      <c r="L194" s="347">
        <v>1410</v>
      </c>
      <c r="M194" s="94" t="s">
        <v>45</v>
      </c>
      <c r="N194" s="116">
        <v>0</v>
      </c>
      <c r="O194" s="233">
        <f t="shared" si="51"/>
        <v>0</v>
      </c>
      <c r="P194" s="233"/>
      <c r="Q194" s="47">
        <f t="shared" si="52"/>
        <v>0</v>
      </c>
      <c r="R194" s="39"/>
      <c r="S194" s="55"/>
      <c r="T194" s="55"/>
      <c r="U194" s="56"/>
      <c r="V194" s="349"/>
    </row>
    <row r="195" spans="1:25" ht="27.75" customHeight="1">
      <c r="A195" s="186">
        <v>27</v>
      </c>
      <c r="B195" s="40" t="s">
        <v>345</v>
      </c>
      <c r="C195" s="346" t="s">
        <v>350</v>
      </c>
      <c r="D195" s="141">
        <v>1410</v>
      </c>
      <c r="E195" s="43" t="s">
        <v>45</v>
      </c>
      <c r="F195" s="44">
        <v>0</v>
      </c>
      <c r="G195" s="45">
        <v>0</v>
      </c>
      <c r="H195" s="45"/>
      <c r="I195" s="47">
        <v>0</v>
      </c>
      <c r="J195" s="113">
        <v>46176</v>
      </c>
      <c r="K195" s="114" t="s">
        <v>1481</v>
      </c>
      <c r="L195" s="347">
        <v>1410</v>
      </c>
      <c r="M195" s="94" t="s">
        <v>45</v>
      </c>
      <c r="N195" s="116">
        <v>0</v>
      </c>
      <c r="O195" s="233">
        <f t="shared" si="51"/>
        <v>0</v>
      </c>
      <c r="P195" s="233"/>
      <c r="Q195" s="47">
        <f t="shared" si="52"/>
        <v>0</v>
      </c>
      <c r="R195" s="39"/>
      <c r="S195" s="55"/>
      <c r="T195" s="55"/>
      <c r="U195" s="56"/>
      <c r="V195" s="349"/>
    </row>
    <row r="196" spans="1:25" ht="27.75" customHeight="1">
      <c r="A196" s="186">
        <v>28</v>
      </c>
      <c r="B196" s="40" t="s">
        <v>351</v>
      </c>
      <c r="C196" s="346" t="s">
        <v>352</v>
      </c>
      <c r="D196" s="141">
        <v>1410</v>
      </c>
      <c r="E196" s="43" t="s">
        <v>45</v>
      </c>
      <c r="F196" s="44">
        <v>0</v>
      </c>
      <c r="G196" s="45">
        <v>0</v>
      </c>
      <c r="H196" s="45"/>
      <c r="I196" s="47">
        <v>0</v>
      </c>
      <c r="J196" s="113">
        <v>46178</v>
      </c>
      <c r="K196" s="114" t="s">
        <v>1482</v>
      </c>
      <c r="L196" s="347">
        <v>1410</v>
      </c>
      <c r="M196" s="94" t="s">
        <v>45</v>
      </c>
      <c r="N196" s="116">
        <v>0</v>
      </c>
      <c r="O196" s="233">
        <f t="shared" si="51"/>
        <v>0</v>
      </c>
      <c r="P196" s="233"/>
      <c r="Q196" s="47">
        <f t="shared" si="52"/>
        <v>0</v>
      </c>
      <c r="R196" s="39" t="s">
        <v>195</v>
      </c>
      <c r="S196" s="55">
        <v>43313</v>
      </c>
      <c r="T196" s="55">
        <v>44408</v>
      </c>
      <c r="U196" s="56">
        <v>9540</v>
      </c>
      <c r="V196" s="349"/>
    </row>
    <row r="197" spans="1:25" ht="27.75" customHeight="1">
      <c r="A197" s="186">
        <v>29</v>
      </c>
      <c r="B197" s="40" t="s">
        <v>351</v>
      </c>
      <c r="C197" s="346" t="s">
        <v>354</v>
      </c>
      <c r="D197" s="141">
        <v>1410</v>
      </c>
      <c r="E197" s="43" t="s">
        <v>45</v>
      </c>
      <c r="F197" s="44">
        <v>0</v>
      </c>
      <c r="G197" s="45">
        <v>0</v>
      </c>
      <c r="H197" s="45"/>
      <c r="I197" s="47">
        <v>0</v>
      </c>
      <c r="J197" s="113">
        <v>46178</v>
      </c>
      <c r="K197" s="114" t="s">
        <v>1482</v>
      </c>
      <c r="L197" s="347">
        <v>1410</v>
      </c>
      <c r="M197" s="94" t="s">
        <v>45</v>
      </c>
      <c r="N197" s="116">
        <v>0</v>
      </c>
      <c r="O197" s="233">
        <f t="shared" si="51"/>
        <v>0</v>
      </c>
      <c r="P197" s="233"/>
      <c r="Q197" s="47">
        <f t="shared" si="52"/>
        <v>0</v>
      </c>
      <c r="R197" s="39"/>
      <c r="S197" s="55"/>
      <c r="T197" s="55"/>
      <c r="U197" s="56"/>
      <c r="V197" s="349"/>
    </row>
    <row r="198" spans="1:25" ht="27.75" customHeight="1">
      <c r="A198" s="186">
        <v>30</v>
      </c>
      <c r="B198" s="40" t="s">
        <v>351</v>
      </c>
      <c r="C198" s="346" t="s">
        <v>355</v>
      </c>
      <c r="D198" s="141">
        <v>1410</v>
      </c>
      <c r="E198" s="43" t="s">
        <v>45</v>
      </c>
      <c r="F198" s="44">
        <v>0</v>
      </c>
      <c r="G198" s="45">
        <v>0</v>
      </c>
      <c r="H198" s="45"/>
      <c r="I198" s="47">
        <v>0</v>
      </c>
      <c r="J198" s="113">
        <v>46178</v>
      </c>
      <c r="K198" s="114" t="s">
        <v>1482</v>
      </c>
      <c r="L198" s="347">
        <v>1410</v>
      </c>
      <c r="M198" s="94" t="s">
        <v>45</v>
      </c>
      <c r="N198" s="116">
        <v>0</v>
      </c>
      <c r="O198" s="233">
        <f t="shared" si="51"/>
        <v>0</v>
      </c>
      <c r="P198" s="233"/>
      <c r="Q198" s="47">
        <f t="shared" si="52"/>
        <v>0</v>
      </c>
      <c r="R198" s="39"/>
      <c r="S198" s="55"/>
      <c r="T198" s="55"/>
      <c r="U198" s="56"/>
      <c r="V198" s="349"/>
    </row>
    <row r="199" spans="1:25" ht="27.75" customHeight="1">
      <c r="A199" s="186">
        <v>31</v>
      </c>
      <c r="B199" s="40" t="s">
        <v>356</v>
      </c>
      <c r="C199" s="346" t="s">
        <v>357</v>
      </c>
      <c r="D199" s="141">
        <v>1410</v>
      </c>
      <c r="E199" s="43" t="s">
        <v>1329</v>
      </c>
      <c r="F199" s="44">
        <v>-1</v>
      </c>
      <c r="G199" s="45">
        <v>-1410</v>
      </c>
      <c r="H199" s="45"/>
      <c r="I199" s="47">
        <v>-1410</v>
      </c>
      <c r="J199" s="113"/>
      <c r="K199" s="114"/>
      <c r="L199" s="347"/>
      <c r="M199" s="94" t="s">
        <v>45</v>
      </c>
      <c r="N199" s="116">
        <v>0</v>
      </c>
      <c r="O199" s="233">
        <f t="shared" si="51"/>
        <v>0</v>
      </c>
      <c r="P199" s="233"/>
      <c r="Q199" s="47">
        <f t="shared" si="52"/>
        <v>0</v>
      </c>
      <c r="R199" s="39" t="s">
        <v>195</v>
      </c>
      <c r="S199" s="55">
        <v>42217</v>
      </c>
      <c r="T199" s="55">
        <v>43312</v>
      </c>
      <c r="U199" s="56">
        <v>8280</v>
      </c>
      <c r="V199" s="349" t="s">
        <v>359</v>
      </c>
    </row>
    <row r="200" spans="1:25" ht="27.75" customHeight="1">
      <c r="A200" s="186">
        <v>32</v>
      </c>
      <c r="B200" s="40" t="s">
        <v>356</v>
      </c>
      <c r="C200" s="346" t="s">
        <v>360</v>
      </c>
      <c r="D200" s="141">
        <v>1410</v>
      </c>
      <c r="E200" s="43" t="s">
        <v>1329</v>
      </c>
      <c r="F200" s="44">
        <v>-1</v>
      </c>
      <c r="G200" s="45">
        <v>-1410</v>
      </c>
      <c r="H200" s="45"/>
      <c r="I200" s="47">
        <v>-1410</v>
      </c>
      <c r="J200" s="113"/>
      <c r="K200" s="114"/>
      <c r="L200" s="347"/>
      <c r="M200" s="94" t="s">
        <v>45</v>
      </c>
      <c r="N200" s="116">
        <v>0</v>
      </c>
      <c r="O200" s="233">
        <f t="shared" si="51"/>
        <v>0</v>
      </c>
      <c r="P200" s="233"/>
      <c r="Q200" s="47">
        <f t="shared" si="52"/>
        <v>0</v>
      </c>
      <c r="R200" s="39"/>
      <c r="S200" s="55"/>
      <c r="T200" s="55"/>
      <c r="U200" s="56"/>
      <c r="V200" s="349"/>
    </row>
    <row r="201" spans="1:25" ht="27.75" customHeight="1">
      <c r="A201" s="186">
        <v>33</v>
      </c>
      <c r="B201" s="40" t="s">
        <v>356</v>
      </c>
      <c r="C201" s="346" t="s">
        <v>361</v>
      </c>
      <c r="D201" s="141">
        <v>1410</v>
      </c>
      <c r="E201" s="43" t="s">
        <v>1329</v>
      </c>
      <c r="F201" s="44">
        <v>-1</v>
      </c>
      <c r="G201" s="45">
        <v>-1410</v>
      </c>
      <c r="H201" s="45"/>
      <c r="I201" s="47">
        <v>-1410</v>
      </c>
      <c r="J201" s="113"/>
      <c r="K201" s="114"/>
      <c r="L201" s="347"/>
      <c r="M201" s="94" t="s">
        <v>45</v>
      </c>
      <c r="N201" s="116">
        <v>0</v>
      </c>
      <c r="O201" s="233">
        <f t="shared" si="51"/>
        <v>0</v>
      </c>
      <c r="P201" s="233"/>
      <c r="Q201" s="47">
        <f t="shared" si="52"/>
        <v>0</v>
      </c>
      <c r="R201" s="39"/>
      <c r="S201" s="55"/>
      <c r="T201" s="55"/>
      <c r="U201" s="56"/>
      <c r="V201" s="349"/>
      <c r="Y201" s="4" t="s">
        <v>56</v>
      </c>
    </row>
    <row r="202" spans="1:25" ht="27.75" customHeight="1">
      <c r="A202" s="186">
        <v>34</v>
      </c>
      <c r="B202" s="40" t="s">
        <v>362</v>
      </c>
      <c r="C202" s="346" t="s">
        <v>363</v>
      </c>
      <c r="D202" s="141">
        <v>1410</v>
      </c>
      <c r="E202" s="43" t="s">
        <v>45</v>
      </c>
      <c r="F202" s="44">
        <v>0</v>
      </c>
      <c r="G202" s="45">
        <v>0</v>
      </c>
      <c r="H202" s="45"/>
      <c r="I202" s="47">
        <v>0</v>
      </c>
      <c r="J202" s="113">
        <v>46175</v>
      </c>
      <c r="K202" s="114" t="s">
        <v>1483</v>
      </c>
      <c r="L202" s="347">
        <v>1410</v>
      </c>
      <c r="M202" s="94" t="s">
        <v>45</v>
      </c>
      <c r="N202" s="116">
        <v>0</v>
      </c>
      <c r="O202" s="233">
        <f t="shared" si="51"/>
        <v>0</v>
      </c>
      <c r="P202" s="233"/>
      <c r="Q202" s="47">
        <f t="shared" si="52"/>
        <v>0</v>
      </c>
      <c r="R202" s="348" t="s">
        <v>195</v>
      </c>
      <c r="S202" s="299" t="s">
        <v>307</v>
      </c>
      <c r="T202" s="299" t="s">
        <v>308</v>
      </c>
      <c r="U202" s="56">
        <v>21960</v>
      </c>
      <c r="V202" s="349" t="s">
        <v>365</v>
      </c>
      <c r="W202" s="295" t="s">
        <v>289</v>
      </c>
      <c r="X202" s="40" t="s">
        <v>366</v>
      </c>
    </row>
    <row r="203" spans="1:25" ht="27.75" customHeight="1">
      <c r="A203" s="186">
        <v>35</v>
      </c>
      <c r="B203" s="40" t="s">
        <v>362</v>
      </c>
      <c r="C203" s="346" t="s">
        <v>367</v>
      </c>
      <c r="D203" s="141">
        <v>1410</v>
      </c>
      <c r="E203" s="43" t="s">
        <v>45</v>
      </c>
      <c r="F203" s="44">
        <v>0</v>
      </c>
      <c r="G203" s="45">
        <v>0</v>
      </c>
      <c r="H203" s="45"/>
      <c r="I203" s="47">
        <v>0</v>
      </c>
      <c r="J203" s="113">
        <v>46175</v>
      </c>
      <c r="K203" s="114" t="s">
        <v>1483</v>
      </c>
      <c r="L203" s="347">
        <v>1410</v>
      </c>
      <c r="M203" s="94" t="s">
        <v>45</v>
      </c>
      <c r="N203" s="116">
        <v>0</v>
      </c>
      <c r="O203" s="233">
        <f t="shared" si="51"/>
        <v>0</v>
      </c>
      <c r="P203" s="233"/>
      <c r="Q203" s="47">
        <f t="shared" si="52"/>
        <v>0</v>
      </c>
      <c r="R203" s="348"/>
      <c r="S203" s="299"/>
      <c r="T203" s="299"/>
      <c r="U203" s="56"/>
      <c r="V203" s="349"/>
      <c r="W203" s="295"/>
      <c r="X203" s="350"/>
    </row>
    <row r="204" spans="1:25" ht="27.75" customHeight="1">
      <c r="A204" s="186">
        <v>36</v>
      </c>
      <c r="B204" s="40" t="s">
        <v>362</v>
      </c>
      <c r="C204" s="346" t="s">
        <v>368</v>
      </c>
      <c r="D204" s="141">
        <v>1410</v>
      </c>
      <c r="E204" s="43" t="s">
        <v>45</v>
      </c>
      <c r="F204" s="44">
        <v>0</v>
      </c>
      <c r="G204" s="45">
        <v>0</v>
      </c>
      <c r="H204" s="45"/>
      <c r="I204" s="47">
        <v>0</v>
      </c>
      <c r="J204" s="113">
        <v>46175</v>
      </c>
      <c r="K204" s="114" t="s">
        <v>1483</v>
      </c>
      <c r="L204" s="347">
        <v>1410</v>
      </c>
      <c r="M204" s="94" t="s">
        <v>45</v>
      </c>
      <c r="N204" s="116">
        <v>0</v>
      </c>
      <c r="O204" s="233">
        <f t="shared" si="51"/>
        <v>0</v>
      </c>
      <c r="P204" s="233"/>
      <c r="Q204" s="47">
        <f t="shared" si="52"/>
        <v>0</v>
      </c>
      <c r="R204" s="348"/>
      <c r="S204" s="299"/>
      <c r="T204" s="299"/>
      <c r="U204" s="56"/>
      <c r="V204" s="349"/>
      <c r="W204" s="295"/>
      <c r="X204" s="350"/>
    </row>
    <row r="205" spans="1:25" ht="27.75" customHeight="1">
      <c r="A205" s="186">
        <v>37</v>
      </c>
      <c r="B205" s="40" t="s">
        <v>362</v>
      </c>
      <c r="C205" s="346" t="s">
        <v>369</v>
      </c>
      <c r="D205" s="141">
        <v>1410</v>
      </c>
      <c r="E205" s="43" t="s">
        <v>45</v>
      </c>
      <c r="F205" s="44">
        <v>0</v>
      </c>
      <c r="G205" s="45">
        <v>0</v>
      </c>
      <c r="H205" s="45"/>
      <c r="I205" s="47">
        <v>0</v>
      </c>
      <c r="J205" s="113">
        <v>46175</v>
      </c>
      <c r="K205" s="114" t="s">
        <v>1483</v>
      </c>
      <c r="L205" s="347">
        <v>1410</v>
      </c>
      <c r="M205" s="94" t="s">
        <v>45</v>
      </c>
      <c r="N205" s="116">
        <v>0</v>
      </c>
      <c r="O205" s="233">
        <f t="shared" si="51"/>
        <v>0</v>
      </c>
      <c r="P205" s="233"/>
      <c r="Q205" s="47">
        <f t="shared" si="52"/>
        <v>0</v>
      </c>
      <c r="R205" s="348"/>
      <c r="S205" s="299"/>
      <c r="T205" s="299"/>
      <c r="U205" s="56"/>
      <c r="V205" s="349"/>
      <c r="W205" s="295"/>
      <c r="X205" s="350"/>
    </row>
    <row r="206" spans="1:25" ht="27.75" customHeight="1">
      <c r="A206" s="186">
        <v>38</v>
      </c>
      <c r="B206" s="40" t="s">
        <v>362</v>
      </c>
      <c r="C206" s="346" t="s">
        <v>370</v>
      </c>
      <c r="D206" s="141">
        <v>1410</v>
      </c>
      <c r="E206" s="43" t="s">
        <v>45</v>
      </c>
      <c r="F206" s="44">
        <v>0</v>
      </c>
      <c r="G206" s="45">
        <v>0</v>
      </c>
      <c r="H206" s="45"/>
      <c r="I206" s="47">
        <v>0</v>
      </c>
      <c r="J206" s="113">
        <v>46175</v>
      </c>
      <c r="K206" s="114" t="s">
        <v>1483</v>
      </c>
      <c r="L206" s="347">
        <v>1410</v>
      </c>
      <c r="M206" s="94" t="s">
        <v>45</v>
      </c>
      <c r="N206" s="116">
        <v>0</v>
      </c>
      <c r="O206" s="233">
        <f t="shared" si="51"/>
        <v>0</v>
      </c>
      <c r="P206" s="233"/>
      <c r="Q206" s="47">
        <f t="shared" si="52"/>
        <v>0</v>
      </c>
      <c r="R206" s="348"/>
      <c r="S206" s="299"/>
      <c r="T206" s="299"/>
      <c r="U206" s="56"/>
      <c r="V206" s="349"/>
      <c r="W206" s="295"/>
      <c r="X206" s="350"/>
    </row>
    <row r="207" spans="1:25" ht="27.75" customHeight="1">
      <c r="A207" s="186">
        <v>39</v>
      </c>
      <c r="B207" s="40" t="s">
        <v>362</v>
      </c>
      <c r="C207" s="346" t="s">
        <v>371</v>
      </c>
      <c r="D207" s="141">
        <v>1410</v>
      </c>
      <c r="E207" s="43" t="s">
        <v>45</v>
      </c>
      <c r="F207" s="44">
        <v>0</v>
      </c>
      <c r="G207" s="45">
        <v>0</v>
      </c>
      <c r="H207" s="45"/>
      <c r="I207" s="47">
        <v>0</v>
      </c>
      <c r="J207" s="113">
        <v>46175</v>
      </c>
      <c r="K207" s="114" t="s">
        <v>1483</v>
      </c>
      <c r="L207" s="347">
        <v>1410</v>
      </c>
      <c r="M207" s="94" t="s">
        <v>45</v>
      </c>
      <c r="N207" s="116">
        <v>0</v>
      </c>
      <c r="O207" s="233">
        <f t="shared" si="51"/>
        <v>0</v>
      </c>
      <c r="P207" s="233"/>
      <c r="Q207" s="47">
        <f t="shared" si="52"/>
        <v>0</v>
      </c>
      <c r="R207" s="348"/>
      <c r="S207" s="299"/>
      <c r="T207" s="299"/>
      <c r="U207" s="56"/>
      <c r="V207" s="349"/>
      <c r="W207" s="295"/>
      <c r="X207" s="350"/>
    </row>
    <row r="208" spans="1:25" ht="27.75" customHeight="1">
      <c r="A208" s="186">
        <v>40</v>
      </c>
      <c r="B208" s="40" t="s">
        <v>372</v>
      </c>
      <c r="C208" s="346" t="s">
        <v>373</v>
      </c>
      <c r="D208" s="141">
        <v>1410</v>
      </c>
      <c r="E208" s="43" t="s">
        <v>45</v>
      </c>
      <c r="F208" s="44">
        <v>0</v>
      </c>
      <c r="G208" s="45">
        <v>0</v>
      </c>
      <c r="H208" s="45"/>
      <c r="I208" s="47">
        <v>0</v>
      </c>
      <c r="J208" s="113">
        <v>46175</v>
      </c>
      <c r="K208" s="114" t="s">
        <v>1484</v>
      </c>
      <c r="L208" s="347">
        <v>1410</v>
      </c>
      <c r="M208" s="94" t="s">
        <v>45</v>
      </c>
      <c r="N208" s="116">
        <v>0</v>
      </c>
      <c r="O208" s="233">
        <f t="shared" si="51"/>
        <v>0</v>
      </c>
      <c r="P208" s="233"/>
      <c r="Q208" s="47">
        <f t="shared" si="52"/>
        <v>0</v>
      </c>
      <c r="R208" s="348" t="s">
        <v>195</v>
      </c>
      <c r="S208" s="299" t="s">
        <v>307</v>
      </c>
      <c r="T208" s="299" t="s">
        <v>308</v>
      </c>
      <c r="U208" s="56">
        <v>14640</v>
      </c>
      <c r="V208" s="349" t="s">
        <v>375</v>
      </c>
      <c r="W208" s="295" t="s">
        <v>289</v>
      </c>
      <c r="X208" s="4" t="s">
        <v>376</v>
      </c>
    </row>
    <row r="209" spans="1:24" ht="27.75" customHeight="1">
      <c r="A209" s="186">
        <v>41</v>
      </c>
      <c r="B209" s="40" t="s">
        <v>372</v>
      </c>
      <c r="C209" s="346" t="s">
        <v>377</v>
      </c>
      <c r="D209" s="141">
        <v>1410</v>
      </c>
      <c r="E209" s="43" t="s">
        <v>45</v>
      </c>
      <c r="F209" s="44">
        <v>0</v>
      </c>
      <c r="G209" s="45">
        <v>0</v>
      </c>
      <c r="H209" s="45"/>
      <c r="I209" s="47">
        <v>0</v>
      </c>
      <c r="J209" s="113">
        <v>46175</v>
      </c>
      <c r="K209" s="114" t="s">
        <v>1484</v>
      </c>
      <c r="L209" s="347">
        <v>1410</v>
      </c>
      <c r="M209" s="94" t="s">
        <v>45</v>
      </c>
      <c r="N209" s="116">
        <v>0</v>
      </c>
      <c r="O209" s="233">
        <f t="shared" si="51"/>
        <v>0</v>
      </c>
      <c r="P209" s="233"/>
      <c r="Q209" s="47">
        <f t="shared" si="52"/>
        <v>0</v>
      </c>
      <c r="R209" s="348"/>
      <c r="S209" s="299"/>
      <c r="T209" s="299"/>
      <c r="U209" s="56"/>
      <c r="V209" s="349"/>
      <c r="W209" s="295"/>
    </row>
    <row r="210" spans="1:24" ht="27.75" customHeight="1">
      <c r="A210" s="186">
        <v>42</v>
      </c>
      <c r="B210" s="40" t="s">
        <v>372</v>
      </c>
      <c r="C210" s="346" t="s">
        <v>378</v>
      </c>
      <c r="D210" s="141">
        <v>1410</v>
      </c>
      <c r="E210" s="43" t="s">
        <v>45</v>
      </c>
      <c r="F210" s="44">
        <v>0</v>
      </c>
      <c r="G210" s="45">
        <v>0</v>
      </c>
      <c r="H210" s="45"/>
      <c r="I210" s="47">
        <v>0</v>
      </c>
      <c r="J210" s="113">
        <v>46175</v>
      </c>
      <c r="K210" s="114" t="s">
        <v>1484</v>
      </c>
      <c r="L210" s="347">
        <v>1410</v>
      </c>
      <c r="M210" s="94" t="s">
        <v>45</v>
      </c>
      <c r="N210" s="116">
        <v>0</v>
      </c>
      <c r="O210" s="233">
        <f t="shared" si="51"/>
        <v>0</v>
      </c>
      <c r="P210" s="233"/>
      <c r="Q210" s="47">
        <f t="shared" si="52"/>
        <v>0</v>
      </c>
      <c r="R210" s="348"/>
      <c r="S210" s="299"/>
      <c r="T210" s="299"/>
      <c r="U210" s="56"/>
      <c r="V210" s="349"/>
      <c r="W210" s="295"/>
    </row>
    <row r="211" spans="1:24" ht="27.75" customHeight="1">
      <c r="A211" s="186">
        <v>43</v>
      </c>
      <c r="B211" s="40" t="s">
        <v>372</v>
      </c>
      <c r="C211" s="346" t="s">
        <v>379</v>
      </c>
      <c r="D211" s="141">
        <v>1410</v>
      </c>
      <c r="E211" s="43" t="s">
        <v>45</v>
      </c>
      <c r="F211" s="44">
        <v>0</v>
      </c>
      <c r="G211" s="45">
        <v>0</v>
      </c>
      <c r="H211" s="45"/>
      <c r="I211" s="47">
        <v>0</v>
      </c>
      <c r="J211" s="113">
        <v>46175</v>
      </c>
      <c r="K211" s="114" t="s">
        <v>1484</v>
      </c>
      <c r="L211" s="347">
        <v>1410</v>
      </c>
      <c r="M211" s="94" t="s">
        <v>45</v>
      </c>
      <c r="N211" s="116">
        <v>0</v>
      </c>
      <c r="O211" s="233">
        <f t="shared" si="51"/>
        <v>0</v>
      </c>
      <c r="P211" s="233"/>
      <c r="Q211" s="47">
        <f t="shared" si="52"/>
        <v>0</v>
      </c>
      <c r="R211" s="348"/>
      <c r="S211" s="299"/>
      <c r="T211" s="299"/>
      <c r="U211" s="56"/>
      <c r="V211" s="349"/>
      <c r="W211" s="295"/>
    </row>
    <row r="212" spans="1:24" ht="27.75" customHeight="1">
      <c r="A212" s="186">
        <v>44</v>
      </c>
      <c r="B212" s="40" t="s">
        <v>380</v>
      </c>
      <c r="C212" s="346" t="s">
        <v>381</v>
      </c>
      <c r="D212" s="141">
        <v>1410</v>
      </c>
      <c r="E212" s="43" t="s">
        <v>45</v>
      </c>
      <c r="F212" s="44">
        <v>0</v>
      </c>
      <c r="G212" s="45">
        <v>0</v>
      </c>
      <c r="H212" s="45"/>
      <c r="I212" s="47">
        <v>0</v>
      </c>
      <c r="J212" s="175">
        <v>46178</v>
      </c>
      <c r="K212" s="176" t="s">
        <v>1485</v>
      </c>
      <c r="L212" s="222">
        <v>1410</v>
      </c>
      <c r="M212" s="94" t="s">
        <v>45</v>
      </c>
      <c r="N212" s="116">
        <v>0</v>
      </c>
      <c r="O212" s="233">
        <f t="shared" si="51"/>
        <v>0</v>
      </c>
      <c r="P212" s="233"/>
      <c r="Q212" s="47">
        <f t="shared" si="52"/>
        <v>0</v>
      </c>
      <c r="R212" s="348" t="s">
        <v>195</v>
      </c>
      <c r="S212" s="299" t="s">
        <v>307</v>
      </c>
      <c r="T212" s="299" t="s">
        <v>308</v>
      </c>
      <c r="U212" s="56">
        <v>14640</v>
      </c>
      <c r="V212" s="349" t="s">
        <v>383</v>
      </c>
      <c r="W212" s="295" t="s">
        <v>289</v>
      </c>
      <c r="X212" s="4" t="s">
        <v>384</v>
      </c>
    </row>
    <row r="213" spans="1:24" ht="27.75" customHeight="1">
      <c r="A213" s="186">
        <v>45</v>
      </c>
      <c r="B213" s="40" t="s">
        <v>380</v>
      </c>
      <c r="C213" s="346" t="s">
        <v>385</v>
      </c>
      <c r="D213" s="141">
        <v>1410</v>
      </c>
      <c r="E213" s="43" t="s">
        <v>45</v>
      </c>
      <c r="F213" s="44">
        <v>0</v>
      </c>
      <c r="G213" s="45">
        <v>0</v>
      </c>
      <c r="H213" s="45"/>
      <c r="I213" s="47">
        <v>0</v>
      </c>
      <c r="J213" s="175">
        <v>46178</v>
      </c>
      <c r="K213" s="176" t="s">
        <v>1485</v>
      </c>
      <c r="L213" s="222">
        <v>1410</v>
      </c>
      <c r="M213" s="94" t="s">
        <v>45</v>
      </c>
      <c r="N213" s="116">
        <v>0</v>
      </c>
      <c r="O213" s="233">
        <f t="shared" si="51"/>
        <v>0</v>
      </c>
      <c r="P213" s="233"/>
      <c r="Q213" s="47">
        <f t="shared" si="52"/>
        <v>0</v>
      </c>
      <c r="R213" s="348"/>
      <c r="S213" s="299"/>
      <c r="T213" s="299"/>
      <c r="U213" s="56"/>
      <c r="V213" s="349"/>
      <c r="W213" s="295"/>
    </row>
    <row r="214" spans="1:24" ht="27.75" customHeight="1">
      <c r="A214" s="186">
        <v>46</v>
      </c>
      <c r="B214" s="40" t="s">
        <v>380</v>
      </c>
      <c r="C214" s="346" t="s">
        <v>386</v>
      </c>
      <c r="D214" s="141">
        <v>1410</v>
      </c>
      <c r="E214" s="43" t="s">
        <v>45</v>
      </c>
      <c r="F214" s="44">
        <v>0</v>
      </c>
      <c r="G214" s="45">
        <v>0</v>
      </c>
      <c r="H214" s="45"/>
      <c r="I214" s="47">
        <v>0</v>
      </c>
      <c r="J214" s="175">
        <v>46178</v>
      </c>
      <c r="K214" s="176" t="s">
        <v>1485</v>
      </c>
      <c r="L214" s="222">
        <v>1410</v>
      </c>
      <c r="M214" s="94" t="s">
        <v>45</v>
      </c>
      <c r="N214" s="116">
        <v>0</v>
      </c>
      <c r="O214" s="233">
        <f t="shared" si="51"/>
        <v>0</v>
      </c>
      <c r="P214" s="233"/>
      <c r="Q214" s="47">
        <f t="shared" si="52"/>
        <v>0</v>
      </c>
      <c r="R214" s="348"/>
      <c r="S214" s="299"/>
      <c r="T214" s="299"/>
      <c r="U214" s="56"/>
      <c r="V214" s="349"/>
      <c r="W214" s="295"/>
    </row>
    <row r="215" spans="1:24" ht="27.75" customHeight="1">
      <c r="A215" s="186">
        <v>47</v>
      </c>
      <c r="B215" s="40" t="s">
        <v>380</v>
      </c>
      <c r="C215" s="346" t="s">
        <v>387</v>
      </c>
      <c r="D215" s="141">
        <v>1410</v>
      </c>
      <c r="E215" s="43" t="s">
        <v>45</v>
      </c>
      <c r="F215" s="44">
        <v>0</v>
      </c>
      <c r="G215" s="45">
        <v>0</v>
      </c>
      <c r="H215" s="45"/>
      <c r="I215" s="47">
        <v>0</v>
      </c>
      <c r="J215" s="175">
        <v>46178</v>
      </c>
      <c r="K215" s="176" t="s">
        <v>1485</v>
      </c>
      <c r="L215" s="222">
        <v>1410</v>
      </c>
      <c r="M215" s="94" t="s">
        <v>45</v>
      </c>
      <c r="N215" s="116">
        <v>0</v>
      </c>
      <c r="O215" s="233">
        <f t="shared" si="51"/>
        <v>0</v>
      </c>
      <c r="P215" s="233"/>
      <c r="Q215" s="47">
        <f t="shared" si="52"/>
        <v>0</v>
      </c>
      <c r="R215" s="348"/>
      <c r="S215" s="299"/>
      <c r="T215" s="299"/>
      <c r="U215" s="56"/>
      <c r="V215" s="349"/>
      <c r="W215" s="295"/>
    </row>
    <row r="216" spans="1:24" ht="27.75" customHeight="1">
      <c r="A216" s="186">
        <v>48</v>
      </c>
      <c r="B216" s="351" t="s">
        <v>66</v>
      </c>
      <c r="C216" s="346" t="s">
        <v>388</v>
      </c>
      <c r="D216" s="141">
        <v>1760</v>
      </c>
      <c r="E216" s="43" t="s">
        <v>45</v>
      </c>
      <c r="F216" s="44">
        <v>0</v>
      </c>
      <c r="G216" s="45">
        <v>0</v>
      </c>
      <c r="H216" s="45"/>
      <c r="I216" s="47">
        <v>0</v>
      </c>
      <c r="J216" s="175">
        <v>46203</v>
      </c>
      <c r="K216" s="176" t="s">
        <v>1486</v>
      </c>
      <c r="L216" s="222">
        <v>1760</v>
      </c>
      <c r="M216" s="94" t="s">
        <v>45</v>
      </c>
      <c r="N216" s="116">
        <v>0</v>
      </c>
      <c r="O216" s="233">
        <f t="shared" si="51"/>
        <v>0</v>
      </c>
      <c r="P216" s="233"/>
      <c r="Q216" s="47">
        <f t="shared" si="52"/>
        <v>0</v>
      </c>
      <c r="R216" s="39" t="s">
        <v>195</v>
      </c>
      <c r="S216" s="55">
        <v>43313</v>
      </c>
      <c r="T216" s="55">
        <v>44408</v>
      </c>
      <c r="U216" s="56">
        <v>11925</v>
      </c>
      <c r="V216" s="349"/>
    </row>
    <row r="217" spans="1:24" ht="27.75" customHeight="1">
      <c r="A217" s="186">
        <v>49</v>
      </c>
      <c r="B217" s="351" t="s">
        <v>66</v>
      </c>
      <c r="C217" s="346" t="s">
        <v>390</v>
      </c>
      <c r="D217" s="141">
        <v>1760</v>
      </c>
      <c r="E217" s="43" t="s">
        <v>45</v>
      </c>
      <c r="F217" s="44">
        <v>0</v>
      </c>
      <c r="G217" s="45">
        <v>0</v>
      </c>
      <c r="H217" s="45"/>
      <c r="I217" s="47">
        <v>0</v>
      </c>
      <c r="J217" s="175">
        <v>46203</v>
      </c>
      <c r="K217" s="176" t="s">
        <v>1486</v>
      </c>
      <c r="L217" s="222">
        <v>1760</v>
      </c>
      <c r="M217" s="94" t="s">
        <v>45</v>
      </c>
      <c r="N217" s="116">
        <v>0</v>
      </c>
      <c r="O217" s="233">
        <f t="shared" si="51"/>
        <v>0</v>
      </c>
      <c r="P217" s="233"/>
      <c r="Q217" s="47">
        <f t="shared" si="52"/>
        <v>0</v>
      </c>
      <c r="R217" s="39"/>
      <c r="S217" s="55"/>
      <c r="T217" s="55"/>
      <c r="U217" s="56"/>
      <c r="V217" s="349"/>
    </row>
    <row r="218" spans="1:24" ht="27.75" customHeight="1">
      <c r="A218" s="186">
        <v>50</v>
      </c>
      <c r="B218" s="351" t="s">
        <v>66</v>
      </c>
      <c r="C218" s="346" t="s">
        <v>391</v>
      </c>
      <c r="D218" s="141">
        <v>1760</v>
      </c>
      <c r="E218" s="43" t="s">
        <v>45</v>
      </c>
      <c r="F218" s="44">
        <v>0</v>
      </c>
      <c r="G218" s="45">
        <v>0</v>
      </c>
      <c r="H218" s="45"/>
      <c r="I218" s="47">
        <v>0</v>
      </c>
      <c r="J218" s="175">
        <v>46203</v>
      </c>
      <c r="K218" s="176" t="s">
        <v>1486</v>
      </c>
      <c r="L218" s="222">
        <v>1760</v>
      </c>
      <c r="M218" s="94" t="s">
        <v>45</v>
      </c>
      <c r="N218" s="116">
        <v>0</v>
      </c>
      <c r="O218" s="233">
        <f t="shared" si="51"/>
        <v>0</v>
      </c>
      <c r="P218" s="233"/>
      <c r="Q218" s="47">
        <f t="shared" si="52"/>
        <v>0</v>
      </c>
      <c r="R218" s="39"/>
      <c r="S218" s="55"/>
      <c r="T218" s="55"/>
      <c r="U218" s="56"/>
      <c r="V218" s="349"/>
    </row>
    <row r="219" spans="1:24" ht="27.75" customHeight="1">
      <c r="A219" s="186">
        <v>51</v>
      </c>
      <c r="B219" s="351" t="s">
        <v>66</v>
      </c>
      <c r="C219" s="346" t="s">
        <v>69</v>
      </c>
      <c r="D219" s="141">
        <v>2720</v>
      </c>
      <c r="E219" s="43" t="s">
        <v>45</v>
      </c>
      <c r="F219" s="44">
        <v>0</v>
      </c>
      <c r="G219" s="45">
        <v>0</v>
      </c>
      <c r="H219" s="45"/>
      <c r="I219" s="47">
        <v>0</v>
      </c>
      <c r="J219" s="175">
        <v>46203</v>
      </c>
      <c r="K219" s="176" t="s">
        <v>1487</v>
      </c>
      <c r="L219" s="222">
        <v>2720</v>
      </c>
      <c r="M219" s="94" t="s">
        <v>45</v>
      </c>
      <c r="N219" s="116">
        <v>0</v>
      </c>
      <c r="O219" s="233">
        <f t="shared" si="51"/>
        <v>0</v>
      </c>
      <c r="P219" s="233"/>
      <c r="Q219" s="47">
        <f t="shared" si="52"/>
        <v>0</v>
      </c>
      <c r="R219" s="39" t="s">
        <v>195</v>
      </c>
      <c r="S219" s="55">
        <v>43313</v>
      </c>
      <c r="T219" s="55">
        <v>44408</v>
      </c>
      <c r="U219" s="56">
        <v>9000</v>
      </c>
      <c r="V219" s="349"/>
    </row>
    <row r="220" spans="1:24" ht="27.75" customHeight="1">
      <c r="A220" s="94"/>
      <c r="B220" s="352" t="s">
        <v>393</v>
      </c>
      <c r="C220" s="353"/>
      <c r="D220" s="296"/>
      <c r="E220" s="64"/>
      <c r="F220" s="44"/>
      <c r="G220" s="45"/>
      <c r="H220" s="45"/>
      <c r="I220" s="354"/>
      <c r="J220" s="183"/>
      <c r="K220" s="355"/>
      <c r="L220" s="231"/>
      <c r="M220" s="186"/>
      <c r="N220" s="116"/>
      <c r="O220" s="233"/>
      <c r="P220" s="233"/>
      <c r="Q220" s="17"/>
      <c r="R220" s="356"/>
      <c r="S220" s="55"/>
      <c r="T220" s="55"/>
      <c r="U220" s="56"/>
      <c r="V220" s="349"/>
    </row>
    <row r="221" spans="1:24" ht="27.75" customHeight="1">
      <c r="A221" s="94"/>
      <c r="B221" s="352" t="s">
        <v>394</v>
      </c>
      <c r="C221" s="353"/>
      <c r="D221" s="296"/>
      <c r="E221" s="64"/>
      <c r="F221" s="44"/>
      <c r="G221" s="45"/>
      <c r="H221" s="45"/>
      <c r="I221" s="354"/>
      <c r="J221" s="175"/>
      <c r="K221" s="355"/>
      <c r="L221" s="222"/>
      <c r="M221" s="186"/>
      <c r="N221" s="116"/>
      <c r="O221" s="233"/>
      <c r="P221" s="233"/>
      <c r="Q221" s="17"/>
      <c r="R221" s="356"/>
      <c r="S221" s="55"/>
      <c r="T221" s="55"/>
      <c r="U221" s="56"/>
      <c r="V221" s="349"/>
    </row>
    <row r="222" spans="1:24" ht="27.75" customHeight="1" thickBot="1">
      <c r="A222" s="357"/>
      <c r="B222" s="358"/>
      <c r="C222" s="359"/>
      <c r="D222" s="360">
        <f>SUM(D169:D221)</f>
        <v>74540</v>
      </c>
      <c r="E222" s="100"/>
      <c r="F222" s="101"/>
      <c r="G222" s="102">
        <f>SUM(G216:G219)</f>
        <v>0</v>
      </c>
      <c r="H222" s="102">
        <v>0</v>
      </c>
      <c r="I222" s="102">
        <f>SUM(I216:I219)</f>
        <v>0</v>
      </c>
      <c r="J222" s="361"/>
      <c r="K222" s="361"/>
      <c r="L222" s="362">
        <f>SUM(L169:L221)</f>
        <v>84410</v>
      </c>
      <c r="M222" s="106"/>
      <c r="N222" s="107"/>
      <c r="O222" s="363"/>
      <c r="P222" s="363"/>
      <c r="Q222" s="363"/>
      <c r="R222" s="356"/>
      <c r="S222" s="55"/>
      <c r="T222" s="55"/>
      <c r="U222" s="56"/>
      <c r="V222" s="349"/>
    </row>
    <row r="223" spans="1:24" ht="27.75" customHeight="1" thickTop="1">
      <c r="A223" s="94"/>
      <c r="B223" s="364" t="s">
        <v>395</v>
      </c>
      <c r="C223" s="81"/>
      <c r="D223" s="192"/>
      <c r="E223" s="365"/>
      <c r="F223" s="126"/>
      <c r="G223" s="65"/>
      <c r="H223" s="65"/>
      <c r="I223" s="85"/>
      <c r="J223" s="178"/>
      <c r="K223" s="179"/>
      <c r="L223" s="264"/>
      <c r="M223" s="83"/>
      <c r="N223" s="251"/>
      <c r="O223" s="337"/>
      <c r="P223" s="337"/>
      <c r="Q223" s="85"/>
      <c r="R223" s="39"/>
      <c r="S223" s="55"/>
      <c r="T223" s="55"/>
      <c r="U223" s="56"/>
      <c r="V223" s="56"/>
    </row>
    <row r="224" spans="1:24" ht="27.75" customHeight="1">
      <c r="A224" s="94">
        <v>1</v>
      </c>
      <c r="B224" s="366" t="s">
        <v>167</v>
      </c>
      <c r="C224" s="367" t="s">
        <v>396</v>
      </c>
      <c r="D224" s="141">
        <v>22690</v>
      </c>
      <c r="E224" s="43" t="s">
        <v>45</v>
      </c>
      <c r="F224" s="44">
        <v>0</v>
      </c>
      <c r="G224" s="45">
        <v>0</v>
      </c>
      <c r="H224" s="45"/>
      <c r="I224" s="47">
        <v>0</v>
      </c>
      <c r="J224" s="175">
        <v>46182</v>
      </c>
      <c r="K224" s="176" t="s">
        <v>1488</v>
      </c>
      <c r="L224" s="222">
        <v>22690</v>
      </c>
      <c r="M224" s="94" t="s">
        <v>45</v>
      </c>
      <c r="N224" s="116">
        <v>0</v>
      </c>
      <c r="O224" s="233">
        <f t="shared" ref="O224" si="53">+I224+D224-L224</f>
        <v>0</v>
      </c>
      <c r="P224" s="233"/>
      <c r="Q224" s="368">
        <f t="shared" ref="Q224" si="54">+O224+P224</f>
        <v>0</v>
      </c>
      <c r="R224" s="348" t="s">
        <v>195</v>
      </c>
      <c r="S224" s="299">
        <v>44166</v>
      </c>
      <c r="T224" s="299">
        <v>45260</v>
      </c>
      <c r="U224" s="149">
        <v>51450</v>
      </c>
      <c r="V224" s="369" t="s">
        <v>398</v>
      </c>
      <c r="W224" s="4" t="s">
        <v>399</v>
      </c>
      <c r="X224" s="4" t="s">
        <v>400</v>
      </c>
    </row>
    <row r="225" spans="1:24" ht="27.75" customHeight="1">
      <c r="A225" s="94"/>
      <c r="B225" s="366" t="s">
        <v>401</v>
      </c>
      <c r="C225" s="367" t="s">
        <v>402</v>
      </c>
      <c r="D225" s="141"/>
      <c r="E225" s="43"/>
      <c r="F225" s="44"/>
      <c r="G225" s="45"/>
      <c r="H225" s="45"/>
      <c r="I225" s="47"/>
      <c r="J225" s="175"/>
      <c r="K225" s="176"/>
      <c r="L225" s="222"/>
      <c r="M225" s="94"/>
      <c r="N225" s="116"/>
      <c r="O225" s="233"/>
      <c r="P225" s="233"/>
      <c r="Q225" s="368"/>
      <c r="R225" s="348"/>
      <c r="S225" s="299"/>
      <c r="T225" s="299"/>
      <c r="U225" s="149"/>
      <c r="V225" s="369"/>
    </row>
    <row r="226" spans="1:24" ht="27.75" customHeight="1">
      <c r="A226" s="94">
        <v>2</v>
      </c>
      <c r="B226" s="366" t="s">
        <v>24</v>
      </c>
      <c r="C226" s="367" t="s">
        <v>403</v>
      </c>
      <c r="D226" s="141">
        <v>15295</v>
      </c>
      <c r="E226" s="43" t="s">
        <v>45</v>
      </c>
      <c r="F226" s="44">
        <v>0</v>
      </c>
      <c r="G226" s="45">
        <v>0</v>
      </c>
      <c r="H226" s="45"/>
      <c r="I226" s="47">
        <v>0</v>
      </c>
      <c r="J226" s="175">
        <v>46175</v>
      </c>
      <c r="K226" s="176" t="s">
        <v>1475</v>
      </c>
      <c r="L226" s="222">
        <v>15295</v>
      </c>
      <c r="M226" s="94" t="s">
        <v>45</v>
      </c>
      <c r="N226" s="116">
        <v>0</v>
      </c>
      <c r="O226" s="233">
        <f t="shared" ref="O226" si="55">+I226+D226-L226</f>
        <v>0</v>
      </c>
      <c r="P226" s="233"/>
      <c r="Q226" s="368">
        <f t="shared" ref="Q226" si="56">+O226+P226</f>
        <v>0</v>
      </c>
      <c r="R226" s="348" t="s">
        <v>405</v>
      </c>
      <c r="S226" s="299">
        <v>44562</v>
      </c>
      <c r="T226" s="299" t="s">
        <v>406</v>
      </c>
      <c r="U226" s="149">
        <v>34680</v>
      </c>
      <c r="V226" s="370" t="s">
        <v>407</v>
      </c>
      <c r="W226" s="295" t="s">
        <v>289</v>
      </c>
      <c r="X226" s="4" t="s">
        <v>408</v>
      </c>
    </row>
    <row r="227" spans="1:24" ht="27.75" customHeight="1">
      <c r="A227" s="94"/>
      <c r="B227" s="366" t="s">
        <v>409</v>
      </c>
      <c r="C227" s="367" t="s">
        <v>410</v>
      </c>
      <c r="D227" s="141"/>
      <c r="E227" s="43"/>
      <c r="F227" s="44"/>
      <c r="G227" s="45"/>
      <c r="H227" s="45"/>
      <c r="I227" s="47"/>
      <c r="J227" s="175"/>
      <c r="K227" s="176"/>
      <c r="L227" s="222"/>
      <c r="M227" s="94"/>
      <c r="N227" s="116"/>
      <c r="O227" s="233"/>
      <c r="P227" s="233"/>
      <c r="Q227" s="368"/>
      <c r="R227" s="348"/>
      <c r="S227" s="299"/>
      <c r="T227" s="299"/>
      <c r="U227" s="149"/>
      <c r="V227" s="370"/>
      <c r="W227" s="295"/>
    </row>
    <row r="228" spans="1:24" ht="27.75" customHeight="1">
      <c r="A228" s="94">
        <v>3</v>
      </c>
      <c r="B228" s="366" t="s">
        <v>411</v>
      </c>
      <c r="C228" s="367" t="s">
        <v>412</v>
      </c>
      <c r="D228" s="141">
        <v>5360</v>
      </c>
      <c r="E228" s="43" t="s">
        <v>45</v>
      </c>
      <c r="F228" s="44">
        <v>0</v>
      </c>
      <c r="G228" s="45">
        <v>0</v>
      </c>
      <c r="H228" s="45"/>
      <c r="I228" s="47">
        <v>0</v>
      </c>
      <c r="J228" s="175">
        <v>46178</v>
      </c>
      <c r="K228" s="176" t="s">
        <v>1489</v>
      </c>
      <c r="L228" s="222">
        <v>5360</v>
      </c>
      <c r="M228" s="94" t="s">
        <v>45</v>
      </c>
      <c r="N228" s="116">
        <v>0</v>
      </c>
      <c r="O228" s="233">
        <f t="shared" ref="O228" si="57">+I228+D228-L228</f>
        <v>0</v>
      </c>
      <c r="P228" s="233"/>
      <c r="Q228" s="368">
        <f t="shared" ref="Q228" si="58">+O228+P228</f>
        <v>0</v>
      </c>
      <c r="R228" s="348" t="s">
        <v>405</v>
      </c>
      <c r="S228" s="299">
        <v>44562</v>
      </c>
      <c r="T228" s="299">
        <v>45503</v>
      </c>
      <c r="U228" s="149">
        <v>13980</v>
      </c>
      <c r="V228" s="371" t="s">
        <v>414</v>
      </c>
      <c r="W228" s="295" t="s">
        <v>289</v>
      </c>
      <c r="X228" s="4" t="s">
        <v>415</v>
      </c>
    </row>
    <row r="229" spans="1:24" ht="27.75" customHeight="1">
      <c r="A229" s="94"/>
      <c r="B229" s="366" t="s">
        <v>409</v>
      </c>
      <c r="C229" s="367" t="s">
        <v>416</v>
      </c>
      <c r="D229" s="141"/>
      <c r="E229" s="43"/>
      <c r="F229" s="44"/>
      <c r="G229" s="45"/>
      <c r="H229" s="45"/>
      <c r="I229" s="47"/>
      <c r="J229" s="175"/>
      <c r="K229" s="176"/>
      <c r="L229" s="222"/>
      <c r="N229" s="116"/>
      <c r="O229" s="233"/>
      <c r="P229" s="233"/>
      <c r="Q229" s="368"/>
      <c r="R229" s="348"/>
      <c r="S229" s="299"/>
      <c r="T229" s="299"/>
      <c r="U229" s="149"/>
      <c r="V229" s="371"/>
      <c r="W229" s="295"/>
    </row>
    <row r="230" spans="1:24" ht="27.75" customHeight="1">
      <c r="A230" s="94">
        <v>4</v>
      </c>
      <c r="B230" s="366" t="s">
        <v>417</v>
      </c>
      <c r="C230" s="367" t="s">
        <v>418</v>
      </c>
      <c r="D230" s="141">
        <v>68108.75</v>
      </c>
      <c r="E230" s="373" t="s">
        <v>1285</v>
      </c>
      <c r="F230" s="374">
        <v>-0.49999992658799353</v>
      </c>
      <c r="G230" s="375">
        <v>-34054.370000000003</v>
      </c>
      <c r="H230" s="375"/>
      <c r="I230" s="376">
        <v>-34054.370000000003</v>
      </c>
      <c r="J230" s="175">
        <v>46174</v>
      </c>
      <c r="K230" s="176" t="s">
        <v>1490</v>
      </c>
      <c r="L230" s="222">
        <v>68108.75</v>
      </c>
      <c r="M230" s="377" t="s">
        <v>1396</v>
      </c>
      <c r="N230" s="116">
        <v>-0.49999992658799353</v>
      </c>
      <c r="O230" s="233">
        <f t="shared" ref="O230" si="59">+I230+D230-L230</f>
        <v>-34054.370000000003</v>
      </c>
      <c r="P230" s="233"/>
      <c r="Q230" s="368">
        <f t="shared" ref="Q230" si="60">+O230+P230</f>
        <v>-34054.370000000003</v>
      </c>
      <c r="R230" s="39" t="s">
        <v>195</v>
      </c>
      <c r="S230" s="55">
        <v>40072</v>
      </c>
      <c r="T230" s="55">
        <v>41167</v>
      </c>
      <c r="U230" s="56">
        <v>132250</v>
      </c>
      <c r="V230" s="378" t="s">
        <v>420</v>
      </c>
    </row>
    <row r="231" spans="1:24" ht="27.75" customHeight="1">
      <c r="A231" s="94"/>
      <c r="B231" s="366" t="s">
        <v>409</v>
      </c>
      <c r="C231" s="379"/>
      <c r="D231" s="141"/>
      <c r="E231" s="43"/>
      <c r="F231" s="44"/>
      <c r="G231" s="45">
        <v>0</v>
      </c>
      <c r="H231" s="45"/>
      <c r="I231" s="47">
        <v>0</v>
      </c>
      <c r="J231" s="175"/>
      <c r="K231" s="176"/>
      <c r="L231" s="222"/>
      <c r="M231" s="94"/>
      <c r="N231" s="116"/>
      <c r="O231" s="233">
        <f t="shared" ref="O231:O232" si="61">D231+I231-L231</f>
        <v>0</v>
      </c>
      <c r="P231" s="233"/>
      <c r="Q231" s="368">
        <f t="shared" ref="Q231:Q232" si="62">O231</f>
        <v>0</v>
      </c>
      <c r="R231" s="39"/>
      <c r="S231" s="55"/>
      <c r="T231" s="55"/>
      <c r="U231" s="56"/>
      <c r="V231" s="56"/>
    </row>
    <row r="232" spans="1:24" ht="27.75" customHeight="1">
      <c r="A232" s="94">
        <v>5</v>
      </c>
      <c r="B232" s="366" t="s">
        <v>417</v>
      </c>
      <c r="C232" s="367" t="s">
        <v>421</v>
      </c>
      <c r="D232" s="141">
        <v>4910</v>
      </c>
      <c r="E232" s="43" t="s">
        <v>45</v>
      </c>
      <c r="F232" s="44">
        <v>0</v>
      </c>
      <c r="G232" s="45">
        <v>0</v>
      </c>
      <c r="H232" s="45">
        <v>0</v>
      </c>
      <c r="I232" s="47">
        <v>0</v>
      </c>
      <c r="J232" s="175">
        <v>46174</v>
      </c>
      <c r="K232" s="176" t="s">
        <v>1491</v>
      </c>
      <c r="L232" s="222">
        <v>4910</v>
      </c>
      <c r="M232" s="94" t="s">
        <v>45</v>
      </c>
      <c r="N232" s="116">
        <v>0</v>
      </c>
      <c r="O232" s="233">
        <f t="shared" si="61"/>
        <v>0</v>
      </c>
      <c r="P232" s="233">
        <v>0</v>
      </c>
      <c r="Q232" s="368">
        <f t="shared" si="62"/>
        <v>0</v>
      </c>
      <c r="R232" s="348" t="s">
        <v>195</v>
      </c>
      <c r="S232" s="299" t="s">
        <v>423</v>
      </c>
      <c r="T232" s="299" t="s">
        <v>406</v>
      </c>
      <c r="U232" s="56">
        <v>6420</v>
      </c>
      <c r="V232" s="56" t="s">
        <v>424</v>
      </c>
      <c r="W232" s="295" t="s">
        <v>289</v>
      </c>
      <c r="X232" s="4" t="s">
        <v>425</v>
      </c>
    </row>
    <row r="233" spans="1:24" ht="27.75" customHeight="1">
      <c r="A233" s="94"/>
      <c r="B233" s="366" t="s">
        <v>426</v>
      </c>
      <c r="C233" s="366" t="s">
        <v>427</v>
      </c>
      <c r="D233" s="141"/>
      <c r="E233" s="43"/>
      <c r="F233" s="44"/>
      <c r="G233" s="45"/>
      <c r="H233" s="45"/>
      <c r="I233" s="47"/>
      <c r="J233" s="175"/>
      <c r="K233" s="176"/>
      <c r="L233" s="222"/>
      <c r="M233" s="94"/>
      <c r="N233" s="116"/>
      <c r="O233" s="233"/>
      <c r="P233" s="233"/>
      <c r="Q233" s="368"/>
      <c r="R233" s="348"/>
      <c r="S233" s="299"/>
      <c r="T233" s="299"/>
      <c r="U233" s="56"/>
      <c r="V233" s="56"/>
      <c r="W233" s="295"/>
    </row>
    <row r="234" spans="1:24" ht="27.75" customHeight="1">
      <c r="A234" s="94">
        <v>6</v>
      </c>
      <c r="B234" s="366" t="s">
        <v>428</v>
      </c>
      <c r="C234" s="367" t="s">
        <v>429</v>
      </c>
      <c r="D234" s="141">
        <v>20000</v>
      </c>
      <c r="E234" s="43" t="s">
        <v>45</v>
      </c>
      <c r="F234" s="44">
        <v>0</v>
      </c>
      <c r="G234" s="45"/>
      <c r="H234" s="45"/>
      <c r="I234" s="47"/>
      <c r="J234" s="175">
        <v>46178</v>
      </c>
      <c r="K234" s="176" t="s">
        <v>1492</v>
      </c>
      <c r="L234" s="222">
        <v>20000</v>
      </c>
      <c r="M234" s="94" t="s">
        <v>45</v>
      </c>
      <c r="N234" s="116">
        <v>0</v>
      </c>
      <c r="O234" s="233"/>
      <c r="P234" s="233"/>
      <c r="Q234" s="368"/>
      <c r="R234" s="348"/>
      <c r="S234" s="299"/>
      <c r="T234" s="299"/>
      <c r="U234" s="56"/>
      <c r="V234" s="56"/>
      <c r="W234" s="295"/>
    </row>
    <row r="235" spans="1:24" ht="27.75" customHeight="1">
      <c r="A235" s="94"/>
      <c r="B235" s="366" t="s">
        <v>431</v>
      </c>
      <c r="C235" s="366" t="s">
        <v>432</v>
      </c>
      <c r="D235" s="141"/>
      <c r="E235" s="43"/>
      <c r="F235" s="44"/>
      <c r="G235" s="45"/>
      <c r="H235" s="45"/>
      <c r="I235" s="47"/>
      <c r="J235" s="175"/>
      <c r="K235" s="176"/>
      <c r="L235" s="222"/>
      <c r="M235" s="94"/>
      <c r="N235" s="116"/>
      <c r="O235" s="233"/>
      <c r="P235" s="233"/>
      <c r="Q235" s="47"/>
      <c r="R235" s="39"/>
      <c r="S235" s="55"/>
      <c r="T235" s="55"/>
      <c r="U235" s="56"/>
      <c r="V235" s="56"/>
    </row>
    <row r="236" spans="1:24" ht="27.75" customHeight="1" thickBot="1">
      <c r="A236" s="193"/>
      <c r="B236" s="194" t="s">
        <v>22</v>
      </c>
      <c r="C236" s="195"/>
      <c r="D236" s="196">
        <f>SUM(D224:D235)</f>
        <v>136363.75</v>
      </c>
      <c r="E236" s="221"/>
      <c r="F236" s="197"/>
      <c r="G236" s="198">
        <v>0</v>
      </c>
      <c r="H236" s="198"/>
      <c r="I236" s="198">
        <v>0</v>
      </c>
      <c r="J236" s="199"/>
      <c r="K236" s="199"/>
      <c r="L236" s="196">
        <f>SUM(L224:L235)</f>
        <v>136363.75</v>
      </c>
      <c r="M236" s="200"/>
      <c r="N236" s="196"/>
      <c r="O236" s="198">
        <v>0</v>
      </c>
      <c r="P236" s="198"/>
      <c r="Q236" s="198">
        <v>0</v>
      </c>
      <c r="R236" s="36"/>
      <c r="S236" s="37"/>
      <c r="T236" s="37"/>
      <c r="U236" s="38"/>
      <c r="V236" s="38"/>
      <c r="W236" s="38"/>
    </row>
    <row r="237" spans="1:24" ht="27.75" customHeight="1" thickTop="1">
      <c r="A237" s="22"/>
      <c r="B237" s="288" t="s">
        <v>433</v>
      </c>
      <c r="C237" s="380"/>
      <c r="D237" s="284"/>
      <c r="E237" s="273"/>
      <c r="F237" s="274"/>
      <c r="G237" s="381"/>
      <c r="H237" s="381"/>
      <c r="I237" s="381"/>
      <c r="J237" s="382"/>
      <c r="K237" s="382"/>
      <c r="L237" s="383"/>
      <c r="M237" s="384"/>
      <c r="N237" s="284"/>
      <c r="O237" s="381"/>
      <c r="P237" s="381"/>
      <c r="Q237" s="381"/>
      <c r="R237" s="36"/>
      <c r="S237" s="37"/>
      <c r="T237" s="37"/>
      <c r="U237" s="38"/>
      <c r="V237" s="38"/>
      <c r="W237" s="38"/>
    </row>
    <row r="238" spans="1:24" ht="27.75" customHeight="1">
      <c r="A238" s="22">
        <v>1</v>
      </c>
      <c r="B238" s="270" t="s">
        <v>438</v>
      </c>
      <c r="C238" s="380" t="s">
        <v>439</v>
      </c>
      <c r="D238" s="284">
        <v>1500</v>
      </c>
      <c r="E238" s="384" t="s">
        <v>45</v>
      </c>
      <c r="F238" s="274">
        <v>0</v>
      </c>
      <c r="G238" s="381">
        <v>0</v>
      </c>
      <c r="H238" s="381">
        <v>0</v>
      </c>
      <c r="I238" s="381">
        <v>0</v>
      </c>
      <c r="J238" s="389" t="s">
        <v>1494</v>
      </c>
      <c r="K238" s="386" t="s">
        <v>1493</v>
      </c>
      <c r="L238" s="383">
        <v>1500</v>
      </c>
      <c r="M238" s="390" t="s">
        <v>45</v>
      </c>
      <c r="N238" s="391">
        <v>0</v>
      </c>
      <c r="O238" s="381">
        <f>SUM(D238+G238-L238)</f>
        <v>0</v>
      </c>
      <c r="P238" s="381">
        <v>0</v>
      </c>
      <c r="Q238" s="381">
        <f>SUM(O238)</f>
        <v>0</v>
      </c>
      <c r="R238" s="36"/>
      <c r="S238" s="37"/>
      <c r="T238" s="37"/>
      <c r="U238" s="38"/>
      <c r="V238" s="38"/>
      <c r="W238" s="38"/>
    </row>
    <row r="239" spans="1:24" ht="27.75" customHeight="1" thickBot="1">
      <c r="A239" s="193"/>
      <c r="B239" s="194" t="s">
        <v>22</v>
      </c>
      <c r="C239" s="195"/>
      <c r="D239" s="196">
        <f>SUM(D238:D238)</f>
        <v>1500</v>
      </c>
      <c r="E239" s="221">
        <v>0</v>
      </c>
      <c r="F239" s="197"/>
      <c r="G239" s="392">
        <v>0</v>
      </c>
      <c r="H239" s="392">
        <v>0</v>
      </c>
      <c r="I239" s="392">
        <v>0</v>
      </c>
      <c r="J239" s="393">
        <v>0</v>
      </c>
      <c r="K239" s="393">
        <v>0</v>
      </c>
      <c r="L239" s="394">
        <f>SUM(L238:L238)</f>
        <v>1500</v>
      </c>
      <c r="M239" s="395"/>
      <c r="N239" s="392"/>
      <c r="O239" s="392">
        <f>SUM(O238:O238)</f>
        <v>0</v>
      </c>
      <c r="P239" s="392">
        <f>SUM(P238:P238)</f>
        <v>0</v>
      </c>
      <c r="Q239" s="392">
        <f>SUM(Q238:Q238)</f>
        <v>0</v>
      </c>
      <c r="R239" s="36"/>
      <c r="S239" s="37"/>
      <c r="T239" s="37"/>
      <c r="U239" s="38"/>
      <c r="V239" s="38"/>
      <c r="W239" s="38"/>
    </row>
    <row r="240" spans="1:24" ht="27.75" customHeight="1" thickTop="1">
      <c r="A240" s="22"/>
      <c r="B240" s="288" t="s">
        <v>441</v>
      </c>
      <c r="C240" s="289"/>
      <c r="D240" s="272"/>
      <c r="E240" s="201"/>
      <c r="F240" s="281"/>
      <c r="G240" s="290"/>
      <c r="H240" s="290"/>
      <c r="I240" s="290"/>
      <c r="J240" s="291"/>
      <c r="K240" s="292"/>
      <c r="L240" s="222"/>
      <c r="M240" s="94"/>
      <c r="N240" s="39"/>
      <c r="O240" s="293"/>
      <c r="P240" s="293"/>
      <c r="Q240" s="294"/>
      <c r="R240" s="36"/>
      <c r="S240" s="37"/>
      <c r="T240" s="37"/>
      <c r="U240" s="38"/>
      <c r="V240" s="38"/>
      <c r="W240" s="38"/>
    </row>
    <row r="241" spans="1:25" ht="27.75" customHeight="1">
      <c r="A241" s="94">
        <v>1</v>
      </c>
      <c r="B241" s="40" t="s">
        <v>442</v>
      </c>
      <c r="C241" s="206" t="s">
        <v>443</v>
      </c>
      <c r="D241" s="296">
        <v>98948</v>
      </c>
      <c r="E241" s="43" t="s">
        <v>1310</v>
      </c>
      <c r="F241" s="44">
        <v>-4</v>
      </c>
      <c r="G241" s="45">
        <v>-395792</v>
      </c>
      <c r="H241" s="45"/>
      <c r="I241" s="47">
        <v>-395792</v>
      </c>
      <c r="J241" s="175"/>
      <c r="K241" s="176"/>
      <c r="L241" s="222">
        <v>0</v>
      </c>
      <c r="M241" s="387" t="s">
        <v>1428</v>
      </c>
      <c r="N241" s="116">
        <v>-3</v>
      </c>
      <c r="O241" s="233">
        <f t="shared" ref="O241" si="63">Q241</f>
        <v>-296844</v>
      </c>
      <c r="P241" s="233"/>
      <c r="Q241" s="376">
        <f>D241+I241-L241</f>
        <v>-296844</v>
      </c>
      <c r="R241" s="39" t="s">
        <v>446</v>
      </c>
      <c r="S241" s="55">
        <v>43952</v>
      </c>
      <c r="T241" s="55">
        <v>44561</v>
      </c>
      <c r="U241" s="56">
        <v>1032500</v>
      </c>
      <c r="V241" s="56" t="s">
        <v>447</v>
      </c>
    </row>
    <row r="242" spans="1:25" ht="27.75" customHeight="1">
      <c r="A242" s="94"/>
      <c r="B242" s="396" t="s">
        <v>448</v>
      </c>
      <c r="C242" s="206" t="s">
        <v>449</v>
      </c>
      <c r="D242" s="296"/>
      <c r="E242" s="64"/>
      <c r="F242" s="44"/>
      <c r="G242" s="45"/>
      <c r="H242" s="45"/>
      <c r="I242" s="47"/>
      <c r="J242" s="183"/>
      <c r="K242" s="184"/>
      <c r="L242" s="231"/>
      <c r="M242" s="186"/>
      <c r="N242" s="116"/>
      <c r="O242" s="233"/>
      <c r="P242" s="233"/>
      <c r="Q242" s="376"/>
      <c r="R242" s="297"/>
      <c r="S242" s="298"/>
      <c r="T242" s="298"/>
      <c r="U242" s="397"/>
      <c r="V242" s="397"/>
    </row>
    <row r="243" spans="1:25" ht="27.75" customHeight="1">
      <c r="A243" s="94"/>
      <c r="B243" s="396"/>
      <c r="C243" s="398" t="s">
        <v>450</v>
      </c>
      <c r="D243" s="296"/>
      <c r="E243" s="64"/>
      <c r="F243" s="44"/>
      <c r="G243" s="45"/>
      <c r="H243" s="45"/>
      <c r="I243" s="47"/>
      <c r="J243" s="183"/>
      <c r="K243" s="184"/>
      <c r="L243" s="231"/>
      <c r="M243" s="186"/>
      <c r="N243" s="116"/>
      <c r="O243" s="233"/>
      <c r="P243" s="233"/>
      <c r="Q243" s="376"/>
      <c r="R243" s="297"/>
      <c r="S243" s="298"/>
      <c r="T243" s="298"/>
      <c r="U243" s="397"/>
      <c r="V243" s="397"/>
    </row>
    <row r="244" spans="1:25" ht="27.75" customHeight="1">
      <c r="A244" s="94">
        <v>2</v>
      </c>
      <c r="B244" s="205" t="s">
        <v>451</v>
      </c>
      <c r="C244" s="206" t="s">
        <v>452</v>
      </c>
      <c r="D244" s="296">
        <v>48779</v>
      </c>
      <c r="E244" s="64" t="s">
        <v>1376</v>
      </c>
      <c r="F244" s="44">
        <v>-5.7389450378236537</v>
      </c>
      <c r="G244" s="45">
        <v>-279940</v>
      </c>
      <c r="H244" s="45"/>
      <c r="I244" s="47">
        <v>-279940</v>
      </c>
      <c r="J244" s="183"/>
      <c r="K244" s="184"/>
      <c r="L244" s="231">
        <v>0</v>
      </c>
      <c r="M244" s="399" t="s">
        <v>1495</v>
      </c>
      <c r="N244" s="116">
        <v>-4.7389450378236537</v>
      </c>
      <c r="O244" s="233">
        <f t="shared" ref="O244" si="64">Q244</f>
        <v>-231161</v>
      </c>
      <c r="P244" s="233"/>
      <c r="Q244" s="368">
        <f>D244+I244-L244</f>
        <v>-231161</v>
      </c>
      <c r="R244" s="172" t="s">
        <v>456</v>
      </c>
      <c r="S244" s="400" t="s">
        <v>457</v>
      </c>
      <c r="T244" s="400" t="s">
        <v>458</v>
      </c>
      <c r="U244" s="401">
        <v>442600</v>
      </c>
      <c r="V244" s="401" t="s">
        <v>459</v>
      </c>
    </row>
    <row r="245" spans="1:25" ht="27.75" customHeight="1">
      <c r="A245" s="232"/>
      <c r="B245" s="402" t="s">
        <v>460</v>
      </c>
      <c r="C245" s="206" t="s">
        <v>461</v>
      </c>
      <c r="D245" s="296"/>
      <c r="E245" s="64"/>
      <c r="F245" s="44"/>
      <c r="G245" s="45"/>
      <c r="H245" s="45"/>
      <c r="I245" s="47"/>
      <c r="J245" s="183"/>
      <c r="K245" s="184"/>
      <c r="L245" s="231"/>
      <c r="M245" s="186"/>
      <c r="N245" s="116"/>
      <c r="O245" s="233"/>
      <c r="P245" s="233"/>
      <c r="Q245" s="403"/>
      <c r="R245" s="172"/>
      <c r="S245" s="400"/>
      <c r="T245" s="400"/>
      <c r="U245" s="401"/>
      <c r="V245" s="401"/>
    </row>
    <row r="246" spans="1:25" ht="27.75" customHeight="1">
      <c r="A246" s="186"/>
      <c r="B246" s="404" t="s">
        <v>448</v>
      </c>
      <c r="C246" s="206" t="s">
        <v>462</v>
      </c>
      <c r="D246" s="296"/>
      <c r="E246" s="64"/>
      <c r="F246" s="44"/>
      <c r="G246" s="45"/>
      <c r="H246" s="45"/>
      <c r="I246" s="66"/>
      <c r="J246" s="183"/>
      <c r="K246" s="184"/>
      <c r="L246" s="231"/>
      <c r="M246" s="186"/>
      <c r="N246" s="116"/>
      <c r="O246" s="233"/>
      <c r="P246" s="233"/>
      <c r="Q246" s="403"/>
      <c r="R246" s="146" t="s">
        <v>463</v>
      </c>
      <c r="S246" s="148" t="s">
        <v>464</v>
      </c>
      <c r="T246" s="148" t="s">
        <v>465</v>
      </c>
      <c r="U246" s="149">
        <v>46000</v>
      </c>
      <c r="V246" s="149" t="s">
        <v>466</v>
      </c>
      <c r="W246" s="295" t="s">
        <v>289</v>
      </c>
      <c r="X246" s="4" t="s">
        <v>467</v>
      </c>
    </row>
    <row r="247" spans="1:25" ht="27.75" customHeight="1">
      <c r="A247" s="405"/>
      <c r="B247" s="406" t="s">
        <v>22</v>
      </c>
      <c r="C247" s="407"/>
      <c r="D247" s="408">
        <f>SUM(D241:D246)</f>
        <v>147727</v>
      </c>
      <c r="E247" s="409"/>
      <c r="F247" s="410"/>
      <c r="G247" s="239">
        <f>SUM(G241:G246)-G241-G244</f>
        <v>0</v>
      </c>
      <c r="H247" s="239">
        <f t="shared" ref="H247" si="65">SUM(H241:H246)</f>
        <v>0</v>
      </c>
      <c r="I247" s="239">
        <f>SUM(I241:I246)-I241-I244</f>
        <v>0</v>
      </c>
      <c r="J247" s="411"/>
      <c r="K247" s="411"/>
      <c r="L247" s="408">
        <f>SUM(L241:L244)</f>
        <v>0</v>
      </c>
      <c r="M247" s="412"/>
      <c r="N247" s="408"/>
      <c r="O247" s="239"/>
      <c r="P247" s="239">
        <f>SUM(P244:P246)</f>
        <v>0</v>
      </c>
      <c r="Q247" s="239"/>
      <c r="R247" s="278"/>
      <c r="S247" s="279"/>
      <c r="T247" s="279"/>
      <c r="U247" s="413"/>
      <c r="V247" s="413"/>
      <c r="W247" s="413"/>
    </row>
    <row r="248" spans="1:25" ht="27.75" customHeight="1" thickBot="1">
      <c r="A248" s="414"/>
      <c r="B248" s="415"/>
      <c r="C248" s="416" t="s">
        <v>468</v>
      </c>
      <c r="D248" s="417"/>
      <c r="E248" s="418"/>
      <c r="F248" s="419"/>
      <c r="G248" s="420">
        <f>SUM(G247+G239+G236+G222+G166+G155+G138+G122+G108+G92+G89+G82+G31+G27+G24)</f>
        <v>66250.694392523365</v>
      </c>
      <c r="H248" s="420">
        <f>SUM(H247+H239+H236+H222+H166+H155+H138+H122+H108+H92+H89+H82+H31+H27+H24)</f>
        <v>4637.55</v>
      </c>
      <c r="I248" s="420">
        <f>SUM(I247+I239+I236+I222+I166+I155+I138+I122+I108+I92+I89+I82+I31+I27+I24)</f>
        <v>70888.244392523353</v>
      </c>
      <c r="J248" s="421"/>
      <c r="K248" s="421"/>
      <c r="L248" s="422">
        <f>SUM(L247+L239+L236+L222+L166+L155+L138+L122+L108+L92+L89+L82+L31+L27+L24)</f>
        <v>861444.20000000007</v>
      </c>
      <c r="M248" s="423"/>
      <c r="N248" s="422"/>
      <c r="O248" s="420">
        <f>SUM(O247+O239+O236+O222+O166+O155+O138+O122+O108+O92+O89+O82+O31+O27+O24)</f>
        <v>41784.3953271028</v>
      </c>
      <c r="P248" s="420">
        <f>SUM(P247+P239+P236+P222+P166+P155+P138+P122+P108+P92+P89+P82+P31+P27+P24)</f>
        <v>2924.91</v>
      </c>
      <c r="Q248" s="420">
        <f>SUM(Q247+Q239+Q236+Q222+Q166+Q155+Q138+Q122+Q108+Q92+Q89+Q82+Q31+Q27+Q24)</f>
        <v>44709.31</v>
      </c>
      <c r="R248" s="424"/>
      <c r="S248" s="425"/>
      <c r="T248" s="425"/>
      <c r="U248" s="345"/>
      <c r="V248" s="345"/>
      <c r="W248" s="345"/>
    </row>
    <row r="249" spans="1:25" ht="27.75" customHeight="1" thickTop="1">
      <c r="A249" s="426"/>
      <c r="B249" s="4"/>
      <c r="C249" s="295"/>
      <c r="D249" s="427"/>
      <c r="E249" s="428"/>
      <c r="F249" s="429"/>
      <c r="G249" s="430"/>
      <c r="H249" s="430"/>
      <c r="I249" s="430"/>
      <c r="J249" s="431"/>
      <c r="K249" s="432"/>
      <c r="L249" s="427"/>
      <c r="M249" s="433"/>
      <c r="N249" s="427"/>
      <c r="O249" s="430"/>
      <c r="P249" s="430"/>
      <c r="Q249" s="430"/>
      <c r="R249" s="424"/>
      <c r="S249" s="425"/>
      <c r="T249" s="425"/>
      <c r="U249" s="345"/>
      <c r="V249" s="345"/>
      <c r="W249" s="345"/>
    </row>
    <row r="250" spans="1:25" ht="27.75" customHeight="1">
      <c r="A250" s="426"/>
      <c r="B250" s="434" t="s">
        <v>469</v>
      </c>
      <c r="C250" s="295"/>
      <c r="D250" s="427"/>
      <c r="E250" s="428"/>
      <c r="F250" s="429"/>
      <c r="G250" s="430"/>
      <c r="H250" s="430"/>
      <c r="I250" s="430"/>
      <c r="J250" s="431"/>
      <c r="K250" s="432"/>
      <c r="L250" s="427"/>
      <c r="M250" s="433"/>
      <c r="N250" s="427"/>
      <c r="O250" s="430"/>
      <c r="P250" s="430"/>
      <c r="Q250" s="430"/>
      <c r="R250" s="424"/>
      <c r="S250" s="425"/>
      <c r="T250" s="425"/>
      <c r="U250" s="345"/>
      <c r="V250" s="345"/>
      <c r="W250" s="345"/>
    </row>
    <row r="251" spans="1:25" ht="27.75" customHeight="1">
      <c r="A251" s="435">
        <v>1</v>
      </c>
      <c r="B251" s="436" t="s">
        <v>470</v>
      </c>
      <c r="C251" s="437" t="s">
        <v>471</v>
      </c>
      <c r="D251" s="438" t="s">
        <v>472</v>
      </c>
      <c r="E251" s="439" t="s">
        <v>473</v>
      </c>
      <c r="F251" s="440">
        <v>21</v>
      </c>
      <c r="G251" s="15">
        <v>361288.35</v>
      </c>
      <c r="H251" s="15"/>
      <c r="I251" s="17">
        <v>361288.35</v>
      </c>
      <c r="J251" s="441"/>
      <c r="K251" s="442"/>
      <c r="L251" s="443"/>
      <c r="M251" s="435" t="s">
        <v>473</v>
      </c>
      <c r="N251" s="444">
        <v>21</v>
      </c>
      <c r="O251" s="445">
        <f>SUM(G251-L251)</f>
        <v>361288.35</v>
      </c>
      <c r="P251" s="19"/>
      <c r="Q251" s="17">
        <f>SUM(O251)</f>
        <v>361288.35</v>
      </c>
      <c r="R251" s="251" t="s">
        <v>195</v>
      </c>
      <c r="S251" s="446">
        <v>41883</v>
      </c>
      <c r="T251" s="446">
        <v>42978</v>
      </c>
      <c r="U251" s="447">
        <v>90000</v>
      </c>
      <c r="V251" s="447" t="s">
        <v>474</v>
      </c>
      <c r="Y251" s="4" t="s">
        <v>475</v>
      </c>
    </row>
    <row r="252" spans="1:25" ht="27.75" customHeight="1">
      <c r="A252" s="435"/>
      <c r="B252" s="436" t="s">
        <v>476</v>
      </c>
      <c r="C252" s="437"/>
      <c r="D252" s="448"/>
      <c r="E252" s="439"/>
      <c r="F252" s="440"/>
      <c r="G252" s="15"/>
      <c r="H252" s="15"/>
      <c r="I252" s="17"/>
      <c r="J252" s="441"/>
      <c r="K252" s="442"/>
      <c r="L252" s="443"/>
      <c r="M252" s="435"/>
      <c r="N252" s="444"/>
      <c r="O252" s="445">
        <f t="shared" ref="O252:O258" si="66">SUM(G252-L252)</f>
        <v>0</v>
      </c>
      <c r="P252" s="19"/>
      <c r="Q252" s="17">
        <f t="shared" ref="Q252:Q258" si="67">SUM(O252)</f>
        <v>0</v>
      </c>
      <c r="R252" s="116"/>
      <c r="S252" s="203"/>
      <c r="T252" s="203"/>
      <c r="U252" s="204"/>
      <c r="V252" s="204"/>
    </row>
    <row r="253" spans="1:25" ht="27.75" customHeight="1">
      <c r="A253" s="435"/>
      <c r="B253" s="674" t="s">
        <v>477</v>
      </c>
      <c r="C253" s="675"/>
      <c r="D253" s="682"/>
      <c r="E253" s="439"/>
      <c r="F253" s="440"/>
      <c r="G253" s="15"/>
      <c r="H253" s="15"/>
      <c r="I253" s="17"/>
      <c r="J253" s="441"/>
      <c r="K253" s="442"/>
      <c r="L253" s="443"/>
      <c r="M253" s="435"/>
      <c r="N253" s="444"/>
      <c r="O253" s="445">
        <f t="shared" si="66"/>
        <v>0</v>
      </c>
      <c r="P253" s="19"/>
      <c r="Q253" s="17">
        <f t="shared" si="67"/>
        <v>0</v>
      </c>
      <c r="R253" s="116"/>
      <c r="S253" s="203"/>
      <c r="T253" s="203"/>
      <c r="U253" s="204"/>
      <c r="V253" s="204"/>
    </row>
    <row r="254" spans="1:25" ht="27.75" customHeight="1">
      <c r="A254" s="435">
        <v>2</v>
      </c>
      <c r="B254" s="450" t="s">
        <v>470</v>
      </c>
      <c r="C254" s="451" t="s">
        <v>478</v>
      </c>
      <c r="D254" s="449"/>
      <c r="E254" s="439" t="s">
        <v>479</v>
      </c>
      <c r="F254" s="440">
        <v>6</v>
      </c>
      <c r="G254" s="15">
        <v>96700.72</v>
      </c>
      <c r="H254" s="15"/>
      <c r="I254" s="17">
        <v>96700.72</v>
      </c>
      <c r="J254" s="441"/>
      <c r="K254" s="442"/>
      <c r="L254" s="443"/>
      <c r="M254" s="435" t="s">
        <v>479</v>
      </c>
      <c r="N254" s="444">
        <v>6</v>
      </c>
      <c r="O254" s="445">
        <f t="shared" si="66"/>
        <v>96700.72</v>
      </c>
      <c r="P254" s="19"/>
      <c r="Q254" s="17">
        <f t="shared" si="67"/>
        <v>96700.72</v>
      </c>
      <c r="R254" s="116"/>
      <c r="S254" s="203"/>
      <c r="T254" s="203"/>
      <c r="U254" s="204"/>
      <c r="V254" s="204"/>
      <c r="Y254" s="4" t="s">
        <v>475</v>
      </c>
    </row>
    <row r="255" spans="1:25" ht="27.75" customHeight="1">
      <c r="A255" s="435">
        <v>3</v>
      </c>
      <c r="B255" s="450" t="s">
        <v>470</v>
      </c>
      <c r="C255" s="451" t="s">
        <v>480</v>
      </c>
      <c r="D255" s="452"/>
      <c r="E255" s="439" t="s">
        <v>481</v>
      </c>
      <c r="F255" s="440">
        <v>16</v>
      </c>
      <c r="G255" s="15">
        <v>285799.45</v>
      </c>
      <c r="H255" s="15"/>
      <c r="I255" s="17">
        <v>285799.45</v>
      </c>
      <c r="J255" s="441"/>
      <c r="K255" s="442"/>
      <c r="L255" s="443"/>
      <c r="M255" s="435" t="s">
        <v>481</v>
      </c>
      <c r="N255" s="444">
        <v>16</v>
      </c>
      <c r="O255" s="445">
        <f t="shared" si="66"/>
        <v>285799.45</v>
      </c>
      <c r="P255" s="19"/>
      <c r="Q255" s="17">
        <f t="shared" si="67"/>
        <v>285799.45</v>
      </c>
      <c r="R255" s="116"/>
      <c r="S255" s="203"/>
      <c r="T255" s="203"/>
      <c r="U255" s="204"/>
      <c r="V255" s="204"/>
      <c r="Y255" s="4" t="s">
        <v>475</v>
      </c>
    </row>
    <row r="256" spans="1:25" s="226" customFormat="1" ht="27.75" customHeight="1">
      <c r="A256" s="440">
        <v>4</v>
      </c>
      <c r="B256" s="436" t="s">
        <v>470</v>
      </c>
      <c r="C256" s="453" t="s">
        <v>482</v>
      </c>
      <c r="D256" s="454" t="s">
        <v>472</v>
      </c>
      <c r="E256" s="455" t="s">
        <v>483</v>
      </c>
      <c r="F256" s="456" t="s">
        <v>195</v>
      </c>
      <c r="G256" s="17">
        <v>57055.05</v>
      </c>
      <c r="H256" s="17"/>
      <c r="I256" s="17">
        <v>57055.05</v>
      </c>
      <c r="J256" s="441"/>
      <c r="K256" s="457"/>
      <c r="L256" s="458"/>
      <c r="M256" s="435" t="s">
        <v>483</v>
      </c>
      <c r="N256" s="448" t="s">
        <v>195</v>
      </c>
      <c r="O256" s="445">
        <f t="shared" si="66"/>
        <v>57055.05</v>
      </c>
      <c r="P256" s="17"/>
      <c r="Q256" s="17">
        <f t="shared" si="67"/>
        <v>57055.05</v>
      </c>
      <c r="R256" s="39"/>
      <c r="S256" s="55"/>
      <c r="T256" s="55"/>
      <c r="U256" s="141"/>
      <c r="V256" s="141"/>
      <c r="Y256" s="4" t="s">
        <v>475</v>
      </c>
    </row>
    <row r="257" spans="1:28" s="226" customFormat="1" ht="27.75" customHeight="1">
      <c r="A257" s="440"/>
      <c r="B257" s="676" t="s">
        <v>484</v>
      </c>
      <c r="C257" s="677"/>
      <c r="D257" s="683"/>
      <c r="E257" s="455"/>
      <c r="F257" s="456"/>
      <c r="G257" s="17"/>
      <c r="H257" s="17"/>
      <c r="I257" s="17"/>
      <c r="J257" s="441"/>
      <c r="K257" s="457"/>
      <c r="L257" s="458"/>
      <c r="M257" s="435"/>
      <c r="N257" s="448"/>
      <c r="O257" s="445">
        <f t="shared" si="66"/>
        <v>0</v>
      </c>
      <c r="P257" s="17"/>
      <c r="Q257" s="17">
        <f t="shared" si="67"/>
        <v>0</v>
      </c>
      <c r="R257" s="122"/>
      <c r="S257" s="37"/>
      <c r="T257" s="37"/>
      <c r="U257" s="459"/>
      <c r="V257" s="459"/>
      <c r="Y257" s="4" t="s">
        <v>475</v>
      </c>
    </row>
    <row r="258" spans="1:28" ht="27.75" customHeight="1">
      <c r="A258" s="460">
        <v>5</v>
      </c>
      <c r="B258" s="436" t="s">
        <v>470</v>
      </c>
      <c r="C258" s="461" t="s">
        <v>485</v>
      </c>
      <c r="D258" s="454"/>
      <c r="E258" s="455" t="s">
        <v>486</v>
      </c>
      <c r="F258" s="462" t="s">
        <v>195</v>
      </c>
      <c r="G258" s="17">
        <v>28958.15</v>
      </c>
      <c r="H258" s="15"/>
      <c r="I258" s="17">
        <v>28958.15</v>
      </c>
      <c r="J258" s="441" t="s">
        <v>487</v>
      </c>
      <c r="K258" s="463"/>
      <c r="L258" s="443"/>
      <c r="M258" s="435" t="s">
        <v>486</v>
      </c>
      <c r="N258" s="464" t="s">
        <v>195</v>
      </c>
      <c r="O258" s="445">
        <f t="shared" si="66"/>
        <v>28958.15</v>
      </c>
      <c r="P258" s="21"/>
      <c r="Q258" s="17">
        <f t="shared" si="67"/>
        <v>28958.15</v>
      </c>
      <c r="R258" s="36"/>
      <c r="S258" s="37"/>
      <c r="T258" s="37"/>
      <c r="U258" s="38"/>
      <c r="V258" s="38"/>
      <c r="W258" s="38"/>
      <c r="Y258" s="4" t="s">
        <v>475</v>
      </c>
    </row>
    <row r="259" spans="1:28" ht="27.6" customHeight="1">
      <c r="A259" s="460"/>
      <c r="B259" s="436" t="s">
        <v>488</v>
      </c>
      <c r="C259" s="461"/>
      <c r="D259" s="454"/>
      <c r="E259" s="448"/>
      <c r="F259" s="462"/>
      <c r="G259" s="17"/>
      <c r="H259" s="15"/>
      <c r="I259" s="17"/>
      <c r="J259" s="441"/>
      <c r="K259" s="463"/>
      <c r="L259" s="443"/>
      <c r="M259" s="435"/>
      <c r="N259" s="444"/>
      <c r="O259" s="17"/>
      <c r="P259" s="21"/>
      <c r="Q259" s="17"/>
      <c r="R259" s="36"/>
      <c r="S259" s="37"/>
      <c r="T259" s="37"/>
      <c r="U259" s="38"/>
      <c r="V259" s="38"/>
      <c r="W259" s="38"/>
    </row>
    <row r="260" spans="1:28" ht="27.6" customHeight="1">
      <c r="A260" s="460"/>
      <c r="B260" s="674" t="s">
        <v>489</v>
      </c>
      <c r="C260" s="675"/>
      <c r="D260" s="682"/>
      <c r="E260" s="448"/>
      <c r="F260" s="462"/>
      <c r="G260" s="17"/>
      <c r="H260" s="15"/>
      <c r="I260" s="17"/>
      <c r="J260" s="441"/>
      <c r="K260" s="463"/>
      <c r="L260" s="443"/>
      <c r="M260" s="435"/>
      <c r="N260" s="444"/>
      <c r="O260" s="17"/>
      <c r="P260" s="21"/>
      <c r="Q260" s="17"/>
      <c r="R260" s="36"/>
      <c r="S260" s="37"/>
      <c r="T260" s="37"/>
      <c r="U260" s="38"/>
      <c r="V260" s="38"/>
      <c r="W260" s="38"/>
    </row>
    <row r="261" spans="1:28" ht="27.75" customHeight="1" thickBot="1">
      <c r="A261" s="465"/>
      <c r="B261" s="466" t="s">
        <v>22</v>
      </c>
      <c r="C261" s="195"/>
      <c r="D261" s="310">
        <v>0</v>
      </c>
      <c r="E261" s="311"/>
      <c r="F261" s="312"/>
      <c r="G261" s="313">
        <f>SUM(G251:G259)</f>
        <v>829801.72000000009</v>
      </c>
      <c r="H261" s="313"/>
      <c r="I261" s="313">
        <f>SUM(I251:I259)</f>
        <v>829801.72000000009</v>
      </c>
      <c r="J261" s="467"/>
      <c r="K261" s="314"/>
      <c r="L261" s="310">
        <v>0</v>
      </c>
      <c r="M261" s="315"/>
      <c r="N261" s="310"/>
      <c r="O261" s="313">
        <f>SUM(O251:O259)</f>
        <v>829801.72000000009</v>
      </c>
      <c r="P261" s="313">
        <v>0</v>
      </c>
      <c r="Q261" s="313">
        <f>SUM(Q251:Q260)</f>
        <v>829801.72000000009</v>
      </c>
      <c r="R261" s="36"/>
      <c r="S261" s="37"/>
      <c r="T261" s="37"/>
      <c r="U261" s="38"/>
      <c r="V261" s="38"/>
      <c r="W261" s="38"/>
    </row>
    <row r="262" spans="1:28" ht="27.75" customHeight="1" thickTop="1">
      <c r="A262" s="468"/>
      <c r="B262" s="469" t="s">
        <v>490</v>
      </c>
      <c r="C262" s="470"/>
      <c r="D262" s="471"/>
      <c r="E262" s="207"/>
      <c r="F262" s="341"/>
      <c r="G262" s="187"/>
      <c r="H262" s="187"/>
      <c r="I262" s="187"/>
      <c r="J262" s="472"/>
      <c r="K262" s="473"/>
      <c r="L262" s="231"/>
      <c r="M262" s="186"/>
      <c r="N262" s="116"/>
      <c r="O262" s="344"/>
      <c r="P262" s="344"/>
      <c r="Q262" s="474"/>
      <c r="R262" s="36"/>
      <c r="S262" s="37"/>
      <c r="T262" s="37"/>
      <c r="U262" s="38"/>
      <c r="V262" s="38"/>
      <c r="W262" s="38"/>
    </row>
    <row r="263" spans="1:28" ht="27.75" customHeight="1">
      <c r="A263" s="475">
        <v>1</v>
      </c>
      <c r="B263" s="436" t="s">
        <v>491</v>
      </c>
      <c r="C263" s="437" t="s">
        <v>492</v>
      </c>
      <c r="D263" s="476"/>
      <c r="E263" s="477"/>
      <c r="F263" s="478"/>
      <c r="G263" s="15"/>
      <c r="H263" s="15"/>
      <c r="I263" s="17"/>
      <c r="J263" s="441"/>
      <c r="K263" s="442"/>
      <c r="L263" s="479"/>
      <c r="M263" s="435"/>
      <c r="N263" s="477"/>
      <c r="O263" s="480"/>
      <c r="P263" s="480"/>
      <c r="Q263" s="481"/>
      <c r="R263" s="356"/>
      <c r="S263" s="482"/>
      <c r="T263" s="482"/>
      <c r="U263" s="483"/>
      <c r="V263" s="483"/>
      <c r="Y263" s="4" t="s">
        <v>493</v>
      </c>
    </row>
    <row r="264" spans="1:28" ht="27.75" customHeight="1">
      <c r="A264" s="475"/>
      <c r="B264" s="484" t="s">
        <v>494</v>
      </c>
      <c r="C264" s="437"/>
      <c r="D264" s="476"/>
      <c r="E264" s="477"/>
      <c r="F264" s="478"/>
      <c r="G264" s="15"/>
      <c r="H264" s="15"/>
      <c r="I264" s="17"/>
      <c r="J264" s="441"/>
      <c r="K264" s="442"/>
      <c r="L264" s="479"/>
      <c r="M264" s="435"/>
      <c r="N264" s="477"/>
      <c r="O264" s="480"/>
      <c r="P264" s="480"/>
      <c r="Q264" s="481"/>
      <c r="R264" s="485"/>
      <c r="S264" s="486"/>
      <c r="T264" s="486"/>
      <c r="U264" s="487"/>
      <c r="V264" s="487"/>
    </row>
    <row r="265" spans="1:28" ht="27.75" customHeight="1">
      <c r="A265" s="475">
        <v>2</v>
      </c>
      <c r="B265" s="436" t="s">
        <v>495</v>
      </c>
      <c r="C265" s="437" t="s">
        <v>496</v>
      </c>
      <c r="D265" s="476"/>
      <c r="E265" s="477"/>
      <c r="F265" s="478" t="s">
        <v>497</v>
      </c>
      <c r="G265" s="15">
        <v>8214529.25</v>
      </c>
      <c r="H265" s="15"/>
      <c r="I265" s="17">
        <v>8214529.25</v>
      </c>
      <c r="J265" s="441"/>
      <c r="K265" s="442"/>
      <c r="L265" s="479"/>
      <c r="M265" s="435"/>
      <c r="N265" s="477" t="s">
        <v>497</v>
      </c>
      <c r="O265" s="15">
        <v>8214529.25</v>
      </c>
      <c r="P265" s="480"/>
      <c r="Q265" s="17">
        <v>8214529.25</v>
      </c>
      <c r="R265" s="485"/>
      <c r="S265" s="486"/>
      <c r="T265" s="486"/>
      <c r="U265" s="487"/>
      <c r="V265" s="487"/>
    </row>
    <row r="266" spans="1:28" ht="27.75" customHeight="1">
      <c r="A266" s="405"/>
      <c r="B266" s="234" t="s">
        <v>22</v>
      </c>
      <c r="C266" s="407"/>
      <c r="D266" s="408">
        <v>0</v>
      </c>
      <c r="E266" s="409"/>
      <c r="F266" s="410"/>
      <c r="G266" s="239">
        <f>SUM(G263:G265)</f>
        <v>8214529.25</v>
      </c>
      <c r="H266" s="239">
        <v>0</v>
      </c>
      <c r="I266" s="239">
        <f>SUM(I263:I265)</f>
        <v>8214529.25</v>
      </c>
      <c r="J266" s="411"/>
      <c r="K266" s="411"/>
      <c r="L266" s="408">
        <v>0</v>
      </c>
      <c r="M266" s="412"/>
      <c r="N266" s="408"/>
      <c r="O266" s="239">
        <f>SUM(O263:O265)</f>
        <v>8214529.25</v>
      </c>
      <c r="P266" s="239">
        <v>0</v>
      </c>
      <c r="Q266" s="239">
        <f>SUM(Q263:Q265)</f>
        <v>8214529.25</v>
      </c>
      <c r="R266" s="278"/>
      <c r="S266" s="279"/>
      <c r="T266" s="279"/>
      <c r="U266" s="413"/>
      <c r="V266" s="413"/>
      <c r="W266" s="413"/>
      <c r="AB266" s="589">
        <f>SUM(Q261+Q266)</f>
        <v>9044330.9700000007</v>
      </c>
    </row>
    <row r="267" spans="1:28" ht="27.75" customHeight="1">
      <c r="A267" s="426"/>
      <c r="B267" s="4"/>
      <c r="C267" s="295"/>
      <c r="D267" s="427"/>
      <c r="E267" s="428"/>
      <c r="F267" s="429"/>
      <c r="G267" s="430"/>
      <c r="H267" s="430"/>
      <c r="I267" s="430"/>
      <c r="J267" s="432"/>
      <c r="K267" s="432"/>
      <c r="L267" s="427"/>
      <c r="M267" s="433"/>
      <c r="N267" s="427"/>
      <c r="O267" s="430"/>
      <c r="P267" s="430"/>
      <c r="Q267" s="430"/>
      <c r="R267" s="424"/>
      <c r="S267" s="425"/>
      <c r="T267" s="425"/>
      <c r="U267" s="345"/>
      <c r="V267" s="345"/>
      <c r="W267" s="345"/>
    </row>
    <row r="268" spans="1:28" ht="27.75" customHeight="1" thickBot="1">
      <c r="A268" s="488"/>
      <c r="B268" s="489" t="s">
        <v>498</v>
      </c>
      <c r="C268" s="490"/>
      <c r="D268" s="491">
        <f>+D266+D261+D247+D239+D236+D222+D166+D155+D151+D138+D122+D108+D92+D89+D82+D45+D31+D27+D24</f>
        <v>987727.76</v>
      </c>
      <c r="E268" s="491"/>
      <c r="F268" s="492"/>
      <c r="G268" s="493">
        <f>SUM(G266+G261+G248)</f>
        <v>9110581.6643925235</v>
      </c>
      <c r="H268" s="493">
        <f>SUM(H266+H261+H248)</f>
        <v>4637.55</v>
      </c>
      <c r="I268" s="493">
        <f>SUM(I266+I261+I248)</f>
        <v>9115219.2143925242</v>
      </c>
      <c r="J268" s="494"/>
      <c r="K268" s="494"/>
      <c r="L268" s="493">
        <f>SUM(L266+L261+L248)</f>
        <v>861444.20000000007</v>
      </c>
      <c r="M268" s="495"/>
      <c r="N268" s="496"/>
      <c r="O268" s="493">
        <f>SUM(O266+O261+O248)+0.01</f>
        <v>9086115.3753271028</v>
      </c>
      <c r="P268" s="493">
        <f>SUM(P266+P261+P248)</f>
        <v>2924.91</v>
      </c>
      <c r="Q268" s="493">
        <f>SUM(Q266+Q261+Q248)+0.01</f>
        <v>9089040.290000001</v>
      </c>
      <c r="R268" s="497">
        <v>0</v>
      </c>
      <c r="S268" s="497">
        <v>0</v>
      </c>
      <c r="T268" s="498"/>
      <c r="U268" s="499"/>
      <c r="V268" s="499"/>
      <c r="W268" s="499"/>
    </row>
    <row r="269" spans="1:28" s="226" customFormat="1" ht="27.75" customHeight="1" thickTop="1">
      <c r="A269" s="6"/>
      <c r="B269" s="500"/>
      <c r="D269" s="501"/>
      <c r="E269" s="502"/>
      <c r="F269" s="503"/>
      <c r="G269" s="430"/>
      <c r="H269" s="430"/>
      <c r="I269" s="504"/>
      <c r="J269" s="3"/>
      <c r="K269" s="372"/>
      <c r="L269" s="501"/>
      <c r="M269" s="372"/>
      <c r="N269" s="501"/>
      <c r="O269" s="430"/>
      <c r="P269" s="430"/>
      <c r="Q269" s="504"/>
      <c r="R269" s="2"/>
      <c r="S269" s="425"/>
      <c r="T269" s="425"/>
      <c r="U269" s="345"/>
      <c r="V269" s="345"/>
    </row>
    <row r="270" spans="1:28" s="226" customFormat="1" ht="27.75" customHeight="1">
      <c r="A270" s="6"/>
      <c r="B270" s="500"/>
      <c r="D270" s="501"/>
      <c r="E270" s="502"/>
      <c r="F270" s="503"/>
      <c r="G270" s="430"/>
      <c r="H270" s="430"/>
      <c r="I270" s="504"/>
      <c r="J270" s="3"/>
      <c r="K270" s="372"/>
      <c r="L270" s="501"/>
      <c r="M270" s="372"/>
      <c r="N270" s="501"/>
      <c r="O270" s="430"/>
      <c r="P270" s="430"/>
      <c r="Q270" s="504"/>
      <c r="R270" s="2"/>
      <c r="S270" s="425"/>
      <c r="T270" s="425"/>
      <c r="U270" s="345"/>
      <c r="V270" s="345"/>
    </row>
    <row r="271" spans="1:28" s="226" customFormat="1" ht="27.75" customHeight="1">
      <c r="A271" s="684" t="s">
        <v>932</v>
      </c>
      <c r="B271" s="684"/>
      <c r="C271" s="684"/>
      <c r="D271" s="684"/>
      <c r="E271" s="684"/>
      <c r="F271" s="684"/>
      <c r="G271" s="684"/>
      <c r="H271" s="684"/>
      <c r="I271" s="684"/>
      <c r="J271" s="684"/>
      <c r="K271" s="684"/>
      <c r="L271" s="684"/>
      <c r="M271" s="684"/>
      <c r="N271" s="684"/>
      <c r="O271" s="684"/>
      <c r="P271" s="684"/>
      <c r="Q271" s="684"/>
      <c r="R271" s="684"/>
      <c r="S271" s="425"/>
      <c r="T271" s="425"/>
      <c r="U271" s="345"/>
      <c r="V271" s="345"/>
    </row>
    <row r="272" spans="1:28" s="226" customFormat="1" ht="27.75" customHeight="1">
      <c r="A272" s="678" t="s">
        <v>933</v>
      </c>
      <c r="B272" s="678"/>
      <c r="C272" s="678"/>
      <c r="D272" s="678"/>
      <c r="E272" s="678"/>
      <c r="F272" s="678"/>
      <c r="G272" s="678"/>
      <c r="H272" s="678"/>
      <c r="I272" s="678"/>
      <c r="J272" s="678"/>
      <c r="K272" s="678"/>
      <c r="L272" s="678"/>
      <c r="M272" s="678"/>
      <c r="N272" s="678"/>
      <c r="O272" s="678"/>
      <c r="P272" s="678"/>
      <c r="Q272" s="678"/>
      <c r="R272" s="678"/>
      <c r="S272" s="425"/>
      <c r="T272" s="425"/>
      <c r="U272" s="345"/>
      <c r="V272" s="345"/>
    </row>
    <row r="273" spans="1:22" s="226" customFormat="1" ht="27.75" customHeight="1">
      <c r="A273" s="678"/>
      <c r="B273" s="678"/>
      <c r="C273" s="678"/>
      <c r="D273" s="678"/>
      <c r="E273" s="678"/>
      <c r="F273" s="678"/>
      <c r="G273" s="678"/>
      <c r="H273" s="678"/>
      <c r="I273" s="678"/>
      <c r="J273" s="678"/>
      <c r="K273" s="678"/>
      <c r="L273" s="678"/>
      <c r="M273" s="678"/>
      <c r="N273" s="678"/>
      <c r="O273" s="678"/>
      <c r="P273" s="678"/>
      <c r="Q273" s="678"/>
      <c r="R273" s="678"/>
      <c r="S273" s="425"/>
      <c r="T273" s="425"/>
      <c r="U273" s="345"/>
      <c r="V273" s="345"/>
    </row>
    <row r="274" spans="1:22" s="226" customFormat="1" ht="27.75" customHeight="1">
      <c r="A274" s="6"/>
      <c r="B274" s="500"/>
      <c r="D274" s="501"/>
      <c r="E274" s="502"/>
      <c r="F274" s="503"/>
      <c r="G274" s="430"/>
      <c r="H274" s="430"/>
      <c r="I274" s="504"/>
      <c r="J274" s="3"/>
      <c r="K274" s="372"/>
      <c r="L274" s="501"/>
      <c r="M274" s="372"/>
      <c r="N274" s="501"/>
      <c r="O274" s="430"/>
      <c r="P274" s="430"/>
      <c r="Q274" s="504"/>
      <c r="R274" s="2"/>
      <c r="S274" s="425"/>
      <c r="T274" s="425"/>
      <c r="U274" s="345"/>
      <c r="V274" s="345"/>
    </row>
    <row r="275" spans="1:22" s="226" customFormat="1" ht="27.75" customHeight="1">
      <c r="A275" s="6"/>
      <c r="B275" s="500"/>
      <c r="D275" s="501"/>
      <c r="E275" s="502"/>
      <c r="F275" s="503"/>
      <c r="G275" s="430"/>
      <c r="H275" s="430"/>
      <c r="I275" s="504"/>
      <c r="J275" s="3"/>
      <c r="K275" s="372"/>
      <c r="L275" s="501"/>
      <c r="M275" s="372"/>
      <c r="N275" s="501"/>
      <c r="O275" s="430"/>
      <c r="P275" s="430"/>
      <c r="Q275" s="430"/>
      <c r="R275" s="2"/>
      <c r="S275" s="425"/>
      <c r="T275" s="425"/>
      <c r="U275" s="345"/>
      <c r="V275" s="345"/>
    </row>
    <row r="276" spans="1:22" s="226" customFormat="1" ht="27.75" customHeight="1">
      <c r="A276" s="6"/>
      <c r="B276" s="500"/>
      <c r="D276" s="501"/>
      <c r="E276" s="502"/>
      <c r="F276" s="503"/>
      <c r="G276" s="430"/>
      <c r="H276" s="430"/>
      <c r="I276" s="504"/>
      <c r="J276" s="3"/>
      <c r="K276" s="372"/>
      <c r="L276" s="501"/>
      <c r="M276" s="372"/>
      <c r="N276" s="501"/>
      <c r="O276" s="430"/>
      <c r="P276" s="430"/>
      <c r="Q276" s="504"/>
      <c r="R276" s="2"/>
      <c r="S276" s="425"/>
      <c r="T276" s="425"/>
      <c r="U276" s="345"/>
      <c r="V276" s="345"/>
    </row>
    <row r="277" spans="1:22" s="226" customFormat="1" ht="27.75" customHeight="1">
      <c r="A277" s="6"/>
      <c r="B277" s="500"/>
      <c r="D277" s="501"/>
      <c r="E277" s="502"/>
      <c r="F277" s="503"/>
      <c r="G277" s="430"/>
      <c r="H277" s="430"/>
      <c r="I277" s="504"/>
      <c r="J277" s="3"/>
      <c r="K277" s="372"/>
      <c r="L277" s="501"/>
      <c r="M277" s="372"/>
      <c r="N277" s="501"/>
      <c r="O277" s="430"/>
      <c r="P277" s="430"/>
      <c r="Q277" s="504"/>
      <c r="R277" s="2"/>
      <c r="S277" s="425"/>
      <c r="T277" s="425"/>
      <c r="U277" s="345"/>
      <c r="V277" s="345"/>
    </row>
    <row r="278" spans="1:22" s="226" customFormat="1" ht="27.75" customHeight="1">
      <c r="A278" s="6"/>
      <c r="B278" s="500"/>
      <c r="D278" s="501"/>
      <c r="E278" s="502"/>
      <c r="F278" s="503"/>
      <c r="G278" s="430"/>
      <c r="H278" s="430"/>
      <c r="I278" s="504"/>
      <c r="J278" s="3"/>
      <c r="K278" s="372"/>
      <c r="L278" s="501"/>
      <c r="M278" s="372"/>
      <c r="N278" s="501"/>
      <c r="O278" s="430"/>
      <c r="P278" s="430"/>
      <c r="Q278" s="504"/>
      <c r="R278" s="2"/>
      <c r="S278" s="425"/>
      <c r="T278" s="425"/>
      <c r="U278" s="345"/>
      <c r="V278" s="345"/>
    </row>
    <row r="279" spans="1:22" s="226" customFormat="1" ht="27.75" customHeight="1">
      <c r="A279" s="6"/>
      <c r="B279" s="500"/>
      <c r="D279" s="501"/>
      <c r="E279" s="502"/>
      <c r="F279" s="503"/>
      <c r="G279" s="430"/>
      <c r="H279" s="430"/>
      <c r="I279" s="504"/>
      <c r="J279" s="3"/>
      <c r="K279" s="372"/>
      <c r="L279" s="501"/>
      <c r="M279" s="372"/>
      <c r="N279" s="501"/>
      <c r="O279" s="430"/>
      <c r="P279" s="430"/>
      <c r="Q279" s="504"/>
      <c r="R279" s="2"/>
      <c r="S279" s="425"/>
      <c r="T279" s="425"/>
      <c r="U279" s="345"/>
      <c r="V279" s="345"/>
    </row>
    <row r="280" spans="1:22" s="226" customFormat="1" ht="27.75" customHeight="1">
      <c r="A280" s="6"/>
      <c r="B280" s="500"/>
      <c r="D280" s="501"/>
      <c r="E280" s="502"/>
      <c r="F280" s="503"/>
      <c r="G280" s="430"/>
      <c r="H280" s="430"/>
      <c r="J280" s="3"/>
      <c r="K280" s="372"/>
      <c r="L280" s="501"/>
      <c r="M280" s="372"/>
      <c r="N280" s="501"/>
      <c r="O280" s="430"/>
      <c r="P280" s="430"/>
      <c r="Q280" s="504"/>
      <c r="R280" s="2"/>
      <c r="S280" s="425"/>
      <c r="T280" s="425"/>
      <c r="U280" s="345"/>
      <c r="V280" s="345"/>
    </row>
    <row r="281" spans="1:22" s="226" customFormat="1" ht="27.75" customHeight="1">
      <c r="A281" s="6"/>
      <c r="B281" s="500"/>
      <c r="D281" s="501"/>
      <c r="E281" s="502"/>
      <c r="F281" s="503"/>
      <c r="G281" s="430"/>
      <c r="H281" s="430"/>
      <c r="I281" s="504"/>
      <c r="J281" s="3"/>
      <c r="K281" s="372"/>
      <c r="L281" s="501"/>
      <c r="M281" s="372"/>
      <c r="N281" s="501"/>
      <c r="O281" s="430"/>
      <c r="P281" s="430"/>
      <c r="Q281" s="504"/>
      <c r="R281" s="2"/>
      <c r="S281" s="425"/>
      <c r="T281" s="425"/>
      <c r="U281" s="345"/>
      <c r="V281" s="345"/>
    </row>
    <row r="282" spans="1:22" s="226" customFormat="1" ht="27.75" customHeight="1">
      <c r="A282" s="6"/>
      <c r="B282" s="500"/>
      <c r="D282" s="501"/>
      <c r="E282" s="502"/>
      <c r="F282" s="503"/>
      <c r="G282" s="430"/>
      <c r="H282" s="430"/>
      <c r="I282" s="504"/>
      <c r="J282" s="3"/>
      <c r="K282" s="372"/>
      <c r="L282" s="501"/>
      <c r="M282" s="372"/>
      <c r="N282" s="501"/>
      <c r="O282" s="430"/>
      <c r="P282" s="430"/>
      <c r="Q282" s="504"/>
      <c r="R282" s="2"/>
      <c r="S282" s="425"/>
      <c r="T282" s="425"/>
      <c r="U282" s="345"/>
      <c r="V282" s="345"/>
    </row>
    <row r="283" spans="1:22" s="226" customFormat="1" ht="27.75" customHeight="1">
      <c r="A283" s="6"/>
      <c r="B283" s="500"/>
      <c r="D283" s="501"/>
      <c r="E283" s="502"/>
      <c r="F283" s="503"/>
      <c r="G283" s="430"/>
      <c r="H283" s="430"/>
      <c r="I283" s="504"/>
      <c r="J283" s="3"/>
      <c r="K283" s="372"/>
      <c r="L283" s="501"/>
      <c r="M283" s="372"/>
      <c r="N283" s="501"/>
      <c r="O283" s="430"/>
      <c r="P283" s="430"/>
      <c r="Q283" s="504"/>
      <c r="R283" s="2"/>
      <c r="S283" s="425"/>
      <c r="T283" s="425"/>
      <c r="U283" s="345"/>
      <c r="V283" s="345"/>
    </row>
    <row r="284" spans="1:22" s="226" customFormat="1" ht="27.75" customHeight="1">
      <c r="A284" s="6"/>
      <c r="B284" s="500"/>
      <c r="D284" s="501"/>
      <c r="E284" s="502"/>
      <c r="F284" s="503"/>
      <c r="G284" s="430"/>
      <c r="H284" s="430"/>
      <c r="I284" s="504"/>
      <c r="J284" s="3"/>
      <c r="K284" s="372"/>
      <c r="L284" s="501"/>
      <c r="M284" s="372"/>
      <c r="N284" s="501"/>
      <c r="O284" s="430"/>
      <c r="P284" s="430"/>
      <c r="Q284" s="504"/>
      <c r="R284" s="2"/>
      <c r="S284" s="425"/>
      <c r="T284" s="425"/>
      <c r="U284" s="345"/>
      <c r="V284" s="345"/>
    </row>
    <row r="285" spans="1:22" s="226" customFormat="1" ht="27.75" customHeight="1">
      <c r="A285" s="6"/>
      <c r="D285" s="501"/>
      <c r="E285" s="502"/>
      <c r="F285" s="503"/>
      <c r="G285" s="430"/>
      <c r="H285" s="430"/>
      <c r="I285" s="504"/>
      <c r="J285" s="3"/>
      <c r="K285" s="372"/>
      <c r="L285" s="501"/>
      <c r="M285" s="372"/>
      <c r="N285" s="501"/>
      <c r="O285" s="430"/>
      <c r="P285" s="430"/>
      <c r="Q285" s="504"/>
      <c r="R285" s="2"/>
      <c r="S285" s="425"/>
      <c r="T285" s="425"/>
      <c r="U285" s="345"/>
      <c r="V285" s="345"/>
    </row>
    <row r="286" spans="1:22" ht="27.75" customHeight="1">
      <c r="B286" s="4"/>
      <c r="D286" s="4"/>
      <c r="E286" s="505"/>
      <c r="G286" s="504"/>
      <c r="H286" s="504"/>
      <c r="L286" s="4"/>
      <c r="N286" s="4"/>
      <c r="O286" s="507"/>
      <c r="P286" s="507"/>
      <c r="U286" s="4"/>
      <c r="V286" s="4"/>
    </row>
    <row r="287" spans="1:22" ht="27.75" customHeight="1">
      <c r="B287" s="4"/>
      <c r="D287" s="4"/>
      <c r="E287" s="505"/>
      <c r="G287" s="504"/>
      <c r="H287" s="504"/>
      <c r="L287" s="4"/>
      <c r="N287" s="4"/>
      <c r="O287" s="507"/>
      <c r="P287" s="507"/>
      <c r="U287" s="4"/>
      <c r="V287" s="4"/>
    </row>
    <row r="288" spans="1:22" ht="27.75" customHeight="1">
      <c r="B288" s="4"/>
      <c r="D288" s="4"/>
      <c r="E288" s="505"/>
      <c r="G288" s="504"/>
      <c r="H288" s="504"/>
      <c r="I288" s="509"/>
      <c r="L288" s="4"/>
      <c r="N288" s="4"/>
      <c r="O288" s="507"/>
      <c r="P288" s="507"/>
      <c r="U288" s="4"/>
      <c r="V288" s="4"/>
    </row>
    <row r="289" spans="2:22" ht="27.75" customHeight="1">
      <c r="B289" s="4"/>
      <c r="D289" s="4"/>
      <c r="E289" s="505"/>
      <c r="G289" s="504"/>
      <c r="H289" s="504"/>
      <c r="L289" s="4"/>
      <c r="N289" s="4"/>
      <c r="O289" s="507"/>
      <c r="P289" s="507"/>
      <c r="U289" s="4"/>
      <c r="V289" s="4"/>
    </row>
    <row r="290" spans="2:22" ht="27.75" customHeight="1">
      <c r="B290" s="4"/>
      <c r="D290" s="4"/>
      <c r="E290" s="505"/>
      <c r="G290" s="504"/>
      <c r="H290" s="504"/>
      <c r="L290" s="4"/>
      <c r="N290" s="4"/>
      <c r="O290" s="507"/>
      <c r="P290" s="507"/>
      <c r="U290" s="4"/>
      <c r="V290" s="4"/>
    </row>
    <row r="291" spans="2:22" ht="27.75" customHeight="1">
      <c r="B291" s="4"/>
      <c r="D291" s="4"/>
      <c r="E291" s="505"/>
      <c r="G291" s="504"/>
      <c r="H291" s="504"/>
      <c r="L291" s="4"/>
      <c r="N291" s="4"/>
      <c r="O291" s="507"/>
      <c r="P291" s="507"/>
      <c r="U291" s="4"/>
      <c r="V291" s="4"/>
    </row>
    <row r="292" spans="2:22" ht="27.75" customHeight="1">
      <c r="B292" s="4"/>
      <c r="D292" s="4"/>
      <c r="E292" s="505"/>
      <c r="G292" s="504"/>
      <c r="H292" s="504"/>
      <c r="L292" s="4"/>
      <c r="N292" s="4"/>
      <c r="O292" s="507"/>
      <c r="P292" s="507"/>
      <c r="U292" s="4"/>
      <c r="V292" s="4"/>
    </row>
    <row r="293" spans="2:22" ht="27.75" customHeight="1">
      <c r="B293" s="4"/>
      <c r="D293" s="4"/>
      <c r="E293" s="505"/>
      <c r="G293" s="504"/>
      <c r="H293" s="504"/>
      <c r="L293" s="4"/>
      <c r="N293" s="4"/>
      <c r="O293" s="507"/>
      <c r="P293" s="507"/>
      <c r="U293" s="4"/>
      <c r="V293" s="4"/>
    </row>
    <row r="294" spans="2:22" ht="27.75" customHeight="1">
      <c r="B294" s="4"/>
      <c r="D294" s="4"/>
      <c r="E294" s="505"/>
      <c r="G294" s="504"/>
      <c r="H294" s="504"/>
      <c r="L294" s="4"/>
      <c r="N294" s="4"/>
      <c r="O294" s="507"/>
      <c r="P294" s="507"/>
      <c r="U294" s="4"/>
      <c r="V294" s="4"/>
    </row>
    <row r="295" spans="2:22" ht="27.75" customHeight="1">
      <c r="B295" s="4"/>
      <c r="D295" s="4"/>
      <c r="E295" s="505"/>
      <c r="G295" s="504"/>
      <c r="H295" s="504"/>
      <c r="L295" s="4"/>
      <c r="N295" s="4"/>
      <c r="O295" s="507"/>
      <c r="P295" s="507"/>
      <c r="U295" s="4"/>
      <c r="V295" s="4"/>
    </row>
    <row r="296" spans="2:22" ht="27.75" customHeight="1">
      <c r="B296" s="4"/>
      <c r="D296" s="4"/>
      <c r="E296" s="505"/>
      <c r="G296" s="504"/>
      <c r="H296" s="504"/>
      <c r="L296" s="4"/>
      <c r="N296" s="4"/>
      <c r="O296" s="507"/>
      <c r="P296" s="507"/>
      <c r="U296" s="4"/>
      <c r="V296" s="4"/>
    </row>
    <row r="297" spans="2:22" ht="27.75" customHeight="1">
      <c r="B297" s="4"/>
      <c r="D297" s="4"/>
      <c r="E297" s="505"/>
      <c r="G297" s="504"/>
      <c r="H297" s="504"/>
      <c r="L297" s="4"/>
      <c r="N297" s="4"/>
      <c r="O297" s="507"/>
      <c r="P297" s="507"/>
      <c r="U297" s="4"/>
      <c r="V297" s="4"/>
    </row>
    <row r="298" spans="2:22" ht="27.75" customHeight="1">
      <c r="B298" s="4"/>
      <c r="D298" s="4"/>
      <c r="E298" s="505"/>
      <c r="G298" s="504"/>
      <c r="H298" s="504"/>
      <c r="L298" s="4"/>
      <c r="N298" s="4"/>
      <c r="O298" s="507"/>
      <c r="P298" s="507"/>
      <c r="U298" s="4"/>
      <c r="V298" s="4"/>
    </row>
    <row r="299" spans="2:22" ht="27.75" customHeight="1">
      <c r="B299" s="4"/>
      <c r="D299" s="4"/>
      <c r="E299" s="505"/>
      <c r="G299" s="504"/>
      <c r="H299" s="504"/>
      <c r="L299" s="4"/>
      <c r="N299" s="4"/>
      <c r="O299" s="507"/>
      <c r="P299" s="507"/>
      <c r="U299" s="4"/>
      <c r="V299" s="4"/>
    </row>
    <row r="300" spans="2:22" ht="27.75" customHeight="1">
      <c r="B300" s="4"/>
      <c r="D300" s="4"/>
      <c r="E300" s="505"/>
      <c r="G300" s="504"/>
      <c r="H300" s="504"/>
      <c r="L300" s="4"/>
      <c r="N300" s="4"/>
      <c r="O300" s="507"/>
      <c r="P300" s="507"/>
      <c r="U300" s="4"/>
      <c r="V300" s="4"/>
    </row>
    <row r="301" spans="2:22" ht="27.75" customHeight="1">
      <c r="B301" s="4"/>
      <c r="D301" s="4"/>
      <c r="E301" s="505"/>
      <c r="G301" s="504"/>
      <c r="H301" s="504"/>
      <c r="L301" s="4"/>
      <c r="N301" s="4"/>
      <c r="O301" s="507"/>
      <c r="P301" s="507"/>
      <c r="U301" s="4"/>
      <c r="V301" s="4"/>
    </row>
    <row r="313" spans="2:22" ht="27.75" customHeight="1">
      <c r="B313" s="4"/>
      <c r="D313" s="4"/>
      <c r="E313" s="505"/>
      <c r="G313" s="504"/>
      <c r="H313" s="504"/>
      <c r="L313" s="4"/>
      <c r="N313" s="4"/>
      <c r="O313" s="507"/>
      <c r="P313" s="507"/>
      <c r="R313" s="4"/>
      <c r="S313" s="4"/>
      <c r="T313" s="4"/>
      <c r="U313" s="4"/>
      <c r="V313" s="4"/>
    </row>
    <row r="314" spans="2:22" ht="27.75" customHeight="1">
      <c r="B314" s="4"/>
      <c r="D314" s="4"/>
      <c r="E314" s="505"/>
      <c r="G314" s="504"/>
      <c r="H314" s="504"/>
      <c r="L314" s="4"/>
      <c r="N314" s="4"/>
      <c r="O314" s="507"/>
      <c r="P314" s="507"/>
      <c r="R314" s="4"/>
      <c r="S314" s="4"/>
      <c r="T314" s="4"/>
      <c r="U314" s="4"/>
      <c r="V314" s="4"/>
    </row>
    <row r="315" spans="2:22" ht="27.75" customHeight="1">
      <c r="B315" s="4"/>
      <c r="D315" s="4"/>
      <c r="E315" s="505"/>
      <c r="G315" s="504"/>
      <c r="H315" s="504"/>
      <c r="L315" s="4"/>
      <c r="N315" s="4"/>
      <c r="O315" s="507"/>
      <c r="P315" s="507"/>
      <c r="R315" s="4"/>
      <c r="S315" s="4"/>
      <c r="T315" s="4"/>
      <c r="U315" s="4"/>
      <c r="V315" s="4"/>
    </row>
    <row r="316" spans="2:22" ht="27.75" customHeight="1">
      <c r="B316" s="4"/>
      <c r="D316" s="4"/>
      <c r="E316" s="505"/>
      <c r="G316" s="504"/>
      <c r="H316" s="504"/>
      <c r="L316" s="4"/>
      <c r="N316" s="4"/>
      <c r="O316" s="507"/>
      <c r="P316" s="507"/>
      <c r="R316" s="4"/>
      <c r="S316" s="4"/>
      <c r="T316" s="4"/>
      <c r="U316" s="4"/>
      <c r="V316" s="4"/>
    </row>
    <row r="317" spans="2:22" ht="27.75" customHeight="1">
      <c r="B317" s="4"/>
      <c r="D317" s="4"/>
      <c r="E317" s="505"/>
      <c r="G317" s="504"/>
      <c r="H317" s="504"/>
      <c r="L317" s="4"/>
      <c r="N317" s="4"/>
      <c r="O317" s="507"/>
      <c r="P317" s="507"/>
      <c r="R317" s="4"/>
      <c r="S317" s="4"/>
      <c r="T317" s="4"/>
      <c r="U317" s="4"/>
      <c r="V317" s="4"/>
    </row>
    <row r="318" spans="2:22" ht="27.75" customHeight="1">
      <c r="B318" s="4"/>
      <c r="D318" s="4"/>
      <c r="E318" s="505"/>
      <c r="G318" s="504"/>
      <c r="H318" s="504"/>
      <c r="L318" s="4"/>
      <c r="N318" s="4"/>
      <c r="O318" s="507"/>
      <c r="P318" s="507"/>
      <c r="R318" s="4"/>
      <c r="S318" s="4"/>
      <c r="T318" s="4"/>
      <c r="U318" s="4"/>
      <c r="V318" s="4"/>
    </row>
    <row r="319" spans="2:22" ht="27.75" customHeight="1">
      <c r="B319" s="4"/>
      <c r="D319" s="4"/>
      <c r="E319" s="505"/>
      <c r="G319" s="504"/>
      <c r="H319" s="504"/>
      <c r="L319" s="4"/>
      <c r="N319" s="4"/>
      <c r="O319" s="507"/>
      <c r="P319" s="507"/>
      <c r="R319" s="4"/>
      <c r="S319" s="4"/>
      <c r="T319" s="4"/>
      <c r="U319" s="4"/>
      <c r="V319" s="4"/>
    </row>
    <row r="320" spans="2:22" ht="27.75" customHeight="1">
      <c r="B320" s="4"/>
      <c r="D320" s="4"/>
      <c r="E320" s="505"/>
      <c r="G320" s="504"/>
      <c r="H320" s="504"/>
      <c r="L320" s="4"/>
      <c r="N320" s="4"/>
      <c r="O320" s="507"/>
      <c r="P320" s="507"/>
      <c r="R320" s="4"/>
      <c r="S320" s="4"/>
      <c r="T320" s="4"/>
      <c r="U320" s="4"/>
      <c r="V320" s="4"/>
    </row>
    <row r="321" spans="2:22" ht="27.75" customHeight="1">
      <c r="B321" s="4"/>
      <c r="D321" s="4"/>
      <c r="E321" s="505"/>
      <c r="G321" s="504"/>
      <c r="H321" s="504"/>
      <c r="L321" s="4"/>
      <c r="N321" s="4"/>
      <c r="O321" s="507"/>
      <c r="P321" s="507"/>
      <c r="R321" s="4"/>
      <c r="S321" s="4"/>
      <c r="T321" s="4"/>
      <c r="U321" s="4"/>
      <c r="V321" s="4"/>
    </row>
    <row r="322" spans="2:22" ht="27.75" customHeight="1">
      <c r="B322" s="4"/>
      <c r="D322" s="4"/>
      <c r="E322" s="505"/>
      <c r="G322" s="504"/>
      <c r="H322" s="504"/>
      <c r="L322" s="4"/>
      <c r="N322" s="4"/>
      <c r="O322" s="507"/>
      <c r="P322" s="507"/>
      <c r="R322" s="4"/>
      <c r="S322" s="4"/>
      <c r="T322" s="4"/>
      <c r="U322" s="4"/>
      <c r="V322" s="4"/>
    </row>
    <row r="323" spans="2:22" ht="27.75" customHeight="1">
      <c r="B323" s="4"/>
      <c r="D323" s="4"/>
      <c r="E323" s="505"/>
      <c r="G323" s="504"/>
      <c r="H323" s="504"/>
      <c r="L323" s="4"/>
      <c r="N323" s="4"/>
      <c r="O323" s="507"/>
      <c r="P323" s="507"/>
      <c r="R323" s="4"/>
      <c r="S323" s="4"/>
      <c r="T323" s="4"/>
      <c r="U323" s="4"/>
      <c r="V323" s="4"/>
    </row>
    <row r="324" spans="2:22" ht="27.75" customHeight="1">
      <c r="B324" s="4"/>
      <c r="D324" s="4"/>
      <c r="E324" s="505"/>
      <c r="G324" s="504"/>
      <c r="H324" s="504"/>
      <c r="L324" s="4"/>
      <c r="N324" s="4"/>
      <c r="O324" s="507"/>
      <c r="P324" s="507"/>
      <c r="R324" s="4"/>
      <c r="S324" s="4"/>
      <c r="T324" s="4"/>
      <c r="U324" s="4"/>
      <c r="V324" s="4"/>
    </row>
    <row r="325" spans="2:22" ht="27.75" customHeight="1">
      <c r="B325" s="4"/>
      <c r="D325" s="4"/>
      <c r="E325" s="505"/>
      <c r="G325" s="504"/>
      <c r="H325" s="504"/>
      <c r="L325" s="4"/>
      <c r="N325" s="4"/>
      <c r="O325" s="507"/>
      <c r="P325" s="507"/>
      <c r="R325" s="4"/>
      <c r="S325" s="4"/>
      <c r="T325" s="4"/>
      <c r="U325" s="4"/>
      <c r="V325" s="4"/>
    </row>
  </sheetData>
  <mergeCells count="28">
    <mergeCell ref="A1:Q1"/>
    <mergeCell ref="A2:Q2"/>
    <mergeCell ref="A3:Q3"/>
    <mergeCell ref="E4:I4"/>
    <mergeCell ref="M4:Q4"/>
    <mergeCell ref="S4:S6"/>
    <mergeCell ref="T4:T6"/>
    <mergeCell ref="U4:U6"/>
    <mergeCell ref="V4:V6"/>
    <mergeCell ref="A5:A6"/>
    <mergeCell ref="B5:B6"/>
    <mergeCell ref="C5:C6"/>
    <mergeCell ref="D5:D6"/>
    <mergeCell ref="E5:E6"/>
    <mergeCell ref="F5:F6"/>
    <mergeCell ref="R4:R6"/>
    <mergeCell ref="G5:I5"/>
    <mergeCell ref="K5:K6"/>
    <mergeCell ref="L5:L6"/>
    <mergeCell ref="M5:M6"/>
    <mergeCell ref="A272:R272"/>
    <mergeCell ref="A273:R273"/>
    <mergeCell ref="N5:N6"/>
    <mergeCell ref="O5:Q5"/>
    <mergeCell ref="B253:D253"/>
    <mergeCell ref="B257:D257"/>
    <mergeCell ref="B260:D260"/>
    <mergeCell ref="A271:R27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6376C-3866-446A-B3A9-46DD3B4097F6}">
  <sheetPr>
    <tabColor rgb="FF00B0F0"/>
  </sheetPr>
  <dimension ref="A1:I261"/>
  <sheetViews>
    <sheetView zoomScale="60" zoomScaleNormal="60" workbookViewId="0">
      <pane ySplit="6" topLeftCell="A198" activePane="bottomLeft" state="frozen"/>
      <selection pane="bottomLeft" activeCell="I205" sqref="I205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1.6640625" style="3" customWidth="1"/>
    <col min="5" max="5" width="24.5546875" style="372" customWidth="1"/>
    <col min="6" max="6" width="22.109375" style="512" customWidth="1"/>
    <col min="7" max="7" width="8.88671875" style="4"/>
    <col min="8" max="9" width="26.33203125" style="4" customWidth="1"/>
    <col min="10" max="16384" width="8.88671875" style="4"/>
  </cols>
  <sheetData>
    <row r="1" spans="1:6" ht="28.5" customHeight="1">
      <c r="A1" s="653" t="s">
        <v>0</v>
      </c>
      <c r="B1" s="653"/>
      <c r="C1" s="653"/>
      <c r="D1" s="653"/>
      <c r="E1" s="653"/>
      <c r="F1" s="653"/>
    </row>
    <row r="2" spans="1:6" ht="23.25" customHeight="1">
      <c r="A2" s="653" t="s">
        <v>1</v>
      </c>
      <c r="B2" s="653"/>
      <c r="C2" s="653"/>
      <c r="D2" s="653"/>
      <c r="E2" s="653"/>
      <c r="F2" s="653"/>
    </row>
    <row r="3" spans="1:6" ht="28.5" customHeight="1">
      <c r="A3" s="654" t="s">
        <v>1379</v>
      </c>
      <c r="B3" s="654"/>
      <c r="C3" s="654"/>
      <c r="D3" s="654"/>
      <c r="E3" s="654"/>
      <c r="F3" s="654"/>
    </row>
    <row r="4" spans="1:6" ht="27.75" customHeight="1">
      <c r="A4" s="7"/>
      <c r="B4" s="8"/>
      <c r="C4" s="9"/>
      <c r="D4" s="11"/>
      <c r="E4" s="12" t="s">
        <v>4</v>
      </c>
      <c r="F4" s="13"/>
    </row>
    <row r="5" spans="1:6" ht="27.75" customHeight="1">
      <c r="A5" s="664" t="s">
        <v>11</v>
      </c>
      <c r="B5" s="666" t="s">
        <v>12</v>
      </c>
      <c r="C5" s="666" t="s">
        <v>13</v>
      </c>
      <c r="D5" s="14" t="s">
        <v>18</v>
      </c>
      <c r="E5" s="691" t="s">
        <v>19</v>
      </c>
      <c r="F5" s="693" t="s">
        <v>20</v>
      </c>
    </row>
    <row r="6" spans="1:6" ht="27.75" customHeight="1" thickBot="1">
      <c r="A6" s="665"/>
      <c r="B6" s="667"/>
      <c r="C6" s="667"/>
      <c r="D6" s="18"/>
      <c r="E6" s="692"/>
      <c r="F6" s="694"/>
    </row>
    <row r="7" spans="1:6" ht="27.75" customHeight="1" thickTop="1">
      <c r="A7" s="22"/>
      <c r="B7" s="23" t="s">
        <v>23</v>
      </c>
      <c r="C7" s="24"/>
      <c r="D7" s="29"/>
      <c r="E7" s="30"/>
      <c r="F7" s="31"/>
    </row>
    <row r="8" spans="1:6" s="57" customFormat="1" ht="27.75" customHeight="1">
      <c r="A8" s="39">
        <v>1</v>
      </c>
      <c r="B8" s="40" t="s">
        <v>24</v>
      </c>
      <c r="C8" s="41" t="s">
        <v>25</v>
      </c>
      <c r="D8" s="48">
        <v>46175</v>
      </c>
      <c r="E8" s="49" t="s">
        <v>1380</v>
      </c>
      <c r="F8" s="50">
        <v>4012.5</v>
      </c>
    </row>
    <row r="9" spans="1:6" s="57" customFormat="1" ht="27.75" customHeight="1">
      <c r="A9" s="39">
        <v>2</v>
      </c>
      <c r="B9" s="40" t="s">
        <v>28</v>
      </c>
      <c r="C9" s="41" t="s">
        <v>29</v>
      </c>
      <c r="D9" s="48">
        <v>46174</v>
      </c>
      <c r="E9" s="49" t="s">
        <v>1381</v>
      </c>
      <c r="F9" s="50">
        <v>8025</v>
      </c>
    </row>
    <row r="10" spans="1:6" s="57" customFormat="1" ht="27.75" customHeight="1">
      <c r="A10" s="39">
        <v>3</v>
      </c>
      <c r="B10" s="40" t="s">
        <v>24</v>
      </c>
      <c r="C10" s="41" t="s">
        <v>33</v>
      </c>
      <c r="D10" s="48">
        <v>46175</v>
      </c>
      <c r="E10" s="49" t="s">
        <v>1380</v>
      </c>
      <c r="F10" s="50">
        <v>4012.5</v>
      </c>
    </row>
    <row r="11" spans="1:6" s="57" customFormat="1" ht="27.75" customHeight="1">
      <c r="A11" s="39">
        <v>4</v>
      </c>
      <c r="B11" s="40" t="s">
        <v>34</v>
      </c>
      <c r="C11" s="41" t="s">
        <v>35</v>
      </c>
      <c r="D11" s="48">
        <v>46174</v>
      </c>
      <c r="E11" s="49" t="s">
        <v>1383</v>
      </c>
      <c r="F11" s="50">
        <v>8025</v>
      </c>
    </row>
    <row r="12" spans="1:6" s="57" customFormat="1" ht="27.75" customHeight="1">
      <c r="A12" s="39">
        <v>5</v>
      </c>
      <c r="B12" s="40" t="s">
        <v>36</v>
      </c>
      <c r="C12" s="41" t="s">
        <v>37</v>
      </c>
      <c r="D12" s="48">
        <v>46178</v>
      </c>
      <c r="E12" s="49" t="s">
        <v>1384</v>
      </c>
      <c r="F12" s="50">
        <v>4012.5</v>
      </c>
    </row>
    <row r="13" spans="1:6" s="57" customFormat="1" ht="27.75" customHeight="1">
      <c r="A13" s="39">
        <v>6</v>
      </c>
      <c r="B13" s="40" t="s">
        <v>34</v>
      </c>
      <c r="C13" s="41" t="s">
        <v>39</v>
      </c>
      <c r="D13" s="48">
        <v>46174</v>
      </c>
      <c r="E13" s="49" t="s">
        <v>1385</v>
      </c>
      <c r="F13" s="50">
        <v>8025</v>
      </c>
    </row>
    <row r="14" spans="1:6" s="57" customFormat="1" ht="27.75" customHeight="1">
      <c r="A14" s="39">
        <v>7</v>
      </c>
      <c r="B14" s="40" t="s">
        <v>40</v>
      </c>
      <c r="C14" s="41" t="s">
        <v>41</v>
      </c>
      <c r="D14" s="48">
        <v>46177</v>
      </c>
      <c r="E14" s="49" t="s">
        <v>1386</v>
      </c>
      <c r="F14" s="50">
        <v>4012.5</v>
      </c>
    </row>
    <row r="15" spans="1:6" s="57" customFormat="1" ht="27.75" customHeight="1">
      <c r="A15" s="39">
        <v>8</v>
      </c>
      <c r="B15" s="40" t="s">
        <v>43</v>
      </c>
      <c r="C15" s="41" t="s">
        <v>44</v>
      </c>
      <c r="D15" s="48">
        <v>46177</v>
      </c>
      <c r="E15" s="49" t="s">
        <v>1387</v>
      </c>
      <c r="F15" s="50">
        <v>4012.5</v>
      </c>
    </row>
    <row r="16" spans="1:6" s="57" customFormat="1" ht="27.75" customHeight="1">
      <c r="A16" s="39">
        <v>9</v>
      </c>
      <c r="B16" s="40" t="s">
        <v>47</v>
      </c>
      <c r="C16" s="41" t="s">
        <v>48</v>
      </c>
      <c r="D16" s="48">
        <v>46176</v>
      </c>
      <c r="E16" s="49" t="s">
        <v>1388</v>
      </c>
      <c r="F16" s="50">
        <v>4012.5</v>
      </c>
    </row>
    <row r="17" spans="1:9" s="57" customFormat="1" ht="27.75" customHeight="1">
      <c r="A17" s="39">
        <v>10</v>
      </c>
      <c r="B17" s="40" t="s">
        <v>50</v>
      </c>
      <c r="C17" s="41" t="s">
        <v>51</v>
      </c>
      <c r="D17" s="48">
        <v>46178</v>
      </c>
      <c r="E17" s="49" t="s">
        <v>1389</v>
      </c>
      <c r="F17" s="50">
        <v>4012.5</v>
      </c>
    </row>
    <row r="18" spans="1:9" s="57" customFormat="1" ht="27.75" customHeight="1">
      <c r="A18" s="39">
        <v>12</v>
      </c>
      <c r="B18" s="40" t="s">
        <v>57</v>
      </c>
      <c r="C18" s="41" t="s">
        <v>58</v>
      </c>
      <c r="D18" s="48">
        <v>46175</v>
      </c>
      <c r="E18" s="49" t="s">
        <v>1390</v>
      </c>
      <c r="F18" s="50">
        <v>4012.5</v>
      </c>
    </row>
    <row r="19" spans="1:9" s="57" customFormat="1" ht="27.75" customHeight="1">
      <c r="A19" s="39">
        <v>13</v>
      </c>
      <c r="B19" s="40" t="s">
        <v>60</v>
      </c>
      <c r="C19" s="41" t="s">
        <v>61</v>
      </c>
      <c r="D19" s="48">
        <v>46175</v>
      </c>
      <c r="E19" s="49" t="s">
        <v>1391</v>
      </c>
      <c r="F19" s="50">
        <v>4012.5</v>
      </c>
    </row>
    <row r="20" spans="1:9" s="57" customFormat="1" ht="27.75" customHeight="1">
      <c r="A20" s="39">
        <v>14</v>
      </c>
      <c r="B20" s="40" t="s">
        <v>63</v>
      </c>
      <c r="C20" s="41" t="s">
        <v>64</v>
      </c>
      <c r="D20" s="48">
        <v>46178</v>
      </c>
      <c r="E20" s="49" t="s">
        <v>1392</v>
      </c>
      <c r="F20" s="50">
        <v>4012.5</v>
      </c>
    </row>
    <row r="21" spans="1:9" s="57" customFormat="1" ht="27.75" customHeight="1">
      <c r="A21" s="39">
        <v>15</v>
      </c>
      <c r="B21" s="40" t="s">
        <v>66</v>
      </c>
      <c r="C21" s="41" t="s">
        <v>67</v>
      </c>
      <c r="D21" s="62">
        <v>46203</v>
      </c>
      <c r="E21" s="49" t="s">
        <v>1393</v>
      </c>
      <c r="F21" s="50">
        <v>12037.5</v>
      </c>
    </row>
    <row r="22" spans="1:9" s="57" customFormat="1" ht="27.75" customHeight="1">
      <c r="A22" s="39">
        <v>16</v>
      </c>
      <c r="B22" s="40" t="s">
        <v>66</v>
      </c>
      <c r="C22" s="41" t="s">
        <v>69</v>
      </c>
      <c r="D22" s="62">
        <v>46203</v>
      </c>
      <c r="E22" s="49" t="s">
        <v>1394</v>
      </c>
      <c r="F22" s="50">
        <v>4012.5</v>
      </c>
    </row>
    <row r="23" spans="1:9" s="57" customFormat="1" ht="35.25" customHeight="1" thickBot="1">
      <c r="A23" s="67"/>
      <c r="B23" s="68" t="s">
        <v>22</v>
      </c>
      <c r="C23" s="69"/>
      <c r="D23" s="74"/>
      <c r="E23" s="75"/>
      <c r="F23" s="76">
        <v>80250</v>
      </c>
      <c r="H23" s="57">
        <f>SUM(F8:F22)</f>
        <v>80250</v>
      </c>
    </row>
    <row r="24" spans="1:9" s="91" customFormat="1" ht="27.75" customHeight="1" thickTop="1">
      <c r="A24" s="39">
        <v>1</v>
      </c>
      <c r="B24" s="80" t="s">
        <v>71</v>
      </c>
      <c r="C24" s="81" t="s">
        <v>72</v>
      </c>
      <c r="D24" s="48">
        <v>46196</v>
      </c>
      <c r="E24" s="49" t="s">
        <v>1395</v>
      </c>
      <c r="F24" s="86">
        <v>13375</v>
      </c>
    </row>
    <row r="25" spans="1:9" s="57" customFormat="1" ht="27.75" customHeight="1">
      <c r="A25" s="39">
        <v>2</v>
      </c>
      <c r="B25" s="92" t="s">
        <v>76</v>
      </c>
      <c r="C25" s="41" t="s">
        <v>72</v>
      </c>
      <c r="D25" s="62">
        <v>46182</v>
      </c>
      <c r="E25" s="49" t="s">
        <v>1397</v>
      </c>
      <c r="F25" s="93">
        <v>1605</v>
      </c>
    </row>
    <row r="26" spans="1:9" s="57" customFormat="1" ht="27.75" customHeight="1" thickBot="1">
      <c r="A26" s="96"/>
      <c r="B26" s="97" t="s">
        <v>22</v>
      </c>
      <c r="C26" s="98"/>
      <c r="D26" s="103"/>
      <c r="E26" s="104"/>
      <c r="F26" s="105">
        <v>14980</v>
      </c>
      <c r="H26" s="57">
        <f>SUM(F24:F25)</f>
        <v>14980</v>
      </c>
    </row>
    <row r="27" spans="1:9" ht="27.75" customHeight="1" thickTop="1">
      <c r="A27" s="39">
        <v>1</v>
      </c>
      <c r="B27" s="40" t="s">
        <v>78</v>
      </c>
      <c r="C27" s="81" t="s">
        <v>72</v>
      </c>
      <c r="D27" s="113" t="s">
        <v>1401</v>
      </c>
      <c r="E27" s="114" t="s">
        <v>1398</v>
      </c>
      <c r="F27" s="115">
        <v>13613.82</v>
      </c>
    </row>
    <row r="28" spans="1:9" ht="27.75" customHeight="1">
      <c r="A28" s="39">
        <v>2</v>
      </c>
      <c r="B28" s="40" t="s">
        <v>82</v>
      </c>
      <c r="C28" s="41" t="s">
        <v>72</v>
      </c>
      <c r="D28" s="113">
        <v>46178</v>
      </c>
      <c r="E28" s="114" t="s">
        <v>1399</v>
      </c>
      <c r="F28" s="115">
        <v>1797.6</v>
      </c>
    </row>
    <row r="29" spans="1:9" ht="27.75" customHeight="1">
      <c r="A29" s="39">
        <v>3</v>
      </c>
      <c r="B29" s="40" t="s">
        <v>85</v>
      </c>
      <c r="C29" s="41" t="s">
        <v>72</v>
      </c>
      <c r="D29" s="117">
        <v>46190</v>
      </c>
      <c r="E29" s="118" t="s">
        <v>1400</v>
      </c>
      <c r="F29" s="119">
        <v>10000</v>
      </c>
    </row>
    <row r="30" spans="1:9" s="57" customFormat="1" ht="27.75" customHeight="1" thickBot="1">
      <c r="A30" s="96"/>
      <c r="B30" s="97" t="s">
        <v>22</v>
      </c>
      <c r="C30" s="98"/>
      <c r="D30" s="103"/>
      <c r="E30" s="104"/>
      <c r="F30" s="105">
        <v>25411.42</v>
      </c>
      <c r="H30" s="57">
        <f>SUM(F27:F29)</f>
        <v>25411.42</v>
      </c>
      <c r="I30" s="57">
        <f>+H23+H26+H30</f>
        <v>120641.42</v>
      </c>
    </row>
    <row r="31" spans="1:9" ht="27.75" hidden="1" customHeight="1" thickBot="1">
      <c r="A31" s="39">
        <v>1</v>
      </c>
      <c r="B31" s="40" t="s">
        <v>88</v>
      </c>
      <c r="C31" s="41" t="s">
        <v>72</v>
      </c>
      <c r="D31" s="113"/>
      <c r="E31" s="118"/>
      <c r="F31" s="121">
        <v>0</v>
      </c>
    </row>
    <row r="32" spans="1:9" ht="27.75" hidden="1" customHeight="1" thickTop="1">
      <c r="A32" s="39">
        <v>2</v>
      </c>
      <c r="B32" s="40" t="s">
        <v>89</v>
      </c>
      <c r="C32" s="41" t="s">
        <v>72</v>
      </c>
      <c r="D32" s="113"/>
      <c r="E32" s="118"/>
      <c r="F32" s="121">
        <v>0</v>
      </c>
    </row>
    <row r="33" spans="1:6" ht="27.75" hidden="1" customHeight="1" thickTop="1">
      <c r="A33" s="39">
        <v>3</v>
      </c>
      <c r="B33" s="40" t="s">
        <v>90</v>
      </c>
      <c r="C33" s="41" t="s">
        <v>72</v>
      </c>
      <c r="D33" s="113"/>
      <c r="E33" s="118"/>
      <c r="F33" s="121"/>
    </row>
    <row r="34" spans="1:6" ht="27.75" hidden="1" customHeight="1" thickTop="1">
      <c r="A34" s="39">
        <v>4</v>
      </c>
      <c r="B34" s="40" t="s">
        <v>91</v>
      </c>
      <c r="C34" s="41" t="s">
        <v>72</v>
      </c>
      <c r="D34" s="113"/>
      <c r="E34" s="118"/>
      <c r="F34" s="121">
        <v>0</v>
      </c>
    </row>
    <row r="35" spans="1:6" ht="27.75" hidden="1" customHeight="1" thickTop="1">
      <c r="A35" s="39">
        <v>5</v>
      </c>
      <c r="B35" s="40" t="s">
        <v>92</v>
      </c>
      <c r="C35" s="41" t="s">
        <v>72</v>
      </c>
      <c r="D35" s="117"/>
      <c r="E35" s="118"/>
      <c r="F35" s="119">
        <v>0</v>
      </c>
    </row>
    <row r="36" spans="1:6" ht="27.75" hidden="1" customHeight="1" thickTop="1">
      <c r="A36" s="39">
        <v>6</v>
      </c>
      <c r="B36" s="123" t="s">
        <v>93</v>
      </c>
      <c r="C36" s="41" t="s">
        <v>72</v>
      </c>
      <c r="D36" s="127"/>
      <c r="E36" s="128"/>
      <c r="F36" s="129">
        <v>0</v>
      </c>
    </row>
    <row r="37" spans="1:6" ht="27.75" hidden="1" customHeight="1" thickTop="1">
      <c r="A37" s="39">
        <v>7</v>
      </c>
      <c r="B37" s="40" t="s">
        <v>94</v>
      </c>
      <c r="C37" s="41" t="s">
        <v>72</v>
      </c>
      <c r="D37" s="117"/>
      <c r="E37" s="118"/>
      <c r="F37" s="119">
        <v>0</v>
      </c>
    </row>
    <row r="38" spans="1:6" ht="27.75" hidden="1" customHeight="1" thickTop="1">
      <c r="A38" s="39">
        <v>8</v>
      </c>
      <c r="B38" s="40" t="s">
        <v>95</v>
      </c>
      <c r="C38" s="41" t="s">
        <v>72</v>
      </c>
      <c r="D38" s="117"/>
      <c r="E38" s="118"/>
      <c r="F38" s="119">
        <v>0</v>
      </c>
    </row>
    <row r="39" spans="1:6" ht="27.75" hidden="1" customHeight="1" thickTop="1">
      <c r="A39" s="39">
        <v>9</v>
      </c>
      <c r="B39" s="40" t="s">
        <v>96</v>
      </c>
      <c r="C39" s="41" t="s">
        <v>72</v>
      </c>
      <c r="D39" s="117"/>
      <c r="E39" s="118"/>
      <c r="F39" s="119">
        <v>0</v>
      </c>
    </row>
    <row r="40" spans="1:6" ht="27.75" hidden="1" customHeight="1" thickTop="1">
      <c r="A40" s="39">
        <v>10</v>
      </c>
      <c r="B40" s="40" t="s">
        <v>97</v>
      </c>
      <c r="C40" s="41" t="s">
        <v>72</v>
      </c>
      <c r="D40" s="117"/>
      <c r="E40" s="118"/>
      <c r="F40" s="119">
        <v>0</v>
      </c>
    </row>
    <row r="41" spans="1:6" ht="27.75" hidden="1" customHeight="1" thickTop="1">
      <c r="A41" s="39">
        <v>11</v>
      </c>
      <c r="B41" s="40" t="s">
        <v>98</v>
      </c>
      <c r="C41" s="41" t="s">
        <v>72</v>
      </c>
      <c r="D41" s="117"/>
      <c r="E41" s="118"/>
      <c r="F41" s="119">
        <v>0</v>
      </c>
    </row>
    <row r="42" spans="1:6" ht="27.75" hidden="1" customHeight="1" thickTop="1">
      <c r="A42" s="39">
        <v>12</v>
      </c>
      <c r="B42" s="40" t="s">
        <v>99</v>
      </c>
      <c r="C42" s="41" t="s">
        <v>72</v>
      </c>
      <c r="D42" s="117"/>
      <c r="E42" s="118"/>
      <c r="F42" s="119">
        <v>0</v>
      </c>
    </row>
    <row r="43" spans="1:6" ht="27.75" hidden="1" customHeight="1" thickTop="1">
      <c r="A43" s="39"/>
      <c r="B43" s="123"/>
      <c r="C43" s="41"/>
      <c r="D43" s="127"/>
      <c r="E43" s="128"/>
      <c r="F43" s="129"/>
    </row>
    <row r="44" spans="1:6" ht="27.75" hidden="1" customHeight="1" thickTop="1">
      <c r="A44" s="22"/>
      <c r="B44" s="131" t="s">
        <v>22</v>
      </c>
      <c r="C44" s="132"/>
      <c r="D44" s="137">
        <v>0</v>
      </c>
      <c r="E44" s="137">
        <v>0</v>
      </c>
      <c r="F44" s="138">
        <v>0</v>
      </c>
    </row>
    <row r="45" spans="1:6" ht="27.75" customHeight="1" thickTop="1">
      <c r="A45" s="22"/>
      <c r="B45" s="23" t="s">
        <v>100</v>
      </c>
      <c r="C45" s="24"/>
      <c r="D45" s="29"/>
      <c r="E45" s="30"/>
      <c r="F45" s="31"/>
    </row>
    <row r="46" spans="1:6" s="57" customFormat="1" ht="27.75" customHeight="1">
      <c r="A46" s="22">
        <v>1</v>
      </c>
      <c r="B46" s="40" t="s">
        <v>101</v>
      </c>
      <c r="C46" s="140" t="s">
        <v>102</v>
      </c>
      <c r="D46" s="113" t="s">
        <v>1402</v>
      </c>
      <c r="E46" s="114" t="s">
        <v>1403</v>
      </c>
      <c r="F46" s="144">
        <v>321</v>
      </c>
    </row>
    <row r="47" spans="1:6" s="57" customFormat="1" ht="27.75" customHeight="1">
      <c r="A47" s="22">
        <v>2</v>
      </c>
      <c r="B47" s="150" t="s">
        <v>104</v>
      </c>
      <c r="C47" s="140" t="s">
        <v>102</v>
      </c>
      <c r="D47" s="117">
        <v>46203</v>
      </c>
      <c r="E47" s="118" t="s">
        <v>1404</v>
      </c>
      <c r="F47" s="151">
        <v>321</v>
      </c>
    </row>
    <row r="48" spans="1:6" s="57" customFormat="1" ht="27.75" customHeight="1">
      <c r="A48" s="22">
        <v>4</v>
      </c>
      <c r="B48" s="170" t="s">
        <v>109</v>
      </c>
      <c r="C48" s="140" t="s">
        <v>102</v>
      </c>
      <c r="D48" s="117">
        <v>46178</v>
      </c>
      <c r="E48" s="118" t="s">
        <v>1405</v>
      </c>
      <c r="F48" s="151">
        <v>321</v>
      </c>
    </row>
    <row r="49" spans="1:6" s="57" customFormat="1" ht="27.75" customHeight="1">
      <c r="A49" s="22">
        <v>5</v>
      </c>
      <c r="B49" s="170" t="s">
        <v>111</v>
      </c>
      <c r="C49" s="140" t="s">
        <v>102</v>
      </c>
      <c r="D49" s="117">
        <v>46177</v>
      </c>
      <c r="E49" s="118" t="s">
        <v>1406</v>
      </c>
      <c r="F49" s="151">
        <v>321</v>
      </c>
    </row>
    <row r="50" spans="1:6" s="57" customFormat="1" ht="27.75" customHeight="1">
      <c r="A50" s="22">
        <v>6</v>
      </c>
      <c r="B50" s="170" t="s">
        <v>113</v>
      </c>
      <c r="C50" s="140" t="s">
        <v>102</v>
      </c>
      <c r="D50" s="113">
        <v>46185</v>
      </c>
      <c r="E50" s="114" t="s">
        <v>1407</v>
      </c>
      <c r="F50" s="151">
        <v>160.5</v>
      </c>
    </row>
    <row r="51" spans="1:6" s="57" customFormat="1" ht="27.75" customHeight="1">
      <c r="A51" s="22">
        <v>7</v>
      </c>
      <c r="B51" s="170" t="s">
        <v>117</v>
      </c>
      <c r="C51" s="140" t="s">
        <v>102</v>
      </c>
      <c r="D51" s="113">
        <v>46203</v>
      </c>
      <c r="E51" s="114" t="s">
        <v>1408</v>
      </c>
      <c r="F51" s="151">
        <v>535</v>
      </c>
    </row>
    <row r="52" spans="1:6" s="57" customFormat="1" ht="27.75" customHeight="1">
      <c r="A52" s="22">
        <v>8</v>
      </c>
      <c r="B52" s="170" t="s">
        <v>119</v>
      </c>
      <c r="C52" s="140" t="s">
        <v>102</v>
      </c>
      <c r="D52" s="113">
        <v>46198</v>
      </c>
      <c r="E52" s="114" t="s">
        <v>1409</v>
      </c>
      <c r="F52" s="151">
        <v>321</v>
      </c>
    </row>
    <row r="53" spans="1:6" s="57" customFormat="1" ht="27.75" customHeight="1">
      <c r="A53" s="22">
        <v>9</v>
      </c>
      <c r="B53" s="170" t="s">
        <v>121</v>
      </c>
      <c r="C53" s="140" t="s">
        <v>102</v>
      </c>
      <c r="D53" s="113">
        <v>46202</v>
      </c>
      <c r="E53" s="114" t="s">
        <v>1410</v>
      </c>
      <c r="F53" s="151">
        <v>321</v>
      </c>
    </row>
    <row r="54" spans="1:6" s="57" customFormat="1" ht="27.75" customHeight="1">
      <c r="A54" s="22">
        <v>10</v>
      </c>
      <c r="B54" s="40" t="s">
        <v>123</v>
      </c>
      <c r="C54" s="140" t="s">
        <v>102</v>
      </c>
      <c r="D54" s="113">
        <v>46196</v>
      </c>
      <c r="E54" s="114" t="s">
        <v>1411</v>
      </c>
      <c r="F54" s="144">
        <v>160.5</v>
      </c>
    </row>
    <row r="55" spans="1:6" s="57" customFormat="1" ht="27.75" customHeight="1">
      <c r="A55" s="22">
        <v>11</v>
      </c>
      <c r="B55" s="40" t="s">
        <v>126</v>
      </c>
      <c r="C55" s="140" t="s">
        <v>102</v>
      </c>
      <c r="D55" s="113" t="s">
        <v>1412</v>
      </c>
      <c r="E55" s="114" t="s">
        <v>1413</v>
      </c>
      <c r="F55" s="144">
        <v>1284</v>
      </c>
    </row>
    <row r="56" spans="1:6" s="57" customFormat="1" ht="27.75" customHeight="1">
      <c r="A56" s="22">
        <v>12</v>
      </c>
      <c r="B56" s="40" t="s">
        <v>128</v>
      </c>
      <c r="C56" s="140" t="s">
        <v>102</v>
      </c>
      <c r="D56" s="113">
        <v>46202</v>
      </c>
      <c r="E56" s="114" t="s">
        <v>1414</v>
      </c>
      <c r="F56" s="144">
        <v>642</v>
      </c>
    </row>
    <row r="57" spans="1:6" s="57" customFormat="1" ht="27.75" customHeight="1">
      <c r="A57" s="22">
        <v>13</v>
      </c>
      <c r="B57" s="40" t="s">
        <v>130</v>
      </c>
      <c r="C57" s="140" t="s">
        <v>102</v>
      </c>
      <c r="D57" s="175" t="s">
        <v>1415</v>
      </c>
      <c r="E57" s="176" t="s">
        <v>1416</v>
      </c>
      <c r="F57" s="177">
        <v>321</v>
      </c>
    </row>
    <row r="58" spans="1:6" s="57" customFormat="1" ht="27.75" customHeight="1">
      <c r="A58" s="22">
        <v>14</v>
      </c>
      <c r="B58" s="170" t="s">
        <v>132</v>
      </c>
      <c r="C58" s="140" t="s">
        <v>102</v>
      </c>
      <c r="D58" s="178">
        <v>46181</v>
      </c>
      <c r="E58" s="179" t="s">
        <v>1417</v>
      </c>
      <c r="F58" s="180">
        <v>321</v>
      </c>
    </row>
    <row r="59" spans="1:6" s="57" customFormat="1" ht="27.75" customHeight="1">
      <c r="A59" s="22">
        <v>15</v>
      </c>
      <c r="B59" s="40" t="s">
        <v>134</v>
      </c>
      <c r="C59" s="140" t="s">
        <v>102</v>
      </c>
      <c r="D59" s="175">
        <v>46202</v>
      </c>
      <c r="E59" s="176" t="s">
        <v>1418</v>
      </c>
      <c r="F59" s="177">
        <v>160.5</v>
      </c>
    </row>
    <row r="60" spans="1:6" s="57" customFormat="1" ht="27.75" customHeight="1">
      <c r="A60" s="22">
        <v>16</v>
      </c>
      <c r="B60" s="170" t="s">
        <v>136</v>
      </c>
      <c r="C60" s="140" t="s">
        <v>102</v>
      </c>
      <c r="D60" s="113">
        <v>46202</v>
      </c>
      <c r="E60" s="114" t="s">
        <v>1419</v>
      </c>
      <c r="F60" s="144">
        <v>321</v>
      </c>
    </row>
    <row r="61" spans="1:6" s="57" customFormat="1" ht="27.75" customHeight="1">
      <c r="A61" s="22">
        <v>18</v>
      </c>
      <c r="B61" s="181" t="s">
        <v>142</v>
      </c>
      <c r="C61" s="182" t="s">
        <v>143</v>
      </c>
      <c r="D61" s="183">
        <v>46203</v>
      </c>
      <c r="E61" s="184" t="s">
        <v>1421</v>
      </c>
      <c r="F61" s="185">
        <v>160.5</v>
      </c>
    </row>
    <row r="62" spans="1:6" s="57" customFormat="1" ht="27.75" customHeight="1">
      <c r="A62" s="22">
        <v>19</v>
      </c>
      <c r="B62" s="40" t="s">
        <v>145</v>
      </c>
      <c r="C62" s="140" t="s">
        <v>102</v>
      </c>
      <c r="D62" s="175">
        <v>46202</v>
      </c>
      <c r="E62" s="176" t="s">
        <v>1422</v>
      </c>
      <c r="F62" s="177">
        <v>321</v>
      </c>
    </row>
    <row r="63" spans="1:6" s="57" customFormat="1" ht="27.75" customHeight="1">
      <c r="A63" s="22">
        <v>20</v>
      </c>
      <c r="B63" s="40" t="s">
        <v>147</v>
      </c>
      <c r="C63" s="140" t="s">
        <v>102</v>
      </c>
      <c r="D63" s="175">
        <v>46196</v>
      </c>
      <c r="E63" s="176" t="s">
        <v>1423</v>
      </c>
      <c r="F63" s="177">
        <v>160.5</v>
      </c>
    </row>
    <row r="64" spans="1:6" s="57" customFormat="1" ht="27.75" customHeight="1">
      <c r="A64" s="22">
        <v>21</v>
      </c>
      <c r="B64" s="80" t="s">
        <v>149</v>
      </c>
      <c r="C64" s="140" t="s">
        <v>102</v>
      </c>
      <c r="D64" s="175">
        <v>46195</v>
      </c>
      <c r="E64" s="176" t="s">
        <v>1424</v>
      </c>
      <c r="F64" s="177">
        <v>1070</v>
      </c>
    </row>
    <row r="65" spans="1:8" s="57" customFormat="1" ht="27.75" customHeight="1">
      <c r="A65" s="22">
        <v>22</v>
      </c>
      <c r="B65" s="170" t="s">
        <v>151</v>
      </c>
      <c r="C65" s="140" t="s">
        <v>102</v>
      </c>
      <c r="D65" s="117">
        <v>46184</v>
      </c>
      <c r="E65" s="118" t="s">
        <v>1425</v>
      </c>
      <c r="F65" s="151">
        <v>160.5</v>
      </c>
    </row>
    <row r="66" spans="1:8" s="57" customFormat="1" ht="27.75" customHeight="1">
      <c r="A66" s="22">
        <v>24</v>
      </c>
      <c r="B66" s="170" t="s">
        <v>154</v>
      </c>
      <c r="C66" s="140" t="s">
        <v>102</v>
      </c>
      <c r="D66" s="175">
        <v>46202</v>
      </c>
      <c r="E66" s="176" t="s">
        <v>1426</v>
      </c>
      <c r="F66" s="177">
        <v>321</v>
      </c>
    </row>
    <row r="67" spans="1:8" s="57" customFormat="1" ht="27.75" customHeight="1">
      <c r="A67" s="22">
        <v>25</v>
      </c>
      <c r="B67" s="191" t="s">
        <v>156</v>
      </c>
      <c r="C67" s="140" t="s">
        <v>102</v>
      </c>
      <c r="D67" s="175">
        <v>46178</v>
      </c>
      <c r="E67" s="176" t="s">
        <v>1427</v>
      </c>
      <c r="F67" s="177">
        <v>160.5</v>
      </c>
    </row>
    <row r="68" spans="1:8" s="57" customFormat="1" ht="27.75" customHeight="1">
      <c r="A68" s="22">
        <v>27</v>
      </c>
      <c r="B68" s="191" t="s">
        <v>161</v>
      </c>
      <c r="C68" s="140" t="s">
        <v>102</v>
      </c>
      <c r="D68" s="117">
        <v>46202</v>
      </c>
      <c r="E68" s="118" t="s">
        <v>1429</v>
      </c>
      <c r="F68" s="151">
        <v>321</v>
      </c>
    </row>
    <row r="69" spans="1:8" s="57" customFormat="1" ht="27.75" customHeight="1">
      <c r="A69" s="22">
        <v>28</v>
      </c>
      <c r="B69" s="191" t="s">
        <v>163</v>
      </c>
      <c r="C69" s="140" t="s">
        <v>102</v>
      </c>
      <c r="D69" s="117">
        <v>46202</v>
      </c>
      <c r="E69" s="118" t="s">
        <v>1430</v>
      </c>
      <c r="F69" s="151">
        <v>160.5</v>
      </c>
    </row>
    <row r="70" spans="1:8" s="57" customFormat="1" ht="27.75" customHeight="1">
      <c r="A70" s="22">
        <v>29</v>
      </c>
      <c r="B70" s="170" t="s">
        <v>165</v>
      </c>
      <c r="C70" s="140" t="s">
        <v>102</v>
      </c>
      <c r="D70" s="175">
        <v>46178</v>
      </c>
      <c r="E70" s="176" t="s">
        <v>1431</v>
      </c>
      <c r="F70" s="177">
        <v>1070</v>
      </c>
    </row>
    <row r="71" spans="1:8" s="57" customFormat="1" ht="27.75" customHeight="1">
      <c r="A71" s="22">
        <v>30</v>
      </c>
      <c r="B71" s="191" t="s">
        <v>167</v>
      </c>
      <c r="C71" s="140" t="s">
        <v>102</v>
      </c>
      <c r="D71" s="117">
        <v>46203</v>
      </c>
      <c r="E71" s="118" t="s">
        <v>1432</v>
      </c>
      <c r="F71" s="151">
        <v>535</v>
      </c>
    </row>
    <row r="72" spans="1:8" s="57" customFormat="1" ht="27.75" customHeight="1">
      <c r="A72" s="22">
        <v>31</v>
      </c>
      <c r="B72" s="170" t="s">
        <v>169</v>
      </c>
      <c r="C72" s="140" t="s">
        <v>102</v>
      </c>
      <c r="D72" s="175">
        <v>46202</v>
      </c>
      <c r="E72" s="176" t="s">
        <v>1433</v>
      </c>
      <c r="F72" s="177">
        <v>321</v>
      </c>
    </row>
    <row r="73" spans="1:8" s="57" customFormat="1" ht="27.75" customHeight="1">
      <c r="A73" s="22">
        <v>32</v>
      </c>
      <c r="B73" s="191" t="s">
        <v>171</v>
      </c>
      <c r="C73" s="140" t="s">
        <v>102</v>
      </c>
      <c r="D73" s="175">
        <v>46202</v>
      </c>
      <c r="E73" s="176" t="s">
        <v>1434</v>
      </c>
      <c r="F73" s="177">
        <v>963</v>
      </c>
    </row>
    <row r="74" spans="1:8" s="57" customFormat="1" ht="27.75" customHeight="1">
      <c r="A74" s="22">
        <v>33</v>
      </c>
      <c r="B74" s="191" t="s">
        <v>173</v>
      </c>
      <c r="C74" s="140" t="s">
        <v>102</v>
      </c>
      <c r="D74" s="175">
        <v>46181</v>
      </c>
      <c r="E74" s="176" t="s">
        <v>1435</v>
      </c>
      <c r="F74" s="177">
        <v>321</v>
      </c>
    </row>
    <row r="75" spans="1:8" s="57" customFormat="1" ht="27.75" customHeight="1">
      <c r="A75" s="22">
        <v>34</v>
      </c>
      <c r="B75" s="191" t="s">
        <v>175</v>
      </c>
      <c r="C75" s="140" t="s">
        <v>102</v>
      </c>
      <c r="D75" s="175">
        <v>46175</v>
      </c>
      <c r="E75" s="176" t="s">
        <v>1436</v>
      </c>
      <c r="F75" s="177">
        <v>321</v>
      </c>
    </row>
    <row r="76" spans="1:8" s="57" customFormat="1" ht="27.75" customHeight="1">
      <c r="A76" s="22">
        <v>35</v>
      </c>
      <c r="B76" s="191" t="s">
        <v>177</v>
      </c>
      <c r="C76" s="140" t="s">
        <v>102</v>
      </c>
      <c r="D76" s="117">
        <v>46202</v>
      </c>
      <c r="E76" s="118" t="s">
        <v>1437</v>
      </c>
      <c r="F76" s="151">
        <v>321</v>
      </c>
    </row>
    <row r="77" spans="1:8" ht="27.75" customHeight="1" thickBot="1">
      <c r="A77" s="193"/>
      <c r="B77" s="194" t="s">
        <v>22</v>
      </c>
      <c r="C77" s="195"/>
      <c r="D77" s="199"/>
      <c r="E77" s="199"/>
      <c r="F77" s="196">
        <v>12519</v>
      </c>
      <c r="H77" s="512">
        <f>SUM(F46:F76)</f>
        <v>12519</v>
      </c>
    </row>
    <row r="78" spans="1:8" ht="27.75" customHeight="1" thickTop="1">
      <c r="A78" s="22"/>
      <c r="B78" s="23" t="s">
        <v>179</v>
      </c>
      <c r="C78" s="24"/>
      <c r="D78" s="29"/>
      <c r="E78" s="30"/>
      <c r="F78" s="31"/>
    </row>
    <row r="79" spans="1:8" ht="27.75" customHeight="1">
      <c r="A79" s="94">
        <v>1</v>
      </c>
      <c r="B79" s="40" t="s">
        <v>180</v>
      </c>
      <c r="C79" s="41" t="s">
        <v>181</v>
      </c>
      <c r="D79" s="48">
        <v>46181</v>
      </c>
      <c r="E79" s="49" t="s">
        <v>1438</v>
      </c>
      <c r="F79" s="202">
        <v>200.63</v>
      </c>
    </row>
    <row r="80" spans="1:8" ht="27.75" customHeight="1">
      <c r="A80" s="94">
        <v>2</v>
      </c>
      <c r="B80" s="40" t="s">
        <v>184</v>
      </c>
      <c r="C80" s="41" t="s">
        <v>181</v>
      </c>
      <c r="D80" s="48">
        <v>46181</v>
      </c>
      <c r="E80" s="49" t="s">
        <v>1439</v>
      </c>
      <c r="F80" s="202">
        <v>3370.5</v>
      </c>
    </row>
    <row r="81" spans="1:8" ht="27.75" customHeight="1">
      <c r="A81" s="94">
        <v>3</v>
      </c>
      <c r="B81" s="205" t="s">
        <v>186</v>
      </c>
      <c r="C81" s="206" t="s">
        <v>181</v>
      </c>
      <c r="D81" s="48">
        <v>46203</v>
      </c>
      <c r="E81" s="49" t="s">
        <v>1440</v>
      </c>
      <c r="F81" s="202">
        <v>3370.5</v>
      </c>
    </row>
    <row r="82" spans="1:8" ht="27.75" customHeight="1">
      <c r="A82" s="186">
        <v>4</v>
      </c>
      <c r="B82" s="205" t="s">
        <v>188</v>
      </c>
      <c r="C82" s="206" t="s">
        <v>181</v>
      </c>
      <c r="D82" s="48">
        <v>46175</v>
      </c>
      <c r="E82" s="49" t="s">
        <v>1441</v>
      </c>
      <c r="F82" s="202">
        <v>2140</v>
      </c>
    </row>
    <row r="83" spans="1:8" s="220" customFormat="1" ht="27.75" customHeight="1">
      <c r="A83" s="186">
        <v>5</v>
      </c>
      <c r="B83" s="208" t="s">
        <v>71</v>
      </c>
      <c r="C83" s="209" t="s">
        <v>181</v>
      </c>
      <c r="D83" s="62">
        <v>46196</v>
      </c>
      <c r="E83" s="215" t="s">
        <v>1442</v>
      </c>
      <c r="F83" s="202">
        <v>2675</v>
      </c>
    </row>
    <row r="84" spans="1:8" ht="27.75" customHeight="1" thickBot="1">
      <c r="A84" s="193"/>
      <c r="B84" s="194" t="s">
        <v>22</v>
      </c>
      <c r="C84" s="195"/>
      <c r="D84" s="199"/>
      <c r="E84" s="199"/>
      <c r="F84" s="196">
        <v>11756.630000000001</v>
      </c>
      <c r="H84" s="512">
        <f>SUM(F79:F83)</f>
        <v>11756.630000000001</v>
      </c>
    </row>
    <row r="85" spans="1:8" ht="27.75" customHeight="1" thickTop="1">
      <c r="A85" s="22"/>
      <c r="B85" s="23" t="s">
        <v>191</v>
      </c>
      <c r="C85" s="24"/>
      <c r="D85" s="29"/>
      <c r="E85" s="30"/>
      <c r="F85" s="31"/>
    </row>
    <row r="86" spans="1:8" ht="27.75" customHeight="1">
      <c r="A86" s="94">
        <v>1</v>
      </c>
      <c r="B86" s="40" t="s">
        <v>192</v>
      </c>
      <c r="C86" s="41" t="s">
        <v>193</v>
      </c>
      <c r="D86" s="175">
        <v>46178</v>
      </c>
      <c r="E86" s="176" t="s">
        <v>1444</v>
      </c>
      <c r="F86" s="222">
        <v>2140</v>
      </c>
    </row>
    <row r="87" spans="1:8" ht="27.75" customHeight="1" thickBot="1">
      <c r="A87" s="193"/>
      <c r="B87" s="194" t="s">
        <v>22</v>
      </c>
      <c r="C87" s="195"/>
      <c r="D87" s="199"/>
      <c r="E87" s="199"/>
      <c r="F87" s="196">
        <v>2140</v>
      </c>
      <c r="H87" s="520">
        <f>SUM(F86)</f>
        <v>2140</v>
      </c>
    </row>
    <row r="88" spans="1:8" ht="27.75" customHeight="1" thickTop="1">
      <c r="A88" s="22"/>
      <c r="B88" s="23" t="s">
        <v>196</v>
      </c>
      <c r="C88" s="24"/>
      <c r="D88" s="29"/>
      <c r="E88" s="30"/>
      <c r="F88" s="31"/>
    </row>
    <row r="89" spans="1:8" s="226" customFormat="1" ht="27.75" customHeight="1">
      <c r="A89" s="94">
        <v>1</v>
      </c>
      <c r="B89" s="181" t="s">
        <v>198</v>
      </c>
      <c r="C89" s="224" t="s">
        <v>199</v>
      </c>
      <c r="D89" s="113">
        <v>46183</v>
      </c>
      <c r="E89" s="114" t="s">
        <v>1446</v>
      </c>
      <c r="F89" s="144">
        <v>26750</v>
      </c>
    </row>
    <row r="90" spans="1:8" s="226" customFormat="1" ht="27.75" customHeight="1">
      <c r="A90" s="94">
        <v>2</v>
      </c>
      <c r="B90" s="181" t="s">
        <v>204</v>
      </c>
      <c r="C90" s="224" t="s">
        <v>205</v>
      </c>
      <c r="D90" s="113">
        <v>46195</v>
      </c>
      <c r="E90" s="114" t="s">
        <v>1447</v>
      </c>
      <c r="F90" s="144">
        <v>22470</v>
      </c>
    </row>
    <row r="91" spans="1:8" s="226" customFormat="1" ht="27.75" customHeight="1">
      <c r="A91" s="94">
        <v>3</v>
      </c>
      <c r="B91" s="181" t="s">
        <v>214</v>
      </c>
      <c r="C91" s="224" t="s">
        <v>215</v>
      </c>
      <c r="D91" s="113">
        <v>46175</v>
      </c>
      <c r="E91" s="114" t="s">
        <v>1448</v>
      </c>
      <c r="F91" s="144">
        <v>22470</v>
      </c>
    </row>
    <row r="92" spans="1:8" s="226" customFormat="1" ht="27.75" customHeight="1">
      <c r="A92" s="94">
        <v>4</v>
      </c>
      <c r="B92" s="181" t="s">
        <v>217</v>
      </c>
      <c r="C92" s="224" t="s">
        <v>220</v>
      </c>
      <c r="D92" s="113">
        <v>46190</v>
      </c>
      <c r="E92" s="114" t="s">
        <v>1449</v>
      </c>
      <c r="F92" s="144">
        <v>22470</v>
      </c>
    </row>
    <row r="93" spans="1:8" s="226" customFormat="1" ht="27.75" customHeight="1">
      <c r="A93" s="94">
        <v>5</v>
      </c>
      <c r="B93" s="181" t="s">
        <v>217</v>
      </c>
      <c r="C93" s="224" t="s">
        <v>221</v>
      </c>
      <c r="D93" s="113">
        <v>46190</v>
      </c>
      <c r="E93" s="114" t="s">
        <v>1449</v>
      </c>
      <c r="F93" s="144">
        <v>22470</v>
      </c>
    </row>
    <row r="94" spans="1:8" s="226" customFormat="1" ht="27.75" customHeight="1">
      <c r="A94" s="94">
        <v>6</v>
      </c>
      <c r="B94" s="181" t="s">
        <v>222</v>
      </c>
      <c r="C94" s="227" t="s">
        <v>223</v>
      </c>
      <c r="D94" s="230">
        <v>46175</v>
      </c>
      <c r="E94" s="184" t="s">
        <v>1450</v>
      </c>
      <c r="F94" s="231">
        <v>32100</v>
      </c>
    </row>
    <row r="95" spans="1:8" s="226" customFormat="1" ht="27.75" customHeight="1" thickBot="1">
      <c r="A95" s="234"/>
      <c r="B95" s="194" t="s">
        <v>22</v>
      </c>
      <c r="C95" s="235"/>
      <c r="D95" s="241"/>
      <c r="E95" s="234"/>
      <c r="F95" s="236">
        <v>148730</v>
      </c>
      <c r="H95" s="226">
        <f>SUM(F89:F94)</f>
        <v>148730</v>
      </c>
    </row>
    <row r="96" spans="1:8" s="226" customFormat="1" ht="27.75" customHeight="1" thickTop="1">
      <c r="A96" s="83"/>
      <c r="B96" s="244" t="s">
        <v>226</v>
      </c>
      <c r="C96" s="245"/>
      <c r="D96" s="248"/>
      <c r="E96" s="249"/>
      <c r="F96" s="250"/>
    </row>
    <row r="97" spans="1:8" s="226" customFormat="1" ht="27.75" customHeight="1">
      <c r="A97" s="94">
        <v>1</v>
      </c>
      <c r="B97" s="41" t="s">
        <v>227</v>
      </c>
      <c r="C97" s="224" t="s">
        <v>228</v>
      </c>
      <c r="D97" s="113">
        <v>46203</v>
      </c>
      <c r="E97" s="114" t="s">
        <v>1451</v>
      </c>
      <c r="F97" s="253">
        <v>22470</v>
      </c>
    </row>
    <row r="98" spans="1:8" s="226" customFormat="1" ht="27.75" customHeight="1">
      <c r="A98" s="94">
        <v>2</v>
      </c>
      <c r="B98" s="41" t="s">
        <v>227</v>
      </c>
      <c r="C98" s="224" t="s">
        <v>230</v>
      </c>
      <c r="D98" s="113">
        <v>46203</v>
      </c>
      <c r="E98" s="114" t="s">
        <v>1451</v>
      </c>
      <c r="F98" s="253">
        <v>22470</v>
      </c>
    </row>
    <row r="99" spans="1:8" s="226" customFormat="1" ht="27.75" customHeight="1">
      <c r="A99" s="94">
        <v>3</v>
      </c>
      <c r="B99" s="41" t="s">
        <v>227</v>
      </c>
      <c r="C99" s="224" t="s">
        <v>231</v>
      </c>
      <c r="D99" s="117">
        <v>46203</v>
      </c>
      <c r="E99" s="118" t="s">
        <v>1451</v>
      </c>
      <c r="F99" s="557">
        <v>22470</v>
      </c>
    </row>
    <row r="100" spans="1:8" s="226" customFormat="1" ht="27.75" customHeight="1">
      <c r="A100" s="94">
        <v>4</v>
      </c>
      <c r="B100" s="41" t="s">
        <v>236</v>
      </c>
      <c r="C100" s="224" t="s">
        <v>239</v>
      </c>
      <c r="D100" s="113">
        <v>46203</v>
      </c>
      <c r="E100" s="114" t="s">
        <v>1452</v>
      </c>
      <c r="F100" s="257">
        <v>22470</v>
      </c>
    </row>
    <row r="101" spans="1:8" s="226" customFormat="1" ht="27.75" customHeight="1">
      <c r="A101" s="94">
        <v>5</v>
      </c>
      <c r="B101" s="41" t="s">
        <v>92</v>
      </c>
      <c r="C101" s="224" t="s">
        <v>240</v>
      </c>
      <c r="D101" s="113">
        <v>46202</v>
      </c>
      <c r="E101" s="114" t="s">
        <v>1453</v>
      </c>
      <c r="F101" s="258">
        <v>22470</v>
      </c>
    </row>
    <row r="102" spans="1:8" s="226" customFormat="1" ht="27.75" customHeight="1">
      <c r="A102" s="94">
        <v>6</v>
      </c>
      <c r="B102" s="41" t="s">
        <v>92</v>
      </c>
      <c r="C102" s="224" t="s">
        <v>242</v>
      </c>
      <c r="D102" s="113">
        <v>46202</v>
      </c>
      <c r="E102" s="114" t="s">
        <v>1453</v>
      </c>
      <c r="F102" s="253">
        <v>22470</v>
      </c>
    </row>
    <row r="103" spans="1:8" s="226" customFormat="1" ht="27.75" customHeight="1">
      <c r="A103" s="94">
        <v>7</v>
      </c>
      <c r="B103" s="41" t="s">
        <v>243</v>
      </c>
      <c r="C103" s="224" t="s">
        <v>244</v>
      </c>
      <c r="D103" s="113">
        <v>46203</v>
      </c>
      <c r="E103" s="114" t="s">
        <v>1454</v>
      </c>
      <c r="F103" s="253">
        <v>22470</v>
      </c>
    </row>
    <row r="104" spans="1:8" s="226" customFormat="1" ht="27.75" customHeight="1">
      <c r="A104" s="94">
        <v>8</v>
      </c>
      <c r="B104" s="206" t="s">
        <v>90</v>
      </c>
      <c r="C104" s="224" t="s">
        <v>246</v>
      </c>
      <c r="D104" s="259">
        <v>46176</v>
      </c>
      <c r="E104" s="114" t="s">
        <v>1455</v>
      </c>
      <c r="F104" s="253">
        <v>22470</v>
      </c>
    </row>
    <row r="105" spans="1:8" s="226" customFormat="1" ht="27.75" customHeight="1">
      <c r="A105" s="234"/>
      <c r="B105" s="260"/>
      <c r="C105" s="235"/>
      <c r="D105" s="261"/>
      <c r="E105" s="262"/>
      <c r="F105" s="263">
        <v>179760</v>
      </c>
      <c r="H105" s="226">
        <f>SUM(F97:F104)</f>
        <v>179760</v>
      </c>
    </row>
    <row r="106" spans="1:8" s="226" customFormat="1" ht="27.75" customHeight="1">
      <c r="A106" s="83"/>
      <c r="B106" s="244" t="s">
        <v>248</v>
      </c>
      <c r="C106" s="245"/>
      <c r="D106" s="178"/>
      <c r="E106" s="179"/>
      <c r="F106" s="264"/>
    </row>
    <row r="107" spans="1:8" s="226" customFormat="1" ht="27.75" customHeight="1">
      <c r="A107" s="94">
        <v>1</v>
      </c>
      <c r="B107" s="41" t="s">
        <v>249</v>
      </c>
      <c r="C107" s="224" t="s">
        <v>250</v>
      </c>
      <c r="D107" s="113" t="s">
        <v>1456</v>
      </c>
      <c r="E107" s="114" t="s">
        <v>1457</v>
      </c>
      <c r="F107" s="144">
        <v>12840</v>
      </c>
    </row>
    <row r="108" spans="1:8" s="226" customFormat="1" ht="27.75" customHeight="1">
      <c r="A108" s="94">
        <v>2</v>
      </c>
      <c r="B108" s="41" t="s">
        <v>1350</v>
      </c>
      <c r="C108" s="224" t="s">
        <v>255</v>
      </c>
      <c r="D108" s="113" t="s">
        <v>1415</v>
      </c>
      <c r="E108" s="114" t="s">
        <v>1458</v>
      </c>
      <c r="F108" s="144">
        <v>19260</v>
      </c>
    </row>
    <row r="109" spans="1:8" s="226" customFormat="1" ht="27.75" customHeight="1">
      <c r="A109" s="94">
        <v>3</v>
      </c>
      <c r="B109" s="41" t="s">
        <v>257</v>
      </c>
      <c r="C109" s="224" t="s">
        <v>258</v>
      </c>
      <c r="D109" s="113">
        <v>46201</v>
      </c>
      <c r="E109" s="114" t="s">
        <v>1459</v>
      </c>
      <c r="F109" s="144">
        <v>9630</v>
      </c>
    </row>
    <row r="110" spans="1:8" s="226" customFormat="1" ht="27.75" customHeight="1">
      <c r="A110" s="94">
        <v>4</v>
      </c>
      <c r="B110" s="206" t="s">
        <v>257</v>
      </c>
      <c r="C110" s="224" t="s">
        <v>260</v>
      </c>
      <c r="D110" s="113">
        <v>46201</v>
      </c>
      <c r="E110" s="114" t="s">
        <v>1459</v>
      </c>
      <c r="F110" s="144">
        <v>9630</v>
      </c>
    </row>
    <row r="111" spans="1:8" s="226" customFormat="1" ht="27.75" customHeight="1">
      <c r="A111" s="94">
        <v>5</v>
      </c>
      <c r="B111" s="265" t="s">
        <v>1351</v>
      </c>
      <c r="C111" s="224" t="s">
        <v>262</v>
      </c>
      <c r="D111" s="113">
        <v>46176</v>
      </c>
      <c r="E111" s="114" t="s">
        <v>1460</v>
      </c>
      <c r="F111" s="144">
        <v>6420</v>
      </c>
    </row>
    <row r="112" spans="1:8" s="226" customFormat="1" ht="27.75" customHeight="1">
      <c r="A112" s="94">
        <v>6</v>
      </c>
      <c r="B112" s="266" t="s">
        <v>264</v>
      </c>
      <c r="C112" s="224" t="s">
        <v>199</v>
      </c>
      <c r="D112" s="113">
        <v>46202</v>
      </c>
      <c r="E112" s="114" t="s">
        <v>1461</v>
      </c>
      <c r="F112" s="144">
        <v>6420</v>
      </c>
    </row>
    <row r="113" spans="1:9" s="226" customFormat="1" ht="27.75" customHeight="1">
      <c r="A113" s="94">
        <v>7</v>
      </c>
      <c r="B113" s="81" t="s">
        <v>267</v>
      </c>
      <c r="C113" s="224" t="s">
        <v>268</v>
      </c>
      <c r="D113" s="113">
        <v>46192</v>
      </c>
      <c r="E113" s="114" t="s">
        <v>1462</v>
      </c>
      <c r="F113" s="144">
        <v>6420</v>
      </c>
    </row>
    <row r="114" spans="1:9" s="226" customFormat="1" ht="27.75" customHeight="1">
      <c r="A114" s="94">
        <v>8</v>
      </c>
      <c r="B114" s="81" t="s">
        <v>156</v>
      </c>
      <c r="C114" s="224" t="s">
        <v>207</v>
      </c>
      <c r="D114" s="113">
        <v>46178</v>
      </c>
      <c r="E114" s="114" t="s">
        <v>1463</v>
      </c>
      <c r="F114" s="144">
        <v>6420</v>
      </c>
    </row>
    <row r="115" spans="1:9" s="226" customFormat="1" ht="27.75" customHeight="1">
      <c r="A115" s="94">
        <v>9</v>
      </c>
      <c r="B115" s="41" t="s">
        <v>271</v>
      </c>
      <c r="C115" s="224" t="s">
        <v>208</v>
      </c>
      <c r="D115" s="113">
        <v>46203</v>
      </c>
      <c r="E115" s="268" t="s">
        <v>1464</v>
      </c>
      <c r="F115" s="269">
        <v>6420</v>
      </c>
    </row>
    <row r="116" spans="1:9" s="226" customFormat="1" ht="27.75" customHeight="1">
      <c r="A116" s="94">
        <v>10</v>
      </c>
      <c r="B116" s="41" t="s">
        <v>1352</v>
      </c>
      <c r="C116" s="224" t="s">
        <v>209</v>
      </c>
      <c r="D116" s="113">
        <v>46180</v>
      </c>
      <c r="E116" s="114" t="s">
        <v>1465</v>
      </c>
      <c r="F116" s="144">
        <v>6420</v>
      </c>
    </row>
    <row r="117" spans="1:9" s="226" customFormat="1" ht="27.75" customHeight="1">
      <c r="A117" s="94">
        <v>11</v>
      </c>
      <c r="B117" s="41" t="s">
        <v>275</v>
      </c>
      <c r="C117" s="224" t="s">
        <v>276</v>
      </c>
      <c r="D117" s="113">
        <v>46203</v>
      </c>
      <c r="E117" s="114" t="s">
        <v>1466</v>
      </c>
      <c r="F117" s="144">
        <v>6420</v>
      </c>
    </row>
    <row r="118" spans="1:9" ht="27.75" customHeight="1" thickBot="1">
      <c r="A118" s="22"/>
      <c r="B118" s="194" t="s">
        <v>22</v>
      </c>
      <c r="C118" s="195"/>
      <c r="D118" s="199"/>
      <c r="E118" s="199"/>
      <c r="F118" s="196">
        <v>96300</v>
      </c>
      <c r="H118" s="512">
        <f>SUM(F107:F117)</f>
        <v>96300</v>
      </c>
      <c r="I118" s="520">
        <f>+H95+H105+H118</f>
        <v>424790</v>
      </c>
    </row>
    <row r="119" spans="1:9" ht="27.75" hidden="1" customHeight="1" thickBot="1">
      <c r="A119" s="22"/>
      <c r="B119" s="23" t="s">
        <v>278</v>
      </c>
      <c r="C119" s="24"/>
      <c r="D119" s="29"/>
      <c r="E119" s="30"/>
      <c r="F119" s="31"/>
    </row>
    <row r="120" spans="1:9" ht="27.75" hidden="1" customHeight="1" thickTop="1">
      <c r="A120" s="22">
        <v>1</v>
      </c>
      <c r="B120" s="270" t="s">
        <v>88</v>
      </c>
      <c r="C120" s="271" t="s">
        <v>279</v>
      </c>
      <c r="D120" s="275"/>
      <c r="E120" s="276"/>
      <c r="F120" s="277"/>
    </row>
    <row r="121" spans="1:9" ht="27.75" hidden="1" customHeight="1" thickTop="1">
      <c r="A121" s="22">
        <v>2</v>
      </c>
      <c r="B121" s="280" t="s">
        <v>89</v>
      </c>
      <c r="C121" s="271" t="s">
        <v>279</v>
      </c>
      <c r="D121" s="175"/>
      <c r="E121" s="282"/>
      <c r="F121" s="222"/>
    </row>
    <row r="122" spans="1:9" ht="27.75" hidden="1" customHeight="1" thickTop="1">
      <c r="A122" s="22">
        <v>3</v>
      </c>
      <c r="B122" s="270" t="s">
        <v>280</v>
      </c>
      <c r="C122" s="271" t="s">
        <v>279</v>
      </c>
      <c r="D122" s="175"/>
      <c r="E122" s="282"/>
      <c r="F122" s="222"/>
    </row>
    <row r="123" spans="1:9" ht="27.75" hidden="1" customHeight="1" thickTop="1">
      <c r="A123" s="22">
        <v>4</v>
      </c>
      <c r="B123" s="280" t="s">
        <v>96</v>
      </c>
      <c r="C123" s="271" t="s">
        <v>279</v>
      </c>
      <c r="D123" s="175"/>
      <c r="E123" s="282"/>
      <c r="F123" s="222"/>
    </row>
    <row r="124" spans="1:9" ht="27.75" hidden="1" customHeight="1" thickTop="1">
      <c r="A124" s="22">
        <v>5</v>
      </c>
      <c r="B124" s="280" t="s">
        <v>281</v>
      </c>
      <c r="C124" s="271" t="s">
        <v>279</v>
      </c>
      <c r="D124" s="175"/>
      <c r="E124" s="282"/>
      <c r="F124" s="222"/>
    </row>
    <row r="125" spans="1:9" ht="27.75" hidden="1" customHeight="1" thickTop="1">
      <c r="A125" s="22">
        <v>6</v>
      </c>
      <c r="B125" s="280" t="s">
        <v>282</v>
      </c>
      <c r="C125" s="271" t="s">
        <v>279</v>
      </c>
      <c r="D125" s="175"/>
      <c r="E125" s="282"/>
      <c r="F125" s="222"/>
    </row>
    <row r="126" spans="1:9" ht="27.75" hidden="1" customHeight="1" thickTop="1">
      <c r="A126" s="22">
        <v>7</v>
      </c>
      <c r="B126" s="280" t="s">
        <v>92</v>
      </c>
      <c r="C126" s="271" t="s">
        <v>279</v>
      </c>
      <c r="D126" s="175"/>
      <c r="E126" s="282"/>
      <c r="F126" s="222"/>
    </row>
    <row r="127" spans="1:9" ht="27.75" hidden="1" customHeight="1" thickTop="1">
      <c r="A127" s="22">
        <v>8</v>
      </c>
      <c r="B127" s="280" t="s">
        <v>91</v>
      </c>
      <c r="C127" s="271" t="s">
        <v>279</v>
      </c>
      <c r="D127" s="175"/>
      <c r="E127" s="282"/>
      <c r="F127" s="222"/>
    </row>
    <row r="128" spans="1:9" ht="27.75" hidden="1" customHeight="1" thickTop="1">
      <c r="A128" s="22">
        <v>9</v>
      </c>
      <c r="B128" s="280" t="s">
        <v>236</v>
      </c>
      <c r="C128" s="271" t="s">
        <v>279</v>
      </c>
      <c r="D128" s="175"/>
      <c r="E128" s="282"/>
      <c r="F128" s="222"/>
    </row>
    <row r="129" spans="1:8" ht="27.75" hidden="1" customHeight="1" thickTop="1">
      <c r="A129" s="22">
        <v>10</v>
      </c>
      <c r="B129" s="280" t="s">
        <v>94</v>
      </c>
      <c r="C129" s="280" t="s">
        <v>279</v>
      </c>
      <c r="D129" s="175"/>
      <c r="E129" s="282"/>
      <c r="F129" s="222"/>
    </row>
    <row r="130" spans="1:8" ht="27.75" hidden="1" customHeight="1" thickTop="1">
      <c r="A130" s="22">
        <v>11</v>
      </c>
      <c r="B130" s="270"/>
      <c r="C130" s="285"/>
      <c r="D130" s="275"/>
      <c r="E130" s="276"/>
      <c r="F130" s="277"/>
    </row>
    <row r="131" spans="1:8" ht="27.75" hidden="1" customHeight="1" thickTop="1">
      <c r="A131" s="22"/>
      <c r="B131" s="131" t="s">
        <v>22</v>
      </c>
      <c r="C131" s="132"/>
      <c r="D131" s="287"/>
      <c r="E131" s="137"/>
      <c r="F131" s="138">
        <v>0</v>
      </c>
    </row>
    <row r="132" spans="1:8" ht="27.75" customHeight="1" thickTop="1">
      <c r="A132" s="22"/>
      <c r="B132" s="288" t="s">
        <v>283</v>
      </c>
      <c r="C132" s="289"/>
      <c r="D132" s="291"/>
      <c r="E132" s="292"/>
      <c r="F132" s="222"/>
    </row>
    <row r="133" spans="1:8" ht="27.75" customHeight="1">
      <c r="A133" s="94">
        <v>1</v>
      </c>
      <c r="B133" s="205" t="s">
        <v>192</v>
      </c>
      <c r="C133" s="206" t="s">
        <v>284</v>
      </c>
      <c r="D133" s="183">
        <v>46178</v>
      </c>
      <c r="E133" s="184" t="s">
        <v>1467</v>
      </c>
      <c r="F133" s="231">
        <v>66660</v>
      </c>
    </row>
    <row r="134" spans="1:8" ht="27.75" customHeight="1" thickBot="1">
      <c r="A134" s="193"/>
      <c r="B134" s="308" t="s">
        <v>22</v>
      </c>
      <c r="C134" s="309"/>
      <c r="D134" s="314"/>
      <c r="E134" s="314"/>
      <c r="F134" s="310">
        <v>66660</v>
      </c>
      <c r="H134" s="520">
        <f>SUM(F133)</f>
        <v>66660</v>
      </c>
    </row>
    <row r="135" spans="1:8" ht="27.75" customHeight="1" thickTop="1">
      <c r="A135" s="22"/>
      <c r="B135" s="23" t="s">
        <v>292</v>
      </c>
      <c r="C135" s="24"/>
      <c r="D135" s="29"/>
      <c r="E135" s="30"/>
      <c r="F135" s="31"/>
    </row>
    <row r="136" spans="1:8" ht="27.75" customHeight="1">
      <c r="A136" s="316">
        <v>1</v>
      </c>
      <c r="B136" s="280" t="s">
        <v>249</v>
      </c>
      <c r="C136" s="280" t="s">
        <v>250</v>
      </c>
      <c r="D136" s="317" t="s">
        <v>1456</v>
      </c>
      <c r="E136" s="318" t="s">
        <v>1468</v>
      </c>
      <c r="F136" s="319">
        <v>181.9</v>
      </c>
    </row>
    <row r="137" spans="1:8" ht="27.75" customHeight="1">
      <c r="A137" s="316">
        <v>2</v>
      </c>
      <c r="B137" s="280" t="s">
        <v>294</v>
      </c>
      <c r="C137" s="280" t="s">
        <v>255</v>
      </c>
      <c r="D137" s="321" t="s">
        <v>1415</v>
      </c>
      <c r="E137" s="322" t="s">
        <v>1469</v>
      </c>
      <c r="F137" s="323">
        <v>107</v>
      </c>
    </row>
    <row r="138" spans="1:8" ht="27.75" customHeight="1">
      <c r="A138" s="316">
        <v>3</v>
      </c>
      <c r="B138" s="270" t="s">
        <v>156</v>
      </c>
      <c r="C138" s="270" t="s">
        <v>208</v>
      </c>
      <c r="D138" s="328">
        <v>46178</v>
      </c>
      <c r="E138" s="329" t="s">
        <v>1470</v>
      </c>
      <c r="F138" s="330">
        <v>117.7</v>
      </c>
    </row>
    <row r="139" spans="1:8" ht="27.75" customHeight="1">
      <c r="A139" s="316">
        <v>4</v>
      </c>
      <c r="B139" s="270" t="s">
        <v>273</v>
      </c>
      <c r="C139" s="270" t="s">
        <v>211</v>
      </c>
      <c r="D139" s="328">
        <v>46180</v>
      </c>
      <c r="E139" s="329" t="s">
        <v>1471</v>
      </c>
      <c r="F139" s="330">
        <v>42.8</v>
      </c>
    </row>
    <row r="140" spans="1:8" ht="27.75" customHeight="1">
      <c r="A140" s="316">
        <v>5</v>
      </c>
      <c r="B140" s="270" t="s">
        <v>92</v>
      </c>
      <c r="C140" s="270" t="s">
        <v>302</v>
      </c>
      <c r="D140" s="331">
        <v>46202</v>
      </c>
      <c r="E140" s="332" t="s">
        <v>1472</v>
      </c>
      <c r="F140" s="333">
        <v>214</v>
      </c>
    </row>
    <row r="141" spans="1:8" ht="27.75" customHeight="1" thickBot="1">
      <c r="A141" s="193"/>
      <c r="B141" s="194"/>
      <c r="C141" s="195"/>
      <c r="D141" s="338"/>
      <c r="E141" s="199"/>
      <c r="F141" s="196">
        <v>663.4</v>
      </c>
      <c r="H141" s="512">
        <f>SUM(F136:F140)</f>
        <v>663.4</v>
      </c>
    </row>
    <row r="142" spans="1:8" ht="27.75" customHeight="1" thickTop="1">
      <c r="A142" s="22"/>
      <c r="B142" s="288" t="s">
        <v>304</v>
      </c>
      <c r="C142" s="289"/>
      <c r="D142" s="291"/>
      <c r="E142" s="292"/>
      <c r="F142" s="222"/>
    </row>
    <row r="143" spans="1:8" ht="27.75" customHeight="1">
      <c r="A143" s="186">
        <v>1</v>
      </c>
      <c r="B143" s="205" t="s">
        <v>24</v>
      </c>
      <c r="C143" s="346" t="s">
        <v>25</v>
      </c>
      <c r="D143" s="113">
        <v>46175</v>
      </c>
      <c r="E143" s="114" t="s">
        <v>1473</v>
      </c>
      <c r="F143" s="347">
        <v>1410</v>
      </c>
    </row>
    <row r="144" spans="1:8" ht="27.75" customHeight="1">
      <c r="A144" s="186">
        <v>2</v>
      </c>
      <c r="B144" s="205" t="s">
        <v>28</v>
      </c>
      <c r="C144" s="346" t="s">
        <v>311</v>
      </c>
      <c r="D144" s="113" t="s">
        <v>1412</v>
      </c>
      <c r="E144" s="114" t="s">
        <v>1474</v>
      </c>
      <c r="F144" s="347">
        <v>2820</v>
      </c>
    </row>
    <row r="145" spans="1:6" ht="27.75" customHeight="1">
      <c r="A145" s="186">
        <v>3</v>
      </c>
      <c r="B145" s="205" t="s">
        <v>28</v>
      </c>
      <c r="C145" s="346" t="s">
        <v>315</v>
      </c>
      <c r="D145" s="113" t="s">
        <v>1412</v>
      </c>
      <c r="E145" s="114" t="s">
        <v>1474</v>
      </c>
      <c r="F145" s="347">
        <v>2820</v>
      </c>
    </row>
    <row r="146" spans="1:6" ht="27.75" customHeight="1">
      <c r="A146" s="186">
        <v>4</v>
      </c>
      <c r="B146" s="205" t="s">
        <v>24</v>
      </c>
      <c r="C146" s="346" t="s">
        <v>316</v>
      </c>
      <c r="D146" s="113">
        <v>46175</v>
      </c>
      <c r="E146" s="114" t="s">
        <v>1475</v>
      </c>
      <c r="F146" s="347">
        <v>1410</v>
      </c>
    </row>
    <row r="147" spans="1:6" ht="27.75" customHeight="1">
      <c r="A147" s="186">
        <v>5</v>
      </c>
      <c r="B147" s="205" t="s">
        <v>24</v>
      </c>
      <c r="C147" s="346" t="s">
        <v>318</v>
      </c>
      <c r="D147" s="113">
        <v>46175</v>
      </c>
      <c r="E147" s="114" t="s">
        <v>1473</v>
      </c>
      <c r="F147" s="347">
        <v>1410</v>
      </c>
    </row>
    <row r="148" spans="1:6" ht="27.75" customHeight="1">
      <c r="A148" s="186">
        <v>6</v>
      </c>
      <c r="B148" s="205" t="s">
        <v>24</v>
      </c>
      <c r="C148" s="346" t="s">
        <v>319</v>
      </c>
      <c r="D148" s="113">
        <v>46175</v>
      </c>
      <c r="E148" s="114" t="s">
        <v>1473</v>
      </c>
      <c r="F148" s="347">
        <v>1410</v>
      </c>
    </row>
    <row r="149" spans="1:6" ht="27.75" customHeight="1">
      <c r="A149" s="186">
        <v>7</v>
      </c>
      <c r="B149" s="205" t="s">
        <v>28</v>
      </c>
      <c r="C149" s="346" t="s">
        <v>320</v>
      </c>
      <c r="D149" s="113" t="s">
        <v>1412</v>
      </c>
      <c r="E149" s="114" t="s">
        <v>1476</v>
      </c>
      <c r="F149" s="347">
        <v>2820</v>
      </c>
    </row>
    <row r="150" spans="1:6" ht="27.75" customHeight="1">
      <c r="A150" s="186">
        <v>8</v>
      </c>
      <c r="B150" s="205" t="s">
        <v>28</v>
      </c>
      <c r="C150" s="346" t="s">
        <v>321</v>
      </c>
      <c r="D150" s="113" t="s">
        <v>1412</v>
      </c>
      <c r="E150" s="114" t="s">
        <v>1476</v>
      </c>
      <c r="F150" s="347">
        <v>2820</v>
      </c>
    </row>
    <row r="151" spans="1:6" ht="27.75" customHeight="1">
      <c r="A151" s="186">
        <v>9</v>
      </c>
      <c r="B151" s="205" t="s">
        <v>28</v>
      </c>
      <c r="C151" s="346" t="s">
        <v>322</v>
      </c>
      <c r="D151" s="113" t="s">
        <v>1412</v>
      </c>
      <c r="E151" s="114" t="s">
        <v>1476</v>
      </c>
      <c r="F151" s="347">
        <v>2820</v>
      </c>
    </row>
    <row r="152" spans="1:6" ht="27.75" customHeight="1">
      <c r="A152" s="186">
        <v>10</v>
      </c>
      <c r="B152" s="205" t="s">
        <v>28</v>
      </c>
      <c r="C152" s="346" t="s">
        <v>323</v>
      </c>
      <c r="D152" s="113" t="s">
        <v>1412</v>
      </c>
      <c r="E152" s="114" t="s">
        <v>1476</v>
      </c>
      <c r="F152" s="347">
        <v>2820</v>
      </c>
    </row>
    <row r="153" spans="1:6" ht="27.75" customHeight="1">
      <c r="A153" s="186">
        <v>11</v>
      </c>
      <c r="B153" s="205" t="s">
        <v>28</v>
      </c>
      <c r="C153" s="346" t="s">
        <v>324</v>
      </c>
      <c r="D153" s="113" t="s">
        <v>1412</v>
      </c>
      <c r="E153" s="114" t="s">
        <v>1476</v>
      </c>
      <c r="F153" s="347">
        <v>2820</v>
      </c>
    </row>
    <row r="154" spans="1:6" ht="27.75" customHeight="1">
      <c r="A154" s="186">
        <v>12</v>
      </c>
      <c r="B154" s="205" t="s">
        <v>325</v>
      </c>
      <c r="C154" s="346" t="s">
        <v>326</v>
      </c>
      <c r="D154" s="113">
        <v>46178</v>
      </c>
      <c r="E154" s="114" t="s">
        <v>1477</v>
      </c>
      <c r="F154" s="347">
        <v>1410</v>
      </c>
    </row>
    <row r="155" spans="1:6" ht="27.75" customHeight="1">
      <c r="A155" s="186">
        <v>13</v>
      </c>
      <c r="B155" s="205" t="s">
        <v>325</v>
      </c>
      <c r="C155" s="346" t="s">
        <v>330</v>
      </c>
      <c r="D155" s="113">
        <v>46178</v>
      </c>
      <c r="E155" s="114" t="s">
        <v>1477</v>
      </c>
      <c r="F155" s="347">
        <v>1410</v>
      </c>
    </row>
    <row r="156" spans="1:6" ht="27.75" customHeight="1">
      <c r="A156" s="186">
        <v>14</v>
      </c>
      <c r="B156" s="205" t="s">
        <v>325</v>
      </c>
      <c r="C156" s="346" t="s">
        <v>331</v>
      </c>
      <c r="D156" s="113">
        <v>46178</v>
      </c>
      <c r="E156" s="114" t="s">
        <v>1477</v>
      </c>
      <c r="F156" s="347">
        <v>1410</v>
      </c>
    </row>
    <row r="157" spans="1:6" ht="27.75" customHeight="1">
      <c r="A157" s="186">
        <v>15</v>
      </c>
      <c r="B157" s="205" t="s">
        <v>325</v>
      </c>
      <c r="C157" s="346" t="s">
        <v>332</v>
      </c>
      <c r="D157" s="113">
        <v>46178</v>
      </c>
      <c r="E157" s="114" t="s">
        <v>1477</v>
      </c>
      <c r="F157" s="347">
        <v>1410</v>
      </c>
    </row>
    <row r="158" spans="1:6" ht="27.75" customHeight="1">
      <c r="A158" s="186">
        <v>16</v>
      </c>
      <c r="B158" s="205" t="s">
        <v>28</v>
      </c>
      <c r="C158" s="346" t="s">
        <v>333</v>
      </c>
      <c r="D158" s="113">
        <v>46174</v>
      </c>
      <c r="E158" s="114" t="s">
        <v>1478</v>
      </c>
      <c r="F158" s="347">
        <v>2820</v>
      </c>
    </row>
    <row r="159" spans="1:6" ht="27.75" customHeight="1">
      <c r="A159" s="186">
        <v>17</v>
      </c>
      <c r="B159" s="205" t="s">
        <v>28</v>
      </c>
      <c r="C159" s="346" t="s">
        <v>334</v>
      </c>
      <c r="D159" s="113">
        <v>46174</v>
      </c>
      <c r="E159" s="114" t="s">
        <v>1478</v>
      </c>
      <c r="F159" s="347">
        <v>2820</v>
      </c>
    </row>
    <row r="160" spans="1:6" ht="27.75" customHeight="1">
      <c r="A160" s="186">
        <v>18</v>
      </c>
      <c r="B160" s="205" t="s">
        <v>28</v>
      </c>
      <c r="C160" s="346" t="s">
        <v>335</v>
      </c>
      <c r="D160" s="113">
        <v>46174</v>
      </c>
      <c r="E160" s="114" t="s">
        <v>1478</v>
      </c>
      <c r="F160" s="347">
        <v>2820</v>
      </c>
    </row>
    <row r="161" spans="1:6" ht="27.75" customHeight="1">
      <c r="A161" s="186">
        <v>19</v>
      </c>
      <c r="B161" s="205" t="s">
        <v>40</v>
      </c>
      <c r="C161" s="346" t="s">
        <v>336</v>
      </c>
      <c r="D161" s="113">
        <v>46177</v>
      </c>
      <c r="E161" s="114" t="s">
        <v>1479</v>
      </c>
      <c r="F161" s="347">
        <v>1500</v>
      </c>
    </row>
    <row r="162" spans="1:6" ht="27.75" customHeight="1">
      <c r="A162" s="186">
        <v>20</v>
      </c>
      <c r="B162" s="205" t="s">
        <v>40</v>
      </c>
      <c r="C162" s="346" t="s">
        <v>338</v>
      </c>
      <c r="D162" s="113">
        <v>46177</v>
      </c>
      <c r="E162" s="114" t="s">
        <v>1479</v>
      </c>
      <c r="F162" s="347">
        <v>1500</v>
      </c>
    </row>
    <row r="163" spans="1:6" ht="27.75" customHeight="1">
      <c r="A163" s="186">
        <v>21</v>
      </c>
      <c r="B163" s="205" t="s">
        <v>40</v>
      </c>
      <c r="C163" s="346" t="s">
        <v>339</v>
      </c>
      <c r="D163" s="113">
        <v>46177</v>
      </c>
      <c r="E163" s="114" t="s">
        <v>1479</v>
      </c>
      <c r="F163" s="347">
        <v>1500</v>
      </c>
    </row>
    <row r="164" spans="1:6" ht="27.75" customHeight="1">
      <c r="A164" s="186">
        <v>22</v>
      </c>
      <c r="B164" s="40" t="s">
        <v>43</v>
      </c>
      <c r="C164" s="346" t="s">
        <v>340</v>
      </c>
      <c r="D164" s="113">
        <v>46177</v>
      </c>
      <c r="E164" s="114" t="s">
        <v>1480</v>
      </c>
      <c r="F164" s="347">
        <v>1410</v>
      </c>
    </row>
    <row r="165" spans="1:6" ht="27.75" customHeight="1">
      <c r="A165" s="186">
        <v>23</v>
      </c>
      <c r="B165" s="40" t="s">
        <v>43</v>
      </c>
      <c r="C165" s="346" t="s">
        <v>344</v>
      </c>
      <c r="D165" s="113">
        <v>46177</v>
      </c>
      <c r="E165" s="114" t="s">
        <v>1480</v>
      </c>
      <c r="F165" s="347">
        <v>1410</v>
      </c>
    </row>
    <row r="166" spans="1:6" ht="27.75" customHeight="1">
      <c r="A166" s="186">
        <v>24</v>
      </c>
      <c r="B166" s="40" t="s">
        <v>345</v>
      </c>
      <c r="C166" s="346" t="s">
        <v>346</v>
      </c>
      <c r="D166" s="113">
        <v>46176</v>
      </c>
      <c r="E166" s="114" t="s">
        <v>1481</v>
      </c>
      <c r="F166" s="347">
        <v>1410</v>
      </c>
    </row>
    <row r="167" spans="1:6" ht="27.75" customHeight="1">
      <c r="A167" s="186">
        <v>25</v>
      </c>
      <c r="B167" s="40" t="s">
        <v>345</v>
      </c>
      <c r="C167" s="346" t="s">
        <v>348</v>
      </c>
      <c r="D167" s="113">
        <v>46176</v>
      </c>
      <c r="E167" s="114" t="s">
        <v>1481</v>
      </c>
      <c r="F167" s="347">
        <v>1410</v>
      </c>
    </row>
    <row r="168" spans="1:6" ht="27.75" customHeight="1">
      <c r="A168" s="186">
        <v>26</v>
      </c>
      <c r="B168" s="40" t="s">
        <v>345</v>
      </c>
      <c r="C168" s="346" t="s">
        <v>349</v>
      </c>
      <c r="D168" s="113">
        <v>46176</v>
      </c>
      <c r="E168" s="114" t="s">
        <v>1481</v>
      </c>
      <c r="F168" s="347">
        <v>1410</v>
      </c>
    </row>
    <row r="169" spans="1:6" ht="27.75" customHeight="1">
      <c r="A169" s="186">
        <v>27</v>
      </c>
      <c r="B169" s="40" t="s">
        <v>345</v>
      </c>
      <c r="C169" s="346" t="s">
        <v>350</v>
      </c>
      <c r="D169" s="113">
        <v>46176</v>
      </c>
      <c r="E169" s="114" t="s">
        <v>1481</v>
      </c>
      <c r="F169" s="347">
        <v>1410</v>
      </c>
    </row>
    <row r="170" spans="1:6" ht="27.75" customHeight="1">
      <c r="A170" s="186">
        <v>28</v>
      </c>
      <c r="B170" s="40" t="s">
        <v>351</v>
      </c>
      <c r="C170" s="346" t="s">
        <v>352</v>
      </c>
      <c r="D170" s="113">
        <v>46178</v>
      </c>
      <c r="E170" s="114" t="s">
        <v>1482</v>
      </c>
      <c r="F170" s="347">
        <v>1410</v>
      </c>
    </row>
    <row r="171" spans="1:6" ht="27.75" customHeight="1">
      <c r="A171" s="186">
        <v>29</v>
      </c>
      <c r="B171" s="40" t="s">
        <v>351</v>
      </c>
      <c r="C171" s="346" t="s">
        <v>354</v>
      </c>
      <c r="D171" s="113">
        <v>46178</v>
      </c>
      <c r="E171" s="114" t="s">
        <v>1482</v>
      </c>
      <c r="F171" s="347">
        <v>1410</v>
      </c>
    </row>
    <row r="172" spans="1:6" ht="27.75" customHeight="1">
      <c r="A172" s="186">
        <v>30</v>
      </c>
      <c r="B172" s="40" t="s">
        <v>351</v>
      </c>
      <c r="C172" s="346" t="s">
        <v>355</v>
      </c>
      <c r="D172" s="113">
        <v>46178</v>
      </c>
      <c r="E172" s="114" t="s">
        <v>1482</v>
      </c>
      <c r="F172" s="347">
        <v>1410</v>
      </c>
    </row>
    <row r="173" spans="1:6" ht="27.75" customHeight="1">
      <c r="A173" s="186">
        <v>34</v>
      </c>
      <c r="B173" s="40" t="s">
        <v>362</v>
      </c>
      <c r="C173" s="346" t="s">
        <v>363</v>
      </c>
      <c r="D173" s="113">
        <v>46175</v>
      </c>
      <c r="E173" s="114" t="s">
        <v>1483</v>
      </c>
      <c r="F173" s="347">
        <v>1410</v>
      </c>
    </row>
    <row r="174" spans="1:6" ht="27.75" customHeight="1">
      <c r="A174" s="186">
        <v>35</v>
      </c>
      <c r="B174" s="40" t="s">
        <v>362</v>
      </c>
      <c r="C174" s="346" t="s">
        <v>367</v>
      </c>
      <c r="D174" s="113">
        <v>46175</v>
      </c>
      <c r="E174" s="114" t="s">
        <v>1483</v>
      </c>
      <c r="F174" s="347">
        <v>1410</v>
      </c>
    </row>
    <row r="175" spans="1:6" ht="27.75" customHeight="1">
      <c r="A175" s="186">
        <v>36</v>
      </c>
      <c r="B175" s="40" t="s">
        <v>362</v>
      </c>
      <c r="C175" s="346" t="s">
        <v>368</v>
      </c>
      <c r="D175" s="113">
        <v>46175</v>
      </c>
      <c r="E175" s="114" t="s">
        <v>1483</v>
      </c>
      <c r="F175" s="347">
        <v>1410</v>
      </c>
    </row>
    <row r="176" spans="1:6" ht="27.75" customHeight="1">
      <c r="A176" s="186">
        <v>37</v>
      </c>
      <c r="B176" s="40" t="s">
        <v>362</v>
      </c>
      <c r="C176" s="346" t="s">
        <v>369</v>
      </c>
      <c r="D176" s="113">
        <v>46175</v>
      </c>
      <c r="E176" s="114" t="s">
        <v>1483</v>
      </c>
      <c r="F176" s="347">
        <v>1410</v>
      </c>
    </row>
    <row r="177" spans="1:8" ht="27.75" customHeight="1">
      <c r="A177" s="186">
        <v>38</v>
      </c>
      <c r="B177" s="40" t="s">
        <v>362</v>
      </c>
      <c r="C177" s="346" t="s">
        <v>370</v>
      </c>
      <c r="D177" s="113">
        <v>46175</v>
      </c>
      <c r="E177" s="114" t="s">
        <v>1483</v>
      </c>
      <c r="F177" s="347">
        <v>1410</v>
      </c>
    </row>
    <row r="178" spans="1:8" ht="27.75" customHeight="1">
      <c r="A178" s="186">
        <v>39</v>
      </c>
      <c r="B178" s="40" t="s">
        <v>362</v>
      </c>
      <c r="C178" s="346" t="s">
        <v>371</v>
      </c>
      <c r="D178" s="113">
        <v>46175</v>
      </c>
      <c r="E178" s="114" t="s">
        <v>1483</v>
      </c>
      <c r="F178" s="347">
        <v>1410</v>
      </c>
    </row>
    <row r="179" spans="1:8" ht="27.75" customHeight="1">
      <c r="A179" s="186">
        <v>40</v>
      </c>
      <c r="B179" s="40" t="s">
        <v>372</v>
      </c>
      <c r="C179" s="346" t="s">
        <v>373</v>
      </c>
      <c r="D179" s="113">
        <v>46175</v>
      </c>
      <c r="E179" s="114" t="s">
        <v>1484</v>
      </c>
      <c r="F179" s="347">
        <v>1410</v>
      </c>
    </row>
    <row r="180" spans="1:8" ht="27.75" customHeight="1">
      <c r="A180" s="186">
        <v>41</v>
      </c>
      <c r="B180" s="40" t="s">
        <v>372</v>
      </c>
      <c r="C180" s="346" t="s">
        <v>377</v>
      </c>
      <c r="D180" s="113">
        <v>46175</v>
      </c>
      <c r="E180" s="114" t="s">
        <v>1484</v>
      </c>
      <c r="F180" s="347">
        <v>1410</v>
      </c>
    </row>
    <row r="181" spans="1:8" ht="27.75" customHeight="1">
      <c r="A181" s="186">
        <v>42</v>
      </c>
      <c r="B181" s="40" t="s">
        <v>372</v>
      </c>
      <c r="C181" s="346" t="s">
        <v>378</v>
      </c>
      <c r="D181" s="113">
        <v>46175</v>
      </c>
      <c r="E181" s="114" t="s">
        <v>1484</v>
      </c>
      <c r="F181" s="347">
        <v>1410</v>
      </c>
    </row>
    <row r="182" spans="1:8" ht="27.75" customHeight="1">
      <c r="A182" s="186">
        <v>43</v>
      </c>
      <c r="B182" s="40" t="s">
        <v>372</v>
      </c>
      <c r="C182" s="346" t="s">
        <v>379</v>
      </c>
      <c r="D182" s="113">
        <v>46175</v>
      </c>
      <c r="E182" s="114" t="s">
        <v>1484</v>
      </c>
      <c r="F182" s="347">
        <v>1410</v>
      </c>
    </row>
    <row r="183" spans="1:8" ht="27.75" customHeight="1">
      <c r="A183" s="186">
        <v>44</v>
      </c>
      <c r="B183" s="40" t="s">
        <v>380</v>
      </c>
      <c r="C183" s="346" t="s">
        <v>381</v>
      </c>
      <c r="D183" s="175">
        <v>46178</v>
      </c>
      <c r="E183" s="176" t="s">
        <v>1485</v>
      </c>
      <c r="F183" s="222">
        <v>1410</v>
      </c>
    </row>
    <row r="184" spans="1:8" ht="27.75" customHeight="1">
      <c r="A184" s="186">
        <v>45</v>
      </c>
      <c r="B184" s="40" t="s">
        <v>380</v>
      </c>
      <c r="C184" s="346" t="s">
        <v>385</v>
      </c>
      <c r="D184" s="175">
        <v>46178</v>
      </c>
      <c r="E184" s="176" t="s">
        <v>1485</v>
      </c>
      <c r="F184" s="222">
        <v>1410</v>
      </c>
    </row>
    <row r="185" spans="1:8" ht="27.75" customHeight="1">
      <c r="A185" s="186">
        <v>46</v>
      </c>
      <c r="B185" s="40" t="s">
        <v>380</v>
      </c>
      <c r="C185" s="346" t="s">
        <v>386</v>
      </c>
      <c r="D185" s="175">
        <v>46178</v>
      </c>
      <c r="E185" s="176" t="s">
        <v>1485</v>
      </c>
      <c r="F185" s="222">
        <v>1410</v>
      </c>
    </row>
    <row r="186" spans="1:8" ht="27.75" customHeight="1">
      <c r="A186" s="186">
        <v>47</v>
      </c>
      <c r="B186" s="40" t="s">
        <v>380</v>
      </c>
      <c r="C186" s="346" t="s">
        <v>387</v>
      </c>
      <c r="D186" s="175">
        <v>46178</v>
      </c>
      <c r="E186" s="176" t="s">
        <v>1485</v>
      </c>
      <c r="F186" s="222">
        <v>1410</v>
      </c>
    </row>
    <row r="187" spans="1:8" ht="27.75" customHeight="1">
      <c r="A187" s="186">
        <v>48</v>
      </c>
      <c r="B187" s="351" t="s">
        <v>66</v>
      </c>
      <c r="C187" s="346" t="s">
        <v>388</v>
      </c>
      <c r="D187" s="175">
        <v>46203</v>
      </c>
      <c r="E187" s="176" t="s">
        <v>1486</v>
      </c>
      <c r="F187" s="222">
        <v>1760</v>
      </c>
    </row>
    <row r="188" spans="1:8" ht="27.75" customHeight="1">
      <c r="A188" s="186">
        <v>49</v>
      </c>
      <c r="B188" s="351" t="s">
        <v>66</v>
      </c>
      <c r="C188" s="346" t="s">
        <v>390</v>
      </c>
      <c r="D188" s="175">
        <v>46203</v>
      </c>
      <c r="E188" s="176" t="s">
        <v>1486</v>
      </c>
      <c r="F188" s="222">
        <v>1760</v>
      </c>
    </row>
    <row r="189" spans="1:8" ht="27.75" customHeight="1">
      <c r="A189" s="186">
        <v>50</v>
      </c>
      <c r="B189" s="351" t="s">
        <v>66</v>
      </c>
      <c r="C189" s="346" t="s">
        <v>391</v>
      </c>
      <c r="D189" s="175">
        <v>46203</v>
      </c>
      <c r="E189" s="176" t="s">
        <v>1486</v>
      </c>
      <c r="F189" s="222">
        <v>1760</v>
      </c>
    </row>
    <row r="190" spans="1:8" ht="27.75" customHeight="1">
      <c r="A190" s="186">
        <v>51</v>
      </c>
      <c r="B190" s="351" t="s">
        <v>66</v>
      </c>
      <c r="C190" s="346" t="s">
        <v>69</v>
      </c>
      <c r="D190" s="175">
        <v>46203</v>
      </c>
      <c r="E190" s="176" t="s">
        <v>1487</v>
      </c>
      <c r="F190" s="222">
        <v>2720</v>
      </c>
    </row>
    <row r="191" spans="1:8" ht="27.75" customHeight="1" thickBot="1">
      <c r="A191" s="357"/>
      <c r="B191" s="358"/>
      <c r="C191" s="359"/>
      <c r="D191" s="361"/>
      <c r="E191" s="361"/>
      <c r="F191" s="362">
        <v>84410</v>
      </c>
      <c r="H191" s="520">
        <f>SUM(F143:F190)</f>
        <v>84410</v>
      </c>
    </row>
    <row r="192" spans="1:8" ht="27.75" customHeight="1" thickTop="1">
      <c r="A192" s="94"/>
      <c r="B192" s="364" t="s">
        <v>395</v>
      </c>
      <c r="C192" s="81"/>
      <c r="D192" s="178"/>
      <c r="E192" s="179"/>
      <c r="F192" s="264"/>
    </row>
    <row r="193" spans="1:9" ht="27.75" customHeight="1">
      <c r="A193" s="94">
        <v>1</v>
      </c>
      <c r="B193" s="366" t="s">
        <v>167</v>
      </c>
      <c r="C193" s="367" t="s">
        <v>396</v>
      </c>
      <c r="D193" s="175">
        <v>46182</v>
      </c>
      <c r="E193" s="176" t="s">
        <v>1488</v>
      </c>
      <c r="F193" s="222">
        <v>22690</v>
      </c>
    </row>
    <row r="194" spans="1:9" ht="27.75" customHeight="1">
      <c r="A194" s="94"/>
      <c r="B194" s="366" t="s">
        <v>401</v>
      </c>
      <c r="C194" s="367" t="s">
        <v>402</v>
      </c>
      <c r="D194" s="175"/>
      <c r="E194" s="176"/>
      <c r="F194" s="222"/>
    </row>
    <row r="195" spans="1:9" ht="27.75" customHeight="1">
      <c r="A195" s="94">
        <v>2</v>
      </c>
      <c r="B195" s="366" t="s">
        <v>24</v>
      </c>
      <c r="C195" s="367" t="s">
        <v>403</v>
      </c>
      <c r="D195" s="175">
        <v>46175</v>
      </c>
      <c r="E195" s="176" t="s">
        <v>1475</v>
      </c>
      <c r="F195" s="222">
        <v>15295</v>
      </c>
    </row>
    <row r="196" spans="1:9" ht="27.75" customHeight="1">
      <c r="A196" s="94"/>
      <c r="B196" s="366" t="s">
        <v>409</v>
      </c>
      <c r="C196" s="367" t="s">
        <v>410</v>
      </c>
      <c r="D196" s="175"/>
      <c r="E196" s="176"/>
      <c r="F196" s="222"/>
    </row>
    <row r="197" spans="1:9" ht="27.75" customHeight="1">
      <c r="A197" s="94">
        <v>3</v>
      </c>
      <c r="B197" s="366" t="s">
        <v>411</v>
      </c>
      <c r="C197" s="367" t="s">
        <v>412</v>
      </c>
      <c r="D197" s="175">
        <v>46178</v>
      </c>
      <c r="E197" s="176" t="s">
        <v>1489</v>
      </c>
      <c r="F197" s="222">
        <v>5360</v>
      </c>
    </row>
    <row r="198" spans="1:9" ht="27.75" customHeight="1">
      <c r="A198" s="94"/>
      <c r="B198" s="366" t="s">
        <v>409</v>
      </c>
      <c r="C198" s="367" t="s">
        <v>416</v>
      </c>
      <c r="D198" s="175"/>
      <c r="E198" s="176"/>
      <c r="F198" s="222"/>
    </row>
    <row r="199" spans="1:9" ht="27.75" customHeight="1">
      <c r="A199" s="94">
        <v>4</v>
      </c>
      <c r="B199" s="366" t="s">
        <v>417</v>
      </c>
      <c r="C199" s="367" t="s">
        <v>418</v>
      </c>
      <c r="D199" s="175">
        <v>46174</v>
      </c>
      <c r="E199" s="176" t="s">
        <v>1490</v>
      </c>
      <c r="F199" s="222">
        <v>68108.75</v>
      </c>
    </row>
    <row r="200" spans="1:9" ht="27.75" customHeight="1">
      <c r="A200" s="94"/>
      <c r="B200" s="366" t="s">
        <v>409</v>
      </c>
      <c r="C200" s="379"/>
      <c r="D200" s="175"/>
      <c r="E200" s="176"/>
      <c r="F200" s="222"/>
    </row>
    <row r="201" spans="1:9" ht="27.75" customHeight="1">
      <c r="A201" s="94">
        <v>5</v>
      </c>
      <c r="B201" s="366" t="s">
        <v>417</v>
      </c>
      <c r="C201" s="367" t="s">
        <v>421</v>
      </c>
      <c r="D201" s="175">
        <v>46174</v>
      </c>
      <c r="E201" s="176" t="s">
        <v>1491</v>
      </c>
      <c r="F201" s="222">
        <v>4910</v>
      </c>
    </row>
    <row r="202" spans="1:9" ht="27.75" customHeight="1">
      <c r="A202" s="94"/>
      <c r="B202" s="366" t="s">
        <v>426</v>
      </c>
      <c r="C202" s="366" t="s">
        <v>427</v>
      </c>
      <c r="D202" s="175"/>
      <c r="E202" s="176"/>
      <c r="F202" s="222"/>
    </row>
    <row r="203" spans="1:9" ht="27.75" customHeight="1">
      <c r="A203" s="94">
        <v>6</v>
      </c>
      <c r="B203" s="366" t="s">
        <v>428</v>
      </c>
      <c r="C203" s="367" t="s">
        <v>429</v>
      </c>
      <c r="D203" s="175">
        <v>46178</v>
      </c>
      <c r="E203" s="176" t="s">
        <v>1492</v>
      </c>
      <c r="F203" s="222">
        <v>20000</v>
      </c>
    </row>
    <row r="204" spans="1:9" ht="27.75" customHeight="1">
      <c r="A204" s="94"/>
      <c r="B204" s="366" t="s">
        <v>431</v>
      </c>
      <c r="C204" s="366" t="s">
        <v>432</v>
      </c>
      <c r="D204" s="175"/>
      <c r="E204" s="176"/>
      <c r="F204" s="222"/>
    </row>
    <row r="205" spans="1:9" ht="27.75" customHeight="1" thickBot="1">
      <c r="A205" s="193"/>
      <c r="B205" s="194" t="s">
        <v>22</v>
      </c>
      <c r="C205" s="195"/>
      <c r="D205" s="199"/>
      <c r="E205" s="199"/>
      <c r="F205" s="196">
        <v>136363.75</v>
      </c>
      <c r="H205" s="520">
        <f>SUM(F193:F203)</f>
        <v>136363.75</v>
      </c>
      <c r="I205" s="520">
        <f>+H191+F205</f>
        <v>220773.75</v>
      </c>
    </row>
    <row r="206" spans="1:9" ht="27.75" customHeight="1" thickTop="1">
      <c r="A206" s="22"/>
      <c r="B206" s="288" t="s">
        <v>433</v>
      </c>
      <c r="C206" s="380"/>
      <c r="D206" s="382"/>
      <c r="E206" s="382"/>
      <c r="F206" s="383"/>
    </row>
    <row r="207" spans="1:9" ht="27.75" customHeight="1">
      <c r="A207" s="22">
        <v>1</v>
      </c>
      <c r="B207" s="270" t="s">
        <v>438</v>
      </c>
      <c r="C207" s="380" t="s">
        <v>439</v>
      </c>
      <c r="D207" s="389" t="s">
        <v>1494</v>
      </c>
      <c r="E207" s="386" t="s">
        <v>1493</v>
      </c>
      <c r="F207" s="383">
        <v>1500</v>
      </c>
    </row>
    <row r="208" spans="1:9" ht="27.75" customHeight="1" thickBot="1">
      <c r="A208" s="193"/>
      <c r="B208" s="194" t="s">
        <v>22</v>
      </c>
      <c r="C208" s="195"/>
      <c r="D208" s="393">
        <v>0</v>
      </c>
      <c r="E208" s="393">
        <v>0</v>
      </c>
      <c r="F208" s="394">
        <v>1500</v>
      </c>
      <c r="H208" s="520">
        <f>SUM(F207)</f>
        <v>1500</v>
      </c>
    </row>
    <row r="209" spans="1:9" ht="27.75" customHeight="1" thickTop="1" thickBot="1">
      <c r="A209" s="414"/>
      <c r="B209" s="415"/>
      <c r="C209" s="416" t="s">
        <v>468</v>
      </c>
      <c r="D209" s="421"/>
      <c r="E209" s="421"/>
      <c r="F209" s="422">
        <v>861444.20000000007</v>
      </c>
      <c r="I209" s="521">
        <f>SUM(H23:H208)</f>
        <v>861444.20000000007</v>
      </c>
    </row>
    <row r="210" spans="1:9" ht="27.75" customHeight="1" thickTop="1">
      <c r="A210" s="426"/>
      <c r="B210" s="4"/>
      <c r="C210" s="295"/>
      <c r="D210" s="431"/>
      <c r="E210" s="432"/>
      <c r="F210" s="427"/>
    </row>
    <row r="211" spans="1:9" s="226" customFormat="1" ht="27.75" customHeight="1">
      <c r="A211" s="6"/>
      <c r="B211" s="500"/>
      <c r="D211" s="3"/>
      <c r="E211" s="372"/>
      <c r="F211" s="501"/>
    </row>
    <row r="212" spans="1:9" s="226" customFormat="1" ht="27.75" customHeight="1">
      <c r="A212" s="6"/>
      <c r="B212" s="500"/>
      <c r="D212" s="3"/>
      <c r="E212" s="372"/>
      <c r="F212" s="501"/>
    </row>
    <row r="213" spans="1:9" s="226" customFormat="1" ht="27.75" customHeight="1">
      <c r="A213" s="6"/>
      <c r="B213" s="500"/>
      <c r="D213" s="3"/>
      <c r="E213" s="372"/>
      <c r="F213" s="501"/>
    </row>
    <row r="214" spans="1:9" s="226" customFormat="1" ht="27.75" customHeight="1">
      <c r="A214" s="6"/>
      <c r="B214" s="500"/>
      <c r="D214" s="3"/>
      <c r="E214" s="372"/>
      <c r="F214" s="501"/>
    </row>
    <row r="215" spans="1:9" s="226" customFormat="1" ht="27.75" customHeight="1">
      <c r="A215" s="6"/>
      <c r="B215" s="500"/>
      <c r="D215" s="3"/>
      <c r="E215" s="372"/>
      <c r="F215" s="501"/>
    </row>
    <row r="216" spans="1:9" s="226" customFormat="1" ht="27.75" customHeight="1">
      <c r="A216" s="6"/>
      <c r="B216" s="500"/>
      <c r="D216" s="3"/>
      <c r="E216" s="372"/>
      <c r="F216" s="501"/>
    </row>
    <row r="217" spans="1:9" s="226" customFormat="1" ht="27.75" customHeight="1">
      <c r="A217" s="6"/>
      <c r="B217" s="500"/>
      <c r="D217" s="3"/>
      <c r="E217" s="372"/>
      <c r="F217" s="501"/>
    </row>
    <row r="218" spans="1:9" s="226" customFormat="1" ht="27.75" customHeight="1">
      <c r="A218" s="6"/>
      <c r="B218" s="500"/>
      <c r="D218" s="3"/>
      <c r="E218" s="372"/>
      <c r="F218" s="501"/>
    </row>
    <row r="219" spans="1:9" s="226" customFormat="1" ht="27.75" customHeight="1">
      <c r="A219" s="6"/>
      <c r="B219" s="500"/>
      <c r="D219" s="3"/>
      <c r="E219" s="372"/>
      <c r="F219" s="501"/>
    </row>
    <row r="220" spans="1:9" s="226" customFormat="1" ht="27.75" customHeight="1">
      <c r="A220" s="6"/>
      <c r="B220" s="500"/>
      <c r="D220" s="3"/>
      <c r="E220" s="372"/>
      <c r="F220" s="501"/>
    </row>
    <row r="221" spans="1:9" s="226" customFormat="1" ht="27.75" customHeight="1">
      <c r="A221" s="6"/>
      <c r="D221" s="3"/>
      <c r="E221" s="372"/>
      <c r="F221" s="501"/>
    </row>
    <row r="222" spans="1:9" ht="27.75" customHeight="1">
      <c r="B222" s="4"/>
      <c r="F222" s="4"/>
    </row>
    <row r="223" spans="1:9" ht="27.75" customHeight="1">
      <c r="B223" s="4"/>
      <c r="F223" s="4"/>
    </row>
    <row r="224" spans="1:9" ht="27.75" customHeight="1">
      <c r="B224" s="4"/>
      <c r="F224" s="4"/>
    </row>
    <row r="225" spans="2:6" ht="27.75" customHeight="1">
      <c r="B225" s="4"/>
      <c r="F225" s="4"/>
    </row>
    <row r="226" spans="2:6" ht="27.75" customHeight="1">
      <c r="B226" s="4"/>
      <c r="F226" s="4"/>
    </row>
    <row r="227" spans="2:6" ht="27.75" customHeight="1">
      <c r="B227" s="4"/>
      <c r="F227" s="4"/>
    </row>
    <row r="228" spans="2:6" ht="27.75" customHeight="1">
      <c r="B228" s="4"/>
      <c r="F228" s="4"/>
    </row>
    <row r="229" spans="2:6" ht="27.75" customHeight="1">
      <c r="B229" s="4"/>
      <c r="F229" s="4"/>
    </row>
    <row r="230" spans="2:6" ht="27.75" customHeight="1">
      <c r="B230" s="4"/>
      <c r="F230" s="4"/>
    </row>
    <row r="231" spans="2:6" ht="27.75" customHeight="1">
      <c r="B231" s="4"/>
      <c r="F231" s="4"/>
    </row>
    <row r="232" spans="2:6" ht="27.75" customHeight="1">
      <c r="B232" s="4"/>
      <c r="F232" s="4"/>
    </row>
    <row r="233" spans="2:6" ht="27.75" customHeight="1">
      <c r="B233" s="4"/>
      <c r="F233" s="4"/>
    </row>
    <row r="234" spans="2:6" ht="27.75" customHeight="1">
      <c r="B234" s="4"/>
      <c r="F234" s="4"/>
    </row>
    <row r="235" spans="2:6" ht="27.75" customHeight="1">
      <c r="B235" s="4"/>
      <c r="F235" s="4"/>
    </row>
    <row r="236" spans="2:6" ht="27.75" customHeight="1">
      <c r="B236" s="4"/>
      <c r="F236" s="4"/>
    </row>
    <row r="237" spans="2:6" ht="27.75" customHeight="1">
      <c r="B237" s="4"/>
      <c r="F237" s="4"/>
    </row>
    <row r="249" spans="2:6" ht="27.75" customHeight="1">
      <c r="B249" s="4"/>
      <c r="F249" s="4"/>
    </row>
    <row r="250" spans="2:6" ht="27.75" customHeight="1">
      <c r="B250" s="4"/>
      <c r="F250" s="4"/>
    </row>
    <row r="251" spans="2:6" ht="27.75" customHeight="1">
      <c r="B251" s="4"/>
      <c r="F251" s="4"/>
    </row>
    <row r="252" spans="2:6" ht="27.75" customHeight="1">
      <c r="B252" s="4"/>
      <c r="F252" s="4"/>
    </row>
    <row r="253" spans="2:6" ht="27.75" customHeight="1">
      <c r="B253" s="4"/>
      <c r="F253" s="4"/>
    </row>
    <row r="254" spans="2:6" ht="27.75" customHeight="1">
      <c r="B254" s="4"/>
      <c r="F254" s="4"/>
    </row>
    <row r="255" spans="2:6" ht="27.75" customHeight="1">
      <c r="B255" s="4"/>
      <c r="F255" s="4"/>
    </row>
    <row r="256" spans="2:6" ht="27.75" customHeight="1">
      <c r="B256" s="4"/>
      <c r="F256" s="4"/>
    </row>
    <row r="257" spans="2:6" ht="27.75" customHeight="1">
      <c r="B257" s="4"/>
      <c r="F257" s="4"/>
    </row>
    <row r="258" spans="2:6" ht="27.75" customHeight="1">
      <c r="B258" s="4"/>
      <c r="F258" s="4"/>
    </row>
    <row r="259" spans="2:6" ht="27.75" customHeight="1">
      <c r="B259" s="4"/>
      <c r="F259" s="4"/>
    </row>
    <row r="260" spans="2:6" ht="27.75" customHeight="1">
      <c r="B260" s="4"/>
      <c r="F260" s="4"/>
    </row>
    <row r="261" spans="2:6" ht="27.75" customHeight="1">
      <c r="B261" s="4"/>
      <c r="F261" s="4"/>
    </row>
  </sheetData>
  <mergeCells count="8">
    <mergeCell ref="A5:A6"/>
    <mergeCell ref="B5:B6"/>
    <mergeCell ref="C5:C6"/>
    <mergeCell ref="A1:F1"/>
    <mergeCell ref="A2:F2"/>
    <mergeCell ref="A3:F3"/>
    <mergeCell ref="E5:E6"/>
    <mergeCell ref="F5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3D050-4D69-426C-9B36-FF044B37F8CA}">
  <sheetPr>
    <tabColor rgb="FF00B0F0"/>
  </sheetPr>
  <dimension ref="A1:R165"/>
  <sheetViews>
    <sheetView zoomScale="60" zoomScaleNormal="60" workbookViewId="0">
      <pane ySplit="6" topLeftCell="A100" activePane="bottomLeft" state="frozen"/>
      <selection pane="bottomLeft" activeCell="G112" sqref="G112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6.88671875" style="552" customWidth="1"/>
    <col min="5" max="5" width="20" style="372" customWidth="1"/>
    <col min="6" max="6" width="9.109375" style="2" customWidth="1"/>
    <col min="7" max="7" width="23.6640625" style="507" customWidth="1"/>
    <col min="8" max="8" width="5.33203125" style="2" hidden="1" customWidth="1"/>
    <col min="9" max="9" width="9" style="508" hidden="1" customWidth="1"/>
    <col min="10" max="10" width="9.6640625" style="508" hidden="1" customWidth="1"/>
    <col min="11" max="11" width="10.88671875" style="512" hidden="1" customWidth="1"/>
    <col min="12" max="12" width="24.5546875" style="512" hidden="1" customWidth="1"/>
    <col min="13" max="14" width="8.88671875" style="4" hidden="1" customWidth="1"/>
    <col min="15" max="15" width="8.88671875" style="4"/>
    <col min="16" max="16" width="25.109375" style="4" customWidth="1"/>
    <col min="17" max="17" width="24.44140625" style="4" customWidth="1"/>
    <col min="18" max="18" width="21.6640625" style="4" customWidth="1"/>
    <col min="19" max="16384" width="8.88671875" style="4"/>
  </cols>
  <sheetData>
    <row r="1" spans="1:16" ht="28.5" customHeight="1">
      <c r="A1" s="653" t="s">
        <v>0</v>
      </c>
      <c r="B1" s="653"/>
      <c r="C1" s="653"/>
      <c r="D1" s="653"/>
      <c r="E1" s="653"/>
      <c r="F1" s="653"/>
      <c r="G1" s="653"/>
      <c r="I1" s="3"/>
      <c r="J1" s="3"/>
      <c r="K1" s="1"/>
      <c r="L1" s="1"/>
    </row>
    <row r="2" spans="1:16" ht="23.25" customHeight="1">
      <c r="A2" s="653" t="s">
        <v>1</v>
      </c>
      <c r="B2" s="653"/>
      <c r="C2" s="653"/>
      <c r="D2" s="653"/>
      <c r="E2" s="653"/>
      <c r="F2" s="653"/>
      <c r="G2" s="653"/>
      <c r="H2" s="5"/>
      <c r="I2" s="3"/>
      <c r="J2" s="3"/>
      <c r="K2" s="1"/>
      <c r="L2" s="1"/>
    </row>
    <row r="3" spans="1:16" ht="28.5" customHeight="1">
      <c r="A3" s="654" t="s">
        <v>1379</v>
      </c>
      <c r="B3" s="654"/>
      <c r="C3" s="654"/>
      <c r="D3" s="654"/>
      <c r="E3" s="654"/>
      <c r="F3" s="654"/>
      <c r="G3" s="654"/>
      <c r="I3" s="3"/>
      <c r="J3" s="3"/>
      <c r="K3" s="6"/>
      <c r="L3" s="6"/>
    </row>
    <row r="4" spans="1:16" ht="27.75" customHeight="1">
      <c r="A4" s="7"/>
      <c r="B4" s="8"/>
      <c r="C4" s="9"/>
      <c r="D4" s="522"/>
      <c r="E4" s="655" t="s">
        <v>5</v>
      </c>
      <c r="F4" s="656"/>
      <c r="G4" s="657"/>
      <c r="H4" s="658" t="s">
        <v>6</v>
      </c>
      <c r="I4" s="671" t="s">
        <v>7</v>
      </c>
      <c r="J4" s="671" t="s">
        <v>8</v>
      </c>
      <c r="K4" s="661" t="s">
        <v>9</v>
      </c>
      <c r="L4" s="661" t="s">
        <v>10</v>
      </c>
    </row>
    <row r="5" spans="1:16" ht="27.75" customHeight="1">
      <c r="A5" s="664" t="s">
        <v>11</v>
      </c>
      <c r="B5" s="666" t="s">
        <v>12</v>
      </c>
      <c r="C5" s="666" t="s">
        <v>13</v>
      </c>
      <c r="D5" s="523" t="s">
        <v>557</v>
      </c>
      <c r="E5" s="664" t="s">
        <v>15</v>
      </c>
      <c r="F5" s="669" t="s">
        <v>16</v>
      </c>
      <c r="G5" s="514"/>
      <c r="H5" s="659"/>
      <c r="I5" s="672"/>
      <c r="J5" s="672"/>
      <c r="K5" s="662"/>
      <c r="L5" s="662"/>
    </row>
    <row r="6" spans="1:16" ht="27.75" customHeight="1" thickBot="1">
      <c r="A6" s="665"/>
      <c r="B6" s="667"/>
      <c r="C6" s="667"/>
      <c r="D6" s="524"/>
      <c r="E6" s="668"/>
      <c r="F6" s="670"/>
      <c r="G6" s="21" t="s">
        <v>22</v>
      </c>
      <c r="H6" s="660"/>
      <c r="I6" s="673"/>
      <c r="J6" s="673"/>
      <c r="K6" s="663"/>
      <c r="L6" s="663"/>
    </row>
    <row r="7" spans="1:16" ht="27.75" customHeight="1" thickTop="1">
      <c r="A7" s="22"/>
      <c r="B7" s="23" t="s">
        <v>23</v>
      </c>
      <c r="C7" s="24"/>
      <c r="D7" s="525"/>
      <c r="E7" s="32"/>
      <c r="F7" s="33"/>
      <c r="G7" s="35"/>
      <c r="H7" s="36"/>
      <c r="I7" s="37"/>
      <c r="J7" s="37"/>
      <c r="K7" s="38"/>
      <c r="L7" s="38"/>
      <c r="M7" s="38"/>
    </row>
    <row r="8" spans="1:16" s="57" customFormat="1" ht="27.75" customHeight="1">
      <c r="A8" s="39">
        <v>2</v>
      </c>
      <c r="B8" s="402" t="s">
        <v>28</v>
      </c>
      <c r="C8" s="606" t="s">
        <v>29</v>
      </c>
      <c r="D8" s="607">
        <v>4012.5</v>
      </c>
      <c r="E8" s="51"/>
      <c r="F8" s="52"/>
      <c r="G8" s="54"/>
      <c r="H8" s="39"/>
      <c r="I8" s="55"/>
      <c r="J8" s="55"/>
      <c r="K8" s="56"/>
      <c r="L8" s="56"/>
    </row>
    <row r="9" spans="1:16" s="57" customFormat="1" ht="27.75" customHeight="1">
      <c r="A9" s="39">
        <v>4</v>
      </c>
      <c r="B9" s="402" t="s">
        <v>34</v>
      </c>
      <c r="C9" s="606" t="s">
        <v>35</v>
      </c>
      <c r="D9" s="607">
        <v>4012.5</v>
      </c>
      <c r="E9" s="51"/>
      <c r="F9" s="52"/>
      <c r="G9" s="54"/>
      <c r="H9" s="39"/>
      <c r="I9" s="55"/>
      <c r="J9" s="55"/>
      <c r="K9" s="56"/>
      <c r="L9" s="56"/>
    </row>
    <row r="10" spans="1:16" s="57" customFormat="1" ht="27.75" customHeight="1">
      <c r="A10" s="39">
        <v>6</v>
      </c>
      <c r="B10" s="402" t="s">
        <v>34</v>
      </c>
      <c r="C10" s="606" t="s">
        <v>39</v>
      </c>
      <c r="D10" s="607">
        <v>4012.5</v>
      </c>
      <c r="E10" s="51"/>
      <c r="F10" s="52"/>
      <c r="G10" s="54"/>
      <c r="H10" s="39"/>
      <c r="I10" s="55"/>
      <c r="J10" s="55"/>
      <c r="K10" s="56"/>
      <c r="L10" s="56"/>
    </row>
    <row r="11" spans="1:16" s="57" customFormat="1" ht="35.25" customHeight="1" thickBot="1">
      <c r="A11" s="67"/>
      <c r="B11" s="68" t="s">
        <v>22</v>
      </c>
      <c r="C11" s="69"/>
      <c r="D11" s="527"/>
      <c r="E11" s="77"/>
      <c r="F11" s="78"/>
      <c r="G11" s="79">
        <v>0</v>
      </c>
      <c r="H11" s="79">
        <v>0</v>
      </c>
      <c r="I11" s="79">
        <v>0</v>
      </c>
      <c r="J11" s="79">
        <v>0</v>
      </c>
      <c r="K11" s="79">
        <v>0</v>
      </c>
      <c r="L11" s="79">
        <v>0</v>
      </c>
      <c r="M11" s="79">
        <v>0</v>
      </c>
      <c r="N11" s="79">
        <v>0</v>
      </c>
    </row>
    <row r="12" spans="1:16" s="91" customFormat="1" ht="27.75" customHeight="1" thickTop="1">
      <c r="A12" s="39">
        <v>1</v>
      </c>
      <c r="B12" s="608" t="s">
        <v>71</v>
      </c>
      <c r="C12" s="609" t="s">
        <v>72</v>
      </c>
      <c r="D12" s="610">
        <v>6687.5</v>
      </c>
      <c r="E12" s="87"/>
      <c r="F12" s="88"/>
      <c r="G12" s="519"/>
      <c r="H12" s="39"/>
      <c r="I12" s="55"/>
      <c r="J12" s="55"/>
      <c r="K12" s="58"/>
      <c r="L12" s="58"/>
    </row>
    <row r="13" spans="1:16" s="57" customFormat="1" ht="27.75" customHeight="1" thickBot="1">
      <c r="A13" s="96"/>
      <c r="B13" s="97" t="s">
        <v>22</v>
      </c>
      <c r="C13" s="98"/>
      <c r="D13" s="530"/>
      <c r="E13" s="106"/>
      <c r="F13" s="107"/>
      <c r="G13" s="109"/>
      <c r="H13" s="39"/>
      <c r="I13" s="55"/>
      <c r="J13" s="55"/>
      <c r="K13" s="56"/>
      <c r="L13" s="56"/>
    </row>
    <row r="14" spans="1:16" ht="27.75" customHeight="1" thickTop="1">
      <c r="A14" s="39">
        <v>1</v>
      </c>
      <c r="B14" s="402" t="s">
        <v>78</v>
      </c>
      <c r="C14" s="609" t="s">
        <v>72</v>
      </c>
      <c r="D14" s="610"/>
      <c r="E14" s="387" t="s">
        <v>1329</v>
      </c>
      <c r="F14" s="297">
        <v>1</v>
      </c>
      <c r="G14" s="90">
        <v>4577.8911214953259</v>
      </c>
      <c r="H14" s="39"/>
      <c r="I14" s="55"/>
      <c r="J14" s="55"/>
      <c r="K14" s="56"/>
      <c r="L14" s="56"/>
    </row>
    <row r="15" spans="1:16" ht="27.75" customHeight="1">
      <c r="A15" s="39">
        <v>2</v>
      </c>
      <c r="B15" s="402" t="s">
        <v>82</v>
      </c>
      <c r="C15" s="606" t="s">
        <v>72</v>
      </c>
      <c r="D15" s="538"/>
      <c r="E15" s="387" t="s">
        <v>1329</v>
      </c>
      <c r="F15" s="297">
        <v>1</v>
      </c>
      <c r="G15" s="90">
        <v>616.31813084112207</v>
      </c>
      <c r="H15" s="39"/>
      <c r="I15" s="55"/>
      <c r="J15" s="55"/>
      <c r="K15" s="56"/>
      <c r="L15" s="56"/>
    </row>
    <row r="16" spans="1:16" s="57" customFormat="1" ht="27.75" customHeight="1" thickBot="1">
      <c r="A16" s="96"/>
      <c r="B16" s="97" t="s">
        <v>22</v>
      </c>
      <c r="C16" s="98"/>
      <c r="D16" s="530"/>
      <c r="E16" s="106"/>
      <c r="F16" s="107"/>
      <c r="G16" s="108">
        <f>SUM(G14:G15)</f>
        <v>5194.2092523364481</v>
      </c>
      <c r="H16" s="39"/>
      <c r="I16" s="55"/>
      <c r="J16" s="55"/>
      <c r="K16" s="56"/>
      <c r="L16" s="56"/>
      <c r="P16" s="57">
        <f>SUM(G14:G15)</f>
        <v>5194.2092523364481</v>
      </c>
    </row>
    <row r="17" spans="1:13" ht="27.75" hidden="1" customHeight="1" thickBot="1">
      <c r="A17" s="39">
        <v>1</v>
      </c>
      <c r="B17" s="40" t="s">
        <v>88</v>
      </c>
      <c r="C17" s="41" t="s">
        <v>72</v>
      </c>
      <c r="D17" s="529"/>
      <c r="E17" s="94"/>
      <c r="F17" s="39"/>
      <c r="G17" s="54">
        <v>0</v>
      </c>
      <c r="H17" s="122"/>
      <c r="I17" s="37"/>
      <c r="J17" s="37"/>
      <c r="K17" s="38"/>
      <c r="L17" s="38"/>
    </row>
    <row r="18" spans="1:13" ht="27.75" hidden="1" customHeight="1" thickTop="1">
      <c r="A18" s="39">
        <v>2</v>
      </c>
      <c r="B18" s="40" t="s">
        <v>89</v>
      </c>
      <c r="C18" s="41" t="s">
        <v>72</v>
      </c>
      <c r="D18" s="529"/>
      <c r="E18" s="94"/>
      <c r="F18" s="39"/>
      <c r="G18" s="54">
        <v>0</v>
      </c>
      <c r="H18" s="122"/>
      <c r="I18" s="37"/>
      <c r="J18" s="37"/>
      <c r="K18" s="38"/>
      <c r="L18" s="38"/>
    </row>
    <row r="19" spans="1:13" ht="27.75" hidden="1" customHeight="1" thickTop="1">
      <c r="A19" s="39">
        <v>3</v>
      </c>
      <c r="B19" s="40" t="s">
        <v>90</v>
      </c>
      <c r="C19" s="41" t="s">
        <v>72</v>
      </c>
      <c r="D19" s="529"/>
      <c r="E19" s="94"/>
      <c r="F19" s="39"/>
      <c r="G19" s="54">
        <v>0</v>
      </c>
      <c r="H19" s="122"/>
      <c r="I19" s="37"/>
      <c r="J19" s="37"/>
      <c r="K19" s="38"/>
      <c r="L19" s="38"/>
    </row>
    <row r="20" spans="1:13" ht="27.75" hidden="1" customHeight="1" thickTop="1">
      <c r="A20" s="39">
        <v>4</v>
      </c>
      <c r="B20" s="40" t="s">
        <v>91</v>
      </c>
      <c r="C20" s="41" t="s">
        <v>72</v>
      </c>
      <c r="D20" s="529"/>
      <c r="E20" s="94"/>
      <c r="F20" s="39"/>
      <c r="G20" s="54">
        <v>0</v>
      </c>
      <c r="H20" s="122"/>
      <c r="I20" s="37"/>
      <c r="J20" s="37"/>
      <c r="K20" s="38"/>
      <c r="L20" s="38"/>
    </row>
    <row r="21" spans="1:13" ht="27.75" hidden="1" customHeight="1" thickTop="1">
      <c r="A21" s="39">
        <v>5</v>
      </c>
      <c r="B21" s="40" t="s">
        <v>92</v>
      </c>
      <c r="C21" s="41" t="s">
        <v>72</v>
      </c>
      <c r="D21" s="529"/>
      <c r="E21" s="94"/>
      <c r="F21" s="39"/>
      <c r="G21" s="54">
        <v>0</v>
      </c>
      <c r="H21" s="122"/>
      <c r="I21" s="37"/>
      <c r="J21" s="37"/>
      <c r="K21" s="38"/>
      <c r="L21" s="38"/>
    </row>
    <row r="22" spans="1:13" ht="27.75" hidden="1" customHeight="1" thickTop="1">
      <c r="A22" s="39">
        <v>6</v>
      </c>
      <c r="B22" s="123" t="s">
        <v>93</v>
      </c>
      <c r="C22" s="41" t="s">
        <v>72</v>
      </c>
      <c r="D22" s="529"/>
      <c r="E22" s="94"/>
      <c r="F22" s="39"/>
      <c r="G22" s="54">
        <v>0</v>
      </c>
      <c r="H22" s="122"/>
      <c r="I22" s="37"/>
      <c r="J22" s="37"/>
      <c r="K22" s="38"/>
      <c r="L22" s="38"/>
    </row>
    <row r="23" spans="1:13" ht="27.75" hidden="1" customHeight="1" thickTop="1">
      <c r="A23" s="39">
        <v>7</v>
      </c>
      <c r="B23" s="40" t="s">
        <v>94</v>
      </c>
      <c r="C23" s="41" t="s">
        <v>72</v>
      </c>
      <c r="D23" s="529"/>
      <c r="E23" s="94"/>
      <c r="F23" s="39"/>
      <c r="G23" s="54">
        <v>0</v>
      </c>
      <c r="H23" s="122"/>
      <c r="I23" s="37"/>
      <c r="J23" s="37"/>
      <c r="K23" s="38"/>
      <c r="L23" s="38"/>
    </row>
    <row r="24" spans="1:13" ht="27.75" hidden="1" customHeight="1" thickTop="1">
      <c r="A24" s="39">
        <v>8</v>
      </c>
      <c r="B24" s="40" t="s">
        <v>95</v>
      </c>
      <c r="C24" s="41" t="s">
        <v>72</v>
      </c>
      <c r="D24" s="529"/>
      <c r="E24" s="94"/>
      <c r="F24" s="39"/>
      <c r="G24" s="54">
        <v>0</v>
      </c>
      <c r="H24" s="122"/>
      <c r="I24" s="37"/>
      <c r="J24" s="37"/>
      <c r="K24" s="38"/>
      <c r="L24" s="38"/>
    </row>
    <row r="25" spans="1:13" ht="27.75" hidden="1" customHeight="1" thickTop="1">
      <c r="A25" s="39">
        <v>9</v>
      </c>
      <c r="B25" s="40" t="s">
        <v>96</v>
      </c>
      <c r="C25" s="41" t="s">
        <v>72</v>
      </c>
      <c r="D25" s="529"/>
      <c r="E25" s="94"/>
      <c r="F25" s="39"/>
      <c r="G25" s="54">
        <v>0</v>
      </c>
      <c r="H25" s="122"/>
      <c r="I25" s="37"/>
      <c r="J25" s="37"/>
      <c r="K25" s="38"/>
      <c r="L25" s="38"/>
    </row>
    <row r="26" spans="1:13" ht="27.75" hidden="1" customHeight="1" thickTop="1">
      <c r="A26" s="39">
        <v>10</v>
      </c>
      <c r="B26" s="40" t="s">
        <v>97</v>
      </c>
      <c r="C26" s="41" t="s">
        <v>72</v>
      </c>
      <c r="D26" s="529"/>
      <c r="E26" s="94"/>
      <c r="F26" s="39"/>
      <c r="G26" s="54">
        <v>0</v>
      </c>
      <c r="H26" s="122"/>
      <c r="I26" s="37"/>
      <c r="J26" s="37"/>
      <c r="K26" s="38"/>
      <c r="L26" s="38"/>
    </row>
    <row r="27" spans="1:13" ht="27.75" hidden="1" customHeight="1" thickTop="1">
      <c r="A27" s="39">
        <v>11</v>
      </c>
      <c r="B27" s="40" t="s">
        <v>98</v>
      </c>
      <c r="C27" s="41" t="s">
        <v>72</v>
      </c>
      <c r="D27" s="529"/>
      <c r="E27" s="94"/>
      <c r="F27" s="39"/>
      <c r="G27" s="54">
        <v>0</v>
      </c>
      <c r="H27" s="122"/>
      <c r="I27" s="37"/>
      <c r="J27" s="37"/>
      <c r="K27" s="38"/>
      <c r="L27" s="38"/>
    </row>
    <row r="28" spans="1:13" ht="27.75" hidden="1" customHeight="1" thickTop="1">
      <c r="A28" s="39">
        <v>12</v>
      </c>
      <c r="B28" s="40" t="s">
        <v>99</v>
      </c>
      <c r="C28" s="41" t="s">
        <v>72</v>
      </c>
      <c r="D28" s="529"/>
      <c r="E28" s="94"/>
      <c r="F28" s="39"/>
      <c r="G28" s="54">
        <v>0</v>
      </c>
      <c r="H28" s="122"/>
      <c r="I28" s="37"/>
      <c r="J28" s="37"/>
      <c r="K28" s="38"/>
      <c r="L28" s="38"/>
    </row>
    <row r="29" spans="1:13" ht="27.75" hidden="1" customHeight="1" thickTop="1">
      <c r="A29" s="39"/>
      <c r="B29" s="123"/>
      <c r="C29" s="41"/>
      <c r="D29" s="528"/>
      <c r="E29" s="83"/>
      <c r="F29" s="130"/>
      <c r="G29" s="54">
        <v>0</v>
      </c>
      <c r="H29" s="122"/>
      <c r="I29" s="37"/>
      <c r="J29" s="37"/>
      <c r="K29" s="38"/>
      <c r="L29" s="38"/>
    </row>
    <row r="30" spans="1:13" ht="27.75" hidden="1" customHeight="1" thickTop="1">
      <c r="A30" s="22"/>
      <c r="B30" s="131" t="s">
        <v>22</v>
      </c>
      <c r="C30" s="132"/>
      <c r="D30" s="531"/>
      <c r="E30" s="139"/>
      <c r="F30" s="133"/>
      <c r="G30" s="136">
        <v>0</v>
      </c>
      <c r="H30" s="36"/>
      <c r="I30" s="37"/>
      <c r="J30" s="37"/>
      <c r="K30" s="38"/>
      <c r="L30" s="38"/>
      <c r="M30" s="38"/>
    </row>
    <row r="31" spans="1:13" ht="27.75" customHeight="1" thickTop="1">
      <c r="A31" s="22"/>
      <c r="B31" s="23" t="s">
        <v>100</v>
      </c>
      <c r="C31" s="24"/>
      <c r="D31" s="525"/>
      <c r="E31" s="32"/>
      <c r="F31" s="33"/>
      <c r="G31" s="35"/>
      <c r="H31" s="36"/>
      <c r="I31" s="37"/>
      <c r="J31" s="37"/>
      <c r="K31" s="38"/>
      <c r="L31" s="38"/>
      <c r="M31" s="38"/>
    </row>
    <row r="32" spans="1:13" s="169" customFormat="1" ht="27.75" customHeight="1">
      <c r="A32" s="152">
        <v>1</v>
      </c>
      <c r="B32" s="615" t="s">
        <v>106</v>
      </c>
      <c r="C32" s="616" t="s">
        <v>102</v>
      </c>
      <c r="D32" s="617">
        <v>160.5</v>
      </c>
      <c r="E32" s="618"/>
      <c r="F32" s="297"/>
      <c r="G32" s="376"/>
      <c r="H32" s="166"/>
      <c r="I32" s="167"/>
      <c r="J32" s="167"/>
      <c r="K32" s="168"/>
      <c r="L32" s="168"/>
    </row>
    <row r="33" spans="1:16" s="57" customFormat="1" ht="27.75" customHeight="1">
      <c r="A33" s="152">
        <v>2</v>
      </c>
      <c r="B33" s="402" t="s">
        <v>126</v>
      </c>
      <c r="C33" s="616" t="s">
        <v>102</v>
      </c>
      <c r="D33" s="538">
        <v>642</v>
      </c>
      <c r="E33" s="387"/>
      <c r="F33" s="348"/>
      <c r="G33" s="376"/>
      <c r="H33" s="146"/>
      <c r="I33" s="148"/>
      <c r="J33" s="148"/>
      <c r="K33" s="149"/>
      <c r="L33" s="149"/>
    </row>
    <row r="34" spans="1:16" s="57" customFormat="1" ht="27.75" customHeight="1">
      <c r="A34" s="152">
        <v>3</v>
      </c>
      <c r="B34" s="402" t="s">
        <v>130</v>
      </c>
      <c r="C34" s="616" t="s">
        <v>102</v>
      </c>
      <c r="D34" s="538"/>
      <c r="E34" s="387" t="s">
        <v>1278</v>
      </c>
      <c r="F34" s="348">
        <v>1</v>
      </c>
      <c r="G34" s="376">
        <v>160.5</v>
      </c>
      <c r="H34" s="146"/>
      <c r="I34" s="148"/>
      <c r="J34" s="148"/>
      <c r="K34" s="149"/>
      <c r="L34" s="149"/>
    </row>
    <row r="35" spans="1:16" s="57" customFormat="1" ht="27.75" customHeight="1">
      <c r="A35" s="152">
        <v>4</v>
      </c>
      <c r="B35" s="619" t="s">
        <v>138</v>
      </c>
      <c r="C35" s="620" t="s">
        <v>139</v>
      </c>
      <c r="D35" s="621">
        <v>963</v>
      </c>
      <c r="E35" s="174"/>
      <c r="F35" s="374"/>
      <c r="G35" s="376"/>
      <c r="H35" s="146"/>
      <c r="I35" s="148"/>
      <c r="J35" s="148"/>
      <c r="K35" s="149"/>
      <c r="L35" s="149"/>
    </row>
    <row r="36" spans="1:16" s="57" customFormat="1" ht="27.75" customHeight="1">
      <c r="A36" s="152">
        <v>5</v>
      </c>
      <c r="B36" s="615" t="s">
        <v>153</v>
      </c>
      <c r="C36" s="616" t="s">
        <v>102</v>
      </c>
      <c r="D36" s="617">
        <v>963</v>
      </c>
      <c r="E36" s="174"/>
      <c r="F36" s="297"/>
      <c r="G36" s="376"/>
      <c r="H36" s="146"/>
      <c r="I36" s="148"/>
      <c r="J36" s="148"/>
      <c r="K36" s="149"/>
      <c r="L36" s="149"/>
    </row>
    <row r="37" spans="1:16" s="57" customFormat="1" ht="27.75" customHeight="1">
      <c r="A37" s="152">
        <v>6</v>
      </c>
      <c r="B37" s="615" t="s">
        <v>158</v>
      </c>
      <c r="C37" s="616" t="s">
        <v>102</v>
      </c>
      <c r="D37" s="617">
        <v>680</v>
      </c>
      <c r="E37" s="174"/>
      <c r="F37" s="297"/>
      <c r="G37" s="376"/>
      <c r="H37" s="146"/>
      <c r="I37" s="148"/>
      <c r="J37" s="148"/>
      <c r="K37" s="149"/>
      <c r="L37" s="149"/>
    </row>
    <row r="38" spans="1:16" ht="27.75" customHeight="1" thickBot="1">
      <c r="A38" s="193"/>
      <c r="B38" s="194" t="s">
        <v>22</v>
      </c>
      <c r="C38" s="195"/>
      <c r="D38" s="535"/>
      <c r="E38" s="200"/>
      <c r="F38" s="196"/>
      <c r="G38" s="198">
        <v>160.50000000000023</v>
      </c>
      <c r="H38" s="36"/>
      <c r="I38" s="37"/>
      <c r="J38" s="37"/>
      <c r="K38" s="38"/>
      <c r="L38" s="38"/>
      <c r="M38" s="38"/>
      <c r="P38" s="507">
        <f>SUM(G32:G37)</f>
        <v>160.5</v>
      </c>
    </row>
    <row r="39" spans="1:16" ht="27.75" customHeight="1" thickTop="1">
      <c r="A39" s="22"/>
      <c r="B39" s="23" t="s">
        <v>179</v>
      </c>
      <c r="C39" s="24"/>
      <c r="D39" s="525"/>
      <c r="E39" s="32"/>
      <c r="F39" s="33"/>
      <c r="G39" s="35"/>
      <c r="H39" s="36"/>
      <c r="I39" s="37"/>
      <c r="J39" s="37"/>
      <c r="K39" s="38"/>
      <c r="L39" s="38"/>
      <c r="M39" s="38"/>
    </row>
    <row r="40" spans="1:16" ht="27.75" customHeight="1">
      <c r="A40" s="94">
        <v>1</v>
      </c>
      <c r="B40" s="402" t="s">
        <v>180</v>
      </c>
      <c r="C40" s="606" t="s">
        <v>181</v>
      </c>
      <c r="D40" s="610"/>
      <c r="E40" s="87" t="s">
        <v>1329</v>
      </c>
      <c r="F40" s="348">
        <v>1</v>
      </c>
      <c r="G40" s="376">
        <v>481.49532710280374</v>
      </c>
      <c r="H40" s="116"/>
      <c r="I40" s="203"/>
      <c r="J40" s="203"/>
      <c r="K40" s="204"/>
      <c r="L40" s="204"/>
    </row>
    <row r="41" spans="1:16" s="220" customFormat="1" ht="27.75" customHeight="1">
      <c r="A41" s="186">
        <v>2</v>
      </c>
      <c r="B41" s="611" t="s">
        <v>71</v>
      </c>
      <c r="C41" s="612" t="s">
        <v>181</v>
      </c>
      <c r="D41" s="613">
        <v>1337.5</v>
      </c>
      <c r="E41" s="216"/>
      <c r="F41" s="614"/>
      <c r="G41" s="376"/>
      <c r="H41" s="217"/>
      <c r="I41" s="218"/>
      <c r="J41" s="218"/>
      <c r="K41" s="219"/>
      <c r="L41" s="219"/>
    </row>
    <row r="42" spans="1:16" ht="27.75" customHeight="1" thickBot="1">
      <c r="A42" s="193"/>
      <c r="B42" s="194" t="s">
        <v>22</v>
      </c>
      <c r="C42" s="195"/>
      <c r="D42" s="535"/>
      <c r="E42" s="200"/>
      <c r="F42" s="196"/>
      <c r="G42" s="198">
        <v>481.5</v>
      </c>
      <c r="H42" s="36"/>
      <c r="I42" s="37"/>
      <c r="J42" s="37"/>
      <c r="K42" s="38"/>
      <c r="L42" s="38"/>
      <c r="M42" s="38"/>
      <c r="P42" s="507">
        <f>SUM(G40)</f>
        <v>481.49532710280374</v>
      </c>
    </row>
    <row r="43" spans="1:16" ht="27.75" customHeight="1" thickTop="1">
      <c r="A43" s="22"/>
      <c r="B43" s="23" t="s">
        <v>196</v>
      </c>
      <c r="C43" s="24"/>
      <c r="D43" s="525"/>
      <c r="E43" s="32"/>
      <c r="F43" s="33"/>
      <c r="G43" s="35"/>
      <c r="H43" s="36"/>
      <c r="I43" s="37"/>
      <c r="J43" s="37"/>
      <c r="K43" s="38"/>
      <c r="L43" s="38"/>
      <c r="M43" s="38"/>
    </row>
    <row r="44" spans="1:16" s="226" customFormat="1" ht="27.75" customHeight="1">
      <c r="A44" s="186">
        <v>1</v>
      </c>
      <c r="B44" s="622" t="s">
        <v>90</v>
      </c>
      <c r="C44" s="623" t="s">
        <v>246</v>
      </c>
      <c r="D44" s="624"/>
      <c r="E44" s="625" t="s">
        <v>1329</v>
      </c>
      <c r="F44" s="297">
        <v>0.93457943925233644</v>
      </c>
      <c r="G44" s="376">
        <v>22470</v>
      </c>
      <c r="H44" s="39"/>
      <c r="I44" s="55"/>
      <c r="J44" s="55"/>
      <c r="K44" s="56"/>
      <c r="L44" s="56"/>
    </row>
    <row r="45" spans="1:16" s="226" customFormat="1" ht="27.75" customHeight="1">
      <c r="A45" s="94">
        <v>2</v>
      </c>
      <c r="B45" s="606" t="s">
        <v>1350</v>
      </c>
      <c r="C45" s="623" t="s">
        <v>255</v>
      </c>
      <c r="D45" s="610"/>
      <c r="E45" s="87" t="s">
        <v>1329</v>
      </c>
      <c r="F45" s="297">
        <v>0.93457943925233611</v>
      </c>
      <c r="G45" s="376">
        <v>9630</v>
      </c>
      <c r="H45" s="39"/>
      <c r="I45" s="55"/>
      <c r="J45" s="55"/>
      <c r="K45" s="56"/>
      <c r="L45" s="56"/>
    </row>
    <row r="46" spans="1:16" s="226" customFormat="1" ht="27.75" customHeight="1">
      <c r="A46" s="94">
        <v>3</v>
      </c>
      <c r="B46" s="609" t="s">
        <v>267</v>
      </c>
      <c r="C46" s="623" t="s">
        <v>268</v>
      </c>
      <c r="D46" s="610"/>
      <c r="E46" s="87" t="s">
        <v>1329</v>
      </c>
      <c r="F46" s="297">
        <v>0.93457943925233578</v>
      </c>
      <c r="G46" s="376">
        <v>6420</v>
      </c>
      <c r="H46" s="39"/>
      <c r="I46" s="55"/>
      <c r="J46" s="55"/>
      <c r="K46" s="56"/>
      <c r="L46" s="56"/>
    </row>
    <row r="47" spans="1:16" ht="27.75" customHeight="1" thickBot="1">
      <c r="A47" s="22"/>
      <c r="B47" s="194" t="s">
        <v>22</v>
      </c>
      <c r="C47" s="195"/>
      <c r="D47" s="535"/>
      <c r="E47" s="200"/>
      <c r="F47" s="196"/>
      <c r="G47" s="196">
        <f>SUM(G44:G46)</f>
        <v>38520</v>
      </c>
      <c r="H47" s="36"/>
      <c r="I47" s="37"/>
      <c r="J47" s="37"/>
      <c r="K47" s="38"/>
      <c r="L47" s="38"/>
      <c r="M47" s="38"/>
      <c r="P47" s="507">
        <f>SUM(G44:G46)</f>
        <v>38520</v>
      </c>
    </row>
    <row r="48" spans="1:16" ht="27.75" hidden="1" customHeight="1" thickBot="1">
      <c r="A48" s="22"/>
      <c r="B48" s="23" t="s">
        <v>278</v>
      </c>
      <c r="C48" s="24"/>
      <c r="D48" s="525"/>
      <c r="E48" s="32"/>
      <c r="F48" s="33"/>
      <c r="G48" s="35"/>
      <c r="H48" s="36"/>
      <c r="I48" s="37"/>
      <c r="J48" s="37"/>
      <c r="K48" s="38"/>
      <c r="L48" s="38"/>
      <c r="M48" s="38"/>
    </row>
    <row r="49" spans="1:13" ht="27.75" hidden="1" customHeight="1" thickTop="1">
      <c r="A49" s="22">
        <v>1</v>
      </c>
      <c r="B49" s="270" t="s">
        <v>88</v>
      </c>
      <c r="C49" s="271" t="s">
        <v>279</v>
      </c>
      <c r="D49" s="537"/>
      <c r="E49" s="232"/>
      <c r="F49" s="251"/>
      <c r="G49" s="66">
        <v>0</v>
      </c>
      <c r="H49" s="278"/>
      <c r="I49" s="279"/>
      <c r="J49" s="37"/>
      <c r="K49" s="38"/>
      <c r="L49" s="38"/>
      <c r="M49" s="38"/>
    </row>
    <row r="50" spans="1:13" ht="27.75" hidden="1" customHeight="1" thickTop="1">
      <c r="A50" s="22">
        <v>2</v>
      </c>
      <c r="B50" s="280" t="s">
        <v>89</v>
      </c>
      <c r="C50" s="271" t="s">
        <v>279</v>
      </c>
      <c r="D50" s="533"/>
      <c r="E50" s="94"/>
      <c r="F50" s="39"/>
      <c r="G50" s="66">
        <v>0</v>
      </c>
      <c r="H50" s="278"/>
      <c r="I50" s="279"/>
      <c r="J50" s="37"/>
      <c r="K50" s="38"/>
      <c r="L50" s="38"/>
      <c r="M50" s="38"/>
    </row>
    <row r="51" spans="1:13" ht="27.75" hidden="1" customHeight="1" thickTop="1">
      <c r="A51" s="22">
        <v>3</v>
      </c>
      <c r="B51" s="270" t="s">
        <v>280</v>
      </c>
      <c r="C51" s="271" t="s">
        <v>279</v>
      </c>
      <c r="D51" s="533"/>
      <c r="E51" s="94"/>
      <c r="F51" s="39"/>
      <c r="G51" s="66">
        <v>0</v>
      </c>
      <c r="H51" s="278"/>
      <c r="I51" s="279"/>
      <c r="J51" s="37"/>
      <c r="K51" s="38"/>
      <c r="L51" s="38"/>
      <c r="M51" s="38"/>
    </row>
    <row r="52" spans="1:13" ht="27.75" hidden="1" customHeight="1" thickTop="1">
      <c r="A52" s="22">
        <v>4</v>
      </c>
      <c r="B52" s="280" t="s">
        <v>96</v>
      </c>
      <c r="C52" s="271" t="s">
        <v>279</v>
      </c>
      <c r="D52" s="533"/>
      <c r="E52" s="94"/>
      <c r="F52" s="39"/>
      <c r="G52" s="66">
        <v>0</v>
      </c>
      <c r="H52" s="283"/>
      <c r="I52" s="55"/>
      <c r="J52" s="37"/>
      <c r="K52" s="38"/>
      <c r="L52" s="38"/>
      <c r="M52" s="38"/>
    </row>
    <row r="53" spans="1:13" ht="27.75" hidden="1" customHeight="1" thickTop="1">
      <c r="A53" s="22">
        <v>5</v>
      </c>
      <c r="B53" s="280" t="s">
        <v>281</v>
      </c>
      <c r="C53" s="271" t="s">
        <v>279</v>
      </c>
      <c r="D53" s="533"/>
      <c r="E53" s="94"/>
      <c r="F53" s="39"/>
      <c r="G53" s="66">
        <v>0</v>
      </c>
      <c r="H53" s="283"/>
      <c r="I53" s="55"/>
      <c r="J53" s="37"/>
      <c r="K53" s="38"/>
      <c r="L53" s="38"/>
      <c r="M53" s="38"/>
    </row>
    <row r="54" spans="1:13" ht="27.75" hidden="1" customHeight="1" thickTop="1">
      <c r="A54" s="22">
        <v>6</v>
      </c>
      <c r="B54" s="280" t="s">
        <v>282</v>
      </c>
      <c r="C54" s="271" t="s">
        <v>279</v>
      </c>
      <c r="D54" s="533"/>
      <c r="E54" s="94"/>
      <c r="F54" s="39"/>
      <c r="G54" s="66">
        <v>0</v>
      </c>
      <c r="H54" s="283"/>
      <c r="I54" s="37"/>
      <c r="J54" s="37"/>
      <c r="K54" s="38"/>
      <c r="L54" s="38"/>
      <c r="M54" s="38"/>
    </row>
    <row r="55" spans="1:13" ht="27.75" hidden="1" customHeight="1" thickTop="1">
      <c r="A55" s="22">
        <v>7</v>
      </c>
      <c r="B55" s="280" t="s">
        <v>92</v>
      </c>
      <c r="C55" s="271" t="s">
        <v>279</v>
      </c>
      <c r="D55" s="533"/>
      <c r="E55" s="94"/>
      <c r="F55" s="39"/>
      <c r="G55" s="66">
        <v>0</v>
      </c>
      <c r="H55" s="283"/>
      <c r="I55" s="37"/>
      <c r="J55" s="37"/>
      <c r="K55" s="38"/>
      <c r="L55" s="38"/>
      <c r="M55" s="38"/>
    </row>
    <row r="56" spans="1:13" ht="27.75" hidden="1" customHeight="1" thickTop="1">
      <c r="A56" s="22">
        <v>8</v>
      </c>
      <c r="B56" s="280" t="s">
        <v>91</v>
      </c>
      <c r="C56" s="271" t="s">
        <v>279</v>
      </c>
      <c r="D56" s="533"/>
      <c r="E56" s="94"/>
      <c r="F56" s="39"/>
      <c r="G56" s="66">
        <v>0</v>
      </c>
      <c r="H56" s="283"/>
      <c r="I56" s="37"/>
      <c r="J56" s="37"/>
      <c r="K56" s="38"/>
      <c r="L56" s="38"/>
      <c r="M56" s="38"/>
    </row>
    <row r="57" spans="1:13" ht="27.75" hidden="1" customHeight="1" thickTop="1">
      <c r="A57" s="22">
        <v>9</v>
      </c>
      <c r="B57" s="280" t="s">
        <v>236</v>
      </c>
      <c r="C57" s="271" t="s">
        <v>279</v>
      </c>
      <c r="D57" s="533"/>
      <c r="E57" s="94"/>
      <c r="F57" s="39"/>
      <c r="G57" s="66">
        <v>0</v>
      </c>
      <c r="H57" s="283"/>
      <c r="I57" s="37"/>
      <c r="J57" s="37"/>
      <c r="K57" s="38"/>
      <c r="L57" s="38"/>
      <c r="M57" s="38"/>
    </row>
    <row r="58" spans="1:13" ht="27.75" hidden="1" customHeight="1" thickTop="1">
      <c r="A58" s="22">
        <v>10</v>
      </c>
      <c r="B58" s="280" t="s">
        <v>94</v>
      </c>
      <c r="C58" s="280" t="s">
        <v>279</v>
      </c>
      <c r="D58" s="529"/>
      <c r="E58" s="94"/>
      <c r="F58" s="39"/>
      <c r="G58" s="66">
        <v>0</v>
      </c>
      <c r="H58" s="36"/>
      <c r="I58" s="37"/>
      <c r="J58" s="37"/>
      <c r="K58" s="38"/>
      <c r="L58" s="38"/>
      <c r="M58" s="38"/>
    </row>
    <row r="59" spans="1:13" ht="27.75" hidden="1" customHeight="1" thickTop="1">
      <c r="A59" s="22">
        <v>11</v>
      </c>
      <c r="B59" s="270"/>
      <c r="C59" s="285"/>
      <c r="D59" s="537"/>
      <c r="E59" s="232"/>
      <c r="F59" s="251"/>
      <c r="G59" s="66">
        <v>0</v>
      </c>
      <c r="H59" s="36"/>
      <c r="I59" s="37"/>
      <c r="J59" s="37"/>
      <c r="K59" s="38"/>
      <c r="L59" s="38"/>
      <c r="M59" s="38"/>
    </row>
    <row r="60" spans="1:13" ht="27.75" hidden="1" customHeight="1" thickTop="1">
      <c r="A60" s="22"/>
      <c r="B60" s="131" t="s">
        <v>22</v>
      </c>
      <c r="C60" s="132"/>
      <c r="D60" s="531"/>
      <c r="E60" s="139"/>
      <c r="F60" s="133"/>
      <c r="G60" s="136">
        <v>0</v>
      </c>
      <c r="H60" s="36"/>
      <c r="I60" s="37"/>
      <c r="J60" s="37"/>
      <c r="K60" s="38"/>
      <c r="L60" s="38"/>
      <c r="M60" s="38"/>
    </row>
    <row r="61" spans="1:13" ht="27.75" customHeight="1" thickTop="1">
      <c r="A61" s="22"/>
      <c r="B61" s="23" t="s">
        <v>292</v>
      </c>
      <c r="C61" s="24"/>
      <c r="D61" s="525"/>
      <c r="E61" s="32"/>
      <c r="F61" s="33"/>
      <c r="G61" s="35"/>
      <c r="H61" s="36"/>
      <c r="I61" s="37"/>
      <c r="J61" s="37"/>
      <c r="K61" s="38"/>
      <c r="L61" s="38"/>
      <c r="M61" s="38"/>
    </row>
    <row r="62" spans="1:13" ht="27.75" customHeight="1">
      <c r="A62" s="316">
        <v>1</v>
      </c>
      <c r="B62" s="289" t="s">
        <v>249</v>
      </c>
      <c r="C62" s="289" t="s">
        <v>250</v>
      </c>
      <c r="D62" s="607"/>
      <c r="E62" s="626" t="s">
        <v>1329</v>
      </c>
      <c r="F62" s="348">
        <v>1</v>
      </c>
      <c r="G62" s="627">
        <v>74.900000000000063</v>
      </c>
      <c r="H62" s="36"/>
      <c r="I62" s="37"/>
      <c r="J62" s="37"/>
      <c r="K62" s="38"/>
      <c r="L62" s="38"/>
      <c r="M62" s="38"/>
    </row>
    <row r="63" spans="1:13" ht="27.75" customHeight="1">
      <c r="A63" s="316">
        <v>2</v>
      </c>
      <c r="B63" s="289" t="s">
        <v>294</v>
      </c>
      <c r="C63" s="289" t="s">
        <v>255</v>
      </c>
      <c r="D63" s="607"/>
      <c r="E63" s="626" t="s">
        <v>1329</v>
      </c>
      <c r="F63" s="348">
        <v>1</v>
      </c>
      <c r="G63" s="627">
        <v>96.300000000000011</v>
      </c>
      <c r="H63" s="36"/>
      <c r="I63" s="37"/>
      <c r="J63" s="37"/>
      <c r="K63" s="38"/>
      <c r="L63" s="38"/>
      <c r="M63" s="38"/>
    </row>
    <row r="64" spans="1:13" ht="27.75" customHeight="1">
      <c r="A64" s="22">
        <v>3</v>
      </c>
      <c r="B64" s="380" t="s">
        <v>298</v>
      </c>
      <c r="C64" s="380" t="s">
        <v>199</v>
      </c>
      <c r="D64" s="607"/>
      <c r="E64" s="628" t="s">
        <v>1329</v>
      </c>
      <c r="F64" s="629">
        <v>1</v>
      </c>
      <c r="G64" s="627">
        <v>21.4</v>
      </c>
      <c r="H64" s="36"/>
      <c r="I64" s="37"/>
      <c r="J64" s="37"/>
      <c r="K64" s="38"/>
      <c r="L64" s="38"/>
      <c r="M64" s="38"/>
    </row>
    <row r="65" spans="1:16" ht="27.75" customHeight="1">
      <c r="A65" s="22">
        <v>4</v>
      </c>
      <c r="B65" s="380" t="s">
        <v>156</v>
      </c>
      <c r="C65" s="380" t="s">
        <v>208</v>
      </c>
      <c r="D65" s="607"/>
      <c r="E65" s="628" t="s">
        <v>1329</v>
      </c>
      <c r="F65" s="629">
        <v>1</v>
      </c>
      <c r="G65" s="627">
        <v>117.7</v>
      </c>
      <c r="H65" s="36"/>
      <c r="I65" s="37"/>
      <c r="J65" s="37"/>
      <c r="K65" s="38"/>
      <c r="L65" s="38"/>
      <c r="M65" s="38"/>
    </row>
    <row r="66" spans="1:16" ht="27.75" customHeight="1">
      <c r="A66" s="22">
        <v>5</v>
      </c>
      <c r="B66" s="380" t="s">
        <v>273</v>
      </c>
      <c r="C66" s="380" t="s">
        <v>211</v>
      </c>
      <c r="D66" s="607"/>
      <c r="E66" s="628" t="s">
        <v>1329</v>
      </c>
      <c r="F66" s="629">
        <v>1</v>
      </c>
      <c r="G66" s="627">
        <v>42.8</v>
      </c>
      <c r="H66" s="36"/>
      <c r="I66" s="37"/>
      <c r="J66" s="37"/>
      <c r="K66" s="38"/>
      <c r="L66" s="38"/>
      <c r="M66" s="38"/>
    </row>
    <row r="67" spans="1:16" ht="27.75" customHeight="1" thickBot="1">
      <c r="A67" s="193"/>
      <c r="B67" s="194"/>
      <c r="C67" s="195"/>
      <c r="D67" s="535"/>
      <c r="E67" s="200"/>
      <c r="F67" s="196"/>
      <c r="G67" s="198">
        <v>353.10000000000008</v>
      </c>
      <c r="H67" s="36"/>
      <c r="I67" s="37"/>
      <c r="J67" s="37"/>
      <c r="K67" s="38"/>
      <c r="L67" s="38"/>
      <c r="M67" s="38"/>
      <c r="P67" s="507">
        <f>SUM(G62:G66)</f>
        <v>353.10000000000008</v>
      </c>
    </row>
    <row r="68" spans="1:16" ht="27.75" customHeight="1" thickTop="1">
      <c r="A68" s="22"/>
      <c r="B68" s="288" t="s">
        <v>304</v>
      </c>
      <c r="C68" s="289"/>
      <c r="D68" s="538"/>
      <c r="E68" s="94"/>
      <c r="F68" s="39"/>
      <c r="G68" s="294"/>
      <c r="H68" s="36"/>
      <c r="I68" s="37"/>
      <c r="J68" s="37"/>
      <c r="K68" s="38"/>
      <c r="L68" s="38"/>
      <c r="M68" s="38"/>
    </row>
    <row r="69" spans="1:16" ht="27.75" customHeight="1">
      <c r="A69" s="186">
        <v>1</v>
      </c>
      <c r="B69" s="396" t="s">
        <v>28</v>
      </c>
      <c r="C69" s="630" t="s">
        <v>311</v>
      </c>
      <c r="D69" s="631">
        <v>1410</v>
      </c>
      <c r="E69" s="94"/>
      <c r="F69" s="116"/>
      <c r="G69" s="47"/>
      <c r="H69" s="348" t="s">
        <v>195</v>
      </c>
      <c r="I69" s="299" t="s">
        <v>307</v>
      </c>
      <c r="J69" s="299" t="s">
        <v>308</v>
      </c>
      <c r="K69" s="56">
        <v>36600</v>
      </c>
      <c r="L69" s="349" t="s">
        <v>313</v>
      </c>
      <c r="M69" s="4" t="s">
        <v>314</v>
      </c>
      <c r="N69" s="295" t="s">
        <v>289</v>
      </c>
    </row>
    <row r="70" spans="1:16" ht="27.75" customHeight="1">
      <c r="A70" s="186">
        <v>2</v>
      </c>
      <c r="B70" s="396" t="s">
        <v>28</v>
      </c>
      <c r="C70" s="630" t="s">
        <v>315</v>
      </c>
      <c r="D70" s="631">
        <v>1410</v>
      </c>
      <c r="E70" s="94"/>
      <c r="F70" s="116"/>
      <c r="G70" s="47"/>
      <c r="H70" s="348"/>
      <c r="I70" s="299"/>
      <c r="J70" s="299"/>
      <c r="K70" s="56"/>
      <c r="L70" s="349"/>
      <c r="N70" s="295"/>
    </row>
    <row r="71" spans="1:16" ht="27.75" customHeight="1">
      <c r="A71" s="186">
        <v>3</v>
      </c>
      <c r="B71" s="396" t="s">
        <v>28</v>
      </c>
      <c r="C71" s="630" t="s">
        <v>320</v>
      </c>
      <c r="D71" s="631">
        <v>1410</v>
      </c>
      <c r="E71" s="94"/>
      <c r="F71" s="116"/>
      <c r="G71" s="47"/>
      <c r="H71" s="348"/>
      <c r="I71" s="299"/>
      <c r="J71" s="299"/>
      <c r="K71" s="56"/>
      <c r="L71" s="349"/>
      <c r="M71" s="295"/>
    </row>
    <row r="72" spans="1:16" ht="27.75" customHeight="1">
      <c r="A72" s="186">
        <v>4</v>
      </c>
      <c r="B72" s="396" t="s">
        <v>28</v>
      </c>
      <c r="C72" s="630" t="s">
        <v>321</v>
      </c>
      <c r="D72" s="631">
        <v>1410</v>
      </c>
      <c r="E72" s="94"/>
      <c r="F72" s="116"/>
      <c r="G72" s="47"/>
      <c r="H72" s="348"/>
      <c r="I72" s="299"/>
      <c r="J72" s="299"/>
      <c r="K72" s="56"/>
      <c r="L72" s="349"/>
      <c r="M72" s="295"/>
    </row>
    <row r="73" spans="1:16" ht="27.75" customHeight="1">
      <c r="A73" s="186">
        <v>5</v>
      </c>
      <c r="B73" s="396" t="s">
        <v>28</v>
      </c>
      <c r="C73" s="630" t="s">
        <v>322</v>
      </c>
      <c r="D73" s="631">
        <v>1410</v>
      </c>
      <c r="E73" s="94"/>
      <c r="F73" s="116"/>
      <c r="G73" s="47"/>
      <c r="H73" s="348"/>
      <c r="I73" s="299"/>
      <c r="J73" s="299"/>
      <c r="K73" s="56"/>
      <c r="L73" s="349"/>
      <c r="M73" s="295"/>
    </row>
    <row r="74" spans="1:16" ht="27.75" customHeight="1">
      <c r="A74" s="186">
        <v>6</v>
      </c>
      <c r="B74" s="396" t="s">
        <v>28</v>
      </c>
      <c r="C74" s="630" t="s">
        <v>323</v>
      </c>
      <c r="D74" s="631">
        <v>1410</v>
      </c>
      <c r="E74" s="94"/>
      <c r="F74" s="116"/>
      <c r="G74" s="47"/>
      <c r="H74" s="348"/>
      <c r="I74" s="299"/>
      <c r="J74" s="299"/>
      <c r="K74" s="56"/>
      <c r="L74" s="349"/>
      <c r="M74" s="295"/>
    </row>
    <row r="75" spans="1:16" ht="27.75" customHeight="1">
      <c r="A75" s="186">
        <v>7</v>
      </c>
      <c r="B75" s="396" t="s">
        <v>28</v>
      </c>
      <c r="C75" s="630" t="s">
        <v>324</v>
      </c>
      <c r="D75" s="631">
        <v>1410</v>
      </c>
      <c r="E75" s="94"/>
      <c r="F75" s="116"/>
      <c r="G75" s="47"/>
      <c r="H75" s="348"/>
      <c r="I75" s="299"/>
      <c r="J75" s="299"/>
      <c r="K75" s="56"/>
      <c r="L75" s="349"/>
      <c r="M75" s="295"/>
    </row>
    <row r="76" spans="1:16" ht="27.75" customHeight="1">
      <c r="A76" s="186">
        <v>8</v>
      </c>
      <c r="B76" s="396" t="s">
        <v>28</v>
      </c>
      <c r="C76" s="630" t="s">
        <v>333</v>
      </c>
      <c r="D76" s="631">
        <v>1410</v>
      </c>
      <c r="E76" s="94"/>
      <c r="F76" s="116"/>
      <c r="G76" s="47"/>
      <c r="H76" s="348"/>
      <c r="I76" s="299"/>
      <c r="J76" s="299"/>
      <c r="K76" s="56"/>
      <c r="L76" s="349"/>
      <c r="M76" s="295"/>
    </row>
    <row r="77" spans="1:16" ht="27.75" customHeight="1">
      <c r="A77" s="186">
        <v>9</v>
      </c>
      <c r="B77" s="396" t="s">
        <v>28</v>
      </c>
      <c r="C77" s="630" t="s">
        <v>334</v>
      </c>
      <c r="D77" s="631">
        <v>1410</v>
      </c>
      <c r="E77" s="94"/>
      <c r="F77" s="116"/>
      <c r="G77" s="47"/>
      <c r="H77" s="348"/>
      <c r="I77" s="299"/>
      <c r="J77" s="299"/>
      <c r="K77" s="56"/>
      <c r="L77" s="349"/>
      <c r="M77" s="295"/>
    </row>
    <row r="78" spans="1:16" ht="27.75" customHeight="1">
      <c r="A78" s="186">
        <v>10</v>
      </c>
      <c r="B78" s="396" t="s">
        <v>28</v>
      </c>
      <c r="C78" s="630" t="s">
        <v>335</v>
      </c>
      <c r="D78" s="631">
        <v>1410</v>
      </c>
      <c r="E78" s="94"/>
      <c r="F78" s="116"/>
      <c r="G78" s="47"/>
      <c r="H78" s="348"/>
      <c r="I78" s="299"/>
      <c r="J78" s="299"/>
      <c r="K78" s="56"/>
      <c r="L78" s="349"/>
      <c r="M78" s="295"/>
    </row>
    <row r="79" spans="1:16" ht="27.75" customHeight="1" thickBot="1">
      <c r="A79" s="357"/>
      <c r="B79" s="358"/>
      <c r="C79" s="359"/>
      <c r="D79" s="541"/>
      <c r="E79" s="106"/>
      <c r="F79" s="107"/>
      <c r="G79" s="363"/>
      <c r="H79" s="356"/>
      <c r="I79" s="55"/>
      <c r="J79" s="55"/>
      <c r="K79" s="56"/>
      <c r="L79" s="349"/>
    </row>
    <row r="80" spans="1:16" ht="27.75" customHeight="1" thickTop="1">
      <c r="A80" s="94"/>
      <c r="B80" s="364" t="s">
        <v>395</v>
      </c>
      <c r="C80" s="81"/>
      <c r="D80" s="528"/>
      <c r="E80" s="83"/>
      <c r="F80" s="251"/>
      <c r="G80" s="85"/>
      <c r="H80" s="39"/>
      <c r="I80" s="55"/>
      <c r="J80" s="55"/>
      <c r="K80" s="56"/>
      <c r="L80" s="56"/>
    </row>
    <row r="81" spans="1:18" ht="27.75" customHeight="1">
      <c r="A81" s="94">
        <v>1</v>
      </c>
      <c r="B81" s="632" t="s">
        <v>417</v>
      </c>
      <c r="C81" s="633" t="s">
        <v>418</v>
      </c>
      <c r="D81" s="634">
        <v>34054.370000000003</v>
      </c>
      <c r="E81" s="377"/>
      <c r="F81" s="116"/>
      <c r="G81" s="368"/>
      <c r="H81" s="39" t="s">
        <v>195</v>
      </c>
      <c r="I81" s="55">
        <v>40072</v>
      </c>
      <c r="J81" s="55">
        <v>41167</v>
      </c>
      <c r="K81" s="56">
        <v>132250</v>
      </c>
      <c r="L81" s="378" t="s">
        <v>420</v>
      </c>
    </row>
    <row r="82" spans="1:18" ht="27.75" customHeight="1">
      <c r="A82" s="94"/>
      <c r="B82" s="366" t="s">
        <v>409</v>
      </c>
      <c r="C82" s="379"/>
      <c r="D82" s="605"/>
      <c r="E82" s="94"/>
      <c r="F82" s="116"/>
      <c r="G82" s="368"/>
      <c r="H82" s="39"/>
      <c r="I82" s="55"/>
      <c r="J82" s="55"/>
      <c r="K82" s="56"/>
      <c r="L82" s="56"/>
    </row>
    <row r="83" spans="1:18" ht="27.75" customHeight="1" thickBot="1">
      <c r="A83" s="193"/>
      <c r="B83" s="194" t="s">
        <v>22</v>
      </c>
      <c r="C83" s="195"/>
      <c r="D83" s="535"/>
      <c r="E83" s="200"/>
      <c r="F83" s="196"/>
      <c r="G83" s="198">
        <v>0</v>
      </c>
      <c r="H83" s="36"/>
      <c r="I83" s="37"/>
      <c r="J83" s="37"/>
      <c r="K83" s="38"/>
      <c r="L83" s="38"/>
      <c r="M83" s="38"/>
    </row>
    <row r="84" spans="1:18" ht="27.75" customHeight="1" thickTop="1">
      <c r="A84" s="22"/>
      <c r="B84" s="288" t="s">
        <v>441</v>
      </c>
      <c r="C84" s="289"/>
      <c r="D84" s="538"/>
      <c r="E84" s="94"/>
      <c r="F84" s="39"/>
      <c r="G84" s="294"/>
      <c r="H84" s="36"/>
      <c r="I84" s="37"/>
      <c r="J84" s="37"/>
      <c r="K84" s="38"/>
      <c r="L84" s="38"/>
      <c r="M84" s="38"/>
    </row>
    <row r="85" spans="1:18" ht="27.75" customHeight="1">
      <c r="A85" s="94">
        <v>1</v>
      </c>
      <c r="B85" s="402" t="s">
        <v>442</v>
      </c>
      <c r="C85" s="622" t="s">
        <v>443</v>
      </c>
      <c r="D85" s="617">
        <v>296844</v>
      </c>
      <c r="E85" s="387"/>
      <c r="F85" s="116"/>
      <c r="G85" s="376"/>
      <c r="H85" s="39" t="s">
        <v>446</v>
      </c>
      <c r="I85" s="55">
        <v>43952</v>
      </c>
      <c r="J85" s="55">
        <v>44561</v>
      </c>
      <c r="K85" s="56">
        <v>1032500</v>
      </c>
      <c r="L85" s="56" t="s">
        <v>447</v>
      </c>
    </row>
    <row r="86" spans="1:18" ht="27.75" customHeight="1">
      <c r="A86" s="94"/>
      <c r="B86" s="396" t="s">
        <v>448</v>
      </c>
      <c r="C86" s="622" t="s">
        <v>449</v>
      </c>
      <c r="D86" s="617"/>
      <c r="E86" s="186"/>
      <c r="F86" s="116"/>
      <c r="G86" s="376"/>
      <c r="H86" s="297"/>
      <c r="I86" s="298"/>
      <c r="J86" s="298"/>
      <c r="K86" s="397"/>
      <c r="L86" s="397"/>
    </row>
    <row r="87" spans="1:18" ht="27.75" customHeight="1">
      <c r="A87" s="94"/>
      <c r="B87" s="396"/>
      <c r="C87" s="635" t="s">
        <v>450</v>
      </c>
      <c r="D87" s="636"/>
      <c r="E87" s="186"/>
      <c r="F87" s="116"/>
      <c r="G87" s="376"/>
      <c r="H87" s="297"/>
      <c r="I87" s="298"/>
      <c r="J87" s="298"/>
      <c r="K87" s="397"/>
      <c r="L87" s="397"/>
    </row>
    <row r="88" spans="1:18" ht="27.75" customHeight="1">
      <c r="A88" s="94">
        <v>2</v>
      </c>
      <c r="B88" s="396" t="s">
        <v>451</v>
      </c>
      <c r="C88" s="622" t="s">
        <v>452</v>
      </c>
      <c r="D88" s="607">
        <v>231161</v>
      </c>
      <c r="E88" s="399"/>
      <c r="F88" s="116"/>
      <c r="G88" s="368"/>
      <c r="H88" s="172" t="s">
        <v>456</v>
      </c>
      <c r="I88" s="400" t="s">
        <v>457</v>
      </c>
      <c r="J88" s="400" t="s">
        <v>458</v>
      </c>
      <c r="K88" s="401">
        <v>442600</v>
      </c>
      <c r="L88" s="401" t="s">
        <v>459</v>
      </c>
    </row>
    <row r="89" spans="1:18" ht="27.75" customHeight="1">
      <c r="A89" s="232"/>
      <c r="B89" s="402" t="s">
        <v>460</v>
      </c>
      <c r="C89" s="622" t="s">
        <v>461</v>
      </c>
      <c r="D89" s="617"/>
      <c r="E89" s="186"/>
      <c r="F89" s="116"/>
      <c r="G89" s="403"/>
      <c r="H89" s="172"/>
      <c r="I89" s="400"/>
      <c r="J89" s="400"/>
      <c r="K89" s="401"/>
      <c r="L89" s="401"/>
    </row>
    <row r="90" spans="1:18" ht="27.75" customHeight="1">
      <c r="A90" s="186"/>
      <c r="B90" s="637" t="s">
        <v>448</v>
      </c>
      <c r="C90" s="622" t="s">
        <v>462</v>
      </c>
      <c r="D90" s="617"/>
      <c r="E90" s="186"/>
      <c r="F90" s="116"/>
      <c r="G90" s="403"/>
      <c r="H90" s="146" t="s">
        <v>463</v>
      </c>
      <c r="I90" s="148" t="s">
        <v>464</v>
      </c>
      <c r="J90" s="148" t="s">
        <v>465</v>
      </c>
      <c r="K90" s="149">
        <v>46000</v>
      </c>
      <c r="L90" s="149" t="s">
        <v>466</v>
      </c>
      <c r="M90" s="295" t="s">
        <v>289</v>
      </c>
      <c r="N90" s="4" t="s">
        <v>467</v>
      </c>
    </row>
    <row r="91" spans="1:18" ht="27.75" customHeight="1">
      <c r="A91" s="405"/>
      <c r="B91" s="406" t="s">
        <v>22</v>
      </c>
      <c r="C91" s="407"/>
      <c r="D91" s="544"/>
      <c r="E91" s="412"/>
      <c r="F91" s="408"/>
      <c r="G91" s="239"/>
      <c r="H91" s="278"/>
      <c r="I91" s="279"/>
      <c r="J91" s="279"/>
      <c r="K91" s="413"/>
      <c r="L91" s="413"/>
      <c r="M91" s="413"/>
    </row>
    <row r="92" spans="1:18" ht="27.75" customHeight="1" thickBot="1">
      <c r="A92" s="414"/>
      <c r="B92" s="415"/>
      <c r="C92" s="416" t="s">
        <v>468</v>
      </c>
      <c r="D92" s="545"/>
      <c r="E92" s="423"/>
      <c r="F92" s="422"/>
      <c r="G92" s="420">
        <f>+G16+G38+G42+G47+G67</f>
        <v>44709.309252336447</v>
      </c>
      <c r="H92" s="424"/>
      <c r="I92" s="425"/>
      <c r="J92" s="425"/>
      <c r="K92" s="345"/>
      <c r="L92" s="345"/>
      <c r="M92" s="345"/>
      <c r="Q92" s="57">
        <f>SUM(P16:P90)+0.01</f>
        <v>44709.314579439255</v>
      </c>
      <c r="R92" s="4" t="s">
        <v>818</v>
      </c>
    </row>
    <row r="93" spans="1:18" ht="27.75" customHeight="1" thickTop="1">
      <c r="A93" s="426"/>
      <c r="B93" s="4"/>
      <c r="C93" s="295"/>
      <c r="D93" s="546"/>
      <c r="E93" s="433"/>
      <c r="F93" s="427"/>
      <c r="G93" s="430"/>
      <c r="H93" s="424"/>
      <c r="I93" s="425"/>
      <c r="J93" s="425"/>
      <c r="K93" s="345"/>
      <c r="L93" s="345"/>
      <c r="M93" s="345"/>
    </row>
    <row r="94" spans="1:18" ht="27.75" customHeight="1">
      <c r="A94" s="426"/>
      <c r="B94" s="434" t="s">
        <v>469</v>
      </c>
      <c r="C94" s="295"/>
      <c r="D94" s="546"/>
      <c r="E94" s="433"/>
      <c r="F94" s="427"/>
      <c r="G94" s="430"/>
      <c r="H94" s="424"/>
      <c r="I94" s="425"/>
      <c r="J94" s="425"/>
      <c r="K94" s="345"/>
      <c r="L94" s="345"/>
      <c r="M94" s="345"/>
    </row>
    <row r="95" spans="1:18" ht="27.75" customHeight="1">
      <c r="A95" s="435">
        <v>1</v>
      </c>
      <c r="B95" s="436" t="s">
        <v>470</v>
      </c>
      <c r="C95" s="437" t="s">
        <v>471</v>
      </c>
      <c r="D95" s="547"/>
      <c r="E95" s="435" t="s">
        <v>473</v>
      </c>
      <c r="F95" s="444">
        <v>21</v>
      </c>
      <c r="G95" s="17">
        <v>361288.35</v>
      </c>
      <c r="H95" s="251" t="s">
        <v>195</v>
      </c>
      <c r="I95" s="446">
        <v>41883</v>
      </c>
      <c r="J95" s="446">
        <v>42978</v>
      </c>
      <c r="K95" s="447">
        <v>90000</v>
      </c>
      <c r="L95" s="447" t="s">
        <v>474</v>
      </c>
    </row>
    <row r="96" spans="1:18" ht="27.75" customHeight="1">
      <c r="A96" s="435"/>
      <c r="B96" s="436" t="s">
        <v>476</v>
      </c>
      <c r="C96" s="437"/>
      <c r="D96" s="547"/>
      <c r="E96" s="435"/>
      <c r="F96" s="444"/>
      <c r="G96" s="17">
        <v>0</v>
      </c>
      <c r="H96" s="116"/>
      <c r="I96" s="203"/>
      <c r="J96" s="203"/>
      <c r="K96" s="204"/>
      <c r="L96" s="204"/>
    </row>
    <row r="97" spans="1:18" ht="27.75" customHeight="1">
      <c r="A97" s="435"/>
      <c r="B97" s="674" t="s">
        <v>477</v>
      </c>
      <c r="C97" s="675"/>
      <c r="D97" s="548"/>
      <c r="E97" s="435"/>
      <c r="F97" s="444"/>
      <c r="G97" s="17">
        <v>0</v>
      </c>
      <c r="H97" s="116"/>
      <c r="I97" s="203"/>
      <c r="J97" s="203"/>
      <c r="K97" s="204"/>
      <c r="L97" s="204"/>
    </row>
    <row r="98" spans="1:18" ht="27.75" customHeight="1">
      <c r="A98" s="435">
        <v>2</v>
      </c>
      <c r="B98" s="450" t="s">
        <v>470</v>
      </c>
      <c r="C98" s="451" t="s">
        <v>478</v>
      </c>
      <c r="D98" s="549"/>
      <c r="E98" s="435" t="s">
        <v>479</v>
      </c>
      <c r="F98" s="444">
        <v>6</v>
      </c>
      <c r="G98" s="17">
        <v>96700.72</v>
      </c>
      <c r="H98" s="116"/>
      <c r="I98" s="203"/>
      <c r="J98" s="203"/>
      <c r="K98" s="204"/>
      <c r="L98" s="204"/>
    </row>
    <row r="99" spans="1:18" ht="27.75" customHeight="1">
      <c r="A99" s="435">
        <v>3</v>
      </c>
      <c r="B99" s="450" t="s">
        <v>470</v>
      </c>
      <c r="C99" s="451" t="s">
        <v>480</v>
      </c>
      <c r="D99" s="549"/>
      <c r="E99" s="435" t="s">
        <v>481</v>
      </c>
      <c r="F99" s="444">
        <v>16</v>
      </c>
      <c r="G99" s="17">
        <v>285799.45</v>
      </c>
      <c r="H99" s="116"/>
      <c r="I99" s="203"/>
      <c r="J99" s="203"/>
      <c r="K99" s="204"/>
      <c r="L99" s="204"/>
    </row>
    <row r="100" spans="1:18" s="226" customFormat="1" ht="27.75" customHeight="1">
      <c r="A100" s="440">
        <v>4</v>
      </c>
      <c r="B100" s="436" t="s">
        <v>470</v>
      </c>
      <c r="C100" s="453" t="s">
        <v>482</v>
      </c>
      <c r="D100" s="547"/>
      <c r="E100" s="435" t="s">
        <v>483</v>
      </c>
      <c r="F100" s="448" t="s">
        <v>195</v>
      </c>
      <c r="G100" s="17">
        <v>57055.05</v>
      </c>
      <c r="H100" s="39"/>
      <c r="I100" s="55"/>
      <c r="J100" s="55"/>
      <c r="K100" s="141"/>
      <c r="L100" s="141"/>
    </row>
    <row r="101" spans="1:18" s="226" customFormat="1" ht="27.75" customHeight="1">
      <c r="A101" s="440"/>
      <c r="B101" s="676" t="s">
        <v>484</v>
      </c>
      <c r="C101" s="677"/>
      <c r="D101" s="549"/>
      <c r="E101" s="435"/>
      <c r="F101" s="448"/>
      <c r="G101" s="17">
        <v>0</v>
      </c>
      <c r="H101" s="122"/>
      <c r="I101" s="37"/>
      <c r="J101" s="37"/>
      <c r="K101" s="459"/>
      <c r="L101" s="459"/>
    </row>
    <row r="102" spans="1:18" ht="27.75" customHeight="1">
      <c r="A102" s="460">
        <v>5</v>
      </c>
      <c r="B102" s="436" t="s">
        <v>470</v>
      </c>
      <c r="C102" s="461" t="s">
        <v>485</v>
      </c>
      <c r="D102" s="550"/>
      <c r="E102" s="435" t="s">
        <v>486</v>
      </c>
      <c r="F102" s="464" t="s">
        <v>195</v>
      </c>
      <c r="G102" s="17">
        <v>28958.15</v>
      </c>
      <c r="H102" s="36"/>
      <c r="I102" s="37"/>
      <c r="J102" s="37"/>
      <c r="K102" s="38"/>
      <c r="L102" s="38"/>
      <c r="M102" s="38"/>
    </row>
    <row r="103" spans="1:18" ht="27.6" customHeight="1">
      <c r="A103" s="460"/>
      <c r="B103" s="436" t="s">
        <v>488</v>
      </c>
      <c r="C103" s="461"/>
      <c r="D103" s="550"/>
      <c r="E103" s="435"/>
      <c r="F103" s="444"/>
      <c r="G103" s="17"/>
      <c r="H103" s="36"/>
      <c r="I103" s="37"/>
      <c r="J103" s="37"/>
      <c r="K103" s="38"/>
      <c r="L103" s="38"/>
      <c r="M103" s="38"/>
    </row>
    <row r="104" spans="1:18" ht="27.6" customHeight="1">
      <c r="A104" s="460"/>
      <c r="B104" s="674" t="s">
        <v>489</v>
      </c>
      <c r="C104" s="675"/>
      <c r="D104" s="548"/>
      <c r="E104" s="435"/>
      <c r="F104" s="444"/>
      <c r="G104" s="17"/>
      <c r="H104" s="36"/>
      <c r="I104" s="37"/>
      <c r="J104" s="37"/>
      <c r="K104" s="38"/>
      <c r="L104" s="38"/>
      <c r="M104" s="38"/>
    </row>
    <row r="105" spans="1:18" ht="27.75" customHeight="1" thickBot="1">
      <c r="A105" s="465"/>
      <c r="B105" s="466" t="s">
        <v>22</v>
      </c>
      <c r="C105" s="195"/>
      <c r="D105" s="539"/>
      <c r="E105" s="315"/>
      <c r="F105" s="310"/>
      <c r="G105" s="313">
        <v>829801.72000000009</v>
      </c>
      <c r="H105" s="36"/>
      <c r="I105" s="37"/>
      <c r="J105" s="37"/>
      <c r="K105" s="38"/>
      <c r="L105" s="38"/>
      <c r="M105" s="38"/>
      <c r="Q105" s="507">
        <f>SUM(G95:G102)</f>
        <v>829801.72000000009</v>
      </c>
      <c r="R105" s="4" t="s">
        <v>469</v>
      </c>
    </row>
    <row r="106" spans="1:18" ht="27.75" customHeight="1" thickTop="1">
      <c r="A106" s="468"/>
      <c r="B106" s="469" t="s">
        <v>490</v>
      </c>
      <c r="C106" s="470"/>
      <c r="D106" s="543"/>
      <c r="E106" s="186"/>
      <c r="F106" s="116"/>
      <c r="G106" s="474"/>
      <c r="H106" s="36"/>
      <c r="I106" s="37"/>
      <c r="J106" s="37"/>
      <c r="K106" s="38"/>
      <c r="L106" s="38"/>
      <c r="M106" s="38"/>
    </row>
    <row r="107" spans="1:18" ht="27.75" customHeight="1">
      <c r="A107" s="475">
        <v>1</v>
      </c>
      <c r="B107" s="436" t="s">
        <v>491</v>
      </c>
      <c r="C107" s="437" t="s">
        <v>492</v>
      </c>
      <c r="D107" s="547"/>
      <c r="E107" s="435"/>
      <c r="F107" s="477"/>
      <c r="G107" s="481"/>
      <c r="H107" s="356"/>
      <c r="I107" s="482"/>
      <c r="J107" s="482"/>
      <c r="K107" s="483"/>
      <c r="L107" s="483"/>
    </row>
    <row r="108" spans="1:18" ht="27.75" customHeight="1">
      <c r="A108" s="475"/>
      <c r="B108" s="484" t="s">
        <v>494</v>
      </c>
      <c r="C108" s="437"/>
      <c r="D108" s="547"/>
      <c r="E108" s="435"/>
      <c r="F108" s="477"/>
      <c r="G108" s="481"/>
      <c r="H108" s="485"/>
      <c r="I108" s="486"/>
      <c r="J108" s="486"/>
      <c r="K108" s="487"/>
      <c r="L108" s="487"/>
    </row>
    <row r="109" spans="1:18" ht="27.75" customHeight="1">
      <c r="A109" s="475">
        <v>2</v>
      </c>
      <c r="B109" s="436" t="s">
        <v>495</v>
      </c>
      <c r="C109" s="437" t="s">
        <v>496</v>
      </c>
      <c r="D109" s="547"/>
      <c r="E109" s="435"/>
      <c r="F109" s="477" t="s">
        <v>497</v>
      </c>
      <c r="G109" s="17">
        <v>8214529.25</v>
      </c>
      <c r="H109" s="485"/>
      <c r="I109" s="486"/>
      <c r="J109" s="486"/>
      <c r="K109" s="487"/>
      <c r="L109" s="487"/>
    </row>
    <row r="110" spans="1:18" ht="27.75" customHeight="1">
      <c r="A110" s="405"/>
      <c r="B110" s="234" t="s">
        <v>22</v>
      </c>
      <c r="C110" s="407"/>
      <c r="D110" s="544"/>
      <c r="E110" s="412"/>
      <c r="F110" s="408"/>
      <c r="G110" s="239">
        <v>8214529.25</v>
      </c>
      <c r="H110" s="278"/>
      <c r="I110" s="279"/>
      <c r="J110" s="279"/>
      <c r="K110" s="413"/>
      <c r="L110" s="413"/>
      <c r="M110" s="413"/>
      <c r="Q110" s="507">
        <f>SUM(G109)</f>
        <v>8214529.25</v>
      </c>
      <c r="R110" s="4" t="s">
        <v>490</v>
      </c>
    </row>
    <row r="111" spans="1:18" ht="27.75" customHeight="1">
      <c r="A111" s="426"/>
      <c r="B111" s="4"/>
      <c r="C111" s="295"/>
      <c r="D111" s="546"/>
      <c r="E111" s="433"/>
      <c r="F111" s="427"/>
      <c r="G111" s="430"/>
      <c r="H111" s="424"/>
      <c r="I111" s="425"/>
      <c r="J111" s="425"/>
      <c r="K111" s="345"/>
      <c r="L111" s="345"/>
      <c r="M111" s="345"/>
    </row>
    <row r="112" spans="1:18" ht="27.75" customHeight="1" thickBot="1">
      <c r="A112" s="488"/>
      <c r="B112" s="489" t="s">
        <v>498</v>
      </c>
      <c r="C112" s="490"/>
      <c r="D112" s="551"/>
      <c r="E112" s="495"/>
      <c r="F112" s="496"/>
      <c r="G112" s="493">
        <f>9089040.27925234-0.01</f>
        <v>9089040.2692523394</v>
      </c>
      <c r="H112" s="497">
        <v>0</v>
      </c>
      <c r="I112" s="497">
        <v>0</v>
      </c>
      <c r="J112" s="498"/>
      <c r="K112" s="499"/>
      <c r="L112" s="499"/>
      <c r="M112" s="499"/>
      <c r="Q112" s="561">
        <f>SUM(Q91:Q110)-0.01</f>
        <v>9089040.2745794393</v>
      </c>
    </row>
    <row r="113" spans="1:16" s="226" customFormat="1" ht="27.75" customHeight="1" thickTop="1">
      <c r="A113" s="6"/>
      <c r="B113" s="500"/>
      <c r="D113" s="552"/>
      <c r="E113" s="372"/>
      <c r="F113" s="501"/>
      <c r="G113" s="504"/>
      <c r="H113" s="2"/>
      <c r="I113" s="425"/>
      <c r="J113" s="425"/>
      <c r="K113" s="345"/>
      <c r="L113" s="345"/>
    </row>
    <row r="114" spans="1:16" s="226" customFormat="1" ht="27.75" customHeight="1">
      <c r="A114" s="6"/>
      <c r="B114" s="500"/>
      <c r="D114" s="552"/>
      <c r="E114" s="372"/>
      <c r="F114" s="501"/>
      <c r="G114" s="504"/>
      <c r="H114" s="2"/>
      <c r="I114" s="425"/>
      <c r="J114" s="425"/>
      <c r="K114" s="345"/>
      <c r="L114" s="345"/>
    </row>
    <row r="115" spans="1:16" s="226" customFormat="1" ht="27.75" customHeight="1">
      <c r="A115" s="6"/>
      <c r="B115" s="500"/>
      <c r="D115" s="552"/>
      <c r="E115" s="372"/>
      <c r="F115" s="501"/>
      <c r="G115" s="430"/>
      <c r="H115" s="2"/>
      <c r="I115" s="425"/>
      <c r="J115" s="425"/>
      <c r="K115" s="345"/>
      <c r="L115" s="345"/>
      <c r="P115" s="226">
        <f>+G92+G105+G110</f>
        <v>9089040.2792523373</v>
      </c>
    </row>
    <row r="116" spans="1:16" s="226" customFormat="1" ht="27.75" customHeight="1">
      <c r="A116" s="6"/>
      <c r="B116" s="500"/>
      <c r="D116" s="552"/>
      <c r="E116" s="372"/>
      <c r="F116" s="501"/>
      <c r="G116" s="504"/>
      <c r="H116" s="2"/>
      <c r="I116" s="425"/>
      <c r="J116" s="425"/>
      <c r="K116" s="345"/>
      <c r="L116" s="345"/>
    </row>
    <row r="117" spans="1:16" s="226" customFormat="1" ht="27.75" customHeight="1">
      <c r="A117" s="6"/>
      <c r="B117" s="500"/>
      <c r="D117" s="552"/>
      <c r="E117" s="372"/>
      <c r="F117" s="501"/>
      <c r="G117" s="504"/>
      <c r="H117" s="2"/>
      <c r="I117" s="425"/>
      <c r="J117" s="425"/>
      <c r="K117" s="345"/>
      <c r="L117" s="345"/>
    </row>
    <row r="118" spans="1:16" s="226" customFormat="1" ht="27.75" customHeight="1">
      <c r="A118" s="6"/>
      <c r="B118" s="500"/>
      <c r="D118" s="552"/>
      <c r="E118" s="372"/>
      <c r="F118" s="501"/>
      <c r="G118" s="504"/>
      <c r="H118" s="2"/>
      <c r="I118" s="425"/>
      <c r="J118" s="425"/>
      <c r="K118" s="345"/>
      <c r="L118" s="345"/>
    </row>
    <row r="119" spans="1:16" s="226" customFormat="1" ht="27.75" customHeight="1">
      <c r="A119" s="6"/>
      <c r="B119" s="500"/>
      <c r="D119" s="552"/>
      <c r="E119" s="372"/>
      <c r="F119" s="501"/>
      <c r="G119" s="504"/>
      <c r="H119" s="2"/>
      <c r="I119" s="425"/>
      <c r="J119" s="425"/>
      <c r="K119" s="345"/>
      <c r="L119" s="345"/>
    </row>
    <row r="120" spans="1:16" s="226" customFormat="1" ht="27.75" customHeight="1">
      <c r="A120" s="6"/>
      <c r="B120" s="500"/>
      <c r="D120" s="552"/>
      <c r="E120" s="372"/>
      <c r="F120" s="501"/>
      <c r="G120" s="504"/>
      <c r="H120" s="2"/>
      <c r="I120" s="425"/>
      <c r="J120" s="425"/>
      <c r="K120" s="345"/>
      <c r="L120" s="345"/>
    </row>
    <row r="121" spans="1:16" s="226" customFormat="1" ht="27.75" customHeight="1">
      <c r="A121" s="6"/>
      <c r="B121" s="500"/>
      <c r="D121" s="552"/>
      <c r="E121" s="372"/>
      <c r="F121" s="501"/>
      <c r="G121" s="504"/>
      <c r="H121" s="2"/>
      <c r="I121" s="425"/>
      <c r="J121" s="425"/>
      <c r="K121" s="345"/>
      <c r="L121" s="345"/>
    </row>
    <row r="122" spans="1:16" s="226" customFormat="1" ht="27.75" customHeight="1">
      <c r="A122" s="6"/>
      <c r="B122" s="500"/>
      <c r="D122" s="552"/>
      <c r="E122" s="372"/>
      <c r="F122" s="501"/>
      <c r="G122" s="504"/>
      <c r="H122" s="2"/>
      <c r="I122" s="425"/>
      <c r="J122" s="425"/>
      <c r="K122" s="345"/>
      <c r="L122" s="345"/>
    </row>
    <row r="123" spans="1:16" s="226" customFormat="1" ht="27.75" customHeight="1">
      <c r="A123" s="6"/>
      <c r="B123" s="500"/>
      <c r="D123" s="552"/>
      <c r="E123" s="372"/>
      <c r="F123" s="501"/>
      <c r="G123" s="504"/>
      <c r="H123" s="2"/>
      <c r="I123" s="425"/>
      <c r="J123" s="425"/>
      <c r="K123" s="345"/>
      <c r="L123" s="345"/>
    </row>
    <row r="124" spans="1:16" s="226" customFormat="1" ht="27.75" customHeight="1">
      <c r="A124" s="6"/>
      <c r="B124" s="500"/>
      <c r="D124" s="552"/>
      <c r="E124" s="372"/>
      <c r="F124" s="501"/>
      <c r="G124" s="504"/>
      <c r="H124" s="2"/>
      <c r="I124" s="425"/>
      <c r="J124" s="425"/>
      <c r="K124" s="345"/>
      <c r="L124" s="345"/>
    </row>
    <row r="125" spans="1:16" s="226" customFormat="1" ht="27.75" customHeight="1">
      <c r="A125" s="6"/>
      <c r="D125" s="552"/>
      <c r="E125" s="372"/>
      <c r="F125" s="501"/>
      <c r="G125" s="504"/>
      <c r="H125" s="2"/>
      <c r="I125" s="425"/>
      <c r="J125" s="425"/>
      <c r="K125" s="345"/>
      <c r="L125" s="345"/>
    </row>
    <row r="126" spans="1:16" ht="27.75" customHeight="1">
      <c r="B126" s="4"/>
      <c r="F126" s="4"/>
      <c r="K126" s="4"/>
      <c r="L126" s="4"/>
    </row>
    <row r="127" spans="1:16" ht="27.75" customHeight="1">
      <c r="B127" s="4"/>
      <c r="F127" s="4"/>
      <c r="K127" s="4"/>
      <c r="L127" s="4"/>
    </row>
    <row r="128" spans="1:16" ht="27.75" customHeight="1">
      <c r="B128" s="4"/>
      <c r="F128" s="4"/>
      <c r="K128" s="4"/>
      <c r="L128" s="4"/>
    </row>
    <row r="129" spans="2:12" ht="27.75" customHeight="1">
      <c r="B129" s="4"/>
      <c r="F129" s="4"/>
      <c r="K129" s="4"/>
      <c r="L129" s="4"/>
    </row>
    <row r="130" spans="2:12" ht="27.75" customHeight="1">
      <c r="B130" s="4"/>
      <c r="F130" s="4"/>
      <c r="K130" s="4"/>
      <c r="L130" s="4"/>
    </row>
    <row r="131" spans="2:12" ht="27.75" customHeight="1">
      <c r="B131" s="4"/>
      <c r="F131" s="4"/>
      <c r="K131" s="4"/>
      <c r="L131" s="4"/>
    </row>
    <row r="132" spans="2:12" ht="27.75" customHeight="1">
      <c r="B132" s="4"/>
      <c r="F132" s="4"/>
      <c r="K132" s="4"/>
      <c r="L132" s="4"/>
    </row>
    <row r="133" spans="2:12" ht="27.75" customHeight="1">
      <c r="B133" s="4"/>
      <c r="F133" s="4"/>
      <c r="K133" s="4"/>
      <c r="L133" s="4"/>
    </row>
    <row r="134" spans="2:12" ht="27.75" customHeight="1">
      <c r="B134" s="4"/>
      <c r="F134" s="4"/>
      <c r="K134" s="4"/>
      <c r="L134" s="4"/>
    </row>
    <row r="135" spans="2:12" ht="27.75" customHeight="1">
      <c r="B135" s="4"/>
      <c r="F135" s="4"/>
      <c r="K135" s="4"/>
      <c r="L135" s="4"/>
    </row>
    <row r="136" spans="2:12" ht="27.75" customHeight="1">
      <c r="B136" s="4"/>
      <c r="F136" s="4"/>
      <c r="K136" s="4"/>
      <c r="L136" s="4"/>
    </row>
    <row r="137" spans="2:12" ht="27.75" customHeight="1">
      <c r="B137" s="4"/>
      <c r="F137" s="4"/>
      <c r="K137" s="4"/>
      <c r="L137" s="4"/>
    </row>
    <row r="138" spans="2:12" ht="27.75" customHeight="1">
      <c r="B138" s="4"/>
      <c r="F138" s="4"/>
      <c r="K138" s="4"/>
      <c r="L138" s="4"/>
    </row>
    <row r="139" spans="2:12" ht="27.75" customHeight="1">
      <c r="B139" s="4"/>
      <c r="F139" s="4"/>
      <c r="K139" s="4"/>
      <c r="L139" s="4"/>
    </row>
    <row r="140" spans="2:12" ht="27.75" customHeight="1">
      <c r="B140" s="4"/>
      <c r="F140" s="4"/>
      <c r="K140" s="4"/>
      <c r="L140" s="4"/>
    </row>
    <row r="141" spans="2:12" ht="27.75" customHeight="1">
      <c r="B141" s="4"/>
      <c r="F141" s="4"/>
      <c r="K141" s="4"/>
      <c r="L141" s="4"/>
    </row>
    <row r="153" spans="4:7" s="4" customFormat="1" ht="27.75" customHeight="1">
      <c r="D153" s="552"/>
      <c r="E153" s="372"/>
      <c r="G153" s="507"/>
    </row>
    <row r="154" spans="4:7" s="4" customFormat="1" ht="27.75" customHeight="1">
      <c r="D154" s="552"/>
      <c r="E154" s="372"/>
      <c r="G154" s="507"/>
    </row>
    <row r="155" spans="4:7" s="4" customFormat="1" ht="27.75" customHeight="1">
      <c r="D155" s="552"/>
      <c r="E155" s="372"/>
      <c r="G155" s="507"/>
    </row>
    <row r="156" spans="4:7" s="4" customFormat="1" ht="27.75" customHeight="1">
      <c r="D156" s="552"/>
      <c r="E156" s="372"/>
      <c r="G156" s="507"/>
    </row>
    <row r="157" spans="4:7" s="4" customFormat="1" ht="27.75" customHeight="1">
      <c r="D157" s="552"/>
      <c r="E157" s="372"/>
      <c r="G157" s="507"/>
    </row>
    <row r="158" spans="4:7" s="4" customFormat="1" ht="27.75" customHeight="1">
      <c r="D158" s="552"/>
      <c r="E158" s="372"/>
      <c r="G158" s="507"/>
    </row>
    <row r="159" spans="4:7" s="4" customFormat="1" ht="27.75" customHeight="1">
      <c r="D159" s="552"/>
      <c r="E159" s="372"/>
      <c r="G159" s="507"/>
    </row>
    <row r="160" spans="4:7" s="4" customFormat="1" ht="27.75" customHeight="1">
      <c r="D160" s="552"/>
      <c r="E160" s="372"/>
      <c r="G160" s="507"/>
    </row>
    <row r="161" spans="4:7" s="4" customFormat="1" ht="27.75" customHeight="1">
      <c r="D161" s="552"/>
      <c r="E161" s="372"/>
      <c r="G161" s="507"/>
    </row>
    <row r="162" spans="4:7" s="4" customFormat="1" ht="27.75" customHeight="1">
      <c r="D162" s="552"/>
      <c r="E162" s="372"/>
      <c r="G162" s="507"/>
    </row>
    <row r="163" spans="4:7" s="4" customFormat="1" ht="27.75" customHeight="1">
      <c r="D163" s="552"/>
      <c r="E163" s="372"/>
      <c r="G163" s="507"/>
    </row>
    <row r="164" spans="4:7" s="4" customFormat="1" ht="27.75" customHeight="1">
      <c r="D164" s="552"/>
      <c r="E164" s="372"/>
      <c r="G164" s="507"/>
    </row>
    <row r="165" spans="4:7" s="4" customFormat="1" ht="27.75" customHeight="1">
      <c r="D165" s="552"/>
      <c r="E165" s="372"/>
      <c r="G165" s="507"/>
    </row>
  </sheetData>
  <mergeCells count="17">
    <mergeCell ref="B97:C97"/>
    <mergeCell ref="B101:C101"/>
    <mergeCell ref="B104:C104"/>
    <mergeCell ref="I4:I6"/>
    <mergeCell ref="J4:J6"/>
    <mergeCell ref="K4:K6"/>
    <mergeCell ref="L4:L6"/>
    <mergeCell ref="A5:A6"/>
    <mergeCell ref="B5:B6"/>
    <mergeCell ref="C5:C6"/>
    <mergeCell ref="F5:F6"/>
    <mergeCell ref="A1:G1"/>
    <mergeCell ref="A2:G2"/>
    <mergeCell ref="A3:G3"/>
    <mergeCell ref="E4:G4"/>
    <mergeCell ref="H4:H6"/>
    <mergeCell ref="E5:E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C76B4-4814-4C16-9AAC-570C27302174}">
  <sheetPr>
    <tabColor rgb="FF00B0F0"/>
  </sheetPr>
  <dimension ref="A1:Q93"/>
  <sheetViews>
    <sheetView zoomScale="60" zoomScaleNormal="60" workbookViewId="0">
      <pane ySplit="6" topLeftCell="A27" activePane="bottomLeft" state="frozen"/>
      <selection pane="bottomLeft" activeCell="F40" sqref="F40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0" style="372" customWidth="1"/>
    <col min="5" max="5" width="9.109375" style="2" customWidth="1"/>
    <col min="6" max="6" width="23.6640625" style="507" customWidth="1"/>
    <col min="7" max="7" width="5.33203125" style="2" hidden="1" customWidth="1"/>
    <col min="8" max="8" width="9" style="508" hidden="1" customWidth="1"/>
    <col min="9" max="9" width="9.6640625" style="508" hidden="1" customWidth="1"/>
    <col min="10" max="10" width="10.88671875" style="512" hidden="1" customWidth="1"/>
    <col min="11" max="11" width="24.5546875" style="512" hidden="1" customWidth="1"/>
    <col min="12" max="13" width="8.88671875" style="4" hidden="1" customWidth="1"/>
    <col min="14" max="14" width="8.88671875" style="4"/>
    <col min="15" max="15" width="25.109375" style="4" customWidth="1"/>
    <col min="16" max="16" width="24.44140625" style="4" customWidth="1"/>
    <col min="17" max="17" width="21.6640625" style="4" customWidth="1"/>
    <col min="18" max="16384" width="8.88671875" style="4"/>
  </cols>
  <sheetData>
    <row r="1" spans="1:12" ht="28.5" customHeight="1">
      <c r="A1" s="653" t="s">
        <v>0</v>
      </c>
      <c r="B1" s="653"/>
      <c r="C1" s="653"/>
      <c r="D1" s="653"/>
      <c r="E1" s="653"/>
      <c r="F1" s="653"/>
      <c r="H1" s="3"/>
      <c r="I1" s="3"/>
      <c r="J1" s="1"/>
      <c r="K1" s="1"/>
    </row>
    <row r="2" spans="1:12" ht="23.25" customHeight="1">
      <c r="A2" s="653" t="s">
        <v>1</v>
      </c>
      <c r="B2" s="653"/>
      <c r="C2" s="653"/>
      <c r="D2" s="653"/>
      <c r="E2" s="653"/>
      <c r="F2" s="653"/>
      <c r="G2" s="5"/>
      <c r="H2" s="3"/>
      <c r="I2" s="3"/>
      <c r="J2" s="1"/>
      <c r="K2" s="1"/>
    </row>
    <row r="3" spans="1:12" ht="28.5" customHeight="1">
      <c r="A3" s="654" t="s">
        <v>1379</v>
      </c>
      <c r="B3" s="654"/>
      <c r="C3" s="654"/>
      <c r="D3" s="654"/>
      <c r="E3" s="654"/>
      <c r="F3" s="654"/>
      <c r="H3" s="3"/>
      <c r="I3" s="3"/>
      <c r="J3" s="6"/>
      <c r="K3" s="6"/>
    </row>
    <row r="4" spans="1:12" ht="27.75" customHeight="1">
      <c r="A4" s="7"/>
      <c r="B4" s="8"/>
      <c r="C4" s="9"/>
      <c r="D4" s="655" t="s">
        <v>5</v>
      </c>
      <c r="E4" s="656"/>
      <c r="F4" s="657"/>
      <c r="G4" s="658" t="s">
        <v>6</v>
      </c>
      <c r="H4" s="671" t="s">
        <v>7</v>
      </c>
      <c r="I4" s="671" t="s">
        <v>8</v>
      </c>
      <c r="J4" s="661" t="s">
        <v>9</v>
      </c>
      <c r="K4" s="661" t="s">
        <v>10</v>
      </c>
    </row>
    <row r="5" spans="1:12" ht="27.75" customHeight="1">
      <c r="A5" s="664" t="s">
        <v>11</v>
      </c>
      <c r="B5" s="666" t="s">
        <v>12</v>
      </c>
      <c r="C5" s="666" t="s">
        <v>13</v>
      </c>
      <c r="D5" s="664" t="s">
        <v>15</v>
      </c>
      <c r="E5" s="669" t="s">
        <v>16</v>
      </c>
      <c r="F5" s="514"/>
      <c r="G5" s="659"/>
      <c r="H5" s="672"/>
      <c r="I5" s="672"/>
      <c r="J5" s="662"/>
      <c r="K5" s="662"/>
    </row>
    <row r="6" spans="1:12" ht="27.75" customHeight="1" thickBot="1">
      <c r="A6" s="665"/>
      <c r="B6" s="667"/>
      <c r="C6" s="667"/>
      <c r="D6" s="668"/>
      <c r="E6" s="670"/>
      <c r="F6" s="21" t="s">
        <v>22</v>
      </c>
      <c r="G6" s="660"/>
      <c r="H6" s="673"/>
      <c r="I6" s="673"/>
      <c r="J6" s="663"/>
      <c r="K6" s="663"/>
    </row>
    <row r="7" spans="1:12" ht="27.75" customHeight="1" thickTop="1">
      <c r="A7" s="232"/>
      <c r="B7" s="553" t="s">
        <v>708</v>
      </c>
      <c r="C7" s="553"/>
      <c r="D7" s="232"/>
      <c r="E7" s="251"/>
      <c r="F7" s="554"/>
      <c r="G7" s="517"/>
      <c r="H7" s="515"/>
      <c r="I7" s="515"/>
      <c r="J7" s="516"/>
      <c r="K7" s="516"/>
    </row>
    <row r="8" spans="1:12" ht="27.75" customHeight="1">
      <c r="A8" s="39">
        <v>1</v>
      </c>
      <c r="B8" s="638" t="s">
        <v>78</v>
      </c>
      <c r="C8" s="639" t="s">
        <v>72</v>
      </c>
      <c r="D8" s="640" t="s">
        <v>1329</v>
      </c>
      <c r="E8" s="164">
        <v>1</v>
      </c>
      <c r="F8" s="641">
        <v>4577.8911214953259</v>
      </c>
      <c r="G8" s="39"/>
      <c r="H8" s="55"/>
      <c r="I8" s="55"/>
      <c r="J8" s="56"/>
      <c r="K8" s="56"/>
    </row>
    <row r="9" spans="1:12" ht="27.75" customHeight="1">
      <c r="A9" s="39">
        <v>2</v>
      </c>
      <c r="B9" s="638" t="s">
        <v>82</v>
      </c>
      <c r="C9" s="642" t="s">
        <v>72</v>
      </c>
      <c r="D9" s="640" t="s">
        <v>1329</v>
      </c>
      <c r="E9" s="164">
        <v>1</v>
      </c>
      <c r="F9" s="641">
        <v>616.31813084112207</v>
      </c>
      <c r="G9" s="39"/>
      <c r="H9" s="55"/>
      <c r="I9" s="55"/>
      <c r="J9" s="56"/>
      <c r="K9" s="56"/>
    </row>
    <row r="10" spans="1:12" s="57" customFormat="1" ht="27.75" customHeight="1">
      <c r="A10" s="39">
        <v>3</v>
      </c>
      <c r="B10" s="638" t="s">
        <v>1496</v>
      </c>
      <c r="C10" s="154" t="s">
        <v>102</v>
      </c>
      <c r="D10" s="640" t="s">
        <v>1278</v>
      </c>
      <c r="E10" s="166">
        <v>1</v>
      </c>
      <c r="F10" s="159">
        <v>160.5</v>
      </c>
      <c r="G10" s="146"/>
      <c r="H10" s="148"/>
      <c r="I10" s="148"/>
      <c r="J10" s="149"/>
      <c r="K10" s="149"/>
    </row>
    <row r="11" spans="1:12" ht="27.75" customHeight="1">
      <c r="A11" s="39">
        <v>4</v>
      </c>
      <c r="B11" s="638" t="s">
        <v>180</v>
      </c>
      <c r="C11" s="642" t="s">
        <v>181</v>
      </c>
      <c r="D11" s="643" t="s">
        <v>1329</v>
      </c>
      <c r="E11" s="166">
        <v>1</v>
      </c>
      <c r="F11" s="159">
        <v>481.49532710280374</v>
      </c>
      <c r="G11" s="116"/>
      <c r="H11" s="203"/>
      <c r="I11" s="203"/>
      <c r="J11" s="204"/>
      <c r="K11" s="204"/>
    </row>
    <row r="12" spans="1:12" s="226" customFormat="1" ht="27.75" customHeight="1">
      <c r="A12" s="39">
        <v>5</v>
      </c>
      <c r="B12" s="644" t="s">
        <v>90</v>
      </c>
      <c r="C12" s="645" t="s">
        <v>246</v>
      </c>
      <c r="D12" s="646" t="s">
        <v>1329</v>
      </c>
      <c r="E12" s="164">
        <v>0.93457943925233644</v>
      </c>
      <c r="F12" s="159">
        <v>22470</v>
      </c>
      <c r="G12" s="39"/>
      <c r="H12" s="55"/>
      <c r="I12" s="55"/>
      <c r="J12" s="56"/>
      <c r="K12" s="56"/>
    </row>
    <row r="13" spans="1:12" s="226" customFormat="1" ht="27.75" customHeight="1">
      <c r="A13" s="39">
        <v>6</v>
      </c>
      <c r="B13" s="642" t="s">
        <v>1350</v>
      </c>
      <c r="C13" s="645" t="s">
        <v>255</v>
      </c>
      <c r="D13" s="643" t="s">
        <v>1329</v>
      </c>
      <c r="E13" s="164">
        <v>0.93457943925233611</v>
      </c>
      <c r="F13" s="159">
        <v>9630</v>
      </c>
      <c r="G13" s="39"/>
      <c r="H13" s="55"/>
      <c r="I13" s="55"/>
      <c r="J13" s="56"/>
      <c r="K13" s="56"/>
    </row>
    <row r="14" spans="1:12" s="226" customFormat="1" ht="27.75" customHeight="1">
      <c r="A14" s="39">
        <v>7</v>
      </c>
      <c r="B14" s="639" t="s">
        <v>267</v>
      </c>
      <c r="C14" s="645" t="s">
        <v>268</v>
      </c>
      <c r="D14" s="643" t="s">
        <v>1329</v>
      </c>
      <c r="E14" s="164">
        <v>0.93457943925233578</v>
      </c>
      <c r="F14" s="159">
        <v>6420</v>
      </c>
      <c r="G14" s="39"/>
      <c r="H14" s="55"/>
      <c r="I14" s="55"/>
      <c r="J14" s="56"/>
      <c r="K14" s="56"/>
    </row>
    <row r="15" spans="1:12" ht="27.75" customHeight="1">
      <c r="A15" s="39">
        <v>8</v>
      </c>
      <c r="B15" s="647" t="s">
        <v>249</v>
      </c>
      <c r="C15" s="647" t="s">
        <v>250</v>
      </c>
      <c r="D15" s="648" t="s">
        <v>1329</v>
      </c>
      <c r="E15" s="166">
        <v>1</v>
      </c>
      <c r="F15" s="649">
        <v>74.900000000000063</v>
      </c>
      <c r="G15" s="36"/>
      <c r="H15" s="37"/>
      <c r="I15" s="37"/>
      <c r="J15" s="38"/>
      <c r="K15" s="38"/>
      <c r="L15" s="38"/>
    </row>
    <row r="16" spans="1:12" ht="27.75" customHeight="1">
      <c r="A16" s="39">
        <v>9</v>
      </c>
      <c r="B16" s="647" t="s">
        <v>294</v>
      </c>
      <c r="C16" s="647" t="s">
        <v>255</v>
      </c>
      <c r="D16" s="648" t="s">
        <v>1329</v>
      </c>
      <c r="E16" s="166">
        <v>1</v>
      </c>
      <c r="F16" s="649">
        <v>96.300000000000011</v>
      </c>
      <c r="G16" s="36"/>
      <c r="H16" s="37"/>
      <c r="I16" s="37"/>
      <c r="J16" s="38"/>
      <c r="K16" s="38"/>
      <c r="L16" s="38"/>
    </row>
    <row r="17" spans="1:17" ht="27.75" customHeight="1">
      <c r="A17" s="39">
        <v>10</v>
      </c>
      <c r="B17" s="650" t="s">
        <v>298</v>
      </c>
      <c r="C17" s="650" t="s">
        <v>199</v>
      </c>
      <c r="D17" s="651" t="s">
        <v>1329</v>
      </c>
      <c r="E17" s="652">
        <v>1</v>
      </c>
      <c r="F17" s="649">
        <v>21.4</v>
      </c>
      <c r="G17" s="36"/>
      <c r="H17" s="37"/>
      <c r="I17" s="37"/>
      <c r="J17" s="38"/>
      <c r="K17" s="38"/>
      <c r="L17" s="38"/>
    </row>
    <row r="18" spans="1:17" ht="27.75" customHeight="1">
      <c r="A18" s="39">
        <v>11</v>
      </c>
      <c r="B18" s="650" t="s">
        <v>156</v>
      </c>
      <c r="C18" s="650" t="s">
        <v>208</v>
      </c>
      <c r="D18" s="651" t="s">
        <v>1329</v>
      </c>
      <c r="E18" s="652">
        <v>1</v>
      </c>
      <c r="F18" s="649">
        <v>117.7</v>
      </c>
      <c r="G18" s="36"/>
      <c r="H18" s="37"/>
      <c r="I18" s="37"/>
      <c r="J18" s="38"/>
      <c r="K18" s="38"/>
      <c r="L18" s="38"/>
    </row>
    <row r="19" spans="1:17" ht="27.75" customHeight="1">
      <c r="A19" s="39">
        <v>12</v>
      </c>
      <c r="B19" s="650" t="s">
        <v>273</v>
      </c>
      <c r="C19" s="650" t="s">
        <v>211</v>
      </c>
      <c r="D19" s="651" t="s">
        <v>1329</v>
      </c>
      <c r="E19" s="652">
        <v>1</v>
      </c>
      <c r="F19" s="649">
        <v>42.8</v>
      </c>
      <c r="G19" s="36"/>
      <c r="H19" s="37"/>
      <c r="I19" s="37"/>
      <c r="J19" s="38"/>
      <c r="K19" s="38"/>
      <c r="L19" s="38"/>
    </row>
    <row r="20" spans="1:17" ht="27.75" customHeight="1" thickBot="1">
      <c r="A20" s="414"/>
      <c r="B20" s="415"/>
      <c r="C20" s="416" t="s">
        <v>468</v>
      </c>
      <c r="D20" s="423"/>
      <c r="E20" s="422"/>
      <c r="F20" s="420">
        <f>SUM(F8:F19)+0.01</f>
        <v>44709.314579439255</v>
      </c>
      <c r="G20" s="424"/>
      <c r="H20" s="425"/>
      <c r="I20" s="425"/>
      <c r="J20" s="345"/>
      <c r="K20" s="345"/>
      <c r="L20" s="345"/>
      <c r="P20" s="57">
        <v>44709.314579439255</v>
      </c>
      <c r="Q20" s="4" t="s">
        <v>818</v>
      </c>
    </row>
    <row r="21" spans="1:17" ht="27.75" customHeight="1" thickTop="1">
      <c r="A21" s="426"/>
      <c r="B21" s="4"/>
      <c r="C21" s="295"/>
      <c r="D21" s="433"/>
      <c r="E21" s="427"/>
      <c r="F21" s="430"/>
      <c r="G21" s="424"/>
      <c r="H21" s="425"/>
      <c r="I21" s="425"/>
      <c r="J21" s="345"/>
      <c r="K21" s="345"/>
      <c r="L21" s="345"/>
    </row>
    <row r="22" spans="1:17" ht="27.75" customHeight="1">
      <c r="A22" s="426"/>
      <c r="B22" s="434" t="s">
        <v>469</v>
      </c>
      <c r="C22" s="295"/>
      <c r="D22" s="433"/>
      <c r="E22" s="427"/>
      <c r="F22" s="430"/>
      <c r="G22" s="424"/>
      <c r="H22" s="425"/>
      <c r="I22" s="425"/>
      <c r="J22" s="345"/>
      <c r="K22" s="345"/>
      <c r="L22" s="345"/>
    </row>
    <row r="23" spans="1:17" ht="27.75" customHeight="1">
      <c r="A23" s="435">
        <v>1</v>
      </c>
      <c r="B23" s="436" t="s">
        <v>470</v>
      </c>
      <c r="C23" s="437" t="s">
        <v>471</v>
      </c>
      <c r="D23" s="435" t="s">
        <v>473</v>
      </c>
      <c r="E23" s="444">
        <v>21</v>
      </c>
      <c r="F23" s="17">
        <v>361288.35</v>
      </c>
      <c r="G23" s="251" t="s">
        <v>195</v>
      </c>
      <c r="H23" s="446">
        <v>41883</v>
      </c>
      <c r="I23" s="446">
        <v>42978</v>
      </c>
      <c r="J23" s="447">
        <v>90000</v>
      </c>
      <c r="K23" s="447" t="s">
        <v>474</v>
      </c>
    </row>
    <row r="24" spans="1:17" ht="27.75" customHeight="1">
      <c r="A24" s="435"/>
      <c r="B24" s="436" t="s">
        <v>476</v>
      </c>
      <c r="C24" s="437"/>
      <c r="D24" s="435"/>
      <c r="E24" s="444"/>
      <c r="F24" s="17">
        <v>0</v>
      </c>
      <c r="G24" s="116"/>
      <c r="H24" s="203"/>
      <c r="I24" s="203"/>
      <c r="J24" s="204"/>
      <c r="K24" s="204"/>
    </row>
    <row r="25" spans="1:17" ht="27.75" customHeight="1">
      <c r="A25" s="435"/>
      <c r="B25" s="674" t="s">
        <v>477</v>
      </c>
      <c r="C25" s="675"/>
      <c r="D25" s="435"/>
      <c r="E25" s="444"/>
      <c r="F25" s="17">
        <v>0</v>
      </c>
      <c r="G25" s="116"/>
      <c r="H25" s="203"/>
      <c r="I25" s="203"/>
      <c r="J25" s="204"/>
      <c r="K25" s="204"/>
    </row>
    <row r="26" spans="1:17" ht="27.75" customHeight="1">
      <c r="A26" s="435">
        <v>2</v>
      </c>
      <c r="B26" s="450" t="s">
        <v>470</v>
      </c>
      <c r="C26" s="451" t="s">
        <v>478</v>
      </c>
      <c r="D26" s="435" t="s">
        <v>479</v>
      </c>
      <c r="E26" s="444">
        <v>6</v>
      </c>
      <c r="F26" s="17">
        <v>96700.72</v>
      </c>
      <c r="G26" s="116"/>
      <c r="H26" s="203"/>
      <c r="I26" s="203"/>
      <c r="J26" s="204"/>
      <c r="K26" s="204"/>
    </row>
    <row r="27" spans="1:17" ht="27.75" customHeight="1">
      <c r="A27" s="435">
        <v>3</v>
      </c>
      <c r="B27" s="450" t="s">
        <v>470</v>
      </c>
      <c r="C27" s="451" t="s">
        <v>480</v>
      </c>
      <c r="D27" s="435" t="s">
        <v>481</v>
      </c>
      <c r="E27" s="444">
        <v>16</v>
      </c>
      <c r="F27" s="17">
        <v>285799.45</v>
      </c>
      <c r="G27" s="116"/>
      <c r="H27" s="203"/>
      <c r="I27" s="203"/>
      <c r="J27" s="204"/>
      <c r="K27" s="204"/>
    </row>
    <row r="28" spans="1:17" s="226" customFormat="1" ht="27.75" customHeight="1">
      <c r="A28" s="440">
        <v>4</v>
      </c>
      <c r="B28" s="436" t="s">
        <v>470</v>
      </c>
      <c r="C28" s="453" t="s">
        <v>482</v>
      </c>
      <c r="D28" s="435" t="s">
        <v>483</v>
      </c>
      <c r="E28" s="448" t="s">
        <v>195</v>
      </c>
      <c r="F28" s="17">
        <v>57055.05</v>
      </c>
      <c r="G28" s="39"/>
      <c r="H28" s="55"/>
      <c r="I28" s="55"/>
      <c r="J28" s="141"/>
      <c r="K28" s="141"/>
    </row>
    <row r="29" spans="1:17" s="226" customFormat="1" ht="27.75" customHeight="1">
      <c r="A29" s="440"/>
      <c r="B29" s="676" t="s">
        <v>484</v>
      </c>
      <c r="C29" s="677"/>
      <c r="D29" s="435"/>
      <c r="E29" s="448"/>
      <c r="F29" s="17">
        <v>0</v>
      </c>
      <c r="G29" s="122"/>
      <c r="H29" s="37"/>
      <c r="I29" s="37"/>
      <c r="J29" s="459"/>
      <c r="K29" s="459"/>
    </row>
    <row r="30" spans="1:17" ht="27.75" customHeight="1">
      <c r="A30" s="460">
        <v>5</v>
      </c>
      <c r="B30" s="436" t="s">
        <v>470</v>
      </c>
      <c r="C30" s="461" t="s">
        <v>485</v>
      </c>
      <c r="D30" s="435" t="s">
        <v>486</v>
      </c>
      <c r="E30" s="464" t="s">
        <v>195</v>
      </c>
      <c r="F30" s="17">
        <v>28958.15</v>
      </c>
      <c r="G30" s="36"/>
      <c r="H30" s="37"/>
      <c r="I30" s="37"/>
      <c r="J30" s="38"/>
      <c r="K30" s="38"/>
      <c r="L30" s="38"/>
    </row>
    <row r="31" spans="1:17" ht="27.6" customHeight="1">
      <c r="A31" s="460"/>
      <c r="B31" s="436" t="s">
        <v>488</v>
      </c>
      <c r="C31" s="461"/>
      <c r="D31" s="435"/>
      <c r="E31" s="444"/>
      <c r="F31" s="17"/>
      <c r="G31" s="36"/>
      <c r="H31" s="37"/>
      <c r="I31" s="37"/>
      <c r="J31" s="38"/>
      <c r="K31" s="38"/>
      <c r="L31" s="38"/>
    </row>
    <row r="32" spans="1:17" ht="27.6" customHeight="1">
      <c r="A32" s="460"/>
      <c r="B32" s="674" t="s">
        <v>489</v>
      </c>
      <c r="C32" s="675"/>
      <c r="D32" s="435"/>
      <c r="E32" s="444"/>
      <c r="F32" s="17"/>
      <c r="G32" s="36"/>
      <c r="H32" s="37"/>
      <c r="I32" s="37"/>
      <c r="J32" s="38"/>
      <c r="K32" s="38"/>
      <c r="L32" s="38"/>
    </row>
    <row r="33" spans="1:17" ht="27.75" customHeight="1" thickBot="1">
      <c r="A33" s="465"/>
      <c r="B33" s="466" t="s">
        <v>22</v>
      </c>
      <c r="C33" s="195"/>
      <c r="D33" s="315"/>
      <c r="E33" s="310"/>
      <c r="F33" s="313">
        <v>829801.72000000009</v>
      </c>
      <c r="G33" s="36"/>
      <c r="H33" s="37"/>
      <c r="I33" s="37"/>
      <c r="J33" s="38"/>
      <c r="K33" s="38"/>
      <c r="L33" s="38"/>
      <c r="P33" s="507">
        <v>829801.72000000009</v>
      </c>
      <c r="Q33" s="4" t="s">
        <v>469</v>
      </c>
    </row>
    <row r="34" spans="1:17" ht="27.75" customHeight="1" thickTop="1">
      <c r="A34" s="468"/>
      <c r="B34" s="469" t="s">
        <v>490</v>
      </c>
      <c r="C34" s="470"/>
      <c r="D34" s="186"/>
      <c r="E34" s="116"/>
      <c r="F34" s="474"/>
      <c r="G34" s="36"/>
      <c r="H34" s="37"/>
      <c r="I34" s="37"/>
      <c r="J34" s="38"/>
      <c r="K34" s="38"/>
      <c r="L34" s="38"/>
    </row>
    <row r="35" spans="1:17" ht="27.75" customHeight="1">
      <c r="A35" s="475">
        <v>1</v>
      </c>
      <c r="B35" s="436" t="s">
        <v>491</v>
      </c>
      <c r="C35" s="437" t="s">
        <v>492</v>
      </c>
      <c r="D35" s="435"/>
      <c r="E35" s="477"/>
      <c r="F35" s="481"/>
      <c r="G35" s="356"/>
      <c r="H35" s="482"/>
      <c r="I35" s="482"/>
      <c r="J35" s="483"/>
      <c r="K35" s="483"/>
    </row>
    <row r="36" spans="1:17" ht="27.75" customHeight="1">
      <c r="A36" s="475"/>
      <c r="B36" s="484" t="s">
        <v>494</v>
      </c>
      <c r="C36" s="437"/>
      <c r="D36" s="435"/>
      <c r="E36" s="477"/>
      <c r="F36" s="481"/>
      <c r="G36" s="485"/>
      <c r="H36" s="486"/>
      <c r="I36" s="486"/>
      <c r="J36" s="487"/>
      <c r="K36" s="487"/>
    </row>
    <row r="37" spans="1:17" ht="27.75" customHeight="1">
      <c r="A37" s="475">
        <v>2</v>
      </c>
      <c r="B37" s="436" t="s">
        <v>495</v>
      </c>
      <c r="C37" s="437" t="s">
        <v>496</v>
      </c>
      <c r="D37" s="435"/>
      <c r="E37" s="477" t="s">
        <v>497</v>
      </c>
      <c r="F37" s="17">
        <v>8214529.25</v>
      </c>
      <c r="G37" s="485"/>
      <c r="H37" s="486"/>
      <c r="I37" s="486"/>
      <c r="J37" s="487"/>
      <c r="K37" s="487"/>
    </row>
    <row r="38" spans="1:17" ht="27.75" customHeight="1">
      <c r="A38" s="405"/>
      <c r="B38" s="234" t="s">
        <v>22</v>
      </c>
      <c r="C38" s="407"/>
      <c r="D38" s="412"/>
      <c r="E38" s="408"/>
      <c r="F38" s="239">
        <v>8214529.25</v>
      </c>
      <c r="G38" s="278"/>
      <c r="H38" s="279"/>
      <c r="I38" s="279"/>
      <c r="J38" s="413"/>
      <c r="K38" s="413"/>
      <c r="L38" s="413"/>
      <c r="P38" s="507">
        <v>8214529.25</v>
      </c>
      <c r="Q38" s="4" t="s">
        <v>490</v>
      </c>
    </row>
    <row r="39" spans="1:17" ht="27.75" customHeight="1">
      <c r="A39" s="426"/>
      <c r="B39" s="4"/>
      <c r="C39" s="295"/>
      <c r="D39" s="433"/>
      <c r="E39" s="427"/>
      <c r="F39" s="430"/>
      <c r="G39" s="424"/>
      <c r="H39" s="425"/>
      <c r="I39" s="425"/>
      <c r="J39" s="345"/>
      <c r="K39" s="345"/>
      <c r="L39" s="345"/>
    </row>
    <row r="40" spans="1:17" ht="27.75" customHeight="1" thickBot="1">
      <c r="A40" s="488"/>
      <c r="B40" s="489" t="s">
        <v>498</v>
      </c>
      <c r="C40" s="490"/>
      <c r="D40" s="495"/>
      <c r="E40" s="496"/>
      <c r="F40" s="493">
        <f>+F20+F33+F38-0.01</f>
        <v>9089040.2745794393</v>
      </c>
      <c r="G40" s="497">
        <v>0</v>
      </c>
      <c r="H40" s="497">
        <v>0</v>
      </c>
      <c r="I40" s="498"/>
      <c r="J40" s="499"/>
      <c r="K40" s="499"/>
      <c r="L40" s="499"/>
      <c r="P40" s="561">
        <f>SUM(P9:P39)-0.01</f>
        <v>9089040.2745794393</v>
      </c>
    </row>
    <row r="41" spans="1:17" s="226" customFormat="1" ht="27.75" customHeight="1" thickTop="1">
      <c r="A41" s="6"/>
      <c r="B41" s="500"/>
      <c r="D41" s="372"/>
      <c r="E41" s="501"/>
      <c r="F41" s="504"/>
      <c r="G41" s="2"/>
      <c r="H41" s="425"/>
      <c r="I41" s="425"/>
      <c r="J41" s="345"/>
      <c r="K41" s="345"/>
    </row>
    <row r="42" spans="1:17" s="226" customFormat="1" ht="27.75" customHeight="1">
      <c r="A42" s="6"/>
      <c r="B42" s="500"/>
      <c r="D42" s="372"/>
      <c r="E42" s="501"/>
      <c r="F42" s="504"/>
      <c r="G42" s="2"/>
      <c r="H42" s="425"/>
      <c r="I42" s="425"/>
      <c r="J42" s="345"/>
      <c r="K42" s="345"/>
    </row>
    <row r="43" spans="1:17" s="226" customFormat="1" ht="27.75" customHeight="1">
      <c r="A43" s="6"/>
      <c r="B43" s="500"/>
      <c r="D43" s="372"/>
      <c r="E43" s="501"/>
      <c r="F43" s="430"/>
      <c r="G43" s="2"/>
      <c r="H43" s="425"/>
      <c r="I43" s="425"/>
      <c r="J43" s="345"/>
      <c r="K43" s="345"/>
    </row>
    <row r="44" spans="1:17" s="226" customFormat="1" ht="27.75" customHeight="1">
      <c r="A44" s="6"/>
      <c r="B44" s="500"/>
      <c r="D44" s="372"/>
      <c r="E44" s="501"/>
      <c r="F44" s="504"/>
      <c r="G44" s="2"/>
      <c r="H44" s="425"/>
      <c r="I44" s="425"/>
      <c r="J44" s="345"/>
      <c r="K44" s="345"/>
    </row>
    <row r="45" spans="1:17" s="226" customFormat="1" ht="27.75" customHeight="1">
      <c r="A45" s="6"/>
      <c r="B45" s="500"/>
      <c r="D45" s="372"/>
      <c r="E45" s="501"/>
      <c r="F45" s="504"/>
      <c r="G45" s="2"/>
      <c r="H45" s="425"/>
      <c r="I45" s="425"/>
      <c r="J45" s="345"/>
      <c r="K45" s="345"/>
    </row>
    <row r="46" spans="1:17" s="226" customFormat="1" ht="27.75" customHeight="1">
      <c r="A46" s="6"/>
      <c r="B46" s="500"/>
      <c r="D46" s="372"/>
      <c r="E46" s="501"/>
      <c r="F46" s="504"/>
      <c r="G46" s="2"/>
      <c r="H46" s="425"/>
      <c r="I46" s="425"/>
      <c r="J46" s="345"/>
      <c r="K46" s="345"/>
    </row>
    <row r="47" spans="1:17" s="226" customFormat="1" ht="27.75" customHeight="1">
      <c r="A47" s="6"/>
      <c r="B47" s="500"/>
      <c r="D47" s="372"/>
      <c r="E47" s="501"/>
      <c r="F47" s="504"/>
      <c r="G47" s="2"/>
      <c r="H47" s="425"/>
      <c r="I47" s="425"/>
      <c r="J47" s="345"/>
      <c r="K47" s="345"/>
    </row>
    <row r="48" spans="1:17" s="226" customFormat="1" ht="27.75" customHeight="1">
      <c r="A48" s="6"/>
      <c r="B48" s="500"/>
      <c r="D48" s="372"/>
      <c r="E48" s="501"/>
      <c r="F48" s="504"/>
      <c r="G48" s="2"/>
      <c r="H48" s="425"/>
      <c r="I48" s="425"/>
      <c r="J48" s="345"/>
      <c r="K48" s="345"/>
    </row>
    <row r="49" spans="1:11" s="226" customFormat="1" ht="27.75" customHeight="1">
      <c r="A49" s="6"/>
      <c r="B49" s="500"/>
      <c r="D49" s="372"/>
      <c r="E49" s="501"/>
      <c r="F49" s="504"/>
      <c r="G49" s="2"/>
      <c r="H49" s="425"/>
      <c r="I49" s="425"/>
      <c r="J49" s="345"/>
      <c r="K49" s="345"/>
    </row>
    <row r="50" spans="1:11" s="226" customFormat="1" ht="27.75" customHeight="1">
      <c r="A50" s="6"/>
      <c r="B50" s="500"/>
      <c r="D50" s="372"/>
      <c r="E50" s="501"/>
      <c r="F50" s="504"/>
      <c r="G50" s="2"/>
      <c r="H50" s="425"/>
      <c r="I50" s="425"/>
      <c r="J50" s="345"/>
      <c r="K50" s="345"/>
    </row>
    <row r="51" spans="1:11" s="226" customFormat="1" ht="27.75" customHeight="1">
      <c r="A51" s="6"/>
      <c r="B51" s="500"/>
      <c r="D51" s="372"/>
      <c r="E51" s="501"/>
      <c r="F51" s="504"/>
      <c r="G51" s="2"/>
      <c r="H51" s="425"/>
      <c r="I51" s="425"/>
      <c r="J51" s="345"/>
      <c r="K51" s="345"/>
    </row>
    <row r="52" spans="1:11" s="226" customFormat="1" ht="27.75" customHeight="1">
      <c r="A52" s="6"/>
      <c r="B52" s="500"/>
      <c r="D52" s="372"/>
      <c r="E52" s="501"/>
      <c r="F52" s="504"/>
      <c r="G52" s="2"/>
      <c r="H52" s="425"/>
      <c r="I52" s="425"/>
      <c r="J52" s="345"/>
      <c r="K52" s="345"/>
    </row>
    <row r="53" spans="1:11" s="226" customFormat="1" ht="27.75" customHeight="1">
      <c r="A53" s="6"/>
      <c r="D53" s="372"/>
      <c r="E53" s="501"/>
      <c r="F53" s="504"/>
      <c r="G53" s="2"/>
      <c r="H53" s="425"/>
      <c r="I53" s="425"/>
      <c r="J53" s="345"/>
      <c r="K53" s="345"/>
    </row>
    <row r="54" spans="1:11" ht="27.75" customHeight="1">
      <c r="B54" s="4"/>
      <c r="E54" s="4"/>
      <c r="J54" s="4"/>
      <c r="K54" s="4"/>
    </row>
    <row r="55" spans="1:11" ht="27.75" customHeight="1">
      <c r="B55" s="4"/>
      <c r="E55" s="4"/>
      <c r="J55" s="4"/>
      <c r="K55" s="4"/>
    </row>
    <row r="56" spans="1:11" ht="27.75" customHeight="1">
      <c r="B56" s="4"/>
      <c r="E56" s="4"/>
      <c r="J56" s="4"/>
      <c r="K56" s="4"/>
    </row>
    <row r="57" spans="1:11" ht="27.75" customHeight="1">
      <c r="B57" s="4"/>
      <c r="E57" s="4"/>
      <c r="J57" s="4"/>
      <c r="K57" s="4"/>
    </row>
    <row r="58" spans="1:11" ht="27.75" customHeight="1">
      <c r="B58" s="4"/>
      <c r="E58" s="4"/>
      <c r="J58" s="4"/>
      <c r="K58" s="4"/>
    </row>
    <row r="59" spans="1:11" ht="27.75" customHeight="1">
      <c r="B59" s="4"/>
      <c r="E59" s="4"/>
      <c r="J59" s="4"/>
      <c r="K59" s="4"/>
    </row>
    <row r="60" spans="1:11" ht="27.75" customHeight="1">
      <c r="B60" s="4"/>
      <c r="E60" s="4"/>
      <c r="J60" s="4"/>
      <c r="K60" s="4"/>
    </row>
    <row r="61" spans="1:11" ht="27.75" customHeight="1">
      <c r="B61" s="4"/>
      <c r="E61" s="4"/>
      <c r="J61" s="4"/>
      <c r="K61" s="4"/>
    </row>
    <row r="62" spans="1:11" ht="27.75" customHeight="1">
      <c r="B62" s="4"/>
      <c r="E62" s="4"/>
      <c r="J62" s="4"/>
      <c r="K62" s="4"/>
    </row>
    <row r="63" spans="1:11" ht="27.75" customHeight="1">
      <c r="B63" s="4"/>
      <c r="E63" s="4"/>
      <c r="J63" s="4"/>
      <c r="K63" s="4"/>
    </row>
    <row r="64" spans="1:11" ht="27.75" customHeight="1">
      <c r="B64" s="4"/>
      <c r="E64" s="4"/>
      <c r="J64" s="4"/>
      <c r="K64" s="4"/>
    </row>
    <row r="65" spans="2:11" ht="27.75" customHeight="1">
      <c r="B65" s="4"/>
      <c r="E65" s="4"/>
      <c r="J65" s="4"/>
      <c r="K65" s="4"/>
    </row>
    <row r="66" spans="2:11" ht="27.75" customHeight="1">
      <c r="B66" s="4"/>
      <c r="E66" s="4"/>
      <c r="J66" s="4"/>
      <c r="K66" s="4"/>
    </row>
    <row r="67" spans="2:11" ht="27.75" customHeight="1">
      <c r="B67" s="4"/>
      <c r="E67" s="4"/>
      <c r="J67" s="4"/>
      <c r="K67" s="4"/>
    </row>
    <row r="68" spans="2:11" ht="27.75" customHeight="1">
      <c r="B68" s="4"/>
      <c r="E68" s="4"/>
      <c r="J68" s="4"/>
      <c r="K68" s="4"/>
    </row>
    <row r="69" spans="2:11" ht="27.75" customHeight="1">
      <c r="B69" s="4"/>
      <c r="E69" s="4"/>
      <c r="J69" s="4"/>
      <c r="K69" s="4"/>
    </row>
    <row r="81" spans="4:6" s="4" customFormat="1" ht="27.75" customHeight="1">
      <c r="D81" s="372"/>
      <c r="F81" s="507"/>
    </row>
    <row r="82" spans="4:6" s="4" customFormat="1" ht="27.75" customHeight="1">
      <c r="D82" s="372"/>
      <c r="F82" s="507"/>
    </row>
    <row r="83" spans="4:6" s="4" customFormat="1" ht="27.75" customHeight="1">
      <c r="D83" s="372"/>
      <c r="F83" s="507"/>
    </row>
    <row r="84" spans="4:6" s="4" customFormat="1" ht="27.75" customHeight="1">
      <c r="D84" s="372"/>
      <c r="F84" s="507"/>
    </row>
    <row r="85" spans="4:6" s="4" customFormat="1" ht="27.75" customHeight="1">
      <c r="D85" s="372"/>
      <c r="F85" s="507"/>
    </row>
    <row r="86" spans="4:6" s="4" customFormat="1" ht="27.75" customHeight="1">
      <c r="D86" s="372"/>
      <c r="F86" s="507"/>
    </row>
    <row r="87" spans="4:6" s="4" customFormat="1" ht="27.75" customHeight="1">
      <c r="D87" s="372"/>
      <c r="F87" s="507"/>
    </row>
    <row r="88" spans="4:6" s="4" customFormat="1" ht="27.75" customHeight="1">
      <c r="D88" s="372"/>
      <c r="F88" s="507"/>
    </row>
    <row r="89" spans="4:6" s="4" customFormat="1" ht="27.75" customHeight="1">
      <c r="D89" s="372"/>
      <c r="F89" s="507"/>
    </row>
    <row r="90" spans="4:6" s="4" customFormat="1" ht="27.75" customHeight="1">
      <c r="D90" s="372"/>
      <c r="F90" s="507"/>
    </row>
    <row r="91" spans="4:6" s="4" customFormat="1" ht="27.75" customHeight="1">
      <c r="D91" s="372"/>
      <c r="F91" s="507"/>
    </row>
    <row r="92" spans="4:6" s="4" customFormat="1" ht="27.75" customHeight="1">
      <c r="D92" s="372"/>
      <c r="F92" s="507"/>
    </row>
    <row r="93" spans="4:6" s="4" customFormat="1" ht="27.75" customHeight="1">
      <c r="D93" s="372"/>
      <c r="F93" s="507"/>
    </row>
  </sheetData>
  <mergeCells count="17">
    <mergeCell ref="B25:C25"/>
    <mergeCell ref="B29:C29"/>
    <mergeCell ref="B32:C32"/>
    <mergeCell ref="I4:I6"/>
    <mergeCell ref="J4:J6"/>
    <mergeCell ref="K4:K6"/>
    <mergeCell ref="A5:A6"/>
    <mergeCell ref="B5:B6"/>
    <mergeCell ref="C5:C6"/>
    <mergeCell ref="D5:D6"/>
    <mergeCell ref="E5:E6"/>
    <mergeCell ref="H4:H6"/>
    <mergeCell ref="A1:F1"/>
    <mergeCell ref="A2:F2"/>
    <mergeCell ref="A3:F3"/>
    <mergeCell ref="D4:F4"/>
    <mergeCell ref="G4:G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2C185-D80C-4D45-A4BD-7AFEEA7E85B2}">
  <sheetPr>
    <tabColor rgb="FF92D050"/>
  </sheetPr>
  <dimension ref="A1:AB327"/>
  <sheetViews>
    <sheetView zoomScale="70" zoomScaleNormal="70" workbookViewId="0">
      <pane ySplit="6" topLeftCell="A250" activePane="bottomLeft" state="frozen"/>
      <selection pane="bottomLeft" activeCell="F264" sqref="F264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0.5546875" style="510" customWidth="1"/>
    <col min="5" max="5" width="18.88671875" style="511" customWidth="1"/>
    <col min="6" max="6" width="4.88671875" style="506" customWidth="1"/>
    <col min="7" max="7" width="20.109375" style="509" customWidth="1"/>
    <col min="8" max="8" width="18.33203125" style="509" customWidth="1"/>
    <col min="9" max="9" width="21.44140625" style="504" customWidth="1"/>
    <col min="10" max="10" width="21.6640625" style="3" customWidth="1"/>
    <col min="11" max="11" width="24.5546875" style="372" customWidth="1"/>
    <col min="12" max="12" width="22.109375" style="512" customWidth="1"/>
    <col min="13" max="13" width="20" style="372" customWidth="1"/>
    <col min="14" max="14" width="9.109375" style="2" customWidth="1"/>
    <col min="15" max="15" width="24" style="513" customWidth="1"/>
    <col min="16" max="16" width="16.6640625" style="513" customWidth="1"/>
    <col min="17" max="17" width="23.6640625" style="507" customWidth="1"/>
    <col min="18" max="18" width="5.33203125" style="2" hidden="1" customWidth="1"/>
    <col min="19" max="19" width="9" style="508" hidden="1" customWidth="1"/>
    <col min="20" max="20" width="9.6640625" style="508" hidden="1" customWidth="1"/>
    <col min="21" max="21" width="10.88671875" style="512" hidden="1" customWidth="1"/>
    <col min="22" max="22" width="24.5546875" style="512" hidden="1" customWidth="1"/>
    <col min="23" max="24" width="8.88671875" style="4" hidden="1" customWidth="1"/>
    <col min="25" max="27" width="8.88671875" style="4"/>
    <col min="28" max="28" width="14.5546875" style="4" bestFit="1" customWidth="1"/>
    <col min="29" max="16384" width="8.88671875" style="4"/>
  </cols>
  <sheetData>
    <row r="1" spans="1:23" ht="28.5" customHeight="1">
      <c r="A1" s="653" t="s">
        <v>0</v>
      </c>
      <c r="B1" s="653"/>
      <c r="C1" s="653"/>
      <c r="D1" s="653"/>
      <c r="E1" s="653"/>
      <c r="F1" s="653"/>
      <c r="G1" s="653"/>
      <c r="H1" s="653"/>
      <c r="I1" s="653"/>
      <c r="J1" s="653"/>
      <c r="K1" s="653"/>
      <c r="L1" s="653"/>
      <c r="M1" s="653"/>
      <c r="N1" s="653"/>
      <c r="O1" s="653"/>
      <c r="P1" s="653"/>
      <c r="Q1" s="653"/>
      <c r="S1" s="3"/>
      <c r="T1" s="3"/>
      <c r="U1" s="1"/>
      <c r="V1" s="1"/>
    </row>
    <row r="2" spans="1:23" ht="23.25" customHeight="1">
      <c r="A2" s="653" t="s">
        <v>1</v>
      </c>
      <c r="B2" s="653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3"/>
      <c r="R2" s="5"/>
      <c r="S2" s="3"/>
      <c r="T2" s="3"/>
      <c r="U2" s="1"/>
      <c r="V2" s="1"/>
    </row>
    <row r="3" spans="1:23" ht="28.5" customHeight="1">
      <c r="A3" s="654" t="s">
        <v>1270</v>
      </c>
      <c r="B3" s="654"/>
      <c r="C3" s="654"/>
      <c r="D3" s="654"/>
      <c r="E3" s="654"/>
      <c r="F3" s="654"/>
      <c r="G3" s="654"/>
      <c r="H3" s="654"/>
      <c r="I3" s="654"/>
      <c r="J3" s="654"/>
      <c r="K3" s="654"/>
      <c r="L3" s="654"/>
      <c r="M3" s="654"/>
      <c r="N3" s="654"/>
      <c r="O3" s="654"/>
      <c r="P3" s="654"/>
      <c r="Q3" s="654"/>
      <c r="S3" s="3"/>
      <c r="T3" s="3"/>
      <c r="U3" s="6"/>
      <c r="V3" s="6"/>
    </row>
    <row r="4" spans="1:23" ht="27.75" customHeight="1">
      <c r="A4" s="7"/>
      <c r="B4" s="8"/>
      <c r="C4" s="9"/>
      <c r="D4" s="10"/>
      <c r="E4" s="655" t="s">
        <v>3</v>
      </c>
      <c r="F4" s="656"/>
      <c r="G4" s="656"/>
      <c r="H4" s="656"/>
      <c r="I4" s="657"/>
      <c r="J4" s="11"/>
      <c r="K4" s="12" t="s">
        <v>4</v>
      </c>
      <c r="L4" s="13"/>
      <c r="M4" s="655" t="s">
        <v>5</v>
      </c>
      <c r="N4" s="656"/>
      <c r="O4" s="656"/>
      <c r="P4" s="656"/>
      <c r="Q4" s="657"/>
      <c r="R4" s="658" t="s">
        <v>6</v>
      </c>
      <c r="S4" s="671" t="s">
        <v>7</v>
      </c>
      <c r="T4" s="671" t="s">
        <v>8</v>
      </c>
      <c r="U4" s="661" t="s">
        <v>9</v>
      </c>
      <c r="V4" s="661" t="s">
        <v>10</v>
      </c>
    </row>
    <row r="5" spans="1:23" ht="27.75" customHeight="1">
      <c r="A5" s="664" t="s">
        <v>11</v>
      </c>
      <c r="B5" s="666" t="s">
        <v>12</v>
      </c>
      <c r="C5" s="666" t="s">
        <v>13</v>
      </c>
      <c r="D5" s="685" t="s">
        <v>14</v>
      </c>
      <c r="E5" s="687" t="s">
        <v>15</v>
      </c>
      <c r="F5" s="689" t="s">
        <v>16</v>
      </c>
      <c r="G5" s="679" t="s">
        <v>17</v>
      </c>
      <c r="H5" s="680"/>
      <c r="I5" s="681"/>
      <c r="J5" s="14" t="s">
        <v>18</v>
      </c>
      <c r="K5" s="691" t="s">
        <v>19</v>
      </c>
      <c r="L5" s="693" t="s">
        <v>20</v>
      </c>
      <c r="M5" s="664" t="s">
        <v>15</v>
      </c>
      <c r="N5" s="669" t="s">
        <v>16</v>
      </c>
      <c r="O5" s="679" t="s">
        <v>17</v>
      </c>
      <c r="P5" s="680"/>
      <c r="Q5" s="681"/>
      <c r="R5" s="659"/>
      <c r="S5" s="672"/>
      <c r="T5" s="672"/>
      <c r="U5" s="662"/>
      <c r="V5" s="662"/>
    </row>
    <row r="6" spans="1:23" ht="27.75" customHeight="1" thickBot="1">
      <c r="A6" s="665"/>
      <c r="B6" s="667"/>
      <c r="C6" s="667"/>
      <c r="D6" s="686"/>
      <c r="E6" s="688"/>
      <c r="F6" s="690"/>
      <c r="G6" s="15" t="s">
        <v>20</v>
      </c>
      <c r="H6" s="16" t="s">
        <v>21</v>
      </c>
      <c r="I6" s="17" t="s">
        <v>22</v>
      </c>
      <c r="J6" s="18"/>
      <c r="K6" s="692"/>
      <c r="L6" s="694"/>
      <c r="M6" s="668"/>
      <c r="N6" s="670"/>
      <c r="O6" s="19" t="s">
        <v>20</v>
      </c>
      <c r="P6" s="20" t="s">
        <v>21</v>
      </c>
      <c r="Q6" s="21" t="s">
        <v>22</v>
      </c>
      <c r="R6" s="660"/>
      <c r="S6" s="673"/>
      <c r="T6" s="673"/>
      <c r="U6" s="663"/>
      <c r="V6" s="663"/>
    </row>
    <row r="7" spans="1:23" ht="27.75" customHeight="1" thickTop="1">
      <c r="A7" s="22"/>
      <c r="B7" s="23" t="s">
        <v>23</v>
      </c>
      <c r="C7" s="24"/>
      <c r="D7" s="25"/>
      <c r="E7" s="26"/>
      <c r="F7" s="27"/>
      <c r="G7" s="28"/>
      <c r="H7" s="28"/>
      <c r="I7" s="28"/>
      <c r="J7" s="29"/>
      <c r="K7" s="30"/>
      <c r="L7" s="31"/>
      <c r="M7" s="32"/>
      <c r="N7" s="33"/>
      <c r="O7" s="34"/>
      <c r="P7" s="34"/>
      <c r="Q7" s="35"/>
      <c r="R7" s="36"/>
      <c r="S7" s="37"/>
      <c r="T7" s="37"/>
      <c r="U7" s="38"/>
      <c r="V7" s="38"/>
      <c r="W7" s="38"/>
    </row>
    <row r="8" spans="1:23" s="57" customFormat="1" ht="27.75" customHeight="1">
      <c r="A8" s="39">
        <v>1</v>
      </c>
      <c r="B8" s="40" t="s">
        <v>24</v>
      </c>
      <c r="C8" s="41" t="s">
        <v>25</v>
      </c>
      <c r="D8" s="42">
        <v>4012.5</v>
      </c>
      <c r="E8" s="43" t="s">
        <v>26</v>
      </c>
      <c r="F8" s="44">
        <v>0</v>
      </c>
      <c r="G8" s="45">
        <v>0</v>
      </c>
      <c r="H8" s="46">
        <v>0</v>
      </c>
      <c r="I8" s="47">
        <v>0</v>
      </c>
      <c r="J8" s="48">
        <v>46146</v>
      </c>
      <c r="K8" s="49" t="s">
        <v>1271</v>
      </c>
      <c r="L8" s="50">
        <v>4012.5</v>
      </c>
      <c r="M8" s="51" t="s">
        <v>26</v>
      </c>
      <c r="N8" s="52">
        <v>0</v>
      </c>
      <c r="O8" s="53">
        <v>0</v>
      </c>
      <c r="P8" s="53">
        <f t="shared" ref="P8:P44" si="0">ROUND((O8*0.07),2)</f>
        <v>0</v>
      </c>
      <c r="Q8" s="54">
        <f t="shared" ref="Q8:Q44" si="1">+O8+P8</f>
        <v>0</v>
      </c>
      <c r="R8" s="39"/>
      <c r="S8" s="55"/>
      <c r="T8" s="55"/>
      <c r="U8" s="56"/>
      <c r="V8" s="56"/>
    </row>
    <row r="9" spans="1:23" s="57" customFormat="1" ht="27.75" customHeight="1">
      <c r="A9" s="39">
        <v>2</v>
      </c>
      <c r="B9" s="40" t="s">
        <v>28</v>
      </c>
      <c r="C9" s="41" t="s">
        <v>29</v>
      </c>
      <c r="D9" s="58">
        <v>4012.5</v>
      </c>
      <c r="E9" s="43" t="s">
        <v>1161</v>
      </c>
      <c r="F9" s="44">
        <v>-1</v>
      </c>
      <c r="G9" s="45">
        <v>-3750</v>
      </c>
      <c r="H9" s="46">
        <v>-262.5</v>
      </c>
      <c r="I9" s="47">
        <v>-4012.5</v>
      </c>
      <c r="J9" s="48"/>
      <c r="K9" s="49"/>
      <c r="L9" s="50">
        <v>0</v>
      </c>
      <c r="M9" s="51" t="s">
        <v>26</v>
      </c>
      <c r="N9" s="52">
        <v>0</v>
      </c>
      <c r="O9" s="53">
        <f>+(D9*100/107)+G9-(L9*100/107)</f>
        <v>0</v>
      </c>
      <c r="P9" s="53">
        <f t="shared" si="0"/>
        <v>0</v>
      </c>
      <c r="Q9" s="54">
        <f t="shared" si="1"/>
        <v>0</v>
      </c>
      <c r="R9" s="39"/>
      <c r="S9" s="55"/>
      <c r="T9" s="55"/>
      <c r="U9" s="56"/>
      <c r="V9" s="56"/>
    </row>
    <row r="10" spans="1:23" s="57" customFormat="1" ht="27.75" customHeight="1">
      <c r="A10" s="39">
        <v>3</v>
      </c>
      <c r="B10" s="40" t="s">
        <v>24</v>
      </c>
      <c r="C10" s="41" t="s">
        <v>33</v>
      </c>
      <c r="D10" s="58">
        <v>4012.5</v>
      </c>
      <c r="E10" s="43" t="s">
        <v>26</v>
      </c>
      <c r="F10" s="44">
        <v>0</v>
      </c>
      <c r="G10" s="45">
        <v>0</v>
      </c>
      <c r="H10" s="46">
        <v>0</v>
      </c>
      <c r="I10" s="47">
        <v>0</v>
      </c>
      <c r="J10" s="48">
        <v>46146</v>
      </c>
      <c r="K10" s="49" t="s">
        <v>1271</v>
      </c>
      <c r="L10" s="50">
        <v>4012.5</v>
      </c>
      <c r="M10" s="51" t="s">
        <v>26</v>
      </c>
      <c r="N10" s="52">
        <v>0</v>
      </c>
      <c r="O10" s="53">
        <f t="shared" ref="O10:O23" si="2">+(D10*100/107)+G10-(L10*100/107)</f>
        <v>0</v>
      </c>
      <c r="P10" s="53">
        <f t="shared" si="0"/>
        <v>0</v>
      </c>
      <c r="Q10" s="54">
        <f t="shared" si="1"/>
        <v>0</v>
      </c>
      <c r="R10" s="39"/>
      <c r="S10" s="55"/>
      <c r="T10" s="55"/>
      <c r="U10" s="56"/>
      <c r="V10" s="56"/>
    </row>
    <row r="11" spans="1:23" s="57" customFormat="1" ht="27.75" customHeight="1">
      <c r="A11" s="39">
        <v>4</v>
      </c>
      <c r="B11" s="40" t="s">
        <v>34</v>
      </c>
      <c r="C11" s="41" t="s">
        <v>35</v>
      </c>
      <c r="D11" s="58">
        <v>4012.5</v>
      </c>
      <c r="E11" s="43" t="s">
        <v>1161</v>
      </c>
      <c r="F11" s="44">
        <v>-1</v>
      </c>
      <c r="G11" s="45">
        <v>-3750</v>
      </c>
      <c r="H11" s="46">
        <v>-262.5</v>
      </c>
      <c r="I11" s="47">
        <v>-4012.5</v>
      </c>
      <c r="J11" s="48"/>
      <c r="K11" s="49"/>
      <c r="L11" s="50">
        <v>0</v>
      </c>
      <c r="M11" s="51" t="s">
        <v>26</v>
      </c>
      <c r="N11" s="52">
        <v>0</v>
      </c>
      <c r="O11" s="53">
        <f t="shared" si="2"/>
        <v>0</v>
      </c>
      <c r="P11" s="53">
        <f t="shared" si="0"/>
        <v>0</v>
      </c>
      <c r="Q11" s="54">
        <f t="shared" si="1"/>
        <v>0</v>
      </c>
      <c r="R11" s="39"/>
      <c r="S11" s="55"/>
      <c r="T11" s="55"/>
      <c r="U11" s="56"/>
      <c r="V11" s="56"/>
    </row>
    <row r="12" spans="1:23" s="57" customFormat="1" ht="27.75" customHeight="1">
      <c r="A12" s="39">
        <v>5</v>
      </c>
      <c r="B12" s="40" t="s">
        <v>36</v>
      </c>
      <c r="C12" s="41" t="s">
        <v>37</v>
      </c>
      <c r="D12" s="58">
        <v>4012.5</v>
      </c>
      <c r="E12" s="43" t="s">
        <v>26</v>
      </c>
      <c r="F12" s="44">
        <v>0</v>
      </c>
      <c r="G12" s="45">
        <v>0</v>
      </c>
      <c r="H12" s="46">
        <v>0</v>
      </c>
      <c r="I12" s="47">
        <v>0</v>
      </c>
      <c r="J12" s="48">
        <v>46147</v>
      </c>
      <c r="K12" s="49" t="s">
        <v>1272</v>
      </c>
      <c r="L12" s="50">
        <v>4012.5</v>
      </c>
      <c r="M12" s="51" t="s">
        <v>26</v>
      </c>
      <c r="N12" s="52">
        <v>0</v>
      </c>
      <c r="O12" s="53">
        <f t="shared" si="2"/>
        <v>0</v>
      </c>
      <c r="P12" s="53">
        <f t="shared" si="0"/>
        <v>0</v>
      </c>
      <c r="Q12" s="54">
        <f t="shared" si="1"/>
        <v>0</v>
      </c>
      <c r="R12" s="39"/>
      <c r="S12" s="55"/>
      <c r="T12" s="55"/>
      <c r="U12" s="56"/>
      <c r="V12" s="56"/>
    </row>
    <row r="13" spans="1:23" s="57" customFormat="1" ht="27.75" customHeight="1">
      <c r="A13" s="39">
        <v>6</v>
      </c>
      <c r="B13" s="40" t="s">
        <v>34</v>
      </c>
      <c r="C13" s="41" t="s">
        <v>39</v>
      </c>
      <c r="D13" s="58">
        <v>4012.5</v>
      </c>
      <c r="E13" s="43" t="s">
        <v>1161</v>
      </c>
      <c r="F13" s="44">
        <v>-1</v>
      </c>
      <c r="G13" s="45">
        <v>-3750</v>
      </c>
      <c r="H13" s="46">
        <v>-262.5</v>
      </c>
      <c r="I13" s="47">
        <v>-4012.5</v>
      </c>
      <c r="J13" s="48"/>
      <c r="K13" s="49"/>
      <c r="L13" s="50">
        <v>0</v>
      </c>
      <c r="M13" s="51" t="s">
        <v>26</v>
      </c>
      <c r="N13" s="52">
        <v>0</v>
      </c>
      <c r="O13" s="53">
        <f t="shared" si="2"/>
        <v>0</v>
      </c>
      <c r="P13" s="53">
        <f t="shared" si="0"/>
        <v>0</v>
      </c>
      <c r="Q13" s="54">
        <f t="shared" si="1"/>
        <v>0</v>
      </c>
      <c r="R13" s="39"/>
      <c r="S13" s="55"/>
      <c r="T13" s="55"/>
      <c r="U13" s="56"/>
      <c r="V13" s="56"/>
    </row>
    <row r="14" spans="1:23" s="57" customFormat="1" ht="27.75" customHeight="1">
      <c r="A14" s="39">
        <v>7</v>
      </c>
      <c r="B14" s="40" t="s">
        <v>40</v>
      </c>
      <c r="C14" s="41" t="s">
        <v>41</v>
      </c>
      <c r="D14" s="58">
        <v>4012.5</v>
      </c>
      <c r="E14" s="43" t="s">
        <v>1161</v>
      </c>
      <c r="F14" s="44">
        <v>-1</v>
      </c>
      <c r="G14" s="45">
        <v>-3750</v>
      </c>
      <c r="H14" s="46">
        <v>-262.5</v>
      </c>
      <c r="I14" s="47">
        <v>-4012.5</v>
      </c>
      <c r="J14" s="48"/>
      <c r="K14" s="49"/>
      <c r="L14" s="50">
        <v>0</v>
      </c>
      <c r="M14" s="51" t="s">
        <v>26</v>
      </c>
      <c r="N14" s="52">
        <v>0</v>
      </c>
      <c r="O14" s="53">
        <f t="shared" si="2"/>
        <v>0</v>
      </c>
      <c r="P14" s="53">
        <f t="shared" si="0"/>
        <v>0</v>
      </c>
      <c r="Q14" s="54">
        <f t="shared" si="1"/>
        <v>0</v>
      </c>
      <c r="R14" s="39"/>
      <c r="S14" s="55"/>
      <c r="T14" s="55"/>
      <c r="U14" s="56"/>
      <c r="V14" s="56"/>
    </row>
    <row r="15" spans="1:23" s="57" customFormat="1" ht="27.75" customHeight="1">
      <c r="A15" s="39">
        <v>8</v>
      </c>
      <c r="B15" s="40" t="s">
        <v>43</v>
      </c>
      <c r="C15" s="41" t="s">
        <v>44</v>
      </c>
      <c r="D15" s="58">
        <v>4012.5</v>
      </c>
      <c r="E15" s="43" t="s">
        <v>45</v>
      </c>
      <c r="F15" s="44">
        <v>0</v>
      </c>
      <c r="G15" s="45">
        <v>0</v>
      </c>
      <c r="H15" s="46">
        <v>0</v>
      </c>
      <c r="I15" s="47">
        <v>0</v>
      </c>
      <c r="J15" s="48">
        <v>46144</v>
      </c>
      <c r="K15" s="49" t="s">
        <v>1273</v>
      </c>
      <c r="L15" s="50">
        <v>4012.5</v>
      </c>
      <c r="M15" s="51" t="s">
        <v>45</v>
      </c>
      <c r="N15" s="52">
        <v>0</v>
      </c>
      <c r="O15" s="53">
        <f t="shared" si="2"/>
        <v>0</v>
      </c>
      <c r="P15" s="53">
        <f t="shared" si="0"/>
        <v>0</v>
      </c>
      <c r="Q15" s="54">
        <f t="shared" si="1"/>
        <v>0</v>
      </c>
      <c r="R15" s="39"/>
      <c r="S15" s="55"/>
      <c r="T15" s="55"/>
      <c r="U15" s="56"/>
      <c r="V15" s="56"/>
    </row>
    <row r="16" spans="1:23" s="57" customFormat="1" ht="27.75" customHeight="1">
      <c r="A16" s="39">
        <v>9</v>
      </c>
      <c r="B16" s="40" t="s">
        <v>47</v>
      </c>
      <c r="C16" s="41" t="s">
        <v>48</v>
      </c>
      <c r="D16" s="58">
        <v>4012.5</v>
      </c>
      <c r="E16" s="43" t="s">
        <v>26</v>
      </c>
      <c r="F16" s="44">
        <v>0</v>
      </c>
      <c r="G16" s="45">
        <v>0</v>
      </c>
      <c r="H16" s="46">
        <v>0</v>
      </c>
      <c r="I16" s="47">
        <v>0</v>
      </c>
      <c r="J16" s="48">
        <v>46144</v>
      </c>
      <c r="K16" s="49" t="s">
        <v>1274</v>
      </c>
      <c r="L16" s="50">
        <v>4012.5</v>
      </c>
      <c r="M16" s="51" t="s">
        <v>26</v>
      </c>
      <c r="N16" s="52">
        <v>0</v>
      </c>
      <c r="O16" s="53">
        <f t="shared" si="2"/>
        <v>0</v>
      </c>
      <c r="P16" s="53">
        <f t="shared" si="0"/>
        <v>0</v>
      </c>
      <c r="Q16" s="54">
        <f t="shared" si="1"/>
        <v>0</v>
      </c>
      <c r="R16" s="39"/>
      <c r="S16" s="55"/>
      <c r="T16" s="55"/>
      <c r="U16" s="56"/>
      <c r="V16" s="56"/>
    </row>
    <row r="17" spans="1:25" s="57" customFormat="1" ht="27.75" customHeight="1">
      <c r="A17" s="39">
        <v>10</v>
      </c>
      <c r="B17" s="40" t="s">
        <v>50</v>
      </c>
      <c r="C17" s="41" t="s">
        <v>51</v>
      </c>
      <c r="D17" s="58">
        <v>4012.5</v>
      </c>
      <c r="E17" s="43" t="s">
        <v>45</v>
      </c>
      <c r="F17" s="44">
        <v>0</v>
      </c>
      <c r="G17" s="45">
        <v>0</v>
      </c>
      <c r="H17" s="46">
        <v>0</v>
      </c>
      <c r="I17" s="47">
        <v>0</v>
      </c>
      <c r="J17" s="48">
        <v>46147</v>
      </c>
      <c r="K17" s="49" t="s">
        <v>1275</v>
      </c>
      <c r="L17" s="50">
        <v>4012.5</v>
      </c>
      <c r="M17" s="51" t="s">
        <v>45</v>
      </c>
      <c r="N17" s="52">
        <v>0</v>
      </c>
      <c r="O17" s="53">
        <f t="shared" si="2"/>
        <v>0</v>
      </c>
      <c r="P17" s="53">
        <f t="shared" si="0"/>
        <v>0</v>
      </c>
      <c r="Q17" s="54">
        <f t="shared" si="1"/>
        <v>0</v>
      </c>
      <c r="R17" s="39"/>
      <c r="S17" s="55"/>
      <c r="T17" s="55"/>
      <c r="U17" s="56"/>
      <c r="V17" s="56"/>
    </row>
    <row r="18" spans="1:25" s="57" customFormat="1" ht="27.75" customHeight="1">
      <c r="A18" s="39">
        <v>11</v>
      </c>
      <c r="B18" s="40" t="s">
        <v>53</v>
      </c>
      <c r="C18" s="41" t="s">
        <v>54</v>
      </c>
      <c r="D18" s="58">
        <v>4012.5</v>
      </c>
      <c r="E18" s="43" t="s">
        <v>45</v>
      </c>
      <c r="F18" s="44">
        <v>0</v>
      </c>
      <c r="G18" s="45">
        <v>0</v>
      </c>
      <c r="H18" s="46">
        <v>0</v>
      </c>
      <c r="I18" s="47">
        <v>0</v>
      </c>
      <c r="J18" s="48" t="s">
        <v>1276</v>
      </c>
      <c r="K18" s="59" t="s">
        <v>1277</v>
      </c>
      <c r="L18" s="50">
        <v>8025</v>
      </c>
      <c r="M18" s="51" t="s">
        <v>1278</v>
      </c>
      <c r="N18" s="52">
        <v>0</v>
      </c>
      <c r="O18" s="53">
        <f t="shared" si="2"/>
        <v>-3750</v>
      </c>
      <c r="P18" s="53">
        <f t="shared" si="0"/>
        <v>-262.5</v>
      </c>
      <c r="Q18" s="54">
        <f t="shared" si="1"/>
        <v>-4012.5</v>
      </c>
      <c r="R18" s="39"/>
      <c r="S18" s="55"/>
      <c r="T18" s="55"/>
      <c r="U18" s="56"/>
      <c r="V18" s="56"/>
      <c r="Y18" s="57" t="s">
        <v>56</v>
      </c>
    </row>
    <row r="19" spans="1:25" s="57" customFormat="1" ht="27.75" customHeight="1">
      <c r="A19" s="39">
        <v>12</v>
      </c>
      <c r="B19" s="40" t="s">
        <v>57</v>
      </c>
      <c r="C19" s="41" t="s">
        <v>58</v>
      </c>
      <c r="D19" s="58">
        <v>4012.5</v>
      </c>
      <c r="E19" s="43" t="s">
        <v>26</v>
      </c>
      <c r="F19" s="44">
        <v>0</v>
      </c>
      <c r="G19" s="45">
        <v>0</v>
      </c>
      <c r="H19" s="46">
        <v>0</v>
      </c>
      <c r="I19" s="47">
        <v>0</v>
      </c>
      <c r="J19" s="48">
        <v>46143</v>
      </c>
      <c r="K19" s="49" t="s">
        <v>1279</v>
      </c>
      <c r="L19" s="50">
        <v>4012.5</v>
      </c>
      <c r="M19" s="51" t="s">
        <v>26</v>
      </c>
      <c r="N19" s="52">
        <v>0</v>
      </c>
      <c r="O19" s="53">
        <f t="shared" si="2"/>
        <v>0</v>
      </c>
      <c r="P19" s="53">
        <f t="shared" si="0"/>
        <v>0</v>
      </c>
      <c r="Q19" s="54">
        <f t="shared" si="1"/>
        <v>0</v>
      </c>
      <c r="R19" s="39"/>
      <c r="S19" s="55"/>
      <c r="T19" s="55"/>
      <c r="U19" s="56"/>
      <c r="V19" s="56"/>
    </row>
    <row r="20" spans="1:25" s="57" customFormat="1" ht="27.75" customHeight="1">
      <c r="A20" s="39">
        <v>13</v>
      </c>
      <c r="B20" s="40" t="s">
        <v>60</v>
      </c>
      <c r="C20" s="41" t="s">
        <v>61</v>
      </c>
      <c r="D20" s="58">
        <v>4012.5</v>
      </c>
      <c r="E20" s="43" t="s">
        <v>26</v>
      </c>
      <c r="F20" s="44">
        <v>0</v>
      </c>
      <c r="G20" s="45">
        <v>0</v>
      </c>
      <c r="H20" s="46">
        <v>0</v>
      </c>
      <c r="I20" s="47">
        <v>0</v>
      </c>
      <c r="J20" s="48">
        <v>46147</v>
      </c>
      <c r="K20" s="49" t="s">
        <v>1280</v>
      </c>
      <c r="L20" s="50">
        <v>4012.5</v>
      </c>
      <c r="M20" s="51" t="s">
        <v>26</v>
      </c>
      <c r="N20" s="52">
        <v>0</v>
      </c>
      <c r="O20" s="53">
        <f t="shared" si="2"/>
        <v>0</v>
      </c>
      <c r="P20" s="53">
        <f t="shared" si="0"/>
        <v>0</v>
      </c>
      <c r="Q20" s="54">
        <f t="shared" si="1"/>
        <v>0</v>
      </c>
      <c r="R20" s="39"/>
      <c r="S20" s="55"/>
      <c r="T20" s="55"/>
      <c r="U20" s="56"/>
      <c r="V20" s="56"/>
    </row>
    <row r="21" spans="1:25" s="57" customFormat="1" ht="27.75" customHeight="1">
      <c r="A21" s="39">
        <v>14</v>
      </c>
      <c r="B21" s="40" t="s">
        <v>63</v>
      </c>
      <c r="C21" s="41" t="s">
        <v>64</v>
      </c>
      <c r="D21" s="58">
        <v>4012.5</v>
      </c>
      <c r="E21" s="43" t="s">
        <v>26</v>
      </c>
      <c r="F21" s="44">
        <v>0</v>
      </c>
      <c r="G21" s="45">
        <v>0</v>
      </c>
      <c r="H21" s="46">
        <v>0</v>
      </c>
      <c r="I21" s="47">
        <v>0</v>
      </c>
      <c r="J21" s="48">
        <v>46147</v>
      </c>
      <c r="K21" s="49" t="s">
        <v>1281</v>
      </c>
      <c r="L21" s="50">
        <v>4012.5</v>
      </c>
      <c r="M21" s="51" t="s">
        <v>26</v>
      </c>
      <c r="N21" s="52">
        <v>0</v>
      </c>
      <c r="O21" s="53">
        <f t="shared" si="2"/>
        <v>0</v>
      </c>
      <c r="P21" s="53">
        <f t="shared" si="0"/>
        <v>0</v>
      </c>
      <c r="Q21" s="54">
        <f t="shared" si="1"/>
        <v>0</v>
      </c>
      <c r="R21" s="39"/>
      <c r="S21" s="55"/>
      <c r="T21" s="55"/>
      <c r="U21" s="56"/>
      <c r="V21" s="56"/>
    </row>
    <row r="22" spans="1:25" s="57" customFormat="1" ht="27.75" customHeight="1">
      <c r="A22" s="39">
        <v>15</v>
      </c>
      <c r="B22" s="40" t="s">
        <v>66</v>
      </c>
      <c r="C22" s="41" t="s">
        <v>67</v>
      </c>
      <c r="D22" s="58">
        <v>12037.5</v>
      </c>
      <c r="E22" s="43" t="s">
        <v>45</v>
      </c>
      <c r="F22" s="60">
        <v>0</v>
      </c>
      <c r="G22" s="61">
        <v>0</v>
      </c>
      <c r="H22" s="46">
        <v>0</v>
      </c>
      <c r="I22" s="47">
        <v>0</v>
      </c>
      <c r="J22" s="62">
        <v>46172</v>
      </c>
      <c r="K22" s="49" t="s">
        <v>1282</v>
      </c>
      <c r="L22" s="50">
        <v>12037.5</v>
      </c>
      <c r="M22" s="51" t="s">
        <v>45</v>
      </c>
      <c r="N22" s="52">
        <v>0</v>
      </c>
      <c r="O22" s="53">
        <f t="shared" si="2"/>
        <v>0</v>
      </c>
      <c r="P22" s="53">
        <f t="shared" si="0"/>
        <v>0</v>
      </c>
      <c r="Q22" s="54">
        <f t="shared" si="1"/>
        <v>0</v>
      </c>
      <c r="R22" s="39"/>
      <c r="S22" s="55"/>
      <c r="T22" s="55"/>
      <c r="U22" s="56"/>
      <c r="V22" s="56"/>
    </row>
    <row r="23" spans="1:25" s="57" customFormat="1" ht="27.75" customHeight="1">
      <c r="A23" s="39">
        <v>16</v>
      </c>
      <c r="B23" s="40" t="s">
        <v>66</v>
      </c>
      <c r="C23" s="41" t="s">
        <v>69</v>
      </c>
      <c r="D23" s="63">
        <v>4012.5</v>
      </c>
      <c r="E23" s="64" t="s">
        <v>45</v>
      </c>
      <c r="F23" s="44">
        <v>0</v>
      </c>
      <c r="G23" s="45">
        <v>0</v>
      </c>
      <c r="H23" s="65">
        <v>0</v>
      </c>
      <c r="I23" s="66">
        <v>0</v>
      </c>
      <c r="J23" s="62">
        <v>46172</v>
      </c>
      <c r="K23" s="49" t="s">
        <v>1283</v>
      </c>
      <c r="L23" s="50">
        <v>4012.5</v>
      </c>
      <c r="M23" s="51" t="s">
        <v>45</v>
      </c>
      <c r="N23" s="52">
        <v>0</v>
      </c>
      <c r="O23" s="53">
        <f t="shared" si="2"/>
        <v>0</v>
      </c>
      <c r="P23" s="53">
        <f t="shared" si="0"/>
        <v>0</v>
      </c>
      <c r="Q23" s="54">
        <f t="shared" si="1"/>
        <v>0</v>
      </c>
      <c r="R23" s="39"/>
      <c r="S23" s="55"/>
      <c r="T23" s="55"/>
      <c r="U23" s="56"/>
      <c r="V23" s="56"/>
    </row>
    <row r="24" spans="1:25" s="57" customFormat="1" ht="35.25" customHeight="1" thickBot="1">
      <c r="A24" s="67"/>
      <c r="B24" s="68" t="s">
        <v>22</v>
      </c>
      <c r="C24" s="69"/>
      <c r="D24" s="70">
        <f>SUM(D8:D23)</f>
        <v>72225</v>
      </c>
      <c r="E24" s="71"/>
      <c r="F24" s="72"/>
      <c r="G24" s="73">
        <f>SUM(G8:G23)-G9-G11-G13-G18-G14</f>
        <v>0</v>
      </c>
      <c r="H24" s="73">
        <f t="shared" ref="H24:I24" si="3">SUM(H8:H23)-H9-H11-H13-H18-H14</f>
        <v>0</v>
      </c>
      <c r="I24" s="73">
        <f t="shared" si="3"/>
        <v>0</v>
      </c>
      <c r="J24" s="74"/>
      <c r="K24" s="75"/>
      <c r="L24" s="76">
        <f>SUM(L8:L23)</f>
        <v>60187.5</v>
      </c>
      <c r="M24" s="77"/>
      <c r="N24" s="78"/>
      <c r="O24" s="79">
        <f>SUM(O8:O23)-O14-O9-O11-O13-O18</f>
        <v>0</v>
      </c>
      <c r="P24" s="79">
        <f t="shared" ref="P24:Q24" si="4">SUM(P8:P23)-P14-P9-P11-P13-P18</f>
        <v>0</v>
      </c>
      <c r="Q24" s="79">
        <f t="shared" si="4"/>
        <v>0</v>
      </c>
      <c r="R24" s="79">
        <f t="shared" ref="R24:X24" si="5">SUM(R8:R23)-R9-R11-R13-R15</f>
        <v>0</v>
      </c>
      <c r="S24" s="79">
        <f t="shared" si="5"/>
        <v>0</v>
      </c>
      <c r="T24" s="79">
        <f t="shared" si="5"/>
        <v>0</v>
      </c>
      <c r="U24" s="79">
        <f t="shared" si="5"/>
        <v>0</v>
      </c>
      <c r="V24" s="79">
        <f t="shared" si="5"/>
        <v>0</v>
      </c>
      <c r="W24" s="79">
        <f t="shared" si="5"/>
        <v>0</v>
      </c>
      <c r="X24" s="79">
        <f t="shared" si="5"/>
        <v>0</v>
      </c>
    </row>
    <row r="25" spans="1:25" s="91" customFormat="1" ht="27.75" customHeight="1" thickTop="1">
      <c r="A25" s="39">
        <v>1</v>
      </c>
      <c r="B25" s="80" t="s">
        <v>71</v>
      </c>
      <c r="C25" s="81" t="s">
        <v>72</v>
      </c>
      <c r="D25" s="82">
        <v>13375</v>
      </c>
      <c r="E25" s="83" t="s">
        <v>1173</v>
      </c>
      <c r="F25" s="84">
        <v>-0.5</v>
      </c>
      <c r="G25" s="85">
        <v>-6250</v>
      </c>
      <c r="H25" s="46">
        <v>-437.5</v>
      </c>
      <c r="I25" s="85">
        <v>-6687.5</v>
      </c>
      <c r="J25" s="48">
        <v>46167</v>
      </c>
      <c r="K25" s="49" t="s">
        <v>1284</v>
      </c>
      <c r="L25" s="86">
        <v>13375</v>
      </c>
      <c r="M25" s="87" t="s">
        <v>1285</v>
      </c>
      <c r="N25" s="88">
        <v>-0.5</v>
      </c>
      <c r="O25" s="518">
        <f>+(D25*100/107)+G25-(L25*100/107)</f>
        <v>-6250</v>
      </c>
      <c r="P25" s="518">
        <f t="shared" ref="P25" si="6">ROUND((O25*0.07),2)</f>
        <v>-437.5</v>
      </c>
      <c r="Q25" s="519">
        <f t="shared" ref="Q25" si="7">+O25+P25</f>
        <v>-6687.5</v>
      </c>
      <c r="R25" s="39"/>
      <c r="S25" s="55"/>
      <c r="T25" s="55"/>
      <c r="U25" s="58"/>
      <c r="V25" s="58"/>
    </row>
    <row r="26" spans="1:25" s="57" customFormat="1" ht="27.75" customHeight="1">
      <c r="A26" s="39">
        <v>2</v>
      </c>
      <c r="B26" s="92" t="s">
        <v>76</v>
      </c>
      <c r="C26" s="41" t="s">
        <v>72</v>
      </c>
      <c r="D26" s="58">
        <v>1605</v>
      </c>
      <c r="E26" s="43" t="s">
        <v>45</v>
      </c>
      <c r="F26" s="60">
        <v>0</v>
      </c>
      <c r="G26" s="47">
        <v>0</v>
      </c>
      <c r="H26" s="46">
        <v>0</v>
      </c>
      <c r="I26" s="47">
        <v>0</v>
      </c>
      <c r="J26" s="62">
        <v>46148</v>
      </c>
      <c r="K26" s="49" t="s">
        <v>1286</v>
      </c>
      <c r="L26" s="93">
        <v>1605</v>
      </c>
      <c r="M26" s="94" t="s">
        <v>45</v>
      </c>
      <c r="N26" s="95">
        <v>0</v>
      </c>
      <c r="O26" s="53">
        <f>+(D26*100/107)+G26-(L26*100/107)</f>
        <v>0</v>
      </c>
      <c r="P26" s="53">
        <f t="shared" si="0"/>
        <v>0</v>
      </c>
      <c r="Q26" s="54">
        <f t="shared" si="1"/>
        <v>0</v>
      </c>
      <c r="R26" s="39"/>
      <c r="S26" s="55"/>
      <c r="T26" s="55"/>
      <c r="U26" s="58"/>
      <c r="V26" s="58"/>
    </row>
    <row r="27" spans="1:25" s="57" customFormat="1" ht="27.75" customHeight="1" thickBot="1">
      <c r="A27" s="96"/>
      <c r="B27" s="97" t="s">
        <v>22</v>
      </c>
      <c r="C27" s="98"/>
      <c r="D27" s="99">
        <f>SUM(D25:D26)</f>
        <v>14980</v>
      </c>
      <c r="E27" s="100"/>
      <c r="F27" s="101"/>
      <c r="G27" s="102"/>
      <c r="H27" s="102"/>
      <c r="I27" s="102"/>
      <c r="J27" s="103"/>
      <c r="K27" s="104"/>
      <c r="L27" s="105">
        <f>SUM(L25:L26)</f>
        <v>14980</v>
      </c>
      <c r="M27" s="106"/>
      <c r="N27" s="107"/>
      <c r="O27" s="108"/>
      <c r="P27" s="108"/>
      <c r="Q27" s="109"/>
      <c r="R27" s="39"/>
      <c r="S27" s="55"/>
      <c r="T27" s="55"/>
      <c r="U27" s="56"/>
      <c r="V27" s="56"/>
    </row>
    <row r="28" spans="1:25" ht="27.75" customHeight="1" thickTop="1">
      <c r="A28" s="39">
        <v>1</v>
      </c>
      <c r="B28" s="40" t="s">
        <v>78</v>
      </c>
      <c r="C28" s="81" t="s">
        <v>72</v>
      </c>
      <c r="D28" s="110">
        <v>13613.82</v>
      </c>
      <c r="E28" s="111"/>
      <c r="F28" s="112">
        <v>0</v>
      </c>
      <c r="G28" s="61">
        <v>-7.4766355101019144E-4</v>
      </c>
      <c r="H28" s="46">
        <v>0</v>
      </c>
      <c r="I28" s="47">
        <v>-7.4766355101019144E-4</v>
      </c>
      <c r="J28" s="113"/>
      <c r="K28" s="114"/>
      <c r="L28" s="115">
        <v>0</v>
      </c>
      <c r="M28" s="94" t="s">
        <v>1287</v>
      </c>
      <c r="N28" s="116">
        <v>1</v>
      </c>
      <c r="O28" s="53">
        <f>+(D28*100/107)+G28-(L28*100/107)</f>
        <v>12723.195514018693</v>
      </c>
      <c r="P28" s="53">
        <f t="shared" ref="P28:P30" si="8">ROUND((O28*0.07),2)</f>
        <v>890.62</v>
      </c>
      <c r="Q28" s="54">
        <f t="shared" ref="Q28:Q30" si="9">+O28+P28</f>
        <v>13613.815514018694</v>
      </c>
      <c r="R28" s="39"/>
      <c r="S28" s="55"/>
      <c r="T28" s="55"/>
      <c r="U28" s="56"/>
      <c r="V28" s="56"/>
    </row>
    <row r="29" spans="1:25" ht="27.75" customHeight="1">
      <c r="A29" s="39">
        <v>2</v>
      </c>
      <c r="B29" s="40" t="s">
        <v>82</v>
      </c>
      <c r="C29" s="41" t="s">
        <v>72</v>
      </c>
      <c r="D29" s="110">
        <v>2037.28</v>
      </c>
      <c r="E29" s="111" t="s">
        <v>1109</v>
      </c>
      <c r="F29" s="112">
        <v>1</v>
      </c>
      <c r="G29" s="61">
        <v>223.99813084112202</v>
      </c>
      <c r="H29" s="46">
        <v>15.68</v>
      </c>
      <c r="I29" s="47">
        <v>239.67813084112203</v>
      </c>
      <c r="J29" s="113">
        <v>46143</v>
      </c>
      <c r="K29" s="114" t="s">
        <v>1288</v>
      </c>
      <c r="L29" s="115">
        <v>479.36</v>
      </c>
      <c r="M29" s="94" t="s">
        <v>1287</v>
      </c>
      <c r="N29" s="116">
        <v>1</v>
      </c>
      <c r="O29" s="53">
        <f>+(D29*100/107)+G29-(L29*100/107)</f>
        <v>1679.998130841122</v>
      </c>
      <c r="P29" s="53">
        <f t="shared" si="8"/>
        <v>117.6</v>
      </c>
      <c r="Q29" s="54">
        <f t="shared" si="9"/>
        <v>1797.5981308411219</v>
      </c>
      <c r="R29" s="39"/>
      <c r="S29" s="55"/>
      <c r="T29" s="55"/>
      <c r="U29" s="56"/>
      <c r="V29" s="56"/>
    </row>
    <row r="30" spans="1:25" ht="27.75" customHeight="1">
      <c r="A30" s="39">
        <v>3</v>
      </c>
      <c r="B30" s="40" t="s">
        <v>85</v>
      </c>
      <c r="C30" s="41" t="s">
        <v>72</v>
      </c>
      <c r="D30" s="110">
        <v>10000</v>
      </c>
      <c r="E30" s="111"/>
      <c r="F30" s="112">
        <v>0</v>
      </c>
      <c r="G30" s="61">
        <v>7.4766354737221263E-4</v>
      </c>
      <c r="H30" s="46">
        <v>0</v>
      </c>
      <c r="I30" s="47">
        <v>7.4766354737221263E-4</v>
      </c>
      <c r="J30" s="117">
        <v>46149</v>
      </c>
      <c r="K30" s="118" t="s">
        <v>1289</v>
      </c>
      <c r="L30" s="119">
        <v>10000</v>
      </c>
      <c r="M30" s="94"/>
      <c r="N30" s="116">
        <v>0</v>
      </c>
      <c r="O30" s="53">
        <f>+(D30*100/107)+G30-(L30*100/107)</f>
        <v>7.4766354737221263E-4</v>
      </c>
      <c r="P30" s="53">
        <f t="shared" si="8"/>
        <v>0</v>
      </c>
      <c r="Q30" s="54">
        <f t="shared" si="9"/>
        <v>7.4766354737221263E-4</v>
      </c>
      <c r="R30" s="39"/>
      <c r="S30" s="55"/>
      <c r="T30" s="55"/>
      <c r="U30" s="56"/>
      <c r="V30" s="56"/>
    </row>
    <row r="31" spans="1:25" s="57" customFormat="1" ht="27.75" customHeight="1" thickBot="1">
      <c r="A31" s="96"/>
      <c r="B31" s="97" t="s">
        <v>22</v>
      </c>
      <c r="C31" s="98"/>
      <c r="D31" s="99">
        <f>SUM(D28:D30)</f>
        <v>25651.1</v>
      </c>
      <c r="E31" s="100"/>
      <c r="F31" s="101"/>
      <c r="G31" s="102">
        <f>SUM(G28:G30)</f>
        <v>223.99813084111838</v>
      </c>
      <c r="H31" s="102">
        <f t="shared" ref="H31" si="10">SUM(H28:H30)</f>
        <v>15.68</v>
      </c>
      <c r="I31" s="102">
        <f>SUM(I28:I30)</f>
        <v>239.67813084111839</v>
      </c>
      <c r="J31" s="103"/>
      <c r="K31" s="104"/>
      <c r="L31" s="105">
        <f>SUM(L28+L29+L30)</f>
        <v>10479.36</v>
      </c>
      <c r="M31" s="106"/>
      <c r="N31" s="107"/>
      <c r="O31" s="108">
        <f>SUM(O28:O30)</f>
        <v>14403.194392523363</v>
      </c>
      <c r="P31" s="108">
        <f t="shared" si="0"/>
        <v>1008.22</v>
      </c>
      <c r="Q31" s="108">
        <f t="shared" si="1"/>
        <v>15411.414392523362</v>
      </c>
      <c r="R31" s="39"/>
      <c r="S31" s="55"/>
      <c r="T31" s="55"/>
      <c r="U31" s="56"/>
      <c r="V31" s="56"/>
    </row>
    <row r="32" spans="1:25" ht="27.75" hidden="1" customHeight="1" thickBot="1">
      <c r="A32" s="39">
        <v>1</v>
      </c>
      <c r="B32" s="40" t="s">
        <v>88</v>
      </c>
      <c r="C32" s="41" t="s">
        <v>72</v>
      </c>
      <c r="D32" s="120">
        <v>0</v>
      </c>
      <c r="E32" s="43"/>
      <c r="F32" s="60"/>
      <c r="G32" s="61">
        <v>0</v>
      </c>
      <c r="H32" s="46">
        <v>0</v>
      </c>
      <c r="I32" s="47">
        <v>0</v>
      </c>
      <c r="J32" s="113"/>
      <c r="K32" s="118"/>
      <c r="L32" s="121">
        <v>0</v>
      </c>
      <c r="M32" s="94"/>
      <c r="N32" s="39"/>
      <c r="O32" s="53">
        <f t="shared" ref="O32:O44" si="11">+(D32*100/107)+G32-(L32*100/107)</f>
        <v>0</v>
      </c>
      <c r="P32" s="53">
        <f t="shared" si="0"/>
        <v>0</v>
      </c>
      <c r="Q32" s="54">
        <f t="shared" si="1"/>
        <v>0</v>
      </c>
      <c r="R32" s="122"/>
      <c r="S32" s="37"/>
      <c r="T32" s="37"/>
      <c r="U32" s="38"/>
      <c r="V32" s="38"/>
    </row>
    <row r="33" spans="1:23" ht="27.75" hidden="1" customHeight="1" thickTop="1">
      <c r="A33" s="39">
        <v>2</v>
      </c>
      <c r="B33" s="40" t="s">
        <v>89</v>
      </c>
      <c r="C33" s="41" t="s">
        <v>72</v>
      </c>
      <c r="D33" s="120">
        <v>0</v>
      </c>
      <c r="E33" s="43"/>
      <c r="F33" s="60"/>
      <c r="G33" s="61">
        <v>0</v>
      </c>
      <c r="H33" s="46">
        <v>0</v>
      </c>
      <c r="I33" s="47">
        <v>0</v>
      </c>
      <c r="J33" s="113"/>
      <c r="K33" s="118"/>
      <c r="L33" s="121">
        <v>0</v>
      </c>
      <c r="M33" s="94"/>
      <c r="N33" s="39"/>
      <c r="O33" s="53">
        <f t="shared" si="11"/>
        <v>0</v>
      </c>
      <c r="P33" s="53">
        <f t="shared" si="0"/>
        <v>0</v>
      </c>
      <c r="Q33" s="54">
        <f t="shared" si="1"/>
        <v>0</v>
      </c>
      <c r="R33" s="122"/>
      <c r="S33" s="37"/>
      <c r="T33" s="37"/>
      <c r="U33" s="38"/>
      <c r="V33" s="38"/>
    </row>
    <row r="34" spans="1:23" ht="27.75" hidden="1" customHeight="1" thickTop="1">
      <c r="A34" s="39">
        <v>3</v>
      </c>
      <c r="B34" s="40" t="s">
        <v>90</v>
      </c>
      <c r="C34" s="41" t="s">
        <v>72</v>
      </c>
      <c r="D34" s="120"/>
      <c r="E34" s="43"/>
      <c r="F34" s="60"/>
      <c r="G34" s="61">
        <v>0</v>
      </c>
      <c r="H34" s="46">
        <v>0</v>
      </c>
      <c r="I34" s="47">
        <v>0</v>
      </c>
      <c r="J34" s="113"/>
      <c r="K34" s="118"/>
      <c r="L34" s="121"/>
      <c r="M34" s="94"/>
      <c r="N34" s="39"/>
      <c r="O34" s="53">
        <f t="shared" si="11"/>
        <v>0</v>
      </c>
      <c r="P34" s="53">
        <f t="shared" si="0"/>
        <v>0</v>
      </c>
      <c r="Q34" s="54">
        <f t="shared" si="1"/>
        <v>0</v>
      </c>
      <c r="R34" s="122"/>
      <c r="S34" s="37"/>
      <c r="T34" s="37"/>
      <c r="U34" s="38"/>
      <c r="V34" s="38"/>
    </row>
    <row r="35" spans="1:23" ht="27.75" hidden="1" customHeight="1" thickTop="1">
      <c r="A35" s="39">
        <v>4</v>
      </c>
      <c r="B35" s="40" t="s">
        <v>91</v>
      </c>
      <c r="C35" s="41" t="s">
        <v>72</v>
      </c>
      <c r="D35" s="120"/>
      <c r="E35" s="43"/>
      <c r="F35" s="60"/>
      <c r="G35" s="61">
        <v>0</v>
      </c>
      <c r="H35" s="46">
        <v>0</v>
      </c>
      <c r="I35" s="47">
        <v>0</v>
      </c>
      <c r="J35" s="113"/>
      <c r="K35" s="118"/>
      <c r="L35" s="121">
        <v>0</v>
      </c>
      <c r="M35" s="94"/>
      <c r="N35" s="39"/>
      <c r="O35" s="53">
        <f t="shared" si="11"/>
        <v>0</v>
      </c>
      <c r="P35" s="53">
        <f t="shared" si="0"/>
        <v>0</v>
      </c>
      <c r="Q35" s="54">
        <f t="shared" si="1"/>
        <v>0</v>
      </c>
      <c r="R35" s="122"/>
      <c r="S35" s="37"/>
      <c r="T35" s="37"/>
      <c r="U35" s="38"/>
      <c r="V35" s="38"/>
    </row>
    <row r="36" spans="1:23" ht="27.75" hidden="1" customHeight="1" thickTop="1">
      <c r="A36" s="39">
        <v>5</v>
      </c>
      <c r="B36" s="40" t="s">
        <v>92</v>
      </c>
      <c r="C36" s="41" t="s">
        <v>72</v>
      </c>
      <c r="D36" s="120"/>
      <c r="E36" s="43"/>
      <c r="F36" s="60"/>
      <c r="G36" s="61">
        <v>0</v>
      </c>
      <c r="H36" s="46">
        <v>0</v>
      </c>
      <c r="I36" s="47">
        <v>0</v>
      </c>
      <c r="J36" s="117"/>
      <c r="K36" s="118"/>
      <c r="L36" s="119">
        <v>0</v>
      </c>
      <c r="M36" s="94"/>
      <c r="N36" s="39"/>
      <c r="O36" s="53">
        <f t="shared" si="11"/>
        <v>0</v>
      </c>
      <c r="P36" s="53">
        <f t="shared" si="0"/>
        <v>0</v>
      </c>
      <c r="Q36" s="54">
        <f t="shared" si="1"/>
        <v>0</v>
      </c>
      <c r="R36" s="122"/>
      <c r="S36" s="37"/>
      <c r="T36" s="37"/>
      <c r="U36" s="38"/>
      <c r="V36" s="38"/>
    </row>
    <row r="37" spans="1:23" ht="27.75" hidden="1" customHeight="1" thickTop="1">
      <c r="A37" s="39">
        <v>6</v>
      </c>
      <c r="B37" s="123" t="s">
        <v>93</v>
      </c>
      <c r="C37" s="41" t="s">
        <v>72</v>
      </c>
      <c r="D37" s="124">
        <v>0</v>
      </c>
      <c r="E37" s="125"/>
      <c r="F37" s="126"/>
      <c r="G37" s="65">
        <v>0</v>
      </c>
      <c r="H37" s="46">
        <v>0</v>
      </c>
      <c r="I37" s="47">
        <v>0</v>
      </c>
      <c r="J37" s="127"/>
      <c r="K37" s="128"/>
      <c r="L37" s="129">
        <v>0</v>
      </c>
      <c r="M37" s="94"/>
      <c r="N37" s="39"/>
      <c r="O37" s="53">
        <f t="shared" si="11"/>
        <v>0</v>
      </c>
      <c r="P37" s="53">
        <f t="shared" si="0"/>
        <v>0</v>
      </c>
      <c r="Q37" s="54">
        <f t="shared" si="1"/>
        <v>0</v>
      </c>
      <c r="R37" s="122"/>
      <c r="S37" s="37"/>
      <c r="T37" s="37"/>
      <c r="U37" s="38"/>
      <c r="V37" s="38"/>
    </row>
    <row r="38" spans="1:23" ht="27.75" hidden="1" customHeight="1" thickTop="1">
      <c r="A38" s="39">
        <v>7</v>
      </c>
      <c r="B38" s="40" t="s">
        <v>94</v>
      </c>
      <c r="C38" s="41" t="s">
        <v>72</v>
      </c>
      <c r="D38" s="120"/>
      <c r="E38" s="43"/>
      <c r="F38" s="60"/>
      <c r="G38" s="61">
        <v>0</v>
      </c>
      <c r="H38" s="46">
        <v>0</v>
      </c>
      <c r="I38" s="47">
        <v>0</v>
      </c>
      <c r="J38" s="117"/>
      <c r="K38" s="118"/>
      <c r="L38" s="119">
        <v>0</v>
      </c>
      <c r="M38" s="94"/>
      <c r="N38" s="39"/>
      <c r="O38" s="53">
        <f t="shared" si="11"/>
        <v>0</v>
      </c>
      <c r="P38" s="53">
        <f t="shared" si="0"/>
        <v>0</v>
      </c>
      <c r="Q38" s="54">
        <f t="shared" si="1"/>
        <v>0</v>
      </c>
      <c r="R38" s="122"/>
      <c r="S38" s="37"/>
      <c r="T38" s="37"/>
      <c r="U38" s="38"/>
      <c r="V38" s="38"/>
    </row>
    <row r="39" spans="1:23" ht="27.75" hidden="1" customHeight="1" thickTop="1">
      <c r="A39" s="39">
        <v>8</v>
      </c>
      <c r="B39" s="40" t="s">
        <v>95</v>
      </c>
      <c r="C39" s="41" t="s">
        <v>72</v>
      </c>
      <c r="D39" s="120"/>
      <c r="E39" s="43"/>
      <c r="F39" s="60"/>
      <c r="G39" s="61">
        <v>0</v>
      </c>
      <c r="H39" s="46">
        <v>0</v>
      </c>
      <c r="I39" s="47">
        <v>0</v>
      </c>
      <c r="J39" s="117"/>
      <c r="K39" s="118"/>
      <c r="L39" s="119">
        <v>0</v>
      </c>
      <c r="M39" s="94"/>
      <c r="N39" s="39"/>
      <c r="O39" s="53">
        <f t="shared" si="11"/>
        <v>0</v>
      </c>
      <c r="P39" s="53">
        <f t="shared" si="0"/>
        <v>0</v>
      </c>
      <c r="Q39" s="54">
        <f t="shared" si="1"/>
        <v>0</v>
      </c>
      <c r="R39" s="122"/>
      <c r="S39" s="37"/>
      <c r="T39" s="37"/>
      <c r="U39" s="38"/>
      <c r="V39" s="38"/>
    </row>
    <row r="40" spans="1:23" ht="27.75" hidden="1" customHeight="1" thickTop="1">
      <c r="A40" s="39">
        <v>9</v>
      </c>
      <c r="B40" s="40" t="s">
        <v>96</v>
      </c>
      <c r="C40" s="41" t="s">
        <v>72</v>
      </c>
      <c r="D40" s="120"/>
      <c r="E40" s="43"/>
      <c r="F40" s="60"/>
      <c r="G40" s="61">
        <v>0</v>
      </c>
      <c r="H40" s="46">
        <v>0</v>
      </c>
      <c r="I40" s="47">
        <v>0</v>
      </c>
      <c r="J40" s="117"/>
      <c r="K40" s="118"/>
      <c r="L40" s="119">
        <v>0</v>
      </c>
      <c r="M40" s="94"/>
      <c r="N40" s="39"/>
      <c r="O40" s="53">
        <f t="shared" si="11"/>
        <v>0</v>
      </c>
      <c r="P40" s="53">
        <f t="shared" si="0"/>
        <v>0</v>
      </c>
      <c r="Q40" s="54">
        <f t="shared" si="1"/>
        <v>0</v>
      </c>
      <c r="R40" s="122"/>
      <c r="S40" s="37"/>
      <c r="T40" s="37"/>
      <c r="U40" s="38"/>
      <c r="V40" s="38"/>
    </row>
    <row r="41" spans="1:23" ht="27.75" hidden="1" customHeight="1" thickTop="1">
      <c r="A41" s="39">
        <v>10</v>
      </c>
      <c r="B41" s="40" t="s">
        <v>97</v>
      </c>
      <c r="C41" s="41" t="s">
        <v>72</v>
      </c>
      <c r="D41" s="120">
        <v>0</v>
      </c>
      <c r="E41" s="43"/>
      <c r="F41" s="60"/>
      <c r="G41" s="61">
        <v>0</v>
      </c>
      <c r="H41" s="46">
        <v>0</v>
      </c>
      <c r="I41" s="47">
        <v>0</v>
      </c>
      <c r="J41" s="117"/>
      <c r="K41" s="118"/>
      <c r="L41" s="119">
        <v>0</v>
      </c>
      <c r="M41" s="94"/>
      <c r="N41" s="39"/>
      <c r="O41" s="53">
        <f t="shared" si="11"/>
        <v>0</v>
      </c>
      <c r="P41" s="53">
        <f t="shared" si="0"/>
        <v>0</v>
      </c>
      <c r="Q41" s="54">
        <f t="shared" si="1"/>
        <v>0</v>
      </c>
      <c r="R41" s="122"/>
      <c r="S41" s="37"/>
      <c r="T41" s="37"/>
      <c r="U41" s="38"/>
      <c r="V41" s="38"/>
    </row>
    <row r="42" spans="1:23" ht="27.75" hidden="1" customHeight="1" thickTop="1">
      <c r="A42" s="39">
        <v>11</v>
      </c>
      <c r="B42" s="40" t="s">
        <v>98</v>
      </c>
      <c r="C42" s="41" t="s">
        <v>72</v>
      </c>
      <c r="D42" s="120"/>
      <c r="E42" s="43"/>
      <c r="F42" s="60"/>
      <c r="G42" s="61">
        <v>0</v>
      </c>
      <c r="H42" s="46">
        <v>0</v>
      </c>
      <c r="I42" s="47">
        <v>0</v>
      </c>
      <c r="J42" s="117"/>
      <c r="K42" s="118"/>
      <c r="L42" s="119">
        <v>0</v>
      </c>
      <c r="M42" s="94"/>
      <c r="N42" s="39"/>
      <c r="O42" s="53">
        <f t="shared" si="11"/>
        <v>0</v>
      </c>
      <c r="P42" s="53">
        <f t="shared" si="0"/>
        <v>0</v>
      </c>
      <c r="Q42" s="54">
        <f t="shared" si="1"/>
        <v>0</v>
      </c>
      <c r="R42" s="122"/>
      <c r="S42" s="37"/>
      <c r="T42" s="37"/>
      <c r="U42" s="38"/>
      <c r="V42" s="38"/>
    </row>
    <row r="43" spans="1:23" ht="27.75" hidden="1" customHeight="1" thickTop="1">
      <c r="A43" s="39">
        <v>12</v>
      </c>
      <c r="B43" s="40" t="s">
        <v>99</v>
      </c>
      <c r="C43" s="41" t="s">
        <v>72</v>
      </c>
      <c r="D43" s="120">
        <v>0</v>
      </c>
      <c r="E43" s="43"/>
      <c r="F43" s="60"/>
      <c r="G43" s="61">
        <v>0</v>
      </c>
      <c r="H43" s="46">
        <v>0</v>
      </c>
      <c r="I43" s="47">
        <v>0</v>
      </c>
      <c r="J43" s="117"/>
      <c r="K43" s="118"/>
      <c r="L43" s="119">
        <v>0</v>
      </c>
      <c r="M43" s="94"/>
      <c r="N43" s="39"/>
      <c r="O43" s="53">
        <f t="shared" si="11"/>
        <v>0</v>
      </c>
      <c r="P43" s="53">
        <f t="shared" si="0"/>
        <v>0</v>
      </c>
      <c r="Q43" s="54">
        <f t="shared" si="1"/>
        <v>0</v>
      </c>
      <c r="R43" s="122"/>
      <c r="S43" s="37"/>
      <c r="T43" s="37"/>
      <c r="U43" s="38"/>
      <c r="V43" s="38"/>
    </row>
    <row r="44" spans="1:23" ht="27.75" hidden="1" customHeight="1" thickTop="1">
      <c r="A44" s="39"/>
      <c r="B44" s="123"/>
      <c r="C44" s="41"/>
      <c r="D44" s="124"/>
      <c r="E44" s="125"/>
      <c r="F44" s="126"/>
      <c r="G44" s="65">
        <v>0</v>
      </c>
      <c r="H44" s="46">
        <v>0</v>
      </c>
      <c r="I44" s="47">
        <v>0</v>
      </c>
      <c r="J44" s="127"/>
      <c r="K44" s="128"/>
      <c r="L44" s="129"/>
      <c r="M44" s="83"/>
      <c r="N44" s="130"/>
      <c r="O44" s="53">
        <f t="shared" si="11"/>
        <v>0</v>
      </c>
      <c r="P44" s="53">
        <f t="shared" si="0"/>
        <v>0</v>
      </c>
      <c r="Q44" s="54">
        <f t="shared" si="1"/>
        <v>0</v>
      </c>
      <c r="R44" s="122"/>
      <c r="S44" s="37"/>
      <c r="T44" s="37"/>
      <c r="U44" s="38"/>
      <c r="V44" s="38"/>
    </row>
    <row r="45" spans="1:23" ht="27.75" hidden="1" customHeight="1" thickTop="1">
      <c r="A45" s="22"/>
      <c r="B45" s="131" t="s">
        <v>22</v>
      </c>
      <c r="C45" s="132"/>
      <c r="D45" s="133">
        <f>SUM(D32:D43)</f>
        <v>0</v>
      </c>
      <c r="E45" s="134"/>
      <c r="F45" s="135"/>
      <c r="G45" s="136">
        <f>SUM(G32:G43)</f>
        <v>0</v>
      </c>
      <c r="H45" s="136">
        <f t="shared" ref="H45:I45" si="12">SUM(H32:H43)</f>
        <v>0</v>
      </c>
      <c r="I45" s="136">
        <f t="shared" si="12"/>
        <v>0</v>
      </c>
      <c r="J45" s="137">
        <v>0</v>
      </c>
      <c r="K45" s="137">
        <f>SUM(K8:K44)</f>
        <v>0</v>
      </c>
      <c r="L45" s="138">
        <f>SUM(L32:L44)</f>
        <v>0</v>
      </c>
      <c r="M45" s="139"/>
      <c r="N45" s="133"/>
      <c r="O45" s="136">
        <f>SUM(O32:O44)</f>
        <v>0</v>
      </c>
      <c r="P45" s="136">
        <f t="shared" ref="P45:Q45" si="13">SUM(P32:P44)</f>
        <v>0</v>
      </c>
      <c r="Q45" s="136">
        <f t="shared" si="13"/>
        <v>0</v>
      </c>
      <c r="R45" s="36"/>
      <c r="S45" s="37"/>
      <c r="T45" s="37"/>
      <c r="U45" s="38"/>
      <c r="V45" s="38"/>
      <c r="W45" s="38"/>
    </row>
    <row r="46" spans="1:23" ht="27.75" customHeight="1" thickTop="1">
      <c r="A46" s="22"/>
      <c r="B46" s="23" t="s">
        <v>100</v>
      </c>
      <c r="C46" s="24"/>
      <c r="D46" s="25"/>
      <c r="E46" s="26"/>
      <c r="F46" s="27"/>
      <c r="G46" s="28"/>
      <c r="H46" s="28"/>
      <c r="I46" s="28"/>
      <c r="J46" s="29"/>
      <c r="K46" s="30"/>
      <c r="L46" s="31"/>
      <c r="M46" s="32"/>
      <c r="N46" s="33"/>
      <c r="O46" s="34"/>
      <c r="P46" s="34"/>
      <c r="Q46" s="35"/>
      <c r="R46" s="36"/>
      <c r="S46" s="37"/>
      <c r="T46" s="37"/>
      <c r="U46" s="38"/>
      <c r="V46" s="38"/>
      <c r="W46" s="38"/>
    </row>
    <row r="47" spans="1:23" s="57" customFormat="1" ht="27.75" customHeight="1">
      <c r="A47" s="22">
        <v>1</v>
      </c>
      <c r="B47" s="40" t="s">
        <v>101</v>
      </c>
      <c r="C47" s="140" t="s">
        <v>102</v>
      </c>
      <c r="D47" s="141">
        <v>160.5</v>
      </c>
      <c r="E47" s="142" t="s">
        <v>45</v>
      </c>
      <c r="F47" s="143">
        <v>0</v>
      </c>
      <c r="G47" s="61">
        <v>0</v>
      </c>
      <c r="H47" s="61">
        <v>0</v>
      </c>
      <c r="I47" s="47">
        <v>0</v>
      </c>
      <c r="J47" s="113"/>
      <c r="K47" s="114"/>
      <c r="L47" s="144">
        <v>0</v>
      </c>
      <c r="M47" s="145" t="s">
        <v>1287</v>
      </c>
      <c r="N47" s="146">
        <v>1</v>
      </c>
      <c r="O47" s="147">
        <f t="shared" ref="O47:O81" si="14">+(D47*100/107)+G47-(L47*100/107)</f>
        <v>150</v>
      </c>
      <c r="P47" s="147">
        <f t="shared" ref="P47" si="15">ROUND((O47*0.07),2)</f>
        <v>10.5</v>
      </c>
      <c r="Q47" s="47">
        <f t="shared" ref="Q47" si="16">+O47+P47</f>
        <v>160.5</v>
      </c>
      <c r="R47" s="146"/>
      <c r="S47" s="148"/>
      <c r="T47" s="148"/>
      <c r="U47" s="149"/>
      <c r="V47" s="149"/>
    </row>
    <row r="48" spans="1:23" s="57" customFormat="1" ht="27.75" customHeight="1">
      <c r="A48" s="22">
        <v>2</v>
      </c>
      <c r="B48" s="150" t="s">
        <v>104</v>
      </c>
      <c r="C48" s="140" t="s">
        <v>102</v>
      </c>
      <c r="D48" s="141">
        <v>321</v>
      </c>
      <c r="E48" s="142" t="s">
        <v>45</v>
      </c>
      <c r="F48" s="143">
        <v>0</v>
      </c>
      <c r="G48" s="61">
        <v>0</v>
      </c>
      <c r="H48" s="61">
        <v>0</v>
      </c>
      <c r="I48" s="47">
        <v>0</v>
      </c>
      <c r="J48" s="117">
        <v>46173</v>
      </c>
      <c r="K48" s="118" t="s">
        <v>1290</v>
      </c>
      <c r="L48" s="151">
        <v>321</v>
      </c>
      <c r="M48" s="94" t="s">
        <v>45</v>
      </c>
      <c r="N48" s="39">
        <v>0</v>
      </c>
      <c r="O48" s="147">
        <f t="shared" si="14"/>
        <v>0</v>
      </c>
      <c r="P48" s="147">
        <f>ROUND((O48*0.07),2)</f>
        <v>0</v>
      </c>
      <c r="Q48" s="47">
        <f>+O48+P48</f>
        <v>0</v>
      </c>
      <c r="R48" s="146"/>
      <c r="S48" s="148"/>
      <c r="T48" s="148"/>
      <c r="U48" s="149"/>
      <c r="V48" s="149"/>
    </row>
    <row r="49" spans="1:22" s="169" customFormat="1" ht="27.75" customHeight="1">
      <c r="A49" s="152">
        <v>3</v>
      </c>
      <c r="B49" s="153" t="s">
        <v>106</v>
      </c>
      <c r="C49" s="154" t="s">
        <v>102</v>
      </c>
      <c r="D49" s="155">
        <v>160.5</v>
      </c>
      <c r="E49" s="156" t="s">
        <v>1180</v>
      </c>
      <c r="F49" s="157">
        <v>-3</v>
      </c>
      <c r="G49" s="158">
        <v>-450</v>
      </c>
      <c r="H49" s="158">
        <v>-31.5</v>
      </c>
      <c r="I49" s="159">
        <v>-481.5</v>
      </c>
      <c r="J49" s="160"/>
      <c r="K49" s="161"/>
      <c r="L49" s="162">
        <v>0</v>
      </c>
      <c r="M49" s="163" t="s">
        <v>1291</v>
      </c>
      <c r="N49" s="164">
        <v>-2</v>
      </c>
      <c r="O49" s="165">
        <f t="shared" si="14"/>
        <v>-300</v>
      </c>
      <c r="P49" s="165">
        <f t="shared" ref="P49:P67" si="17">ROUND((O49*0.07),2)</f>
        <v>-21</v>
      </c>
      <c r="Q49" s="159">
        <f t="shared" ref="Q49:Q67" si="18">+O49+P49</f>
        <v>-321</v>
      </c>
      <c r="R49" s="166"/>
      <c r="S49" s="167"/>
      <c r="T49" s="167"/>
      <c r="U49" s="168"/>
      <c r="V49" s="168"/>
    </row>
    <row r="50" spans="1:22" s="57" customFormat="1" ht="27.75" customHeight="1">
      <c r="A50" s="22">
        <v>4</v>
      </c>
      <c r="B50" s="170" t="s">
        <v>109</v>
      </c>
      <c r="C50" s="140" t="s">
        <v>102</v>
      </c>
      <c r="D50" s="141">
        <v>321</v>
      </c>
      <c r="E50" s="142" t="s">
        <v>45</v>
      </c>
      <c r="F50" s="143">
        <v>0</v>
      </c>
      <c r="G50" s="61">
        <v>0</v>
      </c>
      <c r="H50" s="61">
        <v>0</v>
      </c>
      <c r="I50" s="47">
        <v>0</v>
      </c>
      <c r="J50" s="117">
        <v>46147</v>
      </c>
      <c r="K50" s="118" t="s">
        <v>1292</v>
      </c>
      <c r="L50" s="151">
        <v>321</v>
      </c>
      <c r="M50" s="171" t="s">
        <v>45</v>
      </c>
      <c r="N50" s="172">
        <v>0</v>
      </c>
      <c r="O50" s="147">
        <f t="shared" si="14"/>
        <v>0</v>
      </c>
      <c r="P50" s="147">
        <f t="shared" si="17"/>
        <v>0</v>
      </c>
      <c r="Q50" s="47">
        <f t="shared" si="18"/>
        <v>0</v>
      </c>
      <c r="R50" s="146"/>
      <c r="S50" s="148"/>
      <c r="T50" s="148"/>
      <c r="U50" s="149"/>
      <c r="V50" s="149"/>
    </row>
    <row r="51" spans="1:22" s="57" customFormat="1" ht="27.75" customHeight="1">
      <c r="A51" s="22">
        <v>5</v>
      </c>
      <c r="B51" s="170" t="s">
        <v>111</v>
      </c>
      <c r="C51" s="140" t="s">
        <v>102</v>
      </c>
      <c r="D51" s="141">
        <v>321</v>
      </c>
      <c r="E51" s="142" t="s">
        <v>45</v>
      </c>
      <c r="F51" s="143">
        <v>0</v>
      </c>
      <c r="G51" s="61">
        <v>0</v>
      </c>
      <c r="H51" s="61">
        <v>0</v>
      </c>
      <c r="I51" s="47">
        <v>0</v>
      </c>
      <c r="J51" s="117">
        <v>46147</v>
      </c>
      <c r="K51" s="118" t="s">
        <v>1293</v>
      </c>
      <c r="L51" s="151">
        <v>321</v>
      </c>
      <c r="M51" s="171" t="s">
        <v>45</v>
      </c>
      <c r="N51" s="172">
        <v>0</v>
      </c>
      <c r="O51" s="147">
        <f t="shared" si="14"/>
        <v>0</v>
      </c>
      <c r="P51" s="147">
        <f t="shared" si="17"/>
        <v>0</v>
      </c>
      <c r="Q51" s="47">
        <f t="shared" si="18"/>
        <v>0</v>
      </c>
      <c r="R51" s="146"/>
      <c r="S51" s="148"/>
      <c r="T51" s="148"/>
      <c r="U51" s="149"/>
      <c r="V51" s="149"/>
    </row>
    <row r="52" spans="1:22" s="57" customFormat="1" ht="27.75" customHeight="1">
      <c r="A52" s="22">
        <v>6</v>
      </c>
      <c r="B52" s="170" t="s">
        <v>113</v>
      </c>
      <c r="C52" s="140" t="s">
        <v>102</v>
      </c>
      <c r="D52" s="141">
        <v>160.5</v>
      </c>
      <c r="E52" s="142" t="s">
        <v>45</v>
      </c>
      <c r="F52" s="143">
        <v>0</v>
      </c>
      <c r="G52" s="61">
        <v>0</v>
      </c>
      <c r="H52" s="61">
        <v>0</v>
      </c>
      <c r="I52" s="47">
        <v>0</v>
      </c>
      <c r="J52" s="113">
        <v>46165</v>
      </c>
      <c r="K52" s="114" t="s">
        <v>1294</v>
      </c>
      <c r="L52" s="151">
        <v>160.5</v>
      </c>
      <c r="M52" s="171" t="s">
        <v>45</v>
      </c>
      <c r="N52" s="172">
        <v>0</v>
      </c>
      <c r="O52" s="147">
        <f t="shared" si="14"/>
        <v>0</v>
      </c>
      <c r="P52" s="147">
        <f t="shared" si="17"/>
        <v>0</v>
      </c>
      <c r="Q52" s="47">
        <f t="shared" si="18"/>
        <v>0</v>
      </c>
      <c r="R52" s="146"/>
      <c r="S52" s="148"/>
      <c r="T52" s="148"/>
      <c r="U52" s="149"/>
      <c r="V52" s="149"/>
    </row>
    <row r="53" spans="1:22" s="57" customFormat="1" ht="27.75" customHeight="1">
      <c r="A53" s="22">
        <v>7</v>
      </c>
      <c r="B53" s="170" t="s">
        <v>117</v>
      </c>
      <c r="C53" s="140" t="s">
        <v>102</v>
      </c>
      <c r="D53" s="141">
        <v>535</v>
      </c>
      <c r="E53" s="142" t="s">
        <v>45</v>
      </c>
      <c r="F53" s="143">
        <v>0</v>
      </c>
      <c r="G53" s="45">
        <v>0</v>
      </c>
      <c r="H53" s="61">
        <v>0</v>
      </c>
      <c r="I53" s="47">
        <v>0</v>
      </c>
      <c r="J53" s="113">
        <v>46157</v>
      </c>
      <c r="K53" s="114" t="s">
        <v>1295</v>
      </c>
      <c r="L53" s="151">
        <v>535</v>
      </c>
      <c r="M53" s="171" t="s">
        <v>45</v>
      </c>
      <c r="N53" s="172">
        <v>0</v>
      </c>
      <c r="O53" s="147">
        <f t="shared" si="14"/>
        <v>0</v>
      </c>
      <c r="P53" s="147">
        <f t="shared" si="17"/>
        <v>0</v>
      </c>
      <c r="Q53" s="47">
        <f t="shared" si="18"/>
        <v>0</v>
      </c>
      <c r="R53" s="146"/>
      <c r="S53" s="148"/>
      <c r="T53" s="148"/>
      <c r="U53" s="149"/>
      <c r="V53" s="149"/>
    </row>
    <row r="54" spans="1:22" s="57" customFormat="1" ht="27.75" customHeight="1">
      <c r="A54" s="22">
        <v>8</v>
      </c>
      <c r="B54" s="170" t="s">
        <v>119</v>
      </c>
      <c r="C54" s="140" t="s">
        <v>102</v>
      </c>
      <c r="D54" s="141">
        <v>321</v>
      </c>
      <c r="E54" s="142" t="s">
        <v>45</v>
      </c>
      <c r="F54" s="143">
        <v>0</v>
      </c>
      <c r="G54" s="45">
        <v>0</v>
      </c>
      <c r="H54" s="61">
        <v>0</v>
      </c>
      <c r="I54" s="47">
        <v>0</v>
      </c>
      <c r="J54" s="113">
        <v>46164</v>
      </c>
      <c r="K54" s="114" t="s">
        <v>1296</v>
      </c>
      <c r="L54" s="151">
        <v>321</v>
      </c>
      <c r="M54" s="171" t="s">
        <v>45</v>
      </c>
      <c r="N54" s="172">
        <v>0</v>
      </c>
      <c r="O54" s="147">
        <f t="shared" si="14"/>
        <v>0</v>
      </c>
      <c r="P54" s="147">
        <f t="shared" si="17"/>
        <v>0</v>
      </c>
      <c r="Q54" s="47">
        <f t="shared" si="18"/>
        <v>0</v>
      </c>
      <c r="R54" s="146"/>
      <c r="S54" s="148"/>
      <c r="T54" s="148"/>
      <c r="U54" s="149"/>
      <c r="V54" s="149"/>
    </row>
    <row r="55" spans="1:22" s="57" customFormat="1" ht="27.75" customHeight="1">
      <c r="A55" s="22">
        <v>9</v>
      </c>
      <c r="B55" s="170" t="s">
        <v>121</v>
      </c>
      <c r="C55" s="140" t="s">
        <v>102</v>
      </c>
      <c r="D55" s="173">
        <v>321</v>
      </c>
      <c r="E55" s="142" t="s">
        <v>45</v>
      </c>
      <c r="F55" s="143">
        <v>0</v>
      </c>
      <c r="G55" s="45">
        <v>0</v>
      </c>
      <c r="H55" s="61">
        <v>0</v>
      </c>
      <c r="I55" s="47">
        <v>0</v>
      </c>
      <c r="J55" s="113">
        <v>46168</v>
      </c>
      <c r="K55" s="114" t="s">
        <v>1297</v>
      </c>
      <c r="L55" s="151">
        <v>321</v>
      </c>
      <c r="M55" s="171" t="s">
        <v>45</v>
      </c>
      <c r="N55" s="172">
        <v>0</v>
      </c>
      <c r="O55" s="147">
        <f t="shared" si="14"/>
        <v>0</v>
      </c>
      <c r="P55" s="147">
        <f t="shared" si="17"/>
        <v>0</v>
      </c>
      <c r="Q55" s="47">
        <f t="shared" si="18"/>
        <v>0</v>
      </c>
      <c r="R55" s="146"/>
      <c r="S55" s="148"/>
      <c r="T55" s="148"/>
      <c r="U55" s="149"/>
      <c r="V55" s="149"/>
    </row>
    <row r="56" spans="1:22" s="57" customFormat="1" ht="27.75" customHeight="1">
      <c r="A56" s="22">
        <v>10</v>
      </c>
      <c r="B56" s="40" t="s">
        <v>123</v>
      </c>
      <c r="C56" s="140" t="s">
        <v>102</v>
      </c>
      <c r="D56" s="173">
        <v>160.5</v>
      </c>
      <c r="E56" s="142" t="s">
        <v>1161</v>
      </c>
      <c r="F56" s="143">
        <v>-1</v>
      </c>
      <c r="G56" s="45">
        <v>-150</v>
      </c>
      <c r="H56" s="61">
        <v>-10.5</v>
      </c>
      <c r="I56" s="47">
        <v>-160.5</v>
      </c>
      <c r="J56" s="113"/>
      <c r="K56" s="114"/>
      <c r="L56" s="144">
        <v>0</v>
      </c>
      <c r="M56" s="145" t="s">
        <v>45</v>
      </c>
      <c r="N56" s="146">
        <v>0</v>
      </c>
      <c r="O56" s="147">
        <f t="shared" si="14"/>
        <v>0</v>
      </c>
      <c r="P56" s="147">
        <f t="shared" si="17"/>
        <v>0</v>
      </c>
      <c r="Q56" s="47">
        <f t="shared" si="18"/>
        <v>0</v>
      </c>
      <c r="R56" s="146"/>
      <c r="S56" s="148"/>
      <c r="T56" s="148"/>
      <c r="U56" s="149"/>
      <c r="V56" s="149"/>
    </row>
    <row r="57" spans="1:22" s="57" customFormat="1" ht="27.75" customHeight="1">
      <c r="A57" s="22">
        <v>11</v>
      </c>
      <c r="B57" s="40" t="s">
        <v>126</v>
      </c>
      <c r="C57" s="140" t="s">
        <v>102</v>
      </c>
      <c r="D57" s="173">
        <v>642</v>
      </c>
      <c r="E57" s="142" t="s">
        <v>1161</v>
      </c>
      <c r="F57" s="143">
        <v>-1</v>
      </c>
      <c r="G57" s="61">
        <v>-600</v>
      </c>
      <c r="H57" s="61">
        <v>-42</v>
      </c>
      <c r="I57" s="47">
        <v>-642</v>
      </c>
      <c r="J57" s="113"/>
      <c r="K57" s="114"/>
      <c r="L57" s="144">
        <v>0</v>
      </c>
      <c r="M57" s="145" t="s">
        <v>45</v>
      </c>
      <c r="N57" s="146">
        <v>0</v>
      </c>
      <c r="O57" s="147">
        <f t="shared" si="14"/>
        <v>0</v>
      </c>
      <c r="P57" s="147">
        <f t="shared" si="17"/>
        <v>0</v>
      </c>
      <c r="Q57" s="47">
        <f t="shared" si="18"/>
        <v>0</v>
      </c>
      <c r="R57" s="146"/>
      <c r="S57" s="148"/>
      <c r="T57" s="148"/>
      <c r="U57" s="149"/>
      <c r="V57" s="149"/>
    </row>
    <row r="58" spans="1:22" s="57" customFormat="1" ht="27.75" customHeight="1">
      <c r="A58" s="22">
        <v>12</v>
      </c>
      <c r="B58" s="40" t="s">
        <v>128</v>
      </c>
      <c r="C58" s="140" t="s">
        <v>102</v>
      </c>
      <c r="D58" s="141">
        <v>642</v>
      </c>
      <c r="E58" s="142" t="s">
        <v>45</v>
      </c>
      <c r="F58" s="143">
        <v>0</v>
      </c>
      <c r="G58" s="61">
        <v>0</v>
      </c>
      <c r="H58" s="61">
        <v>0</v>
      </c>
      <c r="I58" s="47">
        <v>0</v>
      </c>
      <c r="J58" s="113">
        <v>46169</v>
      </c>
      <c r="K58" s="114" t="s">
        <v>1298</v>
      </c>
      <c r="L58" s="144">
        <v>642</v>
      </c>
      <c r="M58" s="145" t="s">
        <v>45</v>
      </c>
      <c r="N58" s="146">
        <v>0</v>
      </c>
      <c r="O58" s="147">
        <f t="shared" si="14"/>
        <v>0</v>
      </c>
      <c r="P58" s="147">
        <f t="shared" si="17"/>
        <v>0</v>
      </c>
      <c r="Q58" s="47">
        <f t="shared" si="18"/>
        <v>0</v>
      </c>
      <c r="R58" s="146"/>
      <c r="S58" s="148"/>
      <c r="T58" s="148"/>
      <c r="U58" s="149"/>
      <c r="V58" s="149"/>
    </row>
    <row r="59" spans="1:22" s="57" customFormat="1" ht="27.75" customHeight="1">
      <c r="A59" s="22">
        <v>13</v>
      </c>
      <c r="B59" s="40" t="s">
        <v>130</v>
      </c>
      <c r="C59" s="140" t="s">
        <v>102</v>
      </c>
      <c r="D59" s="141">
        <v>160.5</v>
      </c>
      <c r="E59" s="142" t="s">
        <v>1109</v>
      </c>
      <c r="F59" s="143">
        <v>1</v>
      </c>
      <c r="G59" s="61">
        <v>150</v>
      </c>
      <c r="H59" s="61">
        <v>10.5</v>
      </c>
      <c r="I59" s="47">
        <v>160.5</v>
      </c>
      <c r="J59" s="175"/>
      <c r="K59" s="176"/>
      <c r="L59" s="177">
        <v>0</v>
      </c>
      <c r="M59" s="145" t="s">
        <v>1051</v>
      </c>
      <c r="N59" s="146">
        <v>2</v>
      </c>
      <c r="O59" s="147">
        <f t="shared" si="14"/>
        <v>300</v>
      </c>
      <c r="P59" s="147">
        <f t="shared" si="17"/>
        <v>21</v>
      </c>
      <c r="Q59" s="47">
        <f t="shared" si="18"/>
        <v>321</v>
      </c>
      <c r="R59" s="146"/>
      <c r="S59" s="148"/>
      <c r="T59" s="148"/>
      <c r="U59" s="149"/>
      <c r="V59" s="149"/>
    </row>
    <row r="60" spans="1:22" s="57" customFormat="1" ht="27.75" customHeight="1">
      <c r="A60" s="22">
        <v>14</v>
      </c>
      <c r="B60" s="170" t="s">
        <v>132</v>
      </c>
      <c r="C60" s="140" t="s">
        <v>102</v>
      </c>
      <c r="D60" s="141">
        <v>321</v>
      </c>
      <c r="E60" s="142" t="s">
        <v>45</v>
      </c>
      <c r="F60" s="143">
        <v>0</v>
      </c>
      <c r="G60" s="45">
        <v>0</v>
      </c>
      <c r="H60" s="61">
        <v>0</v>
      </c>
      <c r="I60" s="47">
        <v>0</v>
      </c>
      <c r="J60" s="178">
        <v>46148</v>
      </c>
      <c r="K60" s="179" t="s">
        <v>1299</v>
      </c>
      <c r="L60" s="180">
        <v>321</v>
      </c>
      <c r="M60" s="171" t="s">
        <v>45</v>
      </c>
      <c r="N60" s="172">
        <v>0</v>
      </c>
      <c r="O60" s="147">
        <f t="shared" si="14"/>
        <v>0</v>
      </c>
      <c r="P60" s="147">
        <f t="shared" si="17"/>
        <v>0</v>
      </c>
      <c r="Q60" s="47">
        <f t="shared" si="18"/>
        <v>0</v>
      </c>
      <c r="R60" s="146"/>
      <c r="S60" s="148"/>
      <c r="T60" s="148"/>
      <c r="U60" s="149"/>
      <c r="V60" s="149"/>
    </row>
    <row r="61" spans="1:22" s="57" customFormat="1" ht="27.75" customHeight="1">
      <c r="A61" s="22">
        <v>15</v>
      </c>
      <c r="B61" s="40" t="s">
        <v>134</v>
      </c>
      <c r="C61" s="140" t="s">
        <v>102</v>
      </c>
      <c r="D61" s="141">
        <v>160.5</v>
      </c>
      <c r="E61" s="142" t="s">
        <v>45</v>
      </c>
      <c r="F61" s="143">
        <v>0</v>
      </c>
      <c r="G61" s="61">
        <v>0</v>
      </c>
      <c r="H61" s="61">
        <v>0</v>
      </c>
      <c r="I61" s="47">
        <v>0</v>
      </c>
      <c r="J61" s="175">
        <v>46167</v>
      </c>
      <c r="K61" s="176" t="s">
        <v>1300</v>
      </c>
      <c r="L61" s="177">
        <v>160.5</v>
      </c>
      <c r="M61" s="145" t="s">
        <v>45</v>
      </c>
      <c r="N61" s="146">
        <v>0</v>
      </c>
      <c r="O61" s="147">
        <f t="shared" si="14"/>
        <v>0</v>
      </c>
      <c r="P61" s="147">
        <f t="shared" si="17"/>
        <v>0</v>
      </c>
      <c r="Q61" s="47">
        <f t="shared" si="18"/>
        <v>0</v>
      </c>
      <c r="R61" s="146"/>
      <c r="S61" s="148"/>
      <c r="T61" s="148"/>
      <c r="U61" s="149"/>
      <c r="V61" s="149"/>
    </row>
    <row r="62" spans="1:22" s="57" customFormat="1" ht="27.75" customHeight="1">
      <c r="A62" s="22">
        <v>16</v>
      </c>
      <c r="B62" s="170" t="s">
        <v>136</v>
      </c>
      <c r="C62" s="140" t="s">
        <v>102</v>
      </c>
      <c r="D62" s="141">
        <v>321</v>
      </c>
      <c r="E62" s="142" t="s">
        <v>45</v>
      </c>
      <c r="F62" s="143">
        <v>0</v>
      </c>
      <c r="G62" s="45">
        <v>0</v>
      </c>
      <c r="H62" s="61">
        <v>0</v>
      </c>
      <c r="I62" s="47">
        <v>0</v>
      </c>
      <c r="J62" s="113">
        <v>46169</v>
      </c>
      <c r="K62" s="114" t="s">
        <v>1301</v>
      </c>
      <c r="L62" s="144">
        <v>321</v>
      </c>
      <c r="M62" s="171" t="s">
        <v>45</v>
      </c>
      <c r="N62" s="172">
        <v>0</v>
      </c>
      <c r="O62" s="147">
        <f t="shared" si="14"/>
        <v>0</v>
      </c>
      <c r="P62" s="147">
        <f t="shared" si="17"/>
        <v>0</v>
      </c>
      <c r="Q62" s="47">
        <f t="shared" si="18"/>
        <v>0</v>
      </c>
      <c r="R62" s="146"/>
      <c r="S62" s="148"/>
      <c r="T62" s="148"/>
      <c r="U62" s="149"/>
      <c r="V62" s="149"/>
    </row>
    <row r="63" spans="1:22" s="57" customFormat="1" ht="27.75" customHeight="1">
      <c r="A63" s="22">
        <v>17</v>
      </c>
      <c r="B63" s="181" t="s">
        <v>138</v>
      </c>
      <c r="C63" s="182" t="s">
        <v>139</v>
      </c>
      <c r="D63" s="173">
        <v>160.5</v>
      </c>
      <c r="E63" s="142" t="s">
        <v>1194</v>
      </c>
      <c r="F63" s="143">
        <v>-8</v>
      </c>
      <c r="G63" s="45">
        <v>-1200</v>
      </c>
      <c r="H63" s="61">
        <v>-84</v>
      </c>
      <c r="I63" s="47">
        <v>-1284</v>
      </c>
      <c r="J63" s="183"/>
      <c r="K63" s="184"/>
      <c r="L63" s="185">
        <v>0</v>
      </c>
      <c r="M63" s="171" t="s">
        <v>1302</v>
      </c>
      <c r="N63" s="44">
        <v>-7</v>
      </c>
      <c r="O63" s="147">
        <f t="shared" si="14"/>
        <v>-1050</v>
      </c>
      <c r="P63" s="147">
        <f t="shared" si="17"/>
        <v>-73.5</v>
      </c>
      <c r="Q63" s="47">
        <f t="shared" si="18"/>
        <v>-1123.5</v>
      </c>
      <c r="R63" s="146"/>
      <c r="S63" s="148"/>
      <c r="T63" s="148"/>
      <c r="U63" s="149"/>
      <c r="V63" s="149"/>
    </row>
    <row r="64" spans="1:22" s="57" customFormat="1" ht="27.75" customHeight="1">
      <c r="A64" s="22">
        <v>18</v>
      </c>
      <c r="B64" s="181" t="s">
        <v>142</v>
      </c>
      <c r="C64" s="182" t="s">
        <v>143</v>
      </c>
      <c r="D64" s="173">
        <v>160.5</v>
      </c>
      <c r="E64" s="142" t="s">
        <v>45</v>
      </c>
      <c r="F64" s="143">
        <v>0</v>
      </c>
      <c r="G64" s="45">
        <v>0</v>
      </c>
      <c r="H64" s="61">
        <v>0</v>
      </c>
      <c r="I64" s="47">
        <v>0</v>
      </c>
      <c r="J64" s="183">
        <v>46171</v>
      </c>
      <c r="K64" s="184" t="s">
        <v>1303</v>
      </c>
      <c r="L64" s="185">
        <v>160.5</v>
      </c>
      <c r="M64" s="186" t="s">
        <v>45</v>
      </c>
      <c r="N64" s="44">
        <v>0</v>
      </c>
      <c r="O64" s="147">
        <f t="shared" si="14"/>
        <v>0</v>
      </c>
      <c r="P64" s="147">
        <f t="shared" si="17"/>
        <v>0</v>
      </c>
      <c r="Q64" s="47">
        <f t="shared" si="18"/>
        <v>0</v>
      </c>
      <c r="R64" s="146"/>
      <c r="S64" s="148"/>
      <c r="T64" s="148"/>
      <c r="U64" s="149"/>
      <c r="V64" s="149"/>
    </row>
    <row r="65" spans="1:22" s="57" customFormat="1" ht="27.75" customHeight="1">
      <c r="A65" s="22">
        <v>19</v>
      </c>
      <c r="B65" s="40" t="s">
        <v>145</v>
      </c>
      <c r="C65" s="140" t="s">
        <v>102</v>
      </c>
      <c r="D65" s="173">
        <v>321</v>
      </c>
      <c r="E65" s="142" t="s">
        <v>45</v>
      </c>
      <c r="F65" s="143">
        <v>0</v>
      </c>
      <c r="G65" s="45">
        <v>0</v>
      </c>
      <c r="H65" s="61">
        <v>0</v>
      </c>
      <c r="I65" s="47">
        <v>0</v>
      </c>
      <c r="J65" s="175">
        <v>46164</v>
      </c>
      <c r="K65" s="176" t="s">
        <v>1304</v>
      </c>
      <c r="L65" s="177">
        <v>321</v>
      </c>
      <c r="M65" s="171" t="s">
        <v>45</v>
      </c>
      <c r="N65" s="172">
        <v>0</v>
      </c>
      <c r="O65" s="147">
        <f t="shared" si="14"/>
        <v>0</v>
      </c>
      <c r="P65" s="147">
        <f t="shared" si="17"/>
        <v>0</v>
      </c>
      <c r="Q65" s="47">
        <f t="shared" si="18"/>
        <v>0</v>
      </c>
      <c r="R65" s="146"/>
      <c r="S65" s="148"/>
      <c r="T65" s="148"/>
      <c r="U65" s="149"/>
      <c r="V65" s="149"/>
    </row>
    <row r="66" spans="1:22" s="57" customFormat="1" ht="27.75" customHeight="1">
      <c r="A66" s="22">
        <v>20</v>
      </c>
      <c r="B66" s="40" t="s">
        <v>147</v>
      </c>
      <c r="C66" s="140" t="s">
        <v>102</v>
      </c>
      <c r="D66" s="173">
        <v>160.5</v>
      </c>
      <c r="E66" s="142" t="s">
        <v>45</v>
      </c>
      <c r="F66" s="143">
        <v>0</v>
      </c>
      <c r="G66" s="45">
        <v>0</v>
      </c>
      <c r="H66" s="61">
        <v>0</v>
      </c>
      <c r="I66" s="47">
        <v>0</v>
      </c>
      <c r="J66" s="175">
        <v>46144</v>
      </c>
      <c r="K66" s="176" t="s">
        <v>1305</v>
      </c>
      <c r="L66" s="177">
        <v>160.5</v>
      </c>
      <c r="M66" s="171" t="s">
        <v>45</v>
      </c>
      <c r="N66" s="172">
        <v>0</v>
      </c>
      <c r="O66" s="147">
        <f t="shared" si="14"/>
        <v>0</v>
      </c>
      <c r="P66" s="147">
        <f t="shared" si="17"/>
        <v>0</v>
      </c>
      <c r="Q66" s="47">
        <f t="shared" si="18"/>
        <v>0</v>
      </c>
      <c r="R66" s="146"/>
      <c r="S66" s="148"/>
      <c r="T66" s="148"/>
      <c r="U66" s="149"/>
      <c r="V66" s="149"/>
    </row>
    <row r="67" spans="1:22" s="57" customFormat="1" ht="27.75" customHeight="1">
      <c r="A67" s="22">
        <v>21</v>
      </c>
      <c r="B67" s="80" t="s">
        <v>149</v>
      </c>
      <c r="C67" s="140" t="s">
        <v>102</v>
      </c>
      <c r="D67" s="173">
        <v>1070</v>
      </c>
      <c r="E67" s="142" t="s">
        <v>45</v>
      </c>
      <c r="F67" s="143">
        <v>0</v>
      </c>
      <c r="G67" s="187">
        <v>0</v>
      </c>
      <c r="H67" s="61">
        <v>0</v>
      </c>
      <c r="I67" s="47">
        <v>0</v>
      </c>
      <c r="J67" s="175">
        <v>46164</v>
      </c>
      <c r="K67" s="176" t="s">
        <v>1306</v>
      </c>
      <c r="L67" s="177">
        <v>1070</v>
      </c>
      <c r="M67" s="171" t="s">
        <v>45</v>
      </c>
      <c r="N67" s="172">
        <v>0</v>
      </c>
      <c r="O67" s="147">
        <f t="shared" si="14"/>
        <v>0</v>
      </c>
      <c r="P67" s="147">
        <f t="shared" si="17"/>
        <v>0</v>
      </c>
      <c r="Q67" s="47">
        <f t="shared" si="18"/>
        <v>0</v>
      </c>
      <c r="R67" s="188"/>
      <c r="S67" s="189"/>
      <c r="T67" s="189"/>
      <c r="U67" s="190"/>
      <c r="V67" s="190"/>
    </row>
    <row r="68" spans="1:22" s="57" customFormat="1" ht="27.75" customHeight="1">
      <c r="A68" s="22">
        <v>22</v>
      </c>
      <c r="B68" s="170" t="s">
        <v>151</v>
      </c>
      <c r="C68" s="140" t="s">
        <v>102</v>
      </c>
      <c r="D68" s="141">
        <v>160.5</v>
      </c>
      <c r="E68" s="142" t="s">
        <v>45</v>
      </c>
      <c r="F68" s="143">
        <v>0</v>
      </c>
      <c r="G68" s="45">
        <v>0</v>
      </c>
      <c r="H68" s="61">
        <v>0</v>
      </c>
      <c r="I68" s="47">
        <v>0</v>
      </c>
      <c r="J68" s="117">
        <v>46143</v>
      </c>
      <c r="K68" s="118" t="s">
        <v>1307</v>
      </c>
      <c r="L68" s="151">
        <v>160.5</v>
      </c>
      <c r="M68" s="171" t="s">
        <v>45</v>
      </c>
      <c r="N68" s="172">
        <v>0</v>
      </c>
      <c r="O68" s="147">
        <f t="shared" si="14"/>
        <v>0</v>
      </c>
      <c r="P68" s="147">
        <f>ROUND((O68*0.07),2)</f>
        <v>0</v>
      </c>
      <c r="Q68" s="47">
        <f>+O68+P68</f>
        <v>0</v>
      </c>
      <c r="R68" s="146"/>
      <c r="S68" s="148"/>
      <c r="T68" s="148"/>
      <c r="U68" s="149"/>
      <c r="V68" s="149"/>
    </row>
    <row r="69" spans="1:22" s="57" customFormat="1" ht="27.75" customHeight="1">
      <c r="A69" s="22">
        <v>23</v>
      </c>
      <c r="B69" s="170" t="s">
        <v>153</v>
      </c>
      <c r="C69" s="140" t="s">
        <v>102</v>
      </c>
      <c r="D69" s="141">
        <v>160.5</v>
      </c>
      <c r="E69" s="142" t="s">
        <v>1194</v>
      </c>
      <c r="F69" s="143">
        <v>-8</v>
      </c>
      <c r="G69" s="45">
        <v>-1200</v>
      </c>
      <c r="H69" s="61">
        <v>-84</v>
      </c>
      <c r="I69" s="47">
        <v>-1284</v>
      </c>
      <c r="J69" s="175"/>
      <c r="K69" s="176"/>
      <c r="L69" s="177">
        <v>0</v>
      </c>
      <c r="M69" s="171" t="s">
        <v>1302</v>
      </c>
      <c r="N69" s="172">
        <v>-7</v>
      </c>
      <c r="O69" s="147">
        <f t="shared" si="14"/>
        <v>-1050</v>
      </c>
      <c r="P69" s="147">
        <f>ROUND((O69*0.07),2)</f>
        <v>-73.5</v>
      </c>
      <c r="Q69" s="47">
        <f>+O69+P69</f>
        <v>-1123.5</v>
      </c>
      <c r="R69" s="146"/>
      <c r="S69" s="148"/>
      <c r="T69" s="148"/>
      <c r="U69" s="149"/>
      <c r="V69" s="149"/>
    </row>
    <row r="70" spans="1:22" s="57" customFormat="1" ht="27.75" customHeight="1">
      <c r="A70" s="22">
        <v>24</v>
      </c>
      <c r="B70" s="170" t="s">
        <v>154</v>
      </c>
      <c r="C70" s="140" t="s">
        <v>102</v>
      </c>
      <c r="D70" s="141">
        <v>321</v>
      </c>
      <c r="E70" s="142" t="s">
        <v>45</v>
      </c>
      <c r="F70" s="143">
        <v>0</v>
      </c>
      <c r="G70" s="45">
        <v>0</v>
      </c>
      <c r="H70" s="61">
        <v>0</v>
      </c>
      <c r="I70" s="47">
        <v>0</v>
      </c>
      <c r="J70" s="175">
        <v>46168</v>
      </c>
      <c r="K70" s="176" t="s">
        <v>1308</v>
      </c>
      <c r="L70" s="177">
        <v>321</v>
      </c>
      <c r="M70" s="186" t="s">
        <v>45</v>
      </c>
      <c r="N70" s="44">
        <v>0</v>
      </c>
      <c r="O70" s="147">
        <f t="shared" si="14"/>
        <v>0</v>
      </c>
      <c r="P70" s="147">
        <f>ROUND((O70*0.07),2)</f>
        <v>0</v>
      </c>
      <c r="Q70" s="47">
        <f>+O70+P70</f>
        <v>0</v>
      </c>
      <c r="R70" s="146"/>
      <c r="S70" s="148"/>
      <c r="T70" s="148"/>
      <c r="U70" s="149"/>
      <c r="V70" s="149"/>
    </row>
    <row r="71" spans="1:22" s="57" customFormat="1" ht="27.75" customHeight="1">
      <c r="A71" s="22">
        <v>25</v>
      </c>
      <c r="B71" s="191" t="s">
        <v>156</v>
      </c>
      <c r="C71" s="140" t="s">
        <v>102</v>
      </c>
      <c r="D71" s="192">
        <v>160.5</v>
      </c>
      <c r="E71" s="142" t="s">
        <v>45</v>
      </c>
      <c r="F71" s="143">
        <v>0</v>
      </c>
      <c r="G71" s="187">
        <v>0</v>
      </c>
      <c r="H71" s="61">
        <v>0</v>
      </c>
      <c r="I71" s="47">
        <v>0</v>
      </c>
      <c r="J71" s="175">
        <v>46145</v>
      </c>
      <c r="K71" s="176" t="s">
        <v>1309</v>
      </c>
      <c r="L71" s="177">
        <v>160.5</v>
      </c>
      <c r="M71" s="186" t="s">
        <v>45</v>
      </c>
      <c r="N71" s="44">
        <v>0</v>
      </c>
      <c r="O71" s="147">
        <f t="shared" si="14"/>
        <v>0</v>
      </c>
      <c r="P71" s="147">
        <f t="shared" ref="P71:P76" si="19">ROUND((O71*0.07),2)</f>
        <v>0</v>
      </c>
      <c r="Q71" s="47">
        <f t="shared" ref="Q71:Q76" si="20">+O71+P71</f>
        <v>0</v>
      </c>
      <c r="R71" s="188"/>
      <c r="S71" s="189"/>
      <c r="T71" s="189"/>
      <c r="U71" s="190"/>
      <c r="V71" s="190"/>
    </row>
    <row r="72" spans="1:22" s="57" customFormat="1" ht="27.75" customHeight="1">
      <c r="A72" s="22">
        <v>26</v>
      </c>
      <c r="B72" s="170" t="s">
        <v>158</v>
      </c>
      <c r="C72" s="140" t="s">
        <v>102</v>
      </c>
      <c r="D72" s="141">
        <v>321</v>
      </c>
      <c r="E72" s="142" t="s">
        <v>1202</v>
      </c>
      <c r="F72" s="143">
        <v>-4.1183666666666676</v>
      </c>
      <c r="G72" s="45">
        <v>-1235.5100000000002</v>
      </c>
      <c r="H72" s="61">
        <v>-86.49</v>
      </c>
      <c r="I72" s="47">
        <v>-1322.0000000000002</v>
      </c>
      <c r="J72" s="117"/>
      <c r="K72" s="118"/>
      <c r="L72" s="151">
        <v>0</v>
      </c>
      <c r="M72" s="171" t="s">
        <v>1310</v>
      </c>
      <c r="N72" s="172">
        <v>-3.1183666666666676</v>
      </c>
      <c r="O72" s="147">
        <f t="shared" si="14"/>
        <v>-935.51000000000022</v>
      </c>
      <c r="P72" s="147">
        <f t="shared" si="19"/>
        <v>-65.489999999999995</v>
      </c>
      <c r="Q72" s="47">
        <f t="shared" si="20"/>
        <v>-1001.0000000000002</v>
      </c>
      <c r="R72" s="146"/>
      <c r="S72" s="148"/>
      <c r="T72" s="148"/>
      <c r="U72" s="149"/>
      <c r="V72" s="149"/>
    </row>
    <row r="73" spans="1:22" s="57" customFormat="1" ht="27.75" customHeight="1">
      <c r="A73" s="22">
        <v>27</v>
      </c>
      <c r="B73" s="191" t="s">
        <v>161</v>
      </c>
      <c r="C73" s="140" t="s">
        <v>102</v>
      </c>
      <c r="D73" s="192">
        <v>321</v>
      </c>
      <c r="E73" s="142" t="s">
        <v>45</v>
      </c>
      <c r="F73" s="143">
        <v>0</v>
      </c>
      <c r="G73" s="187">
        <v>0</v>
      </c>
      <c r="H73" s="61">
        <v>0</v>
      </c>
      <c r="I73" s="47">
        <v>0</v>
      </c>
      <c r="J73" s="117">
        <v>46168</v>
      </c>
      <c r="K73" s="118" t="s">
        <v>1311</v>
      </c>
      <c r="L73" s="151">
        <v>321</v>
      </c>
      <c r="M73" s="171" t="s">
        <v>45</v>
      </c>
      <c r="N73" s="172">
        <v>0</v>
      </c>
      <c r="O73" s="147">
        <f t="shared" si="14"/>
        <v>0</v>
      </c>
      <c r="P73" s="147">
        <f t="shared" si="19"/>
        <v>0</v>
      </c>
      <c r="Q73" s="47">
        <f t="shared" si="20"/>
        <v>0</v>
      </c>
      <c r="R73" s="188"/>
      <c r="S73" s="189"/>
      <c r="T73" s="189"/>
      <c r="U73" s="190"/>
      <c r="V73" s="190"/>
    </row>
    <row r="74" spans="1:22" s="57" customFormat="1" ht="27.75" customHeight="1">
      <c r="A74" s="22">
        <v>28</v>
      </c>
      <c r="B74" s="191" t="s">
        <v>163</v>
      </c>
      <c r="C74" s="140" t="s">
        <v>102</v>
      </c>
      <c r="D74" s="192">
        <v>160.5</v>
      </c>
      <c r="E74" s="142" t="s">
        <v>45</v>
      </c>
      <c r="F74" s="143">
        <v>0</v>
      </c>
      <c r="G74" s="187">
        <v>0</v>
      </c>
      <c r="H74" s="61">
        <v>0</v>
      </c>
      <c r="I74" s="47">
        <v>0</v>
      </c>
      <c r="J74" s="117">
        <v>46169</v>
      </c>
      <c r="K74" s="118" t="s">
        <v>1312</v>
      </c>
      <c r="L74" s="151">
        <v>160.5</v>
      </c>
      <c r="M74" s="171" t="s">
        <v>45</v>
      </c>
      <c r="N74" s="172">
        <v>0</v>
      </c>
      <c r="O74" s="147">
        <f t="shared" si="14"/>
        <v>0</v>
      </c>
      <c r="P74" s="147">
        <f t="shared" si="19"/>
        <v>0</v>
      </c>
      <c r="Q74" s="47">
        <f t="shared" si="20"/>
        <v>0</v>
      </c>
      <c r="R74" s="188"/>
      <c r="S74" s="189"/>
      <c r="T74" s="189"/>
      <c r="U74" s="190"/>
      <c r="V74" s="190"/>
    </row>
    <row r="75" spans="1:22" s="57" customFormat="1" ht="27.75" customHeight="1">
      <c r="A75" s="22">
        <v>29</v>
      </c>
      <c r="B75" s="170" t="s">
        <v>165</v>
      </c>
      <c r="C75" s="140" t="s">
        <v>102</v>
      </c>
      <c r="D75" s="141">
        <v>1070</v>
      </c>
      <c r="E75" s="142" t="s">
        <v>45</v>
      </c>
      <c r="F75" s="143">
        <v>0</v>
      </c>
      <c r="G75" s="45">
        <v>0</v>
      </c>
      <c r="H75" s="61">
        <v>0</v>
      </c>
      <c r="I75" s="47">
        <v>0</v>
      </c>
      <c r="J75" s="175">
        <v>46149</v>
      </c>
      <c r="K75" s="176" t="s">
        <v>1313</v>
      </c>
      <c r="L75" s="177">
        <v>1070</v>
      </c>
      <c r="M75" s="171" t="s">
        <v>45</v>
      </c>
      <c r="N75" s="172">
        <v>0</v>
      </c>
      <c r="O75" s="147">
        <f t="shared" si="14"/>
        <v>0</v>
      </c>
      <c r="P75" s="147">
        <f t="shared" si="19"/>
        <v>0</v>
      </c>
      <c r="Q75" s="47">
        <f t="shared" si="20"/>
        <v>0</v>
      </c>
      <c r="R75" s="146"/>
      <c r="S75" s="148"/>
      <c r="T75" s="148"/>
      <c r="U75" s="149"/>
      <c r="V75" s="149"/>
    </row>
    <row r="76" spans="1:22" s="57" customFormat="1" ht="27.75" customHeight="1">
      <c r="A76" s="22">
        <v>30</v>
      </c>
      <c r="B76" s="191" t="s">
        <v>167</v>
      </c>
      <c r="C76" s="140" t="s">
        <v>102</v>
      </c>
      <c r="D76" s="192">
        <v>535</v>
      </c>
      <c r="E76" s="142" t="s">
        <v>45</v>
      </c>
      <c r="F76" s="143">
        <v>0</v>
      </c>
      <c r="G76" s="187">
        <v>0</v>
      </c>
      <c r="H76" s="61">
        <v>0</v>
      </c>
      <c r="I76" s="47">
        <v>0</v>
      </c>
      <c r="J76" s="117">
        <v>46170</v>
      </c>
      <c r="K76" s="118" t="s">
        <v>1314</v>
      </c>
      <c r="L76" s="151">
        <v>535</v>
      </c>
      <c r="M76" s="171" t="s">
        <v>45</v>
      </c>
      <c r="N76" s="172">
        <v>0</v>
      </c>
      <c r="O76" s="147">
        <f t="shared" si="14"/>
        <v>0</v>
      </c>
      <c r="P76" s="147">
        <f t="shared" si="19"/>
        <v>0</v>
      </c>
      <c r="Q76" s="47">
        <f t="shared" si="20"/>
        <v>0</v>
      </c>
      <c r="R76" s="188"/>
      <c r="S76" s="189"/>
      <c r="T76" s="189"/>
      <c r="U76" s="190"/>
      <c r="V76" s="190"/>
    </row>
    <row r="77" spans="1:22" s="57" customFormat="1" ht="27.75" customHeight="1">
      <c r="A77" s="22">
        <v>31</v>
      </c>
      <c r="B77" s="170" t="s">
        <v>169</v>
      </c>
      <c r="C77" s="140" t="s">
        <v>102</v>
      </c>
      <c r="D77" s="173">
        <v>321</v>
      </c>
      <c r="E77" s="142" t="s">
        <v>45</v>
      </c>
      <c r="F77" s="143">
        <v>0</v>
      </c>
      <c r="G77" s="45">
        <v>0</v>
      </c>
      <c r="H77" s="61">
        <v>0</v>
      </c>
      <c r="I77" s="47">
        <v>0</v>
      </c>
      <c r="J77" s="175">
        <v>46169</v>
      </c>
      <c r="K77" s="176" t="s">
        <v>1315</v>
      </c>
      <c r="L77" s="177">
        <v>321</v>
      </c>
      <c r="M77" s="171" t="s">
        <v>45</v>
      </c>
      <c r="N77" s="172">
        <v>0</v>
      </c>
      <c r="O77" s="147">
        <f t="shared" si="14"/>
        <v>0</v>
      </c>
      <c r="P77" s="147">
        <f>ROUND((O77*0.07),2)</f>
        <v>0</v>
      </c>
      <c r="Q77" s="47">
        <f>+O77+P77</f>
        <v>0</v>
      </c>
      <c r="R77" s="146"/>
      <c r="S77" s="148"/>
      <c r="T77" s="148"/>
      <c r="U77" s="149"/>
      <c r="V77" s="149"/>
    </row>
    <row r="78" spans="1:22" s="57" customFormat="1" ht="27.75" customHeight="1">
      <c r="A78" s="22">
        <v>32</v>
      </c>
      <c r="B78" s="191" t="s">
        <v>171</v>
      </c>
      <c r="C78" s="140" t="s">
        <v>102</v>
      </c>
      <c r="D78" s="173">
        <v>963</v>
      </c>
      <c r="E78" s="142" t="s">
        <v>45</v>
      </c>
      <c r="F78" s="143">
        <v>0</v>
      </c>
      <c r="G78" s="187">
        <v>0</v>
      </c>
      <c r="H78" s="61">
        <v>0</v>
      </c>
      <c r="I78" s="47">
        <v>0</v>
      </c>
      <c r="J78" s="175">
        <v>46169</v>
      </c>
      <c r="K78" s="176" t="s">
        <v>1316</v>
      </c>
      <c r="L78" s="177">
        <v>963</v>
      </c>
      <c r="M78" s="171" t="s">
        <v>45</v>
      </c>
      <c r="N78" s="172">
        <v>0</v>
      </c>
      <c r="O78" s="147">
        <f t="shared" si="14"/>
        <v>0</v>
      </c>
      <c r="P78" s="147">
        <f t="shared" ref="P78:P81" si="21">ROUND((O78*0.07),2)</f>
        <v>0</v>
      </c>
      <c r="Q78" s="47">
        <f t="shared" ref="Q78:Q81" si="22">+O78+P78</f>
        <v>0</v>
      </c>
      <c r="R78" s="188"/>
      <c r="S78" s="189"/>
      <c r="T78" s="189"/>
      <c r="U78" s="190"/>
      <c r="V78" s="190"/>
    </row>
    <row r="79" spans="1:22" s="57" customFormat="1" ht="27.75" customHeight="1">
      <c r="A79" s="22">
        <v>33</v>
      </c>
      <c r="B79" s="191" t="s">
        <v>173</v>
      </c>
      <c r="C79" s="140" t="s">
        <v>102</v>
      </c>
      <c r="D79" s="173">
        <v>321</v>
      </c>
      <c r="E79" s="142" t="s">
        <v>45</v>
      </c>
      <c r="F79" s="143">
        <v>0</v>
      </c>
      <c r="G79" s="187">
        <v>0</v>
      </c>
      <c r="H79" s="61">
        <v>0</v>
      </c>
      <c r="I79" s="47">
        <v>0</v>
      </c>
      <c r="J79" s="175">
        <v>46143</v>
      </c>
      <c r="K79" s="176" t="s">
        <v>1317</v>
      </c>
      <c r="L79" s="177">
        <v>321</v>
      </c>
      <c r="M79" s="171" t="s">
        <v>45</v>
      </c>
      <c r="N79" s="172">
        <v>0</v>
      </c>
      <c r="O79" s="147">
        <f t="shared" si="14"/>
        <v>0</v>
      </c>
      <c r="P79" s="147">
        <f t="shared" si="21"/>
        <v>0</v>
      </c>
      <c r="Q79" s="47">
        <f t="shared" si="22"/>
        <v>0</v>
      </c>
      <c r="R79" s="188"/>
      <c r="S79" s="189"/>
      <c r="T79" s="189"/>
      <c r="U79" s="190"/>
      <c r="V79" s="190"/>
    </row>
    <row r="80" spans="1:22" s="57" customFormat="1" ht="27.75" customHeight="1">
      <c r="A80" s="22">
        <v>34</v>
      </c>
      <c r="B80" s="191" t="s">
        <v>175</v>
      </c>
      <c r="C80" s="140" t="s">
        <v>102</v>
      </c>
      <c r="D80" s="173">
        <v>321</v>
      </c>
      <c r="E80" s="142" t="s">
        <v>26</v>
      </c>
      <c r="F80" s="143">
        <v>0</v>
      </c>
      <c r="G80" s="187">
        <v>0</v>
      </c>
      <c r="H80" s="61">
        <v>0</v>
      </c>
      <c r="I80" s="47">
        <v>0</v>
      </c>
      <c r="J80" s="175">
        <v>46144</v>
      </c>
      <c r="K80" s="176" t="s">
        <v>1318</v>
      </c>
      <c r="L80" s="177">
        <v>321</v>
      </c>
      <c r="M80" s="171" t="s">
        <v>26</v>
      </c>
      <c r="N80" s="172">
        <v>0</v>
      </c>
      <c r="O80" s="147">
        <f t="shared" si="14"/>
        <v>0</v>
      </c>
      <c r="P80" s="147">
        <f t="shared" si="21"/>
        <v>0</v>
      </c>
      <c r="Q80" s="47">
        <f t="shared" si="22"/>
        <v>0</v>
      </c>
      <c r="R80" s="188"/>
      <c r="S80" s="189"/>
      <c r="T80" s="189"/>
      <c r="U80" s="190"/>
      <c r="V80" s="190"/>
    </row>
    <row r="81" spans="1:23" s="57" customFormat="1" ht="27.75" customHeight="1">
      <c r="A81" s="22">
        <v>35</v>
      </c>
      <c r="B81" s="191" t="s">
        <v>177</v>
      </c>
      <c r="C81" s="140" t="s">
        <v>102</v>
      </c>
      <c r="D81" s="192">
        <v>321</v>
      </c>
      <c r="E81" s="142" t="s">
        <v>45</v>
      </c>
      <c r="F81" s="143">
        <v>0</v>
      </c>
      <c r="G81" s="187">
        <v>0</v>
      </c>
      <c r="H81" s="61">
        <v>0</v>
      </c>
      <c r="I81" s="47">
        <v>0</v>
      </c>
      <c r="J81" s="117">
        <v>46168</v>
      </c>
      <c r="K81" s="118" t="s">
        <v>1319</v>
      </c>
      <c r="L81" s="151">
        <v>321</v>
      </c>
      <c r="M81" s="171" t="s">
        <v>45</v>
      </c>
      <c r="N81" s="172">
        <v>0</v>
      </c>
      <c r="O81" s="147">
        <f t="shared" si="14"/>
        <v>0</v>
      </c>
      <c r="P81" s="147">
        <f t="shared" si="21"/>
        <v>0</v>
      </c>
      <c r="Q81" s="47">
        <f t="shared" si="22"/>
        <v>0</v>
      </c>
      <c r="R81" s="188"/>
      <c r="S81" s="189"/>
      <c r="T81" s="189"/>
      <c r="U81" s="190"/>
      <c r="V81" s="190"/>
    </row>
    <row r="82" spans="1:23" ht="27.75" customHeight="1" thickBot="1">
      <c r="A82" s="193"/>
      <c r="B82" s="194" t="s">
        <v>22</v>
      </c>
      <c r="C82" s="195"/>
      <c r="D82" s="196">
        <f>SUM(D47:D81)</f>
        <v>12358.5</v>
      </c>
      <c r="E82" s="196"/>
      <c r="F82" s="197"/>
      <c r="G82" s="198">
        <f>SUM(G59)</f>
        <v>150</v>
      </c>
      <c r="H82" s="198">
        <f t="shared" ref="H82:I82" si="23">SUM(H59)</f>
        <v>10.5</v>
      </c>
      <c r="I82" s="198">
        <f t="shared" si="23"/>
        <v>160.5</v>
      </c>
      <c r="J82" s="199"/>
      <c r="K82" s="199"/>
      <c r="L82" s="196">
        <f>SUM(L47:L81)</f>
        <v>10432.5</v>
      </c>
      <c r="M82" s="200"/>
      <c r="N82" s="196"/>
      <c r="O82" s="198">
        <f>SUM(O47:O81)-O49-O56-O57-O63-O69-O72</f>
        <v>450</v>
      </c>
      <c r="P82" s="198">
        <f t="shared" ref="P82:Q82" si="24">SUM(P47:P81)-P49-P56-P57-P63-P69-P72</f>
        <v>31.499999999999986</v>
      </c>
      <c r="Q82" s="198">
        <f t="shared" si="24"/>
        <v>481.50000000000023</v>
      </c>
      <c r="R82" s="36"/>
      <c r="S82" s="37"/>
      <c r="T82" s="37"/>
      <c r="U82" s="38"/>
      <c r="V82" s="38"/>
      <c r="W82" s="38"/>
    </row>
    <row r="83" spans="1:23" ht="27.75" customHeight="1" thickTop="1">
      <c r="A83" s="22"/>
      <c r="B83" s="23" t="s">
        <v>179</v>
      </c>
      <c r="C83" s="24"/>
      <c r="D83" s="25"/>
      <c r="E83" s="26"/>
      <c r="F83" s="27"/>
      <c r="G83" s="28"/>
      <c r="H83" s="28"/>
      <c r="I83" s="28"/>
      <c r="J83" s="29"/>
      <c r="K83" s="30"/>
      <c r="L83" s="31"/>
      <c r="M83" s="32"/>
      <c r="N83" s="33"/>
      <c r="O83" s="34"/>
      <c r="P83" s="34"/>
      <c r="Q83" s="35"/>
      <c r="R83" s="36"/>
      <c r="S83" s="37"/>
      <c r="T83" s="37"/>
      <c r="U83" s="38"/>
      <c r="V83" s="38"/>
      <c r="W83" s="38"/>
    </row>
    <row r="84" spans="1:23" ht="27.75" customHeight="1">
      <c r="A84" s="94">
        <v>1</v>
      </c>
      <c r="B84" s="40" t="s">
        <v>180</v>
      </c>
      <c r="C84" s="41" t="s">
        <v>181</v>
      </c>
      <c r="D84" s="562">
        <v>200.625</v>
      </c>
      <c r="E84" s="43" t="s">
        <v>1109</v>
      </c>
      <c r="F84" s="44">
        <v>1</v>
      </c>
      <c r="G84" s="45">
        <v>150</v>
      </c>
      <c r="H84" s="61">
        <v>10.5</v>
      </c>
      <c r="I84" s="47">
        <v>160.5</v>
      </c>
      <c r="J84" s="48">
        <v>46149</v>
      </c>
      <c r="K84" s="49" t="s">
        <v>1320</v>
      </c>
      <c r="L84" s="202">
        <v>160.5</v>
      </c>
      <c r="M84" s="83" t="s">
        <v>1287</v>
      </c>
      <c r="N84" s="39">
        <v>1</v>
      </c>
      <c r="O84" s="147">
        <f>+(D84*100/107)+G84-(L84*100/107)</f>
        <v>187.5</v>
      </c>
      <c r="P84" s="147">
        <f t="shared" ref="P84:P88" si="25">ROUND((O84*0.07),2)</f>
        <v>13.13</v>
      </c>
      <c r="Q84" s="47">
        <f t="shared" ref="Q84:Q88" si="26">+O84+P84</f>
        <v>200.63</v>
      </c>
      <c r="R84" s="116"/>
      <c r="S84" s="203"/>
      <c r="T84" s="203"/>
      <c r="U84" s="204"/>
      <c r="V84" s="204"/>
    </row>
    <row r="85" spans="1:23" ht="27.75" customHeight="1">
      <c r="A85" s="94">
        <v>2</v>
      </c>
      <c r="B85" s="40" t="s">
        <v>184</v>
      </c>
      <c r="C85" s="41" t="s">
        <v>181</v>
      </c>
      <c r="D85" s="562">
        <v>3370.5</v>
      </c>
      <c r="E85" s="43" t="s">
        <v>45</v>
      </c>
      <c r="F85" s="44">
        <v>0</v>
      </c>
      <c r="G85" s="45">
        <v>0</v>
      </c>
      <c r="H85" s="61">
        <v>0</v>
      </c>
      <c r="I85" s="47">
        <v>0</v>
      </c>
      <c r="J85" s="48">
        <v>46150</v>
      </c>
      <c r="K85" s="49" t="s">
        <v>1321</v>
      </c>
      <c r="L85" s="202">
        <v>3370.5</v>
      </c>
      <c r="M85" s="94" t="s">
        <v>45</v>
      </c>
      <c r="N85" s="116">
        <v>0</v>
      </c>
      <c r="O85" s="147">
        <f>+(D85*100/107)+G85-(L85*100/107)</f>
        <v>0</v>
      </c>
      <c r="P85" s="147">
        <f t="shared" si="25"/>
        <v>0</v>
      </c>
      <c r="Q85" s="47">
        <f t="shared" si="26"/>
        <v>0</v>
      </c>
      <c r="R85" s="116"/>
      <c r="S85" s="203"/>
      <c r="T85" s="203"/>
      <c r="U85" s="204"/>
      <c r="V85" s="204"/>
    </row>
    <row r="86" spans="1:23" ht="27.75" customHeight="1">
      <c r="A86" s="94">
        <v>3</v>
      </c>
      <c r="B86" s="205" t="s">
        <v>186</v>
      </c>
      <c r="C86" s="206" t="s">
        <v>181</v>
      </c>
      <c r="D86" s="563">
        <v>3370.5</v>
      </c>
      <c r="E86" s="64" t="s">
        <v>45</v>
      </c>
      <c r="F86" s="44">
        <v>0</v>
      </c>
      <c r="G86" s="45">
        <v>0</v>
      </c>
      <c r="H86" s="61">
        <v>0</v>
      </c>
      <c r="I86" s="47">
        <v>0</v>
      </c>
      <c r="J86" s="48">
        <v>46170</v>
      </c>
      <c r="K86" s="49" t="s">
        <v>1322</v>
      </c>
      <c r="L86" s="202">
        <v>3370.5</v>
      </c>
      <c r="M86" s="186" t="s">
        <v>45</v>
      </c>
      <c r="N86" s="116">
        <v>0</v>
      </c>
      <c r="O86" s="147">
        <f>+(D86*100/107)+G86-(L86*100/107)</f>
        <v>0</v>
      </c>
      <c r="P86" s="147">
        <f t="shared" si="25"/>
        <v>0</v>
      </c>
      <c r="Q86" s="47">
        <f t="shared" si="26"/>
        <v>0</v>
      </c>
      <c r="R86" s="116"/>
      <c r="S86" s="203"/>
      <c r="T86" s="203"/>
      <c r="U86" s="204"/>
      <c r="V86" s="204"/>
    </row>
    <row r="87" spans="1:23" ht="27.75" customHeight="1">
      <c r="A87" s="186">
        <v>4</v>
      </c>
      <c r="B87" s="205" t="s">
        <v>188</v>
      </c>
      <c r="C87" s="206" t="s">
        <v>181</v>
      </c>
      <c r="D87" s="563">
        <v>2140</v>
      </c>
      <c r="E87" s="64" t="s">
        <v>26</v>
      </c>
      <c r="F87" s="44">
        <v>0</v>
      </c>
      <c r="G87" s="45">
        <v>0</v>
      </c>
      <c r="H87" s="45">
        <v>0</v>
      </c>
      <c r="I87" s="66">
        <v>0</v>
      </c>
      <c r="J87" s="48">
        <v>46147</v>
      </c>
      <c r="K87" s="49" t="s">
        <v>1323</v>
      </c>
      <c r="L87" s="202">
        <v>2140</v>
      </c>
      <c r="M87" s="186" t="s">
        <v>26</v>
      </c>
      <c r="N87" s="116">
        <v>0</v>
      </c>
      <c r="O87" s="147">
        <f>+(D87*100/107)+G87-(L87*100/107)</f>
        <v>0</v>
      </c>
      <c r="P87" s="147">
        <f t="shared" si="25"/>
        <v>0</v>
      </c>
      <c r="Q87" s="47">
        <f t="shared" si="26"/>
        <v>0</v>
      </c>
      <c r="R87" s="116"/>
      <c r="S87" s="203"/>
      <c r="T87" s="203"/>
      <c r="U87" s="204"/>
      <c r="V87" s="204"/>
    </row>
    <row r="88" spans="1:23" s="220" customFormat="1" ht="27.75" customHeight="1">
      <c r="A88" s="186">
        <v>5</v>
      </c>
      <c r="B88" s="208" t="s">
        <v>71</v>
      </c>
      <c r="C88" s="209" t="s">
        <v>181</v>
      </c>
      <c r="D88" s="564">
        <v>2675</v>
      </c>
      <c r="E88" s="211" t="s">
        <v>1173</v>
      </c>
      <c r="F88" s="212">
        <v>-0.5</v>
      </c>
      <c r="G88" s="213">
        <v>-1250</v>
      </c>
      <c r="H88" s="213">
        <v>-87.5</v>
      </c>
      <c r="I88" s="214">
        <v>-1337.5</v>
      </c>
      <c r="J88" s="62">
        <v>46167</v>
      </c>
      <c r="K88" s="215" t="s">
        <v>1324</v>
      </c>
      <c r="L88" s="202">
        <v>2675</v>
      </c>
      <c r="M88" s="216" t="s">
        <v>1285</v>
      </c>
      <c r="N88" s="217">
        <v>-0.5</v>
      </c>
      <c r="O88" s="147">
        <f>+(D88*100/107)+G88-(L88*100/107)</f>
        <v>-1250</v>
      </c>
      <c r="P88" s="147">
        <f t="shared" si="25"/>
        <v>-87.5</v>
      </c>
      <c r="Q88" s="47">
        <f t="shared" si="26"/>
        <v>-1337.5</v>
      </c>
      <c r="R88" s="217"/>
      <c r="S88" s="218"/>
      <c r="T88" s="218"/>
      <c r="U88" s="219"/>
      <c r="V88" s="219"/>
    </row>
    <row r="89" spans="1:23" ht="27.75" customHeight="1" thickBot="1">
      <c r="A89" s="193"/>
      <c r="B89" s="194" t="s">
        <v>22</v>
      </c>
      <c r="C89" s="195"/>
      <c r="D89" s="196">
        <f>SUM(D84:D88)</f>
        <v>11756.625</v>
      </c>
      <c r="E89" s="221"/>
      <c r="F89" s="197"/>
      <c r="G89" s="198">
        <f>SUM(G84:G88)-G88</f>
        <v>150</v>
      </c>
      <c r="H89" s="198">
        <f t="shared" ref="H89:I89" si="27">SUM(H84:H88)-H88</f>
        <v>10.5</v>
      </c>
      <c r="I89" s="198">
        <f t="shared" si="27"/>
        <v>160.5</v>
      </c>
      <c r="J89" s="199"/>
      <c r="K89" s="199"/>
      <c r="L89" s="196">
        <f>SUM(L84:L88)</f>
        <v>11716.5</v>
      </c>
      <c r="M89" s="200"/>
      <c r="N89" s="196"/>
      <c r="O89" s="198">
        <f>SUM(O84:O87)</f>
        <v>187.5</v>
      </c>
      <c r="P89" s="198">
        <f>SUM(P84:P87)</f>
        <v>13.13</v>
      </c>
      <c r="Q89" s="198">
        <f t="shared" ref="Q89" si="28">ROUND(SUM(Q84:Q88),2)-Q88</f>
        <v>200.63000000000011</v>
      </c>
      <c r="R89" s="36"/>
      <c r="S89" s="37"/>
      <c r="T89" s="37"/>
      <c r="U89" s="38"/>
      <c r="V89" s="38"/>
      <c r="W89" s="38"/>
    </row>
    <row r="90" spans="1:23" ht="27.75" customHeight="1" thickTop="1">
      <c r="A90" s="22"/>
      <c r="B90" s="23" t="s">
        <v>191</v>
      </c>
      <c r="C90" s="24"/>
      <c r="D90" s="25"/>
      <c r="E90" s="26"/>
      <c r="F90" s="27"/>
      <c r="G90" s="28"/>
      <c r="H90" s="28"/>
      <c r="I90" s="28"/>
      <c r="J90" s="29"/>
      <c r="K90" s="30"/>
      <c r="L90" s="31"/>
      <c r="M90" s="32"/>
      <c r="N90" s="33"/>
      <c r="O90" s="34"/>
      <c r="P90" s="34"/>
      <c r="Q90" s="35"/>
      <c r="R90" s="36"/>
      <c r="S90" s="37"/>
      <c r="T90" s="37"/>
      <c r="U90" s="38"/>
      <c r="V90" s="38"/>
      <c r="W90" s="38"/>
    </row>
    <row r="91" spans="1:23" ht="27.75" customHeight="1">
      <c r="A91" s="94">
        <v>1</v>
      </c>
      <c r="B91" s="40" t="s">
        <v>192</v>
      </c>
      <c r="C91" s="41" t="s">
        <v>193</v>
      </c>
      <c r="D91" s="141">
        <v>2140</v>
      </c>
      <c r="E91" s="43"/>
      <c r="F91" s="44"/>
      <c r="G91" s="45">
        <v>0</v>
      </c>
      <c r="H91" s="61">
        <v>0</v>
      </c>
      <c r="I91" s="47">
        <v>0</v>
      </c>
      <c r="J91" s="175">
        <v>46147</v>
      </c>
      <c r="K91" s="176" t="s">
        <v>1325</v>
      </c>
      <c r="L91" s="222">
        <v>2140</v>
      </c>
      <c r="M91" s="94" t="s">
        <v>45</v>
      </c>
      <c r="N91" s="116">
        <v>0</v>
      </c>
      <c r="O91" s="147">
        <v>0</v>
      </c>
      <c r="P91" s="147">
        <v>0</v>
      </c>
      <c r="Q91" s="47">
        <v>0</v>
      </c>
      <c r="R91" s="39" t="s">
        <v>195</v>
      </c>
      <c r="S91" s="55">
        <v>42491</v>
      </c>
      <c r="T91" s="55">
        <v>43585</v>
      </c>
      <c r="U91" s="56">
        <v>262800</v>
      </c>
      <c r="V91" s="56"/>
    </row>
    <row r="92" spans="1:23" ht="27.75" customHeight="1" thickBot="1">
      <c r="A92" s="193"/>
      <c r="B92" s="194" t="s">
        <v>22</v>
      </c>
      <c r="C92" s="195"/>
      <c r="D92" s="196">
        <v>2140</v>
      </c>
      <c r="E92" s="221"/>
      <c r="F92" s="197"/>
      <c r="G92" s="198">
        <v>0</v>
      </c>
      <c r="H92" s="198">
        <v>0</v>
      </c>
      <c r="I92" s="198">
        <v>0</v>
      </c>
      <c r="J92" s="199"/>
      <c r="K92" s="199"/>
      <c r="L92" s="196">
        <f>SUM(L91)</f>
        <v>2140</v>
      </c>
      <c r="M92" s="200"/>
      <c r="N92" s="196"/>
      <c r="O92" s="198">
        <v>0</v>
      </c>
      <c r="P92" s="198">
        <v>0</v>
      </c>
      <c r="Q92" s="198">
        <v>0</v>
      </c>
      <c r="R92" s="36"/>
      <c r="S92" s="37"/>
      <c r="T92" s="37"/>
      <c r="U92" s="38"/>
      <c r="V92" s="38"/>
      <c r="W92" s="38"/>
    </row>
    <row r="93" spans="1:23" ht="27.75" customHeight="1" thickTop="1">
      <c r="A93" s="22"/>
      <c r="B93" s="23" t="s">
        <v>196</v>
      </c>
      <c r="C93" s="24"/>
      <c r="D93" s="25"/>
      <c r="E93" s="26"/>
      <c r="F93" s="27"/>
      <c r="G93" s="28"/>
      <c r="H93" s="28"/>
      <c r="I93" s="28"/>
      <c r="J93" s="29"/>
      <c r="K93" s="30"/>
      <c r="L93" s="31"/>
      <c r="M93" s="32"/>
      <c r="N93" s="33"/>
      <c r="O93" s="34"/>
      <c r="P93" s="34"/>
      <c r="Q93" s="35"/>
      <c r="R93" s="36"/>
      <c r="S93" s="37"/>
      <c r="T93" s="37"/>
      <c r="U93" s="38"/>
      <c r="V93" s="38"/>
      <c r="W93" s="38"/>
    </row>
    <row r="94" spans="1:23" s="226" customFormat="1" ht="27.75" customHeight="1">
      <c r="A94" s="94"/>
      <c r="B94" s="223" t="s">
        <v>197</v>
      </c>
      <c r="C94" s="224"/>
      <c r="D94" s="225"/>
      <c r="E94" s="80"/>
      <c r="F94" s="44"/>
      <c r="G94" s="61"/>
      <c r="H94" s="61"/>
      <c r="I94" s="85"/>
      <c r="J94" s="178"/>
      <c r="K94" s="176"/>
      <c r="L94" s="222"/>
      <c r="M94" s="83"/>
      <c r="N94" s="116"/>
      <c r="O94" s="147"/>
      <c r="P94" s="147"/>
      <c r="Q94" s="47"/>
      <c r="R94" s="39"/>
      <c r="S94" s="55"/>
      <c r="T94" s="55"/>
      <c r="U94" s="56"/>
      <c r="V94" s="56"/>
    </row>
    <row r="95" spans="1:23" s="226" customFormat="1" ht="27.75" customHeight="1">
      <c r="A95" s="94">
        <v>1</v>
      </c>
      <c r="B95" s="181" t="s">
        <v>198</v>
      </c>
      <c r="C95" s="224" t="s">
        <v>199</v>
      </c>
      <c r="D95" s="225">
        <v>26750</v>
      </c>
      <c r="E95" s="80" t="s">
        <v>26</v>
      </c>
      <c r="F95" s="44">
        <v>0</v>
      </c>
      <c r="G95" s="61">
        <v>0</v>
      </c>
      <c r="H95" s="61">
        <v>0</v>
      </c>
      <c r="I95" s="85">
        <v>0</v>
      </c>
      <c r="J95" s="113">
        <v>46151</v>
      </c>
      <c r="K95" s="114" t="s">
        <v>1326</v>
      </c>
      <c r="L95" s="144">
        <v>26750</v>
      </c>
      <c r="M95" s="83" t="s">
        <v>26</v>
      </c>
      <c r="N95" s="116">
        <v>0</v>
      </c>
      <c r="O95" s="147">
        <f t="shared" ref="O95:O107" si="29">+(D95*100/107)+G95-(L95*100/107)</f>
        <v>0</v>
      </c>
      <c r="P95" s="147">
        <f t="shared" ref="P95:P107" si="30">ROUND((O95*0.07),2)</f>
        <v>0</v>
      </c>
      <c r="Q95" s="47">
        <f t="shared" ref="Q95:Q107" si="31">+O95+P95</f>
        <v>0</v>
      </c>
      <c r="R95" s="39"/>
      <c r="S95" s="55"/>
      <c r="T95" s="55"/>
      <c r="U95" s="56"/>
      <c r="V95" s="56"/>
    </row>
    <row r="96" spans="1:23" s="226" customFormat="1" ht="27.75" customHeight="1">
      <c r="A96" s="94">
        <v>2</v>
      </c>
      <c r="B96" s="181" t="s">
        <v>201</v>
      </c>
      <c r="C96" s="224" t="s">
        <v>202</v>
      </c>
      <c r="D96" s="225">
        <v>0</v>
      </c>
      <c r="E96" s="80" t="s">
        <v>26</v>
      </c>
      <c r="F96" s="44">
        <v>0</v>
      </c>
      <c r="G96" s="61">
        <v>0</v>
      </c>
      <c r="H96" s="61">
        <v>0</v>
      </c>
      <c r="I96" s="85">
        <v>0</v>
      </c>
      <c r="J96" s="113"/>
      <c r="K96" s="114"/>
      <c r="L96" s="144">
        <v>0</v>
      </c>
      <c r="M96" s="83" t="s">
        <v>26</v>
      </c>
      <c r="N96" s="116">
        <v>0</v>
      </c>
      <c r="O96" s="147">
        <f t="shared" si="29"/>
        <v>0</v>
      </c>
      <c r="P96" s="147">
        <f t="shared" si="30"/>
        <v>0</v>
      </c>
      <c r="Q96" s="47">
        <f t="shared" si="31"/>
        <v>0</v>
      </c>
      <c r="R96" s="39"/>
      <c r="S96" s="55"/>
      <c r="T96" s="55"/>
      <c r="U96" s="56"/>
      <c r="V96" s="226" t="s">
        <v>203</v>
      </c>
    </row>
    <row r="97" spans="1:25" s="226" customFormat="1" ht="27.75" customHeight="1">
      <c r="A97" s="94">
        <v>3</v>
      </c>
      <c r="B97" s="181" t="s">
        <v>204</v>
      </c>
      <c r="C97" s="224" t="s">
        <v>205</v>
      </c>
      <c r="D97" s="225">
        <v>22470</v>
      </c>
      <c r="E97" s="80" t="s">
        <v>45</v>
      </c>
      <c r="F97" s="44">
        <v>0</v>
      </c>
      <c r="G97" s="61">
        <v>0</v>
      </c>
      <c r="H97" s="61">
        <v>0</v>
      </c>
      <c r="I97" s="85">
        <v>0</v>
      </c>
      <c r="J97" s="113">
        <v>46164</v>
      </c>
      <c r="K97" s="114" t="s">
        <v>1327</v>
      </c>
      <c r="L97" s="144">
        <v>22470</v>
      </c>
      <c r="M97" s="83" t="s">
        <v>45</v>
      </c>
      <c r="N97" s="116">
        <v>0</v>
      </c>
      <c r="O97" s="147">
        <f t="shared" si="29"/>
        <v>0</v>
      </c>
      <c r="P97" s="147">
        <f t="shared" si="30"/>
        <v>0</v>
      </c>
      <c r="Q97" s="47">
        <f t="shared" si="31"/>
        <v>0</v>
      </c>
      <c r="R97" s="39"/>
      <c r="S97" s="55"/>
      <c r="T97" s="55"/>
      <c r="U97" s="56"/>
      <c r="V97" s="56"/>
    </row>
    <row r="98" spans="1:25" s="226" customFormat="1" ht="27.75" customHeight="1">
      <c r="A98" s="94">
        <v>4</v>
      </c>
      <c r="B98" s="181" t="s">
        <v>204</v>
      </c>
      <c r="C98" s="224" t="s">
        <v>207</v>
      </c>
      <c r="D98" s="225">
        <v>22470</v>
      </c>
      <c r="E98" s="80" t="s">
        <v>45</v>
      </c>
      <c r="F98" s="44">
        <v>0</v>
      </c>
      <c r="G98" s="61">
        <v>0</v>
      </c>
      <c r="H98" s="61">
        <v>0</v>
      </c>
      <c r="I98" s="85">
        <v>0</v>
      </c>
      <c r="J98" s="113">
        <v>46164</v>
      </c>
      <c r="K98" s="114" t="s">
        <v>1327</v>
      </c>
      <c r="L98" s="144">
        <v>22470</v>
      </c>
      <c r="M98" s="83" t="s">
        <v>45</v>
      </c>
      <c r="N98" s="116">
        <v>0</v>
      </c>
      <c r="O98" s="147">
        <f t="shared" si="29"/>
        <v>0</v>
      </c>
      <c r="P98" s="147">
        <f t="shared" si="30"/>
        <v>0</v>
      </c>
      <c r="Q98" s="47">
        <f t="shared" si="31"/>
        <v>0</v>
      </c>
      <c r="R98" s="39"/>
      <c r="S98" s="55"/>
      <c r="T98" s="55"/>
      <c r="U98" s="56"/>
      <c r="V98" s="56"/>
    </row>
    <row r="99" spans="1:25" s="226" customFormat="1" ht="27.75" customHeight="1">
      <c r="A99" s="94">
        <v>5</v>
      </c>
      <c r="B99" s="181" t="s">
        <v>201</v>
      </c>
      <c r="C99" s="224" t="s">
        <v>208</v>
      </c>
      <c r="D99" s="225">
        <v>0</v>
      </c>
      <c r="E99" s="80" t="s">
        <v>26</v>
      </c>
      <c r="F99" s="44">
        <v>0</v>
      </c>
      <c r="G99" s="61">
        <v>0</v>
      </c>
      <c r="H99" s="61">
        <v>0</v>
      </c>
      <c r="I99" s="85">
        <v>0</v>
      </c>
      <c r="J99" s="113"/>
      <c r="K99" s="114"/>
      <c r="L99" s="144">
        <v>0</v>
      </c>
      <c r="M99" s="83" t="s">
        <v>26</v>
      </c>
      <c r="N99" s="116">
        <v>0</v>
      </c>
      <c r="O99" s="147">
        <f t="shared" si="29"/>
        <v>0</v>
      </c>
      <c r="P99" s="147">
        <f t="shared" si="30"/>
        <v>0</v>
      </c>
      <c r="Q99" s="47">
        <f t="shared" si="31"/>
        <v>0</v>
      </c>
      <c r="R99" s="39"/>
      <c r="S99" s="55"/>
      <c r="T99" s="55"/>
      <c r="U99" s="56"/>
      <c r="V99" s="56"/>
    </row>
    <row r="100" spans="1:25" s="226" customFormat="1" ht="27.75" customHeight="1">
      <c r="A100" s="94">
        <v>6</v>
      </c>
      <c r="B100" s="181" t="s">
        <v>201</v>
      </c>
      <c r="C100" s="224" t="s">
        <v>209</v>
      </c>
      <c r="D100" s="225">
        <v>0</v>
      </c>
      <c r="E100" s="80" t="s">
        <v>26</v>
      </c>
      <c r="F100" s="44">
        <v>0</v>
      </c>
      <c r="G100" s="61">
        <v>0</v>
      </c>
      <c r="H100" s="61">
        <v>0</v>
      </c>
      <c r="I100" s="85">
        <v>0</v>
      </c>
      <c r="J100" s="113"/>
      <c r="K100" s="114"/>
      <c r="L100" s="144">
        <v>0</v>
      </c>
      <c r="M100" s="83" t="s">
        <v>26</v>
      </c>
      <c r="N100" s="116">
        <v>0</v>
      </c>
      <c r="O100" s="147">
        <f t="shared" si="29"/>
        <v>0</v>
      </c>
      <c r="P100" s="147">
        <f t="shared" si="30"/>
        <v>0</v>
      </c>
      <c r="Q100" s="47">
        <f t="shared" si="31"/>
        <v>0</v>
      </c>
      <c r="R100" s="39"/>
      <c r="S100" s="55"/>
      <c r="T100" s="55"/>
      <c r="U100" s="56"/>
      <c r="V100" s="56"/>
    </row>
    <row r="101" spans="1:25" s="226" customFormat="1" ht="27.75" customHeight="1">
      <c r="A101" s="94">
        <v>7</v>
      </c>
      <c r="B101" s="181" t="s">
        <v>210</v>
      </c>
      <c r="C101" s="224" t="s">
        <v>211</v>
      </c>
      <c r="D101" s="225">
        <v>22470</v>
      </c>
      <c r="E101" s="80" t="s">
        <v>1161</v>
      </c>
      <c r="F101" s="44">
        <v>-0.934579439252336</v>
      </c>
      <c r="G101" s="61">
        <v>-21000</v>
      </c>
      <c r="H101" s="61">
        <v>-1470</v>
      </c>
      <c r="I101" s="85">
        <v>-22470</v>
      </c>
      <c r="J101" s="113">
        <v>46171</v>
      </c>
      <c r="K101" s="114" t="s">
        <v>1328</v>
      </c>
      <c r="L101" s="144">
        <v>22470</v>
      </c>
      <c r="M101" s="87" t="s">
        <v>1329</v>
      </c>
      <c r="N101" s="116">
        <v>-0.934579439252336</v>
      </c>
      <c r="O101" s="147">
        <f t="shared" si="29"/>
        <v>-21000</v>
      </c>
      <c r="P101" s="147">
        <f t="shared" si="30"/>
        <v>-1470</v>
      </c>
      <c r="Q101" s="47">
        <f t="shared" si="31"/>
        <v>-22470</v>
      </c>
      <c r="R101" s="39"/>
      <c r="S101" s="55"/>
      <c r="T101" s="55"/>
      <c r="U101" s="56"/>
      <c r="V101" s="56"/>
    </row>
    <row r="102" spans="1:25" s="226" customFormat="1" ht="27.75" customHeight="1">
      <c r="A102" s="94">
        <v>8</v>
      </c>
      <c r="B102" s="181" t="s">
        <v>201</v>
      </c>
      <c r="C102" s="224" t="s">
        <v>213</v>
      </c>
      <c r="D102" s="225">
        <v>0</v>
      </c>
      <c r="E102" s="80" t="s">
        <v>26</v>
      </c>
      <c r="F102" s="44">
        <v>0</v>
      </c>
      <c r="G102" s="61">
        <v>0</v>
      </c>
      <c r="H102" s="61">
        <v>0</v>
      </c>
      <c r="I102" s="85">
        <v>0</v>
      </c>
      <c r="J102" s="113"/>
      <c r="K102" s="114"/>
      <c r="L102" s="144">
        <v>0</v>
      </c>
      <c r="M102" s="83" t="s">
        <v>26</v>
      </c>
      <c r="N102" s="116">
        <v>0</v>
      </c>
      <c r="O102" s="147">
        <f t="shared" si="29"/>
        <v>0</v>
      </c>
      <c r="P102" s="147">
        <f t="shared" si="30"/>
        <v>0</v>
      </c>
      <c r="Q102" s="47">
        <f t="shared" si="31"/>
        <v>0</v>
      </c>
      <c r="R102" s="39"/>
      <c r="S102" s="55"/>
      <c r="T102" s="55"/>
      <c r="U102" s="56"/>
      <c r="V102" s="56"/>
    </row>
    <row r="103" spans="1:25" s="226" customFormat="1" ht="27.75" customHeight="1">
      <c r="A103" s="94">
        <v>9</v>
      </c>
      <c r="B103" s="181" t="s">
        <v>214</v>
      </c>
      <c r="C103" s="224" t="s">
        <v>215</v>
      </c>
      <c r="D103" s="225">
        <v>22470</v>
      </c>
      <c r="E103" s="80" t="s">
        <v>26</v>
      </c>
      <c r="F103" s="44">
        <v>0</v>
      </c>
      <c r="G103" s="61">
        <v>0</v>
      </c>
      <c r="H103" s="61">
        <v>0</v>
      </c>
      <c r="I103" s="85">
        <v>0</v>
      </c>
      <c r="J103" s="113">
        <v>46144</v>
      </c>
      <c r="K103" s="114" t="s">
        <v>1330</v>
      </c>
      <c r="L103" s="144">
        <v>22470</v>
      </c>
      <c r="M103" s="83" t="s">
        <v>26</v>
      </c>
      <c r="N103" s="116">
        <v>0</v>
      </c>
      <c r="O103" s="147">
        <f t="shared" si="29"/>
        <v>0</v>
      </c>
      <c r="P103" s="147">
        <f t="shared" si="30"/>
        <v>0</v>
      </c>
      <c r="Q103" s="47">
        <f t="shared" si="31"/>
        <v>0</v>
      </c>
      <c r="R103" s="39"/>
      <c r="S103" s="55"/>
      <c r="T103" s="55"/>
      <c r="U103" s="56"/>
      <c r="V103" s="56"/>
    </row>
    <row r="104" spans="1:25" s="226" customFormat="1" ht="27.75" customHeight="1">
      <c r="A104" s="94">
        <v>10</v>
      </c>
      <c r="B104" s="181" t="s">
        <v>217</v>
      </c>
      <c r="C104" s="224" t="s">
        <v>218</v>
      </c>
      <c r="D104" s="225">
        <v>0</v>
      </c>
      <c r="E104" s="80" t="s">
        <v>26</v>
      </c>
      <c r="F104" s="44">
        <v>0</v>
      </c>
      <c r="G104" s="61">
        <v>0</v>
      </c>
      <c r="H104" s="61">
        <v>0</v>
      </c>
      <c r="I104" s="85">
        <v>0</v>
      </c>
      <c r="J104" s="113"/>
      <c r="K104" s="114"/>
      <c r="L104" s="144">
        <v>0</v>
      </c>
      <c r="M104" s="83" t="s">
        <v>26</v>
      </c>
      <c r="N104" s="116">
        <v>0</v>
      </c>
      <c r="O104" s="147">
        <f t="shared" si="29"/>
        <v>0</v>
      </c>
      <c r="P104" s="147">
        <f t="shared" si="30"/>
        <v>0</v>
      </c>
      <c r="Q104" s="47">
        <f t="shared" si="31"/>
        <v>0</v>
      </c>
      <c r="R104" s="39"/>
      <c r="S104" s="55"/>
      <c r="T104" s="55"/>
      <c r="U104" s="56"/>
      <c r="V104" s="56"/>
      <c r="Y104" s="593" t="s">
        <v>1223</v>
      </c>
    </row>
    <row r="105" spans="1:25" s="226" customFormat="1" ht="27.75" customHeight="1">
      <c r="A105" s="94">
        <v>11</v>
      </c>
      <c r="B105" s="181" t="s">
        <v>217</v>
      </c>
      <c r="C105" s="224" t="s">
        <v>220</v>
      </c>
      <c r="D105" s="225">
        <v>22470</v>
      </c>
      <c r="E105" s="80" t="s">
        <v>26</v>
      </c>
      <c r="F105" s="44">
        <v>0</v>
      </c>
      <c r="G105" s="61">
        <v>0</v>
      </c>
      <c r="H105" s="61">
        <v>0</v>
      </c>
      <c r="I105" s="85">
        <v>0</v>
      </c>
      <c r="J105" s="113">
        <v>46160</v>
      </c>
      <c r="K105" s="114" t="s">
        <v>1331</v>
      </c>
      <c r="L105" s="144">
        <v>22470</v>
      </c>
      <c r="M105" s="83" t="s">
        <v>26</v>
      </c>
      <c r="N105" s="116">
        <v>0</v>
      </c>
      <c r="O105" s="147">
        <f t="shared" si="29"/>
        <v>0</v>
      </c>
      <c r="P105" s="147">
        <f t="shared" si="30"/>
        <v>0</v>
      </c>
      <c r="Q105" s="47">
        <f t="shared" si="31"/>
        <v>0</v>
      </c>
      <c r="R105" s="39"/>
      <c r="S105" s="55"/>
      <c r="T105" s="55"/>
      <c r="U105" s="56"/>
      <c r="V105" s="56"/>
    </row>
    <row r="106" spans="1:25" s="226" customFormat="1" ht="27.75" customHeight="1">
      <c r="A106" s="94">
        <v>12</v>
      </c>
      <c r="B106" s="181" t="s">
        <v>217</v>
      </c>
      <c r="C106" s="224" t="s">
        <v>221</v>
      </c>
      <c r="D106" s="225">
        <v>22470</v>
      </c>
      <c r="E106" s="80" t="s">
        <v>26</v>
      </c>
      <c r="F106" s="44">
        <v>0</v>
      </c>
      <c r="G106" s="61">
        <v>0</v>
      </c>
      <c r="H106" s="61">
        <v>0</v>
      </c>
      <c r="I106" s="85">
        <v>0</v>
      </c>
      <c r="J106" s="113">
        <v>46160</v>
      </c>
      <c r="K106" s="114" t="s">
        <v>1331</v>
      </c>
      <c r="L106" s="144">
        <v>22470</v>
      </c>
      <c r="M106" s="83" t="s">
        <v>26</v>
      </c>
      <c r="N106" s="116">
        <v>0</v>
      </c>
      <c r="O106" s="147">
        <f t="shared" si="29"/>
        <v>0</v>
      </c>
      <c r="P106" s="147">
        <f t="shared" si="30"/>
        <v>0</v>
      </c>
      <c r="Q106" s="47">
        <f t="shared" si="31"/>
        <v>0</v>
      </c>
      <c r="R106" s="39"/>
      <c r="S106" s="55"/>
      <c r="T106" s="55"/>
      <c r="U106" s="56"/>
      <c r="V106" s="56"/>
    </row>
    <row r="107" spans="1:25" s="226" customFormat="1" ht="27.75" customHeight="1">
      <c r="A107" s="186">
        <v>13</v>
      </c>
      <c r="B107" s="181" t="s">
        <v>222</v>
      </c>
      <c r="C107" s="227" t="s">
        <v>223</v>
      </c>
      <c r="D107" s="228">
        <v>32100</v>
      </c>
      <c r="E107" s="123" t="s">
        <v>26</v>
      </c>
      <c r="F107" s="44">
        <v>0</v>
      </c>
      <c r="G107" s="45">
        <v>0</v>
      </c>
      <c r="H107" s="45">
        <v>0</v>
      </c>
      <c r="I107" s="229">
        <v>0</v>
      </c>
      <c r="J107" s="230">
        <v>46146</v>
      </c>
      <c r="K107" s="184" t="s">
        <v>1332</v>
      </c>
      <c r="L107" s="231">
        <v>32100</v>
      </c>
      <c r="M107" s="232" t="s">
        <v>26</v>
      </c>
      <c r="N107" s="116">
        <v>0</v>
      </c>
      <c r="O107" s="233">
        <f t="shared" si="29"/>
        <v>0</v>
      </c>
      <c r="P107" s="233">
        <f t="shared" si="30"/>
        <v>0</v>
      </c>
      <c r="Q107" s="66">
        <f t="shared" si="31"/>
        <v>0</v>
      </c>
      <c r="R107" s="39"/>
      <c r="S107" s="55"/>
      <c r="T107" s="55"/>
      <c r="U107" s="56"/>
      <c r="V107" s="56" t="s">
        <v>225</v>
      </c>
    </row>
    <row r="108" spans="1:25" s="226" customFormat="1" ht="27.75" customHeight="1" thickBot="1">
      <c r="A108" s="234"/>
      <c r="B108" s="194" t="s">
        <v>22</v>
      </c>
      <c r="C108" s="235"/>
      <c r="D108" s="236">
        <f>SUM(D95:D107)</f>
        <v>193670</v>
      </c>
      <c r="E108" s="237"/>
      <c r="F108" s="238"/>
      <c r="G108" s="239"/>
      <c r="H108" s="239"/>
      <c r="I108" s="240"/>
      <c r="J108" s="241"/>
      <c r="K108" s="234"/>
      <c r="L108" s="236">
        <f>SUM(L95:L107)</f>
        <v>193670</v>
      </c>
      <c r="M108" s="234"/>
      <c r="N108" s="242"/>
      <c r="O108" s="243"/>
      <c r="P108" s="243"/>
      <c r="Q108" s="240"/>
      <c r="R108" s="39"/>
      <c r="S108" s="55"/>
      <c r="T108" s="55"/>
      <c r="U108" s="56"/>
      <c r="V108" s="56"/>
    </row>
    <row r="109" spans="1:25" s="226" customFormat="1" ht="27.75" customHeight="1" thickTop="1">
      <c r="A109" s="83"/>
      <c r="B109" s="244" t="s">
        <v>226</v>
      </c>
      <c r="C109" s="245"/>
      <c r="D109" s="246"/>
      <c r="E109" s="80"/>
      <c r="F109" s="126"/>
      <c r="G109" s="46"/>
      <c r="H109" s="46"/>
      <c r="I109" s="247"/>
      <c r="J109" s="248"/>
      <c r="K109" s="249"/>
      <c r="L109" s="250"/>
      <c r="M109" s="83"/>
      <c r="N109" s="251"/>
      <c r="O109" s="252"/>
      <c r="P109" s="252"/>
      <c r="Q109" s="85"/>
      <c r="R109" s="39"/>
      <c r="S109" s="55"/>
      <c r="T109" s="55"/>
      <c r="U109" s="56"/>
      <c r="V109" s="56"/>
    </row>
    <row r="110" spans="1:25" s="226" customFormat="1" ht="27.75" customHeight="1">
      <c r="A110" s="94">
        <v>1</v>
      </c>
      <c r="B110" s="41" t="s">
        <v>227</v>
      </c>
      <c r="C110" s="224" t="s">
        <v>228</v>
      </c>
      <c r="D110" s="225">
        <v>22470</v>
      </c>
      <c r="E110" s="80" t="s">
        <v>26</v>
      </c>
      <c r="F110" s="44">
        <v>0</v>
      </c>
      <c r="G110" s="61">
        <v>0</v>
      </c>
      <c r="H110" s="61">
        <v>0</v>
      </c>
      <c r="I110" s="85">
        <v>0</v>
      </c>
      <c r="J110" s="113">
        <v>46171</v>
      </c>
      <c r="K110" s="114" t="s">
        <v>1333</v>
      </c>
      <c r="L110" s="253">
        <v>22470</v>
      </c>
      <c r="M110" s="83" t="s">
        <v>26</v>
      </c>
      <c r="N110" s="116">
        <v>0</v>
      </c>
      <c r="O110" s="147">
        <f>+(D110*100/107)+G110-(L110*100/107)</f>
        <v>0</v>
      </c>
      <c r="P110" s="147">
        <f t="shared" ref="P110:P122" si="32">ROUND((O110*0.07),2)</f>
        <v>0</v>
      </c>
      <c r="Q110" s="47">
        <f t="shared" ref="Q110:Q122" si="33">+O110+P110</f>
        <v>0</v>
      </c>
      <c r="R110" s="39"/>
      <c r="S110" s="55"/>
      <c r="T110" s="55"/>
      <c r="U110" s="56"/>
      <c r="V110" s="56"/>
    </row>
    <row r="111" spans="1:25" s="226" customFormat="1" ht="27.75" customHeight="1">
      <c r="A111" s="94">
        <v>2</v>
      </c>
      <c r="B111" s="41" t="s">
        <v>227</v>
      </c>
      <c r="C111" s="224" t="s">
        <v>230</v>
      </c>
      <c r="D111" s="246">
        <v>22470</v>
      </c>
      <c r="E111" s="80" t="s">
        <v>26</v>
      </c>
      <c r="F111" s="44">
        <v>0</v>
      </c>
      <c r="G111" s="61">
        <v>0</v>
      </c>
      <c r="H111" s="61">
        <v>0</v>
      </c>
      <c r="I111" s="85">
        <v>0</v>
      </c>
      <c r="J111" s="113">
        <v>46171</v>
      </c>
      <c r="K111" s="114" t="s">
        <v>1333</v>
      </c>
      <c r="L111" s="253">
        <v>22470</v>
      </c>
      <c r="M111" s="83" t="s">
        <v>26</v>
      </c>
      <c r="N111" s="116">
        <v>0</v>
      </c>
      <c r="O111" s="147">
        <f>+(D111*100/107)+G111-(L111*100/107)</f>
        <v>0</v>
      </c>
      <c r="P111" s="147">
        <f t="shared" si="32"/>
        <v>0</v>
      </c>
      <c r="Q111" s="47">
        <f t="shared" si="33"/>
        <v>0</v>
      </c>
      <c r="R111" s="39"/>
      <c r="S111" s="55"/>
      <c r="T111" s="55"/>
      <c r="U111" s="56"/>
      <c r="V111" s="56"/>
    </row>
    <row r="112" spans="1:25" s="226" customFormat="1" ht="27.75" customHeight="1">
      <c r="A112" s="94">
        <v>3</v>
      </c>
      <c r="B112" s="41" t="s">
        <v>227</v>
      </c>
      <c r="C112" s="224" t="s">
        <v>231</v>
      </c>
      <c r="D112" s="246">
        <v>22470</v>
      </c>
      <c r="E112" s="80" t="s">
        <v>26</v>
      </c>
      <c r="F112" s="44">
        <v>0</v>
      </c>
      <c r="G112" s="61">
        <v>0</v>
      </c>
      <c r="H112" s="61">
        <v>0</v>
      </c>
      <c r="I112" s="85">
        <v>0</v>
      </c>
      <c r="J112" s="117">
        <v>46171</v>
      </c>
      <c r="K112" s="118" t="s">
        <v>1333</v>
      </c>
      <c r="L112" s="557">
        <v>22470</v>
      </c>
      <c r="M112" s="83" t="s">
        <v>26</v>
      </c>
      <c r="N112" s="116">
        <v>0</v>
      </c>
      <c r="O112" s="147">
        <f t="shared" ref="O112:O119" si="34">+(D112*100/107)+G112-(L112*100/107)</f>
        <v>0</v>
      </c>
      <c r="P112" s="147">
        <f t="shared" si="32"/>
        <v>0</v>
      </c>
      <c r="Q112" s="47">
        <f t="shared" si="33"/>
        <v>0</v>
      </c>
      <c r="R112" s="39"/>
      <c r="S112" s="55"/>
      <c r="T112" s="55"/>
      <c r="U112" s="56"/>
      <c r="V112" s="56"/>
    </row>
    <row r="113" spans="1:22" s="226" customFormat="1" ht="27.75" customHeight="1">
      <c r="A113" s="94">
        <v>4</v>
      </c>
      <c r="B113" s="41" t="s">
        <v>201</v>
      </c>
      <c r="C113" s="224" t="s">
        <v>232</v>
      </c>
      <c r="D113" s="246">
        <v>0</v>
      </c>
      <c r="E113" s="80" t="s">
        <v>26</v>
      </c>
      <c r="F113" s="44">
        <v>0</v>
      </c>
      <c r="G113" s="61">
        <v>0</v>
      </c>
      <c r="H113" s="61">
        <v>0</v>
      </c>
      <c r="I113" s="85">
        <v>0</v>
      </c>
      <c r="J113" s="117"/>
      <c r="K113" s="118"/>
      <c r="L113" s="557"/>
      <c r="M113" s="83" t="s">
        <v>26</v>
      </c>
      <c r="N113" s="116">
        <v>0</v>
      </c>
      <c r="O113" s="147">
        <f t="shared" si="34"/>
        <v>0</v>
      </c>
      <c r="P113" s="147">
        <f t="shared" si="32"/>
        <v>0</v>
      </c>
      <c r="Q113" s="47">
        <f t="shared" si="33"/>
        <v>0</v>
      </c>
      <c r="R113" s="39"/>
      <c r="S113" s="55"/>
      <c r="T113" s="55"/>
      <c r="U113" s="56"/>
      <c r="V113" s="56"/>
    </row>
    <row r="114" spans="1:22" s="226" customFormat="1" ht="27.75" customHeight="1">
      <c r="A114" s="94">
        <v>5</v>
      </c>
      <c r="B114" s="41" t="s">
        <v>201</v>
      </c>
      <c r="C114" s="224" t="s">
        <v>233</v>
      </c>
      <c r="D114" s="246">
        <v>0</v>
      </c>
      <c r="E114" s="80" t="s">
        <v>26</v>
      </c>
      <c r="F114" s="44">
        <v>0</v>
      </c>
      <c r="G114" s="61">
        <v>0</v>
      </c>
      <c r="H114" s="61">
        <v>0</v>
      </c>
      <c r="I114" s="85">
        <v>0</v>
      </c>
      <c r="J114" s="117"/>
      <c r="K114" s="118"/>
      <c r="L114" s="557"/>
      <c r="M114" s="83" t="s">
        <v>26</v>
      </c>
      <c r="N114" s="116">
        <v>0</v>
      </c>
      <c r="O114" s="147">
        <f t="shared" si="34"/>
        <v>0</v>
      </c>
      <c r="P114" s="147">
        <f t="shared" si="32"/>
        <v>0</v>
      </c>
      <c r="Q114" s="47">
        <f t="shared" si="33"/>
        <v>0</v>
      </c>
      <c r="R114" s="39"/>
      <c r="S114" s="55"/>
      <c r="T114" s="55"/>
      <c r="U114" s="56"/>
      <c r="V114" s="56"/>
    </row>
    <row r="115" spans="1:22" s="226" customFormat="1" ht="27.75" customHeight="1">
      <c r="A115" s="94">
        <v>6</v>
      </c>
      <c r="B115" s="41" t="s">
        <v>201</v>
      </c>
      <c r="C115" s="224" t="s">
        <v>235</v>
      </c>
      <c r="D115" s="246">
        <v>0</v>
      </c>
      <c r="E115" s="80" t="s">
        <v>26</v>
      </c>
      <c r="F115" s="44">
        <v>0</v>
      </c>
      <c r="G115" s="61">
        <v>0</v>
      </c>
      <c r="H115" s="61">
        <v>0</v>
      </c>
      <c r="I115" s="85">
        <v>0</v>
      </c>
      <c r="J115" s="117"/>
      <c r="K115" s="118"/>
      <c r="L115" s="557"/>
      <c r="M115" s="83" t="s">
        <v>26</v>
      </c>
      <c r="N115" s="116">
        <v>0</v>
      </c>
      <c r="O115" s="147">
        <f t="shared" si="34"/>
        <v>0</v>
      </c>
      <c r="P115" s="147">
        <f t="shared" si="32"/>
        <v>0</v>
      </c>
      <c r="Q115" s="47">
        <f t="shared" si="33"/>
        <v>0</v>
      </c>
      <c r="R115" s="39"/>
      <c r="S115" s="55"/>
      <c r="T115" s="55"/>
      <c r="U115" s="56"/>
      <c r="V115" s="56"/>
    </row>
    <row r="116" spans="1:22" s="226" customFormat="1" ht="27.75" customHeight="1">
      <c r="A116" s="94">
        <v>7</v>
      </c>
      <c r="B116" s="41" t="s">
        <v>201</v>
      </c>
      <c r="C116" s="224" t="s">
        <v>237</v>
      </c>
      <c r="D116" s="225">
        <v>0</v>
      </c>
      <c r="E116" s="80" t="s">
        <v>26</v>
      </c>
      <c r="F116" s="44">
        <v>0</v>
      </c>
      <c r="G116" s="61">
        <v>0</v>
      </c>
      <c r="H116" s="61">
        <v>0</v>
      </c>
      <c r="I116" s="85">
        <v>0</v>
      </c>
      <c r="J116" s="117"/>
      <c r="K116" s="118"/>
      <c r="L116" s="557"/>
      <c r="M116" s="83" t="s">
        <v>26</v>
      </c>
      <c r="N116" s="116">
        <v>0</v>
      </c>
      <c r="O116" s="147">
        <f t="shared" si="34"/>
        <v>0</v>
      </c>
      <c r="P116" s="147">
        <f t="shared" si="32"/>
        <v>0</v>
      </c>
      <c r="Q116" s="47">
        <f t="shared" si="33"/>
        <v>0</v>
      </c>
      <c r="R116" s="39"/>
      <c r="S116" s="55"/>
      <c r="T116" s="55"/>
      <c r="U116" s="56"/>
      <c r="V116" s="56"/>
    </row>
    <row r="117" spans="1:22" s="226" customFormat="1" ht="27.75" customHeight="1">
      <c r="A117" s="94">
        <v>8</v>
      </c>
      <c r="B117" s="41" t="s">
        <v>236</v>
      </c>
      <c r="C117" s="224" t="s">
        <v>239</v>
      </c>
      <c r="D117" s="225">
        <v>22470</v>
      </c>
      <c r="E117" s="80" t="s">
        <v>26</v>
      </c>
      <c r="F117" s="44">
        <v>0</v>
      </c>
      <c r="G117" s="61">
        <v>0</v>
      </c>
      <c r="H117" s="61">
        <v>0</v>
      </c>
      <c r="I117" s="85">
        <v>0</v>
      </c>
      <c r="J117" s="113">
        <v>46173</v>
      </c>
      <c r="K117" s="114" t="s">
        <v>1334</v>
      </c>
      <c r="L117" s="257">
        <v>22470</v>
      </c>
      <c r="M117" s="83" t="s">
        <v>26</v>
      </c>
      <c r="N117" s="116">
        <v>0</v>
      </c>
      <c r="O117" s="147">
        <f t="shared" si="34"/>
        <v>0</v>
      </c>
      <c r="P117" s="147">
        <f t="shared" si="32"/>
        <v>0</v>
      </c>
      <c r="Q117" s="47">
        <f t="shared" si="33"/>
        <v>0</v>
      </c>
      <c r="R117" s="39"/>
      <c r="S117" s="55"/>
      <c r="T117" s="55"/>
      <c r="U117" s="56"/>
      <c r="V117" s="56"/>
    </row>
    <row r="118" spans="1:22" s="226" customFormat="1" ht="27.75" customHeight="1">
      <c r="A118" s="94">
        <v>9</v>
      </c>
      <c r="B118" s="41" t="s">
        <v>92</v>
      </c>
      <c r="C118" s="224" t="s">
        <v>240</v>
      </c>
      <c r="D118" s="225">
        <v>22470</v>
      </c>
      <c r="E118" s="80" t="s">
        <v>26</v>
      </c>
      <c r="F118" s="44">
        <v>0</v>
      </c>
      <c r="G118" s="61">
        <v>0</v>
      </c>
      <c r="H118" s="61">
        <v>0</v>
      </c>
      <c r="I118" s="85">
        <v>0</v>
      </c>
      <c r="J118" s="113">
        <v>46172</v>
      </c>
      <c r="K118" s="114" t="s">
        <v>1335</v>
      </c>
      <c r="L118" s="258">
        <v>22470</v>
      </c>
      <c r="M118" s="83" t="s">
        <v>26</v>
      </c>
      <c r="N118" s="116">
        <v>0</v>
      </c>
      <c r="O118" s="147">
        <f t="shared" si="34"/>
        <v>0</v>
      </c>
      <c r="P118" s="147">
        <f t="shared" si="32"/>
        <v>0</v>
      </c>
      <c r="Q118" s="47">
        <f t="shared" si="33"/>
        <v>0</v>
      </c>
      <c r="R118" s="39"/>
      <c r="S118" s="55"/>
      <c r="T118" s="55"/>
      <c r="U118" s="56"/>
      <c r="V118" s="56"/>
    </row>
    <row r="119" spans="1:22" s="226" customFormat="1" ht="27.75" customHeight="1">
      <c r="A119" s="94">
        <v>10</v>
      </c>
      <c r="B119" s="41" t="s">
        <v>92</v>
      </c>
      <c r="C119" s="224" t="s">
        <v>242</v>
      </c>
      <c r="D119" s="225">
        <v>22470</v>
      </c>
      <c r="E119" s="80" t="s">
        <v>26</v>
      </c>
      <c r="F119" s="44">
        <v>0</v>
      </c>
      <c r="G119" s="61">
        <v>0</v>
      </c>
      <c r="H119" s="61">
        <v>0</v>
      </c>
      <c r="I119" s="85">
        <v>0</v>
      </c>
      <c r="J119" s="113">
        <v>46172</v>
      </c>
      <c r="K119" s="114" t="s">
        <v>1335</v>
      </c>
      <c r="L119" s="253">
        <v>22470</v>
      </c>
      <c r="M119" s="83" t="s">
        <v>26</v>
      </c>
      <c r="N119" s="116">
        <v>0</v>
      </c>
      <c r="O119" s="147">
        <f t="shared" si="34"/>
        <v>0</v>
      </c>
      <c r="P119" s="147">
        <f t="shared" si="32"/>
        <v>0</v>
      </c>
      <c r="Q119" s="47">
        <f t="shared" si="33"/>
        <v>0</v>
      </c>
      <c r="R119" s="39"/>
      <c r="S119" s="55"/>
      <c r="T119" s="55"/>
      <c r="U119" s="56"/>
      <c r="V119" s="56"/>
    </row>
    <row r="120" spans="1:22" s="226" customFormat="1" ht="27.75" customHeight="1">
      <c r="A120" s="94">
        <v>11</v>
      </c>
      <c r="B120" s="41" t="s">
        <v>243</v>
      </c>
      <c r="C120" s="224" t="s">
        <v>244</v>
      </c>
      <c r="D120" s="225">
        <v>22470</v>
      </c>
      <c r="E120" s="80" t="s">
        <v>26</v>
      </c>
      <c r="F120" s="44">
        <v>0</v>
      </c>
      <c r="G120" s="61">
        <v>0</v>
      </c>
      <c r="H120" s="61">
        <v>0</v>
      </c>
      <c r="I120" s="85">
        <v>0</v>
      </c>
      <c r="J120" s="113">
        <v>46171</v>
      </c>
      <c r="K120" s="114" t="s">
        <v>1336</v>
      </c>
      <c r="L120" s="253">
        <v>22470</v>
      </c>
      <c r="M120" s="83" t="s">
        <v>26</v>
      </c>
      <c r="N120" s="116">
        <v>0</v>
      </c>
      <c r="O120" s="147">
        <f>+(D120*100/107)+G120-(L120*100/107)</f>
        <v>0</v>
      </c>
      <c r="P120" s="147">
        <f t="shared" si="32"/>
        <v>0</v>
      </c>
      <c r="Q120" s="47">
        <f t="shared" si="33"/>
        <v>0</v>
      </c>
      <c r="R120" s="39"/>
      <c r="S120" s="55"/>
      <c r="T120" s="55"/>
      <c r="U120" s="56"/>
      <c r="V120" s="56"/>
    </row>
    <row r="121" spans="1:22" s="226" customFormat="1" ht="27.75" customHeight="1">
      <c r="A121" s="186">
        <v>12</v>
      </c>
      <c r="B121" s="206" t="s">
        <v>90</v>
      </c>
      <c r="C121" s="224" t="s">
        <v>246</v>
      </c>
      <c r="D121" s="228">
        <v>22470</v>
      </c>
      <c r="E121" s="123" t="s">
        <v>1109</v>
      </c>
      <c r="F121" s="44">
        <v>0.93457943925233644</v>
      </c>
      <c r="G121" s="45">
        <v>21000</v>
      </c>
      <c r="H121" s="45">
        <v>1470</v>
      </c>
      <c r="I121" s="229">
        <v>22470</v>
      </c>
      <c r="J121" s="259">
        <v>46144</v>
      </c>
      <c r="K121" s="114" t="s">
        <v>1337</v>
      </c>
      <c r="L121" s="253">
        <v>22470</v>
      </c>
      <c r="M121" s="232" t="s">
        <v>1287</v>
      </c>
      <c r="N121" s="116">
        <v>0.93457943925233644</v>
      </c>
      <c r="O121" s="147">
        <f>+(D121*100/107)+G121-(L121*100/107)</f>
        <v>21000</v>
      </c>
      <c r="P121" s="147">
        <f t="shared" si="32"/>
        <v>1470</v>
      </c>
      <c r="Q121" s="47">
        <f t="shared" si="33"/>
        <v>22470</v>
      </c>
      <c r="R121" s="39"/>
      <c r="S121" s="55"/>
      <c r="T121" s="55"/>
      <c r="U121" s="56"/>
      <c r="V121" s="56"/>
    </row>
    <row r="122" spans="1:22" s="226" customFormat="1" ht="27.75" customHeight="1">
      <c r="A122" s="234"/>
      <c r="B122" s="260"/>
      <c r="C122" s="235"/>
      <c r="D122" s="236">
        <f>SUM(D110:D121)</f>
        <v>179760</v>
      </c>
      <c r="E122" s="237"/>
      <c r="F122" s="238"/>
      <c r="G122" s="239">
        <f>SUM(G110:G121)</f>
        <v>21000</v>
      </c>
      <c r="H122" s="239">
        <f t="shared" ref="H122:I122" si="35">SUM(H110:H121)</f>
        <v>1470</v>
      </c>
      <c r="I122" s="239">
        <f t="shared" si="35"/>
        <v>22470</v>
      </c>
      <c r="J122" s="261"/>
      <c r="K122" s="262"/>
      <c r="L122" s="263">
        <f>SUM(L110:L121)</f>
        <v>179760</v>
      </c>
      <c r="M122" s="234"/>
      <c r="N122" s="242"/>
      <c r="O122" s="243">
        <f>SUM(O110:O121)</f>
        <v>21000</v>
      </c>
      <c r="P122" s="243">
        <f t="shared" si="32"/>
        <v>1470</v>
      </c>
      <c r="Q122" s="240">
        <f t="shared" si="33"/>
        <v>22470</v>
      </c>
      <c r="R122" s="39"/>
      <c r="S122" s="55"/>
      <c r="T122" s="55"/>
      <c r="U122" s="56"/>
      <c r="V122" s="56"/>
    </row>
    <row r="123" spans="1:22" s="226" customFormat="1" ht="27.75" customHeight="1">
      <c r="A123" s="83"/>
      <c r="B123" s="244" t="s">
        <v>248</v>
      </c>
      <c r="C123" s="245"/>
      <c r="D123" s="246"/>
      <c r="E123" s="80"/>
      <c r="F123" s="126"/>
      <c r="G123" s="46"/>
      <c r="H123" s="46"/>
      <c r="I123" s="85"/>
      <c r="J123" s="178"/>
      <c r="K123" s="179"/>
      <c r="L123" s="264"/>
      <c r="M123" s="83"/>
      <c r="N123" s="251"/>
      <c r="O123" s="252"/>
      <c r="P123" s="252"/>
      <c r="Q123" s="85"/>
      <c r="R123" s="39"/>
      <c r="S123" s="55"/>
      <c r="T123" s="55"/>
      <c r="U123" s="56"/>
      <c r="V123" s="56"/>
    </row>
    <row r="124" spans="1:22" s="226" customFormat="1" ht="27.75" customHeight="1">
      <c r="A124" s="94">
        <v>1</v>
      </c>
      <c r="B124" s="41" t="s">
        <v>249</v>
      </c>
      <c r="C124" s="224" t="s">
        <v>250</v>
      </c>
      <c r="D124" s="225">
        <v>6420</v>
      </c>
      <c r="E124" s="80" t="s">
        <v>1109</v>
      </c>
      <c r="F124" s="44">
        <v>0.934579439252336</v>
      </c>
      <c r="G124" s="61">
        <v>6000</v>
      </c>
      <c r="H124" s="61">
        <v>420</v>
      </c>
      <c r="I124" s="85">
        <v>6420</v>
      </c>
      <c r="J124" s="113">
        <v>46149</v>
      </c>
      <c r="K124" s="114" t="s">
        <v>1338</v>
      </c>
      <c r="L124" s="144">
        <v>6420</v>
      </c>
      <c r="M124" s="83" t="s">
        <v>1287</v>
      </c>
      <c r="N124" s="116">
        <v>0.934579439252336</v>
      </c>
      <c r="O124" s="147">
        <f t="shared" ref="O124:O134" si="36">+(D124*100/107)+G124-(L124*100/107)</f>
        <v>6000</v>
      </c>
      <c r="P124" s="147">
        <f t="shared" ref="P124:P134" si="37">ROUND((O124*0.07),2)</f>
        <v>420</v>
      </c>
      <c r="Q124" s="47">
        <f t="shared" ref="Q124:Q135" si="38">+O124+P124</f>
        <v>6420</v>
      </c>
      <c r="R124" s="39"/>
      <c r="S124" s="55"/>
      <c r="T124" s="55"/>
      <c r="U124" s="56"/>
      <c r="V124" s="56"/>
    </row>
    <row r="125" spans="1:22" s="226" customFormat="1" ht="27.75" customHeight="1">
      <c r="A125" s="94">
        <v>2</v>
      </c>
      <c r="B125" s="41" t="s">
        <v>1349</v>
      </c>
      <c r="C125" s="224" t="s">
        <v>253</v>
      </c>
      <c r="D125" s="225">
        <v>0</v>
      </c>
      <c r="E125" s="80" t="s">
        <v>1109</v>
      </c>
      <c r="F125" s="44">
        <v>1</v>
      </c>
      <c r="G125" s="61">
        <v>6000</v>
      </c>
      <c r="H125" s="61">
        <v>420</v>
      </c>
      <c r="I125" s="85">
        <v>6420</v>
      </c>
      <c r="J125" s="113">
        <v>46148</v>
      </c>
      <c r="K125" s="114" t="s">
        <v>1339</v>
      </c>
      <c r="L125" s="144">
        <v>6420</v>
      </c>
      <c r="M125" s="83"/>
      <c r="N125" s="116">
        <v>0</v>
      </c>
      <c r="O125" s="147">
        <f t="shared" si="36"/>
        <v>0</v>
      </c>
      <c r="P125" s="147">
        <f t="shared" si="37"/>
        <v>0</v>
      </c>
      <c r="Q125" s="47">
        <f t="shared" si="38"/>
        <v>0</v>
      </c>
      <c r="R125" s="39"/>
      <c r="S125" s="55"/>
      <c r="T125" s="55"/>
      <c r="U125" s="56"/>
      <c r="V125" s="56"/>
    </row>
    <row r="126" spans="1:22" s="226" customFormat="1" ht="27.75" customHeight="1">
      <c r="A126" s="94">
        <v>3</v>
      </c>
      <c r="B126" s="41" t="s">
        <v>1350</v>
      </c>
      <c r="C126" s="224" t="s">
        <v>255</v>
      </c>
      <c r="D126" s="225">
        <v>9630</v>
      </c>
      <c r="E126" s="80" t="s">
        <v>1109</v>
      </c>
      <c r="F126" s="44">
        <v>0.93457943925233611</v>
      </c>
      <c r="G126" s="61">
        <v>9000</v>
      </c>
      <c r="H126" s="61">
        <v>630</v>
      </c>
      <c r="I126" s="85">
        <v>9630</v>
      </c>
      <c r="J126" s="113"/>
      <c r="K126" s="114"/>
      <c r="L126" s="144">
        <v>0</v>
      </c>
      <c r="M126" s="83" t="s">
        <v>1051</v>
      </c>
      <c r="N126" s="116">
        <v>1.8691588785046722</v>
      </c>
      <c r="O126" s="147">
        <f t="shared" si="36"/>
        <v>18000</v>
      </c>
      <c r="P126" s="147">
        <f t="shared" si="37"/>
        <v>1260</v>
      </c>
      <c r="Q126" s="47">
        <f t="shared" si="38"/>
        <v>19260</v>
      </c>
      <c r="R126" s="39"/>
      <c r="S126" s="55"/>
      <c r="T126" s="55"/>
      <c r="U126" s="56"/>
      <c r="V126" s="56"/>
    </row>
    <row r="127" spans="1:22" s="226" customFormat="1" ht="27.75" customHeight="1">
      <c r="A127" s="94">
        <v>4</v>
      </c>
      <c r="B127" s="41" t="s">
        <v>201</v>
      </c>
      <c r="C127" s="224" t="s">
        <v>256</v>
      </c>
      <c r="D127" s="225">
        <v>0</v>
      </c>
      <c r="E127" s="80"/>
      <c r="F127" s="44">
        <v>0</v>
      </c>
      <c r="G127" s="61">
        <v>0</v>
      </c>
      <c r="H127" s="61">
        <v>0</v>
      </c>
      <c r="I127" s="85">
        <v>0</v>
      </c>
      <c r="J127" s="113"/>
      <c r="K127" s="114"/>
      <c r="L127" s="144"/>
      <c r="M127" s="83"/>
      <c r="N127" s="116">
        <v>0</v>
      </c>
      <c r="O127" s="147">
        <f t="shared" si="36"/>
        <v>0</v>
      </c>
      <c r="P127" s="147">
        <f t="shared" si="37"/>
        <v>0</v>
      </c>
      <c r="Q127" s="47">
        <f t="shared" si="38"/>
        <v>0</v>
      </c>
      <c r="R127" s="39"/>
      <c r="S127" s="55"/>
      <c r="T127" s="55"/>
      <c r="U127" s="56"/>
      <c r="V127" s="56"/>
    </row>
    <row r="128" spans="1:22" s="226" customFormat="1" ht="27.75" customHeight="1">
      <c r="A128" s="94">
        <v>5</v>
      </c>
      <c r="B128" s="41" t="s">
        <v>257</v>
      </c>
      <c r="C128" s="224" t="s">
        <v>258</v>
      </c>
      <c r="D128" s="225">
        <v>9630</v>
      </c>
      <c r="E128" s="80" t="s">
        <v>45</v>
      </c>
      <c r="F128" s="44">
        <v>0</v>
      </c>
      <c r="G128" s="61">
        <v>0</v>
      </c>
      <c r="H128" s="61">
        <v>0</v>
      </c>
      <c r="I128" s="85">
        <v>0</v>
      </c>
      <c r="J128" s="113">
        <v>46167</v>
      </c>
      <c r="K128" s="114" t="s">
        <v>1340</v>
      </c>
      <c r="L128" s="144">
        <v>9630</v>
      </c>
      <c r="M128" s="83" t="s">
        <v>45</v>
      </c>
      <c r="N128" s="116">
        <v>0</v>
      </c>
      <c r="O128" s="147">
        <f t="shared" si="36"/>
        <v>0</v>
      </c>
      <c r="P128" s="147">
        <f t="shared" si="37"/>
        <v>0</v>
      </c>
      <c r="Q128" s="47">
        <f t="shared" si="38"/>
        <v>0</v>
      </c>
      <c r="R128" s="39"/>
      <c r="S128" s="55"/>
      <c r="T128" s="55"/>
      <c r="U128" s="56"/>
      <c r="V128" s="56"/>
    </row>
    <row r="129" spans="1:25" s="226" customFormat="1" ht="27.75" customHeight="1">
      <c r="A129" s="94">
        <v>6</v>
      </c>
      <c r="B129" s="206" t="s">
        <v>257</v>
      </c>
      <c r="C129" s="224" t="s">
        <v>260</v>
      </c>
      <c r="D129" s="225">
        <v>9630</v>
      </c>
      <c r="E129" s="80" t="s">
        <v>45</v>
      </c>
      <c r="F129" s="44">
        <v>0</v>
      </c>
      <c r="G129" s="61">
        <v>0</v>
      </c>
      <c r="H129" s="61">
        <v>0</v>
      </c>
      <c r="I129" s="85">
        <v>0</v>
      </c>
      <c r="J129" s="113">
        <v>46167</v>
      </c>
      <c r="K129" s="114" t="s">
        <v>1340</v>
      </c>
      <c r="L129" s="144">
        <v>9630</v>
      </c>
      <c r="M129" s="83" t="s">
        <v>45</v>
      </c>
      <c r="N129" s="116">
        <v>0</v>
      </c>
      <c r="O129" s="147">
        <f t="shared" si="36"/>
        <v>0</v>
      </c>
      <c r="P129" s="147">
        <f t="shared" si="37"/>
        <v>0</v>
      </c>
      <c r="Q129" s="47">
        <f t="shared" si="38"/>
        <v>0</v>
      </c>
      <c r="R129" s="39"/>
      <c r="S129" s="55"/>
      <c r="T129" s="55"/>
      <c r="U129" s="56"/>
      <c r="V129" s="56"/>
    </row>
    <row r="130" spans="1:25" s="226" customFormat="1" ht="27.75" customHeight="1">
      <c r="A130" s="94">
        <v>7</v>
      </c>
      <c r="B130" s="265" t="s">
        <v>1351</v>
      </c>
      <c r="C130" s="224" t="s">
        <v>262</v>
      </c>
      <c r="D130" s="225">
        <v>6420</v>
      </c>
      <c r="E130" s="80" t="s">
        <v>45</v>
      </c>
      <c r="F130" s="44">
        <v>0</v>
      </c>
      <c r="G130" s="61">
        <v>0</v>
      </c>
      <c r="H130" s="61">
        <v>0</v>
      </c>
      <c r="I130" s="85">
        <v>0</v>
      </c>
      <c r="J130" s="113">
        <v>46146</v>
      </c>
      <c r="K130" s="114" t="s">
        <v>1341</v>
      </c>
      <c r="L130" s="144">
        <v>6420</v>
      </c>
      <c r="M130" s="83" t="s">
        <v>45</v>
      </c>
      <c r="N130" s="116">
        <v>0</v>
      </c>
      <c r="O130" s="147">
        <f t="shared" si="36"/>
        <v>0</v>
      </c>
      <c r="P130" s="147">
        <f t="shared" si="37"/>
        <v>0</v>
      </c>
      <c r="Q130" s="47">
        <f t="shared" si="38"/>
        <v>0</v>
      </c>
      <c r="R130" s="39"/>
      <c r="S130" s="55"/>
      <c r="T130" s="55"/>
      <c r="U130" s="56"/>
      <c r="V130" s="56"/>
    </row>
    <row r="131" spans="1:25" s="226" customFormat="1" ht="27.75" customHeight="1">
      <c r="A131" s="94">
        <v>8</v>
      </c>
      <c r="B131" s="266" t="s">
        <v>264</v>
      </c>
      <c r="C131" s="224" t="s">
        <v>199</v>
      </c>
      <c r="D131" s="225">
        <v>6420</v>
      </c>
      <c r="E131" s="80" t="s">
        <v>45</v>
      </c>
      <c r="F131" s="44">
        <v>0</v>
      </c>
      <c r="G131" s="61">
        <v>0</v>
      </c>
      <c r="H131" s="61">
        <v>0</v>
      </c>
      <c r="I131" s="85">
        <v>0</v>
      </c>
      <c r="J131" s="113">
        <v>46173</v>
      </c>
      <c r="K131" s="114" t="s">
        <v>1342</v>
      </c>
      <c r="L131" s="144">
        <v>6420</v>
      </c>
      <c r="M131" s="83" t="s">
        <v>45</v>
      </c>
      <c r="N131" s="116">
        <v>0</v>
      </c>
      <c r="O131" s="147">
        <f t="shared" si="36"/>
        <v>0</v>
      </c>
      <c r="P131" s="147">
        <f t="shared" si="37"/>
        <v>0</v>
      </c>
      <c r="Q131" s="47">
        <f t="shared" si="38"/>
        <v>0</v>
      </c>
      <c r="R131" s="39"/>
      <c r="S131" s="55"/>
      <c r="T131" s="55"/>
      <c r="U131" s="56"/>
      <c r="V131" s="56"/>
      <c r="Y131" s="226" t="s">
        <v>266</v>
      </c>
    </row>
    <row r="132" spans="1:25" s="226" customFormat="1" ht="27.75" customHeight="1">
      <c r="A132" s="94">
        <v>9</v>
      </c>
      <c r="B132" s="81" t="s">
        <v>267</v>
      </c>
      <c r="C132" s="224" t="s">
        <v>268</v>
      </c>
      <c r="D132" s="267">
        <v>6420</v>
      </c>
      <c r="E132" s="81" t="s">
        <v>1109</v>
      </c>
      <c r="F132" s="116">
        <v>0.93457943925233578</v>
      </c>
      <c r="G132" s="147">
        <v>6000</v>
      </c>
      <c r="H132" s="147">
        <v>420</v>
      </c>
      <c r="I132" s="47">
        <v>6420</v>
      </c>
      <c r="J132" s="113">
        <v>46161</v>
      </c>
      <c r="K132" s="114" t="s">
        <v>1343</v>
      </c>
      <c r="L132" s="144">
        <v>6420</v>
      </c>
      <c r="M132" s="83" t="s">
        <v>1287</v>
      </c>
      <c r="N132" s="116">
        <v>0.93457943925233578</v>
      </c>
      <c r="O132" s="147">
        <f t="shared" si="36"/>
        <v>6000</v>
      </c>
      <c r="P132" s="147">
        <f>ROUND((O132*0.07),2)</f>
        <v>420</v>
      </c>
      <c r="Q132" s="47">
        <f t="shared" si="38"/>
        <v>6420</v>
      </c>
      <c r="R132" s="39"/>
      <c r="S132" s="55"/>
      <c r="T132" s="55"/>
      <c r="U132" s="56"/>
      <c r="V132" s="56"/>
      <c r="Y132" s="226" t="s">
        <v>269</v>
      </c>
    </row>
    <row r="133" spans="1:25" s="226" customFormat="1" ht="27.75" customHeight="1">
      <c r="A133" s="94">
        <v>10</v>
      </c>
      <c r="B133" s="81" t="s">
        <v>201</v>
      </c>
      <c r="C133" s="224" t="s">
        <v>205</v>
      </c>
      <c r="D133" s="225"/>
      <c r="E133" s="81" t="s">
        <v>45</v>
      </c>
      <c r="F133" s="116">
        <v>0</v>
      </c>
      <c r="G133" s="147">
        <v>0</v>
      </c>
      <c r="H133" s="147">
        <v>0</v>
      </c>
      <c r="I133" s="85">
        <v>0</v>
      </c>
      <c r="J133" s="113"/>
      <c r="K133" s="114"/>
      <c r="L133" s="144"/>
      <c r="M133" s="83" t="s">
        <v>45</v>
      </c>
      <c r="N133" s="116">
        <v>0</v>
      </c>
      <c r="O133" s="147">
        <f>+(D133*100/107)+G133-(L133*100/107)</f>
        <v>0</v>
      </c>
      <c r="P133" s="147">
        <f t="shared" si="37"/>
        <v>0</v>
      </c>
      <c r="Q133" s="47">
        <f t="shared" si="38"/>
        <v>0</v>
      </c>
      <c r="R133" s="39"/>
      <c r="S133" s="55"/>
      <c r="T133" s="55"/>
      <c r="U133" s="56"/>
      <c r="V133" s="56"/>
    </row>
    <row r="134" spans="1:25" s="226" customFormat="1" ht="27.75" customHeight="1">
      <c r="A134" s="94">
        <v>11</v>
      </c>
      <c r="B134" s="81" t="s">
        <v>156</v>
      </c>
      <c r="C134" s="224" t="s">
        <v>207</v>
      </c>
      <c r="D134" s="225">
        <v>6420</v>
      </c>
      <c r="E134" s="80" t="s">
        <v>45</v>
      </c>
      <c r="F134" s="44">
        <v>0</v>
      </c>
      <c r="G134" s="61">
        <v>0</v>
      </c>
      <c r="H134" s="61">
        <v>0</v>
      </c>
      <c r="I134" s="85">
        <v>0</v>
      </c>
      <c r="J134" s="113">
        <v>46145</v>
      </c>
      <c r="K134" s="114" t="s">
        <v>1344</v>
      </c>
      <c r="L134" s="144">
        <v>6420</v>
      </c>
      <c r="M134" s="83" t="s">
        <v>45</v>
      </c>
      <c r="N134" s="116">
        <v>0</v>
      </c>
      <c r="O134" s="147">
        <f t="shared" si="36"/>
        <v>0</v>
      </c>
      <c r="P134" s="147">
        <f t="shared" si="37"/>
        <v>0</v>
      </c>
      <c r="Q134" s="47">
        <f t="shared" si="38"/>
        <v>0</v>
      </c>
      <c r="R134" s="39"/>
      <c r="S134" s="55"/>
      <c r="T134" s="55"/>
      <c r="U134" s="56"/>
      <c r="V134" s="56"/>
    </row>
    <row r="135" spans="1:25" s="226" customFormat="1" ht="27.75" customHeight="1">
      <c r="A135" s="94">
        <v>12</v>
      </c>
      <c r="B135" s="41" t="s">
        <v>271</v>
      </c>
      <c r="C135" s="224" t="s">
        <v>208</v>
      </c>
      <c r="D135" s="225">
        <v>6420</v>
      </c>
      <c r="E135" s="80" t="s">
        <v>45</v>
      </c>
      <c r="F135" s="44">
        <v>0</v>
      </c>
      <c r="G135" s="61">
        <v>0</v>
      </c>
      <c r="H135" s="61">
        <v>0</v>
      </c>
      <c r="I135" s="85">
        <v>0</v>
      </c>
      <c r="J135" s="113">
        <v>46173</v>
      </c>
      <c r="K135" s="268" t="s">
        <v>1345</v>
      </c>
      <c r="L135" s="269">
        <v>6420</v>
      </c>
      <c r="M135" s="83" t="s">
        <v>45</v>
      </c>
      <c r="N135" s="116">
        <v>0</v>
      </c>
      <c r="O135" s="147">
        <f>+(D135*100/107)+G135-(L135*100/107)</f>
        <v>0</v>
      </c>
      <c r="P135" s="147">
        <f>ROUND((O135*0.07),2)</f>
        <v>0</v>
      </c>
      <c r="Q135" s="47">
        <f t="shared" si="38"/>
        <v>0</v>
      </c>
      <c r="R135" s="39"/>
      <c r="S135" s="55"/>
      <c r="T135" s="55"/>
      <c r="U135" s="56"/>
      <c r="V135" s="56"/>
    </row>
    <row r="136" spans="1:25" s="226" customFormat="1" ht="27.75" customHeight="1">
      <c r="A136" s="94">
        <v>13</v>
      </c>
      <c r="B136" s="41" t="s">
        <v>1352</v>
      </c>
      <c r="C136" s="224" t="s">
        <v>209</v>
      </c>
      <c r="D136" s="225">
        <v>6420</v>
      </c>
      <c r="E136" s="80" t="s">
        <v>45</v>
      </c>
      <c r="F136" s="44">
        <v>0</v>
      </c>
      <c r="G136" s="61">
        <v>0</v>
      </c>
      <c r="H136" s="61">
        <v>0</v>
      </c>
      <c r="I136" s="85">
        <v>0</v>
      </c>
      <c r="J136" s="113">
        <v>46159</v>
      </c>
      <c r="K136" s="114" t="s">
        <v>1346</v>
      </c>
      <c r="L136" s="144">
        <v>6420</v>
      </c>
      <c r="M136" s="83" t="s">
        <v>45</v>
      </c>
      <c r="N136" s="116">
        <v>0</v>
      </c>
      <c r="O136" s="147">
        <f>+(D136*100/107)+G136-(L136*100/107)</f>
        <v>0</v>
      </c>
      <c r="P136" s="147">
        <f>ROUND((O136*0.07),2)</f>
        <v>0</v>
      </c>
      <c r="Q136" s="47">
        <f>+O136+P136</f>
        <v>0</v>
      </c>
      <c r="R136" s="39"/>
      <c r="S136" s="55"/>
      <c r="T136" s="55"/>
      <c r="U136" s="56"/>
      <c r="V136" s="56"/>
    </row>
    <row r="137" spans="1:25" s="226" customFormat="1" ht="27.75" customHeight="1">
      <c r="A137" s="94">
        <v>14</v>
      </c>
      <c r="B137" s="41" t="s">
        <v>275</v>
      </c>
      <c r="C137" s="224" t="s">
        <v>276</v>
      </c>
      <c r="D137" s="225">
        <v>6420</v>
      </c>
      <c r="E137" s="80" t="s">
        <v>45</v>
      </c>
      <c r="F137" s="44">
        <v>0</v>
      </c>
      <c r="G137" s="61">
        <v>0</v>
      </c>
      <c r="H137" s="61">
        <v>0</v>
      </c>
      <c r="I137" s="85">
        <v>0</v>
      </c>
      <c r="J137" s="113" t="s">
        <v>1347</v>
      </c>
      <c r="K137" s="114" t="s">
        <v>1348</v>
      </c>
      <c r="L137" s="144">
        <v>6420</v>
      </c>
      <c r="M137" s="87" t="s">
        <v>45</v>
      </c>
      <c r="N137" s="116">
        <v>0</v>
      </c>
      <c r="O137" s="147">
        <f>+(D137*100/107)+G137-(L137*100/107)</f>
        <v>0</v>
      </c>
      <c r="P137" s="147">
        <f>ROUND((O137*0.07),2)</f>
        <v>0</v>
      </c>
      <c r="Q137" s="47">
        <f>+O137+P137</f>
        <v>0</v>
      </c>
      <c r="R137" s="39"/>
      <c r="S137" s="55"/>
      <c r="T137" s="55"/>
      <c r="U137" s="56"/>
      <c r="V137" s="56"/>
    </row>
    <row r="138" spans="1:25" ht="27.75" customHeight="1" thickBot="1">
      <c r="A138" s="22"/>
      <c r="B138" s="194" t="s">
        <v>22</v>
      </c>
      <c r="C138" s="195"/>
      <c r="D138" s="196">
        <f>SUM(D124:D137)</f>
        <v>80250</v>
      </c>
      <c r="E138" s="196"/>
      <c r="F138" s="197"/>
      <c r="G138" s="196">
        <f>SUM(G124:G137)</f>
        <v>27000</v>
      </c>
      <c r="H138" s="196">
        <f>SUM(H124:H137)</f>
        <v>1890</v>
      </c>
      <c r="I138" s="196">
        <f>SUM(I124:I137)</f>
        <v>28890</v>
      </c>
      <c r="J138" s="199"/>
      <c r="K138" s="199"/>
      <c r="L138" s="196">
        <f>SUM(L124:L137)</f>
        <v>77040</v>
      </c>
      <c r="M138" s="200"/>
      <c r="N138" s="196"/>
      <c r="O138" s="196">
        <f>SUM(O124:O137)</f>
        <v>30000</v>
      </c>
      <c r="P138" s="196">
        <f>SUM(P124:P137)</f>
        <v>2100</v>
      </c>
      <c r="Q138" s="196">
        <f t="shared" ref="Q138" si="39">SUM(Q124:Q137)</f>
        <v>32100</v>
      </c>
      <c r="R138" s="36"/>
      <c r="S138" s="37"/>
      <c r="T138" s="37"/>
      <c r="U138" s="38"/>
      <c r="V138" s="38"/>
      <c r="W138" s="38"/>
    </row>
    <row r="139" spans="1:25" ht="27.75" hidden="1" customHeight="1" thickBot="1">
      <c r="A139" s="22"/>
      <c r="B139" s="23" t="s">
        <v>278</v>
      </c>
      <c r="C139" s="24"/>
      <c r="D139" s="25"/>
      <c r="E139" s="26"/>
      <c r="F139" s="27"/>
      <c r="G139" s="28"/>
      <c r="H139" s="28"/>
      <c r="I139" s="28"/>
      <c r="J139" s="29"/>
      <c r="K139" s="30"/>
      <c r="L139" s="31"/>
      <c r="M139" s="32"/>
      <c r="N139" s="33"/>
      <c r="O139" s="34"/>
      <c r="P139" s="34"/>
      <c r="Q139" s="35"/>
      <c r="R139" s="36"/>
      <c r="S139" s="37"/>
      <c r="T139" s="37"/>
      <c r="U139" s="38"/>
      <c r="V139" s="38"/>
      <c r="W139" s="38"/>
    </row>
    <row r="140" spans="1:25" ht="27.75" hidden="1" customHeight="1" thickTop="1">
      <c r="A140" s="22">
        <v>1</v>
      </c>
      <c r="B140" s="270" t="s">
        <v>88</v>
      </c>
      <c r="C140" s="271" t="s">
        <v>279</v>
      </c>
      <c r="D140" s="272"/>
      <c r="E140" s="273"/>
      <c r="F140" s="274"/>
      <c r="G140" s="65">
        <v>0</v>
      </c>
      <c r="H140" s="45">
        <v>0</v>
      </c>
      <c r="I140" s="61">
        <v>0</v>
      </c>
      <c r="J140" s="275"/>
      <c r="K140" s="276"/>
      <c r="L140" s="277"/>
      <c r="M140" s="232"/>
      <c r="N140" s="251"/>
      <c r="O140" s="233">
        <f t="shared" ref="O140:O150" si="40">+(D140*100/107)+G140-(L140*100/107)</f>
        <v>0</v>
      </c>
      <c r="P140" s="233">
        <f t="shared" ref="P140:P150" si="41">ROUND((O140*0.07),2)</f>
        <v>0</v>
      </c>
      <c r="Q140" s="66">
        <f t="shared" ref="Q140:Q150" si="42">+O140+P140</f>
        <v>0</v>
      </c>
      <c r="R140" s="278"/>
      <c r="S140" s="279"/>
      <c r="T140" s="37"/>
      <c r="U140" s="38"/>
      <c r="V140" s="38"/>
      <c r="W140" s="38"/>
    </row>
    <row r="141" spans="1:25" ht="27.75" hidden="1" customHeight="1" thickTop="1">
      <c r="A141" s="22">
        <v>2</v>
      </c>
      <c r="B141" s="280" t="s">
        <v>89</v>
      </c>
      <c r="C141" s="271" t="s">
        <v>279</v>
      </c>
      <c r="D141" s="272"/>
      <c r="E141" s="201"/>
      <c r="F141" s="281"/>
      <c r="G141" s="61">
        <v>0</v>
      </c>
      <c r="H141" s="45">
        <v>0</v>
      </c>
      <c r="I141" s="61">
        <v>0</v>
      </c>
      <c r="J141" s="175"/>
      <c r="K141" s="282"/>
      <c r="L141" s="222"/>
      <c r="M141" s="94"/>
      <c r="N141" s="39"/>
      <c r="O141" s="233">
        <f t="shared" si="40"/>
        <v>0</v>
      </c>
      <c r="P141" s="233">
        <f t="shared" si="41"/>
        <v>0</v>
      </c>
      <c r="Q141" s="66">
        <f t="shared" si="42"/>
        <v>0</v>
      </c>
      <c r="R141" s="278"/>
      <c r="S141" s="279"/>
      <c r="T141" s="37"/>
      <c r="U141" s="38"/>
      <c r="V141" s="38"/>
      <c r="W141" s="38"/>
    </row>
    <row r="142" spans="1:25" ht="27.75" hidden="1" customHeight="1" thickTop="1">
      <c r="A142" s="22">
        <v>3</v>
      </c>
      <c r="B142" s="270" t="s">
        <v>280</v>
      </c>
      <c r="C142" s="271" t="s">
        <v>279</v>
      </c>
      <c r="D142" s="272"/>
      <c r="E142" s="201"/>
      <c r="F142" s="281"/>
      <c r="G142" s="61">
        <v>0</v>
      </c>
      <c r="H142" s="45">
        <v>0</v>
      </c>
      <c r="I142" s="61">
        <v>0</v>
      </c>
      <c r="J142" s="175"/>
      <c r="K142" s="282"/>
      <c r="L142" s="222"/>
      <c r="M142" s="94"/>
      <c r="N142" s="39"/>
      <c r="O142" s="233">
        <f t="shared" si="40"/>
        <v>0</v>
      </c>
      <c r="P142" s="233">
        <f t="shared" si="41"/>
        <v>0</v>
      </c>
      <c r="Q142" s="66">
        <f t="shared" si="42"/>
        <v>0</v>
      </c>
      <c r="R142" s="278"/>
      <c r="S142" s="279"/>
      <c r="T142" s="37"/>
      <c r="U142" s="38"/>
      <c r="V142" s="38"/>
      <c r="W142" s="38"/>
    </row>
    <row r="143" spans="1:25" ht="27.75" hidden="1" customHeight="1" thickTop="1">
      <c r="A143" s="22">
        <v>4</v>
      </c>
      <c r="B143" s="280" t="s">
        <v>96</v>
      </c>
      <c r="C143" s="271" t="s">
        <v>279</v>
      </c>
      <c r="D143" s="272"/>
      <c r="E143" s="201"/>
      <c r="F143" s="281"/>
      <c r="G143" s="61">
        <v>0</v>
      </c>
      <c r="H143" s="45">
        <v>0</v>
      </c>
      <c r="I143" s="61">
        <v>0</v>
      </c>
      <c r="J143" s="175"/>
      <c r="K143" s="282"/>
      <c r="L143" s="222"/>
      <c r="M143" s="94"/>
      <c r="N143" s="39"/>
      <c r="O143" s="233">
        <f t="shared" si="40"/>
        <v>0</v>
      </c>
      <c r="P143" s="233">
        <f t="shared" si="41"/>
        <v>0</v>
      </c>
      <c r="Q143" s="66">
        <f t="shared" si="42"/>
        <v>0</v>
      </c>
      <c r="R143" s="283"/>
      <c r="S143" s="55"/>
      <c r="T143" s="37"/>
      <c r="U143" s="38"/>
      <c r="V143" s="38"/>
      <c r="W143" s="38"/>
    </row>
    <row r="144" spans="1:25" ht="27.75" hidden="1" customHeight="1" thickTop="1">
      <c r="A144" s="22">
        <v>5</v>
      </c>
      <c r="B144" s="280" t="s">
        <v>281</v>
      </c>
      <c r="C144" s="271" t="s">
        <v>279</v>
      </c>
      <c r="D144" s="272">
        <v>0</v>
      </c>
      <c r="E144" s="201"/>
      <c r="F144" s="281"/>
      <c r="G144" s="61">
        <v>0</v>
      </c>
      <c r="H144" s="45">
        <v>0</v>
      </c>
      <c r="I144" s="61">
        <v>0</v>
      </c>
      <c r="J144" s="175"/>
      <c r="K144" s="282"/>
      <c r="L144" s="222"/>
      <c r="M144" s="94"/>
      <c r="N144" s="39"/>
      <c r="O144" s="233">
        <f t="shared" si="40"/>
        <v>0</v>
      </c>
      <c r="P144" s="233">
        <f t="shared" si="41"/>
        <v>0</v>
      </c>
      <c r="Q144" s="66">
        <f t="shared" si="42"/>
        <v>0</v>
      </c>
      <c r="R144" s="283"/>
      <c r="S144" s="55"/>
      <c r="T144" s="37"/>
      <c r="U144" s="38"/>
      <c r="V144" s="38"/>
      <c r="W144" s="38"/>
    </row>
    <row r="145" spans="1:24" ht="27.75" hidden="1" customHeight="1" thickTop="1">
      <c r="A145" s="22">
        <v>6</v>
      </c>
      <c r="B145" s="280" t="s">
        <v>282</v>
      </c>
      <c r="C145" s="271" t="s">
        <v>279</v>
      </c>
      <c r="D145" s="272"/>
      <c r="E145" s="201"/>
      <c r="F145" s="281"/>
      <c r="G145" s="61">
        <v>0</v>
      </c>
      <c r="H145" s="45">
        <v>0</v>
      </c>
      <c r="I145" s="61">
        <v>0</v>
      </c>
      <c r="J145" s="175"/>
      <c r="K145" s="282"/>
      <c r="L145" s="222"/>
      <c r="M145" s="94"/>
      <c r="N145" s="39"/>
      <c r="O145" s="233">
        <f t="shared" si="40"/>
        <v>0</v>
      </c>
      <c r="P145" s="233">
        <f t="shared" si="41"/>
        <v>0</v>
      </c>
      <c r="Q145" s="66">
        <f t="shared" si="42"/>
        <v>0</v>
      </c>
      <c r="R145" s="283"/>
      <c r="S145" s="37"/>
      <c r="T145" s="37"/>
      <c r="U145" s="38"/>
      <c r="V145" s="38"/>
      <c r="W145" s="38"/>
    </row>
    <row r="146" spans="1:24" ht="27.75" hidden="1" customHeight="1" thickTop="1">
      <c r="A146" s="22">
        <v>7</v>
      </c>
      <c r="B146" s="280" t="s">
        <v>92</v>
      </c>
      <c r="C146" s="271" t="s">
        <v>279</v>
      </c>
      <c r="D146" s="272"/>
      <c r="E146" s="201"/>
      <c r="F146" s="281"/>
      <c r="G146" s="61">
        <v>0</v>
      </c>
      <c r="H146" s="45">
        <v>0</v>
      </c>
      <c r="I146" s="61">
        <v>0</v>
      </c>
      <c r="J146" s="175"/>
      <c r="K146" s="282"/>
      <c r="L146" s="222"/>
      <c r="M146" s="94"/>
      <c r="N146" s="39"/>
      <c r="O146" s="233">
        <f t="shared" si="40"/>
        <v>0</v>
      </c>
      <c r="P146" s="233">
        <f t="shared" si="41"/>
        <v>0</v>
      </c>
      <c r="Q146" s="66">
        <f t="shared" si="42"/>
        <v>0</v>
      </c>
      <c r="R146" s="283"/>
      <c r="S146" s="37"/>
      <c r="T146" s="37"/>
      <c r="U146" s="38"/>
      <c r="V146" s="38"/>
      <c r="W146" s="38"/>
    </row>
    <row r="147" spans="1:24" ht="27.75" hidden="1" customHeight="1" thickTop="1">
      <c r="A147" s="22">
        <v>8</v>
      </c>
      <c r="B147" s="280" t="s">
        <v>91</v>
      </c>
      <c r="C147" s="271" t="s">
        <v>279</v>
      </c>
      <c r="D147" s="284"/>
      <c r="E147" s="201"/>
      <c r="F147" s="281"/>
      <c r="G147" s="61">
        <v>0</v>
      </c>
      <c r="H147" s="45">
        <v>0</v>
      </c>
      <c r="I147" s="61">
        <v>0</v>
      </c>
      <c r="J147" s="175"/>
      <c r="K147" s="282"/>
      <c r="L147" s="222"/>
      <c r="M147" s="94"/>
      <c r="N147" s="39"/>
      <c r="O147" s="233">
        <f t="shared" si="40"/>
        <v>0</v>
      </c>
      <c r="P147" s="233">
        <f t="shared" si="41"/>
        <v>0</v>
      </c>
      <c r="Q147" s="66">
        <f t="shared" si="42"/>
        <v>0</v>
      </c>
      <c r="R147" s="283"/>
      <c r="S147" s="37"/>
      <c r="T147" s="37"/>
      <c r="U147" s="38"/>
      <c r="V147" s="38"/>
      <c r="W147" s="38"/>
    </row>
    <row r="148" spans="1:24" ht="27.75" hidden="1" customHeight="1" thickTop="1">
      <c r="A148" s="22">
        <v>9</v>
      </c>
      <c r="B148" s="280" t="s">
        <v>236</v>
      </c>
      <c r="C148" s="271" t="s">
        <v>279</v>
      </c>
      <c r="D148" s="272">
        <v>0</v>
      </c>
      <c r="E148" s="201"/>
      <c r="F148" s="281"/>
      <c r="G148" s="61">
        <v>0</v>
      </c>
      <c r="H148" s="45">
        <v>0</v>
      </c>
      <c r="I148" s="61">
        <v>0</v>
      </c>
      <c r="J148" s="175"/>
      <c r="K148" s="282"/>
      <c r="L148" s="222"/>
      <c r="M148" s="94"/>
      <c r="N148" s="39"/>
      <c r="O148" s="233">
        <f t="shared" si="40"/>
        <v>0</v>
      </c>
      <c r="P148" s="233">
        <f t="shared" si="41"/>
        <v>0</v>
      </c>
      <c r="Q148" s="66">
        <f t="shared" si="42"/>
        <v>0</v>
      </c>
      <c r="R148" s="283"/>
      <c r="S148" s="37"/>
      <c r="T148" s="37"/>
      <c r="U148" s="38"/>
      <c r="V148" s="38"/>
      <c r="W148" s="38"/>
    </row>
    <row r="149" spans="1:24" ht="27.75" hidden="1" customHeight="1" thickTop="1">
      <c r="A149" s="22">
        <v>10</v>
      </c>
      <c r="B149" s="280" t="s">
        <v>94</v>
      </c>
      <c r="C149" s="280" t="s">
        <v>279</v>
      </c>
      <c r="D149" s="284"/>
      <c r="E149" s="201"/>
      <c r="F149" s="281"/>
      <c r="G149" s="61">
        <v>0</v>
      </c>
      <c r="H149" s="45">
        <v>0</v>
      </c>
      <c r="I149" s="61">
        <v>0</v>
      </c>
      <c r="J149" s="175"/>
      <c r="K149" s="282"/>
      <c r="L149" s="222"/>
      <c r="M149" s="94"/>
      <c r="N149" s="39"/>
      <c r="O149" s="233">
        <f t="shared" si="40"/>
        <v>0</v>
      </c>
      <c r="P149" s="233">
        <f t="shared" si="41"/>
        <v>0</v>
      </c>
      <c r="Q149" s="66">
        <f t="shared" si="42"/>
        <v>0</v>
      </c>
      <c r="R149" s="36"/>
      <c r="S149" s="37"/>
      <c r="T149" s="37"/>
      <c r="U149" s="38"/>
      <c r="V149" s="38"/>
      <c r="W149" s="38"/>
    </row>
    <row r="150" spans="1:24" ht="27.75" hidden="1" customHeight="1" thickTop="1">
      <c r="A150" s="22">
        <v>11</v>
      </c>
      <c r="B150" s="270"/>
      <c r="C150" s="285"/>
      <c r="D150" s="286"/>
      <c r="E150" s="273"/>
      <c r="F150" s="274"/>
      <c r="G150" s="65">
        <v>0</v>
      </c>
      <c r="H150" s="45">
        <v>0</v>
      </c>
      <c r="I150" s="61">
        <v>0</v>
      </c>
      <c r="J150" s="275"/>
      <c r="K150" s="276"/>
      <c r="L150" s="277"/>
      <c r="M150" s="232"/>
      <c r="N150" s="251"/>
      <c r="O150" s="233">
        <f t="shared" si="40"/>
        <v>0</v>
      </c>
      <c r="P150" s="233">
        <f t="shared" si="41"/>
        <v>0</v>
      </c>
      <c r="Q150" s="66">
        <f t="shared" si="42"/>
        <v>0</v>
      </c>
      <c r="R150" s="36"/>
      <c r="S150" s="37"/>
      <c r="T150" s="37"/>
      <c r="U150" s="38"/>
      <c r="V150" s="38"/>
      <c r="W150" s="38"/>
    </row>
    <row r="151" spans="1:24" ht="27.75" hidden="1" customHeight="1" thickTop="1">
      <c r="A151" s="22"/>
      <c r="B151" s="131" t="s">
        <v>22</v>
      </c>
      <c r="C151" s="132"/>
      <c r="D151" s="133">
        <f>SUM(D140:D150)</f>
        <v>0</v>
      </c>
      <c r="E151" s="134"/>
      <c r="F151" s="135"/>
      <c r="G151" s="136">
        <f>SUM(G140:G150)</f>
        <v>0</v>
      </c>
      <c r="H151" s="136">
        <f t="shared" ref="H151:I151" si="43">SUM(H140:H150)</f>
        <v>0</v>
      </c>
      <c r="I151" s="136">
        <f t="shared" si="43"/>
        <v>0</v>
      </c>
      <c r="J151" s="287"/>
      <c r="K151" s="137"/>
      <c r="L151" s="138">
        <f>SUM(L144:L150)</f>
        <v>0</v>
      </c>
      <c r="M151" s="139"/>
      <c r="N151" s="133"/>
      <c r="O151" s="136">
        <f>SUM(O140:O150)</f>
        <v>0</v>
      </c>
      <c r="P151" s="136">
        <f t="shared" ref="P151:Q151" si="44">SUM(P140:P150)</f>
        <v>0</v>
      </c>
      <c r="Q151" s="136">
        <f t="shared" si="44"/>
        <v>0</v>
      </c>
      <c r="R151" s="36"/>
      <c r="S151" s="37"/>
      <c r="T151" s="37"/>
      <c r="U151" s="38"/>
      <c r="V151" s="38"/>
      <c r="W151" s="38"/>
    </row>
    <row r="152" spans="1:24" ht="27.75" customHeight="1" thickTop="1">
      <c r="A152" s="22"/>
      <c r="B152" s="288" t="s">
        <v>283</v>
      </c>
      <c r="C152" s="289"/>
      <c r="D152" s="272"/>
      <c r="E152" s="201"/>
      <c r="F152" s="281"/>
      <c r="G152" s="290"/>
      <c r="H152" s="290"/>
      <c r="I152" s="290"/>
      <c r="J152" s="291"/>
      <c r="K152" s="292"/>
      <c r="L152" s="222"/>
      <c r="M152" s="94"/>
      <c r="N152" s="39"/>
      <c r="O152" s="293"/>
      <c r="P152" s="293"/>
      <c r="Q152" s="294"/>
      <c r="R152" s="36"/>
      <c r="S152" s="37"/>
      <c r="T152" s="37"/>
      <c r="U152" s="38"/>
      <c r="V152" s="38"/>
      <c r="W152" s="295"/>
    </row>
    <row r="153" spans="1:24" ht="27.75" customHeight="1">
      <c r="A153" s="94">
        <v>1</v>
      </c>
      <c r="B153" s="205" t="s">
        <v>192</v>
      </c>
      <c r="C153" s="206" t="s">
        <v>284</v>
      </c>
      <c r="D153" s="296">
        <v>66660</v>
      </c>
      <c r="E153" s="64"/>
      <c r="F153" s="44"/>
      <c r="G153" s="45">
        <v>0</v>
      </c>
      <c r="H153" s="45">
        <v>0</v>
      </c>
      <c r="I153" s="66">
        <v>0</v>
      </c>
      <c r="J153" s="183">
        <v>46147</v>
      </c>
      <c r="K153" s="184" t="s">
        <v>1353</v>
      </c>
      <c r="L153" s="231">
        <v>66660</v>
      </c>
      <c r="M153" s="186"/>
      <c r="N153" s="116">
        <v>0</v>
      </c>
      <c r="O153" s="233">
        <f>SUM(D153+G153-L153)</f>
        <v>0</v>
      </c>
      <c r="P153" s="233">
        <v>0</v>
      </c>
      <c r="Q153" s="66">
        <f>SUM(D153+I153-L153)</f>
        <v>0</v>
      </c>
      <c r="R153" s="297" t="s">
        <v>287</v>
      </c>
      <c r="S153" s="298">
        <v>44682</v>
      </c>
      <c r="T153" s="299">
        <v>45565</v>
      </c>
      <c r="U153" s="56">
        <v>347760</v>
      </c>
      <c r="V153" s="56" t="s">
        <v>288</v>
      </c>
      <c r="W153" s="295" t="s">
        <v>289</v>
      </c>
      <c r="X153" s="4" t="s">
        <v>290</v>
      </c>
    </row>
    <row r="154" spans="1:24" ht="27.75" customHeight="1">
      <c r="A154" s="83"/>
      <c r="B154" s="208" t="s">
        <v>291</v>
      </c>
      <c r="C154" s="209"/>
      <c r="D154" s="300"/>
      <c r="E154" s="211"/>
      <c r="F154" s="212"/>
      <c r="G154" s="213"/>
      <c r="H154" s="213"/>
      <c r="I154" s="214"/>
      <c r="J154" s="301"/>
      <c r="K154" s="302"/>
      <c r="L154" s="303"/>
      <c r="M154" s="304"/>
      <c r="N154" s="217"/>
      <c r="O154" s="305"/>
      <c r="P154" s="305"/>
      <c r="Q154" s="214"/>
      <c r="R154" s="306"/>
      <c r="S154" s="307"/>
      <c r="T154" s="37"/>
      <c r="U154" s="38"/>
      <c r="V154" s="38"/>
    </row>
    <row r="155" spans="1:24" ht="27.75" customHeight="1" thickBot="1">
      <c r="A155" s="193"/>
      <c r="B155" s="308" t="s">
        <v>22</v>
      </c>
      <c r="C155" s="309"/>
      <c r="D155" s="310">
        <f>SUM(D153:D154)</f>
        <v>66660</v>
      </c>
      <c r="E155" s="311"/>
      <c r="F155" s="312"/>
      <c r="G155" s="313">
        <f>SUM(G153:G154)</f>
        <v>0</v>
      </c>
      <c r="H155" s="313">
        <v>0</v>
      </c>
      <c r="I155" s="313">
        <f>SUM(I153)</f>
        <v>0</v>
      </c>
      <c r="J155" s="314"/>
      <c r="K155" s="314"/>
      <c r="L155" s="310">
        <f>SUM(L153:L154)</f>
        <v>66660</v>
      </c>
      <c r="M155" s="315"/>
      <c r="N155" s="310"/>
      <c r="O155" s="198">
        <f>SUM(O153:O154)-O153</f>
        <v>0</v>
      </c>
      <c r="P155" s="198">
        <f t="shared" ref="P155:Q155" si="45">SUM(P153:P154)-P153</f>
        <v>0</v>
      </c>
      <c r="Q155" s="198">
        <f t="shared" si="45"/>
        <v>0</v>
      </c>
      <c r="R155" s="36"/>
      <c r="S155" s="37"/>
      <c r="T155" s="37"/>
      <c r="U155" s="38"/>
      <c r="V155" s="38"/>
      <c r="W155" s="38"/>
    </row>
    <row r="156" spans="1:24" ht="27.75" customHeight="1" thickTop="1">
      <c r="A156" s="22"/>
      <c r="B156" s="23" t="s">
        <v>292</v>
      </c>
      <c r="C156" s="24"/>
      <c r="D156" s="25"/>
      <c r="E156" s="26"/>
      <c r="F156" s="27"/>
      <c r="G156" s="28"/>
      <c r="H156" s="28"/>
      <c r="I156" s="28"/>
      <c r="J156" s="29"/>
      <c r="K156" s="30"/>
      <c r="L156" s="31"/>
      <c r="M156" s="32"/>
      <c r="N156" s="33"/>
      <c r="O156" s="34"/>
      <c r="P156" s="34"/>
      <c r="Q156" s="35"/>
      <c r="R156" s="36"/>
      <c r="S156" s="37"/>
      <c r="T156" s="37"/>
      <c r="U156" s="38"/>
      <c r="V156" s="38"/>
      <c r="W156" s="38"/>
    </row>
    <row r="157" spans="1:24" ht="27.75" customHeight="1">
      <c r="A157" s="316">
        <v>1</v>
      </c>
      <c r="B157" s="280" t="s">
        <v>249</v>
      </c>
      <c r="C157" s="280" t="s">
        <v>250</v>
      </c>
      <c r="D157" s="272">
        <v>117.7</v>
      </c>
      <c r="E157" s="201" t="s">
        <v>1109</v>
      </c>
      <c r="F157" s="281">
        <v>1</v>
      </c>
      <c r="G157" s="61">
        <v>170</v>
      </c>
      <c r="H157" s="61">
        <v>11.9</v>
      </c>
      <c r="I157" s="61">
        <v>181.9</v>
      </c>
      <c r="J157" s="317">
        <v>46149</v>
      </c>
      <c r="K157" s="318" t="s">
        <v>1354</v>
      </c>
      <c r="L157" s="319">
        <v>181.9</v>
      </c>
      <c r="M157" s="320" t="s">
        <v>1287</v>
      </c>
      <c r="N157" s="39">
        <v>1</v>
      </c>
      <c r="O157" s="233">
        <f>+(D157*100/107)+G157-(L157*100/107)</f>
        <v>110</v>
      </c>
      <c r="P157" s="233">
        <f>ROUND((O157*0.07),2)</f>
        <v>7.7</v>
      </c>
      <c r="Q157" s="66">
        <f>SUM(D157+I157-L157)</f>
        <v>117.70000000000002</v>
      </c>
      <c r="R157" s="36"/>
      <c r="S157" s="37"/>
      <c r="T157" s="37"/>
      <c r="U157" s="38"/>
      <c r="V157" s="38"/>
      <c r="W157" s="38"/>
    </row>
    <row r="158" spans="1:24" ht="27.75" customHeight="1">
      <c r="A158" s="316">
        <v>2</v>
      </c>
      <c r="B158" s="280" t="s">
        <v>294</v>
      </c>
      <c r="C158" s="280" t="s">
        <v>255</v>
      </c>
      <c r="D158" s="272">
        <v>32.1</v>
      </c>
      <c r="E158" s="201" t="s">
        <v>1109</v>
      </c>
      <c r="F158" s="281">
        <v>1</v>
      </c>
      <c r="G158" s="61">
        <v>70.000000000000014</v>
      </c>
      <c r="H158" s="61">
        <v>4.9000000000000004</v>
      </c>
      <c r="I158" s="61">
        <v>74.900000000000006</v>
      </c>
      <c r="J158" s="321"/>
      <c r="K158" s="322"/>
      <c r="L158" s="323">
        <v>0</v>
      </c>
      <c r="M158" s="320" t="s">
        <v>1051</v>
      </c>
      <c r="N158" s="39">
        <v>2</v>
      </c>
      <c r="O158" s="233">
        <f t="shared" ref="O158:O164" si="46">+(D158*100/107)+G158-(L158*100/107)</f>
        <v>100.00000000000001</v>
      </c>
      <c r="P158" s="233">
        <f t="shared" ref="P158:P164" si="47">ROUND((O158*0.07),2)</f>
        <v>7</v>
      </c>
      <c r="Q158" s="66">
        <f t="shared" ref="Q158:Q164" si="48">SUM(D158+I158-L158)</f>
        <v>107</v>
      </c>
      <c r="R158" s="36"/>
      <c r="S158" s="37"/>
      <c r="T158" s="37"/>
      <c r="U158" s="38"/>
      <c r="V158" s="38"/>
      <c r="W158" s="38"/>
    </row>
    <row r="159" spans="1:24" ht="27.75" customHeight="1">
      <c r="A159" s="316">
        <v>3</v>
      </c>
      <c r="B159" s="270" t="s">
        <v>295</v>
      </c>
      <c r="C159" s="285" t="s">
        <v>255</v>
      </c>
      <c r="D159" s="284">
        <v>0</v>
      </c>
      <c r="E159" s="273" t="s">
        <v>45</v>
      </c>
      <c r="F159" s="274">
        <v>0</v>
      </c>
      <c r="G159" s="61">
        <v>0</v>
      </c>
      <c r="H159" s="61">
        <v>0</v>
      </c>
      <c r="I159" s="61">
        <v>0</v>
      </c>
      <c r="J159" s="321"/>
      <c r="K159" s="322"/>
      <c r="L159" s="323">
        <v>0</v>
      </c>
      <c r="M159" s="320" t="s">
        <v>45</v>
      </c>
      <c r="N159" s="251">
        <v>0</v>
      </c>
      <c r="O159" s="233">
        <f t="shared" si="46"/>
        <v>0</v>
      </c>
      <c r="P159" s="233">
        <f t="shared" si="47"/>
        <v>0</v>
      </c>
      <c r="Q159" s="66">
        <f t="shared" si="48"/>
        <v>0</v>
      </c>
      <c r="R159" s="36"/>
      <c r="S159" s="37"/>
      <c r="T159" s="37"/>
      <c r="U159" s="38"/>
      <c r="V159" s="38"/>
      <c r="W159" s="38"/>
    </row>
    <row r="160" spans="1:24" ht="27.75" customHeight="1">
      <c r="A160" s="22">
        <v>4</v>
      </c>
      <c r="B160" s="270" t="s">
        <v>296</v>
      </c>
      <c r="C160" s="270" t="s">
        <v>262</v>
      </c>
      <c r="D160" s="284">
        <v>0</v>
      </c>
      <c r="E160" s="273" t="s">
        <v>45</v>
      </c>
      <c r="F160" s="274">
        <v>0</v>
      </c>
      <c r="G160" s="65">
        <v>0</v>
      </c>
      <c r="H160" s="65">
        <v>0</v>
      </c>
      <c r="I160" s="65">
        <v>0</v>
      </c>
      <c r="J160" s="324"/>
      <c r="K160" s="325"/>
      <c r="L160" s="326">
        <v>0</v>
      </c>
      <c r="M160" s="327" t="s">
        <v>45</v>
      </c>
      <c r="N160" s="251">
        <v>0</v>
      </c>
      <c r="O160" s="233">
        <f t="shared" si="46"/>
        <v>0</v>
      </c>
      <c r="P160" s="233">
        <f t="shared" si="47"/>
        <v>0</v>
      </c>
      <c r="Q160" s="66">
        <f t="shared" si="48"/>
        <v>0</v>
      </c>
      <c r="R160" s="36"/>
      <c r="S160" s="37"/>
      <c r="T160" s="37"/>
      <c r="U160" s="38"/>
      <c r="V160" s="38"/>
      <c r="W160" s="38"/>
    </row>
    <row r="161" spans="1:24" ht="27.75" customHeight="1">
      <c r="A161" s="22">
        <v>5</v>
      </c>
      <c r="B161" s="270" t="s">
        <v>298</v>
      </c>
      <c r="C161" s="270" t="s">
        <v>199</v>
      </c>
      <c r="D161" s="284">
        <v>21.4</v>
      </c>
      <c r="E161" s="273" t="s">
        <v>45</v>
      </c>
      <c r="F161" s="274">
        <v>0</v>
      </c>
      <c r="G161" s="65">
        <v>0</v>
      </c>
      <c r="H161" s="65">
        <v>0</v>
      </c>
      <c r="I161" s="65">
        <v>0</v>
      </c>
      <c r="J161" s="328">
        <v>46173</v>
      </c>
      <c r="K161" s="329" t="s">
        <v>1355</v>
      </c>
      <c r="L161" s="330">
        <v>21.4</v>
      </c>
      <c r="M161" s="327" t="s">
        <v>45</v>
      </c>
      <c r="N161" s="251">
        <v>0</v>
      </c>
      <c r="O161" s="233">
        <f t="shared" si="46"/>
        <v>0</v>
      </c>
      <c r="P161" s="233">
        <f t="shared" si="47"/>
        <v>0</v>
      </c>
      <c r="Q161" s="66">
        <f t="shared" si="48"/>
        <v>0</v>
      </c>
      <c r="R161" s="36"/>
      <c r="S161" s="37"/>
      <c r="T161" s="37"/>
      <c r="U161" s="38"/>
      <c r="V161" s="38"/>
      <c r="W161" s="38"/>
    </row>
    <row r="162" spans="1:24" ht="27.75" customHeight="1">
      <c r="A162" s="22">
        <v>6</v>
      </c>
      <c r="B162" s="270" t="s">
        <v>156</v>
      </c>
      <c r="C162" s="270" t="s">
        <v>208</v>
      </c>
      <c r="D162" s="284">
        <v>107</v>
      </c>
      <c r="E162" s="273" t="s">
        <v>45</v>
      </c>
      <c r="F162" s="274">
        <v>0</v>
      </c>
      <c r="G162" s="65">
        <v>0</v>
      </c>
      <c r="H162" s="65">
        <v>0</v>
      </c>
      <c r="I162" s="65">
        <v>0</v>
      </c>
      <c r="J162" s="328">
        <v>46145</v>
      </c>
      <c r="K162" s="329" t="s">
        <v>1356</v>
      </c>
      <c r="L162" s="330">
        <v>107</v>
      </c>
      <c r="M162" s="327" t="s">
        <v>45</v>
      </c>
      <c r="N162" s="251">
        <v>0</v>
      </c>
      <c r="O162" s="233">
        <f t="shared" si="46"/>
        <v>0</v>
      </c>
      <c r="P162" s="233">
        <f t="shared" si="47"/>
        <v>0</v>
      </c>
      <c r="Q162" s="66">
        <f t="shared" si="48"/>
        <v>0</v>
      </c>
      <c r="R162" s="36"/>
      <c r="S162" s="37"/>
      <c r="T162" s="37"/>
      <c r="U162" s="38"/>
      <c r="V162" s="38"/>
      <c r="W162" s="38"/>
    </row>
    <row r="163" spans="1:24" ht="27.75" customHeight="1">
      <c r="A163" s="22">
        <v>7</v>
      </c>
      <c r="B163" s="270" t="s">
        <v>273</v>
      </c>
      <c r="C163" s="270" t="s">
        <v>211</v>
      </c>
      <c r="D163" s="284">
        <v>53.5</v>
      </c>
      <c r="E163" s="273" t="s">
        <v>45</v>
      </c>
      <c r="F163" s="274">
        <v>0</v>
      </c>
      <c r="G163" s="65">
        <v>0</v>
      </c>
      <c r="H163" s="65">
        <v>0</v>
      </c>
      <c r="I163" s="65">
        <v>0</v>
      </c>
      <c r="J163" s="328">
        <v>46159</v>
      </c>
      <c r="K163" s="329" t="s">
        <v>1357</v>
      </c>
      <c r="L163" s="330">
        <v>53.5</v>
      </c>
      <c r="M163" s="327" t="s">
        <v>45</v>
      </c>
      <c r="N163" s="251">
        <v>0</v>
      </c>
      <c r="O163" s="233">
        <f t="shared" si="46"/>
        <v>0</v>
      </c>
      <c r="P163" s="233">
        <f t="shared" si="47"/>
        <v>0</v>
      </c>
      <c r="Q163" s="66">
        <f t="shared" si="48"/>
        <v>0</v>
      </c>
      <c r="R163" s="36"/>
      <c r="S163" s="37"/>
      <c r="T163" s="37"/>
      <c r="U163" s="38"/>
      <c r="V163" s="38"/>
      <c r="W163" s="38"/>
    </row>
    <row r="164" spans="1:24" ht="27.75" customHeight="1">
      <c r="A164" s="22">
        <v>8</v>
      </c>
      <c r="B164" s="270" t="s">
        <v>92</v>
      </c>
      <c r="C164" s="270" t="s">
        <v>302</v>
      </c>
      <c r="D164" s="284">
        <v>214</v>
      </c>
      <c r="E164" s="273" t="s">
        <v>45</v>
      </c>
      <c r="F164" s="274">
        <v>0</v>
      </c>
      <c r="G164" s="65">
        <v>0</v>
      </c>
      <c r="H164" s="65">
        <v>0</v>
      </c>
      <c r="I164" s="65">
        <v>0</v>
      </c>
      <c r="J164" s="331">
        <v>46172</v>
      </c>
      <c r="K164" s="332" t="s">
        <v>1358</v>
      </c>
      <c r="L164" s="333">
        <v>214</v>
      </c>
      <c r="M164" s="327" t="s">
        <v>45</v>
      </c>
      <c r="N164" s="251">
        <v>0</v>
      </c>
      <c r="O164" s="233">
        <f t="shared" si="46"/>
        <v>0</v>
      </c>
      <c r="P164" s="233">
        <f t="shared" si="47"/>
        <v>0</v>
      </c>
      <c r="Q164" s="66">
        <f t="shared" si="48"/>
        <v>0</v>
      </c>
      <c r="R164" s="36"/>
      <c r="S164" s="37"/>
      <c r="T164" s="37"/>
      <c r="U164" s="38"/>
      <c r="V164" s="38"/>
      <c r="W164" s="38"/>
    </row>
    <row r="165" spans="1:24" ht="27.75" customHeight="1">
      <c r="A165" s="22"/>
      <c r="B165" s="270"/>
      <c r="C165" s="270"/>
      <c r="D165" s="284"/>
      <c r="E165" s="273"/>
      <c r="F165" s="274"/>
      <c r="G165" s="65"/>
      <c r="H165" s="65"/>
      <c r="I165" s="65"/>
      <c r="J165" s="334"/>
      <c r="K165" s="335"/>
      <c r="L165" s="336"/>
      <c r="M165" s="327"/>
      <c r="N165" s="251"/>
      <c r="O165" s="337"/>
      <c r="P165" s="337"/>
      <c r="Q165" s="229"/>
      <c r="R165" s="36"/>
      <c r="S165" s="37"/>
      <c r="T165" s="37"/>
      <c r="U165" s="38"/>
      <c r="V165" s="38"/>
      <c r="W165" s="38"/>
    </row>
    <row r="166" spans="1:24" ht="27.75" customHeight="1" thickBot="1">
      <c r="A166" s="193"/>
      <c r="B166" s="194"/>
      <c r="C166" s="195"/>
      <c r="D166" s="196">
        <f>SUM(D157:D164)</f>
        <v>545.70000000000005</v>
      </c>
      <c r="E166" s="221"/>
      <c r="F166" s="197"/>
      <c r="G166" s="198">
        <f>SUM(G157:G165)</f>
        <v>240</v>
      </c>
      <c r="H166" s="198">
        <f t="shared" ref="H166:I166" si="49">SUM(H157:H165)</f>
        <v>16.8</v>
      </c>
      <c r="I166" s="198">
        <f t="shared" si="49"/>
        <v>256.8</v>
      </c>
      <c r="J166" s="338"/>
      <c r="K166" s="199"/>
      <c r="L166" s="196">
        <f>SUM(L157:L164)</f>
        <v>577.79999999999995</v>
      </c>
      <c r="M166" s="200"/>
      <c r="N166" s="196"/>
      <c r="O166" s="198">
        <f>SUM(O157:O164)</f>
        <v>210</v>
      </c>
      <c r="P166" s="198">
        <f t="shared" ref="P166:Q166" si="50">SUM(P157:P164)</f>
        <v>14.7</v>
      </c>
      <c r="Q166" s="198">
        <f t="shared" si="50"/>
        <v>224.70000000000002</v>
      </c>
      <c r="R166" s="36"/>
      <c r="S166" s="37"/>
      <c r="T166" s="37"/>
      <c r="U166" s="38"/>
      <c r="V166" s="38"/>
      <c r="W166" s="38"/>
    </row>
    <row r="167" spans="1:24" ht="27.75" customHeight="1" thickTop="1">
      <c r="A167" s="22"/>
      <c r="B167" s="288" t="s">
        <v>304</v>
      </c>
      <c r="C167" s="289"/>
      <c r="D167" s="272"/>
      <c r="E167" s="201"/>
      <c r="F167" s="281"/>
      <c r="G167" s="290"/>
      <c r="H167" s="290"/>
      <c r="I167" s="290"/>
      <c r="J167" s="291"/>
      <c r="K167" s="292"/>
      <c r="L167" s="222"/>
      <c r="M167" s="94"/>
      <c r="N167" s="39"/>
      <c r="O167" s="293"/>
      <c r="P167" s="293"/>
      <c r="Q167" s="294"/>
      <c r="R167" s="36"/>
      <c r="S167" s="37"/>
      <c r="T167" s="37"/>
      <c r="U167" s="38"/>
      <c r="V167" s="38"/>
      <c r="W167" s="38"/>
    </row>
    <row r="168" spans="1:24" ht="27.75" customHeight="1">
      <c r="A168" s="339"/>
      <c r="B168" s="340" t="s">
        <v>305</v>
      </c>
      <c r="C168" s="289"/>
      <c r="D168" s="272"/>
      <c r="E168" s="201"/>
      <c r="F168" s="341"/>
      <c r="G168" s="187"/>
      <c r="H168" s="187"/>
      <c r="I168" s="290"/>
      <c r="J168" s="342"/>
      <c r="K168" s="343"/>
      <c r="L168" s="264"/>
      <c r="M168" s="94"/>
      <c r="N168" s="116"/>
      <c r="O168" s="344"/>
      <c r="P168" s="344"/>
      <c r="Q168" s="294"/>
      <c r="R168" s="36"/>
      <c r="S168" s="37"/>
      <c r="T168" s="37"/>
      <c r="U168" s="38"/>
      <c r="V168" s="38"/>
      <c r="W168" s="345"/>
    </row>
    <row r="169" spans="1:24" ht="27.75" customHeight="1">
      <c r="A169" s="186">
        <v>1</v>
      </c>
      <c r="B169" s="205" t="s">
        <v>24</v>
      </c>
      <c r="C169" s="346" t="s">
        <v>25</v>
      </c>
      <c r="D169" s="141">
        <v>1410</v>
      </c>
      <c r="E169" s="43" t="s">
        <v>45</v>
      </c>
      <c r="F169" s="44">
        <v>0</v>
      </c>
      <c r="G169" s="45">
        <v>0</v>
      </c>
      <c r="H169" s="45"/>
      <c r="I169" s="47">
        <v>0</v>
      </c>
      <c r="J169" s="113">
        <v>46146</v>
      </c>
      <c r="K169" s="114" t="s">
        <v>1359</v>
      </c>
      <c r="L169" s="347">
        <v>1410</v>
      </c>
      <c r="M169" s="94" t="s">
        <v>45</v>
      </c>
      <c r="N169" s="116">
        <v>0</v>
      </c>
      <c r="O169" s="233">
        <f t="shared" ref="O169:O219" si="51">+I169+D169-L169</f>
        <v>0</v>
      </c>
      <c r="P169" s="233"/>
      <c r="Q169" s="47">
        <f t="shared" ref="Q169:Q219" si="52">+O169+P169</f>
        <v>0</v>
      </c>
      <c r="R169" s="348" t="s">
        <v>195</v>
      </c>
      <c r="S169" s="299" t="s">
        <v>307</v>
      </c>
      <c r="T169" s="299" t="s">
        <v>308</v>
      </c>
      <c r="U169" s="56">
        <v>3660</v>
      </c>
      <c r="V169" s="349" t="s">
        <v>309</v>
      </c>
      <c r="W169" s="295" t="s">
        <v>289</v>
      </c>
      <c r="X169" s="4" t="s">
        <v>310</v>
      </c>
    </row>
    <row r="170" spans="1:24" ht="27.75" customHeight="1">
      <c r="A170" s="186">
        <v>2</v>
      </c>
      <c r="B170" s="205" t="s">
        <v>28</v>
      </c>
      <c r="C170" s="346" t="s">
        <v>311</v>
      </c>
      <c r="D170" s="141">
        <v>1410</v>
      </c>
      <c r="E170" s="43" t="s">
        <v>1161</v>
      </c>
      <c r="F170" s="44">
        <v>-1</v>
      </c>
      <c r="G170" s="45">
        <v>-1410</v>
      </c>
      <c r="H170" s="45"/>
      <c r="I170" s="47">
        <v>-1410</v>
      </c>
      <c r="J170" s="113"/>
      <c r="K170" s="114"/>
      <c r="L170" s="347">
        <v>0</v>
      </c>
      <c r="M170" s="94" t="s">
        <v>45</v>
      </c>
      <c r="N170" s="116">
        <v>0</v>
      </c>
      <c r="O170" s="233">
        <f t="shared" si="51"/>
        <v>0</v>
      </c>
      <c r="P170" s="233"/>
      <c r="Q170" s="47">
        <f t="shared" si="52"/>
        <v>0</v>
      </c>
      <c r="R170" s="348" t="s">
        <v>195</v>
      </c>
      <c r="S170" s="299" t="s">
        <v>307</v>
      </c>
      <c r="T170" s="299" t="s">
        <v>308</v>
      </c>
      <c r="U170" s="56">
        <v>36600</v>
      </c>
      <c r="V170" s="349" t="s">
        <v>313</v>
      </c>
      <c r="W170" s="4" t="s">
        <v>314</v>
      </c>
      <c r="X170" s="295" t="s">
        <v>289</v>
      </c>
    </row>
    <row r="171" spans="1:24" ht="27.75" customHeight="1">
      <c r="A171" s="186">
        <v>3</v>
      </c>
      <c r="B171" s="205" t="s">
        <v>28</v>
      </c>
      <c r="C171" s="346" t="s">
        <v>315</v>
      </c>
      <c r="D171" s="141">
        <v>1410</v>
      </c>
      <c r="E171" s="43" t="s">
        <v>1161</v>
      </c>
      <c r="F171" s="44">
        <v>-1</v>
      </c>
      <c r="G171" s="45">
        <v>-1410</v>
      </c>
      <c r="H171" s="45"/>
      <c r="I171" s="47">
        <v>-1410</v>
      </c>
      <c r="J171" s="113"/>
      <c r="K171" s="114"/>
      <c r="L171" s="347">
        <v>0</v>
      </c>
      <c r="M171" s="94" t="s">
        <v>45</v>
      </c>
      <c r="N171" s="116">
        <v>0</v>
      </c>
      <c r="O171" s="233">
        <f t="shared" si="51"/>
        <v>0</v>
      </c>
      <c r="P171" s="233"/>
      <c r="Q171" s="47">
        <f t="shared" si="52"/>
        <v>0</v>
      </c>
      <c r="R171" s="348"/>
      <c r="S171" s="299"/>
      <c r="T171" s="299"/>
      <c r="U171" s="56"/>
      <c r="V171" s="349"/>
      <c r="X171" s="295"/>
    </row>
    <row r="172" spans="1:24" ht="27.75" customHeight="1">
      <c r="A172" s="186">
        <v>4</v>
      </c>
      <c r="B172" s="205" t="s">
        <v>24</v>
      </c>
      <c r="C172" s="346" t="s">
        <v>316</v>
      </c>
      <c r="D172" s="141">
        <v>1410</v>
      </c>
      <c r="E172" s="43" t="s">
        <v>45</v>
      </c>
      <c r="F172" s="44">
        <v>0</v>
      </c>
      <c r="G172" s="45">
        <v>0</v>
      </c>
      <c r="H172" s="45"/>
      <c r="I172" s="47">
        <v>0</v>
      </c>
      <c r="J172" s="113">
        <v>46146</v>
      </c>
      <c r="K172" s="114" t="s">
        <v>1359</v>
      </c>
      <c r="L172" s="347">
        <v>1410</v>
      </c>
      <c r="M172" s="94" t="s">
        <v>45</v>
      </c>
      <c r="N172" s="116">
        <v>0</v>
      </c>
      <c r="O172" s="233">
        <f t="shared" si="51"/>
        <v>0</v>
      </c>
      <c r="P172" s="233"/>
      <c r="Q172" s="47">
        <f t="shared" si="52"/>
        <v>0</v>
      </c>
      <c r="R172" s="348" t="s">
        <v>195</v>
      </c>
      <c r="S172" s="299" t="s">
        <v>307</v>
      </c>
      <c r="T172" s="299" t="s">
        <v>308</v>
      </c>
      <c r="U172" s="56">
        <v>10980</v>
      </c>
      <c r="V172" s="349" t="s">
        <v>317</v>
      </c>
      <c r="W172" s="295" t="s">
        <v>289</v>
      </c>
      <c r="X172" s="4" t="s">
        <v>310</v>
      </c>
    </row>
    <row r="173" spans="1:24" ht="27.75" customHeight="1">
      <c r="A173" s="186">
        <v>5</v>
      </c>
      <c r="B173" s="205" t="s">
        <v>24</v>
      </c>
      <c r="C173" s="346" t="s">
        <v>318</v>
      </c>
      <c r="D173" s="141">
        <v>1410</v>
      </c>
      <c r="E173" s="43" t="s">
        <v>45</v>
      </c>
      <c r="F173" s="44">
        <v>0</v>
      </c>
      <c r="G173" s="45">
        <v>0</v>
      </c>
      <c r="H173" s="45"/>
      <c r="I173" s="47">
        <v>0</v>
      </c>
      <c r="J173" s="113">
        <v>46146</v>
      </c>
      <c r="K173" s="114" t="s">
        <v>1359</v>
      </c>
      <c r="L173" s="347">
        <v>1410</v>
      </c>
      <c r="M173" s="94" t="s">
        <v>45</v>
      </c>
      <c r="N173" s="116">
        <v>0</v>
      </c>
      <c r="O173" s="233">
        <f t="shared" si="51"/>
        <v>0</v>
      </c>
      <c r="P173" s="233"/>
      <c r="Q173" s="47">
        <f t="shared" si="52"/>
        <v>0</v>
      </c>
      <c r="R173" s="348"/>
      <c r="S173" s="299"/>
      <c r="T173" s="299"/>
      <c r="U173" s="56"/>
      <c r="V173" s="349"/>
      <c r="W173" s="295"/>
    </row>
    <row r="174" spans="1:24" ht="27.75" customHeight="1">
      <c r="A174" s="186">
        <v>6</v>
      </c>
      <c r="B174" s="205" t="s">
        <v>24</v>
      </c>
      <c r="C174" s="346" t="s">
        <v>319</v>
      </c>
      <c r="D174" s="141">
        <v>1410</v>
      </c>
      <c r="E174" s="43" t="s">
        <v>45</v>
      </c>
      <c r="F174" s="44">
        <v>0</v>
      </c>
      <c r="G174" s="45">
        <v>0</v>
      </c>
      <c r="H174" s="45"/>
      <c r="I174" s="47">
        <v>0</v>
      </c>
      <c r="J174" s="113">
        <v>46146</v>
      </c>
      <c r="K174" s="114" t="s">
        <v>1359</v>
      </c>
      <c r="L174" s="347">
        <v>1410</v>
      </c>
      <c r="M174" s="94" t="s">
        <v>45</v>
      </c>
      <c r="N174" s="116">
        <v>0</v>
      </c>
      <c r="O174" s="233">
        <f t="shared" si="51"/>
        <v>0</v>
      </c>
      <c r="P174" s="233"/>
      <c r="Q174" s="47">
        <f t="shared" si="52"/>
        <v>0</v>
      </c>
      <c r="R174" s="348"/>
      <c r="S174" s="299"/>
      <c r="T174" s="299"/>
      <c r="U174" s="56"/>
      <c r="V174" s="349"/>
      <c r="W174" s="295"/>
    </row>
    <row r="175" spans="1:24" ht="27.75" customHeight="1">
      <c r="A175" s="186">
        <v>7</v>
      </c>
      <c r="B175" s="205" t="s">
        <v>28</v>
      </c>
      <c r="C175" s="346" t="s">
        <v>320</v>
      </c>
      <c r="D175" s="141">
        <v>1410</v>
      </c>
      <c r="E175" s="43" t="s">
        <v>1161</v>
      </c>
      <c r="F175" s="44">
        <v>-1</v>
      </c>
      <c r="G175" s="45">
        <v>-1410</v>
      </c>
      <c r="H175" s="45"/>
      <c r="I175" s="47">
        <v>-1410</v>
      </c>
      <c r="J175" s="113"/>
      <c r="K175" s="114"/>
      <c r="L175" s="347">
        <v>0</v>
      </c>
      <c r="M175" s="94" t="s">
        <v>45</v>
      </c>
      <c r="N175" s="116">
        <v>0</v>
      </c>
      <c r="O175" s="233">
        <f t="shared" si="51"/>
        <v>0</v>
      </c>
      <c r="P175" s="233"/>
      <c r="Q175" s="47">
        <f t="shared" si="52"/>
        <v>0</v>
      </c>
      <c r="R175" s="348"/>
      <c r="S175" s="299"/>
      <c r="T175" s="299"/>
      <c r="U175" s="56"/>
      <c r="V175" s="349"/>
      <c r="W175" s="295"/>
    </row>
    <row r="176" spans="1:24" ht="27.75" customHeight="1">
      <c r="A176" s="186">
        <v>8</v>
      </c>
      <c r="B176" s="205" t="s">
        <v>28</v>
      </c>
      <c r="C176" s="346" t="s">
        <v>321</v>
      </c>
      <c r="D176" s="141">
        <v>1410</v>
      </c>
      <c r="E176" s="43" t="s">
        <v>1161</v>
      </c>
      <c r="F176" s="44">
        <v>-1</v>
      </c>
      <c r="G176" s="45">
        <v>-1410</v>
      </c>
      <c r="H176" s="45"/>
      <c r="I176" s="47">
        <v>-1410</v>
      </c>
      <c r="J176" s="113"/>
      <c r="K176" s="114"/>
      <c r="L176" s="347">
        <v>0</v>
      </c>
      <c r="M176" s="94" t="s">
        <v>45</v>
      </c>
      <c r="N176" s="116">
        <v>0</v>
      </c>
      <c r="O176" s="233">
        <f t="shared" si="51"/>
        <v>0</v>
      </c>
      <c r="P176" s="233"/>
      <c r="Q176" s="47">
        <f t="shared" si="52"/>
        <v>0</v>
      </c>
      <c r="R176" s="348"/>
      <c r="S176" s="299"/>
      <c r="T176" s="299"/>
      <c r="U176" s="56"/>
      <c r="V176" s="349"/>
      <c r="W176" s="295"/>
    </row>
    <row r="177" spans="1:24" ht="27.75" customHeight="1">
      <c r="A177" s="186">
        <v>9</v>
      </c>
      <c r="B177" s="205" t="s">
        <v>28</v>
      </c>
      <c r="C177" s="346" t="s">
        <v>322</v>
      </c>
      <c r="D177" s="141">
        <v>1410</v>
      </c>
      <c r="E177" s="43" t="s">
        <v>1161</v>
      </c>
      <c r="F177" s="44">
        <v>-1</v>
      </c>
      <c r="G177" s="45">
        <v>-1410</v>
      </c>
      <c r="H177" s="45"/>
      <c r="I177" s="47">
        <v>-1410</v>
      </c>
      <c r="J177" s="113"/>
      <c r="K177" s="114"/>
      <c r="L177" s="347">
        <v>0</v>
      </c>
      <c r="M177" s="94" t="s">
        <v>45</v>
      </c>
      <c r="N177" s="116">
        <v>0</v>
      </c>
      <c r="O177" s="233">
        <f t="shared" si="51"/>
        <v>0</v>
      </c>
      <c r="P177" s="233"/>
      <c r="Q177" s="47">
        <f t="shared" si="52"/>
        <v>0</v>
      </c>
      <c r="R177" s="348"/>
      <c r="S177" s="299"/>
      <c r="T177" s="299"/>
      <c r="U177" s="56"/>
      <c r="V177" s="349"/>
      <c r="W177" s="295"/>
    </row>
    <row r="178" spans="1:24" ht="27.75" customHeight="1">
      <c r="A178" s="186">
        <v>10</v>
      </c>
      <c r="B178" s="205" t="s">
        <v>28</v>
      </c>
      <c r="C178" s="346" t="s">
        <v>323</v>
      </c>
      <c r="D178" s="141">
        <v>1410</v>
      </c>
      <c r="E178" s="43" t="s">
        <v>1161</v>
      </c>
      <c r="F178" s="44">
        <v>-1</v>
      </c>
      <c r="G178" s="45">
        <v>-1410</v>
      </c>
      <c r="H178" s="45"/>
      <c r="I178" s="47">
        <v>-1410</v>
      </c>
      <c r="J178" s="113"/>
      <c r="K178" s="114"/>
      <c r="L178" s="347">
        <v>0</v>
      </c>
      <c r="M178" s="94" t="s">
        <v>45</v>
      </c>
      <c r="N178" s="116">
        <v>0</v>
      </c>
      <c r="O178" s="233">
        <f t="shared" si="51"/>
        <v>0</v>
      </c>
      <c r="P178" s="233"/>
      <c r="Q178" s="47">
        <f t="shared" si="52"/>
        <v>0</v>
      </c>
      <c r="R178" s="348"/>
      <c r="S178" s="299"/>
      <c r="T178" s="299"/>
      <c r="U178" s="56"/>
      <c r="V178" s="349"/>
      <c r="W178" s="295"/>
    </row>
    <row r="179" spans="1:24" ht="27.75" customHeight="1">
      <c r="A179" s="186">
        <v>11</v>
      </c>
      <c r="B179" s="205" t="s">
        <v>28</v>
      </c>
      <c r="C179" s="346" t="s">
        <v>324</v>
      </c>
      <c r="D179" s="141">
        <v>1410</v>
      </c>
      <c r="E179" s="43" t="s">
        <v>1161</v>
      </c>
      <c r="F179" s="44">
        <v>-1</v>
      </c>
      <c r="G179" s="45">
        <v>-1410</v>
      </c>
      <c r="H179" s="45"/>
      <c r="I179" s="47">
        <v>-1410</v>
      </c>
      <c r="J179" s="113"/>
      <c r="K179" s="114"/>
      <c r="L179" s="347">
        <v>0</v>
      </c>
      <c r="M179" s="94" t="s">
        <v>45</v>
      </c>
      <c r="N179" s="116">
        <v>0</v>
      </c>
      <c r="O179" s="233">
        <f t="shared" si="51"/>
        <v>0</v>
      </c>
      <c r="P179" s="233"/>
      <c r="Q179" s="47">
        <f t="shared" si="52"/>
        <v>0</v>
      </c>
      <c r="R179" s="348"/>
      <c r="S179" s="299"/>
      <c r="T179" s="299"/>
      <c r="U179" s="56"/>
      <c r="V179" s="349"/>
      <c r="W179" s="295"/>
    </row>
    <row r="180" spans="1:24" ht="27.75" customHeight="1">
      <c r="A180" s="186">
        <v>12</v>
      </c>
      <c r="B180" s="205" t="s">
        <v>325</v>
      </c>
      <c r="C180" s="346" t="s">
        <v>326</v>
      </c>
      <c r="D180" s="141">
        <v>1410</v>
      </c>
      <c r="E180" s="43" t="s">
        <v>45</v>
      </c>
      <c r="F180" s="44">
        <v>0</v>
      </c>
      <c r="G180" s="45">
        <v>0</v>
      </c>
      <c r="H180" s="45"/>
      <c r="I180" s="47">
        <v>0</v>
      </c>
      <c r="J180" s="113">
        <v>46147</v>
      </c>
      <c r="K180" s="114" t="s">
        <v>1360</v>
      </c>
      <c r="L180" s="347">
        <v>1410</v>
      </c>
      <c r="M180" s="94" t="s">
        <v>45</v>
      </c>
      <c r="N180" s="116">
        <v>0</v>
      </c>
      <c r="O180" s="233">
        <f t="shared" si="51"/>
        <v>0</v>
      </c>
      <c r="P180" s="233"/>
      <c r="Q180" s="47">
        <f t="shared" si="52"/>
        <v>0</v>
      </c>
      <c r="R180" s="348" t="s">
        <v>195</v>
      </c>
      <c r="S180" s="299" t="s">
        <v>307</v>
      </c>
      <c r="T180" s="299" t="s">
        <v>308</v>
      </c>
      <c r="U180" s="56">
        <v>14640</v>
      </c>
      <c r="V180" s="349" t="s">
        <v>328</v>
      </c>
      <c r="W180" s="295" t="s">
        <v>289</v>
      </c>
      <c r="X180" s="4" t="s">
        <v>329</v>
      </c>
    </row>
    <row r="181" spans="1:24" ht="27.75" customHeight="1">
      <c r="A181" s="186">
        <v>13</v>
      </c>
      <c r="B181" s="205" t="s">
        <v>325</v>
      </c>
      <c r="C181" s="346" t="s">
        <v>330</v>
      </c>
      <c r="D181" s="141">
        <v>1410</v>
      </c>
      <c r="E181" s="43" t="s">
        <v>45</v>
      </c>
      <c r="F181" s="44">
        <v>0</v>
      </c>
      <c r="G181" s="45">
        <v>0</v>
      </c>
      <c r="H181" s="45"/>
      <c r="I181" s="47">
        <v>0</v>
      </c>
      <c r="J181" s="113">
        <v>46147</v>
      </c>
      <c r="K181" s="114" t="s">
        <v>1360</v>
      </c>
      <c r="L181" s="347">
        <v>1410</v>
      </c>
      <c r="M181" s="94" t="s">
        <v>45</v>
      </c>
      <c r="N181" s="116">
        <v>0</v>
      </c>
      <c r="O181" s="233">
        <f t="shared" si="51"/>
        <v>0</v>
      </c>
      <c r="P181" s="233"/>
      <c r="Q181" s="47">
        <f t="shared" si="52"/>
        <v>0</v>
      </c>
      <c r="R181" s="348"/>
      <c r="S181" s="299"/>
      <c r="T181" s="299"/>
      <c r="U181" s="56"/>
      <c r="V181" s="349"/>
      <c r="W181" s="295"/>
    </row>
    <row r="182" spans="1:24" ht="27.75" customHeight="1">
      <c r="A182" s="186">
        <v>14</v>
      </c>
      <c r="B182" s="205" t="s">
        <v>325</v>
      </c>
      <c r="C182" s="346" t="s">
        <v>331</v>
      </c>
      <c r="D182" s="141">
        <v>1410</v>
      </c>
      <c r="E182" s="43" t="s">
        <v>45</v>
      </c>
      <c r="F182" s="44">
        <v>0</v>
      </c>
      <c r="G182" s="45">
        <v>0</v>
      </c>
      <c r="H182" s="45"/>
      <c r="I182" s="47">
        <v>0</v>
      </c>
      <c r="J182" s="113">
        <v>46147</v>
      </c>
      <c r="K182" s="114" t="s">
        <v>1360</v>
      </c>
      <c r="L182" s="347">
        <v>1410</v>
      </c>
      <c r="M182" s="94" t="s">
        <v>45</v>
      </c>
      <c r="N182" s="116">
        <v>0</v>
      </c>
      <c r="O182" s="233">
        <f t="shared" si="51"/>
        <v>0</v>
      </c>
      <c r="P182" s="233"/>
      <c r="Q182" s="47">
        <f t="shared" si="52"/>
        <v>0</v>
      </c>
      <c r="R182" s="348"/>
      <c r="S182" s="299"/>
      <c r="T182" s="299"/>
      <c r="U182" s="56"/>
      <c r="V182" s="349"/>
      <c r="W182" s="295"/>
    </row>
    <row r="183" spans="1:24" ht="27.75" customHeight="1">
      <c r="A183" s="186">
        <v>15</v>
      </c>
      <c r="B183" s="205" t="s">
        <v>325</v>
      </c>
      <c r="C183" s="346" t="s">
        <v>332</v>
      </c>
      <c r="D183" s="141">
        <v>1410</v>
      </c>
      <c r="E183" s="43" t="s">
        <v>45</v>
      </c>
      <c r="F183" s="44">
        <v>0</v>
      </c>
      <c r="G183" s="45">
        <v>0</v>
      </c>
      <c r="H183" s="45"/>
      <c r="I183" s="47">
        <v>0</v>
      </c>
      <c r="J183" s="113">
        <v>46147</v>
      </c>
      <c r="K183" s="114" t="s">
        <v>1360</v>
      </c>
      <c r="L183" s="347">
        <v>1410</v>
      </c>
      <c r="M183" s="94" t="s">
        <v>45</v>
      </c>
      <c r="N183" s="116">
        <v>0</v>
      </c>
      <c r="O183" s="233">
        <f t="shared" si="51"/>
        <v>0</v>
      </c>
      <c r="P183" s="233"/>
      <c r="Q183" s="47">
        <f t="shared" si="52"/>
        <v>0</v>
      </c>
      <c r="R183" s="348"/>
      <c r="S183" s="299"/>
      <c r="T183" s="299"/>
      <c r="U183" s="56"/>
      <c r="V183" s="349"/>
      <c r="W183" s="295"/>
    </row>
    <row r="184" spans="1:24" ht="27.75" customHeight="1">
      <c r="A184" s="186">
        <v>16</v>
      </c>
      <c r="B184" s="205" t="s">
        <v>28</v>
      </c>
      <c r="C184" s="346" t="s">
        <v>333</v>
      </c>
      <c r="D184" s="141">
        <v>1410</v>
      </c>
      <c r="E184" s="43" t="s">
        <v>1161</v>
      </c>
      <c r="F184" s="44">
        <v>-1</v>
      </c>
      <c r="G184" s="45">
        <v>-1410</v>
      </c>
      <c r="H184" s="45"/>
      <c r="I184" s="47">
        <v>-1410</v>
      </c>
      <c r="J184" s="113"/>
      <c r="K184" s="114"/>
      <c r="L184" s="347">
        <v>0</v>
      </c>
      <c r="M184" s="94" t="s">
        <v>45</v>
      </c>
      <c r="N184" s="116">
        <v>0</v>
      </c>
      <c r="O184" s="233">
        <f t="shared" si="51"/>
        <v>0</v>
      </c>
      <c r="P184" s="233"/>
      <c r="Q184" s="47">
        <f t="shared" si="52"/>
        <v>0</v>
      </c>
      <c r="R184" s="348"/>
      <c r="S184" s="299"/>
      <c r="T184" s="299"/>
      <c r="U184" s="56"/>
      <c r="V184" s="349"/>
      <c r="W184" s="295"/>
    </row>
    <row r="185" spans="1:24" ht="27.75" customHeight="1">
      <c r="A185" s="186">
        <v>17</v>
      </c>
      <c r="B185" s="205" t="s">
        <v>28</v>
      </c>
      <c r="C185" s="346" t="s">
        <v>334</v>
      </c>
      <c r="D185" s="141">
        <v>1410</v>
      </c>
      <c r="E185" s="43" t="s">
        <v>1161</v>
      </c>
      <c r="F185" s="44">
        <v>-1</v>
      </c>
      <c r="G185" s="45">
        <v>-1410</v>
      </c>
      <c r="H185" s="45"/>
      <c r="I185" s="47">
        <v>-1410</v>
      </c>
      <c r="J185" s="113"/>
      <c r="K185" s="114"/>
      <c r="L185" s="347">
        <v>0</v>
      </c>
      <c r="M185" s="94" t="s">
        <v>45</v>
      </c>
      <c r="N185" s="116">
        <v>0</v>
      </c>
      <c r="O185" s="233">
        <f t="shared" si="51"/>
        <v>0</v>
      </c>
      <c r="P185" s="233"/>
      <c r="Q185" s="47">
        <f t="shared" si="52"/>
        <v>0</v>
      </c>
      <c r="R185" s="348"/>
      <c r="S185" s="299"/>
      <c r="T185" s="299"/>
      <c r="U185" s="56"/>
      <c r="V185" s="349"/>
      <c r="W185" s="295"/>
    </row>
    <row r="186" spans="1:24" ht="27.75" customHeight="1">
      <c r="A186" s="186">
        <v>18</v>
      </c>
      <c r="B186" s="205" t="s">
        <v>28</v>
      </c>
      <c r="C186" s="346" t="s">
        <v>335</v>
      </c>
      <c r="D186" s="141">
        <v>1410</v>
      </c>
      <c r="E186" s="43" t="s">
        <v>1161</v>
      </c>
      <c r="F186" s="44">
        <v>-1</v>
      </c>
      <c r="G186" s="45">
        <v>-1410</v>
      </c>
      <c r="H186" s="45"/>
      <c r="I186" s="47">
        <v>-1410</v>
      </c>
      <c r="J186" s="113"/>
      <c r="K186" s="114"/>
      <c r="L186" s="347">
        <v>0</v>
      </c>
      <c r="M186" s="94" t="s">
        <v>45</v>
      </c>
      <c r="N186" s="116">
        <v>0</v>
      </c>
      <c r="O186" s="233">
        <f t="shared" si="51"/>
        <v>0</v>
      </c>
      <c r="P186" s="233"/>
      <c r="Q186" s="47">
        <f t="shared" si="52"/>
        <v>0</v>
      </c>
      <c r="R186" s="348"/>
      <c r="S186" s="299"/>
      <c r="T186" s="299"/>
      <c r="U186" s="56"/>
      <c r="V186" s="349"/>
      <c r="W186" s="295"/>
    </row>
    <row r="187" spans="1:24" ht="27.75" customHeight="1">
      <c r="A187" s="186">
        <v>19</v>
      </c>
      <c r="B187" s="205" t="s">
        <v>40</v>
      </c>
      <c r="C187" s="346" t="s">
        <v>336</v>
      </c>
      <c r="D187" s="141">
        <v>1500</v>
      </c>
      <c r="E187" s="43" t="s">
        <v>1161</v>
      </c>
      <c r="F187" s="44">
        <v>-1.2295081967213115</v>
      </c>
      <c r="G187" s="45">
        <v>-1500</v>
      </c>
      <c r="H187" s="45"/>
      <c r="I187" s="47">
        <v>-1500</v>
      </c>
      <c r="J187" s="113"/>
      <c r="K187" s="114"/>
      <c r="L187" s="347">
        <v>0</v>
      </c>
      <c r="M187" s="94" t="s">
        <v>45</v>
      </c>
      <c r="N187" s="116">
        <v>0</v>
      </c>
      <c r="O187" s="233">
        <f t="shared" si="51"/>
        <v>0</v>
      </c>
      <c r="P187" s="233"/>
      <c r="Q187" s="47">
        <f t="shared" si="52"/>
        <v>0</v>
      </c>
      <c r="R187" s="39" t="s">
        <v>195</v>
      </c>
      <c r="S187" s="55">
        <v>43313</v>
      </c>
      <c r="T187" s="55">
        <v>44408</v>
      </c>
      <c r="U187" s="56">
        <v>9540</v>
      </c>
      <c r="V187" s="349"/>
    </row>
    <row r="188" spans="1:24" ht="27.75" customHeight="1">
      <c r="A188" s="186">
        <v>20</v>
      </c>
      <c r="B188" s="205" t="s">
        <v>40</v>
      </c>
      <c r="C188" s="346" t="s">
        <v>338</v>
      </c>
      <c r="D188" s="141">
        <v>1500</v>
      </c>
      <c r="E188" s="43" t="s">
        <v>1161</v>
      </c>
      <c r="F188" s="44">
        <v>-1.2295081967213115</v>
      </c>
      <c r="G188" s="45">
        <v>-1500</v>
      </c>
      <c r="H188" s="45"/>
      <c r="I188" s="47">
        <v>-1500</v>
      </c>
      <c r="J188" s="113"/>
      <c r="K188" s="114"/>
      <c r="L188" s="347">
        <v>0</v>
      </c>
      <c r="M188" s="94" t="s">
        <v>45</v>
      </c>
      <c r="N188" s="116">
        <v>0</v>
      </c>
      <c r="O188" s="233">
        <f t="shared" si="51"/>
        <v>0</v>
      </c>
      <c r="P188" s="233"/>
      <c r="Q188" s="47">
        <f t="shared" si="52"/>
        <v>0</v>
      </c>
      <c r="R188" s="39"/>
      <c r="S188" s="55"/>
      <c r="T188" s="55"/>
      <c r="U188" s="56"/>
      <c r="V188" s="349"/>
    </row>
    <row r="189" spans="1:24" ht="27.75" customHeight="1">
      <c r="A189" s="186">
        <v>21</v>
      </c>
      <c r="B189" s="205" t="s">
        <v>40</v>
      </c>
      <c r="C189" s="346" t="s">
        <v>339</v>
      </c>
      <c r="D189" s="141">
        <v>1500</v>
      </c>
      <c r="E189" s="43" t="s">
        <v>1161</v>
      </c>
      <c r="F189" s="44">
        <v>-1.2295081967213115</v>
      </c>
      <c r="G189" s="45">
        <v>-1500</v>
      </c>
      <c r="H189" s="45"/>
      <c r="I189" s="47">
        <v>-1500</v>
      </c>
      <c r="J189" s="113"/>
      <c r="K189" s="114"/>
      <c r="L189" s="347">
        <v>0</v>
      </c>
      <c r="M189" s="94" t="s">
        <v>45</v>
      </c>
      <c r="N189" s="116">
        <v>0</v>
      </c>
      <c r="O189" s="233">
        <f t="shared" si="51"/>
        <v>0</v>
      </c>
      <c r="P189" s="233"/>
      <c r="Q189" s="47">
        <f t="shared" si="52"/>
        <v>0</v>
      </c>
      <c r="R189" s="39"/>
      <c r="S189" s="55"/>
      <c r="T189" s="55"/>
      <c r="U189" s="56"/>
      <c r="V189" s="349"/>
    </row>
    <row r="190" spans="1:24" ht="27.75" customHeight="1">
      <c r="A190" s="186">
        <v>22</v>
      </c>
      <c r="B190" s="40" t="s">
        <v>43</v>
      </c>
      <c r="C190" s="346" t="s">
        <v>340</v>
      </c>
      <c r="D190" s="141">
        <v>1410</v>
      </c>
      <c r="E190" s="43" t="s">
        <v>45</v>
      </c>
      <c r="F190" s="44">
        <v>0</v>
      </c>
      <c r="G190" s="45">
        <v>0</v>
      </c>
      <c r="H190" s="45"/>
      <c r="I190" s="47">
        <v>0</v>
      </c>
      <c r="J190" s="113">
        <v>46144</v>
      </c>
      <c r="K190" s="114" t="s">
        <v>1361</v>
      </c>
      <c r="L190" s="347">
        <v>1410</v>
      </c>
      <c r="M190" s="94" t="s">
        <v>45</v>
      </c>
      <c r="N190" s="116">
        <v>0</v>
      </c>
      <c r="O190" s="233">
        <f t="shared" si="51"/>
        <v>0</v>
      </c>
      <c r="P190" s="233"/>
      <c r="Q190" s="47">
        <f t="shared" si="52"/>
        <v>0</v>
      </c>
      <c r="R190" s="348" t="s">
        <v>195</v>
      </c>
      <c r="S190" s="299" t="s">
        <v>307</v>
      </c>
      <c r="T190" s="299" t="s">
        <v>308</v>
      </c>
      <c r="U190" s="56">
        <v>7320</v>
      </c>
      <c r="V190" s="349" t="s">
        <v>342</v>
      </c>
      <c r="W190" s="295" t="s">
        <v>289</v>
      </c>
      <c r="X190" s="4" t="s">
        <v>343</v>
      </c>
    </row>
    <row r="191" spans="1:24" ht="27.75" customHeight="1">
      <c r="A191" s="186">
        <v>23</v>
      </c>
      <c r="B191" s="40" t="s">
        <v>43</v>
      </c>
      <c r="C191" s="346" t="s">
        <v>344</v>
      </c>
      <c r="D191" s="141">
        <v>1410</v>
      </c>
      <c r="E191" s="43" t="s">
        <v>45</v>
      </c>
      <c r="F191" s="44">
        <v>0</v>
      </c>
      <c r="G191" s="45">
        <v>0</v>
      </c>
      <c r="H191" s="45"/>
      <c r="I191" s="47">
        <v>0</v>
      </c>
      <c r="J191" s="113">
        <v>46144</v>
      </c>
      <c r="K191" s="114" t="s">
        <v>1361</v>
      </c>
      <c r="L191" s="347">
        <v>1410</v>
      </c>
      <c r="M191" s="94" t="s">
        <v>45</v>
      </c>
      <c r="N191" s="116">
        <v>0</v>
      </c>
      <c r="O191" s="233">
        <f t="shared" si="51"/>
        <v>0</v>
      </c>
      <c r="P191" s="233"/>
      <c r="Q191" s="47">
        <f t="shared" si="52"/>
        <v>0</v>
      </c>
      <c r="R191" s="348"/>
      <c r="S191" s="299"/>
      <c r="T191" s="299"/>
      <c r="U191" s="56"/>
      <c r="V191" s="349"/>
      <c r="W191" s="295"/>
    </row>
    <row r="192" spans="1:24" ht="27.75" customHeight="1">
      <c r="A192" s="186">
        <v>24</v>
      </c>
      <c r="B192" s="40" t="s">
        <v>345</v>
      </c>
      <c r="C192" s="346" t="s">
        <v>346</v>
      </c>
      <c r="D192" s="141">
        <v>1410</v>
      </c>
      <c r="E192" s="43" t="s">
        <v>45</v>
      </c>
      <c r="F192" s="44">
        <v>0</v>
      </c>
      <c r="G192" s="45">
        <v>0</v>
      </c>
      <c r="H192" s="45"/>
      <c r="I192" s="47">
        <v>0</v>
      </c>
      <c r="J192" s="113">
        <v>46144</v>
      </c>
      <c r="K192" s="114" t="s">
        <v>1362</v>
      </c>
      <c r="L192" s="347">
        <v>1410</v>
      </c>
      <c r="M192" s="94" t="s">
        <v>45</v>
      </c>
      <c r="N192" s="116">
        <v>0</v>
      </c>
      <c r="O192" s="233">
        <f t="shared" si="51"/>
        <v>0</v>
      </c>
      <c r="P192" s="233"/>
      <c r="Q192" s="47">
        <f t="shared" si="52"/>
        <v>0</v>
      </c>
      <c r="R192" s="39" t="s">
        <v>195</v>
      </c>
      <c r="S192" s="55">
        <v>43313</v>
      </c>
      <c r="T192" s="55">
        <v>44408</v>
      </c>
      <c r="U192" s="56">
        <v>12720</v>
      </c>
      <c r="V192" s="349"/>
    </row>
    <row r="193" spans="1:25" ht="27.75" customHeight="1">
      <c r="A193" s="186">
        <v>25</v>
      </c>
      <c r="B193" s="40" t="s">
        <v>345</v>
      </c>
      <c r="C193" s="346" t="s">
        <v>348</v>
      </c>
      <c r="D193" s="141">
        <v>1410</v>
      </c>
      <c r="E193" s="43" t="s">
        <v>45</v>
      </c>
      <c r="F193" s="44">
        <v>0</v>
      </c>
      <c r="G193" s="45">
        <v>0</v>
      </c>
      <c r="H193" s="45"/>
      <c r="I193" s="47">
        <v>0</v>
      </c>
      <c r="J193" s="113">
        <v>46144</v>
      </c>
      <c r="K193" s="114" t="s">
        <v>1362</v>
      </c>
      <c r="L193" s="347">
        <v>1410</v>
      </c>
      <c r="M193" s="94" t="s">
        <v>45</v>
      </c>
      <c r="N193" s="116">
        <v>0</v>
      </c>
      <c r="O193" s="233">
        <f t="shared" si="51"/>
        <v>0</v>
      </c>
      <c r="P193" s="233"/>
      <c r="Q193" s="47">
        <f t="shared" si="52"/>
        <v>0</v>
      </c>
      <c r="R193" s="39"/>
      <c r="S193" s="55"/>
      <c r="T193" s="55"/>
      <c r="U193" s="56"/>
      <c r="V193" s="349"/>
    </row>
    <row r="194" spans="1:25" ht="27.75" customHeight="1">
      <c r="A194" s="186">
        <v>26</v>
      </c>
      <c r="B194" s="40" t="s">
        <v>345</v>
      </c>
      <c r="C194" s="346" t="s">
        <v>349</v>
      </c>
      <c r="D194" s="141">
        <v>1410</v>
      </c>
      <c r="E194" s="43" t="s">
        <v>45</v>
      </c>
      <c r="F194" s="44">
        <v>0</v>
      </c>
      <c r="G194" s="45">
        <v>0</v>
      </c>
      <c r="H194" s="45"/>
      <c r="I194" s="47">
        <v>0</v>
      </c>
      <c r="J194" s="113">
        <v>46144</v>
      </c>
      <c r="K194" s="114" t="s">
        <v>1362</v>
      </c>
      <c r="L194" s="347">
        <v>1410</v>
      </c>
      <c r="M194" s="94" t="s">
        <v>45</v>
      </c>
      <c r="N194" s="116">
        <v>0</v>
      </c>
      <c r="O194" s="233">
        <f t="shared" si="51"/>
        <v>0</v>
      </c>
      <c r="P194" s="233"/>
      <c r="Q194" s="47">
        <f t="shared" si="52"/>
        <v>0</v>
      </c>
      <c r="R194" s="39"/>
      <c r="S194" s="55"/>
      <c r="T194" s="55"/>
      <c r="U194" s="56"/>
      <c r="V194" s="349"/>
    </row>
    <row r="195" spans="1:25" ht="27.75" customHeight="1">
      <c r="A195" s="186">
        <v>27</v>
      </c>
      <c r="B195" s="40" t="s">
        <v>345</v>
      </c>
      <c r="C195" s="346" t="s">
        <v>350</v>
      </c>
      <c r="D195" s="141">
        <v>1410</v>
      </c>
      <c r="E195" s="43" t="s">
        <v>45</v>
      </c>
      <c r="F195" s="44">
        <v>0</v>
      </c>
      <c r="G195" s="45">
        <v>0</v>
      </c>
      <c r="H195" s="45"/>
      <c r="I195" s="47">
        <v>0</v>
      </c>
      <c r="J195" s="113">
        <v>46144</v>
      </c>
      <c r="K195" s="114" t="s">
        <v>1362</v>
      </c>
      <c r="L195" s="347">
        <v>1410</v>
      </c>
      <c r="M195" s="94" t="s">
        <v>45</v>
      </c>
      <c r="N195" s="116">
        <v>0</v>
      </c>
      <c r="O195" s="233">
        <f t="shared" si="51"/>
        <v>0</v>
      </c>
      <c r="P195" s="233"/>
      <c r="Q195" s="47">
        <f t="shared" si="52"/>
        <v>0</v>
      </c>
      <c r="R195" s="39"/>
      <c r="S195" s="55"/>
      <c r="T195" s="55"/>
      <c r="U195" s="56"/>
      <c r="V195" s="349"/>
    </row>
    <row r="196" spans="1:25" ht="27.75" customHeight="1">
      <c r="A196" s="186">
        <v>28</v>
      </c>
      <c r="B196" s="40" t="s">
        <v>351</v>
      </c>
      <c r="C196" s="346" t="s">
        <v>352</v>
      </c>
      <c r="D196" s="141">
        <v>1410</v>
      </c>
      <c r="E196" s="43" t="s">
        <v>45</v>
      </c>
      <c r="F196" s="44">
        <v>0</v>
      </c>
      <c r="G196" s="45">
        <v>0</v>
      </c>
      <c r="H196" s="45"/>
      <c r="I196" s="47">
        <v>0</v>
      </c>
      <c r="J196" s="113">
        <v>46147</v>
      </c>
      <c r="K196" s="114" t="s">
        <v>1363</v>
      </c>
      <c r="L196" s="347">
        <v>1410</v>
      </c>
      <c r="M196" s="94" t="s">
        <v>45</v>
      </c>
      <c r="N196" s="116">
        <v>0</v>
      </c>
      <c r="O196" s="233">
        <f t="shared" si="51"/>
        <v>0</v>
      </c>
      <c r="P196" s="233"/>
      <c r="Q196" s="47">
        <f t="shared" si="52"/>
        <v>0</v>
      </c>
      <c r="R196" s="39" t="s">
        <v>195</v>
      </c>
      <c r="S196" s="55">
        <v>43313</v>
      </c>
      <c r="T196" s="55">
        <v>44408</v>
      </c>
      <c r="U196" s="56">
        <v>9540</v>
      </c>
      <c r="V196" s="349"/>
    </row>
    <row r="197" spans="1:25" ht="27.75" customHeight="1">
      <c r="A197" s="186">
        <v>29</v>
      </c>
      <c r="B197" s="40" t="s">
        <v>351</v>
      </c>
      <c r="C197" s="346" t="s">
        <v>354</v>
      </c>
      <c r="D197" s="141">
        <v>1410</v>
      </c>
      <c r="E197" s="43" t="s">
        <v>45</v>
      </c>
      <c r="F197" s="44">
        <v>0</v>
      </c>
      <c r="G197" s="45">
        <v>0</v>
      </c>
      <c r="H197" s="45"/>
      <c r="I197" s="47">
        <v>0</v>
      </c>
      <c r="J197" s="113">
        <v>46147</v>
      </c>
      <c r="K197" s="114" t="s">
        <v>1363</v>
      </c>
      <c r="L197" s="347">
        <v>1410</v>
      </c>
      <c r="M197" s="94" t="s">
        <v>45</v>
      </c>
      <c r="N197" s="116">
        <v>0</v>
      </c>
      <c r="O197" s="233">
        <f t="shared" si="51"/>
        <v>0</v>
      </c>
      <c r="P197" s="233"/>
      <c r="Q197" s="47">
        <f t="shared" si="52"/>
        <v>0</v>
      </c>
      <c r="R197" s="39"/>
      <c r="S197" s="55"/>
      <c r="T197" s="55"/>
      <c r="U197" s="56"/>
      <c r="V197" s="349"/>
    </row>
    <row r="198" spans="1:25" ht="27.75" customHeight="1">
      <c r="A198" s="186">
        <v>30</v>
      </c>
      <c r="B198" s="40" t="s">
        <v>351</v>
      </c>
      <c r="C198" s="346" t="s">
        <v>355</v>
      </c>
      <c r="D198" s="141">
        <v>1410</v>
      </c>
      <c r="E198" s="43" t="s">
        <v>45</v>
      </c>
      <c r="F198" s="44">
        <v>0</v>
      </c>
      <c r="G198" s="45">
        <v>0</v>
      </c>
      <c r="H198" s="45"/>
      <c r="I198" s="47">
        <v>0</v>
      </c>
      <c r="J198" s="113">
        <v>46147</v>
      </c>
      <c r="K198" s="114" t="s">
        <v>1363</v>
      </c>
      <c r="L198" s="347">
        <v>1410</v>
      </c>
      <c r="M198" s="94" t="s">
        <v>45</v>
      </c>
      <c r="N198" s="116">
        <v>0</v>
      </c>
      <c r="O198" s="233">
        <f t="shared" si="51"/>
        <v>0</v>
      </c>
      <c r="P198" s="233"/>
      <c r="Q198" s="47">
        <f t="shared" si="52"/>
        <v>0</v>
      </c>
      <c r="R198" s="39"/>
      <c r="S198" s="55"/>
      <c r="T198" s="55"/>
      <c r="U198" s="56"/>
      <c r="V198" s="349"/>
    </row>
    <row r="199" spans="1:25" ht="27.75" customHeight="1">
      <c r="A199" s="186">
        <v>31</v>
      </c>
      <c r="B199" s="40" t="s">
        <v>356</v>
      </c>
      <c r="C199" s="346" t="s">
        <v>357</v>
      </c>
      <c r="D199" s="141">
        <v>1410</v>
      </c>
      <c r="E199" s="43" t="s">
        <v>45</v>
      </c>
      <c r="F199" s="44">
        <v>0</v>
      </c>
      <c r="G199" s="45">
        <v>0</v>
      </c>
      <c r="H199" s="45"/>
      <c r="I199" s="47">
        <v>0</v>
      </c>
      <c r="J199" s="113">
        <v>46169</v>
      </c>
      <c r="K199" s="114" t="s">
        <v>1364</v>
      </c>
      <c r="L199" s="347">
        <v>2820</v>
      </c>
      <c r="M199" s="94" t="s">
        <v>1329</v>
      </c>
      <c r="N199" s="116">
        <v>-1</v>
      </c>
      <c r="O199" s="233">
        <f t="shared" si="51"/>
        <v>-1410</v>
      </c>
      <c r="P199" s="233"/>
      <c r="Q199" s="47">
        <f t="shared" si="52"/>
        <v>-1410</v>
      </c>
      <c r="R199" s="39" t="s">
        <v>195</v>
      </c>
      <c r="S199" s="55">
        <v>42217</v>
      </c>
      <c r="T199" s="55">
        <v>43312</v>
      </c>
      <c r="U199" s="56">
        <v>8280</v>
      </c>
      <c r="V199" s="349" t="s">
        <v>359</v>
      </c>
    </row>
    <row r="200" spans="1:25" ht="27.75" customHeight="1">
      <c r="A200" s="186">
        <v>32</v>
      </c>
      <c r="B200" s="40" t="s">
        <v>356</v>
      </c>
      <c r="C200" s="346" t="s">
        <v>360</v>
      </c>
      <c r="D200" s="141">
        <v>1410</v>
      </c>
      <c r="E200" s="43" t="s">
        <v>45</v>
      </c>
      <c r="F200" s="44">
        <v>0</v>
      </c>
      <c r="G200" s="45">
        <v>0</v>
      </c>
      <c r="H200" s="45"/>
      <c r="I200" s="47">
        <v>0</v>
      </c>
      <c r="J200" s="113">
        <v>46169</v>
      </c>
      <c r="K200" s="114" t="s">
        <v>1364</v>
      </c>
      <c r="L200" s="347">
        <v>2820</v>
      </c>
      <c r="M200" s="94" t="s">
        <v>1329</v>
      </c>
      <c r="N200" s="116">
        <v>-1</v>
      </c>
      <c r="O200" s="233">
        <f t="shared" si="51"/>
        <v>-1410</v>
      </c>
      <c r="P200" s="233"/>
      <c r="Q200" s="47">
        <f t="shared" si="52"/>
        <v>-1410</v>
      </c>
      <c r="R200" s="39"/>
      <c r="S200" s="55"/>
      <c r="T200" s="55"/>
      <c r="U200" s="56"/>
      <c r="V200" s="349"/>
    </row>
    <row r="201" spans="1:25" ht="27.75" customHeight="1">
      <c r="A201" s="186">
        <v>33</v>
      </c>
      <c r="B201" s="40" t="s">
        <v>356</v>
      </c>
      <c r="C201" s="346" t="s">
        <v>361</v>
      </c>
      <c r="D201" s="141">
        <v>1410</v>
      </c>
      <c r="E201" s="43" t="s">
        <v>45</v>
      </c>
      <c r="F201" s="44">
        <v>0</v>
      </c>
      <c r="G201" s="45">
        <v>0</v>
      </c>
      <c r="H201" s="45"/>
      <c r="I201" s="47">
        <v>0</v>
      </c>
      <c r="J201" s="113">
        <v>46169</v>
      </c>
      <c r="K201" s="114" t="s">
        <v>1364</v>
      </c>
      <c r="L201" s="347">
        <v>2820</v>
      </c>
      <c r="M201" s="94" t="s">
        <v>1329</v>
      </c>
      <c r="N201" s="116">
        <v>-1</v>
      </c>
      <c r="O201" s="233">
        <f t="shared" si="51"/>
        <v>-1410</v>
      </c>
      <c r="P201" s="233"/>
      <c r="Q201" s="47">
        <f t="shared" si="52"/>
        <v>-1410</v>
      </c>
      <c r="R201" s="39"/>
      <c r="S201" s="55"/>
      <c r="T201" s="55"/>
      <c r="U201" s="56"/>
      <c r="V201" s="349"/>
      <c r="Y201" s="4" t="s">
        <v>56</v>
      </c>
    </row>
    <row r="202" spans="1:25" ht="27.75" customHeight="1">
      <c r="A202" s="186">
        <v>34</v>
      </c>
      <c r="B202" s="40" t="s">
        <v>362</v>
      </c>
      <c r="C202" s="346" t="s">
        <v>363</v>
      </c>
      <c r="D202" s="141">
        <v>1410</v>
      </c>
      <c r="E202" s="43" t="s">
        <v>45</v>
      </c>
      <c r="F202" s="44">
        <v>0</v>
      </c>
      <c r="G202" s="45">
        <v>0</v>
      </c>
      <c r="H202" s="45"/>
      <c r="I202" s="47">
        <v>0</v>
      </c>
      <c r="J202" s="113">
        <v>46143</v>
      </c>
      <c r="K202" s="114" t="s">
        <v>1365</v>
      </c>
      <c r="L202" s="347">
        <v>1410</v>
      </c>
      <c r="M202" s="94" t="s">
        <v>45</v>
      </c>
      <c r="N202" s="116">
        <v>0</v>
      </c>
      <c r="O202" s="233">
        <f t="shared" si="51"/>
        <v>0</v>
      </c>
      <c r="P202" s="233"/>
      <c r="Q202" s="47">
        <f t="shared" si="52"/>
        <v>0</v>
      </c>
      <c r="R202" s="348" t="s">
        <v>195</v>
      </c>
      <c r="S202" s="299" t="s">
        <v>307</v>
      </c>
      <c r="T202" s="299" t="s">
        <v>308</v>
      </c>
      <c r="U202" s="56">
        <v>21960</v>
      </c>
      <c r="V202" s="349" t="s">
        <v>365</v>
      </c>
      <c r="W202" s="295" t="s">
        <v>289</v>
      </c>
      <c r="X202" s="40" t="s">
        <v>366</v>
      </c>
    </row>
    <row r="203" spans="1:25" ht="27.75" customHeight="1">
      <c r="A203" s="186">
        <v>35</v>
      </c>
      <c r="B203" s="40" t="s">
        <v>362</v>
      </c>
      <c r="C203" s="346" t="s">
        <v>367</v>
      </c>
      <c r="D203" s="141">
        <v>1410</v>
      </c>
      <c r="E203" s="43" t="s">
        <v>45</v>
      </c>
      <c r="F203" s="44">
        <v>0</v>
      </c>
      <c r="G203" s="45">
        <v>0</v>
      </c>
      <c r="H203" s="45"/>
      <c r="I203" s="47">
        <v>0</v>
      </c>
      <c r="J203" s="113">
        <v>46143</v>
      </c>
      <c r="K203" s="114" t="s">
        <v>1365</v>
      </c>
      <c r="L203" s="347">
        <v>1410</v>
      </c>
      <c r="M203" s="94" t="s">
        <v>45</v>
      </c>
      <c r="N203" s="116">
        <v>0</v>
      </c>
      <c r="O203" s="233">
        <f t="shared" si="51"/>
        <v>0</v>
      </c>
      <c r="P203" s="233"/>
      <c r="Q203" s="47">
        <f t="shared" si="52"/>
        <v>0</v>
      </c>
      <c r="R203" s="348"/>
      <c r="S203" s="299"/>
      <c r="T203" s="299"/>
      <c r="U203" s="56"/>
      <c r="V203" s="349"/>
      <c r="W203" s="295"/>
      <c r="X203" s="350"/>
    </row>
    <row r="204" spans="1:25" ht="27.75" customHeight="1">
      <c r="A204" s="186">
        <v>36</v>
      </c>
      <c r="B204" s="40" t="s">
        <v>362</v>
      </c>
      <c r="C204" s="346" t="s">
        <v>368</v>
      </c>
      <c r="D204" s="141">
        <v>1410</v>
      </c>
      <c r="E204" s="43" t="s">
        <v>45</v>
      </c>
      <c r="F204" s="44">
        <v>0</v>
      </c>
      <c r="G204" s="45">
        <v>0</v>
      </c>
      <c r="H204" s="45"/>
      <c r="I204" s="47">
        <v>0</v>
      </c>
      <c r="J204" s="113">
        <v>46143</v>
      </c>
      <c r="K204" s="114" t="s">
        <v>1365</v>
      </c>
      <c r="L204" s="347">
        <v>1410</v>
      </c>
      <c r="M204" s="94" t="s">
        <v>45</v>
      </c>
      <c r="N204" s="116">
        <v>0</v>
      </c>
      <c r="O204" s="233">
        <f t="shared" si="51"/>
        <v>0</v>
      </c>
      <c r="P204" s="233"/>
      <c r="Q204" s="47">
        <f t="shared" si="52"/>
        <v>0</v>
      </c>
      <c r="R204" s="348"/>
      <c r="S204" s="299"/>
      <c r="T204" s="299"/>
      <c r="U204" s="56"/>
      <c r="V204" s="349"/>
      <c r="W204" s="295"/>
      <c r="X204" s="350"/>
    </row>
    <row r="205" spans="1:25" ht="27.75" customHeight="1">
      <c r="A205" s="186">
        <v>37</v>
      </c>
      <c r="B205" s="40" t="s">
        <v>362</v>
      </c>
      <c r="C205" s="346" t="s">
        <v>369</v>
      </c>
      <c r="D205" s="141">
        <v>1410</v>
      </c>
      <c r="E205" s="43" t="s">
        <v>45</v>
      </c>
      <c r="F205" s="44">
        <v>0</v>
      </c>
      <c r="G205" s="45">
        <v>0</v>
      </c>
      <c r="H205" s="45"/>
      <c r="I205" s="47">
        <v>0</v>
      </c>
      <c r="J205" s="113">
        <v>46143</v>
      </c>
      <c r="K205" s="114" t="s">
        <v>1365</v>
      </c>
      <c r="L205" s="347">
        <v>1410</v>
      </c>
      <c r="M205" s="94" t="s">
        <v>45</v>
      </c>
      <c r="N205" s="116">
        <v>0</v>
      </c>
      <c r="O205" s="233">
        <f t="shared" si="51"/>
        <v>0</v>
      </c>
      <c r="P205" s="233"/>
      <c r="Q205" s="47">
        <f t="shared" si="52"/>
        <v>0</v>
      </c>
      <c r="R205" s="348"/>
      <c r="S205" s="299"/>
      <c r="T205" s="299"/>
      <c r="U205" s="56"/>
      <c r="V205" s="349"/>
      <c r="W205" s="295"/>
      <c r="X205" s="350"/>
    </row>
    <row r="206" spans="1:25" ht="27.75" customHeight="1">
      <c r="A206" s="186">
        <v>38</v>
      </c>
      <c r="B206" s="40" t="s">
        <v>362</v>
      </c>
      <c r="C206" s="346" t="s">
        <v>370</v>
      </c>
      <c r="D206" s="141">
        <v>1410</v>
      </c>
      <c r="E206" s="43" t="s">
        <v>45</v>
      </c>
      <c r="F206" s="44">
        <v>0</v>
      </c>
      <c r="G206" s="45">
        <v>0</v>
      </c>
      <c r="H206" s="45"/>
      <c r="I206" s="47">
        <v>0</v>
      </c>
      <c r="J206" s="113">
        <v>46143</v>
      </c>
      <c r="K206" s="114" t="s">
        <v>1365</v>
      </c>
      <c r="L206" s="347">
        <v>1410</v>
      </c>
      <c r="M206" s="94" t="s">
        <v>45</v>
      </c>
      <c r="N206" s="116">
        <v>0</v>
      </c>
      <c r="O206" s="233">
        <f t="shared" si="51"/>
        <v>0</v>
      </c>
      <c r="P206" s="233"/>
      <c r="Q206" s="47">
        <f t="shared" si="52"/>
        <v>0</v>
      </c>
      <c r="R206" s="348"/>
      <c r="S206" s="299"/>
      <c r="T206" s="299"/>
      <c r="U206" s="56"/>
      <c r="V206" s="349"/>
      <c r="W206" s="295"/>
      <c r="X206" s="350"/>
    </row>
    <row r="207" spans="1:25" ht="27.75" customHeight="1">
      <c r="A207" s="186">
        <v>39</v>
      </c>
      <c r="B207" s="40" t="s">
        <v>362</v>
      </c>
      <c r="C207" s="346" t="s">
        <v>371</v>
      </c>
      <c r="D207" s="141">
        <v>1410</v>
      </c>
      <c r="E207" s="43" t="s">
        <v>45</v>
      </c>
      <c r="F207" s="44">
        <v>0</v>
      </c>
      <c r="G207" s="45">
        <v>0</v>
      </c>
      <c r="H207" s="45"/>
      <c r="I207" s="47">
        <v>0</v>
      </c>
      <c r="J207" s="113">
        <v>46143</v>
      </c>
      <c r="K207" s="114" t="s">
        <v>1365</v>
      </c>
      <c r="L207" s="347">
        <v>1410</v>
      </c>
      <c r="M207" s="94" t="s">
        <v>45</v>
      </c>
      <c r="N207" s="116">
        <v>0</v>
      </c>
      <c r="O207" s="233">
        <f t="shared" si="51"/>
        <v>0</v>
      </c>
      <c r="P207" s="233"/>
      <c r="Q207" s="47">
        <f t="shared" si="52"/>
        <v>0</v>
      </c>
      <c r="R207" s="348"/>
      <c r="S207" s="299"/>
      <c r="T207" s="299"/>
      <c r="U207" s="56"/>
      <c r="V207" s="349"/>
      <c r="W207" s="295"/>
      <c r="X207" s="350"/>
    </row>
    <row r="208" spans="1:25" ht="27.75" customHeight="1">
      <c r="A208" s="186">
        <v>40</v>
      </c>
      <c r="B208" s="40" t="s">
        <v>372</v>
      </c>
      <c r="C208" s="346" t="s">
        <v>373</v>
      </c>
      <c r="D208" s="141">
        <v>1410</v>
      </c>
      <c r="E208" s="43" t="s">
        <v>45</v>
      </c>
      <c r="F208" s="44">
        <v>0</v>
      </c>
      <c r="G208" s="45">
        <v>0</v>
      </c>
      <c r="H208" s="45"/>
      <c r="I208" s="47">
        <v>0</v>
      </c>
      <c r="J208" s="113">
        <v>46147</v>
      </c>
      <c r="K208" s="114" t="s">
        <v>1366</v>
      </c>
      <c r="L208" s="347">
        <v>1410</v>
      </c>
      <c r="M208" s="94" t="s">
        <v>45</v>
      </c>
      <c r="N208" s="116">
        <v>0</v>
      </c>
      <c r="O208" s="233">
        <f t="shared" si="51"/>
        <v>0</v>
      </c>
      <c r="P208" s="233"/>
      <c r="Q208" s="47">
        <f t="shared" si="52"/>
        <v>0</v>
      </c>
      <c r="R208" s="348" t="s">
        <v>195</v>
      </c>
      <c r="S208" s="299" t="s">
        <v>307</v>
      </c>
      <c r="T208" s="299" t="s">
        <v>308</v>
      </c>
      <c r="U208" s="56">
        <v>14640</v>
      </c>
      <c r="V208" s="349" t="s">
        <v>375</v>
      </c>
      <c r="W208" s="295" t="s">
        <v>289</v>
      </c>
      <c r="X208" s="4" t="s">
        <v>376</v>
      </c>
    </row>
    <row r="209" spans="1:24" ht="27.75" customHeight="1">
      <c r="A209" s="186">
        <v>41</v>
      </c>
      <c r="B209" s="40" t="s">
        <v>372</v>
      </c>
      <c r="C209" s="346" t="s">
        <v>377</v>
      </c>
      <c r="D209" s="141">
        <v>1410</v>
      </c>
      <c r="E209" s="43" t="s">
        <v>45</v>
      </c>
      <c r="F209" s="44">
        <v>0</v>
      </c>
      <c r="G209" s="45">
        <v>0</v>
      </c>
      <c r="H209" s="45"/>
      <c r="I209" s="47">
        <v>0</v>
      </c>
      <c r="J209" s="113">
        <v>46147</v>
      </c>
      <c r="K209" s="114" t="s">
        <v>1366</v>
      </c>
      <c r="L209" s="347">
        <v>1410</v>
      </c>
      <c r="M209" s="94" t="s">
        <v>45</v>
      </c>
      <c r="N209" s="116">
        <v>0</v>
      </c>
      <c r="O209" s="233">
        <f t="shared" si="51"/>
        <v>0</v>
      </c>
      <c r="P209" s="233"/>
      <c r="Q209" s="47">
        <f t="shared" si="52"/>
        <v>0</v>
      </c>
      <c r="R209" s="348"/>
      <c r="S209" s="299"/>
      <c r="T209" s="299"/>
      <c r="U209" s="56"/>
      <c r="V209" s="349"/>
      <c r="W209" s="295"/>
    </row>
    <row r="210" spans="1:24" ht="27.75" customHeight="1">
      <c r="A210" s="186">
        <v>42</v>
      </c>
      <c r="B210" s="40" t="s">
        <v>372</v>
      </c>
      <c r="C210" s="346" t="s">
        <v>378</v>
      </c>
      <c r="D210" s="141">
        <v>1410</v>
      </c>
      <c r="E210" s="43" t="s">
        <v>45</v>
      </c>
      <c r="F210" s="44">
        <v>0</v>
      </c>
      <c r="G210" s="45">
        <v>0</v>
      </c>
      <c r="H210" s="45"/>
      <c r="I210" s="47">
        <v>0</v>
      </c>
      <c r="J210" s="113">
        <v>46147</v>
      </c>
      <c r="K210" s="114" t="s">
        <v>1366</v>
      </c>
      <c r="L210" s="347">
        <v>1410</v>
      </c>
      <c r="M210" s="94" t="s">
        <v>45</v>
      </c>
      <c r="N210" s="116">
        <v>0</v>
      </c>
      <c r="O210" s="233">
        <f t="shared" si="51"/>
        <v>0</v>
      </c>
      <c r="P210" s="233"/>
      <c r="Q210" s="47">
        <f t="shared" si="52"/>
        <v>0</v>
      </c>
      <c r="R210" s="348"/>
      <c r="S210" s="299"/>
      <c r="T210" s="299"/>
      <c r="U210" s="56"/>
      <c r="V210" s="349"/>
      <c r="W210" s="295"/>
    </row>
    <row r="211" spans="1:24" ht="27.75" customHeight="1">
      <c r="A211" s="186">
        <v>43</v>
      </c>
      <c r="B211" s="40" t="s">
        <v>372</v>
      </c>
      <c r="C211" s="346" t="s">
        <v>379</v>
      </c>
      <c r="D211" s="141">
        <v>1410</v>
      </c>
      <c r="E211" s="43" t="s">
        <v>45</v>
      </c>
      <c r="F211" s="44">
        <v>0</v>
      </c>
      <c r="G211" s="45">
        <v>0</v>
      </c>
      <c r="H211" s="45"/>
      <c r="I211" s="47">
        <v>0</v>
      </c>
      <c r="J211" s="113">
        <v>46147</v>
      </c>
      <c r="K211" s="114" t="s">
        <v>1366</v>
      </c>
      <c r="L211" s="347">
        <v>1410</v>
      </c>
      <c r="M211" s="94" t="s">
        <v>45</v>
      </c>
      <c r="N211" s="116">
        <v>0</v>
      </c>
      <c r="O211" s="233">
        <f t="shared" si="51"/>
        <v>0</v>
      </c>
      <c r="P211" s="233"/>
      <c r="Q211" s="47">
        <f t="shared" si="52"/>
        <v>0</v>
      </c>
      <c r="R211" s="348"/>
      <c r="S211" s="299"/>
      <c r="T211" s="299"/>
      <c r="U211" s="56"/>
      <c r="V211" s="349"/>
      <c r="W211" s="295"/>
    </row>
    <row r="212" spans="1:24" ht="27.75" customHeight="1">
      <c r="A212" s="186">
        <v>44</v>
      </c>
      <c r="B212" s="40" t="s">
        <v>380</v>
      </c>
      <c r="C212" s="346" t="s">
        <v>381</v>
      </c>
      <c r="D212" s="141">
        <v>1410</v>
      </c>
      <c r="E212" s="43" t="s">
        <v>45</v>
      </c>
      <c r="F212" s="44">
        <v>0</v>
      </c>
      <c r="G212" s="45">
        <v>0</v>
      </c>
      <c r="H212" s="45"/>
      <c r="I212" s="47">
        <v>0</v>
      </c>
      <c r="J212" s="175">
        <v>46147</v>
      </c>
      <c r="K212" s="176" t="s">
        <v>1367</v>
      </c>
      <c r="L212" s="222">
        <v>1410</v>
      </c>
      <c r="M212" s="94" t="s">
        <v>45</v>
      </c>
      <c r="N212" s="116">
        <v>0</v>
      </c>
      <c r="O212" s="233">
        <f t="shared" si="51"/>
        <v>0</v>
      </c>
      <c r="P212" s="233"/>
      <c r="Q212" s="47">
        <f t="shared" si="52"/>
        <v>0</v>
      </c>
      <c r="R212" s="348" t="s">
        <v>195</v>
      </c>
      <c r="S212" s="299" t="s">
        <v>307</v>
      </c>
      <c r="T212" s="299" t="s">
        <v>308</v>
      </c>
      <c r="U212" s="56">
        <v>14640</v>
      </c>
      <c r="V212" s="349" t="s">
        <v>383</v>
      </c>
      <c r="W212" s="295" t="s">
        <v>289</v>
      </c>
      <c r="X212" s="4" t="s">
        <v>384</v>
      </c>
    </row>
    <row r="213" spans="1:24" ht="27.75" customHeight="1">
      <c r="A213" s="186">
        <v>45</v>
      </c>
      <c r="B213" s="40" t="s">
        <v>380</v>
      </c>
      <c r="C213" s="346" t="s">
        <v>385</v>
      </c>
      <c r="D213" s="141">
        <v>1410</v>
      </c>
      <c r="E213" s="43" t="s">
        <v>45</v>
      </c>
      <c r="F213" s="44">
        <v>0</v>
      </c>
      <c r="G213" s="45">
        <v>0</v>
      </c>
      <c r="H213" s="45"/>
      <c r="I213" s="47">
        <v>0</v>
      </c>
      <c r="J213" s="175">
        <v>46147</v>
      </c>
      <c r="K213" s="176" t="s">
        <v>1367</v>
      </c>
      <c r="L213" s="222">
        <v>1410</v>
      </c>
      <c r="M213" s="94" t="s">
        <v>45</v>
      </c>
      <c r="N213" s="116">
        <v>0</v>
      </c>
      <c r="O213" s="233">
        <f t="shared" si="51"/>
        <v>0</v>
      </c>
      <c r="P213" s="233"/>
      <c r="Q213" s="47">
        <f t="shared" si="52"/>
        <v>0</v>
      </c>
      <c r="R213" s="348"/>
      <c r="S213" s="299"/>
      <c r="T213" s="299"/>
      <c r="U213" s="56"/>
      <c r="V213" s="349"/>
      <c r="W213" s="295"/>
    </row>
    <row r="214" spans="1:24" ht="27.75" customHeight="1">
      <c r="A214" s="186">
        <v>46</v>
      </c>
      <c r="B214" s="40" t="s">
        <v>380</v>
      </c>
      <c r="C214" s="346" t="s">
        <v>386</v>
      </c>
      <c r="D214" s="141">
        <v>1410</v>
      </c>
      <c r="E214" s="43" t="s">
        <v>45</v>
      </c>
      <c r="F214" s="44">
        <v>0</v>
      </c>
      <c r="G214" s="45">
        <v>0</v>
      </c>
      <c r="H214" s="45"/>
      <c r="I214" s="47">
        <v>0</v>
      </c>
      <c r="J214" s="175">
        <v>46147</v>
      </c>
      <c r="K214" s="176" t="s">
        <v>1367</v>
      </c>
      <c r="L214" s="222">
        <v>1410</v>
      </c>
      <c r="M214" s="94" t="s">
        <v>45</v>
      </c>
      <c r="N214" s="116">
        <v>0</v>
      </c>
      <c r="O214" s="233">
        <f t="shared" si="51"/>
        <v>0</v>
      </c>
      <c r="P214" s="233"/>
      <c r="Q214" s="47">
        <f t="shared" si="52"/>
        <v>0</v>
      </c>
      <c r="R214" s="348"/>
      <c r="S214" s="299"/>
      <c r="T214" s="299"/>
      <c r="U214" s="56"/>
      <c r="V214" s="349"/>
      <c r="W214" s="295"/>
    </row>
    <row r="215" spans="1:24" ht="27.75" customHeight="1">
      <c r="A215" s="186">
        <v>47</v>
      </c>
      <c r="B215" s="40" t="s">
        <v>380</v>
      </c>
      <c r="C215" s="346" t="s">
        <v>387</v>
      </c>
      <c r="D215" s="141">
        <v>1410</v>
      </c>
      <c r="E215" s="43" t="s">
        <v>45</v>
      </c>
      <c r="F215" s="44">
        <v>0</v>
      </c>
      <c r="G215" s="45">
        <v>0</v>
      </c>
      <c r="H215" s="45"/>
      <c r="I215" s="47">
        <v>0</v>
      </c>
      <c r="J215" s="175">
        <v>46147</v>
      </c>
      <c r="K215" s="176" t="s">
        <v>1367</v>
      </c>
      <c r="L215" s="222">
        <v>1410</v>
      </c>
      <c r="M215" s="94" t="s">
        <v>45</v>
      </c>
      <c r="N215" s="116">
        <v>0</v>
      </c>
      <c r="O215" s="233">
        <f t="shared" si="51"/>
        <v>0</v>
      </c>
      <c r="P215" s="233"/>
      <c r="Q215" s="47">
        <f t="shared" si="52"/>
        <v>0</v>
      </c>
      <c r="R215" s="348"/>
      <c r="S215" s="299"/>
      <c r="T215" s="299"/>
      <c r="U215" s="56"/>
      <c r="V215" s="349"/>
      <c r="W215" s="295"/>
    </row>
    <row r="216" spans="1:24" ht="27.75" customHeight="1">
      <c r="A216" s="186">
        <v>48</v>
      </c>
      <c r="B216" s="351" t="s">
        <v>66</v>
      </c>
      <c r="C216" s="346" t="s">
        <v>388</v>
      </c>
      <c r="D216" s="141">
        <v>1760</v>
      </c>
      <c r="E216" s="43" t="s">
        <v>45</v>
      </c>
      <c r="F216" s="44">
        <v>0</v>
      </c>
      <c r="G216" s="45">
        <v>0</v>
      </c>
      <c r="H216" s="45"/>
      <c r="I216" s="47">
        <v>0</v>
      </c>
      <c r="J216" s="175">
        <v>46172</v>
      </c>
      <c r="K216" s="176" t="s">
        <v>1368</v>
      </c>
      <c r="L216" s="222">
        <v>1760</v>
      </c>
      <c r="M216" s="94" t="s">
        <v>45</v>
      </c>
      <c r="N216" s="116">
        <v>0</v>
      </c>
      <c r="O216" s="233">
        <f t="shared" si="51"/>
        <v>0</v>
      </c>
      <c r="P216" s="233"/>
      <c r="Q216" s="47">
        <f t="shared" si="52"/>
        <v>0</v>
      </c>
      <c r="R216" s="39" t="s">
        <v>195</v>
      </c>
      <c r="S216" s="55">
        <v>43313</v>
      </c>
      <c r="T216" s="55">
        <v>44408</v>
      </c>
      <c r="U216" s="56">
        <v>11925</v>
      </c>
      <c r="V216" s="349"/>
    </row>
    <row r="217" spans="1:24" ht="27.75" customHeight="1">
      <c r="A217" s="186">
        <v>49</v>
      </c>
      <c r="B217" s="351" t="s">
        <v>66</v>
      </c>
      <c r="C217" s="346" t="s">
        <v>390</v>
      </c>
      <c r="D217" s="141">
        <v>1760</v>
      </c>
      <c r="E217" s="43" t="s">
        <v>45</v>
      </c>
      <c r="F217" s="44">
        <v>0</v>
      </c>
      <c r="G217" s="45">
        <v>0</v>
      </c>
      <c r="H217" s="45"/>
      <c r="I217" s="47">
        <v>0</v>
      </c>
      <c r="J217" s="175">
        <v>46172</v>
      </c>
      <c r="K217" s="176" t="s">
        <v>1368</v>
      </c>
      <c r="L217" s="222">
        <v>1760</v>
      </c>
      <c r="M217" s="94" t="s">
        <v>45</v>
      </c>
      <c r="N217" s="116">
        <v>0</v>
      </c>
      <c r="O217" s="233">
        <f t="shared" si="51"/>
        <v>0</v>
      </c>
      <c r="P217" s="233"/>
      <c r="Q217" s="47">
        <f t="shared" si="52"/>
        <v>0</v>
      </c>
      <c r="R217" s="39"/>
      <c r="S217" s="55"/>
      <c r="T217" s="55"/>
      <c r="U217" s="56"/>
      <c r="V217" s="349"/>
    </row>
    <row r="218" spans="1:24" ht="27.75" customHeight="1">
      <c r="A218" s="186">
        <v>50</v>
      </c>
      <c r="B218" s="351" t="s">
        <v>66</v>
      </c>
      <c r="C218" s="346" t="s">
        <v>391</v>
      </c>
      <c r="D218" s="141">
        <v>1760</v>
      </c>
      <c r="E218" s="43" t="s">
        <v>45</v>
      </c>
      <c r="F218" s="44">
        <v>0</v>
      </c>
      <c r="G218" s="45">
        <v>0</v>
      </c>
      <c r="H218" s="45"/>
      <c r="I218" s="47">
        <v>0</v>
      </c>
      <c r="J218" s="175">
        <v>46172</v>
      </c>
      <c r="K218" s="176" t="s">
        <v>1368</v>
      </c>
      <c r="L218" s="222">
        <v>1760</v>
      </c>
      <c r="M218" s="94" t="s">
        <v>45</v>
      </c>
      <c r="N218" s="116">
        <v>0</v>
      </c>
      <c r="O218" s="233">
        <f t="shared" si="51"/>
        <v>0</v>
      </c>
      <c r="P218" s="233"/>
      <c r="Q218" s="47">
        <f t="shared" si="52"/>
        <v>0</v>
      </c>
      <c r="R218" s="39"/>
      <c r="S218" s="55"/>
      <c r="T218" s="55"/>
      <c r="U218" s="56"/>
      <c r="V218" s="349"/>
    </row>
    <row r="219" spans="1:24" ht="27.75" customHeight="1">
      <c r="A219" s="186">
        <v>51</v>
      </c>
      <c r="B219" s="351" t="s">
        <v>66</v>
      </c>
      <c r="C219" s="346" t="s">
        <v>69</v>
      </c>
      <c r="D219" s="141">
        <v>2720</v>
      </c>
      <c r="E219" s="43" t="s">
        <v>45</v>
      </c>
      <c r="F219" s="44">
        <v>0</v>
      </c>
      <c r="G219" s="45">
        <v>0</v>
      </c>
      <c r="H219" s="45"/>
      <c r="I219" s="47">
        <v>0</v>
      </c>
      <c r="J219" s="175">
        <v>46172</v>
      </c>
      <c r="K219" s="176" t="s">
        <v>1369</v>
      </c>
      <c r="L219" s="222">
        <v>2720</v>
      </c>
      <c r="M219" s="94" t="s">
        <v>45</v>
      </c>
      <c r="N219" s="116">
        <v>0</v>
      </c>
      <c r="O219" s="233">
        <f t="shared" si="51"/>
        <v>0</v>
      </c>
      <c r="P219" s="233"/>
      <c r="Q219" s="47">
        <f t="shared" si="52"/>
        <v>0</v>
      </c>
      <c r="R219" s="39" t="s">
        <v>195</v>
      </c>
      <c r="S219" s="55">
        <v>43313</v>
      </c>
      <c r="T219" s="55">
        <v>44408</v>
      </c>
      <c r="U219" s="56">
        <v>9000</v>
      </c>
      <c r="V219" s="349"/>
    </row>
    <row r="220" spans="1:24" ht="27.75" customHeight="1">
      <c r="A220" s="94"/>
      <c r="B220" s="352" t="s">
        <v>393</v>
      </c>
      <c r="C220" s="353"/>
      <c r="D220" s="296"/>
      <c r="E220" s="64"/>
      <c r="F220" s="44"/>
      <c r="G220" s="45"/>
      <c r="H220" s="45"/>
      <c r="I220" s="354"/>
      <c r="J220" s="183"/>
      <c r="K220" s="355"/>
      <c r="L220" s="231"/>
      <c r="M220" s="186"/>
      <c r="N220" s="116"/>
      <c r="O220" s="233"/>
      <c r="P220" s="233"/>
      <c r="Q220" s="17"/>
      <c r="R220" s="356"/>
      <c r="S220" s="55"/>
      <c r="T220" s="55"/>
      <c r="U220" s="56"/>
      <c r="V220" s="349"/>
    </row>
    <row r="221" spans="1:24" ht="27.75" customHeight="1">
      <c r="A221" s="94"/>
      <c r="B221" s="352" t="s">
        <v>394</v>
      </c>
      <c r="C221" s="353"/>
      <c r="D221" s="296"/>
      <c r="E221" s="64"/>
      <c r="F221" s="44"/>
      <c r="G221" s="45"/>
      <c r="H221" s="45"/>
      <c r="I221" s="354"/>
      <c r="J221" s="175"/>
      <c r="K221" s="355"/>
      <c r="L221" s="222"/>
      <c r="M221" s="186"/>
      <c r="N221" s="116"/>
      <c r="O221" s="233"/>
      <c r="P221" s="233"/>
      <c r="Q221" s="17"/>
      <c r="R221" s="356"/>
      <c r="S221" s="55"/>
      <c r="T221" s="55"/>
      <c r="U221" s="56"/>
      <c r="V221" s="349"/>
    </row>
    <row r="222" spans="1:24" ht="27.75" customHeight="1" thickBot="1">
      <c r="A222" s="357"/>
      <c r="B222" s="358"/>
      <c r="C222" s="359"/>
      <c r="D222" s="360">
        <f>SUM(D169:D221)</f>
        <v>74540</v>
      </c>
      <c r="E222" s="100"/>
      <c r="F222" s="101"/>
      <c r="G222" s="102">
        <f>SUM(G216:G219)</f>
        <v>0</v>
      </c>
      <c r="H222" s="102">
        <v>0</v>
      </c>
      <c r="I222" s="102">
        <f>SUM(I216:I219)</f>
        <v>0</v>
      </c>
      <c r="J222" s="361"/>
      <c r="K222" s="361"/>
      <c r="L222" s="362">
        <f>SUM(L169:L221)</f>
        <v>60170</v>
      </c>
      <c r="M222" s="106"/>
      <c r="N222" s="107"/>
      <c r="O222" s="363"/>
      <c r="P222" s="363"/>
      <c r="Q222" s="363"/>
      <c r="R222" s="356"/>
      <c r="S222" s="55"/>
      <c r="T222" s="55"/>
      <c r="U222" s="56"/>
      <c r="V222" s="349"/>
    </row>
    <row r="223" spans="1:24" ht="27.75" customHeight="1" thickTop="1">
      <c r="A223" s="94"/>
      <c r="B223" s="364" t="s">
        <v>395</v>
      </c>
      <c r="C223" s="81"/>
      <c r="D223" s="192"/>
      <c r="E223" s="365"/>
      <c r="F223" s="126"/>
      <c r="G223" s="65"/>
      <c r="H223" s="65"/>
      <c r="I223" s="85"/>
      <c r="J223" s="178"/>
      <c r="K223" s="179"/>
      <c r="L223" s="264"/>
      <c r="M223" s="83"/>
      <c r="N223" s="251"/>
      <c r="O223" s="337"/>
      <c r="P223" s="337"/>
      <c r="Q223" s="85"/>
      <c r="R223" s="39"/>
      <c r="S223" s="55"/>
      <c r="T223" s="55"/>
      <c r="U223" s="56"/>
      <c r="V223" s="56"/>
    </row>
    <row r="224" spans="1:24" ht="27.75" customHeight="1">
      <c r="A224" s="94">
        <v>1</v>
      </c>
      <c r="B224" s="366" t="s">
        <v>167</v>
      </c>
      <c r="C224" s="367" t="s">
        <v>396</v>
      </c>
      <c r="D224" s="141">
        <v>22690</v>
      </c>
      <c r="E224" s="43" t="s">
        <v>45</v>
      </c>
      <c r="F224" s="44">
        <v>0</v>
      </c>
      <c r="G224" s="45">
        <v>0</v>
      </c>
      <c r="H224" s="45"/>
      <c r="I224" s="47">
        <v>0</v>
      </c>
      <c r="J224" s="175">
        <v>46148</v>
      </c>
      <c r="K224" s="176" t="s">
        <v>1370</v>
      </c>
      <c r="L224" s="222">
        <v>22690</v>
      </c>
      <c r="M224" s="94" t="s">
        <v>45</v>
      </c>
      <c r="N224" s="116">
        <v>0</v>
      </c>
      <c r="O224" s="233">
        <f t="shared" ref="O224" si="53">+I224+D224-L224</f>
        <v>0</v>
      </c>
      <c r="P224" s="233"/>
      <c r="Q224" s="368">
        <f t="shared" ref="Q224" si="54">+O224+P224</f>
        <v>0</v>
      </c>
      <c r="R224" s="348" t="s">
        <v>195</v>
      </c>
      <c r="S224" s="299">
        <v>44166</v>
      </c>
      <c r="T224" s="299">
        <v>45260</v>
      </c>
      <c r="U224" s="149">
        <v>51450</v>
      </c>
      <c r="V224" s="369" t="s">
        <v>398</v>
      </c>
      <c r="W224" s="4" t="s">
        <v>399</v>
      </c>
      <c r="X224" s="4" t="s">
        <v>400</v>
      </c>
    </row>
    <row r="225" spans="1:24" ht="27.75" customHeight="1">
      <c r="A225" s="94"/>
      <c r="B225" s="366" t="s">
        <v>401</v>
      </c>
      <c r="C225" s="367" t="s">
        <v>402</v>
      </c>
      <c r="D225" s="141"/>
      <c r="E225" s="43"/>
      <c r="F225" s="44"/>
      <c r="G225" s="45"/>
      <c r="H225" s="45"/>
      <c r="I225" s="47"/>
      <c r="J225" s="175"/>
      <c r="K225" s="176"/>
      <c r="L225" s="222"/>
      <c r="M225" s="94"/>
      <c r="N225" s="116"/>
      <c r="O225" s="233"/>
      <c r="P225" s="233"/>
      <c r="Q225" s="368"/>
      <c r="R225" s="348"/>
      <c r="S225" s="299"/>
      <c r="T225" s="299"/>
      <c r="U225" s="149"/>
      <c r="V225" s="369"/>
    </row>
    <row r="226" spans="1:24" ht="27.75" customHeight="1">
      <c r="A226" s="94">
        <v>2</v>
      </c>
      <c r="B226" s="366" t="s">
        <v>24</v>
      </c>
      <c r="C226" s="367" t="s">
        <v>403</v>
      </c>
      <c r="D226" s="141">
        <v>15295</v>
      </c>
      <c r="E226" s="43" t="s">
        <v>45</v>
      </c>
      <c r="F226" s="44">
        <v>0</v>
      </c>
      <c r="G226" s="45">
        <v>0</v>
      </c>
      <c r="H226" s="45"/>
      <c r="I226" s="47">
        <v>0</v>
      </c>
      <c r="J226" s="175">
        <v>46147</v>
      </c>
      <c r="K226" s="176" t="s">
        <v>1371</v>
      </c>
      <c r="L226" s="222">
        <v>15295</v>
      </c>
      <c r="M226" s="94" t="s">
        <v>45</v>
      </c>
      <c r="N226" s="116">
        <v>0</v>
      </c>
      <c r="O226" s="233">
        <f t="shared" ref="O226" si="55">+I226+D226-L226</f>
        <v>0</v>
      </c>
      <c r="P226" s="233"/>
      <c r="Q226" s="368">
        <f t="shared" ref="Q226" si="56">+O226+P226</f>
        <v>0</v>
      </c>
      <c r="R226" s="348" t="s">
        <v>405</v>
      </c>
      <c r="S226" s="299">
        <v>44562</v>
      </c>
      <c r="T226" s="299" t="s">
        <v>406</v>
      </c>
      <c r="U226" s="149">
        <v>34680</v>
      </c>
      <c r="V226" s="370" t="s">
        <v>407</v>
      </c>
      <c r="W226" s="295" t="s">
        <v>289</v>
      </c>
      <c r="X226" s="4" t="s">
        <v>408</v>
      </c>
    </row>
    <row r="227" spans="1:24" ht="27.75" customHeight="1">
      <c r="A227" s="94"/>
      <c r="B227" s="366" t="s">
        <v>409</v>
      </c>
      <c r="C227" s="367" t="s">
        <v>410</v>
      </c>
      <c r="D227" s="141"/>
      <c r="E227" s="43"/>
      <c r="F227" s="44"/>
      <c r="G227" s="45"/>
      <c r="H227" s="45"/>
      <c r="I227" s="47"/>
      <c r="J227" s="175"/>
      <c r="K227" s="176"/>
      <c r="L227" s="222"/>
      <c r="M227" s="94"/>
      <c r="N227" s="116"/>
      <c r="O227" s="233"/>
      <c r="P227" s="233"/>
      <c r="Q227" s="368"/>
      <c r="R227" s="348"/>
      <c r="S227" s="299"/>
      <c r="T227" s="299"/>
      <c r="U227" s="149"/>
      <c r="V227" s="370"/>
      <c r="W227" s="295"/>
    </row>
    <row r="228" spans="1:24" ht="27.75" customHeight="1">
      <c r="A228" s="94">
        <v>3</v>
      </c>
      <c r="B228" s="366" t="s">
        <v>411</v>
      </c>
      <c r="C228" s="367" t="s">
        <v>412</v>
      </c>
      <c r="D228" s="141">
        <v>5360</v>
      </c>
      <c r="E228" s="43" t="s">
        <v>45</v>
      </c>
      <c r="F228" s="44">
        <v>0</v>
      </c>
      <c r="G228" s="45">
        <v>0</v>
      </c>
      <c r="H228" s="45"/>
      <c r="I228" s="47">
        <v>0</v>
      </c>
      <c r="J228" s="175">
        <v>46147</v>
      </c>
      <c r="K228" s="176" t="s">
        <v>1372</v>
      </c>
      <c r="L228" s="222">
        <v>5360</v>
      </c>
      <c r="M228" s="94" t="s">
        <v>45</v>
      </c>
      <c r="N228" s="116">
        <v>0</v>
      </c>
      <c r="O228" s="233">
        <f t="shared" ref="O228" si="57">+I228+D228-L228</f>
        <v>0</v>
      </c>
      <c r="P228" s="233"/>
      <c r="Q228" s="368">
        <f t="shared" ref="Q228" si="58">+O228+P228</f>
        <v>0</v>
      </c>
      <c r="R228" s="348" t="s">
        <v>405</v>
      </c>
      <c r="S228" s="299">
        <v>44562</v>
      </c>
      <c r="T228" s="299">
        <v>45503</v>
      </c>
      <c r="U228" s="149">
        <v>13980</v>
      </c>
      <c r="V228" s="371" t="s">
        <v>414</v>
      </c>
      <c r="W228" s="295" t="s">
        <v>289</v>
      </c>
      <c r="X228" s="4" t="s">
        <v>415</v>
      </c>
    </row>
    <row r="229" spans="1:24" ht="27.75" customHeight="1">
      <c r="A229" s="94"/>
      <c r="B229" s="366" t="s">
        <v>409</v>
      </c>
      <c r="C229" s="367" t="s">
        <v>416</v>
      </c>
      <c r="D229" s="141"/>
      <c r="E229" s="43"/>
      <c r="F229" s="44"/>
      <c r="G229" s="45"/>
      <c r="H229" s="45"/>
      <c r="I229" s="47"/>
      <c r="J229" s="175"/>
      <c r="K229" s="176"/>
      <c r="L229" s="222"/>
      <c r="N229" s="116"/>
      <c r="O229" s="233"/>
      <c r="P229" s="233"/>
      <c r="Q229" s="368"/>
      <c r="R229" s="348"/>
      <c r="S229" s="299"/>
      <c r="T229" s="299"/>
      <c r="U229" s="149"/>
      <c r="V229" s="371"/>
      <c r="W229" s="295"/>
    </row>
    <row r="230" spans="1:24" ht="27.75" customHeight="1">
      <c r="A230" s="94">
        <v>4</v>
      </c>
      <c r="B230" s="366" t="s">
        <v>417</v>
      </c>
      <c r="C230" s="367" t="s">
        <v>418</v>
      </c>
      <c r="D230" s="141">
        <v>68108.75</v>
      </c>
      <c r="E230" s="373" t="s">
        <v>1173</v>
      </c>
      <c r="F230" s="374">
        <v>-0.49999992658799353</v>
      </c>
      <c r="G230" s="375">
        <v>-34054.370000000003</v>
      </c>
      <c r="H230" s="375"/>
      <c r="I230" s="376">
        <v>-34054.370000000003</v>
      </c>
      <c r="J230" s="175">
        <v>46167</v>
      </c>
      <c r="K230" s="176" t="s">
        <v>1373</v>
      </c>
      <c r="L230" s="222">
        <v>68108.75</v>
      </c>
      <c r="M230" s="377" t="s">
        <v>1285</v>
      </c>
      <c r="N230" s="116">
        <v>-0.49999992658799353</v>
      </c>
      <c r="O230" s="233">
        <f t="shared" ref="O230" si="59">+I230+D230-L230</f>
        <v>-34054.370000000003</v>
      </c>
      <c r="P230" s="233"/>
      <c r="Q230" s="368">
        <f t="shared" ref="Q230" si="60">+O230+P230</f>
        <v>-34054.370000000003</v>
      </c>
      <c r="R230" s="39" t="s">
        <v>195</v>
      </c>
      <c r="S230" s="55">
        <v>40072</v>
      </c>
      <c r="T230" s="55">
        <v>41167</v>
      </c>
      <c r="U230" s="56">
        <v>132250</v>
      </c>
      <c r="V230" s="378" t="s">
        <v>420</v>
      </c>
    </row>
    <row r="231" spans="1:24" ht="27.75" customHeight="1">
      <c r="A231" s="94"/>
      <c r="B231" s="366" t="s">
        <v>409</v>
      </c>
      <c r="C231" s="379"/>
      <c r="D231" s="141"/>
      <c r="E231" s="43"/>
      <c r="F231" s="44"/>
      <c r="G231" s="45">
        <v>0</v>
      </c>
      <c r="H231" s="45"/>
      <c r="I231" s="47">
        <v>0</v>
      </c>
      <c r="J231" s="175"/>
      <c r="K231" s="176"/>
      <c r="L231" s="222"/>
      <c r="M231" s="94"/>
      <c r="N231" s="116"/>
      <c r="O231" s="233">
        <f t="shared" ref="O231:O232" si="61">D231+I231-L231</f>
        <v>0</v>
      </c>
      <c r="P231" s="233"/>
      <c r="Q231" s="368">
        <f t="shared" ref="Q231:Q232" si="62">O231</f>
        <v>0</v>
      </c>
      <c r="R231" s="39"/>
      <c r="S231" s="55"/>
      <c r="T231" s="55"/>
      <c r="U231" s="56"/>
      <c r="V231" s="56"/>
    </row>
    <row r="232" spans="1:24" ht="27.75" customHeight="1">
      <c r="A232" s="94">
        <v>5</v>
      </c>
      <c r="B232" s="366" t="s">
        <v>417</v>
      </c>
      <c r="C232" s="367" t="s">
        <v>421</v>
      </c>
      <c r="D232" s="141">
        <v>4910</v>
      </c>
      <c r="E232" s="43" t="s">
        <v>45</v>
      </c>
      <c r="F232" s="44">
        <v>0</v>
      </c>
      <c r="G232" s="45">
        <v>0</v>
      </c>
      <c r="H232" s="45">
        <v>0</v>
      </c>
      <c r="I232" s="47">
        <v>0</v>
      </c>
      <c r="J232" s="175">
        <v>46143</v>
      </c>
      <c r="K232" s="176" t="s">
        <v>1374</v>
      </c>
      <c r="L232" s="222">
        <v>4910</v>
      </c>
      <c r="M232" s="94" t="s">
        <v>45</v>
      </c>
      <c r="N232" s="116">
        <v>0</v>
      </c>
      <c r="O232" s="233">
        <f t="shared" si="61"/>
        <v>0</v>
      </c>
      <c r="P232" s="233">
        <v>0</v>
      </c>
      <c r="Q232" s="368">
        <f t="shared" si="62"/>
        <v>0</v>
      </c>
      <c r="R232" s="348" t="s">
        <v>195</v>
      </c>
      <c r="S232" s="299" t="s">
        <v>423</v>
      </c>
      <c r="T232" s="299" t="s">
        <v>406</v>
      </c>
      <c r="U232" s="56">
        <v>6420</v>
      </c>
      <c r="V232" s="56" t="s">
        <v>424</v>
      </c>
      <c r="W232" s="295" t="s">
        <v>289</v>
      </c>
      <c r="X232" s="4" t="s">
        <v>425</v>
      </c>
    </row>
    <row r="233" spans="1:24" ht="27.75" customHeight="1">
      <c r="A233" s="94"/>
      <c r="B233" s="366" t="s">
        <v>426</v>
      </c>
      <c r="C233" s="366" t="s">
        <v>427</v>
      </c>
      <c r="D233" s="141"/>
      <c r="E233" s="43"/>
      <c r="F233" s="44"/>
      <c r="G233" s="45"/>
      <c r="H233" s="45"/>
      <c r="I233" s="47"/>
      <c r="J233" s="175"/>
      <c r="K233" s="176"/>
      <c r="L233" s="222"/>
      <c r="M233" s="94"/>
      <c r="N233" s="116"/>
      <c r="O233" s="233"/>
      <c r="P233" s="233"/>
      <c r="Q233" s="368"/>
      <c r="R233" s="348"/>
      <c r="S233" s="299"/>
      <c r="T233" s="299"/>
      <c r="U233" s="56"/>
      <c r="V233" s="56"/>
      <c r="W233" s="295"/>
    </row>
    <row r="234" spans="1:24" ht="27.75" customHeight="1">
      <c r="A234" s="94">
        <v>6</v>
      </c>
      <c r="B234" s="366" t="s">
        <v>428</v>
      </c>
      <c r="C234" s="367" t="s">
        <v>429</v>
      </c>
      <c r="D234" s="141">
        <v>20000</v>
      </c>
      <c r="E234" s="43" t="s">
        <v>45</v>
      </c>
      <c r="F234" s="44">
        <v>0</v>
      </c>
      <c r="G234" s="45"/>
      <c r="H234" s="45"/>
      <c r="I234" s="47"/>
      <c r="J234" s="175">
        <v>46147</v>
      </c>
      <c r="K234" s="176" t="s">
        <v>1375</v>
      </c>
      <c r="L234" s="222">
        <v>20000</v>
      </c>
      <c r="M234" s="94" t="s">
        <v>45</v>
      </c>
      <c r="N234" s="116">
        <v>0</v>
      </c>
      <c r="O234" s="233"/>
      <c r="P234" s="233"/>
      <c r="Q234" s="368"/>
      <c r="R234" s="348"/>
      <c r="S234" s="299"/>
      <c r="T234" s="299"/>
      <c r="U234" s="56"/>
      <c r="V234" s="56"/>
      <c r="W234" s="295"/>
    </row>
    <row r="235" spans="1:24" ht="27.75" customHeight="1">
      <c r="A235" s="94"/>
      <c r="B235" s="366" t="s">
        <v>431</v>
      </c>
      <c r="C235" s="366" t="s">
        <v>432</v>
      </c>
      <c r="D235" s="141"/>
      <c r="E235" s="43"/>
      <c r="F235" s="44"/>
      <c r="G235" s="45"/>
      <c r="H235" s="45"/>
      <c r="I235" s="47"/>
      <c r="J235" s="175"/>
      <c r="K235" s="176"/>
      <c r="L235" s="222"/>
      <c r="M235" s="94"/>
      <c r="N235" s="116"/>
      <c r="O235" s="233"/>
      <c r="P235" s="233"/>
      <c r="Q235" s="47"/>
      <c r="R235" s="39"/>
      <c r="S235" s="55"/>
      <c r="T235" s="55"/>
      <c r="U235" s="56"/>
      <c r="V235" s="56"/>
    </row>
    <row r="236" spans="1:24" ht="27.75" customHeight="1" thickBot="1">
      <c r="A236" s="193"/>
      <c r="B236" s="194" t="s">
        <v>22</v>
      </c>
      <c r="C236" s="195"/>
      <c r="D236" s="196">
        <f>SUM(D224:D235)</f>
        <v>136363.75</v>
      </c>
      <c r="E236" s="221"/>
      <c r="F236" s="197"/>
      <c r="G236" s="198">
        <v>0</v>
      </c>
      <c r="H236" s="198"/>
      <c r="I236" s="198">
        <v>0</v>
      </c>
      <c r="J236" s="199"/>
      <c r="K236" s="199"/>
      <c r="L236" s="196">
        <f>SUM(L224:L235)</f>
        <v>136363.75</v>
      </c>
      <c r="M236" s="200"/>
      <c r="N236" s="196"/>
      <c r="O236" s="198">
        <v>0</v>
      </c>
      <c r="P236" s="198"/>
      <c r="Q236" s="198">
        <v>0</v>
      </c>
      <c r="R236" s="36"/>
      <c r="S236" s="37"/>
      <c r="T236" s="37"/>
      <c r="U236" s="38"/>
      <c r="V236" s="38"/>
      <c r="W236" s="38"/>
    </row>
    <row r="237" spans="1:24" ht="27.75" customHeight="1" thickTop="1">
      <c r="A237" s="22"/>
      <c r="B237" s="288" t="s">
        <v>433</v>
      </c>
      <c r="C237" s="380"/>
      <c r="D237" s="284"/>
      <c r="E237" s="273"/>
      <c r="F237" s="274"/>
      <c r="G237" s="381"/>
      <c r="H237" s="381"/>
      <c r="I237" s="381"/>
      <c r="J237" s="382"/>
      <c r="K237" s="382"/>
      <c r="L237" s="383"/>
      <c r="M237" s="384"/>
      <c r="N237" s="284"/>
      <c r="O237" s="381"/>
      <c r="P237" s="381"/>
      <c r="Q237" s="381"/>
      <c r="R237" s="36"/>
      <c r="S237" s="37"/>
      <c r="T237" s="37"/>
      <c r="U237" s="38"/>
      <c r="V237" s="38"/>
      <c r="W237" s="38"/>
    </row>
    <row r="238" spans="1:24" ht="27.75" customHeight="1">
      <c r="A238" s="22">
        <v>1</v>
      </c>
      <c r="B238" s="270" t="s">
        <v>434</v>
      </c>
      <c r="C238" s="380" t="s">
        <v>435</v>
      </c>
      <c r="D238" s="284">
        <v>0</v>
      </c>
      <c r="E238" s="273"/>
      <c r="F238" s="274"/>
      <c r="G238" s="381">
        <v>-6.3664629124104977E-12</v>
      </c>
      <c r="H238" s="381"/>
      <c r="I238" s="381">
        <v>-6.3664629124104977E-12</v>
      </c>
      <c r="J238" s="385"/>
      <c r="K238" s="386"/>
      <c r="L238" s="383"/>
      <c r="M238" s="387"/>
      <c r="N238" s="116"/>
      <c r="O238" s="388">
        <f>D238+I238-L238</f>
        <v>-6.3664629124104977E-12</v>
      </c>
      <c r="P238" s="388"/>
      <c r="Q238" s="376">
        <f>O238</f>
        <v>-6.3664629124104977E-12</v>
      </c>
      <c r="R238" s="36"/>
      <c r="S238" s="37"/>
      <c r="T238" s="37"/>
      <c r="U238" s="38"/>
      <c r="V238" s="38"/>
      <c r="W238" s="38"/>
    </row>
    <row r="239" spans="1:24" ht="27.75" customHeight="1">
      <c r="A239" s="22"/>
      <c r="B239" s="270" t="s">
        <v>436</v>
      </c>
      <c r="C239" s="380" t="s">
        <v>437</v>
      </c>
      <c r="D239" s="284"/>
      <c r="E239" s="384"/>
      <c r="F239" s="274"/>
      <c r="G239" s="381"/>
      <c r="H239" s="381"/>
      <c r="I239" s="381"/>
      <c r="J239" s="382"/>
      <c r="K239" s="382"/>
      <c r="L239" s="383"/>
      <c r="M239" s="384"/>
      <c r="N239" s="284"/>
      <c r="O239" s="381"/>
      <c r="P239" s="381"/>
      <c r="Q239" s="381"/>
      <c r="R239" s="36"/>
      <c r="S239" s="37"/>
      <c r="T239" s="37"/>
      <c r="U239" s="38"/>
      <c r="V239" s="38"/>
      <c r="W239" s="38"/>
    </row>
    <row r="240" spans="1:24" ht="27.75" customHeight="1">
      <c r="A240" s="22">
        <v>2</v>
      </c>
      <c r="B240" s="270" t="s">
        <v>438</v>
      </c>
      <c r="C240" s="380" t="s">
        <v>439</v>
      </c>
      <c r="D240" s="284">
        <v>1500</v>
      </c>
      <c r="E240" s="384" t="s">
        <v>45</v>
      </c>
      <c r="F240" s="274">
        <v>0</v>
      </c>
      <c r="G240" s="381">
        <v>0</v>
      </c>
      <c r="H240" s="381">
        <v>0</v>
      </c>
      <c r="I240" s="381">
        <v>0</v>
      </c>
      <c r="J240" s="389" t="s">
        <v>1377</v>
      </c>
      <c r="K240" s="386" t="s">
        <v>1378</v>
      </c>
      <c r="L240" s="383">
        <v>1500</v>
      </c>
      <c r="M240" s="390" t="s">
        <v>45</v>
      </c>
      <c r="N240" s="391">
        <v>0</v>
      </c>
      <c r="O240" s="381">
        <f>SUM(D240+G240-L240)</f>
        <v>0</v>
      </c>
      <c r="P240" s="381">
        <v>0</v>
      </c>
      <c r="Q240" s="381">
        <f>SUM(O240)</f>
        <v>0</v>
      </c>
      <c r="R240" s="36"/>
      <c r="S240" s="37"/>
      <c r="T240" s="37"/>
      <c r="U240" s="38"/>
      <c r="V240" s="38"/>
      <c r="W240" s="38"/>
    </row>
    <row r="241" spans="1:25" ht="27.75" customHeight="1" thickBot="1">
      <c r="A241" s="193"/>
      <c r="B241" s="194" t="s">
        <v>22</v>
      </c>
      <c r="C241" s="195"/>
      <c r="D241" s="196">
        <f>SUM(D238:D240)</f>
        <v>1500</v>
      </c>
      <c r="E241" s="221">
        <v>0</v>
      </c>
      <c r="F241" s="197"/>
      <c r="G241" s="392">
        <v>0</v>
      </c>
      <c r="H241" s="392">
        <v>0</v>
      </c>
      <c r="I241" s="392">
        <v>0</v>
      </c>
      <c r="J241" s="393">
        <v>0</v>
      </c>
      <c r="K241" s="393">
        <v>0</v>
      </c>
      <c r="L241" s="394">
        <f>SUM(L238:L240)</f>
        <v>1500</v>
      </c>
      <c r="M241" s="395"/>
      <c r="N241" s="392"/>
      <c r="O241" s="392">
        <f>SUM(O238:O240)</f>
        <v>-6.3664629124104977E-12</v>
      </c>
      <c r="P241" s="392">
        <f t="shared" ref="P241:Q241" si="63">SUM(P238:P240)</f>
        <v>0</v>
      </c>
      <c r="Q241" s="392">
        <f t="shared" si="63"/>
        <v>-6.3664629124104977E-12</v>
      </c>
      <c r="R241" s="36"/>
      <c r="S241" s="37"/>
      <c r="T241" s="37"/>
      <c r="U241" s="38"/>
      <c r="V241" s="38"/>
      <c r="W241" s="38"/>
    </row>
    <row r="242" spans="1:25" ht="27.75" customHeight="1" thickTop="1">
      <c r="A242" s="22"/>
      <c r="B242" s="288" t="s">
        <v>441</v>
      </c>
      <c r="C242" s="289"/>
      <c r="D242" s="272"/>
      <c r="E242" s="201"/>
      <c r="F242" s="281"/>
      <c r="G242" s="290"/>
      <c r="H242" s="290"/>
      <c r="I242" s="290"/>
      <c r="J242" s="291"/>
      <c r="K242" s="292"/>
      <c r="L242" s="222"/>
      <c r="M242" s="94"/>
      <c r="N242" s="39"/>
      <c r="O242" s="293"/>
      <c r="P242" s="293"/>
      <c r="Q242" s="294"/>
      <c r="R242" s="36"/>
      <c r="S242" s="37"/>
      <c r="T242" s="37"/>
      <c r="U242" s="38"/>
      <c r="V242" s="38"/>
      <c r="W242" s="38"/>
    </row>
    <row r="243" spans="1:25" ht="27.75" customHeight="1">
      <c r="A243" s="94">
        <v>1</v>
      </c>
      <c r="B243" s="40" t="s">
        <v>442</v>
      </c>
      <c r="C243" s="206" t="s">
        <v>443</v>
      </c>
      <c r="D243" s="296">
        <v>98948</v>
      </c>
      <c r="E243" s="43" t="s">
        <v>1202</v>
      </c>
      <c r="F243" s="44">
        <v>-5</v>
      </c>
      <c r="G243" s="45">
        <v>-494740</v>
      </c>
      <c r="H243" s="45"/>
      <c r="I243" s="47">
        <v>-494740</v>
      </c>
      <c r="J243" s="175"/>
      <c r="K243" s="176"/>
      <c r="L243" s="222">
        <v>0</v>
      </c>
      <c r="M243" s="387" t="s">
        <v>1310</v>
      </c>
      <c r="N243" s="116">
        <v>-4</v>
      </c>
      <c r="O243" s="233">
        <f t="shared" ref="O243" si="64">Q243</f>
        <v>-395792</v>
      </c>
      <c r="P243" s="233"/>
      <c r="Q243" s="376">
        <f>D243+I243-L243</f>
        <v>-395792</v>
      </c>
      <c r="R243" s="39" t="s">
        <v>446</v>
      </c>
      <c r="S243" s="55">
        <v>43952</v>
      </c>
      <c r="T243" s="55">
        <v>44561</v>
      </c>
      <c r="U243" s="56">
        <v>1032500</v>
      </c>
      <c r="V243" s="56" t="s">
        <v>447</v>
      </c>
    </row>
    <row r="244" spans="1:25" ht="27.75" customHeight="1">
      <c r="A244" s="94"/>
      <c r="B244" s="396" t="s">
        <v>448</v>
      </c>
      <c r="C244" s="206" t="s">
        <v>449</v>
      </c>
      <c r="D244" s="296"/>
      <c r="E244" s="64"/>
      <c r="F244" s="44"/>
      <c r="G244" s="45"/>
      <c r="H244" s="45"/>
      <c r="I244" s="47"/>
      <c r="J244" s="183"/>
      <c r="K244" s="184"/>
      <c r="L244" s="231"/>
      <c r="M244" s="186"/>
      <c r="N244" s="116"/>
      <c r="O244" s="233"/>
      <c r="P244" s="233"/>
      <c r="Q244" s="376"/>
      <c r="R244" s="297"/>
      <c r="S244" s="298"/>
      <c r="T244" s="298"/>
      <c r="U244" s="397"/>
      <c r="V244" s="397"/>
    </row>
    <row r="245" spans="1:25" ht="27.75" customHeight="1">
      <c r="A245" s="94"/>
      <c r="B245" s="396"/>
      <c r="C245" s="398" t="s">
        <v>450</v>
      </c>
      <c r="D245" s="296"/>
      <c r="E245" s="64"/>
      <c r="F245" s="44"/>
      <c r="G245" s="45"/>
      <c r="H245" s="45"/>
      <c r="I245" s="47"/>
      <c r="J245" s="183"/>
      <c r="K245" s="184"/>
      <c r="L245" s="231"/>
      <c r="M245" s="186"/>
      <c r="N245" s="116"/>
      <c r="O245" s="233"/>
      <c r="P245" s="233"/>
      <c r="Q245" s="376"/>
      <c r="R245" s="297"/>
      <c r="S245" s="298"/>
      <c r="T245" s="298"/>
      <c r="U245" s="397"/>
      <c r="V245" s="397"/>
    </row>
    <row r="246" spans="1:25" ht="27.75" customHeight="1">
      <c r="A246" s="94">
        <v>2</v>
      </c>
      <c r="B246" s="205" t="s">
        <v>451</v>
      </c>
      <c r="C246" s="206" t="s">
        <v>452</v>
      </c>
      <c r="D246" s="296">
        <v>48779</v>
      </c>
      <c r="E246" s="64" t="s">
        <v>1264</v>
      </c>
      <c r="F246" s="44">
        <v>-6.7389450378236537</v>
      </c>
      <c r="G246" s="45">
        <v>-328719</v>
      </c>
      <c r="H246" s="45"/>
      <c r="I246" s="47">
        <v>-328719</v>
      </c>
      <c r="J246" s="183"/>
      <c r="K246" s="184"/>
      <c r="L246" s="231">
        <v>0</v>
      </c>
      <c r="M246" s="399" t="s">
        <v>1376</v>
      </c>
      <c r="N246" s="116">
        <v>-5.7389450378236537</v>
      </c>
      <c r="O246" s="233">
        <f t="shared" ref="O246" si="65">Q246</f>
        <v>-279940</v>
      </c>
      <c r="P246" s="233"/>
      <c r="Q246" s="368">
        <f>D246+I246-L246</f>
        <v>-279940</v>
      </c>
      <c r="R246" s="172" t="s">
        <v>456</v>
      </c>
      <c r="S246" s="400" t="s">
        <v>457</v>
      </c>
      <c r="T246" s="400" t="s">
        <v>458</v>
      </c>
      <c r="U246" s="401">
        <v>442600</v>
      </c>
      <c r="V246" s="401" t="s">
        <v>459</v>
      </c>
    </row>
    <row r="247" spans="1:25" ht="27.75" customHeight="1">
      <c r="A247" s="232"/>
      <c r="B247" s="402" t="s">
        <v>460</v>
      </c>
      <c r="C247" s="206" t="s">
        <v>461</v>
      </c>
      <c r="D247" s="296"/>
      <c r="E247" s="64"/>
      <c r="F247" s="44"/>
      <c r="G247" s="45"/>
      <c r="H247" s="45"/>
      <c r="I247" s="47"/>
      <c r="J247" s="183"/>
      <c r="K247" s="184"/>
      <c r="L247" s="231"/>
      <c r="M247" s="186"/>
      <c r="N247" s="116"/>
      <c r="O247" s="233"/>
      <c r="P247" s="233"/>
      <c r="Q247" s="403"/>
      <c r="R247" s="172"/>
      <c r="S247" s="400"/>
      <c r="T247" s="400"/>
      <c r="U247" s="401"/>
      <c r="V247" s="401"/>
    </row>
    <row r="248" spans="1:25" ht="27.75" customHeight="1">
      <c r="A248" s="186"/>
      <c r="B248" s="404" t="s">
        <v>448</v>
      </c>
      <c r="C248" s="206" t="s">
        <v>462</v>
      </c>
      <c r="D248" s="296"/>
      <c r="E248" s="64"/>
      <c r="F248" s="44"/>
      <c r="G248" s="45"/>
      <c r="H248" s="45"/>
      <c r="I248" s="66"/>
      <c r="J248" s="183"/>
      <c r="K248" s="184"/>
      <c r="L248" s="231"/>
      <c r="M248" s="186"/>
      <c r="N248" s="116"/>
      <c r="O248" s="233"/>
      <c r="P248" s="233"/>
      <c r="Q248" s="403"/>
      <c r="R248" s="146" t="s">
        <v>463</v>
      </c>
      <c r="S248" s="148" t="s">
        <v>464</v>
      </c>
      <c r="T248" s="148" t="s">
        <v>465</v>
      </c>
      <c r="U248" s="149">
        <v>46000</v>
      </c>
      <c r="V248" s="149" t="s">
        <v>466</v>
      </c>
      <c r="W248" s="295" t="s">
        <v>289</v>
      </c>
      <c r="X248" s="4" t="s">
        <v>467</v>
      </c>
    </row>
    <row r="249" spans="1:25" ht="27.75" customHeight="1">
      <c r="A249" s="405"/>
      <c r="B249" s="406" t="s">
        <v>22</v>
      </c>
      <c r="C249" s="407"/>
      <c r="D249" s="408">
        <f>SUM(D243:D248)</f>
        <v>147727</v>
      </c>
      <c r="E249" s="409"/>
      <c r="F249" s="410"/>
      <c r="G249" s="239">
        <f>SUM(G243:G248)-G243-G246</f>
        <v>0</v>
      </c>
      <c r="H249" s="239">
        <f t="shared" ref="H249:I249" si="66">SUM(H243:H248)</f>
        <v>0</v>
      </c>
      <c r="I249" s="239">
        <f t="shared" si="66"/>
        <v>-823459</v>
      </c>
      <c r="J249" s="411"/>
      <c r="K249" s="411"/>
      <c r="L249" s="408">
        <f>SUM(L243:L246)</f>
        <v>0</v>
      </c>
      <c r="M249" s="412"/>
      <c r="N249" s="408"/>
      <c r="O249" s="239"/>
      <c r="P249" s="239">
        <f>SUM(P246:P248)</f>
        <v>0</v>
      </c>
      <c r="Q249" s="239"/>
      <c r="R249" s="278"/>
      <c r="S249" s="279"/>
      <c r="T249" s="279"/>
      <c r="U249" s="413"/>
      <c r="V249" s="413"/>
      <c r="W249" s="413"/>
    </row>
    <row r="250" spans="1:25" ht="27.75" customHeight="1" thickBot="1">
      <c r="A250" s="414"/>
      <c r="B250" s="415"/>
      <c r="C250" s="416" t="s">
        <v>468</v>
      </c>
      <c r="D250" s="417"/>
      <c r="E250" s="418"/>
      <c r="F250" s="419"/>
      <c r="G250" s="420">
        <f>SUM(G249+G241+G236+G222+G166+G155+G138+G122+G108+G92+G89+G82+G31+G27+G24)</f>
        <v>48763.998130841115</v>
      </c>
      <c r="H250" s="420">
        <f>SUM(H249+H241+H236+H222+H166+H155+H138+H122+H108+H92+H89+H82+H31+H27+H24)</f>
        <v>3413.48</v>
      </c>
      <c r="I250" s="420">
        <f>SUM(I249+I241+I236+I222+I166+I155+I138+I122+I108+I92+I89+I82+I31+I27+I24)</f>
        <v>-771281.52186915884</v>
      </c>
      <c r="J250" s="421"/>
      <c r="K250" s="421"/>
      <c r="L250" s="422">
        <f>SUM(L249+L241+L236+L222+L166+L155+L138+L122+L108+L92+L89+L82+L31+L27+L24)</f>
        <v>825677.41</v>
      </c>
      <c r="M250" s="423"/>
      <c r="N250" s="422"/>
      <c r="O250" s="420">
        <f>SUM(O249+O241+O236+O222+O166+O155+O138+O122+O108+O92+O89+O82+O31+O27+O24)</f>
        <v>66250.69439252335</v>
      </c>
      <c r="P250" s="420">
        <f>SUM(P249+P241+P236+P222+P166+P155+P138+P122+P108+P92+P89+P82+P31+P27+P24)</f>
        <v>4637.55</v>
      </c>
      <c r="Q250" s="420">
        <f>SUM(Q249+Q241+Q236+Q222+Q166+Q155+Q138+Q122+Q108+Q92+Q89+Q82+Q31+Q27+Q24)</f>
        <v>70888.244392523353</v>
      </c>
      <c r="R250" s="424"/>
      <c r="S250" s="425"/>
      <c r="T250" s="425"/>
      <c r="U250" s="345"/>
      <c r="V250" s="345"/>
      <c r="W250" s="345"/>
    </row>
    <row r="251" spans="1:25" ht="27.75" customHeight="1" thickTop="1">
      <c r="A251" s="426"/>
      <c r="B251" s="4"/>
      <c r="C251" s="295"/>
      <c r="D251" s="427"/>
      <c r="E251" s="428"/>
      <c r="F251" s="429"/>
      <c r="G251" s="430"/>
      <c r="H251" s="430"/>
      <c r="I251" s="430"/>
      <c r="J251" s="431"/>
      <c r="K251" s="432"/>
      <c r="L251" s="427"/>
      <c r="M251" s="433"/>
      <c r="N251" s="427"/>
      <c r="O251" s="430"/>
      <c r="P251" s="430"/>
      <c r="Q251" s="430"/>
      <c r="R251" s="424"/>
      <c r="S251" s="425"/>
      <c r="T251" s="425"/>
      <c r="U251" s="345"/>
      <c r="V251" s="345"/>
      <c r="W251" s="345"/>
    </row>
    <row r="252" spans="1:25" ht="27.75" customHeight="1">
      <c r="A252" s="426"/>
      <c r="B252" s="434" t="s">
        <v>469</v>
      </c>
      <c r="C252" s="295"/>
      <c r="D252" s="427"/>
      <c r="E252" s="428"/>
      <c r="F252" s="429"/>
      <c r="G252" s="430"/>
      <c r="H252" s="430"/>
      <c r="I252" s="430"/>
      <c r="J252" s="431"/>
      <c r="K252" s="432"/>
      <c r="L252" s="427"/>
      <c r="M252" s="433"/>
      <c r="N252" s="427"/>
      <c r="O252" s="430"/>
      <c r="P252" s="430"/>
      <c r="Q252" s="430"/>
      <c r="R252" s="424"/>
      <c r="S252" s="425"/>
      <c r="T252" s="425"/>
      <c r="U252" s="345"/>
      <c r="V252" s="345"/>
      <c r="W252" s="345"/>
    </row>
    <row r="253" spans="1:25" ht="27.75" customHeight="1">
      <c r="A253" s="435">
        <v>1</v>
      </c>
      <c r="B253" s="436" t="s">
        <v>470</v>
      </c>
      <c r="C253" s="437" t="s">
        <v>471</v>
      </c>
      <c r="D253" s="438" t="s">
        <v>472</v>
      </c>
      <c r="E253" s="439" t="s">
        <v>473</v>
      </c>
      <c r="F253" s="440">
        <v>21</v>
      </c>
      <c r="G253" s="15">
        <v>361288.35</v>
      </c>
      <c r="H253" s="15"/>
      <c r="I253" s="17">
        <v>361288.35</v>
      </c>
      <c r="J253" s="441"/>
      <c r="K253" s="442"/>
      <c r="L253" s="443"/>
      <c r="M253" s="435" t="s">
        <v>473</v>
      </c>
      <c r="N253" s="444">
        <v>21</v>
      </c>
      <c r="O253" s="445">
        <f>SUM(G253-L253)</f>
        <v>361288.35</v>
      </c>
      <c r="P253" s="19"/>
      <c r="Q253" s="17">
        <f>SUM(O253)</f>
        <v>361288.35</v>
      </c>
      <c r="R253" s="251" t="s">
        <v>195</v>
      </c>
      <c r="S253" s="446">
        <v>41883</v>
      </c>
      <c r="T253" s="446">
        <v>42978</v>
      </c>
      <c r="U253" s="447">
        <v>90000</v>
      </c>
      <c r="V253" s="447" t="s">
        <v>474</v>
      </c>
      <c r="Y253" s="4" t="s">
        <v>475</v>
      </c>
    </row>
    <row r="254" spans="1:25" ht="27.75" customHeight="1">
      <c r="A254" s="435"/>
      <c r="B254" s="436" t="s">
        <v>476</v>
      </c>
      <c r="C254" s="437"/>
      <c r="D254" s="448"/>
      <c r="E254" s="439"/>
      <c r="F254" s="440"/>
      <c r="G254" s="15"/>
      <c r="H254" s="15"/>
      <c r="I254" s="17"/>
      <c r="J254" s="441"/>
      <c r="K254" s="442"/>
      <c r="L254" s="443"/>
      <c r="M254" s="435"/>
      <c r="N254" s="444"/>
      <c r="O254" s="445">
        <f t="shared" ref="O254:O260" si="67">SUM(G254-L254)</f>
        <v>0</v>
      </c>
      <c r="P254" s="19"/>
      <c r="Q254" s="17">
        <f t="shared" ref="Q254:Q260" si="68">SUM(O254)</f>
        <v>0</v>
      </c>
      <c r="R254" s="116"/>
      <c r="S254" s="203"/>
      <c r="T254" s="203"/>
      <c r="U254" s="204"/>
      <c r="V254" s="204"/>
    </row>
    <row r="255" spans="1:25" ht="27.75" customHeight="1">
      <c r="A255" s="435"/>
      <c r="B255" s="674" t="s">
        <v>477</v>
      </c>
      <c r="C255" s="675"/>
      <c r="D255" s="682"/>
      <c r="E255" s="439"/>
      <c r="F255" s="440"/>
      <c r="G255" s="15"/>
      <c r="H255" s="15"/>
      <c r="I255" s="17"/>
      <c r="J255" s="441"/>
      <c r="K255" s="442"/>
      <c r="L255" s="443"/>
      <c r="M255" s="435"/>
      <c r="N255" s="444"/>
      <c r="O255" s="445">
        <f t="shared" si="67"/>
        <v>0</v>
      </c>
      <c r="P255" s="19"/>
      <c r="Q255" s="17">
        <f t="shared" si="68"/>
        <v>0</v>
      </c>
      <c r="R255" s="116"/>
      <c r="S255" s="203"/>
      <c r="T255" s="203"/>
      <c r="U255" s="204"/>
      <c r="V255" s="204"/>
    </row>
    <row r="256" spans="1:25" ht="27.75" customHeight="1">
      <c r="A256" s="435">
        <v>2</v>
      </c>
      <c r="B256" s="450" t="s">
        <v>470</v>
      </c>
      <c r="C256" s="451" t="s">
        <v>478</v>
      </c>
      <c r="D256" s="449"/>
      <c r="E256" s="439" t="s">
        <v>479</v>
      </c>
      <c r="F256" s="440">
        <v>6</v>
      </c>
      <c r="G256" s="15">
        <v>96700.72</v>
      </c>
      <c r="H256" s="15"/>
      <c r="I256" s="17">
        <v>96700.72</v>
      </c>
      <c r="J256" s="441"/>
      <c r="K256" s="442"/>
      <c r="L256" s="443"/>
      <c r="M256" s="435" t="s">
        <v>479</v>
      </c>
      <c r="N256" s="444">
        <v>6</v>
      </c>
      <c r="O256" s="445">
        <f t="shared" si="67"/>
        <v>96700.72</v>
      </c>
      <c r="P256" s="19"/>
      <c r="Q256" s="17">
        <f t="shared" si="68"/>
        <v>96700.72</v>
      </c>
      <c r="R256" s="116"/>
      <c r="S256" s="203"/>
      <c r="T256" s="203"/>
      <c r="U256" s="204"/>
      <c r="V256" s="204"/>
      <c r="Y256" s="4" t="s">
        <v>475</v>
      </c>
    </row>
    <row r="257" spans="1:28" ht="27.75" customHeight="1">
      <c r="A257" s="435">
        <v>3</v>
      </c>
      <c r="B257" s="450" t="s">
        <v>470</v>
      </c>
      <c r="C257" s="451" t="s">
        <v>480</v>
      </c>
      <c r="D257" s="452"/>
      <c r="E257" s="439" t="s">
        <v>481</v>
      </c>
      <c r="F257" s="440">
        <v>16</v>
      </c>
      <c r="G257" s="15">
        <v>285799.45</v>
      </c>
      <c r="H257" s="15"/>
      <c r="I257" s="17">
        <v>285799.45</v>
      </c>
      <c r="J257" s="441"/>
      <c r="K257" s="442"/>
      <c r="L257" s="443"/>
      <c r="M257" s="435" t="s">
        <v>481</v>
      </c>
      <c r="N257" s="444">
        <v>16</v>
      </c>
      <c r="O257" s="445">
        <f t="shared" si="67"/>
        <v>285799.45</v>
      </c>
      <c r="P257" s="19"/>
      <c r="Q257" s="17">
        <f t="shared" si="68"/>
        <v>285799.45</v>
      </c>
      <c r="R257" s="116"/>
      <c r="S257" s="203"/>
      <c r="T257" s="203"/>
      <c r="U257" s="204"/>
      <c r="V257" s="204"/>
      <c r="Y257" s="4" t="s">
        <v>475</v>
      </c>
    </row>
    <row r="258" spans="1:28" s="226" customFormat="1" ht="27.75" customHeight="1">
      <c r="A258" s="440">
        <v>4</v>
      </c>
      <c r="B258" s="436" t="s">
        <v>470</v>
      </c>
      <c r="C258" s="453" t="s">
        <v>482</v>
      </c>
      <c r="D258" s="454" t="s">
        <v>472</v>
      </c>
      <c r="E258" s="455" t="s">
        <v>483</v>
      </c>
      <c r="F258" s="456" t="s">
        <v>195</v>
      </c>
      <c r="G258" s="17">
        <v>57055.05</v>
      </c>
      <c r="H258" s="17"/>
      <c r="I258" s="17">
        <v>57055.05</v>
      </c>
      <c r="J258" s="441"/>
      <c r="K258" s="457"/>
      <c r="L258" s="458"/>
      <c r="M258" s="435" t="s">
        <v>483</v>
      </c>
      <c r="N258" s="448" t="s">
        <v>195</v>
      </c>
      <c r="O258" s="445">
        <f t="shared" si="67"/>
        <v>57055.05</v>
      </c>
      <c r="P258" s="17"/>
      <c r="Q258" s="17">
        <f t="shared" si="68"/>
        <v>57055.05</v>
      </c>
      <c r="R258" s="39"/>
      <c r="S258" s="55"/>
      <c r="T258" s="55"/>
      <c r="U258" s="141"/>
      <c r="V258" s="141"/>
      <c r="Y258" s="4" t="s">
        <v>475</v>
      </c>
    </row>
    <row r="259" spans="1:28" s="226" customFormat="1" ht="27.75" customHeight="1">
      <c r="A259" s="440"/>
      <c r="B259" s="676" t="s">
        <v>484</v>
      </c>
      <c r="C259" s="677"/>
      <c r="D259" s="683"/>
      <c r="E259" s="455"/>
      <c r="F259" s="456"/>
      <c r="G259" s="17"/>
      <c r="H259" s="17"/>
      <c r="I259" s="17"/>
      <c r="J259" s="441"/>
      <c r="K259" s="457"/>
      <c r="L259" s="458"/>
      <c r="M259" s="435"/>
      <c r="N259" s="448"/>
      <c r="O259" s="445">
        <f t="shared" si="67"/>
        <v>0</v>
      </c>
      <c r="P259" s="17"/>
      <c r="Q259" s="17">
        <f t="shared" si="68"/>
        <v>0</v>
      </c>
      <c r="R259" s="122"/>
      <c r="S259" s="37"/>
      <c r="T259" s="37"/>
      <c r="U259" s="459"/>
      <c r="V259" s="459"/>
      <c r="Y259" s="4" t="s">
        <v>475</v>
      </c>
    </row>
    <row r="260" spans="1:28" ht="27.75" customHeight="1">
      <c r="A260" s="460">
        <v>5</v>
      </c>
      <c r="B260" s="436" t="s">
        <v>470</v>
      </c>
      <c r="C260" s="461" t="s">
        <v>485</v>
      </c>
      <c r="D260" s="454"/>
      <c r="E260" s="455" t="s">
        <v>486</v>
      </c>
      <c r="F260" s="462" t="s">
        <v>195</v>
      </c>
      <c r="G260" s="17">
        <v>28958.15</v>
      </c>
      <c r="H260" s="15"/>
      <c r="I260" s="17">
        <v>28958.15</v>
      </c>
      <c r="J260" s="441" t="s">
        <v>487</v>
      </c>
      <c r="K260" s="463"/>
      <c r="L260" s="443"/>
      <c r="M260" s="435" t="s">
        <v>486</v>
      </c>
      <c r="N260" s="464" t="s">
        <v>195</v>
      </c>
      <c r="O260" s="445">
        <f t="shared" si="67"/>
        <v>28958.15</v>
      </c>
      <c r="P260" s="21"/>
      <c r="Q260" s="17">
        <f t="shared" si="68"/>
        <v>28958.15</v>
      </c>
      <c r="R260" s="36"/>
      <c r="S260" s="37"/>
      <c r="T260" s="37"/>
      <c r="U260" s="38"/>
      <c r="V260" s="38"/>
      <c r="W260" s="38"/>
      <c r="Y260" s="4" t="s">
        <v>475</v>
      </c>
    </row>
    <row r="261" spans="1:28" ht="27.6" customHeight="1">
      <c r="A261" s="460"/>
      <c r="B261" s="436" t="s">
        <v>488</v>
      </c>
      <c r="C261" s="461"/>
      <c r="D261" s="454"/>
      <c r="E261" s="448"/>
      <c r="F261" s="462"/>
      <c r="G261" s="17"/>
      <c r="H261" s="15"/>
      <c r="I261" s="17"/>
      <c r="J261" s="441"/>
      <c r="K261" s="463"/>
      <c r="L261" s="443"/>
      <c r="M261" s="435"/>
      <c r="N261" s="444"/>
      <c r="O261" s="17"/>
      <c r="P261" s="21"/>
      <c r="Q261" s="17"/>
      <c r="R261" s="36"/>
      <c r="S261" s="37"/>
      <c r="T261" s="37"/>
      <c r="U261" s="38"/>
      <c r="V261" s="38"/>
      <c r="W261" s="38"/>
    </row>
    <row r="262" spans="1:28" ht="27.6" customHeight="1">
      <c r="A262" s="460"/>
      <c r="B262" s="674" t="s">
        <v>489</v>
      </c>
      <c r="C262" s="675"/>
      <c r="D262" s="682"/>
      <c r="E262" s="448"/>
      <c r="F262" s="462"/>
      <c r="G262" s="17"/>
      <c r="H262" s="15"/>
      <c r="I262" s="17"/>
      <c r="J262" s="441"/>
      <c r="K262" s="463"/>
      <c r="L262" s="443"/>
      <c r="M262" s="435"/>
      <c r="N262" s="444"/>
      <c r="O262" s="17"/>
      <c r="P262" s="21"/>
      <c r="Q262" s="17"/>
      <c r="R262" s="36"/>
      <c r="S262" s="37"/>
      <c r="T262" s="37"/>
      <c r="U262" s="38"/>
      <c r="V262" s="38"/>
      <c r="W262" s="38"/>
    </row>
    <row r="263" spans="1:28" ht="27.75" customHeight="1" thickBot="1">
      <c r="A263" s="465"/>
      <c r="B263" s="466" t="s">
        <v>22</v>
      </c>
      <c r="C263" s="195"/>
      <c r="D263" s="310">
        <v>0</v>
      </c>
      <c r="E263" s="311"/>
      <c r="F263" s="312"/>
      <c r="G263" s="313">
        <f>SUM(G253:G261)</f>
        <v>829801.72000000009</v>
      </c>
      <c r="H263" s="313"/>
      <c r="I263" s="313">
        <f>SUM(I253:I261)</f>
        <v>829801.72000000009</v>
      </c>
      <c r="J263" s="467"/>
      <c r="K263" s="314"/>
      <c r="L263" s="310">
        <v>0</v>
      </c>
      <c r="M263" s="315"/>
      <c r="N263" s="310"/>
      <c r="O263" s="313">
        <f>SUM(O253:O261)</f>
        <v>829801.72000000009</v>
      </c>
      <c r="P263" s="313">
        <v>0</v>
      </c>
      <c r="Q263" s="313">
        <f>SUM(Q253:Q262)</f>
        <v>829801.72000000009</v>
      </c>
      <c r="R263" s="36"/>
      <c r="S263" s="37"/>
      <c r="T263" s="37"/>
      <c r="U263" s="38"/>
      <c r="V263" s="38"/>
      <c r="W263" s="38"/>
    </row>
    <row r="264" spans="1:28" ht="27.75" customHeight="1" thickTop="1">
      <c r="A264" s="468"/>
      <c r="B264" s="469" t="s">
        <v>490</v>
      </c>
      <c r="C264" s="470"/>
      <c r="D264" s="471"/>
      <c r="E264" s="207"/>
      <c r="F264" s="341"/>
      <c r="G264" s="187"/>
      <c r="H264" s="187"/>
      <c r="I264" s="187"/>
      <c r="J264" s="472"/>
      <c r="K264" s="473"/>
      <c r="L264" s="231"/>
      <c r="M264" s="186"/>
      <c r="N264" s="116"/>
      <c r="O264" s="344"/>
      <c r="P264" s="344"/>
      <c r="Q264" s="474"/>
      <c r="R264" s="36"/>
      <c r="S264" s="37"/>
      <c r="T264" s="37"/>
      <c r="U264" s="38"/>
      <c r="V264" s="38"/>
      <c r="W264" s="38"/>
    </row>
    <row r="265" spans="1:28" ht="27.75" customHeight="1">
      <c r="A265" s="475">
        <v>1</v>
      </c>
      <c r="B265" s="436" t="s">
        <v>491</v>
      </c>
      <c r="C265" s="437" t="s">
        <v>492</v>
      </c>
      <c r="D265" s="476"/>
      <c r="E265" s="477"/>
      <c r="F265" s="478"/>
      <c r="G265" s="15"/>
      <c r="H265" s="15"/>
      <c r="I265" s="17"/>
      <c r="J265" s="441"/>
      <c r="K265" s="442"/>
      <c r="L265" s="479"/>
      <c r="M265" s="435"/>
      <c r="N265" s="477"/>
      <c r="O265" s="480"/>
      <c r="P265" s="480"/>
      <c r="Q265" s="481"/>
      <c r="R265" s="356"/>
      <c r="S265" s="482"/>
      <c r="T265" s="482"/>
      <c r="U265" s="483"/>
      <c r="V265" s="483"/>
      <c r="Y265" s="4" t="s">
        <v>493</v>
      </c>
    </row>
    <row r="266" spans="1:28" ht="27.75" customHeight="1">
      <c r="A266" s="475"/>
      <c r="B266" s="484" t="s">
        <v>494</v>
      </c>
      <c r="C266" s="437"/>
      <c r="D266" s="476"/>
      <c r="E266" s="477"/>
      <c r="F266" s="478"/>
      <c r="G266" s="15"/>
      <c r="H266" s="15"/>
      <c r="I266" s="17"/>
      <c r="J266" s="441"/>
      <c r="K266" s="442"/>
      <c r="L266" s="479"/>
      <c r="M266" s="435"/>
      <c r="N266" s="477"/>
      <c r="O266" s="480"/>
      <c r="P266" s="480"/>
      <c r="Q266" s="481"/>
      <c r="R266" s="485"/>
      <c r="S266" s="486"/>
      <c r="T266" s="486"/>
      <c r="U266" s="487"/>
      <c r="V266" s="487"/>
    </row>
    <row r="267" spans="1:28" ht="27.75" customHeight="1">
      <c r="A267" s="475">
        <v>2</v>
      </c>
      <c r="B267" s="436" t="s">
        <v>495</v>
      </c>
      <c r="C267" s="437" t="s">
        <v>496</v>
      </c>
      <c r="D267" s="476"/>
      <c r="E267" s="477"/>
      <c r="F267" s="478" t="s">
        <v>497</v>
      </c>
      <c r="G267" s="15">
        <v>8214529.25</v>
      </c>
      <c r="H267" s="15"/>
      <c r="I267" s="17">
        <v>8214529.25</v>
      </c>
      <c r="J267" s="441"/>
      <c r="K267" s="442"/>
      <c r="L267" s="479"/>
      <c r="M267" s="435"/>
      <c r="N267" s="477" t="s">
        <v>497</v>
      </c>
      <c r="O267" s="15">
        <v>8214529.25</v>
      </c>
      <c r="P267" s="480"/>
      <c r="Q267" s="17">
        <v>8214529.25</v>
      </c>
      <c r="R267" s="485"/>
      <c r="S267" s="486"/>
      <c r="T267" s="486"/>
      <c r="U267" s="487"/>
      <c r="V267" s="487"/>
    </row>
    <row r="268" spans="1:28" ht="27.75" customHeight="1">
      <c r="A268" s="405"/>
      <c r="B268" s="234" t="s">
        <v>22</v>
      </c>
      <c r="C268" s="407"/>
      <c r="D268" s="408">
        <v>0</v>
      </c>
      <c r="E268" s="409"/>
      <c r="F268" s="410"/>
      <c r="G268" s="239">
        <f>SUM(G265:G267)</f>
        <v>8214529.25</v>
      </c>
      <c r="H268" s="239">
        <v>0</v>
      </c>
      <c r="I268" s="239">
        <f>SUM(I265:I267)</f>
        <v>8214529.25</v>
      </c>
      <c r="J268" s="411"/>
      <c r="K268" s="411"/>
      <c r="L268" s="408">
        <v>0</v>
      </c>
      <c r="M268" s="412"/>
      <c r="N268" s="408"/>
      <c r="O268" s="239">
        <f>SUM(O265:O267)</f>
        <v>8214529.25</v>
      </c>
      <c r="P268" s="239">
        <v>0</v>
      </c>
      <c r="Q268" s="239">
        <f>SUM(Q265:Q267)</f>
        <v>8214529.25</v>
      </c>
      <c r="R268" s="278"/>
      <c r="S268" s="279"/>
      <c r="T268" s="279"/>
      <c r="U268" s="413"/>
      <c r="V268" s="413"/>
      <c r="W268" s="413"/>
      <c r="AB268" s="589">
        <f>SUM(Q263+Q268)</f>
        <v>9044330.9700000007</v>
      </c>
    </row>
    <row r="269" spans="1:28" ht="27.75" customHeight="1">
      <c r="A269" s="426"/>
      <c r="B269" s="4"/>
      <c r="C269" s="295"/>
      <c r="D269" s="427"/>
      <c r="E269" s="428"/>
      <c r="F269" s="429"/>
      <c r="G269" s="430"/>
      <c r="H269" s="430"/>
      <c r="I269" s="430"/>
      <c r="J269" s="432"/>
      <c r="K269" s="432"/>
      <c r="L269" s="427"/>
      <c r="M269" s="433"/>
      <c r="N269" s="427"/>
      <c r="O269" s="430"/>
      <c r="P269" s="430"/>
      <c r="Q269" s="430"/>
      <c r="R269" s="424"/>
      <c r="S269" s="425"/>
      <c r="T269" s="425"/>
      <c r="U269" s="345"/>
      <c r="V269" s="345"/>
      <c r="W269" s="345"/>
    </row>
    <row r="270" spans="1:28" ht="27.75" customHeight="1" thickBot="1">
      <c r="A270" s="488"/>
      <c r="B270" s="489" t="s">
        <v>498</v>
      </c>
      <c r="C270" s="490"/>
      <c r="D270" s="491">
        <f>+D268+D263+D249+D241+D236+D222+D166+D155+D151+D138+D122+D108+D92+D89+D82+D45+D31+D27+D24</f>
        <v>1020127.6749999999</v>
      </c>
      <c r="E270" s="491"/>
      <c r="F270" s="492"/>
      <c r="G270" s="493">
        <f>SUM(G268+G263+G250)</f>
        <v>9093094.9681308419</v>
      </c>
      <c r="H270" s="493">
        <f>SUM(H268+H263+H250)</f>
        <v>3413.48</v>
      </c>
      <c r="I270" s="493">
        <f>SUM(I268+I263+I250)</f>
        <v>8273049.4481308423</v>
      </c>
      <c r="J270" s="494"/>
      <c r="K270" s="494"/>
      <c r="L270" s="493">
        <f>SUM(L268+L263+L250)</f>
        <v>825677.41</v>
      </c>
      <c r="M270" s="495"/>
      <c r="N270" s="496"/>
      <c r="O270" s="493">
        <f>SUM(O268+O263+O250)+0.01</f>
        <v>9110581.6743925232</v>
      </c>
      <c r="P270" s="493">
        <f>SUM(P268+P263+P250)</f>
        <v>4637.55</v>
      </c>
      <c r="Q270" s="493">
        <f>SUM(Q268+Q263+Q250)+0.01</f>
        <v>9115219.224392524</v>
      </c>
      <c r="R270" s="497">
        <v>0</v>
      </c>
      <c r="S270" s="497">
        <v>0</v>
      </c>
      <c r="T270" s="498"/>
      <c r="U270" s="499"/>
      <c r="V270" s="499"/>
      <c r="W270" s="499"/>
    </row>
    <row r="271" spans="1:28" s="226" customFormat="1" ht="27.75" customHeight="1" thickTop="1">
      <c r="A271" s="6"/>
      <c r="B271" s="500"/>
      <c r="D271" s="501"/>
      <c r="E271" s="502"/>
      <c r="F271" s="503"/>
      <c r="G271" s="430"/>
      <c r="H271" s="430"/>
      <c r="I271" s="504"/>
      <c r="J271" s="3"/>
      <c r="K271" s="372"/>
      <c r="L271" s="501"/>
      <c r="M271" s="372"/>
      <c r="N271" s="501"/>
      <c r="O271" s="430"/>
      <c r="P271" s="430"/>
      <c r="Q271" s="504"/>
      <c r="R271" s="2"/>
      <c r="S271" s="425"/>
      <c r="T271" s="425"/>
      <c r="U271" s="345"/>
      <c r="V271" s="345"/>
    </row>
    <row r="272" spans="1:28" s="226" customFormat="1" ht="27.75" customHeight="1">
      <c r="A272" s="6"/>
      <c r="B272" s="500"/>
      <c r="D272" s="501"/>
      <c r="E272" s="502"/>
      <c r="F272" s="503"/>
      <c r="G272" s="430"/>
      <c r="H272" s="430"/>
      <c r="I272" s="504"/>
      <c r="J272" s="3"/>
      <c r="K272" s="372"/>
      <c r="L272" s="501"/>
      <c r="M272" s="372"/>
      <c r="N272" s="501"/>
      <c r="O272" s="430"/>
      <c r="P272" s="430"/>
      <c r="Q272" s="504"/>
      <c r="R272" s="2"/>
      <c r="S272" s="425"/>
      <c r="T272" s="425"/>
      <c r="U272" s="345"/>
      <c r="V272" s="345"/>
    </row>
    <row r="273" spans="1:22" s="226" customFormat="1" ht="27.75" customHeight="1">
      <c r="A273" s="684" t="s">
        <v>932</v>
      </c>
      <c r="B273" s="684"/>
      <c r="C273" s="684"/>
      <c r="D273" s="684"/>
      <c r="E273" s="684"/>
      <c r="F273" s="684"/>
      <c r="G273" s="684"/>
      <c r="H273" s="684"/>
      <c r="I273" s="684"/>
      <c r="J273" s="684"/>
      <c r="K273" s="684"/>
      <c r="L273" s="684"/>
      <c r="M273" s="684"/>
      <c r="N273" s="684"/>
      <c r="O273" s="684"/>
      <c r="P273" s="684"/>
      <c r="Q273" s="684"/>
      <c r="R273" s="684"/>
      <c r="S273" s="425"/>
      <c r="T273" s="425"/>
      <c r="U273" s="345"/>
      <c r="V273" s="345"/>
    </row>
    <row r="274" spans="1:22" s="226" customFormat="1" ht="27.75" customHeight="1">
      <c r="A274" s="678" t="s">
        <v>933</v>
      </c>
      <c r="B274" s="678"/>
      <c r="C274" s="678"/>
      <c r="D274" s="678"/>
      <c r="E274" s="678"/>
      <c r="F274" s="678"/>
      <c r="G274" s="678"/>
      <c r="H274" s="678"/>
      <c r="I274" s="678"/>
      <c r="J274" s="678"/>
      <c r="K274" s="678"/>
      <c r="L274" s="678"/>
      <c r="M274" s="678"/>
      <c r="N274" s="678"/>
      <c r="O274" s="678"/>
      <c r="P274" s="678"/>
      <c r="Q274" s="678"/>
      <c r="R274" s="678"/>
      <c r="S274" s="425"/>
      <c r="T274" s="425"/>
      <c r="U274" s="345"/>
      <c r="V274" s="345"/>
    </row>
    <row r="275" spans="1:22" s="226" customFormat="1" ht="27.75" customHeight="1">
      <c r="A275" s="678"/>
      <c r="B275" s="678"/>
      <c r="C275" s="678"/>
      <c r="D275" s="678"/>
      <c r="E275" s="678"/>
      <c r="F275" s="678"/>
      <c r="G275" s="678"/>
      <c r="H275" s="678"/>
      <c r="I275" s="678"/>
      <c r="J275" s="678"/>
      <c r="K275" s="678"/>
      <c r="L275" s="678"/>
      <c r="M275" s="678"/>
      <c r="N275" s="678"/>
      <c r="O275" s="678"/>
      <c r="P275" s="678"/>
      <c r="Q275" s="678"/>
      <c r="R275" s="678"/>
      <c r="S275" s="425"/>
      <c r="T275" s="425"/>
      <c r="U275" s="345"/>
      <c r="V275" s="345"/>
    </row>
    <row r="276" spans="1:22" s="226" customFormat="1" ht="27.75" customHeight="1">
      <c r="A276" s="6"/>
      <c r="B276" s="500"/>
      <c r="D276" s="501"/>
      <c r="E276" s="502"/>
      <c r="F276" s="503"/>
      <c r="G276" s="430"/>
      <c r="H276" s="430"/>
      <c r="I276" s="504"/>
      <c r="J276" s="3"/>
      <c r="K276" s="372"/>
      <c r="L276" s="501"/>
      <c r="M276" s="372"/>
      <c r="N276" s="501"/>
      <c r="O276" s="430"/>
      <c r="P276" s="430"/>
      <c r="Q276" s="504"/>
      <c r="R276" s="2"/>
      <c r="S276" s="425"/>
      <c r="T276" s="425"/>
      <c r="U276" s="345"/>
      <c r="V276" s="345"/>
    </row>
    <row r="277" spans="1:22" s="226" customFormat="1" ht="27.75" customHeight="1">
      <c r="A277" s="6"/>
      <c r="B277" s="500"/>
      <c r="D277" s="501"/>
      <c r="E277" s="502"/>
      <c r="F277" s="503"/>
      <c r="G277" s="430"/>
      <c r="H277" s="430"/>
      <c r="I277" s="504"/>
      <c r="J277" s="3"/>
      <c r="K277" s="372"/>
      <c r="L277" s="501"/>
      <c r="M277" s="372"/>
      <c r="N277" s="501"/>
      <c r="O277" s="430"/>
      <c r="P277" s="430"/>
      <c r="Q277" s="430"/>
      <c r="R277" s="2"/>
      <c r="S277" s="425"/>
      <c r="T277" s="425"/>
      <c r="U277" s="345"/>
      <c r="V277" s="345"/>
    </row>
    <row r="278" spans="1:22" s="226" customFormat="1" ht="27.75" customHeight="1">
      <c r="A278" s="6"/>
      <c r="B278" s="500"/>
      <c r="D278" s="501"/>
      <c r="E278" s="502"/>
      <c r="F278" s="503"/>
      <c r="G278" s="430"/>
      <c r="H278" s="430"/>
      <c r="I278" s="504"/>
      <c r="J278" s="3"/>
      <c r="K278" s="372"/>
      <c r="L278" s="501"/>
      <c r="M278" s="372"/>
      <c r="N278" s="501"/>
      <c r="O278" s="430"/>
      <c r="P278" s="430"/>
      <c r="Q278" s="504"/>
      <c r="R278" s="2"/>
      <c r="S278" s="425"/>
      <c r="T278" s="425"/>
      <c r="U278" s="345"/>
      <c r="V278" s="345"/>
    </row>
    <row r="279" spans="1:22" s="226" customFormat="1" ht="27.75" customHeight="1">
      <c r="A279" s="6"/>
      <c r="B279" s="500"/>
      <c r="D279" s="501"/>
      <c r="E279" s="502"/>
      <c r="F279" s="503"/>
      <c r="G279" s="430"/>
      <c r="H279" s="430"/>
      <c r="I279" s="504"/>
      <c r="J279" s="3"/>
      <c r="K279" s="372"/>
      <c r="L279" s="501"/>
      <c r="M279" s="372"/>
      <c r="N279" s="501"/>
      <c r="O279" s="430"/>
      <c r="P279" s="430"/>
      <c r="Q279" s="504"/>
      <c r="R279" s="2"/>
      <c r="S279" s="425"/>
      <c r="T279" s="425"/>
      <c r="U279" s="345"/>
      <c r="V279" s="345"/>
    </row>
    <row r="280" spans="1:22" s="226" customFormat="1" ht="27.75" customHeight="1">
      <c r="A280" s="6"/>
      <c r="B280" s="500"/>
      <c r="D280" s="501"/>
      <c r="E280" s="502"/>
      <c r="F280" s="503"/>
      <c r="G280" s="430"/>
      <c r="H280" s="430"/>
      <c r="I280" s="504"/>
      <c r="J280" s="3"/>
      <c r="K280" s="372"/>
      <c r="L280" s="501"/>
      <c r="M280" s="372"/>
      <c r="N280" s="501"/>
      <c r="O280" s="430"/>
      <c r="P280" s="430"/>
      <c r="Q280" s="504"/>
      <c r="R280" s="2"/>
      <c r="S280" s="425"/>
      <c r="T280" s="425"/>
      <c r="U280" s="345"/>
      <c r="V280" s="345"/>
    </row>
    <row r="281" spans="1:22" s="226" customFormat="1" ht="27.75" customHeight="1">
      <c r="A281" s="6"/>
      <c r="B281" s="500"/>
      <c r="D281" s="501"/>
      <c r="E281" s="502"/>
      <c r="F281" s="503"/>
      <c r="G281" s="430"/>
      <c r="H281" s="430"/>
      <c r="I281" s="504"/>
      <c r="J281" s="3"/>
      <c r="K281" s="372"/>
      <c r="L281" s="501"/>
      <c r="M281" s="372"/>
      <c r="N281" s="501"/>
      <c r="O281" s="430"/>
      <c r="P281" s="430"/>
      <c r="Q281" s="504"/>
      <c r="R281" s="2"/>
      <c r="S281" s="425"/>
      <c r="T281" s="425"/>
      <c r="U281" s="345"/>
      <c r="V281" s="345"/>
    </row>
    <row r="282" spans="1:22" s="226" customFormat="1" ht="27.75" customHeight="1">
      <c r="A282" s="6"/>
      <c r="B282" s="500"/>
      <c r="D282" s="501"/>
      <c r="E282" s="502"/>
      <c r="F282" s="503"/>
      <c r="G282" s="430"/>
      <c r="H282" s="430"/>
      <c r="J282" s="3"/>
      <c r="K282" s="372"/>
      <c r="L282" s="501"/>
      <c r="M282" s="372"/>
      <c r="N282" s="501"/>
      <c r="O282" s="430"/>
      <c r="P282" s="430"/>
      <c r="Q282" s="504"/>
      <c r="R282" s="2"/>
      <c r="S282" s="425"/>
      <c r="T282" s="425"/>
      <c r="U282" s="345"/>
      <c r="V282" s="345"/>
    </row>
    <row r="283" spans="1:22" s="226" customFormat="1" ht="27.75" customHeight="1">
      <c r="A283" s="6"/>
      <c r="B283" s="500"/>
      <c r="D283" s="501"/>
      <c r="E283" s="502"/>
      <c r="F283" s="503"/>
      <c r="G283" s="430"/>
      <c r="H283" s="430"/>
      <c r="I283" s="504"/>
      <c r="J283" s="3"/>
      <c r="K283" s="372"/>
      <c r="L283" s="501"/>
      <c r="M283" s="372"/>
      <c r="N283" s="501"/>
      <c r="O283" s="430"/>
      <c r="P283" s="430"/>
      <c r="Q283" s="504"/>
      <c r="R283" s="2"/>
      <c r="S283" s="425"/>
      <c r="T283" s="425"/>
      <c r="U283" s="345"/>
      <c r="V283" s="345"/>
    </row>
    <row r="284" spans="1:22" s="226" customFormat="1" ht="27.75" customHeight="1">
      <c r="A284" s="6"/>
      <c r="B284" s="500"/>
      <c r="D284" s="501"/>
      <c r="E284" s="502"/>
      <c r="F284" s="503"/>
      <c r="G284" s="430"/>
      <c r="H284" s="430"/>
      <c r="I284" s="504"/>
      <c r="J284" s="3"/>
      <c r="K284" s="372"/>
      <c r="L284" s="501"/>
      <c r="M284" s="372"/>
      <c r="N284" s="501"/>
      <c r="O284" s="430"/>
      <c r="P284" s="430"/>
      <c r="Q284" s="504"/>
      <c r="R284" s="2"/>
      <c r="S284" s="425"/>
      <c r="T284" s="425"/>
      <c r="U284" s="345"/>
      <c r="V284" s="345"/>
    </row>
    <row r="285" spans="1:22" s="226" customFormat="1" ht="27.75" customHeight="1">
      <c r="A285" s="6"/>
      <c r="B285" s="500"/>
      <c r="D285" s="501"/>
      <c r="E285" s="502"/>
      <c r="F285" s="503"/>
      <c r="G285" s="430"/>
      <c r="H285" s="430"/>
      <c r="I285" s="504"/>
      <c r="J285" s="3"/>
      <c r="K285" s="372"/>
      <c r="L285" s="501"/>
      <c r="M285" s="372"/>
      <c r="N285" s="501"/>
      <c r="O285" s="430"/>
      <c r="P285" s="430"/>
      <c r="Q285" s="504"/>
      <c r="R285" s="2"/>
      <c r="S285" s="425"/>
      <c r="T285" s="425"/>
      <c r="U285" s="345"/>
      <c r="V285" s="345"/>
    </row>
    <row r="286" spans="1:22" s="226" customFormat="1" ht="27.75" customHeight="1">
      <c r="A286" s="6"/>
      <c r="B286" s="500"/>
      <c r="D286" s="501"/>
      <c r="E286" s="502"/>
      <c r="F286" s="503"/>
      <c r="G286" s="430"/>
      <c r="H286" s="430"/>
      <c r="I286" s="504"/>
      <c r="J286" s="3"/>
      <c r="K286" s="372"/>
      <c r="L286" s="501"/>
      <c r="M286" s="372"/>
      <c r="N286" s="501"/>
      <c r="O286" s="430"/>
      <c r="P286" s="430"/>
      <c r="Q286" s="504"/>
      <c r="R286" s="2"/>
      <c r="S286" s="425"/>
      <c r="T286" s="425"/>
      <c r="U286" s="345"/>
      <c r="V286" s="345"/>
    </row>
    <row r="287" spans="1:22" s="226" customFormat="1" ht="27.75" customHeight="1">
      <c r="A287" s="6"/>
      <c r="D287" s="501"/>
      <c r="E287" s="502"/>
      <c r="F287" s="503"/>
      <c r="G287" s="430"/>
      <c r="H287" s="430"/>
      <c r="I287" s="504"/>
      <c r="J287" s="3"/>
      <c r="K287" s="372"/>
      <c r="L287" s="501"/>
      <c r="M287" s="372"/>
      <c r="N287" s="501"/>
      <c r="O287" s="430"/>
      <c r="P287" s="430"/>
      <c r="Q287" s="504"/>
      <c r="R287" s="2"/>
      <c r="S287" s="425"/>
      <c r="T287" s="425"/>
      <c r="U287" s="345"/>
      <c r="V287" s="345"/>
    </row>
    <row r="288" spans="1:22" ht="27.75" customHeight="1">
      <c r="B288" s="4"/>
      <c r="D288" s="4"/>
      <c r="E288" s="505"/>
      <c r="G288" s="504"/>
      <c r="H288" s="504"/>
      <c r="L288" s="4"/>
      <c r="N288" s="4"/>
      <c r="O288" s="507"/>
      <c r="P288" s="507"/>
      <c r="U288" s="4"/>
      <c r="V288" s="4"/>
    </row>
    <row r="289" spans="2:22" ht="27.75" customHeight="1">
      <c r="B289" s="4"/>
      <c r="D289" s="4"/>
      <c r="E289" s="505"/>
      <c r="G289" s="504"/>
      <c r="H289" s="504"/>
      <c r="L289" s="4"/>
      <c r="N289" s="4"/>
      <c r="O289" s="507"/>
      <c r="P289" s="507"/>
      <c r="U289" s="4"/>
      <c r="V289" s="4"/>
    </row>
    <row r="290" spans="2:22" ht="27.75" customHeight="1">
      <c r="B290" s="4"/>
      <c r="D290" s="4"/>
      <c r="E290" s="505"/>
      <c r="G290" s="504"/>
      <c r="H290" s="504"/>
      <c r="I290" s="509"/>
      <c r="L290" s="4"/>
      <c r="N290" s="4"/>
      <c r="O290" s="507"/>
      <c r="P290" s="507"/>
      <c r="U290" s="4"/>
      <c r="V290" s="4"/>
    </row>
    <row r="291" spans="2:22" ht="27.75" customHeight="1">
      <c r="B291" s="4"/>
      <c r="D291" s="4"/>
      <c r="E291" s="505"/>
      <c r="G291" s="504"/>
      <c r="H291" s="504"/>
      <c r="L291" s="4"/>
      <c r="N291" s="4"/>
      <c r="O291" s="507"/>
      <c r="P291" s="507"/>
      <c r="U291" s="4"/>
      <c r="V291" s="4"/>
    </row>
    <row r="292" spans="2:22" ht="27.75" customHeight="1">
      <c r="B292" s="4"/>
      <c r="D292" s="4"/>
      <c r="E292" s="505"/>
      <c r="G292" s="504"/>
      <c r="H292" s="504"/>
      <c r="L292" s="4"/>
      <c r="N292" s="4"/>
      <c r="O292" s="507"/>
      <c r="P292" s="507"/>
      <c r="U292" s="4"/>
      <c r="V292" s="4"/>
    </row>
    <row r="293" spans="2:22" ht="27.75" customHeight="1">
      <c r="B293" s="4"/>
      <c r="D293" s="4"/>
      <c r="E293" s="505"/>
      <c r="G293" s="504"/>
      <c r="H293" s="504"/>
      <c r="L293" s="4"/>
      <c r="N293" s="4"/>
      <c r="O293" s="507"/>
      <c r="P293" s="507"/>
      <c r="U293" s="4"/>
      <c r="V293" s="4"/>
    </row>
    <row r="294" spans="2:22" ht="27.75" customHeight="1">
      <c r="B294" s="4"/>
      <c r="D294" s="4"/>
      <c r="E294" s="505"/>
      <c r="G294" s="504"/>
      <c r="H294" s="504"/>
      <c r="L294" s="4"/>
      <c r="N294" s="4"/>
      <c r="O294" s="507"/>
      <c r="P294" s="507"/>
      <c r="U294" s="4"/>
      <c r="V294" s="4"/>
    </row>
    <row r="295" spans="2:22" ht="27.75" customHeight="1">
      <c r="B295" s="4"/>
      <c r="D295" s="4"/>
      <c r="E295" s="505"/>
      <c r="G295" s="504"/>
      <c r="H295" s="504"/>
      <c r="L295" s="4"/>
      <c r="N295" s="4"/>
      <c r="O295" s="507"/>
      <c r="P295" s="507"/>
      <c r="U295" s="4"/>
      <c r="V295" s="4"/>
    </row>
    <row r="296" spans="2:22" ht="27.75" customHeight="1">
      <c r="B296" s="4"/>
      <c r="D296" s="4"/>
      <c r="E296" s="505"/>
      <c r="G296" s="504"/>
      <c r="H296" s="504"/>
      <c r="L296" s="4"/>
      <c r="N296" s="4"/>
      <c r="O296" s="507"/>
      <c r="P296" s="507"/>
      <c r="U296" s="4"/>
      <c r="V296" s="4"/>
    </row>
    <row r="297" spans="2:22" ht="27.75" customHeight="1">
      <c r="B297" s="4"/>
      <c r="D297" s="4"/>
      <c r="E297" s="505"/>
      <c r="G297" s="504"/>
      <c r="H297" s="504"/>
      <c r="L297" s="4"/>
      <c r="N297" s="4"/>
      <c r="O297" s="507"/>
      <c r="P297" s="507"/>
      <c r="U297" s="4"/>
      <c r="V297" s="4"/>
    </row>
    <row r="298" spans="2:22" ht="27.75" customHeight="1">
      <c r="B298" s="4"/>
      <c r="D298" s="4"/>
      <c r="E298" s="505"/>
      <c r="G298" s="504"/>
      <c r="H298" s="504"/>
      <c r="L298" s="4"/>
      <c r="N298" s="4"/>
      <c r="O298" s="507"/>
      <c r="P298" s="507"/>
      <c r="U298" s="4"/>
      <c r="V298" s="4"/>
    </row>
    <row r="299" spans="2:22" ht="27.75" customHeight="1">
      <c r="B299" s="4"/>
      <c r="D299" s="4"/>
      <c r="E299" s="505"/>
      <c r="G299" s="504"/>
      <c r="H299" s="504"/>
      <c r="L299" s="4"/>
      <c r="N299" s="4"/>
      <c r="O299" s="507"/>
      <c r="P299" s="507"/>
      <c r="U299" s="4"/>
      <c r="V299" s="4"/>
    </row>
    <row r="300" spans="2:22" ht="27.75" customHeight="1">
      <c r="B300" s="4"/>
      <c r="D300" s="4"/>
      <c r="E300" s="505"/>
      <c r="G300" s="504"/>
      <c r="H300" s="504"/>
      <c r="L300" s="4"/>
      <c r="N300" s="4"/>
      <c r="O300" s="507"/>
      <c r="P300" s="507"/>
      <c r="U300" s="4"/>
      <c r="V300" s="4"/>
    </row>
    <row r="301" spans="2:22" ht="27.75" customHeight="1">
      <c r="B301" s="4"/>
      <c r="D301" s="4"/>
      <c r="E301" s="505"/>
      <c r="G301" s="504"/>
      <c r="H301" s="504"/>
      <c r="L301" s="4"/>
      <c r="N301" s="4"/>
      <c r="O301" s="507"/>
      <c r="P301" s="507"/>
      <c r="U301" s="4"/>
      <c r="V301" s="4"/>
    </row>
    <row r="302" spans="2:22" ht="27.75" customHeight="1">
      <c r="B302" s="4"/>
      <c r="D302" s="4"/>
      <c r="E302" s="505"/>
      <c r="G302" s="504"/>
      <c r="H302" s="504"/>
      <c r="L302" s="4"/>
      <c r="N302" s="4"/>
      <c r="O302" s="507"/>
      <c r="P302" s="507"/>
      <c r="U302" s="4"/>
      <c r="V302" s="4"/>
    </row>
    <row r="303" spans="2:22" ht="27.75" customHeight="1">
      <c r="B303" s="4"/>
      <c r="D303" s="4"/>
      <c r="E303" s="505"/>
      <c r="G303" s="504"/>
      <c r="H303" s="504"/>
      <c r="L303" s="4"/>
      <c r="N303" s="4"/>
      <c r="O303" s="507"/>
      <c r="P303" s="507"/>
      <c r="U303" s="4"/>
      <c r="V303" s="4"/>
    </row>
    <row r="315" spans="2:22" ht="27.75" customHeight="1">
      <c r="B315" s="4"/>
      <c r="D315" s="4"/>
      <c r="E315" s="505"/>
      <c r="G315" s="504"/>
      <c r="H315" s="504"/>
      <c r="L315" s="4"/>
      <c r="N315" s="4"/>
      <c r="O315" s="507"/>
      <c r="P315" s="507"/>
      <c r="R315" s="4"/>
      <c r="S315" s="4"/>
      <c r="T315" s="4"/>
      <c r="U315" s="4"/>
      <c r="V315" s="4"/>
    </row>
    <row r="316" spans="2:22" ht="27.75" customHeight="1">
      <c r="B316" s="4"/>
      <c r="D316" s="4"/>
      <c r="E316" s="505"/>
      <c r="G316" s="504"/>
      <c r="H316" s="504"/>
      <c r="L316" s="4"/>
      <c r="N316" s="4"/>
      <c r="O316" s="507"/>
      <c r="P316" s="507"/>
      <c r="R316" s="4"/>
      <c r="S316" s="4"/>
      <c r="T316" s="4"/>
      <c r="U316" s="4"/>
      <c r="V316" s="4"/>
    </row>
    <row r="317" spans="2:22" ht="27.75" customHeight="1">
      <c r="B317" s="4"/>
      <c r="D317" s="4"/>
      <c r="E317" s="505"/>
      <c r="G317" s="504"/>
      <c r="H317" s="504"/>
      <c r="L317" s="4"/>
      <c r="N317" s="4"/>
      <c r="O317" s="507"/>
      <c r="P317" s="507"/>
      <c r="R317" s="4"/>
      <c r="S317" s="4"/>
      <c r="T317" s="4"/>
      <c r="U317" s="4"/>
      <c r="V317" s="4"/>
    </row>
    <row r="318" spans="2:22" ht="27.75" customHeight="1">
      <c r="B318" s="4"/>
      <c r="D318" s="4"/>
      <c r="E318" s="505"/>
      <c r="G318" s="504"/>
      <c r="H318" s="504"/>
      <c r="L318" s="4"/>
      <c r="N318" s="4"/>
      <c r="O318" s="507"/>
      <c r="P318" s="507"/>
      <c r="R318" s="4"/>
      <c r="S318" s="4"/>
      <c r="T318" s="4"/>
      <c r="U318" s="4"/>
      <c r="V318" s="4"/>
    </row>
    <row r="319" spans="2:22" ht="27.75" customHeight="1">
      <c r="B319" s="4"/>
      <c r="D319" s="4"/>
      <c r="E319" s="505"/>
      <c r="G319" s="504"/>
      <c r="H319" s="504"/>
      <c r="L319" s="4"/>
      <c r="N319" s="4"/>
      <c r="O319" s="507"/>
      <c r="P319" s="507"/>
      <c r="R319" s="4"/>
      <c r="S319" s="4"/>
      <c r="T319" s="4"/>
      <c r="U319" s="4"/>
      <c r="V319" s="4"/>
    </row>
    <row r="320" spans="2:22" ht="27.75" customHeight="1">
      <c r="B320" s="4"/>
      <c r="D320" s="4"/>
      <c r="E320" s="505"/>
      <c r="G320" s="504"/>
      <c r="H320" s="504"/>
      <c r="L320" s="4"/>
      <c r="N320" s="4"/>
      <c r="O320" s="507"/>
      <c r="P320" s="507"/>
      <c r="R320" s="4"/>
      <c r="S320" s="4"/>
      <c r="T320" s="4"/>
      <c r="U320" s="4"/>
      <c r="V320" s="4"/>
    </row>
    <row r="321" spans="2:22" ht="27.75" customHeight="1">
      <c r="B321" s="4"/>
      <c r="D321" s="4"/>
      <c r="E321" s="505"/>
      <c r="G321" s="504"/>
      <c r="H321" s="504"/>
      <c r="L321" s="4"/>
      <c r="N321" s="4"/>
      <c r="O321" s="507"/>
      <c r="P321" s="507"/>
      <c r="R321" s="4"/>
      <c r="S321" s="4"/>
      <c r="T321" s="4"/>
      <c r="U321" s="4"/>
      <c r="V321" s="4"/>
    </row>
    <row r="322" spans="2:22" ht="27.75" customHeight="1">
      <c r="B322" s="4"/>
      <c r="D322" s="4"/>
      <c r="E322" s="505"/>
      <c r="G322" s="504"/>
      <c r="H322" s="504"/>
      <c r="L322" s="4"/>
      <c r="N322" s="4"/>
      <c r="O322" s="507"/>
      <c r="P322" s="507"/>
      <c r="R322" s="4"/>
      <c r="S322" s="4"/>
      <c r="T322" s="4"/>
      <c r="U322" s="4"/>
      <c r="V322" s="4"/>
    </row>
    <row r="323" spans="2:22" ht="27.75" customHeight="1">
      <c r="B323" s="4"/>
      <c r="D323" s="4"/>
      <c r="E323" s="505"/>
      <c r="G323" s="504"/>
      <c r="H323" s="504"/>
      <c r="L323" s="4"/>
      <c r="N323" s="4"/>
      <c r="O323" s="507"/>
      <c r="P323" s="507"/>
      <c r="R323" s="4"/>
      <c r="S323" s="4"/>
      <c r="T323" s="4"/>
      <c r="U323" s="4"/>
      <c r="V323" s="4"/>
    </row>
    <row r="324" spans="2:22" ht="27.75" customHeight="1">
      <c r="B324" s="4"/>
      <c r="D324" s="4"/>
      <c r="E324" s="505"/>
      <c r="G324" s="504"/>
      <c r="H324" s="504"/>
      <c r="L324" s="4"/>
      <c r="N324" s="4"/>
      <c r="O324" s="507"/>
      <c r="P324" s="507"/>
      <c r="R324" s="4"/>
      <c r="S324" s="4"/>
      <c r="T324" s="4"/>
      <c r="U324" s="4"/>
      <c r="V324" s="4"/>
    </row>
    <row r="325" spans="2:22" ht="27.75" customHeight="1">
      <c r="B325" s="4"/>
      <c r="D325" s="4"/>
      <c r="E325" s="505"/>
      <c r="G325" s="504"/>
      <c r="H325" s="504"/>
      <c r="L325" s="4"/>
      <c r="N325" s="4"/>
      <c r="O325" s="507"/>
      <c r="P325" s="507"/>
      <c r="R325" s="4"/>
      <c r="S325" s="4"/>
      <c r="T325" s="4"/>
      <c r="U325" s="4"/>
      <c r="V325" s="4"/>
    </row>
    <row r="326" spans="2:22" ht="27.75" customHeight="1">
      <c r="B326" s="4"/>
      <c r="D326" s="4"/>
      <c r="E326" s="505"/>
      <c r="G326" s="504"/>
      <c r="H326" s="504"/>
      <c r="L326" s="4"/>
      <c r="N326" s="4"/>
      <c r="O326" s="507"/>
      <c r="P326" s="507"/>
      <c r="R326" s="4"/>
      <c r="S326" s="4"/>
      <c r="T326" s="4"/>
      <c r="U326" s="4"/>
      <c r="V326" s="4"/>
    </row>
    <row r="327" spans="2:22" ht="27.75" customHeight="1">
      <c r="B327" s="4"/>
      <c r="D327" s="4"/>
      <c r="E327" s="505"/>
      <c r="G327" s="504"/>
      <c r="H327" s="504"/>
      <c r="L327" s="4"/>
      <c r="N327" s="4"/>
      <c r="O327" s="507"/>
      <c r="P327" s="507"/>
      <c r="R327" s="4"/>
      <c r="S327" s="4"/>
      <c r="T327" s="4"/>
      <c r="U327" s="4"/>
      <c r="V327" s="4"/>
    </row>
  </sheetData>
  <mergeCells count="28">
    <mergeCell ref="A1:Q1"/>
    <mergeCell ref="A2:Q2"/>
    <mergeCell ref="A3:Q3"/>
    <mergeCell ref="E4:I4"/>
    <mergeCell ref="M4:Q4"/>
    <mergeCell ref="S4:S6"/>
    <mergeCell ref="T4:T6"/>
    <mergeCell ref="U4:U6"/>
    <mergeCell ref="V4:V6"/>
    <mergeCell ref="A5:A6"/>
    <mergeCell ref="B5:B6"/>
    <mergeCell ref="C5:C6"/>
    <mergeCell ref="D5:D6"/>
    <mergeCell ref="E5:E6"/>
    <mergeCell ref="F5:F6"/>
    <mergeCell ref="R4:R6"/>
    <mergeCell ref="G5:I5"/>
    <mergeCell ref="K5:K6"/>
    <mergeCell ref="L5:L6"/>
    <mergeCell ref="M5:M6"/>
    <mergeCell ref="A274:R274"/>
    <mergeCell ref="A275:R275"/>
    <mergeCell ref="N5:N6"/>
    <mergeCell ref="O5:Q5"/>
    <mergeCell ref="B255:D255"/>
    <mergeCell ref="B259:D259"/>
    <mergeCell ref="B262:D262"/>
    <mergeCell ref="A273:R27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B128-BD1A-4B3B-9853-6E3F2ACE065E}">
  <sheetPr>
    <tabColor rgb="FF92D050"/>
  </sheetPr>
  <dimension ref="A1:I243"/>
  <sheetViews>
    <sheetView zoomScale="70" zoomScaleNormal="70" workbookViewId="0">
      <pane ySplit="6" topLeftCell="A182" activePane="bottomLeft" state="frozen"/>
      <selection pane="bottomLeft" activeCell="F196" sqref="F196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1.6640625" style="3" customWidth="1"/>
    <col min="5" max="5" width="24.5546875" style="372" customWidth="1"/>
    <col min="6" max="6" width="22.109375" style="512" customWidth="1"/>
    <col min="7" max="7" width="8.88671875" style="4"/>
    <col min="8" max="8" width="26.77734375" style="4" customWidth="1"/>
    <col min="9" max="9" width="22" style="4" customWidth="1"/>
    <col min="10" max="16384" width="8.88671875" style="4"/>
  </cols>
  <sheetData>
    <row r="1" spans="1:6" ht="28.5" customHeight="1">
      <c r="A1" s="653" t="s">
        <v>0</v>
      </c>
      <c r="B1" s="653"/>
      <c r="C1" s="653"/>
      <c r="D1" s="653"/>
      <c r="E1" s="653"/>
      <c r="F1" s="653"/>
    </row>
    <row r="2" spans="1:6" ht="23.25" customHeight="1">
      <c r="A2" s="653" t="s">
        <v>1</v>
      </c>
      <c r="B2" s="653"/>
      <c r="C2" s="653"/>
      <c r="D2" s="653"/>
      <c r="E2" s="653"/>
      <c r="F2" s="653"/>
    </row>
    <row r="3" spans="1:6" ht="28.5" customHeight="1">
      <c r="A3" s="654" t="s">
        <v>1270</v>
      </c>
      <c r="B3" s="654"/>
      <c r="C3" s="654"/>
      <c r="D3" s="654"/>
      <c r="E3" s="654"/>
      <c r="F3" s="654"/>
    </row>
    <row r="4" spans="1:6" ht="27.75" customHeight="1">
      <c r="A4" s="7"/>
      <c r="B4" s="8"/>
      <c r="C4" s="9"/>
      <c r="D4" s="11"/>
      <c r="E4" s="12" t="s">
        <v>4</v>
      </c>
      <c r="F4" s="13"/>
    </row>
    <row r="5" spans="1:6" ht="27.75" customHeight="1">
      <c r="A5" s="664" t="s">
        <v>11</v>
      </c>
      <c r="B5" s="666" t="s">
        <v>12</v>
      </c>
      <c r="C5" s="666" t="s">
        <v>13</v>
      </c>
      <c r="D5" s="14" t="s">
        <v>18</v>
      </c>
      <c r="E5" s="691" t="s">
        <v>19</v>
      </c>
      <c r="F5" s="693" t="s">
        <v>20</v>
      </c>
    </row>
    <row r="6" spans="1:6" ht="27.75" customHeight="1" thickBot="1">
      <c r="A6" s="665"/>
      <c r="B6" s="667"/>
      <c r="C6" s="667"/>
      <c r="D6" s="18"/>
      <c r="E6" s="692"/>
      <c r="F6" s="694"/>
    </row>
    <row r="7" spans="1:6" ht="27.75" customHeight="1" thickTop="1">
      <c r="A7" s="22"/>
      <c r="B7" s="23" t="s">
        <v>23</v>
      </c>
      <c r="C7" s="24"/>
      <c r="D7" s="29"/>
      <c r="E7" s="30"/>
      <c r="F7" s="31"/>
    </row>
    <row r="8" spans="1:6" s="57" customFormat="1" ht="27.75" customHeight="1">
      <c r="A8" s="39">
        <v>1</v>
      </c>
      <c r="B8" s="40" t="s">
        <v>24</v>
      </c>
      <c r="C8" s="41" t="s">
        <v>25</v>
      </c>
      <c r="D8" s="48">
        <v>46146</v>
      </c>
      <c r="E8" s="49" t="s">
        <v>1271</v>
      </c>
      <c r="F8" s="50">
        <v>4012.5</v>
      </c>
    </row>
    <row r="9" spans="1:6" s="57" customFormat="1" ht="27.75" customHeight="1">
      <c r="A9" s="39">
        <v>2</v>
      </c>
      <c r="B9" s="40" t="s">
        <v>24</v>
      </c>
      <c r="C9" s="41" t="s">
        <v>33</v>
      </c>
      <c r="D9" s="48">
        <v>46146</v>
      </c>
      <c r="E9" s="49" t="s">
        <v>1271</v>
      </c>
      <c r="F9" s="50">
        <v>4012.5</v>
      </c>
    </row>
    <row r="10" spans="1:6" s="57" customFormat="1" ht="27.75" customHeight="1">
      <c r="A10" s="39">
        <v>3</v>
      </c>
      <c r="B10" s="40" t="s">
        <v>36</v>
      </c>
      <c r="C10" s="41" t="s">
        <v>37</v>
      </c>
      <c r="D10" s="48">
        <v>46147</v>
      </c>
      <c r="E10" s="49" t="s">
        <v>1272</v>
      </c>
      <c r="F10" s="50">
        <v>4012.5</v>
      </c>
    </row>
    <row r="11" spans="1:6" s="57" customFormat="1" ht="27.75" customHeight="1">
      <c r="A11" s="39">
        <v>4</v>
      </c>
      <c r="B11" s="40" t="s">
        <v>43</v>
      </c>
      <c r="C11" s="41" t="s">
        <v>44</v>
      </c>
      <c r="D11" s="48">
        <v>46144</v>
      </c>
      <c r="E11" s="49" t="s">
        <v>1273</v>
      </c>
      <c r="F11" s="50">
        <v>4012.5</v>
      </c>
    </row>
    <row r="12" spans="1:6" s="57" customFormat="1" ht="27.75" customHeight="1">
      <c r="A12" s="39">
        <v>5</v>
      </c>
      <c r="B12" s="40" t="s">
        <v>47</v>
      </c>
      <c r="C12" s="41" t="s">
        <v>48</v>
      </c>
      <c r="D12" s="48">
        <v>46144</v>
      </c>
      <c r="E12" s="49" t="s">
        <v>1274</v>
      </c>
      <c r="F12" s="50">
        <v>4012.5</v>
      </c>
    </row>
    <row r="13" spans="1:6" s="57" customFormat="1" ht="27.75" customHeight="1">
      <c r="A13" s="39">
        <v>6</v>
      </c>
      <c r="B13" s="40" t="s">
        <v>50</v>
      </c>
      <c r="C13" s="41" t="s">
        <v>51</v>
      </c>
      <c r="D13" s="48">
        <v>46147</v>
      </c>
      <c r="E13" s="49" t="s">
        <v>1275</v>
      </c>
      <c r="F13" s="50">
        <v>4012.5</v>
      </c>
    </row>
    <row r="14" spans="1:6" s="57" customFormat="1" ht="27.75" customHeight="1">
      <c r="A14" s="39">
        <v>7</v>
      </c>
      <c r="B14" s="40" t="s">
        <v>53</v>
      </c>
      <c r="C14" s="41" t="s">
        <v>54</v>
      </c>
      <c r="D14" s="48" t="s">
        <v>1276</v>
      </c>
      <c r="E14" s="59" t="s">
        <v>1277</v>
      </c>
      <c r="F14" s="50">
        <v>8025</v>
      </c>
    </row>
    <row r="15" spans="1:6" s="57" customFormat="1" ht="27.75" customHeight="1">
      <c r="A15" s="39">
        <v>8</v>
      </c>
      <c r="B15" s="40" t="s">
        <v>57</v>
      </c>
      <c r="C15" s="41" t="s">
        <v>58</v>
      </c>
      <c r="D15" s="48">
        <v>46143</v>
      </c>
      <c r="E15" s="49" t="s">
        <v>1279</v>
      </c>
      <c r="F15" s="50">
        <v>4012.5</v>
      </c>
    </row>
    <row r="16" spans="1:6" s="57" customFormat="1" ht="27.75" customHeight="1">
      <c r="A16" s="39">
        <v>9</v>
      </c>
      <c r="B16" s="40" t="s">
        <v>60</v>
      </c>
      <c r="C16" s="41" t="s">
        <v>61</v>
      </c>
      <c r="D16" s="48">
        <v>46147</v>
      </c>
      <c r="E16" s="49" t="s">
        <v>1280</v>
      </c>
      <c r="F16" s="50">
        <v>4012.5</v>
      </c>
    </row>
    <row r="17" spans="1:8" s="57" customFormat="1" ht="27.75" customHeight="1">
      <c r="A17" s="39">
        <v>10</v>
      </c>
      <c r="B17" s="40" t="s">
        <v>63</v>
      </c>
      <c r="C17" s="41" t="s">
        <v>64</v>
      </c>
      <c r="D17" s="48">
        <v>46147</v>
      </c>
      <c r="E17" s="49" t="s">
        <v>1281</v>
      </c>
      <c r="F17" s="50">
        <v>4012.5</v>
      </c>
    </row>
    <row r="18" spans="1:8" s="57" customFormat="1" ht="27.75" customHeight="1">
      <c r="A18" s="39">
        <v>11</v>
      </c>
      <c r="B18" s="40" t="s">
        <v>66</v>
      </c>
      <c r="C18" s="41" t="s">
        <v>67</v>
      </c>
      <c r="D18" s="62">
        <v>46172</v>
      </c>
      <c r="E18" s="49" t="s">
        <v>1282</v>
      </c>
      <c r="F18" s="50">
        <v>12037.5</v>
      </c>
    </row>
    <row r="19" spans="1:8" s="57" customFormat="1" ht="27.75" customHeight="1">
      <c r="A19" s="39">
        <v>12</v>
      </c>
      <c r="B19" s="40" t="s">
        <v>66</v>
      </c>
      <c r="C19" s="41" t="s">
        <v>69</v>
      </c>
      <c r="D19" s="62">
        <v>46172</v>
      </c>
      <c r="E19" s="49" t="s">
        <v>1283</v>
      </c>
      <c r="F19" s="50">
        <v>4012.5</v>
      </c>
    </row>
    <row r="20" spans="1:8" s="91" customFormat="1" ht="27.75" customHeight="1">
      <c r="A20" s="39">
        <v>13</v>
      </c>
      <c r="B20" s="80" t="s">
        <v>71</v>
      </c>
      <c r="C20" s="81" t="s">
        <v>72</v>
      </c>
      <c r="D20" s="48">
        <v>46167</v>
      </c>
      <c r="E20" s="49" t="s">
        <v>1284</v>
      </c>
      <c r="F20" s="86">
        <v>13375</v>
      </c>
    </row>
    <row r="21" spans="1:8" s="57" customFormat="1" ht="27.75" customHeight="1">
      <c r="A21" s="39">
        <v>14</v>
      </c>
      <c r="B21" s="92" t="s">
        <v>76</v>
      </c>
      <c r="C21" s="41" t="s">
        <v>72</v>
      </c>
      <c r="D21" s="62">
        <v>46148</v>
      </c>
      <c r="E21" s="49" t="s">
        <v>1286</v>
      </c>
      <c r="F21" s="93">
        <v>1605</v>
      </c>
    </row>
    <row r="22" spans="1:8" ht="27.75" customHeight="1">
      <c r="A22" s="39">
        <v>15</v>
      </c>
      <c r="B22" s="40" t="s">
        <v>82</v>
      </c>
      <c r="C22" s="41" t="s">
        <v>72</v>
      </c>
      <c r="D22" s="113">
        <v>46143</v>
      </c>
      <c r="E22" s="114" t="s">
        <v>1288</v>
      </c>
      <c r="F22" s="115">
        <v>479.36</v>
      </c>
    </row>
    <row r="23" spans="1:8" ht="27.75" customHeight="1">
      <c r="A23" s="39">
        <v>16</v>
      </c>
      <c r="B23" s="40" t="s">
        <v>85</v>
      </c>
      <c r="C23" s="41" t="s">
        <v>72</v>
      </c>
      <c r="D23" s="117">
        <v>46149</v>
      </c>
      <c r="E23" s="118" t="s">
        <v>1289</v>
      </c>
      <c r="F23" s="119">
        <v>10000</v>
      </c>
    </row>
    <row r="24" spans="1:8" s="57" customFormat="1" ht="27.75" customHeight="1" thickBot="1">
      <c r="A24" s="96"/>
      <c r="B24" s="97" t="s">
        <v>22</v>
      </c>
      <c r="C24" s="98"/>
      <c r="D24" s="103"/>
      <c r="E24" s="104"/>
      <c r="F24" s="105">
        <f>SUM(F8:F23)</f>
        <v>85646.86</v>
      </c>
      <c r="H24" s="57">
        <f>SUM(F8:F23)</f>
        <v>85646.86</v>
      </c>
    </row>
    <row r="25" spans="1:8" ht="27.75" hidden="1" customHeight="1" thickBot="1">
      <c r="A25" s="39">
        <v>1</v>
      </c>
      <c r="B25" s="40" t="s">
        <v>88</v>
      </c>
      <c r="C25" s="41" t="s">
        <v>72</v>
      </c>
      <c r="D25" s="113"/>
      <c r="E25" s="118"/>
      <c r="F25" s="121">
        <v>0</v>
      </c>
    </row>
    <row r="26" spans="1:8" ht="27.75" hidden="1" customHeight="1" thickTop="1">
      <c r="A26" s="39">
        <v>2</v>
      </c>
      <c r="B26" s="40" t="s">
        <v>89</v>
      </c>
      <c r="C26" s="41" t="s">
        <v>72</v>
      </c>
      <c r="D26" s="113"/>
      <c r="E26" s="118"/>
      <c r="F26" s="121">
        <v>0</v>
      </c>
    </row>
    <row r="27" spans="1:8" ht="27.75" hidden="1" customHeight="1" thickTop="1">
      <c r="A27" s="39">
        <v>3</v>
      </c>
      <c r="B27" s="40" t="s">
        <v>90</v>
      </c>
      <c r="C27" s="41" t="s">
        <v>72</v>
      </c>
      <c r="D27" s="113"/>
      <c r="E27" s="118"/>
      <c r="F27" s="121"/>
    </row>
    <row r="28" spans="1:8" ht="27.75" hidden="1" customHeight="1" thickTop="1">
      <c r="A28" s="39">
        <v>4</v>
      </c>
      <c r="B28" s="40" t="s">
        <v>91</v>
      </c>
      <c r="C28" s="41" t="s">
        <v>72</v>
      </c>
      <c r="D28" s="113"/>
      <c r="E28" s="118"/>
      <c r="F28" s="121">
        <v>0</v>
      </c>
    </row>
    <row r="29" spans="1:8" ht="27.75" hidden="1" customHeight="1" thickTop="1">
      <c r="A29" s="39">
        <v>5</v>
      </c>
      <c r="B29" s="40" t="s">
        <v>92</v>
      </c>
      <c r="C29" s="41" t="s">
        <v>72</v>
      </c>
      <c r="D29" s="117"/>
      <c r="E29" s="118"/>
      <c r="F29" s="119">
        <v>0</v>
      </c>
    </row>
    <row r="30" spans="1:8" ht="27.75" hidden="1" customHeight="1" thickTop="1">
      <c r="A30" s="39">
        <v>6</v>
      </c>
      <c r="B30" s="123" t="s">
        <v>93</v>
      </c>
      <c r="C30" s="41" t="s">
        <v>72</v>
      </c>
      <c r="D30" s="127"/>
      <c r="E30" s="128"/>
      <c r="F30" s="129">
        <v>0</v>
      </c>
    </row>
    <row r="31" spans="1:8" ht="27.75" hidden="1" customHeight="1" thickTop="1">
      <c r="A31" s="39">
        <v>7</v>
      </c>
      <c r="B31" s="40" t="s">
        <v>94</v>
      </c>
      <c r="C31" s="41" t="s">
        <v>72</v>
      </c>
      <c r="D31" s="117"/>
      <c r="E31" s="118"/>
      <c r="F31" s="119">
        <v>0</v>
      </c>
    </row>
    <row r="32" spans="1:8" ht="27.75" hidden="1" customHeight="1" thickTop="1">
      <c r="A32" s="39">
        <v>8</v>
      </c>
      <c r="B32" s="40" t="s">
        <v>95</v>
      </c>
      <c r="C32" s="41" t="s">
        <v>72</v>
      </c>
      <c r="D32" s="117"/>
      <c r="E32" s="118"/>
      <c r="F32" s="119">
        <v>0</v>
      </c>
    </row>
    <row r="33" spans="1:6" ht="27.75" hidden="1" customHeight="1" thickTop="1">
      <c r="A33" s="39">
        <v>9</v>
      </c>
      <c r="B33" s="40" t="s">
        <v>96</v>
      </c>
      <c r="C33" s="41" t="s">
        <v>72</v>
      </c>
      <c r="D33" s="117"/>
      <c r="E33" s="118"/>
      <c r="F33" s="119">
        <v>0</v>
      </c>
    </row>
    <row r="34" spans="1:6" ht="27.75" hidden="1" customHeight="1" thickTop="1">
      <c r="A34" s="39">
        <v>10</v>
      </c>
      <c r="B34" s="40" t="s">
        <v>97</v>
      </c>
      <c r="C34" s="41" t="s">
        <v>72</v>
      </c>
      <c r="D34" s="117"/>
      <c r="E34" s="118"/>
      <c r="F34" s="119">
        <v>0</v>
      </c>
    </row>
    <row r="35" spans="1:6" ht="27.75" hidden="1" customHeight="1" thickTop="1">
      <c r="A35" s="39">
        <v>11</v>
      </c>
      <c r="B35" s="40" t="s">
        <v>98</v>
      </c>
      <c r="C35" s="41" t="s">
        <v>72</v>
      </c>
      <c r="D35" s="117"/>
      <c r="E35" s="118"/>
      <c r="F35" s="119">
        <v>0</v>
      </c>
    </row>
    <row r="36" spans="1:6" ht="27.75" hidden="1" customHeight="1" thickTop="1">
      <c r="A36" s="39">
        <v>12</v>
      </c>
      <c r="B36" s="40" t="s">
        <v>99</v>
      </c>
      <c r="C36" s="41" t="s">
        <v>72</v>
      </c>
      <c r="D36" s="117"/>
      <c r="E36" s="118"/>
      <c r="F36" s="119">
        <v>0</v>
      </c>
    </row>
    <row r="37" spans="1:6" ht="27.75" hidden="1" customHeight="1" thickTop="1">
      <c r="A37" s="39"/>
      <c r="B37" s="123"/>
      <c r="C37" s="41"/>
      <c r="D37" s="127"/>
      <c r="E37" s="128"/>
      <c r="F37" s="129"/>
    </row>
    <row r="38" spans="1:6" ht="27.75" hidden="1" customHeight="1" thickTop="1">
      <c r="A38" s="22"/>
      <c r="B38" s="131" t="s">
        <v>22</v>
      </c>
      <c r="C38" s="132"/>
      <c r="D38" s="137">
        <v>0</v>
      </c>
      <c r="E38" s="137">
        <v>0</v>
      </c>
      <c r="F38" s="138">
        <v>0</v>
      </c>
    </row>
    <row r="39" spans="1:6" ht="27.75" customHeight="1" thickTop="1">
      <c r="A39" s="22"/>
      <c r="B39" s="23" t="s">
        <v>100</v>
      </c>
      <c r="C39" s="24"/>
      <c r="D39" s="29"/>
      <c r="E39" s="30"/>
      <c r="F39" s="31"/>
    </row>
    <row r="40" spans="1:6" s="57" customFormat="1" ht="27.75" customHeight="1">
      <c r="A40" s="22">
        <v>1</v>
      </c>
      <c r="B40" s="150" t="s">
        <v>104</v>
      </c>
      <c r="C40" s="140" t="s">
        <v>102</v>
      </c>
      <c r="D40" s="117">
        <v>46173</v>
      </c>
      <c r="E40" s="118" t="s">
        <v>1290</v>
      </c>
      <c r="F40" s="151">
        <v>321</v>
      </c>
    </row>
    <row r="41" spans="1:6" s="57" customFormat="1" ht="27.75" customHeight="1">
      <c r="A41" s="22">
        <v>2</v>
      </c>
      <c r="B41" s="170" t="s">
        <v>109</v>
      </c>
      <c r="C41" s="140" t="s">
        <v>102</v>
      </c>
      <c r="D41" s="117">
        <v>46147</v>
      </c>
      <c r="E41" s="118" t="s">
        <v>1292</v>
      </c>
      <c r="F41" s="151">
        <v>321</v>
      </c>
    </row>
    <row r="42" spans="1:6" s="57" customFormat="1" ht="27.75" customHeight="1">
      <c r="A42" s="22">
        <v>3</v>
      </c>
      <c r="B42" s="170" t="s">
        <v>111</v>
      </c>
      <c r="C42" s="140" t="s">
        <v>102</v>
      </c>
      <c r="D42" s="117">
        <v>46147</v>
      </c>
      <c r="E42" s="118" t="s">
        <v>1293</v>
      </c>
      <c r="F42" s="151">
        <v>321</v>
      </c>
    </row>
    <row r="43" spans="1:6" s="57" customFormat="1" ht="27.75" customHeight="1">
      <c r="A43" s="22">
        <v>4</v>
      </c>
      <c r="B43" s="170" t="s">
        <v>113</v>
      </c>
      <c r="C43" s="140" t="s">
        <v>102</v>
      </c>
      <c r="D43" s="113">
        <v>46165</v>
      </c>
      <c r="E43" s="114" t="s">
        <v>1294</v>
      </c>
      <c r="F43" s="151">
        <v>160.5</v>
      </c>
    </row>
    <row r="44" spans="1:6" s="57" customFormat="1" ht="27.75" customHeight="1">
      <c r="A44" s="22">
        <v>5</v>
      </c>
      <c r="B44" s="170" t="s">
        <v>117</v>
      </c>
      <c r="C44" s="140" t="s">
        <v>102</v>
      </c>
      <c r="D44" s="113">
        <v>46157</v>
      </c>
      <c r="E44" s="114" t="s">
        <v>1295</v>
      </c>
      <c r="F44" s="151">
        <v>535</v>
      </c>
    </row>
    <row r="45" spans="1:6" s="57" customFormat="1" ht="27.75" customHeight="1">
      <c r="A45" s="22">
        <v>6</v>
      </c>
      <c r="B45" s="170" t="s">
        <v>119</v>
      </c>
      <c r="C45" s="140" t="s">
        <v>102</v>
      </c>
      <c r="D45" s="113">
        <v>46164</v>
      </c>
      <c r="E45" s="114" t="s">
        <v>1296</v>
      </c>
      <c r="F45" s="151">
        <v>321</v>
      </c>
    </row>
    <row r="46" spans="1:6" s="57" customFormat="1" ht="27.75" customHeight="1">
      <c r="A46" s="22">
        <v>7</v>
      </c>
      <c r="B46" s="170" t="s">
        <v>121</v>
      </c>
      <c r="C46" s="140" t="s">
        <v>102</v>
      </c>
      <c r="D46" s="113">
        <v>46168</v>
      </c>
      <c r="E46" s="114" t="s">
        <v>1297</v>
      </c>
      <c r="F46" s="151">
        <v>321</v>
      </c>
    </row>
    <row r="47" spans="1:6" s="57" customFormat="1" ht="27.75" customHeight="1">
      <c r="A47" s="22">
        <v>8</v>
      </c>
      <c r="B47" s="40" t="s">
        <v>128</v>
      </c>
      <c r="C47" s="140" t="s">
        <v>102</v>
      </c>
      <c r="D47" s="113">
        <v>46169</v>
      </c>
      <c r="E47" s="114" t="s">
        <v>1298</v>
      </c>
      <c r="F47" s="144">
        <v>642</v>
      </c>
    </row>
    <row r="48" spans="1:6" s="57" customFormat="1" ht="27.75" customHeight="1">
      <c r="A48" s="22">
        <v>9</v>
      </c>
      <c r="B48" s="170" t="s">
        <v>132</v>
      </c>
      <c r="C48" s="140" t="s">
        <v>102</v>
      </c>
      <c r="D48" s="178">
        <v>46148</v>
      </c>
      <c r="E48" s="179" t="s">
        <v>1299</v>
      </c>
      <c r="F48" s="180">
        <v>321</v>
      </c>
    </row>
    <row r="49" spans="1:6" s="57" customFormat="1" ht="27.75" customHeight="1">
      <c r="A49" s="22">
        <v>10</v>
      </c>
      <c r="B49" s="40" t="s">
        <v>134</v>
      </c>
      <c r="C49" s="140" t="s">
        <v>102</v>
      </c>
      <c r="D49" s="175">
        <v>46167</v>
      </c>
      <c r="E49" s="176" t="s">
        <v>1300</v>
      </c>
      <c r="F49" s="177">
        <v>160.5</v>
      </c>
    </row>
    <row r="50" spans="1:6" s="57" customFormat="1" ht="27.75" customHeight="1">
      <c r="A50" s="22">
        <v>11</v>
      </c>
      <c r="B50" s="170" t="s">
        <v>136</v>
      </c>
      <c r="C50" s="140" t="s">
        <v>102</v>
      </c>
      <c r="D50" s="113">
        <v>46169</v>
      </c>
      <c r="E50" s="114" t="s">
        <v>1301</v>
      </c>
      <c r="F50" s="144">
        <v>321</v>
      </c>
    </row>
    <row r="51" spans="1:6" s="57" customFormat="1" ht="27.75" customHeight="1">
      <c r="A51" s="22">
        <v>12</v>
      </c>
      <c r="B51" s="181" t="s">
        <v>142</v>
      </c>
      <c r="C51" s="182" t="s">
        <v>143</v>
      </c>
      <c r="D51" s="183">
        <v>46171</v>
      </c>
      <c r="E51" s="184" t="s">
        <v>1303</v>
      </c>
      <c r="F51" s="185">
        <v>160.5</v>
      </c>
    </row>
    <row r="52" spans="1:6" s="57" customFormat="1" ht="27.75" customHeight="1">
      <c r="A52" s="22">
        <v>13</v>
      </c>
      <c r="B52" s="40" t="s">
        <v>145</v>
      </c>
      <c r="C52" s="140" t="s">
        <v>102</v>
      </c>
      <c r="D52" s="175">
        <v>46164</v>
      </c>
      <c r="E52" s="176" t="s">
        <v>1304</v>
      </c>
      <c r="F52" s="177">
        <v>321</v>
      </c>
    </row>
    <row r="53" spans="1:6" s="57" customFormat="1" ht="27.75" customHeight="1">
      <c r="A53" s="22">
        <v>14</v>
      </c>
      <c r="B53" s="40" t="s">
        <v>147</v>
      </c>
      <c r="C53" s="140" t="s">
        <v>102</v>
      </c>
      <c r="D53" s="175">
        <v>46144</v>
      </c>
      <c r="E53" s="176" t="s">
        <v>1305</v>
      </c>
      <c r="F53" s="177">
        <v>160.5</v>
      </c>
    </row>
    <row r="54" spans="1:6" s="57" customFormat="1" ht="27.75" customHeight="1">
      <c r="A54" s="22">
        <v>15</v>
      </c>
      <c r="B54" s="80" t="s">
        <v>149</v>
      </c>
      <c r="C54" s="140" t="s">
        <v>102</v>
      </c>
      <c r="D54" s="175">
        <v>46164</v>
      </c>
      <c r="E54" s="176" t="s">
        <v>1306</v>
      </c>
      <c r="F54" s="177">
        <v>1070</v>
      </c>
    </row>
    <row r="55" spans="1:6" s="57" customFormat="1" ht="27.75" customHeight="1">
      <c r="A55" s="22">
        <v>16</v>
      </c>
      <c r="B55" s="170" t="s">
        <v>151</v>
      </c>
      <c r="C55" s="140" t="s">
        <v>102</v>
      </c>
      <c r="D55" s="117">
        <v>46143</v>
      </c>
      <c r="E55" s="118" t="s">
        <v>1307</v>
      </c>
      <c r="F55" s="151">
        <v>160.5</v>
      </c>
    </row>
    <row r="56" spans="1:6" s="57" customFormat="1" ht="27.75" customHeight="1">
      <c r="A56" s="22">
        <v>17</v>
      </c>
      <c r="B56" s="170" t="s">
        <v>154</v>
      </c>
      <c r="C56" s="140" t="s">
        <v>102</v>
      </c>
      <c r="D56" s="175">
        <v>46168</v>
      </c>
      <c r="E56" s="176" t="s">
        <v>1308</v>
      </c>
      <c r="F56" s="177">
        <v>321</v>
      </c>
    </row>
    <row r="57" spans="1:6" s="57" customFormat="1" ht="27.75" customHeight="1">
      <c r="A57" s="22">
        <v>18</v>
      </c>
      <c r="B57" s="191" t="s">
        <v>156</v>
      </c>
      <c r="C57" s="140" t="s">
        <v>102</v>
      </c>
      <c r="D57" s="175">
        <v>46145</v>
      </c>
      <c r="E57" s="176" t="s">
        <v>1309</v>
      </c>
      <c r="F57" s="177">
        <v>160.5</v>
      </c>
    </row>
    <row r="58" spans="1:6" s="57" customFormat="1" ht="27.75" customHeight="1">
      <c r="A58" s="22">
        <v>19</v>
      </c>
      <c r="B58" s="191" t="s">
        <v>161</v>
      </c>
      <c r="C58" s="140" t="s">
        <v>102</v>
      </c>
      <c r="D58" s="117">
        <v>46168</v>
      </c>
      <c r="E58" s="118" t="s">
        <v>1311</v>
      </c>
      <c r="F58" s="151">
        <v>321</v>
      </c>
    </row>
    <row r="59" spans="1:6" s="57" customFormat="1" ht="27.75" customHeight="1">
      <c r="A59" s="22">
        <v>20</v>
      </c>
      <c r="B59" s="191" t="s">
        <v>163</v>
      </c>
      <c r="C59" s="140" t="s">
        <v>102</v>
      </c>
      <c r="D59" s="117">
        <v>46169</v>
      </c>
      <c r="E59" s="118" t="s">
        <v>1312</v>
      </c>
      <c r="F59" s="151">
        <v>160.5</v>
      </c>
    </row>
    <row r="60" spans="1:6" s="57" customFormat="1" ht="27.75" customHeight="1">
      <c r="A60" s="22">
        <v>21</v>
      </c>
      <c r="B60" s="170" t="s">
        <v>165</v>
      </c>
      <c r="C60" s="140" t="s">
        <v>102</v>
      </c>
      <c r="D60" s="175">
        <v>46149</v>
      </c>
      <c r="E60" s="176" t="s">
        <v>1313</v>
      </c>
      <c r="F60" s="177">
        <v>1070</v>
      </c>
    </row>
    <row r="61" spans="1:6" s="57" customFormat="1" ht="27.75" customHeight="1">
      <c r="A61" s="22">
        <v>22</v>
      </c>
      <c r="B61" s="191" t="s">
        <v>167</v>
      </c>
      <c r="C61" s="140" t="s">
        <v>102</v>
      </c>
      <c r="D61" s="117">
        <v>46170</v>
      </c>
      <c r="E61" s="118" t="s">
        <v>1314</v>
      </c>
      <c r="F61" s="151">
        <v>535</v>
      </c>
    </row>
    <row r="62" spans="1:6" s="57" customFormat="1" ht="27.75" customHeight="1">
      <c r="A62" s="22">
        <v>23</v>
      </c>
      <c r="B62" s="170" t="s">
        <v>169</v>
      </c>
      <c r="C62" s="140" t="s">
        <v>102</v>
      </c>
      <c r="D62" s="175">
        <v>46169</v>
      </c>
      <c r="E62" s="176" t="s">
        <v>1315</v>
      </c>
      <c r="F62" s="177">
        <v>321</v>
      </c>
    </row>
    <row r="63" spans="1:6" s="57" customFormat="1" ht="27.75" customHeight="1">
      <c r="A63" s="22">
        <v>24</v>
      </c>
      <c r="B63" s="191" t="s">
        <v>171</v>
      </c>
      <c r="C63" s="140" t="s">
        <v>102</v>
      </c>
      <c r="D63" s="175">
        <v>46169</v>
      </c>
      <c r="E63" s="176" t="s">
        <v>1316</v>
      </c>
      <c r="F63" s="177">
        <v>963</v>
      </c>
    </row>
    <row r="64" spans="1:6" s="57" customFormat="1" ht="27.75" customHeight="1">
      <c r="A64" s="22">
        <v>25</v>
      </c>
      <c r="B64" s="191" t="s">
        <v>173</v>
      </c>
      <c r="C64" s="140" t="s">
        <v>102</v>
      </c>
      <c r="D64" s="175">
        <v>46143</v>
      </c>
      <c r="E64" s="176" t="s">
        <v>1317</v>
      </c>
      <c r="F64" s="177">
        <v>321</v>
      </c>
    </row>
    <row r="65" spans="1:8" s="57" customFormat="1" ht="27.75" customHeight="1">
      <c r="A65" s="22">
        <v>26</v>
      </c>
      <c r="B65" s="191" t="s">
        <v>175</v>
      </c>
      <c r="C65" s="140" t="s">
        <v>102</v>
      </c>
      <c r="D65" s="175">
        <v>46144</v>
      </c>
      <c r="E65" s="176" t="s">
        <v>1318</v>
      </c>
      <c r="F65" s="177">
        <v>321</v>
      </c>
    </row>
    <row r="66" spans="1:8" s="57" customFormat="1" ht="27.75" customHeight="1">
      <c r="A66" s="22">
        <v>27</v>
      </c>
      <c r="B66" s="191" t="s">
        <v>177</v>
      </c>
      <c r="C66" s="140" t="s">
        <v>102</v>
      </c>
      <c r="D66" s="117">
        <v>46168</v>
      </c>
      <c r="E66" s="118" t="s">
        <v>1319</v>
      </c>
      <c r="F66" s="151">
        <v>321</v>
      </c>
    </row>
    <row r="67" spans="1:8" ht="27.75" customHeight="1" thickBot="1">
      <c r="A67" s="193"/>
      <c r="B67" s="194" t="s">
        <v>22</v>
      </c>
      <c r="C67" s="195"/>
      <c r="D67" s="199"/>
      <c r="E67" s="199"/>
      <c r="F67" s="196">
        <v>10432.5</v>
      </c>
      <c r="H67" s="512">
        <f>SUM(F40:F66)</f>
        <v>10432.5</v>
      </c>
    </row>
    <row r="68" spans="1:8" ht="27.75" customHeight="1" thickTop="1">
      <c r="A68" s="22"/>
      <c r="B68" s="23" t="s">
        <v>179</v>
      </c>
      <c r="C68" s="24"/>
      <c r="D68" s="29"/>
      <c r="E68" s="30"/>
      <c r="F68" s="31"/>
    </row>
    <row r="69" spans="1:8" ht="27.75" customHeight="1">
      <c r="A69" s="94">
        <v>1</v>
      </c>
      <c r="B69" s="40" t="s">
        <v>180</v>
      </c>
      <c r="C69" s="41" t="s">
        <v>181</v>
      </c>
      <c r="D69" s="48">
        <v>46149</v>
      </c>
      <c r="E69" s="49" t="s">
        <v>1320</v>
      </c>
      <c r="F69" s="202">
        <v>160.5</v>
      </c>
    </row>
    <row r="70" spans="1:8" ht="27.75" customHeight="1">
      <c r="A70" s="94">
        <v>2</v>
      </c>
      <c r="B70" s="40" t="s">
        <v>184</v>
      </c>
      <c r="C70" s="41" t="s">
        <v>181</v>
      </c>
      <c r="D70" s="48">
        <v>46150</v>
      </c>
      <c r="E70" s="49" t="s">
        <v>1321</v>
      </c>
      <c r="F70" s="202">
        <v>3370.5</v>
      </c>
    </row>
    <row r="71" spans="1:8" ht="27.75" customHeight="1">
      <c r="A71" s="94">
        <v>3</v>
      </c>
      <c r="B71" s="205" t="s">
        <v>186</v>
      </c>
      <c r="C71" s="206" t="s">
        <v>181</v>
      </c>
      <c r="D71" s="48">
        <v>46170</v>
      </c>
      <c r="E71" s="49" t="s">
        <v>1322</v>
      </c>
      <c r="F71" s="202">
        <v>3370.5</v>
      </c>
    </row>
    <row r="72" spans="1:8" ht="27.75" customHeight="1">
      <c r="A72" s="186">
        <v>4</v>
      </c>
      <c r="B72" s="205" t="s">
        <v>188</v>
      </c>
      <c r="C72" s="206" t="s">
        <v>181</v>
      </c>
      <c r="D72" s="48">
        <v>46147</v>
      </c>
      <c r="E72" s="49" t="s">
        <v>1323</v>
      </c>
      <c r="F72" s="202">
        <v>2140</v>
      </c>
    </row>
    <row r="73" spans="1:8" s="220" customFormat="1" ht="27.75" customHeight="1">
      <c r="A73" s="186">
        <v>5</v>
      </c>
      <c r="B73" s="208" t="s">
        <v>71</v>
      </c>
      <c r="C73" s="209" t="s">
        <v>181</v>
      </c>
      <c r="D73" s="62">
        <v>46167</v>
      </c>
      <c r="E73" s="215" t="s">
        <v>1324</v>
      </c>
      <c r="F73" s="202">
        <v>2675</v>
      </c>
    </row>
    <row r="74" spans="1:8" ht="27.75" customHeight="1" thickBot="1">
      <c r="A74" s="193"/>
      <c r="B74" s="194" t="s">
        <v>22</v>
      </c>
      <c r="C74" s="195"/>
      <c r="D74" s="199"/>
      <c r="E74" s="199"/>
      <c r="F74" s="196">
        <v>11716.5</v>
      </c>
      <c r="H74" s="512">
        <f>SUM(F69:F73)</f>
        <v>11716.5</v>
      </c>
    </row>
    <row r="75" spans="1:8" ht="27.75" customHeight="1" thickTop="1">
      <c r="A75" s="22"/>
      <c r="B75" s="23" t="s">
        <v>191</v>
      </c>
      <c r="C75" s="24"/>
      <c r="D75" s="29"/>
      <c r="E75" s="30"/>
      <c r="F75" s="31"/>
    </row>
    <row r="76" spans="1:8" ht="27.75" customHeight="1">
      <c r="A76" s="94">
        <v>1</v>
      </c>
      <c r="B76" s="40" t="s">
        <v>192</v>
      </c>
      <c r="C76" s="41" t="s">
        <v>193</v>
      </c>
      <c r="D76" s="175">
        <v>46147</v>
      </c>
      <c r="E76" s="176" t="s">
        <v>1325</v>
      </c>
      <c r="F76" s="222">
        <v>2140</v>
      </c>
    </row>
    <row r="77" spans="1:8" ht="27.75" customHeight="1" thickBot="1">
      <c r="A77" s="193"/>
      <c r="B77" s="194" t="s">
        <v>22</v>
      </c>
      <c r="C77" s="195"/>
      <c r="D77" s="199"/>
      <c r="E77" s="199"/>
      <c r="F77" s="196">
        <v>2140</v>
      </c>
      <c r="H77" s="520">
        <f>SUM(F76)</f>
        <v>2140</v>
      </c>
    </row>
    <row r="78" spans="1:8" ht="27.75" customHeight="1" thickTop="1">
      <c r="A78" s="22"/>
      <c r="B78" s="23" t="s">
        <v>196</v>
      </c>
      <c r="C78" s="24"/>
      <c r="D78" s="29"/>
      <c r="E78" s="30"/>
      <c r="F78" s="31"/>
    </row>
    <row r="79" spans="1:8" s="226" customFormat="1" ht="27.75" customHeight="1">
      <c r="A79" s="94">
        <v>1</v>
      </c>
      <c r="B79" s="181" t="s">
        <v>198</v>
      </c>
      <c r="C79" s="224" t="s">
        <v>199</v>
      </c>
      <c r="D79" s="113">
        <v>46151</v>
      </c>
      <c r="E79" s="114" t="s">
        <v>1326</v>
      </c>
      <c r="F79" s="144">
        <v>26750</v>
      </c>
    </row>
    <row r="80" spans="1:8" s="226" customFormat="1" ht="27.75" customHeight="1">
      <c r="A80" s="94">
        <v>2</v>
      </c>
      <c r="B80" s="181" t="s">
        <v>204</v>
      </c>
      <c r="C80" s="224" t="s">
        <v>205</v>
      </c>
      <c r="D80" s="113">
        <v>46164</v>
      </c>
      <c r="E80" s="114" t="s">
        <v>1327</v>
      </c>
      <c r="F80" s="144">
        <v>22470</v>
      </c>
    </row>
    <row r="81" spans="1:8" s="226" customFormat="1" ht="27.75" customHeight="1">
      <c r="A81" s="94">
        <v>3</v>
      </c>
      <c r="B81" s="181" t="s">
        <v>204</v>
      </c>
      <c r="C81" s="224" t="s">
        <v>207</v>
      </c>
      <c r="D81" s="113">
        <v>46164</v>
      </c>
      <c r="E81" s="114" t="s">
        <v>1327</v>
      </c>
      <c r="F81" s="144">
        <v>22470</v>
      </c>
    </row>
    <row r="82" spans="1:8" s="226" customFormat="1" ht="27.75" customHeight="1">
      <c r="A82" s="94">
        <v>4</v>
      </c>
      <c r="B82" s="181" t="s">
        <v>210</v>
      </c>
      <c r="C82" s="224" t="s">
        <v>211</v>
      </c>
      <c r="D82" s="113">
        <v>46171</v>
      </c>
      <c r="E82" s="114" t="s">
        <v>1328</v>
      </c>
      <c r="F82" s="144">
        <v>22470</v>
      </c>
    </row>
    <row r="83" spans="1:8" s="226" customFormat="1" ht="27.75" customHeight="1">
      <c r="A83" s="94">
        <v>5</v>
      </c>
      <c r="B83" s="181" t="s">
        <v>214</v>
      </c>
      <c r="C83" s="224" t="s">
        <v>215</v>
      </c>
      <c r="D83" s="113">
        <v>46144</v>
      </c>
      <c r="E83" s="114" t="s">
        <v>1330</v>
      </c>
      <c r="F83" s="144">
        <v>22470</v>
      </c>
    </row>
    <row r="84" spans="1:8" s="226" customFormat="1" ht="27.75" customHeight="1">
      <c r="A84" s="94">
        <v>6</v>
      </c>
      <c r="B84" s="181" t="s">
        <v>217</v>
      </c>
      <c r="C84" s="224" t="s">
        <v>220</v>
      </c>
      <c r="D84" s="113">
        <v>46160</v>
      </c>
      <c r="E84" s="114" t="s">
        <v>1331</v>
      </c>
      <c r="F84" s="144">
        <v>22470</v>
      </c>
    </row>
    <row r="85" spans="1:8" s="226" customFormat="1" ht="27.75" customHeight="1">
      <c r="A85" s="94">
        <v>7</v>
      </c>
      <c r="B85" s="181" t="s">
        <v>217</v>
      </c>
      <c r="C85" s="224" t="s">
        <v>221</v>
      </c>
      <c r="D85" s="113">
        <v>46160</v>
      </c>
      <c r="E85" s="114" t="s">
        <v>1331</v>
      </c>
      <c r="F85" s="144">
        <v>22470</v>
      </c>
    </row>
    <row r="86" spans="1:8" s="226" customFormat="1" ht="27.75" customHeight="1">
      <c r="A86" s="94">
        <v>8</v>
      </c>
      <c r="B86" s="181" t="s">
        <v>222</v>
      </c>
      <c r="C86" s="227" t="s">
        <v>223</v>
      </c>
      <c r="D86" s="230">
        <v>46146</v>
      </c>
      <c r="E86" s="184" t="s">
        <v>1332</v>
      </c>
      <c r="F86" s="231">
        <v>32100</v>
      </c>
    </row>
    <row r="87" spans="1:8" s="226" customFormat="1" ht="27.75" customHeight="1">
      <c r="A87" s="94">
        <v>9</v>
      </c>
      <c r="B87" s="41" t="s">
        <v>227</v>
      </c>
      <c r="C87" s="224" t="s">
        <v>228</v>
      </c>
      <c r="D87" s="113">
        <v>46171</v>
      </c>
      <c r="E87" s="114" t="s">
        <v>1333</v>
      </c>
      <c r="F87" s="253">
        <v>22470</v>
      </c>
    </row>
    <row r="88" spans="1:8" s="226" customFormat="1" ht="27.75" customHeight="1">
      <c r="A88" s="94">
        <v>10</v>
      </c>
      <c r="B88" s="41" t="s">
        <v>227</v>
      </c>
      <c r="C88" s="224" t="s">
        <v>230</v>
      </c>
      <c r="D88" s="113">
        <v>46171</v>
      </c>
      <c r="E88" s="114" t="s">
        <v>1333</v>
      </c>
      <c r="F88" s="253">
        <v>22470</v>
      </c>
    </row>
    <row r="89" spans="1:8" s="226" customFormat="1" ht="27.75" customHeight="1">
      <c r="A89" s="94">
        <v>11</v>
      </c>
      <c r="B89" s="41" t="s">
        <v>227</v>
      </c>
      <c r="C89" s="224" t="s">
        <v>231</v>
      </c>
      <c r="D89" s="117">
        <v>46171</v>
      </c>
      <c r="E89" s="118" t="s">
        <v>1333</v>
      </c>
      <c r="F89" s="557">
        <v>22470</v>
      </c>
    </row>
    <row r="90" spans="1:8" s="226" customFormat="1" ht="27.75" customHeight="1">
      <c r="A90" s="94">
        <v>12</v>
      </c>
      <c r="B90" s="41" t="s">
        <v>236</v>
      </c>
      <c r="C90" s="224" t="s">
        <v>239</v>
      </c>
      <c r="D90" s="113">
        <v>46173</v>
      </c>
      <c r="E90" s="114" t="s">
        <v>1334</v>
      </c>
      <c r="F90" s="257">
        <v>22470</v>
      </c>
    </row>
    <row r="91" spans="1:8" s="226" customFormat="1" ht="27.75" customHeight="1">
      <c r="A91" s="94">
        <v>13</v>
      </c>
      <c r="B91" s="41" t="s">
        <v>92</v>
      </c>
      <c r="C91" s="224" t="s">
        <v>240</v>
      </c>
      <c r="D91" s="113">
        <v>46172</v>
      </c>
      <c r="E91" s="114" t="s">
        <v>1335</v>
      </c>
      <c r="F91" s="258">
        <v>22470</v>
      </c>
    </row>
    <row r="92" spans="1:8" s="226" customFormat="1" ht="27.75" customHeight="1">
      <c r="A92" s="94">
        <v>14</v>
      </c>
      <c r="B92" s="41" t="s">
        <v>92</v>
      </c>
      <c r="C92" s="224" t="s">
        <v>242</v>
      </c>
      <c r="D92" s="113">
        <v>46172</v>
      </c>
      <c r="E92" s="114" t="s">
        <v>1335</v>
      </c>
      <c r="F92" s="253">
        <v>22470</v>
      </c>
    </row>
    <row r="93" spans="1:8" s="226" customFormat="1" ht="27.75" customHeight="1">
      <c r="A93" s="94">
        <v>15</v>
      </c>
      <c r="B93" s="41" t="s">
        <v>243</v>
      </c>
      <c r="C93" s="224" t="s">
        <v>244</v>
      </c>
      <c r="D93" s="113">
        <v>46171</v>
      </c>
      <c r="E93" s="114" t="s">
        <v>1336</v>
      </c>
      <c r="F93" s="253">
        <v>22470</v>
      </c>
    </row>
    <row r="94" spans="1:8" s="226" customFormat="1" ht="27.75" customHeight="1">
      <c r="A94" s="94">
        <v>16</v>
      </c>
      <c r="B94" s="206" t="s">
        <v>90</v>
      </c>
      <c r="C94" s="224" t="s">
        <v>246</v>
      </c>
      <c r="D94" s="259">
        <v>46144</v>
      </c>
      <c r="E94" s="114" t="s">
        <v>1337</v>
      </c>
      <c r="F94" s="253">
        <v>22470</v>
      </c>
    </row>
    <row r="95" spans="1:8" s="226" customFormat="1" ht="27.75" customHeight="1">
      <c r="A95" s="234"/>
      <c r="B95" s="260"/>
      <c r="C95" s="235"/>
      <c r="D95" s="261"/>
      <c r="E95" s="262"/>
      <c r="F95" s="263">
        <f>SUM(F79:F94)</f>
        <v>373430</v>
      </c>
      <c r="H95" s="226">
        <f>SUM(F79:F94)</f>
        <v>373430</v>
      </c>
    </row>
    <row r="96" spans="1:8" s="226" customFormat="1" ht="27.75" customHeight="1">
      <c r="A96" s="83"/>
      <c r="B96" s="244" t="s">
        <v>248</v>
      </c>
      <c r="C96" s="245"/>
      <c r="D96" s="178"/>
      <c r="E96" s="179"/>
      <c r="F96" s="264"/>
    </row>
    <row r="97" spans="1:8" s="226" customFormat="1" ht="27.75" customHeight="1">
      <c r="A97" s="94">
        <v>1</v>
      </c>
      <c r="B97" s="41" t="s">
        <v>249</v>
      </c>
      <c r="C97" s="224" t="s">
        <v>250</v>
      </c>
      <c r="D97" s="113">
        <v>46149</v>
      </c>
      <c r="E97" s="114" t="s">
        <v>1338</v>
      </c>
      <c r="F97" s="144">
        <v>6420</v>
      </c>
    </row>
    <row r="98" spans="1:8" s="226" customFormat="1" ht="27.75" customHeight="1">
      <c r="A98" s="94">
        <v>2</v>
      </c>
      <c r="B98" s="41" t="s">
        <v>1349</v>
      </c>
      <c r="C98" s="224" t="s">
        <v>253</v>
      </c>
      <c r="D98" s="113">
        <v>46148</v>
      </c>
      <c r="E98" s="114" t="s">
        <v>1339</v>
      </c>
      <c r="F98" s="144">
        <v>6420</v>
      </c>
    </row>
    <row r="99" spans="1:8" s="226" customFormat="1" ht="27.75" customHeight="1">
      <c r="A99" s="94">
        <v>3</v>
      </c>
      <c r="B99" s="41" t="s">
        <v>257</v>
      </c>
      <c r="C99" s="224" t="s">
        <v>258</v>
      </c>
      <c r="D99" s="113">
        <v>46167</v>
      </c>
      <c r="E99" s="114" t="s">
        <v>1340</v>
      </c>
      <c r="F99" s="144">
        <v>9630</v>
      </c>
    </row>
    <row r="100" spans="1:8" s="226" customFormat="1" ht="27.75" customHeight="1">
      <c r="A100" s="94">
        <v>4</v>
      </c>
      <c r="B100" s="206" t="s">
        <v>257</v>
      </c>
      <c r="C100" s="224" t="s">
        <v>260</v>
      </c>
      <c r="D100" s="113">
        <v>46167</v>
      </c>
      <c r="E100" s="114" t="s">
        <v>1340</v>
      </c>
      <c r="F100" s="144">
        <v>9630</v>
      </c>
    </row>
    <row r="101" spans="1:8" s="226" customFormat="1" ht="27.75" customHeight="1">
      <c r="A101" s="94">
        <v>5</v>
      </c>
      <c r="B101" s="265" t="s">
        <v>1351</v>
      </c>
      <c r="C101" s="224" t="s">
        <v>262</v>
      </c>
      <c r="D101" s="113">
        <v>46146</v>
      </c>
      <c r="E101" s="114" t="s">
        <v>1341</v>
      </c>
      <c r="F101" s="144">
        <v>6420</v>
      </c>
    </row>
    <row r="102" spans="1:8" s="226" customFormat="1" ht="27.75" customHeight="1">
      <c r="A102" s="94">
        <v>6</v>
      </c>
      <c r="B102" s="266" t="s">
        <v>264</v>
      </c>
      <c r="C102" s="224" t="s">
        <v>199</v>
      </c>
      <c r="D102" s="113">
        <v>46173</v>
      </c>
      <c r="E102" s="114" t="s">
        <v>1342</v>
      </c>
      <c r="F102" s="144">
        <v>6420</v>
      </c>
    </row>
    <row r="103" spans="1:8" s="226" customFormat="1" ht="27.75" customHeight="1">
      <c r="A103" s="94">
        <v>7</v>
      </c>
      <c r="B103" s="81" t="s">
        <v>267</v>
      </c>
      <c r="C103" s="224" t="s">
        <v>268</v>
      </c>
      <c r="D103" s="113">
        <v>46161</v>
      </c>
      <c r="E103" s="114" t="s">
        <v>1343</v>
      </c>
      <c r="F103" s="144">
        <v>6420</v>
      </c>
    </row>
    <row r="104" spans="1:8" s="226" customFormat="1" ht="27.75" customHeight="1">
      <c r="A104" s="94">
        <v>8</v>
      </c>
      <c r="B104" s="81" t="s">
        <v>156</v>
      </c>
      <c r="C104" s="224" t="s">
        <v>207</v>
      </c>
      <c r="D104" s="113">
        <v>46145</v>
      </c>
      <c r="E104" s="114" t="s">
        <v>1344</v>
      </c>
      <c r="F104" s="144">
        <v>6420</v>
      </c>
    </row>
    <row r="105" spans="1:8" s="226" customFormat="1" ht="27.75" customHeight="1">
      <c r="A105" s="94">
        <v>9</v>
      </c>
      <c r="B105" s="41" t="s">
        <v>271</v>
      </c>
      <c r="C105" s="224" t="s">
        <v>208</v>
      </c>
      <c r="D105" s="113">
        <v>46173</v>
      </c>
      <c r="E105" s="268" t="s">
        <v>1345</v>
      </c>
      <c r="F105" s="269">
        <v>6420</v>
      </c>
    </row>
    <row r="106" spans="1:8" s="226" customFormat="1" ht="27.75" customHeight="1">
      <c r="A106" s="94">
        <v>10</v>
      </c>
      <c r="B106" s="41" t="s">
        <v>1352</v>
      </c>
      <c r="C106" s="224" t="s">
        <v>209</v>
      </c>
      <c r="D106" s="113">
        <v>46159</v>
      </c>
      <c r="E106" s="114" t="s">
        <v>1346</v>
      </c>
      <c r="F106" s="144">
        <v>6420</v>
      </c>
    </row>
    <row r="107" spans="1:8" s="226" customFormat="1" ht="27.75" customHeight="1">
      <c r="A107" s="94">
        <v>11</v>
      </c>
      <c r="B107" s="41" t="s">
        <v>275</v>
      </c>
      <c r="C107" s="224" t="s">
        <v>276</v>
      </c>
      <c r="D107" s="113" t="s">
        <v>1347</v>
      </c>
      <c r="E107" s="114" t="s">
        <v>1348</v>
      </c>
      <c r="F107" s="144">
        <v>6420</v>
      </c>
    </row>
    <row r="108" spans="1:8" ht="27.75" customHeight="1" thickBot="1">
      <c r="A108" s="22"/>
      <c r="B108" s="194" t="s">
        <v>22</v>
      </c>
      <c r="C108" s="195"/>
      <c r="D108" s="199"/>
      <c r="E108" s="199"/>
      <c r="F108" s="196">
        <v>77040</v>
      </c>
      <c r="H108" s="512">
        <f>SUM(F97:F107)</f>
        <v>77040</v>
      </c>
    </row>
    <row r="109" spans="1:8" ht="27.75" hidden="1" customHeight="1" thickBot="1">
      <c r="A109" s="22"/>
      <c r="B109" s="23" t="s">
        <v>278</v>
      </c>
      <c r="C109" s="24"/>
      <c r="D109" s="29"/>
      <c r="E109" s="30"/>
      <c r="F109" s="31"/>
    </row>
    <row r="110" spans="1:8" ht="27.75" hidden="1" customHeight="1" thickTop="1">
      <c r="A110" s="22">
        <v>1</v>
      </c>
      <c r="B110" s="270" t="s">
        <v>88</v>
      </c>
      <c r="C110" s="271" t="s">
        <v>279</v>
      </c>
      <c r="D110" s="275"/>
      <c r="E110" s="276"/>
      <c r="F110" s="277"/>
    </row>
    <row r="111" spans="1:8" ht="27.75" hidden="1" customHeight="1" thickTop="1">
      <c r="A111" s="22">
        <v>2</v>
      </c>
      <c r="B111" s="280" t="s">
        <v>89</v>
      </c>
      <c r="C111" s="271" t="s">
        <v>279</v>
      </c>
      <c r="D111" s="175"/>
      <c r="E111" s="282"/>
      <c r="F111" s="222"/>
    </row>
    <row r="112" spans="1:8" ht="27.75" hidden="1" customHeight="1" thickTop="1">
      <c r="A112" s="22">
        <v>3</v>
      </c>
      <c r="B112" s="270" t="s">
        <v>280</v>
      </c>
      <c r="C112" s="271" t="s">
        <v>279</v>
      </c>
      <c r="D112" s="175"/>
      <c r="E112" s="282"/>
      <c r="F112" s="222"/>
    </row>
    <row r="113" spans="1:8" ht="27.75" hidden="1" customHeight="1" thickTop="1">
      <c r="A113" s="22">
        <v>4</v>
      </c>
      <c r="B113" s="280" t="s">
        <v>96</v>
      </c>
      <c r="C113" s="271" t="s">
        <v>279</v>
      </c>
      <c r="D113" s="175"/>
      <c r="E113" s="282"/>
      <c r="F113" s="222"/>
    </row>
    <row r="114" spans="1:8" ht="27.75" hidden="1" customHeight="1" thickTop="1">
      <c r="A114" s="22">
        <v>5</v>
      </c>
      <c r="B114" s="280" t="s">
        <v>281</v>
      </c>
      <c r="C114" s="271" t="s">
        <v>279</v>
      </c>
      <c r="D114" s="175"/>
      <c r="E114" s="282"/>
      <c r="F114" s="222"/>
    </row>
    <row r="115" spans="1:8" ht="27.75" hidden="1" customHeight="1" thickTop="1">
      <c r="A115" s="22">
        <v>6</v>
      </c>
      <c r="B115" s="280" t="s">
        <v>282</v>
      </c>
      <c r="C115" s="271" t="s">
        <v>279</v>
      </c>
      <c r="D115" s="175"/>
      <c r="E115" s="282"/>
      <c r="F115" s="222"/>
    </row>
    <row r="116" spans="1:8" ht="27.75" hidden="1" customHeight="1" thickTop="1">
      <c r="A116" s="22">
        <v>7</v>
      </c>
      <c r="B116" s="280" t="s">
        <v>92</v>
      </c>
      <c r="C116" s="271" t="s">
        <v>279</v>
      </c>
      <c r="D116" s="175"/>
      <c r="E116" s="282"/>
      <c r="F116" s="222"/>
    </row>
    <row r="117" spans="1:8" ht="27.75" hidden="1" customHeight="1" thickTop="1">
      <c r="A117" s="22">
        <v>8</v>
      </c>
      <c r="B117" s="280" t="s">
        <v>91</v>
      </c>
      <c r="C117" s="271" t="s">
        <v>279</v>
      </c>
      <c r="D117" s="175"/>
      <c r="E117" s="282"/>
      <c r="F117" s="222"/>
    </row>
    <row r="118" spans="1:8" ht="27.75" hidden="1" customHeight="1" thickTop="1">
      <c r="A118" s="22">
        <v>9</v>
      </c>
      <c r="B118" s="280" t="s">
        <v>236</v>
      </c>
      <c r="C118" s="271" t="s">
        <v>279</v>
      </c>
      <c r="D118" s="175"/>
      <c r="E118" s="282"/>
      <c r="F118" s="222"/>
    </row>
    <row r="119" spans="1:8" ht="27.75" hidden="1" customHeight="1" thickTop="1">
      <c r="A119" s="22">
        <v>10</v>
      </c>
      <c r="B119" s="280" t="s">
        <v>94</v>
      </c>
      <c r="C119" s="280" t="s">
        <v>279</v>
      </c>
      <c r="D119" s="175"/>
      <c r="E119" s="282"/>
      <c r="F119" s="222"/>
    </row>
    <row r="120" spans="1:8" ht="27.75" hidden="1" customHeight="1" thickTop="1">
      <c r="A120" s="22">
        <v>11</v>
      </c>
      <c r="B120" s="270"/>
      <c r="C120" s="285"/>
      <c r="D120" s="275"/>
      <c r="E120" s="276"/>
      <c r="F120" s="277"/>
    </row>
    <row r="121" spans="1:8" ht="27.75" hidden="1" customHeight="1" thickTop="1">
      <c r="A121" s="22"/>
      <c r="B121" s="131" t="s">
        <v>22</v>
      </c>
      <c r="C121" s="132"/>
      <c r="D121" s="287"/>
      <c r="E121" s="137"/>
      <c r="F121" s="138">
        <v>0</v>
      </c>
    </row>
    <row r="122" spans="1:8" ht="27.75" customHeight="1" thickTop="1">
      <c r="A122" s="22"/>
      <c r="B122" s="288" t="s">
        <v>283</v>
      </c>
      <c r="C122" s="289"/>
      <c r="D122" s="291"/>
      <c r="E122" s="292"/>
      <c r="F122" s="222"/>
    </row>
    <row r="123" spans="1:8" ht="27.75" customHeight="1">
      <c r="A123" s="94">
        <v>1</v>
      </c>
      <c r="B123" s="205" t="s">
        <v>192</v>
      </c>
      <c r="C123" s="206" t="s">
        <v>284</v>
      </c>
      <c r="D123" s="183">
        <v>46147</v>
      </c>
      <c r="E123" s="184" t="s">
        <v>1353</v>
      </c>
      <c r="F123" s="231">
        <v>66660</v>
      </c>
    </row>
    <row r="124" spans="1:8" ht="27.75" customHeight="1" thickBot="1">
      <c r="A124" s="193"/>
      <c r="B124" s="308" t="s">
        <v>22</v>
      </c>
      <c r="C124" s="309"/>
      <c r="D124" s="314"/>
      <c r="E124" s="314"/>
      <c r="F124" s="310">
        <v>66660</v>
      </c>
      <c r="H124" s="520">
        <f>SUM(F123)</f>
        <v>66660</v>
      </c>
    </row>
    <row r="125" spans="1:8" ht="27.75" customHeight="1" thickTop="1">
      <c r="A125" s="22"/>
      <c r="B125" s="23" t="s">
        <v>292</v>
      </c>
      <c r="C125" s="24"/>
      <c r="D125" s="29"/>
      <c r="E125" s="30"/>
      <c r="F125" s="31"/>
    </row>
    <row r="126" spans="1:8" ht="27.75" customHeight="1">
      <c r="A126" s="316">
        <v>1</v>
      </c>
      <c r="B126" s="280" t="s">
        <v>249</v>
      </c>
      <c r="C126" s="280" t="s">
        <v>250</v>
      </c>
      <c r="D126" s="317">
        <v>46149</v>
      </c>
      <c r="E126" s="318" t="s">
        <v>1354</v>
      </c>
      <c r="F126" s="319">
        <v>181.9</v>
      </c>
    </row>
    <row r="127" spans="1:8" ht="27.75" customHeight="1">
      <c r="A127" s="316">
        <v>2</v>
      </c>
      <c r="B127" s="270" t="s">
        <v>298</v>
      </c>
      <c r="C127" s="270" t="s">
        <v>199</v>
      </c>
      <c r="D127" s="328">
        <v>46173</v>
      </c>
      <c r="E127" s="329" t="s">
        <v>1355</v>
      </c>
      <c r="F127" s="330">
        <v>21.4</v>
      </c>
    </row>
    <row r="128" spans="1:8" ht="27.75" customHeight="1">
      <c r="A128" s="316">
        <v>3</v>
      </c>
      <c r="B128" s="270" t="s">
        <v>156</v>
      </c>
      <c r="C128" s="270" t="s">
        <v>208</v>
      </c>
      <c r="D128" s="328">
        <v>46145</v>
      </c>
      <c r="E128" s="329" t="s">
        <v>1356</v>
      </c>
      <c r="F128" s="330">
        <v>107</v>
      </c>
    </row>
    <row r="129" spans="1:8" ht="27.75" customHeight="1">
      <c r="A129" s="316">
        <v>4</v>
      </c>
      <c r="B129" s="270" t="s">
        <v>273</v>
      </c>
      <c r="C129" s="270" t="s">
        <v>211</v>
      </c>
      <c r="D129" s="328">
        <v>46159</v>
      </c>
      <c r="E129" s="329" t="s">
        <v>1357</v>
      </c>
      <c r="F129" s="330">
        <v>53.5</v>
      </c>
    </row>
    <row r="130" spans="1:8" ht="27.75" customHeight="1">
      <c r="A130" s="316">
        <v>5</v>
      </c>
      <c r="B130" s="270" t="s">
        <v>92</v>
      </c>
      <c r="C130" s="270" t="s">
        <v>302</v>
      </c>
      <c r="D130" s="331">
        <v>46172</v>
      </c>
      <c r="E130" s="332" t="s">
        <v>1358</v>
      </c>
      <c r="F130" s="333">
        <v>214</v>
      </c>
    </row>
    <row r="131" spans="1:8" ht="27.75" customHeight="1" thickBot="1">
      <c r="A131" s="193"/>
      <c r="B131" s="194"/>
      <c r="C131" s="195"/>
      <c r="D131" s="338"/>
      <c r="E131" s="199"/>
      <c r="F131" s="196">
        <v>577.79999999999995</v>
      </c>
      <c r="H131" s="512">
        <f>SUM(F126:F130)</f>
        <v>577.79999999999995</v>
      </c>
    </row>
    <row r="132" spans="1:8" ht="27.75" customHeight="1" thickTop="1">
      <c r="A132" s="22"/>
      <c r="B132" s="288" t="s">
        <v>304</v>
      </c>
      <c r="C132" s="289"/>
      <c r="D132" s="291"/>
      <c r="E132" s="292"/>
      <c r="F132" s="222"/>
    </row>
    <row r="133" spans="1:8" ht="27.75" customHeight="1">
      <c r="A133" s="186">
        <v>1</v>
      </c>
      <c r="B133" s="205" t="s">
        <v>24</v>
      </c>
      <c r="C133" s="346" t="s">
        <v>25</v>
      </c>
      <c r="D133" s="113">
        <v>46146</v>
      </c>
      <c r="E133" s="114" t="s">
        <v>1359</v>
      </c>
      <c r="F133" s="347">
        <v>1410</v>
      </c>
    </row>
    <row r="134" spans="1:8" ht="27.75" customHeight="1">
      <c r="A134" s="186">
        <v>2</v>
      </c>
      <c r="B134" s="205" t="s">
        <v>24</v>
      </c>
      <c r="C134" s="346" t="s">
        <v>316</v>
      </c>
      <c r="D134" s="113">
        <v>46146</v>
      </c>
      <c r="E134" s="114" t="s">
        <v>1359</v>
      </c>
      <c r="F134" s="347">
        <v>1410</v>
      </c>
    </row>
    <row r="135" spans="1:8" ht="27.75" customHeight="1">
      <c r="A135" s="186">
        <v>3</v>
      </c>
      <c r="B135" s="205" t="s">
        <v>24</v>
      </c>
      <c r="C135" s="346" t="s">
        <v>318</v>
      </c>
      <c r="D135" s="113">
        <v>46146</v>
      </c>
      <c r="E135" s="114" t="s">
        <v>1359</v>
      </c>
      <c r="F135" s="347">
        <v>1410</v>
      </c>
    </row>
    <row r="136" spans="1:8" ht="27.75" customHeight="1">
      <c r="A136" s="186">
        <v>4</v>
      </c>
      <c r="B136" s="205" t="s">
        <v>24</v>
      </c>
      <c r="C136" s="346" t="s">
        <v>319</v>
      </c>
      <c r="D136" s="113">
        <v>46146</v>
      </c>
      <c r="E136" s="114" t="s">
        <v>1359</v>
      </c>
      <c r="F136" s="347">
        <v>1410</v>
      </c>
    </row>
    <row r="137" spans="1:8" ht="27.75" customHeight="1">
      <c r="A137" s="186">
        <v>5</v>
      </c>
      <c r="B137" s="205" t="s">
        <v>325</v>
      </c>
      <c r="C137" s="346" t="s">
        <v>326</v>
      </c>
      <c r="D137" s="113">
        <v>46147</v>
      </c>
      <c r="E137" s="114" t="s">
        <v>1360</v>
      </c>
      <c r="F137" s="347">
        <v>1410</v>
      </c>
    </row>
    <row r="138" spans="1:8" ht="27.75" customHeight="1">
      <c r="A138" s="186">
        <v>6</v>
      </c>
      <c r="B138" s="205" t="s">
        <v>325</v>
      </c>
      <c r="C138" s="346" t="s">
        <v>330</v>
      </c>
      <c r="D138" s="113">
        <v>46147</v>
      </c>
      <c r="E138" s="114" t="s">
        <v>1360</v>
      </c>
      <c r="F138" s="347">
        <v>1410</v>
      </c>
    </row>
    <row r="139" spans="1:8" ht="27.75" customHeight="1">
      <c r="A139" s="186">
        <v>7</v>
      </c>
      <c r="B139" s="205" t="s">
        <v>325</v>
      </c>
      <c r="C139" s="346" t="s">
        <v>331</v>
      </c>
      <c r="D139" s="113">
        <v>46147</v>
      </c>
      <c r="E139" s="114" t="s">
        <v>1360</v>
      </c>
      <c r="F139" s="347">
        <v>1410</v>
      </c>
    </row>
    <row r="140" spans="1:8" ht="27.75" customHeight="1">
      <c r="A140" s="186">
        <v>8</v>
      </c>
      <c r="B140" s="205" t="s">
        <v>325</v>
      </c>
      <c r="C140" s="346" t="s">
        <v>332</v>
      </c>
      <c r="D140" s="113">
        <v>46147</v>
      </c>
      <c r="E140" s="114" t="s">
        <v>1360</v>
      </c>
      <c r="F140" s="347">
        <v>1410</v>
      </c>
    </row>
    <row r="141" spans="1:8" ht="27.75" customHeight="1">
      <c r="A141" s="186">
        <v>9</v>
      </c>
      <c r="B141" s="40" t="s">
        <v>43</v>
      </c>
      <c r="C141" s="346" t="s">
        <v>340</v>
      </c>
      <c r="D141" s="113">
        <v>46144</v>
      </c>
      <c r="E141" s="114" t="s">
        <v>1361</v>
      </c>
      <c r="F141" s="347">
        <v>1410</v>
      </c>
    </row>
    <row r="142" spans="1:8" ht="27.75" customHeight="1">
      <c r="A142" s="186">
        <v>10</v>
      </c>
      <c r="B142" s="40" t="s">
        <v>43</v>
      </c>
      <c r="C142" s="346" t="s">
        <v>344</v>
      </c>
      <c r="D142" s="113">
        <v>46144</v>
      </c>
      <c r="E142" s="114" t="s">
        <v>1361</v>
      </c>
      <c r="F142" s="347">
        <v>1410</v>
      </c>
    </row>
    <row r="143" spans="1:8" ht="27.75" customHeight="1">
      <c r="A143" s="186">
        <v>11</v>
      </c>
      <c r="B143" s="40" t="s">
        <v>345</v>
      </c>
      <c r="C143" s="346" t="s">
        <v>346</v>
      </c>
      <c r="D143" s="113">
        <v>46144</v>
      </c>
      <c r="E143" s="114" t="s">
        <v>1362</v>
      </c>
      <c r="F143" s="347">
        <v>1410</v>
      </c>
    </row>
    <row r="144" spans="1:8" ht="27.75" customHeight="1">
      <c r="A144" s="186">
        <v>12</v>
      </c>
      <c r="B144" s="40" t="s">
        <v>345</v>
      </c>
      <c r="C144" s="346" t="s">
        <v>348</v>
      </c>
      <c r="D144" s="113">
        <v>46144</v>
      </c>
      <c r="E144" s="114" t="s">
        <v>1362</v>
      </c>
      <c r="F144" s="347">
        <v>1410</v>
      </c>
    </row>
    <row r="145" spans="1:6" ht="27.75" customHeight="1">
      <c r="A145" s="186">
        <v>13</v>
      </c>
      <c r="B145" s="40" t="s">
        <v>345</v>
      </c>
      <c r="C145" s="346" t="s">
        <v>349</v>
      </c>
      <c r="D145" s="113">
        <v>46144</v>
      </c>
      <c r="E145" s="114" t="s">
        <v>1362</v>
      </c>
      <c r="F145" s="347">
        <v>1410</v>
      </c>
    </row>
    <row r="146" spans="1:6" ht="27.75" customHeight="1">
      <c r="A146" s="186">
        <v>14</v>
      </c>
      <c r="B146" s="40" t="s">
        <v>345</v>
      </c>
      <c r="C146" s="346" t="s">
        <v>350</v>
      </c>
      <c r="D146" s="113">
        <v>46144</v>
      </c>
      <c r="E146" s="114" t="s">
        <v>1362</v>
      </c>
      <c r="F146" s="347">
        <v>1410</v>
      </c>
    </row>
    <row r="147" spans="1:6" ht="27.75" customHeight="1">
      <c r="A147" s="186">
        <v>15</v>
      </c>
      <c r="B147" s="40" t="s">
        <v>351</v>
      </c>
      <c r="C147" s="346" t="s">
        <v>352</v>
      </c>
      <c r="D147" s="113">
        <v>46147</v>
      </c>
      <c r="E147" s="114" t="s">
        <v>1363</v>
      </c>
      <c r="F147" s="347">
        <v>1410</v>
      </c>
    </row>
    <row r="148" spans="1:6" ht="27.75" customHeight="1">
      <c r="A148" s="186">
        <v>16</v>
      </c>
      <c r="B148" s="40" t="s">
        <v>351</v>
      </c>
      <c r="C148" s="346" t="s">
        <v>354</v>
      </c>
      <c r="D148" s="113">
        <v>46147</v>
      </c>
      <c r="E148" s="114" t="s">
        <v>1363</v>
      </c>
      <c r="F148" s="347">
        <v>1410</v>
      </c>
    </row>
    <row r="149" spans="1:6" ht="27.75" customHeight="1">
      <c r="A149" s="186">
        <v>17</v>
      </c>
      <c r="B149" s="40" t="s">
        <v>351</v>
      </c>
      <c r="C149" s="346" t="s">
        <v>355</v>
      </c>
      <c r="D149" s="113">
        <v>46147</v>
      </c>
      <c r="E149" s="114" t="s">
        <v>1363</v>
      </c>
      <c r="F149" s="347">
        <v>1410</v>
      </c>
    </row>
    <row r="150" spans="1:6" ht="27.75" customHeight="1">
      <c r="A150" s="186">
        <v>18</v>
      </c>
      <c r="B150" s="40" t="s">
        <v>356</v>
      </c>
      <c r="C150" s="346" t="s">
        <v>357</v>
      </c>
      <c r="D150" s="113">
        <v>46169</v>
      </c>
      <c r="E150" s="114" t="s">
        <v>1364</v>
      </c>
      <c r="F150" s="347">
        <v>2820</v>
      </c>
    </row>
    <row r="151" spans="1:6" ht="27.75" customHeight="1">
      <c r="A151" s="186">
        <v>19</v>
      </c>
      <c r="B151" s="40" t="s">
        <v>356</v>
      </c>
      <c r="C151" s="346" t="s">
        <v>360</v>
      </c>
      <c r="D151" s="113">
        <v>46169</v>
      </c>
      <c r="E151" s="114" t="s">
        <v>1364</v>
      </c>
      <c r="F151" s="347">
        <v>2820</v>
      </c>
    </row>
    <row r="152" spans="1:6" ht="27.75" customHeight="1">
      <c r="A152" s="186">
        <v>20</v>
      </c>
      <c r="B152" s="40" t="s">
        <v>356</v>
      </c>
      <c r="C152" s="346" t="s">
        <v>361</v>
      </c>
      <c r="D152" s="113">
        <v>46169</v>
      </c>
      <c r="E152" s="114" t="s">
        <v>1364</v>
      </c>
      <c r="F152" s="347">
        <v>2820</v>
      </c>
    </row>
    <row r="153" spans="1:6" ht="27.75" customHeight="1">
      <c r="A153" s="186">
        <v>21</v>
      </c>
      <c r="B153" s="40" t="s">
        <v>362</v>
      </c>
      <c r="C153" s="346" t="s">
        <v>363</v>
      </c>
      <c r="D153" s="113">
        <v>46143</v>
      </c>
      <c r="E153" s="114" t="s">
        <v>1365</v>
      </c>
      <c r="F153" s="347">
        <v>1410</v>
      </c>
    </row>
    <row r="154" spans="1:6" ht="27.75" customHeight="1">
      <c r="A154" s="186">
        <v>22</v>
      </c>
      <c r="B154" s="40" t="s">
        <v>362</v>
      </c>
      <c r="C154" s="346" t="s">
        <v>367</v>
      </c>
      <c r="D154" s="113">
        <v>46143</v>
      </c>
      <c r="E154" s="114" t="s">
        <v>1365</v>
      </c>
      <c r="F154" s="347">
        <v>1410</v>
      </c>
    </row>
    <row r="155" spans="1:6" ht="27.75" customHeight="1">
      <c r="A155" s="186">
        <v>23</v>
      </c>
      <c r="B155" s="40" t="s">
        <v>362</v>
      </c>
      <c r="C155" s="346" t="s">
        <v>368</v>
      </c>
      <c r="D155" s="113">
        <v>46143</v>
      </c>
      <c r="E155" s="114" t="s">
        <v>1365</v>
      </c>
      <c r="F155" s="347">
        <v>1410</v>
      </c>
    </row>
    <row r="156" spans="1:6" ht="27.75" customHeight="1">
      <c r="A156" s="186">
        <v>24</v>
      </c>
      <c r="B156" s="40" t="s">
        <v>362</v>
      </c>
      <c r="C156" s="346" t="s">
        <v>369</v>
      </c>
      <c r="D156" s="113">
        <v>46143</v>
      </c>
      <c r="E156" s="114" t="s">
        <v>1365</v>
      </c>
      <c r="F156" s="347">
        <v>1410</v>
      </c>
    </row>
    <row r="157" spans="1:6" ht="27.75" customHeight="1">
      <c r="A157" s="186">
        <v>25</v>
      </c>
      <c r="B157" s="40" t="s">
        <v>362</v>
      </c>
      <c r="C157" s="346" t="s">
        <v>370</v>
      </c>
      <c r="D157" s="113">
        <v>46143</v>
      </c>
      <c r="E157" s="114" t="s">
        <v>1365</v>
      </c>
      <c r="F157" s="347">
        <v>1410</v>
      </c>
    </row>
    <row r="158" spans="1:6" ht="27.75" customHeight="1">
      <c r="A158" s="186">
        <v>26</v>
      </c>
      <c r="B158" s="40" t="s">
        <v>362</v>
      </c>
      <c r="C158" s="346" t="s">
        <v>371</v>
      </c>
      <c r="D158" s="113">
        <v>46143</v>
      </c>
      <c r="E158" s="114" t="s">
        <v>1365</v>
      </c>
      <c r="F158" s="347">
        <v>1410</v>
      </c>
    </row>
    <row r="159" spans="1:6" ht="27.75" customHeight="1">
      <c r="A159" s="186">
        <v>27</v>
      </c>
      <c r="B159" s="40" t="s">
        <v>372</v>
      </c>
      <c r="C159" s="346" t="s">
        <v>373</v>
      </c>
      <c r="D159" s="113">
        <v>46147</v>
      </c>
      <c r="E159" s="114" t="s">
        <v>1366</v>
      </c>
      <c r="F159" s="347">
        <v>1410</v>
      </c>
    </row>
    <row r="160" spans="1:6" ht="27.75" customHeight="1">
      <c r="A160" s="186">
        <v>28</v>
      </c>
      <c r="B160" s="40" t="s">
        <v>372</v>
      </c>
      <c r="C160" s="346" t="s">
        <v>377</v>
      </c>
      <c r="D160" s="113">
        <v>46147</v>
      </c>
      <c r="E160" s="114" t="s">
        <v>1366</v>
      </c>
      <c r="F160" s="347">
        <v>1410</v>
      </c>
    </row>
    <row r="161" spans="1:8" ht="27.75" customHeight="1">
      <c r="A161" s="186">
        <v>29</v>
      </c>
      <c r="B161" s="40" t="s">
        <v>372</v>
      </c>
      <c r="C161" s="346" t="s">
        <v>378</v>
      </c>
      <c r="D161" s="113">
        <v>46147</v>
      </c>
      <c r="E161" s="114" t="s">
        <v>1366</v>
      </c>
      <c r="F161" s="347">
        <v>1410</v>
      </c>
    </row>
    <row r="162" spans="1:8" ht="27.75" customHeight="1">
      <c r="A162" s="186">
        <v>30</v>
      </c>
      <c r="B162" s="40" t="s">
        <v>372</v>
      </c>
      <c r="C162" s="346" t="s">
        <v>379</v>
      </c>
      <c r="D162" s="113">
        <v>46147</v>
      </c>
      <c r="E162" s="114" t="s">
        <v>1366</v>
      </c>
      <c r="F162" s="347">
        <v>1410</v>
      </c>
    </row>
    <row r="163" spans="1:8" ht="27.75" customHeight="1">
      <c r="A163" s="186">
        <v>31</v>
      </c>
      <c r="B163" s="40" t="s">
        <v>380</v>
      </c>
      <c r="C163" s="346" t="s">
        <v>381</v>
      </c>
      <c r="D163" s="175">
        <v>46147</v>
      </c>
      <c r="E163" s="176" t="s">
        <v>1367</v>
      </c>
      <c r="F163" s="222">
        <v>1410</v>
      </c>
    </row>
    <row r="164" spans="1:8" ht="27.75" customHeight="1">
      <c r="A164" s="186">
        <v>32</v>
      </c>
      <c r="B164" s="40" t="s">
        <v>380</v>
      </c>
      <c r="C164" s="346" t="s">
        <v>385</v>
      </c>
      <c r="D164" s="175">
        <v>46147</v>
      </c>
      <c r="E164" s="176" t="s">
        <v>1367</v>
      </c>
      <c r="F164" s="222">
        <v>1410</v>
      </c>
    </row>
    <row r="165" spans="1:8" ht="27.75" customHeight="1">
      <c r="A165" s="186">
        <v>33</v>
      </c>
      <c r="B165" s="40" t="s">
        <v>380</v>
      </c>
      <c r="C165" s="346" t="s">
        <v>386</v>
      </c>
      <c r="D165" s="175">
        <v>46147</v>
      </c>
      <c r="E165" s="176" t="s">
        <v>1367</v>
      </c>
      <c r="F165" s="222">
        <v>1410</v>
      </c>
    </row>
    <row r="166" spans="1:8" ht="27.75" customHeight="1">
      <c r="A166" s="186">
        <v>34</v>
      </c>
      <c r="B166" s="40" t="s">
        <v>380</v>
      </c>
      <c r="C166" s="346" t="s">
        <v>387</v>
      </c>
      <c r="D166" s="175">
        <v>46147</v>
      </c>
      <c r="E166" s="176" t="s">
        <v>1367</v>
      </c>
      <c r="F166" s="222">
        <v>1410</v>
      </c>
    </row>
    <row r="167" spans="1:8" ht="27.75" customHeight="1">
      <c r="A167" s="186">
        <v>35</v>
      </c>
      <c r="B167" s="351" t="s">
        <v>66</v>
      </c>
      <c r="C167" s="346" t="s">
        <v>388</v>
      </c>
      <c r="D167" s="175">
        <v>46172</v>
      </c>
      <c r="E167" s="176" t="s">
        <v>1368</v>
      </c>
      <c r="F167" s="222">
        <v>1760</v>
      </c>
    </row>
    <row r="168" spans="1:8" ht="27.75" customHeight="1">
      <c r="A168" s="186">
        <v>36</v>
      </c>
      <c r="B168" s="351" t="s">
        <v>66</v>
      </c>
      <c r="C168" s="346" t="s">
        <v>390</v>
      </c>
      <c r="D168" s="175">
        <v>46172</v>
      </c>
      <c r="E168" s="176" t="s">
        <v>1368</v>
      </c>
      <c r="F168" s="222">
        <v>1760</v>
      </c>
    </row>
    <row r="169" spans="1:8" ht="27.75" customHeight="1">
      <c r="A169" s="186">
        <v>37</v>
      </c>
      <c r="B169" s="351" t="s">
        <v>66</v>
      </c>
      <c r="C169" s="346" t="s">
        <v>391</v>
      </c>
      <c r="D169" s="175">
        <v>46172</v>
      </c>
      <c r="E169" s="176" t="s">
        <v>1368</v>
      </c>
      <c r="F169" s="222">
        <v>1760</v>
      </c>
    </row>
    <row r="170" spans="1:8" ht="27.75" customHeight="1">
      <c r="A170" s="186">
        <v>38</v>
      </c>
      <c r="B170" s="351" t="s">
        <v>66</v>
      </c>
      <c r="C170" s="346" t="s">
        <v>69</v>
      </c>
      <c r="D170" s="175">
        <v>46172</v>
      </c>
      <c r="E170" s="176" t="s">
        <v>1369</v>
      </c>
      <c r="F170" s="222">
        <v>2720</v>
      </c>
    </row>
    <row r="171" spans="1:8" ht="27.75" customHeight="1" thickBot="1">
      <c r="A171" s="357"/>
      <c r="B171" s="358"/>
      <c r="C171" s="359"/>
      <c r="D171" s="361"/>
      <c r="E171" s="361"/>
      <c r="F171" s="362">
        <v>60170</v>
      </c>
      <c r="H171" s="520">
        <f>SUM(F133:F170)</f>
        <v>60170</v>
      </c>
    </row>
    <row r="172" spans="1:8" ht="27.75" customHeight="1" thickTop="1">
      <c r="A172" s="94"/>
      <c r="B172" s="364" t="s">
        <v>395</v>
      </c>
      <c r="C172" s="81"/>
      <c r="D172" s="178"/>
      <c r="E172" s="179"/>
      <c r="F172" s="264"/>
    </row>
    <row r="173" spans="1:8" ht="27.75" customHeight="1">
      <c r="A173" s="94">
        <v>1</v>
      </c>
      <c r="B173" s="366" t="s">
        <v>167</v>
      </c>
      <c r="C173" s="367" t="s">
        <v>396</v>
      </c>
      <c r="D173" s="175">
        <v>46148</v>
      </c>
      <c r="E173" s="176" t="s">
        <v>1370</v>
      </c>
      <c r="F173" s="222">
        <v>22690</v>
      </c>
    </row>
    <row r="174" spans="1:8" ht="27.75" customHeight="1">
      <c r="A174" s="94">
        <v>2</v>
      </c>
      <c r="B174" s="366" t="s">
        <v>24</v>
      </c>
      <c r="C174" s="367" t="s">
        <v>403</v>
      </c>
      <c r="D174" s="175">
        <v>46147</v>
      </c>
      <c r="E174" s="176" t="s">
        <v>1371</v>
      </c>
      <c r="F174" s="222">
        <v>15295</v>
      </c>
    </row>
    <row r="175" spans="1:8" ht="27.75" customHeight="1">
      <c r="A175" s="94">
        <v>3</v>
      </c>
      <c r="B175" s="366" t="s">
        <v>411</v>
      </c>
      <c r="C175" s="367" t="s">
        <v>412</v>
      </c>
      <c r="D175" s="175">
        <v>46147</v>
      </c>
      <c r="E175" s="176" t="s">
        <v>1372</v>
      </c>
      <c r="F175" s="222">
        <v>5360</v>
      </c>
    </row>
    <row r="176" spans="1:8" ht="27.75" customHeight="1">
      <c r="A176" s="94">
        <v>4</v>
      </c>
      <c r="B176" s="366" t="s">
        <v>417</v>
      </c>
      <c r="C176" s="367" t="s">
        <v>418</v>
      </c>
      <c r="D176" s="175">
        <v>46167</v>
      </c>
      <c r="E176" s="176" t="s">
        <v>1373</v>
      </c>
      <c r="F176" s="222">
        <v>68108.75</v>
      </c>
    </row>
    <row r="177" spans="1:9" ht="27.75" customHeight="1">
      <c r="A177" s="94">
        <v>5</v>
      </c>
      <c r="B177" s="366" t="s">
        <v>417</v>
      </c>
      <c r="C177" s="367" t="s">
        <v>421</v>
      </c>
      <c r="D177" s="175">
        <v>46143</v>
      </c>
      <c r="E177" s="176" t="s">
        <v>1374</v>
      </c>
      <c r="F177" s="222">
        <v>4910</v>
      </c>
    </row>
    <row r="178" spans="1:9" ht="27.75" customHeight="1">
      <c r="A178" s="94">
        <v>6</v>
      </c>
      <c r="B178" s="366" t="s">
        <v>428</v>
      </c>
      <c r="C178" s="367" t="s">
        <v>429</v>
      </c>
      <c r="D178" s="175">
        <v>46147</v>
      </c>
      <c r="E178" s="176" t="s">
        <v>1375</v>
      </c>
      <c r="F178" s="222">
        <v>20000</v>
      </c>
    </row>
    <row r="179" spans="1:9" ht="27.75" customHeight="1" thickBot="1">
      <c r="A179" s="193"/>
      <c r="B179" s="194" t="s">
        <v>22</v>
      </c>
      <c r="C179" s="195"/>
      <c r="D179" s="199"/>
      <c r="E179" s="199"/>
      <c r="F179" s="196">
        <v>136363.75</v>
      </c>
      <c r="H179" s="520">
        <f>SUM(F173:F178)</f>
        <v>136363.75</v>
      </c>
    </row>
    <row r="180" spans="1:9" ht="27.75" customHeight="1" thickTop="1">
      <c r="A180" s="22"/>
      <c r="B180" s="288" t="s">
        <v>433</v>
      </c>
      <c r="C180" s="380"/>
      <c r="D180" s="382"/>
      <c r="E180" s="382"/>
      <c r="F180" s="383"/>
    </row>
    <row r="181" spans="1:9" ht="27.75" customHeight="1">
      <c r="A181" s="22">
        <v>2</v>
      </c>
      <c r="B181" s="270" t="s">
        <v>438</v>
      </c>
      <c r="C181" s="380" t="s">
        <v>439</v>
      </c>
      <c r="D181" s="389" t="s">
        <v>1377</v>
      </c>
      <c r="E181" s="386" t="s">
        <v>1378</v>
      </c>
      <c r="F181" s="383">
        <v>1500</v>
      </c>
    </row>
    <row r="182" spans="1:9" ht="27.75" customHeight="1" thickBot="1">
      <c r="A182" s="193"/>
      <c r="B182" s="194" t="s">
        <v>22</v>
      </c>
      <c r="C182" s="195"/>
      <c r="D182" s="393">
        <v>0</v>
      </c>
      <c r="E182" s="393">
        <v>0</v>
      </c>
      <c r="F182" s="394">
        <v>1500</v>
      </c>
      <c r="H182" s="520">
        <f>SUM(F181)</f>
        <v>1500</v>
      </c>
    </row>
    <row r="183" spans="1:9" ht="27.75" customHeight="1" thickTop="1" thickBot="1">
      <c r="A183" s="414"/>
      <c r="B183" s="415"/>
      <c r="C183" s="416" t="s">
        <v>468</v>
      </c>
      <c r="D183" s="421"/>
      <c r="E183" s="421"/>
      <c r="F183" s="422">
        <v>825677.41</v>
      </c>
      <c r="I183" s="521">
        <f>SUM(H24:H182)</f>
        <v>825677.41</v>
      </c>
    </row>
    <row r="184" spans="1:9" ht="27.75" customHeight="1" thickTop="1">
      <c r="A184" s="426"/>
      <c r="B184" s="4"/>
      <c r="C184" s="295"/>
      <c r="D184" s="431"/>
      <c r="E184" s="432"/>
      <c r="F184" s="427"/>
    </row>
    <row r="185" spans="1:9" ht="27.75" customHeight="1">
      <c r="A185" s="426"/>
      <c r="B185" s="4"/>
      <c r="C185" s="295"/>
      <c r="D185" s="432"/>
      <c r="E185" s="432"/>
      <c r="F185" s="427"/>
    </row>
    <row r="186" spans="1:9" ht="27.75" customHeight="1" thickBot="1">
      <c r="A186" s="488"/>
      <c r="B186" s="489" t="s">
        <v>498</v>
      </c>
      <c r="C186" s="490"/>
      <c r="D186" s="494"/>
      <c r="E186" s="494"/>
      <c r="F186" s="493">
        <v>825677.41</v>
      </c>
    </row>
    <row r="187" spans="1:9" s="226" customFormat="1" ht="27.75" customHeight="1" thickTop="1">
      <c r="A187" s="6"/>
      <c r="B187" s="500"/>
      <c r="D187" s="3"/>
      <c r="E187" s="372"/>
      <c r="F187" s="501"/>
    </row>
    <row r="188" spans="1:9" s="226" customFormat="1" ht="27.75" customHeight="1">
      <c r="A188" s="6"/>
      <c r="B188" s="500"/>
      <c r="D188" s="3"/>
      <c r="E188" s="372"/>
      <c r="F188" s="501"/>
    </row>
    <row r="189" spans="1:9" s="226" customFormat="1" ht="27.75" customHeight="1">
      <c r="A189" s="684" t="s">
        <v>932</v>
      </c>
      <c r="B189" s="684"/>
      <c r="C189" s="684"/>
      <c r="D189" s="684"/>
      <c r="E189" s="684"/>
      <c r="F189" s="684"/>
    </row>
    <row r="190" spans="1:9" s="226" customFormat="1" ht="27.75" customHeight="1">
      <c r="A190" s="678" t="s">
        <v>933</v>
      </c>
      <c r="B190" s="678"/>
      <c r="C190" s="678"/>
      <c r="D190" s="678"/>
      <c r="E190" s="678"/>
      <c r="F190" s="678"/>
    </row>
    <row r="191" spans="1:9" s="226" customFormat="1" ht="27.75" customHeight="1">
      <c r="A191" s="678"/>
      <c r="B191" s="678"/>
      <c r="C191" s="678"/>
      <c r="D191" s="678"/>
      <c r="E191" s="678"/>
      <c r="F191" s="678"/>
    </row>
    <row r="192" spans="1:9" s="226" customFormat="1" ht="27.75" customHeight="1">
      <c r="A192" s="6"/>
      <c r="B192" s="500"/>
      <c r="D192" s="3"/>
      <c r="E192" s="372"/>
      <c r="F192" s="501"/>
    </row>
    <row r="193" spans="1:6" s="226" customFormat="1" ht="27.75" customHeight="1">
      <c r="A193" s="6"/>
      <c r="B193" s="500"/>
      <c r="D193" s="3"/>
      <c r="E193" s="372"/>
      <c r="F193" s="501"/>
    </row>
    <row r="194" spans="1:6" s="226" customFormat="1" ht="27.75" customHeight="1">
      <c r="A194" s="6"/>
      <c r="B194" s="500"/>
      <c r="D194" s="3"/>
      <c r="E194" s="372"/>
      <c r="F194" s="501"/>
    </row>
    <row r="195" spans="1:6" s="226" customFormat="1" ht="27.75" customHeight="1">
      <c r="A195" s="6"/>
      <c r="B195" s="500"/>
      <c r="D195" s="3"/>
      <c r="E195" s="372"/>
      <c r="F195" s="501"/>
    </row>
    <row r="196" spans="1:6" s="226" customFormat="1" ht="27.75" customHeight="1">
      <c r="A196" s="6"/>
      <c r="B196" s="500"/>
      <c r="D196" s="3"/>
      <c r="E196" s="372"/>
      <c r="F196" s="501"/>
    </row>
    <row r="197" spans="1:6" s="226" customFormat="1" ht="27.75" customHeight="1">
      <c r="A197" s="6"/>
      <c r="B197" s="500"/>
      <c r="D197" s="3"/>
      <c r="E197" s="372"/>
      <c r="F197" s="501"/>
    </row>
    <row r="198" spans="1:6" s="226" customFormat="1" ht="27.75" customHeight="1">
      <c r="A198" s="6"/>
      <c r="B198" s="500"/>
      <c r="D198" s="3"/>
      <c r="E198" s="372"/>
      <c r="F198" s="501"/>
    </row>
    <row r="199" spans="1:6" s="226" customFormat="1" ht="27.75" customHeight="1">
      <c r="A199" s="6"/>
      <c r="B199" s="500"/>
      <c r="D199" s="3"/>
      <c r="E199" s="372"/>
      <c r="F199" s="501"/>
    </row>
    <row r="200" spans="1:6" s="226" customFormat="1" ht="27.75" customHeight="1">
      <c r="A200" s="6"/>
      <c r="B200" s="500"/>
      <c r="D200" s="3"/>
      <c r="E200" s="372"/>
      <c r="F200" s="501"/>
    </row>
    <row r="201" spans="1:6" s="226" customFormat="1" ht="27.75" customHeight="1">
      <c r="A201" s="6"/>
      <c r="B201" s="500"/>
      <c r="D201" s="3"/>
      <c r="E201" s="372"/>
      <c r="F201" s="501"/>
    </row>
    <row r="202" spans="1:6" s="226" customFormat="1" ht="27.75" customHeight="1">
      <c r="A202" s="6"/>
      <c r="B202" s="500"/>
      <c r="D202" s="3"/>
      <c r="E202" s="372"/>
      <c r="F202" s="501"/>
    </row>
    <row r="203" spans="1:6" s="226" customFormat="1" ht="27.75" customHeight="1">
      <c r="A203" s="6"/>
      <c r="D203" s="3"/>
      <c r="E203" s="372"/>
      <c r="F203" s="501"/>
    </row>
    <row r="204" spans="1:6" ht="27.75" customHeight="1">
      <c r="B204" s="4"/>
      <c r="F204" s="4"/>
    </row>
    <row r="205" spans="1:6" ht="27.75" customHeight="1">
      <c r="B205" s="4"/>
      <c r="F205" s="4"/>
    </row>
    <row r="206" spans="1:6" ht="27.75" customHeight="1">
      <c r="B206" s="4"/>
      <c r="F206" s="4"/>
    </row>
    <row r="207" spans="1:6" ht="27.75" customHeight="1">
      <c r="B207" s="4"/>
      <c r="F207" s="4"/>
    </row>
    <row r="208" spans="1:6" ht="27.75" customHeight="1">
      <c r="B208" s="4"/>
      <c r="F208" s="4"/>
    </row>
    <row r="209" spans="2:6" ht="27.75" customHeight="1">
      <c r="B209" s="4"/>
      <c r="F209" s="4"/>
    </row>
    <row r="210" spans="2:6" ht="27.75" customHeight="1">
      <c r="B210" s="4"/>
      <c r="F210" s="4"/>
    </row>
    <row r="211" spans="2:6" ht="27.75" customHeight="1">
      <c r="B211" s="4"/>
      <c r="F211" s="4"/>
    </row>
    <row r="212" spans="2:6" ht="27.75" customHeight="1">
      <c r="B212" s="4"/>
      <c r="F212" s="4"/>
    </row>
    <row r="213" spans="2:6" ht="27.75" customHeight="1">
      <c r="B213" s="4"/>
      <c r="F213" s="4"/>
    </row>
    <row r="214" spans="2:6" ht="27.75" customHeight="1">
      <c r="B214" s="4"/>
      <c r="F214" s="4"/>
    </row>
    <row r="215" spans="2:6" ht="27.75" customHeight="1">
      <c r="B215" s="4"/>
      <c r="F215" s="4"/>
    </row>
    <row r="216" spans="2:6" ht="27.75" customHeight="1">
      <c r="B216" s="4"/>
      <c r="F216" s="4"/>
    </row>
    <row r="217" spans="2:6" ht="27.75" customHeight="1">
      <c r="B217" s="4"/>
      <c r="F217" s="4"/>
    </row>
    <row r="218" spans="2:6" ht="27.75" customHeight="1">
      <c r="B218" s="4"/>
      <c r="F218" s="4"/>
    </row>
    <row r="219" spans="2:6" ht="27.75" customHeight="1">
      <c r="B219" s="4"/>
      <c r="F219" s="4"/>
    </row>
    <row r="231" spans="2:6" ht="27.75" customHeight="1">
      <c r="B231" s="4"/>
      <c r="F231" s="4"/>
    </row>
    <row r="232" spans="2:6" ht="27.75" customHeight="1">
      <c r="B232" s="4"/>
      <c r="F232" s="4"/>
    </row>
    <row r="233" spans="2:6" ht="27.75" customHeight="1">
      <c r="B233" s="4"/>
      <c r="F233" s="4"/>
    </row>
    <row r="234" spans="2:6" ht="27.75" customHeight="1">
      <c r="B234" s="4"/>
      <c r="F234" s="4"/>
    </row>
    <row r="235" spans="2:6" ht="27.75" customHeight="1">
      <c r="B235" s="4"/>
      <c r="F235" s="4"/>
    </row>
    <row r="236" spans="2:6" ht="27.75" customHeight="1">
      <c r="B236" s="4"/>
      <c r="F236" s="4"/>
    </row>
    <row r="237" spans="2:6" ht="27.75" customHeight="1">
      <c r="B237" s="4"/>
      <c r="F237" s="4"/>
    </row>
    <row r="238" spans="2:6" ht="27.75" customHeight="1">
      <c r="B238" s="4"/>
      <c r="F238" s="4"/>
    </row>
    <row r="239" spans="2:6" ht="27.75" customHeight="1">
      <c r="B239" s="4"/>
      <c r="F239" s="4"/>
    </row>
    <row r="240" spans="2:6" ht="27.75" customHeight="1">
      <c r="B240" s="4"/>
      <c r="F240" s="4"/>
    </row>
    <row r="241" spans="2:6" ht="27.75" customHeight="1">
      <c r="B241" s="4"/>
      <c r="F241" s="4"/>
    </row>
    <row r="242" spans="2:6" ht="27.75" customHeight="1">
      <c r="B242" s="4"/>
      <c r="F242" s="4"/>
    </row>
    <row r="243" spans="2:6" ht="27.75" customHeight="1">
      <c r="B243" s="4"/>
      <c r="F243" s="4"/>
    </row>
  </sheetData>
  <mergeCells count="11">
    <mergeCell ref="A1:F1"/>
    <mergeCell ref="A2:F2"/>
    <mergeCell ref="A3:F3"/>
    <mergeCell ref="E5:E6"/>
    <mergeCell ref="F5:F6"/>
    <mergeCell ref="A190:F190"/>
    <mergeCell ref="A191:F191"/>
    <mergeCell ref="A189:F189"/>
    <mergeCell ref="A5:A6"/>
    <mergeCell ref="B5:B6"/>
    <mergeCell ref="C5:C6"/>
  </mergeCells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E708B-041A-4EB9-8B39-380352328956}">
  <sheetPr>
    <tabColor rgb="FF92D050"/>
  </sheetPr>
  <dimension ref="A1:Q154"/>
  <sheetViews>
    <sheetView zoomScale="70" zoomScaleNormal="70" workbookViewId="0">
      <pane ySplit="6" topLeftCell="A74" activePane="bottomLeft" state="frozen"/>
      <selection pane="bottomLeft" activeCell="Q78" sqref="Q78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6.88671875" style="552" customWidth="1"/>
    <col min="5" max="5" width="20" style="372" customWidth="1"/>
    <col min="6" max="6" width="9.109375" style="2" customWidth="1"/>
    <col min="7" max="7" width="23.6640625" style="507" customWidth="1"/>
    <col min="8" max="8" width="5.33203125" style="2" hidden="1" customWidth="1"/>
    <col min="9" max="9" width="9" style="508" hidden="1" customWidth="1"/>
    <col min="10" max="10" width="9.6640625" style="508" hidden="1" customWidth="1"/>
    <col min="11" max="11" width="10.88671875" style="512" hidden="1" customWidth="1"/>
    <col min="12" max="12" width="24.5546875" style="512" hidden="1" customWidth="1"/>
    <col min="13" max="14" width="8.88671875" style="4" hidden="1" customWidth="1"/>
    <col min="15" max="15" width="8.88671875" style="4"/>
    <col min="16" max="16" width="19.21875" style="4" customWidth="1"/>
    <col min="17" max="17" width="32.6640625" style="4" customWidth="1"/>
    <col min="18" max="16384" width="8.88671875" style="4"/>
  </cols>
  <sheetData>
    <row r="1" spans="1:16" ht="28.5" customHeight="1">
      <c r="A1" s="653" t="s">
        <v>0</v>
      </c>
      <c r="B1" s="653"/>
      <c r="C1" s="653"/>
      <c r="D1" s="653"/>
      <c r="E1" s="653"/>
      <c r="F1" s="653"/>
      <c r="G1" s="653"/>
      <c r="I1" s="3"/>
      <c r="J1" s="3"/>
      <c r="K1" s="1"/>
      <c r="L1" s="1"/>
    </row>
    <row r="2" spans="1:16" ht="23.25" customHeight="1">
      <c r="A2" s="653" t="s">
        <v>1</v>
      </c>
      <c r="B2" s="653"/>
      <c r="C2" s="653"/>
      <c r="D2" s="653"/>
      <c r="E2" s="653"/>
      <c r="F2" s="653"/>
      <c r="G2" s="653"/>
      <c r="H2" s="5"/>
      <c r="I2" s="3"/>
      <c r="J2" s="3"/>
      <c r="K2" s="1"/>
      <c r="L2" s="1"/>
    </row>
    <row r="3" spans="1:16" ht="28.5" customHeight="1">
      <c r="A3" s="654" t="s">
        <v>1270</v>
      </c>
      <c r="B3" s="654"/>
      <c r="C3" s="654"/>
      <c r="D3" s="654"/>
      <c r="E3" s="654"/>
      <c r="F3" s="654"/>
      <c r="G3" s="654"/>
      <c r="I3" s="3"/>
      <c r="J3" s="3"/>
      <c r="K3" s="6"/>
      <c r="L3" s="6"/>
    </row>
    <row r="4" spans="1:16" ht="27.75" customHeight="1">
      <c r="A4" s="7"/>
      <c r="B4" s="8"/>
      <c r="C4" s="9"/>
      <c r="D4" s="522"/>
      <c r="E4" s="655" t="s">
        <v>5</v>
      </c>
      <c r="F4" s="656"/>
      <c r="G4" s="657"/>
      <c r="H4" s="658" t="s">
        <v>6</v>
      </c>
      <c r="I4" s="671" t="s">
        <v>7</v>
      </c>
      <c r="J4" s="671" t="s">
        <v>8</v>
      </c>
      <c r="K4" s="661" t="s">
        <v>9</v>
      </c>
      <c r="L4" s="661" t="s">
        <v>10</v>
      </c>
    </row>
    <row r="5" spans="1:16" ht="27.75" customHeight="1">
      <c r="A5" s="664" t="s">
        <v>11</v>
      </c>
      <c r="B5" s="666" t="s">
        <v>12</v>
      </c>
      <c r="C5" s="666" t="s">
        <v>13</v>
      </c>
      <c r="D5" s="523" t="s">
        <v>557</v>
      </c>
      <c r="E5" s="664" t="s">
        <v>15</v>
      </c>
      <c r="F5" s="669" t="s">
        <v>16</v>
      </c>
      <c r="G5" s="514"/>
      <c r="H5" s="659"/>
      <c r="I5" s="672"/>
      <c r="J5" s="672"/>
      <c r="K5" s="662"/>
      <c r="L5" s="662"/>
    </row>
    <row r="6" spans="1:16" ht="27.75" customHeight="1" thickBot="1">
      <c r="A6" s="665"/>
      <c r="B6" s="667"/>
      <c r="C6" s="667"/>
      <c r="D6" s="524"/>
      <c r="E6" s="668"/>
      <c r="F6" s="670"/>
      <c r="G6" s="21" t="s">
        <v>22</v>
      </c>
      <c r="H6" s="660"/>
      <c r="I6" s="673"/>
      <c r="J6" s="673"/>
      <c r="K6" s="663"/>
      <c r="L6" s="663"/>
    </row>
    <row r="7" spans="1:16" ht="27.75" customHeight="1" thickTop="1">
      <c r="A7" s="22"/>
      <c r="B7" s="23" t="s">
        <v>23</v>
      </c>
      <c r="C7" s="24"/>
      <c r="D7" s="525"/>
      <c r="E7" s="32"/>
      <c r="F7" s="33"/>
      <c r="G7" s="35"/>
      <c r="H7" s="36"/>
      <c r="I7" s="37"/>
      <c r="J7" s="37"/>
      <c r="K7" s="38"/>
      <c r="L7" s="38"/>
      <c r="M7" s="38"/>
    </row>
    <row r="8" spans="1:16" s="57" customFormat="1" ht="27.75" customHeight="1">
      <c r="A8" s="39">
        <v>1</v>
      </c>
      <c r="B8" s="40" t="s">
        <v>53</v>
      </c>
      <c r="C8" s="41" t="s">
        <v>54</v>
      </c>
      <c r="D8" s="526">
        <v>4012.5</v>
      </c>
      <c r="E8" s="51"/>
      <c r="F8" s="52"/>
      <c r="G8" s="54"/>
      <c r="H8" s="39"/>
      <c r="I8" s="55"/>
      <c r="J8" s="55"/>
      <c r="K8" s="56"/>
      <c r="L8" s="56"/>
    </row>
    <row r="9" spans="1:16" s="57" customFormat="1" ht="35.25" customHeight="1" thickBot="1">
      <c r="A9" s="67"/>
      <c r="B9" s="68" t="s">
        <v>22</v>
      </c>
      <c r="C9" s="69"/>
      <c r="D9" s="527"/>
      <c r="E9" s="77"/>
      <c r="F9" s="78"/>
      <c r="G9" s="79">
        <v>0</v>
      </c>
      <c r="H9" s="79">
        <v>0</v>
      </c>
      <c r="I9" s="79">
        <v>0</v>
      </c>
      <c r="J9" s="79">
        <v>0</v>
      </c>
      <c r="K9" s="79">
        <v>0</v>
      </c>
      <c r="L9" s="79">
        <v>0</v>
      </c>
      <c r="M9" s="79">
        <v>0</v>
      </c>
      <c r="N9" s="79">
        <v>0</v>
      </c>
    </row>
    <row r="10" spans="1:16" s="91" customFormat="1" ht="27.75" customHeight="1" thickTop="1">
      <c r="A10" s="39">
        <v>1</v>
      </c>
      <c r="B10" s="80" t="s">
        <v>71</v>
      </c>
      <c r="C10" s="81" t="s">
        <v>72</v>
      </c>
      <c r="D10" s="528">
        <v>6687.5</v>
      </c>
      <c r="E10" s="87"/>
      <c r="F10" s="88"/>
      <c r="G10" s="519"/>
      <c r="H10" s="39"/>
      <c r="I10" s="55"/>
      <c r="J10" s="55"/>
      <c r="K10" s="58"/>
      <c r="L10" s="58"/>
    </row>
    <row r="11" spans="1:16" s="57" customFormat="1" ht="27.75" customHeight="1" thickBot="1">
      <c r="A11" s="96"/>
      <c r="B11" s="97" t="s">
        <v>22</v>
      </c>
      <c r="C11" s="98"/>
      <c r="D11" s="530"/>
      <c r="E11" s="106"/>
      <c r="F11" s="107"/>
      <c r="G11" s="109"/>
      <c r="H11" s="39"/>
      <c r="I11" s="55"/>
      <c r="J11" s="55"/>
      <c r="K11" s="56"/>
      <c r="L11" s="56"/>
    </row>
    <row r="12" spans="1:16" ht="27.75" customHeight="1" thickTop="1">
      <c r="A12" s="39">
        <v>1</v>
      </c>
      <c r="B12" s="40" t="s">
        <v>78</v>
      </c>
      <c r="C12" s="81" t="s">
        <v>72</v>
      </c>
      <c r="D12" s="528"/>
      <c r="E12" s="94" t="s">
        <v>1287</v>
      </c>
      <c r="F12" s="116">
        <v>1</v>
      </c>
      <c r="G12" s="54">
        <v>13613.815514018694</v>
      </c>
      <c r="H12" s="39"/>
      <c r="I12" s="55"/>
      <c r="J12" s="55"/>
      <c r="K12" s="56"/>
      <c r="L12" s="56"/>
    </row>
    <row r="13" spans="1:16" ht="27.75" customHeight="1">
      <c r="A13" s="39">
        <v>2</v>
      </c>
      <c r="B13" s="40" t="s">
        <v>82</v>
      </c>
      <c r="C13" s="41" t="s">
        <v>72</v>
      </c>
      <c r="D13" s="529"/>
      <c r="E13" s="94" t="s">
        <v>1287</v>
      </c>
      <c r="F13" s="116">
        <v>1</v>
      </c>
      <c r="G13" s="54">
        <v>1797.5981308411219</v>
      </c>
      <c r="H13" s="39"/>
      <c r="I13" s="55"/>
      <c r="J13" s="55"/>
      <c r="K13" s="56"/>
      <c r="L13" s="56"/>
    </row>
    <row r="14" spans="1:16" s="57" customFormat="1" ht="27.75" customHeight="1" thickBot="1">
      <c r="A14" s="96"/>
      <c r="B14" s="97" t="s">
        <v>22</v>
      </c>
      <c r="C14" s="98"/>
      <c r="D14" s="530"/>
      <c r="E14" s="106"/>
      <c r="F14" s="107"/>
      <c r="G14" s="108">
        <v>15411.414392523362</v>
      </c>
      <c r="H14" s="39"/>
      <c r="I14" s="55"/>
      <c r="J14" s="55"/>
      <c r="K14" s="56"/>
      <c r="L14" s="56"/>
      <c r="P14" s="57">
        <f>SUM(G12:G13)</f>
        <v>15411.413644859815</v>
      </c>
    </row>
    <row r="15" spans="1:16" ht="27.75" hidden="1" customHeight="1" thickBot="1">
      <c r="A15" s="39">
        <v>1</v>
      </c>
      <c r="B15" s="40" t="s">
        <v>88</v>
      </c>
      <c r="C15" s="41" t="s">
        <v>72</v>
      </c>
      <c r="D15" s="529"/>
      <c r="E15" s="94"/>
      <c r="F15" s="39"/>
      <c r="G15" s="54">
        <v>0</v>
      </c>
      <c r="H15" s="122"/>
      <c r="I15" s="37"/>
      <c r="J15" s="37"/>
      <c r="K15" s="38"/>
      <c r="L15" s="38"/>
    </row>
    <row r="16" spans="1:16" ht="27.75" hidden="1" customHeight="1" thickTop="1">
      <c r="A16" s="39">
        <v>2</v>
      </c>
      <c r="B16" s="40" t="s">
        <v>89</v>
      </c>
      <c r="C16" s="41" t="s">
        <v>72</v>
      </c>
      <c r="D16" s="529"/>
      <c r="E16" s="94"/>
      <c r="F16" s="39"/>
      <c r="G16" s="54">
        <v>0</v>
      </c>
      <c r="H16" s="122"/>
      <c r="I16" s="37"/>
      <c r="J16" s="37"/>
      <c r="K16" s="38"/>
      <c r="L16" s="38"/>
    </row>
    <row r="17" spans="1:13" ht="27.75" hidden="1" customHeight="1" thickTop="1">
      <c r="A17" s="39">
        <v>3</v>
      </c>
      <c r="B17" s="40" t="s">
        <v>90</v>
      </c>
      <c r="C17" s="41" t="s">
        <v>72</v>
      </c>
      <c r="D17" s="529"/>
      <c r="E17" s="94"/>
      <c r="F17" s="39"/>
      <c r="G17" s="54">
        <v>0</v>
      </c>
      <c r="H17" s="122"/>
      <c r="I17" s="37"/>
      <c r="J17" s="37"/>
      <c r="K17" s="38"/>
      <c r="L17" s="38"/>
    </row>
    <row r="18" spans="1:13" ht="27.75" hidden="1" customHeight="1" thickTop="1">
      <c r="A18" s="39">
        <v>4</v>
      </c>
      <c r="B18" s="40" t="s">
        <v>91</v>
      </c>
      <c r="C18" s="41" t="s">
        <v>72</v>
      </c>
      <c r="D18" s="529"/>
      <c r="E18" s="94"/>
      <c r="F18" s="39"/>
      <c r="G18" s="54">
        <v>0</v>
      </c>
      <c r="H18" s="122"/>
      <c r="I18" s="37"/>
      <c r="J18" s="37"/>
      <c r="K18" s="38"/>
      <c r="L18" s="38"/>
    </row>
    <row r="19" spans="1:13" ht="27.75" hidden="1" customHeight="1" thickTop="1">
      <c r="A19" s="39">
        <v>5</v>
      </c>
      <c r="B19" s="40" t="s">
        <v>92</v>
      </c>
      <c r="C19" s="41" t="s">
        <v>72</v>
      </c>
      <c r="D19" s="529"/>
      <c r="E19" s="94"/>
      <c r="F19" s="39"/>
      <c r="G19" s="54">
        <v>0</v>
      </c>
      <c r="H19" s="122"/>
      <c r="I19" s="37"/>
      <c r="J19" s="37"/>
      <c r="K19" s="38"/>
      <c r="L19" s="38"/>
    </row>
    <row r="20" spans="1:13" ht="27.75" hidden="1" customHeight="1" thickTop="1">
      <c r="A20" s="39">
        <v>6</v>
      </c>
      <c r="B20" s="123" t="s">
        <v>93</v>
      </c>
      <c r="C20" s="41" t="s">
        <v>72</v>
      </c>
      <c r="D20" s="529"/>
      <c r="E20" s="94"/>
      <c r="F20" s="39"/>
      <c r="G20" s="54">
        <v>0</v>
      </c>
      <c r="H20" s="122"/>
      <c r="I20" s="37"/>
      <c r="J20" s="37"/>
      <c r="K20" s="38"/>
      <c r="L20" s="38"/>
    </row>
    <row r="21" spans="1:13" ht="27.75" hidden="1" customHeight="1" thickTop="1">
      <c r="A21" s="39">
        <v>7</v>
      </c>
      <c r="B21" s="40" t="s">
        <v>94</v>
      </c>
      <c r="C21" s="41" t="s">
        <v>72</v>
      </c>
      <c r="D21" s="529"/>
      <c r="E21" s="94"/>
      <c r="F21" s="39"/>
      <c r="G21" s="54">
        <v>0</v>
      </c>
      <c r="H21" s="122"/>
      <c r="I21" s="37"/>
      <c r="J21" s="37"/>
      <c r="K21" s="38"/>
      <c r="L21" s="38"/>
    </row>
    <row r="22" spans="1:13" ht="27.75" hidden="1" customHeight="1" thickTop="1">
      <c r="A22" s="39">
        <v>8</v>
      </c>
      <c r="B22" s="40" t="s">
        <v>95</v>
      </c>
      <c r="C22" s="41" t="s">
        <v>72</v>
      </c>
      <c r="D22" s="529"/>
      <c r="E22" s="94"/>
      <c r="F22" s="39"/>
      <c r="G22" s="54">
        <v>0</v>
      </c>
      <c r="H22" s="122"/>
      <c r="I22" s="37"/>
      <c r="J22" s="37"/>
      <c r="K22" s="38"/>
      <c r="L22" s="38"/>
    </row>
    <row r="23" spans="1:13" ht="27.75" hidden="1" customHeight="1" thickTop="1">
      <c r="A23" s="39">
        <v>9</v>
      </c>
      <c r="B23" s="40" t="s">
        <v>96</v>
      </c>
      <c r="C23" s="41" t="s">
        <v>72</v>
      </c>
      <c r="D23" s="529"/>
      <c r="E23" s="94"/>
      <c r="F23" s="39"/>
      <c r="G23" s="54">
        <v>0</v>
      </c>
      <c r="H23" s="122"/>
      <c r="I23" s="37"/>
      <c r="J23" s="37"/>
      <c r="K23" s="38"/>
      <c r="L23" s="38"/>
    </row>
    <row r="24" spans="1:13" ht="27.75" hidden="1" customHeight="1" thickTop="1">
      <c r="A24" s="39">
        <v>10</v>
      </c>
      <c r="B24" s="40" t="s">
        <v>97</v>
      </c>
      <c r="C24" s="41" t="s">
        <v>72</v>
      </c>
      <c r="D24" s="529"/>
      <c r="E24" s="94"/>
      <c r="F24" s="39"/>
      <c r="G24" s="54">
        <v>0</v>
      </c>
      <c r="H24" s="122"/>
      <c r="I24" s="37"/>
      <c r="J24" s="37"/>
      <c r="K24" s="38"/>
      <c r="L24" s="38"/>
    </row>
    <row r="25" spans="1:13" ht="27.75" hidden="1" customHeight="1" thickTop="1">
      <c r="A25" s="39">
        <v>11</v>
      </c>
      <c r="B25" s="40" t="s">
        <v>98</v>
      </c>
      <c r="C25" s="41" t="s">
        <v>72</v>
      </c>
      <c r="D25" s="529"/>
      <c r="E25" s="94"/>
      <c r="F25" s="39"/>
      <c r="G25" s="54">
        <v>0</v>
      </c>
      <c r="H25" s="122"/>
      <c r="I25" s="37"/>
      <c r="J25" s="37"/>
      <c r="K25" s="38"/>
      <c r="L25" s="38"/>
    </row>
    <row r="26" spans="1:13" ht="27.75" hidden="1" customHeight="1" thickTop="1">
      <c r="A26" s="39">
        <v>12</v>
      </c>
      <c r="B26" s="40" t="s">
        <v>99</v>
      </c>
      <c r="C26" s="41" t="s">
        <v>72</v>
      </c>
      <c r="D26" s="529"/>
      <c r="E26" s="94"/>
      <c r="F26" s="39"/>
      <c r="G26" s="54">
        <v>0</v>
      </c>
      <c r="H26" s="122"/>
      <c r="I26" s="37"/>
      <c r="J26" s="37"/>
      <c r="K26" s="38"/>
      <c r="L26" s="38"/>
    </row>
    <row r="27" spans="1:13" ht="27.75" hidden="1" customHeight="1" thickTop="1">
      <c r="A27" s="39"/>
      <c r="B27" s="123"/>
      <c r="C27" s="41"/>
      <c r="D27" s="528"/>
      <c r="E27" s="83"/>
      <c r="F27" s="130"/>
      <c r="G27" s="54">
        <v>0</v>
      </c>
      <c r="H27" s="122"/>
      <c r="I27" s="37"/>
      <c r="J27" s="37"/>
      <c r="K27" s="38"/>
      <c r="L27" s="38"/>
    </row>
    <row r="28" spans="1:13" ht="27.75" hidden="1" customHeight="1" thickTop="1">
      <c r="A28" s="22"/>
      <c r="B28" s="131" t="s">
        <v>22</v>
      </c>
      <c r="C28" s="132"/>
      <c r="D28" s="531"/>
      <c r="E28" s="139"/>
      <c r="F28" s="133"/>
      <c r="G28" s="136">
        <v>0</v>
      </c>
      <c r="H28" s="36"/>
      <c r="I28" s="37"/>
      <c r="J28" s="37"/>
      <c r="K28" s="38"/>
      <c r="L28" s="38"/>
      <c r="M28" s="38"/>
    </row>
    <row r="29" spans="1:13" ht="27.75" customHeight="1" thickTop="1">
      <c r="A29" s="22"/>
      <c r="B29" s="23" t="s">
        <v>100</v>
      </c>
      <c r="C29" s="24"/>
      <c r="D29" s="525"/>
      <c r="E29" s="32"/>
      <c r="F29" s="33"/>
      <c r="G29" s="35"/>
      <c r="H29" s="36"/>
      <c r="I29" s="37"/>
      <c r="J29" s="37"/>
      <c r="K29" s="38"/>
      <c r="L29" s="38"/>
      <c r="M29" s="38"/>
    </row>
    <row r="30" spans="1:13" s="57" customFormat="1" ht="27.75" customHeight="1">
      <c r="A30" s="22">
        <v>1</v>
      </c>
      <c r="B30" s="40" t="s">
        <v>101</v>
      </c>
      <c r="C30" s="140" t="s">
        <v>102</v>
      </c>
      <c r="D30" s="529"/>
      <c r="E30" s="145" t="s">
        <v>1287</v>
      </c>
      <c r="F30" s="146">
        <v>1</v>
      </c>
      <c r="G30" s="47">
        <v>160.5</v>
      </c>
      <c r="H30" s="146"/>
      <c r="I30" s="148"/>
      <c r="J30" s="148"/>
      <c r="K30" s="149"/>
      <c r="L30" s="149"/>
    </row>
    <row r="31" spans="1:13" s="169" customFormat="1" ht="27.75" customHeight="1">
      <c r="A31" s="152">
        <v>3</v>
      </c>
      <c r="B31" s="153" t="s">
        <v>106</v>
      </c>
      <c r="C31" s="154" t="s">
        <v>102</v>
      </c>
      <c r="D31" s="532">
        <v>321</v>
      </c>
      <c r="E31" s="163"/>
      <c r="F31" s="164"/>
      <c r="G31" s="159"/>
      <c r="H31" s="166"/>
      <c r="I31" s="167"/>
      <c r="J31" s="167"/>
      <c r="K31" s="168"/>
      <c r="L31" s="168"/>
    </row>
    <row r="32" spans="1:13" s="57" customFormat="1" ht="27.75" customHeight="1">
      <c r="A32" s="22">
        <v>13</v>
      </c>
      <c r="B32" s="40" t="s">
        <v>130</v>
      </c>
      <c r="C32" s="140" t="s">
        <v>102</v>
      </c>
      <c r="D32" s="529"/>
      <c r="E32" s="145" t="s">
        <v>1051</v>
      </c>
      <c r="F32" s="146">
        <v>2</v>
      </c>
      <c r="G32" s="47">
        <v>321</v>
      </c>
      <c r="H32" s="146"/>
      <c r="I32" s="148"/>
      <c r="J32" s="148"/>
      <c r="K32" s="149"/>
      <c r="L32" s="149"/>
    </row>
    <row r="33" spans="1:16" s="57" customFormat="1" ht="27.75" customHeight="1">
      <c r="A33" s="22">
        <v>17</v>
      </c>
      <c r="B33" s="181" t="s">
        <v>138</v>
      </c>
      <c r="C33" s="182" t="s">
        <v>139</v>
      </c>
      <c r="D33" s="534">
        <v>1123.5</v>
      </c>
      <c r="E33" s="171"/>
      <c r="F33" s="44"/>
      <c r="G33" s="47"/>
      <c r="H33" s="146"/>
      <c r="I33" s="148"/>
      <c r="J33" s="148"/>
      <c r="K33" s="149"/>
      <c r="L33" s="149"/>
    </row>
    <row r="34" spans="1:16" s="57" customFormat="1" ht="27.75" customHeight="1">
      <c r="A34" s="22">
        <v>23</v>
      </c>
      <c r="B34" s="170" t="s">
        <v>153</v>
      </c>
      <c r="C34" s="140" t="s">
        <v>102</v>
      </c>
      <c r="D34" s="533">
        <v>1123.5</v>
      </c>
      <c r="E34" s="171"/>
      <c r="F34" s="172"/>
      <c r="G34" s="47"/>
      <c r="H34" s="146"/>
      <c r="I34" s="148"/>
      <c r="J34" s="148"/>
      <c r="K34" s="149"/>
      <c r="L34" s="149"/>
    </row>
    <row r="35" spans="1:16" s="57" customFormat="1" ht="27.75" customHeight="1">
      <c r="A35" s="22">
        <v>26</v>
      </c>
      <c r="B35" s="170" t="s">
        <v>158</v>
      </c>
      <c r="C35" s="140" t="s">
        <v>102</v>
      </c>
      <c r="D35" s="533">
        <v>1001</v>
      </c>
      <c r="E35" s="171"/>
      <c r="F35" s="172"/>
      <c r="G35" s="47"/>
      <c r="H35" s="146"/>
      <c r="I35" s="148"/>
      <c r="J35" s="148"/>
      <c r="K35" s="149"/>
      <c r="L35" s="149"/>
    </row>
    <row r="36" spans="1:16" ht="27.75" customHeight="1" thickBot="1">
      <c r="A36" s="193"/>
      <c r="B36" s="194" t="s">
        <v>22</v>
      </c>
      <c r="C36" s="195"/>
      <c r="D36" s="535"/>
      <c r="E36" s="200"/>
      <c r="F36" s="196"/>
      <c r="G36" s="198">
        <v>481.50000000000023</v>
      </c>
      <c r="H36" s="36"/>
      <c r="I36" s="37"/>
      <c r="J36" s="37"/>
      <c r="K36" s="38"/>
      <c r="L36" s="38"/>
      <c r="M36" s="38"/>
      <c r="P36" s="507">
        <f>SUM(G30:G35)</f>
        <v>481.5</v>
      </c>
    </row>
    <row r="37" spans="1:16" ht="27.75" customHeight="1" thickTop="1">
      <c r="A37" s="22"/>
      <c r="B37" s="23" t="s">
        <v>179</v>
      </c>
      <c r="C37" s="24"/>
      <c r="D37" s="525"/>
      <c r="E37" s="32"/>
      <c r="F37" s="33"/>
      <c r="G37" s="35"/>
      <c r="H37" s="36"/>
      <c r="I37" s="37"/>
      <c r="J37" s="37"/>
      <c r="K37" s="38"/>
      <c r="L37" s="38"/>
      <c r="M37" s="38"/>
    </row>
    <row r="38" spans="1:16" ht="27.75" customHeight="1">
      <c r="A38" s="94">
        <v>1</v>
      </c>
      <c r="B38" s="40" t="s">
        <v>180</v>
      </c>
      <c r="C38" s="41" t="s">
        <v>181</v>
      </c>
      <c r="D38" s="528"/>
      <c r="E38" s="83" t="s">
        <v>1287</v>
      </c>
      <c r="F38" s="39">
        <v>1</v>
      </c>
      <c r="G38" s="47">
        <v>200.63</v>
      </c>
      <c r="H38" s="116"/>
      <c r="I38" s="203"/>
      <c r="J38" s="203"/>
      <c r="K38" s="204"/>
      <c r="L38" s="204"/>
    </row>
    <row r="39" spans="1:16" s="220" customFormat="1" ht="27.75" customHeight="1">
      <c r="A39" s="186">
        <v>5</v>
      </c>
      <c r="B39" s="208" t="s">
        <v>71</v>
      </c>
      <c r="C39" s="209" t="s">
        <v>181</v>
      </c>
      <c r="D39" s="536">
        <v>1337.5</v>
      </c>
      <c r="E39" s="216"/>
      <c r="F39" s="217"/>
      <c r="G39" s="47"/>
      <c r="H39" s="217"/>
      <c r="I39" s="218"/>
      <c r="J39" s="218"/>
      <c r="K39" s="219"/>
      <c r="L39" s="219"/>
    </row>
    <row r="40" spans="1:16" ht="27.75" customHeight="1" thickBot="1">
      <c r="A40" s="193"/>
      <c r="B40" s="194" t="s">
        <v>22</v>
      </c>
      <c r="C40" s="195"/>
      <c r="D40" s="535"/>
      <c r="E40" s="200"/>
      <c r="F40" s="196"/>
      <c r="G40" s="198">
        <v>200.63000000000011</v>
      </c>
      <c r="H40" s="36"/>
      <c r="I40" s="37"/>
      <c r="J40" s="37"/>
      <c r="K40" s="38"/>
      <c r="L40" s="38"/>
      <c r="M40" s="38"/>
      <c r="P40" s="507">
        <f>SUM(G38)</f>
        <v>200.63</v>
      </c>
    </row>
    <row r="41" spans="1:16" ht="27.75" customHeight="1" thickTop="1">
      <c r="A41" s="22"/>
      <c r="B41" s="23" t="s">
        <v>196</v>
      </c>
      <c r="C41" s="24"/>
      <c r="D41" s="525"/>
      <c r="E41" s="32"/>
      <c r="F41" s="33"/>
      <c r="G41" s="35"/>
      <c r="H41" s="36"/>
      <c r="I41" s="37"/>
      <c r="J41" s="37"/>
      <c r="K41" s="38"/>
      <c r="L41" s="38"/>
      <c r="M41" s="38"/>
    </row>
    <row r="42" spans="1:16" s="226" customFormat="1" ht="27.75" customHeight="1">
      <c r="A42" s="94">
        <v>7</v>
      </c>
      <c r="B42" s="181" t="s">
        <v>210</v>
      </c>
      <c r="C42" s="224" t="s">
        <v>211</v>
      </c>
      <c r="D42" s="528">
        <v>22470</v>
      </c>
      <c r="E42" s="87"/>
      <c r="F42" s="116"/>
      <c r="G42" s="47"/>
      <c r="H42" s="39"/>
      <c r="I42" s="55"/>
      <c r="J42" s="55"/>
      <c r="K42" s="56"/>
      <c r="L42" s="56"/>
    </row>
    <row r="43" spans="1:16" s="226" customFormat="1" ht="27.75" customHeight="1">
      <c r="A43" s="186">
        <v>12</v>
      </c>
      <c r="B43" s="206" t="s">
        <v>90</v>
      </c>
      <c r="C43" s="224" t="s">
        <v>246</v>
      </c>
      <c r="D43" s="537"/>
      <c r="E43" s="232" t="s">
        <v>1287</v>
      </c>
      <c r="F43" s="116">
        <v>0.93457943925233644</v>
      </c>
      <c r="G43" s="47">
        <v>22470</v>
      </c>
      <c r="H43" s="39"/>
      <c r="I43" s="55"/>
      <c r="J43" s="55"/>
      <c r="K43" s="56"/>
      <c r="L43" s="56"/>
    </row>
    <row r="44" spans="1:16" s="226" customFormat="1" ht="27.75" customHeight="1">
      <c r="A44" s="94">
        <v>1</v>
      </c>
      <c r="B44" s="41" t="s">
        <v>249</v>
      </c>
      <c r="C44" s="224" t="s">
        <v>250</v>
      </c>
      <c r="D44" s="528"/>
      <c r="E44" s="83" t="s">
        <v>1287</v>
      </c>
      <c r="F44" s="116">
        <v>0.934579439252336</v>
      </c>
      <c r="G44" s="47">
        <v>6420</v>
      </c>
      <c r="H44" s="39"/>
      <c r="I44" s="55"/>
      <c r="J44" s="55"/>
      <c r="K44" s="56"/>
      <c r="L44" s="56"/>
    </row>
    <row r="45" spans="1:16" s="226" customFormat="1" ht="27.75" customHeight="1">
      <c r="A45" s="94">
        <v>3</v>
      </c>
      <c r="B45" s="41" t="s">
        <v>1350</v>
      </c>
      <c r="C45" s="224" t="s">
        <v>255</v>
      </c>
      <c r="D45" s="528"/>
      <c r="E45" s="83" t="s">
        <v>1051</v>
      </c>
      <c r="F45" s="116">
        <v>1.8691588785046722</v>
      </c>
      <c r="G45" s="47">
        <v>19260</v>
      </c>
      <c r="H45" s="39"/>
      <c r="I45" s="55"/>
      <c r="J45" s="55"/>
      <c r="K45" s="56"/>
      <c r="L45" s="56"/>
    </row>
    <row r="46" spans="1:16" s="226" customFormat="1" ht="27.75" customHeight="1">
      <c r="A46" s="94">
        <v>9</v>
      </c>
      <c r="B46" s="81" t="s">
        <v>267</v>
      </c>
      <c r="C46" s="224" t="s">
        <v>268</v>
      </c>
      <c r="D46" s="528"/>
      <c r="E46" s="83" t="s">
        <v>1287</v>
      </c>
      <c r="F46" s="116">
        <v>0.93457943925233578</v>
      </c>
      <c r="G46" s="47">
        <v>6420</v>
      </c>
      <c r="H46" s="39"/>
      <c r="I46" s="55"/>
      <c r="J46" s="55"/>
      <c r="K46" s="56"/>
      <c r="L46" s="56"/>
    </row>
    <row r="47" spans="1:16" ht="27.75" customHeight="1" thickBot="1">
      <c r="A47" s="22"/>
      <c r="B47" s="194" t="s">
        <v>22</v>
      </c>
      <c r="C47" s="195"/>
      <c r="D47" s="535"/>
      <c r="E47" s="200"/>
      <c r="F47" s="196"/>
      <c r="G47" s="196">
        <f>SUM(G43:G46)</f>
        <v>54570</v>
      </c>
      <c r="H47" s="36"/>
      <c r="I47" s="37"/>
      <c r="J47" s="37"/>
      <c r="K47" s="38"/>
      <c r="L47" s="38"/>
      <c r="M47" s="38"/>
      <c r="P47" s="507">
        <f>SUM(G43:G46)</f>
        <v>54570</v>
      </c>
    </row>
    <row r="48" spans="1:16" ht="27.75" hidden="1" customHeight="1" thickBot="1">
      <c r="A48" s="22"/>
      <c r="B48" s="23" t="s">
        <v>278</v>
      </c>
      <c r="C48" s="24"/>
      <c r="D48" s="525"/>
      <c r="E48" s="32"/>
      <c r="F48" s="33"/>
      <c r="G48" s="35"/>
      <c r="H48" s="36"/>
      <c r="I48" s="37"/>
      <c r="J48" s="37"/>
      <c r="K48" s="38"/>
      <c r="L48" s="38"/>
      <c r="M48" s="38"/>
    </row>
    <row r="49" spans="1:16" ht="27.75" hidden="1" customHeight="1" thickTop="1">
      <c r="A49" s="22">
        <v>1</v>
      </c>
      <c r="B49" s="270" t="s">
        <v>88</v>
      </c>
      <c r="C49" s="271" t="s">
        <v>279</v>
      </c>
      <c r="D49" s="537"/>
      <c r="E49" s="232"/>
      <c r="F49" s="251"/>
      <c r="G49" s="66">
        <v>0</v>
      </c>
      <c r="H49" s="278"/>
      <c r="I49" s="279"/>
      <c r="J49" s="37"/>
      <c r="K49" s="38"/>
      <c r="L49" s="38"/>
      <c r="M49" s="38"/>
    </row>
    <row r="50" spans="1:16" ht="27.75" hidden="1" customHeight="1" thickTop="1">
      <c r="A50" s="22">
        <v>2</v>
      </c>
      <c r="B50" s="280" t="s">
        <v>89</v>
      </c>
      <c r="C50" s="271" t="s">
        <v>279</v>
      </c>
      <c r="D50" s="533"/>
      <c r="E50" s="94"/>
      <c r="F50" s="39"/>
      <c r="G50" s="66">
        <v>0</v>
      </c>
      <c r="H50" s="278"/>
      <c r="I50" s="279"/>
      <c r="J50" s="37"/>
      <c r="K50" s="38"/>
      <c r="L50" s="38"/>
      <c r="M50" s="38"/>
    </row>
    <row r="51" spans="1:16" ht="27.75" hidden="1" customHeight="1" thickTop="1">
      <c r="A51" s="22">
        <v>3</v>
      </c>
      <c r="B51" s="270" t="s">
        <v>280</v>
      </c>
      <c r="C51" s="271" t="s">
        <v>279</v>
      </c>
      <c r="D51" s="533"/>
      <c r="E51" s="94"/>
      <c r="F51" s="39"/>
      <c r="G51" s="66">
        <v>0</v>
      </c>
      <c r="H51" s="278"/>
      <c r="I51" s="279"/>
      <c r="J51" s="37"/>
      <c r="K51" s="38"/>
      <c r="L51" s="38"/>
      <c r="M51" s="38"/>
    </row>
    <row r="52" spans="1:16" ht="27.75" hidden="1" customHeight="1" thickTop="1">
      <c r="A52" s="22">
        <v>4</v>
      </c>
      <c r="B52" s="280" t="s">
        <v>96</v>
      </c>
      <c r="C52" s="271" t="s">
        <v>279</v>
      </c>
      <c r="D52" s="533"/>
      <c r="E52" s="94"/>
      <c r="F52" s="39"/>
      <c r="G52" s="66">
        <v>0</v>
      </c>
      <c r="H52" s="283"/>
      <c r="I52" s="55"/>
      <c r="J52" s="37"/>
      <c r="K52" s="38"/>
      <c r="L52" s="38"/>
      <c r="M52" s="38"/>
    </row>
    <row r="53" spans="1:16" ht="27.75" hidden="1" customHeight="1" thickTop="1">
      <c r="A53" s="22">
        <v>5</v>
      </c>
      <c r="B53" s="280" t="s">
        <v>281</v>
      </c>
      <c r="C53" s="271" t="s">
        <v>279</v>
      </c>
      <c r="D53" s="533"/>
      <c r="E53" s="94"/>
      <c r="F53" s="39"/>
      <c r="G53" s="66">
        <v>0</v>
      </c>
      <c r="H53" s="283"/>
      <c r="I53" s="55"/>
      <c r="J53" s="37"/>
      <c r="K53" s="38"/>
      <c r="L53" s="38"/>
      <c r="M53" s="38"/>
    </row>
    <row r="54" spans="1:16" ht="27.75" hidden="1" customHeight="1" thickTop="1">
      <c r="A54" s="22">
        <v>6</v>
      </c>
      <c r="B54" s="280" t="s">
        <v>282</v>
      </c>
      <c r="C54" s="271" t="s">
        <v>279</v>
      </c>
      <c r="D54" s="533"/>
      <c r="E54" s="94"/>
      <c r="F54" s="39"/>
      <c r="G54" s="66">
        <v>0</v>
      </c>
      <c r="H54" s="283"/>
      <c r="I54" s="37"/>
      <c r="J54" s="37"/>
      <c r="K54" s="38"/>
      <c r="L54" s="38"/>
      <c r="M54" s="38"/>
    </row>
    <row r="55" spans="1:16" ht="27.75" hidden="1" customHeight="1" thickTop="1">
      <c r="A55" s="22">
        <v>7</v>
      </c>
      <c r="B55" s="280" t="s">
        <v>92</v>
      </c>
      <c r="C55" s="271" t="s">
        <v>279</v>
      </c>
      <c r="D55" s="533"/>
      <c r="E55" s="94"/>
      <c r="F55" s="39"/>
      <c r="G55" s="66">
        <v>0</v>
      </c>
      <c r="H55" s="283"/>
      <c r="I55" s="37"/>
      <c r="J55" s="37"/>
      <c r="K55" s="38"/>
      <c r="L55" s="38"/>
      <c r="M55" s="38"/>
    </row>
    <row r="56" spans="1:16" ht="27.75" hidden="1" customHeight="1" thickTop="1">
      <c r="A56" s="22">
        <v>8</v>
      </c>
      <c r="B56" s="280" t="s">
        <v>91</v>
      </c>
      <c r="C56" s="271" t="s">
        <v>279</v>
      </c>
      <c r="D56" s="533"/>
      <c r="E56" s="94"/>
      <c r="F56" s="39"/>
      <c r="G56" s="66">
        <v>0</v>
      </c>
      <c r="H56" s="283"/>
      <c r="I56" s="37"/>
      <c r="J56" s="37"/>
      <c r="K56" s="38"/>
      <c r="L56" s="38"/>
      <c r="M56" s="38"/>
    </row>
    <row r="57" spans="1:16" ht="27.75" hidden="1" customHeight="1" thickTop="1">
      <c r="A57" s="22">
        <v>9</v>
      </c>
      <c r="B57" s="280" t="s">
        <v>236</v>
      </c>
      <c r="C57" s="271" t="s">
        <v>279</v>
      </c>
      <c r="D57" s="533"/>
      <c r="E57" s="94"/>
      <c r="F57" s="39"/>
      <c r="G57" s="66">
        <v>0</v>
      </c>
      <c r="H57" s="283"/>
      <c r="I57" s="37"/>
      <c r="J57" s="37"/>
      <c r="K57" s="38"/>
      <c r="L57" s="38"/>
      <c r="M57" s="38"/>
    </row>
    <row r="58" spans="1:16" ht="27.75" hidden="1" customHeight="1" thickTop="1">
      <c r="A58" s="22">
        <v>10</v>
      </c>
      <c r="B58" s="280" t="s">
        <v>94</v>
      </c>
      <c r="C58" s="280" t="s">
        <v>279</v>
      </c>
      <c r="D58" s="529"/>
      <c r="E58" s="94"/>
      <c r="F58" s="39"/>
      <c r="G58" s="66">
        <v>0</v>
      </c>
      <c r="H58" s="36"/>
      <c r="I58" s="37"/>
      <c r="J58" s="37"/>
      <c r="K58" s="38"/>
      <c r="L58" s="38"/>
      <c r="M58" s="38"/>
    </row>
    <row r="59" spans="1:16" ht="27.75" hidden="1" customHeight="1" thickTop="1">
      <c r="A59" s="22">
        <v>11</v>
      </c>
      <c r="B59" s="270"/>
      <c r="C59" s="285"/>
      <c r="D59" s="537"/>
      <c r="E59" s="232"/>
      <c r="F59" s="251"/>
      <c r="G59" s="66">
        <v>0</v>
      </c>
      <c r="H59" s="36"/>
      <c r="I59" s="37"/>
      <c r="J59" s="37"/>
      <c r="K59" s="38"/>
      <c r="L59" s="38"/>
      <c r="M59" s="38"/>
    </row>
    <row r="60" spans="1:16" ht="27.75" hidden="1" customHeight="1" thickTop="1">
      <c r="A60" s="22"/>
      <c r="B60" s="131" t="s">
        <v>22</v>
      </c>
      <c r="C60" s="132"/>
      <c r="D60" s="531"/>
      <c r="E60" s="139"/>
      <c r="F60" s="133"/>
      <c r="G60" s="136">
        <v>0</v>
      </c>
      <c r="H60" s="36"/>
      <c r="I60" s="37"/>
      <c r="J60" s="37"/>
      <c r="K60" s="38"/>
      <c r="L60" s="38"/>
      <c r="M60" s="38"/>
    </row>
    <row r="61" spans="1:16" ht="27.75" customHeight="1" thickTop="1">
      <c r="A61" s="22"/>
      <c r="B61" s="23" t="s">
        <v>292</v>
      </c>
      <c r="C61" s="24"/>
      <c r="D61" s="525"/>
      <c r="E61" s="32"/>
      <c r="F61" s="33"/>
      <c r="G61" s="35"/>
      <c r="H61" s="36"/>
      <c r="I61" s="37"/>
      <c r="J61" s="37"/>
      <c r="K61" s="38"/>
      <c r="L61" s="38"/>
      <c r="M61" s="38"/>
    </row>
    <row r="62" spans="1:16" ht="27.75" customHeight="1">
      <c r="A62" s="316">
        <v>1</v>
      </c>
      <c r="B62" s="280" t="s">
        <v>249</v>
      </c>
      <c r="C62" s="280" t="s">
        <v>250</v>
      </c>
      <c r="D62" s="526"/>
      <c r="E62" s="320" t="s">
        <v>1287</v>
      </c>
      <c r="F62" s="39">
        <v>1</v>
      </c>
      <c r="G62" s="66">
        <v>117.70000000000002</v>
      </c>
      <c r="H62" s="36"/>
      <c r="I62" s="37"/>
      <c r="J62" s="37"/>
      <c r="K62" s="38"/>
      <c r="L62" s="38"/>
      <c r="M62" s="38"/>
    </row>
    <row r="63" spans="1:16" ht="27.75" customHeight="1">
      <c r="A63" s="316">
        <v>2</v>
      </c>
      <c r="B63" s="280" t="s">
        <v>294</v>
      </c>
      <c r="C63" s="280" t="s">
        <v>255</v>
      </c>
      <c r="D63" s="526"/>
      <c r="E63" s="320" t="s">
        <v>1051</v>
      </c>
      <c r="F63" s="39">
        <v>2</v>
      </c>
      <c r="G63" s="66">
        <v>107</v>
      </c>
      <c r="H63" s="36"/>
      <c r="I63" s="37"/>
      <c r="J63" s="37"/>
      <c r="K63" s="38"/>
      <c r="L63" s="38"/>
      <c r="M63" s="38"/>
    </row>
    <row r="64" spans="1:16" ht="27.75" customHeight="1" thickBot="1">
      <c r="A64" s="193"/>
      <c r="B64" s="194"/>
      <c r="C64" s="195"/>
      <c r="D64" s="535"/>
      <c r="E64" s="200"/>
      <c r="F64" s="196"/>
      <c r="G64" s="198">
        <v>224.70000000000002</v>
      </c>
      <c r="H64" s="36"/>
      <c r="I64" s="37"/>
      <c r="J64" s="37"/>
      <c r="K64" s="38"/>
      <c r="L64" s="38"/>
      <c r="M64" s="38"/>
      <c r="P64" s="507">
        <f>SUM(G62:G63)</f>
        <v>224.70000000000002</v>
      </c>
    </row>
    <row r="65" spans="1:17" ht="27.75" customHeight="1" thickTop="1">
      <c r="A65" s="22"/>
      <c r="B65" s="288" t="s">
        <v>304</v>
      </c>
      <c r="C65" s="289"/>
      <c r="D65" s="538"/>
      <c r="E65" s="94"/>
      <c r="F65" s="39"/>
      <c r="G65" s="294"/>
      <c r="H65" s="36"/>
      <c r="I65" s="37"/>
      <c r="J65" s="37"/>
      <c r="K65" s="38"/>
      <c r="L65" s="38"/>
      <c r="M65" s="38"/>
    </row>
    <row r="66" spans="1:17" ht="27.75" customHeight="1">
      <c r="A66" s="186">
        <v>31</v>
      </c>
      <c r="B66" s="40" t="s">
        <v>356</v>
      </c>
      <c r="C66" s="346" t="s">
        <v>357</v>
      </c>
      <c r="D66" s="540">
        <v>1410</v>
      </c>
      <c r="E66" s="94"/>
      <c r="F66" s="116"/>
      <c r="G66" s="47"/>
      <c r="H66" s="39" t="s">
        <v>195</v>
      </c>
      <c r="I66" s="55">
        <v>42217</v>
      </c>
      <c r="J66" s="55">
        <v>43312</v>
      </c>
      <c r="K66" s="56">
        <v>8280</v>
      </c>
      <c r="L66" s="349" t="s">
        <v>359</v>
      </c>
    </row>
    <row r="67" spans="1:17" ht="27.75" customHeight="1">
      <c r="A67" s="186">
        <v>32</v>
      </c>
      <c r="B67" s="40" t="s">
        <v>356</v>
      </c>
      <c r="C67" s="346" t="s">
        <v>360</v>
      </c>
      <c r="D67" s="540">
        <v>1410</v>
      </c>
      <c r="E67" s="94"/>
      <c r="F67" s="116"/>
      <c r="G67" s="47"/>
      <c r="H67" s="39"/>
      <c r="I67" s="55"/>
      <c r="J67" s="55"/>
      <c r="K67" s="56"/>
      <c r="L67" s="349"/>
    </row>
    <row r="68" spans="1:17" ht="27.75" customHeight="1">
      <c r="A68" s="186">
        <v>33</v>
      </c>
      <c r="B68" s="40" t="s">
        <v>356</v>
      </c>
      <c r="C68" s="346" t="s">
        <v>361</v>
      </c>
      <c r="D68" s="540">
        <v>1410</v>
      </c>
      <c r="E68" s="94"/>
      <c r="F68" s="116"/>
      <c r="G68" s="47"/>
      <c r="H68" s="39"/>
      <c r="I68" s="55"/>
      <c r="J68" s="55"/>
      <c r="K68" s="56"/>
      <c r="L68" s="349"/>
    </row>
    <row r="69" spans="1:17" ht="27.75" customHeight="1" thickBot="1">
      <c r="A69" s="357"/>
      <c r="B69" s="358"/>
      <c r="C69" s="359"/>
      <c r="D69" s="541"/>
      <c r="E69" s="106"/>
      <c r="F69" s="107"/>
      <c r="G69" s="363"/>
      <c r="H69" s="356"/>
      <c r="I69" s="55"/>
      <c r="J69" s="55"/>
      <c r="K69" s="56"/>
      <c r="L69" s="349"/>
    </row>
    <row r="70" spans="1:17" ht="27.75" customHeight="1" thickTop="1">
      <c r="A70" s="94"/>
      <c r="B70" s="364" t="s">
        <v>395</v>
      </c>
      <c r="C70" s="81"/>
      <c r="D70" s="528"/>
      <c r="E70" s="83"/>
      <c r="F70" s="251"/>
      <c r="G70" s="85"/>
      <c r="H70" s="39"/>
      <c r="I70" s="55"/>
      <c r="J70" s="55"/>
      <c r="K70" s="56"/>
      <c r="L70" s="56"/>
    </row>
    <row r="71" spans="1:17" ht="27.75" customHeight="1">
      <c r="A71" s="94">
        <v>1</v>
      </c>
      <c r="B71" s="366" t="s">
        <v>417</v>
      </c>
      <c r="C71" s="367" t="s">
        <v>418</v>
      </c>
      <c r="D71" s="542">
        <v>34054.370000000003</v>
      </c>
      <c r="E71" s="377"/>
      <c r="F71" s="116"/>
      <c r="G71" s="368"/>
      <c r="H71" s="39" t="s">
        <v>195</v>
      </c>
      <c r="I71" s="55">
        <v>40072</v>
      </c>
      <c r="J71" s="55">
        <v>41167</v>
      </c>
      <c r="K71" s="56">
        <v>132250</v>
      </c>
      <c r="L71" s="378" t="s">
        <v>420</v>
      </c>
    </row>
    <row r="72" spans="1:17" ht="27.75" customHeight="1" thickBot="1">
      <c r="A72" s="193"/>
      <c r="B72" s="194" t="s">
        <v>22</v>
      </c>
      <c r="C72" s="195"/>
      <c r="D72" s="535"/>
      <c r="E72" s="200"/>
      <c r="F72" s="196"/>
      <c r="G72" s="198">
        <v>0</v>
      </c>
      <c r="H72" s="36"/>
      <c r="I72" s="37"/>
      <c r="J72" s="37"/>
      <c r="K72" s="38"/>
      <c r="L72" s="38"/>
      <c r="M72" s="38"/>
    </row>
    <row r="73" spans="1:17" ht="27.75" customHeight="1" thickTop="1">
      <c r="A73" s="22"/>
      <c r="B73" s="288" t="s">
        <v>441</v>
      </c>
      <c r="C73" s="289"/>
      <c r="D73" s="538"/>
      <c r="E73" s="94"/>
      <c r="F73" s="39"/>
      <c r="G73" s="294"/>
      <c r="H73" s="36"/>
      <c r="I73" s="37"/>
      <c r="J73" s="37"/>
      <c r="K73" s="38"/>
      <c r="L73" s="38"/>
      <c r="M73" s="38"/>
    </row>
    <row r="74" spans="1:17" ht="27.75" customHeight="1">
      <c r="A74" s="94">
        <v>1</v>
      </c>
      <c r="B74" s="40" t="s">
        <v>442</v>
      </c>
      <c r="C74" s="206" t="s">
        <v>443</v>
      </c>
      <c r="D74" s="533">
        <v>395792</v>
      </c>
      <c r="E74" s="387"/>
      <c r="F74" s="116"/>
      <c r="G74" s="376"/>
      <c r="H74" s="39" t="s">
        <v>446</v>
      </c>
      <c r="I74" s="55">
        <v>43952</v>
      </c>
      <c r="J74" s="55">
        <v>44561</v>
      </c>
      <c r="K74" s="56">
        <v>1032500</v>
      </c>
      <c r="L74" s="56" t="s">
        <v>447</v>
      </c>
    </row>
    <row r="75" spans="1:17" ht="27.75" customHeight="1">
      <c r="A75" s="94">
        <v>2</v>
      </c>
      <c r="B75" s="205" t="s">
        <v>451</v>
      </c>
      <c r="C75" s="206" t="s">
        <v>452</v>
      </c>
      <c r="D75" s="526">
        <v>279940</v>
      </c>
      <c r="E75" s="399"/>
      <c r="F75" s="116"/>
      <c r="G75" s="368"/>
      <c r="H75" s="172" t="s">
        <v>456</v>
      </c>
      <c r="I75" s="400" t="s">
        <v>457</v>
      </c>
      <c r="J75" s="400" t="s">
        <v>458</v>
      </c>
      <c r="K75" s="401">
        <v>442600</v>
      </c>
      <c r="L75" s="401" t="s">
        <v>459</v>
      </c>
    </row>
    <row r="76" spans="1:17" ht="27.75" customHeight="1">
      <c r="A76" s="405"/>
      <c r="B76" s="406" t="s">
        <v>22</v>
      </c>
      <c r="C76" s="407"/>
      <c r="D76" s="544"/>
      <c r="E76" s="412"/>
      <c r="F76" s="408"/>
      <c r="G76" s="239"/>
      <c r="H76" s="278"/>
      <c r="I76" s="279"/>
      <c r="J76" s="279"/>
      <c r="K76" s="413"/>
      <c r="L76" s="413"/>
      <c r="M76" s="413"/>
    </row>
    <row r="77" spans="1:17" ht="27.75" customHeight="1" thickBot="1">
      <c r="A77" s="414"/>
      <c r="B77" s="415"/>
      <c r="C77" s="416" t="s">
        <v>468</v>
      </c>
      <c r="D77" s="545"/>
      <c r="E77" s="423"/>
      <c r="F77" s="422"/>
      <c r="G77" s="420">
        <v>70888.244392523353</v>
      </c>
      <c r="H77" s="424"/>
      <c r="I77" s="425"/>
      <c r="J77" s="425"/>
      <c r="K77" s="345"/>
      <c r="L77" s="345"/>
      <c r="M77" s="345"/>
      <c r="Q77" s="57">
        <f>SUM(P10:P75)</f>
        <v>70888.243644859816</v>
      </c>
    </row>
    <row r="78" spans="1:17" ht="27.75" customHeight="1" thickTop="1">
      <c r="A78" s="426"/>
      <c r="B78" s="4"/>
      <c r="C78" s="295"/>
      <c r="D78" s="546"/>
      <c r="E78" s="433"/>
      <c r="F78" s="427"/>
      <c r="G78" s="430"/>
      <c r="H78" s="424"/>
      <c r="I78" s="425"/>
      <c r="J78" s="425"/>
      <c r="K78" s="345"/>
      <c r="L78" s="345"/>
      <c r="M78" s="345"/>
    </row>
    <row r="79" spans="1:17" ht="27.75" customHeight="1">
      <c r="A79" s="426"/>
      <c r="B79" s="434" t="s">
        <v>469</v>
      </c>
      <c r="C79" s="295"/>
      <c r="D79" s="546"/>
      <c r="E79" s="433"/>
      <c r="F79" s="427"/>
      <c r="G79" s="430"/>
      <c r="H79" s="424"/>
      <c r="I79" s="425"/>
      <c r="J79" s="425"/>
      <c r="K79" s="345"/>
      <c r="L79" s="345"/>
      <c r="M79" s="345"/>
    </row>
    <row r="80" spans="1:17" ht="27.75" customHeight="1">
      <c r="A80" s="435">
        <v>1</v>
      </c>
      <c r="B80" s="436" t="s">
        <v>470</v>
      </c>
      <c r="C80" s="437" t="s">
        <v>471</v>
      </c>
      <c r="D80" s="547"/>
      <c r="E80" s="435" t="s">
        <v>473</v>
      </c>
      <c r="F80" s="444">
        <v>21</v>
      </c>
      <c r="G80" s="17">
        <v>361288.35</v>
      </c>
      <c r="H80" s="251" t="s">
        <v>195</v>
      </c>
      <c r="I80" s="446">
        <v>41883</v>
      </c>
      <c r="J80" s="446">
        <v>42978</v>
      </c>
      <c r="K80" s="447">
        <v>90000</v>
      </c>
      <c r="L80" s="447" t="s">
        <v>474</v>
      </c>
    </row>
    <row r="81" spans="1:13" ht="27.75" customHeight="1">
      <c r="A81" s="435"/>
      <c r="B81" s="436" t="s">
        <v>476</v>
      </c>
      <c r="C81" s="437"/>
      <c r="D81" s="547"/>
      <c r="E81" s="435"/>
      <c r="F81" s="444"/>
      <c r="G81" s="17">
        <v>0</v>
      </c>
      <c r="H81" s="116"/>
      <c r="I81" s="203"/>
      <c r="J81" s="203"/>
      <c r="K81" s="204"/>
      <c r="L81" s="204"/>
    </row>
    <row r="82" spans="1:13" ht="27.75" customHeight="1">
      <c r="A82" s="435"/>
      <c r="B82" s="674" t="s">
        <v>477</v>
      </c>
      <c r="C82" s="675"/>
      <c r="D82" s="548"/>
      <c r="E82" s="435"/>
      <c r="F82" s="444"/>
      <c r="G82" s="17">
        <v>0</v>
      </c>
      <c r="H82" s="116"/>
      <c r="I82" s="203"/>
      <c r="J82" s="203"/>
      <c r="K82" s="204"/>
      <c r="L82" s="204"/>
    </row>
    <row r="83" spans="1:13" ht="27.75" customHeight="1">
      <c r="A83" s="435">
        <v>2</v>
      </c>
      <c r="B83" s="450" t="s">
        <v>470</v>
      </c>
      <c r="C83" s="451" t="s">
        <v>478</v>
      </c>
      <c r="D83" s="549"/>
      <c r="E83" s="435" t="s">
        <v>479</v>
      </c>
      <c r="F83" s="444">
        <v>6</v>
      </c>
      <c r="G83" s="17">
        <v>96700.72</v>
      </c>
      <c r="H83" s="116"/>
      <c r="I83" s="203"/>
      <c r="J83" s="203"/>
      <c r="K83" s="204"/>
      <c r="L83" s="204"/>
    </row>
    <row r="84" spans="1:13" ht="27.75" customHeight="1">
      <c r="A84" s="435">
        <v>3</v>
      </c>
      <c r="B84" s="450" t="s">
        <v>470</v>
      </c>
      <c r="C84" s="451" t="s">
        <v>480</v>
      </c>
      <c r="D84" s="549"/>
      <c r="E84" s="435" t="s">
        <v>481</v>
      </c>
      <c r="F84" s="444">
        <v>16</v>
      </c>
      <c r="G84" s="17">
        <v>285799.45</v>
      </c>
      <c r="H84" s="116"/>
      <c r="I84" s="203"/>
      <c r="J84" s="203"/>
      <c r="K84" s="204"/>
      <c r="L84" s="204"/>
    </row>
    <row r="85" spans="1:13" s="226" customFormat="1" ht="27.75" customHeight="1">
      <c r="A85" s="440">
        <v>4</v>
      </c>
      <c r="B85" s="436" t="s">
        <v>470</v>
      </c>
      <c r="C85" s="453" t="s">
        <v>482</v>
      </c>
      <c r="D85" s="547"/>
      <c r="E85" s="435" t="s">
        <v>483</v>
      </c>
      <c r="F85" s="448" t="s">
        <v>195</v>
      </c>
      <c r="G85" s="17">
        <v>57055.05</v>
      </c>
      <c r="H85" s="39"/>
      <c r="I85" s="55"/>
      <c r="J85" s="55"/>
      <c r="K85" s="141"/>
      <c r="L85" s="141"/>
    </row>
    <row r="86" spans="1:13" s="226" customFormat="1" ht="27.75" customHeight="1">
      <c r="A86" s="440"/>
      <c r="B86" s="676" t="s">
        <v>484</v>
      </c>
      <c r="C86" s="677"/>
      <c r="D86" s="549"/>
      <c r="E86" s="435"/>
      <c r="F86" s="448"/>
      <c r="G86" s="17">
        <v>0</v>
      </c>
      <c r="H86" s="122"/>
      <c r="I86" s="37"/>
      <c r="J86" s="37"/>
      <c r="K86" s="459"/>
      <c r="L86" s="459"/>
    </row>
    <row r="87" spans="1:13" ht="27.75" customHeight="1">
      <c r="A87" s="460">
        <v>5</v>
      </c>
      <c r="B87" s="436" t="s">
        <v>470</v>
      </c>
      <c r="C87" s="461" t="s">
        <v>485</v>
      </c>
      <c r="D87" s="550"/>
      <c r="E87" s="435" t="s">
        <v>486</v>
      </c>
      <c r="F87" s="464" t="s">
        <v>195</v>
      </c>
      <c r="G87" s="17">
        <v>28958.15</v>
      </c>
      <c r="H87" s="36"/>
      <c r="I87" s="37"/>
      <c r="J87" s="37"/>
      <c r="K87" s="38"/>
      <c r="L87" s="38"/>
      <c r="M87" s="38"/>
    </row>
    <row r="88" spans="1:13" ht="27.6" customHeight="1">
      <c r="A88" s="460"/>
      <c r="B88" s="436" t="s">
        <v>488</v>
      </c>
      <c r="C88" s="461"/>
      <c r="D88" s="550"/>
      <c r="E88" s="435"/>
      <c r="F88" s="444"/>
      <c r="G88" s="17"/>
      <c r="H88" s="36"/>
      <c r="I88" s="37"/>
      <c r="J88" s="37"/>
      <c r="K88" s="38"/>
      <c r="L88" s="38"/>
      <c r="M88" s="38"/>
    </row>
    <row r="89" spans="1:13" ht="27.6" customHeight="1">
      <c r="A89" s="460"/>
      <c r="B89" s="674" t="s">
        <v>489</v>
      </c>
      <c r="C89" s="675"/>
      <c r="D89" s="548"/>
      <c r="E89" s="435"/>
      <c r="F89" s="444"/>
      <c r="G89" s="17"/>
      <c r="H89" s="36"/>
      <c r="I89" s="37"/>
      <c r="J89" s="37"/>
      <c r="K89" s="38"/>
      <c r="L89" s="38"/>
      <c r="M89" s="38"/>
    </row>
    <row r="90" spans="1:13" ht="27.75" customHeight="1" thickBot="1">
      <c r="A90" s="465"/>
      <c r="B90" s="466" t="s">
        <v>22</v>
      </c>
      <c r="C90" s="195"/>
      <c r="D90" s="539"/>
      <c r="E90" s="315"/>
      <c r="F90" s="310"/>
      <c r="G90" s="313">
        <v>829801.72000000009</v>
      </c>
      <c r="H90" s="36"/>
      <c r="I90" s="37"/>
      <c r="J90" s="37"/>
      <c r="K90" s="38"/>
      <c r="L90" s="38"/>
      <c r="M90" s="38"/>
    </row>
    <row r="91" spans="1:13" ht="27.75" customHeight="1" thickTop="1">
      <c r="A91" s="468"/>
      <c r="B91" s="469" t="s">
        <v>490</v>
      </c>
      <c r="C91" s="470"/>
      <c r="D91" s="543"/>
      <c r="E91" s="186"/>
      <c r="F91" s="116"/>
      <c r="G91" s="474"/>
      <c r="H91" s="36"/>
      <c r="I91" s="37"/>
      <c r="J91" s="37"/>
      <c r="K91" s="38"/>
      <c r="L91" s="38"/>
      <c r="M91" s="38"/>
    </row>
    <row r="92" spans="1:13" ht="27.75" customHeight="1">
      <c r="A92" s="475">
        <v>1</v>
      </c>
      <c r="B92" s="436" t="s">
        <v>491</v>
      </c>
      <c r="C92" s="437" t="s">
        <v>492</v>
      </c>
      <c r="D92" s="547"/>
      <c r="E92" s="435"/>
      <c r="F92" s="477"/>
      <c r="G92" s="481"/>
      <c r="H92" s="356"/>
      <c r="I92" s="482"/>
      <c r="J92" s="482"/>
      <c r="K92" s="483"/>
      <c r="L92" s="483"/>
    </row>
    <row r="93" spans="1:13" ht="27.75" customHeight="1">
      <c r="A93" s="475"/>
      <c r="B93" s="484" t="s">
        <v>494</v>
      </c>
      <c r="C93" s="437"/>
      <c r="D93" s="547"/>
      <c r="E93" s="435"/>
      <c r="F93" s="477"/>
      <c r="G93" s="481"/>
      <c r="H93" s="485"/>
      <c r="I93" s="486"/>
      <c r="J93" s="486"/>
      <c r="K93" s="487"/>
      <c r="L93" s="487"/>
    </row>
    <row r="94" spans="1:13" ht="27.75" customHeight="1">
      <c r="A94" s="475">
        <v>2</v>
      </c>
      <c r="B94" s="436" t="s">
        <v>495</v>
      </c>
      <c r="C94" s="437" t="s">
        <v>496</v>
      </c>
      <c r="D94" s="547"/>
      <c r="E94" s="435"/>
      <c r="F94" s="477" t="s">
        <v>497</v>
      </c>
      <c r="G94" s="17">
        <v>8214529.25</v>
      </c>
      <c r="H94" s="485"/>
      <c r="I94" s="486"/>
      <c r="J94" s="486"/>
      <c r="K94" s="487"/>
      <c r="L94" s="487"/>
    </row>
    <row r="95" spans="1:13" ht="27.75" customHeight="1">
      <c r="A95" s="405"/>
      <c r="B95" s="234" t="s">
        <v>22</v>
      </c>
      <c r="C95" s="407"/>
      <c r="D95" s="544"/>
      <c r="E95" s="412"/>
      <c r="F95" s="408"/>
      <c r="G95" s="239">
        <v>8214529.25</v>
      </c>
      <c r="H95" s="278"/>
      <c r="I95" s="279"/>
      <c r="J95" s="279"/>
      <c r="K95" s="413"/>
      <c r="L95" s="413"/>
      <c r="M95" s="413"/>
    </row>
    <row r="96" spans="1:13" ht="27.75" customHeight="1">
      <c r="A96" s="426"/>
      <c r="B96" s="4"/>
      <c r="C96" s="295"/>
      <c r="D96" s="546"/>
      <c r="E96" s="433"/>
      <c r="F96" s="427"/>
      <c r="G96" s="430"/>
      <c r="H96" s="424"/>
      <c r="I96" s="425"/>
      <c r="J96" s="425"/>
      <c r="K96" s="345"/>
      <c r="L96" s="345"/>
      <c r="M96" s="345"/>
    </row>
    <row r="97" spans="1:13" ht="27.75" customHeight="1" thickBot="1">
      <c r="A97" s="488"/>
      <c r="B97" s="489" t="s">
        <v>498</v>
      </c>
      <c r="C97" s="490"/>
      <c r="D97" s="551"/>
      <c r="E97" s="495"/>
      <c r="F97" s="496"/>
      <c r="G97" s="493">
        <v>9115219.224392524</v>
      </c>
      <c r="H97" s="497">
        <v>0</v>
      </c>
      <c r="I97" s="497">
        <v>0</v>
      </c>
      <c r="J97" s="498"/>
      <c r="K97" s="499"/>
      <c r="L97" s="499"/>
      <c r="M97" s="499"/>
    </row>
    <row r="98" spans="1:13" s="226" customFormat="1" ht="27.75" customHeight="1" thickTop="1">
      <c r="A98" s="6"/>
      <c r="B98" s="500"/>
      <c r="D98" s="552"/>
      <c r="E98" s="372"/>
      <c r="F98" s="501"/>
      <c r="G98" s="504"/>
      <c r="H98" s="2"/>
      <c r="I98" s="425"/>
      <c r="J98" s="425"/>
      <c r="K98" s="345"/>
      <c r="L98" s="345"/>
    </row>
    <row r="99" spans="1:13" s="226" customFormat="1" ht="27.75" customHeight="1">
      <c r="A99" s="6"/>
      <c r="B99" s="500"/>
      <c r="D99" s="552"/>
      <c r="E99" s="372"/>
      <c r="F99" s="501"/>
      <c r="G99" s="504"/>
      <c r="H99" s="2"/>
      <c r="I99" s="425"/>
      <c r="J99" s="425"/>
      <c r="K99" s="345"/>
      <c r="L99" s="345"/>
    </row>
    <row r="100" spans="1:13" s="226" customFormat="1" ht="27.75" customHeight="1">
      <c r="A100" s="684" t="s">
        <v>932</v>
      </c>
      <c r="B100" s="684"/>
      <c r="C100" s="684"/>
      <c r="D100" s="684"/>
      <c r="E100" s="684"/>
      <c r="F100" s="684"/>
      <c r="G100" s="684"/>
      <c r="H100" s="684"/>
      <c r="I100" s="425"/>
      <c r="J100" s="425"/>
      <c r="K100" s="345"/>
      <c r="L100" s="345"/>
    </row>
    <row r="101" spans="1:13" s="226" customFormat="1" ht="27.75" customHeight="1">
      <c r="A101" s="678" t="s">
        <v>933</v>
      </c>
      <c r="B101" s="678"/>
      <c r="C101" s="678"/>
      <c r="D101" s="678"/>
      <c r="E101" s="678"/>
      <c r="F101" s="678"/>
      <c r="G101" s="678"/>
      <c r="H101" s="678"/>
      <c r="I101" s="425"/>
      <c r="J101" s="425"/>
      <c r="K101" s="345"/>
      <c r="L101" s="345"/>
    </row>
    <row r="102" spans="1:13" s="226" customFormat="1" ht="27.75" customHeight="1">
      <c r="A102" s="678"/>
      <c r="B102" s="678"/>
      <c r="C102" s="678"/>
      <c r="D102" s="678"/>
      <c r="E102" s="678"/>
      <c r="F102" s="678"/>
      <c r="G102" s="678"/>
      <c r="H102" s="678"/>
      <c r="I102" s="425"/>
      <c r="J102" s="425"/>
      <c r="K102" s="345"/>
      <c r="L102" s="345"/>
    </row>
    <row r="103" spans="1:13" s="226" customFormat="1" ht="27.75" customHeight="1">
      <c r="A103" s="6"/>
      <c r="B103" s="500"/>
      <c r="D103" s="552"/>
      <c r="E103" s="372"/>
      <c r="F103" s="501"/>
      <c r="G103" s="504"/>
      <c r="H103" s="2"/>
      <c r="I103" s="425"/>
      <c r="J103" s="425"/>
      <c r="K103" s="345"/>
      <c r="L103" s="345"/>
    </row>
    <row r="104" spans="1:13" s="226" customFormat="1" ht="27.75" customHeight="1">
      <c r="A104" s="6"/>
      <c r="B104" s="500"/>
      <c r="D104" s="552"/>
      <c r="E104" s="372"/>
      <c r="F104" s="501"/>
      <c r="G104" s="430"/>
      <c r="H104" s="2"/>
      <c r="I104" s="425"/>
      <c r="J104" s="425"/>
      <c r="K104" s="345"/>
      <c r="L104" s="345"/>
    </row>
    <row r="105" spans="1:13" s="226" customFormat="1" ht="27.75" customHeight="1">
      <c r="A105" s="6"/>
      <c r="B105" s="500"/>
      <c r="D105" s="552"/>
      <c r="E105" s="372"/>
      <c r="F105" s="501"/>
      <c r="G105" s="504"/>
      <c r="H105" s="2"/>
      <c r="I105" s="425"/>
      <c r="J105" s="425"/>
      <c r="K105" s="345"/>
      <c r="L105" s="345"/>
    </row>
    <row r="106" spans="1:13" s="226" customFormat="1" ht="27.75" customHeight="1">
      <c r="A106" s="6"/>
      <c r="B106" s="500"/>
      <c r="D106" s="552"/>
      <c r="E106" s="372"/>
      <c r="F106" s="501"/>
      <c r="G106" s="504"/>
      <c r="H106" s="2"/>
      <c r="I106" s="425"/>
      <c r="J106" s="425"/>
      <c r="K106" s="345"/>
      <c r="L106" s="345"/>
    </row>
    <row r="107" spans="1:13" s="226" customFormat="1" ht="27.75" customHeight="1">
      <c r="A107" s="6"/>
      <c r="B107" s="500"/>
      <c r="D107" s="552"/>
      <c r="E107" s="372"/>
      <c r="F107" s="501"/>
      <c r="G107" s="504"/>
      <c r="H107" s="2"/>
      <c r="I107" s="425"/>
      <c r="J107" s="425"/>
      <c r="K107" s="345"/>
      <c r="L107" s="345"/>
    </row>
    <row r="108" spans="1:13" s="226" customFormat="1" ht="27.75" customHeight="1">
      <c r="A108" s="6"/>
      <c r="B108" s="500"/>
      <c r="D108" s="552"/>
      <c r="E108" s="372"/>
      <c r="F108" s="501"/>
      <c r="G108" s="504"/>
      <c r="H108" s="2"/>
      <c r="I108" s="425"/>
      <c r="J108" s="425"/>
      <c r="K108" s="345"/>
      <c r="L108" s="345"/>
    </row>
    <row r="109" spans="1:13" s="226" customFormat="1" ht="27.75" customHeight="1">
      <c r="A109" s="6"/>
      <c r="B109" s="500"/>
      <c r="D109" s="552"/>
      <c r="E109" s="372"/>
      <c r="F109" s="501"/>
      <c r="G109" s="504"/>
      <c r="H109" s="2"/>
      <c r="I109" s="425"/>
      <c r="J109" s="425"/>
      <c r="K109" s="345"/>
      <c r="L109" s="345"/>
    </row>
    <row r="110" spans="1:13" s="226" customFormat="1" ht="27.75" customHeight="1">
      <c r="A110" s="6"/>
      <c r="B110" s="500"/>
      <c r="D110" s="552"/>
      <c r="E110" s="372"/>
      <c r="F110" s="501"/>
      <c r="G110" s="504"/>
      <c r="H110" s="2"/>
      <c r="I110" s="425"/>
      <c r="J110" s="425"/>
      <c r="K110" s="345"/>
      <c r="L110" s="345"/>
    </row>
    <row r="111" spans="1:13" s="226" customFormat="1" ht="27.75" customHeight="1">
      <c r="A111" s="6"/>
      <c r="B111" s="500"/>
      <c r="D111" s="552"/>
      <c r="E111" s="372"/>
      <c r="F111" s="501"/>
      <c r="G111" s="504"/>
      <c r="H111" s="2"/>
      <c r="I111" s="425"/>
      <c r="J111" s="425"/>
      <c r="K111" s="345"/>
      <c r="L111" s="345"/>
    </row>
    <row r="112" spans="1:13" s="226" customFormat="1" ht="27.75" customHeight="1">
      <c r="A112" s="6"/>
      <c r="B112" s="500"/>
      <c r="D112" s="552"/>
      <c r="E112" s="372"/>
      <c r="F112" s="501"/>
      <c r="G112" s="504"/>
      <c r="H112" s="2"/>
      <c r="I112" s="425"/>
      <c r="J112" s="425"/>
      <c r="K112" s="345"/>
      <c r="L112" s="345"/>
    </row>
    <row r="113" spans="1:12" s="226" customFormat="1" ht="27.75" customHeight="1">
      <c r="A113" s="6"/>
      <c r="B113" s="500"/>
      <c r="D113" s="552"/>
      <c r="E113" s="372"/>
      <c r="F113" s="501"/>
      <c r="G113" s="504"/>
      <c r="H113" s="2"/>
      <c r="I113" s="425"/>
      <c r="J113" s="425"/>
      <c r="K113" s="345"/>
      <c r="L113" s="345"/>
    </row>
    <row r="114" spans="1:12" s="226" customFormat="1" ht="27.75" customHeight="1">
      <c r="A114" s="6"/>
      <c r="D114" s="552"/>
      <c r="E114" s="372"/>
      <c r="F114" s="501"/>
      <c r="G114" s="504"/>
      <c r="H114" s="2"/>
      <c r="I114" s="425"/>
      <c r="J114" s="425"/>
      <c r="K114" s="345"/>
      <c r="L114" s="345"/>
    </row>
    <row r="115" spans="1:12" ht="27.75" customHeight="1">
      <c r="B115" s="4"/>
      <c r="F115" s="4"/>
      <c r="K115" s="4"/>
      <c r="L115" s="4"/>
    </row>
    <row r="116" spans="1:12" ht="27.75" customHeight="1">
      <c r="B116" s="4"/>
      <c r="F116" s="4"/>
      <c r="K116" s="4"/>
      <c r="L116" s="4"/>
    </row>
    <row r="117" spans="1:12" ht="27.75" customHeight="1">
      <c r="B117" s="4"/>
      <c r="F117" s="4"/>
      <c r="K117" s="4"/>
      <c r="L117" s="4"/>
    </row>
    <row r="118" spans="1:12" ht="27.75" customHeight="1">
      <c r="B118" s="4"/>
      <c r="F118" s="4"/>
      <c r="K118" s="4"/>
      <c r="L118" s="4"/>
    </row>
    <row r="119" spans="1:12" ht="27.75" customHeight="1">
      <c r="B119" s="4"/>
      <c r="F119" s="4"/>
      <c r="K119" s="4"/>
      <c r="L119" s="4"/>
    </row>
    <row r="120" spans="1:12" ht="27.75" customHeight="1">
      <c r="B120" s="4"/>
      <c r="F120" s="4"/>
      <c r="K120" s="4"/>
      <c r="L120" s="4"/>
    </row>
    <row r="121" spans="1:12" ht="27.75" customHeight="1">
      <c r="B121" s="4"/>
      <c r="F121" s="4"/>
      <c r="K121" s="4"/>
      <c r="L121" s="4"/>
    </row>
    <row r="122" spans="1:12" ht="27.75" customHeight="1">
      <c r="B122" s="4"/>
      <c r="F122" s="4"/>
      <c r="K122" s="4"/>
      <c r="L122" s="4"/>
    </row>
    <row r="123" spans="1:12" ht="27.75" customHeight="1">
      <c r="B123" s="4"/>
      <c r="F123" s="4"/>
      <c r="K123" s="4"/>
      <c r="L123" s="4"/>
    </row>
    <row r="124" spans="1:12" ht="27.75" customHeight="1">
      <c r="B124" s="4"/>
      <c r="F124" s="4"/>
      <c r="K124" s="4"/>
      <c r="L124" s="4"/>
    </row>
    <row r="125" spans="1:12" ht="27.75" customHeight="1">
      <c r="B125" s="4"/>
      <c r="F125" s="4"/>
      <c r="K125" s="4"/>
      <c r="L125" s="4"/>
    </row>
    <row r="126" spans="1:12" ht="27.75" customHeight="1">
      <c r="B126" s="4"/>
      <c r="F126" s="4"/>
      <c r="K126" s="4"/>
      <c r="L126" s="4"/>
    </row>
    <row r="127" spans="1:12" ht="27.75" customHeight="1">
      <c r="B127" s="4"/>
      <c r="F127" s="4"/>
      <c r="K127" s="4"/>
      <c r="L127" s="4"/>
    </row>
    <row r="128" spans="1:12" ht="27.75" customHeight="1">
      <c r="B128" s="4"/>
      <c r="F128" s="4"/>
      <c r="K128" s="4"/>
      <c r="L128" s="4"/>
    </row>
    <row r="129" spans="2:12" ht="27.75" customHeight="1">
      <c r="B129" s="4"/>
      <c r="F129" s="4"/>
      <c r="K129" s="4"/>
      <c r="L129" s="4"/>
    </row>
    <row r="130" spans="2:12" ht="27.75" customHeight="1">
      <c r="B130" s="4"/>
      <c r="F130" s="4"/>
      <c r="K130" s="4"/>
      <c r="L130" s="4"/>
    </row>
    <row r="142" spans="2:12" s="4" customFormat="1" ht="27.75" customHeight="1">
      <c r="D142" s="552"/>
      <c r="E142" s="372"/>
      <c r="G142" s="507"/>
    </row>
    <row r="143" spans="2:12" s="4" customFormat="1" ht="27.75" customHeight="1">
      <c r="D143" s="552"/>
      <c r="E143" s="372"/>
      <c r="G143" s="507"/>
    </row>
    <row r="144" spans="2:12" s="4" customFormat="1" ht="27.75" customHeight="1">
      <c r="D144" s="552"/>
      <c r="E144" s="372"/>
      <c r="G144" s="507"/>
    </row>
    <row r="145" spans="4:7" s="4" customFormat="1" ht="27.75" customHeight="1">
      <c r="D145" s="552"/>
      <c r="E145" s="372"/>
      <c r="G145" s="507"/>
    </row>
    <row r="146" spans="4:7" s="4" customFormat="1" ht="27.75" customHeight="1">
      <c r="D146" s="552"/>
      <c r="E146" s="372"/>
      <c r="G146" s="507"/>
    </row>
    <row r="147" spans="4:7" s="4" customFormat="1" ht="27.75" customHeight="1">
      <c r="D147" s="552"/>
      <c r="E147" s="372"/>
      <c r="G147" s="507"/>
    </row>
    <row r="148" spans="4:7" s="4" customFormat="1" ht="27.75" customHeight="1">
      <c r="D148" s="552"/>
      <c r="E148" s="372"/>
      <c r="G148" s="507"/>
    </row>
    <row r="149" spans="4:7" s="4" customFormat="1" ht="27.75" customHeight="1">
      <c r="D149" s="552"/>
      <c r="E149" s="372"/>
      <c r="G149" s="507"/>
    </row>
    <row r="150" spans="4:7" s="4" customFormat="1" ht="27.75" customHeight="1">
      <c r="D150" s="552"/>
      <c r="E150" s="372"/>
      <c r="G150" s="507"/>
    </row>
    <row r="151" spans="4:7" s="4" customFormat="1" ht="27.75" customHeight="1">
      <c r="D151" s="552"/>
      <c r="E151" s="372"/>
      <c r="G151" s="507"/>
    </row>
    <row r="152" spans="4:7" s="4" customFormat="1" ht="27.75" customHeight="1">
      <c r="D152" s="552"/>
      <c r="E152" s="372"/>
      <c r="G152" s="507"/>
    </row>
    <row r="153" spans="4:7" s="4" customFormat="1" ht="27.75" customHeight="1">
      <c r="D153" s="552"/>
      <c r="E153" s="372"/>
      <c r="G153" s="507"/>
    </row>
    <row r="154" spans="4:7" s="4" customFormat="1" ht="27.75" customHeight="1">
      <c r="D154" s="552"/>
      <c r="E154" s="372"/>
      <c r="G154" s="507"/>
    </row>
  </sheetData>
  <mergeCells count="20">
    <mergeCell ref="A1:G1"/>
    <mergeCell ref="A2:G2"/>
    <mergeCell ref="A3:G3"/>
    <mergeCell ref="E4:G4"/>
    <mergeCell ref="H4:H6"/>
    <mergeCell ref="E5:E6"/>
    <mergeCell ref="I4:I6"/>
    <mergeCell ref="J4:J6"/>
    <mergeCell ref="K4:K6"/>
    <mergeCell ref="L4:L6"/>
    <mergeCell ref="A5:A6"/>
    <mergeCell ref="B5:B6"/>
    <mergeCell ref="C5:C6"/>
    <mergeCell ref="A101:H101"/>
    <mergeCell ref="A102:H102"/>
    <mergeCell ref="F5:F6"/>
    <mergeCell ref="B82:C82"/>
    <mergeCell ref="B86:C86"/>
    <mergeCell ref="B89:C89"/>
    <mergeCell ref="A100:H10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ABA87-0722-4290-9669-C88EB0D071E9}">
  <sheetPr>
    <tabColor rgb="FF92D050"/>
  </sheetPr>
  <dimension ref="A1:P98"/>
  <sheetViews>
    <sheetView zoomScale="70" zoomScaleNormal="70" workbookViewId="0">
      <pane ySplit="6" topLeftCell="A30" activePane="bottomLeft" state="frozen"/>
      <selection pane="bottomLeft" activeCell="P37" sqref="P36:P37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0" style="372" customWidth="1"/>
    <col min="5" max="5" width="9.109375" style="2" customWidth="1"/>
    <col min="6" max="6" width="23.6640625" style="507" customWidth="1"/>
    <col min="7" max="7" width="5.33203125" style="2" hidden="1" customWidth="1"/>
    <col min="8" max="8" width="9" style="508" hidden="1" customWidth="1"/>
    <col min="9" max="9" width="9.6640625" style="508" hidden="1" customWidth="1"/>
    <col min="10" max="10" width="10.88671875" style="512" hidden="1" customWidth="1"/>
    <col min="11" max="11" width="24.5546875" style="512" hidden="1" customWidth="1"/>
    <col min="12" max="13" width="8.88671875" style="4" hidden="1" customWidth="1"/>
    <col min="14" max="14" width="8.88671875" style="4"/>
    <col min="15" max="15" width="19.21875" style="4" customWidth="1"/>
    <col min="16" max="16" width="32.6640625" style="4" customWidth="1"/>
    <col min="17" max="16384" width="8.88671875" style="4"/>
  </cols>
  <sheetData>
    <row r="1" spans="1:15" ht="28.5" customHeight="1">
      <c r="A1" s="653" t="s">
        <v>0</v>
      </c>
      <c r="B1" s="653"/>
      <c r="C1" s="653"/>
      <c r="D1" s="653"/>
      <c r="E1" s="653"/>
      <c r="F1" s="653"/>
      <c r="H1" s="3"/>
      <c r="I1" s="3"/>
      <c r="J1" s="1"/>
      <c r="K1" s="1"/>
    </row>
    <row r="2" spans="1:15" ht="23.25" customHeight="1">
      <c r="A2" s="653" t="s">
        <v>1</v>
      </c>
      <c r="B2" s="653"/>
      <c r="C2" s="653"/>
      <c r="D2" s="653"/>
      <c r="E2" s="653"/>
      <c r="F2" s="653"/>
      <c r="G2" s="5"/>
      <c r="H2" s="3"/>
      <c r="I2" s="3"/>
      <c r="J2" s="1"/>
      <c r="K2" s="1"/>
    </row>
    <row r="3" spans="1:15" ht="28.5" customHeight="1">
      <c r="A3" s="654" t="s">
        <v>1270</v>
      </c>
      <c r="B3" s="654"/>
      <c r="C3" s="654"/>
      <c r="D3" s="654"/>
      <c r="E3" s="654"/>
      <c r="F3" s="654"/>
      <c r="H3" s="3"/>
      <c r="I3" s="3"/>
      <c r="J3" s="6"/>
      <c r="K3" s="6"/>
    </row>
    <row r="4" spans="1:15" ht="27.75" customHeight="1">
      <c r="A4" s="7"/>
      <c r="B4" s="8"/>
      <c r="C4" s="9"/>
      <c r="D4" s="655" t="s">
        <v>5</v>
      </c>
      <c r="E4" s="656"/>
      <c r="F4" s="657"/>
      <c r="G4" s="658" t="s">
        <v>6</v>
      </c>
      <c r="H4" s="671" t="s">
        <v>7</v>
      </c>
      <c r="I4" s="671" t="s">
        <v>8</v>
      </c>
      <c r="J4" s="661" t="s">
        <v>9</v>
      </c>
      <c r="K4" s="661" t="s">
        <v>10</v>
      </c>
    </row>
    <row r="5" spans="1:15" ht="27.75" customHeight="1">
      <c r="A5" s="664" t="s">
        <v>11</v>
      </c>
      <c r="B5" s="666" t="s">
        <v>12</v>
      </c>
      <c r="C5" s="666" t="s">
        <v>13</v>
      </c>
      <c r="D5" s="664" t="s">
        <v>15</v>
      </c>
      <c r="E5" s="669" t="s">
        <v>16</v>
      </c>
      <c r="F5" s="514"/>
      <c r="G5" s="659"/>
      <c r="H5" s="672"/>
      <c r="I5" s="672"/>
      <c r="J5" s="662"/>
      <c r="K5" s="662"/>
    </row>
    <row r="6" spans="1:15" ht="27.75" customHeight="1" thickBot="1">
      <c r="A6" s="665"/>
      <c r="B6" s="667"/>
      <c r="C6" s="667"/>
      <c r="D6" s="668"/>
      <c r="E6" s="670"/>
      <c r="F6" s="21" t="s">
        <v>22</v>
      </c>
      <c r="G6" s="660"/>
      <c r="H6" s="673"/>
      <c r="I6" s="673"/>
      <c r="J6" s="663"/>
      <c r="K6" s="663"/>
    </row>
    <row r="7" spans="1:15" ht="27.75" customHeight="1" thickTop="1">
      <c r="A7" s="232"/>
      <c r="B7" s="553" t="s">
        <v>708</v>
      </c>
      <c r="C7" s="553"/>
      <c r="D7" s="232"/>
      <c r="E7" s="251"/>
      <c r="F7" s="554"/>
      <c r="G7" s="517"/>
      <c r="H7" s="515"/>
      <c r="I7" s="515"/>
      <c r="J7" s="516"/>
      <c r="K7" s="516"/>
    </row>
    <row r="8" spans="1:15" ht="27.75" customHeight="1">
      <c r="A8" s="94">
        <v>1</v>
      </c>
      <c r="B8" s="41" t="s">
        <v>267</v>
      </c>
      <c r="C8" s="245" t="s">
        <v>268</v>
      </c>
      <c r="D8" s="94" t="s">
        <v>1287</v>
      </c>
      <c r="E8" s="116">
        <v>0.93457943925233578</v>
      </c>
      <c r="F8" s="54">
        <v>6420</v>
      </c>
      <c r="G8" s="39"/>
      <c r="H8" s="55"/>
      <c r="I8" s="55"/>
      <c r="J8" s="56"/>
      <c r="K8" s="56"/>
    </row>
    <row r="9" spans="1:15" ht="27.75" customHeight="1">
      <c r="A9" s="94">
        <v>2</v>
      </c>
      <c r="B9" s="41" t="s">
        <v>249</v>
      </c>
      <c r="C9" s="224" t="s">
        <v>250</v>
      </c>
      <c r="D9" s="94" t="s">
        <v>1287</v>
      </c>
      <c r="E9" s="116">
        <v>0.934579439252336</v>
      </c>
      <c r="F9" s="54">
        <v>6420</v>
      </c>
      <c r="G9" s="39"/>
      <c r="H9" s="55"/>
      <c r="I9" s="55"/>
      <c r="J9" s="56"/>
      <c r="K9" s="56"/>
    </row>
    <row r="10" spans="1:15" s="57" customFormat="1" ht="27.75" customHeight="1">
      <c r="A10" s="94">
        <v>3</v>
      </c>
      <c r="B10" s="41" t="s">
        <v>90</v>
      </c>
      <c r="C10" s="224" t="s">
        <v>246</v>
      </c>
      <c r="D10" s="94" t="s">
        <v>1287</v>
      </c>
      <c r="E10" s="39">
        <v>0.93457943925233644</v>
      </c>
      <c r="F10" s="47">
        <v>22470</v>
      </c>
      <c r="G10" s="146"/>
      <c r="H10" s="148"/>
      <c r="I10" s="148"/>
      <c r="J10" s="149"/>
      <c r="K10" s="149"/>
    </row>
    <row r="11" spans="1:15" s="57" customFormat="1" ht="27.75" customHeight="1">
      <c r="A11" s="94">
        <v>4</v>
      </c>
      <c r="B11" s="40" t="s">
        <v>78</v>
      </c>
      <c r="C11" s="41" t="s">
        <v>72</v>
      </c>
      <c r="D11" s="94" t="s">
        <v>1287</v>
      </c>
      <c r="E11" s="39">
        <v>1</v>
      </c>
      <c r="F11" s="47">
        <v>13613.815514018694</v>
      </c>
      <c r="G11" s="146"/>
      <c r="H11" s="148"/>
      <c r="I11" s="148"/>
      <c r="J11" s="149"/>
      <c r="K11" s="149"/>
    </row>
    <row r="12" spans="1:15" ht="27.75" customHeight="1">
      <c r="A12" s="94">
        <v>5</v>
      </c>
      <c r="B12" s="40" t="s">
        <v>82</v>
      </c>
      <c r="C12" s="41" t="s">
        <v>72</v>
      </c>
      <c r="D12" s="83" t="s">
        <v>1287</v>
      </c>
      <c r="E12" s="39">
        <v>1</v>
      </c>
      <c r="F12" s="47">
        <v>1797.5981308411219</v>
      </c>
      <c r="G12" s="116"/>
      <c r="H12" s="203"/>
      <c r="I12" s="203"/>
      <c r="J12" s="204"/>
      <c r="K12" s="204"/>
    </row>
    <row r="13" spans="1:15" s="226" customFormat="1" ht="27.75" customHeight="1">
      <c r="A13" s="94">
        <v>6</v>
      </c>
      <c r="B13" s="205" t="s">
        <v>101</v>
      </c>
      <c r="C13" s="140" t="s">
        <v>102</v>
      </c>
      <c r="D13" s="601" t="s">
        <v>1287</v>
      </c>
      <c r="E13" s="172">
        <v>1</v>
      </c>
      <c r="F13" s="47">
        <v>160.5</v>
      </c>
      <c r="G13" s="39"/>
      <c r="H13" s="55"/>
      <c r="I13" s="55"/>
      <c r="J13" s="56"/>
      <c r="K13" s="56"/>
    </row>
    <row r="14" spans="1:15" s="226" customFormat="1" ht="27.75" customHeight="1">
      <c r="A14" s="94">
        <v>7</v>
      </c>
      <c r="B14" s="40" t="s">
        <v>180</v>
      </c>
      <c r="C14" s="41" t="s">
        <v>181</v>
      </c>
      <c r="D14" s="83" t="s">
        <v>1287</v>
      </c>
      <c r="E14" s="116">
        <v>1</v>
      </c>
      <c r="F14" s="47">
        <v>200.63</v>
      </c>
      <c r="G14" s="39"/>
      <c r="H14" s="55"/>
      <c r="I14" s="55"/>
      <c r="J14" s="56"/>
      <c r="K14" s="56"/>
    </row>
    <row r="15" spans="1:15" s="226" customFormat="1" ht="27.75" customHeight="1">
      <c r="A15" s="94">
        <v>8</v>
      </c>
      <c r="B15" s="271" t="s">
        <v>249</v>
      </c>
      <c r="C15" s="271" t="s">
        <v>250</v>
      </c>
      <c r="D15" s="602" t="s">
        <v>1287</v>
      </c>
      <c r="E15" s="116">
        <v>1</v>
      </c>
      <c r="F15" s="66">
        <v>117.70000000000002</v>
      </c>
      <c r="G15" s="39"/>
      <c r="H15" s="55"/>
      <c r="I15" s="55"/>
      <c r="J15" s="56"/>
      <c r="K15" s="56"/>
    </row>
    <row r="16" spans="1:15" s="226" customFormat="1" ht="27.75" customHeight="1" thickBot="1">
      <c r="A16" s="603"/>
      <c r="B16" s="131"/>
      <c r="C16" s="131"/>
      <c r="D16" s="604"/>
      <c r="E16" s="576"/>
      <c r="F16" s="577">
        <f>SUM(F8:F15)</f>
        <v>51200.243644859809</v>
      </c>
      <c r="G16" s="39"/>
      <c r="H16" s="55"/>
      <c r="I16" s="55"/>
      <c r="J16" s="56"/>
      <c r="K16" s="56"/>
      <c r="O16" s="226">
        <f>SUM(F16+F21)</f>
        <v>70888.243644859816</v>
      </c>
    </row>
    <row r="17" spans="1:16" s="226" customFormat="1" ht="27.75" customHeight="1" thickTop="1">
      <c r="A17" s="22"/>
      <c r="B17" s="285"/>
      <c r="C17" s="285"/>
      <c r="D17" s="599"/>
      <c r="E17" s="251"/>
      <c r="F17" s="85"/>
      <c r="G17" s="39"/>
      <c r="H17" s="55"/>
      <c r="I17" s="55"/>
      <c r="J17" s="56"/>
      <c r="K17" s="56"/>
    </row>
    <row r="18" spans="1:16" s="226" customFormat="1" ht="27.75" customHeight="1">
      <c r="A18" s="94">
        <v>1</v>
      </c>
      <c r="B18" s="81" t="s">
        <v>1350</v>
      </c>
      <c r="C18" s="224" t="s">
        <v>255</v>
      </c>
      <c r="D18" s="83" t="s">
        <v>1051</v>
      </c>
      <c r="E18" s="116">
        <v>1.8691588785046722</v>
      </c>
      <c r="F18" s="47">
        <v>19260</v>
      </c>
      <c r="G18" s="39"/>
      <c r="H18" s="55"/>
      <c r="I18" s="55"/>
      <c r="J18" s="56"/>
      <c r="K18" s="56"/>
    </row>
    <row r="19" spans="1:16" ht="27.75" customHeight="1">
      <c r="A19" s="316">
        <v>2</v>
      </c>
      <c r="B19" s="40" t="s">
        <v>130</v>
      </c>
      <c r="C19" s="140" t="s">
        <v>102</v>
      </c>
      <c r="D19" s="600" t="s">
        <v>1051</v>
      </c>
      <c r="E19" s="146">
        <v>2</v>
      </c>
      <c r="F19" s="66">
        <v>321</v>
      </c>
      <c r="G19" s="36"/>
      <c r="H19" s="37"/>
      <c r="I19" s="37"/>
      <c r="J19" s="38"/>
      <c r="K19" s="38"/>
      <c r="L19" s="38"/>
    </row>
    <row r="20" spans="1:16" ht="27.75" customHeight="1">
      <c r="A20" s="316">
        <v>3</v>
      </c>
      <c r="B20" s="280" t="s">
        <v>294</v>
      </c>
      <c r="C20" s="280" t="s">
        <v>255</v>
      </c>
      <c r="D20" s="320" t="s">
        <v>1051</v>
      </c>
      <c r="E20" s="39">
        <v>2</v>
      </c>
      <c r="F20" s="66">
        <v>107</v>
      </c>
      <c r="G20" s="36"/>
      <c r="H20" s="37"/>
      <c r="I20" s="37"/>
      <c r="J20" s="38"/>
      <c r="K20" s="38"/>
      <c r="L20" s="38"/>
    </row>
    <row r="21" spans="1:16" ht="27.75" customHeight="1" thickBot="1">
      <c r="A21" s="414"/>
      <c r="B21" s="415"/>
      <c r="C21" s="416"/>
      <c r="D21" s="423"/>
      <c r="E21" s="422"/>
      <c r="F21" s="420">
        <f>SUM(F18:F20)</f>
        <v>19688</v>
      </c>
      <c r="G21" s="424"/>
      <c r="H21" s="425"/>
      <c r="I21" s="425"/>
      <c r="J21" s="345"/>
      <c r="K21" s="345"/>
      <c r="L21" s="345"/>
      <c r="P21" s="57">
        <v>70888.243644859816</v>
      </c>
    </row>
    <row r="22" spans="1:16" ht="27.75" customHeight="1" thickTop="1">
      <c r="A22" s="426"/>
      <c r="B22" s="4"/>
      <c r="C22" s="295"/>
      <c r="D22" s="433"/>
      <c r="E22" s="427"/>
      <c r="F22" s="430"/>
      <c r="G22" s="424"/>
      <c r="H22" s="425"/>
      <c r="I22" s="425"/>
      <c r="J22" s="345"/>
      <c r="K22" s="345"/>
      <c r="L22" s="345"/>
    </row>
    <row r="23" spans="1:16" ht="27.75" customHeight="1">
      <c r="A23" s="426"/>
      <c r="B23" s="434" t="s">
        <v>469</v>
      </c>
      <c r="C23" s="295"/>
      <c r="D23" s="433"/>
      <c r="E23" s="427"/>
      <c r="F23" s="430"/>
      <c r="G23" s="424"/>
      <c r="H23" s="425"/>
      <c r="I23" s="425"/>
      <c r="J23" s="345"/>
      <c r="K23" s="345"/>
      <c r="L23" s="345"/>
    </row>
    <row r="24" spans="1:16" ht="27.75" customHeight="1">
      <c r="A24" s="435">
        <v>1</v>
      </c>
      <c r="B24" s="436" t="s">
        <v>470</v>
      </c>
      <c r="C24" s="437" t="s">
        <v>471</v>
      </c>
      <c r="D24" s="435" t="s">
        <v>473</v>
      </c>
      <c r="E24" s="444">
        <v>21</v>
      </c>
      <c r="F24" s="17">
        <v>361288.35</v>
      </c>
      <c r="G24" s="251" t="s">
        <v>195</v>
      </c>
      <c r="H24" s="446">
        <v>41883</v>
      </c>
      <c r="I24" s="446">
        <v>42978</v>
      </c>
      <c r="J24" s="447">
        <v>90000</v>
      </c>
      <c r="K24" s="447" t="s">
        <v>474</v>
      </c>
    </row>
    <row r="25" spans="1:16" ht="27.75" customHeight="1">
      <c r="A25" s="435"/>
      <c r="B25" s="436" t="s">
        <v>476</v>
      </c>
      <c r="C25" s="437"/>
      <c r="D25" s="435"/>
      <c r="E25" s="444"/>
      <c r="F25" s="17">
        <v>0</v>
      </c>
      <c r="G25" s="116"/>
      <c r="H25" s="203"/>
      <c r="I25" s="203"/>
      <c r="J25" s="204"/>
      <c r="K25" s="204"/>
    </row>
    <row r="26" spans="1:16" ht="27.75" customHeight="1">
      <c r="A26" s="435"/>
      <c r="B26" s="674" t="s">
        <v>477</v>
      </c>
      <c r="C26" s="675"/>
      <c r="D26" s="435"/>
      <c r="E26" s="444"/>
      <c r="F26" s="17">
        <v>0</v>
      </c>
      <c r="G26" s="116"/>
      <c r="H26" s="203"/>
      <c r="I26" s="203"/>
      <c r="J26" s="204"/>
      <c r="K26" s="204"/>
    </row>
    <row r="27" spans="1:16" ht="27.75" customHeight="1">
      <c r="A27" s="435">
        <v>2</v>
      </c>
      <c r="B27" s="450" t="s">
        <v>470</v>
      </c>
      <c r="C27" s="451" t="s">
        <v>478</v>
      </c>
      <c r="D27" s="435" t="s">
        <v>479</v>
      </c>
      <c r="E27" s="444">
        <v>6</v>
      </c>
      <c r="F27" s="17">
        <v>96700.72</v>
      </c>
      <c r="G27" s="116"/>
      <c r="H27" s="203"/>
      <c r="I27" s="203"/>
      <c r="J27" s="204"/>
      <c r="K27" s="204"/>
    </row>
    <row r="28" spans="1:16" ht="27.75" customHeight="1">
      <c r="A28" s="435">
        <v>3</v>
      </c>
      <c r="B28" s="450" t="s">
        <v>470</v>
      </c>
      <c r="C28" s="451" t="s">
        <v>480</v>
      </c>
      <c r="D28" s="435" t="s">
        <v>481</v>
      </c>
      <c r="E28" s="444">
        <v>16</v>
      </c>
      <c r="F28" s="17">
        <v>285799.45</v>
      </c>
      <c r="G28" s="116"/>
      <c r="H28" s="203"/>
      <c r="I28" s="203"/>
      <c r="J28" s="204"/>
      <c r="K28" s="204"/>
    </row>
    <row r="29" spans="1:16" s="226" customFormat="1" ht="27.75" customHeight="1">
      <c r="A29" s="440">
        <v>4</v>
      </c>
      <c r="B29" s="436" t="s">
        <v>470</v>
      </c>
      <c r="C29" s="453" t="s">
        <v>482</v>
      </c>
      <c r="D29" s="435" t="s">
        <v>483</v>
      </c>
      <c r="E29" s="448" t="s">
        <v>195</v>
      </c>
      <c r="F29" s="17">
        <v>57055.05</v>
      </c>
      <c r="G29" s="39"/>
      <c r="H29" s="55"/>
      <c r="I29" s="55"/>
      <c r="J29" s="141"/>
      <c r="K29" s="141"/>
    </row>
    <row r="30" spans="1:16" s="226" customFormat="1" ht="27.75" customHeight="1">
      <c r="A30" s="440"/>
      <c r="B30" s="676" t="s">
        <v>484</v>
      </c>
      <c r="C30" s="677"/>
      <c r="D30" s="435"/>
      <c r="E30" s="448"/>
      <c r="F30" s="17">
        <v>0</v>
      </c>
      <c r="G30" s="122"/>
      <c r="H30" s="37"/>
      <c r="I30" s="37"/>
      <c r="J30" s="459"/>
      <c r="K30" s="459"/>
    </row>
    <row r="31" spans="1:16" ht="27.75" customHeight="1">
      <c r="A31" s="460">
        <v>5</v>
      </c>
      <c r="B31" s="436" t="s">
        <v>470</v>
      </c>
      <c r="C31" s="461" t="s">
        <v>485</v>
      </c>
      <c r="D31" s="435" t="s">
        <v>486</v>
      </c>
      <c r="E31" s="464" t="s">
        <v>195</v>
      </c>
      <c r="F31" s="17">
        <v>28958.15</v>
      </c>
      <c r="G31" s="36"/>
      <c r="H31" s="37"/>
      <c r="I31" s="37"/>
      <c r="J31" s="38"/>
      <c r="K31" s="38"/>
      <c r="L31" s="38"/>
    </row>
    <row r="32" spans="1:16" ht="27.6" customHeight="1">
      <c r="A32" s="460"/>
      <c r="B32" s="436" t="s">
        <v>488</v>
      </c>
      <c r="C32" s="461"/>
      <c r="D32" s="435"/>
      <c r="E32" s="444"/>
      <c r="F32" s="17"/>
      <c r="G32" s="36"/>
      <c r="H32" s="37"/>
      <c r="I32" s="37"/>
      <c r="J32" s="38"/>
      <c r="K32" s="38"/>
      <c r="L32" s="38"/>
    </row>
    <row r="33" spans="1:12" ht="27.6" customHeight="1">
      <c r="A33" s="460"/>
      <c r="B33" s="674" t="s">
        <v>489</v>
      </c>
      <c r="C33" s="675"/>
      <c r="D33" s="435"/>
      <c r="E33" s="444"/>
      <c r="F33" s="17"/>
      <c r="G33" s="36"/>
      <c r="H33" s="37"/>
      <c r="I33" s="37"/>
      <c r="J33" s="38"/>
      <c r="K33" s="38"/>
      <c r="L33" s="38"/>
    </row>
    <row r="34" spans="1:12" ht="27.75" customHeight="1" thickBot="1">
      <c r="A34" s="465"/>
      <c r="B34" s="466" t="s">
        <v>22</v>
      </c>
      <c r="C34" s="195"/>
      <c r="D34" s="315"/>
      <c r="E34" s="310"/>
      <c r="F34" s="313">
        <v>829801.72000000009</v>
      </c>
      <c r="G34" s="36"/>
      <c r="H34" s="37"/>
      <c r="I34" s="37"/>
      <c r="J34" s="38"/>
      <c r="K34" s="38"/>
      <c r="L34" s="38"/>
    </row>
    <row r="35" spans="1:12" ht="27.75" customHeight="1" thickTop="1">
      <c r="A35" s="468"/>
      <c r="B35" s="469" t="s">
        <v>490</v>
      </c>
      <c r="C35" s="470"/>
      <c r="D35" s="186"/>
      <c r="E35" s="116"/>
      <c r="F35" s="474"/>
      <c r="G35" s="36"/>
      <c r="H35" s="37"/>
      <c r="I35" s="37"/>
      <c r="J35" s="38"/>
      <c r="K35" s="38"/>
      <c r="L35" s="38"/>
    </row>
    <row r="36" spans="1:12" ht="27.75" customHeight="1">
      <c r="A36" s="475">
        <v>1</v>
      </c>
      <c r="B36" s="436" t="s">
        <v>491</v>
      </c>
      <c r="C36" s="437" t="s">
        <v>492</v>
      </c>
      <c r="D36" s="435"/>
      <c r="E36" s="477"/>
      <c r="F36" s="481"/>
      <c r="G36" s="356"/>
      <c r="H36" s="482"/>
      <c r="I36" s="482"/>
      <c r="J36" s="483"/>
      <c r="K36" s="483"/>
    </row>
    <row r="37" spans="1:12" ht="27.75" customHeight="1">
      <c r="A37" s="475"/>
      <c r="B37" s="484" t="s">
        <v>494</v>
      </c>
      <c r="C37" s="437"/>
      <c r="D37" s="435"/>
      <c r="E37" s="477"/>
      <c r="F37" s="481"/>
      <c r="G37" s="485"/>
      <c r="H37" s="486"/>
      <c r="I37" s="486"/>
      <c r="J37" s="487"/>
      <c r="K37" s="487"/>
    </row>
    <row r="38" spans="1:12" ht="27.75" customHeight="1">
      <c r="A38" s="475">
        <v>2</v>
      </c>
      <c r="B38" s="436" t="s">
        <v>495</v>
      </c>
      <c r="C38" s="437" t="s">
        <v>496</v>
      </c>
      <c r="D38" s="435"/>
      <c r="E38" s="477" t="s">
        <v>497</v>
      </c>
      <c r="F38" s="17">
        <v>8214529.25</v>
      </c>
      <c r="G38" s="485"/>
      <c r="H38" s="486"/>
      <c r="I38" s="486"/>
      <c r="J38" s="487"/>
      <c r="K38" s="487"/>
    </row>
    <row r="39" spans="1:12" ht="27.75" customHeight="1">
      <c r="A39" s="405"/>
      <c r="B39" s="234" t="s">
        <v>22</v>
      </c>
      <c r="C39" s="407"/>
      <c r="D39" s="412"/>
      <c r="E39" s="408"/>
      <c r="F39" s="239">
        <v>8214529.25</v>
      </c>
      <c r="G39" s="278"/>
      <c r="H39" s="279"/>
      <c r="I39" s="279"/>
      <c r="J39" s="413"/>
      <c r="K39" s="413"/>
      <c r="L39" s="413"/>
    </row>
    <row r="40" spans="1:12" ht="27.75" customHeight="1">
      <c r="A40" s="426"/>
      <c r="B40" s="4"/>
      <c r="C40" s="295"/>
      <c r="D40" s="433"/>
      <c r="E40" s="427"/>
      <c r="F40" s="430"/>
      <c r="G40" s="424"/>
      <c r="H40" s="425"/>
      <c r="I40" s="425"/>
      <c r="J40" s="345"/>
      <c r="K40" s="345"/>
      <c r="L40" s="345"/>
    </row>
    <row r="41" spans="1:12" ht="27.75" customHeight="1" thickBot="1">
      <c r="A41" s="488"/>
      <c r="B41" s="489" t="s">
        <v>498</v>
      </c>
      <c r="C41" s="490"/>
      <c r="D41" s="495"/>
      <c r="E41" s="496"/>
      <c r="F41" s="493">
        <v>9115219.224392524</v>
      </c>
      <c r="G41" s="497">
        <v>0</v>
      </c>
      <c r="H41" s="497">
        <v>0</v>
      </c>
      <c r="I41" s="498"/>
      <c r="J41" s="499"/>
      <c r="K41" s="499"/>
      <c r="L41" s="499"/>
    </row>
    <row r="42" spans="1:12" s="226" customFormat="1" ht="27.75" customHeight="1" thickTop="1">
      <c r="A42" s="6"/>
      <c r="B42" s="500"/>
      <c r="D42" s="372"/>
      <c r="E42" s="501"/>
      <c r="F42" s="504"/>
      <c r="G42" s="2"/>
      <c r="H42" s="425"/>
      <c r="I42" s="425"/>
      <c r="J42" s="345"/>
      <c r="K42" s="345"/>
    </row>
    <row r="43" spans="1:12" s="226" customFormat="1" ht="27.75" customHeight="1">
      <c r="A43" s="6"/>
      <c r="B43" s="500"/>
      <c r="D43" s="372"/>
      <c r="E43" s="501"/>
      <c r="F43" s="504"/>
      <c r="G43" s="2"/>
      <c r="H43" s="425"/>
      <c r="I43" s="425"/>
      <c r="J43" s="345"/>
      <c r="K43" s="345"/>
    </row>
    <row r="44" spans="1:12" s="226" customFormat="1" ht="27.75" customHeight="1">
      <c r="A44" s="684" t="s">
        <v>932</v>
      </c>
      <c r="B44" s="684"/>
      <c r="C44" s="684"/>
      <c r="D44" s="684"/>
      <c r="E44" s="684"/>
      <c r="F44" s="684"/>
      <c r="G44" s="684"/>
      <c r="H44" s="425"/>
      <c r="I44" s="425"/>
      <c r="J44" s="345"/>
      <c r="K44" s="345"/>
    </row>
    <row r="45" spans="1:12" s="226" customFormat="1" ht="27.75" customHeight="1">
      <c r="A45" s="678" t="s">
        <v>933</v>
      </c>
      <c r="B45" s="678"/>
      <c r="C45" s="678"/>
      <c r="D45" s="678"/>
      <c r="E45" s="678"/>
      <c r="F45" s="678"/>
      <c r="G45" s="678"/>
      <c r="H45" s="425"/>
      <c r="I45" s="425"/>
      <c r="J45" s="345"/>
      <c r="K45" s="345"/>
    </row>
    <row r="46" spans="1:12" s="226" customFormat="1" ht="27.75" customHeight="1">
      <c r="A46" s="678"/>
      <c r="B46" s="678"/>
      <c r="C46" s="678"/>
      <c r="D46" s="678"/>
      <c r="E46" s="678"/>
      <c r="F46" s="678"/>
      <c r="G46" s="678"/>
      <c r="H46" s="425"/>
      <c r="I46" s="425"/>
      <c r="J46" s="345"/>
      <c r="K46" s="345"/>
    </row>
    <row r="47" spans="1:12" s="226" customFormat="1" ht="27.75" customHeight="1">
      <c r="A47" s="6"/>
      <c r="B47" s="500"/>
      <c r="D47" s="372"/>
      <c r="E47" s="501"/>
      <c r="F47" s="504"/>
      <c r="G47" s="2"/>
      <c r="H47" s="425"/>
      <c r="I47" s="425"/>
      <c r="J47" s="345"/>
      <c r="K47" s="345"/>
    </row>
    <row r="48" spans="1:12" s="226" customFormat="1" ht="27.75" customHeight="1">
      <c r="A48" s="6"/>
      <c r="B48" s="500"/>
      <c r="D48" s="372"/>
      <c r="E48" s="501"/>
      <c r="F48" s="430"/>
      <c r="G48" s="2"/>
      <c r="H48" s="425"/>
      <c r="I48" s="425"/>
      <c r="J48" s="345"/>
      <c r="K48" s="345"/>
    </row>
    <row r="49" spans="1:11" s="226" customFormat="1" ht="27.75" customHeight="1">
      <c r="A49" s="6"/>
      <c r="B49" s="500"/>
      <c r="D49" s="372"/>
      <c r="E49" s="501"/>
      <c r="F49" s="504"/>
      <c r="G49" s="2"/>
      <c r="H49" s="425"/>
      <c r="I49" s="425"/>
      <c r="J49" s="345"/>
      <c r="K49" s="345"/>
    </row>
    <row r="50" spans="1:11" s="226" customFormat="1" ht="27.75" customHeight="1">
      <c r="A50" s="6"/>
      <c r="B50" s="500"/>
      <c r="D50" s="372"/>
      <c r="E50" s="501"/>
      <c r="F50" s="504"/>
      <c r="G50" s="2"/>
      <c r="H50" s="425"/>
      <c r="I50" s="425"/>
      <c r="J50" s="345"/>
      <c r="K50" s="345"/>
    </row>
    <row r="51" spans="1:11" s="226" customFormat="1" ht="27.75" customHeight="1">
      <c r="A51" s="6"/>
      <c r="B51" s="500"/>
      <c r="D51" s="372"/>
      <c r="E51" s="501"/>
      <c r="F51" s="504"/>
      <c r="G51" s="2"/>
      <c r="H51" s="425"/>
      <c r="I51" s="425"/>
      <c r="J51" s="345"/>
      <c r="K51" s="345"/>
    </row>
    <row r="52" spans="1:11" s="226" customFormat="1" ht="27.75" customHeight="1">
      <c r="A52" s="6"/>
      <c r="B52" s="500"/>
      <c r="D52" s="372"/>
      <c r="E52" s="501"/>
      <c r="F52" s="504"/>
      <c r="G52" s="2"/>
      <c r="H52" s="425"/>
      <c r="I52" s="425"/>
      <c r="J52" s="345"/>
      <c r="K52" s="345"/>
    </row>
    <row r="53" spans="1:11" s="226" customFormat="1" ht="27.75" customHeight="1">
      <c r="A53" s="6"/>
      <c r="B53" s="500"/>
      <c r="D53" s="372"/>
      <c r="E53" s="501"/>
      <c r="F53" s="504"/>
      <c r="G53" s="2"/>
      <c r="H53" s="425"/>
      <c r="I53" s="425"/>
      <c r="J53" s="345"/>
      <c r="K53" s="345"/>
    </row>
    <row r="54" spans="1:11" s="226" customFormat="1" ht="27.75" customHeight="1">
      <c r="A54" s="6"/>
      <c r="B54" s="500"/>
      <c r="D54" s="372"/>
      <c r="E54" s="501"/>
      <c r="F54" s="504"/>
      <c r="G54" s="2"/>
      <c r="H54" s="425"/>
      <c r="I54" s="425"/>
      <c r="J54" s="345"/>
      <c r="K54" s="345"/>
    </row>
    <row r="55" spans="1:11" s="226" customFormat="1" ht="27.75" customHeight="1">
      <c r="A55" s="6"/>
      <c r="B55" s="500"/>
      <c r="D55" s="372"/>
      <c r="E55" s="501"/>
      <c r="F55" s="504"/>
      <c r="G55" s="2"/>
      <c r="H55" s="425"/>
      <c r="I55" s="425"/>
      <c r="J55" s="345"/>
      <c r="K55" s="345"/>
    </row>
    <row r="56" spans="1:11" s="226" customFormat="1" ht="27.75" customHeight="1">
      <c r="A56" s="6"/>
      <c r="B56" s="500"/>
      <c r="D56" s="372"/>
      <c r="E56" s="501"/>
      <c r="F56" s="504"/>
      <c r="G56" s="2"/>
      <c r="H56" s="425"/>
      <c r="I56" s="425"/>
      <c r="J56" s="345"/>
      <c r="K56" s="345"/>
    </row>
    <row r="57" spans="1:11" s="226" customFormat="1" ht="27.75" customHeight="1">
      <c r="A57" s="6"/>
      <c r="B57" s="500"/>
      <c r="D57" s="372"/>
      <c r="E57" s="501"/>
      <c r="F57" s="504"/>
      <c r="G57" s="2"/>
      <c r="H57" s="425"/>
      <c r="I57" s="425"/>
      <c r="J57" s="345"/>
      <c r="K57" s="345"/>
    </row>
    <row r="58" spans="1:11" s="226" customFormat="1" ht="27.75" customHeight="1">
      <c r="A58" s="6"/>
      <c r="D58" s="372"/>
      <c r="E58" s="501"/>
      <c r="F58" s="504"/>
      <c r="G58" s="2"/>
      <c r="H58" s="425"/>
      <c r="I58" s="425"/>
      <c r="J58" s="345"/>
      <c r="K58" s="345"/>
    </row>
    <row r="59" spans="1:11" ht="27.75" customHeight="1">
      <c r="B59" s="4"/>
      <c r="E59" s="4"/>
      <c r="J59" s="4"/>
      <c r="K59" s="4"/>
    </row>
    <row r="60" spans="1:11" ht="27.75" customHeight="1">
      <c r="B60" s="4"/>
      <c r="E60" s="4"/>
      <c r="J60" s="4"/>
      <c r="K60" s="4"/>
    </row>
    <row r="61" spans="1:11" ht="27.75" customHeight="1">
      <c r="B61" s="4"/>
      <c r="E61" s="4"/>
      <c r="J61" s="4"/>
      <c r="K61" s="4"/>
    </row>
    <row r="62" spans="1:11" ht="27.75" customHeight="1">
      <c r="B62" s="4"/>
      <c r="E62" s="4"/>
      <c r="J62" s="4"/>
      <c r="K62" s="4"/>
    </row>
    <row r="63" spans="1:11" ht="27.75" customHeight="1">
      <c r="B63" s="4"/>
      <c r="E63" s="4"/>
      <c r="J63" s="4"/>
      <c r="K63" s="4"/>
    </row>
    <row r="64" spans="1:11" ht="27.75" customHeight="1">
      <c r="B64" s="4"/>
      <c r="E64" s="4"/>
      <c r="J64" s="4"/>
      <c r="K64" s="4"/>
    </row>
    <row r="65" spans="2:11" ht="27.75" customHeight="1">
      <c r="B65" s="4"/>
      <c r="E65" s="4"/>
      <c r="J65" s="4"/>
      <c r="K65" s="4"/>
    </row>
    <row r="66" spans="2:11" ht="27.75" customHeight="1">
      <c r="B66" s="4"/>
      <c r="E66" s="4"/>
      <c r="J66" s="4"/>
      <c r="K66" s="4"/>
    </row>
    <row r="67" spans="2:11" ht="27.75" customHeight="1">
      <c r="B67" s="4"/>
      <c r="E67" s="4"/>
      <c r="J67" s="4"/>
      <c r="K67" s="4"/>
    </row>
    <row r="68" spans="2:11" ht="27.75" customHeight="1">
      <c r="B68" s="4"/>
      <c r="E68" s="4"/>
      <c r="J68" s="4"/>
      <c r="K68" s="4"/>
    </row>
    <row r="69" spans="2:11" ht="27.75" customHeight="1">
      <c r="B69" s="4"/>
      <c r="E69" s="4"/>
      <c r="J69" s="4"/>
      <c r="K69" s="4"/>
    </row>
    <row r="70" spans="2:11" ht="27.75" customHeight="1">
      <c r="B70" s="4"/>
      <c r="E70" s="4"/>
      <c r="J70" s="4"/>
      <c r="K70" s="4"/>
    </row>
    <row r="71" spans="2:11" ht="27.75" customHeight="1">
      <c r="B71" s="4"/>
      <c r="E71" s="4"/>
      <c r="J71" s="4"/>
      <c r="K71" s="4"/>
    </row>
    <row r="72" spans="2:11" ht="27.75" customHeight="1">
      <c r="B72" s="4"/>
      <c r="E72" s="4"/>
      <c r="J72" s="4"/>
      <c r="K72" s="4"/>
    </row>
    <row r="73" spans="2:11" ht="27.75" customHeight="1">
      <c r="B73" s="4"/>
      <c r="E73" s="4"/>
      <c r="J73" s="4"/>
      <c r="K73" s="4"/>
    </row>
    <row r="74" spans="2:11" ht="27.75" customHeight="1">
      <c r="B74" s="4"/>
      <c r="E74" s="4"/>
      <c r="J74" s="4"/>
      <c r="K74" s="4"/>
    </row>
    <row r="86" spans="4:6" s="4" customFormat="1" ht="27.75" customHeight="1">
      <c r="D86" s="372"/>
      <c r="F86" s="507"/>
    </row>
    <row r="87" spans="4:6" s="4" customFormat="1" ht="27.75" customHeight="1">
      <c r="D87" s="372"/>
      <c r="F87" s="507"/>
    </row>
    <row r="88" spans="4:6" s="4" customFormat="1" ht="27.75" customHeight="1">
      <c r="D88" s="372"/>
      <c r="F88" s="507"/>
    </row>
    <row r="89" spans="4:6" s="4" customFormat="1" ht="27.75" customHeight="1">
      <c r="D89" s="372"/>
      <c r="F89" s="507"/>
    </row>
    <row r="90" spans="4:6" s="4" customFormat="1" ht="27.75" customHeight="1">
      <c r="D90" s="372"/>
      <c r="F90" s="507"/>
    </row>
    <row r="91" spans="4:6" s="4" customFormat="1" ht="27.75" customHeight="1">
      <c r="D91" s="372"/>
      <c r="F91" s="507"/>
    </row>
    <row r="92" spans="4:6" s="4" customFormat="1" ht="27.75" customHeight="1">
      <c r="D92" s="372"/>
      <c r="F92" s="507"/>
    </row>
    <row r="93" spans="4:6" s="4" customFormat="1" ht="27.75" customHeight="1">
      <c r="D93" s="372"/>
      <c r="F93" s="507"/>
    </row>
    <row r="94" spans="4:6" s="4" customFormat="1" ht="27.75" customHeight="1">
      <c r="D94" s="372"/>
      <c r="F94" s="507"/>
    </row>
    <row r="95" spans="4:6" s="4" customFormat="1" ht="27.75" customHeight="1">
      <c r="D95" s="372"/>
      <c r="F95" s="507"/>
    </row>
    <row r="96" spans="4:6" s="4" customFormat="1" ht="27.75" customHeight="1">
      <c r="D96" s="372"/>
      <c r="F96" s="507"/>
    </row>
    <row r="97" spans="4:6" s="4" customFormat="1" ht="27.75" customHeight="1">
      <c r="D97" s="372"/>
      <c r="F97" s="507"/>
    </row>
    <row r="98" spans="4:6" s="4" customFormat="1" ht="27.75" customHeight="1">
      <c r="D98" s="372"/>
      <c r="F98" s="507"/>
    </row>
  </sheetData>
  <sortState xmlns:xlrd2="http://schemas.microsoft.com/office/spreadsheetml/2017/richdata2" ref="A8:F20">
    <sortCondition ref="E8:E20"/>
  </sortState>
  <mergeCells count="20">
    <mergeCell ref="A1:F1"/>
    <mergeCell ref="A2:F2"/>
    <mergeCell ref="A3:F3"/>
    <mergeCell ref="D4:F4"/>
    <mergeCell ref="G4:G6"/>
    <mergeCell ref="A46:G46"/>
    <mergeCell ref="I4:I6"/>
    <mergeCell ref="J4:J6"/>
    <mergeCell ref="K4:K6"/>
    <mergeCell ref="A5:A6"/>
    <mergeCell ref="B5:B6"/>
    <mergeCell ref="C5:C6"/>
    <mergeCell ref="D5:D6"/>
    <mergeCell ref="E5:E6"/>
    <mergeCell ref="H4:H6"/>
    <mergeCell ref="B26:C26"/>
    <mergeCell ref="B30:C30"/>
    <mergeCell ref="B33:C33"/>
    <mergeCell ref="A44:G44"/>
    <mergeCell ref="A45:G4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66B10-D39B-411F-94D7-662F6947A690}">
  <sheetPr>
    <tabColor rgb="FFFFC000"/>
  </sheetPr>
  <dimension ref="A1:AB327"/>
  <sheetViews>
    <sheetView zoomScale="60" zoomScaleNormal="60" workbookViewId="0">
      <pane ySplit="6" topLeftCell="A249" activePane="bottomLeft" state="frozen"/>
      <selection pane="bottomLeft" activeCell="H267" sqref="H267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0.5546875" style="510" customWidth="1"/>
    <col min="5" max="5" width="18.88671875" style="511" customWidth="1"/>
    <col min="6" max="6" width="4.88671875" style="506" customWidth="1"/>
    <col min="7" max="7" width="20.109375" style="509" customWidth="1"/>
    <col min="8" max="8" width="18.33203125" style="509" customWidth="1"/>
    <col min="9" max="9" width="21.44140625" style="504" customWidth="1"/>
    <col min="10" max="10" width="21.6640625" style="3" customWidth="1"/>
    <col min="11" max="11" width="24.5546875" style="372" customWidth="1"/>
    <col min="12" max="12" width="22.109375" style="512" customWidth="1"/>
    <col min="13" max="13" width="20" style="372" customWidth="1"/>
    <col min="14" max="14" width="9.109375" style="2" customWidth="1"/>
    <col min="15" max="15" width="24" style="513" customWidth="1"/>
    <col min="16" max="16" width="16.6640625" style="513" customWidth="1"/>
    <col min="17" max="17" width="23.6640625" style="507" customWidth="1"/>
    <col min="18" max="18" width="5.33203125" style="2" hidden="1" customWidth="1"/>
    <col min="19" max="19" width="9" style="508" hidden="1" customWidth="1"/>
    <col min="20" max="20" width="9.6640625" style="508" hidden="1" customWidth="1"/>
    <col min="21" max="21" width="10.88671875" style="512" hidden="1" customWidth="1"/>
    <col min="22" max="22" width="24.5546875" style="512" hidden="1" customWidth="1"/>
    <col min="23" max="24" width="8.88671875" style="4" hidden="1" customWidth="1"/>
    <col min="25" max="27" width="8.88671875" style="4"/>
    <col min="28" max="28" width="14.5546875" style="4" bestFit="1" customWidth="1"/>
    <col min="29" max="16384" width="8.88671875" style="4"/>
  </cols>
  <sheetData>
    <row r="1" spans="1:23" ht="28.5" customHeight="1">
      <c r="A1" s="653" t="s">
        <v>0</v>
      </c>
      <c r="B1" s="653"/>
      <c r="C1" s="653"/>
      <c r="D1" s="653"/>
      <c r="E1" s="653"/>
      <c r="F1" s="653"/>
      <c r="G1" s="653"/>
      <c r="H1" s="653"/>
      <c r="I1" s="653"/>
      <c r="J1" s="653"/>
      <c r="K1" s="653"/>
      <c r="L1" s="653"/>
      <c r="M1" s="653"/>
      <c r="N1" s="653"/>
      <c r="O1" s="653"/>
      <c r="P1" s="653"/>
      <c r="Q1" s="653"/>
      <c r="S1" s="3"/>
      <c r="T1" s="3"/>
      <c r="U1" s="1"/>
      <c r="V1" s="1"/>
    </row>
    <row r="2" spans="1:23" ht="23.25" customHeight="1">
      <c r="A2" s="653" t="s">
        <v>1</v>
      </c>
      <c r="B2" s="653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3"/>
      <c r="R2" s="5"/>
      <c r="S2" s="3"/>
      <c r="T2" s="3"/>
      <c r="U2" s="1"/>
      <c r="V2" s="1"/>
    </row>
    <row r="3" spans="1:23" ht="28.5" customHeight="1">
      <c r="A3" s="654" t="s">
        <v>1157</v>
      </c>
      <c r="B3" s="654"/>
      <c r="C3" s="654"/>
      <c r="D3" s="654"/>
      <c r="E3" s="654"/>
      <c r="F3" s="654"/>
      <c r="G3" s="654"/>
      <c r="H3" s="654"/>
      <c r="I3" s="654"/>
      <c r="J3" s="654"/>
      <c r="K3" s="654"/>
      <c r="L3" s="654"/>
      <c r="M3" s="654"/>
      <c r="N3" s="654"/>
      <c r="O3" s="654"/>
      <c r="P3" s="654"/>
      <c r="Q3" s="654"/>
      <c r="S3" s="3"/>
      <c r="T3" s="3"/>
      <c r="U3" s="6"/>
      <c r="V3" s="6"/>
    </row>
    <row r="4" spans="1:23" ht="27.75" customHeight="1">
      <c r="A4" s="7"/>
      <c r="B4" s="8"/>
      <c r="C4" s="9"/>
      <c r="D4" s="10"/>
      <c r="E4" s="655" t="s">
        <v>3</v>
      </c>
      <c r="F4" s="656"/>
      <c r="G4" s="656"/>
      <c r="H4" s="656"/>
      <c r="I4" s="657"/>
      <c r="J4" s="11"/>
      <c r="K4" s="12" t="s">
        <v>4</v>
      </c>
      <c r="L4" s="13"/>
      <c r="M4" s="655" t="s">
        <v>5</v>
      </c>
      <c r="N4" s="656"/>
      <c r="O4" s="656"/>
      <c r="P4" s="656"/>
      <c r="Q4" s="657"/>
      <c r="R4" s="658" t="s">
        <v>6</v>
      </c>
      <c r="S4" s="671" t="s">
        <v>7</v>
      </c>
      <c r="T4" s="671" t="s">
        <v>8</v>
      </c>
      <c r="U4" s="661" t="s">
        <v>9</v>
      </c>
      <c r="V4" s="661" t="s">
        <v>10</v>
      </c>
    </row>
    <row r="5" spans="1:23" ht="27.75" customHeight="1">
      <c r="A5" s="664" t="s">
        <v>11</v>
      </c>
      <c r="B5" s="666" t="s">
        <v>12</v>
      </c>
      <c r="C5" s="666" t="s">
        <v>13</v>
      </c>
      <c r="D5" s="685" t="s">
        <v>14</v>
      </c>
      <c r="E5" s="687" t="s">
        <v>15</v>
      </c>
      <c r="F5" s="689" t="s">
        <v>16</v>
      </c>
      <c r="G5" s="679" t="s">
        <v>17</v>
      </c>
      <c r="H5" s="680"/>
      <c r="I5" s="681"/>
      <c r="J5" s="14" t="s">
        <v>18</v>
      </c>
      <c r="K5" s="691" t="s">
        <v>19</v>
      </c>
      <c r="L5" s="693" t="s">
        <v>20</v>
      </c>
      <c r="M5" s="664" t="s">
        <v>15</v>
      </c>
      <c r="N5" s="669" t="s">
        <v>16</v>
      </c>
      <c r="O5" s="679" t="s">
        <v>17</v>
      </c>
      <c r="P5" s="680"/>
      <c r="Q5" s="681"/>
      <c r="R5" s="659"/>
      <c r="S5" s="672"/>
      <c r="T5" s="672"/>
      <c r="U5" s="662"/>
      <c r="V5" s="662"/>
    </row>
    <row r="6" spans="1:23" ht="27.75" customHeight="1" thickBot="1">
      <c r="A6" s="665"/>
      <c r="B6" s="667"/>
      <c r="C6" s="667"/>
      <c r="D6" s="686"/>
      <c r="E6" s="688"/>
      <c r="F6" s="690"/>
      <c r="G6" s="15" t="s">
        <v>20</v>
      </c>
      <c r="H6" s="16" t="s">
        <v>21</v>
      </c>
      <c r="I6" s="17" t="s">
        <v>22</v>
      </c>
      <c r="J6" s="18"/>
      <c r="K6" s="692"/>
      <c r="L6" s="694"/>
      <c r="M6" s="668"/>
      <c r="N6" s="670"/>
      <c r="O6" s="19" t="s">
        <v>20</v>
      </c>
      <c r="P6" s="20" t="s">
        <v>21</v>
      </c>
      <c r="Q6" s="21" t="s">
        <v>22</v>
      </c>
      <c r="R6" s="660"/>
      <c r="S6" s="673"/>
      <c r="T6" s="673"/>
      <c r="U6" s="663"/>
      <c r="V6" s="663"/>
    </row>
    <row r="7" spans="1:23" ht="27.75" customHeight="1" thickTop="1">
      <c r="A7" s="22"/>
      <c r="B7" s="23" t="s">
        <v>23</v>
      </c>
      <c r="C7" s="24"/>
      <c r="D7" s="25"/>
      <c r="E7" s="26"/>
      <c r="F7" s="27"/>
      <c r="G7" s="28"/>
      <c r="H7" s="28"/>
      <c r="I7" s="28"/>
      <c r="J7" s="29"/>
      <c r="K7" s="30"/>
      <c r="L7" s="31"/>
      <c r="M7" s="32"/>
      <c r="N7" s="33"/>
      <c r="O7" s="34"/>
      <c r="P7" s="34"/>
      <c r="Q7" s="35"/>
      <c r="R7" s="36"/>
      <c r="S7" s="37"/>
      <c r="T7" s="37"/>
      <c r="U7" s="38"/>
      <c r="V7" s="38"/>
      <c r="W7" s="38"/>
    </row>
    <row r="8" spans="1:23" s="57" customFormat="1" ht="27.75" customHeight="1">
      <c r="A8" s="39">
        <v>1</v>
      </c>
      <c r="B8" s="40" t="s">
        <v>24</v>
      </c>
      <c r="C8" s="41" t="s">
        <v>25</v>
      </c>
      <c r="D8" s="42">
        <v>4012.5</v>
      </c>
      <c r="E8" s="43" t="s">
        <v>26</v>
      </c>
      <c r="F8" s="44">
        <v>0</v>
      </c>
      <c r="G8" s="45">
        <v>0</v>
      </c>
      <c r="H8" s="46">
        <v>0</v>
      </c>
      <c r="I8" s="47">
        <v>0</v>
      </c>
      <c r="J8" s="48">
        <v>46114</v>
      </c>
      <c r="K8" s="49" t="s">
        <v>1158</v>
      </c>
      <c r="L8" s="50">
        <v>4012.5</v>
      </c>
      <c r="M8" s="51" t="s">
        <v>26</v>
      </c>
      <c r="N8" s="52">
        <v>0</v>
      </c>
      <c r="O8" s="53">
        <v>0</v>
      </c>
      <c r="P8" s="53">
        <f t="shared" ref="P8:P44" si="0">ROUND((O8*0.07),2)</f>
        <v>0</v>
      </c>
      <c r="Q8" s="54">
        <f t="shared" ref="Q8:Q44" si="1">+O8+P8</f>
        <v>0</v>
      </c>
      <c r="R8" s="39"/>
      <c r="S8" s="55"/>
      <c r="T8" s="55"/>
      <c r="U8" s="56"/>
      <c r="V8" s="56"/>
    </row>
    <row r="9" spans="1:23" s="57" customFormat="1" ht="27.75" customHeight="1">
      <c r="A9" s="39">
        <v>2</v>
      </c>
      <c r="B9" s="40" t="s">
        <v>28</v>
      </c>
      <c r="C9" s="41" t="s">
        <v>29</v>
      </c>
      <c r="D9" s="58">
        <v>4012.5</v>
      </c>
      <c r="E9" s="43" t="s">
        <v>45</v>
      </c>
      <c r="F9" s="44">
        <v>0</v>
      </c>
      <c r="G9" s="45">
        <v>0</v>
      </c>
      <c r="H9" s="46">
        <v>0</v>
      </c>
      <c r="I9" s="47">
        <v>0</v>
      </c>
      <c r="J9" s="48" t="s">
        <v>1159</v>
      </c>
      <c r="K9" s="49" t="s">
        <v>1160</v>
      </c>
      <c r="L9" s="50">
        <v>8025</v>
      </c>
      <c r="M9" s="51" t="s">
        <v>1161</v>
      </c>
      <c r="N9" s="52">
        <v>-1</v>
      </c>
      <c r="O9" s="53">
        <f>+(D9*100/107)+G9-(L9*100/107)</f>
        <v>-3750</v>
      </c>
      <c r="P9" s="53">
        <f t="shared" si="0"/>
        <v>-262.5</v>
      </c>
      <c r="Q9" s="54">
        <f t="shared" si="1"/>
        <v>-4012.5</v>
      </c>
      <c r="R9" s="39"/>
      <c r="S9" s="55"/>
      <c r="T9" s="55"/>
      <c r="U9" s="56"/>
      <c r="V9" s="56"/>
    </row>
    <row r="10" spans="1:23" s="57" customFormat="1" ht="27.75" customHeight="1">
      <c r="A10" s="39">
        <v>3</v>
      </c>
      <c r="B10" s="40" t="s">
        <v>24</v>
      </c>
      <c r="C10" s="41" t="s">
        <v>33</v>
      </c>
      <c r="D10" s="58">
        <v>4012.5</v>
      </c>
      <c r="E10" s="43" t="s">
        <v>26</v>
      </c>
      <c r="F10" s="44">
        <v>0</v>
      </c>
      <c r="G10" s="45">
        <v>0</v>
      </c>
      <c r="H10" s="46">
        <v>0</v>
      </c>
      <c r="I10" s="47">
        <v>0</v>
      </c>
      <c r="J10" s="48">
        <v>46114</v>
      </c>
      <c r="K10" s="49" t="s">
        <v>1158</v>
      </c>
      <c r="L10" s="50">
        <v>4012.5</v>
      </c>
      <c r="M10" s="51" t="s">
        <v>26</v>
      </c>
      <c r="N10" s="52">
        <v>0</v>
      </c>
      <c r="O10" s="53">
        <f t="shared" ref="O10:O23" si="2">+(D10*100/107)+G10-(L10*100/107)</f>
        <v>0</v>
      </c>
      <c r="P10" s="53">
        <f t="shared" si="0"/>
        <v>0</v>
      </c>
      <c r="Q10" s="54">
        <f t="shared" si="1"/>
        <v>0</v>
      </c>
      <c r="R10" s="39"/>
      <c r="S10" s="55"/>
      <c r="T10" s="55"/>
      <c r="U10" s="56"/>
      <c r="V10" s="56"/>
    </row>
    <row r="11" spans="1:23" s="57" customFormat="1" ht="27.75" customHeight="1">
      <c r="A11" s="39">
        <v>4</v>
      </c>
      <c r="B11" s="40" t="s">
        <v>34</v>
      </c>
      <c r="C11" s="41" t="s">
        <v>35</v>
      </c>
      <c r="D11" s="58">
        <v>4012.5</v>
      </c>
      <c r="E11" s="43" t="s">
        <v>45</v>
      </c>
      <c r="F11" s="44">
        <v>0</v>
      </c>
      <c r="G11" s="45">
        <v>0</v>
      </c>
      <c r="H11" s="46">
        <v>0</v>
      </c>
      <c r="I11" s="47">
        <v>0</v>
      </c>
      <c r="J11" s="48" t="s">
        <v>1159</v>
      </c>
      <c r="K11" s="49" t="s">
        <v>1160</v>
      </c>
      <c r="L11" s="50">
        <v>8025</v>
      </c>
      <c r="M11" s="51" t="s">
        <v>1161</v>
      </c>
      <c r="N11" s="52">
        <v>-1</v>
      </c>
      <c r="O11" s="53">
        <f t="shared" si="2"/>
        <v>-3750</v>
      </c>
      <c r="P11" s="53">
        <f t="shared" si="0"/>
        <v>-262.5</v>
      </c>
      <c r="Q11" s="54">
        <f t="shared" si="1"/>
        <v>-4012.5</v>
      </c>
      <c r="R11" s="39"/>
      <c r="S11" s="55"/>
      <c r="T11" s="55"/>
      <c r="U11" s="56"/>
      <c r="V11" s="56"/>
    </row>
    <row r="12" spans="1:23" s="57" customFormat="1" ht="27.75" customHeight="1">
      <c r="A12" s="39">
        <v>5</v>
      </c>
      <c r="B12" s="40" t="s">
        <v>36</v>
      </c>
      <c r="C12" s="41" t="s">
        <v>37</v>
      </c>
      <c r="D12" s="58">
        <v>4012.5</v>
      </c>
      <c r="E12" s="43" t="s">
        <v>26</v>
      </c>
      <c r="F12" s="44">
        <v>0</v>
      </c>
      <c r="G12" s="45">
        <v>0</v>
      </c>
      <c r="H12" s="46">
        <v>0</v>
      </c>
      <c r="I12" s="47">
        <v>0</v>
      </c>
      <c r="J12" s="48">
        <v>46117</v>
      </c>
      <c r="K12" s="49" t="s">
        <v>1162</v>
      </c>
      <c r="L12" s="50">
        <v>4012.5</v>
      </c>
      <c r="M12" s="51" t="s">
        <v>26</v>
      </c>
      <c r="N12" s="52">
        <v>0</v>
      </c>
      <c r="O12" s="53">
        <f t="shared" si="2"/>
        <v>0</v>
      </c>
      <c r="P12" s="53">
        <f t="shared" si="0"/>
        <v>0</v>
      </c>
      <c r="Q12" s="54">
        <f t="shared" si="1"/>
        <v>0</v>
      </c>
      <c r="R12" s="39"/>
      <c r="S12" s="55"/>
      <c r="T12" s="55"/>
      <c r="U12" s="56"/>
      <c r="V12" s="56"/>
    </row>
    <row r="13" spans="1:23" s="57" customFormat="1" ht="27.75" customHeight="1">
      <c r="A13" s="39">
        <v>6</v>
      </c>
      <c r="B13" s="40" t="s">
        <v>34</v>
      </c>
      <c r="C13" s="41" t="s">
        <v>39</v>
      </c>
      <c r="D13" s="58">
        <v>4012.5</v>
      </c>
      <c r="E13" s="43" t="s">
        <v>45</v>
      </c>
      <c r="F13" s="44">
        <v>0</v>
      </c>
      <c r="G13" s="45">
        <v>0</v>
      </c>
      <c r="H13" s="46">
        <v>0</v>
      </c>
      <c r="I13" s="47">
        <v>0</v>
      </c>
      <c r="J13" s="48" t="s">
        <v>1159</v>
      </c>
      <c r="K13" s="49" t="s">
        <v>1160</v>
      </c>
      <c r="L13" s="50">
        <v>8025</v>
      </c>
      <c r="M13" s="51" t="s">
        <v>1161</v>
      </c>
      <c r="N13" s="52">
        <v>-1</v>
      </c>
      <c r="O13" s="53">
        <f t="shared" si="2"/>
        <v>-3750</v>
      </c>
      <c r="P13" s="53">
        <f t="shared" si="0"/>
        <v>-262.5</v>
      </c>
      <c r="Q13" s="54">
        <f t="shared" si="1"/>
        <v>-4012.5</v>
      </c>
      <c r="R13" s="39"/>
      <c r="S13" s="55"/>
      <c r="T13" s="55"/>
      <c r="U13" s="56"/>
      <c r="V13" s="56"/>
    </row>
    <row r="14" spans="1:23" s="57" customFormat="1" ht="27.75" customHeight="1">
      <c r="A14" s="39">
        <v>7</v>
      </c>
      <c r="B14" s="40" t="s">
        <v>40</v>
      </c>
      <c r="C14" s="41" t="s">
        <v>41</v>
      </c>
      <c r="D14" s="58">
        <v>4012.5</v>
      </c>
      <c r="E14" s="43" t="s">
        <v>1051</v>
      </c>
      <c r="F14" s="44">
        <v>2</v>
      </c>
      <c r="G14" s="45">
        <v>-7500</v>
      </c>
      <c r="H14" s="46">
        <v>-525</v>
      </c>
      <c r="I14" s="47">
        <v>-8025</v>
      </c>
      <c r="J14" s="48"/>
      <c r="K14" s="49"/>
      <c r="L14" s="50">
        <v>0</v>
      </c>
      <c r="M14" s="51" t="s">
        <v>1161</v>
      </c>
      <c r="N14" s="52">
        <v>-1</v>
      </c>
      <c r="O14" s="53">
        <f t="shared" si="2"/>
        <v>-3750</v>
      </c>
      <c r="P14" s="53">
        <f t="shared" si="0"/>
        <v>-262.5</v>
      </c>
      <c r="Q14" s="54">
        <f t="shared" si="1"/>
        <v>-4012.5</v>
      </c>
      <c r="R14" s="39"/>
      <c r="S14" s="55"/>
      <c r="T14" s="55"/>
      <c r="U14" s="56"/>
      <c r="V14" s="56"/>
    </row>
    <row r="15" spans="1:23" s="57" customFormat="1" ht="27.75" customHeight="1">
      <c r="A15" s="39">
        <v>8</v>
      </c>
      <c r="B15" s="40" t="s">
        <v>43</v>
      </c>
      <c r="C15" s="41" t="s">
        <v>44</v>
      </c>
      <c r="D15" s="58">
        <v>4012.5</v>
      </c>
      <c r="E15" s="43" t="s">
        <v>45</v>
      </c>
      <c r="F15" s="44">
        <v>0</v>
      </c>
      <c r="G15" s="45">
        <v>0</v>
      </c>
      <c r="H15" s="46">
        <v>0</v>
      </c>
      <c r="I15" s="47">
        <v>0</v>
      </c>
      <c r="J15" s="48">
        <v>46114</v>
      </c>
      <c r="K15" s="49" t="s">
        <v>1163</v>
      </c>
      <c r="L15" s="50">
        <v>4012.5</v>
      </c>
      <c r="M15" s="51" t="s">
        <v>45</v>
      </c>
      <c r="N15" s="52">
        <v>0</v>
      </c>
      <c r="O15" s="53">
        <f t="shared" si="2"/>
        <v>0</v>
      </c>
      <c r="P15" s="53">
        <f t="shared" si="0"/>
        <v>0</v>
      </c>
      <c r="Q15" s="54">
        <f t="shared" si="1"/>
        <v>0</v>
      </c>
      <c r="R15" s="39"/>
      <c r="S15" s="55"/>
      <c r="T15" s="55"/>
      <c r="U15" s="56"/>
      <c r="V15" s="56"/>
    </row>
    <row r="16" spans="1:23" s="57" customFormat="1" ht="27.75" customHeight="1">
      <c r="A16" s="39">
        <v>9</v>
      </c>
      <c r="B16" s="40" t="s">
        <v>47</v>
      </c>
      <c r="C16" s="41" t="s">
        <v>48</v>
      </c>
      <c r="D16" s="58">
        <v>4012.5</v>
      </c>
      <c r="E16" s="43" t="s">
        <v>26</v>
      </c>
      <c r="F16" s="44">
        <v>0</v>
      </c>
      <c r="G16" s="45">
        <v>0</v>
      </c>
      <c r="H16" s="46">
        <v>0</v>
      </c>
      <c r="I16" s="47">
        <v>0</v>
      </c>
      <c r="J16" s="48">
        <v>46117</v>
      </c>
      <c r="K16" s="49" t="s">
        <v>1164</v>
      </c>
      <c r="L16" s="50">
        <v>4012.5</v>
      </c>
      <c r="M16" s="51" t="s">
        <v>26</v>
      </c>
      <c r="N16" s="52">
        <v>0</v>
      </c>
      <c r="O16" s="53">
        <f t="shared" si="2"/>
        <v>0</v>
      </c>
      <c r="P16" s="53">
        <f t="shared" si="0"/>
        <v>0</v>
      </c>
      <c r="Q16" s="54">
        <f t="shared" si="1"/>
        <v>0</v>
      </c>
      <c r="R16" s="39"/>
      <c r="S16" s="55"/>
      <c r="T16" s="55"/>
      <c r="U16" s="56"/>
      <c r="V16" s="56"/>
    </row>
    <row r="17" spans="1:25" s="57" customFormat="1" ht="27.75" customHeight="1">
      <c r="A17" s="39">
        <v>10</v>
      </c>
      <c r="B17" s="40" t="s">
        <v>50</v>
      </c>
      <c r="C17" s="41" t="s">
        <v>51</v>
      </c>
      <c r="D17" s="58">
        <v>4012.5</v>
      </c>
      <c r="E17" s="43" t="s">
        <v>45</v>
      </c>
      <c r="F17" s="44">
        <v>0</v>
      </c>
      <c r="G17" s="45">
        <v>0</v>
      </c>
      <c r="H17" s="46">
        <v>0</v>
      </c>
      <c r="I17" s="47">
        <v>0</v>
      </c>
      <c r="J17" s="48">
        <v>46117</v>
      </c>
      <c r="K17" s="49" t="s">
        <v>1165</v>
      </c>
      <c r="L17" s="50">
        <v>4012.5</v>
      </c>
      <c r="M17" s="51" t="s">
        <v>45</v>
      </c>
      <c r="N17" s="52">
        <v>0</v>
      </c>
      <c r="O17" s="53">
        <f t="shared" si="2"/>
        <v>0</v>
      </c>
      <c r="P17" s="53">
        <f t="shared" si="0"/>
        <v>0</v>
      </c>
      <c r="Q17" s="54">
        <f t="shared" si="1"/>
        <v>0</v>
      </c>
      <c r="R17" s="39"/>
      <c r="S17" s="55"/>
      <c r="T17" s="55"/>
      <c r="U17" s="56"/>
      <c r="V17" s="56"/>
    </row>
    <row r="18" spans="1:25" s="57" customFormat="1" ht="27.75" customHeight="1">
      <c r="A18" s="39">
        <v>11</v>
      </c>
      <c r="B18" s="40" t="s">
        <v>53</v>
      </c>
      <c r="C18" s="41" t="s">
        <v>54</v>
      </c>
      <c r="D18" s="58">
        <v>4012.5</v>
      </c>
      <c r="E18" s="43" t="s">
        <v>45</v>
      </c>
      <c r="F18" s="44">
        <v>0</v>
      </c>
      <c r="G18" s="45">
        <v>0</v>
      </c>
      <c r="H18" s="46">
        <v>0</v>
      </c>
      <c r="I18" s="47">
        <v>0</v>
      </c>
      <c r="J18" s="48">
        <v>46115</v>
      </c>
      <c r="K18" s="59" t="s">
        <v>1166</v>
      </c>
      <c r="L18" s="50">
        <v>4012.5</v>
      </c>
      <c r="M18" s="51" t="s">
        <v>45</v>
      </c>
      <c r="N18" s="52">
        <v>0</v>
      </c>
      <c r="O18" s="53">
        <f t="shared" si="2"/>
        <v>0</v>
      </c>
      <c r="P18" s="53">
        <f t="shared" si="0"/>
        <v>0</v>
      </c>
      <c r="Q18" s="54">
        <f t="shared" si="1"/>
        <v>0</v>
      </c>
      <c r="R18" s="39"/>
      <c r="S18" s="55"/>
      <c r="T18" s="55"/>
      <c r="U18" s="56"/>
      <c r="V18" s="56"/>
      <c r="Y18" s="57" t="s">
        <v>56</v>
      </c>
    </row>
    <row r="19" spans="1:25" s="57" customFormat="1" ht="27.75" customHeight="1">
      <c r="A19" s="39">
        <v>12</v>
      </c>
      <c r="B19" s="40" t="s">
        <v>57</v>
      </c>
      <c r="C19" s="41" t="s">
        <v>58</v>
      </c>
      <c r="D19" s="58">
        <v>4012.5</v>
      </c>
      <c r="E19" s="43" t="s">
        <v>26</v>
      </c>
      <c r="F19" s="44">
        <v>0</v>
      </c>
      <c r="G19" s="45">
        <v>0</v>
      </c>
      <c r="H19" s="46">
        <v>0</v>
      </c>
      <c r="I19" s="47">
        <v>0</v>
      </c>
      <c r="J19" s="48">
        <v>46113</v>
      </c>
      <c r="K19" s="49" t="s">
        <v>1167</v>
      </c>
      <c r="L19" s="50">
        <v>4012.5</v>
      </c>
      <c r="M19" s="51" t="s">
        <v>26</v>
      </c>
      <c r="N19" s="52">
        <v>0</v>
      </c>
      <c r="O19" s="53">
        <f t="shared" si="2"/>
        <v>0</v>
      </c>
      <c r="P19" s="53">
        <f t="shared" si="0"/>
        <v>0</v>
      </c>
      <c r="Q19" s="54">
        <f t="shared" si="1"/>
        <v>0</v>
      </c>
      <c r="R19" s="39"/>
      <c r="S19" s="55"/>
      <c r="T19" s="55"/>
      <c r="U19" s="56"/>
      <c r="V19" s="56"/>
    </row>
    <row r="20" spans="1:25" s="57" customFormat="1" ht="27.75" customHeight="1">
      <c r="A20" s="39">
        <v>13</v>
      </c>
      <c r="B20" s="40" t="s">
        <v>60</v>
      </c>
      <c r="C20" s="41" t="s">
        <v>61</v>
      </c>
      <c r="D20" s="58">
        <v>4012.5</v>
      </c>
      <c r="E20" s="43" t="s">
        <v>26</v>
      </c>
      <c r="F20" s="44">
        <v>0</v>
      </c>
      <c r="G20" s="45">
        <v>0</v>
      </c>
      <c r="H20" s="46">
        <v>0</v>
      </c>
      <c r="I20" s="47">
        <v>0</v>
      </c>
      <c r="J20" s="48">
        <v>46113</v>
      </c>
      <c r="K20" s="49" t="s">
        <v>1168</v>
      </c>
      <c r="L20" s="50">
        <v>4012.5</v>
      </c>
      <c r="M20" s="51" t="s">
        <v>26</v>
      </c>
      <c r="N20" s="52">
        <v>0</v>
      </c>
      <c r="O20" s="53">
        <f t="shared" si="2"/>
        <v>0</v>
      </c>
      <c r="P20" s="53">
        <f t="shared" si="0"/>
        <v>0</v>
      </c>
      <c r="Q20" s="54">
        <f t="shared" si="1"/>
        <v>0</v>
      </c>
      <c r="R20" s="39"/>
      <c r="S20" s="55"/>
      <c r="T20" s="55"/>
      <c r="U20" s="56"/>
      <c r="V20" s="56"/>
    </row>
    <row r="21" spans="1:25" s="57" customFormat="1" ht="27.75" customHeight="1">
      <c r="A21" s="39">
        <v>14</v>
      </c>
      <c r="B21" s="40" t="s">
        <v>63</v>
      </c>
      <c r="C21" s="41" t="s">
        <v>64</v>
      </c>
      <c r="D21" s="58">
        <v>4012.5</v>
      </c>
      <c r="E21" s="43" t="s">
        <v>26</v>
      </c>
      <c r="F21" s="44">
        <v>0</v>
      </c>
      <c r="G21" s="45">
        <v>0</v>
      </c>
      <c r="H21" s="46">
        <v>0</v>
      </c>
      <c r="I21" s="47">
        <v>0</v>
      </c>
      <c r="J21" s="48">
        <v>46117</v>
      </c>
      <c r="K21" s="49" t="s">
        <v>1169</v>
      </c>
      <c r="L21" s="50">
        <v>4012.5</v>
      </c>
      <c r="M21" s="51" t="s">
        <v>26</v>
      </c>
      <c r="N21" s="52">
        <v>0</v>
      </c>
      <c r="O21" s="53">
        <f t="shared" si="2"/>
        <v>0</v>
      </c>
      <c r="P21" s="53">
        <f t="shared" si="0"/>
        <v>0</v>
      </c>
      <c r="Q21" s="54">
        <f t="shared" si="1"/>
        <v>0</v>
      </c>
      <c r="R21" s="39"/>
      <c r="S21" s="55"/>
      <c r="T21" s="55"/>
      <c r="U21" s="56"/>
      <c r="V21" s="56"/>
    </row>
    <row r="22" spans="1:25" s="57" customFormat="1" ht="27.75" customHeight="1">
      <c r="A22" s="39">
        <v>15</v>
      </c>
      <c r="B22" s="40" t="s">
        <v>66</v>
      </c>
      <c r="C22" s="41" t="s">
        <v>67</v>
      </c>
      <c r="D22" s="58">
        <v>12037.5</v>
      </c>
      <c r="E22" s="43" t="s">
        <v>45</v>
      </c>
      <c r="F22" s="60">
        <v>0</v>
      </c>
      <c r="G22" s="61">
        <v>0</v>
      </c>
      <c r="H22" s="46">
        <v>0</v>
      </c>
      <c r="I22" s="47">
        <v>0</v>
      </c>
      <c r="J22" s="62">
        <v>46142</v>
      </c>
      <c r="K22" s="49" t="s">
        <v>1170</v>
      </c>
      <c r="L22" s="50">
        <v>12037.5</v>
      </c>
      <c r="M22" s="51" t="s">
        <v>45</v>
      </c>
      <c r="N22" s="52">
        <v>0</v>
      </c>
      <c r="O22" s="53">
        <f t="shared" si="2"/>
        <v>0</v>
      </c>
      <c r="P22" s="53">
        <f t="shared" si="0"/>
        <v>0</v>
      </c>
      <c r="Q22" s="54">
        <f t="shared" si="1"/>
        <v>0</v>
      </c>
      <c r="R22" s="39"/>
      <c r="S22" s="55"/>
      <c r="T22" s="55"/>
      <c r="U22" s="56"/>
      <c r="V22" s="56"/>
    </row>
    <row r="23" spans="1:25" s="57" customFormat="1" ht="27.75" customHeight="1">
      <c r="A23" s="39">
        <v>16</v>
      </c>
      <c r="B23" s="40" t="s">
        <v>66</v>
      </c>
      <c r="C23" s="41" t="s">
        <v>69</v>
      </c>
      <c r="D23" s="63">
        <v>4012.5</v>
      </c>
      <c r="E23" s="64" t="s">
        <v>45</v>
      </c>
      <c r="F23" s="44">
        <v>0</v>
      </c>
      <c r="G23" s="45">
        <v>0</v>
      </c>
      <c r="H23" s="65">
        <v>0</v>
      </c>
      <c r="I23" s="66">
        <v>0</v>
      </c>
      <c r="J23" s="62">
        <v>46142</v>
      </c>
      <c r="K23" s="49" t="s">
        <v>1171</v>
      </c>
      <c r="L23" s="50">
        <v>4012.5</v>
      </c>
      <c r="M23" s="51" t="s">
        <v>45</v>
      </c>
      <c r="N23" s="52">
        <v>0</v>
      </c>
      <c r="O23" s="53">
        <f t="shared" si="2"/>
        <v>0</v>
      </c>
      <c r="P23" s="53">
        <f t="shared" si="0"/>
        <v>0</v>
      </c>
      <c r="Q23" s="54">
        <f t="shared" si="1"/>
        <v>0</v>
      </c>
      <c r="R23" s="39"/>
      <c r="S23" s="55"/>
      <c r="T23" s="55"/>
      <c r="U23" s="56"/>
      <c r="V23" s="56"/>
    </row>
    <row r="24" spans="1:25" s="57" customFormat="1" ht="35.25" customHeight="1" thickBot="1">
      <c r="A24" s="67"/>
      <c r="B24" s="68" t="s">
        <v>22</v>
      </c>
      <c r="C24" s="69"/>
      <c r="D24" s="70">
        <f>SUM(D8:D23)</f>
        <v>72225</v>
      </c>
      <c r="E24" s="71"/>
      <c r="F24" s="72"/>
      <c r="G24" s="73">
        <f>SUM(G8:G23)-G9-G11-G13-G18-G14</f>
        <v>0</v>
      </c>
      <c r="H24" s="73">
        <f t="shared" ref="H24:I24" si="3">SUM(H8:H23)-H9-H11-H13-H18-H14</f>
        <v>0</v>
      </c>
      <c r="I24" s="73">
        <f t="shared" si="3"/>
        <v>0</v>
      </c>
      <c r="J24" s="74"/>
      <c r="K24" s="75"/>
      <c r="L24" s="76">
        <f>SUM(L8:L23)</f>
        <v>80250</v>
      </c>
      <c r="M24" s="77"/>
      <c r="N24" s="78"/>
      <c r="O24" s="79">
        <f>SUM(O8:O23)-O14-O9-O11-O13</f>
        <v>0</v>
      </c>
      <c r="P24" s="79">
        <f t="shared" ref="P24:Q24" si="4">SUM(P8:P23)-P14-P9-P11-P13</f>
        <v>0</v>
      </c>
      <c r="Q24" s="79">
        <f t="shared" si="4"/>
        <v>0</v>
      </c>
      <c r="R24" s="79">
        <f t="shared" ref="R24:X24" si="5">SUM(R8:R23)-R9-R11-R13-R15</f>
        <v>0</v>
      </c>
      <c r="S24" s="79">
        <f t="shared" si="5"/>
        <v>0</v>
      </c>
      <c r="T24" s="79">
        <f t="shared" si="5"/>
        <v>0</v>
      </c>
      <c r="U24" s="79">
        <f t="shared" si="5"/>
        <v>0</v>
      </c>
      <c r="V24" s="79">
        <f t="shared" si="5"/>
        <v>0</v>
      </c>
      <c r="W24" s="79">
        <f t="shared" si="5"/>
        <v>0</v>
      </c>
      <c r="X24" s="79">
        <f t="shared" si="5"/>
        <v>0</v>
      </c>
    </row>
    <row r="25" spans="1:25" s="91" customFormat="1" ht="27.75" customHeight="1" thickTop="1">
      <c r="A25" s="39">
        <v>1</v>
      </c>
      <c r="B25" s="80" t="s">
        <v>71</v>
      </c>
      <c r="C25" s="81" t="s">
        <v>72</v>
      </c>
      <c r="D25" s="82">
        <v>13375</v>
      </c>
      <c r="E25" s="83" t="s">
        <v>1063</v>
      </c>
      <c r="F25" s="84">
        <v>-0.5</v>
      </c>
      <c r="G25" s="85">
        <v>-6250</v>
      </c>
      <c r="H25" s="46">
        <v>-437.5</v>
      </c>
      <c r="I25" s="85">
        <v>-6687.5</v>
      </c>
      <c r="J25" s="48">
        <v>46135</v>
      </c>
      <c r="K25" s="49" t="s">
        <v>1172</v>
      </c>
      <c r="L25" s="86">
        <v>13375</v>
      </c>
      <c r="M25" s="87" t="s">
        <v>1173</v>
      </c>
      <c r="N25" s="88">
        <v>-0.5</v>
      </c>
      <c r="O25" s="518">
        <f>+(D25*100/107)+G25-(L25*100/107)</f>
        <v>-6250</v>
      </c>
      <c r="P25" s="518">
        <f t="shared" ref="P25" si="6">ROUND((O25*0.07),2)</f>
        <v>-437.5</v>
      </c>
      <c r="Q25" s="519">
        <f t="shared" ref="Q25" si="7">+O25+P25</f>
        <v>-6687.5</v>
      </c>
      <c r="R25" s="39"/>
      <c r="S25" s="55"/>
      <c r="T25" s="55"/>
      <c r="U25" s="58"/>
      <c r="V25" s="58"/>
    </row>
    <row r="26" spans="1:25" s="57" customFormat="1" ht="27.75" customHeight="1">
      <c r="A26" s="39">
        <v>2</v>
      </c>
      <c r="B26" s="92" t="s">
        <v>76</v>
      </c>
      <c r="C26" s="41" t="s">
        <v>72</v>
      </c>
      <c r="D26" s="58">
        <v>1605</v>
      </c>
      <c r="E26" s="43" t="s">
        <v>45</v>
      </c>
      <c r="F26" s="60">
        <v>0</v>
      </c>
      <c r="G26" s="47">
        <v>0</v>
      </c>
      <c r="H26" s="46">
        <v>0</v>
      </c>
      <c r="I26" s="47">
        <v>0</v>
      </c>
      <c r="J26" s="62">
        <v>46119</v>
      </c>
      <c r="K26" s="49" t="s">
        <v>1174</v>
      </c>
      <c r="L26" s="93">
        <v>1605</v>
      </c>
      <c r="M26" s="94" t="s">
        <v>45</v>
      </c>
      <c r="N26" s="95">
        <v>0</v>
      </c>
      <c r="O26" s="53">
        <f>+(D26*100/107)+G26-(L26*100/107)</f>
        <v>0</v>
      </c>
      <c r="P26" s="53">
        <f t="shared" si="0"/>
        <v>0</v>
      </c>
      <c r="Q26" s="54">
        <f t="shared" si="1"/>
        <v>0</v>
      </c>
      <c r="R26" s="39"/>
      <c r="S26" s="55"/>
      <c r="T26" s="55"/>
      <c r="U26" s="58"/>
      <c r="V26" s="58"/>
    </row>
    <row r="27" spans="1:25" s="57" customFormat="1" ht="27.75" customHeight="1" thickBot="1">
      <c r="A27" s="96"/>
      <c r="B27" s="97" t="s">
        <v>22</v>
      </c>
      <c r="C27" s="98"/>
      <c r="D27" s="99">
        <f>SUM(D25:D26)</f>
        <v>14980</v>
      </c>
      <c r="E27" s="100"/>
      <c r="F27" s="101"/>
      <c r="G27" s="102"/>
      <c r="H27" s="102"/>
      <c r="I27" s="102"/>
      <c r="J27" s="103"/>
      <c r="K27" s="104"/>
      <c r="L27" s="105">
        <f>SUM(L25:L26)</f>
        <v>14980</v>
      </c>
      <c r="M27" s="106"/>
      <c r="N27" s="107"/>
      <c r="O27" s="108"/>
      <c r="P27" s="108"/>
      <c r="Q27" s="109"/>
      <c r="R27" s="39"/>
      <c r="S27" s="55"/>
      <c r="T27" s="55"/>
      <c r="U27" s="56"/>
      <c r="V27" s="56"/>
    </row>
    <row r="28" spans="1:25" ht="27.75" customHeight="1" thickTop="1">
      <c r="A28" s="39">
        <v>1</v>
      </c>
      <c r="B28" s="40" t="s">
        <v>78</v>
      </c>
      <c r="C28" s="81" t="s">
        <v>72</v>
      </c>
      <c r="D28" s="110">
        <v>0</v>
      </c>
      <c r="E28" s="111" t="s">
        <v>952</v>
      </c>
      <c r="F28" s="112">
        <v>1</v>
      </c>
      <c r="G28" s="61">
        <v>9611.8403738317757</v>
      </c>
      <c r="H28" s="46">
        <v>672.83</v>
      </c>
      <c r="I28" s="47">
        <v>10284.670373831776</v>
      </c>
      <c r="J28" s="113">
        <v>46142</v>
      </c>
      <c r="K28" s="114" t="s">
        <v>1175</v>
      </c>
      <c r="L28" s="115">
        <v>10284.67</v>
      </c>
      <c r="M28" s="94"/>
      <c r="N28" s="116">
        <v>0</v>
      </c>
      <c r="O28" s="53">
        <f>+(D28*100/107)+G28-(L28*100/107)</f>
        <v>-7.4766355101019144E-4</v>
      </c>
      <c r="P28" s="53">
        <f t="shared" ref="P28:P30" si="8">ROUND((O28*0.07),2)</f>
        <v>0</v>
      </c>
      <c r="Q28" s="54">
        <f t="shared" ref="Q28:Q30" si="9">+O28+P28</f>
        <v>-7.4766355101019144E-4</v>
      </c>
      <c r="R28" s="39"/>
      <c r="S28" s="55"/>
      <c r="T28" s="55"/>
      <c r="U28" s="56"/>
      <c r="V28" s="56"/>
    </row>
    <row r="29" spans="1:25" ht="27.75" customHeight="1">
      <c r="A29" s="39">
        <v>2</v>
      </c>
      <c r="B29" s="40" t="s">
        <v>82</v>
      </c>
      <c r="C29" s="41" t="s">
        <v>72</v>
      </c>
      <c r="D29" s="110">
        <v>239.68</v>
      </c>
      <c r="E29" s="111" t="s">
        <v>952</v>
      </c>
      <c r="F29" s="112">
        <v>1</v>
      </c>
      <c r="G29" s="61">
        <v>1103.998130841122</v>
      </c>
      <c r="H29" s="46">
        <v>77.28</v>
      </c>
      <c r="I29" s="47">
        <v>1181.278130841122</v>
      </c>
      <c r="J29" s="113">
        <v>46113</v>
      </c>
      <c r="K29" s="114" t="s">
        <v>1176</v>
      </c>
      <c r="L29" s="115">
        <v>1181.28</v>
      </c>
      <c r="M29" s="94" t="s">
        <v>1109</v>
      </c>
      <c r="N29" s="116">
        <v>1</v>
      </c>
      <c r="O29" s="53">
        <f>+(D29*100/107)+G29-(L29*100/107)</f>
        <v>223.99813084112202</v>
      </c>
      <c r="P29" s="53">
        <f t="shared" si="8"/>
        <v>15.68</v>
      </c>
      <c r="Q29" s="54">
        <f t="shared" si="9"/>
        <v>239.67813084112203</v>
      </c>
      <c r="R29" s="39"/>
      <c r="S29" s="55"/>
      <c r="T29" s="55"/>
      <c r="U29" s="56"/>
      <c r="V29" s="56"/>
    </row>
    <row r="30" spans="1:25" ht="27.75" customHeight="1">
      <c r="A30" s="39">
        <v>3</v>
      </c>
      <c r="B30" s="40" t="s">
        <v>85</v>
      </c>
      <c r="C30" s="41" t="s">
        <v>72</v>
      </c>
      <c r="D30" s="110">
        <v>10000</v>
      </c>
      <c r="E30" s="111"/>
      <c r="F30" s="112">
        <v>0</v>
      </c>
      <c r="G30" s="61">
        <v>7.4766354737221263E-4</v>
      </c>
      <c r="H30" s="46">
        <v>0</v>
      </c>
      <c r="I30" s="47">
        <v>7.4766354737221263E-4</v>
      </c>
      <c r="J30" s="117">
        <v>46119</v>
      </c>
      <c r="K30" s="118" t="s">
        <v>1177</v>
      </c>
      <c r="L30" s="119">
        <v>10000</v>
      </c>
      <c r="M30" s="94"/>
      <c r="N30" s="116">
        <v>0</v>
      </c>
      <c r="O30" s="53">
        <f>+(D30*100/107)+G30-(L30*100/107)</f>
        <v>7.4766354737221263E-4</v>
      </c>
      <c r="P30" s="53">
        <f t="shared" si="8"/>
        <v>0</v>
      </c>
      <c r="Q30" s="54">
        <f t="shared" si="9"/>
        <v>7.4766354737221263E-4</v>
      </c>
      <c r="R30" s="39"/>
      <c r="S30" s="55"/>
      <c r="T30" s="55"/>
      <c r="U30" s="56"/>
      <c r="V30" s="56"/>
    </row>
    <row r="31" spans="1:25" s="57" customFormat="1" ht="27.75" customHeight="1" thickBot="1">
      <c r="A31" s="96"/>
      <c r="B31" s="97" t="s">
        <v>22</v>
      </c>
      <c r="C31" s="98"/>
      <c r="D31" s="99">
        <f>SUM(D28:D30)</f>
        <v>10239.68</v>
      </c>
      <c r="E31" s="100"/>
      <c r="F31" s="101"/>
      <c r="G31" s="102">
        <f>SUM(G28:G30)</f>
        <v>10715.839252336445</v>
      </c>
      <c r="H31" s="102">
        <f t="shared" ref="H31" si="10">SUM(H28:H30)</f>
        <v>750.11</v>
      </c>
      <c r="I31" s="102">
        <f>SUM(I28:I30)</f>
        <v>11465.949252336444</v>
      </c>
      <c r="J31" s="103"/>
      <c r="K31" s="104"/>
      <c r="L31" s="105">
        <f>SUM(L28+L29+L30)</f>
        <v>21465.95</v>
      </c>
      <c r="M31" s="106"/>
      <c r="N31" s="107"/>
      <c r="O31" s="108">
        <f>SUM(O28:O30)</f>
        <v>223.99813084111838</v>
      </c>
      <c r="P31" s="108">
        <f t="shared" si="0"/>
        <v>15.68</v>
      </c>
      <c r="Q31" s="108">
        <f t="shared" si="1"/>
        <v>239.67813084111839</v>
      </c>
      <c r="R31" s="39"/>
      <c r="S31" s="55"/>
      <c r="T31" s="55"/>
      <c r="U31" s="56"/>
      <c r="V31" s="56"/>
    </row>
    <row r="32" spans="1:25" ht="27.75" hidden="1" customHeight="1" thickBot="1">
      <c r="A32" s="39">
        <v>1</v>
      </c>
      <c r="B32" s="40" t="s">
        <v>88</v>
      </c>
      <c r="C32" s="41" t="s">
        <v>72</v>
      </c>
      <c r="D32" s="120">
        <v>0</v>
      </c>
      <c r="E32" s="43"/>
      <c r="F32" s="60"/>
      <c r="G32" s="61">
        <v>0</v>
      </c>
      <c r="H32" s="46">
        <v>0</v>
      </c>
      <c r="I32" s="47">
        <v>0</v>
      </c>
      <c r="J32" s="113"/>
      <c r="K32" s="118"/>
      <c r="L32" s="121">
        <v>0</v>
      </c>
      <c r="M32" s="94"/>
      <c r="N32" s="39"/>
      <c r="O32" s="53">
        <f t="shared" ref="O32:O44" si="11">+(D32*100/107)+G32-(L32*100/107)</f>
        <v>0</v>
      </c>
      <c r="P32" s="53">
        <f t="shared" si="0"/>
        <v>0</v>
      </c>
      <c r="Q32" s="54">
        <f t="shared" si="1"/>
        <v>0</v>
      </c>
      <c r="R32" s="122"/>
      <c r="S32" s="37"/>
      <c r="T32" s="37"/>
      <c r="U32" s="38"/>
      <c r="V32" s="38"/>
    </row>
    <row r="33" spans="1:23" ht="27.75" hidden="1" customHeight="1" thickTop="1">
      <c r="A33" s="39">
        <v>2</v>
      </c>
      <c r="B33" s="40" t="s">
        <v>89</v>
      </c>
      <c r="C33" s="41" t="s">
        <v>72</v>
      </c>
      <c r="D33" s="120">
        <v>0</v>
      </c>
      <c r="E33" s="43"/>
      <c r="F33" s="60"/>
      <c r="G33" s="61">
        <v>0</v>
      </c>
      <c r="H33" s="46">
        <v>0</v>
      </c>
      <c r="I33" s="47">
        <v>0</v>
      </c>
      <c r="J33" s="113"/>
      <c r="K33" s="118"/>
      <c r="L33" s="121">
        <v>0</v>
      </c>
      <c r="M33" s="94"/>
      <c r="N33" s="39"/>
      <c r="O33" s="53">
        <f t="shared" si="11"/>
        <v>0</v>
      </c>
      <c r="P33" s="53">
        <f t="shared" si="0"/>
        <v>0</v>
      </c>
      <c r="Q33" s="54">
        <f t="shared" si="1"/>
        <v>0</v>
      </c>
      <c r="R33" s="122"/>
      <c r="S33" s="37"/>
      <c r="T33" s="37"/>
      <c r="U33" s="38"/>
      <c r="V33" s="38"/>
    </row>
    <row r="34" spans="1:23" ht="27.75" hidden="1" customHeight="1" thickTop="1">
      <c r="A34" s="39">
        <v>3</v>
      </c>
      <c r="B34" s="40" t="s">
        <v>90</v>
      </c>
      <c r="C34" s="41" t="s">
        <v>72</v>
      </c>
      <c r="D34" s="120"/>
      <c r="E34" s="43"/>
      <c r="F34" s="60"/>
      <c r="G34" s="61">
        <v>0</v>
      </c>
      <c r="H34" s="46">
        <v>0</v>
      </c>
      <c r="I34" s="47">
        <v>0</v>
      </c>
      <c r="J34" s="113"/>
      <c r="K34" s="118"/>
      <c r="L34" s="121"/>
      <c r="M34" s="94"/>
      <c r="N34" s="39"/>
      <c r="O34" s="53">
        <f t="shared" si="11"/>
        <v>0</v>
      </c>
      <c r="P34" s="53">
        <f t="shared" si="0"/>
        <v>0</v>
      </c>
      <c r="Q34" s="54">
        <f t="shared" si="1"/>
        <v>0</v>
      </c>
      <c r="R34" s="122"/>
      <c r="S34" s="37"/>
      <c r="T34" s="37"/>
      <c r="U34" s="38"/>
      <c r="V34" s="38"/>
    </row>
    <row r="35" spans="1:23" ht="27.75" hidden="1" customHeight="1" thickTop="1">
      <c r="A35" s="39">
        <v>4</v>
      </c>
      <c r="B35" s="40" t="s">
        <v>91</v>
      </c>
      <c r="C35" s="41" t="s">
        <v>72</v>
      </c>
      <c r="D35" s="120"/>
      <c r="E35" s="43"/>
      <c r="F35" s="60"/>
      <c r="G35" s="61">
        <v>0</v>
      </c>
      <c r="H35" s="46">
        <v>0</v>
      </c>
      <c r="I35" s="47">
        <v>0</v>
      </c>
      <c r="J35" s="113"/>
      <c r="K35" s="118"/>
      <c r="L35" s="121">
        <v>0</v>
      </c>
      <c r="M35" s="94"/>
      <c r="N35" s="39"/>
      <c r="O35" s="53">
        <f t="shared" si="11"/>
        <v>0</v>
      </c>
      <c r="P35" s="53">
        <f t="shared" si="0"/>
        <v>0</v>
      </c>
      <c r="Q35" s="54">
        <f t="shared" si="1"/>
        <v>0</v>
      </c>
      <c r="R35" s="122"/>
      <c r="S35" s="37"/>
      <c r="T35" s="37"/>
      <c r="U35" s="38"/>
      <c r="V35" s="38"/>
    </row>
    <row r="36" spans="1:23" ht="27.75" hidden="1" customHeight="1" thickTop="1">
      <c r="A36" s="39">
        <v>5</v>
      </c>
      <c r="B36" s="40" t="s">
        <v>92</v>
      </c>
      <c r="C36" s="41" t="s">
        <v>72</v>
      </c>
      <c r="D36" s="120"/>
      <c r="E36" s="43"/>
      <c r="F36" s="60"/>
      <c r="G36" s="61">
        <v>0</v>
      </c>
      <c r="H36" s="46">
        <v>0</v>
      </c>
      <c r="I36" s="47">
        <v>0</v>
      </c>
      <c r="J36" s="117"/>
      <c r="K36" s="118"/>
      <c r="L36" s="119">
        <v>0</v>
      </c>
      <c r="M36" s="94"/>
      <c r="N36" s="39"/>
      <c r="O36" s="53">
        <f t="shared" si="11"/>
        <v>0</v>
      </c>
      <c r="P36" s="53">
        <f t="shared" si="0"/>
        <v>0</v>
      </c>
      <c r="Q36" s="54">
        <f t="shared" si="1"/>
        <v>0</v>
      </c>
      <c r="R36" s="122"/>
      <c r="S36" s="37"/>
      <c r="T36" s="37"/>
      <c r="U36" s="38"/>
      <c r="V36" s="38"/>
    </row>
    <row r="37" spans="1:23" ht="27.75" hidden="1" customHeight="1" thickTop="1">
      <c r="A37" s="39">
        <v>6</v>
      </c>
      <c r="B37" s="123" t="s">
        <v>93</v>
      </c>
      <c r="C37" s="41" t="s">
        <v>72</v>
      </c>
      <c r="D37" s="124">
        <v>0</v>
      </c>
      <c r="E37" s="125"/>
      <c r="F37" s="126"/>
      <c r="G37" s="65">
        <v>0</v>
      </c>
      <c r="H37" s="46">
        <v>0</v>
      </c>
      <c r="I37" s="47">
        <v>0</v>
      </c>
      <c r="J37" s="127"/>
      <c r="K37" s="128"/>
      <c r="L37" s="129">
        <v>0</v>
      </c>
      <c r="M37" s="94"/>
      <c r="N37" s="39"/>
      <c r="O37" s="53">
        <f t="shared" si="11"/>
        <v>0</v>
      </c>
      <c r="P37" s="53">
        <f t="shared" si="0"/>
        <v>0</v>
      </c>
      <c r="Q37" s="54">
        <f t="shared" si="1"/>
        <v>0</v>
      </c>
      <c r="R37" s="122"/>
      <c r="S37" s="37"/>
      <c r="T37" s="37"/>
      <c r="U37" s="38"/>
      <c r="V37" s="38"/>
    </row>
    <row r="38" spans="1:23" ht="27.75" hidden="1" customHeight="1" thickTop="1">
      <c r="A38" s="39">
        <v>7</v>
      </c>
      <c r="B38" s="40" t="s">
        <v>94</v>
      </c>
      <c r="C38" s="41" t="s">
        <v>72</v>
      </c>
      <c r="D38" s="120"/>
      <c r="E38" s="43"/>
      <c r="F38" s="60"/>
      <c r="G38" s="61">
        <v>0</v>
      </c>
      <c r="H38" s="46">
        <v>0</v>
      </c>
      <c r="I38" s="47">
        <v>0</v>
      </c>
      <c r="J38" s="117"/>
      <c r="K38" s="118"/>
      <c r="L38" s="119">
        <v>0</v>
      </c>
      <c r="M38" s="94"/>
      <c r="N38" s="39"/>
      <c r="O38" s="53">
        <f t="shared" si="11"/>
        <v>0</v>
      </c>
      <c r="P38" s="53">
        <f t="shared" si="0"/>
        <v>0</v>
      </c>
      <c r="Q38" s="54">
        <f t="shared" si="1"/>
        <v>0</v>
      </c>
      <c r="R38" s="122"/>
      <c r="S38" s="37"/>
      <c r="T38" s="37"/>
      <c r="U38" s="38"/>
      <c r="V38" s="38"/>
    </row>
    <row r="39" spans="1:23" ht="27.75" hidden="1" customHeight="1" thickTop="1">
      <c r="A39" s="39">
        <v>8</v>
      </c>
      <c r="B39" s="40" t="s">
        <v>95</v>
      </c>
      <c r="C39" s="41" t="s">
        <v>72</v>
      </c>
      <c r="D39" s="120"/>
      <c r="E39" s="43"/>
      <c r="F39" s="60"/>
      <c r="G39" s="61">
        <v>0</v>
      </c>
      <c r="H39" s="46">
        <v>0</v>
      </c>
      <c r="I39" s="47">
        <v>0</v>
      </c>
      <c r="J39" s="117"/>
      <c r="K39" s="118"/>
      <c r="L39" s="119">
        <v>0</v>
      </c>
      <c r="M39" s="94"/>
      <c r="N39" s="39"/>
      <c r="O39" s="53">
        <f t="shared" si="11"/>
        <v>0</v>
      </c>
      <c r="P39" s="53">
        <f t="shared" si="0"/>
        <v>0</v>
      </c>
      <c r="Q39" s="54">
        <f t="shared" si="1"/>
        <v>0</v>
      </c>
      <c r="R39" s="122"/>
      <c r="S39" s="37"/>
      <c r="T39" s="37"/>
      <c r="U39" s="38"/>
      <c r="V39" s="38"/>
    </row>
    <row r="40" spans="1:23" ht="27.75" hidden="1" customHeight="1" thickTop="1">
      <c r="A40" s="39">
        <v>9</v>
      </c>
      <c r="B40" s="40" t="s">
        <v>96</v>
      </c>
      <c r="C40" s="41" t="s">
        <v>72</v>
      </c>
      <c r="D40" s="120"/>
      <c r="E40" s="43"/>
      <c r="F40" s="60"/>
      <c r="G40" s="61">
        <v>0</v>
      </c>
      <c r="H40" s="46">
        <v>0</v>
      </c>
      <c r="I40" s="47">
        <v>0</v>
      </c>
      <c r="J40" s="117"/>
      <c r="K40" s="118"/>
      <c r="L40" s="119">
        <v>0</v>
      </c>
      <c r="M40" s="94"/>
      <c r="N40" s="39"/>
      <c r="O40" s="53">
        <f t="shared" si="11"/>
        <v>0</v>
      </c>
      <c r="P40" s="53">
        <f t="shared" si="0"/>
        <v>0</v>
      </c>
      <c r="Q40" s="54">
        <f t="shared" si="1"/>
        <v>0</v>
      </c>
      <c r="R40" s="122"/>
      <c r="S40" s="37"/>
      <c r="T40" s="37"/>
      <c r="U40" s="38"/>
      <c r="V40" s="38"/>
    </row>
    <row r="41" spans="1:23" ht="27.75" hidden="1" customHeight="1" thickTop="1">
      <c r="A41" s="39">
        <v>10</v>
      </c>
      <c r="B41" s="40" t="s">
        <v>97</v>
      </c>
      <c r="C41" s="41" t="s">
        <v>72</v>
      </c>
      <c r="D41" s="120">
        <v>0</v>
      </c>
      <c r="E41" s="43"/>
      <c r="F41" s="60"/>
      <c r="G41" s="61">
        <v>0</v>
      </c>
      <c r="H41" s="46">
        <v>0</v>
      </c>
      <c r="I41" s="47">
        <v>0</v>
      </c>
      <c r="J41" s="117"/>
      <c r="K41" s="118"/>
      <c r="L41" s="119">
        <v>0</v>
      </c>
      <c r="M41" s="94"/>
      <c r="N41" s="39"/>
      <c r="O41" s="53">
        <f t="shared" si="11"/>
        <v>0</v>
      </c>
      <c r="P41" s="53">
        <f t="shared" si="0"/>
        <v>0</v>
      </c>
      <c r="Q41" s="54">
        <f t="shared" si="1"/>
        <v>0</v>
      </c>
      <c r="R41" s="122"/>
      <c r="S41" s="37"/>
      <c r="T41" s="37"/>
      <c r="U41" s="38"/>
      <c r="V41" s="38"/>
    </row>
    <row r="42" spans="1:23" ht="27.75" hidden="1" customHeight="1" thickTop="1">
      <c r="A42" s="39">
        <v>11</v>
      </c>
      <c r="B42" s="40" t="s">
        <v>98</v>
      </c>
      <c r="C42" s="41" t="s">
        <v>72</v>
      </c>
      <c r="D42" s="120"/>
      <c r="E42" s="43"/>
      <c r="F42" s="60"/>
      <c r="G42" s="61">
        <v>0</v>
      </c>
      <c r="H42" s="46">
        <v>0</v>
      </c>
      <c r="I42" s="47">
        <v>0</v>
      </c>
      <c r="J42" s="117"/>
      <c r="K42" s="118"/>
      <c r="L42" s="119">
        <v>0</v>
      </c>
      <c r="M42" s="94"/>
      <c r="N42" s="39"/>
      <c r="O42" s="53">
        <f t="shared" si="11"/>
        <v>0</v>
      </c>
      <c r="P42" s="53">
        <f t="shared" si="0"/>
        <v>0</v>
      </c>
      <c r="Q42" s="54">
        <f t="shared" si="1"/>
        <v>0</v>
      </c>
      <c r="R42" s="122"/>
      <c r="S42" s="37"/>
      <c r="T42" s="37"/>
      <c r="U42" s="38"/>
      <c r="V42" s="38"/>
    </row>
    <row r="43" spans="1:23" ht="27.75" hidden="1" customHeight="1" thickTop="1">
      <c r="A43" s="39">
        <v>12</v>
      </c>
      <c r="B43" s="40" t="s">
        <v>99</v>
      </c>
      <c r="C43" s="41" t="s">
        <v>72</v>
      </c>
      <c r="D43" s="120">
        <v>0</v>
      </c>
      <c r="E43" s="43"/>
      <c r="F43" s="60"/>
      <c r="G43" s="61">
        <v>0</v>
      </c>
      <c r="H43" s="46">
        <v>0</v>
      </c>
      <c r="I43" s="47">
        <v>0</v>
      </c>
      <c r="J43" s="117"/>
      <c r="K43" s="118"/>
      <c r="L43" s="119">
        <v>0</v>
      </c>
      <c r="M43" s="94"/>
      <c r="N43" s="39"/>
      <c r="O43" s="53">
        <f t="shared" si="11"/>
        <v>0</v>
      </c>
      <c r="P43" s="53">
        <f t="shared" si="0"/>
        <v>0</v>
      </c>
      <c r="Q43" s="54">
        <f t="shared" si="1"/>
        <v>0</v>
      </c>
      <c r="R43" s="122"/>
      <c r="S43" s="37"/>
      <c r="T43" s="37"/>
      <c r="U43" s="38"/>
      <c r="V43" s="38"/>
    </row>
    <row r="44" spans="1:23" ht="27.75" hidden="1" customHeight="1" thickTop="1">
      <c r="A44" s="39"/>
      <c r="B44" s="123"/>
      <c r="C44" s="41"/>
      <c r="D44" s="124"/>
      <c r="E44" s="125"/>
      <c r="F44" s="126"/>
      <c r="G44" s="65">
        <v>0</v>
      </c>
      <c r="H44" s="46">
        <v>0</v>
      </c>
      <c r="I44" s="47">
        <v>0</v>
      </c>
      <c r="J44" s="127"/>
      <c r="K44" s="128"/>
      <c r="L44" s="129"/>
      <c r="M44" s="83"/>
      <c r="N44" s="130"/>
      <c r="O44" s="53">
        <f t="shared" si="11"/>
        <v>0</v>
      </c>
      <c r="P44" s="53">
        <f t="shared" si="0"/>
        <v>0</v>
      </c>
      <c r="Q44" s="54">
        <f t="shared" si="1"/>
        <v>0</v>
      </c>
      <c r="R44" s="122"/>
      <c r="S44" s="37"/>
      <c r="T44" s="37"/>
      <c r="U44" s="38"/>
      <c r="V44" s="38"/>
    </row>
    <row r="45" spans="1:23" ht="27.75" hidden="1" customHeight="1" thickTop="1">
      <c r="A45" s="22"/>
      <c r="B45" s="131" t="s">
        <v>22</v>
      </c>
      <c r="C45" s="132"/>
      <c r="D45" s="133">
        <f>SUM(D32:D43)</f>
        <v>0</v>
      </c>
      <c r="E45" s="134"/>
      <c r="F45" s="135"/>
      <c r="G45" s="136">
        <f>SUM(G32:G43)</f>
        <v>0</v>
      </c>
      <c r="H45" s="136">
        <f t="shared" ref="H45:I45" si="12">SUM(H32:H43)</f>
        <v>0</v>
      </c>
      <c r="I45" s="136">
        <f t="shared" si="12"/>
        <v>0</v>
      </c>
      <c r="J45" s="137">
        <v>0</v>
      </c>
      <c r="K45" s="137">
        <f>SUM(K8:K44)</f>
        <v>0</v>
      </c>
      <c r="L45" s="138">
        <f>SUM(L32:L44)</f>
        <v>0</v>
      </c>
      <c r="M45" s="139"/>
      <c r="N45" s="133"/>
      <c r="O45" s="136">
        <f>SUM(O32:O44)</f>
        <v>0</v>
      </c>
      <c r="P45" s="136">
        <f t="shared" ref="P45:Q45" si="13">SUM(P32:P44)</f>
        <v>0</v>
      </c>
      <c r="Q45" s="136">
        <f t="shared" si="13"/>
        <v>0</v>
      </c>
      <c r="R45" s="36"/>
      <c r="S45" s="37"/>
      <c r="T45" s="37"/>
      <c r="U45" s="38"/>
      <c r="V45" s="38"/>
      <c r="W45" s="38"/>
    </row>
    <row r="46" spans="1:23" ht="27.75" customHeight="1" thickTop="1">
      <c r="A46" s="22"/>
      <c r="B46" s="23" t="s">
        <v>100</v>
      </c>
      <c r="C46" s="24"/>
      <c r="D46" s="25"/>
      <c r="E46" s="26"/>
      <c r="F46" s="27"/>
      <c r="G46" s="28"/>
      <c r="H46" s="28"/>
      <c r="I46" s="28"/>
      <c r="J46" s="29"/>
      <c r="K46" s="30"/>
      <c r="L46" s="31"/>
      <c r="M46" s="32"/>
      <c r="N46" s="33"/>
      <c r="O46" s="34"/>
      <c r="P46" s="34"/>
      <c r="Q46" s="35"/>
      <c r="R46" s="36"/>
      <c r="S46" s="37"/>
      <c r="T46" s="37"/>
      <c r="U46" s="38"/>
      <c r="V46" s="38"/>
      <c r="W46" s="38"/>
    </row>
    <row r="47" spans="1:23" s="57" customFormat="1" ht="27.75" customHeight="1">
      <c r="A47" s="22">
        <v>1</v>
      </c>
      <c r="B47" s="40" t="s">
        <v>101</v>
      </c>
      <c r="C47" s="140" t="s">
        <v>102</v>
      </c>
      <c r="D47" s="141">
        <v>160.5</v>
      </c>
      <c r="E47" s="142" t="s">
        <v>45</v>
      </c>
      <c r="F47" s="143">
        <v>0</v>
      </c>
      <c r="G47" s="61">
        <v>0</v>
      </c>
      <c r="H47" s="61">
        <v>0</v>
      </c>
      <c r="I47" s="47">
        <v>0</v>
      </c>
      <c r="J47" s="113">
        <v>46142</v>
      </c>
      <c r="K47" s="114" t="s">
        <v>1178</v>
      </c>
      <c r="L47" s="144">
        <v>160.5</v>
      </c>
      <c r="M47" s="145" t="s">
        <v>45</v>
      </c>
      <c r="N47" s="146">
        <v>0</v>
      </c>
      <c r="O47" s="147">
        <f t="shared" ref="O47:O81" si="14">+(D47*100/107)+G47-(L47*100/107)</f>
        <v>0</v>
      </c>
      <c r="P47" s="147">
        <f t="shared" ref="P47" si="15">ROUND((O47*0.07),2)</f>
        <v>0</v>
      </c>
      <c r="Q47" s="47">
        <f t="shared" ref="Q47" si="16">+O47+P47</f>
        <v>0</v>
      </c>
      <c r="R47" s="146"/>
      <c r="S47" s="148"/>
      <c r="T47" s="148"/>
      <c r="U47" s="149"/>
      <c r="V47" s="149"/>
    </row>
    <row r="48" spans="1:23" s="57" customFormat="1" ht="27.75" customHeight="1">
      <c r="A48" s="22">
        <v>2</v>
      </c>
      <c r="B48" s="150" t="s">
        <v>104</v>
      </c>
      <c r="C48" s="140" t="s">
        <v>102</v>
      </c>
      <c r="D48" s="141">
        <v>321</v>
      </c>
      <c r="E48" s="142" t="s">
        <v>45</v>
      </c>
      <c r="F48" s="143">
        <v>0</v>
      </c>
      <c r="G48" s="61">
        <v>0</v>
      </c>
      <c r="H48" s="61">
        <v>0</v>
      </c>
      <c r="I48" s="47">
        <v>0</v>
      </c>
      <c r="J48" s="117">
        <v>46142</v>
      </c>
      <c r="K48" s="118" t="s">
        <v>1179</v>
      </c>
      <c r="L48" s="151">
        <v>321</v>
      </c>
      <c r="M48" s="94" t="s">
        <v>45</v>
      </c>
      <c r="N48" s="39">
        <v>0</v>
      </c>
      <c r="O48" s="147">
        <f t="shared" si="14"/>
        <v>0</v>
      </c>
      <c r="P48" s="147">
        <f>ROUND((O48*0.07),2)</f>
        <v>0</v>
      </c>
      <c r="Q48" s="47">
        <f>+O48+P48</f>
        <v>0</v>
      </c>
      <c r="R48" s="146"/>
      <c r="S48" s="148"/>
      <c r="T48" s="148"/>
      <c r="U48" s="149"/>
      <c r="V48" s="149"/>
    </row>
    <row r="49" spans="1:22" s="169" customFormat="1" ht="27.75" customHeight="1">
      <c r="A49" s="152">
        <v>3</v>
      </c>
      <c r="B49" s="153" t="s">
        <v>106</v>
      </c>
      <c r="C49" s="154" t="s">
        <v>102</v>
      </c>
      <c r="D49" s="155">
        <v>160.5</v>
      </c>
      <c r="E49" s="156" t="s">
        <v>1070</v>
      </c>
      <c r="F49" s="157">
        <v>-4</v>
      </c>
      <c r="G49" s="158">
        <v>-600</v>
      </c>
      <c r="H49" s="158">
        <v>-42</v>
      </c>
      <c r="I49" s="159">
        <v>-642</v>
      </c>
      <c r="J49" s="160"/>
      <c r="K49" s="161"/>
      <c r="L49" s="162">
        <v>0</v>
      </c>
      <c r="M49" s="163" t="s">
        <v>1180</v>
      </c>
      <c r="N49" s="164">
        <v>-3</v>
      </c>
      <c r="O49" s="165">
        <f t="shared" si="14"/>
        <v>-450</v>
      </c>
      <c r="P49" s="165">
        <f t="shared" ref="P49:P67" si="17">ROUND((O49*0.07),2)</f>
        <v>-31.5</v>
      </c>
      <c r="Q49" s="159">
        <f t="shared" ref="Q49:Q67" si="18">+O49+P49</f>
        <v>-481.5</v>
      </c>
      <c r="R49" s="166"/>
      <c r="S49" s="167"/>
      <c r="T49" s="167"/>
      <c r="U49" s="168"/>
      <c r="V49" s="168"/>
    </row>
    <row r="50" spans="1:22" s="57" customFormat="1" ht="27.75" customHeight="1">
      <c r="A50" s="22">
        <v>4</v>
      </c>
      <c r="B50" s="170" t="s">
        <v>109</v>
      </c>
      <c r="C50" s="140" t="s">
        <v>102</v>
      </c>
      <c r="D50" s="141">
        <v>321</v>
      </c>
      <c r="E50" s="142" t="s">
        <v>45</v>
      </c>
      <c r="F50" s="143">
        <v>0</v>
      </c>
      <c r="G50" s="61">
        <v>0</v>
      </c>
      <c r="H50" s="61">
        <v>0</v>
      </c>
      <c r="I50" s="47">
        <v>0</v>
      </c>
      <c r="J50" s="117">
        <v>46114</v>
      </c>
      <c r="K50" s="118" t="s">
        <v>1181</v>
      </c>
      <c r="L50" s="151">
        <v>321</v>
      </c>
      <c r="M50" s="171" t="s">
        <v>45</v>
      </c>
      <c r="N50" s="172">
        <v>0</v>
      </c>
      <c r="O50" s="147">
        <f t="shared" si="14"/>
        <v>0</v>
      </c>
      <c r="P50" s="147">
        <f t="shared" si="17"/>
        <v>0</v>
      </c>
      <c r="Q50" s="47">
        <f t="shared" si="18"/>
        <v>0</v>
      </c>
      <c r="R50" s="146"/>
      <c r="S50" s="148"/>
      <c r="T50" s="148"/>
      <c r="U50" s="149"/>
      <c r="V50" s="149"/>
    </row>
    <row r="51" spans="1:22" s="57" customFormat="1" ht="27.75" customHeight="1">
      <c r="A51" s="22">
        <v>5</v>
      </c>
      <c r="B51" s="170" t="s">
        <v>111</v>
      </c>
      <c r="C51" s="140" t="s">
        <v>102</v>
      </c>
      <c r="D51" s="141">
        <v>321</v>
      </c>
      <c r="E51" s="142" t="s">
        <v>45</v>
      </c>
      <c r="F51" s="143">
        <v>0</v>
      </c>
      <c r="G51" s="61">
        <v>0</v>
      </c>
      <c r="H51" s="61">
        <v>0</v>
      </c>
      <c r="I51" s="47">
        <v>0</v>
      </c>
      <c r="J51" s="117">
        <v>46115</v>
      </c>
      <c r="K51" s="118" t="s">
        <v>1182</v>
      </c>
      <c r="L51" s="151">
        <v>321</v>
      </c>
      <c r="M51" s="171" t="s">
        <v>45</v>
      </c>
      <c r="N51" s="172">
        <v>0</v>
      </c>
      <c r="O51" s="147">
        <f t="shared" si="14"/>
        <v>0</v>
      </c>
      <c r="P51" s="147">
        <f t="shared" si="17"/>
        <v>0</v>
      </c>
      <c r="Q51" s="47">
        <f t="shared" si="18"/>
        <v>0</v>
      </c>
      <c r="R51" s="146"/>
      <c r="S51" s="148"/>
      <c r="T51" s="148"/>
      <c r="U51" s="149"/>
      <c r="V51" s="149"/>
    </row>
    <row r="52" spans="1:22" s="57" customFormat="1" ht="27.75" customHeight="1">
      <c r="A52" s="22">
        <v>6</v>
      </c>
      <c r="B52" s="170" t="s">
        <v>113</v>
      </c>
      <c r="C52" s="140" t="s">
        <v>102</v>
      </c>
      <c r="D52" s="141">
        <v>160.5</v>
      </c>
      <c r="E52" s="142" t="s">
        <v>45</v>
      </c>
      <c r="F52" s="143">
        <v>0</v>
      </c>
      <c r="G52" s="61">
        <v>0</v>
      </c>
      <c r="H52" s="61">
        <v>0</v>
      </c>
      <c r="I52" s="47">
        <v>0</v>
      </c>
      <c r="J52" s="113">
        <v>46119</v>
      </c>
      <c r="K52" s="114" t="s">
        <v>1183</v>
      </c>
      <c r="L52" s="151">
        <v>160.5</v>
      </c>
      <c r="M52" s="171" t="s">
        <v>45</v>
      </c>
      <c r="N52" s="172">
        <v>0</v>
      </c>
      <c r="O52" s="147">
        <f t="shared" si="14"/>
        <v>0</v>
      </c>
      <c r="P52" s="147">
        <f t="shared" si="17"/>
        <v>0</v>
      </c>
      <c r="Q52" s="47">
        <f t="shared" si="18"/>
        <v>0</v>
      </c>
      <c r="R52" s="146"/>
      <c r="S52" s="148"/>
      <c r="T52" s="148"/>
      <c r="U52" s="149"/>
      <c r="V52" s="149"/>
    </row>
    <row r="53" spans="1:22" s="57" customFormat="1" ht="27.75" customHeight="1">
      <c r="A53" s="22">
        <v>7</v>
      </c>
      <c r="B53" s="170" t="s">
        <v>117</v>
      </c>
      <c r="C53" s="140" t="s">
        <v>102</v>
      </c>
      <c r="D53" s="141">
        <v>535</v>
      </c>
      <c r="E53" s="142" t="s">
        <v>45</v>
      </c>
      <c r="F53" s="143">
        <v>0</v>
      </c>
      <c r="G53" s="45">
        <v>0</v>
      </c>
      <c r="H53" s="61">
        <v>0</v>
      </c>
      <c r="I53" s="47">
        <v>0</v>
      </c>
      <c r="J53" s="113">
        <v>46128</v>
      </c>
      <c r="K53" s="114" t="s">
        <v>1184</v>
      </c>
      <c r="L53" s="151">
        <v>535</v>
      </c>
      <c r="M53" s="171" t="s">
        <v>45</v>
      </c>
      <c r="N53" s="172">
        <v>0</v>
      </c>
      <c r="O53" s="147">
        <f t="shared" si="14"/>
        <v>0</v>
      </c>
      <c r="P53" s="147">
        <f t="shared" si="17"/>
        <v>0</v>
      </c>
      <c r="Q53" s="47">
        <f t="shared" si="18"/>
        <v>0</v>
      </c>
      <c r="R53" s="146"/>
      <c r="S53" s="148"/>
      <c r="T53" s="148"/>
      <c r="U53" s="149"/>
      <c r="V53" s="149"/>
    </row>
    <row r="54" spans="1:22" s="57" customFormat="1" ht="27.75" customHeight="1">
      <c r="A54" s="22">
        <v>8</v>
      </c>
      <c r="B54" s="170" t="s">
        <v>119</v>
      </c>
      <c r="C54" s="140" t="s">
        <v>102</v>
      </c>
      <c r="D54" s="141">
        <v>321</v>
      </c>
      <c r="E54" s="142" t="s">
        <v>45</v>
      </c>
      <c r="F54" s="143">
        <v>0</v>
      </c>
      <c r="G54" s="45">
        <v>0</v>
      </c>
      <c r="H54" s="61">
        <v>0</v>
      </c>
      <c r="I54" s="47">
        <v>0</v>
      </c>
      <c r="J54" s="113">
        <v>46141</v>
      </c>
      <c r="K54" s="114" t="s">
        <v>1185</v>
      </c>
      <c r="L54" s="151">
        <v>321</v>
      </c>
      <c r="M54" s="171" t="s">
        <v>45</v>
      </c>
      <c r="N54" s="172">
        <v>0</v>
      </c>
      <c r="O54" s="147">
        <f t="shared" si="14"/>
        <v>0</v>
      </c>
      <c r="P54" s="147">
        <f t="shared" si="17"/>
        <v>0</v>
      </c>
      <c r="Q54" s="47">
        <f t="shared" si="18"/>
        <v>0</v>
      </c>
      <c r="R54" s="146"/>
      <c r="S54" s="148"/>
      <c r="T54" s="148"/>
      <c r="U54" s="149"/>
      <c r="V54" s="149"/>
    </row>
    <row r="55" spans="1:22" s="57" customFormat="1" ht="27.75" customHeight="1">
      <c r="A55" s="22">
        <v>9</v>
      </c>
      <c r="B55" s="170" t="s">
        <v>121</v>
      </c>
      <c r="C55" s="140" t="s">
        <v>102</v>
      </c>
      <c r="D55" s="173">
        <v>321</v>
      </c>
      <c r="E55" s="142" t="s">
        <v>45</v>
      </c>
      <c r="F55" s="143">
        <v>0</v>
      </c>
      <c r="G55" s="45">
        <v>0</v>
      </c>
      <c r="H55" s="61">
        <v>0</v>
      </c>
      <c r="I55" s="47">
        <v>0</v>
      </c>
      <c r="J55" s="113">
        <v>46141</v>
      </c>
      <c r="K55" s="114" t="s">
        <v>1186</v>
      </c>
      <c r="L55" s="151">
        <v>321</v>
      </c>
      <c r="M55" s="171" t="s">
        <v>45</v>
      </c>
      <c r="N55" s="172">
        <v>0</v>
      </c>
      <c r="O55" s="147">
        <f t="shared" si="14"/>
        <v>0</v>
      </c>
      <c r="P55" s="147">
        <f t="shared" si="17"/>
        <v>0</v>
      </c>
      <c r="Q55" s="47">
        <f t="shared" si="18"/>
        <v>0</v>
      </c>
      <c r="R55" s="146"/>
      <c r="S55" s="148"/>
      <c r="T55" s="148"/>
      <c r="U55" s="149"/>
      <c r="V55" s="149"/>
    </row>
    <row r="56" spans="1:22" s="57" customFormat="1" ht="27.75" customHeight="1">
      <c r="A56" s="22">
        <v>10</v>
      </c>
      <c r="B56" s="40" t="s">
        <v>123</v>
      </c>
      <c r="C56" s="140" t="s">
        <v>102</v>
      </c>
      <c r="D56" s="173">
        <v>160.5</v>
      </c>
      <c r="E56" s="142" t="s">
        <v>1051</v>
      </c>
      <c r="F56" s="143">
        <v>-2</v>
      </c>
      <c r="G56" s="45">
        <v>-300</v>
      </c>
      <c r="H56" s="61">
        <v>-21</v>
      </c>
      <c r="I56" s="47">
        <v>-321</v>
      </c>
      <c r="J56" s="113"/>
      <c r="K56" s="114"/>
      <c r="L56" s="144">
        <v>0</v>
      </c>
      <c r="M56" s="145" t="s">
        <v>1161</v>
      </c>
      <c r="N56" s="146">
        <v>-1</v>
      </c>
      <c r="O56" s="147">
        <f t="shared" si="14"/>
        <v>-150</v>
      </c>
      <c r="P56" s="147">
        <f t="shared" si="17"/>
        <v>-10.5</v>
      </c>
      <c r="Q56" s="47">
        <f t="shared" si="18"/>
        <v>-160.5</v>
      </c>
      <c r="R56" s="146"/>
      <c r="S56" s="148"/>
      <c r="T56" s="148"/>
      <c r="U56" s="149"/>
      <c r="V56" s="149"/>
    </row>
    <row r="57" spans="1:22" s="57" customFormat="1" ht="27.75" customHeight="1">
      <c r="A57" s="22">
        <v>11</v>
      </c>
      <c r="B57" s="40" t="s">
        <v>126</v>
      </c>
      <c r="C57" s="140" t="s">
        <v>102</v>
      </c>
      <c r="D57" s="173">
        <v>642</v>
      </c>
      <c r="E57" s="142" t="s">
        <v>45</v>
      </c>
      <c r="F57" s="143">
        <v>0</v>
      </c>
      <c r="G57" s="61">
        <v>0</v>
      </c>
      <c r="H57" s="61">
        <v>0</v>
      </c>
      <c r="I57" s="47">
        <v>0</v>
      </c>
      <c r="J57" s="113" t="s">
        <v>1187</v>
      </c>
      <c r="K57" s="114" t="s">
        <v>1188</v>
      </c>
      <c r="L57" s="144">
        <v>1284</v>
      </c>
      <c r="M57" s="145" t="s">
        <v>1161</v>
      </c>
      <c r="N57" s="146">
        <v>-1</v>
      </c>
      <c r="O57" s="147">
        <f t="shared" si="14"/>
        <v>-600</v>
      </c>
      <c r="P57" s="147">
        <f t="shared" si="17"/>
        <v>-42</v>
      </c>
      <c r="Q57" s="47">
        <f t="shared" si="18"/>
        <v>-642</v>
      </c>
      <c r="R57" s="146"/>
      <c r="S57" s="148"/>
      <c r="T57" s="148"/>
      <c r="U57" s="149"/>
      <c r="V57" s="149"/>
    </row>
    <row r="58" spans="1:22" s="57" customFormat="1" ht="27.75" customHeight="1">
      <c r="A58" s="22">
        <v>12</v>
      </c>
      <c r="B58" s="40" t="s">
        <v>128</v>
      </c>
      <c r="C58" s="140" t="s">
        <v>102</v>
      </c>
      <c r="D58" s="141">
        <v>642</v>
      </c>
      <c r="E58" s="142" t="s">
        <v>45</v>
      </c>
      <c r="F58" s="143">
        <v>0</v>
      </c>
      <c r="G58" s="61">
        <v>0</v>
      </c>
      <c r="H58" s="61">
        <v>0</v>
      </c>
      <c r="I58" s="47">
        <v>0</v>
      </c>
      <c r="J58" s="113">
        <v>46141</v>
      </c>
      <c r="K58" s="114" t="s">
        <v>1189</v>
      </c>
      <c r="L58" s="144">
        <v>642</v>
      </c>
      <c r="M58" s="145" t="s">
        <v>45</v>
      </c>
      <c r="N58" s="146">
        <v>0</v>
      </c>
      <c r="O58" s="147">
        <f t="shared" si="14"/>
        <v>0</v>
      </c>
      <c r="P58" s="147">
        <f t="shared" si="17"/>
        <v>0</v>
      </c>
      <c r="Q58" s="47">
        <f t="shared" si="18"/>
        <v>0</v>
      </c>
      <c r="R58" s="146"/>
      <c r="S58" s="148"/>
      <c r="T58" s="148"/>
      <c r="U58" s="149"/>
      <c r="V58" s="149"/>
    </row>
    <row r="59" spans="1:22" s="57" customFormat="1" ht="27.75" customHeight="1">
      <c r="A59" s="22">
        <v>13</v>
      </c>
      <c r="B59" s="40" t="s">
        <v>130</v>
      </c>
      <c r="C59" s="140" t="s">
        <v>102</v>
      </c>
      <c r="D59" s="141">
        <v>160.5</v>
      </c>
      <c r="E59" s="142" t="s">
        <v>952</v>
      </c>
      <c r="F59" s="143">
        <v>1</v>
      </c>
      <c r="G59" s="61">
        <v>150</v>
      </c>
      <c r="H59" s="61">
        <v>10.5</v>
      </c>
      <c r="I59" s="47">
        <v>160.5</v>
      </c>
      <c r="J59" s="175">
        <v>46114</v>
      </c>
      <c r="K59" s="176" t="s">
        <v>1190</v>
      </c>
      <c r="L59" s="177">
        <v>160.5</v>
      </c>
      <c r="M59" s="145" t="s">
        <v>1109</v>
      </c>
      <c r="N59" s="146">
        <v>1</v>
      </c>
      <c r="O59" s="147">
        <f t="shared" si="14"/>
        <v>150</v>
      </c>
      <c r="P59" s="147">
        <f t="shared" si="17"/>
        <v>10.5</v>
      </c>
      <c r="Q59" s="47">
        <f t="shared" si="18"/>
        <v>160.5</v>
      </c>
      <c r="R59" s="146"/>
      <c r="S59" s="148"/>
      <c r="T59" s="148"/>
      <c r="U59" s="149"/>
      <c r="V59" s="149"/>
    </row>
    <row r="60" spans="1:22" s="57" customFormat="1" ht="27.75" customHeight="1">
      <c r="A60" s="22">
        <v>14</v>
      </c>
      <c r="B60" s="170" t="s">
        <v>132</v>
      </c>
      <c r="C60" s="140" t="s">
        <v>102</v>
      </c>
      <c r="D60" s="141">
        <v>321</v>
      </c>
      <c r="E60" s="142" t="s">
        <v>45</v>
      </c>
      <c r="F60" s="143">
        <v>0</v>
      </c>
      <c r="G60" s="45">
        <v>0</v>
      </c>
      <c r="H60" s="61">
        <v>0</v>
      </c>
      <c r="I60" s="47">
        <v>0</v>
      </c>
      <c r="J60" s="178">
        <v>46120</v>
      </c>
      <c r="K60" s="179" t="s">
        <v>1191</v>
      </c>
      <c r="L60" s="180">
        <v>321</v>
      </c>
      <c r="M60" s="171" t="s">
        <v>45</v>
      </c>
      <c r="N60" s="172">
        <v>0</v>
      </c>
      <c r="O60" s="147">
        <f t="shared" si="14"/>
        <v>0</v>
      </c>
      <c r="P60" s="147">
        <f t="shared" si="17"/>
        <v>0</v>
      </c>
      <c r="Q60" s="47">
        <f t="shared" si="18"/>
        <v>0</v>
      </c>
      <c r="R60" s="146"/>
      <c r="S60" s="148"/>
      <c r="T60" s="148"/>
      <c r="U60" s="149"/>
      <c r="V60" s="149"/>
    </row>
    <row r="61" spans="1:22" s="57" customFormat="1" ht="27.75" customHeight="1">
      <c r="A61" s="22">
        <v>15</v>
      </c>
      <c r="B61" s="40" t="s">
        <v>134</v>
      </c>
      <c r="C61" s="140" t="s">
        <v>102</v>
      </c>
      <c r="D61" s="141">
        <v>160.5</v>
      </c>
      <c r="E61" s="142" t="s">
        <v>45</v>
      </c>
      <c r="F61" s="143">
        <v>0</v>
      </c>
      <c r="G61" s="61">
        <v>0</v>
      </c>
      <c r="H61" s="61">
        <v>0</v>
      </c>
      <c r="I61" s="47">
        <v>0</v>
      </c>
      <c r="J61" s="175">
        <v>46139</v>
      </c>
      <c r="K61" s="176" t="s">
        <v>1192</v>
      </c>
      <c r="L61" s="177">
        <v>160.5</v>
      </c>
      <c r="M61" s="145" t="s">
        <v>45</v>
      </c>
      <c r="N61" s="146">
        <v>0</v>
      </c>
      <c r="O61" s="147">
        <f t="shared" si="14"/>
        <v>0</v>
      </c>
      <c r="P61" s="147">
        <f t="shared" si="17"/>
        <v>0</v>
      </c>
      <c r="Q61" s="47">
        <f t="shared" si="18"/>
        <v>0</v>
      </c>
      <c r="R61" s="146"/>
      <c r="S61" s="148"/>
      <c r="T61" s="148"/>
      <c r="U61" s="149"/>
      <c r="V61" s="149"/>
    </row>
    <row r="62" spans="1:22" s="57" customFormat="1" ht="27.75" customHeight="1">
      <c r="A62" s="22">
        <v>16</v>
      </c>
      <c r="B62" s="170" t="s">
        <v>136</v>
      </c>
      <c r="C62" s="140" t="s">
        <v>102</v>
      </c>
      <c r="D62" s="141">
        <v>321</v>
      </c>
      <c r="E62" s="142" t="s">
        <v>45</v>
      </c>
      <c r="F62" s="143">
        <v>0</v>
      </c>
      <c r="G62" s="45">
        <v>0</v>
      </c>
      <c r="H62" s="61">
        <v>0</v>
      </c>
      <c r="I62" s="47">
        <v>0</v>
      </c>
      <c r="J62" s="113">
        <v>46141</v>
      </c>
      <c r="K62" s="114" t="s">
        <v>1193</v>
      </c>
      <c r="L62" s="144">
        <v>321</v>
      </c>
      <c r="M62" s="171" t="s">
        <v>45</v>
      </c>
      <c r="N62" s="172">
        <v>0</v>
      </c>
      <c r="O62" s="147">
        <f t="shared" si="14"/>
        <v>0</v>
      </c>
      <c r="P62" s="147">
        <f t="shared" si="17"/>
        <v>0</v>
      </c>
      <c r="Q62" s="47">
        <f t="shared" si="18"/>
        <v>0</v>
      </c>
      <c r="R62" s="146"/>
      <c r="S62" s="148"/>
      <c r="T62" s="148"/>
      <c r="U62" s="149"/>
      <c r="V62" s="149"/>
    </row>
    <row r="63" spans="1:22" s="57" customFormat="1" ht="27.75" customHeight="1">
      <c r="A63" s="22">
        <v>17</v>
      </c>
      <c r="B63" s="181" t="s">
        <v>138</v>
      </c>
      <c r="C63" s="182" t="s">
        <v>139</v>
      </c>
      <c r="D63" s="173">
        <v>160.5</v>
      </c>
      <c r="E63" s="142" t="s">
        <v>1082</v>
      </c>
      <c r="F63" s="143">
        <v>-9</v>
      </c>
      <c r="G63" s="45">
        <v>-1350</v>
      </c>
      <c r="H63" s="61">
        <v>-94.5</v>
      </c>
      <c r="I63" s="47">
        <v>-1444.5</v>
      </c>
      <c r="J63" s="183"/>
      <c r="K63" s="184"/>
      <c r="L63" s="185"/>
      <c r="M63" s="171" t="s">
        <v>1194</v>
      </c>
      <c r="N63" s="44">
        <v>-8</v>
      </c>
      <c r="O63" s="147">
        <f t="shared" si="14"/>
        <v>-1200</v>
      </c>
      <c r="P63" s="147">
        <f t="shared" si="17"/>
        <v>-84</v>
      </c>
      <c r="Q63" s="47">
        <f t="shared" si="18"/>
        <v>-1284</v>
      </c>
      <c r="R63" s="146"/>
      <c r="S63" s="148"/>
      <c r="T63" s="148"/>
      <c r="U63" s="149"/>
      <c r="V63" s="149"/>
    </row>
    <row r="64" spans="1:22" s="57" customFormat="1" ht="27.75" customHeight="1">
      <c r="A64" s="22">
        <v>18</v>
      </c>
      <c r="B64" s="181" t="s">
        <v>142</v>
      </c>
      <c r="C64" s="182" t="s">
        <v>143</v>
      </c>
      <c r="D64" s="173">
        <v>160.5</v>
      </c>
      <c r="E64" s="142" t="s">
        <v>45</v>
      </c>
      <c r="F64" s="143">
        <v>0</v>
      </c>
      <c r="G64" s="45">
        <v>0</v>
      </c>
      <c r="H64" s="61">
        <v>0</v>
      </c>
      <c r="I64" s="47">
        <v>0</v>
      </c>
      <c r="J64" s="183">
        <v>46141</v>
      </c>
      <c r="K64" s="184" t="s">
        <v>1195</v>
      </c>
      <c r="L64" s="185">
        <v>160.5</v>
      </c>
      <c r="M64" s="186" t="s">
        <v>45</v>
      </c>
      <c r="N64" s="44">
        <v>0</v>
      </c>
      <c r="O64" s="147">
        <f t="shared" si="14"/>
        <v>0</v>
      </c>
      <c r="P64" s="147">
        <f t="shared" si="17"/>
        <v>0</v>
      </c>
      <c r="Q64" s="47">
        <f t="shared" si="18"/>
        <v>0</v>
      </c>
      <c r="R64" s="146"/>
      <c r="S64" s="148"/>
      <c r="T64" s="148"/>
      <c r="U64" s="149"/>
      <c r="V64" s="149"/>
    </row>
    <row r="65" spans="1:22" s="57" customFormat="1" ht="27.75" customHeight="1">
      <c r="A65" s="22">
        <v>19</v>
      </c>
      <c r="B65" s="40" t="s">
        <v>145</v>
      </c>
      <c r="C65" s="140" t="s">
        <v>102</v>
      </c>
      <c r="D65" s="173">
        <v>321</v>
      </c>
      <c r="E65" s="142" t="s">
        <v>45</v>
      </c>
      <c r="F65" s="143">
        <v>0</v>
      </c>
      <c r="G65" s="45">
        <v>0</v>
      </c>
      <c r="H65" s="61">
        <v>0</v>
      </c>
      <c r="I65" s="47">
        <v>0</v>
      </c>
      <c r="J65" s="175">
        <v>46139</v>
      </c>
      <c r="K65" s="176" t="s">
        <v>1196</v>
      </c>
      <c r="L65" s="177">
        <v>321</v>
      </c>
      <c r="M65" s="171" t="s">
        <v>45</v>
      </c>
      <c r="N65" s="172">
        <v>0</v>
      </c>
      <c r="O65" s="147">
        <f t="shared" si="14"/>
        <v>0</v>
      </c>
      <c r="P65" s="147">
        <f t="shared" si="17"/>
        <v>0</v>
      </c>
      <c r="Q65" s="47">
        <f t="shared" si="18"/>
        <v>0</v>
      </c>
      <c r="R65" s="146"/>
      <c r="S65" s="148"/>
      <c r="T65" s="148"/>
      <c r="U65" s="149"/>
      <c r="V65" s="149"/>
    </row>
    <row r="66" spans="1:22" s="57" customFormat="1" ht="27.75" customHeight="1">
      <c r="A66" s="22">
        <v>20</v>
      </c>
      <c r="B66" s="40" t="s">
        <v>147</v>
      </c>
      <c r="C66" s="140" t="s">
        <v>102</v>
      </c>
      <c r="D66" s="173">
        <v>160.5</v>
      </c>
      <c r="E66" s="142" t="s">
        <v>45</v>
      </c>
      <c r="F66" s="143">
        <v>0</v>
      </c>
      <c r="G66" s="45">
        <v>0</v>
      </c>
      <c r="H66" s="61">
        <v>0</v>
      </c>
      <c r="I66" s="47">
        <v>0</v>
      </c>
      <c r="J66" s="175">
        <v>46139</v>
      </c>
      <c r="K66" s="176" t="s">
        <v>1197</v>
      </c>
      <c r="L66" s="177">
        <v>160.5</v>
      </c>
      <c r="M66" s="171" t="s">
        <v>45</v>
      </c>
      <c r="N66" s="172">
        <v>0</v>
      </c>
      <c r="O66" s="147">
        <f t="shared" si="14"/>
        <v>0</v>
      </c>
      <c r="P66" s="147">
        <f t="shared" si="17"/>
        <v>0</v>
      </c>
      <c r="Q66" s="47">
        <f t="shared" si="18"/>
        <v>0</v>
      </c>
      <c r="R66" s="146"/>
      <c r="S66" s="148"/>
      <c r="T66" s="148"/>
      <c r="U66" s="149"/>
      <c r="V66" s="149"/>
    </row>
    <row r="67" spans="1:22" s="57" customFormat="1" ht="27.75" customHeight="1">
      <c r="A67" s="22">
        <v>21</v>
      </c>
      <c r="B67" s="80" t="s">
        <v>149</v>
      </c>
      <c r="C67" s="140" t="s">
        <v>102</v>
      </c>
      <c r="D67" s="173">
        <v>1070</v>
      </c>
      <c r="E67" s="142" t="s">
        <v>45</v>
      </c>
      <c r="F67" s="143">
        <v>0</v>
      </c>
      <c r="G67" s="187">
        <v>0</v>
      </c>
      <c r="H67" s="61">
        <v>0</v>
      </c>
      <c r="I67" s="47">
        <v>0</v>
      </c>
      <c r="J67" s="175">
        <v>46135</v>
      </c>
      <c r="K67" s="176" t="s">
        <v>1198</v>
      </c>
      <c r="L67" s="177">
        <v>1070</v>
      </c>
      <c r="M67" s="171" t="s">
        <v>45</v>
      </c>
      <c r="N67" s="172">
        <v>0</v>
      </c>
      <c r="O67" s="147">
        <f t="shared" si="14"/>
        <v>0</v>
      </c>
      <c r="P67" s="147">
        <f t="shared" si="17"/>
        <v>0</v>
      </c>
      <c r="Q67" s="47">
        <f t="shared" si="18"/>
        <v>0</v>
      </c>
      <c r="R67" s="188"/>
      <c r="S67" s="189"/>
      <c r="T67" s="189"/>
      <c r="U67" s="190"/>
      <c r="V67" s="190"/>
    </row>
    <row r="68" spans="1:22" s="57" customFormat="1" ht="27.75" customHeight="1">
      <c r="A68" s="22">
        <v>22</v>
      </c>
      <c r="B68" s="170" t="s">
        <v>151</v>
      </c>
      <c r="C68" s="140" t="s">
        <v>102</v>
      </c>
      <c r="D68" s="141">
        <v>160.5</v>
      </c>
      <c r="E68" s="142" t="s">
        <v>45</v>
      </c>
      <c r="F68" s="143">
        <v>0</v>
      </c>
      <c r="G68" s="45">
        <v>0</v>
      </c>
      <c r="H68" s="61">
        <v>0</v>
      </c>
      <c r="I68" s="47">
        <v>0</v>
      </c>
      <c r="J68" s="117">
        <v>46113</v>
      </c>
      <c r="K68" s="118" t="s">
        <v>1199</v>
      </c>
      <c r="L68" s="151">
        <v>160.5</v>
      </c>
      <c r="M68" s="171" t="s">
        <v>45</v>
      </c>
      <c r="N68" s="172">
        <v>0</v>
      </c>
      <c r="O68" s="147">
        <f t="shared" si="14"/>
        <v>0</v>
      </c>
      <c r="P68" s="147">
        <f>ROUND((O68*0.07),2)</f>
        <v>0</v>
      </c>
      <c r="Q68" s="47">
        <f>+O68+P68</f>
        <v>0</v>
      </c>
      <c r="R68" s="146"/>
      <c r="S68" s="148"/>
      <c r="T68" s="148"/>
      <c r="U68" s="149"/>
      <c r="V68" s="149"/>
    </row>
    <row r="69" spans="1:22" s="57" customFormat="1" ht="27.75" customHeight="1">
      <c r="A69" s="22">
        <v>23</v>
      </c>
      <c r="B69" s="170" t="s">
        <v>153</v>
      </c>
      <c r="C69" s="140" t="s">
        <v>102</v>
      </c>
      <c r="D69" s="141">
        <v>160.5</v>
      </c>
      <c r="E69" s="142" t="s">
        <v>1082</v>
      </c>
      <c r="F69" s="143">
        <v>-9</v>
      </c>
      <c r="G69" s="45">
        <v>-1350</v>
      </c>
      <c r="H69" s="61">
        <v>-94.5</v>
      </c>
      <c r="I69" s="47">
        <v>-1444.5</v>
      </c>
      <c r="J69" s="175"/>
      <c r="K69" s="176"/>
      <c r="L69" s="177">
        <v>0</v>
      </c>
      <c r="M69" s="171" t="s">
        <v>1194</v>
      </c>
      <c r="N69" s="172">
        <v>-8</v>
      </c>
      <c r="O69" s="147">
        <f t="shared" si="14"/>
        <v>-1200</v>
      </c>
      <c r="P69" s="147">
        <f>ROUND((O69*0.07),2)</f>
        <v>-84</v>
      </c>
      <c r="Q69" s="47">
        <f>+O69+P69</f>
        <v>-1284</v>
      </c>
      <c r="R69" s="146"/>
      <c r="S69" s="148"/>
      <c r="T69" s="148"/>
      <c r="U69" s="149"/>
      <c r="V69" s="149"/>
    </row>
    <row r="70" spans="1:22" s="57" customFormat="1" ht="27.75" customHeight="1">
      <c r="A70" s="22">
        <v>24</v>
      </c>
      <c r="B70" s="170" t="s">
        <v>154</v>
      </c>
      <c r="C70" s="140" t="s">
        <v>102</v>
      </c>
      <c r="D70" s="141">
        <v>321</v>
      </c>
      <c r="E70" s="142" t="s">
        <v>45</v>
      </c>
      <c r="F70" s="143">
        <v>0</v>
      </c>
      <c r="G70" s="45">
        <v>0</v>
      </c>
      <c r="H70" s="61">
        <v>0</v>
      </c>
      <c r="I70" s="47">
        <v>0</v>
      </c>
      <c r="J70" s="175">
        <v>46141</v>
      </c>
      <c r="K70" s="176" t="s">
        <v>1200</v>
      </c>
      <c r="L70" s="177">
        <v>321</v>
      </c>
      <c r="M70" s="186" t="s">
        <v>45</v>
      </c>
      <c r="N70" s="44">
        <v>0</v>
      </c>
      <c r="O70" s="147">
        <f t="shared" si="14"/>
        <v>0</v>
      </c>
      <c r="P70" s="147">
        <f>ROUND((O70*0.07),2)</f>
        <v>0</v>
      </c>
      <c r="Q70" s="47">
        <f>+O70+P70</f>
        <v>0</v>
      </c>
      <c r="R70" s="146"/>
      <c r="S70" s="148"/>
      <c r="T70" s="148"/>
      <c r="U70" s="149"/>
      <c r="V70" s="149"/>
    </row>
    <row r="71" spans="1:22" s="57" customFormat="1" ht="27.75" customHeight="1">
      <c r="A71" s="22">
        <v>25</v>
      </c>
      <c r="B71" s="191" t="s">
        <v>156</v>
      </c>
      <c r="C71" s="140" t="s">
        <v>102</v>
      </c>
      <c r="D71" s="192">
        <v>160.5</v>
      </c>
      <c r="E71" s="142" t="s">
        <v>45</v>
      </c>
      <c r="F71" s="143">
        <v>0</v>
      </c>
      <c r="G71" s="187">
        <v>0</v>
      </c>
      <c r="H71" s="61">
        <v>0</v>
      </c>
      <c r="I71" s="47">
        <v>0</v>
      </c>
      <c r="J71" s="175">
        <v>46120</v>
      </c>
      <c r="K71" s="176" t="s">
        <v>1201</v>
      </c>
      <c r="L71" s="177">
        <v>160.5</v>
      </c>
      <c r="M71" s="186" t="s">
        <v>45</v>
      </c>
      <c r="N71" s="44">
        <v>0</v>
      </c>
      <c r="O71" s="147">
        <f t="shared" si="14"/>
        <v>0</v>
      </c>
      <c r="P71" s="147">
        <f t="shared" ref="P71:P76" si="19">ROUND((O71*0.07),2)</f>
        <v>0</v>
      </c>
      <c r="Q71" s="47">
        <f t="shared" ref="Q71:Q76" si="20">+O71+P71</f>
        <v>0</v>
      </c>
      <c r="R71" s="188"/>
      <c r="S71" s="189"/>
      <c r="T71" s="189"/>
      <c r="U71" s="190"/>
      <c r="V71" s="190"/>
    </row>
    <row r="72" spans="1:22" s="57" customFormat="1" ht="27.75" customHeight="1">
      <c r="A72" s="22">
        <v>26</v>
      </c>
      <c r="B72" s="170" t="s">
        <v>158</v>
      </c>
      <c r="C72" s="140" t="s">
        <v>102</v>
      </c>
      <c r="D72" s="141">
        <v>321</v>
      </c>
      <c r="E72" s="142" t="s">
        <v>1090</v>
      </c>
      <c r="F72" s="143">
        <v>-5.1183666666666676</v>
      </c>
      <c r="G72" s="45">
        <v>-1535.5100000000002</v>
      </c>
      <c r="H72" s="61">
        <v>-107.49</v>
      </c>
      <c r="I72" s="47">
        <v>-1643.0000000000002</v>
      </c>
      <c r="J72" s="117"/>
      <c r="K72" s="118"/>
      <c r="L72" s="151">
        <v>0</v>
      </c>
      <c r="M72" s="171" t="s">
        <v>1202</v>
      </c>
      <c r="N72" s="172">
        <v>-4.1183666666666676</v>
      </c>
      <c r="O72" s="147">
        <f t="shared" si="14"/>
        <v>-1235.5100000000002</v>
      </c>
      <c r="P72" s="147">
        <f t="shared" si="19"/>
        <v>-86.49</v>
      </c>
      <c r="Q72" s="47">
        <f t="shared" si="20"/>
        <v>-1322.0000000000002</v>
      </c>
      <c r="R72" s="146"/>
      <c r="S72" s="148"/>
      <c r="T72" s="148"/>
      <c r="U72" s="149"/>
      <c r="V72" s="149"/>
    </row>
    <row r="73" spans="1:22" s="57" customFormat="1" ht="27.75" customHeight="1">
      <c r="A73" s="22">
        <v>27</v>
      </c>
      <c r="B73" s="191" t="s">
        <v>161</v>
      </c>
      <c r="C73" s="140" t="s">
        <v>102</v>
      </c>
      <c r="D73" s="192">
        <v>321</v>
      </c>
      <c r="E73" s="142" t="s">
        <v>45</v>
      </c>
      <c r="F73" s="143">
        <v>0</v>
      </c>
      <c r="G73" s="187">
        <v>0</v>
      </c>
      <c r="H73" s="61">
        <v>0</v>
      </c>
      <c r="I73" s="47">
        <v>0</v>
      </c>
      <c r="J73" s="117">
        <v>46141</v>
      </c>
      <c r="K73" s="118" t="s">
        <v>1203</v>
      </c>
      <c r="L73" s="151">
        <v>321</v>
      </c>
      <c r="M73" s="171" t="s">
        <v>45</v>
      </c>
      <c r="N73" s="172">
        <v>0</v>
      </c>
      <c r="O73" s="147">
        <f t="shared" si="14"/>
        <v>0</v>
      </c>
      <c r="P73" s="147">
        <f t="shared" si="19"/>
        <v>0</v>
      </c>
      <c r="Q73" s="47">
        <f t="shared" si="20"/>
        <v>0</v>
      </c>
      <c r="R73" s="188"/>
      <c r="S73" s="189"/>
      <c r="T73" s="189"/>
      <c r="U73" s="190"/>
      <c r="V73" s="190"/>
    </row>
    <row r="74" spans="1:22" s="57" customFormat="1" ht="27.75" customHeight="1">
      <c r="A74" s="22">
        <v>28</v>
      </c>
      <c r="B74" s="191" t="s">
        <v>163</v>
      </c>
      <c r="C74" s="140" t="s">
        <v>102</v>
      </c>
      <c r="D74" s="192">
        <v>160.5</v>
      </c>
      <c r="E74" s="142" t="s">
        <v>45</v>
      </c>
      <c r="F74" s="143">
        <v>0</v>
      </c>
      <c r="G74" s="187">
        <v>0</v>
      </c>
      <c r="H74" s="61">
        <v>0</v>
      </c>
      <c r="I74" s="47">
        <v>0</v>
      </c>
      <c r="J74" s="117">
        <v>46142</v>
      </c>
      <c r="K74" s="118" t="s">
        <v>1204</v>
      </c>
      <c r="L74" s="151">
        <v>160.5</v>
      </c>
      <c r="M74" s="171" t="s">
        <v>45</v>
      </c>
      <c r="N74" s="172">
        <v>0</v>
      </c>
      <c r="O74" s="147">
        <f t="shared" si="14"/>
        <v>0</v>
      </c>
      <c r="P74" s="147">
        <f t="shared" si="19"/>
        <v>0</v>
      </c>
      <c r="Q74" s="47">
        <f t="shared" si="20"/>
        <v>0</v>
      </c>
      <c r="R74" s="188"/>
      <c r="S74" s="189"/>
      <c r="T74" s="189"/>
      <c r="U74" s="190"/>
      <c r="V74" s="190"/>
    </row>
    <row r="75" spans="1:22" s="57" customFormat="1" ht="27.75" customHeight="1">
      <c r="A75" s="22">
        <v>29</v>
      </c>
      <c r="B75" s="170" t="s">
        <v>165</v>
      </c>
      <c r="C75" s="140" t="s">
        <v>102</v>
      </c>
      <c r="D75" s="141">
        <v>1070</v>
      </c>
      <c r="E75" s="142" t="s">
        <v>45</v>
      </c>
      <c r="F75" s="143">
        <v>0</v>
      </c>
      <c r="G75" s="45">
        <v>0</v>
      </c>
      <c r="H75" s="61">
        <v>0</v>
      </c>
      <c r="I75" s="47">
        <v>0</v>
      </c>
      <c r="J75" s="175">
        <v>46119</v>
      </c>
      <c r="K75" s="176" t="s">
        <v>1205</v>
      </c>
      <c r="L75" s="177">
        <v>1070</v>
      </c>
      <c r="M75" s="171" t="s">
        <v>45</v>
      </c>
      <c r="N75" s="172">
        <v>0</v>
      </c>
      <c r="O75" s="147">
        <f t="shared" si="14"/>
        <v>0</v>
      </c>
      <c r="P75" s="147">
        <f t="shared" si="19"/>
        <v>0</v>
      </c>
      <c r="Q75" s="47">
        <f t="shared" si="20"/>
        <v>0</v>
      </c>
      <c r="R75" s="146"/>
      <c r="S75" s="148"/>
      <c r="T75" s="148"/>
      <c r="U75" s="149"/>
      <c r="V75" s="149"/>
    </row>
    <row r="76" spans="1:22" s="57" customFormat="1" ht="27.75" customHeight="1">
      <c r="A76" s="22">
        <v>30</v>
      </c>
      <c r="B76" s="191" t="s">
        <v>167</v>
      </c>
      <c r="C76" s="140" t="s">
        <v>102</v>
      </c>
      <c r="D76" s="192">
        <v>535</v>
      </c>
      <c r="E76" s="142" t="s">
        <v>45</v>
      </c>
      <c r="F76" s="143">
        <v>0</v>
      </c>
      <c r="G76" s="187">
        <v>0</v>
      </c>
      <c r="H76" s="61">
        <v>0</v>
      </c>
      <c r="I76" s="47">
        <v>0</v>
      </c>
      <c r="J76" s="117">
        <v>46141</v>
      </c>
      <c r="K76" s="118" t="s">
        <v>1206</v>
      </c>
      <c r="L76" s="151">
        <v>535</v>
      </c>
      <c r="M76" s="171" t="s">
        <v>45</v>
      </c>
      <c r="N76" s="172">
        <v>0</v>
      </c>
      <c r="O76" s="147">
        <f t="shared" si="14"/>
        <v>0</v>
      </c>
      <c r="P76" s="147">
        <f t="shared" si="19"/>
        <v>0</v>
      </c>
      <c r="Q76" s="47">
        <f t="shared" si="20"/>
        <v>0</v>
      </c>
      <c r="R76" s="188"/>
      <c r="S76" s="189"/>
      <c r="T76" s="189"/>
      <c r="U76" s="190"/>
      <c r="V76" s="190"/>
    </row>
    <row r="77" spans="1:22" s="57" customFormat="1" ht="27.75" customHeight="1">
      <c r="A77" s="22">
        <v>31</v>
      </c>
      <c r="B77" s="170" t="s">
        <v>169</v>
      </c>
      <c r="C77" s="140" t="s">
        <v>102</v>
      </c>
      <c r="D77" s="173">
        <v>321</v>
      </c>
      <c r="E77" s="142" t="s">
        <v>45</v>
      </c>
      <c r="F77" s="143">
        <v>0</v>
      </c>
      <c r="G77" s="45">
        <v>0</v>
      </c>
      <c r="H77" s="61">
        <v>0</v>
      </c>
      <c r="I77" s="47">
        <v>0</v>
      </c>
      <c r="J77" s="175">
        <v>46141</v>
      </c>
      <c r="K77" s="176" t="s">
        <v>1207</v>
      </c>
      <c r="L77" s="177">
        <v>321</v>
      </c>
      <c r="M77" s="171" t="s">
        <v>45</v>
      </c>
      <c r="N77" s="172">
        <v>0</v>
      </c>
      <c r="O77" s="147">
        <f t="shared" si="14"/>
        <v>0</v>
      </c>
      <c r="P77" s="147">
        <f>ROUND((O77*0.07),2)</f>
        <v>0</v>
      </c>
      <c r="Q77" s="47">
        <f>+O77+P77</f>
        <v>0</v>
      </c>
      <c r="R77" s="146"/>
      <c r="S77" s="148"/>
      <c r="T77" s="148"/>
      <c r="U77" s="149"/>
      <c r="V77" s="149"/>
    </row>
    <row r="78" spans="1:22" s="57" customFormat="1" ht="27.75" customHeight="1">
      <c r="A78" s="22">
        <v>32</v>
      </c>
      <c r="B78" s="191" t="s">
        <v>171</v>
      </c>
      <c r="C78" s="140" t="s">
        <v>102</v>
      </c>
      <c r="D78" s="173">
        <v>963</v>
      </c>
      <c r="E78" s="142" t="s">
        <v>45</v>
      </c>
      <c r="F78" s="143">
        <v>0</v>
      </c>
      <c r="G78" s="187">
        <v>0</v>
      </c>
      <c r="H78" s="61">
        <v>0</v>
      </c>
      <c r="I78" s="47">
        <v>0</v>
      </c>
      <c r="J78" s="175">
        <v>46142</v>
      </c>
      <c r="K78" s="176" t="s">
        <v>1208</v>
      </c>
      <c r="L78" s="177">
        <v>963</v>
      </c>
      <c r="M78" s="171" t="s">
        <v>45</v>
      </c>
      <c r="N78" s="172">
        <v>0</v>
      </c>
      <c r="O78" s="147">
        <f t="shared" si="14"/>
        <v>0</v>
      </c>
      <c r="P78" s="147">
        <f t="shared" ref="P78:P81" si="21">ROUND((O78*0.07),2)</f>
        <v>0</v>
      </c>
      <c r="Q78" s="47">
        <f t="shared" ref="Q78:Q81" si="22">+O78+P78</f>
        <v>0</v>
      </c>
      <c r="R78" s="188"/>
      <c r="S78" s="189"/>
      <c r="T78" s="189"/>
      <c r="U78" s="190"/>
      <c r="V78" s="190"/>
    </row>
    <row r="79" spans="1:22" s="57" customFormat="1" ht="27.75" customHeight="1">
      <c r="A79" s="22">
        <v>33</v>
      </c>
      <c r="B79" s="191" t="s">
        <v>173</v>
      </c>
      <c r="C79" s="140" t="s">
        <v>102</v>
      </c>
      <c r="D79" s="173">
        <v>321</v>
      </c>
      <c r="E79" s="142" t="s">
        <v>45</v>
      </c>
      <c r="F79" s="143">
        <v>0</v>
      </c>
      <c r="G79" s="187">
        <v>0</v>
      </c>
      <c r="H79" s="61">
        <v>0</v>
      </c>
      <c r="I79" s="47">
        <v>0</v>
      </c>
      <c r="J79" s="175">
        <v>46113</v>
      </c>
      <c r="K79" s="176" t="s">
        <v>1209</v>
      </c>
      <c r="L79" s="177">
        <v>321</v>
      </c>
      <c r="M79" s="171" t="s">
        <v>45</v>
      </c>
      <c r="N79" s="172">
        <v>0</v>
      </c>
      <c r="O79" s="147">
        <f t="shared" si="14"/>
        <v>0</v>
      </c>
      <c r="P79" s="147">
        <f t="shared" si="21"/>
        <v>0</v>
      </c>
      <c r="Q79" s="47">
        <f t="shared" si="22"/>
        <v>0</v>
      </c>
      <c r="R79" s="188"/>
      <c r="S79" s="189"/>
      <c r="T79" s="189"/>
      <c r="U79" s="190"/>
      <c r="V79" s="190"/>
    </row>
    <row r="80" spans="1:22" s="57" customFormat="1" ht="27.75" customHeight="1">
      <c r="A80" s="22">
        <v>34</v>
      </c>
      <c r="B80" s="191" t="s">
        <v>175</v>
      </c>
      <c r="C80" s="140" t="s">
        <v>102</v>
      </c>
      <c r="D80" s="173">
        <v>321</v>
      </c>
      <c r="E80" s="142" t="s">
        <v>26</v>
      </c>
      <c r="F80" s="143">
        <v>0</v>
      </c>
      <c r="G80" s="187">
        <v>0</v>
      </c>
      <c r="H80" s="61">
        <v>0</v>
      </c>
      <c r="I80" s="47">
        <v>0</v>
      </c>
      <c r="J80" s="175">
        <v>46115</v>
      </c>
      <c r="K80" s="176" t="s">
        <v>1210</v>
      </c>
      <c r="L80" s="177">
        <v>321</v>
      </c>
      <c r="M80" s="171" t="s">
        <v>26</v>
      </c>
      <c r="N80" s="172">
        <v>0</v>
      </c>
      <c r="O80" s="147">
        <f t="shared" si="14"/>
        <v>0</v>
      </c>
      <c r="P80" s="147">
        <f t="shared" si="21"/>
        <v>0</v>
      </c>
      <c r="Q80" s="47">
        <f t="shared" si="22"/>
        <v>0</v>
      </c>
      <c r="R80" s="188"/>
      <c r="S80" s="189"/>
      <c r="T80" s="189"/>
      <c r="U80" s="190"/>
      <c r="V80" s="190"/>
    </row>
    <row r="81" spans="1:23" s="57" customFormat="1" ht="27.75" customHeight="1">
      <c r="A81" s="22">
        <v>35</v>
      </c>
      <c r="B81" s="191" t="s">
        <v>177</v>
      </c>
      <c r="C81" s="140" t="s">
        <v>102</v>
      </c>
      <c r="D81" s="192">
        <v>321</v>
      </c>
      <c r="E81" s="142" t="s">
        <v>45</v>
      </c>
      <c r="F81" s="143">
        <v>0</v>
      </c>
      <c r="G81" s="187">
        <v>0</v>
      </c>
      <c r="H81" s="61">
        <v>0</v>
      </c>
      <c r="I81" s="47">
        <v>0</v>
      </c>
      <c r="J81" s="117">
        <v>46141</v>
      </c>
      <c r="K81" s="118" t="s">
        <v>1211</v>
      </c>
      <c r="L81" s="151">
        <v>321</v>
      </c>
      <c r="M81" s="171" t="s">
        <v>45</v>
      </c>
      <c r="N81" s="172">
        <v>0</v>
      </c>
      <c r="O81" s="147">
        <f t="shared" si="14"/>
        <v>0</v>
      </c>
      <c r="P81" s="147">
        <f t="shared" si="21"/>
        <v>0</v>
      </c>
      <c r="Q81" s="47">
        <f t="shared" si="22"/>
        <v>0</v>
      </c>
      <c r="R81" s="188"/>
      <c r="S81" s="189"/>
      <c r="T81" s="189"/>
      <c r="U81" s="190"/>
      <c r="V81" s="190"/>
    </row>
    <row r="82" spans="1:23" ht="27.75" customHeight="1" thickBot="1">
      <c r="A82" s="193"/>
      <c r="B82" s="194" t="s">
        <v>22</v>
      </c>
      <c r="C82" s="195"/>
      <c r="D82" s="196">
        <f>SUM(D47:D81)</f>
        <v>12358.5</v>
      </c>
      <c r="E82" s="196"/>
      <c r="F82" s="197"/>
      <c r="G82" s="198">
        <f>SUM(G59)</f>
        <v>150</v>
      </c>
      <c r="H82" s="198">
        <f t="shared" ref="H82:I82" si="23">SUM(H59)</f>
        <v>10.5</v>
      </c>
      <c r="I82" s="198">
        <f t="shared" si="23"/>
        <v>160.5</v>
      </c>
      <c r="J82" s="199"/>
      <c r="K82" s="199"/>
      <c r="L82" s="196">
        <f>SUM(L47:L81)</f>
        <v>12037.5</v>
      </c>
      <c r="M82" s="200"/>
      <c r="N82" s="196"/>
      <c r="O82" s="198">
        <f>SUM(O47:O81)-O49-O56-O57-O63-O69-O72</f>
        <v>150</v>
      </c>
      <c r="P82" s="198">
        <f t="shared" ref="P82:Q82" si="24">SUM(P47:P81)-P49-P56-P57-P63-P69-P72</f>
        <v>10.499999999999986</v>
      </c>
      <c r="Q82" s="198">
        <f t="shared" si="24"/>
        <v>160.50000000000023</v>
      </c>
      <c r="R82" s="36"/>
      <c r="S82" s="37"/>
      <c r="T82" s="37"/>
      <c r="U82" s="38"/>
      <c r="V82" s="38"/>
      <c r="W82" s="38"/>
    </row>
    <row r="83" spans="1:23" ht="27.75" customHeight="1" thickTop="1">
      <c r="A83" s="22"/>
      <c r="B83" s="23" t="s">
        <v>179</v>
      </c>
      <c r="C83" s="24"/>
      <c r="D83" s="25"/>
      <c r="E83" s="26"/>
      <c r="F83" s="27"/>
      <c r="G83" s="28"/>
      <c r="H83" s="28"/>
      <c r="I83" s="28"/>
      <c r="J83" s="29"/>
      <c r="K83" s="30"/>
      <c r="L83" s="31"/>
      <c r="M83" s="32"/>
      <c r="N83" s="33"/>
      <c r="O83" s="34"/>
      <c r="P83" s="34"/>
      <c r="Q83" s="35"/>
      <c r="R83" s="36"/>
      <c r="S83" s="37"/>
      <c r="T83" s="37"/>
      <c r="U83" s="38"/>
      <c r="V83" s="38"/>
      <c r="W83" s="38"/>
    </row>
    <row r="84" spans="1:23" ht="27.75" customHeight="1">
      <c r="A84" s="94">
        <v>1</v>
      </c>
      <c r="B84" s="40" t="s">
        <v>180</v>
      </c>
      <c r="C84" s="41" t="s">
        <v>181</v>
      </c>
      <c r="D84" s="562">
        <v>160.5</v>
      </c>
      <c r="E84" s="43" t="s">
        <v>952</v>
      </c>
      <c r="F84" s="44">
        <v>1</v>
      </c>
      <c r="G84" s="45">
        <v>750</v>
      </c>
      <c r="H84" s="61">
        <v>52.5</v>
      </c>
      <c r="I84" s="47">
        <v>802.5</v>
      </c>
      <c r="J84" s="48">
        <v>46122</v>
      </c>
      <c r="K84" s="49" t="s">
        <v>1212</v>
      </c>
      <c r="L84" s="202">
        <v>802.5</v>
      </c>
      <c r="M84" s="83" t="s">
        <v>1109</v>
      </c>
      <c r="N84" s="39">
        <v>1</v>
      </c>
      <c r="O84" s="147">
        <f>+(D84*100/107)+G84-(L84*100/107)</f>
        <v>150</v>
      </c>
      <c r="P84" s="147">
        <f t="shared" ref="P84:P88" si="25">ROUND((O84*0.07),2)</f>
        <v>10.5</v>
      </c>
      <c r="Q84" s="47">
        <f t="shared" ref="Q84:Q88" si="26">+O84+P84</f>
        <v>160.5</v>
      </c>
      <c r="R84" s="116"/>
      <c r="S84" s="203"/>
      <c r="T84" s="203"/>
      <c r="U84" s="204"/>
      <c r="V84" s="204"/>
    </row>
    <row r="85" spans="1:23" ht="27.75" customHeight="1">
      <c r="A85" s="94">
        <v>2</v>
      </c>
      <c r="B85" s="40" t="s">
        <v>184</v>
      </c>
      <c r="C85" s="41" t="s">
        <v>181</v>
      </c>
      <c r="D85" s="562">
        <v>3370.5</v>
      </c>
      <c r="E85" s="43">
        <v>0</v>
      </c>
      <c r="F85" s="44">
        <v>0</v>
      </c>
      <c r="G85" s="45">
        <v>0</v>
      </c>
      <c r="H85" s="61">
        <v>0</v>
      </c>
      <c r="I85" s="47">
        <v>0</v>
      </c>
      <c r="J85" s="48">
        <v>46122</v>
      </c>
      <c r="K85" s="49" t="s">
        <v>1212</v>
      </c>
      <c r="L85" s="202">
        <v>3370.5</v>
      </c>
      <c r="M85" s="94" t="s">
        <v>45</v>
      </c>
      <c r="N85" s="116">
        <v>0</v>
      </c>
      <c r="O85" s="147">
        <f>+(D85*100/107)+G85-(L85*100/107)</f>
        <v>0</v>
      </c>
      <c r="P85" s="147">
        <f t="shared" si="25"/>
        <v>0</v>
      </c>
      <c r="Q85" s="47">
        <f t="shared" si="26"/>
        <v>0</v>
      </c>
      <c r="R85" s="116"/>
      <c r="S85" s="203"/>
      <c r="T85" s="203"/>
      <c r="U85" s="204"/>
      <c r="V85" s="204"/>
    </row>
    <row r="86" spans="1:23" ht="27.75" customHeight="1">
      <c r="A86" s="94">
        <v>3</v>
      </c>
      <c r="B86" s="205" t="s">
        <v>186</v>
      </c>
      <c r="C86" s="206" t="s">
        <v>181</v>
      </c>
      <c r="D86" s="563">
        <v>3370.5</v>
      </c>
      <c r="E86" s="64" t="s">
        <v>45</v>
      </c>
      <c r="F86" s="44">
        <v>0</v>
      </c>
      <c r="G86" s="45">
        <v>0</v>
      </c>
      <c r="H86" s="61">
        <v>0</v>
      </c>
      <c r="I86" s="47">
        <v>0</v>
      </c>
      <c r="J86" s="48">
        <v>46141</v>
      </c>
      <c r="K86" s="49" t="s">
        <v>1213</v>
      </c>
      <c r="L86" s="202">
        <v>3370.5</v>
      </c>
      <c r="M86" s="186" t="s">
        <v>45</v>
      </c>
      <c r="N86" s="116">
        <v>0</v>
      </c>
      <c r="O86" s="147">
        <f>+(D86*100/107)+G86-(L86*100/107)</f>
        <v>0</v>
      </c>
      <c r="P86" s="147">
        <f t="shared" si="25"/>
        <v>0</v>
      </c>
      <c r="Q86" s="47">
        <f t="shared" si="26"/>
        <v>0</v>
      </c>
      <c r="R86" s="116"/>
      <c r="S86" s="203"/>
      <c r="T86" s="203"/>
      <c r="U86" s="204"/>
      <c r="V86" s="204"/>
    </row>
    <row r="87" spans="1:23" ht="27.75" customHeight="1">
      <c r="A87" s="186">
        <v>4</v>
      </c>
      <c r="B87" s="205" t="s">
        <v>188</v>
      </c>
      <c r="C87" s="206" t="s">
        <v>181</v>
      </c>
      <c r="D87" s="563">
        <v>2140</v>
      </c>
      <c r="E87" s="64" t="s">
        <v>26</v>
      </c>
      <c r="F87" s="44">
        <v>0</v>
      </c>
      <c r="G87" s="45">
        <v>0</v>
      </c>
      <c r="H87" s="45">
        <v>0</v>
      </c>
      <c r="I87" s="66">
        <v>0</v>
      </c>
      <c r="J87" s="48">
        <v>46113</v>
      </c>
      <c r="K87" s="49" t="s">
        <v>1214</v>
      </c>
      <c r="L87" s="202">
        <v>2140</v>
      </c>
      <c r="M87" s="186" t="s">
        <v>26</v>
      </c>
      <c r="N87" s="116">
        <v>0</v>
      </c>
      <c r="O87" s="147">
        <f>+(D87*100/107)+G87-(L87*100/107)</f>
        <v>0</v>
      </c>
      <c r="P87" s="147">
        <f t="shared" si="25"/>
        <v>0</v>
      </c>
      <c r="Q87" s="47">
        <f t="shared" si="26"/>
        <v>0</v>
      </c>
      <c r="R87" s="116"/>
      <c r="S87" s="203"/>
      <c r="T87" s="203"/>
      <c r="U87" s="204"/>
      <c r="V87" s="204"/>
    </row>
    <row r="88" spans="1:23" s="220" customFormat="1" ht="27.75" customHeight="1">
      <c r="A88" s="186">
        <v>5</v>
      </c>
      <c r="B88" s="208" t="s">
        <v>71</v>
      </c>
      <c r="C88" s="209" t="s">
        <v>181</v>
      </c>
      <c r="D88" s="564">
        <v>2675</v>
      </c>
      <c r="E88" s="211" t="s">
        <v>1063</v>
      </c>
      <c r="F88" s="212">
        <v>-0.5</v>
      </c>
      <c r="G88" s="213">
        <v>-1250</v>
      </c>
      <c r="H88" s="213">
        <v>-87.5</v>
      </c>
      <c r="I88" s="214">
        <v>-1337.5</v>
      </c>
      <c r="J88" s="62">
        <v>46135</v>
      </c>
      <c r="K88" s="215" t="s">
        <v>1215</v>
      </c>
      <c r="L88" s="202">
        <v>2675</v>
      </c>
      <c r="M88" s="216" t="s">
        <v>1173</v>
      </c>
      <c r="N88" s="217">
        <v>-0.5</v>
      </c>
      <c r="O88" s="147">
        <f>+(D88*100/107)+G88-(L88*100/107)</f>
        <v>-1250</v>
      </c>
      <c r="P88" s="147">
        <f t="shared" si="25"/>
        <v>-87.5</v>
      </c>
      <c r="Q88" s="47">
        <f t="shared" si="26"/>
        <v>-1337.5</v>
      </c>
      <c r="R88" s="217"/>
      <c r="S88" s="218"/>
      <c r="T88" s="218"/>
      <c r="U88" s="219"/>
      <c r="V88" s="219"/>
    </row>
    <row r="89" spans="1:23" ht="27.75" customHeight="1" thickBot="1">
      <c r="A89" s="193"/>
      <c r="B89" s="194" t="s">
        <v>22</v>
      </c>
      <c r="C89" s="195"/>
      <c r="D89" s="196">
        <f>SUM(D84:D88)</f>
        <v>11716.5</v>
      </c>
      <c r="E89" s="221"/>
      <c r="F89" s="197"/>
      <c r="G89" s="198">
        <f>SUM(G84:G88)-G88</f>
        <v>750</v>
      </c>
      <c r="H89" s="198">
        <f t="shared" ref="H89:I89" si="27">SUM(H84:H88)-H88</f>
        <v>52.5</v>
      </c>
      <c r="I89" s="198">
        <f t="shared" si="27"/>
        <v>802.5</v>
      </c>
      <c r="J89" s="199"/>
      <c r="K89" s="199"/>
      <c r="L89" s="196">
        <f>SUM(L84:L88)</f>
        <v>12358.5</v>
      </c>
      <c r="M89" s="200"/>
      <c r="N89" s="196"/>
      <c r="O89" s="198">
        <f>SUM(O84:O87)</f>
        <v>150</v>
      </c>
      <c r="P89" s="198">
        <f>SUM(P84:P87)</f>
        <v>10.5</v>
      </c>
      <c r="Q89" s="198">
        <f t="shared" ref="Q89" si="28">ROUND(SUM(Q84:Q88),2)-Q88</f>
        <v>160.5</v>
      </c>
      <c r="R89" s="36"/>
      <c r="S89" s="37"/>
      <c r="T89" s="37"/>
      <c r="U89" s="38"/>
      <c r="V89" s="38"/>
      <c r="W89" s="38"/>
    </row>
    <row r="90" spans="1:23" ht="27.75" customHeight="1" thickTop="1">
      <c r="A90" s="22"/>
      <c r="B90" s="23" t="s">
        <v>191</v>
      </c>
      <c r="C90" s="24"/>
      <c r="D90" s="25"/>
      <c r="E90" s="26"/>
      <c r="F90" s="27"/>
      <c r="G90" s="28"/>
      <c r="H90" s="28"/>
      <c r="I90" s="28"/>
      <c r="J90" s="29"/>
      <c r="K90" s="30"/>
      <c r="L90" s="31"/>
      <c r="M90" s="32"/>
      <c r="N90" s="33"/>
      <c r="O90" s="34"/>
      <c r="P90" s="34"/>
      <c r="Q90" s="35"/>
      <c r="R90" s="36"/>
      <c r="S90" s="37"/>
      <c r="T90" s="37"/>
      <c r="U90" s="38"/>
      <c r="V90" s="38"/>
      <c r="W90" s="38"/>
    </row>
    <row r="91" spans="1:23" ht="27.75" customHeight="1">
      <c r="A91" s="94">
        <v>1</v>
      </c>
      <c r="B91" s="40" t="s">
        <v>192</v>
      </c>
      <c r="C91" s="41" t="s">
        <v>193</v>
      </c>
      <c r="D91" s="141">
        <v>2140</v>
      </c>
      <c r="E91" s="43"/>
      <c r="F91" s="44"/>
      <c r="G91" s="45">
        <v>0</v>
      </c>
      <c r="H91" s="61">
        <v>0</v>
      </c>
      <c r="I91" s="47">
        <v>0</v>
      </c>
      <c r="J91" s="175">
        <v>46117</v>
      </c>
      <c r="K91" s="176" t="s">
        <v>1216</v>
      </c>
      <c r="L91" s="222">
        <v>2140</v>
      </c>
      <c r="M91" s="94" t="s">
        <v>45</v>
      </c>
      <c r="N91" s="116">
        <v>0</v>
      </c>
      <c r="O91" s="147">
        <v>0</v>
      </c>
      <c r="P91" s="147">
        <v>0</v>
      </c>
      <c r="Q91" s="47">
        <v>0</v>
      </c>
      <c r="R91" s="39" t="s">
        <v>195</v>
      </c>
      <c r="S91" s="55">
        <v>42491</v>
      </c>
      <c r="T91" s="55">
        <v>43585</v>
      </c>
      <c r="U91" s="56">
        <v>262800</v>
      </c>
      <c r="V91" s="56"/>
    </row>
    <row r="92" spans="1:23" ht="27.75" customHeight="1" thickBot="1">
      <c r="A92" s="193"/>
      <c r="B92" s="194" t="s">
        <v>22</v>
      </c>
      <c r="C92" s="195"/>
      <c r="D92" s="196">
        <v>2140</v>
      </c>
      <c r="E92" s="221"/>
      <c r="F92" s="197"/>
      <c r="G92" s="198">
        <v>0</v>
      </c>
      <c r="H92" s="198">
        <v>0</v>
      </c>
      <c r="I92" s="198">
        <v>0</v>
      </c>
      <c r="J92" s="199"/>
      <c r="K92" s="199"/>
      <c r="L92" s="196">
        <f>SUM(L91)</f>
        <v>2140</v>
      </c>
      <c r="M92" s="200"/>
      <c r="N92" s="196"/>
      <c r="O92" s="198">
        <v>0</v>
      </c>
      <c r="P92" s="198">
        <v>0</v>
      </c>
      <c r="Q92" s="198">
        <v>0</v>
      </c>
      <c r="R92" s="36"/>
      <c r="S92" s="37"/>
      <c r="T92" s="37"/>
      <c r="U92" s="38"/>
      <c r="V92" s="38"/>
      <c r="W92" s="38"/>
    </row>
    <row r="93" spans="1:23" ht="27.75" customHeight="1" thickTop="1">
      <c r="A93" s="22"/>
      <c r="B93" s="23" t="s">
        <v>196</v>
      </c>
      <c r="C93" s="24"/>
      <c r="D93" s="25"/>
      <c r="E93" s="26"/>
      <c r="F93" s="27"/>
      <c r="G93" s="28"/>
      <c r="H93" s="28"/>
      <c r="I93" s="28"/>
      <c r="J93" s="29"/>
      <c r="K93" s="30"/>
      <c r="L93" s="31"/>
      <c r="M93" s="32"/>
      <c r="N93" s="33"/>
      <c r="O93" s="34"/>
      <c r="P93" s="34"/>
      <c r="Q93" s="35"/>
      <c r="R93" s="36"/>
      <c r="S93" s="37"/>
      <c r="T93" s="37"/>
      <c r="U93" s="38"/>
      <c r="V93" s="38"/>
      <c r="W93" s="38"/>
    </row>
    <row r="94" spans="1:23" s="226" customFormat="1" ht="27.75" customHeight="1">
      <c r="A94" s="94"/>
      <c r="B94" s="223" t="s">
        <v>197</v>
      </c>
      <c r="C94" s="224"/>
      <c r="D94" s="225"/>
      <c r="E94" s="80"/>
      <c r="F94" s="44"/>
      <c r="G94" s="61"/>
      <c r="H94" s="61"/>
      <c r="I94" s="85"/>
      <c r="J94" s="178"/>
      <c r="K94" s="176"/>
      <c r="L94" s="222"/>
      <c r="M94" s="83"/>
      <c r="N94" s="116"/>
      <c r="O94" s="147"/>
      <c r="P94" s="147"/>
      <c r="Q94" s="47"/>
      <c r="R94" s="39"/>
      <c r="S94" s="55"/>
      <c r="T94" s="55"/>
      <c r="U94" s="56"/>
      <c r="V94" s="56"/>
    </row>
    <row r="95" spans="1:23" s="226" customFormat="1" ht="27.75" customHeight="1">
      <c r="A95" s="94">
        <v>1</v>
      </c>
      <c r="B95" s="181" t="s">
        <v>198</v>
      </c>
      <c r="C95" s="224" t="s">
        <v>199</v>
      </c>
      <c r="D95" s="225">
        <v>26750</v>
      </c>
      <c r="E95" s="80" t="s">
        <v>26</v>
      </c>
      <c r="F95" s="44">
        <v>0</v>
      </c>
      <c r="G95" s="61">
        <v>0</v>
      </c>
      <c r="H95" s="61">
        <v>0</v>
      </c>
      <c r="I95" s="85">
        <v>0</v>
      </c>
      <c r="J95" s="113">
        <v>46118</v>
      </c>
      <c r="K95" s="114" t="s">
        <v>1217</v>
      </c>
      <c r="L95" s="144">
        <v>26750</v>
      </c>
      <c r="M95" s="83" t="s">
        <v>26</v>
      </c>
      <c r="N95" s="116">
        <v>0</v>
      </c>
      <c r="O95" s="147">
        <f t="shared" ref="O95:O107" si="29">+(D95*100/107)+G95-(L95*100/107)</f>
        <v>0</v>
      </c>
      <c r="P95" s="147">
        <f t="shared" ref="P95:P107" si="30">ROUND((O95*0.07),2)</f>
        <v>0</v>
      </c>
      <c r="Q95" s="47">
        <f t="shared" ref="Q95:Q107" si="31">+O95+P95</f>
        <v>0</v>
      </c>
      <c r="R95" s="39"/>
      <c r="S95" s="55"/>
      <c r="T95" s="55"/>
      <c r="U95" s="56"/>
      <c r="V95" s="56"/>
    </row>
    <row r="96" spans="1:23" s="226" customFormat="1" ht="27.75" customHeight="1">
      <c r="A96" s="94">
        <v>2</v>
      </c>
      <c r="B96" s="181" t="s">
        <v>201</v>
      </c>
      <c r="C96" s="224" t="s">
        <v>202</v>
      </c>
      <c r="D96" s="225">
        <v>0</v>
      </c>
      <c r="E96" s="80" t="s">
        <v>26</v>
      </c>
      <c r="F96" s="44">
        <v>0</v>
      </c>
      <c r="G96" s="61">
        <v>0</v>
      </c>
      <c r="H96" s="61">
        <v>0</v>
      </c>
      <c r="I96" s="85">
        <v>0</v>
      </c>
      <c r="J96" s="113"/>
      <c r="K96" s="114"/>
      <c r="L96" s="144">
        <v>0</v>
      </c>
      <c r="M96" s="83" t="s">
        <v>26</v>
      </c>
      <c r="N96" s="116">
        <v>0</v>
      </c>
      <c r="O96" s="147">
        <f t="shared" si="29"/>
        <v>0</v>
      </c>
      <c r="P96" s="147">
        <f t="shared" si="30"/>
        <v>0</v>
      </c>
      <c r="Q96" s="47">
        <f t="shared" si="31"/>
        <v>0</v>
      </c>
      <c r="R96" s="39"/>
      <c r="S96" s="55"/>
      <c r="T96" s="55"/>
      <c r="U96" s="56"/>
      <c r="V96" s="226" t="s">
        <v>203</v>
      </c>
    </row>
    <row r="97" spans="1:25" s="226" customFormat="1" ht="27.75" customHeight="1">
      <c r="A97" s="94">
        <v>3</v>
      </c>
      <c r="B97" s="181" t="s">
        <v>204</v>
      </c>
      <c r="C97" s="224" t="s">
        <v>205</v>
      </c>
      <c r="D97" s="225">
        <v>22470</v>
      </c>
      <c r="E97" s="80" t="s">
        <v>45</v>
      </c>
      <c r="F97" s="44">
        <v>0</v>
      </c>
      <c r="G97" s="61">
        <v>0</v>
      </c>
      <c r="H97" s="61">
        <v>0</v>
      </c>
      <c r="I97" s="85">
        <v>0</v>
      </c>
      <c r="J97" s="113">
        <v>46135</v>
      </c>
      <c r="K97" s="114" t="s">
        <v>1218</v>
      </c>
      <c r="L97" s="144">
        <v>22470</v>
      </c>
      <c r="M97" s="83" t="s">
        <v>45</v>
      </c>
      <c r="N97" s="116">
        <v>0</v>
      </c>
      <c r="O97" s="147">
        <f t="shared" si="29"/>
        <v>0</v>
      </c>
      <c r="P97" s="147">
        <f t="shared" si="30"/>
        <v>0</v>
      </c>
      <c r="Q97" s="47">
        <f t="shared" si="31"/>
        <v>0</v>
      </c>
      <c r="R97" s="39"/>
      <c r="S97" s="55"/>
      <c r="T97" s="55"/>
      <c r="U97" s="56"/>
      <c r="V97" s="56"/>
    </row>
    <row r="98" spans="1:25" s="226" customFormat="1" ht="27.75" customHeight="1">
      <c r="A98" s="94">
        <v>4</v>
      </c>
      <c r="B98" s="181" t="s">
        <v>204</v>
      </c>
      <c r="C98" s="224" t="s">
        <v>207</v>
      </c>
      <c r="D98" s="225">
        <v>22470</v>
      </c>
      <c r="E98" s="80" t="s">
        <v>45</v>
      </c>
      <c r="F98" s="44">
        <v>0</v>
      </c>
      <c r="G98" s="61">
        <v>0</v>
      </c>
      <c r="H98" s="61">
        <v>0</v>
      </c>
      <c r="I98" s="85">
        <v>0</v>
      </c>
      <c r="J98" s="113">
        <v>46135</v>
      </c>
      <c r="K98" s="114" t="s">
        <v>1218</v>
      </c>
      <c r="L98" s="144">
        <v>22470</v>
      </c>
      <c r="M98" s="83" t="s">
        <v>45</v>
      </c>
      <c r="N98" s="116">
        <v>0</v>
      </c>
      <c r="O98" s="147">
        <f t="shared" si="29"/>
        <v>0</v>
      </c>
      <c r="P98" s="147">
        <f t="shared" si="30"/>
        <v>0</v>
      </c>
      <c r="Q98" s="47">
        <f t="shared" si="31"/>
        <v>0</v>
      </c>
      <c r="R98" s="39"/>
      <c r="S98" s="55"/>
      <c r="T98" s="55"/>
      <c r="U98" s="56"/>
      <c r="V98" s="56"/>
    </row>
    <row r="99" spans="1:25" s="226" customFormat="1" ht="27.75" customHeight="1">
      <c r="A99" s="94">
        <v>5</v>
      </c>
      <c r="B99" s="181" t="s">
        <v>201</v>
      </c>
      <c r="C99" s="224" t="s">
        <v>208</v>
      </c>
      <c r="D99" s="225">
        <v>0</v>
      </c>
      <c r="E99" s="80" t="s">
        <v>26</v>
      </c>
      <c r="F99" s="44">
        <v>0</v>
      </c>
      <c r="G99" s="61">
        <v>0</v>
      </c>
      <c r="H99" s="61">
        <v>0</v>
      </c>
      <c r="I99" s="85">
        <v>0</v>
      </c>
      <c r="J99" s="113"/>
      <c r="K99" s="114"/>
      <c r="L99" s="144">
        <v>0</v>
      </c>
      <c r="M99" s="83" t="s">
        <v>26</v>
      </c>
      <c r="N99" s="116">
        <v>0</v>
      </c>
      <c r="O99" s="147">
        <f t="shared" si="29"/>
        <v>0</v>
      </c>
      <c r="P99" s="147">
        <f t="shared" si="30"/>
        <v>0</v>
      </c>
      <c r="Q99" s="47">
        <f t="shared" si="31"/>
        <v>0</v>
      </c>
      <c r="R99" s="39"/>
      <c r="S99" s="55"/>
      <c r="T99" s="55"/>
      <c r="U99" s="56"/>
      <c r="V99" s="56"/>
    </row>
    <row r="100" spans="1:25" s="226" customFormat="1" ht="27.75" customHeight="1">
      <c r="A100" s="94">
        <v>6</v>
      </c>
      <c r="B100" s="181" t="s">
        <v>201</v>
      </c>
      <c r="C100" s="224" t="s">
        <v>209</v>
      </c>
      <c r="D100" s="225">
        <v>0</v>
      </c>
      <c r="E100" s="80" t="s">
        <v>26</v>
      </c>
      <c r="F100" s="44">
        <v>0</v>
      </c>
      <c r="G100" s="61">
        <v>0</v>
      </c>
      <c r="H100" s="61">
        <v>0</v>
      </c>
      <c r="I100" s="85">
        <v>0</v>
      </c>
      <c r="J100" s="113"/>
      <c r="K100" s="114"/>
      <c r="L100" s="144">
        <v>0</v>
      </c>
      <c r="M100" s="83" t="s">
        <v>26</v>
      </c>
      <c r="N100" s="116">
        <v>0</v>
      </c>
      <c r="O100" s="147">
        <f t="shared" si="29"/>
        <v>0</v>
      </c>
      <c r="P100" s="147">
        <f t="shared" si="30"/>
        <v>0</v>
      </c>
      <c r="Q100" s="47">
        <f t="shared" si="31"/>
        <v>0</v>
      </c>
      <c r="R100" s="39"/>
      <c r="S100" s="55"/>
      <c r="T100" s="55"/>
      <c r="U100" s="56"/>
      <c r="V100" s="56"/>
    </row>
    <row r="101" spans="1:25" s="226" customFormat="1" ht="27.75" customHeight="1">
      <c r="A101" s="94">
        <v>7</v>
      </c>
      <c r="B101" s="181" t="s">
        <v>210</v>
      </c>
      <c r="C101" s="224" t="s">
        <v>211</v>
      </c>
      <c r="D101" s="225">
        <v>22470</v>
      </c>
      <c r="E101" s="80" t="s">
        <v>1109</v>
      </c>
      <c r="F101" s="44">
        <v>-0.934579439252336</v>
      </c>
      <c r="G101" s="61">
        <v>-21000</v>
      </c>
      <c r="H101" s="61">
        <v>-1470</v>
      </c>
      <c r="I101" s="85">
        <v>-22470</v>
      </c>
      <c r="J101" s="113">
        <v>46141</v>
      </c>
      <c r="K101" s="114" t="s">
        <v>1219</v>
      </c>
      <c r="L101" s="144">
        <v>22470</v>
      </c>
      <c r="M101" s="87" t="s">
        <v>1161</v>
      </c>
      <c r="N101" s="116">
        <v>-0.934579439252336</v>
      </c>
      <c r="O101" s="147">
        <f t="shared" si="29"/>
        <v>-21000</v>
      </c>
      <c r="P101" s="147">
        <f t="shared" si="30"/>
        <v>-1470</v>
      </c>
      <c r="Q101" s="47">
        <f t="shared" si="31"/>
        <v>-22470</v>
      </c>
      <c r="R101" s="39"/>
      <c r="S101" s="55"/>
      <c r="T101" s="55"/>
      <c r="U101" s="56"/>
      <c r="V101" s="56"/>
    </row>
    <row r="102" spans="1:25" s="226" customFormat="1" ht="27.75" customHeight="1">
      <c r="A102" s="94">
        <v>8</v>
      </c>
      <c r="B102" s="181" t="s">
        <v>201</v>
      </c>
      <c r="C102" s="224" t="s">
        <v>213</v>
      </c>
      <c r="D102" s="225">
        <v>0</v>
      </c>
      <c r="E102" s="80" t="s">
        <v>26</v>
      </c>
      <c r="F102" s="44">
        <v>0</v>
      </c>
      <c r="G102" s="61">
        <v>0</v>
      </c>
      <c r="H102" s="61">
        <v>0</v>
      </c>
      <c r="I102" s="85">
        <v>0</v>
      </c>
      <c r="J102" s="113"/>
      <c r="K102" s="114"/>
      <c r="L102" s="144">
        <v>0</v>
      </c>
      <c r="M102" s="83" t="s">
        <v>26</v>
      </c>
      <c r="N102" s="116">
        <v>0</v>
      </c>
      <c r="O102" s="147">
        <f t="shared" si="29"/>
        <v>0</v>
      </c>
      <c r="P102" s="147">
        <f t="shared" si="30"/>
        <v>0</v>
      </c>
      <c r="Q102" s="47">
        <f t="shared" si="31"/>
        <v>0</v>
      </c>
      <c r="R102" s="39"/>
      <c r="S102" s="55"/>
      <c r="T102" s="55"/>
      <c r="U102" s="56"/>
      <c r="V102" s="56"/>
    </row>
    <row r="103" spans="1:25" s="226" customFormat="1" ht="27.75" customHeight="1">
      <c r="A103" s="94">
        <v>9</v>
      </c>
      <c r="B103" s="181" t="s">
        <v>214</v>
      </c>
      <c r="C103" s="224" t="s">
        <v>215</v>
      </c>
      <c r="D103" s="225">
        <v>22470</v>
      </c>
      <c r="E103" s="80" t="s">
        <v>26</v>
      </c>
      <c r="F103" s="44">
        <v>0</v>
      </c>
      <c r="G103" s="61">
        <v>0</v>
      </c>
      <c r="H103" s="61">
        <v>0</v>
      </c>
      <c r="I103" s="85">
        <v>0</v>
      </c>
      <c r="J103" s="113">
        <v>46115</v>
      </c>
      <c r="K103" s="114" t="s">
        <v>1220</v>
      </c>
      <c r="L103" s="144">
        <v>22470</v>
      </c>
      <c r="M103" s="83" t="s">
        <v>26</v>
      </c>
      <c r="N103" s="116">
        <v>0</v>
      </c>
      <c r="O103" s="147">
        <f t="shared" si="29"/>
        <v>0</v>
      </c>
      <c r="P103" s="147">
        <f t="shared" si="30"/>
        <v>0</v>
      </c>
      <c r="Q103" s="47">
        <f t="shared" si="31"/>
        <v>0</v>
      </c>
      <c r="R103" s="39"/>
      <c r="S103" s="55"/>
      <c r="T103" s="55"/>
      <c r="U103" s="56"/>
      <c r="V103" s="56"/>
    </row>
    <row r="104" spans="1:25" s="226" customFormat="1" ht="27.75" customHeight="1">
      <c r="A104" s="94">
        <v>10</v>
      </c>
      <c r="B104" s="181" t="s">
        <v>217</v>
      </c>
      <c r="C104" s="224" t="s">
        <v>218</v>
      </c>
      <c r="D104" s="225">
        <v>0</v>
      </c>
      <c r="E104" s="80" t="s">
        <v>26</v>
      </c>
      <c r="F104" s="44">
        <v>0</v>
      </c>
      <c r="G104" s="61">
        <v>0</v>
      </c>
      <c r="H104" s="61">
        <v>0</v>
      </c>
      <c r="I104" s="85">
        <v>0</v>
      </c>
      <c r="J104" s="113"/>
      <c r="K104" s="114"/>
      <c r="L104" s="144">
        <v>0</v>
      </c>
      <c r="M104" s="83" t="s">
        <v>26</v>
      </c>
      <c r="N104" s="116">
        <v>0</v>
      </c>
      <c r="O104" s="147">
        <f t="shared" si="29"/>
        <v>0</v>
      </c>
      <c r="P104" s="147">
        <f t="shared" si="30"/>
        <v>0</v>
      </c>
      <c r="Q104" s="47">
        <f t="shared" si="31"/>
        <v>0</v>
      </c>
      <c r="R104" s="39"/>
      <c r="S104" s="55"/>
      <c r="T104" s="55"/>
      <c r="U104" s="56"/>
      <c r="V104" s="56"/>
      <c r="Y104" s="593" t="s">
        <v>1223</v>
      </c>
    </row>
    <row r="105" spans="1:25" s="226" customFormat="1" ht="27.75" customHeight="1">
      <c r="A105" s="94">
        <v>11</v>
      </c>
      <c r="B105" s="181" t="s">
        <v>217</v>
      </c>
      <c r="C105" s="224" t="s">
        <v>220</v>
      </c>
      <c r="D105" s="225">
        <v>22470</v>
      </c>
      <c r="E105" s="80" t="s">
        <v>26</v>
      </c>
      <c r="F105" s="44">
        <v>0</v>
      </c>
      <c r="G105" s="61">
        <v>0</v>
      </c>
      <c r="H105" s="61">
        <v>0</v>
      </c>
      <c r="I105" s="85">
        <v>0</v>
      </c>
      <c r="J105" s="113">
        <v>46130</v>
      </c>
      <c r="K105" s="114" t="s">
        <v>1221</v>
      </c>
      <c r="L105" s="144">
        <v>22470</v>
      </c>
      <c r="M105" s="83" t="s">
        <v>26</v>
      </c>
      <c r="N105" s="116">
        <v>0</v>
      </c>
      <c r="O105" s="147">
        <f t="shared" si="29"/>
        <v>0</v>
      </c>
      <c r="P105" s="147">
        <f t="shared" si="30"/>
        <v>0</v>
      </c>
      <c r="Q105" s="47">
        <f t="shared" si="31"/>
        <v>0</v>
      </c>
      <c r="R105" s="39"/>
      <c r="S105" s="55"/>
      <c r="T105" s="55"/>
      <c r="U105" s="56"/>
      <c r="V105" s="56"/>
    </row>
    <row r="106" spans="1:25" s="226" customFormat="1" ht="27.75" customHeight="1">
      <c r="A106" s="94">
        <v>12</v>
      </c>
      <c r="B106" s="181" t="s">
        <v>217</v>
      </c>
      <c r="C106" s="224" t="s">
        <v>221</v>
      </c>
      <c r="D106" s="225">
        <v>22470</v>
      </c>
      <c r="E106" s="80" t="s">
        <v>26</v>
      </c>
      <c r="F106" s="44">
        <v>0</v>
      </c>
      <c r="G106" s="61">
        <v>0</v>
      </c>
      <c r="H106" s="61">
        <v>0</v>
      </c>
      <c r="I106" s="85">
        <v>0</v>
      </c>
      <c r="J106" s="113">
        <v>46130</v>
      </c>
      <c r="K106" s="114" t="s">
        <v>1221</v>
      </c>
      <c r="L106" s="144">
        <v>22470</v>
      </c>
      <c r="M106" s="83" t="s">
        <v>26</v>
      </c>
      <c r="N106" s="116">
        <v>0</v>
      </c>
      <c r="O106" s="147">
        <f t="shared" si="29"/>
        <v>0</v>
      </c>
      <c r="P106" s="147">
        <f t="shared" si="30"/>
        <v>0</v>
      </c>
      <c r="Q106" s="47">
        <f t="shared" si="31"/>
        <v>0</v>
      </c>
      <c r="R106" s="39"/>
      <c r="S106" s="55"/>
      <c r="T106" s="55"/>
      <c r="U106" s="56"/>
      <c r="V106" s="56"/>
    </row>
    <row r="107" spans="1:25" s="226" customFormat="1" ht="27.75" customHeight="1">
      <c r="A107" s="186">
        <v>13</v>
      </c>
      <c r="B107" s="181" t="s">
        <v>222</v>
      </c>
      <c r="C107" s="227" t="s">
        <v>223</v>
      </c>
      <c r="D107" s="228">
        <v>32100</v>
      </c>
      <c r="E107" s="123" t="s">
        <v>26</v>
      </c>
      <c r="F107" s="44">
        <v>0</v>
      </c>
      <c r="G107" s="45">
        <v>0</v>
      </c>
      <c r="H107" s="45">
        <v>0</v>
      </c>
      <c r="I107" s="229">
        <v>0</v>
      </c>
      <c r="J107" s="230">
        <v>46114</v>
      </c>
      <c r="K107" s="184" t="s">
        <v>1222</v>
      </c>
      <c r="L107" s="231">
        <v>32100</v>
      </c>
      <c r="M107" s="232" t="s">
        <v>26</v>
      </c>
      <c r="N107" s="116">
        <v>0</v>
      </c>
      <c r="O107" s="233">
        <f t="shared" si="29"/>
        <v>0</v>
      </c>
      <c r="P107" s="233">
        <f t="shared" si="30"/>
        <v>0</v>
      </c>
      <c r="Q107" s="66">
        <f t="shared" si="31"/>
        <v>0</v>
      </c>
      <c r="R107" s="39"/>
      <c r="S107" s="55"/>
      <c r="T107" s="55"/>
      <c r="U107" s="56"/>
      <c r="V107" s="56" t="s">
        <v>225</v>
      </c>
    </row>
    <row r="108" spans="1:25" s="226" customFormat="1" ht="27.75" customHeight="1" thickBot="1">
      <c r="A108" s="234"/>
      <c r="B108" s="194" t="s">
        <v>22</v>
      </c>
      <c r="C108" s="235"/>
      <c r="D108" s="236">
        <f>SUM(D95:D107)</f>
        <v>193670</v>
      </c>
      <c r="E108" s="237"/>
      <c r="F108" s="238"/>
      <c r="G108" s="239"/>
      <c r="H108" s="239"/>
      <c r="I108" s="240"/>
      <c r="J108" s="241"/>
      <c r="K108" s="234"/>
      <c r="L108" s="236">
        <f>SUM(L95:L107)</f>
        <v>193670</v>
      </c>
      <c r="M108" s="234"/>
      <c r="N108" s="242"/>
      <c r="O108" s="243"/>
      <c r="P108" s="243"/>
      <c r="Q108" s="240"/>
      <c r="R108" s="39"/>
      <c r="S108" s="55"/>
      <c r="T108" s="55"/>
      <c r="U108" s="56"/>
      <c r="V108" s="56"/>
    </row>
    <row r="109" spans="1:25" s="226" customFormat="1" ht="27.75" customHeight="1" thickTop="1">
      <c r="A109" s="83"/>
      <c r="B109" s="244" t="s">
        <v>226</v>
      </c>
      <c r="C109" s="245"/>
      <c r="D109" s="246"/>
      <c r="E109" s="80"/>
      <c r="F109" s="126"/>
      <c r="G109" s="46"/>
      <c r="H109" s="46"/>
      <c r="I109" s="247"/>
      <c r="J109" s="248"/>
      <c r="K109" s="249"/>
      <c r="L109" s="250"/>
      <c r="M109" s="83"/>
      <c r="N109" s="251"/>
      <c r="O109" s="252"/>
      <c r="P109" s="252"/>
      <c r="Q109" s="85"/>
      <c r="R109" s="39"/>
      <c r="S109" s="55"/>
      <c r="T109" s="55"/>
      <c r="U109" s="56"/>
      <c r="V109" s="56"/>
    </row>
    <row r="110" spans="1:25" s="226" customFormat="1" ht="27.75" customHeight="1">
      <c r="A110" s="94">
        <v>1</v>
      </c>
      <c r="B110" s="41" t="s">
        <v>227</v>
      </c>
      <c r="C110" s="224" t="s">
        <v>228</v>
      </c>
      <c r="D110" s="225">
        <v>22470</v>
      </c>
      <c r="E110" s="80" t="s">
        <v>26</v>
      </c>
      <c r="F110" s="44">
        <v>0</v>
      </c>
      <c r="G110" s="61">
        <v>0</v>
      </c>
      <c r="H110" s="61">
        <v>0</v>
      </c>
      <c r="I110" s="85">
        <v>0</v>
      </c>
      <c r="J110" s="113">
        <v>46142</v>
      </c>
      <c r="K110" s="114" t="s">
        <v>1224</v>
      </c>
      <c r="L110" s="253">
        <v>22470</v>
      </c>
      <c r="M110" s="83" t="s">
        <v>26</v>
      </c>
      <c r="N110" s="116">
        <v>0</v>
      </c>
      <c r="O110" s="147">
        <f>+(D110*100/107)+G110-(L110*100/107)</f>
        <v>0</v>
      </c>
      <c r="P110" s="147">
        <f t="shared" ref="P110:P122" si="32">ROUND((O110*0.07),2)</f>
        <v>0</v>
      </c>
      <c r="Q110" s="47">
        <f t="shared" ref="Q110:Q122" si="33">+O110+P110</f>
        <v>0</v>
      </c>
      <c r="R110" s="39"/>
      <c r="S110" s="55"/>
      <c r="T110" s="55"/>
      <c r="U110" s="56"/>
      <c r="V110" s="56"/>
    </row>
    <row r="111" spans="1:25" s="226" customFormat="1" ht="27.75" customHeight="1">
      <c r="A111" s="94">
        <v>2</v>
      </c>
      <c r="B111" s="41" t="s">
        <v>227</v>
      </c>
      <c r="C111" s="224" t="s">
        <v>230</v>
      </c>
      <c r="D111" s="246">
        <v>22470</v>
      </c>
      <c r="E111" s="80" t="s">
        <v>26</v>
      </c>
      <c r="F111" s="44">
        <v>0</v>
      </c>
      <c r="G111" s="61">
        <v>0</v>
      </c>
      <c r="H111" s="61">
        <v>0</v>
      </c>
      <c r="I111" s="85">
        <v>0</v>
      </c>
      <c r="J111" s="113">
        <v>46142</v>
      </c>
      <c r="K111" s="114" t="s">
        <v>1224</v>
      </c>
      <c r="L111" s="253">
        <v>22470</v>
      </c>
      <c r="M111" s="83" t="s">
        <v>26</v>
      </c>
      <c r="N111" s="116">
        <v>0</v>
      </c>
      <c r="O111" s="147">
        <f>+(D111*100/107)+G111-(L111*100/107)</f>
        <v>0</v>
      </c>
      <c r="P111" s="147">
        <f t="shared" si="32"/>
        <v>0</v>
      </c>
      <c r="Q111" s="47">
        <f t="shared" si="33"/>
        <v>0</v>
      </c>
      <c r="R111" s="39"/>
      <c r="S111" s="55"/>
      <c r="T111" s="55"/>
      <c r="U111" s="56"/>
      <c r="V111" s="56"/>
    </row>
    <row r="112" spans="1:25" s="226" customFormat="1" ht="27.75" customHeight="1">
      <c r="A112" s="94">
        <v>3</v>
      </c>
      <c r="B112" s="41" t="s">
        <v>227</v>
      </c>
      <c r="C112" s="224" t="s">
        <v>231</v>
      </c>
      <c r="D112" s="246">
        <v>22470</v>
      </c>
      <c r="E112" s="80" t="s">
        <v>26</v>
      </c>
      <c r="F112" s="44">
        <v>0</v>
      </c>
      <c r="G112" s="61">
        <v>0</v>
      </c>
      <c r="H112" s="61">
        <v>0</v>
      </c>
      <c r="I112" s="85">
        <v>0</v>
      </c>
      <c r="J112" s="117">
        <v>46142</v>
      </c>
      <c r="K112" s="118" t="s">
        <v>1224</v>
      </c>
      <c r="L112" s="557">
        <v>22470</v>
      </c>
      <c r="M112" s="83" t="s">
        <v>26</v>
      </c>
      <c r="N112" s="116">
        <v>0</v>
      </c>
      <c r="O112" s="147">
        <f t="shared" ref="O112:O119" si="34">+(D112*100/107)+G112-(L112*100/107)</f>
        <v>0</v>
      </c>
      <c r="P112" s="147">
        <f t="shared" si="32"/>
        <v>0</v>
      </c>
      <c r="Q112" s="47">
        <f t="shared" si="33"/>
        <v>0</v>
      </c>
      <c r="R112" s="39"/>
      <c r="S112" s="55"/>
      <c r="T112" s="55"/>
      <c r="U112" s="56"/>
      <c r="V112" s="56"/>
    </row>
    <row r="113" spans="1:22" s="226" customFormat="1" ht="27.75" customHeight="1">
      <c r="A113" s="94">
        <v>4</v>
      </c>
      <c r="B113" s="41" t="s">
        <v>201</v>
      </c>
      <c r="C113" s="224" t="s">
        <v>232</v>
      </c>
      <c r="D113" s="246">
        <v>0</v>
      </c>
      <c r="E113" s="80" t="s">
        <v>26</v>
      </c>
      <c r="F113" s="44">
        <v>0</v>
      </c>
      <c r="G113" s="61">
        <v>0</v>
      </c>
      <c r="H113" s="61">
        <v>0</v>
      </c>
      <c r="I113" s="85">
        <v>0</v>
      </c>
      <c r="J113" s="117"/>
      <c r="K113" s="118"/>
      <c r="L113" s="557"/>
      <c r="M113" s="83" t="s">
        <v>26</v>
      </c>
      <c r="N113" s="116">
        <v>0</v>
      </c>
      <c r="O113" s="147">
        <f t="shared" si="34"/>
        <v>0</v>
      </c>
      <c r="P113" s="147">
        <f t="shared" si="32"/>
        <v>0</v>
      </c>
      <c r="Q113" s="47">
        <f t="shared" si="33"/>
        <v>0</v>
      </c>
      <c r="R113" s="39"/>
      <c r="S113" s="55"/>
      <c r="T113" s="55"/>
      <c r="U113" s="56"/>
      <c r="V113" s="56"/>
    </row>
    <row r="114" spans="1:22" s="226" customFormat="1" ht="27.75" customHeight="1">
      <c r="A114" s="94">
        <v>5</v>
      </c>
      <c r="B114" s="41" t="s">
        <v>201</v>
      </c>
      <c r="C114" s="224" t="s">
        <v>233</v>
      </c>
      <c r="D114" s="246">
        <v>0</v>
      </c>
      <c r="E114" s="80" t="s">
        <v>26</v>
      </c>
      <c r="F114" s="44">
        <v>0</v>
      </c>
      <c r="G114" s="61">
        <v>0</v>
      </c>
      <c r="H114" s="61">
        <v>0</v>
      </c>
      <c r="I114" s="85">
        <v>0</v>
      </c>
      <c r="J114" s="117"/>
      <c r="K114" s="118"/>
      <c r="L114" s="557"/>
      <c r="M114" s="83" t="s">
        <v>26</v>
      </c>
      <c r="N114" s="116">
        <v>0</v>
      </c>
      <c r="O114" s="147">
        <f t="shared" si="34"/>
        <v>0</v>
      </c>
      <c r="P114" s="147">
        <f t="shared" si="32"/>
        <v>0</v>
      </c>
      <c r="Q114" s="47">
        <f t="shared" si="33"/>
        <v>0</v>
      </c>
      <c r="R114" s="39"/>
      <c r="S114" s="55"/>
      <c r="T114" s="55"/>
      <c r="U114" s="56"/>
      <c r="V114" s="56"/>
    </row>
    <row r="115" spans="1:22" s="226" customFormat="1" ht="27.75" customHeight="1">
      <c r="A115" s="94">
        <v>6</v>
      </c>
      <c r="B115" s="41" t="s">
        <v>201</v>
      </c>
      <c r="C115" s="224" t="s">
        <v>235</v>
      </c>
      <c r="D115" s="246">
        <v>0</v>
      </c>
      <c r="E115" s="80" t="s">
        <v>26</v>
      </c>
      <c r="F115" s="44">
        <v>0</v>
      </c>
      <c r="G115" s="61">
        <v>0</v>
      </c>
      <c r="H115" s="61">
        <v>0</v>
      </c>
      <c r="I115" s="85">
        <v>0</v>
      </c>
      <c r="J115" s="117"/>
      <c r="K115" s="118"/>
      <c r="L115" s="557"/>
      <c r="M115" s="83" t="s">
        <v>26</v>
      </c>
      <c r="N115" s="116">
        <v>0</v>
      </c>
      <c r="O115" s="147">
        <f t="shared" si="34"/>
        <v>0</v>
      </c>
      <c r="P115" s="147">
        <f t="shared" si="32"/>
        <v>0</v>
      </c>
      <c r="Q115" s="47">
        <f t="shared" si="33"/>
        <v>0</v>
      </c>
      <c r="R115" s="39"/>
      <c r="S115" s="55"/>
      <c r="T115" s="55"/>
      <c r="U115" s="56"/>
      <c r="V115" s="56"/>
    </row>
    <row r="116" spans="1:22" s="226" customFormat="1" ht="27.75" customHeight="1">
      <c r="A116" s="94">
        <v>7</v>
      </c>
      <c r="B116" s="41" t="s">
        <v>201</v>
      </c>
      <c r="C116" s="224" t="s">
        <v>237</v>
      </c>
      <c r="D116" s="225">
        <v>0</v>
      </c>
      <c r="E116" s="80" t="s">
        <v>26</v>
      </c>
      <c r="F116" s="44">
        <v>0</v>
      </c>
      <c r="G116" s="61">
        <v>0</v>
      </c>
      <c r="H116" s="61">
        <v>0</v>
      </c>
      <c r="I116" s="85">
        <v>0</v>
      </c>
      <c r="J116" s="117"/>
      <c r="K116" s="118"/>
      <c r="L116" s="557"/>
      <c r="M116" s="83" t="s">
        <v>26</v>
      </c>
      <c r="N116" s="116">
        <v>0</v>
      </c>
      <c r="O116" s="147">
        <f t="shared" si="34"/>
        <v>0</v>
      </c>
      <c r="P116" s="147">
        <f t="shared" si="32"/>
        <v>0</v>
      </c>
      <c r="Q116" s="47">
        <f t="shared" si="33"/>
        <v>0</v>
      </c>
      <c r="R116" s="39"/>
      <c r="S116" s="55"/>
      <c r="T116" s="55"/>
      <c r="U116" s="56"/>
      <c r="V116" s="56"/>
    </row>
    <row r="117" spans="1:22" s="226" customFormat="1" ht="27.75" customHeight="1">
      <c r="A117" s="94">
        <v>8</v>
      </c>
      <c r="B117" s="41" t="s">
        <v>236</v>
      </c>
      <c r="C117" s="224" t="s">
        <v>239</v>
      </c>
      <c r="D117" s="225">
        <v>22470</v>
      </c>
      <c r="E117" s="80" t="s">
        <v>26</v>
      </c>
      <c r="F117" s="44">
        <v>0</v>
      </c>
      <c r="G117" s="61">
        <v>0</v>
      </c>
      <c r="H117" s="61">
        <v>0</v>
      </c>
      <c r="I117" s="85">
        <v>0</v>
      </c>
      <c r="J117" s="113">
        <v>46142</v>
      </c>
      <c r="K117" s="114" t="s">
        <v>1225</v>
      </c>
      <c r="L117" s="257">
        <v>22470</v>
      </c>
      <c r="M117" s="83" t="s">
        <v>26</v>
      </c>
      <c r="N117" s="116">
        <v>0</v>
      </c>
      <c r="O117" s="147">
        <f t="shared" si="34"/>
        <v>0</v>
      </c>
      <c r="P117" s="147">
        <f t="shared" si="32"/>
        <v>0</v>
      </c>
      <c r="Q117" s="47">
        <f t="shared" si="33"/>
        <v>0</v>
      </c>
      <c r="R117" s="39"/>
      <c r="S117" s="55"/>
      <c r="T117" s="55"/>
      <c r="U117" s="56"/>
      <c r="V117" s="56"/>
    </row>
    <row r="118" spans="1:22" s="226" customFormat="1" ht="27.75" customHeight="1">
      <c r="A118" s="94">
        <v>9</v>
      </c>
      <c r="B118" s="41" t="s">
        <v>92</v>
      </c>
      <c r="C118" s="224" t="s">
        <v>240</v>
      </c>
      <c r="D118" s="225">
        <v>22470</v>
      </c>
      <c r="E118" s="80" t="s">
        <v>26</v>
      </c>
      <c r="F118" s="44">
        <v>0</v>
      </c>
      <c r="G118" s="61">
        <v>0</v>
      </c>
      <c r="H118" s="61">
        <v>0</v>
      </c>
      <c r="I118" s="85">
        <v>0</v>
      </c>
      <c r="J118" s="113">
        <v>46139</v>
      </c>
      <c r="K118" s="114" t="s">
        <v>1226</v>
      </c>
      <c r="L118" s="258">
        <v>22470</v>
      </c>
      <c r="M118" s="83" t="s">
        <v>26</v>
      </c>
      <c r="N118" s="116">
        <v>0</v>
      </c>
      <c r="O118" s="147">
        <f t="shared" si="34"/>
        <v>0</v>
      </c>
      <c r="P118" s="147">
        <f t="shared" si="32"/>
        <v>0</v>
      </c>
      <c r="Q118" s="47">
        <f t="shared" si="33"/>
        <v>0</v>
      </c>
      <c r="R118" s="39"/>
      <c r="S118" s="55"/>
      <c r="T118" s="55"/>
      <c r="U118" s="56"/>
      <c r="V118" s="56"/>
    </row>
    <row r="119" spans="1:22" s="226" customFormat="1" ht="27.75" customHeight="1">
      <c r="A119" s="94">
        <v>10</v>
      </c>
      <c r="B119" s="41" t="s">
        <v>92</v>
      </c>
      <c r="C119" s="224" t="s">
        <v>242</v>
      </c>
      <c r="D119" s="225">
        <v>22470</v>
      </c>
      <c r="E119" s="80" t="s">
        <v>26</v>
      </c>
      <c r="F119" s="44">
        <v>0</v>
      </c>
      <c r="G119" s="61">
        <v>0</v>
      </c>
      <c r="H119" s="61">
        <v>0</v>
      </c>
      <c r="I119" s="85">
        <v>0</v>
      </c>
      <c r="J119" s="113">
        <v>46139</v>
      </c>
      <c r="K119" s="114" t="s">
        <v>1226</v>
      </c>
      <c r="L119" s="253">
        <v>22470</v>
      </c>
      <c r="M119" s="83" t="s">
        <v>26</v>
      </c>
      <c r="N119" s="116">
        <v>0</v>
      </c>
      <c r="O119" s="147">
        <f t="shared" si="34"/>
        <v>0</v>
      </c>
      <c r="P119" s="147">
        <f t="shared" si="32"/>
        <v>0</v>
      </c>
      <c r="Q119" s="47">
        <f t="shared" si="33"/>
        <v>0</v>
      </c>
      <c r="R119" s="39"/>
      <c r="S119" s="55"/>
      <c r="T119" s="55"/>
      <c r="U119" s="56"/>
      <c r="V119" s="56"/>
    </row>
    <row r="120" spans="1:22" s="226" customFormat="1" ht="27.75" customHeight="1">
      <c r="A120" s="94">
        <v>11</v>
      </c>
      <c r="B120" s="41" t="s">
        <v>243</v>
      </c>
      <c r="C120" s="224" t="s">
        <v>244</v>
      </c>
      <c r="D120" s="225">
        <v>22470</v>
      </c>
      <c r="E120" s="80" t="s">
        <v>26</v>
      </c>
      <c r="F120" s="44">
        <v>0</v>
      </c>
      <c r="G120" s="61">
        <v>0</v>
      </c>
      <c r="H120" s="61">
        <v>0</v>
      </c>
      <c r="I120" s="85">
        <v>0</v>
      </c>
      <c r="J120" s="113">
        <v>46141</v>
      </c>
      <c r="K120" s="114" t="s">
        <v>1227</v>
      </c>
      <c r="L120" s="253">
        <v>22470</v>
      </c>
      <c r="M120" s="83" t="s">
        <v>26</v>
      </c>
      <c r="N120" s="116">
        <v>0</v>
      </c>
      <c r="O120" s="147">
        <f>+(D120*100/107)+G120-(L120*100/107)</f>
        <v>0</v>
      </c>
      <c r="P120" s="147">
        <f t="shared" si="32"/>
        <v>0</v>
      </c>
      <c r="Q120" s="47">
        <f t="shared" si="33"/>
        <v>0</v>
      </c>
      <c r="R120" s="39"/>
      <c r="S120" s="55"/>
      <c r="T120" s="55"/>
      <c r="U120" s="56"/>
      <c r="V120" s="56"/>
    </row>
    <row r="121" spans="1:22" s="226" customFormat="1" ht="27.75" customHeight="1">
      <c r="A121" s="186">
        <v>12</v>
      </c>
      <c r="B121" s="206" t="s">
        <v>90</v>
      </c>
      <c r="C121" s="224" t="s">
        <v>246</v>
      </c>
      <c r="D121" s="228">
        <v>22470</v>
      </c>
      <c r="E121" s="123" t="s">
        <v>26</v>
      </c>
      <c r="F121" s="44">
        <v>0</v>
      </c>
      <c r="G121" s="45">
        <v>0</v>
      </c>
      <c r="H121" s="45">
        <v>0</v>
      </c>
      <c r="I121" s="229">
        <v>0</v>
      </c>
      <c r="J121" s="259"/>
      <c r="K121" s="114"/>
      <c r="L121" s="253"/>
      <c r="M121" s="232" t="s">
        <v>1109</v>
      </c>
      <c r="N121" s="116">
        <v>0.93457943925233644</v>
      </c>
      <c r="O121" s="147">
        <f>+(D121*100/107)+G121-(L121*100/107)</f>
        <v>21000</v>
      </c>
      <c r="P121" s="147">
        <f t="shared" si="32"/>
        <v>1470</v>
      </c>
      <c r="Q121" s="47">
        <f t="shared" si="33"/>
        <v>22470</v>
      </c>
      <c r="R121" s="39"/>
      <c r="S121" s="55"/>
      <c r="T121" s="55"/>
      <c r="U121" s="56"/>
      <c r="V121" s="56"/>
    </row>
    <row r="122" spans="1:22" s="226" customFormat="1" ht="27.75" customHeight="1">
      <c r="A122" s="234"/>
      <c r="B122" s="260"/>
      <c r="C122" s="235"/>
      <c r="D122" s="236">
        <f>SUM(D110:D121)</f>
        <v>179760</v>
      </c>
      <c r="E122" s="237"/>
      <c r="F122" s="238"/>
      <c r="G122" s="239"/>
      <c r="H122" s="239"/>
      <c r="I122" s="240"/>
      <c r="J122" s="261"/>
      <c r="K122" s="262"/>
      <c r="L122" s="263">
        <f>SUM(L110:L121)</f>
        <v>157290</v>
      </c>
      <c r="M122" s="234"/>
      <c r="N122" s="242"/>
      <c r="O122" s="243">
        <f>SUM(O110:O121)</f>
        <v>21000</v>
      </c>
      <c r="P122" s="243">
        <f t="shared" si="32"/>
        <v>1470</v>
      </c>
      <c r="Q122" s="240">
        <f t="shared" si="33"/>
        <v>22470</v>
      </c>
      <c r="R122" s="39"/>
      <c r="S122" s="55"/>
      <c r="T122" s="55"/>
      <c r="U122" s="56"/>
      <c r="V122" s="56"/>
    </row>
    <row r="123" spans="1:22" s="226" customFormat="1" ht="27.75" customHeight="1">
      <c r="A123" s="83"/>
      <c r="B123" s="244" t="s">
        <v>248</v>
      </c>
      <c r="C123" s="245"/>
      <c r="D123" s="246"/>
      <c r="E123" s="80"/>
      <c r="F123" s="126"/>
      <c r="G123" s="46"/>
      <c r="H123" s="46"/>
      <c r="I123" s="85"/>
      <c r="J123" s="178"/>
      <c r="K123" s="179"/>
      <c r="L123" s="264"/>
      <c r="M123" s="83"/>
      <c r="N123" s="251"/>
      <c r="O123" s="252"/>
      <c r="P123" s="252"/>
      <c r="Q123" s="85"/>
      <c r="R123" s="39"/>
      <c r="S123" s="55"/>
      <c r="T123" s="55"/>
      <c r="U123" s="56"/>
      <c r="V123" s="56"/>
    </row>
    <row r="124" spans="1:22" s="226" customFormat="1" ht="27.75" customHeight="1">
      <c r="A124" s="94">
        <v>1</v>
      </c>
      <c r="B124" s="41" t="s">
        <v>249</v>
      </c>
      <c r="C124" s="224" t="s">
        <v>250</v>
      </c>
      <c r="D124" s="225">
        <v>6420</v>
      </c>
      <c r="E124" s="80" t="s">
        <v>45</v>
      </c>
      <c r="F124" s="44">
        <v>0</v>
      </c>
      <c r="G124" s="61">
        <v>0</v>
      </c>
      <c r="H124" s="61">
        <v>0</v>
      </c>
      <c r="I124" s="85">
        <v>0</v>
      </c>
      <c r="J124" s="113"/>
      <c r="K124" s="114"/>
      <c r="L124" s="144">
        <v>0</v>
      </c>
      <c r="M124" s="83" t="s">
        <v>1109</v>
      </c>
      <c r="N124" s="116">
        <v>0.934579439252336</v>
      </c>
      <c r="O124" s="147">
        <f t="shared" ref="O124:O134" si="35">+(D124*100/107)+G124-(L124*100/107)</f>
        <v>6000</v>
      </c>
      <c r="P124" s="147">
        <f t="shared" ref="P124:P134" si="36">ROUND((O124*0.07),2)</f>
        <v>420</v>
      </c>
      <c r="Q124" s="47">
        <f t="shared" ref="Q124:Q135" si="37">+O124+P124</f>
        <v>6420</v>
      </c>
      <c r="R124" s="39"/>
      <c r="S124" s="55"/>
      <c r="T124" s="55"/>
      <c r="U124" s="56"/>
      <c r="V124" s="56"/>
    </row>
    <row r="125" spans="1:22" s="226" customFormat="1" ht="27.75" customHeight="1">
      <c r="A125" s="94">
        <v>2</v>
      </c>
      <c r="B125" s="41" t="s">
        <v>252</v>
      </c>
      <c r="C125" s="224" t="s">
        <v>253</v>
      </c>
      <c r="D125" s="225">
        <v>6420</v>
      </c>
      <c r="E125" s="80" t="s">
        <v>952</v>
      </c>
      <c r="F125" s="44">
        <v>1</v>
      </c>
      <c r="G125" s="61">
        <v>6000</v>
      </c>
      <c r="H125" s="61">
        <v>420</v>
      </c>
      <c r="I125" s="85">
        <v>6420</v>
      </c>
      <c r="J125" s="113">
        <v>46117</v>
      </c>
      <c r="K125" s="114" t="s">
        <v>1228</v>
      </c>
      <c r="L125" s="144">
        <v>6420</v>
      </c>
      <c r="M125" s="83" t="s">
        <v>1109</v>
      </c>
      <c r="N125" s="116">
        <v>1</v>
      </c>
      <c r="O125" s="147">
        <f t="shared" si="35"/>
        <v>6000</v>
      </c>
      <c r="P125" s="147">
        <f t="shared" si="36"/>
        <v>420</v>
      </c>
      <c r="Q125" s="47">
        <f t="shared" si="37"/>
        <v>6420</v>
      </c>
      <c r="R125" s="39"/>
      <c r="S125" s="55"/>
      <c r="T125" s="55"/>
      <c r="U125" s="56"/>
      <c r="V125" s="56"/>
    </row>
    <row r="126" spans="1:22" s="226" customFormat="1" ht="27.75" customHeight="1">
      <c r="A126" s="94">
        <v>3</v>
      </c>
      <c r="B126" s="41" t="s">
        <v>254</v>
      </c>
      <c r="C126" s="224" t="s">
        <v>255</v>
      </c>
      <c r="D126" s="225">
        <v>9630</v>
      </c>
      <c r="E126" s="80" t="s">
        <v>952</v>
      </c>
      <c r="F126" s="44">
        <v>0.93457943925233611</v>
      </c>
      <c r="G126" s="61">
        <v>9000</v>
      </c>
      <c r="H126" s="61">
        <v>630</v>
      </c>
      <c r="I126" s="85">
        <v>9630</v>
      </c>
      <c r="J126" s="113">
        <v>46114</v>
      </c>
      <c r="K126" s="114" t="s">
        <v>1229</v>
      </c>
      <c r="L126" s="144">
        <v>9630</v>
      </c>
      <c r="M126" s="83" t="s">
        <v>1109</v>
      </c>
      <c r="N126" s="116">
        <v>0.93457943925233611</v>
      </c>
      <c r="O126" s="147">
        <f t="shared" si="35"/>
        <v>9000</v>
      </c>
      <c r="P126" s="147">
        <f t="shared" si="36"/>
        <v>630</v>
      </c>
      <c r="Q126" s="47">
        <f t="shared" si="37"/>
        <v>9630</v>
      </c>
      <c r="R126" s="39"/>
      <c r="S126" s="55"/>
      <c r="T126" s="55"/>
      <c r="U126" s="56"/>
      <c r="V126" s="56"/>
    </row>
    <row r="127" spans="1:22" s="226" customFormat="1" ht="27.75" customHeight="1">
      <c r="A127" s="94">
        <v>4</v>
      </c>
      <c r="B127" s="41" t="s">
        <v>1045</v>
      </c>
      <c r="C127" s="224" t="s">
        <v>256</v>
      </c>
      <c r="D127" s="225">
        <v>0</v>
      </c>
      <c r="E127" s="80"/>
      <c r="F127" s="44">
        <v>0</v>
      </c>
      <c r="G127" s="61">
        <v>0</v>
      </c>
      <c r="H127" s="61">
        <v>0</v>
      </c>
      <c r="I127" s="85">
        <v>0</v>
      </c>
      <c r="J127" s="113"/>
      <c r="K127" s="114"/>
      <c r="L127" s="144">
        <v>0</v>
      </c>
      <c r="M127" s="83"/>
      <c r="N127" s="116">
        <v>0</v>
      </c>
      <c r="O127" s="147">
        <f t="shared" si="35"/>
        <v>0</v>
      </c>
      <c r="P127" s="147">
        <f t="shared" si="36"/>
        <v>0</v>
      </c>
      <c r="Q127" s="47">
        <f t="shared" si="37"/>
        <v>0</v>
      </c>
      <c r="R127" s="39"/>
      <c r="S127" s="55"/>
      <c r="T127" s="55"/>
      <c r="U127" s="56"/>
      <c r="V127" s="56"/>
    </row>
    <row r="128" spans="1:22" s="226" customFormat="1" ht="27.75" customHeight="1">
      <c r="A128" s="94">
        <v>5</v>
      </c>
      <c r="B128" s="41" t="s">
        <v>257</v>
      </c>
      <c r="C128" s="224" t="s">
        <v>258</v>
      </c>
      <c r="D128" s="225">
        <v>9630</v>
      </c>
      <c r="E128" s="80" t="s">
        <v>45</v>
      </c>
      <c r="F128" s="44">
        <v>0</v>
      </c>
      <c r="G128" s="61">
        <v>0</v>
      </c>
      <c r="H128" s="61">
        <v>0</v>
      </c>
      <c r="I128" s="85">
        <v>0</v>
      </c>
      <c r="J128" s="113">
        <v>46138</v>
      </c>
      <c r="K128" s="114" t="s">
        <v>1230</v>
      </c>
      <c r="L128" s="144">
        <v>9630</v>
      </c>
      <c r="M128" s="83" t="s">
        <v>45</v>
      </c>
      <c r="N128" s="116">
        <v>0</v>
      </c>
      <c r="O128" s="147">
        <f t="shared" si="35"/>
        <v>0</v>
      </c>
      <c r="P128" s="147">
        <f t="shared" si="36"/>
        <v>0</v>
      </c>
      <c r="Q128" s="47">
        <f t="shared" si="37"/>
        <v>0</v>
      </c>
      <c r="R128" s="39"/>
      <c r="S128" s="55"/>
      <c r="T128" s="55"/>
      <c r="U128" s="56"/>
      <c r="V128" s="56"/>
    </row>
    <row r="129" spans="1:25" s="226" customFormat="1" ht="27.75" customHeight="1">
      <c r="A129" s="94">
        <v>6</v>
      </c>
      <c r="B129" s="206" t="s">
        <v>257</v>
      </c>
      <c r="C129" s="224" t="s">
        <v>260</v>
      </c>
      <c r="D129" s="225">
        <v>9630</v>
      </c>
      <c r="E129" s="80" t="s">
        <v>45</v>
      </c>
      <c r="F129" s="44">
        <v>0</v>
      </c>
      <c r="G129" s="61">
        <v>0</v>
      </c>
      <c r="H129" s="61">
        <v>0</v>
      </c>
      <c r="I129" s="85">
        <v>0</v>
      </c>
      <c r="J129" s="113">
        <v>46138</v>
      </c>
      <c r="K129" s="114" t="s">
        <v>1230</v>
      </c>
      <c r="L129" s="144">
        <v>9630</v>
      </c>
      <c r="M129" s="83" t="s">
        <v>45</v>
      </c>
      <c r="N129" s="116">
        <v>0</v>
      </c>
      <c r="O129" s="147">
        <f t="shared" si="35"/>
        <v>0</v>
      </c>
      <c r="P129" s="147">
        <f t="shared" si="36"/>
        <v>0</v>
      </c>
      <c r="Q129" s="47">
        <f t="shared" si="37"/>
        <v>0</v>
      </c>
      <c r="R129" s="39"/>
      <c r="S129" s="55"/>
      <c r="T129" s="55"/>
      <c r="U129" s="56"/>
      <c r="V129" s="56"/>
    </row>
    <row r="130" spans="1:25" s="226" customFormat="1" ht="27.75" customHeight="1">
      <c r="A130" s="94">
        <v>7</v>
      </c>
      <c r="B130" s="265" t="s">
        <v>261</v>
      </c>
      <c r="C130" s="224" t="s">
        <v>262</v>
      </c>
      <c r="D130" s="225">
        <v>6420</v>
      </c>
      <c r="E130" s="80" t="s">
        <v>45</v>
      </c>
      <c r="F130" s="44">
        <v>0</v>
      </c>
      <c r="G130" s="61">
        <v>0</v>
      </c>
      <c r="H130" s="61">
        <v>0</v>
      </c>
      <c r="I130" s="85">
        <v>0</v>
      </c>
      <c r="J130" s="113">
        <v>46115</v>
      </c>
      <c r="K130" s="114" t="s">
        <v>1231</v>
      </c>
      <c r="L130" s="144">
        <v>6420</v>
      </c>
      <c r="M130" s="83" t="s">
        <v>45</v>
      </c>
      <c r="N130" s="116">
        <v>0</v>
      </c>
      <c r="O130" s="147">
        <f t="shared" si="35"/>
        <v>0</v>
      </c>
      <c r="P130" s="147">
        <f t="shared" si="36"/>
        <v>0</v>
      </c>
      <c r="Q130" s="47">
        <f t="shared" si="37"/>
        <v>0</v>
      </c>
      <c r="R130" s="39"/>
      <c r="S130" s="55"/>
      <c r="T130" s="55"/>
      <c r="U130" s="56"/>
      <c r="V130" s="56"/>
    </row>
    <row r="131" spans="1:25" s="226" customFormat="1" ht="27.75" customHeight="1">
      <c r="A131" s="94">
        <v>8</v>
      </c>
      <c r="B131" s="266" t="s">
        <v>264</v>
      </c>
      <c r="C131" s="224" t="s">
        <v>199</v>
      </c>
      <c r="D131" s="225">
        <v>6420</v>
      </c>
      <c r="E131" s="80" t="s">
        <v>45</v>
      </c>
      <c r="F131" s="44">
        <v>0</v>
      </c>
      <c r="G131" s="61">
        <v>0</v>
      </c>
      <c r="H131" s="61">
        <v>0</v>
      </c>
      <c r="I131" s="85">
        <v>0</v>
      </c>
      <c r="J131" s="113">
        <v>46142</v>
      </c>
      <c r="K131" s="114" t="s">
        <v>1232</v>
      </c>
      <c r="L131" s="144">
        <v>6420</v>
      </c>
      <c r="M131" s="83" t="s">
        <v>45</v>
      </c>
      <c r="N131" s="116">
        <v>0</v>
      </c>
      <c r="O131" s="147">
        <f t="shared" si="35"/>
        <v>0</v>
      </c>
      <c r="P131" s="147">
        <f t="shared" si="36"/>
        <v>0</v>
      </c>
      <c r="Q131" s="47">
        <f t="shared" si="37"/>
        <v>0</v>
      </c>
      <c r="R131" s="39"/>
      <c r="S131" s="55"/>
      <c r="T131" s="55"/>
      <c r="U131" s="56"/>
      <c r="V131" s="56"/>
      <c r="Y131" s="226" t="s">
        <v>266</v>
      </c>
    </row>
    <row r="132" spans="1:25" s="226" customFormat="1" ht="27.75" customHeight="1">
      <c r="A132" s="94">
        <v>9</v>
      </c>
      <c r="B132" s="81" t="s">
        <v>267</v>
      </c>
      <c r="C132" s="224" t="s">
        <v>268</v>
      </c>
      <c r="D132" s="267">
        <v>6420</v>
      </c>
      <c r="E132" s="81" t="s">
        <v>952</v>
      </c>
      <c r="F132" s="116">
        <v>0.93457943925233578</v>
      </c>
      <c r="G132" s="147">
        <v>6000</v>
      </c>
      <c r="H132" s="147">
        <v>420</v>
      </c>
      <c r="I132" s="47">
        <v>6420</v>
      </c>
      <c r="J132" s="113">
        <v>46118</v>
      </c>
      <c r="K132" s="114" t="s">
        <v>1233</v>
      </c>
      <c r="L132" s="144">
        <v>6420</v>
      </c>
      <c r="M132" s="83" t="s">
        <v>1109</v>
      </c>
      <c r="N132" s="116">
        <v>0.93457943925233578</v>
      </c>
      <c r="O132" s="147">
        <f t="shared" si="35"/>
        <v>6000</v>
      </c>
      <c r="P132" s="147">
        <f>ROUND((O132*0.07),2)</f>
        <v>420</v>
      </c>
      <c r="Q132" s="47">
        <f t="shared" si="37"/>
        <v>6420</v>
      </c>
      <c r="R132" s="39"/>
      <c r="S132" s="55"/>
      <c r="T132" s="55"/>
      <c r="U132" s="56"/>
      <c r="V132" s="56"/>
      <c r="Y132" s="226" t="s">
        <v>269</v>
      </c>
    </row>
    <row r="133" spans="1:25" s="226" customFormat="1" ht="27.75" customHeight="1">
      <c r="A133" s="94">
        <v>10</v>
      </c>
      <c r="B133" s="81" t="s">
        <v>201</v>
      </c>
      <c r="C133" s="224" t="s">
        <v>205</v>
      </c>
      <c r="D133" s="225"/>
      <c r="E133" s="81" t="s">
        <v>45</v>
      </c>
      <c r="F133" s="116">
        <v>0</v>
      </c>
      <c r="G133" s="147">
        <v>0</v>
      </c>
      <c r="H133" s="147">
        <v>0</v>
      </c>
      <c r="I133" s="85">
        <v>0</v>
      </c>
      <c r="J133" s="113"/>
      <c r="K133" s="114"/>
      <c r="L133" s="144">
        <v>0</v>
      </c>
      <c r="M133" s="83" t="s">
        <v>45</v>
      </c>
      <c r="N133" s="116">
        <v>0</v>
      </c>
      <c r="O133" s="147">
        <f>+(D133*100/107)+G133-(L133*100/107)</f>
        <v>0</v>
      </c>
      <c r="P133" s="147">
        <f t="shared" si="36"/>
        <v>0</v>
      </c>
      <c r="Q133" s="47">
        <f t="shared" si="37"/>
        <v>0</v>
      </c>
      <c r="R133" s="39"/>
      <c r="S133" s="55"/>
      <c r="T133" s="55"/>
      <c r="U133" s="56"/>
      <c r="V133" s="56"/>
    </row>
    <row r="134" spans="1:25" s="226" customFormat="1" ht="27.75" customHeight="1">
      <c r="A134" s="94">
        <v>11</v>
      </c>
      <c r="B134" s="81" t="s">
        <v>156</v>
      </c>
      <c r="C134" s="224" t="s">
        <v>207</v>
      </c>
      <c r="D134" s="225">
        <v>6420</v>
      </c>
      <c r="E134" s="80" t="s">
        <v>45</v>
      </c>
      <c r="F134" s="44">
        <v>0</v>
      </c>
      <c r="G134" s="61">
        <v>0</v>
      </c>
      <c r="H134" s="61">
        <v>0</v>
      </c>
      <c r="I134" s="85">
        <v>0</v>
      </c>
      <c r="J134" s="113">
        <v>46120</v>
      </c>
      <c r="K134" s="114" t="s">
        <v>1234</v>
      </c>
      <c r="L134" s="144">
        <v>6420</v>
      </c>
      <c r="M134" s="83" t="s">
        <v>45</v>
      </c>
      <c r="N134" s="116">
        <v>0</v>
      </c>
      <c r="O134" s="147">
        <f t="shared" si="35"/>
        <v>0</v>
      </c>
      <c r="P134" s="147">
        <f t="shared" si="36"/>
        <v>0</v>
      </c>
      <c r="Q134" s="47">
        <f t="shared" si="37"/>
        <v>0</v>
      </c>
      <c r="R134" s="39"/>
      <c r="S134" s="55"/>
      <c r="T134" s="55"/>
      <c r="U134" s="56"/>
      <c r="V134" s="56"/>
    </row>
    <row r="135" spans="1:25" s="226" customFormat="1" ht="27.75" customHeight="1">
      <c r="A135" s="94">
        <v>12</v>
      </c>
      <c r="B135" s="41" t="s">
        <v>271</v>
      </c>
      <c r="C135" s="224" t="s">
        <v>208</v>
      </c>
      <c r="D135" s="225">
        <v>6420</v>
      </c>
      <c r="E135" s="80" t="s">
        <v>45</v>
      </c>
      <c r="F135" s="44">
        <v>0</v>
      </c>
      <c r="G135" s="61">
        <v>0</v>
      </c>
      <c r="H135" s="61">
        <v>0</v>
      </c>
      <c r="I135" s="85">
        <v>0</v>
      </c>
      <c r="J135" s="113">
        <v>46142</v>
      </c>
      <c r="K135" s="268" t="s">
        <v>1235</v>
      </c>
      <c r="L135" s="269">
        <v>6420</v>
      </c>
      <c r="M135" s="83" t="s">
        <v>45</v>
      </c>
      <c r="N135" s="116">
        <v>0</v>
      </c>
      <c r="O135" s="147">
        <f>+(D135*100/107)+G135-(L135*100/107)</f>
        <v>0</v>
      </c>
      <c r="P135" s="147">
        <f>ROUND((O135*0.07),2)</f>
        <v>0</v>
      </c>
      <c r="Q135" s="47">
        <f t="shared" si="37"/>
        <v>0</v>
      </c>
      <c r="R135" s="39"/>
      <c r="S135" s="55"/>
      <c r="T135" s="55"/>
      <c r="U135" s="56"/>
      <c r="V135" s="56"/>
    </row>
    <row r="136" spans="1:25" s="226" customFormat="1" ht="27.75" customHeight="1">
      <c r="A136" s="94">
        <v>13</v>
      </c>
      <c r="B136" s="41" t="s">
        <v>273</v>
      </c>
      <c r="C136" s="224" t="s">
        <v>209</v>
      </c>
      <c r="D136" s="225">
        <v>6420</v>
      </c>
      <c r="E136" s="80" t="s">
        <v>45</v>
      </c>
      <c r="F136" s="44">
        <v>0</v>
      </c>
      <c r="G136" s="61">
        <v>0</v>
      </c>
      <c r="H136" s="61">
        <v>0</v>
      </c>
      <c r="I136" s="85">
        <v>0</v>
      </c>
      <c r="J136" s="113">
        <v>46133</v>
      </c>
      <c r="K136" s="114" t="s">
        <v>1236</v>
      </c>
      <c r="L136" s="144">
        <v>6420</v>
      </c>
      <c r="M136" s="83" t="s">
        <v>45</v>
      </c>
      <c r="N136" s="116">
        <v>0</v>
      </c>
      <c r="O136" s="147">
        <f>+(D136*100/107)+G136-(L136*100/107)</f>
        <v>0</v>
      </c>
      <c r="P136" s="147">
        <f>ROUND((O136*0.07),2)</f>
        <v>0</v>
      </c>
      <c r="Q136" s="47">
        <f>+O136+P136</f>
        <v>0</v>
      </c>
      <c r="R136" s="39"/>
      <c r="S136" s="55"/>
      <c r="T136" s="55"/>
      <c r="U136" s="56"/>
      <c r="V136" s="56"/>
    </row>
    <row r="137" spans="1:25" s="226" customFormat="1" ht="27.75" customHeight="1">
      <c r="A137" s="94">
        <v>14</v>
      </c>
      <c r="B137" s="41" t="s">
        <v>275</v>
      </c>
      <c r="C137" s="224" t="s">
        <v>276</v>
      </c>
      <c r="D137" s="225">
        <v>6420</v>
      </c>
      <c r="E137" s="80" t="s">
        <v>45</v>
      </c>
      <c r="F137" s="44">
        <v>0</v>
      </c>
      <c r="G137" s="61">
        <v>0</v>
      </c>
      <c r="H137" s="61">
        <v>0</v>
      </c>
      <c r="I137" s="85">
        <v>0</v>
      </c>
      <c r="J137" s="113">
        <v>46141</v>
      </c>
      <c r="K137" s="114" t="s">
        <v>1237</v>
      </c>
      <c r="L137" s="144">
        <v>6420</v>
      </c>
      <c r="M137" s="87" t="s">
        <v>45</v>
      </c>
      <c r="N137" s="116">
        <v>0</v>
      </c>
      <c r="O137" s="147">
        <f>+(D137*100/107)+G137-(L137*100/107)</f>
        <v>0</v>
      </c>
      <c r="P137" s="147">
        <f>ROUND((O137*0.07),2)</f>
        <v>0</v>
      </c>
      <c r="Q137" s="47">
        <f>+O137+P137</f>
        <v>0</v>
      </c>
      <c r="R137" s="39"/>
      <c r="S137" s="55"/>
      <c r="T137" s="55"/>
      <c r="U137" s="56"/>
      <c r="V137" s="56"/>
    </row>
    <row r="138" spans="1:25" ht="27.75" customHeight="1" thickBot="1">
      <c r="A138" s="22"/>
      <c r="B138" s="194" t="s">
        <v>22</v>
      </c>
      <c r="C138" s="195"/>
      <c r="D138" s="196">
        <f>SUM(D124:D137)</f>
        <v>86670</v>
      </c>
      <c r="E138" s="196"/>
      <c r="F138" s="197"/>
      <c r="G138" s="196">
        <f>SUM(G124:G137)</f>
        <v>21000</v>
      </c>
      <c r="H138" s="196">
        <f>SUM(H124:H137)</f>
        <v>1470</v>
      </c>
      <c r="I138" s="196">
        <f>SUM(I124:I137)</f>
        <v>22470</v>
      </c>
      <c r="J138" s="199"/>
      <c r="K138" s="199"/>
      <c r="L138" s="196">
        <f>SUM(L124:L137)</f>
        <v>80250</v>
      </c>
      <c r="M138" s="200"/>
      <c r="N138" s="196"/>
      <c r="O138" s="196">
        <f>SUM(O124:O137)</f>
        <v>27000</v>
      </c>
      <c r="P138" s="196">
        <f>SUM(P124:P137)</f>
        <v>1890</v>
      </c>
      <c r="Q138" s="196">
        <f t="shared" ref="Q138" si="38">SUM(Q124:Q137)</f>
        <v>28890</v>
      </c>
      <c r="R138" s="36"/>
      <c r="S138" s="37"/>
      <c r="T138" s="37"/>
      <c r="U138" s="38"/>
      <c r="V138" s="38"/>
      <c r="W138" s="38"/>
    </row>
    <row r="139" spans="1:25" ht="27.75" hidden="1" customHeight="1" thickBot="1">
      <c r="A139" s="22"/>
      <c r="B139" s="23" t="s">
        <v>278</v>
      </c>
      <c r="C139" s="24"/>
      <c r="D139" s="25"/>
      <c r="E139" s="26"/>
      <c r="F139" s="27"/>
      <c r="G139" s="28"/>
      <c r="H139" s="28"/>
      <c r="I139" s="28"/>
      <c r="J139" s="29"/>
      <c r="K139" s="30"/>
      <c r="L139" s="31"/>
      <c r="M139" s="32"/>
      <c r="N139" s="33"/>
      <c r="O139" s="34"/>
      <c r="P139" s="34"/>
      <c r="Q139" s="35"/>
      <c r="R139" s="36"/>
      <c r="S139" s="37"/>
      <c r="T139" s="37"/>
      <c r="U139" s="38"/>
      <c r="V139" s="38"/>
      <c r="W139" s="38"/>
    </row>
    <row r="140" spans="1:25" ht="27.75" hidden="1" customHeight="1" thickTop="1">
      <c r="A140" s="22">
        <v>1</v>
      </c>
      <c r="B140" s="270" t="s">
        <v>88</v>
      </c>
      <c r="C140" s="271" t="s">
        <v>279</v>
      </c>
      <c r="D140" s="272"/>
      <c r="E140" s="273"/>
      <c r="F140" s="274"/>
      <c r="G140" s="65">
        <v>0</v>
      </c>
      <c r="H140" s="45">
        <v>0</v>
      </c>
      <c r="I140" s="61">
        <v>0</v>
      </c>
      <c r="J140" s="275"/>
      <c r="K140" s="276"/>
      <c r="L140" s="277"/>
      <c r="M140" s="232"/>
      <c r="N140" s="251"/>
      <c r="O140" s="233">
        <f t="shared" ref="O140:O150" si="39">+(D140*100/107)+G140-(L140*100/107)</f>
        <v>0</v>
      </c>
      <c r="P140" s="233">
        <f t="shared" ref="P140:P150" si="40">ROUND((O140*0.07),2)</f>
        <v>0</v>
      </c>
      <c r="Q140" s="66">
        <f t="shared" ref="Q140:Q150" si="41">+O140+P140</f>
        <v>0</v>
      </c>
      <c r="R140" s="278"/>
      <c r="S140" s="279"/>
      <c r="T140" s="37"/>
      <c r="U140" s="38"/>
      <c r="V140" s="38"/>
      <c r="W140" s="38"/>
    </row>
    <row r="141" spans="1:25" ht="27.75" hidden="1" customHeight="1" thickTop="1">
      <c r="A141" s="22">
        <v>2</v>
      </c>
      <c r="B141" s="280" t="s">
        <v>89</v>
      </c>
      <c r="C141" s="271" t="s">
        <v>279</v>
      </c>
      <c r="D141" s="272"/>
      <c r="E141" s="201"/>
      <c r="F141" s="281"/>
      <c r="G141" s="61">
        <v>0</v>
      </c>
      <c r="H141" s="45">
        <v>0</v>
      </c>
      <c r="I141" s="61">
        <v>0</v>
      </c>
      <c r="J141" s="175"/>
      <c r="K141" s="282"/>
      <c r="L141" s="222"/>
      <c r="M141" s="94"/>
      <c r="N141" s="39"/>
      <c r="O141" s="233">
        <f t="shared" si="39"/>
        <v>0</v>
      </c>
      <c r="P141" s="233">
        <f t="shared" si="40"/>
        <v>0</v>
      </c>
      <c r="Q141" s="66">
        <f t="shared" si="41"/>
        <v>0</v>
      </c>
      <c r="R141" s="278"/>
      <c r="S141" s="279"/>
      <c r="T141" s="37"/>
      <c r="U141" s="38"/>
      <c r="V141" s="38"/>
      <c r="W141" s="38"/>
    </row>
    <row r="142" spans="1:25" ht="27.75" hidden="1" customHeight="1" thickTop="1">
      <c r="A142" s="22">
        <v>3</v>
      </c>
      <c r="B142" s="270" t="s">
        <v>280</v>
      </c>
      <c r="C142" s="271" t="s">
        <v>279</v>
      </c>
      <c r="D142" s="272"/>
      <c r="E142" s="201"/>
      <c r="F142" s="281"/>
      <c r="G142" s="61">
        <v>0</v>
      </c>
      <c r="H142" s="45">
        <v>0</v>
      </c>
      <c r="I142" s="61">
        <v>0</v>
      </c>
      <c r="J142" s="175"/>
      <c r="K142" s="282"/>
      <c r="L142" s="222"/>
      <c r="M142" s="94"/>
      <c r="N142" s="39"/>
      <c r="O142" s="233">
        <f t="shared" si="39"/>
        <v>0</v>
      </c>
      <c r="P142" s="233">
        <f t="shared" si="40"/>
        <v>0</v>
      </c>
      <c r="Q142" s="66">
        <f t="shared" si="41"/>
        <v>0</v>
      </c>
      <c r="R142" s="278"/>
      <c r="S142" s="279"/>
      <c r="T142" s="37"/>
      <c r="U142" s="38"/>
      <c r="V142" s="38"/>
      <c r="W142" s="38"/>
    </row>
    <row r="143" spans="1:25" ht="27.75" hidden="1" customHeight="1" thickTop="1">
      <c r="A143" s="22">
        <v>4</v>
      </c>
      <c r="B143" s="280" t="s">
        <v>96</v>
      </c>
      <c r="C143" s="271" t="s">
        <v>279</v>
      </c>
      <c r="D143" s="272"/>
      <c r="E143" s="201"/>
      <c r="F143" s="281"/>
      <c r="G143" s="61">
        <v>0</v>
      </c>
      <c r="H143" s="45">
        <v>0</v>
      </c>
      <c r="I143" s="61">
        <v>0</v>
      </c>
      <c r="J143" s="175"/>
      <c r="K143" s="282"/>
      <c r="L143" s="222"/>
      <c r="M143" s="94"/>
      <c r="N143" s="39"/>
      <c r="O143" s="233">
        <f t="shared" si="39"/>
        <v>0</v>
      </c>
      <c r="P143" s="233">
        <f t="shared" si="40"/>
        <v>0</v>
      </c>
      <c r="Q143" s="66">
        <f t="shared" si="41"/>
        <v>0</v>
      </c>
      <c r="R143" s="283"/>
      <c r="S143" s="55"/>
      <c r="T143" s="37"/>
      <c r="U143" s="38"/>
      <c r="V143" s="38"/>
      <c r="W143" s="38"/>
    </row>
    <row r="144" spans="1:25" ht="27.75" hidden="1" customHeight="1" thickTop="1">
      <c r="A144" s="22">
        <v>5</v>
      </c>
      <c r="B144" s="280" t="s">
        <v>281</v>
      </c>
      <c r="C144" s="271" t="s">
        <v>279</v>
      </c>
      <c r="D144" s="272">
        <v>0</v>
      </c>
      <c r="E144" s="201"/>
      <c r="F144" s="281"/>
      <c r="G144" s="61">
        <v>0</v>
      </c>
      <c r="H144" s="45">
        <v>0</v>
      </c>
      <c r="I144" s="61">
        <v>0</v>
      </c>
      <c r="J144" s="175"/>
      <c r="K144" s="282"/>
      <c r="L144" s="222"/>
      <c r="M144" s="94"/>
      <c r="N144" s="39"/>
      <c r="O144" s="233">
        <f t="shared" si="39"/>
        <v>0</v>
      </c>
      <c r="P144" s="233">
        <f t="shared" si="40"/>
        <v>0</v>
      </c>
      <c r="Q144" s="66">
        <f t="shared" si="41"/>
        <v>0</v>
      </c>
      <c r="R144" s="283"/>
      <c r="S144" s="55"/>
      <c r="T144" s="37"/>
      <c r="U144" s="38"/>
      <c r="V144" s="38"/>
      <c r="W144" s="38"/>
    </row>
    <row r="145" spans="1:24" ht="27.75" hidden="1" customHeight="1" thickTop="1">
      <c r="A145" s="22">
        <v>6</v>
      </c>
      <c r="B145" s="280" t="s">
        <v>282</v>
      </c>
      <c r="C145" s="271" t="s">
        <v>279</v>
      </c>
      <c r="D145" s="272"/>
      <c r="E145" s="201"/>
      <c r="F145" s="281"/>
      <c r="G145" s="61">
        <v>0</v>
      </c>
      <c r="H145" s="45">
        <v>0</v>
      </c>
      <c r="I145" s="61">
        <v>0</v>
      </c>
      <c r="J145" s="175"/>
      <c r="K145" s="282"/>
      <c r="L145" s="222"/>
      <c r="M145" s="94"/>
      <c r="N145" s="39"/>
      <c r="O145" s="233">
        <f t="shared" si="39"/>
        <v>0</v>
      </c>
      <c r="P145" s="233">
        <f t="shared" si="40"/>
        <v>0</v>
      </c>
      <c r="Q145" s="66">
        <f t="shared" si="41"/>
        <v>0</v>
      </c>
      <c r="R145" s="283"/>
      <c r="S145" s="37"/>
      <c r="T145" s="37"/>
      <c r="U145" s="38"/>
      <c r="V145" s="38"/>
      <c r="W145" s="38"/>
    </row>
    <row r="146" spans="1:24" ht="27.75" hidden="1" customHeight="1" thickTop="1">
      <c r="A146" s="22">
        <v>7</v>
      </c>
      <c r="B146" s="280" t="s">
        <v>92</v>
      </c>
      <c r="C146" s="271" t="s">
        <v>279</v>
      </c>
      <c r="D146" s="272"/>
      <c r="E146" s="201"/>
      <c r="F146" s="281"/>
      <c r="G146" s="61">
        <v>0</v>
      </c>
      <c r="H146" s="45">
        <v>0</v>
      </c>
      <c r="I146" s="61">
        <v>0</v>
      </c>
      <c r="J146" s="175"/>
      <c r="K146" s="282"/>
      <c r="L146" s="222"/>
      <c r="M146" s="94"/>
      <c r="N146" s="39"/>
      <c r="O146" s="233">
        <f t="shared" si="39"/>
        <v>0</v>
      </c>
      <c r="P146" s="233">
        <f t="shared" si="40"/>
        <v>0</v>
      </c>
      <c r="Q146" s="66">
        <f t="shared" si="41"/>
        <v>0</v>
      </c>
      <c r="R146" s="283"/>
      <c r="S146" s="37"/>
      <c r="T146" s="37"/>
      <c r="U146" s="38"/>
      <c r="V146" s="38"/>
      <c r="W146" s="38"/>
    </row>
    <row r="147" spans="1:24" ht="27.75" hidden="1" customHeight="1" thickTop="1">
      <c r="A147" s="22">
        <v>8</v>
      </c>
      <c r="B147" s="280" t="s">
        <v>91</v>
      </c>
      <c r="C147" s="271" t="s">
        <v>279</v>
      </c>
      <c r="D147" s="284"/>
      <c r="E147" s="201"/>
      <c r="F147" s="281"/>
      <c r="G147" s="61">
        <v>0</v>
      </c>
      <c r="H147" s="45">
        <v>0</v>
      </c>
      <c r="I147" s="61">
        <v>0</v>
      </c>
      <c r="J147" s="175"/>
      <c r="K147" s="282"/>
      <c r="L147" s="222"/>
      <c r="M147" s="94"/>
      <c r="N147" s="39"/>
      <c r="O147" s="233">
        <f t="shared" si="39"/>
        <v>0</v>
      </c>
      <c r="P147" s="233">
        <f t="shared" si="40"/>
        <v>0</v>
      </c>
      <c r="Q147" s="66">
        <f t="shared" si="41"/>
        <v>0</v>
      </c>
      <c r="R147" s="283"/>
      <c r="S147" s="37"/>
      <c r="T147" s="37"/>
      <c r="U147" s="38"/>
      <c r="V147" s="38"/>
      <c r="W147" s="38"/>
    </row>
    <row r="148" spans="1:24" ht="27.75" hidden="1" customHeight="1" thickTop="1">
      <c r="A148" s="22">
        <v>9</v>
      </c>
      <c r="B148" s="280" t="s">
        <v>236</v>
      </c>
      <c r="C148" s="271" t="s">
        <v>279</v>
      </c>
      <c r="D148" s="272">
        <v>0</v>
      </c>
      <c r="E148" s="201"/>
      <c r="F148" s="281"/>
      <c r="G148" s="61">
        <v>0</v>
      </c>
      <c r="H148" s="45">
        <v>0</v>
      </c>
      <c r="I148" s="61">
        <v>0</v>
      </c>
      <c r="J148" s="175"/>
      <c r="K148" s="282"/>
      <c r="L148" s="222"/>
      <c r="M148" s="94"/>
      <c r="N148" s="39"/>
      <c r="O148" s="233">
        <f t="shared" si="39"/>
        <v>0</v>
      </c>
      <c r="P148" s="233">
        <f t="shared" si="40"/>
        <v>0</v>
      </c>
      <c r="Q148" s="66">
        <f t="shared" si="41"/>
        <v>0</v>
      </c>
      <c r="R148" s="283"/>
      <c r="S148" s="37"/>
      <c r="T148" s="37"/>
      <c r="U148" s="38"/>
      <c r="V148" s="38"/>
      <c r="W148" s="38"/>
    </row>
    <row r="149" spans="1:24" ht="27.75" hidden="1" customHeight="1" thickTop="1">
      <c r="A149" s="22">
        <v>10</v>
      </c>
      <c r="B149" s="280" t="s">
        <v>94</v>
      </c>
      <c r="C149" s="280" t="s">
        <v>279</v>
      </c>
      <c r="D149" s="284"/>
      <c r="E149" s="201"/>
      <c r="F149" s="281"/>
      <c r="G149" s="61">
        <v>0</v>
      </c>
      <c r="H149" s="45">
        <v>0</v>
      </c>
      <c r="I149" s="61">
        <v>0</v>
      </c>
      <c r="J149" s="175"/>
      <c r="K149" s="282"/>
      <c r="L149" s="222"/>
      <c r="M149" s="94"/>
      <c r="N149" s="39"/>
      <c r="O149" s="233">
        <f t="shared" si="39"/>
        <v>0</v>
      </c>
      <c r="P149" s="233">
        <f t="shared" si="40"/>
        <v>0</v>
      </c>
      <c r="Q149" s="66">
        <f t="shared" si="41"/>
        <v>0</v>
      </c>
      <c r="R149" s="36"/>
      <c r="S149" s="37"/>
      <c r="T149" s="37"/>
      <c r="U149" s="38"/>
      <c r="V149" s="38"/>
      <c r="W149" s="38"/>
    </row>
    <row r="150" spans="1:24" ht="27.75" hidden="1" customHeight="1" thickTop="1">
      <c r="A150" s="22">
        <v>11</v>
      </c>
      <c r="B150" s="270"/>
      <c r="C150" s="285"/>
      <c r="D150" s="286"/>
      <c r="E150" s="273"/>
      <c r="F150" s="274"/>
      <c r="G150" s="65">
        <v>0</v>
      </c>
      <c r="H150" s="45">
        <v>0</v>
      </c>
      <c r="I150" s="61">
        <v>0</v>
      </c>
      <c r="J150" s="275"/>
      <c r="K150" s="276"/>
      <c r="L150" s="277"/>
      <c r="M150" s="232"/>
      <c r="N150" s="251"/>
      <c r="O150" s="233">
        <f t="shared" si="39"/>
        <v>0</v>
      </c>
      <c r="P150" s="233">
        <f t="shared" si="40"/>
        <v>0</v>
      </c>
      <c r="Q150" s="66">
        <f t="shared" si="41"/>
        <v>0</v>
      </c>
      <c r="R150" s="36"/>
      <c r="S150" s="37"/>
      <c r="T150" s="37"/>
      <c r="U150" s="38"/>
      <c r="V150" s="38"/>
      <c r="W150" s="38"/>
    </row>
    <row r="151" spans="1:24" ht="27.75" hidden="1" customHeight="1" thickTop="1">
      <c r="A151" s="22"/>
      <c r="B151" s="131" t="s">
        <v>22</v>
      </c>
      <c r="C151" s="132"/>
      <c r="D151" s="133">
        <f>SUM(D140:D150)</f>
        <v>0</v>
      </c>
      <c r="E151" s="134"/>
      <c r="F151" s="135"/>
      <c r="G151" s="136">
        <f>SUM(G140:G150)</f>
        <v>0</v>
      </c>
      <c r="H151" s="136">
        <f t="shared" ref="H151:I151" si="42">SUM(H140:H150)</f>
        <v>0</v>
      </c>
      <c r="I151" s="136">
        <f t="shared" si="42"/>
        <v>0</v>
      </c>
      <c r="J151" s="287"/>
      <c r="K151" s="137"/>
      <c r="L151" s="138">
        <f>SUM(L144:L150)</f>
        <v>0</v>
      </c>
      <c r="M151" s="139"/>
      <c r="N151" s="133"/>
      <c r="O151" s="136">
        <f>SUM(O140:O150)</f>
        <v>0</v>
      </c>
      <c r="P151" s="136">
        <f t="shared" ref="P151:Q151" si="43">SUM(P140:P150)</f>
        <v>0</v>
      </c>
      <c r="Q151" s="136">
        <f t="shared" si="43"/>
        <v>0</v>
      </c>
      <c r="R151" s="36"/>
      <c r="S151" s="37"/>
      <c r="T151" s="37"/>
      <c r="U151" s="38"/>
      <c r="V151" s="38"/>
      <c r="W151" s="38"/>
    </row>
    <row r="152" spans="1:24" ht="27.75" customHeight="1" thickTop="1">
      <c r="A152" s="22"/>
      <c r="B152" s="288" t="s">
        <v>283</v>
      </c>
      <c r="C152" s="289"/>
      <c r="D152" s="272"/>
      <c r="E152" s="201"/>
      <c r="F152" s="281"/>
      <c r="G152" s="290"/>
      <c r="H152" s="290"/>
      <c r="I152" s="290"/>
      <c r="J152" s="291"/>
      <c r="K152" s="292"/>
      <c r="L152" s="222"/>
      <c r="M152" s="94"/>
      <c r="N152" s="39"/>
      <c r="O152" s="293"/>
      <c r="P152" s="293"/>
      <c r="Q152" s="294"/>
      <c r="R152" s="36"/>
      <c r="S152" s="37"/>
      <c r="T152" s="37"/>
      <c r="U152" s="38"/>
      <c r="V152" s="38"/>
      <c r="W152" s="295"/>
    </row>
    <row r="153" spans="1:24" ht="27.75" customHeight="1">
      <c r="A153" s="94">
        <v>1</v>
      </c>
      <c r="B153" s="205" t="s">
        <v>192</v>
      </c>
      <c r="C153" s="206" t="s">
        <v>284</v>
      </c>
      <c r="D153" s="296">
        <v>66660</v>
      </c>
      <c r="E153" s="64"/>
      <c r="F153" s="44"/>
      <c r="G153" s="45">
        <v>0</v>
      </c>
      <c r="H153" s="45">
        <v>0</v>
      </c>
      <c r="I153" s="66">
        <v>0</v>
      </c>
      <c r="J153" s="183">
        <v>46117</v>
      </c>
      <c r="K153" s="184" t="s">
        <v>1238</v>
      </c>
      <c r="L153" s="231">
        <v>66660</v>
      </c>
      <c r="M153" s="186"/>
      <c r="N153" s="116">
        <v>0</v>
      </c>
      <c r="O153" s="233">
        <f>SUM(D153+G153-L153)</f>
        <v>0</v>
      </c>
      <c r="P153" s="233">
        <v>0</v>
      </c>
      <c r="Q153" s="66">
        <f>SUM(D153+I153-L153)</f>
        <v>0</v>
      </c>
      <c r="R153" s="297" t="s">
        <v>287</v>
      </c>
      <c r="S153" s="298">
        <v>44682</v>
      </c>
      <c r="T153" s="299">
        <v>45565</v>
      </c>
      <c r="U153" s="56">
        <v>347760</v>
      </c>
      <c r="V153" s="56" t="s">
        <v>288</v>
      </c>
      <c r="W153" s="295" t="s">
        <v>289</v>
      </c>
      <c r="X153" s="4" t="s">
        <v>290</v>
      </c>
    </row>
    <row r="154" spans="1:24" ht="27.75" customHeight="1">
      <c r="A154" s="83"/>
      <c r="B154" s="208" t="s">
        <v>291</v>
      </c>
      <c r="C154" s="209"/>
      <c r="D154" s="300"/>
      <c r="E154" s="211"/>
      <c r="F154" s="212"/>
      <c r="G154" s="213"/>
      <c r="H154" s="213"/>
      <c r="I154" s="214"/>
      <c r="J154" s="301"/>
      <c r="K154" s="302"/>
      <c r="L154" s="303"/>
      <c r="M154" s="304"/>
      <c r="N154" s="217"/>
      <c r="O154" s="305"/>
      <c r="P154" s="305"/>
      <c r="Q154" s="214"/>
      <c r="R154" s="306"/>
      <c r="S154" s="307"/>
      <c r="T154" s="37"/>
      <c r="U154" s="38"/>
      <c r="V154" s="38"/>
    </row>
    <row r="155" spans="1:24" ht="27.75" customHeight="1" thickBot="1">
      <c r="A155" s="193"/>
      <c r="B155" s="308" t="s">
        <v>22</v>
      </c>
      <c r="C155" s="309"/>
      <c r="D155" s="310">
        <f>SUM(D153:D154)</f>
        <v>66660</v>
      </c>
      <c r="E155" s="311"/>
      <c r="F155" s="312"/>
      <c r="G155" s="313">
        <f>SUM(G153:G154)</f>
        <v>0</v>
      </c>
      <c r="H155" s="313">
        <v>0</v>
      </c>
      <c r="I155" s="313">
        <f>SUM(I153)</f>
        <v>0</v>
      </c>
      <c r="J155" s="314"/>
      <c r="K155" s="314"/>
      <c r="L155" s="310">
        <f>SUM(L153:L154)</f>
        <v>66660</v>
      </c>
      <c r="M155" s="315"/>
      <c r="N155" s="310"/>
      <c r="O155" s="198">
        <f>SUM(O153:O154)-O153</f>
        <v>0</v>
      </c>
      <c r="P155" s="198">
        <f t="shared" ref="P155:Q155" si="44">SUM(P153:P154)-P153</f>
        <v>0</v>
      </c>
      <c r="Q155" s="198">
        <f t="shared" si="44"/>
        <v>0</v>
      </c>
      <c r="R155" s="36"/>
      <c r="S155" s="37"/>
      <c r="T155" s="37"/>
      <c r="U155" s="38"/>
      <c r="V155" s="38"/>
      <c r="W155" s="38"/>
    </row>
    <row r="156" spans="1:24" ht="27.75" customHeight="1" thickTop="1">
      <c r="A156" s="22"/>
      <c r="B156" s="23" t="s">
        <v>292</v>
      </c>
      <c r="C156" s="24"/>
      <c r="D156" s="25"/>
      <c r="E156" s="26"/>
      <c r="F156" s="27"/>
      <c r="G156" s="28"/>
      <c r="H156" s="28"/>
      <c r="I156" s="28"/>
      <c r="J156" s="29"/>
      <c r="K156" s="30"/>
      <c r="L156" s="31"/>
      <c r="M156" s="32"/>
      <c r="N156" s="33"/>
      <c r="O156" s="34"/>
      <c r="P156" s="34"/>
      <c r="Q156" s="35"/>
      <c r="R156" s="36"/>
      <c r="S156" s="37"/>
      <c r="T156" s="37"/>
      <c r="U156" s="38"/>
      <c r="V156" s="38"/>
      <c r="W156" s="38"/>
    </row>
    <row r="157" spans="1:24" ht="27.75" customHeight="1">
      <c r="A157" s="316">
        <v>1</v>
      </c>
      <c r="B157" s="280" t="s">
        <v>249</v>
      </c>
      <c r="C157" s="280" t="s">
        <v>250</v>
      </c>
      <c r="D157" s="272">
        <v>181.9</v>
      </c>
      <c r="E157" s="201" t="s">
        <v>45</v>
      </c>
      <c r="F157" s="281">
        <v>0</v>
      </c>
      <c r="G157" s="61">
        <v>0</v>
      </c>
      <c r="H157" s="61">
        <v>0</v>
      </c>
      <c r="I157" s="61">
        <v>0</v>
      </c>
      <c r="J157" s="317"/>
      <c r="K157" s="318"/>
      <c r="L157" s="319">
        <v>0</v>
      </c>
      <c r="M157" s="320" t="s">
        <v>1109</v>
      </c>
      <c r="N157" s="39">
        <v>1</v>
      </c>
      <c r="O157" s="233">
        <f>+(D157*100/107)+G157-(L157*100/107)</f>
        <v>170</v>
      </c>
      <c r="P157" s="233">
        <f>ROUND((O157*0.07),2)</f>
        <v>11.9</v>
      </c>
      <c r="Q157" s="66">
        <f>SUM(D157+I157-L157)</f>
        <v>181.9</v>
      </c>
      <c r="R157" s="36"/>
      <c r="S157" s="37"/>
      <c r="T157" s="37"/>
      <c r="U157" s="38"/>
      <c r="V157" s="38"/>
      <c r="W157" s="38"/>
    </row>
    <row r="158" spans="1:24" ht="27.75" customHeight="1">
      <c r="A158" s="316">
        <v>2</v>
      </c>
      <c r="B158" s="280" t="s">
        <v>294</v>
      </c>
      <c r="C158" s="280" t="s">
        <v>255</v>
      </c>
      <c r="D158" s="272">
        <v>74.900000000000006</v>
      </c>
      <c r="E158" s="201" t="s">
        <v>952</v>
      </c>
      <c r="F158" s="281">
        <v>1</v>
      </c>
      <c r="G158" s="61">
        <v>30</v>
      </c>
      <c r="H158" s="61">
        <v>2.1</v>
      </c>
      <c r="I158" s="61">
        <v>32.1</v>
      </c>
      <c r="J158" s="321">
        <v>46114</v>
      </c>
      <c r="K158" s="322" t="s">
        <v>1239</v>
      </c>
      <c r="L158" s="323">
        <v>32.1</v>
      </c>
      <c r="M158" s="320" t="s">
        <v>1109</v>
      </c>
      <c r="N158" s="39">
        <v>1</v>
      </c>
      <c r="O158" s="233">
        <f t="shared" ref="O158:O164" si="45">+(D158*100/107)+G158-(L158*100/107)</f>
        <v>70.000000000000014</v>
      </c>
      <c r="P158" s="233">
        <f t="shared" ref="P158:P164" si="46">ROUND((O158*0.07),2)</f>
        <v>4.9000000000000004</v>
      </c>
      <c r="Q158" s="66">
        <f t="shared" ref="Q158:Q164" si="47">SUM(D158+I158-L158)</f>
        <v>74.900000000000006</v>
      </c>
      <c r="R158" s="36"/>
      <c r="S158" s="37"/>
      <c r="T158" s="37"/>
      <c r="U158" s="38"/>
      <c r="V158" s="38"/>
      <c r="W158" s="38"/>
    </row>
    <row r="159" spans="1:24" ht="27.75" customHeight="1">
      <c r="A159" s="316">
        <v>3</v>
      </c>
      <c r="B159" s="270" t="s">
        <v>295</v>
      </c>
      <c r="C159" s="285" t="s">
        <v>255</v>
      </c>
      <c r="D159" s="284">
        <v>21.4</v>
      </c>
      <c r="E159" s="273" t="s">
        <v>45</v>
      </c>
      <c r="F159" s="274">
        <v>0</v>
      </c>
      <c r="G159" s="61">
        <v>0</v>
      </c>
      <c r="H159" s="61">
        <v>0</v>
      </c>
      <c r="I159" s="61">
        <v>0</v>
      </c>
      <c r="J159" s="321">
        <v>46139</v>
      </c>
      <c r="K159" s="322" t="s">
        <v>1240</v>
      </c>
      <c r="L159" s="323">
        <v>21.4</v>
      </c>
      <c r="M159" s="320" t="s">
        <v>45</v>
      </c>
      <c r="N159" s="251">
        <v>0</v>
      </c>
      <c r="O159" s="233">
        <f t="shared" si="45"/>
        <v>0</v>
      </c>
      <c r="P159" s="233">
        <f t="shared" si="46"/>
        <v>0</v>
      </c>
      <c r="Q159" s="66">
        <f t="shared" si="47"/>
        <v>0</v>
      </c>
      <c r="R159" s="36"/>
      <c r="S159" s="37"/>
      <c r="T159" s="37"/>
      <c r="U159" s="38"/>
      <c r="V159" s="38"/>
      <c r="W159" s="38"/>
    </row>
    <row r="160" spans="1:24" ht="27.75" customHeight="1">
      <c r="A160" s="22">
        <v>4</v>
      </c>
      <c r="B160" s="270" t="s">
        <v>296</v>
      </c>
      <c r="C160" s="270" t="s">
        <v>262</v>
      </c>
      <c r="D160" s="284">
        <v>0</v>
      </c>
      <c r="E160" s="273" t="s">
        <v>45</v>
      </c>
      <c r="F160" s="274">
        <v>0</v>
      </c>
      <c r="G160" s="65">
        <v>0</v>
      </c>
      <c r="H160" s="65">
        <v>0</v>
      </c>
      <c r="I160" s="65">
        <v>0</v>
      </c>
      <c r="J160" s="324"/>
      <c r="K160" s="325"/>
      <c r="L160" s="326">
        <v>0</v>
      </c>
      <c r="M160" s="327" t="s">
        <v>45</v>
      </c>
      <c r="N160" s="251">
        <v>0</v>
      </c>
      <c r="O160" s="233">
        <f t="shared" si="45"/>
        <v>0</v>
      </c>
      <c r="P160" s="233">
        <f t="shared" si="46"/>
        <v>0</v>
      </c>
      <c r="Q160" s="66">
        <f t="shared" si="47"/>
        <v>0</v>
      </c>
      <c r="R160" s="36"/>
      <c r="S160" s="37"/>
      <c r="T160" s="37"/>
      <c r="U160" s="38"/>
      <c r="V160" s="38"/>
      <c r="W160" s="38"/>
    </row>
    <row r="161" spans="1:24" ht="27.75" customHeight="1">
      <c r="A161" s="22">
        <v>5</v>
      </c>
      <c r="B161" s="270" t="s">
        <v>298</v>
      </c>
      <c r="C161" s="270" t="s">
        <v>199</v>
      </c>
      <c r="D161" s="284">
        <v>32.1</v>
      </c>
      <c r="E161" s="273" t="s">
        <v>45</v>
      </c>
      <c r="F161" s="274">
        <v>0</v>
      </c>
      <c r="G161" s="65">
        <v>0</v>
      </c>
      <c r="H161" s="65">
        <v>0</v>
      </c>
      <c r="I161" s="65">
        <v>0</v>
      </c>
      <c r="J161" s="328">
        <v>46142</v>
      </c>
      <c r="K161" s="329" t="s">
        <v>1241</v>
      </c>
      <c r="L161" s="330">
        <v>32.1</v>
      </c>
      <c r="M161" s="327" t="s">
        <v>45</v>
      </c>
      <c r="N161" s="251">
        <v>0</v>
      </c>
      <c r="O161" s="233">
        <f t="shared" si="45"/>
        <v>0</v>
      </c>
      <c r="P161" s="233">
        <f t="shared" si="46"/>
        <v>0</v>
      </c>
      <c r="Q161" s="66">
        <f t="shared" si="47"/>
        <v>0</v>
      </c>
      <c r="R161" s="36"/>
      <c r="S161" s="37"/>
      <c r="T161" s="37"/>
      <c r="U161" s="38"/>
      <c r="V161" s="38"/>
      <c r="W161" s="38"/>
    </row>
    <row r="162" spans="1:24" ht="27.75" customHeight="1">
      <c r="A162" s="22">
        <v>6</v>
      </c>
      <c r="B162" s="270" t="s">
        <v>156</v>
      </c>
      <c r="C162" s="270" t="s">
        <v>208</v>
      </c>
      <c r="D162" s="284">
        <v>128.4</v>
      </c>
      <c r="E162" s="273" t="s">
        <v>45</v>
      </c>
      <c r="F162" s="274">
        <v>0</v>
      </c>
      <c r="G162" s="65">
        <v>0</v>
      </c>
      <c r="H162" s="65">
        <v>0</v>
      </c>
      <c r="I162" s="65">
        <v>0</v>
      </c>
      <c r="J162" s="328">
        <v>46120</v>
      </c>
      <c r="K162" s="329" t="s">
        <v>1242</v>
      </c>
      <c r="L162" s="330">
        <v>128.4</v>
      </c>
      <c r="M162" s="327" t="s">
        <v>45</v>
      </c>
      <c r="N162" s="251">
        <v>0</v>
      </c>
      <c r="O162" s="233">
        <f t="shared" si="45"/>
        <v>0</v>
      </c>
      <c r="P162" s="233">
        <f t="shared" si="46"/>
        <v>0</v>
      </c>
      <c r="Q162" s="66">
        <f t="shared" si="47"/>
        <v>0</v>
      </c>
      <c r="R162" s="36"/>
      <c r="S162" s="37"/>
      <c r="T162" s="37"/>
      <c r="U162" s="38"/>
      <c r="V162" s="38"/>
      <c r="W162" s="38"/>
    </row>
    <row r="163" spans="1:24" ht="27.75" customHeight="1">
      <c r="A163" s="22">
        <v>7</v>
      </c>
      <c r="B163" s="270" t="s">
        <v>273</v>
      </c>
      <c r="C163" s="270" t="s">
        <v>211</v>
      </c>
      <c r="D163" s="284">
        <v>64.2</v>
      </c>
      <c r="E163" s="273" t="s">
        <v>45</v>
      </c>
      <c r="F163" s="274">
        <v>0</v>
      </c>
      <c r="G163" s="65">
        <v>0</v>
      </c>
      <c r="H163" s="65">
        <v>0</v>
      </c>
      <c r="I163" s="65">
        <v>0</v>
      </c>
      <c r="J163" s="328">
        <v>46133</v>
      </c>
      <c r="K163" s="329" t="s">
        <v>1243</v>
      </c>
      <c r="L163" s="330">
        <v>64.2</v>
      </c>
      <c r="M163" s="327" t="s">
        <v>45</v>
      </c>
      <c r="N163" s="251">
        <v>0</v>
      </c>
      <c r="O163" s="233">
        <f t="shared" si="45"/>
        <v>0</v>
      </c>
      <c r="P163" s="233">
        <f t="shared" si="46"/>
        <v>0</v>
      </c>
      <c r="Q163" s="66">
        <f t="shared" si="47"/>
        <v>0</v>
      </c>
      <c r="R163" s="36"/>
      <c r="S163" s="37"/>
      <c r="T163" s="37"/>
      <c r="U163" s="38"/>
      <c r="V163" s="38"/>
      <c r="W163" s="38"/>
    </row>
    <row r="164" spans="1:24" ht="27.75" customHeight="1">
      <c r="A164" s="22">
        <v>8</v>
      </c>
      <c r="B164" s="270" t="s">
        <v>92</v>
      </c>
      <c r="C164" s="270" t="s">
        <v>302</v>
      </c>
      <c r="D164" s="284">
        <v>214</v>
      </c>
      <c r="E164" s="273" t="s">
        <v>45</v>
      </c>
      <c r="F164" s="274">
        <v>0</v>
      </c>
      <c r="G164" s="65">
        <v>0</v>
      </c>
      <c r="H164" s="65">
        <v>0</v>
      </c>
      <c r="I164" s="65">
        <v>0</v>
      </c>
      <c r="J164" s="331">
        <v>46139</v>
      </c>
      <c r="K164" s="332" t="s">
        <v>1244</v>
      </c>
      <c r="L164" s="333">
        <v>214</v>
      </c>
      <c r="M164" s="327" t="s">
        <v>45</v>
      </c>
      <c r="N164" s="251">
        <v>0</v>
      </c>
      <c r="O164" s="233">
        <f t="shared" si="45"/>
        <v>0</v>
      </c>
      <c r="P164" s="233">
        <f t="shared" si="46"/>
        <v>0</v>
      </c>
      <c r="Q164" s="66">
        <f t="shared" si="47"/>
        <v>0</v>
      </c>
      <c r="R164" s="36"/>
      <c r="S164" s="37"/>
      <c r="T164" s="37"/>
      <c r="U164" s="38"/>
      <c r="V164" s="38"/>
      <c r="W164" s="38"/>
    </row>
    <row r="165" spans="1:24" ht="27.75" customHeight="1">
      <c r="A165" s="22"/>
      <c r="B165" s="270"/>
      <c r="C165" s="270"/>
      <c r="D165" s="284"/>
      <c r="E165" s="273"/>
      <c r="F165" s="274"/>
      <c r="G165" s="65"/>
      <c r="H165" s="65"/>
      <c r="I165" s="65"/>
      <c r="J165" s="334"/>
      <c r="K165" s="335"/>
      <c r="L165" s="336"/>
      <c r="M165" s="327"/>
      <c r="N165" s="251"/>
      <c r="O165" s="337"/>
      <c r="P165" s="337"/>
      <c r="Q165" s="229"/>
      <c r="R165" s="36"/>
      <c r="S165" s="37"/>
      <c r="T165" s="37"/>
      <c r="U165" s="38"/>
      <c r="V165" s="38"/>
      <c r="W165" s="38"/>
    </row>
    <row r="166" spans="1:24" ht="27.75" customHeight="1" thickBot="1">
      <c r="A166" s="193"/>
      <c r="B166" s="194"/>
      <c r="C166" s="195"/>
      <c r="D166" s="196">
        <f>SUM(D157:D164)</f>
        <v>716.90000000000009</v>
      </c>
      <c r="E166" s="221"/>
      <c r="F166" s="197"/>
      <c r="G166" s="198">
        <f>SUM(G157:G165)</f>
        <v>30</v>
      </c>
      <c r="H166" s="198">
        <f t="shared" ref="H166:I166" si="48">SUM(H157:H165)</f>
        <v>2.1</v>
      </c>
      <c r="I166" s="198">
        <f t="shared" si="48"/>
        <v>32.1</v>
      </c>
      <c r="J166" s="338"/>
      <c r="K166" s="199"/>
      <c r="L166" s="196">
        <f>SUM(L157:L164)</f>
        <v>492.2</v>
      </c>
      <c r="M166" s="200"/>
      <c r="N166" s="196"/>
      <c r="O166" s="198">
        <f>SUM(O157:O164)</f>
        <v>240</v>
      </c>
      <c r="P166" s="198">
        <f t="shared" ref="P166:Q166" si="49">SUM(P157:P164)</f>
        <v>16.8</v>
      </c>
      <c r="Q166" s="198">
        <f t="shared" si="49"/>
        <v>256.8</v>
      </c>
      <c r="R166" s="36"/>
      <c r="S166" s="37"/>
      <c r="T166" s="37"/>
      <c r="U166" s="38"/>
      <c r="V166" s="38"/>
      <c r="W166" s="38"/>
    </row>
    <row r="167" spans="1:24" ht="27.75" customHeight="1" thickTop="1">
      <c r="A167" s="22"/>
      <c r="B167" s="288" t="s">
        <v>304</v>
      </c>
      <c r="C167" s="289"/>
      <c r="D167" s="272"/>
      <c r="E167" s="201"/>
      <c r="F167" s="281"/>
      <c r="G167" s="290"/>
      <c r="H167" s="290"/>
      <c r="I167" s="290"/>
      <c r="J167" s="291"/>
      <c r="K167" s="292"/>
      <c r="L167" s="222"/>
      <c r="M167" s="94"/>
      <c r="N167" s="39"/>
      <c r="O167" s="293"/>
      <c r="P167" s="293"/>
      <c r="Q167" s="294"/>
      <c r="R167" s="36"/>
      <c r="S167" s="37"/>
      <c r="T167" s="37"/>
      <c r="U167" s="38"/>
      <c r="V167" s="38"/>
      <c r="W167" s="38"/>
    </row>
    <row r="168" spans="1:24" ht="27.75" customHeight="1">
      <c r="A168" s="339"/>
      <c r="B168" s="340" t="s">
        <v>305</v>
      </c>
      <c r="C168" s="289"/>
      <c r="D168" s="272"/>
      <c r="E168" s="201"/>
      <c r="F168" s="341"/>
      <c r="G168" s="187"/>
      <c r="H168" s="187"/>
      <c r="I168" s="290"/>
      <c r="J168" s="342"/>
      <c r="K168" s="343"/>
      <c r="L168" s="264"/>
      <c r="M168" s="94"/>
      <c r="N168" s="116"/>
      <c r="O168" s="344"/>
      <c r="P168" s="344"/>
      <c r="Q168" s="294"/>
      <c r="R168" s="36"/>
      <c r="S168" s="37"/>
      <c r="T168" s="37"/>
      <c r="U168" s="38"/>
      <c r="V168" s="38"/>
      <c r="W168" s="345"/>
    </row>
    <row r="169" spans="1:24" ht="27.75" customHeight="1">
      <c r="A169" s="186">
        <v>1</v>
      </c>
      <c r="B169" s="205" t="s">
        <v>24</v>
      </c>
      <c r="C169" s="346" t="s">
        <v>25</v>
      </c>
      <c r="D169" s="141">
        <v>1410</v>
      </c>
      <c r="E169" s="43" t="s">
        <v>45</v>
      </c>
      <c r="F169" s="44">
        <v>0</v>
      </c>
      <c r="G169" s="45">
        <v>0</v>
      </c>
      <c r="H169" s="45"/>
      <c r="I169" s="47">
        <v>0</v>
      </c>
      <c r="J169" s="113">
        <v>46114</v>
      </c>
      <c r="K169" s="114" t="s">
        <v>1245</v>
      </c>
      <c r="L169" s="347">
        <v>1410</v>
      </c>
      <c r="M169" s="94" t="s">
        <v>45</v>
      </c>
      <c r="N169" s="116">
        <v>0</v>
      </c>
      <c r="O169" s="233">
        <f t="shared" ref="O169:O219" si="50">+I169+D169-L169</f>
        <v>0</v>
      </c>
      <c r="P169" s="233"/>
      <c r="Q169" s="47">
        <f t="shared" ref="Q169:Q219" si="51">+O169+P169</f>
        <v>0</v>
      </c>
      <c r="R169" s="348" t="s">
        <v>195</v>
      </c>
      <c r="S169" s="299" t="s">
        <v>307</v>
      </c>
      <c r="T169" s="299" t="s">
        <v>308</v>
      </c>
      <c r="U169" s="56">
        <v>3660</v>
      </c>
      <c r="V169" s="349" t="s">
        <v>309</v>
      </c>
      <c r="W169" s="295" t="s">
        <v>289</v>
      </c>
      <c r="X169" s="4" t="s">
        <v>310</v>
      </c>
    </row>
    <row r="170" spans="1:24" ht="27.75" customHeight="1">
      <c r="A170" s="186">
        <v>2</v>
      </c>
      <c r="B170" s="205" t="s">
        <v>28</v>
      </c>
      <c r="C170" s="346" t="s">
        <v>311</v>
      </c>
      <c r="D170" s="141">
        <v>1410</v>
      </c>
      <c r="E170" s="43" t="s">
        <v>45</v>
      </c>
      <c r="F170" s="44">
        <v>0</v>
      </c>
      <c r="G170" s="45">
        <v>0</v>
      </c>
      <c r="H170" s="45"/>
      <c r="I170" s="47">
        <v>0</v>
      </c>
      <c r="J170" s="113" t="s">
        <v>1187</v>
      </c>
      <c r="K170" s="114" t="s">
        <v>1246</v>
      </c>
      <c r="L170" s="347">
        <v>2820</v>
      </c>
      <c r="M170" s="94" t="s">
        <v>1161</v>
      </c>
      <c r="N170" s="116">
        <v>-1</v>
      </c>
      <c r="O170" s="233">
        <f t="shared" si="50"/>
        <v>-1410</v>
      </c>
      <c r="P170" s="233"/>
      <c r="Q170" s="47">
        <f t="shared" si="51"/>
        <v>-1410</v>
      </c>
      <c r="R170" s="348" t="s">
        <v>195</v>
      </c>
      <c r="S170" s="299" t="s">
        <v>307</v>
      </c>
      <c r="T170" s="299" t="s">
        <v>308</v>
      </c>
      <c r="U170" s="56">
        <v>36600</v>
      </c>
      <c r="V170" s="349" t="s">
        <v>313</v>
      </c>
      <c r="W170" s="4" t="s">
        <v>314</v>
      </c>
      <c r="X170" s="295" t="s">
        <v>289</v>
      </c>
    </row>
    <row r="171" spans="1:24" ht="27.75" customHeight="1">
      <c r="A171" s="186">
        <v>3</v>
      </c>
      <c r="B171" s="205" t="s">
        <v>28</v>
      </c>
      <c r="C171" s="346" t="s">
        <v>315</v>
      </c>
      <c r="D171" s="141">
        <v>1410</v>
      </c>
      <c r="E171" s="43" t="s">
        <v>45</v>
      </c>
      <c r="F171" s="44">
        <v>0</v>
      </c>
      <c r="G171" s="45">
        <v>0</v>
      </c>
      <c r="H171" s="45"/>
      <c r="I171" s="47">
        <v>0</v>
      </c>
      <c r="J171" s="113" t="s">
        <v>1187</v>
      </c>
      <c r="K171" s="114" t="s">
        <v>1246</v>
      </c>
      <c r="L171" s="347">
        <v>2820</v>
      </c>
      <c r="M171" s="94" t="s">
        <v>1161</v>
      </c>
      <c r="N171" s="116">
        <v>-1</v>
      </c>
      <c r="O171" s="233">
        <f t="shared" si="50"/>
        <v>-1410</v>
      </c>
      <c r="P171" s="233"/>
      <c r="Q171" s="47">
        <f t="shared" si="51"/>
        <v>-1410</v>
      </c>
      <c r="R171" s="348"/>
      <c r="S171" s="299"/>
      <c r="T171" s="299"/>
      <c r="U171" s="56"/>
      <c r="V171" s="349"/>
      <c r="X171" s="295"/>
    </row>
    <row r="172" spans="1:24" ht="27.75" customHeight="1">
      <c r="A172" s="186">
        <v>4</v>
      </c>
      <c r="B172" s="205" t="s">
        <v>24</v>
      </c>
      <c r="C172" s="346" t="s">
        <v>316</v>
      </c>
      <c r="D172" s="141">
        <v>1410</v>
      </c>
      <c r="E172" s="43" t="s">
        <v>45</v>
      </c>
      <c r="F172" s="44">
        <v>0</v>
      </c>
      <c r="G172" s="45">
        <v>0</v>
      </c>
      <c r="H172" s="45"/>
      <c r="I172" s="47">
        <v>0</v>
      </c>
      <c r="J172" s="113">
        <v>46114</v>
      </c>
      <c r="K172" s="114" t="s">
        <v>1245</v>
      </c>
      <c r="L172" s="347">
        <v>1410</v>
      </c>
      <c r="M172" s="94" t="s">
        <v>45</v>
      </c>
      <c r="N172" s="116">
        <v>0</v>
      </c>
      <c r="O172" s="233">
        <f t="shared" si="50"/>
        <v>0</v>
      </c>
      <c r="P172" s="233"/>
      <c r="Q172" s="47">
        <f t="shared" si="51"/>
        <v>0</v>
      </c>
      <c r="R172" s="348" t="s">
        <v>195</v>
      </c>
      <c r="S172" s="299" t="s">
        <v>307</v>
      </c>
      <c r="T172" s="299" t="s">
        <v>308</v>
      </c>
      <c r="U172" s="56">
        <v>10980</v>
      </c>
      <c r="V172" s="349" t="s">
        <v>317</v>
      </c>
      <c r="W172" s="295" t="s">
        <v>289</v>
      </c>
      <c r="X172" s="4" t="s">
        <v>310</v>
      </c>
    </row>
    <row r="173" spans="1:24" ht="27.75" customHeight="1">
      <c r="A173" s="186">
        <v>5</v>
      </c>
      <c r="B173" s="205" t="s">
        <v>24</v>
      </c>
      <c r="C173" s="346" t="s">
        <v>318</v>
      </c>
      <c r="D173" s="141">
        <v>1410</v>
      </c>
      <c r="E173" s="43" t="s">
        <v>45</v>
      </c>
      <c r="F173" s="44">
        <v>0</v>
      </c>
      <c r="G173" s="45">
        <v>0</v>
      </c>
      <c r="H173" s="45"/>
      <c r="I173" s="47">
        <v>0</v>
      </c>
      <c r="J173" s="113">
        <v>46114</v>
      </c>
      <c r="K173" s="114" t="s">
        <v>1245</v>
      </c>
      <c r="L173" s="347">
        <v>1410</v>
      </c>
      <c r="M173" s="94" t="s">
        <v>45</v>
      </c>
      <c r="N173" s="116">
        <v>0</v>
      </c>
      <c r="O173" s="233">
        <f t="shared" si="50"/>
        <v>0</v>
      </c>
      <c r="P173" s="233"/>
      <c r="Q173" s="47">
        <f t="shared" si="51"/>
        <v>0</v>
      </c>
      <c r="R173" s="348"/>
      <c r="S173" s="299"/>
      <c r="T173" s="299"/>
      <c r="U173" s="56"/>
      <c r="V173" s="349"/>
      <c r="W173" s="295"/>
    </row>
    <row r="174" spans="1:24" ht="27.75" customHeight="1">
      <c r="A174" s="186">
        <v>6</v>
      </c>
      <c r="B174" s="205" t="s">
        <v>24</v>
      </c>
      <c r="C174" s="346" t="s">
        <v>319</v>
      </c>
      <c r="D174" s="141">
        <v>1410</v>
      </c>
      <c r="E174" s="43" t="s">
        <v>45</v>
      </c>
      <c r="F174" s="44">
        <v>0</v>
      </c>
      <c r="G174" s="45">
        <v>0</v>
      </c>
      <c r="H174" s="45"/>
      <c r="I174" s="47">
        <v>0</v>
      </c>
      <c r="J174" s="113">
        <v>46114</v>
      </c>
      <c r="K174" s="114" t="s">
        <v>1245</v>
      </c>
      <c r="L174" s="347">
        <v>1410</v>
      </c>
      <c r="M174" s="94" t="s">
        <v>45</v>
      </c>
      <c r="N174" s="116">
        <v>0</v>
      </c>
      <c r="O174" s="233">
        <f t="shared" si="50"/>
        <v>0</v>
      </c>
      <c r="P174" s="233"/>
      <c r="Q174" s="47">
        <f t="shared" si="51"/>
        <v>0</v>
      </c>
      <c r="R174" s="348"/>
      <c r="S174" s="299"/>
      <c r="T174" s="299"/>
      <c r="U174" s="56"/>
      <c r="V174" s="349"/>
      <c r="W174" s="295"/>
    </row>
    <row r="175" spans="1:24" ht="27.75" customHeight="1">
      <c r="A175" s="186">
        <v>7</v>
      </c>
      <c r="B175" s="205" t="s">
        <v>28</v>
      </c>
      <c r="C175" s="346" t="s">
        <v>320</v>
      </c>
      <c r="D175" s="141">
        <v>1410</v>
      </c>
      <c r="E175" s="43" t="s">
        <v>45</v>
      </c>
      <c r="F175" s="44">
        <v>0</v>
      </c>
      <c r="G175" s="45">
        <v>0</v>
      </c>
      <c r="H175" s="45"/>
      <c r="I175" s="47">
        <v>0</v>
      </c>
      <c r="J175" s="113" t="s">
        <v>1187</v>
      </c>
      <c r="K175" s="114" t="s">
        <v>1246</v>
      </c>
      <c r="L175" s="347">
        <v>2820</v>
      </c>
      <c r="M175" s="94" t="s">
        <v>1161</v>
      </c>
      <c r="N175" s="116">
        <v>-1</v>
      </c>
      <c r="O175" s="233">
        <f t="shared" si="50"/>
        <v>-1410</v>
      </c>
      <c r="P175" s="233"/>
      <c r="Q175" s="47">
        <f t="shared" si="51"/>
        <v>-1410</v>
      </c>
      <c r="R175" s="348"/>
      <c r="S175" s="299"/>
      <c r="T175" s="299"/>
      <c r="U175" s="56"/>
      <c r="V175" s="349"/>
      <c r="W175" s="295"/>
    </row>
    <row r="176" spans="1:24" ht="27.75" customHeight="1">
      <c r="A176" s="186">
        <v>8</v>
      </c>
      <c r="B176" s="205" t="s">
        <v>28</v>
      </c>
      <c r="C176" s="346" t="s">
        <v>321</v>
      </c>
      <c r="D176" s="141">
        <v>1410</v>
      </c>
      <c r="E176" s="43" t="s">
        <v>45</v>
      </c>
      <c r="F176" s="44">
        <v>0</v>
      </c>
      <c r="G176" s="45">
        <v>0</v>
      </c>
      <c r="H176" s="45"/>
      <c r="I176" s="47">
        <v>0</v>
      </c>
      <c r="J176" s="113" t="s">
        <v>1187</v>
      </c>
      <c r="K176" s="114" t="s">
        <v>1246</v>
      </c>
      <c r="L176" s="347">
        <v>2820</v>
      </c>
      <c r="M176" s="94" t="s">
        <v>1161</v>
      </c>
      <c r="N176" s="116">
        <v>-1</v>
      </c>
      <c r="O176" s="233">
        <f t="shared" si="50"/>
        <v>-1410</v>
      </c>
      <c r="P176" s="233"/>
      <c r="Q176" s="47">
        <f t="shared" si="51"/>
        <v>-1410</v>
      </c>
      <c r="R176" s="348"/>
      <c r="S176" s="299"/>
      <c r="T176" s="299"/>
      <c r="U176" s="56"/>
      <c r="V176" s="349"/>
      <c r="W176" s="295"/>
    </row>
    <row r="177" spans="1:24" ht="27.75" customHeight="1">
      <c r="A177" s="186">
        <v>9</v>
      </c>
      <c r="B177" s="205" t="s">
        <v>28</v>
      </c>
      <c r="C177" s="346" t="s">
        <v>322</v>
      </c>
      <c r="D177" s="141">
        <v>1410</v>
      </c>
      <c r="E177" s="43" t="s">
        <v>45</v>
      </c>
      <c r="F177" s="44">
        <v>0</v>
      </c>
      <c r="G177" s="45">
        <v>0</v>
      </c>
      <c r="H177" s="45"/>
      <c r="I177" s="47">
        <v>0</v>
      </c>
      <c r="J177" s="113" t="s">
        <v>1187</v>
      </c>
      <c r="K177" s="114" t="s">
        <v>1246</v>
      </c>
      <c r="L177" s="347">
        <v>2820</v>
      </c>
      <c r="M177" s="94" t="s">
        <v>1161</v>
      </c>
      <c r="N177" s="116">
        <v>-1</v>
      </c>
      <c r="O177" s="233">
        <f t="shared" si="50"/>
        <v>-1410</v>
      </c>
      <c r="P177" s="233"/>
      <c r="Q177" s="47">
        <f t="shared" si="51"/>
        <v>-1410</v>
      </c>
      <c r="R177" s="348"/>
      <c r="S177" s="299"/>
      <c r="T177" s="299"/>
      <c r="U177" s="56"/>
      <c r="V177" s="349"/>
      <c r="W177" s="295"/>
    </row>
    <row r="178" spans="1:24" ht="27.75" customHeight="1">
      <c r="A178" s="186">
        <v>10</v>
      </c>
      <c r="B178" s="205" t="s">
        <v>28</v>
      </c>
      <c r="C178" s="346" t="s">
        <v>323</v>
      </c>
      <c r="D178" s="141">
        <v>1410</v>
      </c>
      <c r="E178" s="43" t="s">
        <v>45</v>
      </c>
      <c r="F178" s="44">
        <v>0</v>
      </c>
      <c r="G178" s="45">
        <v>0</v>
      </c>
      <c r="H178" s="45"/>
      <c r="I178" s="47">
        <v>0</v>
      </c>
      <c r="J178" s="113" t="s">
        <v>1187</v>
      </c>
      <c r="K178" s="114" t="s">
        <v>1246</v>
      </c>
      <c r="L178" s="347">
        <v>2820</v>
      </c>
      <c r="M178" s="94" t="s">
        <v>1161</v>
      </c>
      <c r="N178" s="116">
        <v>-1</v>
      </c>
      <c r="O178" s="233">
        <f t="shared" si="50"/>
        <v>-1410</v>
      </c>
      <c r="P178" s="233"/>
      <c r="Q178" s="47">
        <f t="shared" si="51"/>
        <v>-1410</v>
      </c>
      <c r="R178" s="348"/>
      <c r="S178" s="299"/>
      <c r="T178" s="299"/>
      <c r="U178" s="56"/>
      <c r="V178" s="349"/>
      <c r="W178" s="295"/>
    </row>
    <row r="179" spans="1:24" ht="27.75" customHeight="1">
      <c r="A179" s="186">
        <v>11</v>
      </c>
      <c r="B179" s="205" t="s">
        <v>28</v>
      </c>
      <c r="C179" s="346" t="s">
        <v>324</v>
      </c>
      <c r="D179" s="141">
        <v>1410</v>
      </c>
      <c r="E179" s="43" t="s">
        <v>45</v>
      </c>
      <c r="F179" s="44">
        <v>0</v>
      </c>
      <c r="G179" s="45">
        <v>0</v>
      </c>
      <c r="H179" s="45"/>
      <c r="I179" s="47">
        <v>0</v>
      </c>
      <c r="J179" s="113" t="s">
        <v>1187</v>
      </c>
      <c r="K179" s="114" t="s">
        <v>1246</v>
      </c>
      <c r="L179" s="347">
        <v>2820</v>
      </c>
      <c r="M179" s="94" t="s">
        <v>1161</v>
      </c>
      <c r="N179" s="116">
        <v>-1</v>
      </c>
      <c r="O179" s="233">
        <f t="shared" si="50"/>
        <v>-1410</v>
      </c>
      <c r="P179" s="233"/>
      <c r="Q179" s="47">
        <f t="shared" si="51"/>
        <v>-1410</v>
      </c>
      <c r="R179" s="348"/>
      <c r="S179" s="299"/>
      <c r="T179" s="299"/>
      <c r="U179" s="56"/>
      <c r="V179" s="349"/>
      <c r="W179" s="295"/>
    </row>
    <row r="180" spans="1:24" ht="27.75" customHeight="1">
      <c r="A180" s="186">
        <v>12</v>
      </c>
      <c r="B180" s="205" t="s">
        <v>325</v>
      </c>
      <c r="C180" s="346" t="s">
        <v>326</v>
      </c>
      <c r="D180" s="141">
        <v>1410</v>
      </c>
      <c r="E180" s="43" t="s">
        <v>45</v>
      </c>
      <c r="F180" s="44">
        <v>0</v>
      </c>
      <c r="G180" s="45">
        <v>0</v>
      </c>
      <c r="H180" s="45"/>
      <c r="I180" s="47">
        <v>0</v>
      </c>
      <c r="J180" s="113">
        <v>46117</v>
      </c>
      <c r="K180" s="114" t="s">
        <v>1247</v>
      </c>
      <c r="L180" s="347">
        <v>1410</v>
      </c>
      <c r="M180" s="94" t="s">
        <v>45</v>
      </c>
      <c r="N180" s="116">
        <v>0</v>
      </c>
      <c r="O180" s="233">
        <f t="shared" si="50"/>
        <v>0</v>
      </c>
      <c r="P180" s="233"/>
      <c r="Q180" s="47">
        <f t="shared" si="51"/>
        <v>0</v>
      </c>
      <c r="R180" s="348" t="s">
        <v>195</v>
      </c>
      <c r="S180" s="299" t="s">
        <v>307</v>
      </c>
      <c r="T180" s="299" t="s">
        <v>308</v>
      </c>
      <c r="U180" s="56">
        <v>14640</v>
      </c>
      <c r="V180" s="349" t="s">
        <v>328</v>
      </c>
      <c r="W180" s="295" t="s">
        <v>289</v>
      </c>
      <c r="X180" s="4" t="s">
        <v>329</v>
      </c>
    </row>
    <row r="181" spans="1:24" ht="27.75" customHeight="1">
      <c r="A181" s="186">
        <v>13</v>
      </c>
      <c r="B181" s="205" t="s">
        <v>325</v>
      </c>
      <c r="C181" s="346" t="s">
        <v>330</v>
      </c>
      <c r="D181" s="141">
        <v>1410</v>
      </c>
      <c r="E181" s="43" t="s">
        <v>45</v>
      </c>
      <c r="F181" s="44">
        <v>0</v>
      </c>
      <c r="G181" s="45">
        <v>0</v>
      </c>
      <c r="H181" s="45"/>
      <c r="I181" s="47">
        <v>0</v>
      </c>
      <c r="J181" s="113">
        <v>46117</v>
      </c>
      <c r="K181" s="114" t="s">
        <v>1247</v>
      </c>
      <c r="L181" s="347">
        <v>1410</v>
      </c>
      <c r="M181" s="94" t="s">
        <v>45</v>
      </c>
      <c r="N181" s="116">
        <v>0</v>
      </c>
      <c r="O181" s="233">
        <f t="shared" si="50"/>
        <v>0</v>
      </c>
      <c r="P181" s="233"/>
      <c r="Q181" s="47">
        <f t="shared" si="51"/>
        <v>0</v>
      </c>
      <c r="R181" s="348"/>
      <c r="S181" s="299"/>
      <c r="T181" s="299"/>
      <c r="U181" s="56"/>
      <c r="V181" s="349"/>
      <c r="W181" s="295"/>
    </row>
    <row r="182" spans="1:24" ht="27.75" customHeight="1">
      <c r="A182" s="186">
        <v>14</v>
      </c>
      <c r="B182" s="205" t="s">
        <v>325</v>
      </c>
      <c r="C182" s="346" t="s">
        <v>331</v>
      </c>
      <c r="D182" s="141">
        <v>1410</v>
      </c>
      <c r="E182" s="43" t="s">
        <v>45</v>
      </c>
      <c r="F182" s="44">
        <v>0</v>
      </c>
      <c r="G182" s="45">
        <v>0</v>
      </c>
      <c r="H182" s="45"/>
      <c r="I182" s="47">
        <v>0</v>
      </c>
      <c r="J182" s="113">
        <v>46117</v>
      </c>
      <c r="K182" s="114" t="s">
        <v>1247</v>
      </c>
      <c r="L182" s="347">
        <v>1410</v>
      </c>
      <c r="M182" s="94" t="s">
        <v>45</v>
      </c>
      <c r="N182" s="116">
        <v>0</v>
      </c>
      <c r="O182" s="233">
        <f t="shared" si="50"/>
        <v>0</v>
      </c>
      <c r="P182" s="233"/>
      <c r="Q182" s="47">
        <f t="shared" si="51"/>
        <v>0</v>
      </c>
      <c r="R182" s="348"/>
      <c r="S182" s="299"/>
      <c r="T182" s="299"/>
      <c r="U182" s="56"/>
      <c r="V182" s="349"/>
      <c r="W182" s="295"/>
    </row>
    <row r="183" spans="1:24" ht="27.75" customHeight="1">
      <c r="A183" s="186">
        <v>15</v>
      </c>
      <c r="B183" s="205" t="s">
        <v>325</v>
      </c>
      <c r="C183" s="346" t="s">
        <v>332</v>
      </c>
      <c r="D183" s="141">
        <v>1410</v>
      </c>
      <c r="E183" s="43" t="s">
        <v>45</v>
      </c>
      <c r="F183" s="44">
        <v>0</v>
      </c>
      <c r="G183" s="45">
        <v>0</v>
      </c>
      <c r="H183" s="45"/>
      <c r="I183" s="47">
        <v>0</v>
      </c>
      <c r="J183" s="113">
        <v>46117</v>
      </c>
      <c r="K183" s="114" t="s">
        <v>1247</v>
      </c>
      <c r="L183" s="347">
        <v>1410</v>
      </c>
      <c r="M183" s="94" t="s">
        <v>45</v>
      </c>
      <c r="N183" s="116">
        <v>0</v>
      </c>
      <c r="O183" s="233">
        <f t="shared" si="50"/>
        <v>0</v>
      </c>
      <c r="P183" s="233"/>
      <c r="Q183" s="47">
        <f t="shared" si="51"/>
        <v>0</v>
      </c>
      <c r="R183" s="348"/>
      <c r="S183" s="299"/>
      <c r="T183" s="299"/>
      <c r="U183" s="56"/>
      <c r="V183" s="349"/>
      <c r="W183" s="295"/>
    </row>
    <row r="184" spans="1:24" ht="27.75" customHeight="1">
      <c r="A184" s="186">
        <v>16</v>
      </c>
      <c r="B184" s="205" t="s">
        <v>28</v>
      </c>
      <c r="C184" s="346" t="s">
        <v>333</v>
      </c>
      <c r="D184" s="141">
        <v>1410</v>
      </c>
      <c r="E184" s="43" t="s">
        <v>45</v>
      </c>
      <c r="F184" s="44">
        <v>0</v>
      </c>
      <c r="G184" s="45">
        <v>0</v>
      </c>
      <c r="H184" s="45"/>
      <c r="I184" s="47">
        <v>0</v>
      </c>
      <c r="J184" s="113" t="s">
        <v>1187</v>
      </c>
      <c r="K184" s="114" t="s">
        <v>1246</v>
      </c>
      <c r="L184" s="347">
        <v>2820</v>
      </c>
      <c r="M184" s="94" t="s">
        <v>1161</v>
      </c>
      <c r="N184" s="116">
        <v>-1</v>
      </c>
      <c r="O184" s="233">
        <f t="shared" si="50"/>
        <v>-1410</v>
      </c>
      <c r="P184" s="233"/>
      <c r="Q184" s="47">
        <f t="shared" si="51"/>
        <v>-1410</v>
      </c>
      <c r="R184" s="348"/>
      <c r="S184" s="299"/>
      <c r="T184" s="299"/>
      <c r="U184" s="56"/>
      <c r="V184" s="349"/>
      <c r="W184" s="295"/>
    </row>
    <row r="185" spans="1:24" ht="27.75" customHeight="1">
      <c r="A185" s="186">
        <v>17</v>
      </c>
      <c r="B185" s="205" t="s">
        <v>28</v>
      </c>
      <c r="C185" s="346" t="s">
        <v>334</v>
      </c>
      <c r="D185" s="141">
        <v>1410</v>
      </c>
      <c r="E185" s="43" t="s">
        <v>45</v>
      </c>
      <c r="F185" s="44">
        <v>0</v>
      </c>
      <c r="G185" s="45">
        <v>0</v>
      </c>
      <c r="H185" s="45"/>
      <c r="I185" s="47">
        <v>0</v>
      </c>
      <c r="J185" s="113" t="s">
        <v>1187</v>
      </c>
      <c r="K185" s="114" t="s">
        <v>1246</v>
      </c>
      <c r="L185" s="347">
        <v>2820</v>
      </c>
      <c r="M185" s="94" t="s">
        <v>1161</v>
      </c>
      <c r="N185" s="116">
        <v>-1</v>
      </c>
      <c r="O185" s="233">
        <f t="shared" si="50"/>
        <v>-1410</v>
      </c>
      <c r="P185" s="233"/>
      <c r="Q185" s="47">
        <f t="shared" si="51"/>
        <v>-1410</v>
      </c>
      <c r="R185" s="348"/>
      <c r="S185" s="299"/>
      <c r="T185" s="299"/>
      <c r="U185" s="56"/>
      <c r="V185" s="349"/>
      <c r="W185" s="295"/>
    </row>
    <row r="186" spans="1:24" ht="27.75" customHeight="1">
      <c r="A186" s="186">
        <v>18</v>
      </c>
      <c r="B186" s="205" t="s">
        <v>28</v>
      </c>
      <c r="C186" s="346" t="s">
        <v>335</v>
      </c>
      <c r="D186" s="141">
        <v>1410</v>
      </c>
      <c r="E186" s="43" t="s">
        <v>45</v>
      </c>
      <c r="F186" s="44">
        <v>0</v>
      </c>
      <c r="G186" s="45">
        <v>0</v>
      </c>
      <c r="H186" s="45"/>
      <c r="I186" s="47">
        <v>0</v>
      </c>
      <c r="J186" s="113" t="s">
        <v>1187</v>
      </c>
      <c r="K186" s="114" t="s">
        <v>1246</v>
      </c>
      <c r="L186" s="347">
        <v>2820</v>
      </c>
      <c r="M186" s="94" t="s">
        <v>1161</v>
      </c>
      <c r="N186" s="116">
        <v>-1</v>
      </c>
      <c r="O186" s="233">
        <f t="shared" si="50"/>
        <v>-1410</v>
      </c>
      <c r="P186" s="233"/>
      <c r="Q186" s="47">
        <f t="shared" si="51"/>
        <v>-1410</v>
      </c>
      <c r="R186" s="348"/>
      <c r="S186" s="299"/>
      <c r="T186" s="299"/>
      <c r="U186" s="56"/>
      <c r="V186" s="349"/>
      <c r="W186" s="295"/>
    </row>
    <row r="187" spans="1:24" ht="27.75" customHeight="1">
      <c r="A187" s="186">
        <v>19</v>
      </c>
      <c r="B187" s="205" t="s">
        <v>40</v>
      </c>
      <c r="C187" s="346" t="s">
        <v>336</v>
      </c>
      <c r="D187" s="141">
        <v>1220</v>
      </c>
      <c r="E187" s="43" t="s">
        <v>1051</v>
      </c>
      <c r="F187" s="44">
        <v>-2.2295081967213113</v>
      </c>
      <c r="G187" s="45">
        <v>-2720</v>
      </c>
      <c r="H187" s="45"/>
      <c r="I187" s="47">
        <v>-2720</v>
      </c>
      <c r="J187" s="113"/>
      <c r="K187" s="114"/>
      <c r="L187" s="347">
        <v>0</v>
      </c>
      <c r="M187" s="94" t="s">
        <v>1161</v>
      </c>
      <c r="N187" s="116">
        <v>-1.2295081967213115</v>
      </c>
      <c r="O187" s="233">
        <f t="shared" si="50"/>
        <v>-1500</v>
      </c>
      <c r="P187" s="233"/>
      <c r="Q187" s="47">
        <f t="shared" si="51"/>
        <v>-1500</v>
      </c>
      <c r="R187" s="39" t="s">
        <v>195</v>
      </c>
      <c r="S187" s="55">
        <v>43313</v>
      </c>
      <c r="T187" s="55">
        <v>44408</v>
      </c>
      <c r="U187" s="56">
        <v>9540</v>
      </c>
      <c r="V187" s="349"/>
    </row>
    <row r="188" spans="1:24" ht="27.75" customHeight="1">
      <c r="A188" s="186">
        <v>20</v>
      </c>
      <c r="B188" s="205" t="s">
        <v>40</v>
      </c>
      <c r="C188" s="346" t="s">
        <v>338</v>
      </c>
      <c r="D188" s="141">
        <v>1220</v>
      </c>
      <c r="E188" s="43" t="s">
        <v>1051</v>
      </c>
      <c r="F188" s="44">
        <v>-2.2295081967213113</v>
      </c>
      <c r="G188" s="45">
        <v>-2720</v>
      </c>
      <c r="H188" s="45"/>
      <c r="I188" s="47">
        <v>-2720</v>
      </c>
      <c r="J188" s="113"/>
      <c r="K188" s="114"/>
      <c r="L188" s="347">
        <v>0</v>
      </c>
      <c r="M188" s="94" t="s">
        <v>1161</v>
      </c>
      <c r="N188" s="116">
        <v>-1.2295081967213115</v>
      </c>
      <c r="O188" s="233">
        <f t="shared" si="50"/>
        <v>-1500</v>
      </c>
      <c r="P188" s="233"/>
      <c r="Q188" s="47">
        <f t="shared" si="51"/>
        <v>-1500</v>
      </c>
      <c r="R188" s="39"/>
      <c r="S188" s="55"/>
      <c r="T188" s="55"/>
      <c r="U188" s="56"/>
      <c r="V188" s="349"/>
    </row>
    <row r="189" spans="1:24" ht="27.75" customHeight="1">
      <c r="A189" s="186">
        <v>21</v>
      </c>
      <c r="B189" s="205" t="s">
        <v>40</v>
      </c>
      <c r="C189" s="346" t="s">
        <v>339</v>
      </c>
      <c r="D189" s="141">
        <v>1220</v>
      </c>
      <c r="E189" s="43" t="s">
        <v>1051</v>
      </c>
      <c r="F189" s="44">
        <v>-2.2295081967213113</v>
      </c>
      <c r="G189" s="45">
        <v>-2720</v>
      </c>
      <c r="H189" s="45"/>
      <c r="I189" s="47">
        <v>-2720</v>
      </c>
      <c r="J189" s="113"/>
      <c r="K189" s="114"/>
      <c r="L189" s="347">
        <v>0</v>
      </c>
      <c r="M189" s="94" t="s">
        <v>1161</v>
      </c>
      <c r="N189" s="116">
        <v>-1.2295081967213115</v>
      </c>
      <c r="O189" s="233">
        <f t="shared" si="50"/>
        <v>-1500</v>
      </c>
      <c r="P189" s="233"/>
      <c r="Q189" s="47">
        <f t="shared" si="51"/>
        <v>-1500</v>
      </c>
      <c r="R189" s="39"/>
      <c r="S189" s="55"/>
      <c r="T189" s="55"/>
      <c r="U189" s="56"/>
      <c r="V189" s="349"/>
    </row>
    <row r="190" spans="1:24" ht="27.75" customHeight="1">
      <c r="A190" s="186">
        <v>22</v>
      </c>
      <c r="B190" s="40" t="s">
        <v>43</v>
      </c>
      <c r="C190" s="346" t="s">
        <v>340</v>
      </c>
      <c r="D190" s="141">
        <v>1410</v>
      </c>
      <c r="E190" s="43" t="s">
        <v>45</v>
      </c>
      <c r="F190" s="44">
        <v>0</v>
      </c>
      <c r="G190" s="45">
        <v>0</v>
      </c>
      <c r="H190" s="45"/>
      <c r="I190" s="47">
        <v>0</v>
      </c>
      <c r="J190" s="113">
        <v>46114</v>
      </c>
      <c r="K190" s="114" t="s">
        <v>1248</v>
      </c>
      <c r="L190" s="347">
        <v>1410</v>
      </c>
      <c r="M190" s="94" t="s">
        <v>45</v>
      </c>
      <c r="N190" s="116">
        <v>0</v>
      </c>
      <c r="O190" s="233">
        <f t="shared" si="50"/>
        <v>0</v>
      </c>
      <c r="P190" s="233"/>
      <c r="Q190" s="47">
        <f t="shared" si="51"/>
        <v>0</v>
      </c>
      <c r="R190" s="348" t="s">
        <v>195</v>
      </c>
      <c r="S190" s="299" t="s">
        <v>307</v>
      </c>
      <c r="T190" s="299" t="s">
        <v>308</v>
      </c>
      <c r="U190" s="56">
        <v>7320</v>
      </c>
      <c r="V190" s="349" t="s">
        <v>342</v>
      </c>
      <c r="W190" s="295" t="s">
        <v>289</v>
      </c>
      <c r="X190" s="4" t="s">
        <v>343</v>
      </c>
    </row>
    <row r="191" spans="1:24" ht="27.75" customHeight="1">
      <c r="A191" s="186">
        <v>23</v>
      </c>
      <c r="B191" s="40" t="s">
        <v>43</v>
      </c>
      <c r="C191" s="346" t="s">
        <v>344</v>
      </c>
      <c r="D191" s="141">
        <v>1410</v>
      </c>
      <c r="E191" s="43" t="s">
        <v>45</v>
      </c>
      <c r="F191" s="44">
        <v>0</v>
      </c>
      <c r="G191" s="45">
        <v>0</v>
      </c>
      <c r="H191" s="45"/>
      <c r="I191" s="47">
        <v>0</v>
      </c>
      <c r="J191" s="113">
        <v>46114</v>
      </c>
      <c r="K191" s="114" t="s">
        <v>1248</v>
      </c>
      <c r="L191" s="347">
        <v>1410</v>
      </c>
      <c r="M191" s="94" t="s">
        <v>45</v>
      </c>
      <c r="N191" s="116">
        <v>0</v>
      </c>
      <c r="O191" s="233">
        <f t="shared" si="50"/>
        <v>0</v>
      </c>
      <c r="P191" s="233"/>
      <c r="Q191" s="47">
        <f t="shared" si="51"/>
        <v>0</v>
      </c>
      <c r="R191" s="348"/>
      <c r="S191" s="299"/>
      <c r="T191" s="299"/>
      <c r="U191" s="56"/>
      <c r="V191" s="349"/>
      <c r="W191" s="295"/>
    </row>
    <row r="192" spans="1:24" ht="27.75" customHeight="1">
      <c r="A192" s="186">
        <v>24</v>
      </c>
      <c r="B192" s="40" t="s">
        <v>345</v>
      </c>
      <c r="C192" s="346" t="s">
        <v>346</v>
      </c>
      <c r="D192" s="141">
        <v>1410</v>
      </c>
      <c r="E192" s="43" t="s">
        <v>45</v>
      </c>
      <c r="F192" s="44">
        <v>0</v>
      </c>
      <c r="G192" s="45">
        <v>0</v>
      </c>
      <c r="H192" s="45"/>
      <c r="I192" s="47">
        <v>0</v>
      </c>
      <c r="J192" s="113">
        <v>46117</v>
      </c>
      <c r="K192" s="114" t="s">
        <v>1249</v>
      </c>
      <c r="L192" s="347">
        <v>1410</v>
      </c>
      <c r="M192" s="94" t="s">
        <v>45</v>
      </c>
      <c r="N192" s="116">
        <v>0</v>
      </c>
      <c r="O192" s="233">
        <f t="shared" si="50"/>
        <v>0</v>
      </c>
      <c r="P192" s="233"/>
      <c r="Q192" s="47">
        <f t="shared" si="51"/>
        <v>0</v>
      </c>
      <c r="R192" s="39" t="s">
        <v>195</v>
      </c>
      <c r="S192" s="55">
        <v>43313</v>
      </c>
      <c r="T192" s="55">
        <v>44408</v>
      </c>
      <c r="U192" s="56">
        <v>12720</v>
      </c>
      <c r="V192" s="349"/>
    </row>
    <row r="193" spans="1:25" ht="27.75" customHeight="1">
      <c r="A193" s="186">
        <v>25</v>
      </c>
      <c r="B193" s="40" t="s">
        <v>345</v>
      </c>
      <c r="C193" s="346" t="s">
        <v>348</v>
      </c>
      <c r="D193" s="141">
        <v>1410</v>
      </c>
      <c r="E193" s="43" t="s">
        <v>45</v>
      </c>
      <c r="F193" s="44">
        <v>0</v>
      </c>
      <c r="G193" s="45">
        <v>0</v>
      </c>
      <c r="H193" s="45"/>
      <c r="I193" s="47">
        <v>0</v>
      </c>
      <c r="J193" s="113">
        <v>46117</v>
      </c>
      <c r="K193" s="114" t="s">
        <v>1249</v>
      </c>
      <c r="L193" s="347">
        <v>1410</v>
      </c>
      <c r="M193" s="94" t="s">
        <v>45</v>
      </c>
      <c r="N193" s="116">
        <v>0</v>
      </c>
      <c r="O193" s="233">
        <f t="shared" si="50"/>
        <v>0</v>
      </c>
      <c r="P193" s="233"/>
      <c r="Q193" s="47">
        <f t="shared" si="51"/>
        <v>0</v>
      </c>
      <c r="R193" s="39"/>
      <c r="S193" s="55"/>
      <c r="T193" s="55"/>
      <c r="U193" s="56"/>
      <c r="V193" s="349"/>
    </row>
    <row r="194" spans="1:25" ht="27.75" customHeight="1">
      <c r="A194" s="186">
        <v>26</v>
      </c>
      <c r="B194" s="40" t="s">
        <v>345</v>
      </c>
      <c r="C194" s="346" t="s">
        <v>349</v>
      </c>
      <c r="D194" s="141">
        <v>1410</v>
      </c>
      <c r="E194" s="43" t="s">
        <v>45</v>
      </c>
      <c r="F194" s="44">
        <v>0</v>
      </c>
      <c r="G194" s="45">
        <v>0</v>
      </c>
      <c r="H194" s="45"/>
      <c r="I194" s="47">
        <v>0</v>
      </c>
      <c r="J194" s="113">
        <v>46117</v>
      </c>
      <c r="K194" s="114" t="s">
        <v>1249</v>
      </c>
      <c r="L194" s="347">
        <v>1410</v>
      </c>
      <c r="M194" s="94" t="s">
        <v>45</v>
      </c>
      <c r="N194" s="116">
        <v>0</v>
      </c>
      <c r="O194" s="233">
        <f t="shared" si="50"/>
        <v>0</v>
      </c>
      <c r="P194" s="233"/>
      <c r="Q194" s="47">
        <f t="shared" si="51"/>
        <v>0</v>
      </c>
      <c r="R194" s="39"/>
      <c r="S194" s="55"/>
      <c r="T194" s="55"/>
      <c r="U194" s="56"/>
      <c r="V194" s="349"/>
    </row>
    <row r="195" spans="1:25" ht="27.75" customHeight="1">
      <c r="A195" s="186">
        <v>27</v>
      </c>
      <c r="B195" s="40" t="s">
        <v>345</v>
      </c>
      <c r="C195" s="346" t="s">
        <v>350</v>
      </c>
      <c r="D195" s="141">
        <v>1410</v>
      </c>
      <c r="E195" s="43" t="s">
        <v>45</v>
      </c>
      <c r="F195" s="44">
        <v>0</v>
      </c>
      <c r="G195" s="45">
        <v>0</v>
      </c>
      <c r="H195" s="45"/>
      <c r="I195" s="47">
        <v>0</v>
      </c>
      <c r="J195" s="113">
        <v>46117</v>
      </c>
      <c r="K195" s="114" t="s">
        <v>1249</v>
      </c>
      <c r="L195" s="347">
        <v>1410</v>
      </c>
      <c r="M195" s="94" t="s">
        <v>45</v>
      </c>
      <c r="N195" s="116">
        <v>0</v>
      </c>
      <c r="O195" s="233">
        <f t="shared" si="50"/>
        <v>0</v>
      </c>
      <c r="P195" s="233"/>
      <c r="Q195" s="47">
        <f t="shared" si="51"/>
        <v>0</v>
      </c>
      <c r="R195" s="39"/>
      <c r="S195" s="55"/>
      <c r="T195" s="55"/>
      <c r="U195" s="56"/>
      <c r="V195" s="349"/>
    </row>
    <row r="196" spans="1:25" ht="27.75" customHeight="1">
      <c r="A196" s="186">
        <v>28</v>
      </c>
      <c r="B196" s="40" t="s">
        <v>351</v>
      </c>
      <c r="C196" s="346" t="s">
        <v>352</v>
      </c>
      <c r="D196" s="141">
        <v>1410</v>
      </c>
      <c r="E196" s="43" t="s">
        <v>45</v>
      </c>
      <c r="F196" s="44">
        <v>0</v>
      </c>
      <c r="G196" s="45">
        <v>0</v>
      </c>
      <c r="H196" s="45"/>
      <c r="I196" s="47">
        <v>0</v>
      </c>
      <c r="J196" s="113">
        <v>46117</v>
      </c>
      <c r="K196" s="114" t="s">
        <v>1250</v>
      </c>
      <c r="L196" s="347">
        <v>1410</v>
      </c>
      <c r="M196" s="94" t="s">
        <v>45</v>
      </c>
      <c r="N196" s="116">
        <v>0</v>
      </c>
      <c r="O196" s="233">
        <f t="shared" si="50"/>
        <v>0</v>
      </c>
      <c r="P196" s="233"/>
      <c r="Q196" s="47">
        <f t="shared" si="51"/>
        <v>0</v>
      </c>
      <c r="R196" s="39" t="s">
        <v>195</v>
      </c>
      <c r="S196" s="55">
        <v>43313</v>
      </c>
      <c r="T196" s="55">
        <v>44408</v>
      </c>
      <c r="U196" s="56">
        <v>9540</v>
      </c>
      <c r="V196" s="349"/>
    </row>
    <row r="197" spans="1:25" ht="27.75" customHeight="1">
      <c r="A197" s="186">
        <v>29</v>
      </c>
      <c r="B197" s="40" t="s">
        <v>351</v>
      </c>
      <c r="C197" s="346" t="s">
        <v>354</v>
      </c>
      <c r="D197" s="141">
        <v>1410</v>
      </c>
      <c r="E197" s="43" t="s">
        <v>45</v>
      </c>
      <c r="F197" s="44">
        <v>0</v>
      </c>
      <c r="G197" s="45">
        <v>0</v>
      </c>
      <c r="H197" s="45"/>
      <c r="I197" s="47">
        <v>0</v>
      </c>
      <c r="J197" s="113">
        <v>46117</v>
      </c>
      <c r="K197" s="114" t="s">
        <v>1250</v>
      </c>
      <c r="L197" s="347">
        <v>1410</v>
      </c>
      <c r="M197" s="94" t="s">
        <v>45</v>
      </c>
      <c r="N197" s="116">
        <v>0</v>
      </c>
      <c r="O197" s="233">
        <f t="shared" si="50"/>
        <v>0</v>
      </c>
      <c r="P197" s="233"/>
      <c r="Q197" s="47">
        <f t="shared" si="51"/>
        <v>0</v>
      </c>
      <c r="R197" s="39"/>
      <c r="S197" s="55"/>
      <c r="T197" s="55"/>
      <c r="U197" s="56"/>
      <c r="V197" s="349"/>
    </row>
    <row r="198" spans="1:25" ht="27.75" customHeight="1">
      <c r="A198" s="186">
        <v>30</v>
      </c>
      <c r="B198" s="40" t="s">
        <v>351</v>
      </c>
      <c r="C198" s="346" t="s">
        <v>355</v>
      </c>
      <c r="D198" s="141">
        <v>1410</v>
      </c>
      <c r="E198" s="43" t="s">
        <v>45</v>
      </c>
      <c r="F198" s="44">
        <v>0</v>
      </c>
      <c r="G198" s="45">
        <v>0</v>
      </c>
      <c r="H198" s="45"/>
      <c r="I198" s="47">
        <v>0</v>
      </c>
      <c r="J198" s="113">
        <v>46117</v>
      </c>
      <c r="K198" s="114" t="s">
        <v>1250</v>
      </c>
      <c r="L198" s="347">
        <v>1410</v>
      </c>
      <c r="M198" s="94" t="s">
        <v>45</v>
      </c>
      <c r="N198" s="116">
        <v>0</v>
      </c>
      <c r="O198" s="233">
        <f t="shared" si="50"/>
        <v>0</v>
      </c>
      <c r="P198" s="233"/>
      <c r="Q198" s="47">
        <f t="shared" si="51"/>
        <v>0</v>
      </c>
      <c r="R198" s="39"/>
      <c r="S198" s="55"/>
      <c r="T198" s="55"/>
      <c r="U198" s="56"/>
      <c r="V198" s="349"/>
    </row>
    <row r="199" spans="1:25" ht="27.75" customHeight="1">
      <c r="A199" s="186">
        <v>31</v>
      </c>
      <c r="B199" s="40" t="s">
        <v>356</v>
      </c>
      <c r="C199" s="346" t="s">
        <v>357</v>
      </c>
      <c r="D199" s="141">
        <v>1410</v>
      </c>
      <c r="E199" s="43" t="s">
        <v>45</v>
      </c>
      <c r="F199" s="44">
        <v>0</v>
      </c>
      <c r="G199" s="45">
        <v>0</v>
      </c>
      <c r="H199" s="45"/>
      <c r="I199" s="47">
        <v>0</v>
      </c>
      <c r="J199" s="113">
        <v>46115</v>
      </c>
      <c r="K199" s="114" t="s">
        <v>1251</v>
      </c>
      <c r="L199" s="347">
        <v>1410</v>
      </c>
      <c r="M199" s="94" t="s">
        <v>45</v>
      </c>
      <c r="N199" s="116">
        <v>0</v>
      </c>
      <c r="O199" s="233">
        <f t="shared" si="50"/>
        <v>0</v>
      </c>
      <c r="P199" s="233"/>
      <c r="Q199" s="47">
        <f t="shared" si="51"/>
        <v>0</v>
      </c>
      <c r="R199" s="39" t="s">
        <v>195</v>
      </c>
      <c r="S199" s="55">
        <v>42217</v>
      </c>
      <c r="T199" s="55">
        <v>43312</v>
      </c>
      <c r="U199" s="56">
        <v>8280</v>
      </c>
      <c r="V199" s="349" t="s">
        <v>359</v>
      </c>
    </row>
    <row r="200" spans="1:25" ht="27.75" customHeight="1">
      <c r="A200" s="186">
        <v>32</v>
      </c>
      <c r="B200" s="40" t="s">
        <v>356</v>
      </c>
      <c r="C200" s="346" t="s">
        <v>360</v>
      </c>
      <c r="D200" s="141">
        <v>1410</v>
      </c>
      <c r="E200" s="43" t="s">
        <v>45</v>
      </c>
      <c r="F200" s="44">
        <v>0</v>
      </c>
      <c r="G200" s="45">
        <v>0</v>
      </c>
      <c r="H200" s="45"/>
      <c r="I200" s="47">
        <v>0</v>
      </c>
      <c r="J200" s="113">
        <v>46115</v>
      </c>
      <c r="K200" s="114" t="s">
        <v>1251</v>
      </c>
      <c r="L200" s="347">
        <v>1410</v>
      </c>
      <c r="M200" s="94" t="s">
        <v>45</v>
      </c>
      <c r="N200" s="116">
        <v>0</v>
      </c>
      <c r="O200" s="233">
        <f t="shared" si="50"/>
        <v>0</v>
      </c>
      <c r="P200" s="233"/>
      <c r="Q200" s="47">
        <f t="shared" si="51"/>
        <v>0</v>
      </c>
      <c r="R200" s="39"/>
      <c r="S200" s="55"/>
      <c r="T200" s="55"/>
      <c r="U200" s="56"/>
      <c r="V200" s="349"/>
    </row>
    <row r="201" spans="1:25" ht="27.75" customHeight="1">
      <c r="A201" s="186">
        <v>33</v>
      </c>
      <c r="B201" s="40" t="s">
        <v>356</v>
      </c>
      <c r="C201" s="346" t="s">
        <v>361</v>
      </c>
      <c r="D201" s="141">
        <v>1410</v>
      </c>
      <c r="E201" s="43" t="s">
        <v>45</v>
      </c>
      <c r="F201" s="44">
        <v>0</v>
      </c>
      <c r="G201" s="45">
        <v>0</v>
      </c>
      <c r="H201" s="45"/>
      <c r="I201" s="47">
        <v>0</v>
      </c>
      <c r="J201" s="113">
        <v>46115</v>
      </c>
      <c r="K201" s="114" t="s">
        <v>1251</v>
      </c>
      <c r="L201" s="347">
        <v>1410</v>
      </c>
      <c r="M201" s="94" t="s">
        <v>45</v>
      </c>
      <c r="N201" s="116">
        <v>0</v>
      </c>
      <c r="O201" s="233">
        <f t="shared" si="50"/>
        <v>0</v>
      </c>
      <c r="P201" s="233"/>
      <c r="Q201" s="47">
        <f t="shared" si="51"/>
        <v>0</v>
      </c>
      <c r="R201" s="39"/>
      <c r="S201" s="55"/>
      <c r="T201" s="55"/>
      <c r="U201" s="56"/>
      <c r="V201" s="349"/>
      <c r="Y201" s="4" t="s">
        <v>56</v>
      </c>
    </row>
    <row r="202" spans="1:25" ht="27.75" customHeight="1">
      <c r="A202" s="186">
        <v>34</v>
      </c>
      <c r="B202" s="40" t="s">
        <v>362</v>
      </c>
      <c r="C202" s="346" t="s">
        <v>363</v>
      </c>
      <c r="D202" s="141">
        <v>1410</v>
      </c>
      <c r="E202" s="43" t="s">
        <v>45</v>
      </c>
      <c r="F202" s="44">
        <v>0</v>
      </c>
      <c r="G202" s="45">
        <v>0</v>
      </c>
      <c r="H202" s="45"/>
      <c r="I202" s="47">
        <v>0</v>
      </c>
      <c r="J202" s="113">
        <v>46113</v>
      </c>
      <c r="K202" s="114" t="s">
        <v>1252</v>
      </c>
      <c r="L202" s="347">
        <v>1410</v>
      </c>
      <c r="M202" s="94" t="s">
        <v>45</v>
      </c>
      <c r="N202" s="116">
        <v>0</v>
      </c>
      <c r="O202" s="233">
        <f t="shared" si="50"/>
        <v>0</v>
      </c>
      <c r="P202" s="233"/>
      <c r="Q202" s="47">
        <f t="shared" si="51"/>
        <v>0</v>
      </c>
      <c r="R202" s="348" t="s">
        <v>195</v>
      </c>
      <c r="S202" s="299" t="s">
        <v>307</v>
      </c>
      <c r="T202" s="299" t="s">
        <v>308</v>
      </c>
      <c r="U202" s="56">
        <v>21960</v>
      </c>
      <c r="V202" s="349" t="s">
        <v>365</v>
      </c>
      <c r="W202" s="295" t="s">
        <v>289</v>
      </c>
      <c r="X202" s="40" t="s">
        <v>366</v>
      </c>
    </row>
    <row r="203" spans="1:25" ht="27.75" customHeight="1">
      <c r="A203" s="186">
        <v>35</v>
      </c>
      <c r="B203" s="40" t="s">
        <v>362</v>
      </c>
      <c r="C203" s="346" t="s">
        <v>367</v>
      </c>
      <c r="D203" s="141">
        <v>1410</v>
      </c>
      <c r="E203" s="43" t="s">
        <v>45</v>
      </c>
      <c r="F203" s="44">
        <v>0</v>
      </c>
      <c r="G203" s="45">
        <v>0</v>
      </c>
      <c r="H203" s="45"/>
      <c r="I203" s="47">
        <v>0</v>
      </c>
      <c r="J203" s="113">
        <v>46113</v>
      </c>
      <c r="K203" s="114" t="s">
        <v>1252</v>
      </c>
      <c r="L203" s="347">
        <v>1410</v>
      </c>
      <c r="M203" s="94" t="s">
        <v>45</v>
      </c>
      <c r="N203" s="116">
        <v>0</v>
      </c>
      <c r="O203" s="233">
        <f t="shared" si="50"/>
        <v>0</v>
      </c>
      <c r="P203" s="233"/>
      <c r="Q203" s="47">
        <f t="shared" si="51"/>
        <v>0</v>
      </c>
      <c r="R203" s="348"/>
      <c r="S203" s="299"/>
      <c r="T203" s="299"/>
      <c r="U203" s="56"/>
      <c r="V203" s="349"/>
      <c r="W203" s="295"/>
      <c r="X203" s="350"/>
    </row>
    <row r="204" spans="1:25" ht="27.75" customHeight="1">
      <c r="A204" s="186">
        <v>36</v>
      </c>
      <c r="B204" s="40" t="s">
        <v>362</v>
      </c>
      <c r="C204" s="346" t="s">
        <v>368</v>
      </c>
      <c r="D204" s="141">
        <v>1410</v>
      </c>
      <c r="E204" s="43" t="s">
        <v>45</v>
      </c>
      <c r="F204" s="44">
        <v>0</v>
      </c>
      <c r="G204" s="45">
        <v>0</v>
      </c>
      <c r="H204" s="45"/>
      <c r="I204" s="47">
        <v>0</v>
      </c>
      <c r="J204" s="113">
        <v>46113</v>
      </c>
      <c r="K204" s="114" t="s">
        <v>1252</v>
      </c>
      <c r="L204" s="347">
        <v>1410</v>
      </c>
      <c r="M204" s="94" t="s">
        <v>45</v>
      </c>
      <c r="N204" s="116">
        <v>0</v>
      </c>
      <c r="O204" s="233">
        <f t="shared" si="50"/>
        <v>0</v>
      </c>
      <c r="P204" s="233"/>
      <c r="Q204" s="47">
        <f t="shared" si="51"/>
        <v>0</v>
      </c>
      <c r="R204" s="348"/>
      <c r="S204" s="299"/>
      <c r="T204" s="299"/>
      <c r="U204" s="56"/>
      <c r="V204" s="349"/>
      <c r="W204" s="295"/>
      <c r="X204" s="350"/>
    </row>
    <row r="205" spans="1:25" ht="27.75" customHeight="1">
      <c r="A205" s="186">
        <v>37</v>
      </c>
      <c r="B205" s="40" t="s">
        <v>362</v>
      </c>
      <c r="C205" s="346" t="s">
        <v>369</v>
      </c>
      <c r="D205" s="141">
        <v>1410</v>
      </c>
      <c r="E205" s="43" t="s">
        <v>45</v>
      </c>
      <c r="F205" s="44">
        <v>0</v>
      </c>
      <c r="G205" s="45">
        <v>0</v>
      </c>
      <c r="H205" s="45"/>
      <c r="I205" s="47">
        <v>0</v>
      </c>
      <c r="J205" s="113">
        <v>46113</v>
      </c>
      <c r="K205" s="114" t="s">
        <v>1252</v>
      </c>
      <c r="L205" s="347">
        <v>1410</v>
      </c>
      <c r="M205" s="94" t="s">
        <v>45</v>
      </c>
      <c r="N205" s="116">
        <v>0</v>
      </c>
      <c r="O205" s="233">
        <f t="shared" si="50"/>
        <v>0</v>
      </c>
      <c r="P205" s="233"/>
      <c r="Q205" s="47">
        <f t="shared" si="51"/>
        <v>0</v>
      </c>
      <c r="R205" s="348"/>
      <c r="S205" s="299"/>
      <c r="T205" s="299"/>
      <c r="U205" s="56"/>
      <c r="V205" s="349"/>
      <c r="W205" s="295"/>
      <c r="X205" s="350"/>
    </row>
    <row r="206" spans="1:25" ht="27.75" customHeight="1">
      <c r="A206" s="186">
        <v>38</v>
      </c>
      <c r="B206" s="40" t="s">
        <v>362</v>
      </c>
      <c r="C206" s="346" t="s">
        <v>370</v>
      </c>
      <c r="D206" s="141">
        <v>1410</v>
      </c>
      <c r="E206" s="43" t="s">
        <v>45</v>
      </c>
      <c r="F206" s="44">
        <v>0</v>
      </c>
      <c r="G206" s="45">
        <v>0</v>
      </c>
      <c r="H206" s="45"/>
      <c r="I206" s="47">
        <v>0</v>
      </c>
      <c r="J206" s="113">
        <v>46113</v>
      </c>
      <c r="K206" s="114" t="s">
        <v>1252</v>
      </c>
      <c r="L206" s="347">
        <v>1410</v>
      </c>
      <c r="M206" s="94" t="s">
        <v>45</v>
      </c>
      <c r="N206" s="116">
        <v>0</v>
      </c>
      <c r="O206" s="233">
        <f t="shared" si="50"/>
        <v>0</v>
      </c>
      <c r="P206" s="233"/>
      <c r="Q206" s="47">
        <f t="shared" si="51"/>
        <v>0</v>
      </c>
      <c r="R206" s="348"/>
      <c r="S206" s="299"/>
      <c r="T206" s="299"/>
      <c r="U206" s="56"/>
      <c r="V206" s="349"/>
      <c r="W206" s="295"/>
      <c r="X206" s="350"/>
    </row>
    <row r="207" spans="1:25" ht="27.75" customHeight="1">
      <c r="A207" s="186">
        <v>39</v>
      </c>
      <c r="B207" s="40" t="s">
        <v>362</v>
      </c>
      <c r="C207" s="346" t="s">
        <v>371</v>
      </c>
      <c r="D207" s="141">
        <v>1410</v>
      </c>
      <c r="E207" s="43" t="s">
        <v>45</v>
      </c>
      <c r="F207" s="44">
        <v>0</v>
      </c>
      <c r="G207" s="45">
        <v>0</v>
      </c>
      <c r="H207" s="45"/>
      <c r="I207" s="47">
        <v>0</v>
      </c>
      <c r="J207" s="113">
        <v>46113</v>
      </c>
      <c r="K207" s="114" t="s">
        <v>1252</v>
      </c>
      <c r="L207" s="347">
        <v>1410</v>
      </c>
      <c r="M207" s="94" t="s">
        <v>45</v>
      </c>
      <c r="N207" s="116">
        <v>0</v>
      </c>
      <c r="O207" s="233">
        <f t="shared" si="50"/>
        <v>0</v>
      </c>
      <c r="P207" s="233"/>
      <c r="Q207" s="47">
        <f t="shared" si="51"/>
        <v>0</v>
      </c>
      <c r="R207" s="348"/>
      <c r="S207" s="299"/>
      <c r="T207" s="299"/>
      <c r="U207" s="56"/>
      <c r="V207" s="349"/>
      <c r="W207" s="295"/>
      <c r="X207" s="350"/>
    </row>
    <row r="208" spans="1:25" ht="27.75" customHeight="1">
      <c r="A208" s="186">
        <v>40</v>
      </c>
      <c r="B208" s="40" t="s">
        <v>372</v>
      </c>
      <c r="C208" s="346" t="s">
        <v>373</v>
      </c>
      <c r="D208" s="141">
        <v>1410</v>
      </c>
      <c r="E208" s="43" t="s">
        <v>45</v>
      </c>
      <c r="F208" s="44">
        <v>0</v>
      </c>
      <c r="G208" s="45">
        <v>0</v>
      </c>
      <c r="H208" s="45"/>
      <c r="I208" s="47">
        <v>0</v>
      </c>
      <c r="J208" s="113">
        <v>46113</v>
      </c>
      <c r="K208" s="114" t="s">
        <v>1253</v>
      </c>
      <c r="L208" s="347">
        <v>1410</v>
      </c>
      <c r="M208" s="94" t="s">
        <v>45</v>
      </c>
      <c r="N208" s="116">
        <v>0</v>
      </c>
      <c r="O208" s="233">
        <f t="shared" si="50"/>
        <v>0</v>
      </c>
      <c r="P208" s="233"/>
      <c r="Q208" s="47">
        <f t="shared" si="51"/>
        <v>0</v>
      </c>
      <c r="R208" s="348" t="s">
        <v>195</v>
      </c>
      <c r="S208" s="299" t="s">
        <v>307</v>
      </c>
      <c r="T208" s="299" t="s">
        <v>308</v>
      </c>
      <c r="U208" s="56">
        <v>14640</v>
      </c>
      <c r="V208" s="349" t="s">
        <v>375</v>
      </c>
      <c r="W208" s="295" t="s">
        <v>289</v>
      </c>
      <c r="X208" s="4" t="s">
        <v>376</v>
      </c>
    </row>
    <row r="209" spans="1:24" ht="27.75" customHeight="1">
      <c r="A209" s="186">
        <v>41</v>
      </c>
      <c r="B209" s="40" t="s">
        <v>372</v>
      </c>
      <c r="C209" s="346" t="s">
        <v>377</v>
      </c>
      <c r="D209" s="141">
        <v>1410</v>
      </c>
      <c r="E209" s="43" t="s">
        <v>45</v>
      </c>
      <c r="F209" s="44">
        <v>0</v>
      </c>
      <c r="G209" s="45">
        <v>0</v>
      </c>
      <c r="H209" s="45"/>
      <c r="I209" s="47">
        <v>0</v>
      </c>
      <c r="J209" s="113">
        <v>46113</v>
      </c>
      <c r="K209" s="114" t="s">
        <v>1253</v>
      </c>
      <c r="L209" s="347">
        <v>1410</v>
      </c>
      <c r="M209" s="94" t="s">
        <v>45</v>
      </c>
      <c r="N209" s="116">
        <v>0</v>
      </c>
      <c r="O209" s="233">
        <f t="shared" si="50"/>
        <v>0</v>
      </c>
      <c r="P209" s="233"/>
      <c r="Q209" s="47">
        <f t="shared" si="51"/>
        <v>0</v>
      </c>
      <c r="R209" s="348"/>
      <c r="S209" s="299"/>
      <c r="T209" s="299"/>
      <c r="U209" s="56"/>
      <c r="V209" s="349"/>
      <c r="W209" s="295"/>
    </row>
    <row r="210" spans="1:24" ht="27.75" customHeight="1">
      <c r="A210" s="186">
        <v>42</v>
      </c>
      <c r="B210" s="40" t="s">
        <v>372</v>
      </c>
      <c r="C210" s="346" t="s">
        <v>378</v>
      </c>
      <c r="D210" s="141">
        <v>1410</v>
      </c>
      <c r="E210" s="43" t="s">
        <v>45</v>
      </c>
      <c r="F210" s="44">
        <v>0</v>
      </c>
      <c r="G210" s="45">
        <v>0</v>
      </c>
      <c r="H210" s="45"/>
      <c r="I210" s="47">
        <v>0</v>
      </c>
      <c r="J210" s="113">
        <v>46113</v>
      </c>
      <c r="K210" s="114" t="s">
        <v>1253</v>
      </c>
      <c r="L210" s="347">
        <v>1410</v>
      </c>
      <c r="M210" s="94" t="s">
        <v>45</v>
      </c>
      <c r="N210" s="116">
        <v>0</v>
      </c>
      <c r="O210" s="233">
        <f t="shared" si="50"/>
        <v>0</v>
      </c>
      <c r="P210" s="233"/>
      <c r="Q210" s="47">
        <f t="shared" si="51"/>
        <v>0</v>
      </c>
      <c r="R210" s="348"/>
      <c r="S210" s="299"/>
      <c r="T210" s="299"/>
      <c r="U210" s="56"/>
      <c r="V210" s="349"/>
      <c r="W210" s="295"/>
    </row>
    <row r="211" spans="1:24" ht="27.75" customHeight="1">
      <c r="A211" s="186">
        <v>43</v>
      </c>
      <c r="B211" s="40" t="s">
        <v>372</v>
      </c>
      <c r="C211" s="346" t="s">
        <v>379</v>
      </c>
      <c r="D211" s="141">
        <v>1410</v>
      </c>
      <c r="E211" s="43" t="s">
        <v>45</v>
      </c>
      <c r="F211" s="44">
        <v>0</v>
      </c>
      <c r="G211" s="45">
        <v>0</v>
      </c>
      <c r="H211" s="45"/>
      <c r="I211" s="47">
        <v>0</v>
      </c>
      <c r="J211" s="113">
        <v>46113</v>
      </c>
      <c r="K211" s="114" t="s">
        <v>1253</v>
      </c>
      <c r="L211" s="347">
        <v>1410</v>
      </c>
      <c r="M211" s="94" t="s">
        <v>45</v>
      </c>
      <c r="N211" s="116">
        <v>0</v>
      </c>
      <c r="O211" s="233">
        <f t="shared" si="50"/>
        <v>0</v>
      </c>
      <c r="P211" s="233"/>
      <c r="Q211" s="47">
        <f t="shared" si="51"/>
        <v>0</v>
      </c>
      <c r="R211" s="348"/>
      <c r="S211" s="299"/>
      <c r="T211" s="299"/>
      <c r="U211" s="56"/>
      <c r="V211" s="349"/>
      <c r="W211" s="295"/>
    </row>
    <row r="212" spans="1:24" ht="27.75" customHeight="1">
      <c r="A212" s="186">
        <v>44</v>
      </c>
      <c r="B212" s="40" t="s">
        <v>380</v>
      </c>
      <c r="C212" s="346" t="s">
        <v>381</v>
      </c>
      <c r="D212" s="141">
        <v>1410</v>
      </c>
      <c r="E212" s="43" t="s">
        <v>45</v>
      </c>
      <c r="F212" s="44">
        <v>0</v>
      </c>
      <c r="G212" s="45">
        <v>0</v>
      </c>
      <c r="H212" s="45"/>
      <c r="I212" s="47">
        <v>0</v>
      </c>
      <c r="J212" s="175">
        <v>46117</v>
      </c>
      <c r="K212" s="176" t="s">
        <v>1254</v>
      </c>
      <c r="L212" s="222">
        <v>1410</v>
      </c>
      <c r="M212" s="94" t="s">
        <v>45</v>
      </c>
      <c r="N212" s="116">
        <v>0</v>
      </c>
      <c r="O212" s="233">
        <f t="shared" si="50"/>
        <v>0</v>
      </c>
      <c r="P212" s="233"/>
      <c r="Q212" s="47">
        <f t="shared" si="51"/>
        <v>0</v>
      </c>
      <c r="R212" s="348" t="s">
        <v>195</v>
      </c>
      <c r="S212" s="299" t="s">
        <v>307</v>
      </c>
      <c r="T212" s="299" t="s">
        <v>308</v>
      </c>
      <c r="U212" s="56">
        <v>14640</v>
      </c>
      <c r="V212" s="349" t="s">
        <v>383</v>
      </c>
      <c r="W212" s="295" t="s">
        <v>289</v>
      </c>
      <c r="X212" s="4" t="s">
        <v>384</v>
      </c>
    </row>
    <row r="213" spans="1:24" ht="27.75" customHeight="1">
      <c r="A213" s="186">
        <v>45</v>
      </c>
      <c r="B213" s="40" t="s">
        <v>380</v>
      </c>
      <c r="C213" s="346" t="s">
        <v>385</v>
      </c>
      <c r="D213" s="141">
        <v>1410</v>
      </c>
      <c r="E213" s="43" t="s">
        <v>45</v>
      </c>
      <c r="F213" s="44">
        <v>0</v>
      </c>
      <c r="G213" s="45">
        <v>0</v>
      </c>
      <c r="H213" s="45"/>
      <c r="I213" s="47">
        <v>0</v>
      </c>
      <c r="J213" s="175">
        <v>46117</v>
      </c>
      <c r="K213" s="176" t="s">
        <v>1254</v>
      </c>
      <c r="L213" s="222">
        <v>1410</v>
      </c>
      <c r="M213" s="94" t="s">
        <v>45</v>
      </c>
      <c r="N213" s="116">
        <v>0</v>
      </c>
      <c r="O213" s="233">
        <f t="shared" si="50"/>
        <v>0</v>
      </c>
      <c r="P213" s="233"/>
      <c r="Q213" s="47">
        <f t="shared" si="51"/>
        <v>0</v>
      </c>
      <c r="R213" s="348"/>
      <c r="S213" s="299"/>
      <c r="T213" s="299"/>
      <c r="U213" s="56"/>
      <c r="V213" s="349"/>
      <c r="W213" s="295"/>
    </row>
    <row r="214" spans="1:24" ht="27.75" customHeight="1">
      <c r="A214" s="186">
        <v>46</v>
      </c>
      <c r="B214" s="40" t="s">
        <v>380</v>
      </c>
      <c r="C214" s="346" t="s">
        <v>386</v>
      </c>
      <c r="D214" s="141">
        <v>1410</v>
      </c>
      <c r="E214" s="43" t="s">
        <v>45</v>
      </c>
      <c r="F214" s="44">
        <v>0</v>
      </c>
      <c r="G214" s="45">
        <v>0</v>
      </c>
      <c r="H214" s="45"/>
      <c r="I214" s="47">
        <v>0</v>
      </c>
      <c r="J214" s="175">
        <v>46117</v>
      </c>
      <c r="K214" s="176" t="s">
        <v>1254</v>
      </c>
      <c r="L214" s="222">
        <v>1410</v>
      </c>
      <c r="M214" s="94" t="s">
        <v>45</v>
      </c>
      <c r="N214" s="116">
        <v>0</v>
      </c>
      <c r="O214" s="233">
        <f t="shared" si="50"/>
        <v>0</v>
      </c>
      <c r="P214" s="233"/>
      <c r="Q214" s="47">
        <f t="shared" si="51"/>
        <v>0</v>
      </c>
      <c r="R214" s="348"/>
      <c r="S214" s="299"/>
      <c r="T214" s="299"/>
      <c r="U214" s="56"/>
      <c r="V214" s="349"/>
      <c r="W214" s="295"/>
    </row>
    <row r="215" spans="1:24" ht="27.75" customHeight="1">
      <c r="A215" s="186">
        <v>47</v>
      </c>
      <c r="B215" s="40" t="s">
        <v>380</v>
      </c>
      <c r="C215" s="346" t="s">
        <v>387</v>
      </c>
      <c r="D215" s="141">
        <v>1410</v>
      </c>
      <c r="E215" s="43" t="s">
        <v>45</v>
      </c>
      <c r="F215" s="44">
        <v>0</v>
      </c>
      <c r="G215" s="45">
        <v>0</v>
      </c>
      <c r="H215" s="45"/>
      <c r="I215" s="47">
        <v>0</v>
      </c>
      <c r="J215" s="175">
        <v>46117</v>
      </c>
      <c r="K215" s="176" t="s">
        <v>1254</v>
      </c>
      <c r="L215" s="222">
        <v>1410</v>
      </c>
      <c r="M215" s="94" t="s">
        <v>45</v>
      </c>
      <c r="N215" s="116">
        <v>0</v>
      </c>
      <c r="O215" s="233">
        <f t="shared" si="50"/>
        <v>0</v>
      </c>
      <c r="P215" s="233"/>
      <c r="Q215" s="47">
        <f t="shared" si="51"/>
        <v>0</v>
      </c>
      <c r="R215" s="348"/>
      <c r="S215" s="299"/>
      <c r="T215" s="299"/>
      <c r="U215" s="56"/>
      <c r="V215" s="349"/>
      <c r="W215" s="295"/>
    </row>
    <row r="216" spans="1:24" ht="27.75" customHeight="1">
      <c r="A216" s="186">
        <v>48</v>
      </c>
      <c r="B216" s="351" t="s">
        <v>66</v>
      </c>
      <c r="C216" s="346" t="s">
        <v>388</v>
      </c>
      <c r="D216" s="141">
        <v>1760</v>
      </c>
      <c r="E216" s="43" t="s">
        <v>45</v>
      </c>
      <c r="F216" s="44">
        <v>0</v>
      </c>
      <c r="G216" s="45">
        <v>0</v>
      </c>
      <c r="H216" s="45"/>
      <c r="I216" s="47">
        <v>0</v>
      </c>
      <c r="J216" s="175">
        <v>46142</v>
      </c>
      <c r="K216" s="176" t="s">
        <v>1255</v>
      </c>
      <c r="L216" s="222">
        <v>1760</v>
      </c>
      <c r="M216" s="94" t="s">
        <v>45</v>
      </c>
      <c r="N216" s="116">
        <v>0</v>
      </c>
      <c r="O216" s="233">
        <f t="shared" si="50"/>
        <v>0</v>
      </c>
      <c r="P216" s="233"/>
      <c r="Q216" s="47">
        <f t="shared" si="51"/>
        <v>0</v>
      </c>
      <c r="R216" s="39" t="s">
        <v>195</v>
      </c>
      <c r="S216" s="55">
        <v>43313</v>
      </c>
      <c r="T216" s="55">
        <v>44408</v>
      </c>
      <c r="U216" s="56">
        <v>11925</v>
      </c>
      <c r="V216" s="349"/>
    </row>
    <row r="217" spans="1:24" ht="27.75" customHeight="1">
      <c r="A217" s="186">
        <v>49</v>
      </c>
      <c r="B217" s="351" t="s">
        <v>66</v>
      </c>
      <c r="C217" s="346" t="s">
        <v>390</v>
      </c>
      <c r="D217" s="141">
        <v>1760</v>
      </c>
      <c r="E217" s="43" t="s">
        <v>45</v>
      </c>
      <c r="F217" s="44">
        <v>0</v>
      </c>
      <c r="G217" s="45">
        <v>0</v>
      </c>
      <c r="H217" s="45"/>
      <c r="I217" s="47">
        <v>0</v>
      </c>
      <c r="J217" s="175">
        <v>46142</v>
      </c>
      <c r="K217" s="176" t="s">
        <v>1255</v>
      </c>
      <c r="L217" s="222">
        <v>1760</v>
      </c>
      <c r="M217" s="94" t="s">
        <v>45</v>
      </c>
      <c r="N217" s="116">
        <v>0</v>
      </c>
      <c r="O217" s="233">
        <f t="shared" si="50"/>
        <v>0</v>
      </c>
      <c r="P217" s="233"/>
      <c r="Q217" s="47">
        <f t="shared" si="51"/>
        <v>0</v>
      </c>
      <c r="R217" s="39"/>
      <c r="S217" s="55"/>
      <c r="T217" s="55"/>
      <c r="U217" s="56"/>
      <c r="V217" s="349"/>
    </row>
    <row r="218" spans="1:24" ht="27.75" customHeight="1">
      <c r="A218" s="186">
        <v>50</v>
      </c>
      <c r="B218" s="351" t="s">
        <v>66</v>
      </c>
      <c r="C218" s="346" t="s">
        <v>391</v>
      </c>
      <c r="D218" s="141">
        <v>1760</v>
      </c>
      <c r="E218" s="43" t="s">
        <v>45</v>
      </c>
      <c r="F218" s="44">
        <v>0</v>
      </c>
      <c r="G218" s="45">
        <v>0</v>
      </c>
      <c r="H218" s="45"/>
      <c r="I218" s="47">
        <v>0</v>
      </c>
      <c r="J218" s="175">
        <v>46142</v>
      </c>
      <c r="K218" s="176" t="s">
        <v>1255</v>
      </c>
      <c r="L218" s="222">
        <v>1760</v>
      </c>
      <c r="M218" s="94" t="s">
        <v>45</v>
      </c>
      <c r="N218" s="116">
        <v>0</v>
      </c>
      <c r="O218" s="233">
        <f t="shared" si="50"/>
        <v>0</v>
      </c>
      <c r="P218" s="233"/>
      <c r="Q218" s="47">
        <f t="shared" si="51"/>
        <v>0</v>
      </c>
      <c r="R218" s="39"/>
      <c r="S218" s="55"/>
      <c r="T218" s="55"/>
      <c r="U218" s="56"/>
      <c r="V218" s="349"/>
    </row>
    <row r="219" spans="1:24" ht="27.75" customHeight="1">
      <c r="A219" s="186">
        <v>51</v>
      </c>
      <c r="B219" s="351" t="s">
        <v>66</v>
      </c>
      <c r="C219" s="346" t="s">
        <v>69</v>
      </c>
      <c r="D219" s="141">
        <v>2720</v>
      </c>
      <c r="E219" s="43" t="s">
        <v>45</v>
      </c>
      <c r="F219" s="44">
        <v>0</v>
      </c>
      <c r="G219" s="45">
        <v>0</v>
      </c>
      <c r="H219" s="45"/>
      <c r="I219" s="47">
        <v>0</v>
      </c>
      <c r="J219" s="175">
        <v>46142</v>
      </c>
      <c r="K219" s="176" t="s">
        <v>1256</v>
      </c>
      <c r="L219" s="222">
        <v>2720</v>
      </c>
      <c r="M219" s="94" t="s">
        <v>45</v>
      </c>
      <c r="N219" s="116">
        <v>0</v>
      </c>
      <c r="O219" s="233">
        <f t="shared" si="50"/>
        <v>0</v>
      </c>
      <c r="P219" s="233"/>
      <c r="Q219" s="47">
        <f t="shared" si="51"/>
        <v>0</v>
      </c>
      <c r="R219" s="39" t="s">
        <v>195</v>
      </c>
      <c r="S219" s="55">
        <v>43313</v>
      </c>
      <c r="T219" s="55">
        <v>44408</v>
      </c>
      <c r="U219" s="56">
        <v>9000</v>
      </c>
      <c r="V219" s="349"/>
    </row>
    <row r="220" spans="1:24" ht="27.75" customHeight="1">
      <c r="A220" s="94"/>
      <c r="B220" s="352" t="s">
        <v>393</v>
      </c>
      <c r="C220" s="353"/>
      <c r="D220" s="296"/>
      <c r="E220" s="64"/>
      <c r="F220" s="44"/>
      <c r="G220" s="45"/>
      <c r="H220" s="45"/>
      <c r="I220" s="354"/>
      <c r="J220" s="183"/>
      <c r="K220" s="355"/>
      <c r="L220" s="231"/>
      <c r="M220" s="186"/>
      <c r="N220" s="116"/>
      <c r="O220" s="233"/>
      <c r="P220" s="233"/>
      <c r="Q220" s="17"/>
      <c r="R220" s="356"/>
      <c r="S220" s="55"/>
      <c r="T220" s="55"/>
      <c r="U220" s="56"/>
      <c r="V220" s="349"/>
    </row>
    <row r="221" spans="1:24" ht="27.75" customHeight="1">
      <c r="A221" s="94"/>
      <c r="B221" s="352" t="s">
        <v>394</v>
      </c>
      <c r="C221" s="353"/>
      <c r="D221" s="296"/>
      <c r="E221" s="64"/>
      <c r="F221" s="44"/>
      <c r="G221" s="45"/>
      <c r="H221" s="45"/>
      <c r="I221" s="354"/>
      <c r="J221" s="175"/>
      <c r="K221" s="355"/>
      <c r="L221" s="222"/>
      <c r="M221" s="186"/>
      <c r="N221" s="116"/>
      <c r="O221" s="233"/>
      <c r="P221" s="233"/>
      <c r="Q221" s="17"/>
      <c r="R221" s="356"/>
      <c r="S221" s="55"/>
      <c r="T221" s="55"/>
      <c r="U221" s="56"/>
      <c r="V221" s="349"/>
    </row>
    <row r="222" spans="1:24" ht="27.75" customHeight="1" thickBot="1">
      <c r="A222" s="357"/>
      <c r="B222" s="358"/>
      <c r="C222" s="359"/>
      <c r="D222" s="360">
        <f>SUM(D169:D221)</f>
        <v>73700</v>
      </c>
      <c r="E222" s="100"/>
      <c r="F222" s="101"/>
      <c r="G222" s="102">
        <f>SUM(G216:G219)</f>
        <v>0</v>
      </c>
      <c r="H222" s="102">
        <v>0</v>
      </c>
      <c r="I222" s="102">
        <f>SUM(I216:I219)</f>
        <v>0</v>
      </c>
      <c r="J222" s="361"/>
      <c r="K222" s="361"/>
      <c r="L222" s="362">
        <f>SUM(L169:L221)</f>
        <v>84140</v>
      </c>
      <c r="M222" s="106"/>
      <c r="N222" s="107"/>
      <c r="O222" s="363"/>
      <c r="P222" s="363"/>
      <c r="Q222" s="363"/>
      <c r="R222" s="356"/>
      <c r="S222" s="55"/>
      <c r="T222" s="55"/>
      <c r="U222" s="56"/>
      <c r="V222" s="349"/>
    </row>
    <row r="223" spans="1:24" ht="27.75" customHeight="1" thickTop="1">
      <c r="A223" s="94"/>
      <c r="B223" s="364" t="s">
        <v>395</v>
      </c>
      <c r="C223" s="81"/>
      <c r="D223" s="192"/>
      <c r="E223" s="365"/>
      <c r="F223" s="126"/>
      <c r="G223" s="65"/>
      <c r="H223" s="65"/>
      <c r="I223" s="85"/>
      <c r="J223" s="178"/>
      <c r="K223" s="179"/>
      <c r="L223" s="264"/>
      <c r="M223" s="83"/>
      <c r="N223" s="251"/>
      <c r="O223" s="337"/>
      <c r="P223" s="337"/>
      <c r="Q223" s="85"/>
      <c r="R223" s="39"/>
      <c r="S223" s="55"/>
      <c r="T223" s="55"/>
      <c r="U223" s="56"/>
      <c r="V223" s="56"/>
    </row>
    <row r="224" spans="1:24" ht="27.75" customHeight="1">
      <c r="A224" s="94">
        <v>1</v>
      </c>
      <c r="B224" s="366" t="s">
        <v>167</v>
      </c>
      <c r="C224" s="367" t="s">
        <v>396</v>
      </c>
      <c r="D224" s="141">
        <v>22690</v>
      </c>
      <c r="E224" s="43" t="s">
        <v>45</v>
      </c>
      <c r="F224" s="44">
        <v>0</v>
      </c>
      <c r="G224" s="45">
        <v>0</v>
      </c>
      <c r="H224" s="45"/>
      <c r="I224" s="47">
        <v>0</v>
      </c>
      <c r="J224" s="175">
        <v>46119</v>
      </c>
      <c r="K224" s="176" t="s">
        <v>1238</v>
      </c>
      <c r="L224" s="222">
        <v>22690</v>
      </c>
      <c r="M224" s="94" t="s">
        <v>45</v>
      </c>
      <c r="N224" s="116">
        <v>0</v>
      </c>
      <c r="O224" s="233">
        <f t="shared" ref="O224" si="52">+I224+D224-L224</f>
        <v>0</v>
      </c>
      <c r="P224" s="233"/>
      <c r="Q224" s="368">
        <f t="shared" ref="Q224" si="53">+O224+P224</f>
        <v>0</v>
      </c>
      <c r="R224" s="348" t="s">
        <v>195</v>
      </c>
      <c r="S224" s="299">
        <v>44166</v>
      </c>
      <c r="T224" s="299">
        <v>45260</v>
      </c>
      <c r="U224" s="149">
        <v>51450</v>
      </c>
      <c r="V224" s="369" t="s">
        <v>398</v>
      </c>
      <c r="W224" s="4" t="s">
        <v>399</v>
      </c>
      <c r="X224" s="4" t="s">
        <v>400</v>
      </c>
    </row>
    <row r="225" spans="1:24" ht="27.75" customHeight="1">
      <c r="A225" s="94"/>
      <c r="B225" s="366" t="s">
        <v>401</v>
      </c>
      <c r="C225" s="367" t="s">
        <v>402</v>
      </c>
      <c r="D225" s="141"/>
      <c r="E225" s="43"/>
      <c r="F225" s="44"/>
      <c r="G225" s="45"/>
      <c r="H225" s="45"/>
      <c r="I225" s="47"/>
      <c r="J225" s="175"/>
      <c r="K225" s="176"/>
      <c r="L225" s="222"/>
      <c r="M225" s="94"/>
      <c r="N225" s="116"/>
      <c r="O225" s="233"/>
      <c r="P225" s="233"/>
      <c r="Q225" s="368"/>
      <c r="R225" s="348"/>
      <c r="S225" s="299"/>
      <c r="T225" s="299"/>
      <c r="U225" s="149"/>
      <c r="V225" s="369"/>
    </row>
    <row r="226" spans="1:24" ht="27.75" customHeight="1">
      <c r="A226" s="94">
        <v>2</v>
      </c>
      <c r="B226" s="366" t="s">
        <v>24</v>
      </c>
      <c r="C226" s="367" t="s">
        <v>403</v>
      </c>
      <c r="D226" s="141">
        <v>15295</v>
      </c>
      <c r="E226" s="43" t="s">
        <v>45</v>
      </c>
      <c r="F226" s="44">
        <v>0</v>
      </c>
      <c r="G226" s="45">
        <v>0</v>
      </c>
      <c r="H226" s="45"/>
      <c r="I226" s="47">
        <v>0</v>
      </c>
      <c r="J226" s="175">
        <v>46114</v>
      </c>
      <c r="K226" s="176" t="s">
        <v>1257</v>
      </c>
      <c r="L226" s="222">
        <v>15295</v>
      </c>
      <c r="M226" s="94" t="s">
        <v>45</v>
      </c>
      <c r="N226" s="116">
        <v>0</v>
      </c>
      <c r="O226" s="233">
        <f t="shared" ref="O226" si="54">+I226+D226-L226</f>
        <v>0</v>
      </c>
      <c r="P226" s="233"/>
      <c r="Q226" s="368">
        <f t="shared" ref="Q226" si="55">+O226+P226</f>
        <v>0</v>
      </c>
      <c r="R226" s="348" t="s">
        <v>405</v>
      </c>
      <c r="S226" s="299">
        <v>44562</v>
      </c>
      <c r="T226" s="299" t="s">
        <v>406</v>
      </c>
      <c r="U226" s="149">
        <v>34680</v>
      </c>
      <c r="V226" s="370" t="s">
        <v>407</v>
      </c>
      <c r="W226" s="295" t="s">
        <v>289</v>
      </c>
      <c r="X226" s="4" t="s">
        <v>408</v>
      </c>
    </row>
    <row r="227" spans="1:24" ht="27.75" customHeight="1">
      <c r="A227" s="94"/>
      <c r="B227" s="366" t="s">
        <v>409</v>
      </c>
      <c r="C227" s="367" t="s">
        <v>410</v>
      </c>
      <c r="D227" s="141"/>
      <c r="E227" s="43"/>
      <c r="F227" s="44"/>
      <c r="G227" s="45"/>
      <c r="H227" s="45"/>
      <c r="I227" s="47"/>
      <c r="J227" s="175"/>
      <c r="K227" s="176"/>
      <c r="L227" s="222"/>
      <c r="M227" s="94"/>
      <c r="N227" s="116"/>
      <c r="O227" s="233"/>
      <c r="P227" s="233"/>
      <c r="Q227" s="368"/>
      <c r="R227" s="348"/>
      <c r="S227" s="299"/>
      <c r="T227" s="299"/>
      <c r="U227" s="149"/>
      <c r="V227" s="370"/>
      <c r="W227" s="295"/>
    </row>
    <row r="228" spans="1:24" ht="27.75" customHeight="1">
      <c r="A228" s="94">
        <v>3</v>
      </c>
      <c r="B228" s="366" t="s">
        <v>411</v>
      </c>
      <c r="C228" s="367" t="s">
        <v>412</v>
      </c>
      <c r="D228" s="141">
        <v>5360</v>
      </c>
      <c r="E228" s="43" t="s">
        <v>45</v>
      </c>
      <c r="F228" s="44">
        <v>0</v>
      </c>
      <c r="G228" s="45">
        <v>0</v>
      </c>
      <c r="H228" s="45"/>
      <c r="I228" s="47">
        <v>0</v>
      </c>
      <c r="J228" s="175">
        <v>46130</v>
      </c>
      <c r="K228" s="176" t="s">
        <v>1258</v>
      </c>
      <c r="L228" s="222">
        <v>5360</v>
      </c>
      <c r="M228" s="94" t="s">
        <v>45</v>
      </c>
      <c r="N228" s="116">
        <v>0</v>
      </c>
      <c r="O228" s="233">
        <f t="shared" ref="O228" si="56">+I228+D228-L228</f>
        <v>0</v>
      </c>
      <c r="P228" s="233"/>
      <c r="Q228" s="368">
        <f t="shared" ref="Q228" si="57">+O228+P228</f>
        <v>0</v>
      </c>
      <c r="R228" s="348" t="s">
        <v>405</v>
      </c>
      <c r="S228" s="299">
        <v>44562</v>
      </c>
      <c r="T228" s="299">
        <v>45503</v>
      </c>
      <c r="U228" s="149">
        <v>13980</v>
      </c>
      <c r="V228" s="371" t="s">
        <v>414</v>
      </c>
      <c r="W228" s="295" t="s">
        <v>289</v>
      </c>
      <c r="X228" s="4" t="s">
        <v>415</v>
      </c>
    </row>
    <row r="229" spans="1:24" ht="27.75" customHeight="1">
      <c r="A229" s="94"/>
      <c r="B229" s="366" t="s">
        <v>409</v>
      </c>
      <c r="C229" s="367" t="s">
        <v>416</v>
      </c>
      <c r="D229" s="141"/>
      <c r="E229" s="43"/>
      <c r="F229" s="44"/>
      <c r="G229" s="45"/>
      <c r="H229" s="45"/>
      <c r="I229" s="47"/>
      <c r="J229" s="175"/>
      <c r="K229" s="176"/>
      <c r="L229" s="222"/>
      <c r="N229" s="116"/>
      <c r="O229" s="233"/>
      <c r="P229" s="233"/>
      <c r="Q229" s="368"/>
      <c r="R229" s="348"/>
      <c r="S229" s="299"/>
      <c r="T229" s="299"/>
      <c r="U229" s="149"/>
      <c r="V229" s="371"/>
      <c r="W229" s="295"/>
    </row>
    <row r="230" spans="1:24" ht="27.75" customHeight="1">
      <c r="A230" s="94">
        <v>4</v>
      </c>
      <c r="B230" s="366" t="s">
        <v>417</v>
      </c>
      <c r="C230" s="367" t="s">
        <v>418</v>
      </c>
      <c r="D230" s="141">
        <v>68108.75</v>
      </c>
      <c r="E230" s="373" t="s">
        <v>1063</v>
      </c>
      <c r="F230" s="374">
        <v>-0.49999992658799353</v>
      </c>
      <c r="G230" s="375">
        <v>-34054.370000000003</v>
      </c>
      <c r="H230" s="375"/>
      <c r="I230" s="376">
        <v>-34054.370000000003</v>
      </c>
      <c r="J230" s="175">
        <v>46135</v>
      </c>
      <c r="K230" s="176" t="s">
        <v>1259</v>
      </c>
      <c r="L230" s="222">
        <v>68108.75</v>
      </c>
      <c r="M230" s="377" t="s">
        <v>1173</v>
      </c>
      <c r="N230" s="116">
        <v>-0.49999992658799353</v>
      </c>
      <c r="O230" s="233">
        <f t="shared" ref="O230" si="58">+I230+D230-L230</f>
        <v>-34054.370000000003</v>
      </c>
      <c r="P230" s="233"/>
      <c r="Q230" s="368">
        <f t="shared" ref="Q230" si="59">+O230+P230</f>
        <v>-34054.370000000003</v>
      </c>
      <c r="R230" s="39" t="s">
        <v>195</v>
      </c>
      <c r="S230" s="55">
        <v>40072</v>
      </c>
      <c r="T230" s="55">
        <v>41167</v>
      </c>
      <c r="U230" s="56">
        <v>132250</v>
      </c>
      <c r="V230" s="378" t="s">
        <v>420</v>
      </c>
    </row>
    <row r="231" spans="1:24" ht="27.75" customHeight="1">
      <c r="A231" s="94"/>
      <c r="B231" s="366" t="s">
        <v>409</v>
      </c>
      <c r="C231" s="379"/>
      <c r="D231" s="141"/>
      <c r="E231" s="43"/>
      <c r="F231" s="44"/>
      <c r="G231" s="45">
        <v>0</v>
      </c>
      <c r="H231" s="45"/>
      <c r="I231" s="47">
        <v>0</v>
      </c>
      <c r="J231" s="175"/>
      <c r="K231" s="176"/>
      <c r="L231" s="222"/>
      <c r="M231" s="94"/>
      <c r="N231" s="116"/>
      <c r="O231" s="233">
        <f t="shared" ref="O231:O232" si="60">D231+I231-L231</f>
        <v>0</v>
      </c>
      <c r="P231" s="233"/>
      <c r="Q231" s="368">
        <f t="shared" ref="Q231:Q232" si="61">O231</f>
        <v>0</v>
      </c>
      <c r="R231" s="39"/>
      <c r="S231" s="55"/>
      <c r="T231" s="55"/>
      <c r="U231" s="56"/>
      <c r="V231" s="56"/>
    </row>
    <row r="232" spans="1:24" ht="27.75" customHeight="1">
      <c r="A232" s="94">
        <v>5</v>
      </c>
      <c r="B232" s="366" t="s">
        <v>417</v>
      </c>
      <c r="C232" s="367" t="s">
        <v>421</v>
      </c>
      <c r="D232" s="141">
        <v>4910</v>
      </c>
      <c r="E232" s="43" t="s">
        <v>45</v>
      </c>
      <c r="F232" s="44">
        <v>0</v>
      </c>
      <c r="G232" s="45">
        <v>0</v>
      </c>
      <c r="H232" s="45">
        <v>0</v>
      </c>
      <c r="I232" s="47">
        <v>0</v>
      </c>
      <c r="J232" s="175">
        <v>46113</v>
      </c>
      <c r="K232" s="176" t="s">
        <v>1260</v>
      </c>
      <c r="L232" s="222">
        <v>4910</v>
      </c>
      <c r="M232" s="94" t="s">
        <v>45</v>
      </c>
      <c r="N232" s="116">
        <v>0</v>
      </c>
      <c r="O232" s="233">
        <f t="shared" si="60"/>
        <v>0</v>
      </c>
      <c r="P232" s="233">
        <v>0</v>
      </c>
      <c r="Q232" s="368">
        <f t="shared" si="61"/>
        <v>0</v>
      </c>
      <c r="R232" s="348" t="s">
        <v>195</v>
      </c>
      <c r="S232" s="299" t="s">
        <v>423</v>
      </c>
      <c r="T232" s="299" t="s">
        <v>406</v>
      </c>
      <c r="U232" s="56">
        <v>6420</v>
      </c>
      <c r="V232" s="56" t="s">
        <v>424</v>
      </c>
      <c r="W232" s="295" t="s">
        <v>289</v>
      </c>
      <c r="X232" s="4" t="s">
        <v>425</v>
      </c>
    </row>
    <row r="233" spans="1:24" ht="27.75" customHeight="1">
      <c r="A233" s="94"/>
      <c r="B233" s="366" t="s">
        <v>426</v>
      </c>
      <c r="C233" s="366" t="s">
        <v>427</v>
      </c>
      <c r="D233" s="141"/>
      <c r="E233" s="43"/>
      <c r="F233" s="44"/>
      <c r="G233" s="45"/>
      <c r="H233" s="45"/>
      <c r="I233" s="47"/>
      <c r="J233" s="175"/>
      <c r="K233" s="176"/>
      <c r="L233" s="222"/>
      <c r="M233" s="94"/>
      <c r="N233" s="116"/>
      <c r="O233" s="233"/>
      <c r="P233" s="233"/>
      <c r="Q233" s="368"/>
      <c r="R233" s="348"/>
      <c r="S233" s="299"/>
      <c r="T233" s="299"/>
      <c r="U233" s="56"/>
      <c r="V233" s="56"/>
      <c r="W233" s="295"/>
    </row>
    <row r="234" spans="1:24" ht="27.75" customHeight="1">
      <c r="A234" s="94">
        <v>6</v>
      </c>
      <c r="B234" s="366" t="s">
        <v>428</v>
      </c>
      <c r="C234" s="367" t="s">
        <v>429</v>
      </c>
      <c r="D234" s="141">
        <v>20000</v>
      </c>
      <c r="E234" s="43" t="s">
        <v>45</v>
      </c>
      <c r="F234" s="44">
        <v>0</v>
      </c>
      <c r="G234" s="45"/>
      <c r="H234" s="45"/>
      <c r="I234" s="47"/>
      <c r="J234" s="175" t="s">
        <v>1261</v>
      </c>
      <c r="K234" s="176" t="s">
        <v>1262</v>
      </c>
      <c r="L234" s="222">
        <v>20000</v>
      </c>
      <c r="M234" s="94" t="s">
        <v>45</v>
      </c>
      <c r="N234" s="116">
        <v>0</v>
      </c>
      <c r="O234" s="233"/>
      <c r="P234" s="233"/>
      <c r="Q234" s="368"/>
      <c r="R234" s="348"/>
      <c r="S234" s="299"/>
      <c r="T234" s="299"/>
      <c r="U234" s="56"/>
      <c r="V234" s="56"/>
      <c r="W234" s="295"/>
    </row>
    <row r="235" spans="1:24" ht="27.75" customHeight="1">
      <c r="A235" s="94"/>
      <c r="B235" s="366" t="s">
        <v>431</v>
      </c>
      <c r="C235" s="366" t="s">
        <v>432</v>
      </c>
      <c r="D235" s="141"/>
      <c r="E235" s="43"/>
      <c r="F235" s="44"/>
      <c r="G235" s="45"/>
      <c r="H235" s="45"/>
      <c r="I235" s="47"/>
      <c r="J235" s="175"/>
      <c r="K235" s="176"/>
      <c r="L235" s="222"/>
      <c r="M235" s="94"/>
      <c r="N235" s="116"/>
      <c r="O235" s="233"/>
      <c r="P235" s="233"/>
      <c r="Q235" s="47"/>
      <c r="R235" s="39"/>
      <c r="S235" s="55"/>
      <c r="T235" s="55"/>
      <c r="U235" s="56"/>
      <c r="V235" s="56"/>
    </row>
    <row r="236" spans="1:24" ht="27.75" customHeight="1" thickBot="1">
      <c r="A236" s="193"/>
      <c r="B236" s="194" t="s">
        <v>22</v>
      </c>
      <c r="C236" s="195"/>
      <c r="D236" s="196">
        <f>SUM(D224:D235)</f>
        <v>136363.75</v>
      </c>
      <c r="E236" s="221"/>
      <c r="F236" s="197"/>
      <c r="G236" s="198">
        <v>0</v>
      </c>
      <c r="H236" s="198"/>
      <c r="I236" s="198">
        <v>0</v>
      </c>
      <c r="J236" s="199"/>
      <c r="K236" s="199"/>
      <c r="L236" s="196">
        <f>SUM(L224:L235)</f>
        <v>136363.75</v>
      </c>
      <c r="M236" s="200"/>
      <c r="N236" s="196"/>
      <c r="O236" s="198">
        <v>0</v>
      </c>
      <c r="P236" s="198"/>
      <c r="Q236" s="198">
        <v>0</v>
      </c>
      <c r="R236" s="36"/>
      <c r="S236" s="37"/>
      <c r="T236" s="37"/>
      <c r="U236" s="38"/>
      <c r="V236" s="38"/>
      <c r="W236" s="38"/>
    </row>
    <row r="237" spans="1:24" ht="27.75" customHeight="1" thickTop="1">
      <c r="A237" s="22"/>
      <c r="B237" s="288" t="s">
        <v>433</v>
      </c>
      <c r="C237" s="380"/>
      <c r="D237" s="284"/>
      <c r="E237" s="273"/>
      <c r="F237" s="274"/>
      <c r="G237" s="381"/>
      <c r="H237" s="381"/>
      <c r="I237" s="381"/>
      <c r="J237" s="382"/>
      <c r="K237" s="382"/>
      <c r="L237" s="383"/>
      <c r="M237" s="384"/>
      <c r="N237" s="284"/>
      <c r="O237" s="381"/>
      <c r="P237" s="381"/>
      <c r="Q237" s="381"/>
      <c r="R237" s="36"/>
      <c r="S237" s="37"/>
      <c r="T237" s="37"/>
      <c r="U237" s="38"/>
      <c r="V237" s="38"/>
      <c r="W237" s="38"/>
    </row>
    <row r="238" spans="1:24" ht="27.75" customHeight="1">
      <c r="A238" s="22">
        <v>1</v>
      </c>
      <c r="B238" s="270" t="s">
        <v>434</v>
      </c>
      <c r="C238" s="380" t="s">
        <v>435</v>
      </c>
      <c r="D238" s="284">
        <v>0</v>
      </c>
      <c r="E238" s="273"/>
      <c r="F238" s="274"/>
      <c r="G238" s="381">
        <v>-6.3664629124104977E-12</v>
      </c>
      <c r="H238" s="381"/>
      <c r="I238" s="381">
        <v>-6.3664629124104977E-12</v>
      </c>
      <c r="J238" s="385"/>
      <c r="K238" s="386"/>
      <c r="L238" s="383"/>
      <c r="M238" s="387"/>
      <c r="N238" s="116"/>
      <c r="O238" s="388">
        <f>D238+I238-L238</f>
        <v>-6.3664629124104977E-12</v>
      </c>
      <c r="P238" s="388"/>
      <c r="Q238" s="376">
        <f>O238</f>
        <v>-6.3664629124104977E-12</v>
      </c>
      <c r="R238" s="36"/>
      <c r="S238" s="37"/>
      <c r="T238" s="37"/>
      <c r="U238" s="38"/>
      <c r="V238" s="38"/>
      <c r="W238" s="38"/>
    </row>
    <row r="239" spans="1:24" ht="27.75" customHeight="1">
      <c r="A239" s="22"/>
      <c r="B239" s="270" t="s">
        <v>436</v>
      </c>
      <c r="C239" s="380" t="s">
        <v>437</v>
      </c>
      <c r="D239" s="284"/>
      <c r="E239" s="384"/>
      <c r="F239" s="274"/>
      <c r="G239" s="381"/>
      <c r="H239" s="381"/>
      <c r="I239" s="381"/>
      <c r="J239" s="382"/>
      <c r="K239" s="382"/>
      <c r="L239" s="383"/>
      <c r="M239" s="384"/>
      <c r="N239" s="284"/>
      <c r="O239" s="381"/>
      <c r="P239" s="381"/>
      <c r="Q239" s="381"/>
      <c r="R239" s="36"/>
      <c r="S239" s="37"/>
      <c r="T239" s="37"/>
      <c r="U239" s="38"/>
      <c r="V239" s="38"/>
      <c r="W239" s="38"/>
    </row>
    <row r="240" spans="1:24" ht="27.75" customHeight="1">
      <c r="A240" s="22">
        <v>2</v>
      </c>
      <c r="B240" s="270" t="s">
        <v>438</v>
      </c>
      <c r="C240" s="380" t="s">
        <v>439</v>
      </c>
      <c r="D240" s="284">
        <v>1500</v>
      </c>
      <c r="E240" s="384" t="s">
        <v>45</v>
      </c>
      <c r="F240" s="274">
        <v>0</v>
      </c>
      <c r="G240" s="381">
        <v>0</v>
      </c>
      <c r="H240" s="381">
        <v>0</v>
      </c>
      <c r="I240" s="381">
        <v>0</v>
      </c>
      <c r="J240" s="389">
        <v>46117</v>
      </c>
      <c r="K240" s="386" t="s">
        <v>1263</v>
      </c>
      <c r="L240" s="383">
        <v>1500</v>
      </c>
      <c r="M240" s="390" t="s">
        <v>45</v>
      </c>
      <c r="N240" s="391">
        <v>0</v>
      </c>
      <c r="O240" s="381">
        <f>SUM(D240+G240-L240)</f>
        <v>0</v>
      </c>
      <c r="P240" s="381">
        <v>0</v>
      </c>
      <c r="Q240" s="381">
        <f>SUM(O240)</f>
        <v>0</v>
      </c>
      <c r="R240" s="36"/>
      <c r="S240" s="37"/>
      <c r="T240" s="37"/>
      <c r="U240" s="38"/>
      <c r="V240" s="38"/>
      <c r="W240" s="38"/>
    </row>
    <row r="241" spans="1:25" ht="27.75" customHeight="1" thickBot="1">
      <c r="A241" s="193"/>
      <c r="B241" s="194" t="s">
        <v>22</v>
      </c>
      <c r="C241" s="195"/>
      <c r="D241" s="196">
        <f>SUM(D238:D240)</f>
        <v>1500</v>
      </c>
      <c r="E241" s="221">
        <v>0</v>
      </c>
      <c r="F241" s="197"/>
      <c r="G241" s="392">
        <v>0</v>
      </c>
      <c r="H241" s="392">
        <v>0</v>
      </c>
      <c r="I241" s="392">
        <v>0</v>
      </c>
      <c r="J241" s="393">
        <v>0</v>
      </c>
      <c r="K241" s="393">
        <v>0</v>
      </c>
      <c r="L241" s="394">
        <f>SUM(L238:L240)</f>
        <v>1500</v>
      </c>
      <c r="M241" s="395"/>
      <c r="N241" s="392"/>
      <c r="O241" s="392">
        <f>SUM(O238:O240)</f>
        <v>-6.3664629124104977E-12</v>
      </c>
      <c r="P241" s="392">
        <f t="shared" ref="P241:Q241" si="62">SUM(P238:P240)</f>
        <v>0</v>
      </c>
      <c r="Q241" s="392">
        <f t="shared" si="62"/>
        <v>-6.3664629124104977E-12</v>
      </c>
      <c r="R241" s="36"/>
      <c r="S241" s="37"/>
      <c r="T241" s="37"/>
      <c r="U241" s="38"/>
      <c r="V241" s="38"/>
      <c r="W241" s="38"/>
    </row>
    <row r="242" spans="1:25" ht="27.75" customHeight="1" thickTop="1">
      <c r="A242" s="22"/>
      <c r="B242" s="288" t="s">
        <v>441</v>
      </c>
      <c r="C242" s="289"/>
      <c r="D242" s="272"/>
      <c r="E242" s="201"/>
      <c r="F242" s="281"/>
      <c r="G242" s="290"/>
      <c r="H242" s="290"/>
      <c r="I242" s="290"/>
      <c r="J242" s="291"/>
      <c r="K242" s="292"/>
      <c r="L242" s="222"/>
      <c r="M242" s="94"/>
      <c r="N242" s="39"/>
      <c r="O242" s="293"/>
      <c r="P242" s="293"/>
      <c r="Q242" s="294"/>
      <c r="R242" s="36"/>
      <c r="S242" s="37"/>
      <c r="T242" s="37"/>
      <c r="U242" s="38"/>
      <c r="V242" s="38"/>
      <c r="W242" s="38"/>
    </row>
    <row r="243" spans="1:25" ht="27.75" customHeight="1">
      <c r="A243" s="94">
        <v>1</v>
      </c>
      <c r="B243" s="40" t="s">
        <v>442</v>
      </c>
      <c r="C243" s="206" t="s">
        <v>443</v>
      </c>
      <c r="D243" s="296">
        <v>98948</v>
      </c>
      <c r="E243" s="43" t="s">
        <v>1090</v>
      </c>
      <c r="F243" s="44">
        <v>-6</v>
      </c>
      <c r="G243" s="45">
        <v>-593688</v>
      </c>
      <c r="H243" s="45"/>
      <c r="I243" s="47">
        <v>-593688</v>
      </c>
      <c r="J243" s="175"/>
      <c r="K243" s="176"/>
      <c r="L243" s="222">
        <v>0</v>
      </c>
      <c r="M243" s="387" t="s">
        <v>1202</v>
      </c>
      <c r="N243" s="116">
        <v>-5</v>
      </c>
      <c r="O243" s="233">
        <f t="shared" ref="O243" si="63">Q243</f>
        <v>-494740</v>
      </c>
      <c r="P243" s="233"/>
      <c r="Q243" s="376">
        <f>D243+I243-L243</f>
        <v>-494740</v>
      </c>
      <c r="R243" s="39" t="s">
        <v>446</v>
      </c>
      <c r="S243" s="55">
        <v>43952</v>
      </c>
      <c r="T243" s="55">
        <v>44561</v>
      </c>
      <c r="U243" s="56">
        <v>1032500</v>
      </c>
      <c r="V243" s="56" t="s">
        <v>447</v>
      </c>
    </row>
    <row r="244" spans="1:25" ht="27.75" customHeight="1">
      <c r="A244" s="94"/>
      <c r="B244" s="396" t="s">
        <v>448</v>
      </c>
      <c r="C244" s="206" t="s">
        <v>449</v>
      </c>
      <c r="D244" s="296"/>
      <c r="E244" s="64"/>
      <c r="F244" s="44"/>
      <c r="G244" s="45"/>
      <c r="H244" s="45"/>
      <c r="I244" s="47"/>
      <c r="J244" s="183"/>
      <c r="K244" s="184"/>
      <c r="L244" s="231"/>
      <c r="M244" s="186"/>
      <c r="N244" s="116"/>
      <c r="O244" s="233"/>
      <c r="P244" s="233"/>
      <c r="Q244" s="376"/>
      <c r="R244" s="297"/>
      <c r="S244" s="298"/>
      <c r="T244" s="298"/>
      <c r="U244" s="397"/>
      <c r="V244" s="397"/>
    </row>
    <row r="245" spans="1:25" ht="27.75" customHeight="1">
      <c r="A245" s="94"/>
      <c r="B245" s="396"/>
      <c r="C245" s="398" t="s">
        <v>450</v>
      </c>
      <c r="D245" s="296"/>
      <c r="E245" s="64"/>
      <c r="F245" s="44"/>
      <c r="G245" s="45"/>
      <c r="H245" s="45"/>
      <c r="I245" s="47"/>
      <c r="J245" s="183"/>
      <c r="K245" s="184"/>
      <c r="L245" s="231"/>
      <c r="M245" s="186"/>
      <c r="N245" s="116"/>
      <c r="O245" s="233"/>
      <c r="P245" s="233"/>
      <c r="Q245" s="376"/>
      <c r="R245" s="297"/>
      <c r="S245" s="298"/>
      <c r="T245" s="298"/>
      <c r="U245" s="397"/>
      <c r="V245" s="397"/>
    </row>
    <row r="246" spans="1:25" ht="27.75" customHeight="1">
      <c r="A246" s="94">
        <v>2</v>
      </c>
      <c r="B246" s="205" t="s">
        <v>451</v>
      </c>
      <c r="C246" s="206" t="s">
        <v>452</v>
      </c>
      <c r="D246" s="296">
        <v>48779</v>
      </c>
      <c r="E246" s="64" t="s">
        <v>1154</v>
      </c>
      <c r="F246" s="44">
        <v>-7.7389450378236537</v>
      </c>
      <c r="G246" s="45">
        <v>-377498</v>
      </c>
      <c r="H246" s="45"/>
      <c r="I246" s="47">
        <v>-377498</v>
      </c>
      <c r="J246" s="183"/>
      <c r="K246" s="184"/>
      <c r="L246" s="231">
        <v>0</v>
      </c>
      <c r="M246" s="399" t="s">
        <v>1264</v>
      </c>
      <c r="N246" s="116">
        <v>-6.7389450378236537</v>
      </c>
      <c r="O246" s="233">
        <f t="shared" ref="O246" si="64">Q246</f>
        <v>-328719</v>
      </c>
      <c r="P246" s="233"/>
      <c r="Q246" s="368">
        <f>D246+I246-L246</f>
        <v>-328719</v>
      </c>
      <c r="R246" s="172" t="s">
        <v>456</v>
      </c>
      <c r="S246" s="400" t="s">
        <v>457</v>
      </c>
      <c r="T246" s="400" t="s">
        <v>458</v>
      </c>
      <c r="U246" s="401">
        <v>442600</v>
      </c>
      <c r="V246" s="401" t="s">
        <v>459</v>
      </c>
    </row>
    <row r="247" spans="1:25" ht="27.75" customHeight="1">
      <c r="A247" s="232"/>
      <c r="B247" s="402" t="s">
        <v>460</v>
      </c>
      <c r="C247" s="206" t="s">
        <v>461</v>
      </c>
      <c r="D247" s="296"/>
      <c r="E247" s="64"/>
      <c r="F247" s="44"/>
      <c r="G247" s="45"/>
      <c r="H247" s="45"/>
      <c r="I247" s="47"/>
      <c r="J247" s="183"/>
      <c r="K247" s="184"/>
      <c r="L247" s="231"/>
      <c r="M247" s="186"/>
      <c r="N247" s="116"/>
      <c r="O247" s="233"/>
      <c r="P247" s="233"/>
      <c r="Q247" s="403"/>
      <c r="R247" s="172"/>
      <c r="S247" s="400"/>
      <c r="T247" s="400"/>
      <c r="U247" s="401"/>
      <c r="V247" s="401"/>
    </row>
    <row r="248" spans="1:25" ht="27.75" customHeight="1">
      <c r="A248" s="186"/>
      <c r="B248" s="404" t="s">
        <v>448</v>
      </c>
      <c r="C248" s="206" t="s">
        <v>462</v>
      </c>
      <c r="D248" s="296"/>
      <c r="E248" s="64"/>
      <c r="F248" s="44"/>
      <c r="G248" s="45"/>
      <c r="H248" s="45"/>
      <c r="I248" s="66"/>
      <c r="J248" s="183"/>
      <c r="K248" s="184"/>
      <c r="L248" s="231"/>
      <c r="M248" s="186"/>
      <c r="N248" s="116"/>
      <c r="O248" s="233"/>
      <c r="P248" s="233"/>
      <c r="Q248" s="403"/>
      <c r="R248" s="146" t="s">
        <v>463</v>
      </c>
      <c r="S248" s="148" t="s">
        <v>464</v>
      </c>
      <c r="T248" s="148" t="s">
        <v>465</v>
      </c>
      <c r="U248" s="149">
        <v>46000</v>
      </c>
      <c r="V248" s="149" t="s">
        <v>466</v>
      </c>
      <c r="W248" s="295" t="s">
        <v>289</v>
      </c>
      <c r="X248" s="4" t="s">
        <v>467</v>
      </c>
    </row>
    <row r="249" spans="1:25" ht="27.75" customHeight="1">
      <c r="A249" s="405"/>
      <c r="B249" s="406" t="s">
        <v>22</v>
      </c>
      <c r="C249" s="407"/>
      <c r="D249" s="408">
        <f>SUM(D243:D248)</f>
        <v>147727</v>
      </c>
      <c r="E249" s="409"/>
      <c r="F249" s="410"/>
      <c r="G249" s="239">
        <f>SUM(G243:G248)</f>
        <v>-971186</v>
      </c>
      <c r="H249" s="239">
        <f t="shared" ref="H249:I249" si="65">SUM(H243:H248)</f>
        <v>0</v>
      </c>
      <c r="I249" s="239">
        <f t="shared" si="65"/>
        <v>-971186</v>
      </c>
      <c r="J249" s="411"/>
      <c r="K249" s="411"/>
      <c r="L249" s="408">
        <f>SUM(L243:L246)</f>
        <v>0</v>
      </c>
      <c r="M249" s="412"/>
      <c r="N249" s="408"/>
      <c r="O249" s="239"/>
      <c r="P249" s="239">
        <f>SUM(P246:P248)</f>
        <v>0</v>
      </c>
      <c r="Q249" s="239"/>
      <c r="R249" s="278"/>
      <c r="S249" s="279"/>
      <c r="T249" s="279"/>
      <c r="U249" s="413"/>
      <c r="V249" s="413"/>
      <c r="W249" s="413"/>
    </row>
    <row r="250" spans="1:25" ht="27.75" customHeight="1" thickBot="1">
      <c r="A250" s="414"/>
      <c r="B250" s="415"/>
      <c r="C250" s="416" t="s">
        <v>468</v>
      </c>
      <c r="D250" s="417"/>
      <c r="E250" s="418"/>
      <c r="F250" s="419"/>
      <c r="G250" s="420">
        <f>SUM(G249+G241+G236+G222+G166+G155+G138+G122+G108+G92+G89+G82+G31+G27+G24)</f>
        <v>-938540.16074766358</v>
      </c>
      <c r="H250" s="420">
        <f>SUM(H249+H241+H236+H222+H166+H155+H138+H122+H108+H92+H89+H82+H31+H27+H24)</f>
        <v>2285.21</v>
      </c>
      <c r="I250" s="420">
        <f>SUM(I249+I241+I236+I222+I166+I155+I138+I122+I108+I92+I89+I82+I31+I27+I24)</f>
        <v>-936254.95074766362</v>
      </c>
      <c r="J250" s="421"/>
      <c r="K250" s="421"/>
      <c r="L250" s="422">
        <f>SUM(L249+L241+L236+L222+L166+L155+L138+L122+L108+L92+L89+L82+L31+L27+L24)</f>
        <v>863597.89999999991</v>
      </c>
      <c r="M250" s="423"/>
      <c r="N250" s="422"/>
      <c r="O250" s="420">
        <f>SUM(O249+O241+O236+O222+O166+O155+O138+O122+O108+O92+O89+O82+O31+O27+O24)</f>
        <v>48763.998130841108</v>
      </c>
      <c r="P250" s="420">
        <f>SUM(P249+P241+P236+P222+P166+P155+P138+P122+P108+P92+P89+P82+P31+P27+P24)</f>
        <v>3413.48</v>
      </c>
      <c r="Q250" s="420">
        <f>SUM(Q249+Q241+Q236+Q222+Q166+Q155+Q138+Q122+Q108+Q92+Q89+Q82+Q31+Q27+Q24)</f>
        <v>52177.478130841104</v>
      </c>
      <c r="R250" s="424"/>
      <c r="S250" s="425"/>
      <c r="T250" s="425"/>
      <c r="U250" s="345"/>
      <c r="V250" s="345"/>
      <c r="W250" s="345"/>
    </row>
    <row r="251" spans="1:25" ht="27.75" customHeight="1" thickTop="1">
      <c r="A251" s="426"/>
      <c r="B251" s="4"/>
      <c r="C251" s="295"/>
      <c r="D251" s="427"/>
      <c r="E251" s="428"/>
      <c r="F251" s="429"/>
      <c r="G251" s="430"/>
      <c r="H251" s="430"/>
      <c r="I251" s="430"/>
      <c r="J251" s="431"/>
      <c r="K251" s="432"/>
      <c r="L251" s="427"/>
      <c r="M251" s="433"/>
      <c r="N251" s="427"/>
      <c r="O251" s="430"/>
      <c r="P251" s="430"/>
      <c r="Q251" s="430"/>
      <c r="R251" s="424"/>
      <c r="S251" s="425"/>
      <c r="T251" s="425"/>
      <c r="U251" s="345"/>
      <c r="V251" s="345"/>
      <c r="W251" s="345"/>
    </row>
    <row r="252" spans="1:25" ht="27.75" customHeight="1">
      <c r="A252" s="426"/>
      <c r="B252" s="434" t="s">
        <v>469</v>
      </c>
      <c r="C252" s="295"/>
      <c r="D252" s="427"/>
      <c r="E252" s="428"/>
      <c r="F252" s="429"/>
      <c r="G252" s="430"/>
      <c r="H252" s="430"/>
      <c r="I252" s="430"/>
      <c r="J252" s="431"/>
      <c r="K252" s="432"/>
      <c r="L252" s="427"/>
      <c r="M252" s="433"/>
      <c r="N252" s="427"/>
      <c r="O252" s="430"/>
      <c r="P252" s="430"/>
      <c r="Q252" s="430"/>
      <c r="R252" s="424"/>
      <c r="S252" s="425"/>
      <c r="T252" s="425"/>
      <c r="U252" s="345"/>
      <c r="V252" s="345"/>
      <c r="W252" s="345"/>
    </row>
    <row r="253" spans="1:25" ht="27.75" customHeight="1">
      <c r="A253" s="435">
        <v>1</v>
      </c>
      <c r="B253" s="436" t="s">
        <v>470</v>
      </c>
      <c r="C253" s="437" t="s">
        <v>471</v>
      </c>
      <c r="D253" s="438" t="s">
        <v>472</v>
      </c>
      <c r="E253" s="439" t="s">
        <v>473</v>
      </c>
      <c r="F253" s="440">
        <v>21</v>
      </c>
      <c r="G253" s="15">
        <v>361288.35</v>
      </c>
      <c r="H253" s="15"/>
      <c r="I253" s="17">
        <v>361288.35</v>
      </c>
      <c r="J253" s="441"/>
      <c r="K253" s="442"/>
      <c r="L253" s="443"/>
      <c r="M253" s="435" t="s">
        <v>473</v>
      </c>
      <c r="N253" s="444">
        <v>21</v>
      </c>
      <c r="O253" s="445">
        <f>SUM(G253-L253)</f>
        <v>361288.35</v>
      </c>
      <c r="P253" s="19"/>
      <c r="Q253" s="17">
        <f>SUM(O253)</f>
        <v>361288.35</v>
      </c>
      <c r="R253" s="251" t="s">
        <v>195</v>
      </c>
      <c r="S253" s="446">
        <v>41883</v>
      </c>
      <c r="T253" s="446">
        <v>42978</v>
      </c>
      <c r="U253" s="447">
        <v>90000</v>
      </c>
      <c r="V253" s="447" t="s">
        <v>474</v>
      </c>
      <c r="Y253" s="4" t="s">
        <v>475</v>
      </c>
    </row>
    <row r="254" spans="1:25" ht="27.75" customHeight="1">
      <c r="A254" s="435"/>
      <c r="B254" s="436" t="s">
        <v>476</v>
      </c>
      <c r="C254" s="437"/>
      <c r="D254" s="448"/>
      <c r="E254" s="439"/>
      <c r="F254" s="440"/>
      <c r="G254" s="15"/>
      <c r="H254" s="15"/>
      <c r="I254" s="17"/>
      <c r="J254" s="441"/>
      <c r="K254" s="442"/>
      <c r="L254" s="443"/>
      <c r="M254" s="435"/>
      <c r="N254" s="444"/>
      <c r="O254" s="445">
        <f t="shared" ref="O254:O260" si="66">SUM(G254-L254)</f>
        <v>0</v>
      </c>
      <c r="P254" s="19"/>
      <c r="Q254" s="17">
        <f t="shared" ref="Q254:Q260" si="67">SUM(O254)</f>
        <v>0</v>
      </c>
      <c r="R254" s="116"/>
      <c r="S254" s="203"/>
      <c r="T254" s="203"/>
      <c r="U254" s="204"/>
      <c r="V254" s="204"/>
    </row>
    <row r="255" spans="1:25" ht="27.75" customHeight="1">
      <c r="A255" s="435"/>
      <c r="B255" s="674" t="s">
        <v>477</v>
      </c>
      <c r="C255" s="675"/>
      <c r="D255" s="682"/>
      <c r="E255" s="439"/>
      <c r="F255" s="440"/>
      <c r="G255" s="15"/>
      <c r="H255" s="15"/>
      <c r="I255" s="17"/>
      <c r="J255" s="441"/>
      <c r="K255" s="442"/>
      <c r="L255" s="443"/>
      <c r="M255" s="435"/>
      <c r="N255" s="444"/>
      <c r="O255" s="445">
        <f t="shared" si="66"/>
        <v>0</v>
      </c>
      <c r="P255" s="19"/>
      <c r="Q255" s="17">
        <f t="shared" si="67"/>
        <v>0</v>
      </c>
      <c r="R255" s="116"/>
      <c r="S255" s="203"/>
      <c r="T255" s="203"/>
      <c r="U255" s="204"/>
      <c r="V255" s="204"/>
    </row>
    <row r="256" spans="1:25" ht="27.75" customHeight="1">
      <c r="A256" s="435">
        <v>2</v>
      </c>
      <c r="B256" s="450" t="s">
        <v>470</v>
      </c>
      <c r="C256" s="451" t="s">
        <v>478</v>
      </c>
      <c r="D256" s="449"/>
      <c r="E256" s="439" t="s">
        <v>479</v>
      </c>
      <c r="F256" s="440">
        <v>6</v>
      </c>
      <c r="G256" s="15">
        <v>96700.72</v>
      </c>
      <c r="H256" s="15"/>
      <c r="I256" s="17">
        <v>96700.72</v>
      </c>
      <c r="J256" s="441"/>
      <c r="K256" s="442"/>
      <c r="L256" s="443"/>
      <c r="M256" s="435" t="s">
        <v>479</v>
      </c>
      <c r="N256" s="444">
        <v>6</v>
      </c>
      <c r="O256" s="445">
        <f t="shared" si="66"/>
        <v>96700.72</v>
      </c>
      <c r="P256" s="19"/>
      <c r="Q256" s="17">
        <f t="shared" si="67"/>
        <v>96700.72</v>
      </c>
      <c r="R256" s="116"/>
      <c r="S256" s="203"/>
      <c r="T256" s="203"/>
      <c r="U256" s="204"/>
      <c r="V256" s="204"/>
      <c r="Y256" s="4" t="s">
        <v>475</v>
      </c>
    </row>
    <row r="257" spans="1:28" ht="27.75" customHeight="1">
      <c r="A257" s="435">
        <v>3</v>
      </c>
      <c r="B257" s="450" t="s">
        <v>470</v>
      </c>
      <c r="C257" s="451" t="s">
        <v>480</v>
      </c>
      <c r="D257" s="452"/>
      <c r="E257" s="439" t="s">
        <v>481</v>
      </c>
      <c r="F257" s="440">
        <v>16</v>
      </c>
      <c r="G257" s="15">
        <v>285799.45</v>
      </c>
      <c r="H257" s="15"/>
      <c r="I257" s="17">
        <v>285799.45</v>
      </c>
      <c r="J257" s="441"/>
      <c r="K257" s="442"/>
      <c r="L257" s="443"/>
      <c r="M257" s="435" t="s">
        <v>481</v>
      </c>
      <c r="N257" s="444">
        <v>16</v>
      </c>
      <c r="O257" s="445">
        <f t="shared" si="66"/>
        <v>285799.45</v>
      </c>
      <c r="P257" s="19"/>
      <c r="Q257" s="17">
        <f t="shared" si="67"/>
        <v>285799.45</v>
      </c>
      <c r="R257" s="116"/>
      <c r="S257" s="203"/>
      <c r="T257" s="203"/>
      <c r="U257" s="204"/>
      <c r="V257" s="204"/>
      <c r="Y257" s="4" t="s">
        <v>475</v>
      </c>
    </row>
    <row r="258" spans="1:28" s="226" customFormat="1" ht="27.75" customHeight="1">
      <c r="A258" s="440">
        <v>4</v>
      </c>
      <c r="B258" s="436" t="s">
        <v>470</v>
      </c>
      <c r="C258" s="453" t="s">
        <v>482</v>
      </c>
      <c r="D258" s="454" t="s">
        <v>472</v>
      </c>
      <c r="E258" s="455" t="s">
        <v>483</v>
      </c>
      <c r="F258" s="456" t="s">
        <v>195</v>
      </c>
      <c r="G258" s="17">
        <v>57055.05</v>
      </c>
      <c r="H258" s="17"/>
      <c r="I258" s="17">
        <v>57055.05</v>
      </c>
      <c r="J258" s="441"/>
      <c r="K258" s="457"/>
      <c r="L258" s="458"/>
      <c r="M258" s="435" t="s">
        <v>483</v>
      </c>
      <c r="N258" s="448" t="s">
        <v>195</v>
      </c>
      <c r="O258" s="445">
        <f t="shared" si="66"/>
        <v>57055.05</v>
      </c>
      <c r="P258" s="17"/>
      <c r="Q258" s="17">
        <f t="shared" si="67"/>
        <v>57055.05</v>
      </c>
      <c r="R258" s="39"/>
      <c r="S258" s="55"/>
      <c r="T258" s="55"/>
      <c r="U258" s="141"/>
      <c r="V258" s="141"/>
      <c r="Y258" s="4" t="s">
        <v>475</v>
      </c>
    </row>
    <row r="259" spans="1:28" s="226" customFormat="1" ht="27.75" customHeight="1">
      <c r="A259" s="440"/>
      <c r="B259" s="676" t="s">
        <v>484</v>
      </c>
      <c r="C259" s="677"/>
      <c r="D259" s="683"/>
      <c r="E259" s="455"/>
      <c r="F259" s="456"/>
      <c r="G259" s="17"/>
      <c r="H259" s="17"/>
      <c r="I259" s="17"/>
      <c r="J259" s="441"/>
      <c r="K259" s="457"/>
      <c r="L259" s="458"/>
      <c r="M259" s="435"/>
      <c r="N259" s="448"/>
      <c r="O259" s="445">
        <f t="shared" si="66"/>
        <v>0</v>
      </c>
      <c r="P259" s="17"/>
      <c r="Q259" s="17">
        <f t="shared" si="67"/>
        <v>0</v>
      </c>
      <c r="R259" s="122"/>
      <c r="S259" s="37"/>
      <c r="T259" s="37"/>
      <c r="U259" s="459"/>
      <c r="V259" s="459"/>
      <c r="Y259" s="4" t="s">
        <v>475</v>
      </c>
    </row>
    <row r="260" spans="1:28" ht="27.75" customHeight="1">
      <c r="A260" s="460">
        <v>5</v>
      </c>
      <c r="B260" s="436" t="s">
        <v>470</v>
      </c>
      <c r="C260" s="461" t="s">
        <v>485</v>
      </c>
      <c r="D260" s="454"/>
      <c r="E260" s="455" t="s">
        <v>486</v>
      </c>
      <c r="F260" s="462" t="s">
        <v>195</v>
      </c>
      <c r="G260" s="17">
        <v>28958.15</v>
      </c>
      <c r="H260" s="15"/>
      <c r="I260" s="17">
        <v>28958.15</v>
      </c>
      <c r="J260" s="441" t="s">
        <v>487</v>
      </c>
      <c r="K260" s="463"/>
      <c r="L260" s="443"/>
      <c r="M260" s="435" t="s">
        <v>486</v>
      </c>
      <c r="N260" s="464" t="s">
        <v>195</v>
      </c>
      <c r="O260" s="445">
        <f t="shared" si="66"/>
        <v>28958.15</v>
      </c>
      <c r="P260" s="21"/>
      <c r="Q260" s="17">
        <f t="shared" si="67"/>
        <v>28958.15</v>
      </c>
      <c r="R260" s="36"/>
      <c r="S260" s="37"/>
      <c r="T260" s="37"/>
      <c r="U260" s="38"/>
      <c r="V260" s="38"/>
      <c r="W260" s="38"/>
      <c r="Y260" s="4" t="s">
        <v>475</v>
      </c>
    </row>
    <row r="261" spans="1:28" ht="27.6" customHeight="1">
      <c r="A261" s="460"/>
      <c r="B261" s="436" t="s">
        <v>488</v>
      </c>
      <c r="C261" s="461"/>
      <c r="D261" s="454"/>
      <c r="E261" s="448"/>
      <c r="F261" s="462"/>
      <c r="G261" s="17"/>
      <c r="H261" s="15"/>
      <c r="I261" s="17"/>
      <c r="J261" s="441"/>
      <c r="K261" s="463"/>
      <c r="L261" s="443"/>
      <c r="M261" s="435"/>
      <c r="N261" s="444"/>
      <c r="O261" s="17"/>
      <c r="P261" s="21"/>
      <c r="Q261" s="17"/>
      <c r="R261" s="36"/>
      <c r="S261" s="37"/>
      <c r="T261" s="37"/>
      <c r="U261" s="38"/>
      <c r="V261" s="38"/>
      <c r="W261" s="38"/>
    </row>
    <row r="262" spans="1:28" ht="27.6" customHeight="1">
      <c r="A262" s="460"/>
      <c r="B262" s="674" t="s">
        <v>489</v>
      </c>
      <c r="C262" s="675"/>
      <c r="D262" s="682"/>
      <c r="E262" s="448"/>
      <c r="F262" s="462"/>
      <c r="G262" s="17"/>
      <c r="H262" s="15"/>
      <c r="I262" s="17"/>
      <c r="J262" s="441"/>
      <c r="K262" s="463"/>
      <c r="L262" s="443"/>
      <c r="M262" s="435"/>
      <c r="N262" s="444"/>
      <c r="O262" s="17"/>
      <c r="P262" s="21"/>
      <c r="Q262" s="17"/>
      <c r="R262" s="36"/>
      <c r="S262" s="37"/>
      <c r="T262" s="37"/>
      <c r="U262" s="38"/>
      <c r="V262" s="38"/>
      <c r="W262" s="38"/>
    </row>
    <row r="263" spans="1:28" ht="27.75" customHeight="1" thickBot="1">
      <c r="A263" s="465"/>
      <c r="B263" s="466" t="s">
        <v>22</v>
      </c>
      <c r="C263" s="195"/>
      <c r="D263" s="310">
        <v>0</v>
      </c>
      <c r="E263" s="311"/>
      <c r="F263" s="312"/>
      <c r="G263" s="313">
        <f>SUM(G253:G261)</f>
        <v>829801.72000000009</v>
      </c>
      <c r="H263" s="313"/>
      <c r="I263" s="313">
        <f>SUM(I253:I261)</f>
        <v>829801.72000000009</v>
      </c>
      <c r="J263" s="467"/>
      <c r="K263" s="314"/>
      <c r="L263" s="310">
        <v>0</v>
      </c>
      <c r="M263" s="315"/>
      <c r="N263" s="310"/>
      <c r="O263" s="313">
        <f>SUM(O253:O261)</f>
        <v>829801.72000000009</v>
      </c>
      <c r="P263" s="313">
        <v>0</v>
      </c>
      <c r="Q263" s="313">
        <f>SUM(Q253:Q262)</f>
        <v>829801.72000000009</v>
      </c>
      <c r="R263" s="36"/>
      <c r="S263" s="37"/>
      <c r="T263" s="37"/>
      <c r="U263" s="38"/>
      <c r="V263" s="38"/>
      <c r="W263" s="38"/>
    </row>
    <row r="264" spans="1:28" ht="27.75" customHeight="1" thickTop="1">
      <c r="A264" s="468"/>
      <c r="B264" s="469" t="s">
        <v>490</v>
      </c>
      <c r="C264" s="470"/>
      <c r="D264" s="471"/>
      <c r="E264" s="207"/>
      <c r="F264" s="341"/>
      <c r="G264" s="187"/>
      <c r="H264" s="187"/>
      <c r="I264" s="187"/>
      <c r="J264" s="472"/>
      <c r="K264" s="473"/>
      <c r="L264" s="231"/>
      <c r="M264" s="186"/>
      <c r="N264" s="116"/>
      <c r="O264" s="344"/>
      <c r="P264" s="344"/>
      <c r="Q264" s="474"/>
      <c r="R264" s="36"/>
      <c r="S264" s="37"/>
      <c r="T264" s="37"/>
      <c r="U264" s="38"/>
      <c r="V264" s="38"/>
      <c r="W264" s="38"/>
    </row>
    <row r="265" spans="1:28" ht="27.75" customHeight="1">
      <c r="A265" s="475">
        <v>1</v>
      </c>
      <c r="B265" s="436" t="s">
        <v>491</v>
      </c>
      <c r="C265" s="437" t="s">
        <v>492</v>
      </c>
      <c r="D265" s="476"/>
      <c r="E265" s="477"/>
      <c r="F265" s="478"/>
      <c r="G265" s="15"/>
      <c r="H265" s="15"/>
      <c r="I265" s="17"/>
      <c r="J265" s="441"/>
      <c r="K265" s="442"/>
      <c r="L265" s="479"/>
      <c r="M265" s="435"/>
      <c r="N265" s="477"/>
      <c r="O265" s="480"/>
      <c r="P265" s="480"/>
      <c r="Q265" s="481"/>
      <c r="R265" s="356"/>
      <c r="S265" s="482"/>
      <c r="T265" s="482"/>
      <c r="U265" s="483"/>
      <c r="V265" s="483"/>
      <c r="Y265" s="4" t="s">
        <v>493</v>
      </c>
    </row>
    <row r="266" spans="1:28" ht="27.75" customHeight="1">
      <c r="A266" s="475"/>
      <c r="B266" s="484" t="s">
        <v>494</v>
      </c>
      <c r="C266" s="437"/>
      <c r="D266" s="476"/>
      <c r="E266" s="477"/>
      <c r="F266" s="478"/>
      <c r="G266" s="15"/>
      <c r="H266" s="15"/>
      <c r="I266" s="17"/>
      <c r="J266" s="441"/>
      <c r="K266" s="442"/>
      <c r="L266" s="479"/>
      <c r="M266" s="435"/>
      <c r="N266" s="477"/>
      <c r="O266" s="480"/>
      <c r="P266" s="480"/>
      <c r="Q266" s="481"/>
      <c r="R266" s="485"/>
      <c r="S266" s="486"/>
      <c r="T266" s="486"/>
      <c r="U266" s="487"/>
      <c r="V266" s="487"/>
    </row>
    <row r="267" spans="1:28" ht="27.75" customHeight="1">
      <c r="A267" s="475">
        <v>2</v>
      </c>
      <c r="B267" s="436" t="s">
        <v>495</v>
      </c>
      <c r="C267" s="437" t="s">
        <v>496</v>
      </c>
      <c r="D267" s="476"/>
      <c r="E267" s="477"/>
      <c r="F267" s="478" t="s">
        <v>497</v>
      </c>
      <c r="G267" s="15">
        <v>8214529.25</v>
      </c>
      <c r="H267" s="15"/>
      <c r="I267" s="17">
        <v>8214529.25</v>
      </c>
      <c r="J267" s="441"/>
      <c r="K267" s="442"/>
      <c r="L267" s="479"/>
      <c r="M267" s="435"/>
      <c r="N267" s="477" t="s">
        <v>497</v>
      </c>
      <c r="O267" s="15">
        <v>8214529.25</v>
      </c>
      <c r="P267" s="480"/>
      <c r="Q267" s="17">
        <v>8214529.25</v>
      </c>
      <c r="R267" s="485"/>
      <c r="S267" s="486"/>
      <c r="T267" s="486"/>
      <c r="U267" s="487"/>
      <c r="V267" s="487"/>
    </row>
    <row r="268" spans="1:28" ht="27.75" customHeight="1">
      <c r="A268" s="405"/>
      <c r="B268" s="234" t="s">
        <v>22</v>
      </c>
      <c r="C268" s="407"/>
      <c r="D268" s="408">
        <v>0</v>
      </c>
      <c r="E268" s="409"/>
      <c r="F268" s="410"/>
      <c r="G268" s="239">
        <f>SUM(G265:G267)</f>
        <v>8214529.25</v>
      </c>
      <c r="H268" s="239">
        <v>0</v>
      </c>
      <c r="I268" s="239">
        <f>SUM(I265:I267)</f>
        <v>8214529.25</v>
      </c>
      <c r="J268" s="411"/>
      <c r="K268" s="411"/>
      <c r="L268" s="408">
        <v>0</v>
      </c>
      <c r="M268" s="412"/>
      <c r="N268" s="408"/>
      <c r="O268" s="239">
        <f>SUM(O265:O267)</f>
        <v>8214529.25</v>
      </c>
      <c r="P268" s="239">
        <v>0</v>
      </c>
      <c r="Q268" s="239">
        <f>SUM(Q265:Q267)</f>
        <v>8214529.25</v>
      </c>
      <c r="R268" s="278"/>
      <c r="S268" s="279"/>
      <c r="T268" s="279"/>
      <c r="U268" s="413"/>
      <c r="V268" s="413"/>
      <c r="W268" s="413"/>
      <c r="AB268" s="589">
        <f>SUM(Q263+Q268)</f>
        <v>9044330.9700000007</v>
      </c>
    </row>
    <row r="269" spans="1:28" ht="27.75" customHeight="1">
      <c r="A269" s="426"/>
      <c r="B269" s="4"/>
      <c r="C269" s="295"/>
      <c r="D269" s="427"/>
      <c r="E269" s="428"/>
      <c r="F269" s="429"/>
      <c r="G269" s="430"/>
      <c r="H269" s="430"/>
      <c r="I269" s="430"/>
      <c r="J269" s="432"/>
      <c r="K269" s="432"/>
      <c r="L269" s="427"/>
      <c r="M269" s="433"/>
      <c r="N269" s="427"/>
      <c r="O269" s="430"/>
      <c r="P269" s="430"/>
      <c r="Q269" s="430"/>
      <c r="R269" s="424"/>
      <c r="S269" s="425"/>
      <c r="T269" s="425"/>
      <c r="U269" s="345"/>
      <c r="V269" s="345"/>
      <c r="W269" s="345"/>
    </row>
    <row r="270" spans="1:28" ht="27.75" customHeight="1" thickBot="1">
      <c r="A270" s="488"/>
      <c r="B270" s="489" t="s">
        <v>498</v>
      </c>
      <c r="C270" s="490"/>
      <c r="D270" s="491">
        <f>+D268+D263+D249+D241+D236+D222+D166+D155+D151+D138+D122+D108+D92+D89+D82+D45+D31+D27+D24</f>
        <v>1010427.3300000001</v>
      </c>
      <c r="E270" s="491"/>
      <c r="F270" s="492"/>
      <c r="G270" s="493">
        <f>SUM(G268+G263+G250)</f>
        <v>8105790.8092523366</v>
      </c>
      <c r="H270" s="493">
        <f>SUM(H268+H263+H250)</f>
        <v>2285.21</v>
      </c>
      <c r="I270" s="493">
        <f>SUM(I268+I263+I250)</f>
        <v>8108076.0192523375</v>
      </c>
      <c r="J270" s="494"/>
      <c r="K270" s="494"/>
      <c r="L270" s="493">
        <f>SUM(L268+L263+L250)</f>
        <v>863597.89999999991</v>
      </c>
      <c r="M270" s="495"/>
      <c r="N270" s="496"/>
      <c r="O270" s="493">
        <f>SUM(O268+O263+O250)</f>
        <v>9093094.9681308419</v>
      </c>
      <c r="P270" s="493">
        <f>SUM(P268+P263+P250)</f>
        <v>3413.48</v>
      </c>
      <c r="Q270" s="493">
        <f>SUM(Q268+Q263+Q250)</f>
        <v>9096508.4481308423</v>
      </c>
      <c r="R270" s="497">
        <v>0</v>
      </c>
      <c r="S270" s="497">
        <v>0</v>
      </c>
      <c r="T270" s="498"/>
      <c r="U270" s="499"/>
      <c r="V270" s="499"/>
      <c r="W270" s="499"/>
    </row>
    <row r="271" spans="1:28" s="226" customFormat="1" ht="27.75" customHeight="1" thickTop="1">
      <c r="A271" s="6"/>
      <c r="B271" s="500"/>
      <c r="D271" s="501"/>
      <c r="E271" s="502"/>
      <c r="F271" s="503"/>
      <c r="G271" s="430"/>
      <c r="H271" s="430"/>
      <c r="I271" s="504"/>
      <c r="J271" s="3"/>
      <c r="K271" s="372"/>
      <c r="L271" s="501"/>
      <c r="M271" s="372"/>
      <c r="N271" s="501"/>
      <c r="O271" s="430"/>
      <c r="P271" s="430"/>
      <c r="Q271" s="504"/>
      <c r="R271" s="2"/>
      <c r="S271" s="425"/>
      <c r="T271" s="425"/>
      <c r="U271" s="345"/>
      <c r="V271" s="345"/>
    </row>
    <row r="272" spans="1:28" s="226" customFormat="1" ht="27.75" customHeight="1">
      <c r="A272" s="6"/>
      <c r="B272" s="500"/>
      <c r="D272" s="501"/>
      <c r="E272" s="502"/>
      <c r="F272" s="503"/>
      <c r="G272" s="430"/>
      <c r="H272" s="430"/>
      <c r="I272" s="504"/>
      <c r="J272" s="3"/>
      <c r="K272" s="372"/>
      <c r="L272" s="501"/>
      <c r="M272" s="372"/>
      <c r="N272" s="501"/>
      <c r="O272" s="430"/>
      <c r="P272" s="430"/>
      <c r="Q272" s="504"/>
      <c r="R272" s="2"/>
      <c r="S272" s="425"/>
      <c r="T272" s="425"/>
      <c r="U272" s="345"/>
      <c r="V272" s="345"/>
    </row>
    <row r="273" spans="1:22" s="226" customFormat="1" ht="27.75" customHeight="1">
      <c r="A273" s="684" t="s">
        <v>932</v>
      </c>
      <c r="B273" s="684"/>
      <c r="C273" s="684"/>
      <c r="D273" s="684"/>
      <c r="E273" s="684"/>
      <c r="F273" s="684"/>
      <c r="G273" s="684"/>
      <c r="H273" s="684"/>
      <c r="I273" s="684"/>
      <c r="J273" s="684"/>
      <c r="K273" s="684"/>
      <c r="L273" s="684"/>
      <c r="M273" s="684"/>
      <c r="N273" s="684"/>
      <c r="O273" s="684"/>
      <c r="P273" s="684"/>
      <c r="Q273" s="684"/>
      <c r="R273" s="684"/>
      <c r="S273" s="425"/>
      <c r="T273" s="425"/>
      <c r="U273" s="345"/>
      <c r="V273" s="345"/>
    </row>
    <row r="274" spans="1:22" s="226" customFormat="1" ht="27.75" customHeight="1">
      <c r="A274" s="678" t="s">
        <v>933</v>
      </c>
      <c r="B274" s="678"/>
      <c r="C274" s="678"/>
      <c r="D274" s="678"/>
      <c r="E274" s="678"/>
      <c r="F274" s="678"/>
      <c r="G274" s="678"/>
      <c r="H274" s="678"/>
      <c r="I274" s="678"/>
      <c r="J274" s="678"/>
      <c r="K274" s="678"/>
      <c r="L274" s="678"/>
      <c r="M274" s="678"/>
      <c r="N274" s="678"/>
      <c r="O274" s="678"/>
      <c r="P274" s="678"/>
      <c r="Q274" s="678"/>
      <c r="R274" s="678"/>
      <c r="S274" s="425"/>
      <c r="T274" s="425"/>
      <c r="U274" s="345"/>
      <c r="V274" s="345"/>
    </row>
    <row r="275" spans="1:22" s="226" customFormat="1" ht="27.75" customHeight="1">
      <c r="A275" s="678"/>
      <c r="B275" s="678"/>
      <c r="C275" s="678"/>
      <c r="D275" s="678"/>
      <c r="E275" s="678"/>
      <c r="F275" s="678"/>
      <c r="G275" s="678"/>
      <c r="H275" s="678"/>
      <c r="I275" s="678"/>
      <c r="J275" s="678"/>
      <c r="K275" s="678"/>
      <c r="L275" s="678"/>
      <c r="M275" s="678"/>
      <c r="N275" s="678"/>
      <c r="O275" s="678"/>
      <c r="P275" s="678"/>
      <c r="Q275" s="678"/>
      <c r="R275" s="678"/>
      <c r="S275" s="425"/>
      <c r="T275" s="425"/>
      <c r="U275" s="345"/>
      <c r="V275" s="345"/>
    </row>
    <row r="276" spans="1:22" s="226" customFormat="1" ht="27.75" customHeight="1">
      <c r="A276" s="6"/>
      <c r="B276" s="500"/>
      <c r="D276" s="501"/>
      <c r="E276" s="502"/>
      <c r="F276" s="503"/>
      <c r="G276" s="430"/>
      <c r="H276" s="430"/>
      <c r="I276" s="504"/>
      <c r="J276" s="3"/>
      <c r="K276" s="372"/>
      <c r="L276" s="501"/>
      <c r="M276" s="372"/>
      <c r="N276" s="501"/>
      <c r="O276" s="430"/>
      <c r="P276" s="430"/>
      <c r="Q276" s="504"/>
      <c r="R276" s="2"/>
      <c r="S276" s="425"/>
      <c r="T276" s="425"/>
      <c r="U276" s="345"/>
      <c r="V276" s="345"/>
    </row>
    <row r="277" spans="1:22" s="226" customFormat="1" ht="27.75" customHeight="1">
      <c r="A277" s="6"/>
      <c r="B277" s="500"/>
      <c r="D277" s="501"/>
      <c r="E277" s="502"/>
      <c r="F277" s="503"/>
      <c r="G277" s="430"/>
      <c r="H277" s="430"/>
      <c r="I277" s="504"/>
      <c r="J277" s="3"/>
      <c r="K277" s="372"/>
      <c r="L277" s="501"/>
      <c r="M277" s="372"/>
      <c r="N277" s="501"/>
      <c r="O277" s="430"/>
      <c r="P277" s="430"/>
      <c r="Q277" s="430"/>
      <c r="R277" s="2"/>
      <c r="S277" s="425"/>
      <c r="T277" s="425"/>
      <c r="U277" s="345"/>
      <c r="V277" s="345"/>
    </row>
    <row r="278" spans="1:22" s="226" customFormat="1" ht="27.75" customHeight="1">
      <c r="A278" s="6"/>
      <c r="B278" s="500"/>
      <c r="D278" s="501"/>
      <c r="E278" s="502"/>
      <c r="F278" s="503"/>
      <c r="G278" s="430"/>
      <c r="H278" s="430"/>
      <c r="I278" s="504"/>
      <c r="J278" s="3"/>
      <c r="K278" s="372"/>
      <c r="L278" s="501"/>
      <c r="M278" s="372"/>
      <c r="N278" s="501"/>
      <c r="O278" s="430"/>
      <c r="P278" s="430"/>
      <c r="Q278" s="504"/>
      <c r="R278" s="2"/>
      <c r="S278" s="425"/>
      <c r="T278" s="425"/>
      <c r="U278" s="345"/>
      <c r="V278" s="345"/>
    </row>
    <row r="279" spans="1:22" s="226" customFormat="1" ht="27.75" customHeight="1">
      <c r="A279" s="6"/>
      <c r="B279" s="500"/>
      <c r="D279" s="501"/>
      <c r="E279" s="502"/>
      <c r="F279" s="503"/>
      <c r="G279" s="430"/>
      <c r="H279" s="430"/>
      <c r="I279" s="504"/>
      <c r="J279" s="3"/>
      <c r="K279" s="372"/>
      <c r="L279" s="501"/>
      <c r="M279" s="372"/>
      <c r="N279" s="501"/>
      <c r="O279" s="430"/>
      <c r="P279" s="430"/>
      <c r="Q279" s="504"/>
      <c r="R279" s="2"/>
      <c r="S279" s="425"/>
      <c r="T279" s="425"/>
      <c r="U279" s="345"/>
      <c r="V279" s="345"/>
    </row>
    <row r="280" spans="1:22" s="226" customFormat="1" ht="27.75" customHeight="1">
      <c r="A280" s="6"/>
      <c r="B280" s="500"/>
      <c r="D280" s="501"/>
      <c r="E280" s="502"/>
      <c r="F280" s="503"/>
      <c r="G280" s="430"/>
      <c r="H280" s="430"/>
      <c r="I280" s="504"/>
      <c r="J280" s="3"/>
      <c r="K280" s="372"/>
      <c r="L280" s="501"/>
      <c r="M280" s="372"/>
      <c r="N280" s="501"/>
      <c r="O280" s="430"/>
      <c r="P280" s="430"/>
      <c r="Q280" s="504"/>
      <c r="R280" s="2"/>
      <c r="S280" s="425"/>
      <c r="T280" s="425"/>
      <c r="U280" s="345"/>
      <c r="V280" s="345"/>
    </row>
    <row r="281" spans="1:22" s="226" customFormat="1" ht="27.75" customHeight="1">
      <c r="A281" s="6"/>
      <c r="B281" s="500"/>
      <c r="D281" s="501"/>
      <c r="E281" s="502"/>
      <c r="F281" s="503"/>
      <c r="G281" s="430"/>
      <c r="H281" s="430"/>
      <c r="I281" s="504"/>
      <c r="J281" s="3"/>
      <c r="K281" s="372"/>
      <c r="L281" s="501"/>
      <c r="M281" s="372"/>
      <c r="N281" s="501"/>
      <c r="O281" s="430"/>
      <c r="P281" s="430"/>
      <c r="Q281" s="504"/>
      <c r="R281" s="2"/>
      <c r="S281" s="425"/>
      <c r="T281" s="425"/>
      <c r="U281" s="345"/>
      <c r="V281" s="345"/>
    </row>
    <row r="282" spans="1:22" s="226" customFormat="1" ht="27.75" customHeight="1">
      <c r="A282" s="6"/>
      <c r="B282" s="500"/>
      <c r="D282" s="501"/>
      <c r="E282" s="502"/>
      <c r="F282" s="503"/>
      <c r="G282" s="430"/>
      <c r="H282" s="430"/>
      <c r="J282" s="3"/>
      <c r="K282" s="372"/>
      <c r="L282" s="501"/>
      <c r="M282" s="372"/>
      <c r="N282" s="501"/>
      <c r="O282" s="430"/>
      <c r="P282" s="430"/>
      <c r="Q282" s="504"/>
      <c r="R282" s="2"/>
      <c r="S282" s="425"/>
      <c r="T282" s="425"/>
      <c r="U282" s="345"/>
      <c r="V282" s="345"/>
    </row>
    <row r="283" spans="1:22" s="226" customFormat="1" ht="27.75" customHeight="1">
      <c r="A283" s="6"/>
      <c r="B283" s="500"/>
      <c r="D283" s="501"/>
      <c r="E283" s="502"/>
      <c r="F283" s="503"/>
      <c r="G283" s="430"/>
      <c r="H283" s="430"/>
      <c r="I283" s="504"/>
      <c r="J283" s="3"/>
      <c r="K283" s="372"/>
      <c r="L283" s="501"/>
      <c r="M283" s="372"/>
      <c r="N283" s="501"/>
      <c r="O283" s="430"/>
      <c r="P283" s="430"/>
      <c r="Q283" s="504"/>
      <c r="R283" s="2"/>
      <c r="S283" s="425"/>
      <c r="T283" s="425"/>
      <c r="U283" s="345"/>
      <c r="V283" s="345"/>
    </row>
    <row r="284" spans="1:22" s="226" customFormat="1" ht="27.75" customHeight="1">
      <c r="A284" s="6"/>
      <c r="B284" s="500"/>
      <c r="D284" s="501"/>
      <c r="E284" s="502"/>
      <c r="F284" s="503"/>
      <c r="G284" s="430"/>
      <c r="H284" s="430"/>
      <c r="I284" s="504"/>
      <c r="J284" s="3"/>
      <c r="K284" s="372"/>
      <c r="L284" s="501"/>
      <c r="M284" s="372"/>
      <c r="N284" s="501"/>
      <c r="O284" s="430"/>
      <c r="P284" s="430"/>
      <c r="Q284" s="504"/>
      <c r="R284" s="2"/>
      <c r="S284" s="425"/>
      <c r="T284" s="425"/>
      <c r="U284" s="345"/>
      <c r="V284" s="345"/>
    </row>
    <row r="285" spans="1:22" s="226" customFormat="1" ht="27.75" customHeight="1">
      <c r="A285" s="6"/>
      <c r="B285" s="500"/>
      <c r="D285" s="501"/>
      <c r="E285" s="502"/>
      <c r="F285" s="503"/>
      <c r="G285" s="430"/>
      <c r="H285" s="430"/>
      <c r="I285" s="504"/>
      <c r="J285" s="3"/>
      <c r="K285" s="372"/>
      <c r="L285" s="501"/>
      <c r="M285" s="372"/>
      <c r="N285" s="501"/>
      <c r="O285" s="430"/>
      <c r="P285" s="430"/>
      <c r="Q285" s="504"/>
      <c r="R285" s="2"/>
      <c r="S285" s="425"/>
      <c r="T285" s="425"/>
      <c r="U285" s="345"/>
      <c r="V285" s="345"/>
    </row>
    <row r="286" spans="1:22" s="226" customFormat="1" ht="27.75" customHeight="1">
      <c r="A286" s="6"/>
      <c r="B286" s="500"/>
      <c r="D286" s="501"/>
      <c r="E286" s="502"/>
      <c r="F286" s="503"/>
      <c r="G286" s="430"/>
      <c r="H286" s="430"/>
      <c r="I286" s="504"/>
      <c r="J286" s="3"/>
      <c r="K286" s="372"/>
      <c r="L286" s="501"/>
      <c r="M286" s="372"/>
      <c r="N286" s="501"/>
      <c r="O286" s="430"/>
      <c r="P286" s="430"/>
      <c r="Q286" s="504"/>
      <c r="R286" s="2"/>
      <c r="S286" s="425"/>
      <c r="T286" s="425"/>
      <c r="U286" s="345"/>
      <c r="V286" s="345"/>
    </row>
    <row r="287" spans="1:22" s="226" customFormat="1" ht="27.75" customHeight="1">
      <c r="A287" s="6"/>
      <c r="D287" s="501"/>
      <c r="E287" s="502"/>
      <c r="F287" s="503"/>
      <c r="G287" s="430"/>
      <c r="H287" s="430"/>
      <c r="I287" s="504"/>
      <c r="J287" s="3"/>
      <c r="K287" s="372"/>
      <c r="L287" s="501"/>
      <c r="M287" s="372"/>
      <c r="N287" s="501"/>
      <c r="O287" s="430"/>
      <c r="P287" s="430"/>
      <c r="Q287" s="504"/>
      <c r="R287" s="2"/>
      <c r="S287" s="425"/>
      <c r="T287" s="425"/>
      <c r="U287" s="345"/>
      <c r="V287" s="345"/>
    </row>
    <row r="288" spans="1:22" ht="27.75" customHeight="1">
      <c r="B288" s="4"/>
      <c r="D288" s="4"/>
      <c r="E288" s="505"/>
      <c r="G288" s="504"/>
      <c r="H288" s="504"/>
      <c r="L288" s="4"/>
      <c r="N288" s="4"/>
      <c r="O288" s="507"/>
      <c r="P288" s="507"/>
      <c r="U288" s="4"/>
      <c r="V288" s="4"/>
    </row>
    <row r="289" spans="2:22" ht="27.75" customHeight="1">
      <c r="B289" s="4"/>
      <c r="D289" s="4"/>
      <c r="E289" s="505"/>
      <c r="G289" s="504"/>
      <c r="H289" s="504"/>
      <c r="L289" s="4"/>
      <c r="N289" s="4"/>
      <c r="O289" s="507"/>
      <c r="P289" s="507"/>
      <c r="U289" s="4"/>
      <c r="V289" s="4"/>
    </row>
    <row r="290" spans="2:22" ht="27.75" customHeight="1">
      <c r="B290" s="4"/>
      <c r="D290" s="4"/>
      <c r="E290" s="505"/>
      <c r="G290" s="504"/>
      <c r="H290" s="504"/>
      <c r="I290" s="509"/>
      <c r="L290" s="4"/>
      <c r="N290" s="4"/>
      <c r="O290" s="507"/>
      <c r="P290" s="507"/>
      <c r="U290" s="4"/>
      <c r="V290" s="4"/>
    </row>
    <row r="291" spans="2:22" ht="27.75" customHeight="1">
      <c r="B291" s="4"/>
      <c r="D291" s="4"/>
      <c r="E291" s="505"/>
      <c r="G291" s="504"/>
      <c r="H291" s="504"/>
      <c r="L291" s="4"/>
      <c r="N291" s="4"/>
      <c r="O291" s="507"/>
      <c r="P291" s="507"/>
      <c r="U291" s="4"/>
      <c r="V291" s="4"/>
    </row>
    <row r="292" spans="2:22" ht="27.75" customHeight="1">
      <c r="B292" s="4"/>
      <c r="D292" s="4"/>
      <c r="E292" s="505"/>
      <c r="G292" s="504"/>
      <c r="H292" s="504"/>
      <c r="L292" s="4"/>
      <c r="N292" s="4"/>
      <c r="O292" s="507"/>
      <c r="P292" s="507"/>
      <c r="U292" s="4"/>
      <c r="V292" s="4"/>
    </row>
    <row r="293" spans="2:22" ht="27.75" customHeight="1">
      <c r="B293" s="4"/>
      <c r="D293" s="4"/>
      <c r="E293" s="505"/>
      <c r="G293" s="504"/>
      <c r="H293" s="504"/>
      <c r="L293" s="4"/>
      <c r="N293" s="4"/>
      <c r="O293" s="507"/>
      <c r="P293" s="507"/>
      <c r="U293" s="4"/>
      <c r="V293" s="4"/>
    </row>
    <row r="294" spans="2:22" ht="27.75" customHeight="1">
      <c r="B294" s="4"/>
      <c r="D294" s="4"/>
      <c r="E294" s="505"/>
      <c r="G294" s="504"/>
      <c r="H294" s="504"/>
      <c r="L294" s="4"/>
      <c r="N294" s="4"/>
      <c r="O294" s="507"/>
      <c r="P294" s="507"/>
      <c r="U294" s="4"/>
      <c r="V294" s="4"/>
    </row>
    <row r="295" spans="2:22" ht="27.75" customHeight="1">
      <c r="B295" s="4"/>
      <c r="D295" s="4"/>
      <c r="E295" s="505"/>
      <c r="G295" s="504"/>
      <c r="H295" s="504"/>
      <c r="L295" s="4"/>
      <c r="N295" s="4"/>
      <c r="O295" s="507"/>
      <c r="P295" s="507"/>
      <c r="U295" s="4"/>
      <c r="V295" s="4"/>
    </row>
    <row r="296" spans="2:22" ht="27.75" customHeight="1">
      <c r="B296" s="4"/>
      <c r="D296" s="4"/>
      <c r="E296" s="505"/>
      <c r="G296" s="504"/>
      <c r="H296" s="504"/>
      <c r="L296" s="4"/>
      <c r="N296" s="4"/>
      <c r="O296" s="507"/>
      <c r="P296" s="507"/>
      <c r="U296" s="4"/>
      <c r="V296" s="4"/>
    </row>
    <row r="297" spans="2:22" ht="27.75" customHeight="1">
      <c r="B297" s="4"/>
      <c r="D297" s="4"/>
      <c r="E297" s="505"/>
      <c r="G297" s="504"/>
      <c r="H297" s="504"/>
      <c r="L297" s="4"/>
      <c r="N297" s="4"/>
      <c r="O297" s="507"/>
      <c r="P297" s="507"/>
      <c r="U297" s="4"/>
      <c r="V297" s="4"/>
    </row>
    <row r="298" spans="2:22" ht="27.75" customHeight="1">
      <c r="B298" s="4"/>
      <c r="D298" s="4"/>
      <c r="E298" s="505"/>
      <c r="G298" s="504"/>
      <c r="H298" s="504"/>
      <c r="L298" s="4"/>
      <c r="N298" s="4"/>
      <c r="O298" s="507"/>
      <c r="P298" s="507"/>
      <c r="U298" s="4"/>
      <c r="V298" s="4"/>
    </row>
    <row r="299" spans="2:22" ht="27.75" customHeight="1">
      <c r="B299" s="4"/>
      <c r="D299" s="4"/>
      <c r="E299" s="505"/>
      <c r="G299" s="504"/>
      <c r="H299" s="504"/>
      <c r="L299" s="4"/>
      <c r="N299" s="4"/>
      <c r="O299" s="507"/>
      <c r="P299" s="507"/>
      <c r="U299" s="4"/>
      <c r="V299" s="4"/>
    </row>
    <row r="300" spans="2:22" ht="27.75" customHeight="1">
      <c r="B300" s="4"/>
      <c r="D300" s="4"/>
      <c r="E300" s="505"/>
      <c r="G300" s="504"/>
      <c r="H300" s="504"/>
      <c r="L300" s="4"/>
      <c r="N300" s="4"/>
      <c r="O300" s="507"/>
      <c r="P300" s="507"/>
      <c r="U300" s="4"/>
      <c r="V300" s="4"/>
    </row>
    <row r="301" spans="2:22" ht="27.75" customHeight="1">
      <c r="B301" s="4"/>
      <c r="D301" s="4"/>
      <c r="E301" s="505"/>
      <c r="G301" s="504"/>
      <c r="H301" s="504"/>
      <c r="L301" s="4"/>
      <c r="N301" s="4"/>
      <c r="O301" s="507"/>
      <c r="P301" s="507"/>
      <c r="U301" s="4"/>
      <c r="V301" s="4"/>
    </row>
    <row r="302" spans="2:22" ht="27.75" customHeight="1">
      <c r="B302" s="4"/>
      <c r="D302" s="4"/>
      <c r="E302" s="505"/>
      <c r="G302" s="504"/>
      <c r="H302" s="504"/>
      <c r="L302" s="4"/>
      <c r="N302" s="4"/>
      <c r="O302" s="507"/>
      <c r="P302" s="507"/>
      <c r="U302" s="4"/>
      <c r="V302" s="4"/>
    </row>
    <row r="303" spans="2:22" ht="27.75" customHeight="1">
      <c r="B303" s="4"/>
      <c r="D303" s="4"/>
      <c r="E303" s="505"/>
      <c r="G303" s="504"/>
      <c r="H303" s="504"/>
      <c r="L303" s="4"/>
      <c r="N303" s="4"/>
      <c r="O303" s="507"/>
      <c r="P303" s="507"/>
      <c r="U303" s="4"/>
      <c r="V303" s="4"/>
    </row>
    <row r="315" spans="2:22" ht="27.75" customHeight="1">
      <c r="B315" s="4"/>
      <c r="D315" s="4"/>
      <c r="E315" s="505"/>
      <c r="G315" s="504"/>
      <c r="H315" s="504"/>
      <c r="L315" s="4"/>
      <c r="N315" s="4"/>
      <c r="O315" s="507"/>
      <c r="P315" s="507"/>
      <c r="R315" s="4"/>
      <c r="S315" s="4"/>
      <c r="T315" s="4"/>
      <c r="U315" s="4"/>
      <c r="V315" s="4"/>
    </row>
    <row r="316" spans="2:22" ht="27.75" customHeight="1">
      <c r="B316" s="4"/>
      <c r="D316" s="4"/>
      <c r="E316" s="505"/>
      <c r="G316" s="504"/>
      <c r="H316" s="504"/>
      <c r="L316" s="4"/>
      <c r="N316" s="4"/>
      <c r="O316" s="507"/>
      <c r="P316" s="507"/>
      <c r="R316" s="4"/>
      <c r="S316" s="4"/>
      <c r="T316" s="4"/>
      <c r="U316" s="4"/>
      <c r="V316" s="4"/>
    </row>
    <row r="317" spans="2:22" ht="27.75" customHeight="1">
      <c r="B317" s="4"/>
      <c r="D317" s="4"/>
      <c r="E317" s="505"/>
      <c r="G317" s="504"/>
      <c r="H317" s="504"/>
      <c r="L317" s="4"/>
      <c r="N317" s="4"/>
      <c r="O317" s="507"/>
      <c r="P317" s="507"/>
      <c r="R317" s="4"/>
      <c r="S317" s="4"/>
      <c r="T317" s="4"/>
      <c r="U317" s="4"/>
      <c r="V317" s="4"/>
    </row>
    <row r="318" spans="2:22" ht="27.75" customHeight="1">
      <c r="B318" s="4"/>
      <c r="D318" s="4"/>
      <c r="E318" s="505"/>
      <c r="G318" s="504"/>
      <c r="H318" s="504"/>
      <c r="L318" s="4"/>
      <c r="N318" s="4"/>
      <c r="O318" s="507"/>
      <c r="P318" s="507"/>
      <c r="R318" s="4"/>
      <c r="S318" s="4"/>
      <c r="T318" s="4"/>
      <c r="U318" s="4"/>
      <c r="V318" s="4"/>
    </row>
    <row r="319" spans="2:22" ht="27.75" customHeight="1">
      <c r="B319" s="4"/>
      <c r="D319" s="4"/>
      <c r="E319" s="505"/>
      <c r="G319" s="504"/>
      <c r="H319" s="504"/>
      <c r="L319" s="4"/>
      <c r="N319" s="4"/>
      <c r="O319" s="507"/>
      <c r="P319" s="507"/>
      <c r="R319" s="4"/>
      <c r="S319" s="4"/>
      <c r="T319" s="4"/>
      <c r="U319" s="4"/>
      <c r="V319" s="4"/>
    </row>
    <row r="320" spans="2:22" ht="27.75" customHeight="1">
      <c r="B320" s="4"/>
      <c r="D320" s="4"/>
      <c r="E320" s="505"/>
      <c r="G320" s="504"/>
      <c r="H320" s="504"/>
      <c r="L320" s="4"/>
      <c r="N320" s="4"/>
      <c r="O320" s="507"/>
      <c r="P320" s="507"/>
      <c r="R320" s="4"/>
      <c r="S320" s="4"/>
      <c r="T320" s="4"/>
      <c r="U320" s="4"/>
      <c r="V320" s="4"/>
    </row>
    <row r="321" spans="2:22" ht="27.75" customHeight="1">
      <c r="B321" s="4"/>
      <c r="D321" s="4"/>
      <c r="E321" s="505"/>
      <c r="G321" s="504"/>
      <c r="H321" s="504"/>
      <c r="L321" s="4"/>
      <c r="N321" s="4"/>
      <c r="O321" s="507"/>
      <c r="P321" s="507"/>
      <c r="R321" s="4"/>
      <c r="S321" s="4"/>
      <c r="T321" s="4"/>
      <c r="U321" s="4"/>
      <c r="V321" s="4"/>
    </row>
    <row r="322" spans="2:22" ht="27.75" customHeight="1">
      <c r="B322" s="4"/>
      <c r="D322" s="4"/>
      <c r="E322" s="505"/>
      <c r="G322" s="504"/>
      <c r="H322" s="504"/>
      <c r="L322" s="4"/>
      <c r="N322" s="4"/>
      <c r="O322" s="507"/>
      <c r="P322" s="507"/>
      <c r="R322" s="4"/>
      <c r="S322" s="4"/>
      <c r="T322" s="4"/>
      <c r="U322" s="4"/>
      <c r="V322" s="4"/>
    </row>
    <row r="323" spans="2:22" ht="27.75" customHeight="1">
      <c r="B323" s="4"/>
      <c r="D323" s="4"/>
      <c r="E323" s="505"/>
      <c r="G323" s="504"/>
      <c r="H323" s="504"/>
      <c r="L323" s="4"/>
      <c r="N323" s="4"/>
      <c r="O323" s="507"/>
      <c r="P323" s="507"/>
      <c r="R323" s="4"/>
      <c r="S323" s="4"/>
      <c r="T323" s="4"/>
      <c r="U323" s="4"/>
      <c r="V323" s="4"/>
    </row>
    <row r="324" spans="2:22" ht="27.75" customHeight="1">
      <c r="B324" s="4"/>
      <c r="D324" s="4"/>
      <c r="E324" s="505"/>
      <c r="G324" s="504"/>
      <c r="H324" s="504"/>
      <c r="L324" s="4"/>
      <c r="N324" s="4"/>
      <c r="O324" s="507"/>
      <c r="P324" s="507"/>
      <c r="R324" s="4"/>
      <c r="S324" s="4"/>
      <c r="T324" s="4"/>
      <c r="U324" s="4"/>
      <c r="V324" s="4"/>
    </row>
    <row r="325" spans="2:22" ht="27.75" customHeight="1">
      <c r="B325" s="4"/>
      <c r="D325" s="4"/>
      <c r="E325" s="505"/>
      <c r="G325" s="504"/>
      <c r="H325" s="504"/>
      <c r="L325" s="4"/>
      <c r="N325" s="4"/>
      <c r="O325" s="507"/>
      <c r="P325" s="507"/>
      <c r="R325" s="4"/>
      <c r="S325" s="4"/>
      <c r="T325" s="4"/>
      <c r="U325" s="4"/>
      <c r="V325" s="4"/>
    </row>
    <row r="326" spans="2:22" ht="27.75" customHeight="1">
      <c r="B326" s="4"/>
      <c r="D326" s="4"/>
      <c r="E326" s="505"/>
      <c r="G326" s="504"/>
      <c r="H326" s="504"/>
      <c r="L326" s="4"/>
      <c r="N326" s="4"/>
      <c r="O326" s="507"/>
      <c r="P326" s="507"/>
      <c r="R326" s="4"/>
      <c r="S326" s="4"/>
      <c r="T326" s="4"/>
      <c r="U326" s="4"/>
      <c r="V326" s="4"/>
    </row>
    <row r="327" spans="2:22" ht="27.75" customHeight="1">
      <c r="B327" s="4"/>
      <c r="D327" s="4"/>
      <c r="E327" s="505"/>
      <c r="G327" s="504"/>
      <c r="H327" s="504"/>
      <c r="L327" s="4"/>
      <c r="N327" s="4"/>
      <c r="O327" s="507"/>
      <c r="P327" s="507"/>
      <c r="R327" s="4"/>
      <c r="S327" s="4"/>
      <c r="T327" s="4"/>
      <c r="U327" s="4"/>
      <c r="V327" s="4"/>
    </row>
  </sheetData>
  <mergeCells count="28">
    <mergeCell ref="A1:Q1"/>
    <mergeCell ref="A2:Q2"/>
    <mergeCell ref="A3:Q3"/>
    <mergeCell ref="E4:I4"/>
    <mergeCell ref="M4:Q4"/>
    <mergeCell ref="S4:S6"/>
    <mergeCell ref="T4:T6"/>
    <mergeCell ref="U4:U6"/>
    <mergeCell ref="V4:V6"/>
    <mergeCell ref="A5:A6"/>
    <mergeCell ref="B5:B6"/>
    <mergeCell ref="C5:C6"/>
    <mergeCell ref="D5:D6"/>
    <mergeCell ref="E5:E6"/>
    <mergeCell ref="F5:F6"/>
    <mergeCell ref="R4:R6"/>
    <mergeCell ref="G5:I5"/>
    <mergeCell ref="K5:K6"/>
    <mergeCell ref="L5:L6"/>
    <mergeCell ref="M5:M6"/>
    <mergeCell ref="A274:R274"/>
    <mergeCell ref="A275:R275"/>
    <mergeCell ref="N5:N6"/>
    <mergeCell ref="O5:Q5"/>
    <mergeCell ref="B255:D255"/>
    <mergeCell ref="B259:D259"/>
    <mergeCell ref="B262:D262"/>
    <mergeCell ref="A273:R27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CD3A2-8778-4E51-A65E-3C134CAF8565}">
  <sheetPr>
    <tabColor rgb="FFFFC000"/>
  </sheetPr>
  <dimension ref="A1:H255"/>
  <sheetViews>
    <sheetView zoomScale="60" zoomScaleNormal="60" workbookViewId="0">
      <pane ySplit="6" topLeftCell="A180" activePane="bottomLeft" state="frozen"/>
      <selection pane="bottomLeft" activeCell="S190" sqref="S190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1.6640625" style="3" customWidth="1"/>
    <col min="5" max="5" width="24.5546875" style="372" customWidth="1"/>
    <col min="6" max="6" width="22.109375" style="512" customWidth="1"/>
    <col min="7" max="7" width="8.88671875" style="4"/>
    <col min="8" max="8" width="36.6640625" style="4" customWidth="1"/>
    <col min="9" max="16384" width="8.88671875" style="4"/>
  </cols>
  <sheetData>
    <row r="1" spans="1:6" ht="28.5" customHeight="1">
      <c r="A1" s="653" t="s">
        <v>0</v>
      </c>
      <c r="B1" s="653"/>
      <c r="C1" s="653"/>
      <c r="D1" s="653"/>
      <c r="E1" s="653"/>
      <c r="F1" s="653"/>
    </row>
    <row r="2" spans="1:6" ht="23.25" customHeight="1">
      <c r="A2" s="653" t="s">
        <v>1</v>
      </c>
      <c r="B2" s="653"/>
      <c r="C2" s="653"/>
      <c r="D2" s="653"/>
      <c r="E2" s="653"/>
      <c r="F2" s="653"/>
    </row>
    <row r="3" spans="1:6" ht="28.5" customHeight="1">
      <c r="A3" s="654" t="s">
        <v>1157</v>
      </c>
      <c r="B3" s="654"/>
      <c r="C3" s="654"/>
      <c r="D3" s="654"/>
      <c r="E3" s="654"/>
      <c r="F3" s="654"/>
    </row>
    <row r="4" spans="1:6" ht="27.75" customHeight="1">
      <c r="A4" s="7"/>
      <c r="B4" s="8"/>
      <c r="C4" s="9"/>
      <c r="D4" s="11"/>
      <c r="E4" s="12" t="s">
        <v>4</v>
      </c>
      <c r="F4" s="13"/>
    </row>
    <row r="5" spans="1:6" ht="27.75" customHeight="1">
      <c r="A5" s="664" t="s">
        <v>11</v>
      </c>
      <c r="B5" s="666" t="s">
        <v>12</v>
      </c>
      <c r="C5" s="666" t="s">
        <v>13</v>
      </c>
      <c r="D5" s="14" t="s">
        <v>18</v>
      </c>
      <c r="E5" s="691" t="s">
        <v>19</v>
      </c>
      <c r="F5" s="693" t="s">
        <v>20</v>
      </c>
    </row>
    <row r="6" spans="1:6" ht="27.75" customHeight="1" thickBot="1">
      <c r="A6" s="665"/>
      <c r="B6" s="667"/>
      <c r="C6" s="667"/>
      <c r="D6" s="18"/>
      <c r="E6" s="692"/>
      <c r="F6" s="694"/>
    </row>
    <row r="7" spans="1:6" ht="27.75" customHeight="1" thickTop="1">
      <c r="A7" s="22"/>
      <c r="B7" s="23" t="s">
        <v>23</v>
      </c>
      <c r="C7" s="24"/>
      <c r="D7" s="29"/>
      <c r="E7" s="30"/>
      <c r="F7" s="31"/>
    </row>
    <row r="8" spans="1:6" s="57" customFormat="1" ht="27.75" customHeight="1">
      <c r="A8" s="39">
        <v>1</v>
      </c>
      <c r="B8" s="40" t="s">
        <v>24</v>
      </c>
      <c r="C8" s="41" t="s">
        <v>25</v>
      </c>
      <c r="D8" s="48">
        <v>46114</v>
      </c>
      <c r="E8" s="49" t="s">
        <v>1158</v>
      </c>
      <c r="F8" s="50">
        <v>4012.5</v>
      </c>
    </row>
    <row r="9" spans="1:6" s="57" customFormat="1" ht="27.75" customHeight="1">
      <c r="A9" s="39">
        <v>2</v>
      </c>
      <c r="B9" s="40" t="s">
        <v>28</v>
      </c>
      <c r="C9" s="41" t="s">
        <v>29</v>
      </c>
      <c r="D9" s="48" t="s">
        <v>1159</v>
      </c>
      <c r="E9" s="49" t="s">
        <v>1160</v>
      </c>
      <c r="F9" s="50">
        <v>8025</v>
      </c>
    </row>
    <row r="10" spans="1:6" s="57" customFormat="1" ht="27.75" customHeight="1">
      <c r="A10" s="39">
        <v>3</v>
      </c>
      <c r="B10" s="40" t="s">
        <v>24</v>
      </c>
      <c r="C10" s="41" t="s">
        <v>33</v>
      </c>
      <c r="D10" s="48">
        <v>46114</v>
      </c>
      <c r="E10" s="49" t="s">
        <v>1158</v>
      </c>
      <c r="F10" s="50">
        <v>4012.5</v>
      </c>
    </row>
    <row r="11" spans="1:6" s="57" customFormat="1" ht="27.75" customHeight="1">
      <c r="A11" s="39">
        <v>4</v>
      </c>
      <c r="B11" s="40" t="s">
        <v>34</v>
      </c>
      <c r="C11" s="41" t="s">
        <v>35</v>
      </c>
      <c r="D11" s="48" t="s">
        <v>1159</v>
      </c>
      <c r="E11" s="49" t="s">
        <v>1160</v>
      </c>
      <c r="F11" s="50">
        <v>8025</v>
      </c>
    </row>
    <row r="12" spans="1:6" s="57" customFormat="1" ht="27.75" customHeight="1">
      <c r="A12" s="39">
        <v>5</v>
      </c>
      <c r="B12" s="40" t="s">
        <v>36</v>
      </c>
      <c r="C12" s="41" t="s">
        <v>37</v>
      </c>
      <c r="D12" s="48">
        <v>46117</v>
      </c>
      <c r="E12" s="49" t="s">
        <v>1162</v>
      </c>
      <c r="F12" s="50">
        <v>4012.5</v>
      </c>
    </row>
    <row r="13" spans="1:6" s="57" customFormat="1" ht="27.75" customHeight="1">
      <c r="A13" s="39">
        <v>6</v>
      </c>
      <c r="B13" s="40" t="s">
        <v>34</v>
      </c>
      <c r="C13" s="41" t="s">
        <v>39</v>
      </c>
      <c r="D13" s="48" t="s">
        <v>1159</v>
      </c>
      <c r="E13" s="49" t="s">
        <v>1160</v>
      </c>
      <c r="F13" s="50">
        <v>8025</v>
      </c>
    </row>
    <row r="14" spans="1:6" s="57" customFormat="1" ht="27.75" customHeight="1">
      <c r="A14" s="39">
        <v>7</v>
      </c>
      <c r="B14" s="40" t="s">
        <v>43</v>
      </c>
      <c r="C14" s="41" t="s">
        <v>44</v>
      </c>
      <c r="D14" s="48">
        <v>46114</v>
      </c>
      <c r="E14" s="49" t="s">
        <v>1163</v>
      </c>
      <c r="F14" s="50">
        <v>4012.5</v>
      </c>
    </row>
    <row r="15" spans="1:6" s="57" customFormat="1" ht="27.75" customHeight="1">
      <c r="A15" s="39">
        <v>8</v>
      </c>
      <c r="B15" s="40" t="s">
        <v>47</v>
      </c>
      <c r="C15" s="41" t="s">
        <v>48</v>
      </c>
      <c r="D15" s="48">
        <v>46117</v>
      </c>
      <c r="E15" s="49" t="s">
        <v>1164</v>
      </c>
      <c r="F15" s="50">
        <v>4012.5</v>
      </c>
    </row>
    <row r="16" spans="1:6" s="57" customFormat="1" ht="27.75" customHeight="1">
      <c r="A16" s="39">
        <v>9</v>
      </c>
      <c r="B16" s="40" t="s">
        <v>50</v>
      </c>
      <c r="C16" s="41" t="s">
        <v>51</v>
      </c>
      <c r="D16" s="48">
        <v>46117</v>
      </c>
      <c r="E16" s="49" t="s">
        <v>1165</v>
      </c>
      <c r="F16" s="50">
        <v>4012.5</v>
      </c>
    </row>
    <row r="17" spans="1:8" s="57" customFormat="1" ht="27.75" customHeight="1">
      <c r="A17" s="39">
        <v>10</v>
      </c>
      <c r="B17" s="40" t="s">
        <v>53</v>
      </c>
      <c r="C17" s="41" t="s">
        <v>54</v>
      </c>
      <c r="D17" s="48">
        <v>46115</v>
      </c>
      <c r="E17" s="59" t="s">
        <v>1166</v>
      </c>
      <c r="F17" s="50">
        <v>4012.5</v>
      </c>
    </row>
    <row r="18" spans="1:8" s="57" customFormat="1" ht="27.75" customHeight="1">
      <c r="A18" s="39">
        <v>11</v>
      </c>
      <c r="B18" s="40" t="s">
        <v>57</v>
      </c>
      <c r="C18" s="41" t="s">
        <v>58</v>
      </c>
      <c r="D18" s="48">
        <v>46113</v>
      </c>
      <c r="E18" s="49" t="s">
        <v>1167</v>
      </c>
      <c r="F18" s="50">
        <v>4012.5</v>
      </c>
    </row>
    <row r="19" spans="1:8" s="57" customFormat="1" ht="27.75" customHeight="1">
      <c r="A19" s="39">
        <v>12</v>
      </c>
      <c r="B19" s="40" t="s">
        <v>60</v>
      </c>
      <c r="C19" s="41" t="s">
        <v>61</v>
      </c>
      <c r="D19" s="48">
        <v>46113</v>
      </c>
      <c r="E19" s="49" t="s">
        <v>1168</v>
      </c>
      <c r="F19" s="50">
        <v>4012.5</v>
      </c>
    </row>
    <row r="20" spans="1:8" s="57" customFormat="1" ht="27.75" customHeight="1">
      <c r="A20" s="39">
        <v>13</v>
      </c>
      <c r="B20" s="40" t="s">
        <v>63</v>
      </c>
      <c r="C20" s="41" t="s">
        <v>64</v>
      </c>
      <c r="D20" s="48">
        <v>46117</v>
      </c>
      <c r="E20" s="49" t="s">
        <v>1169</v>
      </c>
      <c r="F20" s="50">
        <v>4012.5</v>
      </c>
    </row>
    <row r="21" spans="1:8" s="57" customFormat="1" ht="27.75" customHeight="1">
      <c r="A21" s="39">
        <v>14</v>
      </c>
      <c r="B21" s="40" t="s">
        <v>66</v>
      </c>
      <c r="C21" s="41" t="s">
        <v>67</v>
      </c>
      <c r="D21" s="62">
        <v>46142</v>
      </c>
      <c r="E21" s="49" t="s">
        <v>1170</v>
      </c>
      <c r="F21" s="50">
        <v>12037.5</v>
      </c>
    </row>
    <row r="22" spans="1:8" s="57" customFormat="1" ht="27.75" customHeight="1">
      <c r="A22" s="39">
        <v>15</v>
      </c>
      <c r="B22" s="40" t="s">
        <v>66</v>
      </c>
      <c r="C22" s="41" t="s">
        <v>69</v>
      </c>
      <c r="D22" s="62">
        <v>46142</v>
      </c>
      <c r="E22" s="49" t="s">
        <v>1171</v>
      </c>
      <c r="F22" s="50">
        <v>4012.5</v>
      </c>
    </row>
    <row r="23" spans="1:8" s="57" customFormat="1" ht="35.25" customHeight="1" thickBot="1">
      <c r="A23" s="67"/>
      <c r="B23" s="68" t="s">
        <v>22</v>
      </c>
      <c r="C23" s="69"/>
      <c r="D23" s="74"/>
      <c r="E23" s="75"/>
      <c r="F23" s="76">
        <v>80250</v>
      </c>
      <c r="H23" s="57">
        <f>SUM(F8:F22)</f>
        <v>80250</v>
      </c>
    </row>
    <row r="24" spans="1:8" s="91" customFormat="1" ht="27.75" customHeight="1" thickTop="1">
      <c r="A24" s="39">
        <v>1</v>
      </c>
      <c r="B24" s="80" t="s">
        <v>71</v>
      </c>
      <c r="C24" s="81" t="s">
        <v>72</v>
      </c>
      <c r="D24" s="48">
        <v>46135</v>
      </c>
      <c r="E24" s="49" t="s">
        <v>1172</v>
      </c>
      <c r="F24" s="86">
        <v>13375</v>
      </c>
    </row>
    <row r="25" spans="1:8" s="57" customFormat="1" ht="27.75" customHeight="1">
      <c r="A25" s="39">
        <v>2</v>
      </c>
      <c r="B25" s="92" t="s">
        <v>76</v>
      </c>
      <c r="C25" s="41" t="s">
        <v>72</v>
      </c>
      <c r="D25" s="62">
        <v>46119</v>
      </c>
      <c r="E25" s="49" t="s">
        <v>1174</v>
      </c>
      <c r="F25" s="93">
        <v>1605</v>
      </c>
    </row>
    <row r="26" spans="1:8" s="57" customFormat="1" ht="27.75" customHeight="1" thickBot="1">
      <c r="A26" s="96"/>
      <c r="B26" s="97" t="s">
        <v>22</v>
      </c>
      <c r="C26" s="98"/>
      <c r="D26" s="103"/>
      <c r="E26" s="104"/>
      <c r="F26" s="105">
        <v>14980</v>
      </c>
      <c r="H26" s="57">
        <f>SUM(F24:F25)</f>
        <v>14980</v>
      </c>
    </row>
    <row r="27" spans="1:8" ht="27.75" customHeight="1" thickTop="1">
      <c r="A27" s="39">
        <v>1</v>
      </c>
      <c r="B27" s="40" t="s">
        <v>78</v>
      </c>
      <c r="C27" s="81" t="s">
        <v>72</v>
      </c>
      <c r="D27" s="113">
        <v>46142</v>
      </c>
      <c r="E27" s="114" t="s">
        <v>1175</v>
      </c>
      <c r="F27" s="115">
        <v>10284.67</v>
      </c>
    </row>
    <row r="28" spans="1:8" ht="27.75" customHeight="1">
      <c r="A28" s="39">
        <v>2</v>
      </c>
      <c r="B28" s="40" t="s">
        <v>82</v>
      </c>
      <c r="C28" s="41" t="s">
        <v>72</v>
      </c>
      <c r="D28" s="113">
        <v>46113</v>
      </c>
      <c r="E28" s="114" t="s">
        <v>1176</v>
      </c>
      <c r="F28" s="115">
        <v>1181.28</v>
      </c>
    </row>
    <row r="29" spans="1:8" ht="27.75" customHeight="1">
      <c r="A29" s="39">
        <v>3</v>
      </c>
      <c r="B29" s="40" t="s">
        <v>85</v>
      </c>
      <c r="C29" s="41" t="s">
        <v>72</v>
      </c>
      <c r="D29" s="117">
        <v>46119</v>
      </c>
      <c r="E29" s="118" t="s">
        <v>1177</v>
      </c>
      <c r="F29" s="119">
        <v>10000</v>
      </c>
    </row>
    <row r="30" spans="1:8" s="57" customFormat="1" ht="27.75" customHeight="1" thickBot="1">
      <c r="A30" s="96"/>
      <c r="B30" s="97" t="s">
        <v>22</v>
      </c>
      <c r="C30" s="98"/>
      <c r="D30" s="103"/>
      <c r="E30" s="104"/>
      <c r="F30" s="105">
        <v>21465.95</v>
      </c>
      <c r="H30" s="57">
        <f>SUM(F27:F29)</f>
        <v>21465.95</v>
      </c>
    </row>
    <row r="31" spans="1:8" ht="27.75" hidden="1" customHeight="1" thickBot="1">
      <c r="A31" s="39">
        <v>1</v>
      </c>
      <c r="B31" s="40" t="s">
        <v>88</v>
      </c>
      <c r="C31" s="41" t="s">
        <v>72</v>
      </c>
      <c r="D31" s="113"/>
      <c r="E31" s="118"/>
      <c r="F31" s="121">
        <v>0</v>
      </c>
    </row>
    <row r="32" spans="1:8" ht="27.75" hidden="1" customHeight="1" thickTop="1">
      <c r="A32" s="39">
        <v>2</v>
      </c>
      <c r="B32" s="40" t="s">
        <v>89</v>
      </c>
      <c r="C32" s="41" t="s">
        <v>72</v>
      </c>
      <c r="D32" s="113"/>
      <c r="E32" s="118"/>
      <c r="F32" s="121">
        <v>0</v>
      </c>
    </row>
    <row r="33" spans="1:6" ht="27.75" hidden="1" customHeight="1" thickTop="1">
      <c r="A33" s="39">
        <v>3</v>
      </c>
      <c r="B33" s="40" t="s">
        <v>90</v>
      </c>
      <c r="C33" s="41" t="s">
        <v>72</v>
      </c>
      <c r="D33" s="113"/>
      <c r="E33" s="118"/>
      <c r="F33" s="121"/>
    </row>
    <row r="34" spans="1:6" ht="27.75" hidden="1" customHeight="1" thickTop="1">
      <c r="A34" s="39">
        <v>4</v>
      </c>
      <c r="B34" s="40" t="s">
        <v>91</v>
      </c>
      <c r="C34" s="41" t="s">
        <v>72</v>
      </c>
      <c r="D34" s="113"/>
      <c r="E34" s="118"/>
      <c r="F34" s="121">
        <v>0</v>
      </c>
    </row>
    <row r="35" spans="1:6" ht="27.75" hidden="1" customHeight="1" thickTop="1">
      <c r="A35" s="39">
        <v>5</v>
      </c>
      <c r="B35" s="40" t="s">
        <v>92</v>
      </c>
      <c r="C35" s="41" t="s">
        <v>72</v>
      </c>
      <c r="D35" s="117"/>
      <c r="E35" s="118"/>
      <c r="F35" s="119">
        <v>0</v>
      </c>
    </row>
    <row r="36" spans="1:6" ht="27.75" hidden="1" customHeight="1" thickTop="1">
      <c r="A36" s="39">
        <v>6</v>
      </c>
      <c r="B36" s="123" t="s">
        <v>93</v>
      </c>
      <c r="C36" s="41" t="s">
        <v>72</v>
      </c>
      <c r="D36" s="127"/>
      <c r="E36" s="128"/>
      <c r="F36" s="129">
        <v>0</v>
      </c>
    </row>
    <row r="37" spans="1:6" ht="27.75" hidden="1" customHeight="1" thickTop="1">
      <c r="A37" s="39">
        <v>7</v>
      </c>
      <c r="B37" s="40" t="s">
        <v>94</v>
      </c>
      <c r="C37" s="41" t="s">
        <v>72</v>
      </c>
      <c r="D37" s="117"/>
      <c r="E37" s="118"/>
      <c r="F37" s="119">
        <v>0</v>
      </c>
    </row>
    <row r="38" spans="1:6" ht="27.75" hidden="1" customHeight="1" thickTop="1">
      <c r="A38" s="39">
        <v>8</v>
      </c>
      <c r="B38" s="40" t="s">
        <v>95</v>
      </c>
      <c r="C38" s="41" t="s">
        <v>72</v>
      </c>
      <c r="D38" s="117"/>
      <c r="E38" s="118"/>
      <c r="F38" s="119">
        <v>0</v>
      </c>
    </row>
    <row r="39" spans="1:6" ht="27.75" hidden="1" customHeight="1" thickTop="1">
      <c r="A39" s="39">
        <v>9</v>
      </c>
      <c r="B39" s="40" t="s">
        <v>96</v>
      </c>
      <c r="C39" s="41" t="s">
        <v>72</v>
      </c>
      <c r="D39" s="117"/>
      <c r="E39" s="118"/>
      <c r="F39" s="119">
        <v>0</v>
      </c>
    </row>
    <row r="40" spans="1:6" ht="27.75" hidden="1" customHeight="1" thickTop="1">
      <c r="A40" s="39">
        <v>10</v>
      </c>
      <c r="B40" s="40" t="s">
        <v>97</v>
      </c>
      <c r="C40" s="41" t="s">
        <v>72</v>
      </c>
      <c r="D40" s="117"/>
      <c r="E40" s="118"/>
      <c r="F40" s="119">
        <v>0</v>
      </c>
    </row>
    <row r="41" spans="1:6" ht="27.75" hidden="1" customHeight="1" thickTop="1">
      <c r="A41" s="39">
        <v>11</v>
      </c>
      <c r="B41" s="40" t="s">
        <v>98</v>
      </c>
      <c r="C41" s="41" t="s">
        <v>72</v>
      </c>
      <c r="D41" s="117"/>
      <c r="E41" s="118"/>
      <c r="F41" s="119">
        <v>0</v>
      </c>
    </row>
    <row r="42" spans="1:6" ht="27.75" hidden="1" customHeight="1" thickTop="1">
      <c r="A42" s="39">
        <v>12</v>
      </c>
      <c r="B42" s="40" t="s">
        <v>99</v>
      </c>
      <c r="C42" s="41" t="s">
        <v>72</v>
      </c>
      <c r="D42" s="117"/>
      <c r="E42" s="118"/>
      <c r="F42" s="119">
        <v>0</v>
      </c>
    </row>
    <row r="43" spans="1:6" ht="27.75" hidden="1" customHeight="1" thickTop="1">
      <c r="A43" s="39"/>
      <c r="B43" s="123"/>
      <c r="C43" s="41"/>
      <c r="D43" s="127"/>
      <c r="E43" s="128"/>
      <c r="F43" s="129"/>
    </row>
    <row r="44" spans="1:6" ht="27.75" hidden="1" customHeight="1" thickTop="1">
      <c r="A44" s="22"/>
      <c r="B44" s="131" t="s">
        <v>22</v>
      </c>
      <c r="C44" s="132"/>
      <c r="D44" s="137">
        <v>0</v>
      </c>
      <c r="E44" s="137">
        <v>0</v>
      </c>
      <c r="F44" s="138">
        <v>0</v>
      </c>
    </row>
    <row r="45" spans="1:6" ht="27.75" customHeight="1" thickTop="1">
      <c r="A45" s="22"/>
      <c r="B45" s="23" t="s">
        <v>100</v>
      </c>
      <c r="C45" s="24"/>
      <c r="D45" s="29"/>
      <c r="E45" s="30"/>
      <c r="F45" s="31"/>
    </row>
    <row r="46" spans="1:6" s="57" customFormat="1" ht="27.75" customHeight="1">
      <c r="A46" s="22">
        <v>1</v>
      </c>
      <c r="B46" s="40" t="s">
        <v>101</v>
      </c>
      <c r="C46" s="140" t="s">
        <v>102</v>
      </c>
      <c r="D46" s="113">
        <v>46142</v>
      </c>
      <c r="E46" s="114" t="s">
        <v>1178</v>
      </c>
      <c r="F46" s="144">
        <v>160.5</v>
      </c>
    </row>
    <row r="47" spans="1:6" s="57" customFormat="1" ht="27.75" customHeight="1">
      <c r="A47" s="22">
        <v>2</v>
      </c>
      <c r="B47" s="150" t="s">
        <v>104</v>
      </c>
      <c r="C47" s="140" t="s">
        <v>102</v>
      </c>
      <c r="D47" s="117">
        <v>46142</v>
      </c>
      <c r="E47" s="118" t="s">
        <v>1179</v>
      </c>
      <c r="F47" s="151">
        <v>321</v>
      </c>
    </row>
    <row r="48" spans="1:6" s="57" customFormat="1" ht="27.75" customHeight="1">
      <c r="A48" s="22">
        <v>3</v>
      </c>
      <c r="B48" s="170" t="s">
        <v>109</v>
      </c>
      <c r="C48" s="140" t="s">
        <v>102</v>
      </c>
      <c r="D48" s="117">
        <v>46114</v>
      </c>
      <c r="E48" s="118" t="s">
        <v>1181</v>
      </c>
      <c r="F48" s="151">
        <v>321</v>
      </c>
    </row>
    <row r="49" spans="1:6" s="57" customFormat="1" ht="27.75" customHeight="1">
      <c r="A49" s="22">
        <v>4</v>
      </c>
      <c r="B49" s="170" t="s">
        <v>111</v>
      </c>
      <c r="C49" s="140" t="s">
        <v>102</v>
      </c>
      <c r="D49" s="117">
        <v>46115</v>
      </c>
      <c r="E49" s="118" t="s">
        <v>1182</v>
      </c>
      <c r="F49" s="151">
        <v>321</v>
      </c>
    </row>
    <row r="50" spans="1:6" s="57" customFormat="1" ht="27.75" customHeight="1">
      <c r="A50" s="22">
        <v>5</v>
      </c>
      <c r="B50" s="170" t="s">
        <v>113</v>
      </c>
      <c r="C50" s="140" t="s">
        <v>102</v>
      </c>
      <c r="D50" s="113">
        <v>46119</v>
      </c>
      <c r="E50" s="114" t="s">
        <v>1183</v>
      </c>
      <c r="F50" s="151">
        <v>160.5</v>
      </c>
    </row>
    <row r="51" spans="1:6" s="57" customFormat="1" ht="27.75" customHeight="1">
      <c r="A51" s="22">
        <v>6</v>
      </c>
      <c r="B51" s="170" t="s">
        <v>117</v>
      </c>
      <c r="C51" s="140" t="s">
        <v>102</v>
      </c>
      <c r="D51" s="113">
        <v>46128</v>
      </c>
      <c r="E51" s="114" t="s">
        <v>1184</v>
      </c>
      <c r="F51" s="151">
        <v>535</v>
      </c>
    </row>
    <row r="52" spans="1:6" s="57" customFormat="1" ht="27.75" customHeight="1">
      <c r="A52" s="22">
        <v>7</v>
      </c>
      <c r="B52" s="170" t="s">
        <v>119</v>
      </c>
      <c r="C52" s="140" t="s">
        <v>102</v>
      </c>
      <c r="D52" s="113">
        <v>46141</v>
      </c>
      <c r="E52" s="114" t="s">
        <v>1185</v>
      </c>
      <c r="F52" s="151">
        <v>321</v>
      </c>
    </row>
    <row r="53" spans="1:6" s="57" customFormat="1" ht="27.75" customHeight="1">
      <c r="A53" s="22">
        <v>8</v>
      </c>
      <c r="B53" s="170" t="s">
        <v>121</v>
      </c>
      <c r="C53" s="140" t="s">
        <v>102</v>
      </c>
      <c r="D53" s="113">
        <v>46141</v>
      </c>
      <c r="E53" s="114" t="s">
        <v>1186</v>
      </c>
      <c r="F53" s="151">
        <v>321</v>
      </c>
    </row>
    <row r="54" spans="1:6" s="57" customFormat="1" ht="27.75" customHeight="1">
      <c r="A54" s="22">
        <v>9</v>
      </c>
      <c r="B54" s="40" t="s">
        <v>126</v>
      </c>
      <c r="C54" s="140" t="s">
        <v>102</v>
      </c>
      <c r="D54" s="113" t="s">
        <v>1187</v>
      </c>
      <c r="E54" s="114" t="s">
        <v>1188</v>
      </c>
      <c r="F54" s="144">
        <v>1284</v>
      </c>
    </row>
    <row r="55" spans="1:6" s="57" customFormat="1" ht="27.75" customHeight="1">
      <c r="A55" s="22">
        <v>10</v>
      </c>
      <c r="B55" s="40" t="s">
        <v>128</v>
      </c>
      <c r="C55" s="140" t="s">
        <v>102</v>
      </c>
      <c r="D55" s="113">
        <v>46141</v>
      </c>
      <c r="E55" s="114" t="s">
        <v>1189</v>
      </c>
      <c r="F55" s="144">
        <v>642</v>
      </c>
    </row>
    <row r="56" spans="1:6" s="57" customFormat="1" ht="27.75" customHeight="1">
      <c r="A56" s="22">
        <v>11</v>
      </c>
      <c r="B56" s="40" t="s">
        <v>130</v>
      </c>
      <c r="C56" s="140" t="s">
        <v>102</v>
      </c>
      <c r="D56" s="175">
        <v>46114</v>
      </c>
      <c r="E56" s="176" t="s">
        <v>1190</v>
      </c>
      <c r="F56" s="177">
        <v>160.5</v>
      </c>
    </row>
    <row r="57" spans="1:6" s="57" customFormat="1" ht="27.75" customHeight="1">
      <c r="A57" s="22">
        <v>12</v>
      </c>
      <c r="B57" s="170" t="s">
        <v>132</v>
      </c>
      <c r="C57" s="140" t="s">
        <v>102</v>
      </c>
      <c r="D57" s="178">
        <v>46120</v>
      </c>
      <c r="E57" s="179" t="s">
        <v>1191</v>
      </c>
      <c r="F57" s="180">
        <v>321</v>
      </c>
    </row>
    <row r="58" spans="1:6" s="57" customFormat="1" ht="27.75" customHeight="1">
      <c r="A58" s="22">
        <v>13</v>
      </c>
      <c r="B58" s="40" t="s">
        <v>134</v>
      </c>
      <c r="C58" s="140" t="s">
        <v>102</v>
      </c>
      <c r="D58" s="175">
        <v>46139</v>
      </c>
      <c r="E58" s="176" t="s">
        <v>1192</v>
      </c>
      <c r="F58" s="177">
        <v>160.5</v>
      </c>
    </row>
    <row r="59" spans="1:6" s="57" customFormat="1" ht="27.75" customHeight="1">
      <c r="A59" s="22">
        <v>14</v>
      </c>
      <c r="B59" s="170" t="s">
        <v>136</v>
      </c>
      <c r="C59" s="140" t="s">
        <v>102</v>
      </c>
      <c r="D59" s="113">
        <v>46141</v>
      </c>
      <c r="E59" s="114" t="s">
        <v>1193</v>
      </c>
      <c r="F59" s="144">
        <v>321</v>
      </c>
    </row>
    <row r="60" spans="1:6" s="57" customFormat="1" ht="27.75" customHeight="1">
      <c r="A60" s="22">
        <v>15</v>
      </c>
      <c r="B60" s="181" t="s">
        <v>142</v>
      </c>
      <c r="C60" s="182" t="s">
        <v>143</v>
      </c>
      <c r="D60" s="183">
        <v>46141</v>
      </c>
      <c r="E60" s="184" t="s">
        <v>1195</v>
      </c>
      <c r="F60" s="185">
        <v>160.5</v>
      </c>
    </row>
    <row r="61" spans="1:6" s="57" customFormat="1" ht="27.75" customHeight="1">
      <c r="A61" s="22">
        <v>16</v>
      </c>
      <c r="B61" s="40" t="s">
        <v>145</v>
      </c>
      <c r="C61" s="140" t="s">
        <v>102</v>
      </c>
      <c r="D61" s="175">
        <v>46139</v>
      </c>
      <c r="E61" s="176" t="s">
        <v>1196</v>
      </c>
      <c r="F61" s="177">
        <v>321</v>
      </c>
    </row>
    <row r="62" spans="1:6" s="57" customFormat="1" ht="27.75" customHeight="1">
      <c r="A62" s="22">
        <v>17</v>
      </c>
      <c r="B62" s="40" t="s">
        <v>147</v>
      </c>
      <c r="C62" s="140" t="s">
        <v>102</v>
      </c>
      <c r="D62" s="175">
        <v>46139</v>
      </c>
      <c r="E62" s="176" t="s">
        <v>1197</v>
      </c>
      <c r="F62" s="177">
        <v>160.5</v>
      </c>
    </row>
    <row r="63" spans="1:6" s="57" customFormat="1" ht="27.75" customHeight="1">
      <c r="A63" s="22">
        <v>18</v>
      </c>
      <c r="B63" s="80" t="s">
        <v>149</v>
      </c>
      <c r="C63" s="140" t="s">
        <v>102</v>
      </c>
      <c r="D63" s="175">
        <v>46135</v>
      </c>
      <c r="E63" s="176" t="s">
        <v>1198</v>
      </c>
      <c r="F63" s="177">
        <v>1070</v>
      </c>
    </row>
    <row r="64" spans="1:6" s="57" customFormat="1" ht="27.75" customHeight="1">
      <c r="A64" s="22">
        <v>19</v>
      </c>
      <c r="B64" s="170" t="s">
        <v>151</v>
      </c>
      <c r="C64" s="140" t="s">
        <v>102</v>
      </c>
      <c r="D64" s="117">
        <v>46113</v>
      </c>
      <c r="E64" s="118" t="s">
        <v>1199</v>
      </c>
      <c r="F64" s="151">
        <v>160.5</v>
      </c>
    </row>
    <row r="65" spans="1:8" s="57" customFormat="1" ht="27.75" customHeight="1">
      <c r="A65" s="22">
        <v>20</v>
      </c>
      <c r="B65" s="170" t="s">
        <v>154</v>
      </c>
      <c r="C65" s="140" t="s">
        <v>102</v>
      </c>
      <c r="D65" s="175">
        <v>46141</v>
      </c>
      <c r="E65" s="176" t="s">
        <v>1200</v>
      </c>
      <c r="F65" s="177">
        <v>321</v>
      </c>
    </row>
    <row r="66" spans="1:8" s="57" customFormat="1" ht="27.75" customHeight="1">
      <c r="A66" s="22">
        <v>21</v>
      </c>
      <c r="B66" s="191" t="s">
        <v>156</v>
      </c>
      <c r="C66" s="140" t="s">
        <v>102</v>
      </c>
      <c r="D66" s="175">
        <v>46120</v>
      </c>
      <c r="E66" s="176" t="s">
        <v>1201</v>
      </c>
      <c r="F66" s="177">
        <v>160.5</v>
      </c>
    </row>
    <row r="67" spans="1:8" s="57" customFormat="1" ht="27.75" customHeight="1">
      <c r="A67" s="22">
        <v>22</v>
      </c>
      <c r="B67" s="191" t="s">
        <v>161</v>
      </c>
      <c r="C67" s="140" t="s">
        <v>102</v>
      </c>
      <c r="D67" s="117">
        <v>46141</v>
      </c>
      <c r="E67" s="118" t="s">
        <v>1203</v>
      </c>
      <c r="F67" s="151">
        <v>321</v>
      </c>
    </row>
    <row r="68" spans="1:8" s="57" customFormat="1" ht="27.75" customHeight="1">
      <c r="A68" s="22">
        <v>23</v>
      </c>
      <c r="B68" s="191" t="s">
        <v>163</v>
      </c>
      <c r="C68" s="140" t="s">
        <v>102</v>
      </c>
      <c r="D68" s="117">
        <v>46142</v>
      </c>
      <c r="E68" s="118" t="s">
        <v>1204</v>
      </c>
      <c r="F68" s="151">
        <v>160.5</v>
      </c>
    </row>
    <row r="69" spans="1:8" s="57" customFormat="1" ht="27.75" customHeight="1">
      <c r="A69" s="22">
        <v>24</v>
      </c>
      <c r="B69" s="170" t="s">
        <v>165</v>
      </c>
      <c r="C69" s="140" t="s">
        <v>102</v>
      </c>
      <c r="D69" s="175">
        <v>46119</v>
      </c>
      <c r="E69" s="176" t="s">
        <v>1205</v>
      </c>
      <c r="F69" s="177">
        <v>1070</v>
      </c>
    </row>
    <row r="70" spans="1:8" s="57" customFormat="1" ht="27.75" customHeight="1">
      <c r="A70" s="22">
        <v>25</v>
      </c>
      <c r="B70" s="191" t="s">
        <v>167</v>
      </c>
      <c r="C70" s="140" t="s">
        <v>102</v>
      </c>
      <c r="D70" s="117">
        <v>46141</v>
      </c>
      <c r="E70" s="118" t="s">
        <v>1206</v>
      </c>
      <c r="F70" s="151">
        <v>535</v>
      </c>
    </row>
    <row r="71" spans="1:8" s="57" customFormat="1" ht="27.75" customHeight="1">
      <c r="A71" s="22">
        <v>26</v>
      </c>
      <c r="B71" s="170" t="s">
        <v>169</v>
      </c>
      <c r="C71" s="140" t="s">
        <v>102</v>
      </c>
      <c r="D71" s="175">
        <v>46141</v>
      </c>
      <c r="E71" s="176" t="s">
        <v>1207</v>
      </c>
      <c r="F71" s="177">
        <v>321</v>
      </c>
    </row>
    <row r="72" spans="1:8" s="57" customFormat="1" ht="27.75" customHeight="1">
      <c r="A72" s="22">
        <v>27</v>
      </c>
      <c r="B72" s="191" t="s">
        <v>171</v>
      </c>
      <c r="C72" s="140" t="s">
        <v>102</v>
      </c>
      <c r="D72" s="175">
        <v>46142</v>
      </c>
      <c r="E72" s="176" t="s">
        <v>1208</v>
      </c>
      <c r="F72" s="177">
        <v>963</v>
      </c>
    </row>
    <row r="73" spans="1:8" s="57" customFormat="1" ht="27.75" customHeight="1">
      <c r="A73" s="22">
        <v>28</v>
      </c>
      <c r="B73" s="191" t="s">
        <v>173</v>
      </c>
      <c r="C73" s="140" t="s">
        <v>102</v>
      </c>
      <c r="D73" s="175">
        <v>46113</v>
      </c>
      <c r="E73" s="176" t="s">
        <v>1209</v>
      </c>
      <c r="F73" s="177">
        <v>321</v>
      </c>
    </row>
    <row r="74" spans="1:8" s="57" customFormat="1" ht="27.75" customHeight="1">
      <c r="A74" s="22">
        <v>29</v>
      </c>
      <c r="B74" s="191" t="s">
        <v>175</v>
      </c>
      <c r="C74" s="140" t="s">
        <v>102</v>
      </c>
      <c r="D74" s="175">
        <v>46115</v>
      </c>
      <c r="E74" s="176" t="s">
        <v>1210</v>
      </c>
      <c r="F74" s="177">
        <v>321</v>
      </c>
    </row>
    <row r="75" spans="1:8" s="57" customFormat="1" ht="27.75" customHeight="1">
      <c r="A75" s="22">
        <v>30</v>
      </c>
      <c r="B75" s="191" t="s">
        <v>177</v>
      </c>
      <c r="C75" s="140" t="s">
        <v>102</v>
      </c>
      <c r="D75" s="117">
        <v>46141</v>
      </c>
      <c r="E75" s="118" t="s">
        <v>1211</v>
      </c>
      <c r="F75" s="151">
        <v>321</v>
      </c>
    </row>
    <row r="76" spans="1:8" ht="27.75" customHeight="1" thickBot="1">
      <c r="A76" s="193"/>
      <c r="B76" s="194" t="s">
        <v>22</v>
      </c>
      <c r="C76" s="195"/>
      <c r="D76" s="199"/>
      <c r="E76" s="199"/>
      <c r="F76" s="196">
        <v>12037.5</v>
      </c>
      <c r="H76" s="512">
        <f>SUM(F46:F75)</f>
        <v>12037.5</v>
      </c>
    </row>
    <row r="77" spans="1:8" ht="27.75" customHeight="1" thickTop="1">
      <c r="A77" s="22"/>
      <c r="B77" s="23" t="s">
        <v>179</v>
      </c>
      <c r="C77" s="24"/>
      <c r="D77" s="29"/>
      <c r="E77" s="30"/>
      <c r="F77" s="31"/>
    </row>
    <row r="78" spans="1:8" ht="27.75" customHeight="1">
      <c r="A78" s="94">
        <v>1</v>
      </c>
      <c r="B78" s="40" t="s">
        <v>180</v>
      </c>
      <c r="C78" s="41" t="s">
        <v>181</v>
      </c>
      <c r="D78" s="48">
        <v>46122</v>
      </c>
      <c r="E78" s="49" t="s">
        <v>1212</v>
      </c>
      <c r="F78" s="202">
        <v>802.5</v>
      </c>
    </row>
    <row r="79" spans="1:8" ht="27.75" customHeight="1">
      <c r="A79" s="94">
        <v>2</v>
      </c>
      <c r="B79" s="40" t="s">
        <v>184</v>
      </c>
      <c r="C79" s="41" t="s">
        <v>181</v>
      </c>
      <c r="D79" s="48">
        <v>46122</v>
      </c>
      <c r="E79" s="49" t="s">
        <v>1212</v>
      </c>
      <c r="F79" s="202">
        <v>3370.5</v>
      </c>
    </row>
    <row r="80" spans="1:8" ht="27.75" customHeight="1">
      <c r="A80" s="94">
        <v>3</v>
      </c>
      <c r="B80" s="205" t="s">
        <v>186</v>
      </c>
      <c r="C80" s="206" t="s">
        <v>181</v>
      </c>
      <c r="D80" s="48">
        <v>46141</v>
      </c>
      <c r="E80" s="49" t="s">
        <v>1213</v>
      </c>
      <c r="F80" s="202">
        <v>3370.5</v>
      </c>
    </row>
    <row r="81" spans="1:8" ht="27.75" customHeight="1">
      <c r="A81" s="186">
        <v>4</v>
      </c>
      <c r="B81" s="205" t="s">
        <v>188</v>
      </c>
      <c r="C81" s="206" t="s">
        <v>181</v>
      </c>
      <c r="D81" s="48">
        <v>46113</v>
      </c>
      <c r="E81" s="49" t="s">
        <v>1214</v>
      </c>
      <c r="F81" s="202">
        <v>2140</v>
      </c>
    </row>
    <row r="82" spans="1:8" s="220" customFormat="1" ht="27.75" customHeight="1">
      <c r="A82" s="186">
        <v>5</v>
      </c>
      <c r="B82" s="208" t="s">
        <v>71</v>
      </c>
      <c r="C82" s="209" t="s">
        <v>181</v>
      </c>
      <c r="D82" s="62">
        <v>46135</v>
      </c>
      <c r="E82" s="215" t="s">
        <v>1215</v>
      </c>
      <c r="F82" s="202">
        <v>2675</v>
      </c>
    </row>
    <row r="83" spans="1:8" ht="27.75" customHeight="1" thickBot="1">
      <c r="A83" s="193"/>
      <c r="B83" s="194" t="s">
        <v>22</v>
      </c>
      <c r="C83" s="195"/>
      <c r="D83" s="199"/>
      <c r="E83" s="199"/>
      <c r="F83" s="196">
        <v>12358.5</v>
      </c>
      <c r="H83" s="512">
        <f>SUM(F78:F82)</f>
        <v>12358.5</v>
      </c>
    </row>
    <row r="84" spans="1:8" ht="27.75" customHeight="1" thickTop="1">
      <c r="A84" s="22"/>
      <c r="B84" s="23" t="s">
        <v>191</v>
      </c>
      <c r="C84" s="24"/>
      <c r="D84" s="29"/>
      <c r="E84" s="30"/>
      <c r="F84" s="31"/>
    </row>
    <row r="85" spans="1:8" ht="27.75" customHeight="1">
      <c r="A85" s="94">
        <v>1</v>
      </c>
      <c r="B85" s="40" t="s">
        <v>192</v>
      </c>
      <c r="C85" s="41" t="s">
        <v>193</v>
      </c>
      <c r="D85" s="175">
        <v>46117</v>
      </c>
      <c r="E85" s="176" t="s">
        <v>1216</v>
      </c>
      <c r="F85" s="222">
        <v>2140</v>
      </c>
    </row>
    <row r="86" spans="1:8" ht="27.75" customHeight="1" thickBot="1">
      <c r="A86" s="193"/>
      <c r="B86" s="194" t="s">
        <v>22</v>
      </c>
      <c r="C86" s="195"/>
      <c r="D86" s="199"/>
      <c r="E86" s="199"/>
      <c r="F86" s="196">
        <v>2140</v>
      </c>
      <c r="H86" s="520">
        <f>SUM(F85)</f>
        <v>2140</v>
      </c>
    </row>
    <row r="87" spans="1:8" ht="27.75" customHeight="1" thickTop="1">
      <c r="A87" s="22"/>
      <c r="B87" s="23" t="s">
        <v>196</v>
      </c>
      <c r="C87" s="24"/>
      <c r="D87" s="29"/>
      <c r="E87" s="30"/>
      <c r="F87" s="31"/>
    </row>
    <row r="88" spans="1:8" s="226" customFormat="1" ht="27.75" customHeight="1">
      <c r="A88" s="94">
        <v>1</v>
      </c>
      <c r="B88" s="181" t="s">
        <v>198</v>
      </c>
      <c r="C88" s="224" t="s">
        <v>199</v>
      </c>
      <c r="D88" s="113">
        <v>46118</v>
      </c>
      <c r="E88" s="114" t="s">
        <v>1217</v>
      </c>
      <c r="F88" s="144">
        <v>26750</v>
      </c>
    </row>
    <row r="89" spans="1:8" s="226" customFormat="1" ht="27.75" customHeight="1">
      <c r="A89" s="94">
        <v>2</v>
      </c>
      <c r="B89" s="181" t="s">
        <v>204</v>
      </c>
      <c r="C89" s="224" t="s">
        <v>205</v>
      </c>
      <c r="D89" s="113">
        <v>46135</v>
      </c>
      <c r="E89" s="114" t="s">
        <v>1218</v>
      </c>
      <c r="F89" s="144">
        <v>22470</v>
      </c>
    </row>
    <row r="90" spans="1:8" s="226" customFormat="1" ht="27.75" customHeight="1">
      <c r="A90" s="94">
        <v>3</v>
      </c>
      <c r="B90" s="181" t="s">
        <v>204</v>
      </c>
      <c r="C90" s="224" t="s">
        <v>207</v>
      </c>
      <c r="D90" s="113">
        <v>46135</v>
      </c>
      <c r="E90" s="114" t="s">
        <v>1218</v>
      </c>
      <c r="F90" s="144">
        <v>22470</v>
      </c>
    </row>
    <row r="91" spans="1:8" s="226" customFormat="1" ht="27.75" customHeight="1">
      <c r="A91" s="94">
        <v>4</v>
      </c>
      <c r="B91" s="181" t="s">
        <v>210</v>
      </c>
      <c r="C91" s="224" t="s">
        <v>211</v>
      </c>
      <c r="D91" s="113">
        <v>46141</v>
      </c>
      <c r="E91" s="114" t="s">
        <v>1219</v>
      </c>
      <c r="F91" s="144">
        <v>22470</v>
      </c>
    </row>
    <row r="92" spans="1:8" s="226" customFormat="1" ht="27.75" customHeight="1">
      <c r="A92" s="94">
        <v>5</v>
      </c>
      <c r="B92" s="181" t="s">
        <v>214</v>
      </c>
      <c r="C92" s="224" t="s">
        <v>215</v>
      </c>
      <c r="D92" s="113">
        <v>46115</v>
      </c>
      <c r="E92" s="114" t="s">
        <v>1220</v>
      </c>
      <c r="F92" s="144">
        <v>22470</v>
      </c>
    </row>
    <row r="93" spans="1:8" s="226" customFormat="1" ht="27.75" customHeight="1">
      <c r="A93" s="94">
        <v>6</v>
      </c>
      <c r="B93" s="181" t="s">
        <v>217</v>
      </c>
      <c r="C93" s="224" t="s">
        <v>220</v>
      </c>
      <c r="D93" s="113">
        <v>46130</v>
      </c>
      <c r="E93" s="114" t="s">
        <v>1221</v>
      </c>
      <c r="F93" s="144">
        <v>22470</v>
      </c>
    </row>
    <row r="94" spans="1:8" s="226" customFormat="1" ht="27.75" customHeight="1">
      <c r="A94" s="94">
        <v>7</v>
      </c>
      <c r="B94" s="181" t="s">
        <v>217</v>
      </c>
      <c r="C94" s="224" t="s">
        <v>221</v>
      </c>
      <c r="D94" s="113">
        <v>46130</v>
      </c>
      <c r="E94" s="114" t="s">
        <v>1221</v>
      </c>
      <c r="F94" s="144">
        <v>22470</v>
      </c>
    </row>
    <row r="95" spans="1:8" s="226" customFormat="1" ht="27.75" customHeight="1">
      <c r="A95" s="94">
        <v>8</v>
      </c>
      <c r="B95" s="181" t="s">
        <v>222</v>
      </c>
      <c r="C95" s="227" t="s">
        <v>223</v>
      </c>
      <c r="D95" s="230">
        <v>46114</v>
      </c>
      <c r="E95" s="184" t="s">
        <v>1222</v>
      </c>
      <c r="F95" s="231">
        <v>32100</v>
      </c>
    </row>
    <row r="96" spans="1:8" s="226" customFormat="1" ht="27.75" customHeight="1">
      <c r="A96" s="94">
        <v>1</v>
      </c>
      <c r="B96" s="41" t="s">
        <v>227</v>
      </c>
      <c r="C96" s="224" t="s">
        <v>228</v>
      </c>
      <c r="D96" s="113">
        <v>46142</v>
      </c>
      <c r="E96" s="114" t="s">
        <v>1224</v>
      </c>
      <c r="F96" s="253">
        <v>22470</v>
      </c>
    </row>
    <row r="97" spans="1:6" s="226" customFormat="1" ht="27.75" customHeight="1">
      <c r="A97" s="94">
        <v>2</v>
      </c>
      <c r="B97" s="41" t="s">
        <v>227</v>
      </c>
      <c r="C97" s="224" t="s">
        <v>230</v>
      </c>
      <c r="D97" s="113">
        <v>46142</v>
      </c>
      <c r="E97" s="114" t="s">
        <v>1224</v>
      </c>
      <c r="F97" s="253">
        <v>22470</v>
      </c>
    </row>
    <row r="98" spans="1:6" s="226" customFormat="1" ht="27.75" customHeight="1">
      <c r="A98" s="94">
        <v>3</v>
      </c>
      <c r="B98" s="41" t="s">
        <v>227</v>
      </c>
      <c r="C98" s="224" t="s">
        <v>231</v>
      </c>
      <c r="D98" s="117">
        <v>46142</v>
      </c>
      <c r="E98" s="118" t="s">
        <v>1224</v>
      </c>
      <c r="F98" s="557">
        <v>22470</v>
      </c>
    </row>
    <row r="99" spans="1:6" s="226" customFormat="1" ht="27.75" customHeight="1">
      <c r="A99" s="94">
        <v>4</v>
      </c>
      <c r="B99" s="41" t="s">
        <v>236</v>
      </c>
      <c r="C99" s="224" t="s">
        <v>239</v>
      </c>
      <c r="D99" s="113">
        <v>46142</v>
      </c>
      <c r="E99" s="114" t="s">
        <v>1225</v>
      </c>
      <c r="F99" s="257">
        <v>22470</v>
      </c>
    </row>
    <row r="100" spans="1:6" s="226" customFormat="1" ht="27.75" customHeight="1">
      <c r="A100" s="94">
        <v>5</v>
      </c>
      <c r="B100" s="41" t="s">
        <v>92</v>
      </c>
      <c r="C100" s="224" t="s">
        <v>240</v>
      </c>
      <c r="D100" s="113">
        <v>46139</v>
      </c>
      <c r="E100" s="114" t="s">
        <v>1226</v>
      </c>
      <c r="F100" s="258">
        <v>22470</v>
      </c>
    </row>
    <row r="101" spans="1:6" s="226" customFormat="1" ht="27.75" customHeight="1">
      <c r="A101" s="94">
        <v>6</v>
      </c>
      <c r="B101" s="41" t="s">
        <v>92</v>
      </c>
      <c r="C101" s="224" t="s">
        <v>242</v>
      </c>
      <c r="D101" s="113">
        <v>46139</v>
      </c>
      <c r="E101" s="114" t="s">
        <v>1226</v>
      </c>
      <c r="F101" s="253">
        <v>22470</v>
      </c>
    </row>
    <row r="102" spans="1:6" s="226" customFormat="1" ht="27.75" customHeight="1">
      <c r="A102" s="94">
        <v>7</v>
      </c>
      <c r="B102" s="41" t="s">
        <v>243</v>
      </c>
      <c r="C102" s="224" t="s">
        <v>244</v>
      </c>
      <c r="D102" s="113">
        <v>46141</v>
      </c>
      <c r="E102" s="114" t="s">
        <v>1227</v>
      </c>
      <c r="F102" s="253">
        <v>22470</v>
      </c>
    </row>
    <row r="103" spans="1:6" s="226" customFormat="1" ht="27.75" customHeight="1">
      <c r="A103" s="94">
        <v>1</v>
      </c>
      <c r="B103" s="41" t="s">
        <v>252</v>
      </c>
      <c r="C103" s="224" t="s">
        <v>253</v>
      </c>
      <c r="D103" s="113">
        <v>46117</v>
      </c>
      <c r="E103" s="114" t="s">
        <v>1228</v>
      </c>
      <c r="F103" s="144">
        <v>6420</v>
      </c>
    </row>
    <row r="104" spans="1:6" s="226" customFormat="1" ht="27.75" customHeight="1">
      <c r="A104" s="94">
        <v>2</v>
      </c>
      <c r="B104" s="41" t="s">
        <v>254</v>
      </c>
      <c r="C104" s="224" t="s">
        <v>255</v>
      </c>
      <c r="D104" s="113">
        <v>46114</v>
      </c>
      <c r="E104" s="114" t="s">
        <v>1229</v>
      </c>
      <c r="F104" s="144">
        <v>9630</v>
      </c>
    </row>
    <row r="105" spans="1:6" s="226" customFormat="1" ht="27.75" customHeight="1">
      <c r="A105" s="94">
        <v>3</v>
      </c>
      <c r="B105" s="41" t="s">
        <v>257</v>
      </c>
      <c r="C105" s="224" t="s">
        <v>258</v>
      </c>
      <c r="D105" s="113">
        <v>46138</v>
      </c>
      <c r="E105" s="114" t="s">
        <v>1230</v>
      </c>
      <c r="F105" s="144">
        <v>9630</v>
      </c>
    </row>
    <row r="106" spans="1:6" s="226" customFormat="1" ht="27.75" customHeight="1">
      <c r="A106" s="94">
        <v>4</v>
      </c>
      <c r="B106" s="206" t="s">
        <v>257</v>
      </c>
      <c r="C106" s="224" t="s">
        <v>260</v>
      </c>
      <c r="D106" s="113">
        <v>46138</v>
      </c>
      <c r="E106" s="114" t="s">
        <v>1230</v>
      </c>
      <c r="F106" s="144">
        <v>9630</v>
      </c>
    </row>
    <row r="107" spans="1:6" s="226" customFormat="1" ht="27.75" customHeight="1">
      <c r="A107" s="94">
        <v>5</v>
      </c>
      <c r="B107" s="265" t="s">
        <v>261</v>
      </c>
      <c r="C107" s="224" t="s">
        <v>262</v>
      </c>
      <c r="D107" s="113">
        <v>46115</v>
      </c>
      <c r="E107" s="114" t="s">
        <v>1231</v>
      </c>
      <c r="F107" s="144">
        <v>6420</v>
      </c>
    </row>
    <row r="108" spans="1:6" s="226" customFormat="1" ht="27.75" customHeight="1">
      <c r="A108" s="94">
        <v>6</v>
      </c>
      <c r="B108" s="266" t="s">
        <v>264</v>
      </c>
      <c r="C108" s="224" t="s">
        <v>199</v>
      </c>
      <c r="D108" s="113">
        <v>46142</v>
      </c>
      <c r="E108" s="114" t="s">
        <v>1232</v>
      </c>
      <c r="F108" s="144">
        <v>6420</v>
      </c>
    </row>
    <row r="109" spans="1:6" s="226" customFormat="1" ht="27.75" customHeight="1">
      <c r="A109" s="94">
        <v>7</v>
      </c>
      <c r="B109" s="81" t="s">
        <v>267</v>
      </c>
      <c r="C109" s="224" t="s">
        <v>268</v>
      </c>
      <c r="D109" s="113">
        <v>46118</v>
      </c>
      <c r="E109" s="114" t="s">
        <v>1233</v>
      </c>
      <c r="F109" s="144">
        <v>6420</v>
      </c>
    </row>
    <row r="110" spans="1:6" s="226" customFormat="1" ht="27.75" customHeight="1">
      <c r="A110" s="94">
        <v>8</v>
      </c>
      <c r="B110" s="81" t="s">
        <v>156</v>
      </c>
      <c r="C110" s="224" t="s">
        <v>207</v>
      </c>
      <c r="D110" s="113">
        <v>46120</v>
      </c>
      <c r="E110" s="114" t="s">
        <v>1234</v>
      </c>
      <c r="F110" s="144">
        <v>6420</v>
      </c>
    </row>
    <row r="111" spans="1:6" s="226" customFormat="1" ht="27.75" customHeight="1">
      <c r="A111" s="94">
        <v>9</v>
      </c>
      <c r="B111" s="41" t="s">
        <v>271</v>
      </c>
      <c r="C111" s="224" t="s">
        <v>208</v>
      </c>
      <c r="D111" s="113">
        <v>46142</v>
      </c>
      <c r="E111" s="268" t="s">
        <v>1235</v>
      </c>
      <c r="F111" s="269">
        <v>6420</v>
      </c>
    </row>
    <row r="112" spans="1:6" s="226" customFormat="1" ht="27.75" customHeight="1">
      <c r="A112" s="94">
        <v>10</v>
      </c>
      <c r="B112" s="41" t="s">
        <v>273</v>
      </c>
      <c r="C112" s="224" t="s">
        <v>209</v>
      </c>
      <c r="D112" s="113">
        <v>46133</v>
      </c>
      <c r="E112" s="114" t="s">
        <v>1236</v>
      </c>
      <c r="F112" s="144">
        <v>6420</v>
      </c>
    </row>
    <row r="113" spans="1:8" s="226" customFormat="1" ht="27.75" customHeight="1">
      <c r="A113" s="94">
        <v>11</v>
      </c>
      <c r="B113" s="41" t="s">
        <v>275</v>
      </c>
      <c r="C113" s="224" t="s">
        <v>276</v>
      </c>
      <c r="D113" s="113">
        <v>46141</v>
      </c>
      <c r="E113" s="114" t="s">
        <v>1237</v>
      </c>
      <c r="F113" s="144">
        <v>6420</v>
      </c>
    </row>
    <row r="114" spans="1:8" ht="27.75" customHeight="1" thickBot="1">
      <c r="A114" s="22"/>
      <c r="B114" s="194" t="s">
        <v>22</v>
      </c>
      <c r="C114" s="195"/>
      <c r="D114" s="199"/>
      <c r="E114" s="199"/>
      <c r="F114" s="196">
        <f>SUM(F88:F113)</f>
        <v>431210</v>
      </c>
      <c r="H114" s="512">
        <f>SUM(F88:F113)</f>
        <v>431210</v>
      </c>
    </row>
    <row r="115" spans="1:8" ht="27.75" hidden="1" customHeight="1" thickBot="1">
      <c r="A115" s="22"/>
      <c r="B115" s="23" t="s">
        <v>278</v>
      </c>
      <c r="C115" s="24"/>
      <c r="D115" s="29"/>
      <c r="E115" s="30"/>
      <c r="F115" s="31"/>
    </row>
    <row r="116" spans="1:8" ht="27.75" hidden="1" customHeight="1" thickTop="1">
      <c r="A116" s="22">
        <v>1</v>
      </c>
      <c r="B116" s="270" t="s">
        <v>88</v>
      </c>
      <c r="C116" s="271" t="s">
        <v>279</v>
      </c>
      <c r="D116" s="275"/>
      <c r="E116" s="276"/>
      <c r="F116" s="277"/>
    </row>
    <row r="117" spans="1:8" ht="27.75" hidden="1" customHeight="1" thickTop="1">
      <c r="A117" s="22">
        <v>2</v>
      </c>
      <c r="B117" s="280" t="s">
        <v>89</v>
      </c>
      <c r="C117" s="271" t="s">
        <v>279</v>
      </c>
      <c r="D117" s="175"/>
      <c r="E117" s="282"/>
      <c r="F117" s="222"/>
    </row>
    <row r="118" spans="1:8" ht="27.75" hidden="1" customHeight="1" thickTop="1">
      <c r="A118" s="22">
        <v>3</v>
      </c>
      <c r="B118" s="270" t="s">
        <v>280</v>
      </c>
      <c r="C118" s="271" t="s">
        <v>279</v>
      </c>
      <c r="D118" s="175"/>
      <c r="E118" s="282"/>
      <c r="F118" s="222"/>
    </row>
    <row r="119" spans="1:8" ht="27.75" hidden="1" customHeight="1" thickTop="1">
      <c r="A119" s="22">
        <v>4</v>
      </c>
      <c r="B119" s="280" t="s">
        <v>96</v>
      </c>
      <c r="C119" s="271" t="s">
        <v>279</v>
      </c>
      <c r="D119" s="175"/>
      <c r="E119" s="282"/>
      <c r="F119" s="222"/>
    </row>
    <row r="120" spans="1:8" ht="27.75" hidden="1" customHeight="1" thickTop="1">
      <c r="A120" s="22">
        <v>5</v>
      </c>
      <c r="B120" s="280" t="s">
        <v>281</v>
      </c>
      <c r="C120" s="271" t="s">
        <v>279</v>
      </c>
      <c r="D120" s="175"/>
      <c r="E120" s="282"/>
      <c r="F120" s="222"/>
    </row>
    <row r="121" spans="1:8" ht="27.75" hidden="1" customHeight="1" thickTop="1">
      <c r="A121" s="22">
        <v>6</v>
      </c>
      <c r="B121" s="280" t="s">
        <v>282</v>
      </c>
      <c r="C121" s="271" t="s">
        <v>279</v>
      </c>
      <c r="D121" s="175"/>
      <c r="E121" s="282"/>
      <c r="F121" s="222"/>
    </row>
    <row r="122" spans="1:8" ht="27.75" hidden="1" customHeight="1" thickTop="1">
      <c r="A122" s="22">
        <v>7</v>
      </c>
      <c r="B122" s="280" t="s">
        <v>92</v>
      </c>
      <c r="C122" s="271" t="s">
        <v>279</v>
      </c>
      <c r="D122" s="175"/>
      <c r="E122" s="282"/>
      <c r="F122" s="222"/>
    </row>
    <row r="123" spans="1:8" ht="27.75" hidden="1" customHeight="1" thickTop="1">
      <c r="A123" s="22">
        <v>8</v>
      </c>
      <c r="B123" s="280" t="s">
        <v>91</v>
      </c>
      <c r="C123" s="271" t="s">
        <v>279</v>
      </c>
      <c r="D123" s="175"/>
      <c r="E123" s="282"/>
      <c r="F123" s="222"/>
    </row>
    <row r="124" spans="1:8" ht="27.75" hidden="1" customHeight="1" thickTop="1">
      <c r="A124" s="22">
        <v>9</v>
      </c>
      <c r="B124" s="280" t="s">
        <v>236</v>
      </c>
      <c r="C124" s="271" t="s">
        <v>279</v>
      </c>
      <c r="D124" s="175"/>
      <c r="E124" s="282"/>
      <c r="F124" s="222"/>
    </row>
    <row r="125" spans="1:8" ht="27.75" hidden="1" customHeight="1" thickTop="1">
      <c r="A125" s="22">
        <v>10</v>
      </c>
      <c r="B125" s="280" t="s">
        <v>94</v>
      </c>
      <c r="C125" s="280" t="s">
        <v>279</v>
      </c>
      <c r="D125" s="175"/>
      <c r="E125" s="282"/>
      <c r="F125" s="222"/>
    </row>
    <row r="126" spans="1:8" ht="27.75" hidden="1" customHeight="1" thickTop="1">
      <c r="A126" s="22">
        <v>11</v>
      </c>
      <c r="B126" s="270"/>
      <c r="C126" s="285"/>
      <c r="D126" s="275"/>
      <c r="E126" s="276"/>
      <c r="F126" s="277"/>
    </row>
    <row r="127" spans="1:8" ht="27.75" hidden="1" customHeight="1" thickTop="1">
      <c r="A127" s="22"/>
      <c r="B127" s="131" t="s">
        <v>22</v>
      </c>
      <c r="C127" s="132"/>
      <c r="D127" s="287"/>
      <c r="E127" s="137"/>
      <c r="F127" s="138">
        <v>0</v>
      </c>
    </row>
    <row r="128" spans="1:8" ht="27.75" customHeight="1" thickTop="1">
      <c r="A128" s="22"/>
      <c r="B128" s="288" t="s">
        <v>283</v>
      </c>
      <c r="C128" s="289"/>
      <c r="D128" s="291"/>
      <c r="E128" s="292"/>
      <c r="F128" s="222"/>
    </row>
    <row r="129" spans="1:8" ht="27.75" customHeight="1">
      <c r="A129" s="94">
        <v>1</v>
      </c>
      <c r="B129" s="205" t="s">
        <v>192</v>
      </c>
      <c r="C129" s="206" t="s">
        <v>284</v>
      </c>
      <c r="D129" s="183">
        <v>46117</v>
      </c>
      <c r="E129" s="184" t="s">
        <v>1238</v>
      </c>
      <c r="F129" s="231">
        <v>66660</v>
      </c>
    </row>
    <row r="130" spans="1:8" ht="27.75" customHeight="1" thickBot="1">
      <c r="A130" s="193"/>
      <c r="B130" s="308" t="s">
        <v>22</v>
      </c>
      <c r="C130" s="309"/>
      <c r="D130" s="314"/>
      <c r="E130" s="314"/>
      <c r="F130" s="310">
        <v>66660</v>
      </c>
      <c r="H130" s="520">
        <f>SUM(F129)</f>
        <v>66660</v>
      </c>
    </row>
    <row r="131" spans="1:8" ht="27.75" customHeight="1" thickTop="1">
      <c r="A131" s="22"/>
      <c r="B131" s="23" t="s">
        <v>292</v>
      </c>
      <c r="C131" s="24"/>
      <c r="D131" s="29"/>
      <c r="E131" s="30"/>
      <c r="F131" s="31"/>
    </row>
    <row r="132" spans="1:8" ht="27.75" customHeight="1">
      <c r="A132" s="316">
        <v>1</v>
      </c>
      <c r="B132" s="280" t="s">
        <v>294</v>
      </c>
      <c r="C132" s="280" t="s">
        <v>255</v>
      </c>
      <c r="D132" s="321">
        <v>46114</v>
      </c>
      <c r="E132" s="322" t="s">
        <v>1239</v>
      </c>
      <c r="F132" s="323">
        <v>32.1</v>
      </c>
    </row>
    <row r="133" spans="1:8" ht="27.75" customHeight="1">
      <c r="A133" s="316">
        <v>2</v>
      </c>
      <c r="B133" s="270" t="s">
        <v>295</v>
      </c>
      <c r="C133" s="285" t="s">
        <v>255</v>
      </c>
      <c r="D133" s="321">
        <v>46139</v>
      </c>
      <c r="E133" s="322" t="s">
        <v>1240</v>
      </c>
      <c r="F133" s="323">
        <v>21.4</v>
      </c>
    </row>
    <row r="134" spans="1:8" ht="27.75" customHeight="1">
      <c r="A134" s="316">
        <v>3</v>
      </c>
      <c r="B134" s="270" t="s">
        <v>298</v>
      </c>
      <c r="C134" s="270" t="s">
        <v>199</v>
      </c>
      <c r="D134" s="328">
        <v>46142</v>
      </c>
      <c r="E134" s="329" t="s">
        <v>1241</v>
      </c>
      <c r="F134" s="330">
        <v>32.1</v>
      </c>
    </row>
    <row r="135" spans="1:8" ht="27.75" customHeight="1">
      <c r="A135" s="316">
        <v>4</v>
      </c>
      <c r="B135" s="270" t="s">
        <v>156</v>
      </c>
      <c r="C135" s="270" t="s">
        <v>208</v>
      </c>
      <c r="D135" s="328">
        <v>46120</v>
      </c>
      <c r="E135" s="329" t="s">
        <v>1242</v>
      </c>
      <c r="F135" s="330">
        <v>128.4</v>
      </c>
    </row>
    <row r="136" spans="1:8" ht="27.75" customHeight="1">
      <c r="A136" s="316">
        <v>5</v>
      </c>
      <c r="B136" s="270" t="s">
        <v>273</v>
      </c>
      <c r="C136" s="270" t="s">
        <v>211</v>
      </c>
      <c r="D136" s="328">
        <v>46133</v>
      </c>
      <c r="E136" s="329" t="s">
        <v>1243</v>
      </c>
      <c r="F136" s="330">
        <v>64.2</v>
      </c>
    </row>
    <row r="137" spans="1:8" ht="27.75" customHeight="1">
      <c r="A137" s="316">
        <v>6</v>
      </c>
      <c r="B137" s="270" t="s">
        <v>92</v>
      </c>
      <c r="C137" s="270" t="s">
        <v>302</v>
      </c>
      <c r="D137" s="331">
        <v>46139</v>
      </c>
      <c r="E137" s="332" t="s">
        <v>1244</v>
      </c>
      <c r="F137" s="333">
        <v>214</v>
      </c>
    </row>
    <row r="138" spans="1:8" ht="27.75" customHeight="1" thickBot="1">
      <c r="A138" s="193"/>
      <c r="B138" s="194"/>
      <c r="C138" s="195"/>
      <c r="D138" s="338"/>
      <c r="E138" s="199"/>
      <c r="F138" s="196">
        <v>492.2</v>
      </c>
      <c r="H138" s="512">
        <f>SUM(F132:F137)</f>
        <v>492.2</v>
      </c>
    </row>
    <row r="139" spans="1:8" ht="27.75" customHeight="1" thickTop="1">
      <c r="A139" s="22"/>
      <c r="B139" s="288" t="s">
        <v>304</v>
      </c>
      <c r="C139" s="289"/>
      <c r="D139" s="291"/>
      <c r="E139" s="292"/>
      <c r="F139" s="222"/>
    </row>
    <row r="140" spans="1:8" ht="27.75" customHeight="1">
      <c r="A140" s="186">
        <v>1</v>
      </c>
      <c r="B140" s="205" t="s">
        <v>24</v>
      </c>
      <c r="C140" s="346" t="s">
        <v>25</v>
      </c>
      <c r="D140" s="113">
        <v>46114</v>
      </c>
      <c r="E140" s="114" t="s">
        <v>1245</v>
      </c>
      <c r="F140" s="347">
        <v>1410</v>
      </c>
    </row>
    <row r="141" spans="1:8" ht="27.75" customHeight="1">
      <c r="A141" s="186">
        <v>2</v>
      </c>
      <c r="B141" s="205" t="s">
        <v>28</v>
      </c>
      <c r="C141" s="346" t="s">
        <v>311</v>
      </c>
      <c r="D141" s="113" t="s">
        <v>1187</v>
      </c>
      <c r="E141" s="114" t="s">
        <v>1246</v>
      </c>
      <c r="F141" s="347">
        <v>2820</v>
      </c>
    </row>
    <row r="142" spans="1:8" ht="27.75" customHeight="1">
      <c r="A142" s="186">
        <v>3</v>
      </c>
      <c r="B142" s="205" t="s">
        <v>28</v>
      </c>
      <c r="C142" s="346" t="s">
        <v>315</v>
      </c>
      <c r="D142" s="113" t="s">
        <v>1187</v>
      </c>
      <c r="E142" s="114" t="s">
        <v>1246</v>
      </c>
      <c r="F142" s="347">
        <v>2820</v>
      </c>
    </row>
    <row r="143" spans="1:8" ht="27.75" customHeight="1">
      <c r="A143" s="186">
        <v>4</v>
      </c>
      <c r="B143" s="205" t="s">
        <v>24</v>
      </c>
      <c r="C143" s="346" t="s">
        <v>316</v>
      </c>
      <c r="D143" s="113">
        <v>46114</v>
      </c>
      <c r="E143" s="114" t="s">
        <v>1245</v>
      </c>
      <c r="F143" s="347">
        <v>1410</v>
      </c>
    </row>
    <row r="144" spans="1:8" ht="27.75" customHeight="1">
      <c r="A144" s="186">
        <v>5</v>
      </c>
      <c r="B144" s="205" t="s">
        <v>24</v>
      </c>
      <c r="C144" s="346" t="s">
        <v>318</v>
      </c>
      <c r="D144" s="113">
        <v>46114</v>
      </c>
      <c r="E144" s="114" t="s">
        <v>1245</v>
      </c>
      <c r="F144" s="347">
        <v>1410</v>
      </c>
    </row>
    <row r="145" spans="1:6" ht="27.75" customHeight="1">
      <c r="A145" s="186">
        <v>6</v>
      </c>
      <c r="B145" s="205" t="s">
        <v>24</v>
      </c>
      <c r="C145" s="346" t="s">
        <v>319</v>
      </c>
      <c r="D145" s="113">
        <v>46114</v>
      </c>
      <c r="E145" s="114" t="s">
        <v>1245</v>
      </c>
      <c r="F145" s="347">
        <v>1410</v>
      </c>
    </row>
    <row r="146" spans="1:6" ht="27.75" customHeight="1">
      <c r="A146" s="186">
        <v>7</v>
      </c>
      <c r="B146" s="205" t="s">
        <v>28</v>
      </c>
      <c r="C146" s="346" t="s">
        <v>320</v>
      </c>
      <c r="D146" s="113" t="s">
        <v>1187</v>
      </c>
      <c r="E146" s="114" t="s">
        <v>1246</v>
      </c>
      <c r="F146" s="347">
        <v>2820</v>
      </c>
    </row>
    <row r="147" spans="1:6" ht="27.75" customHeight="1">
      <c r="A147" s="186">
        <v>8</v>
      </c>
      <c r="B147" s="205" t="s">
        <v>28</v>
      </c>
      <c r="C147" s="346" t="s">
        <v>321</v>
      </c>
      <c r="D147" s="113" t="s">
        <v>1187</v>
      </c>
      <c r="E147" s="114" t="s">
        <v>1246</v>
      </c>
      <c r="F147" s="347">
        <v>2820</v>
      </c>
    </row>
    <row r="148" spans="1:6" ht="27.75" customHeight="1">
      <c r="A148" s="186">
        <v>9</v>
      </c>
      <c r="B148" s="205" t="s">
        <v>28</v>
      </c>
      <c r="C148" s="346" t="s">
        <v>322</v>
      </c>
      <c r="D148" s="113" t="s">
        <v>1187</v>
      </c>
      <c r="E148" s="114" t="s">
        <v>1246</v>
      </c>
      <c r="F148" s="347">
        <v>2820</v>
      </c>
    </row>
    <row r="149" spans="1:6" ht="27.75" customHeight="1">
      <c r="A149" s="186">
        <v>10</v>
      </c>
      <c r="B149" s="205" t="s">
        <v>28</v>
      </c>
      <c r="C149" s="346" t="s">
        <v>323</v>
      </c>
      <c r="D149" s="113" t="s">
        <v>1187</v>
      </c>
      <c r="E149" s="114" t="s">
        <v>1246</v>
      </c>
      <c r="F149" s="347">
        <v>2820</v>
      </c>
    </row>
    <row r="150" spans="1:6" ht="27.75" customHeight="1">
      <c r="A150" s="186">
        <v>11</v>
      </c>
      <c r="B150" s="205" t="s">
        <v>28</v>
      </c>
      <c r="C150" s="346" t="s">
        <v>324</v>
      </c>
      <c r="D150" s="113" t="s">
        <v>1187</v>
      </c>
      <c r="E150" s="114" t="s">
        <v>1246</v>
      </c>
      <c r="F150" s="347">
        <v>2820</v>
      </c>
    </row>
    <row r="151" spans="1:6" ht="27.75" customHeight="1">
      <c r="A151" s="186">
        <v>12</v>
      </c>
      <c r="B151" s="205" t="s">
        <v>325</v>
      </c>
      <c r="C151" s="346" t="s">
        <v>326</v>
      </c>
      <c r="D151" s="113">
        <v>46117</v>
      </c>
      <c r="E151" s="114" t="s">
        <v>1247</v>
      </c>
      <c r="F151" s="347">
        <v>1410</v>
      </c>
    </row>
    <row r="152" spans="1:6" ht="27.75" customHeight="1">
      <c r="A152" s="186">
        <v>13</v>
      </c>
      <c r="B152" s="205" t="s">
        <v>325</v>
      </c>
      <c r="C152" s="346" t="s">
        <v>330</v>
      </c>
      <c r="D152" s="113">
        <v>46117</v>
      </c>
      <c r="E152" s="114" t="s">
        <v>1247</v>
      </c>
      <c r="F152" s="347">
        <v>1410</v>
      </c>
    </row>
    <row r="153" spans="1:6" ht="27.75" customHeight="1">
      <c r="A153" s="186">
        <v>14</v>
      </c>
      <c r="B153" s="205" t="s">
        <v>325</v>
      </c>
      <c r="C153" s="346" t="s">
        <v>331</v>
      </c>
      <c r="D153" s="113">
        <v>46117</v>
      </c>
      <c r="E153" s="114" t="s">
        <v>1247</v>
      </c>
      <c r="F153" s="347">
        <v>1410</v>
      </c>
    </row>
    <row r="154" spans="1:6" ht="27.75" customHeight="1">
      <c r="A154" s="186">
        <v>15</v>
      </c>
      <c r="B154" s="205" t="s">
        <v>325</v>
      </c>
      <c r="C154" s="346" t="s">
        <v>332</v>
      </c>
      <c r="D154" s="113">
        <v>46117</v>
      </c>
      <c r="E154" s="114" t="s">
        <v>1247</v>
      </c>
      <c r="F154" s="347">
        <v>1410</v>
      </c>
    </row>
    <row r="155" spans="1:6" ht="27.75" customHeight="1">
      <c r="A155" s="186">
        <v>16</v>
      </c>
      <c r="B155" s="205" t="s">
        <v>28</v>
      </c>
      <c r="C155" s="346" t="s">
        <v>333</v>
      </c>
      <c r="D155" s="113" t="s">
        <v>1187</v>
      </c>
      <c r="E155" s="114" t="s">
        <v>1246</v>
      </c>
      <c r="F155" s="347">
        <v>2820</v>
      </c>
    </row>
    <row r="156" spans="1:6" ht="27.75" customHeight="1">
      <c r="A156" s="186">
        <v>17</v>
      </c>
      <c r="B156" s="205" t="s">
        <v>28</v>
      </c>
      <c r="C156" s="346" t="s">
        <v>334</v>
      </c>
      <c r="D156" s="113" t="s">
        <v>1187</v>
      </c>
      <c r="E156" s="114" t="s">
        <v>1246</v>
      </c>
      <c r="F156" s="347">
        <v>2820</v>
      </c>
    </row>
    <row r="157" spans="1:6" ht="27.75" customHeight="1">
      <c r="A157" s="186">
        <v>18</v>
      </c>
      <c r="B157" s="205" t="s">
        <v>28</v>
      </c>
      <c r="C157" s="346" t="s">
        <v>335</v>
      </c>
      <c r="D157" s="113" t="s">
        <v>1187</v>
      </c>
      <c r="E157" s="114" t="s">
        <v>1246</v>
      </c>
      <c r="F157" s="347">
        <v>2820</v>
      </c>
    </row>
    <row r="158" spans="1:6" ht="27.75" customHeight="1">
      <c r="A158" s="186">
        <v>19</v>
      </c>
      <c r="B158" s="40" t="s">
        <v>43</v>
      </c>
      <c r="C158" s="346" t="s">
        <v>340</v>
      </c>
      <c r="D158" s="113">
        <v>46114</v>
      </c>
      <c r="E158" s="114" t="s">
        <v>1248</v>
      </c>
      <c r="F158" s="347">
        <v>1410</v>
      </c>
    </row>
    <row r="159" spans="1:6" ht="27.75" customHeight="1">
      <c r="A159" s="186">
        <v>20</v>
      </c>
      <c r="B159" s="40" t="s">
        <v>43</v>
      </c>
      <c r="C159" s="346" t="s">
        <v>344</v>
      </c>
      <c r="D159" s="113">
        <v>46114</v>
      </c>
      <c r="E159" s="114" t="s">
        <v>1248</v>
      </c>
      <c r="F159" s="347">
        <v>1410</v>
      </c>
    </row>
    <row r="160" spans="1:6" ht="27.75" customHeight="1">
      <c r="A160" s="186">
        <v>21</v>
      </c>
      <c r="B160" s="40" t="s">
        <v>345</v>
      </c>
      <c r="C160" s="346" t="s">
        <v>346</v>
      </c>
      <c r="D160" s="113">
        <v>46117</v>
      </c>
      <c r="E160" s="114" t="s">
        <v>1249</v>
      </c>
      <c r="F160" s="347">
        <v>1410</v>
      </c>
    </row>
    <row r="161" spans="1:6" ht="27.75" customHeight="1">
      <c r="A161" s="186">
        <v>22</v>
      </c>
      <c r="B161" s="40" t="s">
        <v>345</v>
      </c>
      <c r="C161" s="346" t="s">
        <v>348</v>
      </c>
      <c r="D161" s="113">
        <v>46117</v>
      </c>
      <c r="E161" s="114" t="s">
        <v>1249</v>
      </c>
      <c r="F161" s="347">
        <v>1410</v>
      </c>
    </row>
    <row r="162" spans="1:6" ht="27.75" customHeight="1">
      <c r="A162" s="186">
        <v>23</v>
      </c>
      <c r="B162" s="40" t="s">
        <v>345</v>
      </c>
      <c r="C162" s="346" t="s">
        <v>349</v>
      </c>
      <c r="D162" s="113">
        <v>46117</v>
      </c>
      <c r="E162" s="114" t="s">
        <v>1249</v>
      </c>
      <c r="F162" s="347">
        <v>1410</v>
      </c>
    </row>
    <row r="163" spans="1:6" ht="27.75" customHeight="1">
      <c r="A163" s="186">
        <v>24</v>
      </c>
      <c r="B163" s="40" t="s">
        <v>345</v>
      </c>
      <c r="C163" s="346" t="s">
        <v>350</v>
      </c>
      <c r="D163" s="113">
        <v>46117</v>
      </c>
      <c r="E163" s="114" t="s">
        <v>1249</v>
      </c>
      <c r="F163" s="347">
        <v>1410</v>
      </c>
    </row>
    <row r="164" spans="1:6" ht="27.75" customHeight="1">
      <c r="A164" s="186">
        <v>25</v>
      </c>
      <c r="B164" s="40" t="s">
        <v>351</v>
      </c>
      <c r="C164" s="346" t="s">
        <v>352</v>
      </c>
      <c r="D164" s="113">
        <v>46117</v>
      </c>
      <c r="E164" s="114" t="s">
        <v>1250</v>
      </c>
      <c r="F164" s="347">
        <v>1410</v>
      </c>
    </row>
    <row r="165" spans="1:6" ht="27.75" customHeight="1">
      <c r="A165" s="186">
        <v>26</v>
      </c>
      <c r="B165" s="40" t="s">
        <v>351</v>
      </c>
      <c r="C165" s="346" t="s">
        <v>354</v>
      </c>
      <c r="D165" s="113">
        <v>46117</v>
      </c>
      <c r="E165" s="114" t="s">
        <v>1250</v>
      </c>
      <c r="F165" s="347">
        <v>1410</v>
      </c>
    </row>
    <row r="166" spans="1:6" ht="27.75" customHeight="1">
      <c r="A166" s="186">
        <v>27</v>
      </c>
      <c r="B166" s="40" t="s">
        <v>351</v>
      </c>
      <c r="C166" s="346" t="s">
        <v>355</v>
      </c>
      <c r="D166" s="113">
        <v>46117</v>
      </c>
      <c r="E166" s="114" t="s">
        <v>1250</v>
      </c>
      <c r="F166" s="347">
        <v>1410</v>
      </c>
    </row>
    <row r="167" spans="1:6" ht="27.75" customHeight="1">
      <c r="A167" s="186">
        <v>28</v>
      </c>
      <c r="B167" s="40" t="s">
        <v>356</v>
      </c>
      <c r="C167" s="346" t="s">
        <v>357</v>
      </c>
      <c r="D167" s="113">
        <v>46115</v>
      </c>
      <c r="E167" s="114" t="s">
        <v>1251</v>
      </c>
      <c r="F167" s="347">
        <v>1410</v>
      </c>
    </row>
    <row r="168" spans="1:6" ht="27.75" customHeight="1">
      <c r="A168" s="186">
        <v>29</v>
      </c>
      <c r="B168" s="40" t="s">
        <v>356</v>
      </c>
      <c r="C168" s="346" t="s">
        <v>360</v>
      </c>
      <c r="D168" s="113">
        <v>46115</v>
      </c>
      <c r="E168" s="114" t="s">
        <v>1251</v>
      </c>
      <c r="F168" s="347">
        <v>1410</v>
      </c>
    </row>
    <row r="169" spans="1:6" ht="27.75" customHeight="1">
      <c r="A169" s="186">
        <v>30</v>
      </c>
      <c r="B169" s="40" t="s">
        <v>356</v>
      </c>
      <c r="C169" s="346" t="s">
        <v>361</v>
      </c>
      <c r="D169" s="113">
        <v>46115</v>
      </c>
      <c r="E169" s="114" t="s">
        <v>1251</v>
      </c>
      <c r="F169" s="347">
        <v>1410</v>
      </c>
    </row>
    <row r="170" spans="1:6" ht="27.75" customHeight="1">
      <c r="A170" s="186">
        <v>31</v>
      </c>
      <c r="B170" s="40" t="s">
        <v>362</v>
      </c>
      <c r="C170" s="346" t="s">
        <v>363</v>
      </c>
      <c r="D170" s="113">
        <v>46113</v>
      </c>
      <c r="E170" s="114" t="s">
        <v>1252</v>
      </c>
      <c r="F170" s="347">
        <v>1410</v>
      </c>
    </row>
    <row r="171" spans="1:6" ht="27.75" customHeight="1">
      <c r="A171" s="186">
        <v>32</v>
      </c>
      <c r="B171" s="40" t="s">
        <v>362</v>
      </c>
      <c r="C171" s="346" t="s">
        <v>367</v>
      </c>
      <c r="D171" s="113">
        <v>46113</v>
      </c>
      <c r="E171" s="114" t="s">
        <v>1252</v>
      </c>
      <c r="F171" s="347">
        <v>1410</v>
      </c>
    </row>
    <row r="172" spans="1:6" ht="27.75" customHeight="1">
      <c r="A172" s="186">
        <v>33</v>
      </c>
      <c r="B172" s="40" t="s">
        <v>362</v>
      </c>
      <c r="C172" s="346" t="s">
        <v>368</v>
      </c>
      <c r="D172" s="113">
        <v>46113</v>
      </c>
      <c r="E172" s="114" t="s">
        <v>1252</v>
      </c>
      <c r="F172" s="347">
        <v>1410</v>
      </c>
    </row>
    <row r="173" spans="1:6" ht="27.75" customHeight="1">
      <c r="A173" s="186">
        <v>34</v>
      </c>
      <c r="B173" s="40" t="s">
        <v>362</v>
      </c>
      <c r="C173" s="346" t="s">
        <v>369</v>
      </c>
      <c r="D173" s="113">
        <v>46113</v>
      </c>
      <c r="E173" s="114" t="s">
        <v>1252</v>
      </c>
      <c r="F173" s="347">
        <v>1410</v>
      </c>
    </row>
    <row r="174" spans="1:6" ht="27.75" customHeight="1">
      <c r="A174" s="186">
        <v>35</v>
      </c>
      <c r="B174" s="40" t="s">
        <v>362</v>
      </c>
      <c r="C174" s="346" t="s">
        <v>370</v>
      </c>
      <c r="D174" s="113">
        <v>46113</v>
      </c>
      <c r="E174" s="114" t="s">
        <v>1252</v>
      </c>
      <c r="F174" s="347">
        <v>1410</v>
      </c>
    </row>
    <row r="175" spans="1:6" ht="27.75" customHeight="1">
      <c r="A175" s="186">
        <v>36</v>
      </c>
      <c r="B175" s="40" t="s">
        <v>362</v>
      </c>
      <c r="C175" s="346" t="s">
        <v>371</v>
      </c>
      <c r="D175" s="113">
        <v>46113</v>
      </c>
      <c r="E175" s="114" t="s">
        <v>1252</v>
      </c>
      <c r="F175" s="347">
        <v>1410</v>
      </c>
    </row>
    <row r="176" spans="1:6" ht="27.75" customHeight="1">
      <c r="A176" s="186">
        <v>37</v>
      </c>
      <c r="B176" s="40" t="s">
        <v>372</v>
      </c>
      <c r="C176" s="346" t="s">
        <v>373</v>
      </c>
      <c r="D176" s="113">
        <v>46113</v>
      </c>
      <c r="E176" s="114" t="s">
        <v>1253</v>
      </c>
      <c r="F176" s="347">
        <v>1410</v>
      </c>
    </row>
    <row r="177" spans="1:8" ht="27.75" customHeight="1">
      <c r="A177" s="186">
        <v>38</v>
      </c>
      <c r="B177" s="40" t="s">
        <v>372</v>
      </c>
      <c r="C177" s="346" t="s">
        <v>377</v>
      </c>
      <c r="D177" s="113">
        <v>46113</v>
      </c>
      <c r="E177" s="114" t="s">
        <v>1253</v>
      </c>
      <c r="F177" s="347">
        <v>1410</v>
      </c>
    </row>
    <row r="178" spans="1:8" ht="27.75" customHeight="1">
      <c r="A178" s="186">
        <v>39</v>
      </c>
      <c r="B178" s="40" t="s">
        <v>372</v>
      </c>
      <c r="C178" s="346" t="s">
        <v>378</v>
      </c>
      <c r="D178" s="113">
        <v>46113</v>
      </c>
      <c r="E178" s="114" t="s">
        <v>1253</v>
      </c>
      <c r="F178" s="347">
        <v>1410</v>
      </c>
    </row>
    <row r="179" spans="1:8" ht="27.75" customHeight="1">
      <c r="A179" s="186">
        <v>40</v>
      </c>
      <c r="B179" s="40" t="s">
        <v>372</v>
      </c>
      <c r="C179" s="346" t="s">
        <v>379</v>
      </c>
      <c r="D179" s="113">
        <v>46113</v>
      </c>
      <c r="E179" s="114" t="s">
        <v>1253</v>
      </c>
      <c r="F179" s="347">
        <v>1410</v>
      </c>
    </row>
    <row r="180" spans="1:8" ht="27.75" customHeight="1">
      <c r="A180" s="186">
        <v>41</v>
      </c>
      <c r="B180" s="40" t="s">
        <v>380</v>
      </c>
      <c r="C180" s="346" t="s">
        <v>381</v>
      </c>
      <c r="D180" s="175">
        <v>46117</v>
      </c>
      <c r="E180" s="176" t="s">
        <v>1254</v>
      </c>
      <c r="F180" s="222">
        <v>1410</v>
      </c>
    </row>
    <row r="181" spans="1:8" ht="27.75" customHeight="1">
      <c r="A181" s="186">
        <v>42</v>
      </c>
      <c r="B181" s="40" t="s">
        <v>380</v>
      </c>
      <c r="C181" s="346" t="s">
        <v>385</v>
      </c>
      <c r="D181" s="175">
        <v>46117</v>
      </c>
      <c r="E181" s="176" t="s">
        <v>1254</v>
      </c>
      <c r="F181" s="222">
        <v>1410</v>
      </c>
    </row>
    <row r="182" spans="1:8" ht="27.75" customHeight="1">
      <c r="A182" s="186">
        <v>43</v>
      </c>
      <c r="B182" s="40" t="s">
        <v>380</v>
      </c>
      <c r="C182" s="346" t="s">
        <v>386</v>
      </c>
      <c r="D182" s="175">
        <v>46117</v>
      </c>
      <c r="E182" s="176" t="s">
        <v>1254</v>
      </c>
      <c r="F182" s="222">
        <v>1410</v>
      </c>
    </row>
    <row r="183" spans="1:8" ht="27.75" customHeight="1">
      <c r="A183" s="186">
        <v>44</v>
      </c>
      <c r="B183" s="40" t="s">
        <v>380</v>
      </c>
      <c r="C183" s="346" t="s">
        <v>387</v>
      </c>
      <c r="D183" s="175">
        <v>46117</v>
      </c>
      <c r="E183" s="176" t="s">
        <v>1254</v>
      </c>
      <c r="F183" s="222">
        <v>1410</v>
      </c>
    </row>
    <row r="184" spans="1:8" ht="27.75" customHeight="1">
      <c r="A184" s="186">
        <v>45</v>
      </c>
      <c r="B184" s="351" t="s">
        <v>66</v>
      </c>
      <c r="C184" s="346" t="s">
        <v>388</v>
      </c>
      <c r="D184" s="175">
        <v>46142</v>
      </c>
      <c r="E184" s="176" t="s">
        <v>1255</v>
      </c>
      <c r="F184" s="222">
        <v>1760</v>
      </c>
    </row>
    <row r="185" spans="1:8" ht="27.75" customHeight="1">
      <c r="A185" s="186">
        <v>46</v>
      </c>
      <c r="B185" s="351" t="s">
        <v>66</v>
      </c>
      <c r="C185" s="346" t="s">
        <v>390</v>
      </c>
      <c r="D185" s="175">
        <v>46142</v>
      </c>
      <c r="E185" s="176" t="s">
        <v>1255</v>
      </c>
      <c r="F185" s="222">
        <v>1760</v>
      </c>
    </row>
    <row r="186" spans="1:8" ht="27.75" customHeight="1">
      <c r="A186" s="186">
        <v>47</v>
      </c>
      <c r="B186" s="351" t="s">
        <v>66</v>
      </c>
      <c r="C186" s="346" t="s">
        <v>391</v>
      </c>
      <c r="D186" s="175">
        <v>46142</v>
      </c>
      <c r="E186" s="176" t="s">
        <v>1255</v>
      </c>
      <c r="F186" s="222">
        <v>1760</v>
      </c>
    </row>
    <row r="187" spans="1:8" ht="27.75" customHeight="1">
      <c r="A187" s="186">
        <v>48</v>
      </c>
      <c r="B187" s="351" t="s">
        <v>66</v>
      </c>
      <c r="C187" s="346" t="s">
        <v>69</v>
      </c>
      <c r="D187" s="175">
        <v>46142</v>
      </c>
      <c r="E187" s="176" t="s">
        <v>1256</v>
      </c>
      <c r="F187" s="222">
        <v>2720</v>
      </c>
    </row>
    <row r="188" spans="1:8" ht="27.75" customHeight="1" thickBot="1">
      <c r="A188" s="357"/>
      <c r="B188" s="358"/>
      <c r="C188" s="359"/>
      <c r="D188" s="361"/>
      <c r="E188" s="361"/>
      <c r="F188" s="362">
        <v>84140</v>
      </c>
      <c r="H188" s="520">
        <f>SUM(F140:F187)</f>
        <v>84140</v>
      </c>
    </row>
    <row r="189" spans="1:8" ht="27.75" customHeight="1" thickTop="1">
      <c r="A189" s="94"/>
      <c r="B189" s="364" t="s">
        <v>395</v>
      </c>
      <c r="C189" s="81"/>
      <c r="D189" s="178"/>
      <c r="E189" s="179"/>
      <c r="F189" s="264"/>
    </row>
    <row r="190" spans="1:8" ht="27.75" customHeight="1">
      <c r="A190" s="94">
        <v>1</v>
      </c>
      <c r="B190" s="366" t="s">
        <v>167</v>
      </c>
      <c r="C190" s="367" t="s">
        <v>396</v>
      </c>
      <c r="D190" s="175">
        <v>46119</v>
      </c>
      <c r="E190" s="176" t="s">
        <v>1238</v>
      </c>
      <c r="F190" s="222">
        <v>22690</v>
      </c>
    </row>
    <row r="191" spans="1:8" ht="27.75" customHeight="1">
      <c r="A191" s="94">
        <v>2</v>
      </c>
      <c r="B191" s="366" t="s">
        <v>24</v>
      </c>
      <c r="C191" s="367" t="s">
        <v>403</v>
      </c>
      <c r="D191" s="175">
        <v>46114</v>
      </c>
      <c r="E191" s="176" t="s">
        <v>1257</v>
      </c>
      <c r="F191" s="222">
        <v>15295</v>
      </c>
    </row>
    <row r="192" spans="1:8" ht="27.75" customHeight="1">
      <c r="A192" s="94">
        <v>3</v>
      </c>
      <c r="B192" s="366" t="s">
        <v>411</v>
      </c>
      <c r="C192" s="367" t="s">
        <v>412</v>
      </c>
      <c r="D192" s="175">
        <v>46130</v>
      </c>
      <c r="E192" s="176" t="s">
        <v>1258</v>
      </c>
      <c r="F192" s="222">
        <v>5360</v>
      </c>
    </row>
    <row r="193" spans="1:8" ht="27.75" customHeight="1">
      <c r="A193" s="94">
        <v>4</v>
      </c>
      <c r="B193" s="366" t="s">
        <v>417</v>
      </c>
      <c r="C193" s="367" t="s">
        <v>418</v>
      </c>
      <c r="D193" s="175">
        <v>46135</v>
      </c>
      <c r="E193" s="176" t="s">
        <v>1259</v>
      </c>
      <c r="F193" s="222">
        <v>68108.75</v>
      </c>
    </row>
    <row r="194" spans="1:8" ht="27.75" customHeight="1">
      <c r="A194" s="94">
        <v>5</v>
      </c>
      <c r="B194" s="366" t="s">
        <v>417</v>
      </c>
      <c r="C194" s="367" t="s">
        <v>421</v>
      </c>
      <c r="D194" s="175">
        <v>46113</v>
      </c>
      <c r="E194" s="176" t="s">
        <v>1260</v>
      </c>
      <c r="F194" s="222">
        <v>4910</v>
      </c>
    </row>
    <row r="195" spans="1:8" ht="27.75" customHeight="1">
      <c r="A195" s="94">
        <v>6</v>
      </c>
      <c r="B195" s="366" t="s">
        <v>428</v>
      </c>
      <c r="C195" s="367" t="s">
        <v>429</v>
      </c>
      <c r="D195" s="175" t="s">
        <v>1261</v>
      </c>
      <c r="E195" s="176" t="s">
        <v>1262</v>
      </c>
      <c r="F195" s="222">
        <v>20000</v>
      </c>
    </row>
    <row r="196" spans="1:8" ht="27.75" customHeight="1" thickBot="1">
      <c r="A196" s="193"/>
      <c r="B196" s="194" t="s">
        <v>22</v>
      </c>
      <c r="C196" s="195"/>
      <c r="D196" s="199"/>
      <c r="E196" s="199"/>
      <c r="F196" s="196">
        <v>136363.75</v>
      </c>
      <c r="H196" s="520">
        <f>SUM(F190:F195)</f>
        <v>136363.75</v>
      </c>
    </row>
    <row r="197" spans="1:8" ht="27.75" customHeight="1" thickTop="1">
      <c r="A197" s="22"/>
      <c r="B197" s="288" t="s">
        <v>433</v>
      </c>
      <c r="C197" s="380"/>
      <c r="D197" s="382"/>
      <c r="E197" s="382"/>
      <c r="F197" s="383"/>
    </row>
    <row r="198" spans="1:8" ht="27.75" customHeight="1">
      <c r="A198" s="22">
        <v>1</v>
      </c>
      <c r="B198" s="270" t="s">
        <v>438</v>
      </c>
      <c r="C198" s="380" t="s">
        <v>439</v>
      </c>
      <c r="D198" s="389">
        <v>46117</v>
      </c>
      <c r="E198" s="386" t="s">
        <v>1263</v>
      </c>
      <c r="F198" s="383">
        <v>1500</v>
      </c>
    </row>
    <row r="199" spans="1:8" ht="27.75" customHeight="1" thickBot="1">
      <c r="A199" s="193"/>
      <c r="B199" s="194" t="s">
        <v>22</v>
      </c>
      <c r="C199" s="195"/>
      <c r="D199" s="393">
        <v>0</v>
      </c>
      <c r="E199" s="393">
        <v>0</v>
      </c>
      <c r="F199" s="394">
        <v>1500</v>
      </c>
      <c r="H199" s="520">
        <f>SUM(F198)</f>
        <v>1500</v>
      </c>
    </row>
    <row r="200" spans="1:8" ht="27.75" customHeight="1" thickTop="1" thickBot="1">
      <c r="A200" s="414"/>
      <c r="B200" s="415"/>
      <c r="C200" s="416" t="s">
        <v>468</v>
      </c>
      <c r="D200" s="421"/>
      <c r="E200" s="421"/>
      <c r="F200" s="422">
        <v>863597.89999999991</v>
      </c>
      <c r="H200" s="594">
        <f>SUM(H23:H199)</f>
        <v>863597.89999999991</v>
      </c>
    </row>
    <row r="201" spans="1:8" ht="27.75" customHeight="1" thickTop="1">
      <c r="A201" s="426"/>
      <c r="B201" s="4"/>
      <c r="C201" s="295"/>
      <c r="D201" s="431"/>
      <c r="E201" s="432"/>
      <c r="F201" s="427"/>
    </row>
    <row r="202" spans="1:8" s="226" customFormat="1" ht="27.75" customHeight="1">
      <c r="A202" s="6"/>
      <c r="B202" s="500"/>
      <c r="D202" s="3"/>
      <c r="E202" s="372"/>
      <c r="F202" s="501"/>
    </row>
    <row r="203" spans="1:8" s="226" customFormat="1" ht="27.75" customHeight="1">
      <c r="A203" s="6"/>
      <c r="B203" s="500"/>
      <c r="D203" s="3"/>
      <c r="E203" s="372"/>
      <c r="F203" s="501"/>
    </row>
    <row r="204" spans="1:8" s="226" customFormat="1" ht="27.75" customHeight="1">
      <c r="A204" s="6"/>
      <c r="B204" s="500"/>
      <c r="D204" s="3"/>
      <c r="E204" s="372"/>
      <c r="F204" s="501"/>
    </row>
    <row r="205" spans="1:8" s="226" customFormat="1" ht="27.75" customHeight="1">
      <c r="A205" s="6"/>
      <c r="B205" s="500"/>
      <c r="D205" s="3"/>
      <c r="E205" s="372"/>
      <c r="F205" s="501"/>
    </row>
    <row r="206" spans="1:8" s="226" customFormat="1" ht="27.75" customHeight="1">
      <c r="A206" s="6"/>
      <c r="B206" s="500"/>
      <c r="D206" s="3"/>
      <c r="E206" s="372"/>
      <c r="F206" s="501"/>
    </row>
    <row r="207" spans="1:8" s="226" customFormat="1" ht="27.75" customHeight="1">
      <c r="A207" s="6"/>
      <c r="B207" s="500"/>
      <c r="D207" s="3"/>
      <c r="E207" s="372"/>
      <c r="F207" s="501"/>
    </row>
    <row r="208" spans="1:8" s="226" customFormat="1" ht="27.75" customHeight="1">
      <c r="A208" s="6"/>
      <c r="B208" s="500"/>
      <c r="D208" s="3"/>
      <c r="E208" s="372"/>
      <c r="F208" s="501"/>
    </row>
    <row r="209" spans="1:6" s="226" customFormat="1" ht="27.75" customHeight="1">
      <c r="A209" s="6"/>
      <c r="B209" s="500"/>
      <c r="D209" s="3"/>
      <c r="E209" s="372"/>
      <c r="F209" s="501"/>
    </row>
    <row r="210" spans="1:6" s="226" customFormat="1" ht="27.75" customHeight="1">
      <c r="A210" s="6"/>
      <c r="B210" s="500"/>
      <c r="D210" s="3"/>
      <c r="E210" s="372"/>
      <c r="F210" s="501"/>
    </row>
    <row r="211" spans="1:6" s="226" customFormat="1" ht="27.75" customHeight="1">
      <c r="A211" s="6"/>
      <c r="B211" s="500"/>
      <c r="D211" s="3"/>
      <c r="E211" s="372"/>
      <c r="F211" s="501"/>
    </row>
    <row r="212" spans="1:6" s="226" customFormat="1" ht="27.75" customHeight="1">
      <c r="A212" s="6"/>
      <c r="B212" s="500"/>
      <c r="D212" s="3"/>
      <c r="E212" s="372"/>
      <c r="F212" s="501"/>
    </row>
    <row r="213" spans="1:6" s="226" customFormat="1" ht="27.75" customHeight="1">
      <c r="A213" s="6"/>
      <c r="B213" s="500"/>
      <c r="D213" s="3"/>
      <c r="E213" s="372"/>
      <c r="F213" s="501"/>
    </row>
    <row r="214" spans="1:6" s="226" customFormat="1" ht="27.75" customHeight="1">
      <c r="A214" s="6"/>
      <c r="B214" s="500"/>
      <c r="D214" s="3"/>
      <c r="E214" s="372"/>
      <c r="F214" s="501"/>
    </row>
    <row r="215" spans="1:6" s="226" customFormat="1" ht="27.75" customHeight="1">
      <c r="A215" s="6"/>
      <c r="D215" s="3"/>
      <c r="E215" s="372"/>
      <c r="F215" s="501"/>
    </row>
    <row r="216" spans="1:6" ht="27.75" customHeight="1">
      <c r="B216" s="4"/>
      <c r="F216" s="4"/>
    </row>
    <row r="217" spans="1:6" ht="27.75" customHeight="1">
      <c r="B217" s="4"/>
      <c r="F217" s="4"/>
    </row>
    <row r="218" spans="1:6" ht="27.75" customHeight="1">
      <c r="B218" s="4"/>
      <c r="F218" s="4"/>
    </row>
    <row r="219" spans="1:6" ht="27.75" customHeight="1">
      <c r="B219" s="4"/>
      <c r="F219" s="4"/>
    </row>
    <row r="220" spans="1:6" ht="27.75" customHeight="1">
      <c r="B220" s="4"/>
      <c r="F220" s="4"/>
    </row>
    <row r="221" spans="1:6" ht="27.75" customHeight="1">
      <c r="B221" s="4"/>
      <c r="F221" s="4"/>
    </row>
    <row r="222" spans="1:6" ht="27.75" customHeight="1">
      <c r="B222" s="4"/>
      <c r="F222" s="4"/>
    </row>
    <row r="223" spans="1:6" ht="27.75" customHeight="1">
      <c r="B223" s="4"/>
      <c r="F223" s="4"/>
    </row>
    <row r="224" spans="1:6" ht="27.75" customHeight="1">
      <c r="B224" s="4"/>
      <c r="F224" s="4"/>
    </row>
    <row r="225" spans="2:6" ht="27.75" customHeight="1">
      <c r="B225" s="4"/>
      <c r="F225" s="4"/>
    </row>
    <row r="226" spans="2:6" ht="27.75" customHeight="1">
      <c r="B226" s="4"/>
      <c r="F226" s="4"/>
    </row>
    <row r="227" spans="2:6" ht="27.75" customHeight="1">
      <c r="B227" s="4"/>
      <c r="F227" s="4"/>
    </row>
    <row r="228" spans="2:6" ht="27.75" customHeight="1">
      <c r="B228" s="4"/>
      <c r="F228" s="4"/>
    </row>
    <row r="229" spans="2:6" ht="27.75" customHeight="1">
      <c r="B229" s="4"/>
      <c r="F229" s="4"/>
    </row>
    <row r="230" spans="2:6" ht="27.75" customHeight="1">
      <c r="B230" s="4"/>
      <c r="F230" s="4"/>
    </row>
    <row r="231" spans="2:6" ht="27.75" customHeight="1">
      <c r="B231" s="4"/>
      <c r="F231" s="4"/>
    </row>
    <row r="243" spans="2:6" ht="27.75" customHeight="1">
      <c r="B243" s="4"/>
      <c r="F243" s="4"/>
    </row>
    <row r="244" spans="2:6" ht="27.75" customHeight="1">
      <c r="B244" s="4"/>
      <c r="F244" s="4"/>
    </row>
    <row r="245" spans="2:6" ht="27.75" customHeight="1">
      <c r="B245" s="4"/>
      <c r="F245" s="4"/>
    </row>
    <row r="246" spans="2:6" ht="27.75" customHeight="1">
      <c r="B246" s="4"/>
      <c r="F246" s="4"/>
    </row>
    <row r="247" spans="2:6" ht="27.75" customHeight="1">
      <c r="B247" s="4"/>
      <c r="F247" s="4"/>
    </row>
    <row r="248" spans="2:6" ht="27.75" customHeight="1">
      <c r="B248" s="4"/>
      <c r="F248" s="4"/>
    </row>
    <row r="249" spans="2:6" ht="27.75" customHeight="1">
      <c r="B249" s="4"/>
      <c r="F249" s="4"/>
    </row>
    <row r="250" spans="2:6" ht="27.75" customHeight="1">
      <c r="B250" s="4"/>
      <c r="F250" s="4"/>
    </row>
    <row r="251" spans="2:6" ht="27.75" customHeight="1">
      <c r="B251" s="4"/>
      <c r="F251" s="4"/>
    </row>
    <row r="252" spans="2:6" ht="27.75" customHeight="1">
      <c r="B252" s="4"/>
      <c r="F252" s="4"/>
    </row>
    <row r="253" spans="2:6" ht="27.75" customHeight="1">
      <c r="B253" s="4"/>
      <c r="F253" s="4"/>
    </row>
    <row r="254" spans="2:6" ht="27.75" customHeight="1">
      <c r="B254" s="4"/>
      <c r="F254" s="4"/>
    </row>
    <row r="255" spans="2:6" ht="27.75" customHeight="1">
      <c r="B255" s="4"/>
      <c r="F255" s="4"/>
    </row>
  </sheetData>
  <mergeCells count="8">
    <mergeCell ref="A5:A6"/>
    <mergeCell ref="B5:B6"/>
    <mergeCell ref="C5:C6"/>
    <mergeCell ref="A1:F1"/>
    <mergeCell ref="A2:F2"/>
    <mergeCell ref="A3:F3"/>
    <mergeCell ref="E5:E6"/>
    <mergeCell ref="F5:F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BD378-3A84-4F34-A439-231B7F077521}">
  <sheetPr>
    <tabColor rgb="FFFFC000"/>
  </sheetPr>
  <dimension ref="A1:R164"/>
  <sheetViews>
    <sheetView zoomScale="60" zoomScaleNormal="60" workbookViewId="0">
      <pane ySplit="6" topLeftCell="A84" activePane="bottomLeft" state="frozen"/>
      <selection pane="bottomLeft" activeCell="R108" sqref="R108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6.88671875" style="552" customWidth="1"/>
    <col min="5" max="5" width="20" style="372" customWidth="1"/>
    <col min="6" max="6" width="9.109375" style="2" customWidth="1"/>
    <col min="7" max="7" width="23.6640625" style="507" customWidth="1"/>
    <col min="8" max="8" width="5.33203125" style="2" hidden="1" customWidth="1"/>
    <col min="9" max="9" width="9" style="508" hidden="1" customWidth="1"/>
    <col min="10" max="10" width="9.6640625" style="508" hidden="1" customWidth="1"/>
    <col min="11" max="11" width="10.88671875" style="512" hidden="1" customWidth="1"/>
    <col min="12" max="12" width="24.5546875" style="512" hidden="1" customWidth="1"/>
    <col min="13" max="14" width="8.88671875" style="4" hidden="1" customWidth="1"/>
    <col min="15" max="15" width="8.88671875" style="4"/>
    <col min="16" max="16" width="23.44140625" style="4" customWidth="1"/>
    <col min="17" max="17" width="18.88671875" style="4" customWidth="1"/>
    <col min="18" max="18" width="14.5546875" style="4" bestFit="1" customWidth="1"/>
    <col min="19" max="16384" width="8.88671875" style="4"/>
  </cols>
  <sheetData>
    <row r="1" spans="1:16" ht="28.5" customHeight="1">
      <c r="A1" s="653" t="s">
        <v>0</v>
      </c>
      <c r="B1" s="653"/>
      <c r="C1" s="653"/>
      <c r="D1" s="653"/>
      <c r="E1" s="653"/>
      <c r="F1" s="653"/>
      <c r="G1" s="653"/>
      <c r="I1" s="3"/>
      <c r="J1" s="3"/>
      <c r="K1" s="1"/>
      <c r="L1" s="1"/>
    </row>
    <row r="2" spans="1:16" ht="23.25" customHeight="1">
      <c r="A2" s="653" t="s">
        <v>1</v>
      </c>
      <c r="B2" s="653"/>
      <c r="C2" s="653"/>
      <c r="D2" s="653"/>
      <c r="E2" s="653"/>
      <c r="F2" s="653"/>
      <c r="G2" s="653"/>
      <c r="H2" s="5"/>
      <c r="I2" s="3"/>
      <c r="J2" s="3"/>
      <c r="K2" s="1"/>
      <c r="L2" s="1"/>
    </row>
    <row r="3" spans="1:16" ht="28.5" customHeight="1">
      <c r="A3" s="654" t="s">
        <v>1157</v>
      </c>
      <c r="B3" s="654"/>
      <c r="C3" s="654"/>
      <c r="D3" s="654"/>
      <c r="E3" s="654"/>
      <c r="F3" s="654"/>
      <c r="G3" s="654"/>
      <c r="I3" s="3"/>
      <c r="J3" s="3"/>
      <c r="K3" s="6"/>
      <c r="L3" s="6"/>
    </row>
    <row r="4" spans="1:16" ht="27.75" customHeight="1">
      <c r="A4" s="7"/>
      <c r="B4" s="8"/>
      <c r="C4" s="9"/>
      <c r="D4" s="522"/>
      <c r="E4" s="655" t="s">
        <v>5</v>
      </c>
      <c r="F4" s="656"/>
      <c r="G4" s="657"/>
      <c r="H4" s="658" t="s">
        <v>6</v>
      </c>
      <c r="I4" s="671" t="s">
        <v>7</v>
      </c>
      <c r="J4" s="671" t="s">
        <v>8</v>
      </c>
      <c r="K4" s="661" t="s">
        <v>9</v>
      </c>
      <c r="L4" s="661" t="s">
        <v>10</v>
      </c>
    </row>
    <row r="5" spans="1:16" ht="27.75" customHeight="1">
      <c r="A5" s="664" t="s">
        <v>11</v>
      </c>
      <c r="B5" s="666" t="s">
        <v>12</v>
      </c>
      <c r="C5" s="666" t="s">
        <v>13</v>
      </c>
      <c r="D5" s="523" t="s">
        <v>557</v>
      </c>
      <c r="E5" s="664" t="s">
        <v>15</v>
      </c>
      <c r="F5" s="669" t="s">
        <v>16</v>
      </c>
      <c r="G5" s="514"/>
      <c r="H5" s="659"/>
      <c r="I5" s="672"/>
      <c r="J5" s="672"/>
      <c r="K5" s="662"/>
      <c r="L5" s="662"/>
    </row>
    <row r="6" spans="1:16" ht="27.75" customHeight="1" thickBot="1">
      <c r="A6" s="665"/>
      <c r="B6" s="667"/>
      <c r="C6" s="667"/>
      <c r="D6" s="524"/>
      <c r="E6" s="668"/>
      <c r="F6" s="670"/>
      <c r="G6" s="21" t="s">
        <v>22</v>
      </c>
      <c r="H6" s="660"/>
      <c r="I6" s="673"/>
      <c r="J6" s="673"/>
      <c r="K6" s="663"/>
      <c r="L6" s="663"/>
    </row>
    <row r="7" spans="1:16" ht="27.75" customHeight="1" thickTop="1">
      <c r="A7" s="22"/>
      <c r="B7" s="23" t="s">
        <v>23</v>
      </c>
      <c r="C7" s="24"/>
      <c r="D7" s="525"/>
      <c r="E7" s="32"/>
      <c r="F7" s="33"/>
      <c r="G7" s="35"/>
      <c r="H7" s="36"/>
      <c r="I7" s="37"/>
      <c r="J7" s="37"/>
      <c r="K7" s="38"/>
      <c r="L7" s="38"/>
      <c r="M7" s="38"/>
    </row>
    <row r="8" spans="1:16" s="57" customFormat="1" ht="27.75" customHeight="1">
      <c r="A8" s="39">
        <v>1</v>
      </c>
      <c r="B8" s="40" t="s">
        <v>28</v>
      </c>
      <c r="C8" s="41" t="s">
        <v>29</v>
      </c>
      <c r="D8" s="526">
        <v>4012.5</v>
      </c>
      <c r="E8" s="51"/>
      <c r="F8" s="52"/>
      <c r="G8" s="54"/>
      <c r="H8" s="39"/>
      <c r="I8" s="55"/>
      <c r="J8" s="55"/>
      <c r="K8" s="56"/>
      <c r="L8" s="56"/>
    </row>
    <row r="9" spans="1:16" s="57" customFormat="1" ht="27.75" customHeight="1">
      <c r="A9" s="39">
        <v>2</v>
      </c>
      <c r="B9" s="40" t="s">
        <v>34</v>
      </c>
      <c r="C9" s="41" t="s">
        <v>35</v>
      </c>
      <c r="D9" s="526">
        <v>4012.5</v>
      </c>
      <c r="E9" s="51"/>
      <c r="F9" s="52"/>
      <c r="G9" s="54"/>
      <c r="H9" s="39"/>
      <c r="I9" s="55"/>
      <c r="J9" s="55"/>
      <c r="K9" s="56"/>
      <c r="L9" s="56"/>
    </row>
    <row r="10" spans="1:16" s="57" customFormat="1" ht="27.75" customHeight="1">
      <c r="A10" s="39">
        <v>3</v>
      </c>
      <c r="B10" s="40" t="s">
        <v>34</v>
      </c>
      <c r="C10" s="41" t="s">
        <v>39</v>
      </c>
      <c r="D10" s="526">
        <v>4012.5</v>
      </c>
      <c r="E10" s="51"/>
      <c r="F10" s="52"/>
      <c r="G10" s="54"/>
      <c r="H10" s="39"/>
      <c r="I10" s="55"/>
      <c r="J10" s="55"/>
      <c r="K10" s="56"/>
      <c r="L10" s="56"/>
    </row>
    <row r="11" spans="1:16" s="57" customFormat="1" ht="27.75" customHeight="1">
      <c r="A11" s="39">
        <v>4</v>
      </c>
      <c r="B11" s="40" t="s">
        <v>40</v>
      </c>
      <c r="C11" s="41" t="s">
        <v>41</v>
      </c>
      <c r="D11" s="526">
        <v>4012.5</v>
      </c>
      <c r="E11" s="51"/>
      <c r="F11" s="52"/>
      <c r="G11" s="54"/>
      <c r="H11" s="39"/>
      <c r="I11" s="55"/>
      <c r="J11" s="55"/>
      <c r="K11" s="56"/>
      <c r="L11" s="56"/>
    </row>
    <row r="12" spans="1:16" s="91" customFormat="1" ht="27.75" customHeight="1">
      <c r="A12" s="39">
        <v>5</v>
      </c>
      <c r="B12" s="80" t="s">
        <v>71</v>
      </c>
      <c r="C12" s="81" t="s">
        <v>72</v>
      </c>
      <c r="D12" s="528">
        <v>6687.5</v>
      </c>
      <c r="E12" s="87"/>
      <c r="F12" s="88"/>
      <c r="G12" s="519"/>
      <c r="H12" s="39"/>
      <c r="I12" s="55"/>
      <c r="J12" s="55"/>
      <c r="K12" s="58"/>
      <c r="L12" s="58"/>
    </row>
    <row r="13" spans="1:16" ht="27.75" customHeight="1">
      <c r="A13" s="39">
        <v>6</v>
      </c>
      <c r="B13" s="40" t="s">
        <v>82</v>
      </c>
      <c r="C13" s="41" t="s">
        <v>72</v>
      </c>
      <c r="D13" s="529"/>
      <c r="E13" s="94" t="s">
        <v>1109</v>
      </c>
      <c r="F13" s="116">
        <v>1</v>
      </c>
      <c r="G13" s="54">
        <v>239.67813084112203</v>
      </c>
      <c r="H13" s="39"/>
      <c r="I13" s="55"/>
      <c r="J13" s="55"/>
      <c r="K13" s="56"/>
      <c r="L13" s="56"/>
    </row>
    <row r="14" spans="1:16" s="57" customFormat="1" ht="27.75" customHeight="1" thickBot="1">
      <c r="A14" s="96"/>
      <c r="B14" s="97" t="s">
        <v>22</v>
      </c>
      <c r="C14" s="98"/>
      <c r="D14" s="530"/>
      <c r="E14" s="106"/>
      <c r="F14" s="107"/>
      <c r="G14" s="108">
        <v>239.67813084111839</v>
      </c>
      <c r="H14" s="39"/>
      <c r="I14" s="55"/>
      <c r="J14" s="55"/>
      <c r="K14" s="56"/>
      <c r="L14" s="56"/>
      <c r="P14" s="57">
        <f>SUM(G13)</f>
        <v>239.67813084112203</v>
      </c>
    </row>
    <row r="15" spans="1:16" ht="27.75" hidden="1" customHeight="1" thickBot="1">
      <c r="A15" s="39">
        <v>1</v>
      </c>
      <c r="B15" s="40" t="s">
        <v>88</v>
      </c>
      <c r="C15" s="41" t="s">
        <v>72</v>
      </c>
      <c r="D15" s="529"/>
      <c r="E15" s="94"/>
      <c r="F15" s="39"/>
      <c r="G15" s="54">
        <v>0</v>
      </c>
      <c r="H15" s="122"/>
      <c r="I15" s="37"/>
      <c r="J15" s="37"/>
      <c r="K15" s="38"/>
      <c r="L15" s="38"/>
    </row>
    <row r="16" spans="1:16" ht="27.75" hidden="1" customHeight="1" thickTop="1">
      <c r="A16" s="39">
        <v>2</v>
      </c>
      <c r="B16" s="40" t="s">
        <v>89</v>
      </c>
      <c r="C16" s="41" t="s">
        <v>72</v>
      </c>
      <c r="D16" s="529"/>
      <c r="E16" s="94"/>
      <c r="F16" s="39"/>
      <c r="G16" s="54">
        <v>0</v>
      </c>
      <c r="H16" s="122"/>
      <c r="I16" s="37"/>
      <c r="J16" s="37"/>
      <c r="K16" s="38"/>
      <c r="L16" s="38"/>
    </row>
    <row r="17" spans="1:13" ht="27.75" hidden="1" customHeight="1" thickTop="1">
      <c r="A17" s="39">
        <v>3</v>
      </c>
      <c r="B17" s="40" t="s">
        <v>90</v>
      </c>
      <c r="C17" s="41" t="s">
        <v>72</v>
      </c>
      <c r="D17" s="529"/>
      <c r="E17" s="94"/>
      <c r="F17" s="39"/>
      <c r="G17" s="54">
        <v>0</v>
      </c>
      <c r="H17" s="122"/>
      <c r="I17" s="37"/>
      <c r="J17" s="37"/>
      <c r="K17" s="38"/>
      <c r="L17" s="38"/>
    </row>
    <row r="18" spans="1:13" ht="27.75" hidden="1" customHeight="1" thickTop="1">
      <c r="A18" s="39">
        <v>4</v>
      </c>
      <c r="B18" s="40" t="s">
        <v>91</v>
      </c>
      <c r="C18" s="41" t="s">
        <v>72</v>
      </c>
      <c r="D18" s="529"/>
      <c r="E18" s="94"/>
      <c r="F18" s="39"/>
      <c r="G18" s="54">
        <v>0</v>
      </c>
      <c r="H18" s="122"/>
      <c r="I18" s="37"/>
      <c r="J18" s="37"/>
      <c r="K18" s="38"/>
      <c r="L18" s="38"/>
    </row>
    <row r="19" spans="1:13" ht="27.75" hidden="1" customHeight="1" thickTop="1">
      <c r="A19" s="39">
        <v>5</v>
      </c>
      <c r="B19" s="40" t="s">
        <v>92</v>
      </c>
      <c r="C19" s="41" t="s">
        <v>72</v>
      </c>
      <c r="D19" s="529"/>
      <c r="E19" s="94"/>
      <c r="F19" s="39"/>
      <c r="G19" s="54">
        <v>0</v>
      </c>
      <c r="H19" s="122"/>
      <c r="I19" s="37"/>
      <c r="J19" s="37"/>
      <c r="K19" s="38"/>
      <c r="L19" s="38"/>
    </row>
    <row r="20" spans="1:13" ht="27.75" hidden="1" customHeight="1" thickTop="1">
      <c r="A20" s="39">
        <v>6</v>
      </c>
      <c r="B20" s="123" t="s">
        <v>93</v>
      </c>
      <c r="C20" s="41" t="s">
        <v>72</v>
      </c>
      <c r="D20" s="529"/>
      <c r="E20" s="94"/>
      <c r="F20" s="39"/>
      <c r="G20" s="54">
        <v>0</v>
      </c>
      <c r="H20" s="122"/>
      <c r="I20" s="37"/>
      <c r="J20" s="37"/>
      <c r="K20" s="38"/>
      <c r="L20" s="38"/>
    </row>
    <row r="21" spans="1:13" ht="27.75" hidden="1" customHeight="1" thickTop="1">
      <c r="A21" s="39">
        <v>7</v>
      </c>
      <c r="B21" s="40" t="s">
        <v>94</v>
      </c>
      <c r="C21" s="41" t="s">
        <v>72</v>
      </c>
      <c r="D21" s="529"/>
      <c r="E21" s="94"/>
      <c r="F21" s="39"/>
      <c r="G21" s="54">
        <v>0</v>
      </c>
      <c r="H21" s="122"/>
      <c r="I21" s="37"/>
      <c r="J21" s="37"/>
      <c r="K21" s="38"/>
      <c r="L21" s="38"/>
    </row>
    <row r="22" spans="1:13" ht="27.75" hidden="1" customHeight="1" thickTop="1">
      <c r="A22" s="39">
        <v>8</v>
      </c>
      <c r="B22" s="40" t="s">
        <v>95</v>
      </c>
      <c r="C22" s="41" t="s">
        <v>72</v>
      </c>
      <c r="D22" s="529"/>
      <c r="E22" s="94"/>
      <c r="F22" s="39"/>
      <c r="G22" s="54">
        <v>0</v>
      </c>
      <c r="H22" s="122"/>
      <c r="I22" s="37"/>
      <c r="J22" s="37"/>
      <c r="K22" s="38"/>
      <c r="L22" s="38"/>
    </row>
    <row r="23" spans="1:13" ht="27.75" hidden="1" customHeight="1" thickTop="1">
      <c r="A23" s="39">
        <v>9</v>
      </c>
      <c r="B23" s="40" t="s">
        <v>96</v>
      </c>
      <c r="C23" s="41" t="s">
        <v>72</v>
      </c>
      <c r="D23" s="529"/>
      <c r="E23" s="94"/>
      <c r="F23" s="39"/>
      <c r="G23" s="54">
        <v>0</v>
      </c>
      <c r="H23" s="122"/>
      <c r="I23" s="37"/>
      <c r="J23" s="37"/>
      <c r="K23" s="38"/>
      <c r="L23" s="38"/>
    </row>
    <row r="24" spans="1:13" ht="27.75" hidden="1" customHeight="1" thickTop="1">
      <c r="A24" s="39">
        <v>10</v>
      </c>
      <c r="B24" s="40" t="s">
        <v>97</v>
      </c>
      <c r="C24" s="41" t="s">
        <v>72</v>
      </c>
      <c r="D24" s="529"/>
      <c r="E24" s="94"/>
      <c r="F24" s="39"/>
      <c r="G24" s="54">
        <v>0</v>
      </c>
      <c r="H24" s="122"/>
      <c r="I24" s="37"/>
      <c r="J24" s="37"/>
      <c r="K24" s="38"/>
      <c r="L24" s="38"/>
    </row>
    <row r="25" spans="1:13" ht="27.75" hidden="1" customHeight="1" thickTop="1">
      <c r="A25" s="39">
        <v>11</v>
      </c>
      <c r="B25" s="40" t="s">
        <v>98</v>
      </c>
      <c r="C25" s="41" t="s">
        <v>72</v>
      </c>
      <c r="D25" s="529"/>
      <c r="E25" s="94"/>
      <c r="F25" s="39"/>
      <c r="G25" s="54">
        <v>0</v>
      </c>
      <c r="H25" s="122"/>
      <c r="I25" s="37"/>
      <c r="J25" s="37"/>
      <c r="K25" s="38"/>
      <c r="L25" s="38"/>
    </row>
    <row r="26" spans="1:13" ht="27.75" hidden="1" customHeight="1" thickTop="1">
      <c r="A26" s="39">
        <v>12</v>
      </c>
      <c r="B26" s="40" t="s">
        <v>99</v>
      </c>
      <c r="C26" s="41" t="s">
        <v>72</v>
      </c>
      <c r="D26" s="529"/>
      <c r="E26" s="94"/>
      <c r="F26" s="39"/>
      <c r="G26" s="54">
        <v>0</v>
      </c>
      <c r="H26" s="122"/>
      <c r="I26" s="37"/>
      <c r="J26" s="37"/>
      <c r="K26" s="38"/>
      <c r="L26" s="38"/>
    </row>
    <row r="27" spans="1:13" ht="27.75" hidden="1" customHeight="1" thickTop="1">
      <c r="A27" s="39"/>
      <c r="B27" s="123"/>
      <c r="C27" s="41"/>
      <c r="D27" s="528"/>
      <c r="E27" s="83"/>
      <c r="F27" s="130"/>
      <c r="G27" s="54">
        <v>0</v>
      </c>
      <c r="H27" s="122"/>
      <c r="I27" s="37"/>
      <c r="J27" s="37"/>
      <c r="K27" s="38"/>
      <c r="L27" s="38"/>
    </row>
    <row r="28" spans="1:13" ht="27.75" hidden="1" customHeight="1" thickTop="1">
      <c r="A28" s="22"/>
      <c r="B28" s="131" t="s">
        <v>22</v>
      </c>
      <c r="C28" s="132"/>
      <c r="D28" s="531"/>
      <c r="E28" s="139"/>
      <c r="F28" s="133"/>
      <c r="G28" s="136">
        <v>0</v>
      </c>
      <c r="H28" s="36"/>
      <c r="I28" s="37"/>
      <c r="J28" s="37"/>
      <c r="K28" s="38"/>
      <c r="L28" s="38"/>
      <c r="M28" s="38"/>
    </row>
    <row r="29" spans="1:13" ht="27.75" customHeight="1" thickTop="1">
      <c r="A29" s="22"/>
      <c r="B29" s="23" t="s">
        <v>100</v>
      </c>
      <c r="C29" s="24"/>
      <c r="D29" s="525"/>
      <c r="E29" s="32"/>
      <c r="F29" s="33"/>
      <c r="G29" s="35"/>
      <c r="H29" s="36"/>
      <c r="I29" s="37"/>
      <c r="J29" s="37"/>
      <c r="K29" s="38"/>
      <c r="L29" s="38"/>
      <c r="M29" s="38"/>
    </row>
    <row r="30" spans="1:13" s="169" customFormat="1" ht="27.75" customHeight="1">
      <c r="A30" s="595">
        <v>1</v>
      </c>
      <c r="B30" s="596" t="s">
        <v>106</v>
      </c>
      <c r="C30" s="597" t="s">
        <v>102</v>
      </c>
      <c r="D30" s="598">
        <v>481.5</v>
      </c>
      <c r="E30" s="163"/>
      <c r="F30" s="164"/>
      <c r="G30" s="159"/>
      <c r="H30" s="166"/>
      <c r="I30" s="167"/>
      <c r="J30" s="167"/>
      <c r="K30" s="168"/>
      <c r="L30" s="168"/>
    </row>
    <row r="31" spans="1:13" s="57" customFormat="1" ht="27.75" customHeight="1">
      <c r="A31" s="595">
        <v>2</v>
      </c>
      <c r="B31" s="40" t="s">
        <v>1265</v>
      </c>
      <c r="C31" s="140" t="s">
        <v>102</v>
      </c>
      <c r="D31" s="529">
        <v>160.5</v>
      </c>
      <c r="E31" s="145"/>
      <c r="F31" s="146"/>
      <c r="G31" s="47"/>
      <c r="H31" s="146"/>
      <c r="I31" s="148"/>
      <c r="J31" s="148"/>
      <c r="K31" s="149"/>
      <c r="L31" s="149"/>
    </row>
    <row r="32" spans="1:13" s="57" customFormat="1" ht="27.75" customHeight="1">
      <c r="A32" s="595">
        <v>3</v>
      </c>
      <c r="B32" s="40" t="s">
        <v>1266</v>
      </c>
      <c r="C32" s="140" t="s">
        <v>102</v>
      </c>
      <c r="D32" s="529">
        <v>642</v>
      </c>
      <c r="E32" s="145"/>
      <c r="F32" s="146"/>
      <c r="G32" s="47"/>
      <c r="H32" s="146"/>
      <c r="I32" s="148"/>
      <c r="J32" s="148"/>
      <c r="K32" s="149"/>
      <c r="L32" s="149"/>
    </row>
    <row r="33" spans="1:16" s="57" customFormat="1" ht="27.75" customHeight="1">
      <c r="A33" s="595">
        <v>4</v>
      </c>
      <c r="B33" s="40" t="s">
        <v>1267</v>
      </c>
      <c r="C33" s="140" t="s">
        <v>102</v>
      </c>
      <c r="D33" s="529"/>
      <c r="E33" s="145" t="s">
        <v>1109</v>
      </c>
      <c r="F33" s="146">
        <v>1</v>
      </c>
      <c r="G33" s="47">
        <v>160.5</v>
      </c>
      <c r="H33" s="146"/>
      <c r="I33" s="148"/>
      <c r="J33" s="148"/>
      <c r="K33" s="149"/>
      <c r="L33" s="149"/>
    </row>
    <row r="34" spans="1:16" s="57" customFormat="1" ht="27.75" customHeight="1">
      <c r="A34" s="595">
        <v>5</v>
      </c>
      <c r="B34" s="181" t="s">
        <v>138</v>
      </c>
      <c r="C34" s="182" t="s">
        <v>139</v>
      </c>
      <c r="D34" s="534">
        <v>1284</v>
      </c>
      <c r="E34" s="171"/>
      <c r="F34" s="44"/>
      <c r="G34" s="47"/>
      <c r="H34" s="146"/>
      <c r="I34" s="148"/>
      <c r="J34" s="148"/>
      <c r="K34" s="149"/>
      <c r="L34" s="149"/>
    </row>
    <row r="35" spans="1:16" s="57" customFormat="1" ht="27.75" customHeight="1">
      <c r="A35" s="595">
        <v>6</v>
      </c>
      <c r="B35" s="170" t="s">
        <v>1268</v>
      </c>
      <c r="C35" s="140" t="s">
        <v>102</v>
      </c>
      <c r="D35" s="533">
        <v>1284</v>
      </c>
      <c r="E35" s="171"/>
      <c r="F35" s="172"/>
      <c r="G35" s="47"/>
      <c r="H35" s="146"/>
      <c r="I35" s="148"/>
      <c r="J35" s="148"/>
      <c r="K35" s="149"/>
      <c r="L35" s="149"/>
    </row>
    <row r="36" spans="1:16" s="57" customFormat="1" ht="27.75" customHeight="1">
      <c r="A36" s="595">
        <v>7</v>
      </c>
      <c r="B36" s="170" t="s">
        <v>158</v>
      </c>
      <c r="C36" s="140" t="s">
        <v>102</v>
      </c>
      <c r="D36" s="533">
        <v>1322</v>
      </c>
      <c r="E36" s="171"/>
      <c r="F36" s="172"/>
      <c r="G36" s="47"/>
      <c r="H36" s="146"/>
      <c r="I36" s="148"/>
      <c r="J36" s="148"/>
      <c r="K36" s="149"/>
      <c r="L36" s="149"/>
    </row>
    <row r="37" spans="1:16" ht="27.75" customHeight="1" thickBot="1">
      <c r="A37" s="193"/>
      <c r="B37" s="194" t="s">
        <v>22</v>
      </c>
      <c r="C37" s="195"/>
      <c r="D37" s="535"/>
      <c r="E37" s="200"/>
      <c r="F37" s="196"/>
      <c r="G37" s="198">
        <v>160.50000000000023</v>
      </c>
      <c r="H37" s="36"/>
      <c r="I37" s="37"/>
      <c r="J37" s="37"/>
      <c r="K37" s="38"/>
      <c r="L37" s="38"/>
      <c r="M37" s="38"/>
      <c r="P37" s="507">
        <f>SUM(G33)</f>
        <v>160.5</v>
      </c>
    </row>
    <row r="38" spans="1:16" ht="27.75" customHeight="1" thickTop="1">
      <c r="A38" s="22"/>
      <c r="B38" s="23" t="s">
        <v>179</v>
      </c>
      <c r="C38" s="24"/>
      <c r="D38" s="525"/>
      <c r="E38" s="32"/>
      <c r="F38" s="33"/>
      <c r="G38" s="35"/>
      <c r="H38" s="36"/>
      <c r="I38" s="37"/>
      <c r="J38" s="37"/>
      <c r="K38" s="38"/>
      <c r="L38" s="38"/>
      <c r="M38" s="38"/>
    </row>
    <row r="39" spans="1:16" ht="27.75" customHeight="1">
      <c r="A39" s="94">
        <v>1</v>
      </c>
      <c r="B39" s="40" t="s">
        <v>180</v>
      </c>
      <c r="C39" s="41" t="s">
        <v>181</v>
      </c>
      <c r="D39" s="528"/>
      <c r="E39" s="83" t="s">
        <v>1109</v>
      </c>
      <c r="F39" s="39">
        <v>1</v>
      </c>
      <c r="G39" s="47">
        <v>160.5</v>
      </c>
      <c r="H39" s="116"/>
      <c r="I39" s="203"/>
      <c r="J39" s="203"/>
      <c r="K39" s="204"/>
      <c r="L39" s="204"/>
    </row>
    <row r="40" spans="1:16" s="220" customFormat="1" ht="27.75" customHeight="1">
      <c r="A40" s="186">
        <v>5</v>
      </c>
      <c r="B40" s="208" t="s">
        <v>71</v>
      </c>
      <c r="C40" s="209" t="s">
        <v>181</v>
      </c>
      <c r="D40" s="536">
        <v>1337.5</v>
      </c>
      <c r="E40" s="216"/>
      <c r="F40" s="217"/>
      <c r="G40" s="47"/>
      <c r="H40" s="217"/>
      <c r="I40" s="218"/>
      <c r="J40" s="218"/>
      <c r="K40" s="219"/>
      <c r="L40" s="219"/>
    </row>
    <row r="41" spans="1:16" ht="27.75" customHeight="1" thickBot="1">
      <c r="A41" s="193"/>
      <c r="B41" s="194" t="s">
        <v>22</v>
      </c>
      <c r="C41" s="195"/>
      <c r="D41" s="535"/>
      <c r="E41" s="200"/>
      <c r="F41" s="196"/>
      <c r="G41" s="198">
        <v>160.5</v>
      </c>
      <c r="H41" s="36"/>
      <c r="I41" s="37"/>
      <c r="J41" s="37"/>
      <c r="K41" s="38"/>
      <c r="L41" s="38"/>
      <c r="M41" s="38"/>
      <c r="P41" s="507">
        <f>SUM(G39)</f>
        <v>160.5</v>
      </c>
    </row>
    <row r="42" spans="1:16" ht="27.75" customHeight="1" thickTop="1">
      <c r="A42" s="22"/>
      <c r="B42" s="23" t="s">
        <v>196</v>
      </c>
      <c r="C42" s="24"/>
      <c r="D42" s="525"/>
      <c r="E42" s="32"/>
      <c r="F42" s="33"/>
      <c r="G42" s="35"/>
      <c r="H42" s="36"/>
      <c r="I42" s="37"/>
      <c r="J42" s="37"/>
      <c r="K42" s="38"/>
      <c r="L42" s="38"/>
      <c r="M42" s="38"/>
    </row>
    <row r="43" spans="1:16" s="226" customFormat="1" ht="27.75" customHeight="1">
      <c r="A43" s="94">
        <v>1</v>
      </c>
      <c r="B43" s="181" t="s">
        <v>210</v>
      </c>
      <c r="C43" s="224" t="s">
        <v>211</v>
      </c>
      <c r="D43" s="528">
        <v>22470</v>
      </c>
      <c r="E43" s="87"/>
      <c r="F43" s="116"/>
      <c r="G43" s="47"/>
      <c r="H43" s="39"/>
      <c r="I43" s="55"/>
      <c r="J43" s="55"/>
      <c r="K43" s="56"/>
      <c r="L43" s="56"/>
    </row>
    <row r="44" spans="1:16" s="226" customFormat="1" ht="27.75" customHeight="1">
      <c r="A44" s="94">
        <v>2</v>
      </c>
      <c r="B44" s="206" t="s">
        <v>90</v>
      </c>
      <c r="C44" s="224" t="s">
        <v>246</v>
      </c>
      <c r="D44" s="537"/>
      <c r="E44" s="232" t="s">
        <v>1109</v>
      </c>
      <c r="F44" s="116">
        <v>0.93457943925233644</v>
      </c>
      <c r="G44" s="47">
        <v>22470</v>
      </c>
      <c r="H44" s="39"/>
      <c r="I44" s="55"/>
      <c r="J44" s="55"/>
      <c r="K44" s="56"/>
      <c r="L44" s="56"/>
    </row>
    <row r="45" spans="1:16" s="226" customFormat="1" ht="27.75" customHeight="1">
      <c r="A45" s="94">
        <v>3</v>
      </c>
      <c r="B45" s="41" t="s">
        <v>249</v>
      </c>
      <c r="C45" s="224" t="s">
        <v>250</v>
      </c>
      <c r="D45" s="528"/>
      <c r="E45" s="83" t="s">
        <v>1109</v>
      </c>
      <c r="F45" s="116">
        <v>0.934579439252336</v>
      </c>
      <c r="G45" s="47">
        <v>6420</v>
      </c>
      <c r="H45" s="39"/>
      <c r="I45" s="55"/>
      <c r="J45" s="55"/>
      <c r="K45" s="56"/>
      <c r="L45" s="56"/>
    </row>
    <row r="46" spans="1:16" s="226" customFormat="1" ht="27.75" customHeight="1">
      <c r="A46" s="94">
        <v>4</v>
      </c>
      <c r="B46" s="41" t="s">
        <v>252</v>
      </c>
      <c r="C46" s="224" t="s">
        <v>253</v>
      </c>
      <c r="D46" s="528"/>
      <c r="E46" s="83" t="s">
        <v>1109</v>
      </c>
      <c r="F46" s="116">
        <v>1</v>
      </c>
      <c r="G46" s="47">
        <v>6420</v>
      </c>
      <c r="H46" s="39"/>
      <c r="I46" s="55"/>
      <c r="J46" s="55"/>
      <c r="K46" s="56"/>
      <c r="L46" s="56"/>
    </row>
    <row r="47" spans="1:16" s="226" customFormat="1" ht="27.75" customHeight="1">
      <c r="A47" s="94">
        <v>5</v>
      </c>
      <c r="B47" s="41" t="s">
        <v>254</v>
      </c>
      <c r="C47" s="224" t="s">
        <v>255</v>
      </c>
      <c r="D47" s="528"/>
      <c r="E47" s="83" t="s">
        <v>1109</v>
      </c>
      <c r="F47" s="116">
        <v>0.93457943925233611</v>
      </c>
      <c r="G47" s="47">
        <v>9630</v>
      </c>
      <c r="H47" s="39"/>
      <c r="I47" s="55"/>
      <c r="J47" s="55"/>
      <c r="K47" s="56"/>
      <c r="L47" s="56"/>
    </row>
    <row r="48" spans="1:16" s="226" customFormat="1" ht="27.75" customHeight="1">
      <c r="A48" s="94">
        <v>6</v>
      </c>
      <c r="B48" s="81" t="s">
        <v>267</v>
      </c>
      <c r="C48" s="224" t="s">
        <v>268</v>
      </c>
      <c r="D48" s="528"/>
      <c r="E48" s="83" t="s">
        <v>1109</v>
      </c>
      <c r="F48" s="116">
        <v>0.93457943925233578</v>
      </c>
      <c r="G48" s="47">
        <v>6420</v>
      </c>
      <c r="H48" s="39"/>
      <c r="I48" s="55"/>
      <c r="J48" s="55"/>
      <c r="K48" s="56"/>
      <c r="L48" s="56"/>
    </row>
    <row r="49" spans="1:16" ht="27.75" customHeight="1" thickBot="1">
      <c r="A49" s="22"/>
      <c r="B49" s="194" t="s">
        <v>22</v>
      </c>
      <c r="C49" s="195"/>
      <c r="D49" s="535"/>
      <c r="E49" s="200"/>
      <c r="F49" s="196"/>
      <c r="G49" s="196">
        <f>SUM(G44:G48)</f>
        <v>51360</v>
      </c>
      <c r="H49" s="36"/>
      <c r="I49" s="37"/>
      <c r="J49" s="37"/>
      <c r="K49" s="38"/>
      <c r="L49" s="38"/>
      <c r="M49" s="38"/>
      <c r="P49" s="507">
        <f>SUM(G44:G48)</f>
        <v>51360</v>
      </c>
    </row>
    <row r="50" spans="1:16" ht="27.75" hidden="1" customHeight="1" thickBot="1">
      <c r="A50" s="22"/>
      <c r="B50" s="23" t="s">
        <v>278</v>
      </c>
      <c r="C50" s="24"/>
      <c r="D50" s="525"/>
      <c r="E50" s="32"/>
      <c r="F50" s="33"/>
      <c r="G50" s="35"/>
      <c r="H50" s="36"/>
      <c r="I50" s="37"/>
      <c r="J50" s="37"/>
      <c r="K50" s="38"/>
      <c r="L50" s="38"/>
      <c r="M50" s="38"/>
    </row>
    <row r="51" spans="1:16" ht="27.75" hidden="1" customHeight="1" thickTop="1">
      <c r="A51" s="22">
        <v>1</v>
      </c>
      <c r="B51" s="270" t="s">
        <v>88</v>
      </c>
      <c r="C51" s="271" t="s">
        <v>279</v>
      </c>
      <c r="D51" s="537"/>
      <c r="E51" s="232"/>
      <c r="F51" s="251"/>
      <c r="G51" s="66">
        <v>0</v>
      </c>
      <c r="H51" s="278"/>
      <c r="I51" s="279"/>
      <c r="J51" s="37"/>
      <c r="K51" s="38"/>
      <c r="L51" s="38"/>
      <c r="M51" s="38"/>
    </row>
    <row r="52" spans="1:16" ht="27.75" hidden="1" customHeight="1" thickTop="1">
      <c r="A52" s="22">
        <v>2</v>
      </c>
      <c r="B52" s="280" t="s">
        <v>89</v>
      </c>
      <c r="C52" s="271" t="s">
        <v>279</v>
      </c>
      <c r="D52" s="533"/>
      <c r="E52" s="94"/>
      <c r="F52" s="39"/>
      <c r="G52" s="66">
        <v>0</v>
      </c>
      <c r="H52" s="278"/>
      <c r="I52" s="279"/>
      <c r="J52" s="37"/>
      <c r="K52" s="38"/>
      <c r="L52" s="38"/>
      <c r="M52" s="38"/>
    </row>
    <row r="53" spans="1:16" ht="27.75" hidden="1" customHeight="1" thickTop="1">
      <c r="A53" s="22">
        <v>3</v>
      </c>
      <c r="B53" s="270" t="s">
        <v>280</v>
      </c>
      <c r="C53" s="271" t="s">
        <v>279</v>
      </c>
      <c r="D53" s="533"/>
      <c r="E53" s="94"/>
      <c r="F53" s="39"/>
      <c r="G53" s="66">
        <v>0</v>
      </c>
      <c r="H53" s="278"/>
      <c r="I53" s="279"/>
      <c r="J53" s="37"/>
      <c r="K53" s="38"/>
      <c r="L53" s="38"/>
      <c r="M53" s="38"/>
    </row>
    <row r="54" spans="1:16" ht="27.75" hidden="1" customHeight="1" thickTop="1">
      <c r="A54" s="22">
        <v>4</v>
      </c>
      <c r="B54" s="280" t="s">
        <v>96</v>
      </c>
      <c r="C54" s="271" t="s">
        <v>279</v>
      </c>
      <c r="D54" s="533"/>
      <c r="E54" s="94"/>
      <c r="F54" s="39"/>
      <c r="G54" s="66">
        <v>0</v>
      </c>
      <c r="H54" s="283"/>
      <c r="I54" s="55"/>
      <c r="J54" s="37"/>
      <c r="K54" s="38"/>
      <c r="L54" s="38"/>
      <c r="M54" s="38"/>
    </row>
    <row r="55" spans="1:16" ht="27.75" hidden="1" customHeight="1" thickTop="1">
      <c r="A55" s="22">
        <v>5</v>
      </c>
      <c r="B55" s="280" t="s">
        <v>281</v>
      </c>
      <c r="C55" s="271" t="s">
        <v>279</v>
      </c>
      <c r="D55" s="533"/>
      <c r="E55" s="94"/>
      <c r="F55" s="39"/>
      <c r="G55" s="66">
        <v>0</v>
      </c>
      <c r="H55" s="283"/>
      <c r="I55" s="55"/>
      <c r="J55" s="37"/>
      <c r="K55" s="38"/>
      <c r="L55" s="38"/>
      <c r="M55" s="38"/>
    </row>
    <row r="56" spans="1:16" ht="27.75" hidden="1" customHeight="1" thickTop="1">
      <c r="A56" s="22">
        <v>6</v>
      </c>
      <c r="B56" s="280" t="s">
        <v>282</v>
      </c>
      <c r="C56" s="271" t="s">
        <v>279</v>
      </c>
      <c r="D56" s="533"/>
      <c r="E56" s="94"/>
      <c r="F56" s="39"/>
      <c r="G56" s="66">
        <v>0</v>
      </c>
      <c r="H56" s="283"/>
      <c r="I56" s="37"/>
      <c r="J56" s="37"/>
      <c r="K56" s="38"/>
      <c r="L56" s="38"/>
      <c r="M56" s="38"/>
    </row>
    <row r="57" spans="1:16" ht="27.75" hidden="1" customHeight="1" thickTop="1">
      <c r="A57" s="22">
        <v>7</v>
      </c>
      <c r="B57" s="280" t="s">
        <v>92</v>
      </c>
      <c r="C57" s="271" t="s">
        <v>279</v>
      </c>
      <c r="D57" s="533"/>
      <c r="E57" s="94"/>
      <c r="F57" s="39"/>
      <c r="G57" s="66">
        <v>0</v>
      </c>
      <c r="H57" s="283"/>
      <c r="I57" s="37"/>
      <c r="J57" s="37"/>
      <c r="K57" s="38"/>
      <c r="L57" s="38"/>
      <c r="M57" s="38"/>
    </row>
    <row r="58" spans="1:16" ht="27.75" hidden="1" customHeight="1" thickTop="1">
      <c r="A58" s="22">
        <v>8</v>
      </c>
      <c r="B58" s="280" t="s">
        <v>91</v>
      </c>
      <c r="C58" s="271" t="s">
        <v>279</v>
      </c>
      <c r="D58" s="533"/>
      <c r="E58" s="94"/>
      <c r="F58" s="39"/>
      <c r="G58" s="66">
        <v>0</v>
      </c>
      <c r="H58" s="283"/>
      <c r="I58" s="37"/>
      <c r="J58" s="37"/>
      <c r="K58" s="38"/>
      <c r="L58" s="38"/>
      <c r="M58" s="38"/>
    </row>
    <row r="59" spans="1:16" ht="27.75" hidden="1" customHeight="1" thickTop="1">
      <c r="A59" s="22">
        <v>9</v>
      </c>
      <c r="B59" s="280" t="s">
        <v>236</v>
      </c>
      <c r="C59" s="271" t="s">
        <v>279</v>
      </c>
      <c r="D59" s="533"/>
      <c r="E59" s="94"/>
      <c r="F59" s="39"/>
      <c r="G59" s="66">
        <v>0</v>
      </c>
      <c r="H59" s="283"/>
      <c r="I59" s="37"/>
      <c r="J59" s="37"/>
      <c r="K59" s="38"/>
      <c r="L59" s="38"/>
      <c r="M59" s="38"/>
    </row>
    <row r="60" spans="1:16" ht="27.75" hidden="1" customHeight="1" thickTop="1">
      <c r="A60" s="22">
        <v>10</v>
      </c>
      <c r="B60" s="280" t="s">
        <v>94</v>
      </c>
      <c r="C60" s="280" t="s">
        <v>279</v>
      </c>
      <c r="D60" s="529"/>
      <c r="E60" s="94"/>
      <c r="F60" s="39"/>
      <c r="G60" s="66">
        <v>0</v>
      </c>
      <c r="H60" s="36"/>
      <c r="I60" s="37"/>
      <c r="J60" s="37"/>
      <c r="K60" s="38"/>
      <c r="L60" s="38"/>
      <c r="M60" s="38"/>
    </row>
    <row r="61" spans="1:16" ht="27.75" hidden="1" customHeight="1" thickTop="1">
      <c r="A61" s="22">
        <v>11</v>
      </c>
      <c r="B61" s="270"/>
      <c r="C61" s="285"/>
      <c r="D61" s="537"/>
      <c r="E61" s="232"/>
      <c r="F61" s="251"/>
      <c r="G61" s="66">
        <v>0</v>
      </c>
      <c r="H61" s="36"/>
      <c r="I61" s="37"/>
      <c r="J61" s="37"/>
      <c r="K61" s="38"/>
      <c r="L61" s="38"/>
      <c r="M61" s="38"/>
    </row>
    <row r="62" spans="1:16" ht="27.75" hidden="1" customHeight="1" thickTop="1">
      <c r="A62" s="22"/>
      <c r="B62" s="131" t="s">
        <v>22</v>
      </c>
      <c r="C62" s="132"/>
      <c r="D62" s="531"/>
      <c r="E62" s="139"/>
      <c r="F62" s="133"/>
      <c r="G62" s="136">
        <v>0</v>
      </c>
      <c r="H62" s="36"/>
      <c r="I62" s="37"/>
      <c r="J62" s="37"/>
      <c r="K62" s="38"/>
      <c r="L62" s="38"/>
      <c r="M62" s="38"/>
    </row>
    <row r="63" spans="1:16" ht="27.75" customHeight="1" thickTop="1">
      <c r="A63" s="22"/>
      <c r="B63" s="23" t="s">
        <v>292</v>
      </c>
      <c r="C63" s="24"/>
      <c r="D63" s="525"/>
      <c r="E63" s="32"/>
      <c r="F63" s="33"/>
      <c r="G63" s="35"/>
      <c r="H63" s="36"/>
      <c r="I63" s="37"/>
      <c r="J63" s="37"/>
      <c r="K63" s="38"/>
      <c r="L63" s="38"/>
      <c r="M63" s="38"/>
    </row>
    <row r="64" spans="1:16" ht="27.75" customHeight="1">
      <c r="A64" s="316">
        <v>1</v>
      </c>
      <c r="B64" s="280" t="s">
        <v>249</v>
      </c>
      <c r="C64" s="280" t="s">
        <v>250</v>
      </c>
      <c r="D64" s="526"/>
      <c r="E64" s="320" t="s">
        <v>1109</v>
      </c>
      <c r="F64" s="39">
        <v>1</v>
      </c>
      <c r="G64" s="66">
        <v>181.9</v>
      </c>
      <c r="H64" s="36"/>
      <c r="I64" s="37"/>
      <c r="J64" s="37"/>
      <c r="K64" s="38"/>
      <c r="L64" s="38"/>
      <c r="M64" s="38"/>
    </row>
    <row r="65" spans="1:16" ht="27.75" customHeight="1">
      <c r="A65" s="316">
        <v>2</v>
      </c>
      <c r="B65" s="280" t="s">
        <v>294</v>
      </c>
      <c r="C65" s="280" t="s">
        <v>255</v>
      </c>
      <c r="D65" s="526"/>
      <c r="E65" s="320" t="s">
        <v>1109</v>
      </c>
      <c r="F65" s="39">
        <v>1</v>
      </c>
      <c r="G65" s="66">
        <v>74.900000000000006</v>
      </c>
      <c r="H65" s="36"/>
      <c r="I65" s="37"/>
      <c r="J65" s="37"/>
      <c r="K65" s="38"/>
      <c r="L65" s="38"/>
      <c r="M65" s="38"/>
    </row>
    <row r="66" spans="1:16" ht="27.75" customHeight="1" thickBot="1">
      <c r="A66" s="193"/>
      <c r="B66" s="194"/>
      <c r="C66" s="195"/>
      <c r="D66" s="535"/>
      <c r="E66" s="200"/>
      <c r="F66" s="196"/>
      <c r="G66" s="198">
        <v>256.8</v>
      </c>
      <c r="H66" s="36"/>
      <c r="I66" s="37"/>
      <c r="J66" s="37"/>
      <c r="K66" s="38"/>
      <c r="L66" s="38"/>
      <c r="M66" s="38"/>
      <c r="P66" s="507">
        <f>SUM(G64:G65)</f>
        <v>256.8</v>
      </c>
    </row>
    <row r="67" spans="1:16" ht="27.75" customHeight="1" thickTop="1">
      <c r="A67" s="22"/>
      <c r="B67" s="288" t="s">
        <v>304</v>
      </c>
      <c r="C67" s="289"/>
      <c r="D67" s="538"/>
      <c r="E67" s="94"/>
      <c r="F67" s="39"/>
      <c r="G67" s="294"/>
      <c r="H67" s="36"/>
      <c r="I67" s="37"/>
      <c r="J67" s="37"/>
      <c r="K67" s="38"/>
      <c r="L67" s="38"/>
      <c r="M67" s="38"/>
    </row>
    <row r="68" spans="1:16" ht="27.75" customHeight="1">
      <c r="A68" s="186">
        <v>1</v>
      </c>
      <c r="B68" s="205" t="s">
        <v>28</v>
      </c>
      <c r="C68" s="346" t="s">
        <v>311</v>
      </c>
      <c r="D68" s="540">
        <v>1410</v>
      </c>
      <c r="E68" s="94"/>
      <c r="F68" s="116"/>
      <c r="G68" s="47"/>
      <c r="H68" s="348" t="s">
        <v>195</v>
      </c>
      <c r="I68" s="299" t="s">
        <v>307</v>
      </c>
      <c r="J68" s="299" t="s">
        <v>308</v>
      </c>
      <c r="K68" s="56">
        <v>36600</v>
      </c>
      <c r="L68" s="349" t="s">
        <v>313</v>
      </c>
      <c r="M68" s="4" t="s">
        <v>314</v>
      </c>
      <c r="N68" s="295" t="s">
        <v>289</v>
      </c>
    </row>
    <row r="69" spans="1:16" ht="27.75" customHeight="1">
      <c r="A69" s="186">
        <v>2</v>
      </c>
      <c r="B69" s="205" t="s">
        <v>28</v>
      </c>
      <c r="C69" s="346" t="s">
        <v>315</v>
      </c>
      <c r="D69" s="540">
        <v>1410</v>
      </c>
      <c r="E69" s="94"/>
      <c r="F69" s="116"/>
      <c r="G69" s="47"/>
      <c r="H69" s="348"/>
      <c r="I69" s="299"/>
      <c r="J69" s="299"/>
      <c r="K69" s="56"/>
      <c r="L69" s="349"/>
      <c r="N69" s="295"/>
    </row>
    <row r="70" spans="1:16" ht="27.75" customHeight="1">
      <c r="A70" s="186">
        <v>3</v>
      </c>
      <c r="B70" s="205" t="s">
        <v>28</v>
      </c>
      <c r="C70" s="346" t="s">
        <v>320</v>
      </c>
      <c r="D70" s="540">
        <v>1410</v>
      </c>
      <c r="E70" s="94"/>
      <c r="F70" s="116"/>
      <c r="G70" s="47"/>
      <c r="H70" s="348"/>
      <c r="I70" s="299"/>
      <c r="J70" s="299"/>
      <c r="K70" s="56"/>
      <c r="L70" s="349"/>
      <c r="M70" s="295"/>
    </row>
    <row r="71" spans="1:16" ht="27.75" customHeight="1">
      <c r="A71" s="186">
        <v>4</v>
      </c>
      <c r="B71" s="205" t="s">
        <v>28</v>
      </c>
      <c r="C71" s="346" t="s">
        <v>321</v>
      </c>
      <c r="D71" s="540">
        <v>1410</v>
      </c>
      <c r="E71" s="94"/>
      <c r="F71" s="116"/>
      <c r="G71" s="47"/>
      <c r="H71" s="348"/>
      <c r="I71" s="299"/>
      <c r="J71" s="299"/>
      <c r="K71" s="56"/>
      <c r="L71" s="349"/>
      <c r="M71" s="295"/>
    </row>
    <row r="72" spans="1:16" ht="27.75" customHeight="1">
      <c r="A72" s="186">
        <v>5</v>
      </c>
      <c r="B72" s="205" t="s">
        <v>28</v>
      </c>
      <c r="C72" s="346" t="s">
        <v>322</v>
      </c>
      <c r="D72" s="540">
        <v>1410</v>
      </c>
      <c r="E72" s="94"/>
      <c r="F72" s="116"/>
      <c r="G72" s="47"/>
      <c r="H72" s="348"/>
      <c r="I72" s="299"/>
      <c r="J72" s="299"/>
      <c r="K72" s="56"/>
      <c r="L72" s="349"/>
      <c r="M72" s="295"/>
    </row>
    <row r="73" spans="1:16" ht="27.75" customHeight="1">
      <c r="A73" s="186">
        <v>6</v>
      </c>
      <c r="B73" s="205" t="s">
        <v>28</v>
      </c>
      <c r="C73" s="346" t="s">
        <v>323</v>
      </c>
      <c r="D73" s="540">
        <v>1410</v>
      </c>
      <c r="E73" s="94"/>
      <c r="F73" s="116"/>
      <c r="G73" s="47"/>
      <c r="H73" s="348"/>
      <c r="I73" s="299"/>
      <c r="J73" s="299"/>
      <c r="K73" s="56"/>
      <c r="L73" s="349"/>
      <c r="M73" s="295"/>
    </row>
    <row r="74" spans="1:16" ht="27.75" customHeight="1">
      <c r="A74" s="186">
        <v>7</v>
      </c>
      <c r="B74" s="205" t="s">
        <v>28</v>
      </c>
      <c r="C74" s="346" t="s">
        <v>324</v>
      </c>
      <c r="D74" s="540">
        <v>1410</v>
      </c>
      <c r="E74" s="94"/>
      <c r="F74" s="116"/>
      <c r="G74" s="47"/>
      <c r="H74" s="348"/>
      <c r="I74" s="299"/>
      <c r="J74" s="299"/>
      <c r="K74" s="56"/>
      <c r="L74" s="349"/>
      <c r="M74" s="295"/>
    </row>
    <row r="75" spans="1:16" ht="27.75" customHeight="1">
      <c r="A75" s="186">
        <v>8</v>
      </c>
      <c r="B75" s="205" t="s">
        <v>28</v>
      </c>
      <c r="C75" s="346" t="s">
        <v>333</v>
      </c>
      <c r="D75" s="540">
        <v>1410</v>
      </c>
      <c r="E75" s="94"/>
      <c r="F75" s="116"/>
      <c r="G75" s="47"/>
      <c r="H75" s="348"/>
      <c r="I75" s="299"/>
      <c r="J75" s="299"/>
      <c r="K75" s="56"/>
      <c r="L75" s="349"/>
      <c r="M75" s="295"/>
    </row>
    <row r="76" spans="1:16" ht="27.75" customHeight="1">
      <c r="A76" s="186">
        <v>9</v>
      </c>
      <c r="B76" s="205" t="s">
        <v>28</v>
      </c>
      <c r="C76" s="346" t="s">
        <v>334</v>
      </c>
      <c r="D76" s="540">
        <v>1410</v>
      </c>
      <c r="E76" s="94"/>
      <c r="F76" s="116"/>
      <c r="G76" s="47"/>
      <c r="H76" s="348"/>
      <c r="I76" s="299"/>
      <c r="J76" s="299"/>
      <c r="K76" s="56"/>
      <c r="L76" s="349"/>
      <c r="M76" s="295"/>
    </row>
    <row r="77" spans="1:16" ht="27.75" customHeight="1">
      <c r="A77" s="186">
        <v>10</v>
      </c>
      <c r="B77" s="205" t="s">
        <v>28</v>
      </c>
      <c r="C77" s="346" t="s">
        <v>335</v>
      </c>
      <c r="D77" s="540">
        <v>1410</v>
      </c>
      <c r="E77" s="94"/>
      <c r="F77" s="116"/>
      <c r="G77" s="47"/>
      <c r="H77" s="348"/>
      <c r="I77" s="299"/>
      <c r="J77" s="299"/>
      <c r="K77" s="56"/>
      <c r="L77" s="349"/>
      <c r="M77" s="295"/>
    </row>
    <row r="78" spans="1:16" ht="27.75" customHeight="1">
      <c r="A78" s="186">
        <v>11</v>
      </c>
      <c r="B78" s="205" t="s">
        <v>40</v>
      </c>
      <c r="C78" s="346" t="s">
        <v>336</v>
      </c>
      <c r="D78" s="540">
        <v>1500</v>
      </c>
      <c r="E78" s="94"/>
      <c r="F78" s="116"/>
      <c r="G78" s="47"/>
      <c r="H78" s="39" t="s">
        <v>195</v>
      </c>
      <c r="I78" s="55">
        <v>43313</v>
      </c>
      <c r="J78" s="55">
        <v>44408</v>
      </c>
      <c r="K78" s="56">
        <v>9540</v>
      </c>
      <c r="L78" s="349"/>
    </row>
    <row r="79" spans="1:16" ht="27.75" customHeight="1">
      <c r="A79" s="186">
        <v>12</v>
      </c>
      <c r="B79" s="205" t="s">
        <v>40</v>
      </c>
      <c r="C79" s="346" t="s">
        <v>338</v>
      </c>
      <c r="D79" s="540">
        <v>1500</v>
      </c>
      <c r="E79" s="94"/>
      <c r="F79" s="116"/>
      <c r="G79" s="47"/>
      <c r="H79" s="39"/>
      <c r="I79" s="55"/>
      <c r="J79" s="55"/>
      <c r="K79" s="56"/>
      <c r="L79" s="349"/>
    </row>
    <row r="80" spans="1:16" ht="27.75" customHeight="1">
      <c r="A80" s="186">
        <v>13</v>
      </c>
      <c r="B80" s="205" t="s">
        <v>40</v>
      </c>
      <c r="C80" s="346" t="s">
        <v>339</v>
      </c>
      <c r="D80" s="540">
        <v>1500</v>
      </c>
      <c r="E80" s="94"/>
      <c r="F80" s="116"/>
      <c r="G80" s="47"/>
      <c r="H80" s="39"/>
      <c r="I80" s="55"/>
      <c r="J80" s="55"/>
      <c r="K80" s="56"/>
      <c r="L80" s="349"/>
    </row>
    <row r="81" spans="1:18" ht="27.75" customHeight="1" thickBot="1">
      <c r="A81" s="357"/>
      <c r="B81" s="358"/>
      <c r="C81" s="359"/>
      <c r="D81" s="541"/>
      <c r="E81" s="106"/>
      <c r="F81" s="107"/>
      <c r="G81" s="363"/>
      <c r="H81" s="356"/>
      <c r="I81" s="55"/>
      <c r="J81" s="55"/>
      <c r="K81" s="56"/>
      <c r="L81" s="349"/>
    </row>
    <row r="82" spans="1:18" ht="27.75" customHeight="1" thickTop="1">
      <c r="A82" s="94"/>
      <c r="B82" s="364" t="s">
        <v>395</v>
      </c>
      <c r="C82" s="81"/>
      <c r="D82" s="528"/>
      <c r="E82" s="83"/>
      <c r="F82" s="251"/>
      <c r="G82" s="85"/>
      <c r="H82" s="39"/>
      <c r="I82" s="55"/>
      <c r="J82" s="55"/>
      <c r="K82" s="56"/>
      <c r="L82" s="56"/>
    </row>
    <row r="83" spans="1:18" ht="27.75" customHeight="1">
      <c r="A83" s="94">
        <v>4</v>
      </c>
      <c r="B83" s="366" t="s">
        <v>417</v>
      </c>
      <c r="C83" s="367" t="s">
        <v>418</v>
      </c>
      <c r="D83" s="542">
        <v>34054.370000000003</v>
      </c>
      <c r="E83" s="377"/>
      <c r="F83" s="116"/>
      <c r="G83" s="368"/>
      <c r="H83" s="39" t="s">
        <v>195</v>
      </c>
      <c r="I83" s="55">
        <v>40072</v>
      </c>
      <c r="J83" s="55">
        <v>41167</v>
      </c>
      <c r="K83" s="56">
        <v>132250</v>
      </c>
      <c r="L83" s="378" t="s">
        <v>420</v>
      </c>
    </row>
    <row r="84" spans="1:18" ht="27.75" customHeight="1" thickBot="1">
      <c r="A84" s="193"/>
      <c r="B84" s="194" t="s">
        <v>22</v>
      </c>
      <c r="C84" s="195"/>
      <c r="D84" s="535"/>
      <c r="E84" s="200"/>
      <c r="F84" s="196"/>
      <c r="G84" s="198">
        <v>0</v>
      </c>
      <c r="H84" s="36"/>
      <c r="I84" s="37"/>
      <c r="J84" s="37"/>
      <c r="K84" s="38"/>
      <c r="L84" s="38"/>
      <c r="M84" s="38"/>
    </row>
    <row r="85" spans="1:18" ht="27.75" customHeight="1" thickTop="1">
      <c r="A85" s="22"/>
      <c r="B85" s="288" t="s">
        <v>441</v>
      </c>
      <c r="C85" s="289"/>
      <c r="D85" s="538"/>
      <c r="E85" s="94"/>
      <c r="F85" s="39"/>
      <c r="G85" s="294"/>
      <c r="H85" s="36"/>
      <c r="I85" s="37"/>
      <c r="J85" s="37"/>
      <c r="K85" s="38"/>
      <c r="L85" s="38"/>
      <c r="M85" s="38"/>
    </row>
    <row r="86" spans="1:18" ht="27.75" customHeight="1">
      <c r="A86" s="94">
        <v>1</v>
      </c>
      <c r="B86" s="40" t="s">
        <v>442</v>
      </c>
      <c r="C86" s="206" t="s">
        <v>443</v>
      </c>
      <c r="D86" s="533">
        <v>494740</v>
      </c>
      <c r="E86" s="387"/>
      <c r="F86" s="116"/>
      <c r="G86" s="376"/>
      <c r="H86" s="39" t="s">
        <v>446</v>
      </c>
      <c r="I86" s="55">
        <v>43952</v>
      </c>
      <c r="J86" s="55">
        <v>44561</v>
      </c>
      <c r="K86" s="56">
        <v>1032500</v>
      </c>
      <c r="L86" s="56" t="s">
        <v>447</v>
      </c>
    </row>
    <row r="87" spans="1:18" ht="27.75" customHeight="1">
      <c r="A87" s="94">
        <v>2</v>
      </c>
      <c r="B87" s="205" t="s">
        <v>451</v>
      </c>
      <c r="C87" s="206" t="s">
        <v>452</v>
      </c>
      <c r="D87" s="526">
        <v>328719</v>
      </c>
      <c r="E87" s="399"/>
      <c r="F87" s="116"/>
      <c r="G87" s="368"/>
      <c r="H87" s="172" t="s">
        <v>456</v>
      </c>
      <c r="I87" s="400" t="s">
        <v>457</v>
      </c>
      <c r="J87" s="400" t="s">
        <v>458</v>
      </c>
      <c r="K87" s="401">
        <v>442600</v>
      </c>
      <c r="L87" s="401" t="s">
        <v>459</v>
      </c>
    </row>
    <row r="88" spans="1:18" ht="27.75" customHeight="1">
      <c r="A88" s="405"/>
      <c r="B88" s="406" t="s">
        <v>22</v>
      </c>
      <c r="C88" s="407"/>
      <c r="D88" s="544"/>
      <c r="E88" s="412"/>
      <c r="F88" s="408"/>
      <c r="G88" s="239"/>
      <c r="H88" s="278"/>
      <c r="I88" s="279"/>
      <c r="J88" s="279"/>
      <c r="K88" s="413"/>
      <c r="L88" s="413"/>
      <c r="M88" s="413"/>
    </row>
    <row r="89" spans="1:18" ht="27.75" customHeight="1" thickBot="1">
      <c r="A89" s="414"/>
      <c r="B89" s="415"/>
      <c r="C89" s="416" t="s">
        <v>468</v>
      </c>
      <c r="D89" s="545"/>
      <c r="E89" s="423"/>
      <c r="F89" s="422"/>
      <c r="G89" s="420">
        <v>52177.478130841104</v>
      </c>
      <c r="H89" s="424"/>
      <c r="I89" s="425"/>
      <c r="J89" s="425"/>
      <c r="K89" s="345"/>
      <c r="L89" s="345"/>
      <c r="M89" s="345"/>
      <c r="Q89" s="594">
        <f>SUM(P8:P88)</f>
        <v>52177.478130841126</v>
      </c>
      <c r="R89" s="4" t="s">
        <v>818</v>
      </c>
    </row>
    <row r="90" spans="1:18" ht="27.75" customHeight="1" thickTop="1">
      <c r="A90" s="426"/>
      <c r="B90" s="4"/>
      <c r="C90" s="295"/>
      <c r="D90" s="546"/>
      <c r="E90" s="433"/>
      <c r="F90" s="427"/>
      <c r="G90" s="430"/>
      <c r="H90" s="424"/>
      <c r="I90" s="425"/>
      <c r="J90" s="425"/>
      <c r="K90" s="345"/>
      <c r="L90" s="345"/>
      <c r="M90" s="345"/>
    </row>
    <row r="91" spans="1:18" ht="27.75" customHeight="1">
      <c r="A91" s="426"/>
      <c r="B91" s="434" t="s">
        <v>469</v>
      </c>
      <c r="C91" s="295"/>
      <c r="D91" s="546"/>
      <c r="E91" s="433"/>
      <c r="F91" s="427"/>
      <c r="G91" s="430"/>
      <c r="H91" s="424"/>
      <c r="I91" s="425"/>
      <c r="J91" s="425"/>
      <c r="K91" s="345"/>
      <c r="L91" s="345"/>
      <c r="M91" s="345"/>
    </row>
    <row r="92" spans="1:18" ht="27.75" customHeight="1">
      <c r="A92" s="435">
        <v>1</v>
      </c>
      <c r="B92" s="436" t="s">
        <v>470</v>
      </c>
      <c r="C92" s="437" t="s">
        <v>471</v>
      </c>
      <c r="D92" s="547"/>
      <c r="E92" s="435" t="s">
        <v>473</v>
      </c>
      <c r="F92" s="444">
        <v>21</v>
      </c>
      <c r="G92" s="17">
        <v>361288.35</v>
      </c>
      <c r="H92" s="251" t="s">
        <v>195</v>
      </c>
      <c r="I92" s="446">
        <v>41883</v>
      </c>
      <c r="J92" s="446">
        <v>42978</v>
      </c>
      <c r="K92" s="447">
        <v>90000</v>
      </c>
      <c r="L92" s="447" t="s">
        <v>474</v>
      </c>
    </row>
    <row r="93" spans="1:18" ht="27.75" customHeight="1">
      <c r="A93" s="435"/>
      <c r="B93" s="436" t="s">
        <v>476</v>
      </c>
      <c r="C93" s="437"/>
      <c r="D93" s="547"/>
      <c r="E93" s="435"/>
      <c r="F93" s="444"/>
      <c r="G93" s="17">
        <v>0</v>
      </c>
      <c r="H93" s="116"/>
      <c r="I93" s="203"/>
      <c r="J93" s="203"/>
      <c r="K93" s="204"/>
      <c r="L93" s="204"/>
    </row>
    <row r="94" spans="1:18" ht="27.75" customHeight="1">
      <c r="A94" s="435"/>
      <c r="B94" s="674" t="s">
        <v>477</v>
      </c>
      <c r="C94" s="675"/>
      <c r="D94" s="548"/>
      <c r="E94" s="435"/>
      <c r="F94" s="444"/>
      <c r="G94" s="17">
        <v>0</v>
      </c>
      <c r="H94" s="116"/>
      <c r="I94" s="203"/>
      <c r="J94" s="203"/>
      <c r="K94" s="204"/>
      <c r="L94" s="204"/>
    </row>
    <row r="95" spans="1:18" ht="27.75" customHeight="1">
      <c r="A95" s="435">
        <v>2</v>
      </c>
      <c r="B95" s="450" t="s">
        <v>470</v>
      </c>
      <c r="C95" s="451" t="s">
        <v>478</v>
      </c>
      <c r="D95" s="549"/>
      <c r="E95" s="435" t="s">
        <v>479</v>
      </c>
      <c r="F95" s="444">
        <v>6</v>
      </c>
      <c r="G95" s="17">
        <v>96700.72</v>
      </c>
      <c r="H95" s="116"/>
      <c r="I95" s="203"/>
      <c r="J95" s="203"/>
      <c r="K95" s="204"/>
      <c r="L95" s="204"/>
    </row>
    <row r="96" spans="1:18" ht="27.75" customHeight="1">
      <c r="A96" s="435">
        <v>3</v>
      </c>
      <c r="B96" s="450" t="s">
        <v>470</v>
      </c>
      <c r="C96" s="451" t="s">
        <v>480</v>
      </c>
      <c r="D96" s="549"/>
      <c r="E96" s="435" t="s">
        <v>481</v>
      </c>
      <c r="F96" s="444">
        <v>16</v>
      </c>
      <c r="G96" s="17">
        <v>285799.45</v>
      </c>
      <c r="H96" s="116"/>
      <c r="I96" s="203"/>
      <c r="J96" s="203"/>
      <c r="K96" s="204"/>
      <c r="L96" s="204"/>
    </row>
    <row r="97" spans="1:18" s="226" customFormat="1" ht="27.75" customHeight="1">
      <c r="A97" s="440">
        <v>4</v>
      </c>
      <c r="B97" s="436" t="s">
        <v>470</v>
      </c>
      <c r="C97" s="453" t="s">
        <v>482</v>
      </c>
      <c r="D97" s="547"/>
      <c r="E97" s="435" t="s">
        <v>483</v>
      </c>
      <c r="F97" s="448" t="s">
        <v>195</v>
      </c>
      <c r="G97" s="17">
        <v>57055.05</v>
      </c>
      <c r="H97" s="39"/>
      <c r="I97" s="55"/>
      <c r="J97" s="55"/>
      <c r="K97" s="141"/>
      <c r="L97" s="141"/>
      <c r="O97" s="4"/>
    </row>
    <row r="98" spans="1:18" s="226" customFormat="1" ht="27.75" customHeight="1">
      <c r="A98" s="440"/>
      <c r="B98" s="676" t="s">
        <v>484</v>
      </c>
      <c r="C98" s="677"/>
      <c r="D98" s="549"/>
      <c r="E98" s="435"/>
      <c r="F98" s="448"/>
      <c r="G98" s="17">
        <v>0</v>
      </c>
      <c r="H98" s="122"/>
      <c r="I98" s="37"/>
      <c r="J98" s="37"/>
      <c r="K98" s="459"/>
      <c r="L98" s="459"/>
      <c r="O98" s="4"/>
    </row>
    <row r="99" spans="1:18" ht="27.75" customHeight="1">
      <c r="A99" s="460">
        <v>5</v>
      </c>
      <c r="B99" s="436" t="s">
        <v>470</v>
      </c>
      <c r="C99" s="461" t="s">
        <v>485</v>
      </c>
      <c r="D99" s="550"/>
      <c r="E99" s="435" t="s">
        <v>486</v>
      </c>
      <c r="F99" s="464" t="s">
        <v>195</v>
      </c>
      <c r="G99" s="17">
        <v>28958.15</v>
      </c>
      <c r="H99" s="36"/>
      <c r="I99" s="37"/>
      <c r="J99" s="37"/>
      <c r="K99" s="38"/>
      <c r="L99" s="38"/>
      <c r="M99" s="38"/>
    </row>
    <row r="100" spans="1:18" ht="27.6" customHeight="1">
      <c r="A100" s="460"/>
      <c r="B100" s="436" t="s">
        <v>488</v>
      </c>
      <c r="C100" s="461"/>
      <c r="D100" s="550"/>
      <c r="E100" s="435"/>
      <c r="F100" s="444"/>
      <c r="G100" s="17"/>
      <c r="H100" s="36"/>
      <c r="I100" s="37"/>
      <c r="J100" s="37"/>
      <c r="K100" s="38"/>
      <c r="L100" s="38"/>
      <c r="M100" s="38"/>
    </row>
    <row r="101" spans="1:18" ht="27.6" customHeight="1">
      <c r="A101" s="460"/>
      <c r="B101" s="674" t="s">
        <v>489</v>
      </c>
      <c r="C101" s="675"/>
      <c r="D101" s="548"/>
      <c r="E101" s="435"/>
      <c r="F101" s="444"/>
      <c r="G101" s="17"/>
      <c r="H101" s="36"/>
      <c r="I101" s="37"/>
      <c r="J101" s="37"/>
      <c r="K101" s="38"/>
      <c r="L101" s="38"/>
      <c r="M101" s="38"/>
    </row>
    <row r="102" spans="1:18" ht="27.75" customHeight="1" thickBot="1">
      <c r="A102" s="465"/>
      <c r="B102" s="466" t="s">
        <v>22</v>
      </c>
      <c r="C102" s="195"/>
      <c r="D102" s="539"/>
      <c r="E102" s="315"/>
      <c r="F102" s="310"/>
      <c r="G102" s="313">
        <v>829801.72000000009</v>
      </c>
      <c r="H102" s="36"/>
      <c r="I102" s="37"/>
      <c r="J102" s="37"/>
      <c r="K102" s="38"/>
      <c r="L102" s="38"/>
      <c r="M102" s="38"/>
      <c r="P102" s="507">
        <f>SUM(G92:G100)</f>
        <v>829801.72000000009</v>
      </c>
    </row>
    <row r="103" spans="1:18" ht="27.75" customHeight="1" thickTop="1">
      <c r="A103" s="468"/>
      <c r="B103" s="469" t="s">
        <v>490</v>
      </c>
      <c r="C103" s="470"/>
      <c r="D103" s="543"/>
      <c r="E103" s="186"/>
      <c r="F103" s="116"/>
      <c r="G103" s="474"/>
      <c r="H103" s="36"/>
      <c r="I103" s="37"/>
      <c r="J103" s="37"/>
      <c r="K103" s="38"/>
      <c r="L103" s="38"/>
      <c r="M103" s="38"/>
    </row>
    <row r="104" spans="1:18" ht="27.75" customHeight="1">
      <c r="A104" s="475">
        <v>1</v>
      </c>
      <c r="B104" s="436" t="s">
        <v>495</v>
      </c>
      <c r="C104" s="437" t="s">
        <v>496</v>
      </c>
      <c r="D104" s="547"/>
      <c r="E104" s="435"/>
      <c r="F104" s="477" t="s">
        <v>497</v>
      </c>
      <c r="G104" s="17">
        <v>8214529.25</v>
      </c>
      <c r="H104" s="485"/>
      <c r="I104" s="486"/>
      <c r="J104" s="486"/>
      <c r="K104" s="487"/>
      <c r="L104" s="487"/>
    </row>
    <row r="105" spans="1:18" ht="27.75" customHeight="1">
      <c r="A105" s="405"/>
      <c r="B105" s="234" t="s">
        <v>22</v>
      </c>
      <c r="C105" s="407"/>
      <c r="D105" s="544"/>
      <c r="E105" s="412"/>
      <c r="F105" s="408"/>
      <c r="G105" s="239">
        <v>8214529.25</v>
      </c>
      <c r="H105" s="278"/>
      <c r="I105" s="279"/>
      <c r="J105" s="279"/>
      <c r="K105" s="413"/>
      <c r="L105" s="413"/>
      <c r="M105" s="413"/>
      <c r="P105" s="507">
        <f>SUM(G104)</f>
        <v>8214529.25</v>
      </c>
      <c r="R105" s="589"/>
    </row>
    <row r="106" spans="1:18" ht="27.75" customHeight="1">
      <c r="A106" s="426"/>
      <c r="B106" s="4"/>
      <c r="C106" s="295"/>
      <c r="D106" s="546"/>
      <c r="E106" s="433"/>
      <c r="F106" s="427"/>
      <c r="G106" s="430"/>
      <c r="H106" s="424"/>
      <c r="I106" s="425"/>
      <c r="J106" s="425"/>
      <c r="K106" s="345"/>
      <c r="L106" s="345"/>
      <c r="M106" s="345"/>
    </row>
    <row r="107" spans="1:18" ht="27.75" customHeight="1" thickBot="1">
      <c r="A107" s="488"/>
      <c r="B107" s="489" t="s">
        <v>498</v>
      </c>
      <c r="C107" s="490"/>
      <c r="D107" s="551"/>
      <c r="E107" s="495"/>
      <c r="F107" s="496"/>
      <c r="G107" s="493">
        <v>9096508.4481308423</v>
      </c>
      <c r="H107" s="497">
        <v>0</v>
      </c>
      <c r="I107" s="497">
        <v>0</v>
      </c>
      <c r="J107" s="498"/>
      <c r="K107" s="499"/>
      <c r="L107" s="499"/>
      <c r="M107" s="499"/>
      <c r="Q107" s="594">
        <f>SUM(Q89+P102+P105)</f>
        <v>9096508.4481308404</v>
      </c>
      <c r="R107" s="4" t="s">
        <v>1269</v>
      </c>
    </row>
    <row r="108" spans="1:18" s="226" customFormat="1" ht="27.75" customHeight="1" thickTop="1">
      <c r="A108" s="6"/>
      <c r="B108" s="500"/>
      <c r="D108" s="552"/>
      <c r="E108" s="372"/>
      <c r="F108" s="501"/>
      <c r="G108" s="504"/>
      <c r="H108" s="2"/>
      <c r="I108" s="425"/>
      <c r="J108" s="425"/>
      <c r="K108" s="345"/>
      <c r="L108" s="345"/>
    </row>
    <row r="109" spans="1:18" s="226" customFormat="1" ht="27.75" customHeight="1">
      <c r="A109" s="6"/>
      <c r="B109" s="500"/>
      <c r="D109" s="552"/>
      <c r="E109" s="372"/>
      <c r="F109" s="501"/>
      <c r="G109" s="504"/>
      <c r="H109" s="2"/>
      <c r="I109" s="425"/>
      <c r="J109" s="425"/>
      <c r="K109" s="345"/>
      <c r="L109" s="345"/>
    </row>
    <row r="110" spans="1:18" s="226" customFormat="1" ht="27.75" customHeight="1">
      <c r="A110" s="684" t="s">
        <v>932</v>
      </c>
      <c r="B110" s="684"/>
      <c r="C110" s="684"/>
      <c r="D110" s="684"/>
      <c r="E110" s="684"/>
      <c r="F110" s="684"/>
      <c r="G110" s="684"/>
      <c r="H110" s="684"/>
      <c r="I110" s="425"/>
      <c r="J110" s="425"/>
      <c r="K110" s="345"/>
      <c r="L110" s="345"/>
    </row>
    <row r="111" spans="1:18" s="226" customFormat="1" ht="27.75" customHeight="1">
      <c r="A111" s="678" t="s">
        <v>933</v>
      </c>
      <c r="B111" s="678"/>
      <c r="C111" s="678"/>
      <c r="D111" s="678"/>
      <c r="E111" s="678"/>
      <c r="F111" s="678"/>
      <c r="G111" s="678"/>
      <c r="H111" s="678"/>
      <c r="I111" s="425"/>
      <c r="J111" s="425"/>
      <c r="K111" s="345"/>
      <c r="L111" s="345"/>
    </row>
    <row r="112" spans="1:18" s="226" customFormat="1" ht="27.75" customHeight="1">
      <c r="A112" s="678"/>
      <c r="B112" s="678"/>
      <c r="C112" s="678"/>
      <c r="D112" s="678"/>
      <c r="E112" s="678"/>
      <c r="F112" s="678"/>
      <c r="G112" s="678"/>
      <c r="H112" s="678"/>
      <c r="I112" s="425"/>
      <c r="J112" s="425"/>
      <c r="K112" s="345"/>
      <c r="L112" s="345"/>
    </row>
    <row r="113" spans="1:12" s="226" customFormat="1" ht="27.75" customHeight="1">
      <c r="A113" s="6"/>
      <c r="B113" s="500"/>
      <c r="D113" s="552"/>
      <c r="E113" s="372"/>
      <c r="F113" s="501"/>
      <c r="G113" s="504"/>
      <c r="H113" s="2"/>
      <c r="I113" s="425"/>
      <c r="J113" s="425"/>
      <c r="K113" s="345"/>
      <c r="L113" s="345"/>
    </row>
    <row r="114" spans="1:12" s="226" customFormat="1" ht="27.75" customHeight="1">
      <c r="A114" s="6"/>
      <c r="B114" s="500"/>
      <c r="D114" s="552"/>
      <c r="E114" s="372"/>
      <c r="F114" s="501"/>
      <c r="G114" s="430"/>
      <c r="H114" s="2"/>
      <c r="I114" s="425"/>
      <c r="J114" s="425"/>
      <c r="K114" s="345"/>
      <c r="L114" s="345"/>
    </row>
    <row r="115" spans="1:12" s="226" customFormat="1" ht="27.75" customHeight="1">
      <c r="A115" s="6"/>
      <c r="B115" s="500"/>
      <c r="D115" s="552"/>
      <c r="E115" s="372"/>
      <c r="F115" s="501"/>
      <c r="G115" s="504"/>
      <c r="H115" s="2"/>
      <c r="I115" s="425"/>
      <c r="J115" s="425"/>
      <c r="K115" s="345"/>
      <c r="L115" s="345"/>
    </row>
    <row r="116" spans="1:12" s="226" customFormat="1" ht="27.75" customHeight="1">
      <c r="A116" s="6"/>
      <c r="B116" s="500"/>
      <c r="D116" s="552"/>
      <c r="E116" s="372"/>
      <c r="F116" s="501"/>
      <c r="G116" s="504"/>
      <c r="H116" s="2"/>
      <c r="I116" s="425"/>
      <c r="J116" s="425"/>
      <c r="K116" s="345"/>
      <c r="L116" s="345"/>
    </row>
    <row r="117" spans="1:12" s="226" customFormat="1" ht="27.75" customHeight="1">
      <c r="A117" s="6"/>
      <c r="B117" s="500"/>
      <c r="D117" s="552"/>
      <c r="E117" s="372"/>
      <c r="F117" s="501"/>
      <c r="G117" s="504"/>
      <c r="H117" s="2"/>
      <c r="I117" s="425"/>
      <c r="J117" s="425"/>
      <c r="K117" s="345"/>
      <c r="L117" s="345"/>
    </row>
    <row r="118" spans="1:12" s="226" customFormat="1" ht="27.75" customHeight="1">
      <c r="A118" s="6"/>
      <c r="B118" s="500"/>
      <c r="D118" s="552"/>
      <c r="E118" s="372"/>
      <c r="F118" s="501"/>
      <c r="G118" s="504"/>
      <c r="H118" s="2"/>
      <c r="I118" s="425"/>
      <c r="J118" s="425"/>
      <c r="K118" s="345"/>
      <c r="L118" s="345"/>
    </row>
    <row r="119" spans="1:12" s="226" customFormat="1" ht="27.75" customHeight="1">
      <c r="A119" s="6"/>
      <c r="B119" s="500"/>
      <c r="D119" s="552"/>
      <c r="E119" s="372"/>
      <c r="F119" s="501"/>
      <c r="G119" s="504"/>
      <c r="H119" s="2"/>
      <c r="I119" s="425"/>
      <c r="J119" s="425"/>
      <c r="K119" s="345"/>
      <c r="L119" s="345"/>
    </row>
    <row r="120" spans="1:12" s="226" customFormat="1" ht="27.75" customHeight="1">
      <c r="A120" s="6"/>
      <c r="B120" s="500"/>
      <c r="D120" s="552"/>
      <c r="E120" s="372"/>
      <c r="F120" s="501"/>
      <c r="G120" s="504"/>
      <c r="H120" s="2"/>
      <c r="I120" s="425"/>
      <c r="J120" s="425"/>
      <c r="K120" s="345"/>
      <c r="L120" s="345"/>
    </row>
    <row r="121" spans="1:12" s="226" customFormat="1" ht="27.75" customHeight="1">
      <c r="A121" s="6"/>
      <c r="B121" s="500"/>
      <c r="D121" s="552"/>
      <c r="E121" s="372"/>
      <c r="F121" s="501"/>
      <c r="G121" s="504"/>
      <c r="H121" s="2"/>
      <c r="I121" s="425"/>
      <c r="J121" s="425"/>
      <c r="K121" s="345"/>
      <c r="L121" s="345"/>
    </row>
    <row r="122" spans="1:12" s="226" customFormat="1" ht="27.75" customHeight="1">
      <c r="A122" s="6"/>
      <c r="B122" s="500"/>
      <c r="D122" s="552"/>
      <c r="E122" s="372"/>
      <c r="F122" s="501"/>
      <c r="G122" s="504"/>
      <c r="H122" s="2"/>
      <c r="I122" s="425"/>
      <c r="J122" s="425"/>
      <c r="K122" s="345"/>
      <c r="L122" s="345"/>
    </row>
    <row r="123" spans="1:12" s="226" customFormat="1" ht="27.75" customHeight="1">
      <c r="A123" s="6"/>
      <c r="B123" s="500"/>
      <c r="D123" s="552"/>
      <c r="E123" s="372"/>
      <c r="F123" s="501"/>
      <c r="G123" s="504"/>
      <c r="H123" s="2"/>
      <c r="I123" s="425"/>
      <c r="J123" s="425"/>
      <c r="K123" s="345"/>
      <c r="L123" s="345"/>
    </row>
    <row r="124" spans="1:12" s="226" customFormat="1" ht="27.75" customHeight="1">
      <c r="A124" s="6"/>
      <c r="D124" s="552"/>
      <c r="E124" s="372"/>
      <c r="F124" s="501"/>
      <c r="G124" s="504"/>
      <c r="H124" s="2"/>
      <c r="I124" s="425"/>
      <c r="J124" s="425"/>
      <c r="K124" s="345"/>
      <c r="L124" s="345"/>
    </row>
    <row r="125" spans="1:12" ht="27.75" customHeight="1">
      <c r="B125" s="4"/>
      <c r="F125" s="4"/>
      <c r="K125" s="4"/>
      <c r="L125" s="4"/>
    </row>
    <row r="126" spans="1:12" ht="27.75" customHeight="1">
      <c r="B126" s="4"/>
      <c r="F126" s="4"/>
      <c r="K126" s="4"/>
      <c r="L126" s="4"/>
    </row>
    <row r="127" spans="1:12" ht="27.75" customHeight="1">
      <c r="B127" s="4"/>
      <c r="F127" s="4"/>
      <c r="K127" s="4"/>
      <c r="L127" s="4"/>
    </row>
    <row r="128" spans="1:12" ht="27.75" customHeight="1">
      <c r="B128" s="4"/>
      <c r="F128" s="4"/>
      <c r="K128" s="4"/>
      <c r="L128" s="4"/>
    </row>
    <row r="129" spans="2:12" ht="27.75" customHeight="1">
      <c r="B129" s="4"/>
      <c r="F129" s="4"/>
      <c r="K129" s="4"/>
      <c r="L129" s="4"/>
    </row>
    <row r="130" spans="2:12" ht="27.75" customHeight="1">
      <c r="B130" s="4"/>
      <c r="F130" s="4"/>
      <c r="K130" s="4"/>
      <c r="L130" s="4"/>
    </row>
    <row r="131" spans="2:12" ht="27.75" customHeight="1">
      <c r="B131" s="4"/>
      <c r="F131" s="4"/>
      <c r="K131" s="4"/>
      <c r="L131" s="4"/>
    </row>
    <row r="132" spans="2:12" ht="27.75" customHeight="1">
      <c r="B132" s="4"/>
      <c r="F132" s="4"/>
      <c r="K132" s="4"/>
      <c r="L132" s="4"/>
    </row>
    <row r="133" spans="2:12" ht="27.75" customHeight="1">
      <c r="B133" s="4"/>
      <c r="F133" s="4"/>
      <c r="K133" s="4"/>
      <c r="L133" s="4"/>
    </row>
    <row r="134" spans="2:12" ht="27.75" customHeight="1">
      <c r="B134" s="4"/>
      <c r="F134" s="4"/>
      <c r="K134" s="4"/>
      <c r="L134" s="4"/>
    </row>
    <row r="135" spans="2:12" ht="27.75" customHeight="1">
      <c r="B135" s="4"/>
      <c r="F135" s="4"/>
      <c r="K135" s="4"/>
      <c r="L135" s="4"/>
    </row>
    <row r="136" spans="2:12" ht="27.75" customHeight="1">
      <c r="B136" s="4"/>
      <c r="F136" s="4"/>
      <c r="K136" s="4"/>
      <c r="L136" s="4"/>
    </row>
    <row r="137" spans="2:12" ht="27.75" customHeight="1">
      <c r="B137" s="4"/>
      <c r="F137" s="4"/>
      <c r="K137" s="4"/>
      <c r="L137" s="4"/>
    </row>
    <row r="138" spans="2:12" ht="27.75" customHeight="1">
      <c r="B138" s="4"/>
      <c r="F138" s="4"/>
      <c r="K138" s="4"/>
      <c r="L138" s="4"/>
    </row>
    <row r="139" spans="2:12" ht="27.75" customHeight="1">
      <c r="B139" s="4"/>
      <c r="F139" s="4"/>
      <c r="K139" s="4"/>
      <c r="L139" s="4"/>
    </row>
    <row r="140" spans="2:12" ht="27.75" customHeight="1">
      <c r="B140" s="4"/>
      <c r="F140" s="4"/>
      <c r="K140" s="4"/>
      <c r="L140" s="4"/>
    </row>
    <row r="152" spans="4:7" s="4" customFormat="1" ht="27.75" customHeight="1">
      <c r="D152" s="552"/>
      <c r="E152" s="372"/>
      <c r="G152" s="507"/>
    </row>
    <row r="153" spans="4:7" s="4" customFormat="1" ht="27.75" customHeight="1">
      <c r="D153" s="552"/>
      <c r="E153" s="372"/>
      <c r="G153" s="507"/>
    </row>
    <row r="154" spans="4:7" s="4" customFormat="1" ht="27.75" customHeight="1">
      <c r="D154" s="552"/>
      <c r="E154" s="372"/>
      <c r="G154" s="507"/>
    </row>
    <row r="155" spans="4:7" s="4" customFormat="1" ht="27.75" customHeight="1">
      <c r="D155" s="552"/>
      <c r="E155" s="372"/>
      <c r="G155" s="507"/>
    </row>
    <row r="156" spans="4:7" s="4" customFormat="1" ht="27.75" customHeight="1">
      <c r="D156" s="552"/>
      <c r="E156" s="372"/>
      <c r="G156" s="507"/>
    </row>
    <row r="157" spans="4:7" s="4" customFormat="1" ht="27.75" customHeight="1">
      <c r="D157" s="552"/>
      <c r="E157" s="372"/>
      <c r="G157" s="507"/>
    </row>
    <row r="158" spans="4:7" s="4" customFormat="1" ht="27.75" customHeight="1">
      <c r="D158" s="552"/>
      <c r="E158" s="372"/>
      <c r="G158" s="507"/>
    </row>
    <row r="159" spans="4:7" s="4" customFormat="1" ht="27.75" customHeight="1">
      <c r="D159" s="552"/>
      <c r="E159" s="372"/>
      <c r="G159" s="507"/>
    </row>
    <row r="160" spans="4:7" s="4" customFormat="1" ht="27.75" customHeight="1">
      <c r="D160" s="552"/>
      <c r="E160" s="372"/>
      <c r="G160" s="507"/>
    </row>
    <row r="161" spans="4:7" s="4" customFormat="1" ht="27.75" customHeight="1">
      <c r="D161" s="552"/>
      <c r="E161" s="372"/>
      <c r="G161" s="507"/>
    </row>
    <row r="162" spans="4:7" s="4" customFormat="1" ht="27.75" customHeight="1">
      <c r="D162" s="552"/>
      <c r="E162" s="372"/>
      <c r="G162" s="507"/>
    </row>
    <row r="163" spans="4:7" s="4" customFormat="1" ht="27.75" customHeight="1">
      <c r="D163" s="552"/>
      <c r="E163" s="372"/>
      <c r="G163" s="507"/>
    </row>
    <row r="164" spans="4:7" s="4" customFormat="1" ht="27.75" customHeight="1">
      <c r="D164" s="552"/>
      <c r="E164" s="372"/>
      <c r="G164" s="507"/>
    </row>
  </sheetData>
  <mergeCells count="20">
    <mergeCell ref="A111:H111"/>
    <mergeCell ref="A112:H112"/>
    <mergeCell ref="F5:F6"/>
    <mergeCell ref="B94:C94"/>
    <mergeCell ref="B98:C98"/>
    <mergeCell ref="B101:C101"/>
    <mergeCell ref="A110:H110"/>
    <mergeCell ref="I4:I6"/>
    <mergeCell ref="J4:J6"/>
    <mergeCell ref="K4:K6"/>
    <mergeCell ref="L4:L6"/>
    <mergeCell ref="A5:A6"/>
    <mergeCell ref="B5:B6"/>
    <mergeCell ref="C5:C6"/>
    <mergeCell ref="A1:G1"/>
    <mergeCell ref="A2:G2"/>
    <mergeCell ref="A3:G3"/>
    <mergeCell ref="E4:G4"/>
    <mergeCell ref="H4:H6"/>
    <mergeCell ref="E5:E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E992-6FEE-43FD-B9B8-ECF3ABBF42AD}">
  <sheetPr>
    <tabColor rgb="FFFFC000"/>
  </sheetPr>
  <dimension ref="A1:Q93"/>
  <sheetViews>
    <sheetView zoomScale="60" zoomScaleNormal="60" workbookViewId="0">
      <pane ySplit="6" topLeftCell="A7" activePane="bottomLeft" state="frozen"/>
      <selection pane="bottomLeft" activeCell="F34" sqref="F34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0" style="372" customWidth="1"/>
    <col min="5" max="5" width="9.109375" style="2" customWidth="1"/>
    <col min="6" max="6" width="23.6640625" style="507" customWidth="1"/>
    <col min="7" max="7" width="5.33203125" style="2" hidden="1" customWidth="1"/>
    <col min="8" max="8" width="9" style="508" hidden="1" customWidth="1"/>
    <col min="9" max="9" width="9.6640625" style="508" hidden="1" customWidth="1"/>
    <col min="10" max="10" width="10.88671875" style="512" hidden="1" customWidth="1"/>
    <col min="11" max="11" width="24.5546875" style="512" hidden="1" customWidth="1"/>
    <col min="12" max="13" width="8.88671875" style="4" hidden="1" customWidth="1"/>
    <col min="14" max="14" width="8.88671875" style="4"/>
    <col min="15" max="15" width="23.44140625" style="4" customWidth="1"/>
    <col min="16" max="16" width="18.88671875" style="4" customWidth="1"/>
    <col min="17" max="17" width="14.5546875" style="4" bestFit="1" customWidth="1"/>
    <col min="18" max="16384" width="8.88671875" style="4"/>
  </cols>
  <sheetData>
    <row r="1" spans="1:12" ht="28.5" customHeight="1">
      <c r="A1" s="653" t="s">
        <v>0</v>
      </c>
      <c r="B1" s="653"/>
      <c r="C1" s="653"/>
      <c r="D1" s="653"/>
      <c r="E1" s="653"/>
      <c r="F1" s="653"/>
      <c r="H1" s="3"/>
      <c r="I1" s="3"/>
      <c r="J1" s="1"/>
      <c r="K1" s="1"/>
    </row>
    <row r="2" spans="1:12" ht="23.25" customHeight="1">
      <c r="A2" s="653" t="s">
        <v>1</v>
      </c>
      <c r="B2" s="653"/>
      <c r="C2" s="653"/>
      <c r="D2" s="653"/>
      <c r="E2" s="653"/>
      <c r="F2" s="653"/>
      <c r="G2" s="5"/>
      <c r="H2" s="3"/>
      <c r="I2" s="3"/>
      <c r="J2" s="1"/>
      <c r="K2" s="1"/>
    </row>
    <row r="3" spans="1:12" ht="28.5" customHeight="1">
      <c r="A3" s="654" t="s">
        <v>1157</v>
      </c>
      <c r="B3" s="654"/>
      <c r="C3" s="654"/>
      <c r="D3" s="654"/>
      <c r="E3" s="654"/>
      <c r="F3" s="654"/>
      <c r="H3" s="3"/>
      <c r="I3" s="3"/>
      <c r="J3" s="6"/>
      <c r="K3" s="6"/>
    </row>
    <row r="4" spans="1:12" ht="27.75" customHeight="1">
      <c r="A4" s="7"/>
      <c r="B4" s="8"/>
      <c r="C4" s="9"/>
      <c r="D4" s="655" t="s">
        <v>5</v>
      </c>
      <c r="E4" s="656"/>
      <c r="F4" s="657"/>
      <c r="G4" s="658" t="s">
        <v>6</v>
      </c>
      <c r="H4" s="671" t="s">
        <v>7</v>
      </c>
      <c r="I4" s="671" t="s">
        <v>8</v>
      </c>
      <c r="J4" s="661" t="s">
        <v>9</v>
      </c>
      <c r="K4" s="661" t="s">
        <v>10</v>
      </c>
    </row>
    <row r="5" spans="1:12" ht="27.75" customHeight="1">
      <c r="A5" s="664" t="s">
        <v>11</v>
      </c>
      <c r="B5" s="666" t="s">
        <v>12</v>
      </c>
      <c r="C5" s="666" t="s">
        <v>13</v>
      </c>
      <c r="D5" s="664" t="s">
        <v>15</v>
      </c>
      <c r="E5" s="669" t="s">
        <v>16</v>
      </c>
      <c r="F5" s="514"/>
      <c r="G5" s="659"/>
      <c r="H5" s="672"/>
      <c r="I5" s="672"/>
      <c r="J5" s="662"/>
      <c r="K5" s="662"/>
    </row>
    <row r="6" spans="1:12" ht="27.75" customHeight="1" thickBot="1">
      <c r="A6" s="665"/>
      <c r="B6" s="667"/>
      <c r="C6" s="667"/>
      <c r="D6" s="668"/>
      <c r="E6" s="670"/>
      <c r="F6" s="21" t="s">
        <v>22</v>
      </c>
      <c r="G6" s="660"/>
      <c r="H6" s="673"/>
      <c r="I6" s="673"/>
      <c r="J6" s="663"/>
      <c r="K6" s="663"/>
    </row>
    <row r="7" spans="1:12" ht="27.75" customHeight="1" thickTop="1">
      <c r="A7" s="232"/>
      <c r="B7" s="553" t="s">
        <v>596</v>
      </c>
      <c r="C7" s="553"/>
      <c r="D7" s="232"/>
      <c r="E7" s="251"/>
      <c r="F7" s="554"/>
      <c r="G7" s="517"/>
      <c r="H7" s="515"/>
      <c r="I7" s="515"/>
      <c r="J7" s="516"/>
      <c r="K7" s="516"/>
    </row>
    <row r="8" spans="1:12" ht="27.75" customHeight="1">
      <c r="A8" s="39">
        <v>1</v>
      </c>
      <c r="B8" s="40" t="s">
        <v>82</v>
      </c>
      <c r="C8" s="41" t="s">
        <v>72</v>
      </c>
      <c r="D8" s="94" t="s">
        <v>1109</v>
      </c>
      <c r="E8" s="116">
        <v>1</v>
      </c>
      <c r="F8" s="54">
        <v>239.67813084112203</v>
      </c>
      <c r="G8" s="39"/>
      <c r="H8" s="55"/>
      <c r="I8" s="55"/>
      <c r="J8" s="56"/>
      <c r="K8" s="56"/>
    </row>
    <row r="9" spans="1:12" s="57" customFormat="1" ht="27.75" customHeight="1">
      <c r="A9" s="39">
        <v>2</v>
      </c>
      <c r="B9" s="40" t="s">
        <v>1267</v>
      </c>
      <c r="C9" s="140" t="s">
        <v>102</v>
      </c>
      <c r="D9" s="145" t="s">
        <v>1109</v>
      </c>
      <c r="E9" s="146">
        <v>1</v>
      </c>
      <c r="F9" s="47">
        <v>160.5</v>
      </c>
      <c r="G9" s="146"/>
      <c r="H9" s="148"/>
      <c r="I9" s="148"/>
      <c r="J9" s="149"/>
      <c r="K9" s="149"/>
    </row>
    <row r="10" spans="1:12" ht="27.75" customHeight="1">
      <c r="A10" s="39">
        <v>3</v>
      </c>
      <c r="B10" s="40" t="s">
        <v>180</v>
      </c>
      <c r="C10" s="41" t="s">
        <v>181</v>
      </c>
      <c r="D10" s="83" t="s">
        <v>1109</v>
      </c>
      <c r="E10" s="39">
        <v>1</v>
      </c>
      <c r="F10" s="47">
        <v>160.5</v>
      </c>
      <c r="G10" s="116"/>
      <c r="H10" s="203"/>
      <c r="I10" s="203"/>
      <c r="J10" s="204"/>
      <c r="K10" s="204"/>
    </row>
    <row r="11" spans="1:12" s="226" customFormat="1" ht="27.75" customHeight="1">
      <c r="A11" s="39">
        <v>4</v>
      </c>
      <c r="B11" s="206" t="s">
        <v>90</v>
      </c>
      <c r="C11" s="224" t="s">
        <v>246</v>
      </c>
      <c r="D11" s="232" t="s">
        <v>1109</v>
      </c>
      <c r="E11" s="116">
        <v>0.93457943925233644</v>
      </c>
      <c r="F11" s="47">
        <v>22470</v>
      </c>
      <c r="G11" s="39"/>
      <c r="H11" s="55"/>
      <c r="I11" s="55"/>
      <c r="J11" s="56"/>
      <c r="K11" s="56"/>
    </row>
    <row r="12" spans="1:12" s="226" customFormat="1" ht="27.75" customHeight="1">
      <c r="A12" s="39">
        <v>5</v>
      </c>
      <c r="B12" s="41" t="s">
        <v>249</v>
      </c>
      <c r="C12" s="224" t="s">
        <v>250</v>
      </c>
      <c r="D12" s="83" t="s">
        <v>1109</v>
      </c>
      <c r="E12" s="116">
        <v>0.934579439252336</v>
      </c>
      <c r="F12" s="47">
        <v>6420</v>
      </c>
      <c r="G12" s="39"/>
      <c r="H12" s="55"/>
      <c r="I12" s="55"/>
      <c r="J12" s="56"/>
      <c r="K12" s="56"/>
    </row>
    <row r="13" spans="1:12" s="226" customFormat="1" ht="27.75" customHeight="1">
      <c r="A13" s="39">
        <v>6</v>
      </c>
      <c r="B13" s="41" t="s">
        <v>252</v>
      </c>
      <c r="C13" s="224" t="s">
        <v>253</v>
      </c>
      <c r="D13" s="83" t="s">
        <v>1109</v>
      </c>
      <c r="E13" s="116">
        <v>1</v>
      </c>
      <c r="F13" s="47">
        <v>6420</v>
      </c>
      <c r="G13" s="39"/>
      <c r="H13" s="55"/>
      <c r="I13" s="55"/>
      <c r="J13" s="56"/>
      <c r="K13" s="56"/>
    </row>
    <row r="14" spans="1:12" s="226" customFormat="1" ht="27.75" customHeight="1">
      <c r="A14" s="39">
        <v>7</v>
      </c>
      <c r="B14" s="41" t="s">
        <v>254</v>
      </c>
      <c r="C14" s="224" t="s">
        <v>255</v>
      </c>
      <c r="D14" s="83" t="s">
        <v>1109</v>
      </c>
      <c r="E14" s="116">
        <v>0.93457943925233611</v>
      </c>
      <c r="F14" s="47">
        <v>9630</v>
      </c>
      <c r="G14" s="39"/>
      <c r="H14" s="55"/>
      <c r="I14" s="55"/>
      <c r="J14" s="56"/>
      <c r="K14" s="56"/>
    </row>
    <row r="15" spans="1:12" s="226" customFormat="1" ht="27.75" customHeight="1">
      <c r="A15" s="39">
        <v>8</v>
      </c>
      <c r="B15" s="81" t="s">
        <v>267</v>
      </c>
      <c r="C15" s="224" t="s">
        <v>268</v>
      </c>
      <c r="D15" s="83" t="s">
        <v>1109</v>
      </c>
      <c r="E15" s="116">
        <v>0.93457943925233578</v>
      </c>
      <c r="F15" s="47">
        <v>6420</v>
      </c>
      <c r="G15" s="39"/>
      <c r="H15" s="55"/>
      <c r="I15" s="55"/>
      <c r="J15" s="56"/>
      <c r="K15" s="56"/>
    </row>
    <row r="16" spans="1:12" ht="27.75" customHeight="1">
      <c r="A16" s="39">
        <v>9</v>
      </c>
      <c r="B16" s="280" t="s">
        <v>249</v>
      </c>
      <c r="C16" s="280" t="s">
        <v>250</v>
      </c>
      <c r="D16" s="320" t="s">
        <v>1109</v>
      </c>
      <c r="E16" s="39">
        <v>1</v>
      </c>
      <c r="F16" s="66">
        <v>181.9</v>
      </c>
      <c r="G16" s="36"/>
      <c r="H16" s="37"/>
      <c r="I16" s="37"/>
      <c r="J16" s="38"/>
      <c r="K16" s="38"/>
      <c r="L16" s="38"/>
    </row>
    <row r="17" spans="1:17" ht="27.75" customHeight="1">
      <c r="A17" s="39">
        <v>10</v>
      </c>
      <c r="B17" s="280" t="s">
        <v>294</v>
      </c>
      <c r="C17" s="280" t="s">
        <v>255</v>
      </c>
      <c r="D17" s="320" t="s">
        <v>1109</v>
      </c>
      <c r="E17" s="39">
        <v>1</v>
      </c>
      <c r="F17" s="66">
        <v>74.900000000000006</v>
      </c>
      <c r="G17" s="36"/>
      <c r="H17" s="37"/>
      <c r="I17" s="37"/>
      <c r="J17" s="38"/>
      <c r="K17" s="38"/>
      <c r="L17" s="38"/>
    </row>
    <row r="18" spans="1:17" ht="27.75" customHeight="1" thickBot="1">
      <c r="A18" s="414"/>
      <c r="B18" s="415"/>
      <c r="C18" s="416" t="s">
        <v>468</v>
      </c>
      <c r="D18" s="423"/>
      <c r="E18" s="422"/>
      <c r="F18" s="420">
        <f>SUM(F8:F17)</f>
        <v>52177.478130841126</v>
      </c>
      <c r="G18" s="424"/>
      <c r="H18" s="425"/>
      <c r="I18" s="425"/>
      <c r="J18" s="345"/>
      <c r="K18" s="345"/>
      <c r="L18" s="345"/>
      <c r="P18" s="594">
        <v>52177.478130841126</v>
      </c>
      <c r="Q18" s="4" t="s">
        <v>818</v>
      </c>
    </row>
    <row r="19" spans="1:17" ht="27.75" customHeight="1" thickTop="1">
      <c r="A19" s="426"/>
      <c r="B19" s="4"/>
      <c r="C19" s="295"/>
      <c r="D19" s="433"/>
      <c r="E19" s="427"/>
      <c r="F19" s="430"/>
      <c r="G19" s="424"/>
      <c r="H19" s="425"/>
      <c r="I19" s="425"/>
      <c r="J19" s="345"/>
      <c r="K19" s="345"/>
      <c r="L19" s="345"/>
    </row>
    <row r="20" spans="1:17" ht="27.75" customHeight="1">
      <c r="A20" s="426"/>
      <c r="B20" s="434" t="s">
        <v>469</v>
      </c>
      <c r="C20" s="295"/>
      <c r="D20" s="433"/>
      <c r="E20" s="427"/>
      <c r="F20" s="430"/>
      <c r="G20" s="424"/>
      <c r="H20" s="425"/>
      <c r="I20" s="425"/>
      <c r="J20" s="345"/>
      <c r="K20" s="345"/>
      <c r="L20" s="345"/>
    </row>
    <row r="21" spans="1:17" ht="27.75" customHeight="1">
      <c r="A21" s="435">
        <v>1</v>
      </c>
      <c r="B21" s="436" t="s">
        <v>470</v>
      </c>
      <c r="C21" s="437" t="s">
        <v>471</v>
      </c>
      <c r="D21" s="435" t="s">
        <v>473</v>
      </c>
      <c r="E21" s="444">
        <v>21</v>
      </c>
      <c r="F21" s="17">
        <v>361288.35</v>
      </c>
      <c r="G21" s="251" t="s">
        <v>195</v>
      </c>
      <c r="H21" s="446">
        <v>41883</v>
      </c>
      <c r="I21" s="446">
        <v>42978</v>
      </c>
      <c r="J21" s="447">
        <v>90000</v>
      </c>
      <c r="K21" s="447" t="s">
        <v>474</v>
      </c>
    </row>
    <row r="22" spans="1:17" ht="27.75" customHeight="1">
      <c r="A22" s="435"/>
      <c r="B22" s="436" t="s">
        <v>476</v>
      </c>
      <c r="C22" s="437"/>
      <c r="D22" s="435"/>
      <c r="E22" s="444"/>
      <c r="F22" s="17">
        <v>0</v>
      </c>
      <c r="G22" s="116"/>
      <c r="H22" s="203"/>
      <c r="I22" s="203"/>
      <c r="J22" s="204"/>
      <c r="K22" s="204"/>
    </row>
    <row r="23" spans="1:17" ht="27.75" customHeight="1">
      <c r="A23" s="435"/>
      <c r="B23" s="674" t="s">
        <v>477</v>
      </c>
      <c r="C23" s="675"/>
      <c r="D23" s="435"/>
      <c r="E23" s="444"/>
      <c r="F23" s="17">
        <v>0</v>
      </c>
      <c r="G23" s="116"/>
      <c r="H23" s="203"/>
      <c r="I23" s="203"/>
      <c r="J23" s="204"/>
      <c r="K23" s="204"/>
    </row>
    <row r="24" spans="1:17" ht="27.75" customHeight="1">
      <c r="A24" s="435">
        <v>2</v>
      </c>
      <c r="B24" s="450" t="s">
        <v>470</v>
      </c>
      <c r="C24" s="451" t="s">
        <v>478</v>
      </c>
      <c r="D24" s="435" t="s">
        <v>479</v>
      </c>
      <c r="E24" s="444">
        <v>6</v>
      </c>
      <c r="F24" s="17">
        <v>96700.72</v>
      </c>
      <c r="G24" s="116"/>
      <c r="H24" s="203"/>
      <c r="I24" s="203"/>
      <c r="J24" s="204"/>
      <c r="K24" s="204"/>
    </row>
    <row r="25" spans="1:17" ht="27.75" customHeight="1">
      <c r="A25" s="435">
        <v>3</v>
      </c>
      <c r="B25" s="450" t="s">
        <v>470</v>
      </c>
      <c r="C25" s="451" t="s">
        <v>480</v>
      </c>
      <c r="D25" s="435" t="s">
        <v>481</v>
      </c>
      <c r="E25" s="444">
        <v>16</v>
      </c>
      <c r="F25" s="17">
        <v>285799.45</v>
      </c>
      <c r="G25" s="116"/>
      <c r="H25" s="203"/>
      <c r="I25" s="203"/>
      <c r="J25" s="204"/>
      <c r="K25" s="204"/>
    </row>
    <row r="26" spans="1:17" s="226" customFormat="1" ht="27.75" customHeight="1">
      <c r="A26" s="440">
        <v>4</v>
      </c>
      <c r="B26" s="436" t="s">
        <v>470</v>
      </c>
      <c r="C26" s="453" t="s">
        <v>482</v>
      </c>
      <c r="D26" s="435" t="s">
        <v>483</v>
      </c>
      <c r="E26" s="448" t="s">
        <v>195</v>
      </c>
      <c r="F26" s="17">
        <v>57055.05</v>
      </c>
      <c r="G26" s="39"/>
      <c r="H26" s="55"/>
      <c r="I26" s="55"/>
      <c r="J26" s="141"/>
      <c r="K26" s="141"/>
      <c r="N26" s="4"/>
    </row>
    <row r="27" spans="1:17" s="226" customFormat="1" ht="27.75" customHeight="1">
      <c r="A27" s="440"/>
      <c r="B27" s="676" t="s">
        <v>484</v>
      </c>
      <c r="C27" s="677"/>
      <c r="D27" s="435"/>
      <c r="E27" s="448"/>
      <c r="F27" s="17">
        <v>0</v>
      </c>
      <c r="G27" s="122"/>
      <c r="H27" s="37"/>
      <c r="I27" s="37"/>
      <c r="J27" s="459"/>
      <c r="K27" s="459"/>
      <c r="N27" s="4"/>
    </row>
    <row r="28" spans="1:17" ht="27.75" customHeight="1">
      <c r="A28" s="460">
        <v>5</v>
      </c>
      <c r="B28" s="436" t="s">
        <v>470</v>
      </c>
      <c r="C28" s="461" t="s">
        <v>485</v>
      </c>
      <c r="D28" s="435" t="s">
        <v>486</v>
      </c>
      <c r="E28" s="464" t="s">
        <v>195</v>
      </c>
      <c r="F28" s="17">
        <v>28958.15</v>
      </c>
      <c r="G28" s="36"/>
      <c r="H28" s="37"/>
      <c r="I28" s="37"/>
      <c r="J28" s="38"/>
      <c r="K28" s="38"/>
      <c r="L28" s="38"/>
    </row>
    <row r="29" spans="1:17" ht="27.6" customHeight="1">
      <c r="A29" s="460"/>
      <c r="B29" s="436" t="s">
        <v>488</v>
      </c>
      <c r="C29" s="461"/>
      <c r="D29" s="435"/>
      <c r="E29" s="444"/>
      <c r="F29" s="17"/>
      <c r="G29" s="36"/>
      <c r="H29" s="37"/>
      <c r="I29" s="37"/>
      <c r="J29" s="38"/>
      <c r="K29" s="38"/>
      <c r="L29" s="38"/>
    </row>
    <row r="30" spans="1:17" ht="27.6" customHeight="1">
      <c r="A30" s="460"/>
      <c r="B30" s="674" t="s">
        <v>489</v>
      </c>
      <c r="C30" s="675"/>
      <c r="D30" s="435"/>
      <c r="E30" s="444"/>
      <c r="F30" s="17"/>
      <c r="G30" s="36"/>
      <c r="H30" s="37"/>
      <c r="I30" s="37"/>
      <c r="J30" s="38"/>
      <c r="K30" s="38"/>
      <c r="L30" s="38"/>
    </row>
    <row r="31" spans="1:17" ht="27.75" customHeight="1" thickBot="1">
      <c r="A31" s="465"/>
      <c r="B31" s="466" t="s">
        <v>22</v>
      </c>
      <c r="C31" s="195"/>
      <c r="D31" s="315"/>
      <c r="E31" s="310"/>
      <c r="F31" s="313">
        <v>829801.72000000009</v>
      </c>
      <c r="G31" s="36"/>
      <c r="H31" s="37"/>
      <c r="I31" s="37"/>
      <c r="J31" s="38"/>
      <c r="K31" s="38"/>
      <c r="L31" s="38"/>
      <c r="O31" s="507">
        <v>829801.72000000009</v>
      </c>
    </row>
    <row r="32" spans="1:17" ht="27.75" customHeight="1" thickTop="1">
      <c r="A32" s="468"/>
      <c r="B32" s="469" t="s">
        <v>490</v>
      </c>
      <c r="C32" s="470"/>
      <c r="D32" s="186"/>
      <c r="E32" s="116"/>
      <c r="F32" s="474"/>
      <c r="G32" s="36"/>
      <c r="H32" s="37"/>
      <c r="I32" s="37"/>
      <c r="J32" s="38"/>
      <c r="K32" s="38"/>
      <c r="L32" s="38"/>
    </row>
    <row r="33" spans="1:17" ht="27.75" customHeight="1">
      <c r="A33" s="475">
        <v>1</v>
      </c>
      <c r="B33" s="436" t="s">
        <v>495</v>
      </c>
      <c r="C33" s="437" t="s">
        <v>496</v>
      </c>
      <c r="D33" s="435"/>
      <c r="E33" s="477" t="s">
        <v>497</v>
      </c>
      <c r="F33" s="17">
        <v>8214529.25</v>
      </c>
      <c r="G33" s="485"/>
      <c r="H33" s="486"/>
      <c r="I33" s="486"/>
      <c r="J33" s="487"/>
      <c r="K33" s="487"/>
    </row>
    <row r="34" spans="1:17" ht="27.75" customHeight="1">
      <c r="A34" s="405"/>
      <c r="B34" s="234" t="s">
        <v>22</v>
      </c>
      <c r="C34" s="407"/>
      <c r="D34" s="412"/>
      <c r="E34" s="408"/>
      <c r="F34" s="239">
        <v>8214529.25</v>
      </c>
      <c r="G34" s="278"/>
      <c r="H34" s="279"/>
      <c r="I34" s="279"/>
      <c r="J34" s="413"/>
      <c r="K34" s="413"/>
      <c r="L34" s="413"/>
      <c r="O34" s="507">
        <v>8214529.25</v>
      </c>
      <c r="Q34" s="589"/>
    </row>
    <row r="35" spans="1:17" ht="27.75" customHeight="1">
      <c r="A35" s="426"/>
      <c r="B35" s="4"/>
      <c r="C35" s="295"/>
      <c r="D35" s="433"/>
      <c r="E35" s="427"/>
      <c r="F35" s="430"/>
      <c r="G35" s="424"/>
      <c r="H35" s="425"/>
      <c r="I35" s="425"/>
      <c r="J35" s="345"/>
      <c r="K35" s="345"/>
      <c r="L35" s="345"/>
    </row>
    <row r="36" spans="1:17" ht="27.75" customHeight="1" thickBot="1">
      <c r="A36" s="488"/>
      <c r="B36" s="489" t="s">
        <v>498</v>
      </c>
      <c r="C36" s="490"/>
      <c r="D36" s="495"/>
      <c r="E36" s="496"/>
      <c r="F36" s="493">
        <v>9096508.4481308423</v>
      </c>
      <c r="G36" s="497">
        <v>0</v>
      </c>
      <c r="H36" s="497">
        <v>0</v>
      </c>
      <c r="I36" s="498"/>
      <c r="J36" s="499"/>
      <c r="K36" s="499"/>
      <c r="L36" s="499"/>
      <c r="P36" s="594">
        <v>9096508.4481308404</v>
      </c>
      <c r="Q36" s="4" t="s">
        <v>1269</v>
      </c>
    </row>
    <row r="37" spans="1:17" s="226" customFormat="1" ht="27.75" customHeight="1" thickTop="1">
      <c r="A37" s="6"/>
      <c r="B37" s="500"/>
      <c r="D37" s="372"/>
      <c r="E37" s="501"/>
      <c r="F37" s="504"/>
      <c r="G37" s="2"/>
      <c r="H37" s="425"/>
      <c r="I37" s="425"/>
      <c r="J37" s="345"/>
      <c r="K37" s="345"/>
    </row>
    <row r="38" spans="1:17" s="226" customFormat="1" ht="27.75" customHeight="1">
      <c r="A38" s="6"/>
      <c r="B38" s="500"/>
      <c r="D38" s="372"/>
      <c r="E38" s="501"/>
      <c r="F38" s="504"/>
      <c r="G38" s="2"/>
      <c r="H38" s="425"/>
      <c r="I38" s="425"/>
      <c r="J38" s="345"/>
      <c r="K38" s="345"/>
    </row>
    <row r="39" spans="1:17" s="226" customFormat="1" ht="27.75" customHeight="1">
      <c r="A39" s="684" t="s">
        <v>932</v>
      </c>
      <c r="B39" s="684"/>
      <c r="C39" s="684"/>
      <c r="D39" s="684"/>
      <c r="E39" s="684"/>
      <c r="F39" s="684"/>
      <c r="G39" s="684"/>
      <c r="H39" s="425"/>
      <c r="I39" s="425"/>
      <c r="J39" s="345"/>
      <c r="K39" s="345"/>
    </row>
    <row r="40" spans="1:17" s="226" customFormat="1" ht="27.75" customHeight="1">
      <c r="A40" s="678" t="s">
        <v>933</v>
      </c>
      <c r="B40" s="678"/>
      <c r="C40" s="678"/>
      <c r="D40" s="678"/>
      <c r="E40" s="678"/>
      <c r="F40" s="678"/>
      <c r="G40" s="678"/>
      <c r="H40" s="425"/>
      <c r="I40" s="425"/>
      <c r="J40" s="345"/>
      <c r="K40" s="345"/>
    </row>
    <row r="41" spans="1:17" s="226" customFormat="1" ht="27.75" customHeight="1">
      <c r="A41" s="678"/>
      <c r="B41" s="678"/>
      <c r="C41" s="678"/>
      <c r="D41" s="678"/>
      <c r="E41" s="678"/>
      <c r="F41" s="678"/>
      <c r="G41" s="678"/>
      <c r="H41" s="425"/>
      <c r="I41" s="425"/>
      <c r="J41" s="345"/>
      <c r="K41" s="345"/>
    </row>
    <row r="42" spans="1:17" s="226" customFormat="1" ht="27.75" customHeight="1">
      <c r="A42" s="6"/>
      <c r="B42" s="500"/>
      <c r="D42" s="372"/>
      <c r="E42" s="501"/>
      <c r="F42" s="504"/>
      <c r="G42" s="2"/>
      <c r="H42" s="425"/>
      <c r="I42" s="425"/>
      <c r="J42" s="345"/>
      <c r="K42" s="345"/>
    </row>
    <row r="43" spans="1:17" s="226" customFormat="1" ht="27.75" customHeight="1">
      <c r="A43" s="6"/>
      <c r="B43" s="500"/>
      <c r="D43" s="372"/>
      <c r="E43" s="501"/>
      <c r="F43" s="430"/>
      <c r="G43" s="2"/>
      <c r="H43" s="425"/>
      <c r="I43" s="425"/>
      <c r="J43" s="345"/>
      <c r="K43" s="345"/>
    </row>
    <row r="44" spans="1:17" s="226" customFormat="1" ht="27.75" customHeight="1">
      <c r="A44" s="6"/>
      <c r="B44" s="500"/>
      <c r="D44" s="372"/>
      <c r="E44" s="501"/>
      <c r="F44" s="504"/>
      <c r="G44" s="2"/>
      <c r="H44" s="425"/>
      <c r="I44" s="425"/>
      <c r="J44" s="345"/>
      <c r="K44" s="345"/>
    </row>
    <row r="45" spans="1:17" s="226" customFormat="1" ht="27.75" customHeight="1">
      <c r="A45" s="6"/>
      <c r="B45" s="500"/>
      <c r="D45" s="372"/>
      <c r="E45" s="501"/>
      <c r="F45" s="504"/>
      <c r="G45" s="2"/>
      <c r="H45" s="425"/>
      <c r="I45" s="425"/>
      <c r="J45" s="345"/>
      <c r="K45" s="345"/>
    </row>
    <row r="46" spans="1:17" s="226" customFormat="1" ht="27.75" customHeight="1">
      <c r="A46" s="6"/>
      <c r="B46" s="500"/>
      <c r="D46" s="372"/>
      <c r="E46" s="501"/>
      <c r="F46" s="504"/>
      <c r="G46" s="2"/>
      <c r="H46" s="425"/>
      <c r="I46" s="425"/>
      <c r="J46" s="345"/>
      <c r="K46" s="345"/>
    </row>
    <row r="47" spans="1:17" s="226" customFormat="1" ht="27.75" customHeight="1">
      <c r="A47" s="6"/>
      <c r="B47" s="500"/>
      <c r="D47" s="372"/>
      <c r="E47" s="501"/>
      <c r="F47" s="504"/>
      <c r="G47" s="2"/>
      <c r="H47" s="425"/>
      <c r="I47" s="425"/>
      <c r="J47" s="345"/>
      <c r="K47" s="345"/>
    </row>
    <row r="48" spans="1:17" s="226" customFormat="1" ht="27.75" customHeight="1">
      <c r="A48" s="6"/>
      <c r="B48" s="500"/>
      <c r="D48" s="372"/>
      <c r="E48" s="501"/>
      <c r="F48" s="504"/>
      <c r="G48" s="2"/>
      <c r="H48" s="425"/>
      <c r="I48" s="425"/>
      <c r="J48" s="345"/>
      <c r="K48" s="345"/>
    </row>
    <row r="49" spans="1:11" s="226" customFormat="1" ht="27.75" customHeight="1">
      <c r="A49" s="6"/>
      <c r="B49" s="500"/>
      <c r="D49" s="372"/>
      <c r="E49" s="501"/>
      <c r="F49" s="504"/>
      <c r="G49" s="2"/>
      <c r="H49" s="425"/>
      <c r="I49" s="425"/>
      <c r="J49" s="345"/>
      <c r="K49" s="345"/>
    </row>
    <row r="50" spans="1:11" s="226" customFormat="1" ht="27.75" customHeight="1">
      <c r="A50" s="6"/>
      <c r="B50" s="500"/>
      <c r="D50" s="372"/>
      <c r="E50" s="501"/>
      <c r="F50" s="504"/>
      <c r="G50" s="2"/>
      <c r="H50" s="425"/>
      <c r="I50" s="425"/>
      <c r="J50" s="345"/>
      <c r="K50" s="345"/>
    </row>
    <row r="51" spans="1:11" s="226" customFormat="1" ht="27.75" customHeight="1">
      <c r="A51" s="6"/>
      <c r="B51" s="500"/>
      <c r="D51" s="372"/>
      <c r="E51" s="501"/>
      <c r="F51" s="504"/>
      <c r="G51" s="2"/>
      <c r="H51" s="425"/>
      <c r="I51" s="425"/>
      <c r="J51" s="345"/>
      <c r="K51" s="345"/>
    </row>
    <row r="52" spans="1:11" s="226" customFormat="1" ht="27.75" customHeight="1">
      <c r="A52" s="6"/>
      <c r="B52" s="500"/>
      <c r="D52" s="372"/>
      <c r="E52" s="501"/>
      <c r="F52" s="504"/>
      <c r="G52" s="2"/>
      <c r="H52" s="425"/>
      <c r="I52" s="425"/>
      <c r="J52" s="345"/>
      <c r="K52" s="345"/>
    </row>
    <row r="53" spans="1:11" s="226" customFormat="1" ht="27.75" customHeight="1">
      <c r="A53" s="6"/>
      <c r="D53" s="372"/>
      <c r="E53" s="501"/>
      <c r="F53" s="504"/>
      <c r="G53" s="2"/>
      <c r="H53" s="425"/>
      <c r="I53" s="425"/>
      <c r="J53" s="345"/>
      <c r="K53" s="345"/>
    </row>
    <row r="54" spans="1:11" ht="27.75" customHeight="1">
      <c r="B54" s="4"/>
      <c r="E54" s="4"/>
      <c r="J54" s="4"/>
      <c r="K54" s="4"/>
    </row>
    <row r="55" spans="1:11" ht="27.75" customHeight="1">
      <c r="B55" s="4"/>
      <c r="E55" s="4"/>
      <c r="J55" s="4"/>
      <c r="K55" s="4"/>
    </row>
    <row r="56" spans="1:11" ht="27.75" customHeight="1">
      <c r="B56" s="4"/>
      <c r="E56" s="4"/>
      <c r="J56" s="4"/>
      <c r="K56" s="4"/>
    </row>
    <row r="57" spans="1:11" ht="27.75" customHeight="1">
      <c r="B57" s="4"/>
      <c r="E57" s="4"/>
      <c r="J57" s="4"/>
      <c r="K57" s="4"/>
    </row>
    <row r="58" spans="1:11" ht="27.75" customHeight="1">
      <c r="B58" s="4"/>
      <c r="E58" s="4"/>
      <c r="J58" s="4"/>
      <c r="K58" s="4"/>
    </row>
    <row r="59" spans="1:11" ht="27.75" customHeight="1">
      <c r="B59" s="4"/>
      <c r="E59" s="4"/>
      <c r="J59" s="4"/>
      <c r="K59" s="4"/>
    </row>
    <row r="60" spans="1:11" ht="27.75" customHeight="1">
      <c r="B60" s="4"/>
      <c r="E60" s="4"/>
      <c r="J60" s="4"/>
      <c r="K60" s="4"/>
    </row>
    <row r="61" spans="1:11" ht="27.75" customHeight="1">
      <c r="B61" s="4"/>
      <c r="E61" s="4"/>
      <c r="J61" s="4"/>
      <c r="K61" s="4"/>
    </row>
    <row r="62" spans="1:11" ht="27.75" customHeight="1">
      <c r="B62" s="4"/>
      <c r="E62" s="4"/>
      <c r="J62" s="4"/>
      <c r="K62" s="4"/>
    </row>
    <row r="63" spans="1:11" ht="27.75" customHeight="1">
      <c r="B63" s="4"/>
      <c r="E63" s="4"/>
      <c r="J63" s="4"/>
      <c r="K63" s="4"/>
    </row>
    <row r="64" spans="1:11" ht="27.75" customHeight="1">
      <c r="B64" s="4"/>
      <c r="E64" s="4"/>
      <c r="J64" s="4"/>
      <c r="K64" s="4"/>
    </row>
    <row r="65" spans="2:11" ht="27.75" customHeight="1">
      <c r="B65" s="4"/>
      <c r="E65" s="4"/>
      <c r="J65" s="4"/>
      <c r="K65" s="4"/>
    </row>
    <row r="66" spans="2:11" ht="27.75" customHeight="1">
      <c r="B66" s="4"/>
      <c r="E66" s="4"/>
      <c r="J66" s="4"/>
      <c r="K66" s="4"/>
    </row>
    <row r="67" spans="2:11" ht="27.75" customHeight="1">
      <c r="B67" s="4"/>
      <c r="E67" s="4"/>
      <c r="J67" s="4"/>
      <c r="K67" s="4"/>
    </row>
    <row r="68" spans="2:11" ht="27.75" customHeight="1">
      <c r="B68" s="4"/>
      <c r="E68" s="4"/>
      <c r="J68" s="4"/>
      <c r="K68" s="4"/>
    </row>
    <row r="69" spans="2:11" ht="27.75" customHeight="1">
      <c r="B69" s="4"/>
      <c r="E69" s="4"/>
      <c r="J69" s="4"/>
      <c r="K69" s="4"/>
    </row>
    <row r="81" spans="4:6" s="4" customFormat="1" ht="27.75" customHeight="1">
      <c r="D81" s="372"/>
      <c r="F81" s="507"/>
    </row>
    <row r="82" spans="4:6" s="4" customFormat="1" ht="27.75" customHeight="1">
      <c r="D82" s="372"/>
      <c r="F82" s="507"/>
    </row>
    <row r="83" spans="4:6" s="4" customFormat="1" ht="27.75" customHeight="1">
      <c r="D83" s="372"/>
      <c r="F83" s="507"/>
    </row>
    <row r="84" spans="4:6" s="4" customFormat="1" ht="27.75" customHeight="1">
      <c r="D84" s="372"/>
      <c r="F84" s="507"/>
    </row>
    <row r="85" spans="4:6" s="4" customFormat="1" ht="27.75" customHeight="1">
      <c r="D85" s="372"/>
      <c r="F85" s="507"/>
    </row>
    <row r="86" spans="4:6" s="4" customFormat="1" ht="27.75" customHeight="1">
      <c r="D86" s="372"/>
      <c r="F86" s="507"/>
    </row>
    <row r="87" spans="4:6" s="4" customFormat="1" ht="27.75" customHeight="1">
      <c r="D87" s="372"/>
      <c r="F87" s="507"/>
    </row>
    <row r="88" spans="4:6" s="4" customFormat="1" ht="27.75" customHeight="1">
      <c r="D88" s="372"/>
      <c r="F88" s="507"/>
    </row>
    <row r="89" spans="4:6" s="4" customFormat="1" ht="27.75" customHeight="1">
      <c r="D89" s="372"/>
      <c r="F89" s="507"/>
    </row>
    <row r="90" spans="4:6" s="4" customFormat="1" ht="27.75" customHeight="1">
      <c r="D90" s="372"/>
      <c r="F90" s="507"/>
    </row>
    <row r="91" spans="4:6" s="4" customFormat="1" ht="27.75" customHeight="1">
      <c r="D91" s="372"/>
      <c r="F91" s="507"/>
    </row>
    <row r="92" spans="4:6" s="4" customFormat="1" ht="27.75" customHeight="1">
      <c r="D92" s="372"/>
      <c r="F92" s="507"/>
    </row>
    <row r="93" spans="4:6" s="4" customFormat="1" ht="27.75" customHeight="1">
      <c r="D93" s="372"/>
      <c r="F93" s="507"/>
    </row>
  </sheetData>
  <mergeCells count="20">
    <mergeCell ref="A41:G41"/>
    <mergeCell ref="I4:I6"/>
    <mergeCell ref="J4:J6"/>
    <mergeCell ref="K4:K6"/>
    <mergeCell ref="A5:A6"/>
    <mergeCell ref="B5:B6"/>
    <mergeCell ref="C5:C6"/>
    <mergeCell ref="D5:D6"/>
    <mergeCell ref="E5:E6"/>
    <mergeCell ref="H4:H6"/>
    <mergeCell ref="B23:C23"/>
    <mergeCell ref="B27:C27"/>
    <mergeCell ref="B30:C30"/>
    <mergeCell ref="A39:G39"/>
    <mergeCell ref="A40:G40"/>
    <mergeCell ref="A1:F1"/>
    <mergeCell ref="A2:F2"/>
    <mergeCell ref="A3:F3"/>
    <mergeCell ref="D4:F4"/>
    <mergeCell ref="G4:G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E922F-1390-45ED-AB2B-989AEDF0EE08}">
  <sheetPr>
    <tabColor rgb="FFFFFF00"/>
  </sheetPr>
  <dimension ref="A1:AB327"/>
  <sheetViews>
    <sheetView zoomScale="60" zoomScaleNormal="60" workbookViewId="0">
      <pane ySplit="6" topLeftCell="A247" activePane="bottomLeft" state="frozen"/>
      <selection pane="bottomLeft" activeCell="I268" sqref="I268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0.5546875" style="510" customWidth="1"/>
    <col min="5" max="5" width="18.88671875" style="511" customWidth="1"/>
    <col min="6" max="6" width="4.88671875" style="506" customWidth="1"/>
    <col min="7" max="7" width="20.109375" style="509" customWidth="1"/>
    <col min="8" max="8" width="18.33203125" style="509" customWidth="1"/>
    <col min="9" max="9" width="21.44140625" style="504" customWidth="1"/>
    <col min="10" max="10" width="21.6640625" style="3" customWidth="1"/>
    <col min="11" max="11" width="24.5546875" style="372" customWidth="1"/>
    <col min="12" max="12" width="22.109375" style="512" customWidth="1"/>
    <col min="13" max="13" width="20" style="372" customWidth="1"/>
    <col min="14" max="14" width="9.109375" style="2" customWidth="1"/>
    <col min="15" max="15" width="24" style="513" customWidth="1"/>
    <col min="16" max="16" width="16.6640625" style="513" customWidth="1"/>
    <col min="17" max="17" width="23.6640625" style="507" customWidth="1"/>
    <col min="18" max="18" width="5.33203125" style="2" hidden="1" customWidth="1"/>
    <col min="19" max="19" width="9" style="508" hidden="1" customWidth="1"/>
    <col min="20" max="20" width="9.6640625" style="508" hidden="1" customWidth="1"/>
    <col min="21" max="21" width="10.88671875" style="512" hidden="1" customWidth="1"/>
    <col min="22" max="22" width="24.5546875" style="512" hidden="1" customWidth="1"/>
    <col min="23" max="24" width="8.88671875" style="4" hidden="1" customWidth="1"/>
    <col min="25" max="27" width="8.88671875" style="4"/>
    <col min="28" max="28" width="14.5546875" style="4" bestFit="1" customWidth="1"/>
    <col min="29" max="16384" width="8.88671875" style="4"/>
  </cols>
  <sheetData>
    <row r="1" spans="1:23" ht="28.5" customHeight="1">
      <c r="A1" s="653" t="s">
        <v>0</v>
      </c>
      <c r="B1" s="653"/>
      <c r="C1" s="653"/>
      <c r="D1" s="653"/>
      <c r="E1" s="653"/>
      <c r="F1" s="653"/>
      <c r="G1" s="653"/>
      <c r="H1" s="653"/>
      <c r="I1" s="653"/>
      <c r="J1" s="653"/>
      <c r="K1" s="653"/>
      <c r="L1" s="653"/>
      <c r="M1" s="653"/>
      <c r="N1" s="653"/>
      <c r="O1" s="653"/>
      <c r="P1" s="653"/>
      <c r="Q1" s="653"/>
      <c r="S1" s="3"/>
      <c r="T1" s="3"/>
      <c r="U1" s="1"/>
      <c r="V1" s="1"/>
    </row>
    <row r="2" spans="1:23" ht="23.25" customHeight="1">
      <c r="A2" s="653" t="s">
        <v>1</v>
      </c>
      <c r="B2" s="653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3"/>
      <c r="R2" s="5"/>
      <c r="S2" s="3"/>
      <c r="T2" s="3"/>
      <c r="U2" s="1"/>
      <c r="V2" s="1"/>
    </row>
    <row r="3" spans="1:23" ht="28.5" customHeight="1">
      <c r="A3" s="654" t="s">
        <v>1046</v>
      </c>
      <c r="B3" s="654"/>
      <c r="C3" s="654"/>
      <c r="D3" s="654"/>
      <c r="E3" s="654"/>
      <c r="F3" s="654"/>
      <c r="G3" s="654"/>
      <c r="H3" s="654"/>
      <c r="I3" s="654"/>
      <c r="J3" s="654"/>
      <c r="K3" s="654"/>
      <c r="L3" s="654"/>
      <c r="M3" s="654"/>
      <c r="N3" s="654"/>
      <c r="O3" s="654"/>
      <c r="P3" s="654"/>
      <c r="Q3" s="654"/>
      <c r="S3" s="3"/>
      <c r="T3" s="3"/>
      <c r="U3" s="6"/>
      <c r="V3" s="6"/>
    </row>
    <row r="4" spans="1:23" ht="27.75" customHeight="1">
      <c r="A4" s="7"/>
      <c r="B4" s="8"/>
      <c r="C4" s="9"/>
      <c r="D4" s="10"/>
      <c r="E4" s="655" t="s">
        <v>3</v>
      </c>
      <c r="F4" s="656"/>
      <c r="G4" s="656"/>
      <c r="H4" s="656"/>
      <c r="I4" s="657"/>
      <c r="J4" s="11"/>
      <c r="K4" s="12" t="s">
        <v>4</v>
      </c>
      <c r="L4" s="13"/>
      <c r="M4" s="655" t="s">
        <v>5</v>
      </c>
      <c r="N4" s="656"/>
      <c r="O4" s="656"/>
      <c r="P4" s="656"/>
      <c r="Q4" s="657"/>
      <c r="R4" s="658" t="s">
        <v>6</v>
      </c>
      <c r="S4" s="671" t="s">
        <v>7</v>
      </c>
      <c r="T4" s="671" t="s">
        <v>8</v>
      </c>
      <c r="U4" s="661" t="s">
        <v>9</v>
      </c>
      <c r="V4" s="661" t="s">
        <v>10</v>
      </c>
    </row>
    <row r="5" spans="1:23" ht="27.75" customHeight="1">
      <c r="A5" s="664" t="s">
        <v>11</v>
      </c>
      <c r="B5" s="666" t="s">
        <v>12</v>
      </c>
      <c r="C5" s="666" t="s">
        <v>13</v>
      </c>
      <c r="D5" s="685" t="s">
        <v>14</v>
      </c>
      <c r="E5" s="687" t="s">
        <v>15</v>
      </c>
      <c r="F5" s="689" t="s">
        <v>16</v>
      </c>
      <c r="G5" s="679" t="s">
        <v>17</v>
      </c>
      <c r="H5" s="680"/>
      <c r="I5" s="681"/>
      <c r="J5" s="14" t="s">
        <v>18</v>
      </c>
      <c r="K5" s="691" t="s">
        <v>19</v>
      </c>
      <c r="L5" s="693" t="s">
        <v>20</v>
      </c>
      <c r="M5" s="664" t="s">
        <v>15</v>
      </c>
      <c r="N5" s="669" t="s">
        <v>16</v>
      </c>
      <c r="O5" s="679" t="s">
        <v>17</v>
      </c>
      <c r="P5" s="680"/>
      <c r="Q5" s="681"/>
      <c r="R5" s="659"/>
      <c r="S5" s="672"/>
      <c r="T5" s="672"/>
      <c r="U5" s="662"/>
      <c r="V5" s="662"/>
    </row>
    <row r="6" spans="1:23" ht="27.75" customHeight="1" thickBot="1">
      <c r="A6" s="665"/>
      <c r="B6" s="667"/>
      <c r="C6" s="667"/>
      <c r="D6" s="686"/>
      <c r="E6" s="688"/>
      <c r="F6" s="690"/>
      <c r="G6" s="15" t="s">
        <v>20</v>
      </c>
      <c r="H6" s="16" t="s">
        <v>21</v>
      </c>
      <c r="I6" s="17" t="s">
        <v>22</v>
      </c>
      <c r="J6" s="18"/>
      <c r="K6" s="692"/>
      <c r="L6" s="694"/>
      <c r="M6" s="668"/>
      <c r="N6" s="670"/>
      <c r="O6" s="19" t="s">
        <v>20</v>
      </c>
      <c r="P6" s="20" t="s">
        <v>21</v>
      </c>
      <c r="Q6" s="21" t="s">
        <v>22</v>
      </c>
      <c r="R6" s="660"/>
      <c r="S6" s="673"/>
      <c r="T6" s="673"/>
      <c r="U6" s="663"/>
      <c r="V6" s="663"/>
    </row>
    <row r="7" spans="1:23" ht="27.75" customHeight="1" thickTop="1">
      <c r="A7" s="22"/>
      <c r="B7" s="23" t="s">
        <v>23</v>
      </c>
      <c r="C7" s="24"/>
      <c r="D7" s="25"/>
      <c r="E7" s="26"/>
      <c r="F7" s="27"/>
      <c r="G7" s="28"/>
      <c r="H7" s="28"/>
      <c r="I7" s="28"/>
      <c r="J7" s="29"/>
      <c r="K7" s="30"/>
      <c r="L7" s="31"/>
      <c r="M7" s="32"/>
      <c r="N7" s="33"/>
      <c r="O7" s="34"/>
      <c r="P7" s="34"/>
      <c r="Q7" s="35"/>
      <c r="R7" s="36"/>
      <c r="S7" s="37"/>
      <c r="T7" s="37"/>
      <c r="U7" s="38"/>
      <c r="V7" s="38"/>
      <c r="W7" s="38"/>
    </row>
    <row r="8" spans="1:23" s="57" customFormat="1" ht="27.75" customHeight="1">
      <c r="A8" s="39">
        <v>1</v>
      </c>
      <c r="B8" s="40" t="s">
        <v>24</v>
      </c>
      <c r="C8" s="41" t="s">
        <v>25</v>
      </c>
      <c r="D8" s="42">
        <v>4012.5</v>
      </c>
      <c r="E8" s="43" t="s">
        <v>26</v>
      </c>
      <c r="F8" s="44">
        <v>0</v>
      </c>
      <c r="G8" s="45">
        <v>0</v>
      </c>
      <c r="H8" s="46">
        <v>0</v>
      </c>
      <c r="I8" s="47">
        <v>0</v>
      </c>
      <c r="J8" s="48">
        <v>46083</v>
      </c>
      <c r="K8" s="49" t="s">
        <v>1047</v>
      </c>
      <c r="L8" s="50">
        <v>4012.5</v>
      </c>
      <c r="M8" s="51" t="s">
        <v>26</v>
      </c>
      <c r="N8" s="52">
        <v>0</v>
      </c>
      <c r="O8" s="53">
        <v>0</v>
      </c>
      <c r="P8" s="53">
        <f t="shared" ref="P8:P44" si="0">ROUND((O8*0.07),2)</f>
        <v>0</v>
      </c>
      <c r="Q8" s="54">
        <f t="shared" ref="Q8:Q44" si="1">+O8+P8</f>
        <v>0</v>
      </c>
      <c r="R8" s="39"/>
      <c r="S8" s="55"/>
      <c r="T8" s="55"/>
      <c r="U8" s="56"/>
      <c r="V8" s="56"/>
    </row>
    <row r="9" spans="1:23" s="57" customFormat="1" ht="27.75" customHeight="1">
      <c r="A9" s="39">
        <v>2</v>
      </c>
      <c r="B9" s="40" t="s">
        <v>28</v>
      </c>
      <c r="C9" s="41" t="s">
        <v>29</v>
      </c>
      <c r="D9" s="58">
        <v>4012.5</v>
      </c>
      <c r="E9" s="43" t="s">
        <v>952</v>
      </c>
      <c r="F9" s="44">
        <v>-1</v>
      </c>
      <c r="G9" s="45">
        <v>-3750</v>
      </c>
      <c r="H9" s="46">
        <v>-262.5</v>
      </c>
      <c r="I9" s="47">
        <v>-4012.5</v>
      </c>
      <c r="J9" s="48"/>
      <c r="K9" s="49"/>
      <c r="L9" s="50">
        <v>0</v>
      </c>
      <c r="M9" s="51" t="s">
        <v>45</v>
      </c>
      <c r="N9" s="52">
        <v>0</v>
      </c>
      <c r="O9" s="53">
        <f>+(D9*100/107)+G9-(L9*100/107)</f>
        <v>0</v>
      </c>
      <c r="P9" s="53">
        <f t="shared" si="0"/>
        <v>0</v>
      </c>
      <c r="Q9" s="54">
        <f t="shared" si="1"/>
        <v>0</v>
      </c>
      <c r="R9" s="39"/>
      <c r="S9" s="55"/>
      <c r="T9" s="55"/>
      <c r="U9" s="56"/>
      <c r="V9" s="56"/>
    </row>
    <row r="10" spans="1:23" s="57" customFormat="1" ht="27.75" customHeight="1">
      <c r="A10" s="39">
        <v>3</v>
      </c>
      <c r="B10" s="40" t="s">
        <v>24</v>
      </c>
      <c r="C10" s="41" t="s">
        <v>33</v>
      </c>
      <c r="D10" s="58">
        <v>4012.5</v>
      </c>
      <c r="E10" s="43" t="s">
        <v>26</v>
      </c>
      <c r="F10" s="44">
        <v>0</v>
      </c>
      <c r="G10" s="45">
        <v>0</v>
      </c>
      <c r="H10" s="46">
        <v>0</v>
      </c>
      <c r="I10" s="47">
        <v>0</v>
      </c>
      <c r="J10" s="48">
        <v>46083</v>
      </c>
      <c r="K10" s="49" t="s">
        <v>1047</v>
      </c>
      <c r="L10" s="50">
        <v>4012.5</v>
      </c>
      <c r="M10" s="51" t="s">
        <v>26</v>
      </c>
      <c r="N10" s="52">
        <v>0</v>
      </c>
      <c r="O10" s="53">
        <f t="shared" ref="O10:O23" si="2">+(D10*100/107)+G10-(L10*100/107)</f>
        <v>0</v>
      </c>
      <c r="P10" s="53">
        <f t="shared" si="0"/>
        <v>0</v>
      </c>
      <c r="Q10" s="54">
        <f t="shared" si="1"/>
        <v>0</v>
      </c>
      <c r="R10" s="39"/>
      <c r="S10" s="55"/>
      <c r="T10" s="55"/>
      <c r="U10" s="56"/>
      <c r="V10" s="56"/>
    </row>
    <row r="11" spans="1:23" s="57" customFormat="1" ht="27.75" customHeight="1">
      <c r="A11" s="39">
        <v>4</v>
      </c>
      <c r="B11" s="40" t="s">
        <v>34</v>
      </c>
      <c r="C11" s="41" t="s">
        <v>35</v>
      </c>
      <c r="D11" s="58">
        <v>4012.5</v>
      </c>
      <c r="E11" s="43" t="s">
        <v>952</v>
      </c>
      <c r="F11" s="44">
        <v>-1</v>
      </c>
      <c r="G11" s="45">
        <v>-3750</v>
      </c>
      <c r="H11" s="46">
        <v>-262.5</v>
      </c>
      <c r="I11" s="47">
        <v>-4012.5</v>
      </c>
      <c r="J11" s="48"/>
      <c r="K11" s="49"/>
      <c r="L11" s="50">
        <v>0</v>
      </c>
      <c r="M11" s="51" t="s">
        <v>45</v>
      </c>
      <c r="N11" s="52">
        <v>0</v>
      </c>
      <c r="O11" s="53">
        <f t="shared" si="2"/>
        <v>0</v>
      </c>
      <c r="P11" s="53">
        <f t="shared" si="0"/>
        <v>0</v>
      </c>
      <c r="Q11" s="54">
        <f t="shared" si="1"/>
        <v>0</v>
      </c>
      <c r="R11" s="39"/>
      <c r="S11" s="55"/>
      <c r="T11" s="55"/>
      <c r="U11" s="56"/>
      <c r="V11" s="56"/>
    </row>
    <row r="12" spans="1:23" s="57" customFormat="1" ht="27.75" customHeight="1">
      <c r="A12" s="39">
        <v>5</v>
      </c>
      <c r="B12" s="40" t="s">
        <v>36</v>
      </c>
      <c r="C12" s="41" t="s">
        <v>37</v>
      </c>
      <c r="D12" s="58">
        <v>4012.5</v>
      </c>
      <c r="E12" s="43" t="s">
        <v>26</v>
      </c>
      <c r="F12" s="44">
        <v>0</v>
      </c>
      <c r="G12" s="45">
        <v>0</v>
      </c>
      <c r="H12" s="46">
        <v>0</v>
      </c>
      <c r="I12" s="47">
        <v>0</v>
      </c>
      <c r="J12" s="48">
        <v>46086</v>
      </c>
      <c r="K12" s="49" t="s">
        <v>1048</v>
      </c>
      <c r="L12" s="50">
        <v>4012.5</v>
      </c>
      <c r="M12" s="51" t="s">
        <v>26</v>
      </c>
      <c r="N12" s="52">
        <v>0</v>
      </c>
      <c r="O12" s="53">
        <f t="shared" si="2"/>
        <v>0</v>
      </c>
      <c r="P12" s="53">
        <f t="shared" si="0"/>
        <v>0</v>
      </c>
      <c r="Q12" s="54">
        <f t="shared" si="1"/>
        <v>0</v>
      </c>
      <c r="R12" s="39"/>
      <c r="S12" s="55"/>
      <c r="T12" s="55"/>
      <c r="U12" s="56"/>
      <c r="V12" s="56"/>
    </row>
    <row r="13" spans="1:23" s="57" customFormat="1" ht="27.75" customHeight="1">
      <c r="A13" s="39">
        <v>6</v>
      </c>
      <c r="B13" s="40" t="s">
        <v>34</v>
      </c>
      <c r="C13" s="41" t="s">
        <v>39</v>
      </c>
      <c r="D13" s="58">
        <v>4012.5</v>
      </c>
      <c r="E13" s="43" t="s">
        <v>952</v>
      </c>
      <c r="F13" s="44">
        <v>-1</v>
      </c>
      <c r="G13" s="45">
        <v>-3750</v>
      </c>
      <c r="H13" s="46">
        <v>-262.5</v>
      </c>
      <c r="I13" s="47">
        <v>-4012.5</v>
      </c>
      <c r="J13" s="48"/>
      <c r="K13" s="49"/>
      <c r="L13" s="50">
        <v>0</v>
      </c>
      <c r="M13" s="51" t="s">
        <v>45</v>
      </c>
      <c r="N13" s="52">
        <v>0</v>
      </c>
      <c r="O13" s="53">
        <f t="shared" si="2"/>
        <v>0</v>
      </c>
      <c r="P13" s="53">
        <f t="shared" si="0"/>
        <v>0</v>
      </c>
      <c r="Q13" s="54">
        <f t="shared" si="1"/>
        <v>0</v>
      </c>
      <c r="R13" s="39"/>
      <c r="S13" s="55"/>
      <c r="T13" s="55"/>
      <c r="U13" s="56"/>
      <c r="V13" s="56"/>
    </row>
    <row r="14" spans="1:23" s="57" customFormat="1" ht="27.75" customHeight="1">
      <c r="A14" s="39">
        <v>7</v>
      </c>
      <c r="B14" s="40" t="s">
        <v>40</v>
      </c>
      <c r="C14" s="41" t="s">
        <v>41</v>
      </c>
      <c r="D14" s="58">
        <v>4012.5</v>
      </c>
      <c r="E14" s="43" t="s">
        <v>26</v>
      </c>
      <c r="F14" s="44">
        <v>0</v>
      </c>
      <c r="G14" s="45">
        <v>0</v>
      </c>
      <c r="H14" s="46">
        <v>0</v>
      </c>
      <c r="I14" s="47">
        <v>0</v>
      </c>
      <c r="J14" s="48" t="s">
        <v>1049</v>
      </c>
      <c r="K14" s="49" t="s">
        <v>1050</v>
      </c>
      <c r="L14" s="50">
        <v>12037.5</v>
      </c>
      <c r="M14" s="51" t="s">
        <v>1051</v>
      </c>
      <c r="N14" s="52">
        <v>2</v>
      </c>
      <c r="O14" s="53">
        <f t="shared" si="2"/>
        <v>-7500</v>
      </c>
      <c r="P14" s="53">
        <f t="shared" si="0"/>
        <v>-525</v>
      </c>
      <c r="Q14" s="54">
        <f t="shared" si="1"/>
        <v>-8025</v>
      </c>
      <c r="R14" s="39"/>
      <c r="S14" s="55"/>
      <c r="T14" s="55"/>
      <c r="U14" s="56"/>
      <c r="V14" s="56"/>
    </row>
    <row r="15" spans="1:23" s="57" customFormat="1" ht="27.75" customHeight="1">
      <c r="A15" s="39">
        <v>8</v>
      </c>
      <c r="B15" s="40" t="s">
        <v>43</v>
      </c>
      <c r="C15" s="41" t="s">
        <v>44</v>
      </c>
      <c r="D15" s="58">
        <v>4012.5</v>
      </c>
      <c r="E15" s="43" t="s">
        <v>45</v>
      </c>
      <c r="F15" s="44">
        <v>0</v>
      </c>
      <c r="G15" s="45">
        <v>0</v>
      </c>
      <c r="H15" s="46">
        <v>0</v>
      </c>
      <c r="I15" s="47">
        <v>0</v>
      </c>
      <c r="J15" s="48">
        <v>46083</v>
      </c>
      <c r="K15" s="49" t="s">
        <v>1052</v>
      </c>
      <c r="L15" s="50">
        <v>4012.5</v>
      </c>
      <c r="M15" s="51" t="s">
        <v>45</v>
      </c>
      <c r="N15" s="52">
        <v>0</v>
      </c>
      <c r="O15" s="53">
        <f t="shared" si="2"/>
        <v>0</v>
      </c>
      <c r="P15" s="53">
        <f t="shared" si="0"/>
        <v>0</v>
      </c>
      <c r="Q15" s="54">
        <f t="shared" si="1"/>
        <v>0</v>
      </c>
      <c r="R15" s="39"/>
      <c r="S15" s="55"/>
      <c r="T15" s="55"/>
      <c r="U15" s="56"/>
      <c r="V15" s="56"/>
    </row>
    <row r="16" spans="1:23" s="57" customFormat="1" ht="27.75" customHeight="1">
      <c r="A16" s="39">
        <v>9</v>
      </c>
      <c r="B16" s="40" t="s">
        <v>47</v>
      </c>
      <c r="C16" s="41" t="s">
        <v>48</v>
      </c>
      <c r="D16" s="58">
        <v>4012.5</v>
      </c>
      <c r="E16" s="43" t="s">
        <v>26</v>
      </c>
      <c r="F16" s="44">
        <v>0</v>
      </c>
      <c r="G16" s="45">
        <v>0</v>
      </c>
      <c r="H16" s="46">
        <v>0</v>
      </c>
      <c r="I16" s="47">
        <v>0</v>
      </c>
      <c r="J16" s="48">
        <v>46083</v>
      </c>
      <c r="K16" s="49" t="s">
        <v>1053</v>
      </c>
      <c r="L16" s="50">
        <v>4012.5</v>
      </c>
      <c r="M16" s="51" t="s">
        <v>26</v>
      </c>
      <c r="N16" s="52">
        <v>0</v>
      </c>
      <c r="O16" s="53">
        <f t="shared" si="2"/>
        <v>0</v>
      </c>
      <c r="P16" s="53">
        <f t="shared" si="0"/>
        <v>0</v>
      </c>
      <c r="Q16" s="54">
        <f t="shared" si="1"/>
        <v>0</v>
      </c>
      <c r="R16" s="39"/>
      <c r="S16" s="55"/>
      <c r="T16" s="55"/>
      <c r="U16" s="56"/>
      <c r="V16" s="56"/>
    </row>
    <row r="17" spans="1:25" s="57" customFormat="1" ht="27.75" customHeight="1">
      <c r="A17" s="39">
        <v>10</v>
      </c>
      <c r="B17" s="40" t="s">
        <v>50</v>
      </c>
      <c r="C17" s="41" t="s">
        <v>51</v>
      </c>
      <c r="D17" s="58">
        <v>4012.5</v>
      </c>
      <c r="E17" s="43" t="s">
        <v>45</v>
      </c>
      <c r="F17" s="44">
        <v>0</v>
      </c>
      <c r="G17" s="45">
        <v>0</v>
      </c>
      <c r="H17" s="46">
        <v>0</v>
      </c>
      <c r="I17" s="47">
        <v>0</v>
      </c>
      <c r="J17" s="48">
        <v>46083</v>
      </c>
      <c r="K17" s="49" t="s">
        <v>1054</v>
      </c>
      <c r="L17" s="50">
        <v>4012.5</v>
      </c>
      <c r="M17" s="51" t="s">
        <v>45</v>
      </c>
      <c r="N17" s="52">
        <v>0</v>
      </c>
      <c r="O17" s="53">
        <f t="shared" si="2"/>
        <v>0</v>
      </c>
      <c r="P17" s="53">
        <f t="shared" si="0"/>
        <v>0</v>
      </c>
      <c r="Q17" s="54">
        <f t="shared" si="1"/>
        <v>0</v>
      </c>
      <c r="R17" s="39"/>
      <c r="S17" s="55"/>
      <c r="T17" s="55"/>
      <c r="U17" s="56"/>
      <c r="V17" s="56"/>
    </row>
    <row r="18" spans="1:25" s="57" customFormat="1" ht="27.75" customHeight="1">
      <c r="A18" s="39">
        <v>11</v>
      </c>
      <c r="B18" s="40" t="s">
        <v>53</v>
      </c>
      <c r="C18" s="41" t="s">
        <v>54</v>
      </c>
      <c r="D18" s="58">
        <v>4012.5</v>
      </c>
      <c r="E18" s="43" t="s">
        <v>45</v>
      </c>
      <c r="F18" s="44">
        <v>0</v>
      </c>
      <c r="G18" s="45">
        <v>0</v>
      </c>
      <c r="H18" s="46">
        <v>0</v>
      </c>
      <c r="I18" s="47">
        <v>0</v>
      </c>
      <c r="J18" s="48">
        <v>46085</v>
      </c>
      <c r="K18" s="59" t="s">
        <v>1055</v>
      </c>
      <c r="L18" s="50">
        <v>4012.5</v>
      </c>
      <c r="M18" s="51" t="s">
        <v>45</v>
      </c>
      <c r="N18" s="52">
        <v>0</v>
      </c>
      <c r="O18" s="53">
        <f t="shared" si="2"/>
        <v>0</v>
      </c>
      <c r="P18" s="53">
        <f t="shared" si="0"/>
        <v>0</v>
      </c>
      <c r="Q18" s="54">
        <f t="shared" si="1"/>
        <v>0</v>
      </c>
      <c r="R18" s="39"/>
      <c r="S18" s="55"/>
      <c r="T18" s="55"/>
      <c r="U18" s="56"/>
      <c r="V18" s="56"/>
      <c r="Y18" s="57" t="s">
        <v>56</v>
      </c>
    </row>
    <row r="19" spans="1:25" s="57" customFormat="1" ht="27.75" customHeight="1">
      <c r="A19" s="39">
        <v>12</v>
      </c>
      <c r="B19" s="40" t="s">
        <v>57</v>
      </c>
      <c r="C19" s="41" t="s">
        <v>58</v>
      </c>
      <c r="D19" s="58">
        <v>4012.5</v>
      </c>
      <c r="E19" s="43" t="s">
        <v>26</v>
      </c>
      <c r="F19" s="44">
        <v>0</v>
      </c>
      <c r="G19" s="45">
        <v>0</v>
      </c>
      <c r="H19" s="46">
        <v>0</v>
      </c>
      <c r="I19" s="47">
        <v>0</v>
      </c>
      <c r="J19" s="48">
        <v>46082</v>
      </c>
      <c r="K19" s="49" t="s">
        <v>1056</v>
      </c>
      <c r="L19" s="50">
        <v>4012.5</v>
      </c>
      <c r="M19" s="51" t="s">
        <v>26</v>
      </c>
      <c r="N19" s="52">
        <v>0</v>
      </c>
      <c r="O19" s="53">
        <f t="shared" si="2"/>
        <v>0</v>
      </c>
      <c r="P19" s="53">
        <f t="shared" si="0"/>
        <v>0</v>
      </c>
      <c r="Q19" s="54">
        <f t="shared" si="1"/>
        <v>0</v>
      </c>
      <c r="R19" s="39"/>
      <c r="S19" s="55"/>
      <c r="T19" s="55"/>
      <c r="U19" s="56"/>
      <c r="V19" s="56"/>
    </row>
    <row r="20" spans="1:25" s="57" customFormat="1" ht="27.75" customHeight="1">
      <c r="A20" s="39">
        <v>13</v>
      </c>
      <c r="B20" s="40" t="s">
        <v>60</v>
      </c>
      <c r="C20" s="41" t="s">
        <v>61</v>
      </c>
      <c r="D20" s="58">
        <v>4012.5</v>
      </c>
      <c r="E20" s="43" t="s">
        <v>26</v>
      </c>
      <c r="F20" s="44">
        <v>0</v>
      </c>
      <c r="G20" s="45">
        <v>0</v>
      </c>
      <c r="H20" s="46">
        <v>0</v>
      </c>
      <c r="I20" s="47">
        <v>0</v>
      </c>
      <c r="J20" s="48">
        <v>46083</v>
      </c>
      <c r="K20" s="49" t="s">
        <v>1057</v>
      </c>
      <c r="L20" s="50">
        <v>4012.5</v>
      </c>
      <c r="M20" s="51" t="s">
        <v>26</v>
      </c>
      <c r="N20" s="52">
        <v>0</v>
      </c>
      <c r="O20" s="53">
        <f t="shared" si="2"/>
        <v>0</v>
      </c>
      <c r="P20" s="53">
        <f t="shared" si="0"/>
        <v>0</v>
      </c>
      <c r="Q20" s="54">
        <f t="shared" si="1"/>
        <v>0</v>
      </c>
      <c r="R20" s="39"/>
      <c r="S20" s="55"/>
      <c r="T20" s="55"/>
      <c r="U20" s="56"/>
      <c r="V20" s="56"/>
    </row>
    <row r="21" spans="1:25" s="57" customFormat="1" ht="27.75" customHeight="1">
      <c r="A21" s="39">
        <v>14</v>
      </c>
      <c r="B21" s="40" t="s">
        <v>63</v>
      </c>
      <c r="C21" s="41" t="s">
        <v>64</v>
      </c>
      <c r="D21" s="58">
        <v>4012.5</v>
      </c>
      <c r="E21" s="43" t="s">
        <v>26</v>
      </c>
      <c r="F21" s="44">
        <v>0</v>
      </c>
      <c r="G21" s="45">
        <v>0</v>
      </c>
      <c r="H21" s="46">
        <v>0</v>
      </c>
      <c r="I21" s="47">
        <v>0</v>
      </c>
      <c r="J21" s="48">
        <v>46086</v>
      </c>
      <c r="K21" s="49" t="s">
        <v>1058</v>
      </c>
      <c r="L21" s="50">
        <v>4012.5</v>
      </c>
      <c r="M21" s="51" t="s">
        <v>26</v>
      </c>
      <c r="N21" s="52">
        <v>0</v>
      </c>
      <c r="O21" s="53">
        <f t="shared" si="2"/>
        <v>0</v>
      </c>
      <c r="P21" s="53">
        <f t="shared" si="0"/>
        <v>0</v>
      </c>
      <c r="Q21" s="54">
        <f t="shared" si="1"/>
        <v>0</v>
      </c>
      <c r="R21" s="39"/>
      <c r="S21" s="55"/>
      <c r="T21" s="55"/>
      <c r="U21" s="56"/>
      <c r="V21" s="56"/>
    </row>
    <row r="22" spans="1:25" s="57" customFormat="1" ht="27.75" customHeight="1">
      <c r="A22" s="39">
        <v>15</v>
      </c>
      <c r="B22" s="40" t="s">
        <v>66</v>
      </c>
      <c r="C22" s="41" t="s">
        <v>67</v>
      </c>
      <c r="D22" s="58">
        <v>12037.5</v>
      </c>
      <c r="E22" s="43" t="s">
        <v>823</v>
      </c>
      <c r="F22" s="60">
        <v>1</v>
      </c>
      <c r="G22" s="61">
        <v>11250</v>
      </c>
      <c r="H22" s="46">
        <v>787.5</v>
      </c>
      <c r="I22" s="47">
        <v>12037.5</v>
      </c>
      <c r="J22" s="62" t="s">
        <v>1059</v>
      </c>
      <c r="K22" s="49" t="s">
        <v>1060</v>
      </c>
      <c r="L22" s="50">
        <v>24075</v>
      </c>
      <c r="M22" s="51" t="s">
        <v>45</v>
      </c>
      <c r="N22" s="52">
        <v>0</v>
      </c>
      <c r="O22" s="53">
        <f t="shared" si="2"/>
        <v>0</v>
      </c>
      <c r="P22" s="53">
        <f t="shared" si="0"/>
        <v>0</v>
      </c>
      <c r="Q22" s="54">
        <f t="shared" si="1"/>
        <v>0</v>
      </c>
      <c r="R22" s="39"/>
      <c r="S22" s="55"/>
      <c r="T22" s="55"/>
      <c r="U22" s="56"/>
      <c r="V22" s="56"/>
    </row>
    <row r="23" spans="1:25" s="57" customFormat="1" ht="27.75" customHeight="1">
      <c r="A23" s="39">
        <v>16</v>
      </c>
      <c r="B23" s="40" t="s">
        <v>66</v>
      </c>
      <c r="C23" s="41" t="s">
        <v>69</v>
      </c>
      <c r="D23" s="63">
        <v>4012.5</v>
      </c>
      <c r="E23" s="64" t="s">
        <v>823</v>
      </c>
      <c r="F23" s="44">
        <v>1</v>
      </c>
      <c r="G23" s="45">
        <v>3750</v>
      </c>
      <c r="H23" s="65">
        <v>262.5</v>
      </c>
      <c r="I23" s="66">
        <v>4012.5</v>
      </c>
      <c r="J23" s="62" t="s">
        <v>1059</v>
      </c>
      <c r="K23" s="49" t="s">
        <v>1061</v>
      </c>
      <c r="L23" s="50">
        <v>8025</v>
      </c>
      <c r="M23" s="51" t="s">
        <v>45</v>
      </c>
      <c r="N23" s="52">
        <v>0</v>
      </c>
      <c r="O23" s="53">
        <f t="shared" si="2"/>
        <v>0</v>
      </c>
      <c r="P23" s="53">
        <f t="shared" si="0"/>
        <v>0</v>
      </c>
      <c r="Q23" s="54">
        <f t="shared" si="1"/>
        <v>0</v>
      </c>
      <c r="R23" s="39"/>
      <c r="S23" s="55"/>
      <c r="T23" s="55"/>
      <c r="U23" s="56"/>
      <c r="V23" s="56"/>
    </row>
    <row r="24" spans="1:25" s="57" customFormat="1" ht="35.25" customHeight="1" thickBot="1">
      <c r="A24" s="67"/>
      <c r="B24" s="68" t="s">
        <v>22</v>
      </c>
      <c r="C24" s="69"/>
      <c r="D24" s="70">
        <f>SUM(D8:D23)</f>
        <v>72225</v>
      </c>
      <c r="E24" s="71"/>
      <c r="F24" s="72"/>
      <c r="G24" s="73">
        <f>SUM(G8:G23)-G9-G11-G13-G18</f>
        <v>15000</v>
      </c>
      <c r="H24" s="73">
        <f t="shared" ref="H24:I24" si="3">SUM(H8:H23)-H9-H11-H13-H18</f>
        <v>1050</v>
      </c>
      <c r="I24" s="73">
        <f t="shared" si="3"/>
        <v>16050</v>
      </c>
      <c r="J24" s="74"/>
      <c r="K24" s="75"/>
      <c r="L24" s="76">
        <f>SUM(L8:L23)</f>
        <v>84262.5</v>
      </c>
      <c r="M24" s="77"/>
      <c r="N24" s="78"/>
      <c r="O24" s="79">
        <f>SUM(O8:O23)-O14</f>
        <v>0</v>
      </c>
      <c r="P24" s="79">
        <f t="shared" ref="P24:Q24" si="4">SUM(P8:P23)-P14</f>
        <v>0</v>
      </c>
      <c r="Q24" s="79">
        <f t="shared" si="4"/>
        <v>0</v>
      </c>
      <c r="R24" s="79">
        <f t="shared" ref="R24:X24" si="5">SUM(R8:R23)-R9-R11-R13-R15</f>
        <v>0</v>
      </c>
      <c r="S24" s="79">
        <f t="shared" si="5"/>
        <v>0</v>
      </c>
      <c r="T24" s="79">
        <f t="shared" si="5"/>
        <v>0</v>
      </c>
      <c r="U24" s="79">
        <f t="shared" si="5"/>
        <v>0</v>
      </c>
      <c r="V24" s="79">
        <f t="shared" si="5"/>
        <v>0</v>
      </c>
      <c r="W24" s="79">
        <f t="shared" si="5"/>
        <v>0</v>
      </c>
      <c r="X24" s="79">
        <f t="shared" si="5"/>
        <v>0</v>
      </c>
    </row>
    <row r="25" spans="1:25" s="91" customFormat="1" ht="27.75" customHeight="1" thickTop="1">
      <c r="A25" s="39">
        <v>1</v>
      </c>
      <c r="B25" s="80" t="s">
        <v>71</v>
      </c>
      <c r="C25" s="81" t="s">
        <v>72</v>
      </c>
      <c r="D25" s="82">
        <v>13375</v>
      </c>
      <c r="E25" s="83" t="s">
        <v>951</v>
      </c>
      <c r="F25" s="84">
        <v>-0.5</v>
      </c>
      <c r="G25" s="85">
        <v>-6250</v>
      </c>
      <c r="H25" s="46">
        <v>-437.5</v>
      </c>
      <c r="I25" s="85">
        <v>-6687.5</v>
      </c>
      <c r="J25" s="48">
        <v>46105</v>
      </c>
      <c r="K25" s="49" t="s">
        <v>1062</v>
      </c>
      <c r="L25" s="86">
        <v>13375</v>
      </c>
      <c r="M25" s="87" t="s">
        <v>1063</v>
      </c>
      <c r="N25" s="88">
        <v>-0.5</v>
      </c>
      <c r="O25" s="518">
        <f>+(D25*100/107)+G25-(L25*100/107)</f>
        <v>-6250</v>
      </c>
      <c r="P25" s="518">
        <f t="shared" ref="P25" si="6">ROUND((O25*0.07),2)</f>
        <v>-437.5</v>
      </c>
      <c r="Q25" s="519">
        <f t="shared" ref="Q25" si="7">+O25+P25</f>
        <v>-6687.5</v>
      </c>
      <c r="R25" s="39"/>
      <c r="S25" s="55"/>
      <c r="T25" s="55"/>
      <c r="U25" s="58"/>
      <c r="V25" s="58"/>
    </row>
    <row r="26" spans="1:25" s="57" customFormat="1" ht="27.75" customHeight="1">
      <c r="A26" s="39">
        <v>2</v>
      </c>
      <c r="B26" s="92" t="s">
        <v>76</v>
      </c>
      <c r="C26" s="41" t="s">
        <v>72</v>
      </c>
      <c r="D26" s="58">
        <v>1605</v>
      </c>
      <c r="E26" s="43" t="s">
        <v>45</v>
      </c>
      <c r="F26" s="60">
        <v>0</v>
      </c>
      <c r="G26" s="47">
        <v>0</v>
      </c>
      <c r="H26" s="46">
        <v>0</v>
      </c>
      <c r="I26" s="47">
        <v>0</v>
      </c>
      <c r="J26" s="62">
        <v>46087</v>
      </c>
      <c r="K26" s="49" t="s">
        <v>1064</v>
      </c>
      <c r="L26" s="93">
        <v>1605</v>
      </c>
      <c r="M26" s="94" t="s">
        <v>45</v>
      </c>
      <c r="N26" s="95">
        <v>0</v>
      </c>
      <c r="O26" s="53">
        <f>+(D26*100/107)+G26-(L26*100/107)</f>
        <v>0</v>
      </c>
      <c r="P26" s="53">
        <f t="shared" si="0"/>
        <v>0</v>
      </c>
      <c r="Q26" s="54">
        <f t="shared" si="1"/>
        <v>0</v>
      </c>
      <c r="R26" s="39"/>
      <c r="S26" s="55"/>
      <c r="T26" s="55"/>
      <c r="U26" s="58"/>
      <c r="V26" s="58"/>
    </row>
    <row r="27" spans="1:25" s="57" customFormat="1" ht="27.75" customHeight="1" thickBot="1">
      <c r="A27" s="96"/>
      <c r="B27" s="97" t="s">
        <v>22</v>
      </c>
      <c r="C27" s="98"/>
      <c r="D27" s="99">
        <f>SUM(D25:D26)</f>
        <v>14980</v>
      </c>
      <c r="E27" s="100"/>
      <c r="F27" s="101"/>
      <c r="G27" s="102"/>
      <c r="H27" s="102"/>
      <c r="I27" s="102"/>
      <c r="J27" s="103"/>
      <c r="K27" s="104"/>
      <c r="L27" s="105">
        <f>SUM(L25:L26)</f>
        <v>14980</v>
      </c>
      <c r="M27" s="106"/>
      <c r="N27" s="107"/>
      <c r="O27" s="108"/>
      <c r="P27" s="108"/>
      <c r="Q27" s="109"/>
      <c r="R27" s="39"/>
      <c r="S27" s="55"/>
      <c r="T27" s="55"/>
      <c r="U27" s="56"/>
      <c r="V27" s="56"/>
    </row>
    <row r="28" spans="1:25" ht="27.75" customHeight="1" thickTop="1">
      <c r="A28" s="39">
        <v>1</v>
      </c>
      <c r="B28" s="40" t="s">
        <v>78</v>
      </c>
      <c r="C28" s="81" t="s">
        <v>72</v>
      </c>
      <c r="D28" s="110">
        <v>10284.67</v>
      </c>
      <c r="E28" s="111" t="s">
        <v>948</v>
      </c>
      <c r="F28" s="112">
        <v>2</v>
      </c>
      <c r="G28" s="61">
        <v>17819.204859813086</v>
      </c>
      <c r="H28" s="46">
        <v>1247.3399999999999</v>
      </c>
      <c r="I28" s="47">
        <v>19066.544859813086</v>
      </c>
      <c r="J28" s="113" t="s">
        <v>1059</v>
      </c>
      <c r="K28" s="114" t="s">
        <v>1065</v>
      </c>
      <c r="L28" s="115">
        <v>19066.55</v>
      </c>
      <c r="M28" s="94" t="s">
        <v>952</v>
      </c>
      <c r="N28" s="116">
        <v>1</v>
      </c>
      <c r="O28" s="53">
        <f>+(D28*100/107)+G28-(L28*100/107)</f>
        <v>9611.8403738317757</v>
      </c>
      <c r="P28" s="53">
        <f t="shared" ref="P28:P30" si="8">ROUND((O28*0.07),2)</f>
        <v>672.83</v>
      </c>
      <c r="Q28" s="54">
        <f t="shared" ref="Q28:Q30" si="9">+O28+P28</f>
        <v>10284.670373831776</v>
      </c>
      <c r="R28" s="39"/>
      <c r="S28" s="55"/>
      <c r="T28" s="55"/>
      <c r="U28" s="56"/>
      <c r="V28" s="56"/>
    </row>
    <row r="29" spans="1:25" ht="27.75" customHeight="1">
      <c r="A29" s="39">
        <v>2</v>
      </c>
      <c r="B29" s="40" t="s">
        <v>82</v>
      </c>
      <c r="C29" s="41" t="s">
        <v>72</v>
      </c>
      <c r="D29" s="110">
        <v>1181.28</v>
      </c>
      <c r="E29" s="111" t="s">
        <v>823</v>
      </c>
      <c r="F29" s="112">
        <v>1</v>
      </c>
      <c r="G29" s="61">
        <v>1759.998130841122</v>
      </c>
      <c r="H29" s="46">
        <v>123.2</v>
      </c>
      <c r="I29" s="47">
        <v>1883.1981308411221</v>
      </c>
      <c r="J29" s="113">
        <v>46085</v>
      </c>
      <c r="K29" s="114" t="s">
        <v>1066</v>
      </c>
      <c r="L29" s="115">
        <v>1883.2</v>
      </c>
      <c r="M29" s="94" t="s">
        <v>952</v>
      </c>
      <c r="N29" s="116">
        <v>1</v>
      </c>
      <c r="O29" s="53">
        <f>+(D29*100/107)+G29-(L29*100/107)</f>
        <v>1103.998130841122</v>
      </c>
      <c r="P29" s="53">
        <f t="shared" si="8"/>
        <v>77.28</v>
      </c>
      <c r="Q29" s="54">
        <f t="shared" si="9"/>
        <v>1181.278130841122</v>
      </c>
      <c r="R29" s="39"/>
      <c r="S29" s="55"/>
      <c r="T29" s="55"/>
      <c r="U29" s="56"/>
      <c r="V29" s="56"/>
    </row>
    <row r="30" spans="1:25" ht="27.75" customHeight="1">
      <c r="A30" s="39">
        <v>3</v>
      </c>
      <c r="B30" s="40" t="s">
        <v>85</v>
      </c>
      <c r="C30" s="41" t="s">
        <v>72</v>
      </c>
      <c r="D30" s="110">
        <v>10000</v>
      </c>
      <c r="E30" s="111"/>
      <c r="F30" s="112"/>
      <c r="G30" s="61">
        <v>7.4766354737221263E-4</v>
      </c>
      <c r="H30" s="46">
        <v>0</v>
      </c>
      <c r="I30" s="47">
        <v>7.4766354737221263E-4</v>
      </c>
      <c r="J30" s="117">
        <v>46086</v>
      </c>
      <c r="K30" s="118" t="s">
        <v>1067</v>
      </c>
      <c r="L30" s="119">
        <v>10000</v>
      </c>
      <c r="M30" s="94"/>
      <c r="N30" s="116">
        <v>0</v>
      </c>
      <c r="O30" s="53">
        <f>+(D30*100/107)+G30-(L30*100/107)</f>
        <v>7.4766354737221263E-4</v>
      </c>
      <c r="P30" s="53">
        <f t="shared" si="8"/>
        <v>0</v>
      </c>
      <c r="Q30" s="54">
        <f t="shared" si="9"/>
        <v>7.4766354737221263E-4</v>
      </c>
      <c r="R30" s="39"/>
      <c r="S30" s="55"/>
      <c r="T30" s="55"/>
      <c r="U30" s="56"/>
      <c r="V30" s="56"/>
    </row>
    <row r="31" spans="1:25" s="57" customFormat="1" ht="27.75" customHeight="1" thickBot="1">
      <c r="A31" s="96"/>
      <c r="B31" s="97" t="s">
        <v>22</v>
      </c>
      <c r="C31" s="98"/>
      <c r="D31" s="99">
        <f>SUM(D28:D30)</f>
        <v>21465.95</v>
      </c>
      <c r="E31" s="100"/>
      <c r="F31" s="101"/>
      <c r="G31" s="102">
        <f>SUM(G28:G30)</f>
        <v>19579.203738317756</v>
      </c>
      <c r="H31" s="102">
        <f t="shared" ref="H31" si="10">SUM(H28:H30)</f>
        <v>1370.54</v>
      </c>
      <c r="I31" s="102">
        <f>SUM(I28:I30)</f>
        <v>20949.743738317757</v>
      </c>
      <c r="J31" s="103"/>
      <c r="K31" s="104"/>
      <c r="L31" s="105">
        <f>SUM(L28+L29+L30)</f>
        <v>30949.75</v>
      </c>
      <c r="M31" s="106"/>
      <c r="N31" s="107"/>
      <c r="O31" s="108">
        <f>SUM(O28:O30)</f>
        <v>10715.839252336445</v>
      </c>
      <c r="P31" s="108">
        <f t="shared" si="0"/>
        <v>750.11</v>
      </c>
      <c r="Q31" s="108">
        <f t="shared" si="1"/>
        <v>11465.949252336446</v>
      </c>
      <c r="R31" s="39"/>
      <c r="S31" s="55"/>
      <c r="T31" s="55"/>
      <c r="U31" s="56"/>
      <c r="V31" s="56"/>
    </row>
    <row r="32" spans="1:25" ht="27.75" hidden="1" customHeight="1" thickBot="1">
      <c r="A32" s="39">
        <v>1</v>
      </c>
      <c r="B32" s="40" t="s">
        <v>88</v>
      </c>
      <c r="C32" s="41" t="s">
        <v>72</v>
      </c>
      <c r="D32" s="120">
        <v>0</v>
      </c>
      <c r="E32" s="43"/>
      <c r="F32" s="60"/>
      <c r="G32" s="61">
        <v>0</v>
      </c>
      <c r="H32" s="46">
        <v>0</v>
      </c>
      <c r="I32" s="47">
        <v>0</v>
      </c>
      <c r="J32" s="113"/>
      <c r="K32" s="118"/>
      <c r="L32" s="121">
        <v>0</v>
      </c>
      <c r="M32" s="94"/>
      <c r="N32" s="39"/>
      <c r="O32" s="53">
        <f t="shared" ref="O32:O44" si="11">+(D32*100/107)+G32-(L32*100/107)</f>
        <v>0</v>
      </c>
      <c r="P32" s="53">
        <f t="shared" si="0"/>
        <v>0</v>
      </c>
      <c r="Q32" s="54">
        <f t="shared" si="1"/>
        <v>0</v>
      </c>
      <c r="R32" s="122"/>
      <c r="S32" s="37"/>
      <c r="T32" s="37"/>
      <c r="U32" s="38"/>
      <c r="V32" s="38"/>
    </row>
    <row r="33" spans="1:23" ht="27.75" hidden="1" customHeight="1" thickTop="1">
      <c r="A33" s="39">
        <v>2</v>
      </c>
      <c r="B33" s="40" t="s">
        <v>89</v>
      </c>
      <c r="C33" s="41" t="s">
        <v>72</v>
      </c>
      <c r="D33" s="120">
        <v>0</v>
      </c>
      <c r="E33" s="43"/>
      <c r="F33" s="60"/>
      <c r="G33" s="61">
        <v>0</v>
      </c>
      <c r="H33" s="46">
        <v>0</v>
      </c>
      <c r="I33" s="47">
        <v>0</v>
      </c>
      <c r="J33" s="113"/>
      <c r="K33" s="118"/>
      <c r="L33" s="121">
        <v>0</v>
      </c>
      <c r="M33" s="94"/>
      <c r="N33" s="39"/>
      <c r="O33" s="53">
        <f t="shared" si="11"/>
        <v>0</v>
      </c>
      <c r="P33" s="53">
        <f t="shared" si="0"/>
        <v>0</v>
      </c>
      <c r="Q33" s="54">
        <f t="shared" si="1"/>
        <v>0</v>
      </c>
      <c r="R33" s="122"/>
      <c r="S33" s="37"/>
      <c r="T33" s="37"/>
      <c r="U33" s="38"/>
      <c r="V33" s="38"/>
    </row>
    <row r="34" spans="1:23" ht="27.75" hidden="1" customHeight="1" thickTop="1">
      <c r="A34" s="39">
        <v>3</v>
      </c>
      <c r="B34" s="40" t="s">
        <v>90</v>
      </c>
      <c r="C34" s="41" t="s">
        <v>72</v>
      </c>
      <c r="D34" s="120"/>
      <c r="E34" s="43"/>
      <c r="F34" s="60"/>
      <c r="G34" s="61">
        <v>0</v>
      </c>
      <c r="H34" s="46">
        <v>0</v>
      </c>
      <c r="I34" s="47">
        <v>0</v>
      </c>
      <c r="J34" s="113"/>
      <c r="K34" s="118"/>
      <c r="L34" s="121"/>
      <c r="M34" s="94"/>
      <c r="N34" s="39"/>
      <c r="O34" s="53">
        <f t="shared" si="11"/>
        <v>0</v>
      </c>
      <c r="P34" s="53">
        <f t="shared" si="0"/>
        <v>0</v>
      </c>
      <c r="Q34" s="54">
        <f t="shared" si="1"/>
        <v>0</v>
      </c>
      <c r="R34" s="122"/>
      <c r="S34" s="37"/>
      <c r="T34" s="37"/>
      <c r="U34" s="38"/>
      <c r="V34" s="38"/>
    </row>
    <row r="35" spans="1:23" ht="27.75" hidden="1" customHeight="1" thickTop="1">
      <c r="A35" s="39">
        <v>4</v>
      </c>
      <c r="B35" s="40" t="s">
        <v>91</v>
      </c>
      <c r="C35" s="41" t="s">
        <v>72</v>
      </c>
      <c r="D35" s="120"/>
      <c r="E35" s="43"/>
      <c r="F35" s="60"/>
      <c r="G35" s="61">
        <v>0</v>
      </c>
      <c r="H35" s="46">
        <v>0</v>
      </c>
      <c r="I35" s="47">
        <v>0</v>
      </c>
      <c r="J35" s="113"/>
      <c r="K35" s="118"/>
      <c r="L35" s="121">
        <v>0</v>
      </c>
      <c r="M35" s="94"/>
      <c r="N35" s="39"/>
      <c r="O35" s="53">
        <f t="shared" si="11"/>
        <v>0</v>
      </c>
      <c r="P35" s="53">
        <f t="shared" si="0"/>
        <v>0</v>
      </c>
      <c r="Q35" s="54">
        <f t="shared" si="1"/>
        <v>0</v>
      </c>
      <c r="R35" s="122"/>
      <c r="S35" s="37"/>
      <c r="T35" s="37"/>
      <c r="U35" s="38"/>
      <c r="V35" s="38"/>
    </row>
    <row r="36" spans="1:23" ht="27.75" hidden="1" customHeight="1" thickTop="1">
      <c r="A36" s="39">
        <v>5</v>
      </c>
      <c r="B36" s="40" t="s">
        <v>92</v>
      </c>
      <c r="C36" s="41" t="s">
        <v>72</v>
      </c>
      <c r="D36" s="120"/>
      <c r="E36" s="43"/>
      <c r="F36" s="60"/>
      <c r="G36" s="61">
        <v>0</v>
      </c>
      <c r="H36" s="46">
        <v>0</v>
      </c>
      <c r="I36" s="47">
        <v>0</v>
      </c>
      <c r="J36" s="117"/>
      <c r="K36" s="118"/>
      <c r="L36" s="119">
        <v>0</v>
      </c>
      <c r="M36" s="94"/>
      <c r="N36" s="39"/>
      <c r="O36" s="53">
        <f t="shared" si="11"/>
        <v>0</v>
      </c>
      <c r="P36" s="53">
        <f t="shared" si="0"/>
        <v>0</v>
      </c>
      <c r="Q36" s="54">
        <f t="shared" si="1"/>
        <v>0</v>
      </c>
      <c r="R36" s="122"/>
      <c r="S36" s="37"/>
      <c r="T36" s="37"/>
      <c r="U36" s="38"/>
      <c r="V36" s="38"/>
    </row>
    <row r="37" spans="1:23" ht="27.75" hidden="1" customHeight="1" thickTop="1">
      <c r="A37" s="39">
        <v>6</v>
      </c>
      <c r="B37" s="123" t="s">
        <v>93</v>
      </c>
      <c r="C37" s="41" t="s">
        <v>72</v>
      </c>
      <c r="D37" s="124">
        <v>0</v>
      </c>
      <c r="E37" s="125"/>
      <c r="F37" s="126"/>
      <c r="G37" s="65">
        <v>0</v>
      </c>
      <c r="H37" s="46">
        <v>0</v>
      </c>
      <c r="I37" s="47">
        <v>0</v>
      </c>
      <c r="J37" s="127"/>
      <c r="K37" s="128"/>
      <c r="L37" s="129">
        <v>0</v>
      </c>
      <c r="M37" s="94"/>
      <c r="N37" s="39"/>
      <c r="O37" s="53">
        <f t="shared" si="11"/>
        <v>0</v>
      </c>
      <c r="P37" s="53">
        <f t="shared" si="0"/>
        <v>0</v>
      </c>
      <c r="Q37" s="54">
        <f t="shared" si="1"/>
        <v>0</v>
      </c>
      <c r="R37" s="122"/>
      <c r="S37" s="37"/>
      <c r="T37" s="37"/>
      <c r="U37" s="38"/>
      <c r="V37" s="38"/>
    </row>
    <row r="38" spans="1:23" ht="27.75" hidden="1" customHeight="1" thickTop="1">
      <c r="A38" s="39">
        <v>7</v>
      </c>
      <c r="B38" s="40" t="s">
        <v>94</v>
      </c>
      <c r="C38" s="41" t="s">
        <v>72</v>
      </c>
      <c r="D38" s="120"/>
      <c r="E38" s="43"/>
      <c r="F38" s="60"/>
      <c r="G38" s="61">
        <v>0</v>
      </c>
      <c r="H38" s="46">
        <v>0</v>
      </c>
      <c r="I38" s="47">
        <v>0</v>
      </c>
      <c r="J38" s="117"/>
      <c r="K38" s="118"/>
      <c r="L38" s="119">
        <v>0</v>
      </c>
      <c r="M38" s="94"/>
      <c r="N38" s="39"/>
      <c r="O38" s="53">
        <f t="shared" si="11"/>
        <v>0</v>
      </c>
      <c r="P38" s="53">
        <f t="shared" si="0"/>
        <v>0</v>
      </c>
      <c r="Q38" s="54">
        <f t="shared" si="1"/>
        <v>0</v>
      </c>
      <c r="R38" s="122"/>
      <c r="S38" s="37"/>
      <c r="T38" s="37"/>
      <c r="U38" s="38"/>
      <c r="V38" s="38"/>
    </row>
    <row r="39" spans="1:23" ht="27.75" hidden="1" customHeight="1" thickTop="1">
      <c r="A39" s="39">
        <v>8</v>
      </c>
      <c r="B39" s="40" t="s">
        <v>95</v>
      </c>
      <c r="C39" s="41" t="s">
        <v>72</v>
      </c>
      <c r="D39" s="120"/>
      <c r="E39" s="43"/>
      <c r="F39" s="60"/>
      <c r="G39" s="61">
        <v>0</v>
      </c>
      <c r="H39" s="46">
        <v>0</v>
      </c>
      <c r="I39" s="47">
        <v>0</v>
      </c>
      <c r="J39" s="117"/>
      <c r="K39" s="118"/>
      <c r="L39" s="119">
        <v>0</v>
      </c>
      <c r="M39" s="94"/>
      <c r="N39" s="39"/>
      <c r="O39" s="53">
        <f t="shared" si="11"/>
        <v>0</v>
      </c>
      <c r="P39" s="53">
        <f t="shared" si="0"/>
        <v>0</v>
      </c>
      <c r="Q39" s="54">
        <f t="shared" si="1"/>
        <v>0</v>
      </c>
      <c r="R39" s="122"/>
      <c r="S39" s="37"/>
      <c r="T39" s="37"/>
      <c r="U39" s="38"/>
      <c r="V39" s="38"/>
    </row>
    <row r="40" spans="1:23" ht="27.75" hidden="1" customHeight="1" thickTop="1">
      <c r="A40" s="39">
        <v>9</v>
      </c>
      <c r="B40" s="40" t="s">
        <v>96</v>
      </c>
      <c r="C40" s="41" t="s">
        <v>72</v>
      </c>
      <c r="D40" s="120"/>
      <c r="E40" s="43"/>
      <c r="F40" s="60"/>
      <c r="G40" s="61">
        <v>0</v>
      </c>
      <c r="H40" s="46">
        <v>0</v>
      </c>
      <c r="I40" s="47">
        <v>0</v>
      </c>
      <c r="J40" s="117"/>
      <c r="K40" s="118"/>
      <c r="L40" s="119">
        <v>0</v>
      </c>
      <c r="M40" s="94"/>
      <c r="N40" s="39"/>
      <c r="O40" s="53">
        <f t="shared" si="11"/>
        <v>0</v>
      </c>
      <c r="P40" s="53">
        <f t="shared" si="0"/>
        <v>0</v>
      </c>
      <c r="Q40" s="54">
        <f t="shared" si="1"/>
        <v>0</v>
      </c>
      <c r="R40" s="122"/>
      <c r="S40" s="37"/>
      <c r="T40" s="37"/>
      <c r="U40" s="38"/>
      <c r="V40" s="38"/>
    </row>
    <row r="41" spans="1:23" ht="27.75" hidden="1" customHeight="1" thickTop="1">
      <c r="A41" s="39">
        <v>10</v>
      </c>
      <c r="B41" s="40" t="s">
        <v>97</v>
      </c>
      <c r="C41" s="41" t="s">
        <v>72</v>
      </c>
      <c r="D41" s="120">
        <v>0</v>
      </c>
      <c r="E41" s="43"/>
      <c r="F41" s="60"/>
      <c r="G41" s="61">
        <v>0</v>
      </c>
      <c r="H41" s="46">
        <v>0</v>
      </c>
      <c r="I41" s="47">
        <v>0</v>
      </c>
      <c r="J41" s="117"/>
      <c r="K41" s="118"/>
      <c r="L41" s="119">
        <v>0</v>
      </c>
      <c r="M41" s="94"/>
      <c r="N41" s="39"/>
      <c r="O41" s="53">
        <f t="shared" si="11"/>
        <v>0</v>
      </c>
      <c r="P41" s="53">
        <f t="shared" si="0"/>
        <v>0</v>
      </c>
      <c r="Q41" s="54">
        <f t="shared" si="1"/>
        <v>0</v>
      </c>
      <c r="R41" s="122"/>
      <c r="S41" s="37"/>
      <c r="T41" s="37"/>
      <c r="U41" s="38"/>
      <c r="V41" s="38"/>
    </row>
    <row r="42" spans="1:23" ht="27.75" hidden="1" customHeight="1" thickTop="1">
      <c r="A42" s="39">
        <v>11</v>
      </c>
      <c r="B42" s="40" t="s">
        <v>98</v>
      </c>
      <c r="C42" s="41" t="s">
        <v>72</v>
      </c>
      <c r="D42" s="120"/>
      <c r="E42" s="43"/>
      <c r="F42" s="60"/>
      <c r="G42" s="61">
        <v>0</v>
      </c>
      <c r="H42" s="46">
        <v>0</v>
      </c>
      <c r="I42" s="47">
        <v>0</v>
      </c>
      <c r="J42" s="117"/>
      <c r="K42" s="118"/>
      <c r="L42" s="119">
        <v>0</v>
      </c>
      <c r="M42" s="94"/>
      <c r="N42" s="39"/>
      <c r="O42" s="53">
        <f t="shared" si="11"/>
        <v>0</v>
      </c>
      <c r="P42" s="53">
        <f t="shared" si="0"/>
        <v>0</v>
      </c>
      <c r="Q42" s="54">
        <f t="shared" si="1"/>
        <v>0</v>
      </c>
      <c r="R42" s="122"/>
      <c r="S42" s="37"/>
      <c r="T42" s="37"/>
      <c r="U42" s="38"/>
      <c r="V42" s="38"/>
    </row>
    <row r="43" spans="1:23" ht="27.75" hidden="1" customHeight="1" thickTop="1">
      <c r="A43" s="39">
        <v>12</v>
      </c>
      <c r="B43" s="40" t="s">
        <v>99</v>
      </c>
      <c r="C43" s="41" t="s">
        <v>72</v>
      </c>
      <c r="D43" s="120">
        <v>0</v>
      </c>
      <c r="E43" s="43"/>
      <c r="F43" s="60"/>
      <c r="G43" s="61">
        <v>0</v>
      </c>
      <c r="H43" s="46">
        <v>0</v>
      </c>
      <c r="I43" s="47">
        <v>0</v>
      </c>
      <c r="J43" s="117"/>
      <c r="K43" s="118"/>
      <c r="L43" s="119">
        <v>0</v>
      </c>
      <c r="M43" s="94"/>
      <c r="N43" s="39"/>
      <c r="O43" s="53">
        <f t="shared" si="11"/>
        <v>0</v>
      </c>
      <c r="P43" s="53">
        <f t="shared" si="0"/>
        <v>0</v>
      </c>
      <c r="Q43" s="54">
        <f t="shared" si="1"/>
        <v>0</v>
      </c>
      <c r="R43" s="122"/>
      <c r="S43" s="37"/>
      <c r="T43" s="37"/>
      <c r="U43" s="38"/>
      <c r="V43" s="38"/>
    </row>
    <row r="44" spans="1:23" ht="27.75" hidden="1" customHeight="1" thickTop="1">
      <c r="A44" s="39"/>
      <c r="B44" s="123"/>
      <c r="C44" s="41"/>
      <c r="D44" s="124"/>
      <c r="E44" s="125"/>
      <c r="F44" s="126"/>
      <c r="G44" s="65">
        <v>0</v>
      </c>
      <c r="H44" s="46">
        <v>0</v>
      </c>
      <c r="I44" s="47">
        <v>0</v>
      </c>
      <c r="J44" s="127"/>
      <c r="K44" s="128"/>
      <c r="L44" s="129"/>
      <c r="M44" s="83"/>
      <c r="N44" s="130"/>
      <c r="O44" s="53">
        <f t="shared" si="11"/>
        <v>0</v>
      </c>
      <c r="P44" s="53">
        <f t="shared" si="0"/>
        <v>0</v>
      </c>
      <c r="Q44" s="54">
        <f t="shared" si="1"/>
        <v>0</v>
      </c>
      <c r="R44" s="122"/>
      <c r="S44" s="37"/>
      <c r="T44" s="37"/>
      <c r="U44" s="38"/>
      <c r="V44" s="38"/>
    </row>
    <row r="45" spans="1:23" ht="27.75" hidden="1" customHeight="1" thickTop="1">
      <c r="A45" s="22"/>
      <c r="B45" s="131" t="s">
        <v>22</v>
      </c>
      <c r="C45" s="132"/>
      <c r="D45" s="133">
        <f>SUM(D32:D43)</f>
        <v>0</v>
      </c>
      <c r="E45" s="134"/>
      <c r="F45" s="135"/>
      <c r="G45" s="136">
        <f>SUM(G32:G43)</f>
        <v>0</v>
      </c>
      <c r="H45" s="136">
        <f t="shared" ref="H45:I45" si="12">SUM(H32:H43)</f>
        <v>0</v>
      </c>
      <c r="I45" s="136">
        <f t="shared" si="12"/>
        <v>0</v>
      </c>
      <c r="J45" s="137">
        <v>0</v>
      </c>
      <c r="K45" s="137">
        <f>SUM(K8:K44)</f>
        <v>0</v>
      </c>
      <c r="L45" s="138">
        <f>SUM(L32:L44)</f>
        <v>0</v>
      </c>
      <c r="M45" s="139"/>
      <c r="N45" s="133"/>
      <c r="O45" s="136">
        <f>SUM(O32:O44)</f>
        <v>0</v>
      </c>
      <c r="P45" s="136">
        <f t="shared" ref="P45:Q45" si="13">SUM(P32:P44)</f>
        <v>0</v>
      </c>
      <c r="Q45" s="136">
        <f t="shared" si="13"/>
        <v>0</v>
      </c>
      <c r="R45" s="36"/>
      <c r="S45" s="37"/>
      <c r="T45" s="37"/>
      <c r="U45" s="38"/>
      <c r="V45" s="38"/>
      <c r="W45" s="38"/>
    </row>
    <row r="46" spans="1:23" ht="27.75" customHeight="1" thickTop="1">
      <c r="A46" s="22"/>
      <c r="B46" s="23" t="s">
        <v>100</v>
      </c>
      <c r="C46" s="24"/>
      <c r="D46" s="25"/>
      <c r="E46" s="26"/>
      <c r="F46" s="27"/>
      <c r="G46" s="28"/>
      <c r="H46" s="28"/>
      <c r="I46" s="28"/>
      <c r="J46" s="29"/>
      <c r="K46" s="30"/>
      <c r="L46" s="31"/>
      <c r="M46" s="32"/>
      <c r="N46" s="33"/>
      <c r="O46" s="34"/>
      <c r="P46" s="34"/>
      <c r="Q46" s="35"/>
      <c r="R46" s="36"/>
      <c r="S46" s="37"/>
      <c r="T46" s="37"/>
      <c r="U46" s="38"/>
      <c r="V46" s="38"/>
      <c r="W46" s="38"/>
    </row>
    <row r="47" spans="1:23" s="57" customFormat="1" ht="27.75" customHeight="1">
      <c r="A47" s="22">
        <v>1</v>
      </c>
      <c r="B47" s="40" t="s">
        <v>101</v>
      </c>
      <c r="C47" s="140" t="s">
        <v>102</v>
      </c>
      <c r="D47" s="141">
        <v>160.5</v>
      </c>
      <c r="E47" s="142" t="s">
        <v>45</v>
      </c>
      <c r="F47" s="143">
        <v>0</v>
      </c>
      <c r="G47" s="61">
        <v>0</v>
      </c>
      <c r="H47" s="61">
        <v>0</v>
      </c>
      <c r="I47" s="47">
        <v>0</v>
      </c>
      <c r="J47" s="113">
        <v>46101</v>
      </c>
      <c r="K47" s="114" t="s">
        <v>1068</v>
      </c>
      <c r="L47" s="144">
        <v>160.5</v>
      </c>
      <c r="M47" s="145" t="s">
        <v>45</v>
      </c>
      <c r="N47" s="146">
        <v>0</v>
      </c>
      <c r="O47" s="147">
        <f t="shared" ref="O47:O81" si="14">+(D47*100/107)+G47-(L47*100/107)</f>
        <v>0</v>
      </c>
      <c r="P47" s="147">
        <f t="shared" ref="P47" si="15">ROUND((O47*0.07),2)</f>
        <v>0</v>
      </c>
      <c r="Q47" s="47">
        <f t="shared" ref="Q47" si="16">+O47+P47</f>
        <v>0</v>
      </c>
      <c r="R47" s="146"/>
      <c r="S47" s="148"/>
      <c r="T47" s="148"/>
      <c r="U47" s="149"/>
      <c r="V47" s="149"/>
    </row>
    <row r="48" spans="1:23" s="57" customFormat="1" ht="27.75" customHeight="1">
      <c r="A48" s="22">
        <v>2</v>
      </c>
      <c r="B48" s="150" t="s">
        <v>104</v>
      </c>
      <c r="C48" s="140" t="s">
        <v>102</v>
      </c>
      <c r="D48" s="141">
        <v>321</v>
      </c>
      <c r="E48" s="142" t="s">
        <v>45</v>
      </c>
      <c r="F48" s="143">
        <v>0</v>
      </c>
      <c r="G48" s="61">
        <v>0</v>
      </c>
      <c r="H48" s="61">
        <v>0</v>
      </c>
      <c r="I48" s="47">
        <v>0</v>
      </c>
      <c r="J48" s="117">
        <v>46108</v>
      </c>
      <c r="K48" s="118" t="s">
        <v>1069</v>
      </c>
      <c r="L48" s="151">
        <v>321</v>
      </c>
      <c r="M48" s="94" t="s">
        <v>45</v>
      </c>
      <c r="N48" s="39">
        <v>0</v>
      </c>
      <c r="O48" s="147">
        <f t="shared" si="14"/>
        <v>0</v>
      </c>
      <c r="P48" s="147">
        <f>ROUND((O48*0.07),2)</f>
        <v>0</v>
      </c>
      <c r="Q48" s="47">
        <f>+O48+P48</f>
        <v>0</v>
      </c>
      <c r="R48" s="146"/>
      <c r="S48" s="148"/>
      <c r="T48" s="148"/>
      <c r="U48" s="149"/>
      <c r="V48" s="149"/>
    </row>
    <row r="49" spans="1:22" s="169" customFormat="1" ht="27.75" customHeight="1">
      <c r="A49" s="152">
        <v>3</v>
      </c>
      <c r="B49" s="153" t="s">
        <v>106</v>
      </c>
      <c r="C49" s="154" t="s">
        <v>102</v>
      </c>
      <c r="D49" s="155">
        <v>160.5</v>
      </c>
      <c r="E49" s="156" t="s">
        <v>955</v>
      </c>
      <c r="F49" s="157">
        <v>-5</v>
      </c>
      <c r="G49" s="158">
        <v>-750</v>
      </c>
      <c r="H49" s="158">
        <v>-52.5</v>
      </c>
      <c r="I49" s="159">
        <v>-802.5</v>
      </c>
      <c r="J49" s="160"/>
      <c r="K49" s="161"/>
      <c r="L49" s="162">
        <v>0</v>
      </c>
      <c r="M49" s="163" t="s">
        <v>1070</v>
      </c>
      <c r="N49" s="164">
        <v>-4</v>
      </c>
      <c r="O49" s="165">
        <f t="shared" si="14"/>
        <v>-600</v>
      </c>
      <c r="P49" s="165">
        <f t="shared" ref="P49:P67" si="17">ROUND((O49*0.07),2)</f>
        <v>-42</v>
      </c>
      <c r="Q49" s="159">
        <f t="shared" ref="Q49:Q67" si="18">+O49+P49</f>
        <v>-642</v>
      </c>
      <c r="R49" s="166"/>
      <c r="S49" s="167"/>
      <c r="T49" s="167"/>
      <c r="U49" s="168"/>
      <c r="V49" s="168"/>
    </row>
    <row r="50" spans="1:22" s="57" customFormat="1" ht="27.75" customHeight="1">
      <c r="A50" s="22">
        <v>4</v>
      </c>
      <c r="B50" s="170" t="s">
        <v>109</v>
      </c>
      <c r="C50" s="140" t="s">
        <v>102</v>
      </c>
      <c r="D50" s="141">
        <v>321</v>
      </c>
      <c r="E50" s="142" t="s">
        <v>45</v>
      </c>
      <c r="F50" s="143">
        <v>0</v>
      </c>
      <c r="G50" s="61">
        <v>0</v>
      </c>
      <c r="H50" s="61">
        <v>0</v>
      </c>
      <c r="I50" s="47">
        <v>0</v>
      </c>
      <c r="J50" s="117">
        <v>46084</v>
      </c>
      <c r="K50" s="118" t="s">
        <v>1071</v>
      </c>
      <c r="L50" s="151">
        <v>321</v>
      </c>
      <c r="M50" s="171" t="s">
        <v>45</v>
      </c>
      <c r="N50" s="172">
        <v>0</v>
      </c>
      <c r="O50" s="147">
        <f t="shared" si="14"/>
        <v>0</v>
      </c>
      <c r="P50" s="147">
        <f t="shared" si="17"/>
        <v>0</v>
      </c>
      <c r="Q50" s="47">
        <f t="shared" si="18"/>
        <v>0</v>
      </c>
      <c r="R50" s="146"/>
      <c r="S50" s="148"/>
      <c r="T50" s="148"/>
      <c r="U50" s="149"/>
      <c r="V50" s="149"/>
    </row>
    <row r="51" spans="1:22" s="57" customFormat="1" ht="27.75" customHeight="1">
      <c r="A51" s="22">
        <v>5</v>
      </c>
      <c r="B51" s="170" t="s">
        <v>111</v>
      </c>
      <c r="C51" s="140" t="s">
        <v>102</v>
      </c>
      <c r="D51" s="141">
        <v>321</v>
      </c>
      <c r="E51" s="142" t="s">
        <v>45</v>
      </c>
      <c r="F51" s="143">
        <v>0</v>
      </c>
      <c r="G51" s="61">
        <v>0</v>
      </c>
      <c r="H51" s="61">
        <v>0</v>
      </c>
      <c r="I51" s="47">
        <v>0</v>
      </c>
      <c r="J51" s="117">
        <v>46085</v>
      </c>
      <c r="K51" s="118" t="s">
        <v>1072</v>
      </c>
      <c r="L51" s="151">
        <v>321</v>
      </c>
      <c r="M51" s="171" t="s">
        <v>45</v>
      </c>
      <c r="N51" s="172">
        <v>0</v>
      </c>
      <c r="O51" s="147">
        <f t="shared" si="14"/>
        <v>0</v>
      </c>
      <c r="P51" s="147">
        <f t="shared" si="17"/>
        <v>0</v>
      </c>
      <c r="Q51" s="47">
        <f t="shared" si="18"/>
        <v>0</v>
      </c>
      <c r="R51" s="146"/>
      <c r="S51" s="148"/>
      <c r="T51" s="148"/>
      <c r="U51" s="149"/>
      <c r="V51" s="149"/>
    </row>
    <row r="52" spans="1:22" s="57" customFormat="1" ht="27.75" customHeight="1">
      <c r="A52" s="22">
        <v>6</v>
      </c>
      <c r="B52" s="170" t="s">
        <v>113</v>
      </c>
      <c r="C52" s="140" t="s">
        <v>102</v>
      </c>
      <c r="D52" s="141">
        <v>160.5</v>
      </c>
      <c r="E52" s="142" t="s">
        <v>45</v>
      </c>
      <c r="F52" s="143">
        <v>0</v>
      </c>
      <c r="G52" s="61">
        <v>0</v>
      </c>
      <c r="H52" s="61">
        <v>0</v>
      </c>
      <c r="I52" s="47">
        <v>0</v>
      </c>
      <c r="J52" s="113">
        <v>46107</v>
      </c>
      <c r="K52" s="114" t="s">
        <v>1073</v>
      </c>
      <c r="L52" s="151">
        <v>160.5</v>
      </c>
      <c r="M52" s="171" t="s">
        <v>45</v>
      </c>
      <c r="N52" s="172">
        <v>0</v>
      </c>
      <c r="O52" s="147">
        <f t="shared" si="14"/>
        <v>0</v>
      </c>
      <c r="P52" s="147">
        <f t="shared" si="17"/>
        <v>0</v>
      </c>
      <c r="Q52" s="47">
        <f t="shared" si="18"/>
        <v>0</v>
      </c>
      <c r="R52" s="146"/>
      <c r="S52" s="148"/>
      <c r="T52" s="148"/>
      <c r="U52" s="149"/>
      <c r="V52" s="149"/>
    </row>
    <row r="53" spans="1:22" s="57" customFormat="1" ht="27.75" customHeight="1">
      <c r="A53" s="22">
        <v>7</v>
      </c>
      <c r="B53" s="170" t="s">
        <v>117</v>
      </c>
      <c r="C53" s="140" t="s">
        <v>102</v>
      </c>
      <c r="D53" s="141">
        <v>535</v>
      </c>
      <c r="E53" s="142" t="s">
        <v>45</v>
      </c>
      <c r="F53" s="143">
        <v>0</v>
      </c>
      <c r="G53" s="45">
        <v>0</v>
      </c>
      <c r="H53" s="61">
        <v>0</v>
      </c>
      <c r="I53" s="47">
        <v>0</v>
      </c>
      <c r="J53" s="113">
        <v>46098</v>
      </c>
      <c r="K53" s="114" t="s">
        <v>1074</v>
      </c>
      <c r="L53" s="151">
        <v>535</v>
      </c>
      <c r="M53" s="171" t="s">
        <v>45</v>
      </c>
      <c r="N53" s="172">
        <v>0</v>
      </c>
      <c r="O53" s="147">
        <f t="shared" si="14"/>
        <v>0</v>
      </c>
      <c r="P53" s="147">
        <f t="shared" si="17"/>
        <v>0</v>
      </c>
      <c r="Q53" s="47">
        <f t="shared" si="18"/>
        <v>0</v>
      </c>
      <c r="R53" s="146"/>
      <c r="S53" s="148"/>
      <c r="T53" s="148"/>
      <c r="U53" s="149"/>
      <c r="V53" s="149"/>
    </row>
    <row r="54" spans="1:22" s="57" customFormat="1" ht="27.75" customHeight="1">
      <c r="A54" s="22">
        <v>8</v>
      </c>
      <c r="B54" s="170" t="s">
        <v>119</v>
      </c>
      <c r="C54" s="140" t="s">
        <v>102</v>
      </c>
      <c r="D54" s="141">
        <v>321</v>
      </c>
      <c r="E54" s="142" t="s">
        <v>45</v>
      </c>
      <c r="F54" s="143">
        <v>0</v>
      </c>
      <c r="G54" s="45">
        <v>0</v>
      </c>
      <c r="H54" s="61">
        <v>0</v>
      </c>
      <c r="I54" s="47">
        <v>0</v>
      </c>
      <c r="J54" s="113">
        <v>46111</v>
      </c>
      <c r="K54" s="114" t="s">
        <v>1075</v>
      </c>
      <c r="L54" s="151">
        <v>321</v>
      </c>
      <c r="M54" s="171" t="s">
        <v>45</v>
      </c>
      <c r="N54" s="172">
        <v>0</v>
      </c>
      <c r="O54" s="147">
        <f t="shared" si="14"/>
        <v>0</v>
      </c>
      <c r="P54" s="147">
        <f t="shared" si="17"/>
        <v>0</v>
      </c>
      <c r="Q54" s="47">
        <f t="shared" si="18"/>
        <v>0</v>
      </c>
      <c r="R54" s="146"/>
      <c r="S54" s="148"/>
      <c r="T54" s="148"/>
      <c r="U54" s="149"/>
      <c r="V54" s="149"/>
    </row>
    <row r="55" spans="1:22" s="57" customFormat="1" ht="27.75" customHeight="1">
      <c r="A55" s="22">
        <v>9</v>
      </c>
      <c r="B55" s="170" t="s">
        <v>121</v>
      </c>
      <c r="C55" s="140" t="s">
        <v>102</v>
      </c>
      <c r="D55" s="173">
        <v>321</v>
      </c>
      <c r="E55" s="142" t="s">
        <v>45</v>
      </c>
      <c r="F55" s="143">
        <v>0</v>
      </c>
      <c r="G55" s="45">
        <v>0</v>
      </c>
      <c r="H55" s="61">
        <v>0</v>
      </c>
      <c r="I55" s="47">
        <v>0</v>
      </c>
      <c r="J55" s="113">
        <v>46107</v>
      </c>
      <c r="K55" s="114" t="s">
        <v>1076</v>
      </c>
      <c r="L55" s="151">
        <v>321</v>
      </c>
      <c r="M55" s="171" t="s">
        <v>45</v>
      </c>
      <c r="N55" s="172">
        <v>0</v>
      </c>
      <c r="O55" s="147">
        <f t="shared" si="14"/>
        <v>0</v>
      </c>
      <c r="P55" s="147">
        <f t="shared" si="17"/>
        <v>0</v>
      </c>
      <c r="Q55" s="47">
        <f t="shared" si="18"/>
        <v>0</v>
      </c>
      <c r="R55" s="146"/>
      <c r="S55" s="148"/>
      <c r="T55" s="148"/>
      <c r="U55" s="149"/>
      <c r="V55" s="149"/>
    </row>
    <row r="56" spans="1:22" s="57" customFormat="1" ht="27.75" customHeight="1">
      <c r="A56" s="22">
        <v>10</v>
      </c>
      <c r="B56" s="40" t="s">
        <v>123</v>
      </c>
      <c r="C56" s="140" t="s">
        <v>102</v>
      </c>
      <c r="D56" s="173">
        <v>160.5</v>
      </c>
      <c r="E56" s="142" t="s">
        <v>962</v>
      </c>
      <c r="F56" s="143">
        <v>-3</v>
      </c>
      <c r="G56" s="45">
        <v>-450</v>
      </c>
      <c r="H56" s="61">
        <v>-31.5</v>
      </c>
      <c r="I56" s="47">
        <v>-481.5</v>
      </c>
      <c r="J56" s="113"/>
      <c r="K56" s="114"/>
      <c r="L56" s="144">
        <v>0</v>
      </c>
      <c r="M56" s="145" t="s">
        <v>1051</v>
      </c>
      <c r="N56" s="146">
        <v>-2</v>
      </c>
      <c r="O56" s="147">
        <f t="shared" si="14"/>
        <v>-300</v>
      </c>
      <c r="P56" s="147">
        <f t="shared" si="17"/>
        <v>-21</v>
      </c>
      <c r="Q56" s="47">
        <f t="shared" si="18"/>
        <v>-321</v>
      </c>
      <c r="R56" s="146"/>
      <c r="S56" s="148"/>
      <c r="T56" s="148"/>
      <c r="U56" s="149"/>
      <c r="V56" s="149"/>
    </row>
    <row r="57" spans="1:22" s="57" customFormat="1" ht="27.75" customHeight="1">
      <c r="A57" s="22">
        <v>11</v>
      </c>
      <c r="B57" s="40" t="s">
        <v>126</v>
      </c>
      <c r="C57" s="140" t="s">
        <v>102</v>
      </c>
      <c r="D57" s="173">
        <v>642</v>
      </c>
      <c r="E57" s="142" t="s">
        <v>952</v>
      </c>
      <c r="F57" s="143">
        <v>-1</v>
      </c>
      <c r="G57" s="61">
        <v>-600</v>
      </c>
      <c r="H57" s="61">
        <v>-42</v>
      </c>
      <c r="I57" s="47">
        <v>-642</v>
      </c>
      <c r="J57" s="113"/>
      <c r="K57" s="114"/>
      <c r="L57" s="144">
        <v>0</v>
      </c>
      <c r="M57" s="145" t="s">
        <v>45</v>
      </c>
      <c r="N57" s="146">
        <v>0</v>
      </c>
      <c r="O57" s="147">
        <f t="shared" si="14"/>
        <v>0</v>
      </c>
      <c r="P57" s="147">
        <f t="shared" si="17"/>
        <v>0</v>
      </c>
      <c r="Q57" s="47">
        <f t="shared" si="18"/>
        <v>0</v>
      </c>
      <c r="R57" s="146"/>
      <c r="S57" s="148"/>
      <c r="T57" s="148"/>
      <c r="U57" s="149"/>
      <c r="V57" s="149"/>
    </row>
    <row r="58" spans="1:22" s="57" customFormat="1" ht="27.75" customHeight="1">
      <c r="A58" s="22">
        <v>12</v>
      </c>
      <c r="B58" s="40" t="s">
        <v>128</v>
      </c>
      <c r="C58" s="140" t="s">
        <v>102</v>
      </c>
      <c r="D58" s="141">
        <v>642</v>
      </c>
      <c r="E58" s="142" t="s">
        <v>45</v>
      </c>
      <c r="F58" s="143">
        <v>0</v>
      </c>
      <c r="G58" s="61">
        <v>0</v>
      </c>
      <c r="H58" s="61">
        <v>0</v>
      </c>
      <c r="I58" s="47">
        <v>0</v>
      </c>
      <c r="J58" s="113">
        <v>46111</v>
      </c>
      <c r="K58" s="114" t="s">
        <v>1077</v>
      </c>
      <c r="L58" s="144">
        <v>642</v>
      </c>
      <c r="M58" s="145" t="s">
        <v>45</v>
      </c>
      <c r="N58" s="146">
        <v>0</v>
      </c>
      <c r="O58" s="147">
        <f t="shared" si="14"/>
        <v>0</v>
      </c>
      <c r="P58" s="147">
        <f t="shared" si="17"/>
        <v>0</v>
      </c>
      <c r="Q58" s="47">
        <f t="shared" si="18"/>
        <v>0</v>
      </c>
      <c r="R58" s="146"/>
      <c r="S58" s="148"/>
      <c r="T58" s="148"/>
      <c r="U58" s="149"/>
      <c r="V58" s="149"/>
    </row>
    <row r="59" spans="1:22" s="57" customFormat="1" ht="27.75" customHeight="1">
      <c r="A59" s="22">
        <v>13</v>
      </c>
      <c r="B59" s="40" t="s">
        <v>130</v>
      </c>
      <c r="C59" s="140" t="s">
        <v>102</v>
      </c>
      <c r="D59" s="141">
        <v>160.5</v>
      </c>
      <c r="E59" s="142" t="s">
        <v>823</v>
      </c>
      <c r="F59" s="143">
        <v>1</v>
      </c>
      <c r="G59" s="61">
        <v>150</v>
      </c>
      <c r="H59" s="61">
        <v>10.5</v>
      </c>
      <c r="I59" s="47">
        <v>160.5</v>
      </c>
      <c r="J59" s="175">
        <v>46087</v>
      </c>
      <c r="K59" s="176" t="s">
        <v>1078</v>
      </c>
      <c r="L59" s="177">
        <v>160.5</v>
      </c>
      <c r="M59" s="145" t="s">
        <v>952</v>
      </c>
      <c r="N59" s="146">
        <v>1</v>
      </c>
      <c r="O59" s="147">
        <f t="shared" si="14"/>
        <v>150</v>
      </c>
      <c r="P59" s="147">
        <f t="shared" si="17"/>
        <v>10.5</v>
      </c>
      <c r="Q59" s="47">
        <f t="shared" si="18"/>
        <v>160.5</v>
      </c>
      <c r="R59" s="146"/>
      <c r="S59" s="148"/>
      <c r="T59" s="148"/>
      <c r="U59" s="149"/>
      <c r="V59" s="149"/>
    </row>
    <row r="60" spans="1:22" s="57" customFormat="1" ht="27.75" customHeight="1">
      <c r="A60" s="22">
        <v>14</v>
      </c>
      <c r="B60" s="170" t="s">
        <v>132</v>
      </c>
      <c r="C60" s="140" t="s">
        <v>102</v>
      </c>
      <c r="D60" s="141">
        <v>321</v>
      </c>
      <c r="E60" s="142" t="s">
        <v>45</v>
      </c>
      <c r="F60" s="143">
        <v>0</v>
      </c>
      <c r="G60" s="45">
        <v>0</v>
      </c>
      <c r="H60" s="61">
        <v>0</v>
      </c>
      <c r="I60" s="47">
        <v>0</v>
      </c>
      <c r="J60" s="178">
        <v>46092</v>
      </c>
      <c r="K60" s="179" t="s">
        <v>1079</v>
      </c>
      <c r="L60" s="180">
        <v>321</v>
      </c>
      <c r="M60" s="171" t="s">
        <v>45</v>
      </c>
      <c r="N60" s="172">
        <v>0</v>
      </c>
      <c r="O60" s="147">
        <f t="shared" si="14"/>
        <v>0</v>
      </c>
      <c r="P60" s="147">
        <f t="shared" si="17"/>
        <v>0</v>
      </c>
      <c r="Q60" s="47">
        <f t="shared" si="18"/>
        <v>0</v>
      </c>
      <c r="R60" s="146"/>
      <c r="S60" s="148"/>
      <c r="T60" s="148"/>
      <c r="U60" s="149"/>
      <c r="V60" s="149"/>
    </row>
    <row r="61" spans="1:22" s="57" customFormat="1" ht="27.75" customHeight="1">
      <c r="A61" s="22">
        <v>15</v>
      </c>
      <c r="B61" s="40" t="s">
        <v>134</v>
      </c>
      <c r="C61" s="140" t="s">
        <v>102</v>
      </c>
      <c r="D61" s="141">
        <v>160.5</v>
      </c>
      <c r="E61" s="142" t="s">
        <v>45</v>
      </c>
      <c r="F61" s="143">
        <v>0</v>
      </c>
      <c r="G61" s="61">
        <v>0</v>
      </c>
      <c r="H61" s="61">
        <v>0</v>
      </c>
      <c r="I61" s="47">
        <v>0</v>
      </c>
      <c r="J61" s="175">
        <v>46109</v>
      </c>
      <c r="K61" s="176" t="s">
        <v>1080</v>
      </c>
      <c r="L61" s="177">
        <v>160.5</v>
      </c>
      <c r="M61" s="145" t="s">
        <v>45</v>
      </c>
      <c r="N61" s="146">
        <v>0</v>
      </c>
      <c r="O61" s="147">
        <f t="shared" si="14"/>
        <v>0</v>
      </c>
      <c r="P61" s="147">
        <f t="shared" si="17"/>
        <v>0</v>
      </c>
      <c r="Q61" s="47">
        <f t="shared" si="18"/>
        <v>0</v>
      </c>
      <c r="R61" s="146"/>
      <c r="S61" s="148"/>
      <c r="T61" s="148"/>
      <c r="U61" s="149"/>
      <c r="V61" s="149"/>
    </row>
    <row r="62" spans="1:22" s="57" customFormat="1" ht="27.75" customHeight="1">
      <c r="A62" s="22">
        <v>16</v>
      </c>
      <c r="B62" s="170" t="s">
        <v>136</v>
      </c>
      <c r="C62" s="140" t="s">
        <v>102</v>
      </c>
      <c r="D62" s="141">
        <v>321</v>
      </c>
      <c r="E62" s="142" t="s">
        <v>45</v>
      </c>
      <c r="F62" s="143">
        <v>0</v>
      </c>
      <c r="G62" s="45">
        <v>0</v>
      </c>
      <c r="H62" s="61">
        <v>0</v>
      </c>
      <c r="I62" s="47">
        <v>0</v>
      </c>
      <c r="J62" s="113">
        <v>46108</v>
      </c>
      <c r="K62" s="114" t="s">
        <v>1081</v>
      </c>
      <c r="L62" s="144">
        <v>321</v>
      </c>
      <c r="M62" s="171" t="s">
        <v>45</v>
      </c>
      <c r="N62" s="172">
        <v>0</v>
      </c>
      <c r="O62" s="147">
        <f t="shared" si="14"/>
        <v>0</v>
      </c>
      <c r="P62" s="147">
        <f t="shared" si="17"/>
        <v>0</v>
      </c>
      <c r="Q62" s="47">
        <f t="shared" si="18"/>
        <v>0</v>
      </c>
      <c r="R62" s="146"/>
      <c r="S62" s="148"/>
      <c r="T62" s="148"/>
      <c r="U62" s="149"/>
      <c r="V62" s="149"/>
    </row>
    <row r="63" spans="1:22" s="57" customFormat="1" ht="27.75" customHeight="1">
      <c r="A63" s="22">
        <v>17</v>
      </c>
      <c r="B63" s="181" t="s">
        <v>138</v>
      </c>
      <c r="C63" s="182" t="s">
        <v>139</v>
      </c>
      <c r="D63" s="173">
        <v>160.5</v>
      </c>
      <c r="E63" s="142" t="s">
        <v>970</v>
      </c>
      <c r="F63" s="143">
        <v>-10</v>
      </c>
      <c r="G63" s="45">
        <v>-1500</v>
      </c>
      <c r="H63" s="61">
        <v>-105</v>
      </c>
      <c r="I63" s="47">
        <v>-1605</v>
      </c>
      <c r="J63" s="183"/>
      <c r="K63" s="184"/>
      <c r="L63" s="185">
        <v>0</v>
      </c>
      <c r="M63" s="171" t="s">
        <v>1082</v>
      </c>
      <c r="N63" s="44">
        <v>-9</v>
      </c>
      <c r="O63" s="147">
        <f t="shared" si="14"/>
        <v>-1350</v>
      </c>
      <c r="P63" s="147">
        <f t="shared" si="17"/>
        <v>-94.5</v>
      </c>
      <c r="Q63" s="47">
        <f t="shared" si="18"/>
        <v>-1444.5</v>
      </c>
      <c r="R63" s="146"/>
      <c r="S63" s="148"/>
      <c r="T63" s="148"/>
      <c r="U63" s="149"/>
      <c r="V63" s="149"/>
    </row>
    <row r="64" spans="1:22" s="57" customFormat="1" ht="27.75" customHeight="1">
      <c r="A64" s="22">
        <v>18</v>
      </c>
      <c r="B64" s="181" t="s">
        <v>142</v>
      </c>
      <c r="C64" s="182" t="s">
        <v>143</v>
      </c>
      <c r="D64" s="173">
        <v>160.5</v>
      </c>
      <c r="E64" s="142" t="s">
        <v>45</v>
      </c>
      <c r="F64" s="143">
        <v>0</v>
      </c>
      <c r="G64" s="45">
        <v>0</v>
      </c>
      <c r="H64" s="61">
        <v>0</v>
      </c>
      <c r="I64" s="47">
        <v>0</v>
      </c>
      <c r="J64" s="183">
        <v>46111</v>
      </c>
      <c r="K64" s="184" t="s">
        <v>1083</v>
      </c>
      <c r="L64" s="185">
        <v>160.5</v>
      </c>
      <c r="M64" s="186" t="s">
        <v>45</v>
      </c>
      <c r="N64" s="44">
        <v>0</v>
      </c>
      <c r="O64" s="147">
        <f t="shared" si="14"/>
        <v>0</v>
      </c>
      <c r="P64" s="147">
        <f t="shared" si="17"/>
        <v>0</v>
      </c>
      <c r="Q64" s="47">
        <f t="shared" si="18"/>
        <v>0</v>
      </c>
      <c r="R64" s="146"/>
      <c r="S64" s="148"/>
      <c r="T64" s="148"/>
      <c r="U64" s="149"/>
      <c r="V64" s="149"/>
    </row>
    <row r="65" spans="1:22" s="57" customFormat="1" ht="27.75" customHeight="1">
      <c r="A65" s="22">
        <v>19</v>
      </c>
      <c r="B65" s="40" t="s">
        <v>145</v>
      </c>
      <c r="C65" s="140" t="s">
        <v>102</v>
      </c>
      <c r="D65" s="173">
        <v>321</v>
      </c>
      <c r="E65" s="142" t="s">
        <v>45</v>
      </c>
      <c r="F65" s="143">
        <v>0</v>
      </c>
      <c r="G65" s="45">
        <v>0</v>
      </c>
      <c r="H65" s="61">
        <v>0</v>
      </c>
      <c r="I65" s="47">
        <v>0</v>
      </c>
      <c r="J65" s="175">
        <v>46111</v>
      </c>
      <c r="K65" s="176" t="s">
        <v>1084</v>
      </c>
      <c r="L65" s="177">
        <v>321</v>
      </c>
      <c r="M65" s="171" t="s">
        <v>45</v>
      </c>
      <c r="N65" s="172">
        <v>0</v>
      </c>
      <c r="O65" s="147">
        <f t="shared" si="14"/>
        <v>0</v>
      </c>
      <c r="P65" s="147">
        <f t="shared" si="17"/>
        <v>0</v>
      </c>
      <c r="Q65" s="47">
        <f t="shared" si="18"/>
        <v>0</v>
      </c>
      <c r="R65" s="146"/>
      <c r="S65" s="148"/>
      <c r="T65" s="148"/>
      <c r="U65" s="149"/>
      <c r="V65" s="149"/>
    </row>
    <row r="66" spans="1:22" s="57" customFormat="1" ht="27.75" customHeight="1">
      <c r="A66" s="22">
        <v>20</v>
      </c>
      <c r="B66" s="40" t="s">
        <v>147</v>
      </c>
      <c r="C66" s="140" t="s">
        <v>102</v>
      </c>
      <c r="D66" s="173">
        <v>160.5</v>
      </c>
      <c r="E66" s="142" t="s">
        <v>45</v>
      </c>
      <c r="F66" s="143">
        <v>0</v>
      </c>
      <c r="G66" s="45">
        <v>0</v>
      </c>
      <c r="H66" s="61">
        <v>0</v>
      </c>
      <c r="I66" s="47">
        <v>0</v>
      </c>
      <c r="J66" s="175">
        <v>46096</v>
      </c>
      <c r="K66" s="176" t="s">
        <v>1085</v>
      </c>
      <c r="L66" s="177">
        <v>160.5</v>
      </c>
      <c r="M66" s="171" t="s">
        <v>45</v>
      </c>
      <c r="N66" s="172">
        <v>0</v>
      </c>
      <c r="O66" s="147">
        <f t="shared" si="14"/>
        <v>0</v>
      </c>
      <c r="P66" s="147">
        <f t="shared" si="17"/>
        <v>0</v>
      </c>
      <c r="Q66" s="47">
        <f t="shared" si="18"/>
        <v>0</v>
      </c>
      <c r="R66" s="146"/>
      <c r="S66" s="148"/>
      <c r="T66" s="148"/>
      <c r="U66" s="149"/>
      <c r="V66" s="149"/>
    </row>
    <row r="67" spans="1:22" s="57" customFormat="1" ht="27.75" customHeight="1">
      <c r="A67" s="22">
        <v>21</v>
      </c>
      <c r="B67" s="80" t="s">
        <v>149</v>
      </c>
      <c r="C67" s="140" t="s">
        <v>102</v>
      </c>
      <c r="D67" s="173">
        <v>1070</v>
      </c>
      <c r="E67" s="142" t="s">
        <v>45</v>
      </c>
      <c r="F67" s="143">
        <v>0</v>
      </c>
      <c r="G67" s="187">
        <v>0</v>
      </c>
      <c r="H67" s="61">
        <v>0</v>
      </c>
      <c r="I67" s="47">
        <v>0</v>
      </c>
      <c r="J67" s="175">
        <v>46106</v>
      </c>
      <c r="K67" s="176" t="s">
        <v>1086</v>
      </c>
      <c r="L67" s="177">
        <v>1070</v>
      </c>
      <c r="M67" s="171" t="s">
        <v>45</v>
      </c>
      <c r="N67" s="172">
        <v>0</v>
      </c>
      <c r="O67" s="147">
        <f t="shared" si="14"/>
        <v>0</v>
      </c>
      <c r="P67" s="147">
        <f t="shared" si="17"/>
        <v>0</v>
      </c>
      <c r="Q67" s="47">
        <f t="shared" si="18"/>
        <v>0</v>
      </c>
      <c r="R67" s="188"/>
      <c r="S67" s="189"/>
      <c r="T67" s="189"/>
      <c r="U67" s="190"/>
      <c r="V67" s="190"/>
    </row>
    <row r="68" spans="1:22" s="57" customFormat="1" ht="27.75" customHeight="1">
      <c r="A68" s="22">
        <v>22</v>
      </c>
      <c r="B68" s="170" t="s">
        <v>151</v>
      </c>
      <c r="C68" s="140" t="s">
        <v>102</v>
      </c>
      <c r="D68" s="141">
        <v>160.5</v>
      </c>
      <c r="E68" s="142" t="s">
        <v>45</v>
      </c>
      <c r="F68" s="143">
        <v>0</v>
      </c>
      <c r="G68" s="45">
        <v>0</v>
      </c>
      <c r="H68" s="61">
        <v>0</v>
      </c>
      <c r="I68" s="47">
        <v>0</v>
      </c>
      <c r="J68" s="117">
        <v>46082</v>
      </c>
      <c r="K68" s="118" t="s">
        <v>1087</v>
      </c>
      <c r="L68" s="151">
        <v>160.5</v>
      </c>
      <c r="M68" s="171" t="s">
        <v>45</v>
      </c>
      <c r="N68" s="172">
        <v>0</v>
      </c>
      <c r="O68" s="147">
        <f t="shared" si="14"/>
        <v>0</v>
      </c>
      <c r="P68" s="147">
        <f>ROUND((O68*0.07),2)</f>
        <v>0</v>
      </c>
      <c r="Q68" s="47">
        <f>+O68+P68</f>
        <v>0</v>
      </c>
      <c r="R68" s="146"/>
      <c r="S68" s="148"/>
      <c r="T68" s="148"/>
      <c r="U68" s="149"/>
      <c r="V68" s="149"/>
    </row>
    <row r="69" spans="1:22" s="57" customFormat="1" ht="27.75" customHeight="1">
      <c r="A69" s="22">
        <v>23</v>
      </c>
      <c r="B69" s="170" t="s">
        <v>153</v>
      </c>
      <c r="C69" s="140" t="s">
        <v>102</v>
      </c>
      <c r="D69" s="141">
        <v>160.5</v>
      </c>
      <c r="E69" s="142" t="s">
        <v>970</v>
      </c>
      <c r="F69" s="143">
        <v>-10</v>
      </c>
      <c r="G69" s="45">
        <v>-1500</v>
      </c>
      <c r="H69" s="61">
        <v>-105</v>
      </c>
      <c r="I69" s="47">
        <v>-1605</v>
      </c>
      <c r="J69" s="175"/>
      <c r="K69" s="176"/>
      <c r="L69" s="177">
        <v>0</v>
      </c>
      <c r="M69" s="171" t="s">
        <v>1082</v>
      </c>
      <c r="N69" s="172">
        <v>-9</v>
      </c>
      <c r="O69" s="147">
        <f t="shared" si="14"/>
        <v>-1350</v>
      </c>
      <c r="P69" s="147">
        <f>ROUND((O69*0.07),2)</f>
        <v>-94.5</v>
      </c>
      <c r="Q69" s="47">
        <f>+O69+P69</f>
        <v>-1444.5</v>
      </c>
      <c r="R69" s="146"/>
      <c r="S69" s="148"/>
      <c r="T69" s="148"/>
      <c r="U69" s="149"/>
      <c r="V69" s="149"/>
    </row>
    <row r="70" spans="1:22" s="57" customFormat="1" ht="27.75" customHeight="1">
      <c r="A70" s="22">
        <v>24</v>
      </c>
      <c r="B70" s="170" t="s">
        <v>154</v>
      </c>
      <c r="C70" s="140" t="s">
        <v>102</v>
      </c>
      <c r="D70" s="141">
        <v>321</v>
      </c>
      <c r="E70" s="142" t="s">
        <v>45</v>
      </c>
      <c r="F70" s="143">
        <v>0</v>
      </c>
      <c r="G70" s="45">
        <v>0</v>
      </c>
      <c r="H70" s="61">
        <v>0</v>
      </c>
      <c r="I70" s="47">
        <v>0</v>
      </c>
      <c r="J70" s="175">
        <v>46107</v>
      </c>
      <c r="K70" s="176" t="s">
        <v>1088</v>
      </c>
      <c r="L70" s="177">
        <v>321</v>
      </c>
      <c r="M70" s="186" t="s">
        <v>45</v>
      </c>
      <c r="N70" s="44">
        <v>0</v>
      </c>
      <c r="O70" s="147">
        <f t="shared" si="14"/>
        <v>0</v>
      </c>
      <c r="P70" s="147">
        <f>ROUND((O70*0.07),2)</f>
        <v>0</v>
      </c>
      <c r="Q70" s="47">
        <f>+O70+P70</f>
        <v>0</v>
      </c>
      <c r="R70" s="146"/>
      <c r="S70" s="148"/>
      <c r="T70" s="148"/>
      <c r="U70" s="149"/>
      <c r="V70" s="149"/>
    </row>
    <row r="71" spans="1:22" s="57" customFormat="1" ht="27.75" customHeight="1">
      <c r="A71" s="22">
        <v>25</v>
      </c>
      <c r="B71" s="191" t="s">
        <v>156</v>
      </c>
      <c r="C71" s="140" t="s">
        <v>102</v>
      </c>
      <c r="D71" s="192">
        <v>160.5</v>
      </c>
      <c r="E71" s="142" t="s">
        <v>45</v>
      </c>
      <c r="F71" s="143">
        <v>0</v>
      </c>
      <c r="G71" s="187">
        <v>0</v>
      </c>
      <c r="H71" s="61">
        <v>0</v>
      </c>
      <c r="I71" s="47">
        <v>0</v>
      </c>
      <c r="J71" s="175">
        <v>46084</v>
      </c>
      <c r="K71" s="176" t="s">
        <v>1089</v>
      </c>
      <c r="L71" s="177">
        <v>160.5</v>
      </c>
      <c r="M71" s="186" t="s">
        <v>45</v>
      </c>
      <c r="N71" s="44">
        <v>0</v>
      </c>
      <c r="O71" s="147">
        <f t="shared" si="14"/>
        <v>0</v>
      </c>
      <c r="P71" s="147">
        <f t="shared" ref="P71:P76" si="19">ROUND((O71*0.07),2)</f>
        <v>0</v>
      </c>
      <c r="Q71" s="47">
        <f t="shared" ref="Q71:Q76" si="20">+O71+P71</f>
        <v>0</v>
      </c>
      <c r="R71" s="188"/>
      <c r="S71" s="189"/>
      <c r="T71" s="189"/>
      <c r="U71" s="190"/>
      <c r="V71" s="190"/>
    </row>
    <row r="72" spans="1:22" s="57" customFormat="1" ht="27.75" customHeight="1">
      <c r="A72" s="22">
        <v>26</v>
      </c>
      <c r="B72" s="170" t="s">
        <v>158</v>
      </c>
      <c r="C72" s="140" t="s">
        <v>102</v>
      </c>
      <c r="D72" s="141">
        <v>321</v>
      </c>
      <c r="E72" s="142" t="s">
        <v>978</v>
      </c>
      <c r="F72" s="143">
        <v>-6.1183666666666676</v>
      </c>
      <c r="G72" s="45">
        <v>-1835.5100000000002</v>
      </c>
      <c r="H72" s="61">
        <v>-128.49</v>
      </c>
      <c r="I72" s="47">
        <v>-1964.0000000000002</v>
      </c>
      <c r="J72" s="117"/>
      <c r="K72" s="118"/>
      <c r="L72" s="151">
        <v>0</v>
      </c>
      <c r="M72" s="171" t="s">
        <v>1090</v>
      </c>
      <c r="N72" s="172">
        <v>-5.1183666666666676</v>
      </c>
      <c r="O72" s="147">
        <f t="shared" si="14"/>
        <v>-1535.5100000000002</v>
      </c>
      <c r="P72" s="147">
        <f t="shared" si="19"/>
        <v>-107.49</v>
      </c>
      <c r="Q72" s="47">
        <f t="shared" si="20"/>
        <v>-1643.0000000000002</v>
      </c>
      <c r="R72" s="146"/>
      <c r="S72" s="148"/>
      <c r="T72" s="148"/>
      <c r="U72" s="149"/>
      <c r="V72" s="149"/>
    </row>
    <row r="73" spans="1:22" s="57" customFormat="1" ht="27.75" customHeight="1">
      <c r="A73" s="22">
        <v>27</v>
      </c>
      <c r="B73" s="191" t="s">
        <v>161</v>
      </c>
      <c r="C73" s="140" t="s">
        <v>102</v>
      </c>
      <c r="D73" s="192">
        <v>321</v>
      </c>
      <c r="E73" s="142" t="s">
        <v>45</v>
      </c>
      <c r="F73" s="143">
        <v>0</v>
      </c>
      <c r="G73" s="187">
        <v>0</v>
      </c>
      <c r="H73" s="61">
        <v>0</v>
      </c>
      <c r="I73" s="47">
        <v>0</v>
      </c>
      <c r="J73" s="117">
        <v>46107</v>
      </c>
      <c r="K73" s="118" t="s">
        <v>1091</v>
      </c>
      <c r="L73" s="151">
        <v>321</v>
      </c>
      <c r="M73" s="171" t="s">
        <v>45</v>
      </c>
      <c r="N73" s="172">
        <v>0</v>
      </c>
      <c r="O73" s="147">
        <f t="shared" si="14"/>
        <v>0</v>
      </c>
      <c r="P73" s="147">
        <f t="shared" si="19"/>
        <v>0</v>
      </c>
      <c r="Q73" s="47">
        <f t="shared" si="20"/>
        <v>0</v>
      </c>
      <c r="R73" s="188"/>
      <c r="S73" s="189"/>
      <c r="T73" s="189"/>
      <c r="U73" s="190"/>
      <c r="V73" s="190"/>
    </row>
    <row r="74" spans="1:22" s="57" customFormat="1" ht="27.75" customHeight="1">
      <c r="A74" s="22">
        <v>28</v>
      </c>
      <c r="B74" s="191" t="s">
        <v>163</v>
      </c>
      <c r="C74" s="140" t="s">
        <v>102</v>
      </c>
      <c r="D74" s="192">
        <v>160.5</v>
      </c>
      <c r="E74" s="142" t="s">
        <v>45</v>
      </c>
      <c r="F74" s="143">
        <v>0</v>
      </c>
      <c r="G74" s="187">
        <v>0</v>
      </c>
      <c r="H74" s="61">
        <v>0</v>
      </c>
      <c r="I74" s="47">
        <v>0</v>
      </c>
      <c r="J74" s="117">
        <v>46107</v>
      </c>
      <c r="K74" s="118" t="s">
        <v>1092</v>
      </c>
      <c r="L74" s="151">
        <v>160.5</v>
      </c>
      <c r="M74" s="171" t="s">
        <v>45</v>
      </c>
      <c r="N74" s="172">
        <v>0</v>
      </c>
      <c r="O74" s="147">
        <f t="shared" si="14"/>
        <v>0</v>
      </c>
      <c r="P74" s="147">
        <f t="shared" si="19"/>
        <v>0</v>
      </c>
      <c r="Q74" s="47">
        <f t="shared" si="20"/>
        <v>0</v>
      </c>
      <c r="R74" s="188"/>
      <c r="S74" s="189"/>
      <c r="T74" s="189"/>
      <c r="U74" s="190"/>
      <c r="V74" s="190"/>
    </row>
    <row r="75" spans="1:22" s="57" customFormat="1" ht="27.75" customHeight="1">
      <c r="A75" s="22">
        <v>29</v>
      </c>
      <c r="B75" s="170" t="s">
        <v>165</v>
      </c>
      <c r="C75" s="140" t="s">
        <v>102</v>
      </c>
      <c r="D75" s="141">
        <v>1070</v>
      </c>
      <c r="E75" s="142" t="s">
        <v>45</v>
      </c>
      <c r="F75" s="143">
        <v>0</v>
      </c>
      <c r="G75" s="45">
        <v>0</v>
      </c>
      <c r="H75" s="61">
        <v>0</v>
      </c>
      <c r="I75" s="47">
        <v>0</v>
      </c>
      <c r="J75" s="175">
        <v>46086</v>
      </c>
      <c r="K75" s="176" t="s">
        <v>1093</v>
      </c>
      <c r="L75" s="177">
        <v>1070</v>
      </c>
      <c r="M75" s="171" t="s">
        <v>45</v>
      </c>
      <c r="N75" s="172">
        <v>0</v>
      </c>
      <c r="O75" s="147">
        <f t="shared" si="14"/>
        <v>0</v>
      </c>
      <c r="P75" s="147">
        <f t="shared" si="19"/>
        <v>0</v>
      </c>
      <c r="Q75" s="47">
        <f t="shared" si="20"/>
        <v>0</v>
      </c>
      <c r="R75" s="146"/>
      <c r="S75" s="148"/>
      <c r="T75" s="148"/>
      <c r="U75" s="149"/>
      <c r="V75" s="149"/>
    </row>
    <row r="76" spans="1:22" s="57" customFormat="1" ht="27.75" customHeight="1">
      <c r="A76" s="22">
        <v>30</v>
      </c>
      <c r="B76" s="191" t="s">
        <v>167</v>
      </c>
      <c r="C76" s="140" t="s">
        <v>102</v>
      </c>
      <c r="D76" s="192">
        <v>535</v>
      </c>
      <c r="E76" s="142" t="s">
        <v>45</v>
      </c>
      <c r="F76" s="143">
        <v>0</v>
      </c>
      <c r="G76" s="187">
        <v>0</v>
      </c>
      <c r="H76" s="61">
        <v>0</v>
      </c>
      <c r="I76" s="47">
        <v>0</v>
      </c>
      <c r="J76" s="117">
        <v>46108</v>
      </c>
      <c r="K76" s="118" t="s">
        <v>1094</v>
      </c>
      <c r="L76" s="151">
        <v>535</v>
      </c>
      <c r="M76" s="171" t="s">
        <v>45</v>
      </c>
      <c r="N76" s="172">
        <v>0</v>
      </c>
      <c r="O76" s="147">
        <f t="shared" si="14"/>
        <v>0</v>
      </c>
      <c r="P76" s="147">
        <f t="shared" si="19"/>
        <v>0</v>
      </c>
      <c r="Q76" s="47">
        <f t="shared" si="20"/>
        <v>0</v>
      </c>
      <c r="R76" s="188"/>
      <c r="S76" s="189"/>
      <c r="T76" s="189"/>
      <c r="U76" s="190"/>
      <c r="V76" s="190"/>
    </row>
    <row r="77" spans="1:22" s="57" customFormat="1" ht="27.75" customHeight="1">
      <c r="A77" s="22">
        <v>31</v>
      </c>
      <c r="B77" s="170" t="s">
        <v>169</v>
      </c>
      <c r="C77" s="140" t="s">
        <v>102</v>
      </c>
      <c r="D77" s="173">
        <v>321</v>
      </c>
      <c r="E77" s="142" t="s">
        <v>45</v>
      </c>
      <c r="F77" s="143">
        <v>0</v>
      </c>
      <c r="G77" s="45">
        <v>0</v>
      </c>
      <c r="H77" s="61">
        <v>0</v>
      </c>
      <c r="I77" s="47">
        <v>0</v>
      </c>
      <c r="J77" s="175">
        <v>46111</v>
      </c>
      <c r="K77" s="176" t="s">
        <v>1095</v>
      </c>
      <c r="L77" s="177">
        <v>321</v>
      </c>
      <c r="M77" s="171" t="s">
        <v>45</v>
      </c>
      <c r="N77" s="172">
        <v>0</v>
      </c>
      <c r="O77" s="147">
        <f t="shared" si="14"/>
        <v>0</v>
      </c>
      <c r="P77" s="147">
        <f>ROUND((O77*0.07),2)</f>
        <v>0</v>
      </c>
      <c r="Q77" s="47">
        <f>+O77+P77</f>
        <v>0</v>
      </c>
      <c r="R77" s="146"/>
      <c r="S77" s="148"/>
      <c r="T77" s="148"/>
      <c r="U77" s="149"/>
      <c r="V77" s="149"/>
    </row>
    <row r="78" spans="1:22" s="57" customFormat="1" ht="27.75" customHeight="1">
      <c r="A78" s="22">
        <v>32</v>
      </c>
      <c r="B78" s="191" t="s">
        <v>171</v>
      </c>
      <c r="C78" s="140" t="s">
        <v>102</v>
      </c>
      <c r="D78" s="173">
        <v>963</v>
      </c>
      <c r="E78" s="142" t="s">
        <v>45</v>
      </c>
      <c r="F78" s="143">
        <v>0</v>
      </c>
      <c r="G78" s="187">
        <v>0</v>
      </c>
      <c r="H78" s="61">
        <v>0</v>
      </c>
      <c r="I78" s="47">
        <v>0</v>
      </c>
      <c r="J78" s="175">
        <v>46112</v>
      </c>
      <c r="K78" s="176" t="s">
        <v>1096</v>
      </c>
      <c r="L78" s="177">
        <v>963</v>
      </c>
      <c r="M78" s="171" t="s">
        <v>45</v>
      </c>
      <c r="N78" s="172">
        <v>0</v>
      </c>
      <c r="O78" s="147">
        <f t="shared" si="14"/>
        <v>0</v>
      </c>
      <c r="P78" s="147">
        <f t="shared" ref="P78:P81" si="21">ROUND((O78*0.07),2)</f>
        <v>0</v>
      </c>
      <c r="Q78" s="47">
        <f t="shared" ref="Q78:Q81" si="22">+O78+P78</f>
        <v>0</v>
      </c>
      <c r="R78" s="188"/>
      <c r="S78" s="189"/>
      <c r="T78" s="189"/>
      <c r="U78" s="190"/>
      <c r="V78" s="190"/>
    </row>
    <row r="79" spans="1:22" s="57" customFormat="1" ht="27.75" customHeight="1">
      <c r="A79" s="22">
        <v>33</v>
      </c>
      <c r="B79" s="191" t="s">
        <v>173</v>
      </c>
      <c r="C79" s="140" t="s">
        <v>102</v>
      </c>
      <c r="D79" s="173">
        <v>321</v>
      </c>
      <c r="E79" s="142" t="s">
        <v>45</v>
      </c>
      <c r="F79" s="143">
        <v>0</v>
      </c>
      <c r="G79" s="187">
        <v>0</v>
      </c>
      <c r="H79" s="61">
        <v>0</v>
      </c>
      <c r="I79" s="47">
        <v>0</v>
      </c>
      <c r="J79" s="175">
        <v>46082</v>
      </c>
      <c r="K79" s="176" t="s">
        <v>1097</v>
      </c>
      <c r="L79" s="177">
        <v>321</v>
      </c>
      <c r="M79" s="171" t="s">
        <v>45</v>
      </c>
      <c r="N79" s="172">
        <v>0</v>
      </c>
      <c r="O79" s="147">
        <f t="shared" si="14"/>
        <v>0</v>
      </c>
      <c r="P79" s="147">
        <f t="shared" si="21"/>
        <v>0</v>
      </c>
      <c r="Q79" s="47">
        <f t="shared" si="22"/>
        <v>0</v>
      </c>
      <c r="R79" s="188"/>
      <c r="S79" s="189"/>
      <c r="T79" s="189"/>
      <c r="U79" s="190"/>
      <c r="V79" s="190"/>
    </row>
    <row r="80" spans="1:22" s="57" customFormat="1" ht="27.75" customHeight="1">
      <c r="A80" s="22">
        <v>34</v>
      </c>
      <c r="B80" s="191" t="s">
        <v>175</v>
      </c>
      <c r="C80" s="140" t="s">
        <v>102</v>
      </c>
      <c r="D80" s="173">
        <v>321</v>
      </c>
      <c r="E80" s="142" t="s">
        <v>26</v>
      </c>
      <c r="F80" s="143">
        <v>0</v>
      </c>
      <c r="G80" s="187">
        <v>0</v>
      </c>
      <c r="H80" s="61">
        <v>0</v>
      </c>
      <c r="I80" s="47">
        <v>0</v>
      </c>
      <c r="J80" s="175">
        <v>46083</v>
      </c>
      <c r="K80" s="176" t="s">
        <v>1098</v>
      </c>
      <c r="L80" s="177">
        <v>321</v>
      </c>
      <c r="M80" s="171" t="s">
        <v>26</v>
      </c>
      <c r="N80" s="172">
        <v>0</v>
      </c>
      <c r="O80" s="147">
        <f t="shared" si="14"/>
        <v>0</v>
      </c>
      <c r="P80" s="147">
        <f t="shared" si="21"/>
        <v>0</v>
      </c>
      <c r="Q80" s="47">
        <f t="shared" si="22"/>
        <v>0</v>
      </c>
      <c r="R80" s="188"/>
      <c r="S80" s="189"/>
      <c r="T80" s="189"/>
      <c r="U80" s="190"/>
      <c r="V80" s="190"/>
    </row>
    <row r="81" spans="1:23" s="57" customFormat="1" ht="27.75" customHeight="1">
      <c r="A81" s="22">
        <v>35</v>
      </c>
      <c r="B81" s="191" t="s">
        <v>177</v>
      </c>
      <c r="C81" s="140" t="s">
        <v>102</v>
      </c>
      <c r="D81" s="192">
        <v>321</v>
      </c>
      <c r="E81" s="142" t="s">
        <v>45</v>
      </c>
      <c r="F81" s="143">
        <v>0</v>
      </c>
      <c r="G81" s="187">
        <v>0</v>
      </c>
      <c r="H81" s="61">
        <v>0</v>
      </c>
      <c r="I81" s="47">
        <v>0</v>
      </c>
      <c r="J81" s="117">
        <v>46107</v>
      </c>
      <c r="K81" s="118" t="s">
        <v>1099</v>
      </c>
      <c r="L81" s="151">
        <v>321</v>
      </c>
      <c r="M81" s="171" t="s">
        <v>45</v>
      </c>
      <c r="N81" s="172">
        <v>0</v>
      </c>
      <c r="O81" s="147">
        <f t="shared" si="14"/>
        <v>0</v>
      </c>
      <c r="P81" s="147">
        <f t="shared" si="21"/>
        <v>0</v>
      </c>
      <c r="Q81" s="47">
        <f t="shared" si="22"/>
        <v>0</v>
      </c>
      <c r="R81" s="188"/>
      <c r="S81" s="189"/>
      <c r="T81" s="189"/>
      <c r="U81" s="190"/>
      <c r="V81" s="190"/>
    </row>
    <row r="82" spans="1:23" ht="27.75" customHeight="1" thickBot="1">
      <c r="A82" s="193"/>
      <c r="B82" s="194" t="s">
        <v>22</v>
      </c>
      <c r="C82" s="195"/>
      <c r="D82" s="196">
        <f>SUM(D47:D81)</f>
        <v>12358.5</v>
      </c>
      <c r="E82" s="196"/>
      <c r="F82" s="197"/>
      <c r="G82" s="198">
        <f>SUM(G59)</f>
        <v>150</v>
      </c>
      <c r="H82" s="198">
        <f t="shared" ref="H82:I82" si="23">SUM(H59)</f>
        <v>10.5</v>
      </c>
      <c r="I82" s="198">
        <f t="shared" si="23"/>
        <v>160.5</v>
      </c>
      <c r="J82" s="199"/>
      <c r="K82" s="199"/>
      <c r="L82" s="196">
        <f>SUM(L47:L81)</f>
        <v>10753.5</v>
      </c>
      <c r="M82" s="200"/>
      <c r="N82" s="196"/>
      <c r="O82" s="198">
        <f>SUM(O47:O81)-O49-O56-O57-O63-O69-O72</f>
        <v>150</v>
      </c>
      <c r="P82" s="198">
        <f t="shared" ref="P82:Q82" si="24">SUM(P47:P81)-P49-P56-P57-P63-P69-P72</f>
        <v>10.499999999999986</v>
      </c>
      <c r="Q82" s="198">
        <f t="shared" si="24"/>
        <v>160.50000000000023</v>
      </c>
      <c r="R82" s="36"/>
      <c r="S82" s="37"/>
      <c r="T82" s="37"/>
      <c r="U82" s="38"/>
      <c r="V82" s="38"/>
      <c r="W82" s="38"/>
    </row>
    <row r="83" spans="1:23" ht="27.75" customHeight="1" thickTop="1">
      <c r="A83" s="22"/>
      <c r="B83" s="23" t="s">
        <v>179</v>
      </c>
      <c r="C83" s="24"/>
      <c r="D83" s="25"/>
      <c r="E83" s="26"/>
      <c r="F83" s="27"/>
      <c r="G83" s="28"/>
      <c r="H83" s="28"/>
      <c r="I83" s="28"/>
      <c r="J83" s="29"/>
      <c r="K83" s="30"/>
      <c r="L83" s="31"/>
      <c r="M83" s="32"/>
      <c r="N83" s="33"/>
      <c r="O83" s="34"/>
      <c r="P83" s="34"/>
      <c r="Q83" s="35"/>
      <c r="R83" s="36"/>
      <c r="S83" s="37"/>
      <c r="T83" s="37"/>
      <c r="U83" s="38"/>
      <c r="V83" s="38"/>
      <c r="W83" s="38"/>
    </row>
    <row r="84" spans="1:23" ht="27.75" customHeight="1">
      <c r="A84" s="94">
        <v>1</v>
      </c>
      <c r="B84" s="40" t="s">
        <v>180</v>
      </c>
      <c r="C84" s="41" t="s">
        <v>181</v>
      </c>
      <c r="D84" s="562">
        <v>802.5</v>
      </c>
      <c r="E84" s="43" t="s">
        <v>823</v>
      </c>
      <c r="F84" s="44">
        <v>1</v>
      </c>
      <c r="G84" s="45">
        <v>1200</v>
      </c>
      <c r="H84" s="61">
        <v>84</v>
      </c>
      <c r="I84" s="47">
        <v>1284</v>
      </c>
      <c r="J84" s="48">
        <v>46090</v>
      </c>
      <c r="K84" s="49" t="s">
        <v>1100</v>
      </c>
      <c r="L84" s="202">
        <v>1284</v>
      </c>
      <c r="M84" s="83" t="s">
        <v>952</v>
      </c>
      <c r="N84" s="39">
        <v>1</v>
      </c>
      <c r="O84" s="147">
        <f>+(D84*100/107)+G84-(L84*100/107)</f>
        <v>750</v>
      </c>
      <c r="P84" s="147">
        <f t="shared" ref="P84:P88" si="25">ROUND((O84*0.07),2)</f>
        <v>52.5</v>
      </c>
      <c r="Q84" s="47">
        <f t="shared" ref="Q84:Q88" si="26">+O84+P84</f>
        <v>802.5</v>
      </c>
      <c r="R84" s="116"/>
      <c r="S84" s="203"/>
      <c r="T84" s="203"/>
      <c r="U84" s="204"/>
      <c r="V84" s="204"/>
    </row>
    <row r="85" spans="1:23" ht="27.75" customHeight="1">
      <c r="A85" s="94">
        <v>2</v>
      </c>
      <c r="B85" s="40" t="s">
        <v>184</v>
      </c>
      <c r="C85" s="41" t="s">
        <v>181</v>
      </c>
      <c r="D85" s="562">
        <v>3370.5</v>
      </c>
      <c r="E85" s="43" t="s">
        <v>45</v>
      </c>
      <c r="F85" s="44">
        <v>0</v>
      </c>
      <c r="G85" s="45">
        <v>0</v>
      </c>
      <c r="H85" s="61">
        <v>0</v>
      </c>
      <c r="I85" s="47">
        <v>0</v>
      </c>
      <c r="J85" s="48">
        <v>46090</v>
      </c>
      <c r="K85" s="49" t="s">
        <v>1101</v>
      </c>
      <c r="L85" s="202">
        <v>3370.5</v>
      </c>
      <c r="M85" s="94">
        <v>0</v>
      </c>
      <c r="N85" s="116">
        <v>0</v>
      </c>
      <c r="O85" s="147">
        <f>+(D85*100/107)+G85-(L85*100/107)</f>
        <v>0</v>
      </c>
      <c r="P85" s="147">
        <f t="shared" si="25"/>
        <v>0</v>
      </c>
      <c r="Q85" s="47">
        <f t="shared" si="26"/>
        <v>0</v>
      </c>
      <c r="R85" s="116"/>
      <c r="S85" s="203"/>
      <c r="T85" s="203"/>
      <c r="U85" s="204"/>
      <c r="V85" s="204"/>
    </row>
    <row r="86" spans="1:23" ht="27.75" customHeight="1">
      <c r="A86" s="94">
        <v>3</v>
      </c>
      <c r="B86" s="205" t="s">
        <v>186</v>
      </c>
      <c r="C86" s="206" t="s">
        <v>181</v>
      </c>
      <c r="D86" s="563">
        <v>3370.5</v>
      </c>
      <c r="E86" s="64" t="s">
        <v>45</v>
      </c>
      <c r="F86" s="44">
        <v>0</v>
      </c>
      <c r="G86" s="45">
        <v>0</v>
      </c>
      <c r="H86" s="61">
        <v>0</v>
      </c>
      <c r="I86" s="47">
        <v>0</v>
      </c>
      <c r="J86" s="48">
        <v>46108</v>
      </c>
      <c r="K86" s="49" t="s">
        <v>1102</v>
      </c>
      <c r="L86" s="202">
        <v>3370.5</v>
      </c>
      <c r="M86" s="186" t="s">
        <v>45</v>
      </c>
      <c r="N86" s="116">
        <v>0</v>
      </c>
      <c r="O86" s="147">
        <f>+(D86*100/107)+G86-(L86*100/107)</f>
        <v>0</v>
      </c>
      <c r="P86" s="147">
        <f t="shared" si="25"/>
        <v>0</v>
      </c>
      <c r="Q86" s="47">
        <f t="shared" si="26"/>
        <v>0</v>
      </c>
      <c r="R86" s="116"/>
      <c r="S86" s="203"/>
      <c r="T86" s="203"/>
      <c r="U86" s="204"/>
      <c r="V86" s="204"/>
    </row>
    <row r="87" spans="1:23" ht="27.75" customHeight="1">
      <c r="A87" s="186">
        <v>4</v>
      </c>
      <c r="B87" s="205" t="s">
        <v>188</v>
      </c>
      <c r="C87" s="206" t="s">
        <v>181</v>
      </c>
      <c r="D87" s="563">
        <v>2140</v>
      </c>
      <c r="E87" s="64" t="s">
        <v>26</v>
      </c>
      <c r="F87" s="44">
        <v>0</v>
      </c>
      <c r="G87" s="45">
        <v>0</v>
      </c>
      <c r="H87" s="45">
        <v>0</v>
      </c>
      <c r="I87" s="66">
        <v>0</v>
      </c>
      <c r="J87" s="48">
        <v>46083</v>
      </c>
      <c r="K87" s="49" t="s">
        <v>1103</v>
      </c>
      <c r="L87" s="202">
        <v>2140</v>
      </c>
      <c r="M87" s="186" t="s">
        <v>26</v>
      </c>
      <c r="N87" s="116">
        <v>0</v>
      </c>
      <c r="O87" s="147">
        <f>+(D87*100/107)+G87-(L87*100/107)</f>
        <v>0</v>
      </c>
      <c r="P87" s="147">
        <f t="shared" si="25"/>
        <v>0</v>
      </c>
      <c r="Q87" s="47">
        <f t="shared" si="26"/>
        <v>0</v>
      </c>
      <c r="R87" s="116"/>
      <c r="S87" s="203"/>
      <c r="T87" s="203"/>
      <c r="U87" s="204"/>
      <c r="V87" s="204"/>
    </row>
    <row r="88" spans="1:23" s="220" customFormat="1" ht="27.75" customHeight="1">
      <c r="A88" s="186">
        <v>5</v>
      </c>
      <c r="B88" s="208" t="s">
        <v>71</v>
      </c>
      <c r="C88" s="209" t="s">
        <v>181</v>
      </c>
      <c r="D88" s="564">
        <v>2675</v>
      </c>
      <c r="E88" s="211" t="s">
        <v>951</v>
      </c>
      <c r="F88" s="212">
        <v>-0.5</v>
      </c>
      <c r="G88" s="213">
        <v>-1250</v>
      </c>
      <c r="H88" s="213">
        <v>-87.5</v>
      </c>
      <c r="I88" s="214">
        <v>-1337.5</v>
      </c>
      <c r="J88" s="62">
        <v>46105</v>
      </c>
      <c r="K88" s="215" t="s">
        <v>1104</v>
      </c>
      <c r="L88" s="202">
        <v>2675</v>
      </c>
      <c r="M88" s="216" t="s">
        <v>1063</v>
      </c>
      <c r="N88" s="217">
        <v>-0.5</v>
      </c>
      <c r="O88" s="147">
        <f>+(D88*100/107)+G88-(L88*100/107)</f>
        <v>-1250</v>
      </c>
      <c r="P88" s="147">
        <f t="shared" si="25"/>
        <v>-87.5</v>
      </c>
      <c r="Q88" s="47">
        <f t="shared" si="26"/>
        <v>-1337.5</v>
      </c>
      <c r="R88" s="217"/>
      <c r="S88" s="218"/>
      <c r="T88" s="218"/>
      <c r="U88" s="219"/>
      <c r="V88" s="219"/>
    </row>
    <row r="89" spans="1:23" ht="27.75" customHeight="1" thickBot="1">
      <c r="A89" s="193"/>
      <c r="B89" s="194" t="s">
        <v>22</v>
      </c>
      <c r="C89" s="195"/>
      <c r="D89" s="196">
        <f>SUM(D84:D88)</f>
        <v>12358.5</v>
      </c>
      <c r="E89" s="221"/>
      <c r="F89" s="197"/>
      <c r="G89" s="198">
        <f>SUM(G84:G88)-G88</f>
        <v>1200</v>
      </c>
      <c r="H89" s="198">
        <f t="shared" ref="H89:I89" si="27">SUM(H84:H88)-H88</f>
        <v>84</v>
      </c>
      <c r="I89" s="198">
        <f t="shared" si="27"/>
        <v>1284</v>
      </c>
      <c r="J89" s="199"/>
      <c r="K89" s="199"/>
      <c r="L89" s="196">
        <f>SUM(L84:L88)</f>
        <v>12840</v>
      </c>
      <c r="M89" s="200"/>
      <c r="N89" s="196"/>
      <c r="O89" s="198">
        <f>SUM(O84:O87)</f>
        <v>750</v>
      </c>
      <c r="P89" s="198">
        <f>SUM(P84:P87)</f>
        <v>52.5</v>
      </c>
      <c r="Q89" s="198">
        <f t="shared" ref="Q89" si="28">ROUND(SUM(Q84:Q88),2)-Q88</f>
        <v>802.5</v>
      </c>
      <c r="R89" s="36"/>
      <c r="S89" s="37"/>
      <c r="T89" s="37"/>
      <c r="U89" s="38"/>
      <c r="V89" s="38"/>
      <c r="W89" s="38"/>
    </row>
    <row r="90" spans="1:23" ht="27.75" customHeight="1" thickTop="1">
      <c r="A90" s="22"/>
      <c r="B90" s="23" t="s">
        <v>191</v>
      </c>
      <c r="C90" s="24"/>
      <c r="D90" s="25"/>
      <c r="E90" s="26"/>
      <c r="F90" s="27"/>
      <c r="G90" s="28"/>
      <c r="H90" s="28"/>
      <c r="I90" s="28"/>
      <c r="J90" s="29"/>
      <c r="K90" s="30"/>
      <c r="L90" s="31"/>
      <c r="M90" s="32"/>
      <c r="N90" s="33"/>
      <c r="O90" s="34"/>
      <c r="P90" s="34"/>
      <c r="Q90" s="35"/>
      <c r="R90" s="36"/>
      <c r="S90" s="37"/>
      <c r="T90" s="37"/>
      <c r="U90" s="38"/>
      <c r="V90" s="38"/>
      <c r="W90" s="38"/>
    </row>
    <row r="91" spans="1:23" ht="27.75" customHeight="1">
      <c r="A91" s="94">
        <v>1</v>
      </c>
      <c r="B91" s="40" t="s">
        <v>192</v>
      </c>
      <c r="C91" s="41" t="s">
        <v>193</v>
      </c>
      <c r="D91" s="141">
        <v>2140</v>
      </c>
      <c r="E91" s="43"/>
      <c r="F91" s="44"/>
      <c r="G91" s="45">
        <v>0</v>
      </c>
      <c r="H91" s="61">
        <v>0</v>
      </c>
      <c r="I91" s="47">
        <v>0</v>
      </c>
      <c r="J91" s="175">
        <v>46086</v>
      </c>
      <c r="K91" s="176" t="s">
        <v>1105</v>
      </c>
      <c r="L91" s="222">
        <v>2140</v>
      </c>
      <c r="M91" s="94" t="s">
        <v>45</v>
      </c>
      <c r="N91" s="116">
        <v>0</v>
      </c>
      <c r="O91" s="147">
        <v>0</v>
      </c>
      <c r="P91" s="147">
        <v>0</v>
      </c>
      <c r="Q91" s="47">
        <v>0</v>
      </c>
      <c r="R91" s="39" t="s">
        <v>195</v>
      </c>
      <c r="S91" s="55">
        <v>42491</v>
      </c>
      <c r="T91" s="55">
        <v>43585</v>
      </c>
      <c r="U91" s="56">
        <v>262800</v>
      </c>
      <c r="V91" s="56"/>
    </row>
    <row r="92" spans="1:23" ht="27.75" customHeight="1" thickBot="1">
      <c r="A92" s="193"/>
      <c r="B92" s="194" t="s">
        <v>22</v>
      </c>
      <c r="C92" s="195"/>
      <c r="D92" s="196">
        <v>2140</v>
      </c>
      <c r="E92" s="221"/>
      <c r="F92" s="197"/>
      <c r="G92" s="198">
        <v>0</v>
      </c>
      <c r="H92" s="198">
        <v>0</v>
      </c>
      <c r="I92" s="198">
        <v>0</v>
      </c>
      <c r="J92" s="199"/>
      <c r="K92" s="199"/>
      <c r="L92" s="196">
        <f>SUM(L91)</f>
        <v>2140</v>
      </c>
      <c r="M92" s="200"/>
      <c r="N92" s="196"/>
      <c r="O92" s="198">
        <v>0</v>
      </c>
      <c r="P92" s="198">
        <v>0</v>
      </c>
      <c r="Q92" s="198">
        <v>0</v>
      </c>
      <c r="R92" s="36"/>
      <c r="S92" s="37"/>
      <c r="T92" s="37"/>
      <c r="U92" s="38"/>
      <c r="V92" s="38"/>
      <c r="W92" s="38"/>
    </row>
    <row r="93" spans="1:23" ht="27.75" customHeight="1" thickTop="1">
      <c r="A93" s="22"/>
      <c r="B93" s="23" t="s">
        <v>196</v>
      </c>
      <c r="C93" s="24"/>
      <c r="D93" s="25"/>
      <c r="E93" s="26"/>
      <c r="F93" s="27"/>
      <c r="G93" s="28"/>
      <c r="H93" s="28"/>
      <c r="I93" s="28"/>
      <c r="J93" s="29"/>
      <c r="K93" s="30"/>
      <c r="L93" s="31"/>
      <c r="M93" s="32"/>
      <c r="N93" s="33"/>
      <c r="O93" s="34"/>
      <c r="P93" s="34"/>
      <c r="Q93" s="35"/>
      <c r="R93" s="36"/>
      <c r="S93" s="37"/>
      <c r="T93" s="37"/>
      <c r="U93" s="38"/>
      <c r="V93" s="38"/>
      <c r="W93" s="38"/>
    </row>
    <row r="94" spans="1:23" s="226" customFormat="1" ht="27.75" customHeight="1">
      <c r="A94" s="94"/>
      <c r="B94" s="223" t="s">
        <v>197</v>
      </c>
      <c r="C94" s="224"/>
      <c r="D94" s="225"/>
      <c r="E94" s="80"/>
      <c r="F94" s="44"/>
      <c r="G94" s="61"/>
      <c r="H94" s="61"/>
      <c r="I94" s="85"/>
      <c r="J94" s="178"/>
      <c r="K94" s="176"/>
      <c r="L94" s="222"/>
      <c r="M94" s="83"/>
      <c r="N94" s="116"/>
      <c r="O94" s="147"/>
      <c r="P94" s="147"/>
      <c r="Q94" s="47"/>
      <c r="R94" s="39"/>
      <c r="S94" s="55"/>
      <c r="T94" s="55"/>
      <c r="U94" s="56"/>
      <c r="V94" s="56"/>
    </row>
    <row r="95" spans="1:23" s="226" customFormat="1" ht="27.75" customHeight="1">
      <c r="A95" s="94">
        <v>1</v>
      </c>
      <c r="B95" s="181" t="s">
        <v>198</v>
      </c>
      <c r="C95" s="224" t="s">
        <v>199</v>
      </c>
      <c r="D95" s="225">
        <v>26750</v>
      </c>
      <c r="E95" s="80" t="s">
        <v>26</v>
      </c>
      <c r="F95" s="44">
        <v>0</v>
      </c>
      <c r="G95" s="61">
        <v>0</v>
      </c>
      <c r="H95" s="61">
        <v>0</v>
      </c>
      <c r="I95" s="85">
        <v>0</v>
      </c>
      <c r="J95" s="113">
        <v>46089</v>
      </c>
      <c r="K95" s="114" t="s">
        <v>1106</v>
      </c>
      <c r="L95" s="144">
        <v>26750</v>
      </c>
      <c r="M95" s="83" t="s">
        <v>26</v>
      </c>
      <c r="N95" s="116">
        <v>0</v>
      </c>
      <c r="O95" s="147">
        <f t="shared" ref="O95:O107" si="29">+(D95*100/107)+G95-(L95*100/107)</f>
        <v>0</v>
      </c>
      <c r="P95" s="147">
        <f t="shared" ref="P95:P107" si="30">ROUND((O95*0.07),2)</f>
        <v>0</v>
      </c>
      <c r="Q95" s="47">
        <f t="shared" ref="Q95:Q107" si="31">+O95+P95</f>
        <v>0</v>
      </c>
      <c r="R95" s="39"/>
      <c r="S95" s="55"/>
      <c r="T95" s="55"/>
      <c r="U95" s="56"/>
      <c r="V95" s="56"/>
    </row>
    <row r="96" spans="1:23" s="226" customFormat="1" ht="27.75" customHeight="1">
      <c r="A96" s="94">
        <v>2</v>
      </c>
      <c r="B96" s="181" t="s">
        <v>201</v>
      </c>
      <c r="C96" s="224" t="s">
        <v>202</v>
      </c>
      <c r="D96" s="225">
        <v>0</v>
      </c>
      <c r="E96" s="80" t="s">
        <v>26</v>
      </c>
      <c r="F96" s="44">
        <v>0</v>
      </c>
      <c r="G96" s="61">
        <v>0</v>
      </c>
      <c r="H96" s="61">
        <v>0</v>
      </c>
      <c r="I96" s="85">
        <v>0</v>
      </c>
      <c r="J96" s="113"/>
      <c r="K96" s="114"/>
      <c r="L96" s="144">
        <v>0</v>
      </c>
      <c r="M96" s="83" t="s">
        <v>26</v>
      </c>
      <c r="N96" s="116">
        <v>0</v>
      </c>
      <c r="O96" s="147">
        <f t="shared" si="29"/>
        <v>0</v>
      </c>
      <c r="P96" s="147">
        <f t="shared" si="30"/>
        <v>0</v>
      </c>
      <c r="Q96" s="47">
        <f t="shared" si="31"/>
        <v>0</v>
      </c>
      <c r="R96" s="39"/>
      <c r="S96" s="55"/>
      <c r="T96" s="55"/>
      <c r="U96" s="56"/>
      <c r="V96" s="226" t="s">
        <v>203</v>
      </c>
    </row>
    <row r="97" spans="1:22" s="226" customFormat="1" ht="27.75" customHeight="1">
      <c r="A97" s="94">
        <v>3</v>
      </c>
      <c r="B97" s="181" t="s">
        <v>204</v>
      </c>
      <c r="C97" s="224" t="s">
        <v>205</v>
      </c>
      <c r="D97" s="225">
        <v>22470</v>
      </c>
      <c r="E97" s="80" t="s">
        <v>45</v>
      </c>
      <c r="F97" s="44">
        <v>0</v>
      </c>
      <c r="G97" s="61">
        <v>0</v>
      </c>
      <c r="H97" s="61">
        <v>0</v>
      </c>
      <c r="I97" s="85">
        <v>0</v>
      </c>
      <c r="J97" s="113">
        <v>46106</v>
      </c>
      <c r="K97" s="114" t="s">
        <v>1107</v>
      </c>
      <c r="L97" s="144">
        <v>22470</v>
      </c>
      <c r="M97" s="83" t="s">
        <v>45</v>
      </c>
      <c r="N97" s="116">
        <v>0</v>
      </c>
      <c r="O97" s="147">
        <f t="shared" si="29"/>
        <v>0</v>
      </c>
      <c r="P97" s="147">
        <f t="shared" si="30"/>
        <v>0</v>
      </c>
      <c r="Q97" s="47">
        <f t="shared" si="31"/>
        <v>0</v>
      </c>
      <c r="R97" s="39"/>
      <c r="S97" s="55"/>
      <c r="T97" s="55"/>
      <c r="U97" s="56"/>
      <c r="V97" s="56"/>
    </row>
    <row r="98" spans="1:22" s="226" customFormat="1" ht="27.75" customHeight="1">
      <c r="A98" s="94">
        <v>4</v>
      </c>
      <c r="B98" s="181" t="s">
        <v>204</v>
      </c>
      <c r="C98" s="224" t="s">
        <v>207</v>
      </c>
      <c r="D98" s="225">
        <v>22470</v>
      </c>
      <c r="E98" s="80" t="s">
        <v>45</v>
      </c>
      <c r="F98" s="44">
        <v>0</v>
      </c>
      <c r="G98" s="61">
        <v>0</v>
      </c>
      <c r="H98" s="61">
        <v>0</v>
      </c>
      <c r="I98" s="85">
        <v>0</v>
      </c>
      <c r="J98" s="113">
        <v>46106</v>
      </c>
      <c r="K98" s="114" t="s">
        <v>1107</v>
      </c>
      <c r="L98" s="144">
        <v>22470</v>
      </c>
      <c r="M98" s="83" t="s">
        <v>45</v>
      </c>
      <c r="N98" s="116">
        <v>0</v>
      </c>
      <c r="O98" s="147">
        <f t="shared" si="29"/>
        <v>0</v>
      </c>
      <c r="P98" s="147">
        <f t="shared" si="30"/>
        <v>0</v>
      </c>
      <c r="Q98" s="47">
        <f t="shared" si="31"/>
        <v>0</v>
      </c>
      <c r="R98" s="39"/>
      <c r="S98" s="55"/>
      <c r="T98" s="55"/>
      <c r="U98" s="56"/>
      <c r="V98" s="56"/>
    </row>
    <row r="99" spans="1:22" s="226" customFormat="1" ht="27.75" customHeight="1">
      <c r="A99" s="94">
        <v>5</v>
      </c>
      <c r="B99" s="181" t="s">
        <v>201</v>
      </c>
      <c r="C99" s="224" t="s">
        <v>208</v>
      </c>
      <c r="D99" s="225">
        <v>0</v>
      </c>
      <c r="E99" s="80" t="s">
        <v>26</v>
      </c>
      <c r="F99" s="44">
        <v>0</v>
      </c>
      <c r="G99" s="61">
        <v>0</v>
      </c>
      <c r="H99" s="61">
        <v>0</v>
      </c>
      <c r="I99" s="85">
        <v>0</v>
      </c>
      <c r="J99" s="113"/>
      <c r="K99" s="114"/>
      <c r="L99" s="144">
        <v>0</v>
      </c>
      <c r="M99" s="83" t="s">
        <v>26</v>
      </c>
      <c r="N99" s="116">
        <v>0</v>
      </c>
      <c r="O99" s="147">
        <f t="shared" si="29"/>
        <v>0</v>
      </c>
      <c r="P99" s="147">
        <f t="shared" si="30"/>
        <v>0</v>
      </c>
      <c r="Q99" s="47">
        <f t="shared" si="31"/>
        <v>0</v>
      </c>
      <c r="R99" s="39"/>
      <c r="S99" s="55"/>
      <c r="T99" s="55"/>
      <c r="U99" s="56"/>
      <c r="V99" s="56"/>
    </row>
    <row r="100" spans="1:22" s="226" customFormat="1" ht="27.75" customHeight="1">
      <c r="A100" s="94">
        <v>6</v>
      </c>
      <c r="B100" s="181" t="s">
        <v>201</v>
      </c>
      <c r="C100" s="224" t="s">
        <v>209</v>
      </c>
      <c r="D100" s="225">
        <v>0</v>
      </c>
      <c r="E100" s="80" t="s">
        <v>26</v>
      </c>
      <c r="F100" s="44">
        <v>0</v>
      </c>
      <c r="G100" s="61">
        <v>0</v>
      </c>
      <c r="H100" s="61">
        <v>0</v>
      </c>
      <c r="I100" s="85">
        <v>0</v>
      </c>
      <c r="J100" s="113"/>
      <c r="K100" s="114"/>
      <c r="L100" s="144">
        <v>0</v>
      </c>
      <c r="M100" s="83" t="s">
        <v>26</v>
      </c>
      <c r="N100" s="116">
        <v>0</v>
      </c>
      <c r="O100" s="147">
        <f t="shared" si="29"/>
        <v>0</v>
      </c>
      <c r="P100" s="147">
        <f t="shared" si="30"/>
        <v>0</v>
      </c>
      <c r="Q100" s="47">
        <f t="shared" si="31"/>
        <v>0</v>
      </c>
      <c r="R100" s="39"/>
      <c r="S100" s="55"/>
      <c r="T100" s="55"/>
      <c r="U100" s="56"/>
      <c r="V100" s="56"/>
    </row>
    <row r="101" spans="1:22" s="226" customFormat="1" ht="27.75" customHeight="1">
      <c r="A101" s="94">
        <v>7</v>
      </c>
      <c r="B101" s="181" t="s">
        <v>210</v>
      </c>
      <c r="C101" s="224" t="s">
        <v>211</v>
      </c>
      <c r="D101" s="225">
        <v>22470</v>
      </c>
      <c r="E101" s="80" t="s">
        <v>952</v>
      </c>
      <c r="F101" s="44">
        <v>-0.934579439252336</v>
      </c>
      <c r="G101" s="61">
        <v>-21000</v>
      </c>
      <c r="H101" s="61">
        <v>-1470</v>
      </c>
      <c r="I101" s="85">
        <v>-22470</v>
      </c>
      <c r="J101" s="113">
        <v>46111</v>
      </c>
      <c r="K101" s="114" t="s">
        <v>1108</v>
      </c>
      <c r="L101" s="144">
        <v>22470</v>
      </c>
      <c r="M101" s="87" t="s">
        <v>1109</v>
      </c>
      <c r="N101" s="116">
        <v>-0.934579439252336</v>
      </c>
      <c r="O101" s="147">
        <f t="shared" si="29"/>
        <v>-21000</v>
      </c>
      <c r="P101" s="147">
        <f t="shared" si="30"/>
        <v>-1470</v>
      </c>
      <c r="Q101" s="47">
        <f t="shared" si="31"/>
        <v>-22470</v>
      </c>
      <c r="R101" s="39"/>
      <c r="S101" s="55"/>
      <c r="T101" s="55"/>
      <c r="U101" s="56"/>
      <c r="V101" s="56"/>
    </row>
    <row r="102" spans="1:22" s="226" customFormat="1" ht="27.75" customHeight="1">
      <c r="A102" s="94">
        <v>8</v>
      </c>
      <c r="B102" s="181" t="s">
        <v>201</v>
      </c>
      <c r="C102" s="224" t="s">
        <v>213</v>
      </c>
      <c r="D102" s="225">
        <v>0</v>
      </c>
      <c r="E102" s="80" t="s">
        <v>26</v>
      </c>
      <c r="F102" s="44">
        <v>0</v>
      </c>
      <c r="G102" s="61">
        <v>0</v>
      </c>
      <c r="H102" s="61">
        <v>0</v>
      </c>
      <c r="I102" s="85">
        <v>0</v>
      </c>
      <c r="J102" s="113"/>
      <c r="K102" s="114"/>
      <c r="L102" s="144">
        <v>0</v>
      </c>
      <c r="M102" s="83" t="s">
        <v>26</v>
      </c>
      <c r="N102" s="116">
        <v>0</v>
      </c>
      <c r="O102" s="147">
        <f t="shared" si="29"/>
        <v>0</v>
      </c>
      <c r="P102" s="147">
        <f t="shared" si="30"/>
        <v>0</v>
      </c>
      <c r="Q102" s="47">
        <f t="shared" si="31"/>
        <v>0</v>
      </c>
      <c r="R102" s="39"/>
      <c r="S102" s="55"/>
      <c r="T102" s="55"/>
      <c r="U102" s="56"/>
      <c r="V102" s="56"/>
    </row>
    <row r="103" spans="1:22" s="226" customFormat="1" ht="27.75" customHeight="1">
      <c r="A103" s="94">
        <v>9</v>
      </c>
      <c r="B103" s="181" t="s">
        <v>214</v>
      </c>
      <c r="C103" s="224" t="s">
        <v>215</v>
      </c>
      <c r="D103" s="225">
        <v>22470</v>
      </c>
      <c r="E103" s="80" t="s">
        <v>26</v>
      </c>
      <c r="F103" s="44">
        <v>0</v>
      </c>
      <c r="G103" s="61">
        <v>0</v>
      </c>
      <c r="H103" s="61">
        <v>0</v>
      </c>
      <c r="I103" s="85">
        <v>0</v>
      </c>
      <c r="J103" s="113">
        <v>46083</v>
      </c>
      <c r="K103" s="114" t="s">
        <v>1110</v>
      </c>
      <c r="L103" s="144">
        <v>22470</v>
      </c>
      <c r="M103" s="83" t="s">
        <v>26</v>
      </c>
      <c r="N103" s="116">
        <v>0</v>
      </c>
      <c r="O103" s="147">
        <f t="shared" si="29"/>
        <v>0</v>
      </c>
      <c r="P103" s="147">
        <f t="shared" si="30"/>
        <v>0</v>
      </c>
      <c r="Q103" s="47">
        <f t="shared" si="31"/>
        <v>0</v>
      </c>
      <c r="R103" s="39"/>
      <c r="S103" s="55"/>
      <c r="T103" s="55"/>
      <c r="U103" s="56"/>
      <c r="V103" s="56"/>
    </row>
    <row r="104" spans="1:22" s="226" customFormat="1" ht="27.75" customHeight="1">
      <c r="A104" s="94">
        <v>10</v>
      </c>
      <c r="B104" s="181" t="s">
        <v>217</v>
      </c>
      <c r="C104" s="224" t="s">
        <v>218</v>
      </c>
      <c r="D104" s="225">
        <v>22470</v>
      </c>
      <c r="E104" s="80" t="s">
        <v>26</v>
      </c>
      <c r="F104" s="44">
        <v>0</v>
      </c>
      <c r="G104" s="61">
        <v>0</v>
      </c>
      <c r="H104" s="61">
        <v>0</v>
      </c>
      <c r="I104" s="85">
        <v>0</v>
      </c>
      <c r="J104" s="113">
        <v>46099</v>
      </c>
      <c r="K104" s="114" t="s">
        <v>1111</v>
      </c>
      <c r="L104" s="144">
        <v>22470</v>
      </c>
      <c r="M104" s="83" t="s">
        <v>26</v>
      </c>
      <c r="N104" s="116">
        <v>0</v>
      </c>
      <c r="O104" s="147">
        <f t="shared" si="29"/>
        <v>0</v>
      </c>
      <c r="P104" s="147">
        <f t="shared" si="30"/>
        <v>0</v>
      </c>
      <c r="Q104" s="47">
        <f t="shared" si="31"/>
        <v>0</v>
      </c>
      <c r="R104" s="39"/>
      <c r="S104" s="55"/>
      <c r="T104" s="55"/>
      <c r="U104" s="56"/>
      <c r="V104" s="56"/>
    </row>
    <row r="105" spans="1:22" s="226" customFormat="1" ht="27.75" customHeight="1">
      <c r="A105" s="94">
        <v>11</v>
      </c>
      <c r="B105" s="181" t="s">
        <v>217</v>
      </c>
      <c r="C105" s="224" t="s">
        <v>220</v>
      </c>
      <c r="D105" s="225">
        <v>22470</v>
      </c>
      <c r="E105" s="80" t="s">
        <v>26</v>
      </c>
      <c r="F105" s="44">
        <v>0</v>
      </c>
      <c r="G105" s="61">
        <v>0</v>
      </c>
      <c r="H105" s="61">
        <v>0</v>
      </c>
      <c r="I105" s="85">
        <v>0</v>
      </c>
      <c r="J105" s="113">
        <v>46099</v>
      </c>
      <c r="K105" s="114" t="s">
        <v>1111</v>
      </c>
      <c r="L105" s="144">
        <v>22470</v>
      </c>
      <c r="M105" s="83" t="s">
        <v>26</v>
      </c>
      <c r="N105" s="116">
        <v>0</v>
      </c>
      <c r="O105" s="147">
        <f t="shared" si="29"/>
        <v>0</v>
      </c>
      <c r="P105" s="147">
        <f t="shared" si="30"/>
        <v>0</v>
      </c>
      <c r="Q105" s="47">
        <f t="shared" si="31"/>
        <v>0</v>
      </c>
      <c r="R105" s="39"/>
      <c r="S105" s="55"/>
      <c r="T105" s="55"/>
      <c r="U105" s="56"/>
      <c r="V105" s="56"/>
    </row>
    <row r="106" spans="1:22" s="226" customFormat="1" ht="27.75" customHeight="1">
      <c r="A106" s="94">
        <v>12</v>
      </c>
      <c r="B106" s="181" t="s">
        <v>217</v>
      </c>
      <c r="C106" s="224" t="s">
        <v>221</v>
      </c>
      <c r="D106" s="225">
        <v>22470</v>
      </c>
      <c r="E106" s="80" t="s">
        <v>26</v>
      </c>
      <c r="F106" s="44">
        <v>0</v>
      </c>
      <c r="G106" s="61">
        <v>0</v>
      </c>
      <c r="H106" s="61">
        <v>0</v>
      </c>
      <c r="I106" s="85">
        <v>0</v>
      </c>
      <c r="J106" s="113">
        <v>46099</v>
      </c>
      <c r="K106" s="114" t="s">
        <v>1111</v>
      </c>
      <c r="L106" s="144">
        <v>22470</v>
      </c>
      <c r="M106" s="83" t="s">
        <v>26</v>
      </c>
      <c r="N106" s="116">
        <v>0</v>
      </c>
      <c r="O106" s="147">
        <f t="shared" si="29"/>
        <v>0</v>
      </c>
      <c r="P106" s="147">
        <f t="shared" si="30"/>
        <v>0</v>
      </c>
      <c r="Q106" s="47">
        <f t="shared" si="31"/>
        <v>0</v>
      </c>
      <c r="R106" s="39"/>
      <c r="S106" s="55"/>
      <c r="T106" s="55"/>
      <c r="U106" s="56"/>
      <c r="V106" s="56"/>
    </row>
    <row r="107" spans="1:22" s="226" customFormat="1" ht="27.75" customHeight="1">
      <c r="A107" s="186">
        <v>13</v>
      </c>
      <c r="B107" s="181" t="s">
        <v>222</v>
      </c>
      <c r="C107" s="227" t="s">
        <v>223</v>
      </c>
      <c r="D107" s="228">
        <v>32100</v>
      </c>
      <c r="E107" s="123" t="s">
        <v>26</v>
      </c>
      <c r="F107" s="44">
        <v>0</v>
      </c>
      <c r="G107" s="45">
        <v>0</v>
      </c>
      <c r="H107" s="45">
        <v>0</v>
      </c>
      <c r="I107" s="229">
        <v>0</v>
      </c>
      <c r="J107" s="230">
        <v>46083</v>
      </c>
      <c r="K107" s="184" t="s">
        <v>1112</v>
      </c>
      <c r="L107" s="231">
        <v>32100</v>
      </c>
      <c r="M107" s="232" t="s">
        <v>26</v>
      </c>
      <c r="N107" s="116">
        <v>0</v>
      </c>
      <c r="O107" s="233">
        <f t="shared" si="29"/>
        <v>0</v>
      </c>
      <c r="P107" s="233">
        <f t="shared" si="30"/>
        <v>0</v>
      </c>
      <c r="Q107" s="66">
        <f t="shared" si="31"/>
        <v>0</v>
      </c>
      <c r="R107" s="39"/>
      <c r="S107" s="55"/>
      <c r="T107" s="55"/>
      <c r="U107" s="56"/>
      <c r="V107" s="56" t="s">
        <v>225</v>
      </c>
    </row>
    <row r="108" spans="1:22" s="226" customFormat="1" ht="27.75" customHeight="1" thickBot="1">
      <c r="A108" s="234"/>
      <c r="B108" s="194" t="s">
        <v>22</v>
      </c>
      <c r="C108" s="235"/>
      <c r="D108" s="236">
        <f>SUM(D95:D107)</f>
        <v>216140</v>
      </c>
      <c r="E108" s="237"/>
      <c r="F108" s="238"/>
      <c r="G108" s="239"/>
      <c r="H108" s="239"/>
      <c r="I108" s="240"/>
      <c r="J108" s="241"/>
      <c r="K108" s="234"/>
      <c r="L108" s="236">
        <f>SUM(L95:L107)</f>
        <v>216140</v>
      </c>
      <c r="M108" s="234"/>
      <c r="N108" s="242"/>
      <c r="O108" s="243"/>
      <c r="P108" s="243"/>
      <c r="Q108" s="240"/>
      <c r="R108" s="39"/>
      <c r="S108" s="55"/>
      <c r="T108" s="55"/>
      <c r="U108" s="56"/>
      <c r="V108" s="56"/>
    </row>
    <row r="109" spans="1:22" s="226" customFormat="1" ht="27.75" customHeight="1" thickTop="1">
      <c r="A109" s="83"/>
      <c r="B109" s="244" t="s">
        <v>226</v>
      </c>
      <c r="C109" s="245"/>
      <c r="D109" s="246"/>
      <c r="E109" s="80"/>
      <c r="F109" s="126"/>
      <c r="G109" s="46"/>
      <c r="H109" s="46"/>
      <c r="I109" s="247"/>
      <c r="J109" s="248"/>
      <c r="K109" s="249"/>
      <c r="L109" s="250"/>
      <c r="M109" s="83"/>
      <c r="N109" s="251"/>
      <c r="O109" s="252"/>
      <c r="P109" s="252"/>
      <c r="Q109" s="85"/>
      <c r="R109" s="39"/>
      <c r="S109" s="55"/>
      <c r="T109" s="55"/>
      <c r="U109" s="56"/>
      <c r="V109" s="56"/>
    </row>
    <row r="110" spans="1:22" s="226" customFormat="1" ht="27.75" customHeight="1">
      <c r="A110" s="94">
        <v>1</v>
      </c>
      <c r="B110" s="41" t="s">
        <v>227</v>
      </c>
      <c r="C110" s="224" t="s">
        <v>228</v>
      </c>
      <c r="D110" s="225">
        <v>22470</v>
      </c>
      <c r="E110" s="80" t="s">
        <v>26</v>
      </c>
      <c r="F110" s="44">
        <v>0</v>
      </c>
      <c r="G110" s="61">
        <v>0</v>
      </c>
      <c r="H110" s="61">
        <v>0</v>
      </c>
      <c r="I110" s="85">
        <v>0</v>
      </c>
      <c r="J110" s="113">
        <v>46111</v>
      </c>
      <c r="K110" s="114" t="s">
        <v>1113</v>
      </c>
      <c r="L110" s="253">
        <v>22470</v>
      </c>
      <c r="M110" s="83" t="s">
        <v>26</v>
      </c>
      <c r="N110" s="116">
        <v>0</v>
      </c>
      <c r="O110" s="147">
        <f>+(D110*100/107)+G110-(L110*100/107)</f>
        <v>0</v>
      </c>
      <c r="P110" s="147">
        <f t="shared" ref="P110:P121" si="32">ROUND((O110*0.07),2)</f>
        <v>0</v>
      </c>
      <c r="Q110" s="47">
        <f t="shared" ref="Q110:Q121" si="33">+O110+P110</f>
        <v>0</v>
      </c>
      <c r="R110" s="39"/>
      <c r="S110" s="55"/>
      <c r="T110" s="55"/>
      <c r="U110" s="56"/>
      <c r="V110" s="56"/>
    </row>
    <row r="111" spans="1:22" s="226" customFormat="1" ht="27.75" customHeight="1">
      <c r="A111" s="94">
        <v>2</v>
      </c>
      <c r="B111" s="41" t="s">
        <v>227</v>
      </c>
      <c r="C111" s="224" t="s">
        <v>230</v>
      </c>
      <c r="D111" s="246">
        <v>22470</v>
      </c>
      <c r="E111" s="80" t="s">
        <v>26</v>
      </c>
      <c r="F111" s="44">
        <v>0</v>
      </c>
      <c r="G111" s="61">
        <v>0</v>
      </c>
      <c r="H111" s="61">
        <v>0</v>
      </c>
      <c r="I111" s="85">
        <v>0</v>
      </c>
      <c r="J111" s="113">
        <v>46111</v>
      </c>
      <c r="K111" s="114" t="s">
        <v>1113</v>
      </c>
      <c r="L111" s="253">
        <v>22470</v>
      </c>
      <c r="M111" s="83" t="s">
        <v>26</v>
      </c>
      <c r="N111" s="116">
        <v>0</v>
      </c>
      <c r="O111" s="147">
        <f>+(D111*100/107)+G111-(L111*100/107)</f>
        <v>0</v>
      </c>
      <c r="P111" s="147">
        <f t="shared" si="32"/>
        <v>0</v>
      </c>
      <c r="Q111" s="47">
        <f t="shared" si="33"/>
        <v>0</v>
      </c>
      <c r="R111" s="39"/>
      <c r="S111" s="55"/>
      <c r="T111" s="55"/>
      <c r="U111" s="56"/>
      <c r="V111" s="56"/>
    </row>
    <row r="112" spans="1:22" s="226" customFormat="1" ht="27.75" customHeight="1">
      <c r="A112" s="94">
        <v>3</v>
      </c>
      <c r="B112" s="41" t="s">
        <v>227</v>
      </c>
      <c r="C112" s="224" t="s">
        <v>231</v>
      </c>
      <c r="D112" s="246">
        <v>22470</v>
      </c>
      <c r="E112" s="80" t="s">
        <v>26</v>
      </c>
      <c r="F112" s="44">
        <v>0</v>
      </c>
      <c r="G112" s="61">
        <v>0</v>
      </c>
      <c r="H112" s="61">
        <v>0</v>
      </c>
      <c r="I112" s="85">
        <v>0</v>
      </c>
      <c r="J112" s="117">
        <v>46111</v>
      </c>
      <c r="K112" s="118" t="s">
        <v>1113</v>
      </c>
      <c r="L112" s="557">
        <v>22470</v>
      </c>
      <c r="M112" s="83" t="s">
        <v>26</v>
      </c>
      <c r="N112" s="116">
        <v>0</v>
      </c>
      <c r="O112" s="147">
        <f t="shared" ref="O112:O119" si="34">+(D112*100/107)+G112-(L112*100/107)</f>
        <v>0</v>
      </c>
      <c r="P112" s="147">
        <f t="shared" si="32"/>
        <v>0</v>
      </c>
      <c r="Q112" s="47">
        <f t="shared" si="33"/>
        <v>0</v>
      </c>
      <c r="R112" s="39"/>
      <c r="S112" s="55"/>
      <c r="T112" s="55"/>
      <c r="U112" s="56"/>
      <c r="V112" s="56"/>
    </row>
    <row r="113" spans="1:22" s="226" customFormat="1" ht="27.75" customHeight="1">
      <c r="A113" s="94">
        <v>4</v>
      </c>
      <c r="B113" s="41" t="s">
        <v>201</v>
      </c>
      <c r="C113" s="224" t="s">
        <v>232</v>
      </c>
      <c r="D113" s="246">
        <v>0</v>
      </c>
      <c r="E113" s="80" t="s">
        <v>26</v>
      </c>
      <c r="F113" s="44">
        <v>0</v>
      </c>
      <c r="G113" s="61">
        <v>0</v>
      </c>
      <c r="H113" s="61">
        <v>0</v>
      </c>
      <c r="I113" s="85">
        <v>0</v>
      </c>
      <c r="J113" s="117"/>
      <c r="K113" s="118"/>
      <c r="L113" s="557">
        <v>0</v>
      </c>
      <c r="M113" s="83" t="s">
        <v>26</v>
      </c>
      <c r="N113" s="116">
        <v>0</v>
      </c>
      <c r="O113" s="147">
        <f t="shared" si="34"/>
        <v>0</v>
      </c>
      <c r="P113" s="147">
        <f t="shared" si="32"/>
        <v>0</v>
      </c>
      <c r="Q113" s="47">
        <f t="shared" si="33"/>
        <v>0</v>
      </c>
      <c r="R113" s="39"/>
      <c r="S113" s="55"/>
      <c r="T113" s="55"/>
      <c r="U113" s="56"/>
      <c r="V113" s="56"/>
    </row>
    <row r="114" spans="1:22" s="226" customFormat="1" ht="27.75" customHeight="1">
      <c r="A114" s="94">
        <v>5</v>
      </c>
      <c r="B114" s="41" t="s">
        <v>201</v>
      </c>
      <c r="C114" s="224" t="s">
        <v>233</v>
      </c>
      <c r="D114" s="246">
        <v>0</v>
      </c>
      <c r="E114" s="80" t="s">
        <v>26</v>
      </c>
      <c r="F114" s="44">
        <v>0</v>
      </c>
      <c r="G114" s="61">
        <v>0</v>
      </c>
      <c r="H114" s="61">
        <v>0</v>
      </c>
      <c r="I114" s="85">
        <v>0</v>
      </c>
      <c r="J114" s="117"/>
      <c r="K114" s="118"/>
      <c r="L114" s="557">
        <v>0</v>
      </c>
      <c r="M114" s="83" t="s">
        <v>26</v>
      </c>
      <c r="N114" s="116">
        <v>0</v>
      </c>
      <c r="O114" s="147">
        <f t="shared" si="34"/>
        <v>0</v>
      </c>
      <c r="P114" s="147">
        <f t="shared" si="32"/>
        <v>0</v>
      </c>
      <c r="Q114" s="47">
        <f t="shared" si="33"/>
        <v>0</v>
      </c>
      <c r="R114" s="39"/>
      <c r="S114" s="55"/>
      <c r="T114" s="55"/>
      <c r="U114" s="56"/>
      <c r="V114" s="56"/>
    </row>
    <row r="115" spans="1:22" s="226" customFormat="1" ht="27.75" customHeight="1">
      <c r="A115" s="94">
        <v>6</v>
      </c>
      <c r="B115" s="41" t="s">
        <v>201</v>
      </c>
      <c r="C115" s="224" t="s">
        <v>235</v>
      </c>
      <c r="D115" s="246">
        <v>0</v>
      </c>
      <c r="E115" s="80" t="s">
        <v>26</v>
      </c>
      <c r="F115" s="44">
        <v>0</v>
      </c>
      <c r="G115" s="61">
        <v>0</v>
      </c>
      <c r="H115" s="61">
        <v>0</v>
      </c>
      <c r="I115" s="85">
        <v>0</v>
      </c>
      <c r="J115" s="117"/>
      <c r="K115" s="118"/>
      <c r="L115" s="557">
        <v>0</v>
      </c>
      <c r="M115" s="83" t="s">
        <v>26</v>
      </c>
      <c r="N115" s="116">
        <v>0</v>
      </c>
      <c r="O115" s="147">
        <f t="shared" si="34"/>
        <v>0</v>
      </c>
      <c r="P115" s="147">
        <f t="shared" si="32"/>
        <v>0</v>
      </c>
      <c r="Q115" s="47">
        <f t="shared" si="33"/>
        <v>0</v>
      </c>
      <c r="R115" s="39"/>
      <c r="S115" s="55"/>
      <c r="T115" s="55"/>
      <c r="U115" s="56"/>
      <c r="V115" s="56"/>
    </row>
    <row r="116" spans="1:22" s="226" customFormat="1" ht="27.75" customHeight="1">
      <c r="A116" s="94">
        <v>7</v>
      </c>
      <c r="B116" s="41" t="s">
        <v>201</v>
      </c>
      <c r="C116" s="224" t="s">
        <v>237</v>
      </c>
      <c r="D116" s="225">
        <v>0</v>
      </c>
      <c r="E116" s="80" t="s">
        <v>26</v>
      </c>
      <c r="F116" s="44">
        <v>0</v>
      </c>
      <c r="G116" s="61">
        <v>0</v>
      </c>
      <c r="H116" s="61">
        <v>0</v>
      </c>
      <c r="I116" s="85">
        <v>0</v>
      </c>
      <c r="J116" s="117"/>
      <c r="K116" s="118"/>
      <c r="L116" s="557">
        <v>0</v>
      </c>
      <c r="M116" s="83" t="s">
        <v>26</v>
      </c>
      <c r="N116" s="116">
        <v>0</v>
      </c>
      <c r="O116" s="147">
        <f t="shared" si="34"/>
        <v>0</v>
      </c>
      <c r="P116" s="147">
        <f t="shared" si="32"/>
        <v>0</v>
      </c>
      <c r="Q116" s="47">
        <f t="shared" si="33"/>
        <v>0</v>
      </c>
      <c r="R116" s="39"/>
      <c r="S116" s="55"/>
      <c r="T116" s="55"/>
      <c r="U116" s="56"/>
      <c r="V116" s="56"/>
    </row>
    <row r="117" spans="1:22" s="226" customFormat="1" ht="27.75" customHeight="1">
      <c r="A117" s="94">
        <v>8</v>
      </c>
      <c r="B117" s="41" t="s">
        <v>236</v>
      </c>
      <c r="C117" s="224" t="s">
        <v>239</v>
      </c>
      <c r="D117" s="225">
        <v>22470</v>
      </c>
      <c r="E117" s="80" t="s">
        <v>26</v>
      </c>
      <c r="F117" s="44">
        <v>0</v>
      </c>
      <c r="G117" s="61">
        <v>0</v>
      </c>
      <c r="H117" s="61">
        <v>0</v>
      </c>
      <c r="I117" s="85">
        <v>0</v>
      </c>
      <c r="J117" s="113">
        <v>46110</v>
      </c>
      <c r="K117" s="114" t="s">
        <v>1114</v>
      </c>
      <c r="L117" s="257">
        <v>22470</v>
      </c>
      <c r="M117" s="83" t="s">
        <v>26</v>
      </c>
      <c r="N117" s="116">
        <v>0</v>
      </c>
      <c r="O117" s="147">
        <f t="shared" si="34"/>
        <v>0</v>
      </c>
      <c r="P117" s="147">
        <f t="shared" si="32"/>
        <v>0</v>
      </c>
      <c r="Q117" s="47">
        <f t="shared" si="33"/>
        <v>0</v>
      </c>
      <c r="R117" s="39"/>
      <c r="S117" s="55"/>
      <c r="T117" s="55"/>
      <c r="U117" s="56"/>
      <c r="V117" s="56"/>
    </row>
    <row r="118" spans="1:22" s="226" customFormat="1" ht="27.75" customHeight="1">
      <c r="A118" s="94">
        <v>9</v>
      </c>
      <c r="B118" s="41" t="s">
        <v>92</v>
      </c>
      <c r="C118" s="224" t="s">
        <v>240</v>
      </c>
      <c r="D118" s="225">
        <v>22470</v>
      </c>
      <c r="E118" s="80" t="s">
        <v>26</v>
      </c>
      <c r="F118" s="44">
        <v>0</v>
      </c>
      <c r="G118" s="61">
        <v>0</v>
      </c>
      <c r="H118" s="61">
        <v>0</v>
      </c>
      <c r="I118" s="85">
        <v>0</v>
      </c>
      <c r="J118" s="113">
        <v>46111</v>
      </c>
      <c r="K118" s="114" t="s">
        <v>1115</v>
      </c>
      <c r="L118" s="258">
        <v>22470</v>
      </c>
      <c r="M118" s="83" t="s">
        <v>26</v>
      </c>
      <c r="N118" s="116">
        <v>0</v>
      </c>
      <c r="O118" s="147">
        <f t="shared" si="34"/>
        <v>0</v>
      </c>
      <c r="P118" s="147">
        <f t="shared" si="32"/>
        <v>0</v>
      </c>
      <c r="Q118" s="47">
        <f t="shared" si="33"/>
        <v>0</v>
      </c>
      <c r="R118" s="39"/>
      <c r="S118" s="55"/>
      <c r="T118" s="55"/>
      <c r="U118" s="56"/>
      <c r="V118" s="56"/>
    </row>
    <row r="119" spans="1:22" s="226" customFormat="1" ht="27.75" customHeight="1">
      <c r="A119" s="94">
        <v>10</v>
      </c>
      <c r="B119" s="41" t="s">
        <v>92</v>
      </c>
      <c r="C119" s="224" t="s">
        <v>242</v>
      </c>
      <c r="D119" s="225">
        <v>22470</v>
      </c>
      <c r="E119" s="80" t="s">
        <v>26</v>
      </c>
      <c r="F119" s="44">
        <v>0</v>
      </c>
      <c r="G119" s="61">
        <v>0</v>
      </c>
      <c r="H119" s="61">
        <v>0</v>
      </c>
      <c r="I119" s="85">
        <v>0</v>
      </c>
      <c r="J119" s="113">
        <v>46111</v>
      </c>
      <c r="K119" s="114" t="s">
        <v>1115</v>
      </c>
      <c r="L119" s="253">
        <v>22470</v>
      </c>
      <c r="M119" s="83" t="s">
        <v>26</v>
      </c>
      <c r="N119" s="116">
        <v>0</v>
      </c>
      <c r="O119" s="147">
        <f t="shared" si="34"/>
        <v>0</v>
      </c>
      <c r="P119" s="147">
        <f t="shared" si="32"/>
        <v>0</v>
      </c>
      <c r="Q119" s="47">
        <f t="shared" si="33"/>
        <v>0</v>
      </c>
      <c r="R119" s="39"/>
      <c r="S119" s="55"/>
      <c r="T119" s="55"/>
      <c r="U119" s="56"/>
      <c r="V119" s="56"/>
    </row>
    <row r="120" spans="1:22" s="226" customFormat="1" ht="27.75" customHeight="1">
      <c r="A120" s="94">
        <v>11</v>
      </c>
      <c r="B120" s="41" t="s">
        <v>243</v>
      </c>
      <c r="C120" s="224" t="s">
        <v>244</v>
      </c>
      <c r="D120" s="225">
        <v>22470</v>
      </c>
      <c r="E120" s="80" t="s">
        <v>26</v>
      </c>
      <c r="F120" s="44">
        <v>0</v>
      </c>
      <c r="G120" s="61">
        <v>0</v>
      </c>
      <c r="H120" s="61">
        <v>0</v>
      </c>
      <c r="I120" s="85">
        <v>0</v>
      </c>
      <c r="J120" s="113">
        <v>46112</v>
      </c>
      <c r="K120" s="114" t="s">
        <v>1116</v>
      </c>
      <c r="L120" s="253">
        <v>22470</v>
      </c>
      <c r="M120" s="83" t="s">
        <v>26</v>
      </c>
      <c r="N120" s="116">
        <v>0</v>
      </c>
      <c r="O120" s="147">
        <f>+(D120*100/107)+G120-(L120*100/107)</f>
        <v>0</v>
      </c>
      <c r="P120" s="147">
        <f t="shared" si="32"/>
        <v>0</v>
      </c>
      <c r="Q120" s="47">
        <f t="shared" si="33"/>
        <v>0</v>
      </c>
      <c r="R120" s="39"/>
      <c r="S120" s="55"/>
      <c r="T120" s="55"/>
      <c r="U120" s="56"/>
      <c r="V120" s="56"/>
    </row>
    <row r="121" spans="1:22" s="226" customFormat="1" ht="27.75" customHeight="1">
      <c r="A121" s="186">
        <v>12</v>
      </c>
      <c r="B121" s="206" t="s">
        <v>90</v>
      </c>
      <c r="C121" s="224" t="s">
        <v>246</v>
      </c>
      <c r="D121" s="228">
        <v>22470</v>
      </c>
      <c r="E121" s="123" t="s">
        <v>26</v>
      </c>
      <c r="F121" s="44">
        <v>0</v>
      </c>
      <c r="G121" s="45">
        <v>0</v>
      </c>
      <c r="H121" s="45">
        <v>0</v>
      </c>
      <c r="I121" s="229">
        <v>0</v>
      </c>
      <c r="J121" s="259">
        <v>46112</v>
      </c>
      <c r="K121" s="114" t="s">
        <v>1117</v>
      </c>
      <c r="L121" s="253">
        <v>22470</v>
      </c>
      <c r="M121" s="232" t="s">
        <v>26</v>
      </c>
      <c r="N121" s="116">
        <v>0</v>
      </c>
      <c r="O121" s="147">
        <f>+(D121*100/107)+G121-(L121*100/107)</f>
        <v>0</v>
      </c>
      <c r="P121" s="147">
        <f t="shared" si="32"/>
        <v>0</v>
      </c>
      <c r="Q121" s="47">
        <f t="shared" si="33"/>
        <v>0</v>
      </c>
      <c r="R121" s="39"/>
      <c r="S121" s="55"/>
      <c r="T121" s="55"/>
      <c r="U121" s="56"/>
      <c r="V121" s="56"/>
    </row>
    <row r="122" spans="1:22" s="226" customFormat="1" ht="27.75" customHeight="1">
      <c r="A122" s="234"/>
      <c r="B122" s="260"/>
      <c r="C122" s="235"/>
      <c r="D122" s="236">
        <f>SUM(D110:D121)</f>
        <v>179760</v>
      </c>
      <c r="E122" s="237"/>
      <c r="F122" s="238"/>
      <c r="G122" s="239"/>
      <c r="H122" s="239"/>
      <c r="I122" s="240"/>
      <c r="J122" s="261"/>
      <c r="K122" s="262"/>
      <c r="L122" s="263">
        <f>SUM(L110:L121)</f>
        <v>179760</v>
      </c>
      <c r="M122" s="234"/>
      <c r="N122" s="242"/>
      <c r="O122" s="243"/>
      <c r="P122" s="243"/>
      <c r="Q122" s="240"/>
      <c r="R122" s="39"/>
      <c r="S122" s="55"/>
      <c r="T122" s="55"/>
      <c r="U122" s="56"/>
      <c r="V122" s="56"/>
    </row>
    <row r="123" spans="1:22" s="226" customFormat="1" ht="27.75" customHeight="1">
      <c r="A123" s="83"/>
      <c r="B123" s="244" t="s">
        <v>248</v>
      </c>
      <c r="C123" s="245"/>
      <c r="D123" s="246"/>
      <c r="E123" s="80"/>
      <c r="F123" s="126"/>
      <c r="G123" s="46"/>
      <c r="H123" s="46"/>
      <c r="I123" s="85"/>
      <c r="J123" s="178"/>
      <c r="K123" s="179"/>
      <c r="L123" s="264"/>
      <c r="M123" s="83"/>
      <c r="N123" s="251"/>
      <c r="O123" s="252"/>
      <c r="P123" s="252"/>
      <c r="Q123" s="85"/>
      <c r="R123" s="39"/>
      <c r="S123" s="55"/>
      <c r="T123" s="55"/>
      <c r="U123" s="56"/>
      <c r="V123" s="56"/>
    </row>
    <row r="124" spans="1:22" s="226" customFormat="1" ht="27.75" customHeight="1">
      <c r="A124" s="94">
        <v>1</v>
      </c>
      <c r="B124" s="41" t="s">
        <v>249</v>
      </c>
      <c r="C124" s="224" t="s">
        <v>250</v>
      </c>
      <c r="D124" s="225">
        <v>6420</v>
      </c>
      <c r="E124" s="80" t="s">
        <v>45</v>
      </c>
      <c r="F124" s="44">
        <v>0</v>
      </c>
      <c r="G124" s="61">
        <v>0</v>
      </c>
      <c r="H124" s="61">
        <v>0</v>
      </c>
      <c r="I124" s="85">
        <v>0</v>
      </c>
      <c r="J124" s="113">
        <v>46111</v>
      </c>
      <c r="K124" s="114" t="s">
        <v>1118</v>
      </c>
      <c r="L124" s="144">
        <v>6420</v>
      </c>
      <c r="M124" s="83" t="s">
        <v>45</v>
      </c>
      <c r="N124" s="116">
        <v>0</v>
      </c>
      <c r="O124" s="147">
        <f t="shared" ref="O124:O134" si="35">+(D124*100/107)+G124-(L124*100/107)</f>
        <v>0</v>
      </c>
      <c r="P124" s="147">
        <f t="shared" ref="P124:P134" si="36">ROUND((O124*0.07),2)</f>
        <v>0</v>
      </c>
      <c r="Q124" s="47">
        <f t="shared" ref="Q124:Q135" si="37">+O124+P124</f>
        <v>0</v>
      </c>
      <c r="R124" s="39"/>
      <c r="S124" s="55"/>
      <c r="T124" s="55"/>
      <c r="U124" s="56"/>
      <c r="V124" s="56"/>
    </row>
    <row r="125" spans="1:22" s="226" customFormat="1" ht="27.75" customHeight="1">
      <c r="A125" s="94">
        <v>2</v>
      </c>
      <c r="B125" s="41" t="s">
        <v>252</v>
      </c>
      <c r="C125" s="224" t="s">
        <v>253</v>
      </c>
      <c r="D125" s="225">
        <v>6420</v>
      </c>
      <c r="E125" s="80" t="s">
        <v>823</v>
      </c>
      <c r="F125" s="44">
        <v>1</v>
      </c>
      <c r="G125" s="61">
        <v>6000</v>
      </c>
      <c r="H125" s="61">
        <v>420</v>
      </c>
      <c r="I125" s="85">
        <v>6420</v>
      </c>
      <c r="J125" s="113">
        <v>46086</v>
      </c>
      <c r="K125" s="114" t="s">
        <v>1119</v>
      </c>
      <c r="L125" s="144">
        <v>6420</v>
      </c>
      <c r="M125" s="83" t="s">
        <v>952</v>
      </c>
      <c r="N125" s="116">
        <v>1</v>
      </c>
      <c r="O125" s="147">
        <f t="shared" si="35"/>
        <v>6000</v>
      </c>
      <c r="P125" s="147">
        <f t="shared" si="36"/>
        <v>420</v>
      </c>
      <c r="Q125" s="47">
        <f t="shared" si="37"/>
        <v>6420</v>
      </c>
      <c r="R125" s="39"/>
      <c r="S125" s="55"/>
      <c r="T125" s="55"/>
      <c r="U125" s="56"/>
      <c r="V125" s="56"/>
    </row>
    <row r="126" spans="1:22" s="226" customFormat="1" ht="27.75" customHeight="1">
      <c r="A126" s="94">
        <v>3</v>
      </c>
      <c r="B126" s="41" t="s">
        <v>254</v>
      </c>
      <c r="C126" s="224" t="s">
        <v>255</v>
      </c>
      <c r="D126" s="225">
        <v>9630</v>
      </c>
      <c r="E126" s="80" t="s">
        <v>823</v>
      </c>
      <c r="F126" s="44">
        <v>0.93457943925233611</v>
      </c>
      <c r="G126" s="61">
        <v>9000</v>
      </c>
      <c r="H126" s="61">
        <v>630</v>
      </c>
      <c r="I126" s="85">
        <v>9630</v>
      </c>
      <c r="J126" s="113">
        <v>46087</v>
      </c>
      <c r="K126" s="114" t="s">
        <v>1120</v>
      </c>
      <c r="L126" s="144">
        <v>9630</v>
      </c>
      <c r="M126" s="83" t="s">
        <v>952</v>
      </c>
      <c r="N126" s="116">
        <v>0.93457943925233611</v>
      </c>
      <c r="O126" s="147">
        <f t="shared" si="35"/>
        <v>9000</v>
      </c>
      <c r="P126" s="147">
        <f t="shared" si="36"/>
        <v>630</v>
      </c>
      <c r="Q126" s="47">
        <f t="shared" si="37"/>
        <v>9630</v>
      </c>
      <c r="R126" s="39"/>
      <c r="S126" s="55"/>
      <c r="T126" s="55"/>
      <c r="U126" s="56"/>
      <c r="V126" s="56"/>
    </row>
    <row r="127" spans="1:22" s="226" customFormat="1" ht="27.75" customHeight="1">
      <c r="A127" s="94">
        <v>4</v>
      </c>
      <c r="B127" s="41" t="s">
        <v>1045</v>
      </c>
      <c r="C127" s="224" t="s">
        <v>256</v>
      </c>
      <c r="D127" s="225">
        <v>0</v>
      </c>
      <c r="E127" s="80" t="s">
        <v>823</v>
      </c>
      <c r="F127" s="44">
        <v>1</v>
      </c>
      <c r="G127" s="61">
        <v>9000</v>
      </c>
      <c r="H127" s="61">
        <v>630</v>
      </c>
      <c r="I127" s="85">
        <v>9630</v>
      </c>
      <c r="J127" s="113">
        <v>46082</v>
      </c>
      <c r="K127" s="114" t="s">
        <v>1121</v>
      </c>
      <c r="L127" s="144">
        <v>9630</v>
      </c>
      <c r="M127" s="83"/>
      <c r="N127" s="116">
        <v>0</v>
      </c>
      <c r="O127" s="147">
        <f t="shared" si="35"/>
        <v>0</v>
      </c>
      <c r="P127" s="147">
        <f t="shared" si="36"/>
        <v>0</v>
      </c>
      <c r="Q127" s="47">
        <f t="shared" si="37"/>
        <v>0</v>
      </c>
      <c r="R127" s="39"/>
      <c r="S127" s="55"/>
      <c r="T127" s="55"/>
      <c r="U127" s="56"/>
      <c r="V127" s="56"/>
    </row>
    <row r="128" spans="1:22" s="226" customFormat="1" ht="27.75" customHeight="1">
      <c r="A128" s="94">
        <v>5</v>
      </c>
      <c r="B128" s="41" t="s">
        <v>257</v>
      </c>
      <c r="C128" s="224" t="s">
        <v>258</v>
      </c>
      <c r="D128" s="225">
        <v>9630</v>
      </c>
      <c r="E128" s="80" t="s">
        <v>45</v>
      </c>
      <c r="F128" s="44">
        <v>0</v>
      </c>
      <c r="G128" s="61">
        <v>0</v>
      </c>
      <c r="H128" s="61">
        <v>0</v>
      </c>
      <c r="I128" s="85">
        <v>0</v>
      </c>
      <c r="J128" s="113">
        <v>46109</v>
      </c>
      <c r="K128" s="114" t="s">
        <v>1122</v>
      </c>
      <c r="L128" s="144">
        <v>9630</v>
      </c>
      <c r="M128" s="83" t="s">
        <v>45</v>
      </c>
      <c r="N128" s="116">
        <v>0</v>
      </c>
      <c r="O128" s="147">
        <f t="shared" si="35"/>
        <v>0</v>
      </c>
      <c r="P128" s="147">
        <f t="shared" si="36"/>
        <v>0</v>
      </c>
      <c r="Q128" s="47">
        <f t="shared" si="37"/>
        <v>0</v>
      </c>
      <c r="R128" s="39"/>
      <c r="S128" s="55"/>
      <c r="T128" s="55"/>
      <c r="U128" s="56"/>
      <c r="V128" s="56"/>
    </row>
    <row r="129" spans="1:25" s="226" customFormat="1" ht="27.75" customHeight="1">
      <c r="A129" s="94">
        <v>6</v>
      </c>
      <c r="B129" s="206" t="s">
        <v>257</v>
      </c>
      <c r="C129" s="224" t="s">
        <v>260</v>
      </c>
      <c r="D129" s="225">
        <v>9630</v>
      </c>
      <c r="E129" s="80" t="s">
        <v>45</v>
      </c>
      <c r="F129" s="44">
        <v>0</v>
      </c>
      <c r="G129" s="61">
        <v>0</v>
      </c>
      <c r="H129" s="61">
        <v>0</v>
      </c>
      <c r="I129" s="85">
        <v>0</v>
      </c>
      <c r="J129" s="113">
        <v>46109</v>
      </c>
      <c r="K129" s="114" t="s">
        <v>1122</v>
      </c>
      <c r="L129" s="144">
        <v>9630</v>
      </c>
      <c r="M129" s="83" t="s">
        <v>45</v>
      </c>
      <c r="N129" s="116">
        <v>0</v>
      </c>
      <c r="O129" s="147">
        <f t="shared" si="35"/>
        <v>0</v>
      </c>
      <c r="P129" s="147">
        <f t="shared" si="36"/>
        <v>0</v>
      </c>
      <c r="Q129" s="47">
        <f t="shared" si="37"/>
        <v>0</v>
      </c>
      <c r="R129" s="39"/>
      <c r="S129" s="55"/>
      <c r="T129" s="55"/>
      <c r="U129" s="56"/>
      <c r="V129" s="56"/>
    </row>
    <row r="130" spans="1:25" s="226" customFormat="1" ht="27.75" customHeight="1">
      <c r="A130" s="94">
        <v>7</v>
      </c>
      <c r="B130" s="265" t="s">
        <v>261</v>
      </c>
      <c r="C130" s="224" t="s">
        <v>262</v>
      </c>
      <c r="D130" s="225">
        <v>6420</v>
      </c>
      <c r="E130" s="80" t="s">
        <v>45</v>
      </c>
      <c r="F130" s="44">
        <v>0</v>
      </c>
      <c r="G130" s="61">
        <v>0</v>
      </c>
      <c r="H130" s="61">
        <v>0</v>
      </c>
      <c r="I130" s="85">
        <v>0</v>
      </c>
      <c r="J130" s="113">
        <v>46084</v>
      </c>
      <c r="K130" s="114" t="s">
        <v>1123</v>
      </c>
      <c r="L130" s="144">
        <v>6420</v>
      </c>
      <c r="M130" s="83" t="s">
        <v>45</v>
      </c>
      <c r="N130" s="116">
        <v>0</v>
      </c>
      <c r="O130" s="147">
        <f t="shared" si="35"/>
        <v>0</v>
      </c>
      <c r="P130" s="147">
        <f t="shared" si="36"/>
        <v>0</v>
      </c>
      <c r="Q130" s="47">
        <f t="shared" si="37"/>
        <v>0</v>
      </c>
      <c r="R130" s="39"/>
      <c r="S130" s="55"/>
      <c r="T130" s="55"/>
      <c r="U130" s="56"/>
      <c r="V130" s="56"/>
    </row>
    <row r="131" spans="1:25" s="226" customFormat="1" ht="27.75" customHeight="1">
      <c r="A131" s="94">
        <v>8</v>
      </c>
      <c r="B131" s="266" t="s">
        <v>264</v>
      </c>
      <c r="C131" s="224" t="s">
        <v>199</v>
      </c>
      <c r="D131" s="225">
        <v>6420</v>
      </c>
      <c r="E131" s="80" t="s">
        <v>45</v>
      </c>
      <c r="F131" s="44">
        <v>0</v>
      </c>
      <c r="G131" s="61">
        <v>0</v>
      </c>
      <c r="H131" s="61">
        <v>0</v>
      </c>
      <c r="I131" s="85">
        <v>0</v>
      </c>
      <c r="J131" s="113">
        <v>46111</v>
      </c>
      <c r="K131" s="114" t="s">
        <v>1124</v>
      </c>
      <c r="L131" s="144">
        <v>6420</v>
      </c>
      <c r="M131" s="83" t="s">
        <v>45</v>
      </c>
      <c r="N131" s="116">
        <v>0</v>
      </c>
      <c r="O131" s="147">
        <f t="shared" si="35"/>
        <v>0</v>
      </c>
      <c r="P131" s="147">
        <f t="shared" si="36"/>
        <v>0</v>
      </c>
      <c r="Q131" s="47">
        <f t="shared" si="37"/>
        <v>0</v>
      </c>
      <c r="R131" s="39"/>
      <c r="S131" s="55"/>
      <c r="T131" s="55"/>
      <c r="U131" s="56"/>
      <c r="V131" s="56"/>
      <c r="Y131" s="226" t="s">
        <v>266</v>
      </c>
    </row>
    <row r="132" spans="1:25" s="226" customFormat="1" ht="27.75" customHeight="1">
      <c r="A132" s="94">
        <v>9</v>
      </c>
      <c r="B132" s="81" t="s">
        <v>267</v>
      </c>
      <c r="C132" s="224" t="s">
        <v>268</v>
      </c>
      <c r="D132" s="267">
        <v>6420</v>
      </c>
      <c r="E132" s="81" t="s">
        <v>823</v>
      </c>
      <c r="F132" s="116">
        <v>0.93457943925233578</v>
      </c>
      <c r="G132" s="147">
        <v>6000</v>
      </c>
      <c r="H132" s="147">
        <v>420</v>
      </c>
      <c r="I132" s="47">
        <v>6420</v>
      </c>
      <c r="J132" s="113">
        <v>46086</v>
      </c>
      <c r="K132" s="114" t="s">
        <v>1125</v>
      </c>
      <c r="L132" s="144">
        <v>6420</v>
      </c>
      <c r="M132" s="83" t="s">
        <v>952</v>
      </c>
      <c r="N132" s="116">
        <v>0.93457943925233578</v>
      </c>
      <c r="O132" s="147">
        <f t="shared" si="35"/>
        <v>6000</v>
      </c>
      <c r="P132" s="147">
        <f t="shared" si="36"/>
        <v>420</v>
      </c>
      <c r="Q132" s="47">
        <f t="shared" si="37"/>
        <v>6420</v>
      </c>
      <c r="R132" s="39"/>
      <c r="S132" s="55"/>
      <c r="T132" s="55"/>
      <c r="U132" s="56"/>
      <c r="V132" s="56"/>
      <c r="Y132" s="226" t="s">
        <v>269</v>
      </c>
    </row>
    <row r="133" spans="1:25" s="226" customFormat="1" ht="27.75" customHeight="1">
      <c r="A133" s="94">
        <v>10</v>
      </c>
      <c r="B133" s="81" t="s">
        <v>201</v>
      </c>
      <c r="C133" s="224" t="s">
        <v>205</v>
      </c>
      <c r="D133" s="225"/>
      <c r="E133" s="81" t="s">
        <v>45</v>
      </c>
      <c r="F133" s="116">
        <v>0</v>
      </c>
      <c r="G133" s="147">
        <v>0</v>
      </c>
      <c r="H133" s="147">
        <v>0</v>
      </c>
      <c r="I133" s="85">
        <v>0</v>
      </c>
      <c r="J133" s="113"/>
      <c r="K133" s="114"/>
      <c r="L133" s="144">
        <v>0</v>
      </c>
      <c r="M133" s="83" t="s">
        <v>45</v>
      </c>
      <c r="N133" s="116">
        <v>0</v>
      </c>
      <c r="O133" s="147">
        <f t="shared" si="35"/>
        <v>0</v>
      </c>
      <c r="P133" s="147">
        <f t="shared" si="36"/>
        <v>0</v>
      </c>
      <c r="Q133" s="47">
        <f t="shared" si="37"/>
        <v>0</v>
      </c>
      <c r="R133" s="39"/>
      <c r="S133" s="55"/>
      <c r="T133" s="55"/>
      <c r="U133" s="56"/>
      <c r="V133" s="56"/>
    </row>
    <row r="134" spans="1:25" s="226" customFormat="1" ht="27.75" customHeight="1">
      <c r="A134" s="94">
        <v>11</v>
      </c>
      <c r="B134" s="81" t="s">
        <v>156</v>
      </c>
      <c r="C134" s="224" t="s">
        <v>207</v>
      </c>
      <c r="D134" s="225">
        <v>6420</v>
      </c>
      <c r="E134" s="80" t="s">
        <v>45</v>
      </c>
      <c r="F134" s="44">
        <v>0</v>
      </c>
      <c r="G134" s="61">
        <v>0</v>
      </c>
      <c r="H134" s="61">
        <v>0</v>
      </c>
      <c r="I134" s="85">
        <v>0</v>
      </c>
      <c r="J134" s="113">
        <v>46084</v>
      </c>
      <c r="K134" s="114" t="s">
        <v>1126</v>
      </c>
      <c r="L134" s="144">
        <v>6420</v>
      </c>
      <c r="M134" s="83" t="s">
        <v>45</v>
      </c>
      <c r="N134" s="116">
        <v>0</v>
      </c>
      <c r="O134" s="147">
        <f t="shared" si="35"/>
        <v>0</v>
      </c>
      <c r="P134" s="147">
        <f t="shared" si="36"/>
        <v>0</v>
      </c>
      <c r="Q134" s="47">
        <f t="shared" si="37"/>
        <v>0</v>
      </c>
      <c r="R134" s="39"/>
      <c r="S134" s="55"/>
      <c r="T134" s="55"/>
      <c r="U134" s="56"/>
      <c r="V134" s="56"/>
    </row>
    <row r="135" spans="1:25" s="226" customFormat="1" ht="27.75" customHeight="1">
      <c r="A135" s="94">
        <v>12</v>
      </c>
      <c r="B135" s="41" t="s">
        <v>271</v>
      </c>
      <c r="C135" s="224" t="s">
        <v>208</v>
      </c>
      <c r="D135" s="225">
        <v>6420</v>
      </c>
      <c r="E135" s="80" t="s">
        <v>45</v>
      </c>
      <c r="F135" s="44">
        <v>0</v>
      </c>
      <c r="G135" s="61">
        <v>0</v>
      </c>
      <c r="H135" s="61">
        <v>0</v>
      </c>
      <c r="I135" s="85">
        <v>0</v>
      </c>
      <c r="J135" s="113">
        <v>46112</v>
      </c>
      <c r="K135" s="268" t="s">
        <v>1127</v>
      </c>
      <c r="L135" s="269">
        <v>6420</v>
      </c>
      <c r="M135" s="83" t="s">
        <v>45</v>
      </c>
      <c r="N135" s="116">
        <v>0</v>
      </c>
      <c r="O135" s="147">
        <f>+(D135*100/107)+G135-(L135*100/107)</f>
        <v>0</v>
      </c>
      <c r="P135" s="147">
        <f>ROUND((O135*0.07),2)</f>
        <v>0</v>
      </c>
      <c r="Q135" s="47">
        <f t="shared" si="37"/>
        <v>0</v>
      </c>
      <c r="R135" s="39"/>
      <c r="S135" s="55"/>
      <c r="T135" s="55"/>
      <c r="U135" s="56"/>
      <c r="V135" s="56"/>
    </row>
    <row r="136" spans="1:25" s="226" customFormat="1" ht="27.75" customHeight="1">
      <c r="A136" s="94">
        <v>13</v>
      </c>
      <c r="B136" s="41" t="s">
        <v>273</v>
      </c>
      <c r="C136" s="224" t="s">
        <v>209</v>
      </c>
      <c r="D136" s="225">
        <v>6420</v>
      </c>
      <c r="E136" s="80" t="s">
        <v>45</v>
      </c>
      <c r="F136" s="44">
        <v>0</v>
      </c>
      <c r="G136" s="61">
        <v>0</v>
      </c>
      <c r="H136" s="61">
        <v>0</v>
      </c>
      <c r="I136" s="85">
        <v>0</v>
      </c>
      <c r="J136" s="113">
        <v>46089</v>
      </c>
      <c r="K136" s="114" t="s">
        <v>1128</v>
      </c>
      <c r="L136" s="144">
        <v>6420</v>
      </c>
      <c r="M136" s="83" t="s">
        <v>45</v>
      </c>
      <c r="N136" s="116">
        <v>0</v>
      </c>
      <c r="O136" s="147">
        <f>+(D136*100/107)+G136-(L136*100/107)</f>
        <v>0</v>
      </c>
      <c r="P136" s="147">
        <f>ROUND((O136*0.07),2)</f>
        <v>0</v>
      </c>
      <c r="Q136" s="47">
        <f>+O136+P136</f>
        <v>0</v>
      </c>
      <c r="R136" s="39"/>
      <c r="S136" s="55"/>
      <c r="T136" s="55"/>
      <c r="U136" s="56"/>
      <c r="V136" s="56"/>
    </row>
    <row r="137" spans="1:25" s="226" customFormat="1" ht="27.75" customHeight="1">
      <c r="A137" s="94">
        <v>14</v>
      </c>
      <c r="B137" s="41" t="s">
        <v>275</v>
      </c>
      <c r="C137" s="224" t="s">
        <v>276</v>
      </c>
      <c r="D137" s="225">
        <v>6420</v>
      </c>
      <c r="E137" s="80" t="s">
        <v>45</v>
      </c>
      <c r="F137" s="44">
        <v>0</v>
      </c>
      <c r="G137" s="61">
        <v>0</v>
      </c>
      <c r="H137" s="61">
        <v>0</v>
      </c>
      <c r="I137" s="85">
        <v>0</v>
      </c>
      <c r="J137" s="113">
        <v>46111</v>
      </c>
      <c r="K137" s="114" t="s">
        <v>1129</v>
      </c>
      <c r="L137" s="144">
        <v>6420</v>
      </c>
      <c r="M137" s="87" t="s">
        <v>45</v>
      </c>
      <c r="N137" s="116">
        <v>0</v>
      </c>
      <c r="O137" s="147">
        <f>+(D137*100/107)+G137-(L137*100/107)</f>
        <v>0</v>
      </c>
      <c r="P137" s="147">
        <f>ROUND((O137*0.07),2)</f>
        <v>0</v>
      </c>
      <c r="Q137" s="47">
        <f>+O137+P137</f>
        <v>0</v>
      </c>
      <c r="R137" s="39"/>
      <c r="S137" s="55"/>
      <c r="T137" s="55"/>
      <c r="U137" s="56"/>
      <c r="V137" s="56"/>
    </row>
    <row r="138" spans="1:25" ht="27.75" customHeight="1" thickBot="1">
      <c r="A138" s="22"/>
      <c r="B138" s="194" t="s">
        <v>22</v>
      </c>
      <c r="C138" s="195"/>
      <c r="D138" s="196">
        <f>SUM(D124:D137)</f>
        <v>86670</v>
      </c>
      <c r="E138" s="196"/>
      <c r="F138" s="197"/>
      <c r="G138" s="196">
        <f>SUM(G124:G137)</f>
        <v>30000</v>
      </c>
      <c r="H138" s="196">
        <f>SUM(H124:H137)</f>
        <v>2100</v>
      </c>
      <c r="I138" s="196">
        <f>SUM(I124:I137)</f>
        <v>32100</v>
      </c>
      <c r="J138" s="199"/>
      <c r="K138" s="199"/>
      <c r="L138" s="196">
        <f>SUM(L124:L137)</f>
        <v>96300</v>
      </c>
      <c r="M138" s="200"/>
      <c r="N138" s="196"/>
      <c r="O138" s="196">
        <f>SUM(O124:O137)</f>
        <v>21000</v>
      </c>
      <c r="P138" s="196">
        <f>SUM(P124:P137)</f>
        <v>1470</v>
      </c>
      <c r="Q138" s="196">
        <f t="shared" ref="Q138" si="38">SUM(Q124:Q137)</f>
        <v>22470</v>
      </c>
      <c r="R138" s="36"/>
      <c r="S138" s="37"/>
      <c r="T138" s="37"/>
      <c r="U138" s="38"/>
      <c r="V138" s="38"/>
      <c r="W138" s="38"/>
    </row>
    <row r="139" spans="1:25" ht="27.75" hidden="1" customHeight="1" thickBot="1">
      <c r="A139" s="22"/>
      <c r="B139" s="23" t="s">
        <v>278</v>
      </c>
      <c r="C139" s="24"/>
      <c r="D139" s="25"/>
      <c r="E139" s="26"/>
      <c r="F139" s="27"/>
      <c r="G139" s="28"/>
      <c r="H139" s="28"/>
      <c r="I139" s="28"/>
      <c r="J139" s="29"/>
      <c r="K139" s="30"/>
      <c r="L139" s="31"/>
      <c r="M139" s="32"/>
      <c r="N139" s="33"/>
      <c r="O139" s="34"/>
      <c r="P139" s="34"/>
      <c r="Q139" s="35"/>
      <c r="R139" s="36"/>
      <c r="S139" s="37"/>
      <c r="T139" s="37"/>
      <c r="U139" s="38"/>
      <c r="V139" s="38"/>
      <c r="W139" s="38"/>
    </row>
    <row r="140" spans="1:25" ht="27.75" hidden="1" customHeight="1" thickTop="1">
      <c r="A140" s="22">
        <v>1</v>
      </c>
      <c r="B140" s="270" t="s">
        <v>88</v>
      </c>
      <c r="C140" s="271" t="s">
        <v>279</v>
      </c>
      <c r="D140" s="272"/>
      <c r="E140" s="273"/>
      <c r="F140" s="274"/>
      <c r="G140" s="65">
        <v>0</v>
      </c>
      <c r="H140" s="45">
        <v>0</v>
      </c>
      <c r="I140" s="61">
        <v>0</v>
      </c>
      <c r="J140" s="275"/>
      <c r="K140" s="276"/>
      <c r="L140" s="277"/>
      <c r="M140" s="232"/>
      <c r="N140" s="251"/>
      <c r="O140" s="233">
        <f t="shared" ref="O140:O150" si="39">+(D140*100/107)+G140-(L140*100/107)</f>
        <v>0</v>
      </c>
      <c r="P140" s="233">
        <f t="shared" ref="P140:P150" si="40">ROUND((O140*0.07),2)</f>
        <v>0</v>
      </c>
      <c r="Q140" s="66">
        <f t="shared" ref="Q140:Q150" si="41">+O140+P140</f>
        <v>0</v>
      </c>
      <c r="R140" s="278"/>
      <c r="S140" s="279"/>
      <c r="T140" s="37"/>
      <c r="U140" s="38"/>
      <c r="V140" s="38"/>
      <c r="W140" s="38"/>
    </row>
    <row r="141" spans="1:25" ht="27.75" hidden="1" customHeight="1" thickTop="1">
      <c r="A141" s="22">
        <v>2</v>
      </c>
      <c r="B141" s="280" t="s">
        <v>89</v>
      </c>
      <c r="C141" s="271" t="s">
        <v>279</v>
      </c>
      <c r="D141" s="272"/>
      <c r="E141" s="201"/>
      <c r="F141" s="281"/>
      <c r="G141" s="61">
        <v>0</v>
      </c>
      <c r="H141" s="45">
        <v>0</v>
      </c>
      <c r="I141" s="61">
        <v>0</v>
      </c>
      <c r="J141" s="175"/>
      <c r="K141" s="282"/>
      <c r="L141" s="222"/>
      <c r="M141" s="94"/>
      <c r="N141" s="39"/>
      <c r="O141" s="233">
        <f t="shared" si="39"/>
        <v>0</v>
      </c>
      <c r="P141" s="233">
        <f t="shared" si="40"/>
        <v>0</v>
      </c>
      <c r="Q141" s="66">
        <f t="shared" si="41"/>
        <v>0</v>
      </c>
      <c r="R141" s="278"/>
      <c r="S141" s="279"/>
      <c r="T141" s="37"/>
      <c r="U141" s="38"/>
      <c r="V141" s="38"/>
      <c r="W141" s="38"/>
    </row>
    <row r="142" spans="1:25" ht="27.75" hidden="1" customHeight="1" thickTop="1">
      <c r="A142" s="22">
        <v>3</v>
      </c>
      <c r="B142" s="270" t="s">
        <v>280</v>
      </c>
      <c r="C142" s="271" t="s">
        <v>279</v>
      </c>
      <c r="D142" s="272"/>
      <c r="E142" s="201"/>
      <c r="F142" s="281"/>
      <c r="G142" s="61">
        <v>0</v>
      </c>
      <c r="H142" s="45">
        <v>0</v>
      </c>
      <c r="I142" s="61">
        <v>0</v>
      </c>
      <c r="J142" s="175"/>
      <c r="K142" s="282"/>
      <c r="L142" s="222"/>
      <c r="M142" s="94"/>
      <c r="N142" s="39"/>
      <c r="O142" s="233">
        <f t="shared" si="39"/>
        <v>0</v>
      </c>
      <c r="P142" s="233">
        <f t="shared" si="40"/>
        <v>0</v>
      </c>
      <c r="Q142" s="66">
        <f t="shared" si="41"/>
        <v>0</v>
      </c>
      <c r="R142" s="278"/>
      <c r="S142" s="279"/>
      <c r="T142" s="37"/>
      <c r="U142" s="38"/>
      <c r="V142" s="38"/>
      <c r="W142" s="38"/>
    </row>
    <row r="143" spans="1:25" ht="27.75" hidden="1" customHeight="1" thickTop="1">
      <c r="A143" s="22">
        <v>4</v>
      </c>
      <c r="B143" s="280" t="s">
        <v>96</v>
      </c>
      <c r="C143" s="271" t="s">
        <v>279</v>
      </c>
      <c r="D143" s="272"/>
      <c r="E143" s="201"/>
      <c r="F143" s="281"/>
      <c r="G143" s="61">
        <v>0</v>
      </c>
      <c r="H143" s="45">
        <v>0</v>
      </c>
      <c r="I143" s="61">
        <v>0</v>
      </c>
      <c r="J143" s="175"/>
      <c r="K143" s="282"/>
      <c r="L143" s="222"/>
      <c r="M143" s="94"/>
      <c r="N143" s="39"/>
      <c r="O143" s="233">
        <f t="shared" si="39"/>
        <v>0</v>
      </c>
      <c r="P143" s="233">
        <f t="shared" si="40"/>
        <v>0</v>
      </c>
      <c r="Q143" s="66">
        <f t="shared" si="41"/>
        <v>0</v>
      </c>
      <c r="R143" s="283"/>
      <c r="S143" s="55"/>
      <c r="T143" s="37"/>
      <c r="U143" s="38"/>
      <c r="V143" s="38"/>
      <c r="W143" s="38"/>
    </row>
    <row r="144" spans="1:25" ht="27.75" hidden="1" customHeight="1" thickTop="1">
      <c r="A144" s="22">
        <v>5</v>
      </c>
      <c r="B144" s="280" t="s">
        <v>281</v>
      </c>
      <c r="C144" s="271" t="s">
        <v>279</v>
      </c>
      <c r="D144" s="272">
        <v>0</v>
      </c>
      <c r="E144" s="201"/>
      <c r="F144" s="281"/>
      <c r="G144" s="61">
        <v>0</v>
      </c>
      <c r="H144" s="45">
        <v>0</v>
      </c>
      <c r="I144" s="61">
        <v>0</v>
      </c>
      <c r="J144" s="175"/>
      <c r="K144" s="282"/>
      <c r="L144" s="222"/>
      <c r="M144" s="94"/>
      <c r="N144" s="39"/>
      <c r="O144" s="233">
        <f t="shared" si="39"/>
        <v>0</v>
      </c>
      <c r="P144" s="233">
        <f t="shared" si="40"/>
        <v>0</v>
      </c>
      <c r="Q144" s="66">
        <f t="shared" si="41"/>
        <v>0</v>
      </c>
      <c r="R144" s="283"/>
      <c r="S144" s="55"/>
      <c r="T144" s="37"/>
      <c r="U144" s="38"/>
      <c r="V144" s="38"/>
      <c r="W144" s="38"/>
    </row>
    <row r="145" spans="1:24" ht="27.75" hidden="1" customHeight="1" thickTop="1">
      <c r="A145" s="22">
        <v>6</v>
      </c>
      <c r="B145" s="280" t="s">
        <v>282</v>
      </c>
      <c r="C145" s="271" t="s">
        <v>279</v>
      </c>
      <c r="D145" s="272"/>
      <c r="E145" s="201"/>
      <c r="F145" s="281"/>
      <c r="G145" s="61">
        <v>0</v>
      </c>
      <c r="H145" s="45">
        <v>0</v>
      </c>
      <c r="I145" s="61">
        <v>0</v>
      </c>
      <c r="J145" s="175"/>
      <c r="K145" s="282"/>
      <c r="L145" s="222"/>
      <c r="M145" s="94"/>
      <c r="N145" s="39"/>
      <c r="O145" s="233">
        <f t="shared" si="39"/>
        <v>0</v>
      </c>
      <c r="P145" s="233">
        <f t="shared" si="40"/>
        <v>0</v>
      </c>
      <c r="Q145" s="66">
        <f t="shared" si="41"/>
        <v>0</v>
      </c>
      <c r="R145" s="283"/>
      <c r="S145" s="37"/>
      <c r="T145" s="37"/>
      <c r="U145" s="38"/>
      <c r="V145" s="38"/>
      <c r="W145" s="38"/>
    </row>
    <row r="146" spans="1:24" ht="27.75" hidden="1" customHeight="1" thickTop="1">
      <c r="A146" s="22">
        <v>7</v>
      </c>
      <c r="B146" s="280" t="s">
        <v>92</v>
      </c>
      <c r="C146" s="271" t="s">
        <v>279</v>
      </c>
      <c r="D146" s="272"/>
      <c r="E146" s="201"/>
      <c r="F146" s="281"/>
      <c r="G146" s="61">
        <v>0</v>
      </c>
      <c r="H146" s="45">
        <v>0</v>
      </c>
      <c r="I146" s="61">
        <v>0</v>
      </c>
      <c r="J146" s="175"/>
      <c r="K146" s="282"/>
      <c r="L146" s="222"/>
      <c r="M146" s="94"/>
      <c r="N146" s="39"/>
      <c r="O146" s="233">
        <f t="shared" si="39"/>
        <v>0</v>
      </c>
      <c r="P146" s="233">
        <f t="shared" si="40"/>
        <v>0</v>
      </c>
      <c r="Q146" s="66">
        <f t="shared" si="41"/>
        <v>0</v>
      </c>
      <c r="R146" s="283"/>
      <c r="S146" s="37"/>
      <c r="T146" s="37"/>
      <c r="U146" s="38"/>
      <c r="V146" s="38"/>
      <c r="W146" s="38"/>
    </row>
    <row r="147" spans="1:24" ht="27.75" hidden="1" customHeight="1" thickTop="1">
      <c r="A147" s="22">
        <v>8</v>
      </c>
      <c r="B147" s="280" t="s">
        <v>91</v>
      </c>
      <c r="C147" s="271" t="s">
        <v>279</v>
      </c>
      <c r="D147" s="284"/>
      <c r="E147" s="201"/>
      <c r="F147" s="281"/>
      <c r="G147" s="61">
        <v>0</v>
      </c>
      <c r="H147" s="45">
        <v>0</v>
      </c>
      <c r="I147" s="61">
        <v>0</v>
      </c>
      <c r="J147" s="175"/>
      <c r="K147" s="282"/>
      <c r="L147" s="222"/>
      <c r="M147" s="94"/>
      <c r="N147" s="39"/>
      <c r="O147" s="233">
        <f t="shared" si="39"/>
        <v>0</v>
      </c>
      <c r="P147" s="233">
        <f t="shared" si="40"/>
        <v>0</v>
      </c>
      <c r="Q147" s="66">
        <f t="shared" si="41"/>
        <v>0</v>
      </c>
      <c r="R147" s="283"/>
      <c r="S147" s="37"/>
      <c r="T147" s="37"/>
      <c r="U147" s="38"/>
      <c r="V147" s="38"/>
      <c r="W147" s="38"/>
    </row>
    <row r="148" spans="1:24" ht="27.75" hidden="1" customHeight="1" thickTop="1">
      <c r="A148" s="22">
        <v>9</v>
      </c>
      <c r="B148" s="280" t="s">
        <v>236</v>
      </c>
      <c r="C148" s="271" t="s">
        <v>279</v>
      </c>
      <c r="D148" s="272">
        <v>0</v>
      </c>
      <c r="E148" s="201"/>
      <c r="F148" s="281"/>
      <c r="G148" s="61">
        <v>0</v>
      </c>
      <c r="H148" s="45">
        <v>0</v>
      </c>
      <c r="I148" s="61">
        <v>0</v>
      </c>
      <c r="J148" s="175"/>
      <c r="K148" s="282"/>
      <c r="L148" s="222"/>
      <c r="M148" s="94"/>
      <c r="N148" s="39"/>
      <c r="O148" s="233">
        <f t="shared" si="39"/>
        <v>0</v>
      </c>
      <c r="P148" s="233">
        <f t="shared" si="40"/>
        <v>0</v>
      </c>
      <c r="Q148" s="66">
        <f t="shared" si="41"/>
        <v>0</v>
      </c>
      <c r="R148" s="283"/>
      <c r="S148" s="37"/>
      <c r="T148" s="37"/>
      <c r="U148" s="38"/>
      <c r="V148" s="38"/>
      <c r="W148" s="38"/>
    </row>
    <row r="149" spans="1:24" ht="27.75" hidden="1" customHeight="1" thickTop="1">
      <c r="A149" s="22">
        <v>10</v>
      </c>
      <c r="B149" s="280" t="s">
        <v>94</v>
      </c>
      <c r="C149" s="280" t="s">
        <v>279</v>
      </c>
      <c r="D149" s="284"/>
      <c r="E149" s="201"/>
      <c r="F149" s="281"/>
      <c r="G149" s="61">
        <v>0</v>
      </c>
      <c r="H149" s="45">
        <v>0</v>
      </c>
      <c r="I149" s="61">
        <v>0</v>
      </c>
      <c r="J149" s="175"/>
      <c r="K149" s="282"/>
      <c r="L149" s="222"/>
      <c r="M149" s="94"/>
      <c r="N149" s="39"/>
      <c r="O149" s="233">
        <f t="shared" si="39"/>
        <v>0</v>
      </c>
      <c r="P149" s="233">
        <f t="shared" si="40"/>
        <v>0</v>
      </c>
      <c r="Q149" s="66">
        <f t="shared" si="41"/>
        <v>0</v>
      </c>
      <c r="R149" s="36"/>
      <c r="S149" s="37"/>
      <c r="T149" s="37"/>
      <c r="U149" s="38"/>
      <c r="V149" s="38"/>
      <c r="W149" s="38"/>
    </row>
    <row r="150" spans="1:24" ht="27.75" hidden="1" customHeight="1" thickTop="1">
      <c r="A150" s="22">
        <v>11</v>
      </c>
      <c r="B150" s="270"/>
      <c r="C150" s="285"/>
      <c r="D150" s="286"/>
      <c r="E150" s="273"/>
      <c r="F150" s="274"/>
      <c r="G150" s="65">
        <v>0</v>
      </c>
      <c r="H150" s="45">
        <v>0</v>
      </c>
      <c r="I150" s="61">
        <v>0</v>
      </c>
      <c r="J150" s="275"/>
      <c r="K150" s="276"/>
      <c r="L150" s="277"/>
      <c r="M150" s="232"/>
      <c r="N150" s="251"/>
      <c r="O150" s="233">
        <f t="shared" si="39"/>
        <v>0</v>
      </c>
      <c r="P150" s="233">
        <f t="shared" si="40"/>
        <v>0</v>
      </c>
      <c r="Q150" s="66">
        <f t="shared" si="41"/>
        <v>0</v>
      </c>
      <c r="R150" s="36"/>
      <c r="S150" s="37"/>
      <c r="T150" s="37"/>
      <c r="U150" s="38"/>
      <c r="V150" s="38"/>
      <c r="W150" s="38"/>
    </row>
    <row r="151" spans="1:24" ht="27.75" hidden="1" customHeight="1" thickTop="1">
      <c r="A151" s="22"/>
      <c r="B151" s="131" t="s">
        <v>22</v>
      </c>
      <c r="C151" s="132"/>
      <c r="D151" s="133">
        <f>SUM(D140:D150)</f>
        <v>0</v>
      </c>
      <c r="E151" s="134"/>
      <c r="F151" s="135"/>
      <c r="G151" s="136">
        <f>SUM(G140:G150)</f>
        <v>0</v>
      </c>
      <c r="H151" s="136">
        <f t="shared" ref="H151:I151" si="42">SUM(H140:H150)</f>
        <v>0</v>
      </c>
      <c r="I151" s="136">
        <f t="shared" si="42"/>
        <v>0</v>
      </c>
      <c r="J151" s="287"/>
      <c r="K151" s="137"/>
      <c r="L151" s="138">
        <f>SUM(L144:L150)</f>
        <v>0</v>
      </c>
      <c r="M151" s="139"/>
      <c r="N151" s="133"/>
      <c r="O151" s="136">
        <f>SUM(O140:O150)</f>
        <v>0</v>
      </c>
      <c r="P151" s="136">
        <f t="shared" ref="P151:Q151" si="43">SUM(P140:P150)</f>
        <v>0</v>
      </c>
      <c r="Q151" s="136">
        <f t="shared" si="43"/>
        <v>0</v>
      </c>
      <c r="R151" s="36"/>
      <c r="S151" s="37"/>
      <c r="T151" s="37"/>
      <c r="U151" s="38"/>
      <c r="V151" s="38"/>
      <c r="W151" s="38"/>
    </row>
    <row r="152" spans="1:24" ht="27.75" customHeight="1" thickTop="1">
      <c r="A152" s="22"/>
      <c r="B152" s="288" t="s">
        <v>283</v>
      </c>
      <c r="C152" s="289"/>
      <c r="D152" s="272"/>
      <c r="E152" s="201"/>
      <c r="F152" s="281"/>
      <c r="G152" s="290"/>
      <c r="H152" s="290"/>
      <c r="I152" s="290"/>
      <c r="J152" s="291"/>
      <c r="K152" s="292"/>
      <c r="L152" s="222"/>
      <c r="M152" s="94"/>
      <c r="N152" s="39"/>
      <c r="O152" s="293"/>
      <c r="P152" s="293"/>
      <c r="Q152" s="294"/>
      <c r="R152" s="36"/>
      <c r="S152" s="37"/>
      <c r="T152" s="37"/>
      <c r="U152" s="38"/>
      <c r="V152" s="38"/>
      <c r="W152" s="295"/>
    </row>
    <row r="153" spans="1:24" ht="27.75" customHeight="1">
      <c r="A153" s="94">
        <v>1</v>
      </c>
      <c r="B153" s="205" t="s">
        <v>192</v>
      </c>
      <c r="C153" s="206" t="s">
        <v>284</v>
      </c>
      <c r="D153" s="296">
        <v>66660</v>
      </c>
      <c r="E153" s="64"/>
      <c r="F153" s="44"/>
      <c r="G153" s="45">
        <v>0</v>
      </c>
      <c r="H153" s="45">
        <v>0</v>
      </c>
      <c r="I153" s="66">
        <v>0</v>
      </c>
      <c r="J153" s="183">
        <v>46086</v>
      </c>
      <c r="K153" s="184" t="s">
        <v>1130</v>
      </c>
      <c r="L153" s="231">
        <v>66660</v>
      </c>
      <c r="M153" s="186"/>
      <c r="N153" s="116">
        <v>0</v>
      </c>
      <c r="O153" s="233">
        <f>SUM(D153+G153-L153)</f>
        <v>0</v>
      </c>
      <c r="P153" s="233">
        <v>0</v>
      </c>
      <c r="Q153" s="66">
        <f>SUM(D153+I153-L153)</f>
        <v>0</v>
      </c>
      <c r="R153" s="297" t="s">
        <v>287</v>
      </c>
      <c r="S153" s="298">
        <v>44682</v>
      </c>
      <c r="T153" s="299">
        <v>45565</v>
      </c>
      <c r="U153" s="56">
        <v>347760</v>
      </c>
      <c r="V153" s="56" t="s">
        <v>288</v>
      </c>
      <c r="W153" s="295" t="s">
        <v>289</v>
      </c>
      <c r="X153" s="4" t="s">
        <v>290</v>
      </c>
    </row>
    <row r="154" spans="1:24" ht="27.75" customHeight="1">
      <c r="A154" s="83"/>
      <c r="B154" s="208" t="s">
        <v>291</v>
      </c>
      <c r="C154" s="209"/>
      <c r="D154" s="300"/>
      <c r="E154" s="211"/>
      <c r="F154" s="212"/>
      <c r="G154" s="213"/>
      <c r="H154" s="213"/>
      <c r="I154" s="214"/>
      <c r="J154" s="301"/>
      <c r="K154" s="302"/>
      <c r="L154" s="303"/>
      <c r="M154" s="304"/>
      <c r="N154" s="217"/>
      <c r="O154" s="305"/>
      <c r="P154" s="305"/>
      <c r="Q154" s="214"/>
      <c r="R154" s="306"/>
      <c r="S154" s="307"/>
      <c r="T154" s="37"/>
      <c r="U154" s="38"/>
      <c r="V154" s="38"/>
    </row>
    <row r="155" spans="1:24" ht="27.75" customHeight="1" thickBot="1">
      <c r="A155" s="193"/>
      <c r="B155" s="308" t="s">
        <v>22</v>
      </c>
      <c r="C155" s="309"/>
      <c r="D155" s="310">
        <f>SUM(D153:D154)</f>
        <v>66660</v>
      </c>
      <c r="E155" s="311"/>
      <c r="F155" s="312"/>
      <c r="G155" s="313">
        <f>SUM(G153:G154)</f>
        <v>0</v>
      </c>
      <c r="H155" s="313">
        <v>0</v>
      </c>
      <c r="I155" s="313">
        <f>SUM(I153)</f>
        <v>0</v>
      </c>
      <c r="J155" s="314"/>
      <c r="K155" s="314"/>
      <c r="L155" s="310">
        <f>SUM(L153:L154)</f>
        <v>66660</v>
      </c>
      <c r="M155" s="315"/>
      <c r="N155" s="310"/>
      <c r="O155" s="198">
        <f>SUM(O153:O154)-O153</f>
        <v>0</v>
      </c>
      <c r="P155" s="198">
        <f t="shared" ref="P155:Q155" si="44">SUM(P153:P154)-P153</f>
        <v>0</v>
      </c>
      <c r="Q155" s="198">
        <f t="shared" si="44"/>
        <v>0</v>
      </c>
      <c r="R155" s="36"/>
      <c r="S155" s="37"/>
      <c r="T155" s="37"/>
      <c r="U155" s="38"/>
      <c r="V155" s="38"/>
      <c r="W155" s="38"/>
    </row>
    <row r="156" spans="1:24" ht="27.75" customHeight="1" thickTop="1">
      <c r="A156" s="22"/>
      <c r="B156" s="23" t="s">
        <v>292</v>
      </c>
      <c r="C156" s="24"/>
      <c r="D156" s="25"/>
      <c r="E156" s="26"/>
      <c r="F156" s="27"/>
      <c r="G156" s="28"/>
      <c r="H156" s="28"/>
      <c r="I156" s="28"/>
      <c r="J156" s="29"/>
      <c r="K156" s="30"/>
      <c r="L156" s="31"/>
      <c r="M156" s="32"/>
      <c r="N156" s="33"/>
      <c r="O156" s="34"/>
      <c r="P156" s="34"/>
      <c r="Q156" s="35"/>
      <c r="R156" s="36"/>
      <c r="S156" s="37"/>
      <c r="T156" s="37"/>
      <c r="U156" s="38"/>
      <c r="V156" s="38"/>
      <c r="W156" s="38"/>
    </row>
    <row r="157" spans="1:24" ht="27.75" customHeight="1">
      <c r="A157" s="316">
        <v>1</v>
      </c>
      <c r="B157" s="280" t="s">
        <v>249</v>
      </c>
      <c r="C157" s="280" t="s">
        <v>250</v>
      </c>
      <c r="D157" s="272">
        <v>224.7</v>
      </c>
      <c r="E157" s="201" t="s">
        <v>45</v>
      </c>
      <c r="F157" s="281">
        <v>0</v>
      </c>
      <c r="G157" s="61">
        <v>0</v>
      </c>
      <c r="H157" s="61">
        <v>0</v>
      </c>
      <c r="I157" s="61">
        <v>0</v>
      </c>
      <c r="J157" s="317">
        <v>46111</v>
      </c>
      <c r="K157" s="318" t="s">
        <v>1118</v>
      </c>
      <c r="L157" s="319">
        <v>224.7</v>
      </c>
      <c r="M157" s="320" t="s">
        <v>45</v>
      </c>
      <c r="N157" s="39">
        <v>0</v>
      </c>
      <c r="O157" s="233">
        <v>0</v>
      </c>
      <c r="P157" s="233">
        <v>0</v>
      </c>
      <c r="Q157" s="66">
        <v>0</v>
      </c>
      <c r="R157" s="36"/>
      <c r="S157" s="37"/>
      <c r="T157" s="37"/>
      <c r="U157" s="38"/>
      <c r="V157" s="38"/>
      <c r="W157" s="38"/>
    </row>
    <row r="158" spans="1:24" ht="27.75" customHeight="1">
      <c r="A158" s="316">
        <v>2</v>
      </c>
      <c r="B158" s="280" t="s">
        <v>294</v>
      </c>
      <c r="C158" s="280" t="s">
        <v>255</v>
      </c>
      <c r="D158" s="272">
        <v>32.1</v>
      </c>
      <c r="E158" s="201" t="s">
        <v>823</v>
      </c>
      <c r="F158" s="281">
        <v>1</v>
      </c>
      <c r="G158" s="61">
        <v>30</v>
      </c>
      <c r="H158" s="61">
        <v>2.1</v>
      </c>
      <c r="I158" s="61">
        <v>32.1</v>
      </c>
      <c r="J158" s="321">
        <v>46087</v>
      </c>
      <c r="K158" s="322" t="s">
        <v>1131</v>
      </c>
      <c r="L158" s="323">
        <v>32.1</v>
      </c>
      <c r="M158" s="320" t="s">
        <v>952</v>
      </c>
      <c r="N158" s="39">
        <v>1</v>
      </c>
      <c r="O158" s="233">
        <v>30</v>
      </c>
      <c r="P158" s="233">
        <v>2.1</v>
      </c>
      <c r="Q158" s="66">
        <v>32.1</v>
      </c>
      <c r="R158" s="36"/>
      <c r="S158" s="37"/>
      <c r="T158" s="37"/>
      <c r="U158" s="38"/>
      <c r="V158" s="38"/>
      <c r="W158" s="38"/>
    </row>
    <row r="159" spans="1:24" ht="27.75" customHeight="1">
      <c r="A159" s="316">
        <v>3</v>
      </c>
      <c r="B159" s="270" t="s">
        <v>295</v>
      </c>
      <c r="C159" s="285" t="s">
        <v>255</v>
      </c>
      <c r="D159" s="284">
        <v>0</v>
      </c>
      <c r="E159" s="273" t="s">
        <v>45</v>
      </c>
      <c r="F159" s="274">
        <v>0</v>
      </c>
      <c r="G159" s="61">
        <v>0</v>
      </c>
      <c r="H159" s="61">
        <v>0</v>
      </c>
      <c r="I159" s="61">
        <v>0</v>
      </c>
      <c r="J159" s="321"/>
      <c r="K159" s="322"/>
      <c r="L159" s="323">
        <v>0</v>
      </c>
      <c r="M159" s="320" t="s">
        <v>45</v>
      </c>
      <c r="N159" s="251">
        <v>0</v>
      </c>
      <c r="O159" s="233">
        <v>0</v>
      </c>
      <c r="P159" s="233">
        <v>0</v>
      </c>
      <c r="Q159" s="66">
        <v>0</v>
      </c>
      <c r="R159" s="36"/>
      <c r="S159" s="37"/>
      <c r="T159" s="37"/>
      <c r="U159" s="38"/>
      <c r="V159" s="38"/>
      <c r="W159" s="38"/>
    </row>
    <row r="160" spans="1:24" ht="27.75" customHeight="1">
      <c r="A160" s="22">
        <v>4</v>
      </c>
      <c r="B160" s="270" t="s">
        <v>296</v>
      </c>
      <c r="C160" s="270" t="s">
        <v>262</v>
      </c>
      <c r="D160" s="284">
        <v>0</v>
      </c>
      <c r="E160" s="273" t="s">
        <v>45</v>
      </c>
      <c r="F160" s="274">
        <v>0</v>
      </c>
      <c r="G160" s="65">
        <v>0</v>
      </c>
      <c r="H160" s="65">
        <v>0</v>
      </c>
      <c r="I160" s="65">
        <v>0</v>
      </c>
      <c r="J160" s="324"/>
      <c r="K160" s="325"/>
      <c r="L160" s="326">
        <v>0</v>
      </c>
      <c r="M160" s="327" t="s">
        <v>45</v>
      </c>
      <c r="N160" s="251">
        <v>0</v>
      </c>
      <c r="O160" s="233">
        <v>0</v>
      </c>
      <c r="P160" s="233">
        <v>0</v>
      </c>
      <c r="Q160" s="66">
        <v>0</v>
      </c>
      <c r="R160" s="36"/>
      <c r="S160" s="37"/>
      <c r="T160" s="37"/>
      <c r="U160" s="38"/>
      <c r="V160" s="38"/>
      <c r="W160" s="38"/>
    </row>
    <row r="161" spans="1:24" ht="27.75" customHeight="1">
      <c r="A161" s="22">
        <v>5</v>
      </c>
      <c r="B161" s="270" t="s">
        <v>298</v>
      </c>
      <c r="C161" s="270" t="s">
        <v>199</v>
      </c>
      <c r="D161" s="284">
        <v>53.5</v>
      </c>
      <c r="E161" s="273" t="s">
        <v>45</v>
      </c>
      <c r="F161" s="274">
        <v>0</v>
      </c>
      <c r="G161" s="65">
        <v>0</v>
      </c>
      <c r="H161" s="65">
        <v>0</v>
      </c>
      <c r="I161" s="65">
        <v>0</v>
      </c>
      <c r="J161" s="328">
        <v>46111</v>
      </c>
      <c r="K161" s="329" t="s">
        <v>1132</v>
      </c>
      <c r="L161" s="330">
        <v>53.5</v>
      </c>
      <c r="M161" s="327" t="s">
        <v>45</v>
      </c>
      <c r="N161" s="251">
        <v>0</v>
      </c>
      <c r="O161" s="233">
        <v>0</v>
      </c>
      <c r="P161" s="233">
        <v>0</v>
      </c>
      <c r="Q161" s="66">
        <v>0</v>
      </c>
      <c r="R161" s="36"/>
      <c r="S161" s="37"/>
      <c r="T161" s="37"/>
      <c r="U161" s="38"/>
      <c r="V161" s="38"/>
      <c r="W161" s="38"/>
    </row>
    <row r="162" spans="1:24" ht="27.75" customHeight="1">
      <c r="A162" s="22">
        <v>6</v>
      </c>
      <c r="B162" s="270" t="s">
        <v>156</v>
      </c>
      <c r="C162" s="270" t="s">
        <v>208</v>
      </c>
      <c r="D162" s="284">
        <v>107</v>
      </c>
      <c r="E162" s="273" t="s">
        <v>45</v>
      </c>
      <c r="F162" s="274">
        <v>0</v>
      </c>
      <c r="G162" s="65">
        <v>0</v>
      </c>
      <c r="H162" s="65">
        <v>0</v>
      </c>
      <c r="I162" s="65">
        <v>0</v>
      </c>
      <c r="J162" s="328">
        <v>46084</v>
      </c>
      <c r="K162" s="329" t="s">
        <v>1133</v>
      </c>
      <c r="L162" s="330">
        <v>107</v>
      </c>
      <c r="M162" s="327" t="s">
        <v>45</v>
      </c>
      <c r="N162" s="251">
        <v>0</v>
      </c>
      <c r="O162" s="233">
        <v>0</v>
      </c>
      <c r="P162" s="233">
        <v>0</v>
      </c>
      <c r="Q162" s="66">
        <v>0</v>
      </c>
      <c r="R162" s="36"/>
      <c r="S162" s="37"/>
      <c r="T162" s="37"/>
      <c r="U162" s="38"/>
      <c r="V162" s="38"/>
      <c r="W162" s="38"/>
    </row>
    <row r="163" spans="1:24" ht="27.75" customHeight="1">
      <c r="A163" s="22">
        <v>7</v>
      </c>
      <c r="B163" s="270" t="s">
        <v>273</v>
      </c>
      <c r="C163" s="270" t="s">
        <v>211</v>
      </c>
      <c r="D163" s="284">
        <v>53.5</v>
      </c>
      <c r="E163" s="273" t="s">
        <v>45</v>
      </c>
      <c r="F163" s="274">
        <v>0</v>
      </c>
      <c r="G163" s="65">
        <v>0</v>
      </c>
      <c r="H163" s="65">
        <v>0</v>
      </c>
      <c r="I163" s="65">
        <v>0</v>
      </c>
      <c r="J163" s="328">
        <v>46089</v>
      </c>
      <c r="K163" s="329" t="s">
        <v>1134</v>
      </c>
      <c r="L163" s="330">
        <v>53.5</v>
      </c>
      <c r="M163" s="327" t="s">
        <v>45</v>
      </c>
      <c r="N163" s="251">
        <v>0</v>
      </c>
      <c r="O163" s="233">
        <v>0</v>
      </c>
      <c r="P163" s="233">
        <v>0</v>
      </c>
      <c r="Q163" s="66">
        <v>0</v>
      </c>
      <c r="R163" s="36"/>
      <c r="S163" s="37"/>
      <c r="T163" s="37"/>
      <c r="U163" s="38"/>
      <c r="V163" s="38"/>
      <c r="W163" s="38"/>
    </row>
    <row r="164" spans="1:24" ht="27.75" customHeight="1">
      <c r="A164" s="22">
        <v>8</v>
      </c>
      <c r="B164" s="270" t="s">
        <v>92</v>
      </c>
      <c r="C164" s="270" t="s">
        <v>302</v>
      </c>
      <c r="D164" s="284">
        <v>214</v>
      </c>
      <c r="E164" s="273" t="s">
        <v>45</v>
      </c>
      <c r="F164" s="274">
        <v>0</v>
      </c>
      <c r="G164" s="65">
        <v>0</v>
      </c>
      <c r="H164" s="65">
        <v>0</v>
      </c>
      <c r="I164" s="65">
        <v>0</v>
      </c>
      <c r="J164" s="331">
        <v>46111</v>
      </c>
      <c r="K164" s="332" t="s">
        <v>1135</v>
      </c>
      <c r="L164" s="333">
        <v>214</v>
      </c>
      <c r="M164" s="327" t="s">
        <v>45</v>
      </c>
      <c r="N164" s="251">
        <v>0</v>
      </c>
      <c r="O164" s="233">
        <v>0</v>
      </c>
      <c r="P164" s="233">
        <v>0</v>
      </c>
      <c r="Q164" s="66">
        <v>0</v>
      </c>
      <c r="R164" s="36"/>
      <c r="S164" s="37"/>
      <c r="T164" s="37"/>
      <c r="U164" s="38"/>
      <c r="V164" s="38"/>
      <c r="W164" s="38"/>
    </row>
    <row r="165" spans="1:24" ht="27.75" customHeight="1">
      <c r="A165" s="22"/>
      <c r="B165" s="270"/>
      <c r="C165" s="270"/>
      <c r="D165" s="284"/>
      <c r="E165" s="273"/>
      <c r="F165" s="274"/>
      <c r="G165" s="65"/>
      <c r="H165" s="65"/>
      <c r="I165" s="65"/>
      <c r="J165" s="334"/>
      <c r="K165" s="335"/>
      <c r="L165" s="336"/>
      <c r="M165" s="327"/>
      <c r="N165" s="251"/>
      <c r="O165" s="337"/>
      <c r="P165" s="337"/>
      <c r="Q165" s="229"/>
      <c r="R165" s="36"/>
      <c r="S165" s="37"/>
      <c r="T165" s="37"/>
      <c r="U165" s="38"/>
      <c r="V165" s="38"/>
      <c r="W165" s="38"/>
    </row>
    <row r="166" spans="1:24" ht="27.75" customHeight="1" thickBot="1">
      <c r="A166" s="193"/>
      <c r="B166" s="194"/>
      <c r="C166" s="195"/>
      <c r="D166" s="196">
        <f>SUM(D157:D164)</f>
        <v>684.8</v>
      </c>
      <c r="E166" s="221"/>
      <c r="F166" s="197"/>
      <c r="G166" s="198">
        <f>SUM(G157:G165)</f>
        <v>30</v>
      </c>
      <c r="H166" s="198">
        <f t="shared" ref="H166:I166" si="45">SUM(H157:H165)</f>
        <v>2.1</v>
      </c>
      <c r="I166" s="198">
        <f t="shared" si="45"/>
        <v>32.1</v>
      </c>
      <c r="J166" s="338"/>
      <c r="K166" s="199"/>
      <c r="L166" s="196">
        <f>SUM(L157:L164)</f>
        <v>684.8</v>
      </c>
      <c r="M166" s="200"/>
      <c r="N166" s="196"/>
      <c r="O166" s="198">
        <f>SUM(O157:O164)</f>
        <v>30</v>
      </c>
      <c r="P166" s="198">
        <f t="shared" ref="P166:Q166" si="46">SUM(P157:P164)</f>
        <v>2.1</v>
      </c>
      <c r="Q166" s="198">
        <f t="shared" si="46"/>
        <v>32.1</v>
      </c>
      <c r="R166" s="36"/>
      <c r="S166" s="37"/>
      <c r="T166" s="37"/>
      <c r="U166" s="38"/>
      <c r="V166" s="38"/>
      <c r="W166" s="38"/>
    </row>
    <row r="167" spans="1:24" ht="27.75" customHeight="1" thickTop="1">
      <c r="A167" s="22"/>
      <c r="B167" s="288" t="s">
        <v>304</v>
      </c>
      <c r="C167" s="289"/>
      <c r="D167" s="272"/>
      <c r="E167" s="201"/>
      <c r="F167" s="281"/>
      <c r="G167" s="290"/>
      <c r="H167" s="290"/>
      <c r="I167" s="290"/>
      <c r="J167" s="291"/>
      <c r="K167" s="292"/>
      <c r="L167" s="222"/>
      <c r="M167" s="94"/>
      <c r="N167" s="39"/>
      <c r="O167" s="293"/>
      <c r="P167" s="293"/>
      <c r="Q167" s="294"/>
      <c r="R167" s="36"/>
      <c r="S167" s="37"/>
      <c r="T167" s="37"/>
      <c r="U167" s="38"/>
      <c r="V167" s="38"/>
      <c r="W167" s="38"/>
    </row>
    <row r="168" spans="1:24" ht="27.75" customHeight="1">
      <c r="A168" s="339"/>
      <c r="B168" s="340" t="s">
        <v>305</v>
      </c>
      <c r="C168" s="289"/>
      <c r="D168" s="272"/>
      <c r="E168" s="201"/>
      <c r="F168" s="341"/>
      <c r="G168" s="187"/>
      <c r="H168" s="187"/>
      <c r="I168" s="290"/>
      <c r="J168" s="342"/>
      <c r="K168" s="343"/>
      <c r="L168" s="264"/>
      <c r="M168" s="94"/>
      <c r="N168" s="116"/>
      <c r="O168" s="344"/>
      <c r="P168" s="344"/>
      <c r="Q168" s="294"/>
      <c r="R168" s="36"/>
      <c r="S168" s="37"/>
      <c r="T168" s="37"/>
      <c r="U168" s="38"/>
      <c r="V168" s="38"/>
      <c r="W168" s="345"/>
    </row>
    <row r="169" spans="1:24" ht="27.75" customHeight="1">
      <c r="A169" s="186">
        <v>1</v>
      </c>
      <c r="B169" s="205" t="s">
        <v>24</v>
      </c>
      <c r="C169" s="346" t="s">
        <v>25</v>
      </c>
      <c r="D169" s="141">
        <v>1410</v>
      </c>
      <c r="E169" s="43" t="s">
        <v>45</v>
      </c>
      <c r="F169" s="44">
        <v>0</v>
      </c>
      <c r="G169" s="45">
        <v>0</v>
      </c>
      <c r="H169" s="45"/>
      <c r="I169" s="47">
        <v>0</v>
      </c>
      <c r="J169" s="113">
        <v>46083</v>
      </c>
      <c r="K169" s="114" t="s">
        <v>1136</v>
      </c>
      <c r="L169" s="347">
        <v>1410</v>
      </c>
      <c r="M169" s="94" t="s">
        <v>45</v>
      </c>
      <c r="N169" s="116">
        <v>0</v>
      </c>
      <c r="O169" s="233">
        <f t="shared" ref="O169:O219" si="47">+I169+D169-L169</f>
        <v>0</v>
      </c>
      <c r="P169" s="233"/>
      <c r="Q169" s="47">
        <f t="shared" ref="Q169:Q219" si="48">+O169+P169</f>
        <v>0</v>
      </c>
      <c r="R169" s="348" t="s">
        <v>195</v>
      </c>
      <c r="S169" s="299" t="s">
        <v>307</v>
      </c>
      <c r="T169" s="299" t="s">
        <v>308</v>
      </c>
      <c r="U169" s="56">
        <v>3660</v>
      </c>
      <c r="V169" s="349" t="s">
        <v>309</v>
      </c>
      <c r="W169" s="295" t="s">
        <v>289</v>
      </c>
      <c r="X169" s="4" t="s">
        <v>310</v>
      </c>
    </row>
    <row r="170" spans="1:24" ht="27.75" customHeight="1">
      <c r="A170" s="186">
        <v>2</v>
      </c>
      <c r="B170" s="205" t="s">
        <v>28</v>
      </c>
      <c r="C170" s="346" t="s">
        <v>311</v>
      </c>
      <c r="D170" s="141">
        <v>1410</v>
      </c>
      <c r="E170" s="43" t="s">
        <v>952</v>
      </c>
      <c r="F170" s="44">
        <v>-1</v>
      </c>
      <c r="G170" s="45">
        <v>-1410</v>
      </c>
      <c r="H170" s="45"/>
      <c r="I170" s="47">
        <v>-1410</v>
      </c>
      <c r="J170" s="113"/>
      <c r="K170" s="114"/>
      <c r="L170" s="347">
        <v>0</v>
      </c>
      <c r="M170" s="94" t="s">
        <v>45</v>
      </c>
      <c r="N170" s="116">
        <v>0</v>
      </c>
      <c r="O170" s="233">
        <f t="shared" si="47"/>
        <v>0</v>
      </c>
      <c r="P170" s="233"/>
      <c r="Q170" s="47">
        <f t="shared" si="48"/>
        <v>0</v>
      </c>
      <c r="R170" s="348" t="s">
        <v>195</v>
      </c>
      <c r="S170" s="299" t="s">
        <v>307</v>
      </c>
      <c r="T170" s="299" t="s">
        <v>308</v>
      </c>
      <c r="U170" s="56">
        <v>36600</v>
      </c>
      <c r="V170" s="349" t="s">
        <v>313</v>
      </c>
      <c r="W170" s="4" t="s">
        <v>314</v>
      </c>
      <c r="X170" s="295" t="s">
        <v>289</v>
      </c>
    </row>
    <row r="171" spans="1:24" ht="27.75" customHeight="1">
      <c r="A171" s="186">
        <v>3</v>
      </c>
      <c r="B171" s="205" t="s">
        <v>28</v>
      </c>
      <c r="C171" s="346" t="s">
        <v>315</v>
      </c>
      <c r="D171" s="141">
        <v>1410</v>
      </c>
      <c r="E171" s="43" t="s">
        <v>952</v>
      </c>
      <c r="F171" s="44">
        <v>-1</v>
      </c>
      <c r="G171" s="45">
        <v>-1410</v>
      </c>
      <c r="H171" s="45"/>
      <c r="I171" s="47">
        <v>-1410</v>
      </c>
      <c r="J171" s="113"/>
      <c r="K171" s="114"/>
      <c r="L171" s="347">
        <v>0</v>
      </c>
      <c r="M171" s="94" t="s">
        <v>45</v>
      </c>
      <c r="N171" s="116">
        <v>0</v>
      </c>
      <c r="O171" s="233">
        <f t="shared" si="47"/>
        <v>0</v>
      </c>
      <c r="P171" s="233"/>
      <c r="Q171" s="47">
        <f t="shared" si="48"/>
        <v>0</v>
      </c>
      <c r="R171" s="348"/>
      <c r="S171" s="299"/>
      <c r="T171" s="299"/>
      <c r="U171" s="56"/>
      <c r="V171" s="349"/>
      <c r="X171" s="295"/>
    </row>
    <row r="172" spans="1:24" ht="27.75" customHeight="1">
      <c r="A172" s="186">
        <v>4</v>
      </c>
      <c r="B172" s="205" t="s">
        <v>24</v>
      </c>
      <c r="C172" s="346" t="s">
        <v>316</v>
      </c>
      <c r="D172" s="141">
        <v>1410</v>
      </c>
      <c r="E172" s="43" t="s">
        <v>45</v>
      </c>
      <c r="F172" s="44">
        <v>0</v>
      </c>
      <c r="G172" s="45">
        <v>0</v>
      </c>
      <c r="H172" s="45"/>
      <c r="I172" s="47">
        <v>0</v>
      </c>
      <c r="J172" s="113">
        <v>46083</v>
      </c>
      <c r="K172" s="114" t="s">
        <v>1136</v>
      </c>
      <c r="L172" s="347">
        <v>1410</v>
      </c>
      <c r="M172" s="94" t="s">
        <v>45</v>
      </c>
      <c r="N172" s="116">
        <v>0</v>
      </c>
      <c r="O172" s="233">
        <f t="shared" si="47"/>
        <v>0</v>
      </c>
      <c r="P172" s="233"/>
      <c r="Q172" s="47">
        <f t="shared" si="48"/>
        <v>0</v>
      </c>
      <c r="R172" s="348" t="s">
        <v>195</v>
      </c>
      <c r="S172" s="299" t="s">
        <v>307</v>
      </c>
      <c r="T172" s="299" t="s">
        <v>308</v>
      </c>
      <c r="U172" s="56">
        <v>10980</v>
      </c>
      <c r="V172" s="349" t="s">
        <v>317</v>
      </c>
      <c r="W172" s="295" t="s">
        <v>289</v>
      </c>
      <c r="X172" s="4" t="s">
        <v>310</v>
      </c>
    </row>
    <row r="173" spans="1:24" ht="27.75" customHeight="1">
      <c r="A173" s="186">
        <v>5</v>
      </c>
      <c r="B173" s="205" t="s">
        <v>24</v>
      </c>
      <c r="C173" s="346" t="s">
        <v>318</v>
      </c>
      <c r="D173" s="141">
        <v>1410</v>
      </c>
      <c r="E173" s="43" t="s">
        <v>45</v>
      </c>
      <c r="F173" s="44">
        <v>0</v>
      </c>
      <c r="G173" s="45">
        <v>0</v>
      </c>
      <c r="H173" s="45"/>
      <c r="I173" s="47">
        <v>0</v>
      </c>
      <c r="J173" s="113">
        <v>46083</v>
      </c>
      <c r="K173" s="114" t="s">
        <v>1136</v>
      </c>
      <c r="L173" s="347">
        <v>1410</v>
      </c>
      <c r="M173" s="94" t="s">
        <v>45</v>
      </c>
      <c r="N173" s="116">
        <v>0</v>
      </c>
      <c r="O173" s="233">
        <f t="shared" si="47"/>
        <v>0</v>
      </c>
      <c r="P173" s="233"/>
      <c r="Q173" s="47">
        <f t="shared" si="48"/>
        <v>0</v>
      </c>
      <c r="R173" s="348"/>
      <c r="S173" s="299"/>
      <c r="T173" s="299"/>
      <c r="U173" s="56"/>
      <c r="V173" s="349"/>
      <c r="W173" s="295"/>
    </row>
    <row r="174" spans="1:24" ht="27.75" customHeight="1">
      <c r="A174" s="186">
        <v>6</v>
      </c>
      <c r="B174" s="205" t="s">
        <v>24</v>
      </c>
      <c r="C174" s="346" t="s">
        <v>319</v>
      </c>
      <c r="D174" s="141">
        <v>1410</v>
      </c>
      <c r="E174" s="43" t="s">
        <v>45</v>
      </c>
      <c r="F174" s="44">
        <v>0</v>
      </c>
      <c r="G174" s="45">
        <v>0</v>
      </c>
      <c r="H174" s="45"/>
      <c r="I174" s="47">
        <v>0</v>
      </c>
      <c r="J174" s="113">
        <v>46083</v>
      </c>
      <c r="K174" s="114" t="s">
        <v>1136</v>
      </c>
      <c r="L174" s="347">
        <v>1410</v>
      </c>
      <c r="M174" s="94" t="s">
        <v>45</v>
      </c>
      <c r="N174" s="116">
        <v>0</v>
      </c>
      <c r="O174" s="233">
        <f t="shared" si="47"/>
        <v>0</v>
      </c>
      <c r="P174" s="233"/>
      <c r="Q174" s="47">
        <f t="shared" si="48"/>
        <v>0</v>
      </c>
      <c r="R174" s="348"/>
      <c r="S174" s="299"/>
      <c r="T174" s="299"/>
      <c r="U174" s="56"/>
      <c r="V174" s="349"/>
      <c r="W174" s="295"/>
    </row>
    <row r="175" spans="1:24" ht="27.75" customHeight="1">
      <c r="A175" s="186">
        <v>7</v>
      </c>
      <c r="B175" s="205" t="s">
        <v>28</v>
      </c>
      <c r="C175" s="346" t="s">
        <v>320</v>
      </c>
      <c r="D175" s="141">
        <v>1410</v>
      </c>
      <c r="E175" s="43" t="s">
        <v>952</v>
      </c>
      <c r="F175" s="44">
        <v>-1</v>
      </c>
      <c r="G175" s="45">
        <v>-1410</v>
      </c>
      <c r="H175" s="45"/>
      <c r="I175" s="47">
        <v>-1410</v>
      </c>
      <c r="J175" s="113"/>
      <c r="K175" s="114"/>
      <c r="L175" s="347">
        <v>0</v>
      </c>
      <c r="M175" s="94" t="s">
        <v>45</v>
      </c>
      <c r="N175" s="116">
        <v>0</v>
      </c>
      <c r="O175" s="233">
        <f t="shared" si="47"/>
        <v>0</v>
      </c>
      <c r="P175" s="233"/>
      <c r="Q175" s="47">
        <f t="shared" si="48"/>
        <v>0</v>
      </c>
      <c r="R175" s="348"/>
      <c r="S175" s="299"/>
      <c r="T175" s="299"/>
      <c r="U175" s="56"/>
      <c r="V175" s="349"/>
      <c r="W175" s="295"/>
    </row>
    <row r="176" spans="1:24" ht="27.75" customHeight="1">
      <c r="A176" s="186">
        <v>8</v>
      </c>
      <c r="B176" s="205" t="s">
        <v>28</v>
      </c>
      <c r="C176" s="346" t="s">
        <v>321</v>
      </c>
      <c r="D176" s="141">
        <v>1410</v>
      </c>
      <c r="E176" s="43" t="s">
        <v>952</v>
      </c>
      <c r="F176" s="44">
        <v>-1</v>
      </c>
      <c r="G176" s="45">
        <v>-1410</v>
      </c>
      <c r="H176" s="45"/>
      <c r="I176" s="47">
        <v>-1410</v>
      </c>
      <c r="J176" s="113"/>
      <c r="K176" s="114"/>
      <c r="L176" s="347">
        <v>0</v>
      </c>
      <c r="M176" s="94" t="s">
        <v>45</v>
      </c>
      <c r="N176" s="116">
        <v>0</v>
      </c>
      <c r="O176" s="233">
        <f t="shared" si="47"/>
        <v>0</v>
      </c>
      <c r="P176" s="233"/>
      <c r="Q176" s="47">
        <f t="shared" si="48"/>
        <v>0</v>
      </c>
      <c r="R176" s="348"/>
      <c r="S176" s="299"/>
      <c r="T176" s="299"/>
      <c r="U176" s="56"/>
      <c r="V176" s="349"/>
      <c r="W176" s="295"/>
    </row>
    <row r="177" spans="1:24" ht="27.75" customHeight="1">
      <c r="A177" s="186">
        <v>9</v>
      </c>
      <c r="B177" s="205" t="s">
        <v>28</v>
      </c>
      <c r="C177" s="346" t="s">
        <v>322</v>
      </c>
      <c r="D177" s="141">
        <v>1410</v>
      </c>
      <c r="E177" s="43" t="s">
        <v>952</v>
      </c>
      <c r="F177" s="44">
        <v>-1</v>
      </c>
      <c r="G177" s="45">
        <v>-1410</v>
      </c>
      <c r="H177" s="45"/>
      <c r="I177" s="47">
        <v>-1410</v>
      </c>
      <c r="J177" s="113"/>
      <c r="K177" s="114"/>
      <c r="L177" s="347">
        <v>0</v>
      </c>
      <c r="M177" s="94" t="s">
        <v>45</v>
      </c>
      <c r="N177" s="116">
        <v>0</v>
      </c>
      <c r="O177" s="233">
        <f t="shared" si="47"/>
        <v>0</v>
      </c>
      <c r="P177" s="233"/>
      <c r="Q177" s="47">
        <f t="shared" si="48"/>
        <v>0</v>
      </c>
      <c r="R177" s="348"/>
      <c r="S177" s="299"/>
      <c r="T177" s="299"/>
      <c r="U177" s="56"/>
      <c r="V177" s="349"/>
      <c r="W177" s="295"/>
    </row>
    <row r="178" spans="1:24" ht="27.75" customHeight="1">
      <c r="A178" s="186">
        <v>10</v>
      </c>
      <c r="B178" s="205" t="s">
        <v>28</v>
      </c>
      <c r="C178" s="346" t="s">
        <v>323</v>
      </c>
      <c r="D178" s="141">
        <v>1410</v>
      </c>
      <c r="E178" s="43" t="s">
        <v>952</v>
      </c>
      <c r="F178" s="44">
        <v>-1</v>
      </c>
      <c r="G178" s="45">
        <v>-1410</v>
      </c>
      <c r="H178" s="45"/>
      <c r="I178" s="47">
        <v>-1410</v>
      </c>
      <c r="J178" s="113"/>
      <c r="K178" s="114"/>
      <c r="L178" s="347">
        <v>0</v>
      </c>
      <c r="M178" s="94" t="s">
        <v>45</v>
      </c>
      <c r="N178" s="116">
        <v>0</v>
      </c>
      <c r="O178" s="233">
        <f t="shared" si="47"/>
        <v>0</v>
      </c>
      <c r="P178" s="233"/>
      <c r="Q178" s="47">
        <f t="shared" si="48"/>
        <v>0</v>
      </c>
      <c r="R178" s="348"/>
      <c r="S178" s="299"/>
      <c r="T178" s="299"/>
      <c r="U178" s="56"/>
      <c r="V178" s="349"/>
      <c r="W178" s="295"/>
    </row>
    <row r="179" spans="1:24" ht="27.75" customHeight="1">
      <c r="A179" s="186">
        <v>11</v>
      </c>
      <c r="B179" s="205" t="s">
        <v>28</v>
      </c>
      <c r="C179" s="346" t="s">
        <v>324</v>
      </c>
      <c r="D179" s="141">
        <v>1410</v>
      </c>
      <c r="E179" s="43" t="s">
        <v>952</v>
      </c>
      <c r="F179" s="44">
        <v>-1</v>
      </c>
      <c r="G179" s="45">
        <v>-1410</v>
      </c>
      <c r="H179" s="45"/>
      <c r="I179" s="47">
        <v>-1410</v>
      </c>
      <c r="J179" s="113"/>
      <c r="K179" s="114"/>
      <c r="L179" s="347">
        <v>0</v>
      </c>
      <c r="M179" s="94" t="s">
        <v>45</v>
      </c>
      <c r="N179" s="116">
        <v>0</v>
      </c>
      <c r="O179" s="233">
        <f t="shared" si="47"/>
        <v>0</v>
      </c>
      <c r="P179" s="233"/>
      <c r="Q179" s="47">
        <f t="shared" si="48"/>
        <v>0</v>
      </c>
      <c r="R179" s="348"/>
      <c r="S179" s="299"/>
      <c r="T179" s="299"/>
      <c r="U179" s="56"/>
      <c r="V179" s="349"/>
      <c r="W179" s="295"/>
    </row>
    <row r="180" spans="1:24" ht="27.75" customHeight="1">
      <c r="A180" s="186">
        <v>12</v>
      </c>
      <c r="B180" s="205" t="s">
        <v>325</v>
      </c>
      <c r="C180" s="346" t="s">
        <v>326</v>
      </c>
      <c r="D180" s="141">
        <v>1410</v>
      </c>
      <c r="E180" s="43" t="s">
        <v>45</v>
      </c>
      <c r="F180" s="44">
        <v>0</v>
      </c>
      <c r="G180" s="45">
        <v>0</v>
      </c>
      <c r="H180" s="45"/>
      <c r="I180" s="47">
        <v>0</v>
      </c>
      <c r="J180" s="113">
        <v>46086</v>
      </c>
      <c r="K180" s="114" t="s">
        <v>1137</v>
      </c>
      <c r="L180" s="347">
        <v>1410</v>
      </c>
      <c r="M180" s="94" t="s">
        <v>45</v>
      </c>
      <c r="N180" s="116">
        <v>0</v>
      </c>
      <c r="O180" s="233">
        <f t="shared" si="47"/>
        <v>0</v>
      </c>
      <c r="P180" s="233"/>
      <c r="Q180" s="47">
        <f t="shared" si="48"/>
        <v>0</v>
      </c>
      <c r="R180" s="348" t="s">
        <v>195</v>
      </c>
      <c r="S180" s="299" t="s">
        <v>307</v>
      </c>
      <c r="T180" s="299" t="s">
        <v>308</v>
      </c>
      <c r="U180" s="56">
        <v>14640</v>
      </c>
      <c r="V180" s="349" t="s">
        <v>328</v>
      </c>
      <c r="W180" s="295" t="s">
        <v>289</v>
      </c>
      <c r="X180" s="4" t="s">
        <v>329</v>
      </c>
    </row>
    <row r="181" spans="1:24" ht="27.75" customHeight="1">
      <c r="A181" s="186">
        <v>13</v>
      </c>
      <c r="B181" s="205" t="s">
        <v>325</v>
      </c>
      <c r="C181" s="346" t="s">
        <v>330</v>
      </c>
      <c r="D181" s="141">
        <v>1410</v>
      </c>
      <c r="E181" s="43" t="s">
        <v>45</v>
      </c>
      <c r="F181" s="44">
        <v>0</v>
      </c>
      <c r="G181" s="45">
        <v>0</v>
      </c>
      <c r="H181" s="45"/>
      <c r="I181" s="47">
        <v>0</v>
      </c>
      <c r="J181" s="113">
        <v>46086</v>
      </c>
      <c r="K181" s="114" t="s">
        <v>1137</v>
      </c>
      <c r="L181" s="347">
        <v>1410</v>
      </c>
      <c r="M181" s="94" t="s">
        <v>45</v>
      </c>
      <c r="N181" s="116">
        <v>0</v>
      </c>
      <c r="O181" s="233">
        <f t="shared" si="47"/>
        <v>0</v>
      </c>
      <c r="P181" s="233"/>
      <c r="Q181" s="47">
        <f t="shared" si="48"/>
        <v>0</v>
      </c>
      <c r="R181" s="348"/>
      <c r="S181" s="299"/>
      <c r="T181" s="299"/>
      <c r="U181" s="56"/>
      <c r="V181" s="349"/>
      <c r="W181" s="295"/>
    </row>
    <row r="182" spans="1:24" ht="27.75" customHeight="1">
      <c r="A182" s="186">
        <v>14</v>
      </c>
      <c r="B182" s="205" t="s">
        <v>325</v>
      </c>
      <c r="C182" s="346" t="s">
        <v>331</v>
      </c>
      <c r="D182" s="141">
        <v>1410</v>
      </c>
      <c r="E182" s="43" t="s">
        <v>45</v>
      </c>
      <c r="F182" s="44">
        <v>0</v>
      </c>
      <c r="G182" s="45">
        <v>0</v>
      </c>
      <c r="H182" s="45"/>
      <c r="I182" s="47">
        <v>0</v>
      </c>
      <c r="J182" s="113">
        <v>46086</v>
      </c>
      <c r="K182" s="114" t="s">
        <v>1137</v>
      </c>
      <c r="L182" s="347">
        <v>1410</v>
      </c>
      <c r="M182" s="94" t="s">
        <v>45</v>
      </c>
      <c r="N182" s="116">
        <v>0</v>
      </c>
      <c r="O182" s="233">
        <f t="shared" si="47"/>
        <v>0</v>
      </c>
      <c r="P182" s="233"/>
      <c r="Q182" s="47">
        <f t="shared" si="48"/>
        <v>0</v>
      </c>
      <c r="R182" s="348"/>
      <c r="S182" s="299"/>
      <c r="T182" s="299"/>
      <c r="U182" s="56"/>
      <c r="V182" s="349"/>
      <c r="W182" s="295"/>
    </row>
    <row r="183" spans="1:24" ht="27.75" customHeight="1">
      <c r="A183" s="186">
        <v>15</v>
      </c>
      <c r="B183" s="205" t="s">
        <v>325</v>
      </c>
      <c r="C183" s="346" t="s">
        <v>332</v>
      </c>
      <c r="D183" s="141">
        <v>1410</v>
      </c>
      <c r="E183" s="43" t="s">
        <v>45</v>
      </c>
      <c r="F183" s="44">
        <v>0</v>
      </c>
      <c r="G183" s="45">
        <v>0</v>
      </c>
      <c r="H183" s="45"/>
      <c r="I183" s="47">
        <v>0</v>
      </c>
      <c r="J183" s="113">
        <v>46086</v>
      </c>
      <c r="K183" s="114" t="s">
        <v>1137</v>
      </c>
      <c r="L183" s="347">
        <v>1410</v>
      </c>
      <c r="M183" s="94" t="s">
        <v>45</v>
      </c>
      <c r="N183" s="116">
        <v>0</v>
      </c>
      <c r="O183" s="233">
        <f t="shared" si="47"/>
        <v>0</v>
      </c>
      <c r="P183" s="233"/>
      <c r="Q183" s="47">
        <f t="shared" si="48"/>
        <v>0</v>
      </c>
      <c r="R183" s="348"/>
      <c r="S183" s="299"/>
      <c r="T183" s="299"/>
      <c r="U183" s="56"/>
      <c r="V183" s="349"/>
      <c r="W183" s="295"/>
    </row>
    <row r="184" spans="1:24" ht="27.75" customHeight="1">
      <c r="A184" s="186">
        <v>16</v>
      </c>
      <c r="B184" s="205" t="s">
        <v>28</v>
      </c>
      <c r="C184" s="346" t="s">
        <v>333</v>
      </c>
      <c r="D184" s="141">
        <v>1410</v>
      </c>
      <c r="E184" s="43" t="s">
        <v>952</v>
      </c>
      <c r="F184" s="44">
        <v>-1</v>
      </c>
      <c r="G184" s="45">
        <v>-1410</v>
      </c>
      <c r="H184" s="45"/>
      <c r="I184" s="47">
        <v>-1410</v>
      </c>
      <c r="J184" s="113"/>
      <c r="K184" s="114"/>
      <c r="L184" s="347">
        <v>0</v>
      </c>
      <c r="M184" s="94" t="s">
        <v>45</v>
      </c>
      <c r="N184" s="116">
        <v>0</v>
      </c>
      <c r="O184" s="233">
        <f t="shared" si="47"/>
        <v>0</v>
      </c>
      <c r="P184" s="233"/>
      <c r="Q184" s="47">
        <f t="shared" si="48"/>
        <v>0</v>
      </c>
      <c r="R184" s="348"/>
      <c r="S184" s="299"/>
      <c r="T184" s="299"/>
      <c r="U184" s="56"/>
      <c r="V184" s="349"/>
      <c r="W184" s="295"/>
    </row>
    <row r="185" spans="1:24" ht="27.75" customHeight="1">
      <c r="A185" s="186">
        <v>17</v>
      </c>
      <c r="B185" s="205" t="s">
        <v>28</v>
      </c>
      <c r="C185" s="346" t="s">
        <v>334</v>
      </c>
      <c r="D185" s="141">
        <v>1410</v>
      </c>
      <c r="E185" s="43" t="s">
        <v>952</v>
      </c>
      <c r="F185" s="44">
        <v>-1</v>
      </c>
      <c r="G185" s="45">
        <v>-1410</v>
      </c>
      <c r="H185" s="45"/>
      <c r="I185" s="47">
        <v>-1410</v>
      </c>
      <c r="J185" s="113"/>
      <c r="K185" s="114"/>
      <c r="L185" s="347">
        <v>0</v>
      </c>
      <c r="M185" s="94" t="s">
        <v>45</v>
      </c>
      <c r="N185" s="116">
        <v>0</v>
      </c>
      <c r="O185" s="233">
        <f t="shared" si="47"/>
        <v>0</v>
      </c>
      <c r="P185" s="233"/>
      <c r="Q185" s="47">
        <f t="shared" si="48"/>
        <v>0</v>
      </c>
      <c r="R185" s="348"/>
      <c r="S185" s="299"/>
      <c r="T185" s="299"/>
      <c r="U185" s="56"/>
      <c r="V185" s="349"/>
      <c r="W185" s="295"/>
    </row>
    <row r="186" spans="1:24" ht="27.75" customHeight="1">
      <c r="A186" s="186">
        <v>18</v>
      </c>
      <c r="B186" s="205" t="s">
        <v>28</v>
      </c>
      <c r="C186" s="346" t="s">
        <v>335</v>
      </c>
      <c r="D186" s="141">
        <v>1410</v>
      </c>
      <c r="E186" s="43" t="s">
        <v>952</v>
      </c>
      <c r="F186" s="44">
        <v>-1</v>
      </c>
      <c r="G186" s="45">
        <v>-1410</v>
      </c>
      <c r="H186" s="45"/>
      <c r="I186" s="47">
        <v>-1410</v>
      </c>
      <c r="J186" s="113"/>
      <c r="K186" s="114"/>
      <c r="L186" s="347">
        <v>0</v>
      </c>
      <c r="M186" s="94" t="s">
        <v>45</v>
      </c>
      <c r="N186" s="116">
        <v>0</v>
      </c>
      <c r="O186" s="233">
        <f t="shared" si="47"/>
        <v>0</v>
      </c>
      <c r="P186" s="233"/>
      <c r="Q186" s="47">
        <f t="shared" si="48"/>
        <v>0</v>
      </c>
      <c r="R186" s="348"/>
      <c r="S186" s="299"/>
      <c r="T186" s="299"/>
      <c r="U186" s="56"/>
      <c r="V186" s="349"/>
      <c r="W186" s="295"/>
    </row>
    <row r="187" spans="1:24" ht="27.75" customHeight="1">
      <c r="A187" s="186">
        <v>19</v>
      </c>
      <c r="B187" s="205" t="s">
        <v>40</v>
      </c>
      <c r="C187" s="346" t="s">
        <v>336</v>
      </c>
      <c r="D187" s="141">
        <v>1220</v>
      </c>
      <c r="E187" s="43" t="s">
        <v>26</v>
      </c>
      <c r="F187" s="44">
        <v>0</v>
      </c>
      <c r="G187" s="45">
        <v>0</v>
      </c>
      <c r="H187" s="45"/>
      <c r="I187" s="47">
        <v>0</v>
      </c>
      <c r="J187" s="113">
        <v>46107</v>
      </c>
      <c r="K187" s="114" t="s">
        <v>1138</v>
      </c>
      <c r="L187" s="347">
        <v>3940</v>
      </c>
      <c r="M187" s="94" t="s">
        <v>1051</v>
      </c>
      <c r="N187" s="116">
        <v>-2.2295081967213113</v>
      </c>
      <c r="O187" s="233">
        <f t="shared" si="47"/>
        <v>-2720</v>
      </c>
      <c r="P187" s="233"/>
      <c r="Q187" s="47">
        <f t="shared" si="48"/>
        <v>-2720</v>
      </c>
      <c r="R187" s="39" t="s">
        <v>195</v>
      </c>
      <c r="S187" s="55">
        <v>43313</v>
      </c>
      <c r="T187" s="55">
        <v>44408</v>
      </c>
      <c r="U187" s="56">
        <v>9540</v>
      </c>
      <c r="V187" s="349"/>
    </row>
    <row r="188" spans="1:24" ht="27.75" customHeight="1">
      <c r="A188" s="186">
        <v>20</v>
      </c>
      <c r="B188" s="205" t="s">
        <v>40</v>
      </c>
      <c r="C188" s="346" t="s">
        <v>338</v>
      </c>
      <c r="D188" s="141">
        <v>1220</v>
      </c>
      <c r="E188" s="43" t="s">
        <v>26</v>
      </c>
      <c r="F188" s="44">
        <v>0</v>
      </c>
      <c r="G188" s="45">
        <v>0</v>
      </c>
      <c r="H188" s="45"/>
      <c r="I188" s="47">
        <v>0</v>
      </c>
      <c r="J188" s="113">
        <v>46107</v>
      </c>
      <c r="K188" s="114" t="s">
        <v>1138</v>
      </c>
      <c r="L188" s="347">
        <v>3940</v>
      </c>
      <c r="M188" s="94" t="s">
        <v>1051</v>
      </c>
      <c r="N188" s="116">
        <v>-2.2295081967213113</v>
      </c>
      <c r="O188" s="233">
        <f t="shared" si="47"/>
        <v>-2720</v>
      </c>
      <c r="P188" s="233"/>
      <c r="Q188" s="47">
        <f t="shared" si="48"/>
        <v>-2720</v>
      </c>
      <c r="R188" s="39"/>
      <c r="S188" s="55"/>
      <c r="T188" s="55"/>
      <c r="U188" s="56"/>
      <c r="V188" s="349"/>
    </row>
    <row r="189" spans="1:24" ht="27.75" customHeight="1">
      <c r="A189" s="186">
        <v>21</v>
      </c>
      <c r="B189" s="205" t="s">
        <v>40</v>
      </c>
      <c r="C189" s="346" t="s">
        <v>339</v>
      </c>
      <c r="D189" s="141">
        <v>1220</v>
      </c>
      <c r="E189" s="43" t="s">
        <v>26</v>
      </c>
      <c r="F189" s="44">
        <v>0</v>
      </c>
      <c r="G189" s="45">
        <v>0</v>
      </c>
      <c r="H189" s="45"/>
      <c r="I189" s="47">
        <v>0</v>
      </c>
      <c r="J189" s="113">
        <v>46107</v>
      </c>
      <c r="K189" s="114" t="s">
        <v>1138</v>
      </c>
      <c r="L189" s="347">
        <v>3940</v>
      </c>
      <c r="M189" s="94" t="s">
        <v>1051</v>
      </c>
      <c r="N189" s="116">
        <v>-2.2295081967213113</v>
      </c>
      <c r="O189" s="233">
        <f t="shared" si="47"/>
        <v>-2720</v>
      </c>
      <c r="P189" s="233"/>
      <c r="Q189" s="47">
        <f t="shared" si="48"/>
        <v>-2720</v>
      </c>
      <c r="R189" s="39"/>
      <c r="S189" s="55"/>
      <c r="T189" s="55"/>
      <c r="U189" s="56"/>
      <c r="V189" s="349"/>
    </row>
    <row r="190" spans="1:24" ht="27.75" customHeight="1">
      <c r="A190" s="186">
        <v>22</v>
      </c>
      <c r="B190" s="40" t="s">
        <v>43</v>
      </c>
      <c r="C190" s="346" t="s">
        <v>340</v>
      </c>
      <c r="D190" s="141">
        <v>1410</v>
      </c>
      <c r="E190" s="43" t="s">
        <v>45</v>
      </c>
      <c r="F190" s="44">
        <v>0</v>
      </c>
      <c r="G190" s="45">
        <v>0</v>
      </c>
      <c r="H190" s="45"/>
      <c r="I190" s="47">
        <v>0</v>
      </c>
      <c r="J190" s="113">
        <v>46083</v>
      </c>
      <c r="K190" s="114" t="s">
        <v>1139</v>
      </c>
      <c r="L190" s="347">
        <v>1410</v>
      </c>
      <c r="M190" s="94" t="s">
        <v>45</v>
      </c>
      <c r="N190" s="116">
        <v>0</v>
      </c>
      <c r="O190" s="233">
        <f t="shared" si="47"/>
        <v>0</v>
      </c>
      <c r="P190" s="233"/>
      <c r="Q190" s="47">
        <f t="shared" si="48"/>
        <v>0</v>
      </c>
      <c r="R190" s="348" t="s">
        <v>195</v>
      </c>
      <c r="S190" s="299" t="s">
        <v>307</v>
      </c>
      <c r="T190" s="299" t="s">
        <v>308</v>
      </c>
      <c r="U190" s="56">
        <v>7320</v>
      </c>
      <c r="V190" s="349" t="s">
        <v>342</v>
      </c>
      <c r="W190" s="295" t="s">
        <v>289</v>
      </c>
      <c r="X190" s="4" t="s">
        <v>343</v>
      </c>
    </row>
    <row r="191" spans="1:24" ht="27.75" customHeight="1">
      <c r="A191" s="186">
        <v>23</v>
      </c>
      <c r="B191" s="40" t="s">
        <v>43</v>
      </c>
      <c r="C191" s="346" t="s">
        <v>344</v>
      </c>
      <c r="D191" s="141">
        <v>1410</v>
      </c>
      <c r="E191" s="43" t="s">
        <v>45</v>
      </c>
      <c r="F191" s="44">
        <v>0</v>
      </c>
      <c r="G191" s="45">
        <v>0</v>
      </c>
      <c r="H191" s="45"/>
      <c r="I191" s="47">
        <v>0</v>
      </c>
      <c r="J191" s="113">
        <v>46083</v>
      </c>
      <c r="K191" s="114" t="s">
        <v>1139</v>
      </c>
      <c r="L191" s="347">
        <v>1410</v>
      </c>
      <c r="M191" s="94" t="s">
        <v>45</v>
      </c>
      <c r="N191" s="116">
        <v>0</v>
      </c>
      <c r="O191" s="233">
        <f t="shared" si="47"/>
        <v>0</v>
      </c>
      <c r="P191" s="233"/>
      <c r="Q191" s="47">
        <f t="shared" si="48"/>
        <v>0</v>
      </c>
      <c r="R191" s="348"/>
      <c r="S191" s="299"/>
      <c r="T191" s="299"/>
      <c r="U191" s="56"/>
      <c r="V191" s="349"/>
      <c r="W191" s="295"/>
    </row>
    <row r="192" spans="1:24" ht="27.75" customHeight="1">
      <c r="A192" s="186">
        <v>24</v>
      </c>
      <c r="B192" s="40" t="s">
        <v>345</v>
      </c>
      <c r="C192" s="346" t="s">
        <v>346</v>
      </c>
      <c r="D192" s="141">
        <v>1410</v>
      </c>
      <c r="E192" s="43" t="s">
        <v>45</v>
      </c>
      <c r="F192" s="44">
        <v>0</v>
      </c>
      <c r="G192" s="45">
        <v>0</v>
      </c>
      <c r="H192" s="45"/>
      <c r="I192" s="47">
        <v>0</v>
      </c>
      <c r="J192" s="113">
        <v>46083</v>
      </c>
      <c r="K192" s="114" t="s">
        <v>1140</v>
      </c>
      <c r="L192" s="347">
        <v>1410</v>
      </c>
      <c r="M192" s="94" t="s">
        <v>45</v>
      </c>
      <c r="N192" s="116">
        <v>0</v>
      </c>
      <c r="O192" s="233">
        <f t="shared" si="47"/>
        <v>0</v>
      </c>
      <c r="P192" s="233"/>
      <c r="Q192" s="47">
        <f t="shared" si="48"/>
        <v>0</v>
      </c>
      <c r="R192" s="39" t="s">
        <v>195</v>
      </c>
      <c r="S192" s="55">
        <v>43313</v>
      </c>
      <c r="T192" s="55">
        <v>44408</v>
      </c>
      <c r="U192" s="56">
        <v>12720</v>
      </c>
      <c r="V192" s="349"/>
    </row>
    <row r="193" spans="1:25" ht="27.75" customHeight="1">
      <c r="A193" s="186">
        <v>25</v>
      </c>
      <c r="B193" s="40" t="s">
        <v>345</v>
      </c>
      <c r="C193" s="346" t="s">
        <v>348</v>
      </c>
      <c r="D193" s="141">
        <v>1410</v>
      </c>
      <c r="E193" s="43" t="s">
        <v>45</v>
      </c>
      <c r="F193" s="44">
        <v>0</v>
      </c>
      <c r="G193" s="45">
        <v>0</v>
      </c>
      <c r="H193" s="45"/>
      <c r="I193" s="47">
        <v>0</v>
      </c>
      <c r="J193" s="113">
        <v>46083</v>
      </c>
      <c r="K193" s="114" t="s">
        <v>1140</v>
      </c>
      <c r="L193" s="347">
        <v>1410</v>
      </c>
      <c r="M193" s="94" t="s">
        <v>45</v>
      </c>
      <c r="N193" s="116">
        <v>0</v>
      </c>
      <c r="O193" s="233">
        <f t="shared" si="47"/>
        <v>0</v>
      </c>
      <c r="P193" s="233"/>
      <c r="Q193" s="47">
        <f t="shared" si="48"/>
        <v>0</v>
      </c>
      <c r="R193" s="39"/>
      <c r="S193" s="55"/>
      <c r="T193" s="55"/>
      <c r="U193" s="56"/>
      <c r="V193" s="349"/>
    </row>
    <row r="194" spans="1:25" ht="27.75" customHeight="1">
      <c r="A194" s="186">
        <v>26</v>
      </c>
      <c r="B194" s="40" t="s">
        <v>345</v>
      </c>
      <c r="C194" s="346" t="s">
        <v>349</v>
      </c>
      <c r="D194" s="141">
        <v>1410</v>
      </c>
      <c r="E194" s="43" t="s">
        <v>45</v>
      </c>
      <c r="F194" s="44">
        <v>0</v>
      </c>
      <c r="G194" s="45">
        <v>0</v>
      </c>
      <c r="H194" s="45"/>
      <c r="I194" s="47">
        <v>0</v>
      </c>
      <c r="J194" s="113">
        <v>46083</v>
      </c>
      <c r="K194" s="114" t="s">
        <v>1140</v>
      </c>
      <c r="L194" s="347">
        <v>1410</v>
      </c>
      <c r="M194" s="94" t="s">
        <v>45</v>
      </c>
      <c r="N194" s="116">
        <v>0</v>
      </c>
      <c r="O194" s="233">
        <f t="shared" si="47"/>
        <v>0</v>
      </c>
      <c r="P194" s="233"/>
      <c r="Q194" s="47">
        <f t="shared" si="48"/>
        <v>0</v>
      </c>
      <c r="R194" s="39"/>
      <c r="S194" s="55"/>
      <c r="T194" s="55"/>
      <c r="U194" s="56"/>
      <c r="V194" s="349"/>
    </row>
    <row r="195" spans="1:25" ht="27.75" customHeight="1">
      <c r="A195" s="186">
        <v>27</v>
      </c>
      <c r="B195" s="40" t="s">
        <v>345</v>
      </c>
      <c r="C195" s="346" t="s">
        <v>350</v>
      </c>
      <c r="D195" s="141">
        <v>1410</v>
      </c>
      <c r="E195" s="43" t="s">
        <v>45</v>
      </c>
      <c r="F195" s="44">
        <v>0</v>
      </c>
      <c r="G195" s="45">
        <v>0</v>
      </c>
      <c r="H195" s="45"/>
      <c r="I195" s="47">
        <v>0</v>
      </c>
      <c r="J195" s="113">
        <v>46083</v>
      </c>
      <c r="K195" s="114" t="s">
        <v>1140</v>
      </c>
      <c r="L195" s="347">
        <v>1410</v>
      </c>
      <c r="M195" s="94" t="s">
        <v>45</v>
      </c>
      <c r="N195" s="116">
        <v>0</v>
      </c>
      <c r="O195" s="233">
        <f t="shared" si="47"/>
        <v>0</v>
      </c>
      <c r="P195" s="233"/>
      <c r="Q195" s="47">
        <f t="shared" si="48"/>
        <v>0</v>
      </c>
      <c r="R195" s="39"/>
      <c r="S195" s="55"/>
      <c r="T195" s="55"/>
      <c r="U195" s="56"/>
      <c r="V195" s="349"/>
    </row>
    <row r="196" spans="1:25" ht="27.75" customHeight="1">
      <c r="A196" s="186">
        <v>28</v>
      </c>
      <c r="B196" s="40" t="s">
        <v>351</v>
      </c>
      <c r="C196" s="346" t="s">
        <v>352</v>
      </c>
      <c r="D196" s="141">
        <v>1410</v>
      </c>
      <c r="E196" s="43" t="s">
        <v>45</v>
      </c>
      <c r="F196" s="44">
        <v>0</v>
      </c>
      <c r="G196" s="45">
        <v>0</v>
      </c>
      <c r="H196" s="45"/>
      <c r="I196" s="47">
        <v>0</v>
      </c>
      <c r="J196" s="113">
        <v>46083</v>
      </c>
      <c r="K196" s="114" t="s">
        <v>1141</v>
      </c>
      <c r="L196" s="347">
        <v>1410</v>
      </c>
      <c r="M196" s="94" t="s">
        <v>45</v>
      </c>
      <c r="N196" s="116">
        <v>0</v>
      </c>
      <c r="O196" s="233">
        <f t="shared" si="47"/>
        <v>0</v>
      </c>
      <c r="P196" s="233"/>
      <c r="Q196" s="47">
        <f t="shared" si="48"/>
        <v>0</v>
      </c>
      <c r="R196" s="39" t="s">
        <v>195</v>
      </c>
      <c r="S196" s="55">
        <v>43313</v>
      </c>
      <c r="T196" s="55">
        <v>44408</v>
      </c>
      <c r="U196" s="56">
        <v>9540</v>
      </c>
      <c r="V196" s="349"/>
    </row>
    <row r="197" spans="1:25" ht="27.75" customHeight="1">
      <c r="A197" s="186">
        <v>29</v>
      </c>
      <c r="B197" s="40" t="s">
        <v>351</v>
      </c>
      <c r="C197" s="346" t="s">
        <v>354</v>
      </c>
      <c r="D197" s="141">
        <v>1410</v>
      </c>
      <c r="E197" s="43" t="s">
        <v>45</v>
      </c>
      <c r="F197" s="44">
        <v>0</v>
      </c>
      <c r="G197" s="45">
        <v>0</v>
      </c>
      <c r="H197" s="45"/>
      <c r="I197" s="47">
        <v>0</v>
      </c>
      <c r="J197" s="113">
        <v>46083</v>
      </c>
      <c r="K197" s="114" t="s">
        <v>1141</v>
      </c>
      <c r="L197" s="347">
        <v>1410</v>
      </c>
      <c r="M197" s="94" t="s">
        <v>45</v>
      </c>
      <c r="N197" s="116">
        <v>0</v>
      </c>
      <c r="O197" s="233">
        <f t="shared" si="47"/>
        <v>0</v>
      </c>
      <c r="P197" s="233"/>
      <c r="Q197" s="47">
        <f t="shared" si="48"/>
        <v>0</v>
      </c>
      <c r="R197" s="39"/>
      <c r="S197" s="55"/>
      <c r="T197" s="55"/>
      <c r="U197" s="56"/>
      <c r="V197" s="349"/>
    </row>
    <row r="198" spans="1:25" ht="27.75" customHeight="1">
      <c r="A198" s="186">
        <v>30</v>
      </c>
      <c r="B198" s="40" t="s">
        <v>351</v>
      </c>
      <c r="C198" s="346" t="s">
        <v>355</v>
      </c>
      <c r="D198" s="141">
        <v>1410</v>
      </c>
      <c r="E198" s="43" t="s">
        <v>45</v>
      </c>
      <c r="F198" s="44">
        <v>0</v>
      </c>
      <c r="G198" s="45">
        <v>0</v>
      </c>
      <c r="H198" s="45"/>
      <c r="I198" s="47">
        <v>0</v>
      </c>
      <c r="J198" s="113">
        <v>46083</v>
      </c>
      <c r="K198" s="114" t="s">
        <v>1141</v>
      </c>
      <c r="L198" s="347">
        <v>1410</v>
      </c>
      <c r="M198" s="94" t="s">
        <v>45</v>
      </c>
      <c r="N198" s="116">
        <v>0</v>
      </c>
      <c r="O198" s="233">
        <f t="shared" si="47"/>
        <v>0</v>
      </c>
      <c r="P198" s="233"/>
      <c r="Q198" s="47">
        <f t="shared" si="48"/>
        <v>0</v>
      </c>
      <c r="R198" s="39"/>
      <c r="S198" s="55"/>
      <c r="T198" s="55"/>
      <c r="U198" s="56"/>
      <c r="V198" s="349"/>
    </row>
    <row r="199" spans="1:25" ht="27.75" customHeight="1">
      <c r="A199" s="186">
        <v>31</v>
      </c>
      <c r="B199" s="40" t="s">
        <v>356</v>
      </c>
      <c r="C199" s="346" t="s">
        <v>357</v>
      </c>
      <c r="D199" s="141">
        <v>1410</v>
      </c>
      <c r="E199" s="43" t="s">
        <v>45</v>
      </c>
      <c r="F199" s="44">
        <v>0</v>
      </c>
      <c r="G199" s="45">
        <v>0</v>
      </c>
      <c r="H199" s="45"/>
      <c r="I199" s="47">
        <v>0</v>
      </c>
      <c r="J199" s="113">
        <v>46085</v>
      </c>
      <c r="K199" s="114" t="s">
        <v>1142</v>
      </c>
      <c r="L199" s="347">
        <v>1410</v>
      </c>
      <c r="M199" s="94" t="s">
        <v>45</v>
      </c>
      <c r="N199" s="116">
        <v>0</v>
      </c>
      <c r="O199" s="233">
        <f t="shared" si="47"/>
        <v>0</v>
      </c>
      <c r="P199" s="233"/>
      <c r="Q199" s="47">
        <f t="shared" si="48"/>
        <v>0</v>
      </c>
      <c r="R199" s="39" t="s">
        <v>195</v>
      </c>
      <c r="S199" s="55">
        <v>42217</v>
      </c>
      <c r="T199" s="55">
        <v>43312</v>
      </c>
      <c r="U199" s="56">
        <v>8280</v>
      </c>
      <c r="V199" s="349" t="s">
        <v>359</v>
      </c>
    </row>
    <row r="200" spans="1:25" ht="27.75" customHeight="1">
      <c r="A200" s="186">
        <v>32</v>
      </c>
      <c r="B200" s="40" t="s">
        <v>356</v>
      </c>
      <c r="C200" s="346" t="s">
        <v>360</v>
      </c>
      <c r="D200" s="141">
        <v>1410</v>
      </c>
      <c r="E200" s="43" t="s">
        <v>45</v>
      </c>
      <c r="F200" s="44">
        <v>0</v>
      </c>
      <c r="G200" s="45">
        <v>0</v>
      </c>
      <c r="H200" s="45"/>
      <c r="I200" s="47">
        <v>0</v>
      </c>
      <c r="J200" s="113">
        <v>46085</v>
      </c>
      <c r="K200" s="114" t="s">
        <v>1142</v>
      </c>
      <c r="L200" s="347">
        <v>1410</v>
      </c>
      <c r="M200" s="94" t="s">
        <v>45</v>
      </c>
      <c r="N200" s="116">
        <v>0</v>
      </c>
      <c r="O200" s="233">
        <f t="shared" si="47"/>
        <v>0</v>
      </c>
      <c r="P200" s="233"/>
      <c r="Q200" s="47">
        <f t="shared" si="48"/>
        <v>0</v>
      </c>
      <c r="R200" s="39"/>
      <c r="S200" s="55"/>
      <c r="T200" s="55"/>
      <c r="U200" s="56"/>
      <c r="V200" s="349"/>
    </row>
    <row r="201" spans="1:25" ht="27.75" customHeight="1">
      <c r="A201" s="186">
        <v>33</v>
      </c>
      <c r="B201" s="40" t="s">
        <v>356</v>
      </c>
      <c r="C201" s="346" t="s">
        <v>361</v>
      </c>
      <c r="D201" s="141">
        <v>1410</v>
      </c>
      <c r="E201" s="43" t="s">
        <v>45</v>
      </c>
      <c r="F201" s="44">
        <v>0</v>
      </c>
      <c r="G201" s="45">
        <v>0</v>
      </c>
      <c r="H201" s="45"/>
      <c r="I201" s="47">
        <v>0</v>
      </c>
      <c r="J201" s="113">
        <v>46085</v>
      </c>
      <c r="K201" s="114" t="s">
        <v>1142</v>
      </c>
      <c r="L201" s="347">
        <v>1410</v>
      </c>
      <c r="M201" s="94" t="s">
        <v>45</v>
      </c>
      <c r="N201" s="116">
        <v>0</v>
      </c>
      <c r="O201" s="233">
        <f t="shared" si="47"/>
        <v>0</v>
      </c>
      <c r="P201" s="233"/>
      <c r="Q201" s="47">
        <f t="shared" si="48"/>
        <v>0</v>
      </c>
      <c r="R201" s="39"/>
      <c r="S201" s="55"/>
      <c r="T201" s="55"/>
      <c r="U201" s="56"/>
      <c r="V201" s="349"/>
      <c r="Y201" s="4" t="s">
        <v>56</v>
      </c>
    </row>
    <row r="202" spans="1:25" ht="27.75" customHeight="1">
      <c r="A202" s="186">
        <v>34</v>
      </c>
      <c r="B202" s="40" t="s">
        <v>362</v>
      </c>
      <c r="C202" s="346" t="s">
        <v>363</v>
      </c>
      <c r="D202" s="141">
        <v>1410</v>
      </c>
      <c r="E202" s="43" t="s">
        <v>45</v>
      </c>
      <c r="F202" s="44">
        <v>0</v>
      </c>
      <c r="G202" s="45">
        <v>0</v>
      </c>
      <c r="H202" s="45"/>
      <c r="I202" s="47">
        <v>0</v>
      </c>
      <c r="J202" s="113">
        <v>46082</v>
      </c>
      <c r="K202" s="114" t="s">
        <v>1143</v>
      </c>
      <c r="L202" s="347">
        <v>1410</v>
      </c>
      <c r="M202" s="94" t="s">
        <v>45</v>
      </c>
      <c r="N202" s="116">
        <v>0</v>
      </c>
      <c r="O202" s="233">
        <f t="shared" si="47"/>
        <v>0</v>
      </c>
      <c r="P202" s="233"/>
      <c r="Q202" s="47">
        <f t="shared" si="48"/>
        <v>0</v>
      </c>
      <c r="R202" s="348" t="s">
        <v>195</v>
      </c>
      <c r="S202" s="299" t="s">
        <v>307</v>
      </c>
      <c r="T202" s="299" t="s">
        <v>308</v>
      </c>
      <c r="U202" s="56">
        <v>21960</v>
      </c>
      <c r="V202" s="349" t="s">
        <v>365</v>
      </c>
      <c r="W202" s="295" t="s">
        <v>289</v>
      </c>
      <c r="X202" s="40" t="s">
        <v>366</v>
      </c>
    </row>
    <row r="203" spans="1:25" ht="27.75" customHeight="1">
      <c r="A203" s="186">
        <v>35</v>
      </c>
      <c r="B203" s="40" t="s">
        <v>362</v>
      </c>
      <c r="C203" s="346" t="s">
        <v>367</v>
      </c>
      <c r="D203" s="141">
        <v>1410</v>
      </c>
      <c r="E203" s="43" t="s">
        <v>45</v>
      </c>
      <c r="F203" s="44">
        <v>0</v>
      </c>
      <c r="G203" s="45">
        <v>0</v>
      </c>
      <c r="H203" s="45"/>
      <c r="I203" s="47">
        <v>0</v>
      </c>
      <c r="J203" s="113">
        <v>46082</v>
      </c>
      <c r="K203" s="114" t="s">
        <v>1143</v>
      </c>
      <c r="L203" s="347">
        <v>1410</v>
      </c>
      <c r="M203" s="94" t="s">
        <v>45</v>
      </c>
      <c r="N203" s="116">
        <v>0</v>
      </c>
      <c r="O203" s="233">
        <f t="shared" si="47"/>
        <v>0</v>
      </c>
      <c r="P203" s="233"/>
      <c r="Q203" s="47">
        <f t="shared" si="48"/>
        <v>0</v>
      </c>
      <c r="R203" s="348"/>
      <c r="S203" s="299"/>
      <c r="T203" s="299"/>
      <c r="U203" s="56"/>
      <c r="V203" s="349"/>
      <c r="W203" s="295"/>
      <c r="X203" s="350"/>
    </row>
    <row r="204" spans="1:25" ht="27.75" customHeight="1">
      <c r="A204" s="186">
        <v>36</v>
      </c>
      <c r="B204" s="40" t="s">
        <v>362</v>
      </c>
      <c r="C204" s="346" t="s">
        <v>368</v>
      </c>
      <c r="D204" s="141">
        <v>1410</v>
      </c>
      <c r="E204" s="43" t="s">
        <v>45</v>
      </c>
      <c r="F204" s="44">
        <v>0</v>
      </c>
      <c r="G204" s="45">
        <v>0</v>
      </c>
      <c r="H204" s="45"/>
      <c r="I204" s="47">
        <v>0</v>
      </c>
      <c r="J204" s="113">
        <v>46082</v>
      </c>
      <c r="K204" s="114" t="s">
        <v>1143</v>
      </c>
      <c r="L204" s="347">
        <v>1410</v>
      </c>
      <c r="M204" s="94" t="s">
        <v>45</v>
      </c>
      <c r="N204" s="116">
        <v>0</v>
      </c>
      <c r="O204" s="233">
        <f t="shared" si="47"/>
        <v>0</v>
      </c>
      <c r="P204" s="233"/>
      <c r="Q204" s="47">
        <f t="shared" si="48"/>
        <v>0</v>
      </c>
      <c r="R204" s="348"/>
      <c r="S204" s="299"/>
      <c r="T204" s="299"/>
      <c r="U204" s="56"/>
      <c r="V204" s="349"/>
      <c r="W204" s="295"/>
      <c r="X204" s="350"/>
    </row>
    <row r="205" spans="1:25" ht="27.75" customHeight="1">
      <c r="A205" s="186">
        <v>37</v>
      </c>
      <c r="B205" s="40" t="s">
        <v>362</v>
      </c>
      <c r="C205" s="346" t="s">
        <v>369</v>
      </c>
      <c r="D205" s="141">
        <v>1410</v>
      </c>
      <c r="E205" s="43" t="s">
        <v>45</v>
      </c>
      <c r="F205" s="44">
        <v>0</v>
      </c>
      <c r="G205" s="45">
        <v>0</v>
      </c>
      <c r="H205" s="45"/>
      <c r="I205" s="47">
        <v>0</v>
      </c>
      <c r="J205" s="113">
        <v>46082</v>
      </c>
      <c r="K205" s="114" t="s">
        <v>1143</v>
      </c>
      <c r="L205" s="347">
        <v>1410</v>
      </c>
      <c r="M205" s="94" t="s">
        <v>45</v>
      </c>
      <c r="N205" s="116">
        <v>0</v>
      </c>
      <c r="O205" s="233">
        <f t="shared" si="47"/>
        <v>0</v>
      </c>
      <c r="P205" s="233"/>
      <c r="Q205" s="47">
        <f t="shared" si="48"/>
        <v>0</v>
      </c>
      <c r="R205" s="348"/>
      <c r="S205" s="299"/>
      <c r="T205" s="299"/>
      <c r="U205" s="56"/>
      <c r="V205" s="349"/>
      <c r="W205" s="295"/>
      <c r="X205" s="350"/>
    </row>
    <row r="206" spans="1:25" ht="27.75" customHeight="1">
      <c r="A206" s="186">
        <v>38</v>
      </c>
      <c r="B206" s="40" t="s">
        <v>362</v>
      </c>
      <c r="C206" s="346" t="s">
        <v>370</v>
      </c>
      <c r="D206" s="141">
        <v>1410</v>
      </c>
      <c r="E206" s="43" t="s">
        <v>45</v>
      </c>
      <c r="F206" s="44">
        <v>0</v>
      </c>
      <c r="G206" s="45">
        <v>0</v>
      </c>
      <c r="H206" s="45"/>
      <c r="I206" s="47">
        <v>0</v>
      </c>
      <c r="J206" s="113">
        <v>46082</v>
      </c>
      <c r="K206" s="114" t="s">
        <v>1143</v>
      </c>
      <c r="L206" s="347">
        <v>1410</v>
      </c>
      <c r="M206" s="94" t="s">
        <v>45</v>
      </c>
      <c r="N206" s="116">
        <v>0</v>
      </c>
      <c r="O206" s="233">
        <f t="shared" si="47"/>
        <v>0</v>
      </c>
      <c r="P206" s="233"/>
      <c r="Q206" s="47">
        <f t="shared" si="48"/>
        <v>0</v>
      </c>
      <c r="R206" s="348"/>
      <c r="S206" s="299"/>
      <c r="T206" s="299"/>
      <c r="U206" s="56"/>
      <c r="V206" s="349"/>
      <c r="W206" s="295"/>
      <c r="X206" s="350"/>
    </row>
    <row r="207" spans="1:25" ht="27.75" customHeight="1">
      <c r="A207" s="186">
        <v>39</v>
      </c>
      <c r="B207" s="40" t="s">
        <v>362</v>
      </c>
      <c r="C207" s="346" t="s">
        <v>371</v>
      </c>
      <c r="D207" s="141">
        <v>1410</v>
      </c>
      <c r="E207" s="43" t="s">
        <v>45</v>
      </c>
      <c r="F207" s="44">
        <v>0</v>
      </c>
      <c r="G207" s="45">
        <v>0</v>
      </c>
      <c r="H207" s="45"/>
      <c r="I207" s="47">
        <v>0</v>
      </c>
      <c r="J207" s="113">
        <v>46082</v>
      </c>
      <c r="K207" s="114" t="s">
        <v>1143</v>
      </c>
      <c r="L207" s="347">
        <v>1410</v>
      </c>
      <c r="M207" s="94" t="s">
        <v>45</v>
      </c>
      <c r="N207" s="116">
        <v>0</v>
      </c>
      <c r="O207" s="233">
        <f t="shared" si="47"/>
        <v>0</v>
      </c>
      <c r="P207" s="233"/>
      <c r="Q207" s="47">
        <f t="shared" si="48"/>
        <v>0</v>
      </c>
      <c r="R207" s="348"/>
      <c r="S207" s="299"/>
      <c r="T207" s="299"/>
      <c r="U207" s="56"/>
      <c r="V207" s="349"/>
      <c r="W207" s="295"/>
      <c r="X207" s="350"/>
    </row>
    <row r="208" spans="1:25" ht="27.75" customHeight="1">
      <c r="A208" s="186">
        <v>40</v>
      </c>
      <c r="B208" s="40" t="s">
        <v>372</v>
      </c>
      <c r="C208" s="346" t="s">
        <v>373</v>
      </c>
      <c r="D208" s="141">
        <v>1410</v>
      </c>
      <c r="E208" s="43" t="s">
        <v>45</v>
      </c>
      <c r="F208" s="44">
        <v>0</v>
      </c>
      <c r="G208" s="45">
        <v>0</v>
      </c>
      <c r="H208" s="45"/>
      <c r="I208" s="47">
        <v>0</v>
      </c>
      <c r="J208" s="113">
        <v>46083</v>
      </c>
      <c r="K208" s="114" t="s">
        <v>1144</v>
      </c>
      <c r="L208" s="347">
        <v>1410</v>
      </c>
      <c r="M208" s="94" t="s">
        <v>45</v>
      </c>
      <c r="N208" s="116">
        <v>0</v>
      </c>
      <c r="O208" s="233">
        <f t="shared" si="47"/>
        <v>0</v>
      </c>
      <c r="P208" s="233"/>
      <c r="Q208" s="47">
        <f t="shared" si="48"/>
        <v>0</v>
      </c>
      <c r="R208" s="348" t="s">
        <v>195</v>
      </c>
      <c r="S208" s="299" t="s">
        <v>307</v>
      </c>
      <c r="T208" s="299" t="s">
        <v>308</v>
      </c>
      <c r="U208" s="56">
        <v>14640</v>
      </c>
      <c r="V208" s="349" t="s">
        <v>375</v>
      </c>
      <c r="W208" s="295" t="s">
        <v>289</v>
      </c>
      <c r="X208" s="4" t="s">
        <v>376</v>
      </c>
    </row>
    <row r="209" spans="1:24" ht="27.75" customHeight="1">
      <c r="A209" s="186">
        <v>41</v>
      </c>
      <c r="B209" s="40" t="s">
        <v>372</v>
      </c>
      <c r="C209" s="346" t="s">
        <v>377</v>
      </c>
      <c r="D209" s="141">
        <v>1410</v>
      </c>
      <c r="E209" s="43" t="s">
        <v>45</v>
      </c>
      <c r="F209" s="44">
        <v>0</v>
      </c>
      <c r="G209" s="45">
        <v>0</v>
      </c>
      <c r="H209" s="45"/>
      <c r="I209" s="47">
        <v>0</v>
      </c>
      <c r="J209" s="113">
        <v>46083</v>
      </c>
      <c r="K209" s="114" t="s">
        <v>1144</v>
      </c>
      <c r="L209" s="347">
        <v>1410</v>
      </c>
      <c r="M209" s="94" t="s">
        <v>45</v>
      </c>
      <c r="N209" s="116">
        <v>0</v>
      </c>
      <c r="O209" s="233">
        <f t="shared" si="47"/>
        <v>0</v>
      </c>
      <c r="P209" s="233"/>
      <c r="Q209" s="47">
        <f t="shared" si="48"/>
        <v>0</v>
      </c>
      <c r="R209" s="348"/>
      <c r="S209" s="299"/>
      <c r="T209" s="299"/>
      <c r="U209" s="56"/>
      <c r="V209" s="349"/>
      <c r="W209" s="295"/>
    </row>
    <row r="210" spans="1:24" ht="27.75" customHeight="1">
      <c r="A210" s="186">
        <v>42</v>
      </c>
      <c r="B210" s="40" t="s">
        <v>372</v>
      </c>
      <c r="C210" s="346" t="s">
        <v>378</v>
      </c>
      <c r="D210" s="141">
        <v>1410</v>
      </c>
      <c r="E210" s="43" t="s">
        <v>45</v>
      </c>
      <c r="F210" s="44">
        <v>0</v>
      </c>
      <c r="G210" s="45">
        <v>0</v>
      </c>
      <c r="H210" s="45"/>
      <c r="I210" s="47">
        <v>0</v>
      </c>
      <c r="J210" s="113">
        <v>46083</v>
      </c>
      <c r="K210" s="114" t="s">
        <v>1144</v>
      </c>
      <c r="L210" s="347">
        <v>1410</v>
      </c>
      <c r="M210" s="94" t="s">
        <v>45</v>
      </c>
      <c r="N210" s="116">
        <v>0</v>
      </c>
      <c r="O210" s="233">
        <f t="shared" si="47"/>
        <v>0</v>
      </c>
      <c r="P210" s="233"/>
      <c r="Q210" s="47">
        <f t="shared" si="48"/>
        <v>0</v>
      </c>
      <c r="R210" s="348"/>
      <c r="S210" s="299"/>
      <c r="T210" s="299"/>
      <c r="U210" s="56"/>
      <c r="V210" s="349"/>
      <c r="W210" s="295"/>
    </row>
    <row r="211" spans="1:24" ht="27.75" customHeight="1">
      <c r="A211" s="186">
        <v>43</v>
      </c>
      <c r="B211" s="40" t="s">
        <v>372</v>
      </c>
      <c r="C211" s="346" t="s">
        <v>379</v>
      </c>
      <c r="D211" s="141">
        <v>1410</v>
      </c>
      <c r="E211" s="43" t="s">
        <v>45</v>
      </c>
      <c r="F211" s="44">
        <v>0</v>
      </c>
      <c r="G211" s="45">
        <v>0</v>
      </c>
      <c r="H211" s="45"/>
      <c r="I211" s="47">
        <v>0</v>
      </c>
      <c r="J211" s="113">
        <v>46083</v>
      </c>
      <c r="K211" s="114" t="s">
        <v>1144</v>
      </c>
      <c r="L211" s="347">
        <v>1410</v>
      </c>
      <c r="M211" s="94" t="s">
        <v>45</v>
      </c>
      <c r="N211" s="116">
        <v>0</v>
      </c>
      <c r="O211" s="233">
        <f t="shared" si="47"/>
        <v>0</v>
      </c>
      <c r="P211" s="233"/>
      <c r="Q211" s="47">
        <f t="shared" si="48"/>
        <v>0</v>
      </c>
      <c r="R211" s="348"/>
      <c r="S211" s="299"/>
      <c r="T211" s="299"/>
      <c r="U211" s="56"/>
      <c r="V211" s="349"/>
      <c r="W211" s="295"/>
    </row>
    <row r="212" spans="1:24" ht="27.75" customHeight="1">
      <c r="A212" s="186">
        <v>44</v>
      </c>
      <c r="B212" s="40" t="s">
        <v>380</v>
      </c>
      <c r="C212" s="346" t="s">
        <v>381</v>
      </c>
      <c r="D212" s="141">
        <v>1410</v>
      </c>
      <c r="E212" s="43" t="s">
        <v>45</v>
      </c>
      <c r="F212" s="44">
        <v>0</v>
      </c>
      <c r="G212" s="45">
        <v>0</v>
      </c>
      <c r="H212" s="45"/>
      <c r="I212" s="47">
        <v>0</v>
      </c>
      <c r="J212" s="175">
        <v>46086</v>
      </c>
      <c r="K212" s="176" t="s">
        <v>1145</v>
      </c>
      <c r="L212" s="222">
        <v>1410</v>
      </c>
      <c r="M212" s="94" t="s">
        <v>45</v>
      </c>
      <c r="N212" s="116">
        <v>0</v>
      </c>
      <c r="O212" s="233">
        <f t="shared" si="47"/>
        <v>0</v>
      </c>
      <c r="P212" s="233"/>
      <c r="Q212" s="47">
        <f t="shared" si="48"/>
        <v>0</v>
      </c>
      <c r="R212" s="348" t="s">
        <v>195</v>
      </c>
      <c r="S212" s="299" t="s">
        <v>307</v>
      </c>
      <c r="T212" s="299" t="s">
        <v>308</v>
      </c>
      <c r="U212" s="56">
        <v>14640</v>
      </c>
      <c r="V212" s="349" t="s">
        <v>383</v>
      </c>
      <c r="W212" s="295" t="s">
        <v>289</v>
      </c>
      <c r="X212" s="4" t="s">
        <v>384</v>
      </c>
    </row>
    <row r="213" spans="1:24" ht="27.75" customHeight="1">
      <c r="A213" s="186">
        <v>45</v>
      </c>
      <c r="B213" s="40" t="s">
        <v>380</v>
      </c>
      <c r="C213" s="346" t="s">
        <v>385</v>
      </c>
      <c r="D213" s="141">
        <v>1410</v>
      </c>
      <c r="E213" s="43" t="s">
        <v>45</v>
      </c>
      <c r="F213" s="44">
        <v>0</v>
      </c>
      <c r="G213" s="45">
        <v>0</v>
      </c>
      <c r="H213" s="45"/>
      <c r="I213" s="47">
        <v>0</v>
      </c>
      <c r="J213" s="175">
        <v>46086</v>
      </c>
      <c r="K213" s="176" t="s">
        <v>1145</v>
      </c>
      <c r="L213" s="222">
        <v>1410</v>
      </c>
      <c r="M213" s="94" t="s">
        <v>45</v>
      </c>
      <c r="N213" s="116">
        <v>0</v>
      </c>
      <c r="O213" s="233">
        <f t="shared" si="47"/>
        <v>0</v>
      </c>
      <c r="P213" s="233"/>
      <c r="Q213" s="47">
        <f t="shared" si="48"/>
        <v>0</v>
      </c>
      <c r="R213" s="348"/>
      <c r="S213" s="299"/>
      <c r="T213" s="299"/>
      <c r="U213" s="56"/>
      <c r="V213" s="349"/>
      <c r="W213" s="295"/>
    </row>
    <row r="214" spans="1:24" ht="27.75" customHeight="1">
      <c r="A214" s="186">
        <v>46</v>
      </c>
      <c r="B214" s="40" t="s">
        <v>380</v>
      </c>
      <c r="C214" s="346" t="s">
        <v>386</v>
      </c>
      <c r="D214" s="141">
        <v>1410</v>
      </c>
      <c r="E214" s="43" t="s">
        <v>45</v>
      </c>
      <c r="F214" s="44">
        <v>0</v>
      </c>
      <c r="G214" s="45">
        <v>0</v>
      </c>
      <c r="H214" s="45"/>
      <c r="I214" s="47">
        <v>0</v>
      </c>
      <c r="J214" s="175">
        <v>46086</v>
      </c>
      <c r="K214" s="176" t="s">
        <v>1145</v>
      </c>
      <c r="L214" s="222">
        <v>1410</v>
      </c>
      <c r="M214" s="94" t="s">
        <v>45</v>
      </c>
      <c r="N214" s="116">
        <v>0</v>
      </c>
      <c r="O214" s="233">
        <f t="shared" si="47"/>
        <v>0</v>
      </c>
      <c r="P214" s="233"/>
      <c r="Q214" s="47">
        <f t="shared" si="48"/>
        <v>0</v>
      </c>
      <c r="R214" s="348"/>
      <c r="S214" s="299"/>
      <c r="T214" s="299"/>
      <c r="U214" s="56"/>
      <c r="V214" s="349"/>
      <c r="W214" s="295"/>
    </row>
    <row r="215" spans="1:24" ht="27.75" customHeight="1">
      <c r="A215" s="186">
        <v>47</v>
      </c>
      <c r="B215" s="40" t="s">
        <v>380</v>
      </c>
      <c r="C215" s="346" t="s">
        <v>387</v>
      </c>
      <c r="D215" s="141">
        <v>1410</v>
      </c>
      <c r="E215" s="43" t="s">
        <v>45</v>
      </c>
      <c r="F215" s="44">
        <v>0</v>
      </c>
      <c r="G215" s="45">
        <v>0</v>
      </c>
      <c r="H215" s="45"/>
      <c r="I215" s="47">
        <v>0</v>
      </c>
      <c r="J215" s="175">
        <v>46086</v>
      </c>
      <c r="K215" s="176" t="s">
        <v>1145</v>
      </c>
      <c r="L215" s="222">
        <v>1410</v>
      </c>
      <c r="M215" s="94" t="s">
        <v>45</v>
      </c>
      <c r="N215" s="116">
        <v>0</v>
      </c>
      <c r="O215" s="233">
        <f t="shared" si="47"/>
        <v>0</v>
      </c>
      <c r="P215" s="233"/>
      <c r="Q215" s="47">
        <f t="shared" si="48"/>
        <v>0</v>
      </c>
      <c r="R215" s="348"/>
      <c r="S215" s="299"/>
      <c r="T215" s="299"/>
      <c r="U215" s="56"/>
      <c r="V215" s="349"/>
      <c r="W215" s="295"/>
    </row>
    <row r="216" spans="1:24" ht="27.75" customHeight="1">
      <c r="A216" s="186">
        <v>48</v>
      </c>
      <c r="B216" s="351" t="s">
        <v>66</v>
      </c>
      <c r="C216" s="346" t="s">
        <v>388</v>
      </c>
      <c r="D216" s="141">
        <v>1760</v>
      </c>
      <c r="E216" s="43" t="s">
        <v>823</v>
      </c>
      <c r="F216" s="44">
        <v>1</v>
      </c>
      <c r="G216" s="45">
        <v>1760</v>
      </c>
      <c r="H216" s="45"/>
      <c r="I216" s="47">
        <v>1760</v>
      </c>
      <c r="J216" s="175" t="s">
        <v>1059</v>
      </c>
      <c r="K216" s="176" t="s">
        <v>1146</v>
      </c>
      <c r="L216" s="222">
        <v>3520</v>
      </c>
      <c r="M216" s="94" t="s">
        <v>45</v>
      </c>
      <c r="N216" s="116">
        <v>0</v>
      </c>
      <c r="O216" s="233">
        <f t="shared" si="47"/>
        <v>0</v>
      </c>
      <c r="P216" s="233"/>
      <c r="Q216" s="47">
        <f t="shared" si="48"/>
        <v>0</v>
      </c>
      <c r="R216" s="39" t="s">
        <v>195</v>
      </c>
      <c r="S216" s="55">
        <v>43313</v>
      </c>
      <c r="T216" s="55">
        <v>44408</v>
      </c>
      <c r="U216" s="56">
        <v>11925</v>
      </c>
      <c r="V216" s="349"/>
    </row>
    <row r="217" spans="1:24" ht="27.75" customHeight="1">
      <c r="A217" s="186">
        <v>49</v>
      </c>
      <c r="B217" s="351" t="s">
        <v>66</v>
      </c>
      <c r="C217" s="346" t="s">
        <v>390</v>
      </c>
      <c r="D217" s="141">
        <v>1760</v>
      </c>
      <c r="E217" s="43" t="s">
        <v>823</v>
      </c>
      <c r="F217" s="44">
        <v>1</v>
      </c>
      <c r="G217" s="45">
        <v>1760</v>
      </c>
      <c r="H217" s="45"/>
      <c r="I217" s="47">
        <v>1760</v>
      </c>
      <c r="J217" s="175" t="s">
        <v>1059</v>
      </c>
      <c r="K217" s="176" t="s">
        <v>1146</v>
      </c>
      <c r="L217" s="222">
        <v>3520</v>
      </c>
      <c r="M217" s="94" t="s">
        <v>45</v>
      </c>
      <c r="N217" s="116">
        <v>0</v>
      </c>
      <c r="O217" s="233">
        <f t="shared" si="47"/>
        <v>0</v>
      </c>
      <c r="P217" s="233"/>
      <c r="Q217" s="47">
        <f t="shared" si="48"/>
        <v>0</v>
      </c>
      <c r="R217" s="39"/>
      <c r="S217" s="55"/>
      <c r="T217" s="55"/>
      <c r="U217" s="56"/>
      <c r="V217" s="349"/>
    </row>
    <row r="218" spans="1:24" ht="27.75" customHeight="1">
      <c r="A218" s="186">
        <v>50</v>
      </c>
      <c r="B218" s="351" t="s">
        <v>66</v>
      </c>
      <c r="C218" s="346" t="s">
        <v>391</v>
      </c>
      <c r="D218" s="141">
        <v>1760</v>
      </c>
      <c r="E218" s="43" t="s">
        <v>823</v>
      </c>
      <c r="F218" s="44">
        <v>1</v>
      </c>
      <c r="G218" s="45">
        <v>1760</v>
      </c>
      <c r="H218" s="45"/>
      <c r="I218" s="47">
        <v>1760</v>
      </c>
      <c r="J218" s="175" t="s">
        <v>1059</v>
      </c>
      <c r="K218" s="176" t="s">
        <v>1146</v>
      </c>
      <c r="L218" s="222">
        <v>3520</v>
      </c>
      <c r="M218" s="94" t="s">
        <v>45</v>
      </c>
      <c r="N218" s="116">
        <v>0</v>
      </c>
      <c r="O218" s="233">
        <f t="shared" si="47"/>
        <v>0</v>
      </c>
      <c r="P218" s="233"/>
      <c r="Q218" s="47">
        <f t="shared" si="48"/>
        <v>0</v>
      </c>
      <c r="R218" s="39"/>
      <c r="S218" s="55"/>
      <c r="T218" s="55"/>
      <c r="U218" s="56"/>
      <c r="V218" s="349"/>
    </row>
    <row r="219" spans="1:24" ht="27.75" customHeight="1">
      <c r="A219" s="186">
        <v>51</v>
      </c>
      <c r="B219" s="351" t="s">
        <v>66</v>
      </c>
      <c r="C219" s="346" t="s">
        <v>69</v>
      </c>
      <c r="D219" s="141">
        <v>2720</v>
      </c>
      <c r="E219" s="43" t="s">
        <v>823</v>
      </c>
      <c r="F219" s="44">
        <v>1</v>
      </c>
      <c r="G219" s="45">
        <v>2720</v>
      </c>
      <c r="H219" s="45"/>
      <c r="I219" s="47">
        <v>2720</v>
      </c>
      <c r="J219" s="175" t="s">
        <v>1059</v>
      </c>
      <c r="K219" s="176" t="s">
        <v>1147</v>
      </c>
      <c r="L219" s="222">
        <v>5440</v>
      </c>
      <c r="M219" s="94" t="s">
        <v>45</v>
      </c>
      <c r="N219" s="116">
        <v>0</v>
      </c>
      <c r="O219" s="233">
        <f t="shared" si="47"/>
        <v>0</v>
      </c>
      <c r="P219" s="233"/>
      <c r="Q219" s="47">
        <f t="shared" si="48"/>
        <v>0</v>
      </c>
      <c r="R219" s="39" t="s">
        <v>195</v>
      </c>
      <c r="S219" s="55">
        <v>43313</v>
      </c>
      <c r="T219" s="55">
        <v>44408</v>
      </c>
      <c r="U219" s="56">
        <v>9000</v>
      </c>
      <c r="V219" s="349"/>
    </row>
    <row r="220" spans="1:24" ht="27.75" customHeight="1">
      <c r="A220" s="94"/>
      <c r="B220" s="352" t="s">
        <v>393</v>
      </c>
      <c r="C220" s="353"/>
      <c r="D220" s="296"/>
      <c r="E220" s="64"/>
      <c r="F220" s="44"/>
      <c r="G220" s="45"/>
      <c r="H220" s="45"/>
      <c r="I220" s="354"/>
      <c r="J220" s="183"/>
      <c r="K220" s="355"/>
      <c r="L220" s="231"/>
      <c r="M220" s="186"/>
      <c r="N220" s="116"/>
      <c r="O220" s="233"/>
      <c r="P220" s="233"/>
      <c r="Q220" s="17"/>
      <c r="R220" s="356"/>
      <c r="S220" s="55"/>
      <c r="T220" s="55"/>
      <c r="U220" s="56"/>
      <c r="V220" s="349"/>
    </row>
    <row r="221" spans="1:24" ht="27.75" customHeight="1">
      <c r="A221" s="94"/>
      <c r="B221" s="352" t="s">
        <v>394</v>
      </c>
      <c r="C221" s="353"/>
      <c r="D221" s="296"/>
      <c r="E221" s="64"/>
      <c r="F221" s="44"/>
      <c r="G221" s="45"/>
      <c r="H221" s="45"/>
      <c r="I221" s="354"/>
      <c r="J221" s="175"/>
      <c r="K221" s="355"/>
      <c r="L221" s="222"/>
      <c r="M221" s="186"/>
      <c r="N221" s="116"/>
      <c r="O221" s="233"/>
      <c r="P221" s="233"/>
      <c r="Q221" s="17"/>
      <c r="R221" s="356"/>
      <c r="S221" s="55"/>
      <c r="T221" s="55"/>
      <c r="U221" s="56"/>
      <c r="V221" s="349"/>
    </row>
    <row r="222" spans="1:24" ht="27.75" customHeight="1" thickBot="1">
      <c r="A222" s="357"/>
      <c r="B222" s="358"/>
      <c r="C222" s="359"/>
      <c r="D222" s="360">
        <f>SUM(D169:D221)</f>
        <v>73700</v>
      </c>
      <c r="E222" s="100"/>
      <c r="F222" s="101"/>
      <c r="G222" s="102">
        <f>SUM(G216:G219)</f>
        <v>8000</v>
      </c>
      <c r="H222" s="102">
        <v>0</v>
      </c>
      <c r="I222" s="102">
        <f>SUM(I216:I219)</f>
        <v>8000</v>
      </c>
      <c r="J222" s="361"/>
      <c r="K222" s="361"/>
      <c r="L222" s="362">
        <f>SUM(L169:L221)</f>
        <v>75760</v>
      </c>
      <c r="M222" s="106"/>
      <c r="N222" s="107"/>
      <c r="O222" s="363">
        <f>SUM(O169:O221)-O187-O188-O189</f>
        <v>0</v>
      </c>
      <c r="P222" s="363">
        <f t="shared" ref="P222:Q222" si="49">SUM(P169:P221)-P187-P188-P189</f>
        <v>0</v>
      </c>
      <c r="Q222" s="363">
        <f t="shared" si="49"/>
        <v>0</v>
      </c>
      <c r="R222" s="356"/>
      <c r="S222" s="55"/>
      <c r="T222" s="55"/>
      <c r="U222" s="56"/>
      <c r="V222" s="349"/>
    </row>
    <row r="223" spans="1:24" ht="27.75" customHeight="1" thickTop="1">
      <c r="A223" s="94"/>
      <c r="B223" s="364" t="s">
        <v>395</v>
      </c>
      <c r="C223" s="81"/>
      <c r="D223" s="192"/>
      <c r="E223" s="365"/>
      <c r="F223" s="126"/>
      <c r="G223" s="65"/>
      <c r="H223" s="65"/>
      <c r="I223" s="85"/>
      <c r="J223" s="178"/>
      <c r="K223" s="179"/>
      <c r="L223" s="264"/>
      <c r="M223" s="83"/>
      <c r="N223" s="251"/>
      <c r="O223" s="337"/>
      <c r="P223" s="337"/>
      <c r="Q223" s="85"/>
      <c r="R223" s="39"/>
      <c r="S223" s="55"/>
      <c r="T223" s="55"/>
      <c r="U223" s="56"/>
      <c r="V223" s="56"/>
    </row>
    <row r="224" spans="1:24" ht="27.75" customHeight="1">
      <c r="A224" s="94">
        <v>1</v>
      </c>
      <c r="B224" s="366" t="s">
        <v>167</v>
      </c>
      <c r="C224" s="367" t="s">
        <v>396</v>
      </c>
      <c r="D224" s="141">
        <v>22690</v>
      </c>
      <c r="E224" s="43" t="s">
        <v>45</v>
      </c>
      <c r="F224" s="44">
        <v>0</v>
      </c>
      <c r="G224" s="45">
        <v>0</v>
      </c>
      <c r="H224" s="45"/>
      <c r="I224" s="47">
        <v>0</v>
      </c>
      <c r="J224" s="175">
        <v>46087</v>
      </c>
      <c r="K224" s="176" t="s">
        <v>1148</v>
      </c>
      <c r="L224" s="222">
        <v>22690</v>
      </c>
      <c r="M224" s="94" t="s">
        <v>45</v>
      </c>
      <c r="N224" s="116">
        <v>0</v>
      </c>
      <c r="O224" s="233">
        <f t="shared" ref="O224" si="50">+I224+D224-L224</f>
        <v>0</v>
      </c>
      <c r="P224" s="233"/>
      <c r="Q224" s="368">
        <f t="shared" ref="Q224" si="51">+O224+P224</f>
        <v>0</v>
      </c>
      <c r="R224" s="348" t="s">
        <v>195</v>
      </c>
      <c r="S224" s="299">
        <v>44166</v>
      </c>
      <c r="T224" s="299">
        <v>45260</v>
      </c>
      <c r="U224" s="149">
        <v>51450</v>
      </c>
      <c r="V224" s="369" t="s">
        <v>398</v>
      </c>
      <c r="W224" s="4" t="s">
        <v>399</v>
      </c>
      <c r="X224" s="4" t="s">
        <v>400</v>
      </c>
    </row>
    <row r="225" spans="1:24" ht="27.75" customHeight="1">
      <c r="A225" s="94"/>
      <c r="B225" s="366" t="s">
        <v>401</v>
      </c>
      <c r="C225" s="367" t="s">
        <v>402</v>
      </c>
      <c r="D225" s="141"/>
      <c r="E225" s="43"/>
      <c r="F225" s="44"/>
      <c r="G225" s="45"/>
      <c r="H225" s="45"/>
      <c r="I225" s="47"/>
      <c r="J225" s="175"/>
      <c r="K225" s="176"/>
      <c r="L225" s="222"/>
      <c r="M225" s="94"/>
      <c r="N225" s="116"/>
      <c r="O225" s="233"/>
      <c r="P225" s="233"/>
      <c r="Q225" s="368"/>
      <c r="R225" s="348"/>
      <c r="S225" s="299"/>
      <c r="T225" s="299"/>
      <c r="U225" s="149"/>
      <c r="V225" s="369"/>
    </row>
    <row r="226" spans="1:24" ht="27.75" customHeight="1">
      <c r="A226" s="94">
        <v>2</v>
      </c>
      <c r="B226" s="366" t="s">
        <v>24</v>
      </c>
      <c r="C226" s="367" t="s">
        <v>403</v>
      </c>
      <c r="D226" s="141">
        <v>15295</v>
      </c>
      <c r="E226" s="43" t="s">
        <v>45</v>
      </c>
      <c r="F226" s="44">
        <v>0</v>
      </c>
      <c r="G226" s="45">
        <v>0</v>
      </c>
      <c r="H226" s="45"/>
      <c r="I226" s="47">
        <v>0</v>
      </c>
      <c r="J226" s="175">
        <v>46083</v>
      </c>
      <c r="K226" s="176" t="s">
        <v>1149</v>
      </c>
      <c r="L226" s="222">
        <v>15295</v>
      </c>
      <c r="M226" s="94" t="s">
        <v>45</v>
      </c>
      <c r="N226" s="116">
        <v>0</v>
      </c>
      <c r="O226" s="233">
        <f t="shared" ref="O226" si="52">+I226+D226-L226</f>
        <v>0</v>
      </c>
      <c r="P226" s="233"/>
      <c r="Q226" s="368">
        <f t="shared" ref="Q226" si="53">+O226+P226</f>
        <v>0</v>
      </c>
      <c r="R226" s="348" t="s">
        <v>405</v>
      </c>
      <c r="S226" s="299">
        <v>44562</v>
      </c>
      <c r="T226" s="299" t="s">
        <v>406</v>
      </c>
      <c r="U226" s="149">
        <v>34680</v>
      </c>
      <c r="V226" s="370" t="s">
        <v>407</v>
      </c>
      <c r="W226" s="295" t="s">
        <v>289</v>
      </c>
      <c r="X226" s="4" t="s">
        <v>408</v>
      </c>
    </row>
    <row r="227" spans="1:24" ht="27.75" customHeight="1">
      <c r="A227" s="94"/>
      <c r="B227" s="366" t="s">
        <v>409</v>
      </c>
      <c r="C227" s="367" t="s">
        <v>410</v>
      </c>
      <c r="D227" s="141"/>
      <c r="E227" s="43"/>
      <c r="F227" s="44"/>
      <c r="G227" s="45"/>
      <c r="H227" s="45"/>
      <c r="I227" s="47"/>
      <c r="J227" s="175"/>
      <c r="K227" s="176"/>
      <c r="L227" s="222"/>
      <c r="M227" s="94"/>
      <c r="N227" s="116"/>
      <c r="O227" s="233"/>
      <c r="P227" s="233"/>
      <c r="Q227" s="368"/>
      <c r="R227" s="348"/>
      <c r="S227" s="299"/>
      <c r="T227" s="299"/>
      <c r="U227" s="149"/>
      <c r="V227" s="370"/>
      <c r="W227" s="295"/>
    </row>
    <row r="228" spans="1:24" ht="27.75" customHeight="1">
      <c r="A228" s="94">
        <v>3</v>
      </c>
      <c r="B228" s="366" t="s">
        <v>411</v>
      </c>
      <c r="C228" s="367" t="s">
        <v>412</v>
      </c>
      <c r="D228" s="141">
        <v>5360</v>
      </c>
      <c r="E228" s="43" t="s">
        <v>45</v>
      </c>
      <c r="F228" s="44">
        <v>0</v>
      </c>
      <c r="G228" s="45">
        <v>0</v>
      </c>
      <c r="H228" s="45"/>
      <c r="I228" s="47">
        <v>0</v>
      </c>
      <c r="J228" s="175">
        <v>46085</v>
      </c>
      <c r="K228" s="176" t="s">
        <v>1150</v>
      </c>
      <c r="L228" s="222">
        <v>5360</v>
      </c>
      <c r="M228" s="94" t="s">
        <v>45</v>
      </c>
      <c r="N228" s="116">
        <v>0</v>
      </c>
      <c r="O228" s="233">
        <f t="shared" ref="O228" si="54">+I228+D228-L228</f>
        <v>0</v>
      </c>
      <c r="P228" s="233"/>
      <c r="Q228" s="368">
        <f t="shared" ref="Q228" si="55">+O228+P228</f>
        <v>0</v>
      </c>
      <c r="R228" s="348" t="s">
        <v>405</v>
      </c>
      <c r="S228" s="299">
        <v>44562</v>
      </c>
      <c r="T228" s="299">
        <v>45503</v>
      </c>
      <c r="U228" s="149">
        <v>13980</v>
      </c>
      <c r="V228" s="371" t="s">
        <v>414</v>
      </c>
      <c r="W228" s="295" t="s">
        <v>289</v>
      </c>
      <c r="X228" s="4" t="s">
        <v>415</v>
      </c>
    </row>
    <row r="229" spans="1:24" ht="27.75" customHeight="1">
      <c r="A229" s="94"/>
      <c r="B229" s="366" t="s">
        <v>409</v>
      </c>
      <c r="C229" s="367" t="s">
        <v>416</v>
      </c>
      <c r="D229" s="141"/>
      <c r="E229" s="43"/>
      <c r="F229" s="44"/>
      <c r="G229" s="45"/>
      <c r="H229" s="45"/>
      <c r="I229" s="47"/>
      <c r="J229" s="175"/>
      <c r="K229" s="176"/>
      <c r="L229" s="222"/>
      <c r="N229" s="116"/>
      <c r="O229" s="233"/>
      <c r="P229" s="233"/>
      <c r="Q229" s="368"/>
      <c r="R229" s="348"/>
      <c r="S229" s="299"/>
      <c r="T229" s="299"/>
      <c r="U229" s="149"/>
      <c r="V229" s="371"/>
      <c r="W229" s="295"/>
    </row>
    <row r="230" spans="1:24" ht="27.75" customHeight="1">
      <c r="A230" s="94">
        <v>4</v>
      </c>
      <c r="B230" s="366" t="s">
        <v>417</v>
      </c>
      <c r="C230" s="367" t="s">
        <v>418</v>
      </c>
      <c r="D230" s="141">
        <v>68108.75</v>
      </c>
      <c r="E230" s="373" t="s">
        <v>951</v>
      </c>
      <c r="F230" s="374">
        <v>-0.49999992658799353</v>
      </c>
      <c r="G230" s="375">
        <v>-34054.370000000003</v>
      </c>
      <c r="H230" s="375"/>
      <c r="I230" s="376">
        <v>-34054.370000000003</v>
      </c>
      <c r="J230" s="175">
        <v>46105</v>
      </c>
      <c r="K230" s="176" t="s">
        <v>1151</v>
      </c>
      <c r="L230" s="222">
        <v>68108.75</v>
      </c>
      <c r="M230" s="377" t="s">
        <v>1063</v>
      </c>
      <c r="N230" s="116">
        <v>-0.49999992658799353</v>
      </c>
      <c r="O230" s="233">
        <f t="shared" ref="O230" si="56">+I230+D230-L230</f>
        <v>-34054.370000000003</v>
      </c>
      <c r="P230" s="233"/>
      <c r="Q230" s="368">
        <f t="shared" ref="Q230" si="57">+O230+P230</f>
        <v>-34054.370000000003</v>
      </c>
      <c r="R230" s="39" t="s">
        <v>195</v>
      </c>
      <c r="S230" s="55">
        <v>40072</v>
      </c>
      <c r="T230" s="55">
        <v>41167</v>
      </c>
      <c r="U230" s="56">
        <v>132250</v>
      </c>
      <c r="V230" s="378" t="s">
        <v>420</v>
      </c>
    </row>
    <row r="231" spans="1:24" ht="27.75" customHeight="1">
      <c r="A231" s="94"/>
      <c r="B231" s="366" t="s">
        <v>409</v>
      </c>
      <c r="C231" s="379"/>
      <c r="D231" s="141"/>
      <c r="E231" s="43"/>
      <c r="F231" s="44"/>
      <c r="G231" s="45">
        <v>0</v>
      </c>
      <c r="H231" s="45"/>
      <c r="I231" s="47">
        <v>0</v>
      </c>
      <c r="J231" s="175"/>
      <c r="K231" s="176"/>
      <c r="L231" s="222"/>
      <c r="M231" s="94"/>
      <c r="N231" s="116"/>
      <c r="O231" s="233">
        <f t="shared" ref="O231:O232" si="58">D231+I231-L231</f>
        <v>0</v>
      </c>
      <c r="P231" s="233"/>
      <c r="Q231" s="368">
        <f t="shared" ref="Q231:Q232" si="59">O231</f>
        <v>0</v>
      </c>
      <c r="R231" s="39"/>
      <c r="S231" s="55"/>
      <c r="T231" s="55"/>
      <c r="U231" s="56"/>
      <c r="V231" s="56"/>
    </row>
    <row r="232" spans="1:24" ht="27.75" customHeight="1">
      <c r="A232" s="94">
        <v>5</v>
      </c>
      <c r="B232" s="366" t="s">
        <v>417</v>
      </c>
      <c r="C232" s="367" t="s">
        <v>421</v>
      </c>
      <c r="D232" s="141">
        <v>4910</v>
      </c>
      <c r="E232" s="43" t="s">
        <v>45</v>
      </c>
      <c r="F232" s="44">
        <v>0</v>
      </c>
      <c r="G232" s="45">
        <v>0</v>
      </c>
      <c r="H232" s="45">
        <v>0</v>
      </c>
      <c r="I232" s="47">
        <v>0</v>
      </c>
      <c r="J232" s="175">
        <v>46082</v>
      </c>
      <c r="K232" s="176" t="s">
        <v>1152</v>
      </c>
      <c r="L232" s="222">
        <v>4910</v>
      </c>
      <c r="M232" s="94" t="s">
        <v>45</v>
      </c>
      <c r="N232" s="116">
        <v>0</v>
      </c>
      <c r="O232" s="233">
        <f t="shared" si="58"/>
        <v>0</v>
      </c>
      <c r="P232" s="233">
        <v>0</v>
      </c>
      <c r="Q232" s="368">
        <f t="shared" si="59"/>
        <v>0</v>
      </c>
      <c r="R232" s="348" t="s">
        <v>195</v>
      </c>
      <c r="S232" s="299" t="s">
        <v>423</v>
      </c>
      <c r="T232" s="299" t="s">
        <v>406</v>
      </c>
      <c r="U232" s="56">
        <v>6420</v>
      </c>
      <c r="V232" s="56" t="s">
        <v>424</v>
      </c>
      <c r="W232" s="295" t="s">
        <v>289</v>
      </c>
      <c r="X232" s="4" t="s">
        <v>425</v>
      </c>
    </row>
    <row r="233" spans="1:24" ht="27.75" customHeight="1">
      <c r="A233" s="94"/>
      <c r="B233" s="366" t="s">
        <v>426</v>
      </c>
      <c r="C233" s="366" t="s">
        <v>427</v>
      </c>
      <c r="D233" s="141"/>
      <c r="E233" s="43"/>
      <c r="F233" s="44"/>
      <c r="G233" s="45"/>
      <c r="H233" s="45"/>
      <c r="I233" s="47"/>
      <c r="J233" s="175"/>
      <c r="K233" s="176"/>
      <c r="L233" s="222"/>
      <c r="M233" s="94"/>
      <c r="N233" s="116"/>
      <c r="O233" s="233"/>
      <c r="P233" s="233"/>
      <c r="Q233" s="368"/>
      <c r="R233" s="348"/>
      <c r="S233" s="299"/>
      <c r="T233" s="299"/>
      <c r="U233" s="56"/>
      <c r="V233" s="56"/>
      <c r="W233" s="295"/>
    </row>
    <row r="234" spans="1:24" ht="27.75" customHeight="1">
      <c r="A234" s="94">
        <v>6</v>
      </c>
      <c r="B234" s="366" t="s">
        <v>428</v>
      </c>
      <c r="C234" s="367" t="s">
        <v>429</v>
      </c>
      <c r="D234" s="141">
        <v>20000</v>
      </c>
      <c r="E234" s="43" t="s">
        <v>45</v>
      </c>
      <c r="F234" s="44">
        <v>0</v>
      </c>
      <c r="G234" s="45"/>
      <c r="H234" s="45"/>
      <c r="I234" s="47"/>
      <c r="J234" s="175">
        <v>46086</v>
      </c>
      <c r="K234" s="176" t="s">
        <v>1153</v>
      </c>
      <c r="L234" s="222">
        <v>20000</v>
      </c>
      <c r="M234" s="94" t="s">
        <v>45</v>
      </c>
      <c r="N234" s="116">
        <v>0</v>
      </c>
      <c r="O234" s="233"/>
      <c r="P234" s="233"/>
      <c r="Q234" s="368"/>
      <c r="R234" s="348"/>
      <c r="S234" s="299"/>
      <c r="T234" s="299"/>
      <c r="U234" s="56"/>
      <c r="V234" s="56"/>
      <c r="W234" s="295"/>
    </row>
    <row r="235" spans="1:24" ht="27.75" customHeight="1">
      <c r="A235" s="94"/>
      <c r="B235" s="366" t="s">
        <v>431</v>
      </c>
      <c r="C235" s="366" t="s">
        <v>432</v>
      </c>
      <c r="D235" s="141"/>
      <c r="E235" s="43"/>
      <c r="F235" s="44"/>
      <c r="G235" s="45"/>
      <c r="H235" s="45"/>
      <c r="I235" s="47"/>
      <c r="J235" s="175"/>
      <c r="K235" s="176"/>
      <c r="L235" s="222"/>
      <c r="M235" s="94"/>
      <c r="N235" s="116"/>
      <c r="O235" s="233"/>
      <c r="P235" s="233"/>
      <c r="Q235" s="47"/>
      <c r="R235" s="39"/>
      <c r="S235" s="55"/>
      <c r="T235" s="55"/>
      <c r="U235" s="56"/>
      <c r="V235" s="56"/>
    </row>
    <row r="236" spans="1:24" ht="27.75" customHeight="1" thickBot="1">
      <c r="A236" s="193"/>
      <c r="B236" s="194" t="s">
        <v>22</v>
      </c>
      <c r="C236" s="195"/>
      <c r="D236" s="196">
        <f>SUM(D224:D235)</f>
        <v>136363.75</v>
      </c>
      <c r="E236" s="221"/>
      <c r="F236" s="197"/>
      <c r="G236" s="198">
        <v>0</v>
      </c>
      <c r="H236" s="198"/>
      <c r="I236" s="198">
        <v>0</v>
      </c>
      <c r="J236" s="199"/>
      <c r="K236" s="199"/>
      <c r="L236" s="196">
        <f>SUM(L224:L235)</f>
        <v>136363.75</v>
      </c>
      <c r="M236" s="200"/>
      <c r="N236" s="196"/>
      <c r="O236" s="198">
        <v>0</v>
      </c>
      <c r="P236" s="198"/>
      <c r="Q236" s="198">
        <v>0</v>
      </c>
      <c r="R236" s="36"/>
      <c r="S236" s="37"/>
      <c r="T236" s="37"/>
      <c r="U236" s="38"/>
      <c r="V236" s="38"/>
      <c r="W236" s="38"/>
    </row>
    <row r="237" spans="1:24" ht="27.75" customHeight="1" thickTop="1">
      <c r="A237" s="22"/>
      <c r="B237" s="288" t="s">
        <v>433</v>
      </c>
      <c r="C237" s="380"/>
      <c r="D237" s="284"/>
      <c r="E237" s="273"/>
      <c r="F237" s="274"/>
      <c r="G237" s="381"/>
      <c r="H237" s="381"/>
      <c r="I237" s="381"/>
      <c r="J237" s="382"/>
      <c r="K237" s="382"/>
      <c r="L237" s="383"/>
      <c r="M237" s="384"/>
      <c r="N237" s="284"/>
      <c r="O237" s="381"/>
      <c r="P237" s="381"/>
      <c r="Q237" s="381"/>
      <c r="R237" s="36"/>
      <c r="S237" s="37"/>
      <c r="T237" s="37"/>
      <c r="U237" s="38"/>
      <c r="V237" s="38"/>
      <c r="W237" s="38"/>
    </row>
    <row r="238" spans="1:24" ht="27.75" customHeight="1">
      <c r="A238" s="22">
        <v>1</v>
      </c>
      <c r="B238" s="270" t="s">
        <v>434</v>
      </c>
      <c r="C238" s="380" t="s">
        <v>435</v>
      </c>
      <c r="D238" s="284">
        <v>0</v>
      </c>
      <c r="E238" s="273"/>
      <c r="F238" s="274"/>
      <c r="G238" s="381">
        <v>-6.3664629124104977E-12</v>
      </c>
      <c r="H238" s="381"/>
      <c r="I238" s="381">
        <v>-6.3664629124104977E-12</v>
      </c>
      <c r="J238" s="385"/>
      <c r="K238" s="386"/>
      <c r="L238" s="383"/>
      <c r="M238" s="387"/>
      <c r="N238" s="116"/>
      <c r="O238" s="388">
        <f>D238+I238-L238</f>
        <v>-6.3664629124104977E-12</v>
      </c>
      <c r="P238" s="388"/>
      <c r="Q238" s="376">
        <f>O238</f>
        <v>-6.3664629124104977E-12</v>
      </c>
      <c r="R238" s="36"/>
      <c r="S238" s="37"/>
      <c r="T238" s="37"/>
      <c r="U238" s="38"/>
      <c r="V238" s="38"/>
      <c r="W238" s="38"/>
    </row>
    <row r="239" spans="1:24" ht="27.75" customHeight="1">
      <c r="A239" s="22"/>
      <c r="B239" s="270" t="s">
        <v>436</v>
      </c>
      <c r="C239" s="380" t="s">
        <v>437</v>
      </c>
      <c r="D239" s="284"/>
      <c r="E239" s="384"/>
      <c r="F239" s="274"/>
      <c r="G239" s="381"/>
      <c r="H239" s="381"/>
      <c r="I239" s="381"/>
      <c r="J239" s="382"/>
      <c r="K239" s="382"/>
      <c r="L239" s="383"/>
      <c r="M239" s="384"/>
      <c r="N239" s="284"/>
      <c r="O239" s="381"/>
      <c r="P239" s="381"/>
      <c r="Q239" s="381"/>
      <c r="R239" s="36"/>
      <c r="S239" s="37"/>
      <c r="T239" s="37"/>
      <c r="U239" s="38"/>
      <c r="V239" s="38"/>
      <c r="W239" s="38"/>
    </row>
    <row r="240" spans="1:24" ht="27.75" customHeight="1">
      <c r="A240" s="22">
        <v>2</v>
      </c>
      <c r="B240" s="270" t="s">
        <v>438</v>
      </c>
      <c r="C240" s="380" t="s">
        <v>439</v>
      </c>
      <c r="D240" s="284">
        <v>1500</v>
      </c>
      <c r="E240" s="384" t="s">
        <v>45</v>
      </c>
      <c r="F240" s="274">
        <v>0</v>
      </c>
      <c r="G240" s="381">
        <v>0</v>
      </c>
      <c r="H240" s="381">
        <v>0</v>
      </c>
      <c r="I240" s="381">
        <v>0</v>
      </c>
      <c r="J240" s="389">
        <v>46086</v>
      </c>
      <c r="K240" s="386" t="s">
        <v>1155</v>
      </c>
      <c r="L240" s="383">
        <v>1500</v>
      </c>
      <c r="M240" s="390" t="s">
        <v>45</v>
      </c>
      <c r="N240" s="391">
        <v>0</v>
      </c>
      <c r="O240" s="381">
        <f>SUM(D240+G240-L240)</f>
        <v>0</v>
      </c>
      <c r="P240" s="381">
        <v>0</v>
      </c>
      <c r="Q240" s="381">
        <f>SUM(O240)</f>
        <v>0</v>
      </c>
      <c r="R240" s="36"/>
      <c r="S240" s="37"/>
      <c r="T240" s="37"/>
      <c r="U240" s="38"/>
      <c r="V240" s="38"/>
      <c r="W240" s="38"/>
    </row>
    <row r="241" spans="1:25" ht="27.75" customHeight="1" thickBot="1">
      <c r="A241" s="193"/>
      <c r="B241" s="194" t="s">
        <v>22</v>
      </c>
      <c r="C241" s="195"/>
      <c r="D241" s="196">
        <f>SUM(D238:D240)</f>
        <v>1500</v>
      </c>
      <c r="E241" s="221">
        <v>0</v>
      </c>
      <c r="F241" s="197"/>
      <c r="G241" s="392">
        <v>0</v>
      </c>
      <c r="H241" s="392">
        <v>0</v>
      </c>
      <c r="I241" s="392">
        <v>0</v>
      </c>
      <c r="J241" s="393">
        <v>0</v>
      </c>
      <c r="K241" s="393">
        <v>0</v>
      </c>
      <c r="L241" s="394">
        <f>SUM(L238:L240)</f>
        <v>1500</v>
      </c>
      <c r="M241" s="395"/>
      <c r="N241" s="392"/>
      <c r="O241" s="392">
        <f>SUM(O238:O240)</f>
        <v>-6.3664629124104977E-12</v>
      </c>
      <c r="P241" s="392">
        <f t="shared" ref="P241:Q241" si="60">SUM(P238:P240)</f>
        <v>0</v>
      </c>
      <c r="Q241" s="392">
        <f t="shared" si="60"/>
        <v>-6.3664629124104977E-12</v>
      </c>
      <c r="R241" s="36"/>
      <c r="S241" s="37"/>
      <c r="T241" s="37"/>
      <c r="U241" s="38"/>
      <c r="V241" s="38"/>
      <c r="W241" s="38"/>
    </row>
    <row r="242" spans="1:25" ht="27.75" customHeight="1" thickTop="1">
      <c r="A242" s="22"/>
      <c r="B242" s="288" t="s">
        <v>441</v>
      </c>
      <c r="C242" s="289"/>
      <c r="D242" s="272"/>
      <c r="E242" s="201"/>
      <c r="F242" s="281"/>
      <c r="G242" s="290"/>
      <c r="H242" s="290"/>
      <c r="I242" s="290"/>
      <c r="J242" s="291"/>
      <c r="K242" s="292"/>
      <c r="L242" s="222"/>
      <c r="M242" s="94"/>
      <c r="N242" s="39"/>
      <c r="O242" s="293"/>
      <c r="P242" s="293"/>
      <c r="Q242" s="294"/>
      <c r="R242" s="36"/>
      <c r="S242" s="37"/>
      <c r="T242" s="37"/>
      <c r="U242" s="38"/>
      <c r="V242" s="38"/>
      <c r="W242" s="38"/>
    </row>
    <row r="243" spans="1:25" ht="27.75" customHeight="1">
      <c r="A243" s="94">
        <v>1</v>
      </c>
      <c r="B243" s="40" t="s">
        <v>442</v>
      </c>
      <c r="C243" s="206" t="s">
        <v>443</v>
      </c>
      <c r="D243" s="296">
        <v>98948</v>
      </c>
      <c r="E243" s="43" t="s">
        <v>978</v>
      </c>
      <c r="F243" s="44">
        <v>-7</v>
      </c>
      <c r="G243" s="45">
        <v>-692636</v>
      </c>
      <c r="H243" s="45"/>
      <c r="I243" s="47">
        <v>-692636</v>
      </c>
      <c r="J243" s="175"/>
      <c r="K243" s="176"/>
      <c r="L243" s="222">
        <v>0</v>
      </c>
      <c r="M243" s="387" t="s">
        <v>1090</v>
      </c>
      <c r="N243" s="116">
        <v>-6</v>
      </c>
      <c r="O243" s="233">
        <f t="shared" ref="O243" si="61">Q243</f>
        <v>-593688</v>
      </c>
      <c r="P243" s="233"/>
      <c r="Q243" s="376">
        <f>D243+I243-L243</f>
        <v>-593688</v>
      </c>
      <c r="R243" s="39" t="s">
        <v>446</v>
      </c>
      <c r="S243" s="55">
        <v>43952</v>
      </c>
      <c r="T243" s="55">
        <v>44561</v>
      </c>
      <c r="U243" s="56">
        <v>1032500</v>
      </c>
      <c r="V243" s="56" t="s">
        <v>447</v>
      </c>
    </row>
    <row r="244" spans="1:25" ht="27.75" customHeight="1">
      <c r="A244" s="94"/>
      <c r="B244" s="396" t="s">
        <v>448</v>
      </c>
      <c r="C244" s="206" t="s">
        <v>449</v>
      </c>
      <c r="D244" s="296"/>
      <c r="E244" s="64"/>
      <c r="F244" s="44"/>
      <c r="G244" s="45"/>
      <c r="H244" s="45"/>
      <c r="I244" s="47"/>
      <c r="J244" s="183"/>
      <c r="K244" s="184"/>
      <c r="L244" s="231"/>
      <c r="M244" s="186"/>
      <c r="N244" s="116"/>
      <c r="O244" s="233"/>
      <c r="P244" s="233"/>
      <c r="Q244" s="376"/>
      <c r="R244" s="297"/>
      <c r="S244" s="298"/>
      <c r="T244" s="298"/>
      <c r="U244" s="397"/>
      <c r="V244" s="397"/>
    </row>
    <row r="245" spans="1:25" ht="27.75" customHeight="1">
      <c r="A245" s="94"/>
      <c r="B245" s="396"/>
      <c r="C245" s="398" t="s">
        <v>450</v>
      </c>
      <c r="D245" s="296"/>
      <c r="E245" s="64"/>
      <c r="F245" s="44"/>
      <c r="G245" s="45"/>
      <c r="H245" s="45"/>
      <c r="I245" s="47"/>
      <c r="J245" s="183"/>
      <c r="K245" s="184"/>
      <c r="L245" s="231"/>
      <c r="M245" s="186"/>
      <c r="N245" s="116"/>
      <c r="O245" s="233"/>
      <c r="P245" s="233"/>
      <c r="Q245" s="376"/>
      <c r="R245" s="297"/>
      <c r="S245" s="298"/>
      <c r="T245" s="298"/>
      <c r="U245" s="397"/>
      <c r="V245" s="397"/>
    </row>
    <row r="246" spans="1:25" ht="27.75" customHeight="1">
      <c r="A246" s="94">
        <v>2</v>
      </c>
      <c r="B246" s="205" t="s">
        <v>451</v>
      </c>
      <c r="C246" s="206" t="s">
        <v>452</v>
      </c>
      <c r="D246" s="296">
        <v>48779</v>
      </c>
      <c r="E246" s="64" t="s">
        <v>1039</v>
      </c>
      <c r="F246" s="44">
        <v>-8.7389450378236528</v>
      </c>
      <c r="G246" s="45">
        <v>-426277</v>
      </c>
      <c r="H246" s="45"/>
      <c r="I246" s="47">
        <v>-426277</v>
      </c>
      <c r="J246" s="183"/>
      <c r="K246" s="184"/>
      <c r="L246" s="231">
        <v>0</v>
      </c>
      <c r="M246" s="399" t="s">
        <v>1154</v>
      </c>
      <c r="N246" s="116">
        <v>-7.7389450378236537</v>
      </c>
      <c r="O246" s="233">
        <f t="shared" ref="O246" si="62">Q246</f>
        <v>-377498</v>
      </c>
      <c r="P246" s="233"/>
      <c r="Q246" s="368">
        <f>D246+I246-L246</f>
        <v>-377498</v>
      </c>
      <c r="R246" s="172" t="s">
        <v>456</v>
      </c>
      <c r="S246" s="400" t="s">
        <v>457</v>
      </c>
      <c r="T246" s="400" t="s">
        <v>458</v>
      </c>
      <c r="U246" s="401">
        <v>442600</v>
      </c>
      <c r="V246" s="401" t="s">
        <v>459</v>
      </c>
    </row>
    <row r="247" spans="1:25" ht="27.75" customHeight="1">
      <c r="A247" s="232"/>
      <c r="B247" s="402" t="s">
        <v>460</v>
      </c>
      <c r="C247" s="206" t="s">
        <v>461</v>
      </c>
      <c r="D247" s="296"/>
      <c r="E247" s="64"/>
      <c r="F247" s="44"/>
      <c r="G247" s="45"/>
      <c r="H247" s="45"/>
      <c r="I247" s="47"/>
      <c r="J247" s="183"/>
      <c r="K247" s="184"/>
      <c r="L247" s="231"/>
      <c r="M247" s="186"/>
      <c r="N247" s="116"/>
      <c r="O247" s="233"/>
      <c r="P247" s="233"/>
      <c r="Q247" s="403"/>
      <c r="R247" s="172"/>
      <c r="S247" s="400"/>
      <c r="T247" s="400"/>
      <c r="U247" s="401"/>
      <c r="V247" s="401"/>
    </row>
    <row r="248" spans="1:25" ht="27.75" customHeight="1">
      <c r="A248" s="186"/>
      <c r="B248" s="404" t="s">
        <v>448</v>
      </c>
      <c r="C248" s="206" t="s">
        <v>462</v>
      </c>
      <c r="D248" s="296"/>
      <c r="E248" s="64"/>
      <c r="F248" s="44"/>
      <c r="G248" s="45"/>
      <c r="H248" s="45"/>
      <c r="I248" s="66"/>
      <c r="J248" s="183"/>
      <c r="K248" s="184"/>
      <c r="L248" s="231"/>
      <c r="M248" s="186"/>
      <c r="N248" s="116"/>
      <c r="O248" s="233"/>
      <c r="P248" s="233"/>
      <c r="Q248" s="403"/>
      <c r="R248" s="146" t="s">
        <v>463</v>
      </c>
      <c r="S248" s="148" t="s">
        <v>464</v>
      </c>
      <c r="T248" s="148" t="s">
        <v>465</v>
      </c>
      <c r="U248" s="149">
        <v>46000</v>
      </c>
      <c r="V248" s="149" t="s">
        <v>466</v>
      </c>
      <c r="W248" s="295" t="s">
        <v>289</v>
      </c>
      <c r="X248" s="4" t="s">
        <v>467</v>
      </c>
    </row>
    <row r="249" spans="1:25" ht="27.75" customHeight="1">
      <c r="A249" s="405"/>
      <c r="B249" s="406" t="s">
        <v>22</v>
      </c>
      <c r="C249" s="407"/>
      <c r="D249" s="408">
        <f>SUM(D243:D248)</f>
        <v>147727</v>
      </c>
      <c r="E249" s="409"/>
      <c r="F249" s="410"/>
      <c r="G249" s="239">
        <f>SUM(G243:G248)</f>
        <v>-1118913</v>
      </c>
      <c r="H249" s="239">
        <f t="shared" ref="H249:I249" si="63">SUM(H243:H248)</f>
        <v>0</v>
      </c>
      <c r="I249" s="239">
        <f t="shared" si="63"/>
        <v>-1118913</v>
      </c>
      <c r="J249" s="411"/>
      <c r="K249" s="411"/>
      <c r="L249" s="408">
        <f>SUM(L243:L246)</f>
        <v>0</v>
      </c>
      <c r="M249" s="412"/>
      <c r="N249" s="408"/>
      <c r="O249" s="239"/>
      <c r="P249" s="239">
        <f>SUM(P246:P248)</f>
        <v>0</v>
      </c>
      <c r="Q249" s="239"/>
      <c r="R249" s="278"/>
      <c r="S249" s="279"/>
      <c r="T249" s="279"/>
      <c r="U249" s="413"/>
      <c r="V249" s="413"/>
      <c r="W249" s="413"/>
    </row>
    <row r="250" spans="1:25" ht="27.75" customHeight="1" thickBot="1">
      <c r="A250" s="414"/>
      <c r="B250" s="415"/>
      <c r="C250" s="416" t="s">
        <v>468</v>
      </c>
      <c r="D250" s="417"/>
      <c r="E250" s="418"/>
      <c r="F250" s="419"/>
      <c r="G250" s="420">
        <f>SUM(G249+G241+G236+G222+G166+G155+G138+G122+G108+G92+G89+G82+G31+G27+G24)</f>
        <v>-1044953.7962616822</v>
      </c>
      <c r="H250" s="420">
        <f>SUM(H249+H241+H236+H222+H166+H155+H138+H122+H108+H92+H89+H82+H31+H27+H24)</f>
        <v>4617.1399999999994</v>
      </c>
      <c r="I250" s="420">
        <f>SUM(I249+I241+I236+I222+I166+I155+I138+I122+I108+I92+I89+I82+I31+I27+I24)</f>
        <v>-1040336.656261682</v>
      </c>
      <c r="J250" s="421"/>
      <c r="K250" s="421"/>
      <c r="L250" s="422">
        <f>SUM(L249+L241+L236+L222+L166+L155+L138+L122+L108+L92+L89+L82+L31+L27+L24)</f>
        <v>929094.3</v>
      </c>
      <c r="M250" s="423"/>
      <c r="N250" s="422"/>
      <c r="O250" s="420">
        <f>SUM(O249+O241+O236+O222+O166+O155+O138+O122+O108+O92+O89+O82+O31+O27+O24)</f>
        <v>32645.839252336438</v>
      </c>
      <c r="P250" s="420">
        <f>SUM(P249+P241+P236+P222+P166+P155+P138+P122+P108+P92+P89+P82+P31+P27+P24)</f>
        <v>2285.21</v>
      </c>
      <c r="Q250" s="420">
        <f>SUM(Q249+Q241+Q236+Q222+Q166+Q155+Q138+Q122+Q108+Q92+Q89+Q82+Q31+Q27+Q24)</f>
        <v>34931.049252336437</v>
      </c>
      <c r="R250" s="424"/>
      <c r="S250" s="425"/>
      <c r="T250" s="425"/>
      <c r="U250" s="345"/>
      <c r="V250" s="345"/>
      <c r="W250" s="345"/>
    </row>
    <row r="251" spans="1:25" ht="27.75" customHeight="1" thickTop="1">
      <c r="A251" s="426"/>
      <c r="B251" s="4"/>
      <c r="C251" s="295"/>
      <c r="D251" s="427"/>
      <c r="E251" s="428"/>
      <c r="F251" s="429"/>
      <c r="G251" s="430"/>
      <c r="H251" s="430"/>
      <c r="I251" s="430"/>
      <c r="J251" s="431"/>
      <c r="K251" s="432"/>
      <c r="L251" s="427"/>
      <c r="M251" s="433"/>
      <c r="N251" s="427"/>
      <c r="O251" s="430"/>
      <c r="P251" s="430"/>
      <c r="Q251" s="430"/>
      <c r="R251" s="424"/>
      <c r="S251" s="425"/>
      <c r="T251" s="425"/>
      <c r="U251" s="345"/>
      <c r="V251" s="345"/>
      <c r="W251" s="345"/>
    </row>
    <row r="252" spans="1:25" ht="27.75" customHeight="1">
      <c r="A252" s="426"/>
      <c r="B252" s="434" t="s">
        <v>469</v>
      </c>
      <c r="C252" s="295"/>
      <c r="D252" s="427"/>
      <c r="E252" s="428"/>
      <c r="F252" s="429"/>
      <c r="G252" s="430"/>
      <c r="H252" s="430"/>
      <c r="I252" s="430"/>
      <c r="J252" s="431"/>
      <c r="K252" s="432"/>
      <c r="L252" s="427"/>
      <c r="M252" s="433"/>
      <c r="N252" s="427"/>
      <c r="O252" s="430"/>
      <c r="P252" s="430"/>
      <c r="Q252" s="430"/>
      <c r="R252" s="424"/>
      <c r="S252" s="425"/>
      <c r="T252" s="425"/>
      <c r="U252" s="345"/>
      <c r="V252" s="345"/>
      <c r="W252" s="345"/>
    </row>
    <row r="253" spans="1:25" ht="27.75" customHeight="1">
      <c r="A253" s="435">
        <v>1</v>
      </c>
      <c r="B253" s="436" t="s">
        <v>470</v>
      </c>
      <c r="C253" s="437" t="s">
        <v>471</v>
      </c>
      <c r="D253" s="438" t="s">
        <v>472</v>
      </c>
      <c r="E253" s="439" t="s">
        <v>473</v>
      </c>
      <c r="F253" s="440">
        <v>21</v>
      </c>
      <c r="G253" s="15">
        <v>361288.35</v>
      </c>
      <c r="H253" s="15"/>
      <c r="I253" s="17">
        <v>361288.35</v>
      </c>
      <c r="J253" s="441"/>
      <c r="K253" s="442"/>
      <c r="L253" s="443"/>
      <c r="M253" s="435" t="s">
        <v>473</v>
      </c>
      <c r="N253" s="444">
        <v>21</v>
      </c>
      <c r="O253" s="445">
        <f>SUM(G253-L253)</f>
        <v>361288.35</v>
      </c>
      <c r="P253" s="19"/>
      <c r="Q253" s="17">
        <f>SUM(O253)</f>
        <v>361288.35</v>
      </c>
      <c r="R253" s="251" t="s">
        <v>195</v>
      </c>
      <c r="S253" s="446">
        <v>41883</v>
      </c>
      <c r="T253" s="446">
        <v>42978</v>
      </c>
      <c r="U253" s="447">
        <v>90000</v>
      </c>
      <c r="V253" s="447" t="s">
        <v>474</v>
      </c>
      <c r="Y253" s="4" t="s">
        <v>475</v>
      </c>
    </row>
    <row r="254" spans="1:25" ht="27.75" customHeight="1">
      <c r="A254" s="435"/>
      <c r="B254" s="436" t="s">
        <v>476</v>
      </c>
      <c r="C254" s="437"/>
      <c r="D254" s="448"/>
      <c r="E254" s="439"/>
      <c r="F254" s="440"/>
      <c r="G254" s="15"/>
      <c r="H254" s="15"/>
      <c r="I254" s="17"/>
      <c r="J254" s="441"/>
      <c r="K254" s="442"/>
      <c r="L254" s="443"/>
      <c r="M254" s="435"/>
      <c r="N254" s="444"/>
      <c r="O254" s="445">
        <f t="shared" ref="O254:O260" si="64">SUM(G254-L254)</f>
        <v>0</v>
      </c>
      <c r="P254" s="19"/>
      <c r="Q254" s="17">
        <f t="shared" ref="Q254:Q260" si="65">SUM(O254)</f>
        <v>0</v>
      </c>
      <c r="R254" s="116"/>
      <c r="S254" s="203"/>
      <c r="T254" s="203"/>
      <c r="U254" s="204"/>
      <c r="V254" s="204"/>
    </row>
    <row r="255" spans="1:25" ht="27.75" customHeight="1">
      <c r="A255" s="435"/>
      <c r="B255" s="674" t="s">
        <v>477</v>
      </c>
      <c r="C255" s="675"/>
      <c r="D255" s="682"/>
      <c r="E255" s="439"/>
      <c r="F255" s="440"/>
      <c r="G255" s="15"/>
      <c r="H255" s="15"/>
      <c r="I255" s="17"/>
      <c r="J255" s="441"/>
      <c r="K255" s="442"/>
      <c r="L255" s="443"/>
      <c r="M255" s="435"/>
      <c r="N255" s="444"/>
      <c r="O255" s="445">
        <f t="shared" si="64"/>
        <v>0</v>
      </c>
      <c r="P255" s="19"/>
      <c r="Q255" s="17">
        <f t="shared" si="65"/>
        <v>0</v>
      </c>
      <c r="R255" s="116"/>
      <c r="S255" s="203"/>
      <c r="T255" s="203"/>
      <c r="U255" s="204"/>
      <c r="V255" s="204"/>
    </row>
    <row r="256" spans="1:25" ht="27.75" customHeight="1">
      <c r="A256" s="435">
        <v>2</v>
      </c>
      <c r="B256" s="450" t="s">
        <v>470</v>
      </c>
      <c r="C256" s="451" t="s">
        <v>478</v>
      </c>
      <c r="D256" s="449"/>
      <c r="E256" s="439" t="s">
        <v>479</v>
      </c>
      <c r="F256" s="440">
        <v>6</v>
      </c>
      <c r="G256" s="15">
        <v>96700.72</v>
      </c>
      <c r="H256" s="15"/>
      <c r="I256" s="17">
        <v>96700.72</v>
      </c>
      <c r="J256" s="441"/>
      <c r="K256" s="442"/>
      <c r="L256" s="443"/>
      <c r="M256" s="435" t="s">
        <v>479</v>
      </c>
      <c r="N256" s="444">
        <v>6</v>
      </c>
      <c r="O256" s="445">
        <f t="shared" si="64"/>
        <v>96700.72</v>
      </c>
      <c r="P256" s="19"/>
      <c r="Q256" s="17">
        <f t="shared" si="65"/>
        <v>96700.72</v>
      </c>
      <c r="R256" s="116"/>
      <c r="S256" s="203"/>
      <c r="T256" s="203"/>
      <c r="U256" s="204"/>
      <c r="V256" s="204"/>
      <c r="Y256" s="4" t="s">
        <v>475</v>
      </c>
    </row>
    <row r="257" spans="1:28" ht="27.75" customHeight="1">
      <c r="A257" s="435">
        <v>3</v>
      </c>
      <c r="B257" s="450" t="s">
        <v>470</v>
      </c>
      <c r="C257" s="451" t="s">
        <v>480</v>
      </c>
      <c r="D257" s="452"/>
      <c r="E257" s="439" t="s">
        <v>481</v>
      </c>
      <c r="F257" s="440">
        <v>16</v>
      </c>
      <c r="G257" s="15">
        <v>285799.45</v>
      </c>
      <c r="H257" s="15"/>
      <c r="I257" s="17">
        <v>285799.45</v>
      </c>
      <c r="J257" s="441"/>
      <c r="K257" s="442"/>
      <c r="L257" s="443"/>
      <c r="M257" s="435" t="s">
        <v>481</v>
      </c>
      <c r="N257" s="444">
        <v>16</v>
      </c>
      <c r="O257" s="445">
        <f t="shared" si="64"/>
        <v>285799.45</v>
      </c>
      <c r="P257" s="19"/>
      <c r="Q257" s="17">
        <f t="shared" si="65"/>
        <v>285799.45</v>
      </c>
      <c r="R257" s="116"/>
      <c r="S257" s="203"/>
      <c r="T257" s="203"/>
      <c r="U257" s="204"/>
      <c r="V257" s="204"/>
      <c r="Y257" s="4" t="s">
        <v>475</v>
      </c>
    </row>
    <row r="258" spans="1:28" s="226" customFormat="1" ht="27.75" customHeight="1">
      <c r="A258" s="440">
        <v>4</v>
      </c>
      <c r="B258" s="436" t="s">
        <v>470</v>
      </c>
      <c r="C258" s="453" t="s">
        <v>482</v>
      </c>
      <c r="D258" s="454" t="s">
        <v>472</v>
      </c>
      <c r="E258" s="455" t="s">
        <v>483</v>
      </c>
      <c r="F258" s="456" t="s">
        <v>195</v>
      </c>
      <c r="G258" s="17">
        <v>57055.05</v>
      </c>
      <c r="H258" s="17"/>
      <c r="I258" s="17">
        <v>57055.05</v>
      </c>
      <c r="J258" s="441"/>
      <c r="K258" s="457"/>
      <c r="L258" s="458"/>
      <c r="M258" s="435" t="s">
        <v>483</v>
      </c>
      <c r="N258" s="448" t="s">
        <v>195</v>
      </c>
      <c r="O258" s="445">
        <f t="shared" si="64"/>
        <v>57055.05</v>
      </c>
      <c r="P258" s="17"/>
      <c r="Q258" s="17">
        <f t="shared" si="65"/>
        <v>57055.05</v>
      </c>
      <c r="R258" s="39"/>
      <c r="S258" s="55"/>
      <c r="T258" s="55"/>
      <c r="U258" s="141"/>
      <c r="V258" s="141"/>
      <c r="Y258" s="4" t="s">
        <v>475</v>
      </c>
    </row>
    <row r="259" spans="1:28" s="226" customFormat="1" ht="27.75" customHeight="1">
      <c r="A259" s="440"/>
      <c r="B259" s="676" t="s">
        <v>484</v>
      </c>
      <c r="C259" s="677"/>
      <c r="D259" s="683"/>
      <c r="E259" s="455"/>
      <c r="F259" s="456"/>
      <c r="G259" s="17"/>
      <c r="H259" s="17"/>
      <c r="I259" s="17"/>
      <c r="J259" s="441"/>
      <c r="K259" s="457"/>
      <c r="L259" s="458"/>
      <c r="M259" s="435"/>
      <c r="N259" s="448"/>
      <c r="O259" s="445">
        <f t="shared" si="64"/>
        <v>0</v>
      </c>
      <c r="P259" s="17"/>
      <c r="Q259" s="17">
        <f t="shared" si="65"/>
        <v>0</v>
      </c>
      <c r="R259" s="122"/>
      <c r="S259" s="37"/>
      <c r="T259" s="37"/>
      <c r="U259" s="459"/>
      <c r="V259" s="459"/>
      <c r="Y259" s="4" t="s">
        <v>475</v>
      </c>
    </row>
    <row r="260" spans="1:28" ht="27.75" customHeight="1">
      <c r="A260" s="460">
        <v>5</v>
      </c>
      <c r="B260" s="436" t="s">
        <v>470</v>
      </c>
      <c r="C260" s="461" t="s">
        <v>485</v>
      </c>
      <c r="D260" s="454"/>
      <c r="E260" s="455" t="s">
        <v>486</v>
      </c>
      <c r="F260" s="462" t="s">
        <v>195</v>
      </c>
      <c r="G260" s="17">
        <v>28958.15</v>
      </c>
      <c r="H260" s="15"/>
      <c r="I260" s="17">
        <v>28958.15</v>
      </c>
      <c r="J260" s="441" t="s">
        <v>487</v>
      </c>
      <c r="K260" s="463"/>
      <c r="L260" s="443"/>
      <c r="M260" s="435" t="s">
        <v>486</v>
      </c>
      <c r="N260" s="464" t="s">
        <v>195</v>
      </c>
      <c r="O260" s="445">
        <f t="shared" si="64"/>
        <v>28958.15</v>
      </c>
      <c r="P260" s="21"/>
      <c r="Q260" s="17">
        <f t="shared" si="65"/>
        <v>28958.15</v>
      </c>
      <c r="R260" s="36"/>
      <c r="S260" s="37"/>
      <c r="T260" s="37"/>
      <c r="U260" s="38"/>
      <c r="V260" s="38"/>
      <c r="W260" s="38"/>
      <c r="Y260" s="4" t="s">
        <v>475</v>
      </c>
    </row>
    <row r="261" spans="1:28" ht="27.6" customHeight="1">
      <c r="A261" s="460"/>
      <c r="B261" s="436" t="s">
        <v>488</v>
      </c>
      <c r="C261" s="461"/>
      <c r="D261" s="454"/>
      <c r="E261" s="448"/>
      <c r="F261" s="462"/>
      <c r="G261" s="17"/>
      <c r="H261" s="15"/>
      <c r="I261" s="17"/>
      <c r="J261" s="441"/>
      <c r="K261" s="463"/>
      <c r="L261" s="443"/>
      <c r="M261" s="435"/>
      <c r="N261" s="444"/>
      <c r="O261" s="17"/>
      <c r="P261" s="21"/>
      <c r="Q261" s="17"/>
      <c r="R261" s="36"/>
      <c r="S261" s="37"/>
      <c r="T261" s="37"/>
      <c r="U261" s="38"/>
      <c r="V261" s="38"/>
      <c r="W261" s="38"/>
    </row>
    <row r="262" spans="1:28" ht="27.6" customHeight="1">
      <c r="A262" s="460"/>
      <c r="B262" s="674" t="s">
        <v>489</v>
      </c>
      <c r="C262" s="675"/>
      <c r="D262" s="682"/>
      <c r="E262" s="448"/>
      <c r="F262" s="462"/>
      <c r="G262" s="17"/>
      <c r="H262" s="15"/>
      <c r="I262" s="17"/>
      <c r="J262" s="441"/>
      <c r="K262" s="463"/>
      <c r="L262" s="443"/>
      <c r="M262" s="435"/>
      <c r="N262" s="444"/>
      <c r="O262" s="17"/>
      <c r="P262" s="21"/>
      <c r="Q262" s="17"/>
      <c r="R262" s="36"/>
      <c r="S262" s="37"/>
      <c r="T262" s="37"/>
      <c r="U262" s="38"/>
      <c r="V262" s="38"/>
      <c r="W262" s="38"/>
    </row>
    <row r="263" spans="1:28" ht="27.75" customHeight="1" thickBot="1">
      <c r="A263" s="465"/>
      <c r="B263" s="466" t="s">
        <v>22</v>
      </c>
      <c r="C263" s="195"/>
      <c r="D263" s="310">
        <v>0</v>
      </c>
      <c r="E263" s="311"/>
      <c r="F263" s="312"/>
      <c r="G263" s="313">
        <f>SUM(G253:G261)</f>
        <v>829801.72000000009</v>
      </c>
      <c r="H263" s="313"/>
      <c r="I263" s="313">
        <f>SUM(I253:I261)</f>
        <v>829801.72000000009</v>
      </c>
      <c r="J263" s="467"/>
      <c r="K263" s="314"/>
      <c r="L263" s="310">
        <v>0</v>
      </c>
      <c r="M263" s="315"/>
      <c r="N263" s="310"/>
      <c r="O263" s="313">
        <f>SUM(O253:O261)</f>
        <v>829801.72000000009</v>
      </c>
      <c r="P263" s="313">
        <v>0</v>
      </c>
      <c r="Q263" s="313">
        <f>SUM(Q253:Q262)</f>
        <v>829801.72000000009</v>
      </c>
      <c r="R263" s="36"/>
      <c r="S263" s="37"/>
      <c r="T263" s="37"/>
      <c r="U263" s="38"/>
      <c r="V263" s="38"/>
      <c r="W263" s="38"/>
    </row>
    <row r="264" spans="1:28" ht="27.75" customHeight="1" thickTop="1">
      <c r="A264" s="468"/>
      <c r="B264" s="469" t="s">
        <v>490</v>
      </c>
      <c r="C264" s="470"/>
      <c r="D264" s="471"/>
      <c r="E264" s="207"/>
      <c r="F264" s="341"/>
      <c r="G264" s="187"/>
      <c r="H264" s="187"/>
      <c r="I264" s="187"/>
      <c r="J264" s="472"/>
      <c r="K264" s="473"/>
      <c r="L264" s="231"/>
      <c r="M264" s="186"/>
      <c r="N264" s="116"/>
      <c r="O264" s="344"/>
      <c r="P264" s="344"/>
      <c r="Q264" s="474"/>
      <c r="R264" s="36"/>
      <c r="S264" s="37"/>
      <c r="T264" s="37"/>
      <c r="U264" s="38"/>
      <c r="V264" s="38"/>
      <c r="W264" s="38"/>
    </row>
    <row r="265" spans="1:28" ht="27.75" customHeight="1">
      <c r="A265" s="475">
        <v>1</v>
      </c>
      <c r="B265" s="436" t="s">
        <v>491</v>
      </c>
      <c r="C265" s="437" t="s">
        <v>492</v>
      </c>
      <c r="D265" s="476"/>
      <c r="E265" s="477"/>
      <c r="F265" s="478"/>
      <c r="G265" s="15"/>
      <c r="H265" s="15"/>
      <c r="I265" s="17"/>
      <c r="J265" s="441"/>
      <c r="K265" s="442"/>
      <c r="L265" s="479"/>
      <c r="M265" s="435"/>
      <c r="N265" s="477"/>
      <c r="O265" s="480"/>
      <c r="P265" s="480"/>
      <c r="Q265" s="481"/>
      <c r="R265" s="356"/>
      <c r="S265" s="482"/>
      <c r="T265" s="482"/>
      <c r="U265" s="483"/>
      <c r="V265" s="483"/>
      <c r="Y265" s="4" t="s">
        <v>493</v>
      </c>
    </row>
    <row r="266" spans="1:28" ht="27.75" customHeight="1">
      <c r="A266" s="475"/>
      <c r="B266" s="484" t="s">
        <v>494</v>
      </c>
      <c r="C266" s="437"/>
      <c r="D266" s="476"/>
      <c r="E266" s="477"/>
      <c r="F266" s="478"/>
      <c r="G266" s="15"/>
      <c r="H266" s="15"/>
      <c r="I266" s="17"/>
      <c r="J266" s="441"/>
      <c r="K266" s="442"/>
      <c r="L266" s="479"/>
      <c r="M266" s="435"/>
      <c r="N266" s="477"/>
      <c r="O266" s="480"/>
      <c r="P266" s="480"/>
      <c r="Q266" s="481"/>
      <c r="R266" s="485"/>
      <c r="S266" s="486"/>
      <c r="T266" s="486"/>
      <c r="U266" s="487"/>
      <c r="V266" s="487"/>
    </row>
    <row r="267" spans="1:28" ht="27.75" customHeight="1">
      <c r="A267" s="475">
        <v>2</v>
      </c>
      <c r="B267" s="436" t="s">
        <v>495</v>
      </c>
      <c r="C267" s="437" t="s">
        <v>496</v>
      </c>
      <c r="D267" s="476"/>
      <c r="E267" s="477"/>
      <c r="F267" s="478" t="s">
        <v>497</v>
      </c>
      <c r="G267" s="15">
        <v>8214529.25</v>
      </c>
      <c r="H267" s="15"/>
      <c r="I267" s="17">
        <v>8214529.25</v>
      </c>
      <c r="J267" s="441"/>
      <c r="K267" s="442"/>
      <c r="L267" s="479"/>
      <c r="M267" s="435"/>
      <c r="N267" s="477" t="s">
        <v>497</v>
      </c>
      <c r="O267" s="15">
        <v>8214529.25</v>
      </c>
      <c r="P267" s="480"/>
      <c r="Q267" s="17">
        <v>8214529.25</v>
      </c>
      <c r="R267" s="485"/>
      <c r="S267" s="486"/>
      <c r="T267" s="486"/>
      <c r="U267" s="487"/>
      <c r="V267" s="487"/>
    </row>
    <row r="268" spans="1:28" ht="27.75" customHeight="1">
      <c r="A268" s="405"/>
      <c r="B268" s="234" t="s">
        <v>22</v>
      </c>
      <c r="C268" s="407"/>
      <c r="D268" s="408">
        <v>0</v>
      </c>
      <c r="E268" s="409"/>
      <c r="F268" s="410"/>
      <c r="G268" s="239">
        <f>SUM(G265:G267)</f>
        <v>8214529.25</v>
      </c>
      <c r="H268" s="239">
        <v>0</v>
      </c>
      <c r="I268" s="239">
        <f>SUM(I265:I267)</f>
        <v>8214529.25</v>
      </c>
      <c r="J268" s="411"/>
      <c r="K268" s="411"/>
      <c r="L268" s="408">
        <v>0</v>
      </c>
      <c r="M268" s="412"/>
      <c r="N268" s="408"/>
      <c r="O268" s="239">
        <f>SUM(O265:O267)</f>
        <v>8214529.25</v>
      </c>
      <c r="P268" s="239">
        <v>0</v>
      </c>
      <c r="Q268" s="239">
        <f>SUM(Q265:Q267)</f>
        <v>8214529.25</v>
      </c>
      <c r="R268" s="278"/>
      <c r="S268" s="279"/>
      <c r="T268" s="279"/>
      <c r="U268" s="413"/>
      <c r="V268" s="413"/>
      <c r="W268" s="413"/>
      <c r="AB268" s="589">
        <f>SUM(Q263+Q268)</f>
        <v>9044330.9700000007</v>
      </c>
    </row>
    <row r="269" spans="1:28" ht="27.75" customHeight="1">
      <c r="A269" s="426"/>
      <c r="B269" s="4"/>
      <c r="C269" s="295"/>
      <c r="D269" s="427"/>
      <c r="E269" s="428"/>
      <c r="F269" s="429"/>
      <c r="G269" s="430"/>
      <c r="H269" s="430"/>
      <c r="I269" s="430"/>
      <c r="J269" s="432"/>
      <c r="K269" s="432"/>
      <c r="L269" s="427"/>
      <c r="M269" s="433"/>
      <c r="N269" s="427"/>
      <c r="O269" s="430"/>
      <c r="P269" s="430"/>
      <c r="Q269" s="430"/>
      <c r="R269" s="424"/>
      <c r="S269" s="425"/>
      <c r="T269" s="425"/>
      <c r="U269" s="345"/>
      <c r="V269" s="345"/>
      <c r="W269" s="345"/>
    </row>
    <row r="270" spans="1:28" ht="27.75" customHeight="1" thickBot="1">
      <c r="A270" s="488"/>
      <c r="B270" s="489" t="s">
        <v>498</v>
      </c>
      <c r="C270" s="490"/>
      <c r="D270" s="491">
        <f>+D268+D263+D249+D241+D236+D222+D166+D155+D151+D138+D122+D108+D92+D89+D82+D45+D31+D27+D24</f>
        <v>1044733.5</v>
      </c>
      <c r="E270" s="491"/>
      <c r="F270" s="492"/>
      <c r="G270" s="493">
        <f>SUM(G268+G263+G250)</f>
        <v>7999377.1737383185</v>
      </c>
      <c r="H270" s="493">
        <f>SUM(H268+H263+H250)</f>
        <v>4617.1399999999994</v>
      </c>
      <c r="I270" s="493">
        <f>SUM(I268+I263+I250)</f>
        <v>8003994.3137383182</v>
      </c>
      <c r="J270" s="494"/>
      <c r="K270" s="494"/>
      <c r="L270" s="493">
        <f>SUM(L268+L263+L250)</f>
        <v>929094.3</v>
      </c>
      <c r="M270" s="495"/>
      <c r="N270" s="496"/>
      <c r="O270" s="493">
        <f>SUM(O268+O263+O250)</f>
        <v>9076976.8092523366</v>
      </c>
      <c r="P270" s="493">
        <f>SUM(P268+P263+P250)</f>
        <v>2285.21</v>
      </c>
      <c r="Q270" s="493">
        <f>SUM(Q268+Q263+Q250)</f>
        <v>9079262.0192523375</v>
      </c>
      <c r="R270" s="497">
        <v>0</v>
      </c>
      <c r="S270" s="497">
        <v>0</v>
      </c>
      <c r="T270" s="498"/>
      <c r="U270" s="499"/>
      <c r="V270" s="499"/>
      <c r="W270" s="499"/>
    </row>
    <row r="271" spans="1:28" s="226" customFormat="1" ht="27.75" customHeight="1" thickTop="1">
      <c r="A271" s="6"/>
      <c r="B271" s="500"/>
      <c r="D271" s="501"/>
      <c r="E271" s="502"/>
      <c r="F271" s="503"/>
      <c r="G271" s="430"/>
      <c r="H271" s="430"/>
      <c r="I271" s="504"/>
      <c r="J271" s="3"/>
      <c r="K271" s="372"/>
      <c r="L271" s="501"/>
      <c r="M271" s="372"/>
      <c r="N271" s="501"/>
      <c r="O271" s="430"/>
      <c r="P271" s="430"/>
      <c r="Q271" s="504"/>
      <c r="R271" s="2"/>
      <c r="S271" s="425"/>
      <c r="T271" s="425"/>
      <c r="U271" s="345"/>
      <c r="V271" s="345"/>
    </row>
    <row r="272" spans="1:28" s="226" customFormat="1" ht="27.75" customHeight="1">
      <c r="A272" s="6"/>
      <c r="B272" s="500"/>
      <c r="D272" s="501"/>
      <c r="E272" s="502"/>
      <c r="F272" s="503"/>
      <c r="G272" s="430"/>
      <c r="H272" s="430"/>
      <c r="I272" s="504"/>
      <c r="J272" s="3"/>
      <c r="K272" s="372"/>
      <c r="L272" s="501"/>
      <c r="M272" s="372"/>
      <c r="N272" s="501"/>
      <c r="O272" s="430"/>
      <c r="P272" s="430"/>
      <c r="Q272" s="504"/>
      <c r="R272" s="2"/>
      <c r="S272" s="425"/>
      <c r="T272" s="425"/>
      <c r="U272" s="345"/>
      <c r="V272" s="345"/>
    </row>
    <row r="273" spans="1:22" s="226" customFormat="1" ht="27.75" customHeight="1">
      <c r="A273" s="684" t="s">
        <v>932</v>
      </c>
      <c r="B273" s="684"/>
      <c r="C273" s="684"/>
      <c r="D273" s="684"/>
      <c r="E273" s="684"/>
      <c r="F273" s="684"/>
      <c r="G273" s="684"/>
      <c r="H273" s="684"/>
      <c r="I273" s="684"/>
      <c r="J273" s="684"/>
      <c r="K273" s="684"/>
      <c r="L273" s="684"/>
      <c r="M273" s="684"/>
      <c r="N273" s="684"/>
      <c r="O273" s="684"/>
      <c r="P273" s="684"/>
      <c r="Q273" s="684"/>
      <c r="R273" s="684"/>
      <c r="S273" s="425"/>
      <c r="T273" s="425"/>
      <c r="U273" s="345"/>
      <c r="V273" s="345"/>
    </row>
    <row r="274" spans="1:22" s="226" customFormat="1" ht="27.75" customHeight="1">
      <c r="A274" s="678" t="s">
        <v>933</v>
      </c>
      <c r="B274" s="678"/>
      <c r="C274" s="678"/>
      <c r="D274" s="678"/>
      <c r="E274" s="678"/>
      <c r="F274" s="678"/>
      <c r="G274" s="678"/>
      <c r="H274" s="678"/>
      <c r="I274" s="678"/>
      <c r="J274" s="678"/>
      <c r="K274" s="678"/>
      <c r="L274" s="678"/>
      <c r="M274" s="678"/>
      <c r="N274" s="678"/>
      <c r="O274" s="678"/>
      <c r="P274" s="678"/>
      <c r="Q274" s="678"/>
      <c r="R274" s="678"/>
      <c r="S274" s="425"/>
      <c r="T274" s="425"/>
      <c r="U274" s="345"/>
      <c r="V274" s="345"/>
    </row>
    <row r="275" spans="1:22" s="226" customFormat="1" ht="27.75" customHeight="1">
      <c r="A275" s="678"/>
      <c r="B275" s="678"/>
      <c r="C275" s="678"/>
      <c r="D275" s="678"/>
      <c r="E275" s="678"/>
      <c r="F275" s="678"/>
      <c r="G275" s="678"/>
      <c r="H275" s="678"/>
      <c r="I275" s="678"/>
      <c r="J275" s="678"/>
      <c r="K275" s="678"/>
      <c r="L275" s="678"/>
      <c r="M275" s="678"/>
      <c r="N275" s="678"/>
      <c r="O275" s="678"/>
      <c r="P275" s="678"/>
      <c r="Q275" s="678"/>
      <c r="R275" s="678"/>
      <c r="S275" s="425"/>
      <c r="T275" s="425"/>
      <c r="U275" s="345"/>
      <c r="V275" s="345"/>
    </row>
    <row r="276" spans="1:22" s="226" customFormat="1" ht="27.75" customHeight="1">
      <c r="A276" s="6"/>
      <c r="B276" s="500"/>
      <c r="D276" s="501"/>
      <c r="E276" s="502"/>
      <c r="F276" s="503"/>
      <c r="G276" s="430"/>
      <c r="H276" s="430"/>
      <c r="I276" s="504"/>
      <c r="J276" s="3"/>
      <c r="K276" s="372"/>
      <c r="L276" s="501"/>
      <c r="M276" s="372"/>
      <c r="N276" s="501"/>
      <c r="O276" s="430"/>
      <c r="P276" s="430"/>
      <c r="Q276" s="504"/>
      <c r="R276" s="2"/>
      <c r="S276" s="425"/>
      <c r="T276" s="425"/>
      <c r="U276" s="345"/>
      <c r="V276" s="345"/>
    </row>
    <row r="277" spans="1:22" s="226" customFormat="1" ht="27.75" customHeight="1">
      <c r="A277" s="6"/>
      <c r="B277" s="500"/>
      <c r="D277" s="501"/>
      <c r="E277" s="502"/>
      <c r="F277" s="503"/>
      <c r="G277" s="430"/>
      <c r="H277" s="430"/>
      <c r="I277" s="504"/>
      <c r="J277" s="3"/>
      <c r="K277" s="372"/>
      <c r="L277" s="501"/>
      <c r="M277" s="372"/>
      <c r="N277" s="501"/>
      <c r="O277" s="430"/>
      <c r="P277" s="430"/>
      <c r="Q277" s="430"/>
      <c r="R277" s="2"/>
      <c r="S277" s="425"/>
      <c r="T277" s="425"/>
      <c r="U277" s="345"/>
      <c r="V277" s="345"/>
    </row>
    <row r="278" spans="1:22" s="226" customFormat="1" ht="27.75" customHeight="1">
      <c r="A278" s="6"/>
      <c r="B278" s="500"/>
      <c r="D278" s="501"/>
      <c r="E278" s="502"/>
      <c r="F278" s="503"/>
      <c r="G278" s="430"/>
      <c r="H278" s="430"/>
      <c r="I278" s="504"/>
      <c r="J278" s="3"/>
      <c r="K278" s="372"/>
      <c r="L278" s="501"/>
      <c r="M278" s="372"/>
      <c r="N278" s="501"/>
      <c r="O278" s="430"/>
      <c r="P278" s="430"/>
      <c r="Q278" s="504"/>
      <c r="R278" s="2"/>
      <c r="S278" s="425"/>
      <c r="T278" s="425"/>
      <c r="U278" s="345"/>
      <c r="V278" s="345"/>
    </row>
    <row r="279" spans="1:22" s="226" customFormat="1" ht="27.75" customHeight="1">
      <c r="A279" s="6"/>
      <c r="B279" s="500"/>
      <c r="D279" s="501"/>
      <c r="E279" s="502"/>
      <c r="F279" s="503"/>
      <c r="G279" s="430"/>
      <c r="H279" s="430"/>
      <c r="I279" s="504"/>
      <c r="J279" s="3"/>
      <c r="K279" s="372"/>
      <c r="L279" s="501"/>
      <c r="M279" s="372"/>
      <c r="N279" s="501"/>
      <c r="O279" s="430"/>
      <c r="P279" s="430"/>
      <c r="Q279" s="504"/>
      <c r="R279" s="2"/>
      <c r="S279" s="425"/>
      <c r="T279" s="425"/>
      <c r="U279" s="345"/>
      <c r="V279" s="345"/>
    </row>
    <row r="280" spans="1:22" s="226" customFormat="1" ht="27.75" customHeight="1">
      <c r="A280" s="6"/>
      <c r="B280" s="500"/>
      <c r="D280" s="501"/>
      <c r="E280" s="502"/>
      <c r="F280" s="503"/>
      <c r="G280" s="430"/>
      <c r="H280" s="430"/>
      <c r="I280" s="504"/>
      <c r="J280" s="3"/>
      <c r="K280" s="372"/>
      <c r="L280" s="501"/>
      <c r="M280" s="372"/>
      <c r="N280" s="501"/>
      <c r="O280" s="430"/>
      <c r="P280" s="430"/>
      <c r="Q280" s="504"/>
      <c r="R280" s="2"/>
      <c r="S280" s="425"/>
      <c r="T280" s="425"/>
      <c r="U280" s="345"/>
      <c r="V280" s="345"/>
    </row>
    <row r="281" spans="1:22" s="226" customFormat="1" ht="27.75" customHeight="1">
      <c r="A281" s="6"/>
      <c r="B281" s="500"/>
      <c r="D281" s="501"/>
      <c r="E281" s="502"/>
      <c r="F281" s="503"/>
      <c r="G281" s="430"/>
      <c r="H281" s="430"/>
      <c r="I281" s="504"/>
      <c r="J281" s="3"/>
      <c r="K281" s="372"/>
      <c r="L281" s="501"/>
      <c r="M281" s="372"/>
      <c r="N281" s="501"/>
      <c r="O281" s="430"/>
      <c r="P281" s="430"/>
      <c r="Q281" s="504"/>
      <c r="R281" s="2"/>
      <c r="S281" s="425"/>
      <c r="T281" s="425"/>
      <c r="U281" s="345"/>
      <c r="V281" s="345"/>
    </row>
    <row r="282" spans="1:22" s="226" customFormat="1" ht="27.75" customHeight="1">
      <c r="A282" s="6"/>
      <c r="B282" s="500"/>
      <c r="D282" s="501"/>
      <c r="E282" s="502"/>
      <c r="F282" s="503"/>
      <c r="G282" s="430"/>
      <c r="H282" s="430"/>
      <c r="J282" s="3"/>
      <c r="K282" s="372"/>
      <c r="L282" s="501"/>
      <c r="M282" s="372"/>
      <c r="N282" s="501"/>
      <c r="O282" s="430"/>
      <c r="P282" s="430"/>
      <c r="Q282" s="504"/>
      <c r="R282" s="2"/>
      <c r="S282" s="425"/>
      <c r="T282" s="425"/>
      <c r="U282" s="345"/>
      <c r="V282" s="345"/>
    </row>
    <row r="283" spans="1:22" s="226" customFormat="1" ht="27.75" customHeight="1">
      <c r="A283" s="6"/>
      <c r="B283" s="500"/>
      <c r="D283" s="501"/>
      <c r="E283" s="502"/>
      <c r="F283" s="503"/>
      <c r="G283" s="430"/>
      <c r="H283" s="430"/>
      <c r="I283" s="504"/>
      <c r="J283" s="3"/>
      <c r="K283" s="372"/>
      <c r="L283" s="501"/>
      <c r="M283" s="372"/>
      <c r="N283" s="501"/>
      <c r="O283" s="430"/>
      <c r="P283" s="430"/>
      <c r="Q283" s="504"/>
      <c r="R283" s="2"/>
      <c r="S283" s="425"/>
      <c r="T283" s="425"/>
      <c r="U283" s="345"/>
      <c r="V283" s="345"/>
    </row>
    <row r="284" spans="1:22" s="226" customFormat="1" ht="27.75" customHeight="1">
      <c r="A284" s="6"/>
      <c r="B284" s="500"/>
      <c r="D284" s="501"/>
      <c r="E284" s="502"/>
      <c r="F284" s="503"/>
      <c r="G284" s="430"/>
      <c r="H284" s="430"/>
      <c r="I284" s="504"/>
      <c r="J284" s="3"/>
      <c r="K284" s="372"/>
      <c r="L284" s="501"/>
      <c r="M284" s="372"/>
      <c r="N284" s="501"/>
      <c r="O284" s="430"/>
      <c r="P284" s="430"/>
      <c r="Q284" s="504"/>
      <c r="R284" s="2"/>
      <c r="S284" s="425"/>
      <c r="T284" s="425"/>
      <c r="U284" s="345"/>
      <c r="V284" s="345"/>
    </row>
    <row r="285" spans="1:22" s="226" customFormat="1" ht="27.75" customHeight="1">
      <c r="A285" s="6"/>
      <c r="B285" s="500"/>
      <c r="D285" s="501"/>
      <c r="E285" s="502"/>
      <c r="F285" s="503"/>
      <c r="G285" s="430"/>
      <c r="H285" s="430"/>
      <c r="I285" s="504"/>
      <c r="J285" s="3"/>
      <c r="K285" s="372"/>
      <c r="L285" s="501"/>
      <c r="M285" s="372"/>
      <c r="N285" s="501"/>
      <c r="O285" s="430"/>
      <c r="P285" s="430"/>
      <c r="Q285" s="504"/>
      <c r="R285" s="2"/>
      <c r="S285" s="425"/>
      <c r="T285" s="425"/>
      <c r="U285" s="345"/>
      <c r="V285" s="345"/>
    </row>
    <row r="286" spans="1:22" s="226" customFormat="1" ht="27.75" customHeight="1">
      <c r="A286" s="6"/>
      <c r="B286" s="500"/>
      <c r="D286" s="501"/>
      <c r="E286" s="502"/>
      <c r="F286" s="503"/>
      <c r="G286" s="430"/>
      <c r="H286" s="430"/>
      <c r="I286" s="504"/>
      <c r="J286" s="3"/>
      <c r="K286" s="372"/>
      <c r="L286" s="501"/>
      <c r="M286" s="372"/>
      <c r="N286" s="501"/>
      <c r="O286" s="430"/>
      <c r="P286" s="430"/>
      <c r="Q286" s="504"/>
      <c r="R286" s="2"/>
      <c r="S286" s="425"/>
      <c r="T286" s="425"/>
      <c r="U286" s="345"/>
      <c r="V286" s="345"/>
    </row>
    <row r="287" spans="1:22" s="226" customFormat="1" ht="27.75" customHeight="1">
      <c r="A287" s="6"/>
      <c r="D287" s="501"/>
      <c r="E287" s="502"/>
      <c r="F287" s="503"/>
      <c r="G287" s="430"/>
      <c r="H287" s="430"/>
      <c r="I287" s="504"/>
      <c r="J287" s="3"/>
      <c r="K287" s="372"/>
      <c r="L287" s="501"/>
      <c r="M287" s="372"/>
      <c r="N287" s="501"/>
      <c r="O287" s="430"/>
      <c r="P287" s="430"/>
      <c r="Q287" s="504"/>
      <c r="R287" s="2"/>
      <c r="S287" s="425"/>
      <c r="T287" s="425"/>
      <c r="U287" s="345"/>
      <c r="V287" s="345"/>
    </row>
    <row r="288" spans="1:22" ht="27.75" customHeight="1">
      <c r="B288" s="4"/>
      <c r="D288" s="4"/>
      <c r="E288" s="505"/>
      <c r="G288" s="504"/>
      <c r="H288" s="504"/>
      <c r="L288" s="4"/>
      <c r="N288" s="4"/>
      <c r="O288" s="507"/>
      <c r="P288" s="507"/>
      <c r="U288" s="4"/>
      <c r="V288" s="4"/>
    </row>
    <row r="289" spans="2:22" ht="27.75" customHeight="1">
      <c r="B289" s="4"/>
      <c r="D289" s="4"/>
      <c r="E289" s="505"/>
      <c r="G289" s="504"/>
      <c r="H289" s="504"/>
      <c r="L289" s="4"/>
      <c r="N289" s="4"/>
      <c r="O289" s="507"/>
      <c r="P289" s="507"/>
      <c r="U289" s="4"/>
      <c r="V289" s="4"/>
    </row>
    <row r="290" spans="2:22" ht="27.75" customHeight="1">
      <c r="B290" s="4"/>
      <c r="D290" s="4"/>
      <c r="E290" s="505"/>
      <c r="G290" s="504"/>
      <c r="H290" s="504"/>
      <c r="I290" s="509"/>
      <c r="L290" s="4"/>
      <c r="N290" s="4"/>
      <c r="O290" s="507"/>
      <c r="P290" s="507"/>
      <c r="U290" s="4"/>
      <c r="V290" s="4"/>
    </row>
    <row r="291" spans="2:22" ht="27.75" customHeight="1">
      <c r="B291" s="4"/>
      <c r="D291" s="4"/>
      <c r="E291" s="505"/>
      <c r="G291" s="504"/>
      <c r="H291" s="504"/>
      <c r="L291" s="4"/>
      <c r="N291" s="4"/>
      <c r="O291" s="507"/>
      <c r="P291" s="507"/>
      <c r="U291" s="4"/>
      <c r="V291" s="4"/>
    </row>
    <row r="292" spans="2:22" ht="27.75" customHeight="1">
      <c r="B292" s="4"/>
      <c r="D292" s="4"/>
      <c r="E292" s="505"/>
      <c r="G292" s="504"/>
      <c r="H292" s="504"/>
      <c r="L292" s="4"/>
      <c r="N292" s="4"/>
      <c r="O292" s="507"/>
      <c r="P292" s="507"/>
      <c r="U292" s="4"/>
      <c r="V292" s="4"/>
    </row>
    <row r="293" spans="2:22" ht="27.75" customHeight="1">
      <c r="B293" s="4"/>
      <c r="D293" s="4"/>
      <c r="E293" s="505"/>
      <c r="G293" s="504"/>
      <c r="H293" s="504"/>
      <c r="L293" s="4"/>
      <c r="N293" s="4"/>
      <c r="O293" s="507"/>
      <c r="P293" s="507"/>
      <c r="U293" s="4"/>
      <c r="V293" s="4"/>
    </row>
    <row r="294" spans="2:22" ht="27.75" customHeight="1">
      <c r="B294" s="4"/>
      <c r="D294" s="4"/>
      <c r="E294" s="505"/>
      <c r="G294" s="504"/>
      <c r="H294" s="504"/>
      <c r="L294" s="4"/>
      <c r="N294" s="4"/>
      <c r="O294" s="507"/>
      <c r="P294" s="507"/>
      <c r="U294" s="4"/>
      <c r="V294" s="4"/>
    </row>
    <row r="295" spans="2:22" ht="27.75" customHeight="1">
      <c r="B295" s="4"/>
      <c r="D295" s="4"/>
      <c r="E295" s="505"/>
      <c r="G295" s="504"/>
      <c r="H295" s="504"/>
      <c r="L295" s="4"/>
      <c r="N295" s="4"/>
      <c r="O295" s="507"/>
      <c r="P295" s="507"/>
      <c r="U295" s="4"/>
      <c r="V295" s="4"/>
    </row>
    <row r="296" spans="2:22" ht="27.75" customHeight="1">
      <c r="B296" s="4"/>
      <c r="D296" s="4"/>
      <c r="E296" s="505"/>
      <c r="G296" s="504"/>
      <c r="H296" s="504"/>
      <c r="L296" s="4"/>
      <c r="N296" s="4"/>
      <c r="O296" s="507"/>
      <c r="P296" s="507"/>
      <c r="U296" s="4"/>
      <c r="V296" s="4"/>
    </row>
    <row r="297" spans="2:22" ht="27.75" customHeight="1">
      <c r="B297" s="4"/>
      <c r="D297" s="4"/>
      <c r="E297" s="505"/>
      <c r="G297" s="504"/>
      <c r="H297" s="504"/>
      <c r="L297" s="4"/>
      <c r="N297" s="4"/>
      <c r="O297" s="507"/>
      <c r="P297" s="507"/>
      <c r="U297" s="4"/>
      <c r="V297" s="4"/>
    </row>
    <row r="298" spans="2:22" ht="27.75" customHeight="1">
      <c r="B298" s="4"/>
      <c r="D298" s="4"/>
      <c r="E298" s="505"/>
      <c r="G298" s="504"/>
      <c r="H298" s="504"/>
      <c r="L298" s="4"/>
      <c r="N298" s="4"/>
      <c r="O298" s="507"/>
      <c r="P298" s="507"/>
      <c r="U298" s="4"/>
      <c r="V298" s="4"/>
    </row>
    <row r="299" spans="2:22" ht="27.75" customHeight="1">
      <c r="B299" s="4"/>
      <c r="D299" s="4"/>
      <c r="E299" s="505"/>
      <c r="G299" s="504"/>
      <c r="H299" s="504"/>
      <c r="L299" s="4"/>
      <c r="N299" s="4"/>
      <c r="O299" s="507"/>
      <c r="P299" s="507"/>
      <c r="U299" s="4"/>
      <c r="V299" s="4"/>
    </row>
    <row r="300" spans="2:22" ht="27.75" customHeight="1">
      <c r="B300" s="4"/>
      <c r="D300" s="4"/>
      <c r="E300" s="505"/>
      <c r="G300" s="504"/>
      <c r="H300" s="504"/>
      <c r="L300" s="4"/>
      <c r="N300" s="4"/>
      <c r="O300" s="507"/>
      <c r="P300" s="507"/>
      <c r="U300" s="4"/>
      <c r="V300" s="4"/>
    </row>
    <row r="301" spans="2:22" ht="27.75" customHeight="1">
      <c r="B301" s="4"/>
      <c r="D301" s="4"/>
      <c r="E301" s="505"/>
      <c r="G301" s="504"/>
      <c r="H301" s="504"/>
      <c r="L301" s="4"/>
      <c r="N301" s="4"/>
      <c r="O301" s="507"/>
      <c r="P301" s="507"/>
      <c r="U301" s="4"/>
      <c r="V301" s="4"/>
    </row>
    <row r="302" spans="2:22" ht="27.75" customHeight="1">
      <c r="B302" s="4"/>
      <c r="D302" s="4"/>
      <c r="E302" s="505"/>
      <c r="G302" s="504"/>
      <c r="H302" s="504"/>
      <c r="L302" s="4"/>
      <c r="N302" s="4"/>
      <c r="O302" s="507"/>
      <c r="P302" s="507"/>
      <c r="U302" s="4"/>
      <c r="V302" s="4"/>
    </row>
    <row r="303" spans="2:22" ht="27.75" customHeight="1">
      <c r="B303" s="4"/>
      <c r="D303" s="4"/>
      <c r="E303" s="505"/>
      <c r="G303" s="504"/>
      <c r="H303" s="504"/>
      <c r="L303" s="4"/>
      <c r="N303" s="4"/>
      <c r="O303" s="507"/>
      <c r="P303" s="507"/>
      <c r="U303" s="4"/>
      <c r="V303" s="4"/>
    </row>
    <row r="315" spans="2:22" ht="27.75" customHeight="1">
      <c r="B315" s="4"/>
      <c r="D315" s="4"/>
      <c r="E315" s="505"/>
      <c r="G315" s="504"/>
      <c r="H315" s="504"/>
      <c r="L315" s="4"/>
      <c r="N315" s="4"/>
      <c r="O315" s="507"/>
      <c r="P315" s="507"/>
      <c r="R315" s="4"/>
      <c r="S315" s="4"/>
      <c r="T315" s="4"/>
      <c r="U315" s="4"/>
      <c r="V315" s="4"/>
    </row>
    <row r="316" spans="2:22" ht="27.75" customHeight="1">
      <c r="B316" s="4"/>
      <c r="D316" s="4"/>
      <c r="E316" s="505"/>
      <c r="G316" s="504"/>
      <c r="H316" s="504"/>
      <c r="L316" s="4"/>
      <c r="N316" s="4"/>
      <c r="O316" s="507"/>
      <c r="P316" s="507"/>
      <c r="R316" s="4"/>
      <c r="S316" s="4"/>
      <c r="T316" s="4"/>
      <c r="U316" s="4"/>
      <c r="V316" s="4"/>
    </row>
    <row r="317" spans="2:22" ht="27.75" customHeight="1">
      <c r="B317" s="4"/>
      <c r="D317" s="4"/>
      <c r="E317" s="505"/>
      <c r="G317" s="504"/>
      <c r="H317" s="504"/>
      <c r="L317" s="4"/>
      <c r="N317" s="4"/>
      <c r="O317" s="507"/>
      <c r="P317" s="507"/>
      <c r="R317" s="4"/>
      <c r="S317" s="4"/>
      <c r="T317" s="4"/>
      <c r="U317" s="4"/>
      <c r="V317" s="4"/>
    </row>
    <row r="318" spans="2:22" ht="27.75" customHeight="1">
      <c r="B318" s="4"/>
      <c r="D318" s="4"/>
      <c r="E318" s="505"/>
      <c r="G318" s="504"/>
      <c r="H318" s="504"/>
      <c r="L318" s="4"/>
      <c r="N318" s="4"/>
      <c r="O318" s="507"/>
      <c r="P318" s="507"/>
      <c r="R318" s="4"/>
      <c r="S318" s="4"/>
      <c r="T318" s="4"/>
      <c r="U318" s="4"/>
      <c r="V318" s="4"/>
    </row>
    <row r="319" spans="2:22" ht="27.75" customHeight="1">
      <c r="B319" s="4"/>
      <c r="D319" s="4"/>
      <c r="E319" s="505"/>
      <c r="G319" s="504"/>
      <c r="H319" s="504"/>
      <c r="L319" s="4"/>
      <c r="N319" s="4"/>
      <c r="O319" s="507"/>
      <c r="P319" s="507"/>
      <c r="R319" s="4"/>
      <c r="S319" s="4"/>
      <c r="T319" s="4"/>
      <c r="U319" s="4"/>
      <c r="V319" s="4"/>
    </row>
    <row r="320" spans="2:22" ht="27.75" customHeight="1">
      <c r="B320" s="4"/>
      <c r="D320" s="4"/>
      <c r="E320" s="505"/>
      <c r="G320" s="504"/>
      <c r="H320" s="504"/>
      <c r="L320" s="4"/>
      <c r="N320" s="4"/>
      <c r="O320" s="507"/>
      <c r="P320" s="507"/>
      <c r="R320" s="4"/>
      <c r="S320" s="4"/>
      <c r="T320" s="4"/>
      <c r="U320" s="4"/>
      <c r="V320" s="4"/>
    </row>
    <row r="321" spans="2:22" ht="27.75" customHeight="1">
      <c r="B321" s="4"/>
      <c r="D321" s="4"/>
      <c r="E321" s="505"/>
      <c r="G321" s="504"/>
      <c r="H321" s="504"/>
      <c r="L321" s="4"/>
      <c r="N321" s="4"/>
      <c r="O321" s="507"/>
      <c r="P321" s="507"/>
      <c r="R321" s="4"/>
      <c r="S321" s="4"/>
      <c r="T321" s="4"/>
      <c r="U321" s="4"/>
      <c r="V321" s="4"/>
    </row>
    <row r="322" spans="2:22" ht="27.75" customHeight="1">
      <c r="B322" s="4"/>
      <c r="D322" s="4"/>
      <c r="E322" s="505"/>
      <c r="G322" s="504"/>
      <c r="H322" s="504"/>
      <c r="L322" s="4"/>
      <c r="N322" s="4"/>
      <c r="O322" s="507"/>
      <c r="P322" s="507"/>
      <c r="R322" s="4"/>
      <c r="S322" s="4"/>
      <c r="T322" s="4"/>
      <c r="U322" s="4"/>
      <c r="V322" s="4"/>
    </row>
    <row r="323" spans="2:22" ht="27.75" customHeight="1">
      <c r="B323" s="4"/>
      <c r="D323" s="4"/>
      <c r="E323" s="505"/>
      <c r="G323" s="504"/>
      <c r="H323" s="504"/>
      <c r="L323" s="4"/>
      <c r="N323" s="4"/>
      <c r="O323" s="507"/>
      <c r="P323" s="507"/>
      <c r="R323" s="4"/>
      <c r="S323" s="4"/>
      <c r="T323" s="4"/>
      <c r="U323" s="4"/>
      <c r="V323" s="4"/>
    </row>
    <row r="324" spans="2:22" ht="27.75" customHeight="1">
      <c r="B324" s="4"/>
      <c r="D324" s="4"/>
      <c r="E324" s="505"/>
      <c r="G324" s="504"/>
      <c r="H324" s="504"/>
      <c r="L324" s="4"/>
      <c r="N324" s="4"/>
      <c r="O324" s="507"/>
      <c r="P324" s="507"/>
      <c r="R324" s="4"/>
      <c r="S324" s="4"/>
      <c r="T324" s="4"/>
      <c r="U324" s="4"/>
      <c r="V324" s="4"/>
    </row>
    <row r="325" spans="2:22" ht="27.75" customHeight="1">
      <c r="B325" s="4"/>
      <c r="D325" s="4"/>
      <c r="E325" s="505"/>
      <c r="G325" s="504"/>
      <c r="H325" s="504"/>
      <c r="L325" s="4"/>
      <c r="N325" s="4"/>
      <c r="O325" s="507"/>
      <c r="P325" s="507"/>
      <c r="R325" s="4"/>
      <c r="S325" s="4"/>
      <c r="T325" s="4"/>
      <c r="U325" s="4"/>
      <c r="V325" s="4"/>
    </row>
    <row r="326" spans="2:22" ht="27.75" customHeight="1">
      <c r="B326" s="4"/>
      <c r="D326" s="4"/>
      <c r="E326" s="505"/>
      <c r="G326" s="504"/>
      <c r="H326" s="504"/>
      <c r="L326" s="4"/>
      <c r="N326" s="4"/>
      <c r="O326" s="507"/>
      <c r="P326" s="507"/>
      <c r="R326" s="4"/>
      <c r="S326" s="4"/>
      <c r="T326" s="4"/>
      <c r="U326" s="4"/>
      <c r="V326" s="4"/>
    </row>
    <row r="327" spans="2:22" ht="27.75" customHeight="1">
      <c r="B327" s="4"/>
      <c r="D327" s="4"/>
      <c r="E327" s="505"/>
      <c r="G327" s="504"/>
      <c r="H327" s="504"/>
      <c r="L327" s="4"/>
      <c r="N327" s="4"/>
      <c r="O327" s="507"/>
      <c r="P327" s="507"/>
      <c r="R327" s="4"/>
      <c r="S327" s="4"/>
      <c r="T327" s="4"/>
      <c r="U327" s="4"/>
      <c r="V327" s="4"/>
    </row>
  </sheetData>
  <mergeCells count="28">
    <mergeCell ref="A274:R274"/>
    <mergeCell ref="A275:R275"/>
    <mergeCell ref="N5:N6"/>
    <mergeCell ref="O5:Q5"/>
    <mergeCell ref="B255:D255"/>
    <mergeCell ref="B259:D259"/>
    <mergeCell ref="B262:D262"/>
    <mergeCell ref="A273:R273"/>
    <mergeCell ref="S4:S6"/>
    <mergeCell ref="T4:T6"/>
    <mergeCell ref="U4:U6"/>
    <mergeCell ref="V4:V6"/>
    <mergeCell ref="A5:A6"/>
    <mergeCell ref="B5:B6"/>
    <mergeCell ref="C5:C6"/>
    <mergeCell ref="D5:D6"/>
    <mergeCell ref="E5:E6"/>
    <mergeCell ref="F5:F6"/>
    <mergeCell ref="R4:R6"/>
    <mergeCell ref="G5:I5"/>
    <mergeCell ref="K5:K6"/>
    <mergeCell ref="L5:L6"/>
    <mergeCell ref="M5:M6"/>
    <mergeCell ref="A1:Q1"/>
    <mergeCell ref="A2:Q2"/>
    <mergeCell ref="A3:Q3"/>
    <mergeCell ref="E4:I4"/>
    <mergeCell ref="M4:Q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FB0C0-AD14-4BFE-8F95-0F007F3320E0}">
  <sheetPr>
    <tabColor rgb="FFFFFF00"/>
  </sheetPr>
  <dimension ref="A1:I248"/>
  <sheetViews>
    <sheetView zoomScale="60" zoomScaleNormal="60" workbookViewId="0">
      <pane ySplit="6" topLeftCell="A182" activePane="bottomLeft" state="frozen"/>
      <selection pane="bottomLeft" activeCell="H196" sqref="H196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1.6640625" style="3" customWidth="1"/>
    <col min="5" max="5" width="24.5546875" style="372" customWidth="1"/>
    <col min="6" max="6" width="22.109375" style="512" customWidth="1"/>
    <col min="7" max="7" width="8.88671875" style="4"/>
    <col min="8" max="8" width="22.109375" style="4" customWidth="1"/>
    <col min="9" max="9" width="15.109375" style="4" customWidth="1"/>
    <col min="10" max="16384" width="8.88671875" style="4"/>
  </cols>
  <sheetData>
    <row r="1" spans="1:6" ht="28.5" customHeight="1">
      <c r="A1" s="653" t="s">
        <v>0</v>
      </c>
      <c r="B1" s="653"/>
      <c r="C1" s="653"/>
      <c r="D1" s="653"/>
      <c r="E1" s="653"/>
      <c r="F1" s="653"/>
    </row>
    <row r="2" spans="1:6" ht="23.25" customHeight="1">
      <c r="A2" s="653" t="s">
        <v>1</v>
      </c>
      <c r="B2" s="653"/>
      <c r="C2" s="653"/>
      <c r="D2" s="653"/>
      <c r="E2" s="653"/>
      <c r="F2" s="653"/>
    </row>
    <row r="3" spans="1:6" ht="28.5" customHeight="1">
      <c r="A3" s="654" t="s">
        <v>1046</v>
      </c>
      <c r="B3" s="654"/>
      <c r="C3" s="654"/>
      <c r="D3" s="654"/>
      <c r="E3" s="654"/>
      <c r="F3" s="654"/>
    </row>
    <row r="4" spans="1:6" ht="27.75" customHeight="1">
      <c r="A4" s="7"/>
      <c r="B4" s="8"/>
      <c r="C4" s="9"/>
      <c r="D4" s="11"/>
      <c r="E4" s="12" t="s">
        <v>4</v>
      </c>
      <c r="F4" s="13"/>
    </row>
    <row r="5" spans="1:6" ht="27.75" customHeight="1">
      <c r="A5" s="664" t="s">
        <v>11</v>
      </c>
      <c r="B5" s="666" t="s">
        <v>12</v>
      </c>
      <c r="C5" s="666" t="s">
        <v>13</v>
      </c>
      <c r="D5" s="14" t="s">
        <v>18</v>
      </c>
      <c r="E5" s="691" t="s">
        <v>19</v>
      </c>
      <c r="F5" s="693" t="s">
        <v>20</v>
      </c>
    </row>
    <row r="6" spans="1:6" ht="27.75" customHeight="1" thickBot="1">
      <c r="A6" s="665"/>
      <c r="B6" s="667"/>
      <c r="C6" s="667"/>
      <c r="D6" s="18"/>
      <c r="E6" s="692"/>
      <c r="F6" s="694"/>
    </row>
    <row r="7" spans="1:6" ht="27.75" customHeight="1" thickTop="1">
      <c r="A7" s="22"/>
      <c r="B7" s="23" t="s">
        <v>23</v>
      </c>
      <c r="C7" s="24"/>
      <c r="D7" s="29"/>
      <c r="E7" s="30"/>
      <c r="F7" s="31"/>
    </row>
    <row r="8" spans="1:6" s="57" customFormat="1" ht="27.75" customHeight="1">
      <c r="A8" s="39">
        <v>1</v>
      </c>
      <c r="B8" s="40" t="s">
        <v>24</v>
      </c>
      <c r="C8" s="41" t="s">
        <v>25</v>
      </c>
      <c r="D8" s="48">
        <v>46083</v>
      </c>
      <c r="E8" s="49" t="s">
        <v>1047</v>
      </c>
      <c r="F8" s="50">
        <v>4012.5</v>
      </c>
    </row>
    <row r="9" spans="1:6" s="57" customFormat="1" ht="27.75" customHeight="1">
      <c r="A9" s="39">
        <v>2</v>
      </c>
      <c r="B9" s="40" t="s">
        <v>24</v>
      </c>
      <c r="C9" s="41" t="s">
        <v>33</v>
      </c>
      <c r="D9" s="48">
        <v>46083</v>
      </c>
      <c r="E9" s="49" t="s">
        <v>1047</v>
      </c>
      <c r="F9" s="50">
        <v>4012.5</v>
      </c>
    </row>
    <row r="10" spans="1:6" s="57" customFormat="1" ht="27.75" customHeight="1">
      <c r="A10" s="39">
        <v>3</v>
      </c>
      <c r="B10" s="40" t="s">
        <v>36</v>
      </c>
      <c r="C10" s="41" t="s">
        <v>37</v>
      </c>
      <c r="D10" s="48">
        <v>46086</v>
      </c>
      <c r="E10" s="49" t="s">
        <v>1048</v>
      </c>
      <c r="F10" s="50">
        <v>4012.5</v>
      </c>
    </row>
    <row r="11" spans="1:6" s="57" customFormat="1" ht="27.75" customHeight="1">
      <c r="A11" s="39">
        <v>4</v>
      </c>
      <c r="B11" s="40" t="s">
        <v>40</v>
      </c>
      <c r="C11" s="41" t="s">
        <v>41</v>
      </c>
      <c r="D11" s="48" t="s">
        <v>1049</v>
      </c>
      <c r="E11" s="49" t="s">
        <v>1050</v>
      </c>
      <c r="F11" s="50">
        <v>12037.5</v>
      </c>
    </row>
    <row r="12" spans="1:6" s="57" customFormat="1" ht="27.75" customHeight="1">
      <c r="A12" s="39">
        <v>5</v>
      </c>
      <c r="B12" s="40" t="s">
        <v>43</v>
      </c>
      <c r="C12" s="41" t="s">
        <v>44</v>
      </c>
      <c r="D12" s="48">
        <v>46083</v>
      </c>
      <c r="E12" s="49" t="s">
        <v>1052</v>
      </c>
      <c r="F12" s="50">
        <v>4012.5</v>
      </c>
    </row>
    <row r="13" spans="1:6" s="57" customFormat="1" ht="27.75" customHeight="1">
      <c r="A13" s="39">
        <v>6</v>
      </c>
      <c r="B13" s="40" t="s">
        <v>47</v>
      </c>
      <c r="C13" s="41" t="s">
        <v>48</v>
      </c>
      <c r="D13" s="48">
        <v>46083</v>
      </c>
      <c r="E13" s="49" t="s">
        <v>1053</v>
      </c>
      <c r="F13" s="50">
        <v>4012.5</v>
      </c>
    </row>
    <row r="14" spans="1:6" s="57" customFormat="1" ht="27.75" customHeight="1">
      <c r="A14" s="39">
        <v>7</v>
      </c>
      <c r="B14" s="40" t="s">
        <v>50</v>
      </c>
      <c r="C14" s="41" t="s">
        <v>51</v>
      </c>
      <c r="D14" s="48">
        <v>46083</v>
      </c>
      <c r="E14" s="49" t="s">
        <v>1054</v>
      </c>
      <c r="F14" s="50">
        <v>4012.5</v>
      </c>
    </row>
    <row r="15" spans="1:6" s="57" customFormat="1" ht="27.75" customHeight="1">
      <c r="A15" s="39">
        <v>8</v>
      </c>
      <c r="B15" s="40" t="s">
        <v>53</v>
      </c>
      <c r="C15" s="41" t="s">
        <v>54</v>
      </c>
      <c r="D15" s="48">
        <v>46085</v>
      </c>
      <c r="E15" s="59" t="s">
        <v>1055</v>
      </c>
      <c r="F15" s="50">
        <v>4012.5</v>
      </c>
    </row>
    <row r="16" spans="1:6" s="57" customFormat="1" ht="27.75" customHeight="1">
      <c r="A16" s="39">
        <v>9</v>
      </c>
      <c r="B16" s="40" t="s">
        <v>57</v>
      </c>
      <c r="C16" s="41" t="s">
        <v>58</v>
      </c>
      <c r="D16" s="48">
        <v>46082</v>
      </c>
      <c r="E16" s="49" t="s">
        <v>1056</v>
      </c>
      <c r="F16" s="50">
        <v>4012.5</v>
      </c>
    </row>
    <row r="17" spans="1:8" s="57" customFormat="1" ht="27.75" customHeight="1">
      <c r="A17" s="39">
        <v>10</v>
      </c>
      <c r="B17" s="40" t="s">
        <v>60</v>
      </c>
      <c r="C17" s="41" t="s">
        <v>61</v>
      </c>
      <c r="D17" s="48">
        <v>46083</v>
      </c>
      <c r="E17" s="49" t="s">
        <v>1057</v>
      </c>
      <c r="F17" s="50">
        <v>4012.5</v>
      </c>
    </row>
    <row r="18" spans="1:8" s="57" customFormat="1" ht="27.75" customHeight="1">
      <c r="A18" s="39">
        <v>11</v>
      </c>
      <c r="B18" s="40" t="s">
        <v>63</v>
      </c>
      <c r="C18" s="41" t="s">
        <v>64</v>
      </c>
      <c r="D18" s="48">
        <v>46086</v>
      </c>
      <c r="E18" s="49" t="s">
        <v>1058</v>
      </c>
      <c r="F18" s="50">
        <v>4012.5</v>
      </c>
    </row>
    <row r="19" spans="1:8" s="57" customFormat="1" ht="27.75" customHeight="1">
      <c r="A19" s="39">
        <v>12</v>
      </c>
      <c r="B19" s="40" t="s">
        <v>66</v>
      </c>
      <c r="C19" s="41" t="s">
        <v>67</v>
      </c>
      <c r="D19" s="62" t="s">
        <v>1059</v>
      </c>
      <c r="E19" s="49" t="s">
        <v>1060</v>
      </c>
      <c r="F19" s="50">
        <v>24075</v>
      </c>
    </row>
    <row r="20" spans="1:8" s="57" customFormat="1" ht="27.75" customHeight="1">
      <c r="A20" s="39">
        <v>13</v>
      </c>
      <c r="B20" s="40" t="s">
        <v>66</v>
      </c>
      <c r="C20" s="41" t="s">
        <v>69</v>
      </c>
      <c r="D20" s="62" t="s">
        <v>1059</v>
      </c>
      <c r="E20" s="49" t="s">
        <v>1061</v>
      </c>
      <c r="F20" s="50">
        <v>8025</v>
      </c>
    </row>
    <row r="21" spans="1:8" s="57" customFormat="1" ht="35.25" customHeight="1" thickBot="1">
      <c r="A21" s="67"/>
      <c r="B21" s="68" t="s">
        <v>22</v>
      </c>
      <c r="C21" s="69"/>
      <c r="D21" s="74"/>
      <c r="E21" s="75"/>
      <c r="F21" s="76">
        <v>84262.5</v>
      </c>
      <c r="H21" s="57">
        <f>SUM(F8:F20)</f>
        <v>84262.5</v>
      </c>
    </row>
    <row r="22" spans="1:8" s="91" customFormat="1" ht="27.75" customHeight="1" thickTop="1">
      <c r="A22" s="39">
        <v>1</v>
      </c>
      <c r="B22" s="80" t="s">
        <v>71</v>
      </c>
      <c r="C22" s="81" t="s">
        <v>72</v>
      </c>
      <c r="D22" s="48">
        <v>46105</v>
      </c>
      <c r="E22" s="49" t="s">
        <v>1062</v>
      </c>
      <c r="F22" s="86">
        <v>13375</v>
      </c>
    </row>
    <row r="23" spans="1:8" s="57" customFormat="1" ht="27.75" customHeight="1">
      <c r="A23" s="39">
        <v>2</v>
      </c>
      <c r="B23" s="92" t="s">
        <v>76</v>
      </c>
      <c r="C23" s="41" t="s">
        <v>72</v>
      </c>
      <c r="D23" s="62">
        <v>46087</v>
      </c>
      <c r="E23" s="49" t="s">
        <v>1064</v>
      </c>
      <c r="F23" s="93">
        <v>1605</v>
      </c>
    </row>
    <row r="24" spans="1:8" s="57" customFormat="1" ht="27.75" customHeight="1" thickBot="1">
      <c r="A24" s="96"/>
      <c r="B24" s="97" t="s">
        <v>22</v>
      </c>
      <c r="C24" s="98"/>
      <c r="D24" s="103"/>
      <c r="E24" s="104"/>
      <c r="F24" s="105">
        <v>14980</v>
      </c>
      <c r="H24" s="57">
        <f>SUM(F22:F23)</f>
        <v>14980</v>
      </c>
    </row>
    <row r="25" spans="1:8" ht="27.75" customHeight="1" thickTop="1">
      <c r="A25" s="39">
        <v>1</v>
      </c>
      <c r="B25" s="40" t="s">
        <v>78</v>
      </c>
      <c r="C25" s="81" t="s">
        <v>72</v>
      </c>
      <c r="D25" s="113" t="s">
        <v>1059</v>
      </c>
      <c r="E25" s="114" t="s">
        <v>1065</v>
      </c>
      <c r="F25" s="115">
        <v>19066.55</v>
      </c>
    </row>
    <row r="26" spans="1:8" ht="27.75" customHeight="1">
      <c r="A26" s="39">
        <v>2</v>
      </c>
      <c r="B26" s="40" t="s">
        <v>82</v>
      </c>
      <c r="C26" s="41" t="s">
        <v>72</v>
      </c>
      <c r="D26" s="113">
        <v>46085</v>
      </c>
      <c r="E26" s="114" t="s">
        <v>1066</v>
      </c>
      <c r="F26" s="115">
        <v>1883.2</v>
      </c>
    </row>
    <row r="27" spans="1:8" ht="27.75" customHeight="1">
      <c r="A27" s="39">
        <v>3</v>
      </c>
      <c r="B27" s="40" t="s">
        <v>85</v>
      </c>
      <c r="C27" s="41" t="s">
        <v>72</v>
      </c>
      <c r="D27" s="117">
        <v>46086</v>
      </c>
      <c r="E27" s="118" t="s">
        <v>1067</v>
      </c>
      <c r="F27" s="119">
        <v>10000</v>
      </c>
    </row>
    <row r="28" spans="1:8" s="57" customFormat="1" ht="27.75" customHeight="1" thickBot="1">
      <c r="A28" s="96"/>
      <c r="B28" s="97" t="s">
        <v>22</v>
      </c>
      <c r="C28" s="98"/>
      <c r="D28" s="103"/>
      <c r="E28" s="104"/>
      <c r="F28" s="105">
        <v>30949.75</v>
      </c>
      <c r="H28" s="57">
        <f>SUM(F25:F27)</f>
        <v>30949.75</v>
      </c>
    </row>
    <row r="29" spans="1:8" ht="27.75" hidden="1" customHeight="1" thickBot="1">
      <c r="A29" s="39">
        <v>1</v>
      </c>
      <c r="B29" s="40" t="s">
        <v>88</v>
      </c>
      <c r="C29" s="41" t="s">
        <v>72</v>
      </c>
      <c r="D29" s="113"/>
      <c r="E29" s="118"/>
      <c r="F29" s="121">
        <v>0</v>
      </c>
    </row>
    <row r="30" spans="1:8" ht="27.75" hidden="1" customHeight="1" thickTop="1">
      <c r="A30" s="39">
        <v>2</v>
      </c>
      <c r="B30" s="40" t="s">
        <v>89</v>
      </c>
      <c r="C30" s="41" t="s">
        <v>72</v>
      </c>
      <c r="D30" s="113"/>
      <c r="E30" s="118"/>
      <c r="F30" s="121">
        <v>0</v>
      </c>
    </row>
    <row r="31" spans="1:8" ht="27.75" hidden="1" customHeight="1" thickTop="1">
      <c r="A31" s="39">
        <v>3</v>
      </c>
      <c r="B31" s="40" t="s">
        <v>90</v>
      </c>
      <c r="C31" s="41" t="s">
        <v>72</v>
      </c>
      <c r="D31" s="113"/>
      <c r="E31" s="118"/>
      <c r="F31" s="121"/>
    </row>
    <row r="32" spans="1:8" ht="27.75" hidden="1" customHeight="1" thickTop="1">
      <c r="A32" s="39">
        <v>4</v>
      </c>
      <c r="B32" s="40" t="s">
        <v>91</v>
      </c>
      <c r="C32" s="41" t="s">
        <v>72</v>
      </c>
      <c r="D32" s="113"/>
      <c r="E32" s="118"/>
      <c r="F32" s="121">
        <v>0</v>
      </c>
    </row>
    <row r="33" spans="1:6" ht="27.75" hidden="1" customHeight="1" thickTop="1">
      <c r="A33" s="39">
        <v>5</v>
      </c>
      <c r="B33" s="40" t="s">
        <v>92</v>
      </c>
      <c r="C33" s="41" t="s">
        <v>72</v>
      </c>
      <c r="D33" s="117"/>
      <c r="E33" s="118"/>
      <c r="F33" s="119">
        <v>0</v>
      </c>
    </row>
    <row r="34" spans="1:6" ht="27.75" hidden="1" customHeight="1" thickTop="1">
      <c r="A34" s="39">
        <v>6</v>
      </c>
      <c r="B34" s="123" t="s">
        <v>93</v>
      </c>
      <c r="C34" s="41" t="s">
        <v>72</v>
      </c>
      <c r="D34" s="127"/>
      <c r="E34" s="128"/>
      <c r="F34" s="129">
        <v>0</v>
      </c>
    </row>
    <row r="35" spans="1:6" ht="27.75" hidden="1" customHeight="1" thickTop="1">
      <c r="A35" s="39">
        <v>7</v>
      </c>
      <c r="B35" s="40" t="s">
        <v>94</v>
      </c>
      <c r="C35" s="41" t="s">
        <v>72</v>
      </c>
      <c r="D35" s="117"/>
      <c r="E35" s="118"/>
      <c r="F35" s="119">
        <v>0</v>
      </c>
    </row>
    <row r="36" spans="1:6" ht="27.75" hidden="1" customHeight="1" thickTop="1">
      <c r="A36" s="39">
        <v>8</v>
      </c>
      <c r="B36" s="40" t="s">
        <v>95</v>
      </c>
      <c r="C36" s="41" t="s">
        <v>72</v>
      </c>
      <c r="D36" s="117"/>
      <c r="E36" s="118"/>
      <c r="F36" s="119">
        <v>0</v>
      </c>
    </row>
    <row r="37" spans="1:6" ht="27.75" hidden="1" customHeight="1" thickTop="1">
      <c r="A37" s="39">
        <v>9</v>
      </c>
      <c r="B37" s="40" t="s">
        <v>96</v>
      </c>
      <c r="C37" s="41" t="s">
        <v>72</v>
      </c>
      <c r="D37" s="117"/>
      <c r="E37" s="118"/>
      <c r="F37" s="119">
        <v>0</v>
      </c>
    </row>
    <row r="38" spans="1:6" ht="27.75" hidden="1" customHeight="1" thickTop="1">
      <c r="A38" s="39">
        <v>10</v>
      </c>
      <c r="B38" s="40" t="s">
        <v>97</v>
      </c>
      <c r="C38" s="41" t="s">
        <v>72</v>
      </c>
      <c r="D38" s="117"/>
      <c r="E38" s="118"/>
      <c r="F38" s="119">
        <v>0</v>
      </c>
    </row>
    <row r="39" spans="1:6" ht="27.75" hidden="1" customHeight="1" thickTop="1">
      <c r="A39" s="39">
        <v>11</v>
      </c>
      <c r="B39" s="40" t="s">
        <v>98</v>
      </c>
      <c r="C39" s="41" t="s">
        <v>72</v>
      </c>
      <c r="D39" s="117"/>
      <c r="E39" s="118"/>
      <c r="F39" s="119">
        <v>0</v>
      </c>
    </row>
    <row r="40" spans="1:6" ht="27.75" hidden="1" customHeight="1" thickTop="1">
      <c r="A40" s="39">
        <v>12</v>
      </c>
      <c r="B40" s="40" t="s">
        <v>99</v>
      </c>
      <c r="C40" s="41" t="s">
        <v>72</v>
      </c>
      <c r="D40" s="117"/>
      <c r="E40" s="118"/>
      <c r="F40" s="119">
        <v>0</v>
      </c>
    </row>
    <row r="41" spans="1:6" ht="27.75" hidden="1" customHeight="1" thickTop="1">
      <c r="A41" s="39"/>
      <c r="B41" s="123"/>
      <c r="C41" s="41"/>
      <c r="D41" s="127"/>
      <c r="E41" s="128"/>
      <c r="F41" s="129"/>
    </row>
    <row r="42" spans="1:6" ht="27.75" hidden="1" customHeight="1" thickTop="1">
      <c r="A42" s="22"/>
      <c r="B42" s="131" t="s">
        <v>22</v>
      </c>
      <c r="C42" s="132"/>
      <c r="D42" s="137">
        <v>0</v>
      </c>
      <c r="E42" s="137">
        <v>0</v>
      </c>
      <c r="F42" s="138">
        <v>0</v>
      </c>
    </row>
    <row r="43" spans="1:6" ht="27.75" customHeight="1" thickTop="1">
      <c r="A43" s="22"/>
      <c r="B43" s="23" t="s">
        <v>100</v>
      </c>
      <c r="C43" s="24"/>
      <c r="D43" s="29"/>
      <c r="E43" s="30"/>
      <c r="F43" s="31"/>
    </row>
    <row r="44" spans="1:6" s="57" customFormat="1" ht="27.75" customHeight="1">
      <c r="A44" s="22">
        <v>1</v>
      </c>
      <c r="B44" s="40" t="s">
        <v>101</v>
      </c>
      <c r="C44" s="140" t="s">
        <v>102</v>
      </c>
      <c r="D44" s="113">
        <v>46101</v>
      </c>
      <c r="E44" s="114" t="s">
        <v>1068</v>
      </c>
      <c r="F44" s="144">
        <v>160.5</v>
      </c>
    </row>
    <row r="45" spans="1:6" s="57" customFormat="1" ht="27.75" customHeight="1">
      <c r="A45" s="22">
        <v>2</v>
      </c>
      <c r="B45" s="150" t="s">
        <v>104</v>
      </c>
      <c r="C45" s="140" t="s">
        <v>102</v>
      </c>
      <c r="D45" s="117">
        <v>46108</v>
      </c>
      <c r="E45" s="118" t="s">
        <v>1069</v>
      </c>
      <c r="F45" s="151">
        <v>321</v>
      </c>
    </row>
    <row r="46" spans="1:6" s="57" customFormat="1" ht="27.75" customHeight="1">
      <c r="A46" s="22">
        <v>3</v>
      </c>
      <c r="B46" s="170" t="s">
        <v>109</v>
      </c>
      <c r="C46" s="140" t="s">
        <v>102</v>
      </c>
      <c r="D46" s="117">
        <v>46084</v>
      </c>
      <c r="E46" s="118" t="s">
        <v>1071</v>
      </c>
      <c r="F46" s="151">
        <v>321</v>
      </c>
    </row>
    <row r="47" spans="1:6" s="57" customFormat="1" ht="27.75" customHeight="1">
      <c r="A47" s="22">
        <v>4</v>
      </c>
      <c r="B47" s="170" t="s">
        <v>111</v>
      </c>
      <c r="C47" s="140" t="s">
        <v>102</v>
      </c>
      <c r="D47" s="117">
        <v>46085</v>
      </c>
      <c r="E47" s="118" t="s">
        <v>1072</v>
      </c>
      <c r="F47" s="151">
        <v>321</v>
      </c>
    </row>
    <row r="48" spans="1:6" s="57" customFormat="1" ht="27.75" customHeight="1">
      <c r="A48" s="22">
        <v>5</v>
      </c>
      <c r="B48" s="170" t="s">
        <v>113</v>
      </c>
      <c r="C48" s="140" t="s">
        <v>102</v>
      </c>
      <c r="D48" s="113">
        <v>46107</v>
      </c>
      <c r="E48" s="114" t="s">
        <v>1073</v>
      </c>
      <c r="F48" s="151">
        <v>160.5</v>
      </c>
    </row>
    <row r="49" spans="1:6" s="57" customFormat="1" ht="27.75" customHeight="1">
      <c r="A49" s="22">
        <v>6</v>
      </c>
      <c r="B49" s="170" t="s">
        <v>117</v>
      </c>
      <c r="C49" s="140" t="s">
        <v>102</v>
      </c>
      <c r="D49" s="113">
        <v>46098</v>
      </c>
      <c r="E49" s="114" t="s">
        <v>1074</v>
      </c>
      <c r="F49" s="151">
        <v>535</v>
      </c>
    </row>
    <row r="50" spans="1:6" s="57" customFormat="1" ht="27.75" customHeight="1">
      <c r="A50" s="22">
        <v>7</v>
      </c>
      <c r="B50" s="170" t="s">
        <v>119</v>
      </c>
      <c r="C50" s="140" t="s">
        <v>102</v>
      </c>
      <c r="D50" s="113">
        <v>46111</v>
      </c>
      <c r="E50" s="114" t="s">
        <v>1075</v>
      </c>
      <c r="F50" s="151">
        <v>321</v>
      </c>
    </row>
    <row r="51" spans="1:6" s="57" customFormat="1" ht="27.75" customHeight="1">
      <c r="A51" s="22">
        <v>8</v>
      </c>
      <c r="B51" s="170" t="s">
        <v>121</v>
      </c>
      <c r="C51" s="140" t="s">
        <v>102</v>
      </c>
      <c r="D51" s="113">
        <v>46107</v>
      </c>
      <c r="E51" s="114" t="s">
        <v>1076</v>
      </c>
      <c r="F51" s="151">
        <v>321</v>
      </c>
    </row>
    <row r="52" spans="1:6" s="57" customFormat="1" ht="27.75" customHeight="1">
      <c r="A52" s="22">
        <v>9</v>
      </c>
      <c r="B52" s="40" t="s">
        <v>128</v>
      </c>
      <c r="C52" s="140" t="s">
        <v>102</v>
      </c>
      <c r="D52" s="113">
        <v>46111</v>
      </c>
      <c r="E52" s="114" t="s">
        <v>1077</v>
      </c>
      <c r="F52" s="144">
        <v>642</v>
      </c>
    </row>
    <row r="53" spans="1:6" s="57" customFormat="1" ht="27.75" customHeight="1">
      <c r="A53" s="22">
        <v>10</v>
      </c>
      <c r="B53" s="40" t="s">
        <v>130</v>
      </c>
      <c r="C53" s="140" t="s">
        <v>102</v>
      </c>
      <c r="D53" s="175">
        <v>46087</v>
      </c>
      <c r="E53" s="176" t="s">
        <v>1078</v>
      </c>
      <c r="F53" s="177">
        <v>160.5</v>
      </c>
    </row>
    <row r="54" spans="1:6" s="57" customFormat="1" ht="27.75" customHeight="1">
      <c r="A54" s="22">
        <v>11</v>
      </c>
      <c r="B54" s="170" t="s">
        <v>132</v>
      </c>
      <c r="C54" s="140" t="s">
        <v>102</v>
      </c>
      <c r="D54" s="178">
        <v>46092</v>
      </c>
      <c r="E54" s="179" t="s">
        <v>1079</v>
      </c>
      <c r="F54" s="180">
        <v>321</v>
      </c>
    </row>
    <row r="55" spans="1:6" s="57" customFormat="1" ht="27.75" customHeight="1">
      <c r="A55" s="22">
        <v>12</v>
      </c>
      <c r="B55" s="40" t="s">
        <v>134</v>
      </c>
      <c r="C55" s="140" t="s">
        <v>102</v>
      </c>
      <c r="D55" s="175">
        <v>46109</v>
      </c>
      <c r="E55" s="176" t="s">
        <v>1080</v>
      </c>
      <c r="F55" s="177">
        <v>160.5</v>
      </c>
    </row>
    <row r="56" spans="1:6" s="57" customFormat="1" ht="27.75" customHeight="1">
      <c r="A56" s="22">
        <v>13</v>
      </c>
      <c r="B56" s="170" t="s">
        <v>136</v>
      </c>
      <c r="C56" s="140" t="s">
        <v>102</v>
      </c>
      <c r="D56" s="113">
        <v>46108</v>
      </c>
      <c r="E56" s="114" t="s">
        <v>1081</v>
      </c>
      <c r="F56" s="144">
        <v>321</v>
      </c>
    </row>
    <row r="57" spans="1:6" s="57" customFormat="1" ht="27.75" customHeight="1">
      <c r="A57" s="22">
        <v>14</v>
      </c>
      <c r="B57" s="181" t="s">
        <v>142</v>
      </c>
      <c r="C57" s="182" t="s">
        <v>143</v>
      </c>
      <c r="D57" s="183">
        <v>46111</v>
      </c>
      <c r="E57" s="184" t="s">
        <v>1083</v>
      </c>
      <c r="F57" s="185">
        <v>160.5</v>
      </c>
    </row>
    <row r="58" spans="1:6" s="57" customFormat="1" ht="27.75" customHeight="1">
      <c r="A58" s="22">
        <v>15</v>
      </c>
      <c r="B58" s="40" t="s">
        <v>145</v>
      </c>
      <c r="C58" s="140" t="s">
        <v>102</v>
      </c>
      <c r="D58" s="175">
        <v>46111</v>
      </c>
      <c r="E58" s="176" t="s">
        <v>1084</v>
      </c>
      <c r="F58" s="177">
        <v>321</v>
      </c>
    </row>
    <row r="59" spans="1:6" s="57" customFormat="1" ht="27.75" customHeight="1">
      <c r="A59" s="22">
        <v>16</v>
      </c>
      <c r="B59" s="40" t="s">
        <v>147</v>
      </c>
      <c r="C59" s="140" t="s">
        <v>102</v>
      </c>
      <c r="D59" s="175">
        <v>46096</v>
      </c>
      <c r="E59" s="176" t="s">
        <v>1085</v>
      </c>
      <c r="F59" s="177">
        <v>160.5</v>
      </c>
    </row>
    <row r="60" spans="1:6" s="57" customFormat="1" ht="27.75" customHeight="1">
      <c r="A60" s="22">
        <v>17</v>
      </c>
      <c r="B60" s="80" t="s">
        <v>149</v>
      </c>
      <c r="C60" s="140" t="s">
        <v>102</v>
      </c>
      <c r="D60" s="175">
        <v>46106</v>
      </c>
      <c r="E60" s="176" t="s">
        <v>1086</v>
      </c>
      <c r="F60" s="177">
        <v>1070</v>
      </c>
    </row>
    <row r="61" spans="1:6" s="57" customFormat="1" ht="27.75" customHeight="1">
      <c r="A61" s="22">
        <v>18</v>
      </c>
      <c r="B61" s="170" t="s">
        <v>151</v>
      </c>
      <c r="C61" s="140" t="s">
        <v>102</v>
      </c>
      <c r="D61" s="117">
        <v>46082</v>
      </c>
      <c r="E61" s="118" t="s">
        <v>1087</v>
      </c>
      <c r="F61" s="151">
        <v>160.5</v>
      </c>
    </row>
    <row r="62" spans="1:6" s="57" customFormat="1" ht="27.75" customHeight="1">
      <c r="A62" s="22">
        <v>19</v>
      </c>
      <c r="B62" s="170" t="s">
        <v>154</v>
      </c>
      <c r="C62" s="140" t="s">
        <v>102</v>
      </c>
      <c r="D62" s="175">
        <v>46107</v>
      </c>
      <c r="E62" s="176" t="s">
        <v>1088</v>
      </c>
      <c r="F62" s="177">
        <v>321</v>
      </c>
    </row>
    <row r="63" spans="1:6" s="57" customFormat="1" ht="27.75" customHeight="1">
      <c r="A63" s="22">
        <v>20</v>
      </c>
      <c r="B63" s="191" t="s">
        <v>156</v>
      </c>
      <c r="C63" s="140" t="s">
        <v>102</v>
      </c>
      <c r="D63" s="175">
        <v>46084</v>
      </c>
      <c r="E63" s="176" t="s">
        <v>1089</v>
      </c>
      <c r="F63" s="177">
        <v>160.5</v>
      </c>
    </row>
    <row r="64" spans="1:6" s="57" customFormat="1" ht="27.75" customHeight="1">
      <c r="A64" s="22">
        <v>21</v>
      </c>
      <c r="B64" s="191" t="s">
        <v>161</v>
      </c>
      <c r="C64" s="140" t="s">
        <v>102</v>
      </c>
      <c r="D64" s="117">
        <v>46107</v>
      </c>
      <c r="E64" s="118" t="s">
        <v>1091</v>
      </c>
      <c r="F64" s="151">
        <v>321</v>
      </c>
    </row>
    <row r="65" spans="1:8" s="57" customFormat="1" ht="27.75" customHeight="1">
      <c r="A65" s="22">
        <v>22</v>
      </c>
      <c r="B65" s="191" t="s">
        <v>163</v>
      </c>
      <c r="C65" s="140" t="s">
        <v>102</v>
      </c>
      <c r="D65" s="117">
        <v>46107</v>
      </c>
      <c r="E65" s="118" t="s">
        <v>1092</v>
      </c>
      <c r="F65" s="151">
        <v>160.5</v>
      </c>
    </row>
    <row r="66" spans="1:8" s="57" customFormat="1" ht="27.75" customHeight="1">
      <c r="A66" s="22">
        <v>23</v>
      </c>
      <c r="B66" s="170" t="s">
        <v>165</v>
      </c>
      <c r="C66" s="140" t="s">
        <v>102</v>
      </c>
      <c r="D66" s="175">
        <v>46086</v>
      </c>
      <c r="E66" s="176" t="s">
        <v>1093</v>
      </c>
      <c r="F66" s="177">
        <v>1070</v>
      </c>
    </row>
    <row r="67" spans="1:8" s="57" customFormat="1" ht="27.75" customHeight="1">
      <c r="A67" s="22">
        <v>24</v>
      </c>
      <c r="B67" s="191" t="s">
        <v>167</v>
      </c>
      <c r="C67" s="140" t="s">
        <v>102</v>
      </c>
      <c r="D67" s="117">
        <v>46108</v>
      </c>
      <c r="E67" s="118" t="s">
        <v>1094</v>
      </c>
      <c r="F67" s="151">
        <v>535</v>
      </c>
    </row>
    <row r="68" spans="1:8" s="57" customFormat="1" ht="27.75" customHeight="1">
      <c r="A68" s="22">
        <v>25</v>
      </c>
      <c r="B68" s="170" t="s">
        <v>169</v>
      </c>
      <c r="C68" s="140" t="s">
        <v>102</v>
      </c>
      <c r="D68" s="175">
        <v>46111</v>
      </c>
      <c r="E68" s="176" t="s">
        <v>1095</v>
      </c>
      <c r="F68" s="177">
        <v>321</v>
      </c>
    </row>
    <row r="69" spans="1:8" s="57" customFormat="1" ht="27.75" customHeight="1">
      <c r="A69" s="22">
        <v>26</v>
      </c>
      <c r="B69" s="191" t="s">
        <v>171</v>
      </c>
      <c r="C69" s="140" t="s">
        <v>102</v>
      </c>
      <c r="D69" s="175">
        <v>46112</v>
      </c>
      <c r="E69" s="176" t="s">
        <v>1096</v>
      </c>
      <c r="F69" s="177">
        <v>963</v>
      </c>
    </row>
    <row r="70" spans="1:8" s="57" customFormat="1" ht="27.75" customHeight="1">
      <c r="A70" s="22">
        <v>27</v>
      </c>
      <c r="B70" s="191" t="s">
        <v>173</v>
      </c>
      <c r="C70" s="140" t="s">
        <v>102</v>
      </c>
      <c r="D70" s="175">
        <v>46082</v>
      </c>
      <c r="E70" s="176" t="s">
        <v>1097</v>
      </c>
      <c r="F70" s="177">
        <v>321</v>
      </c>
    </row>
    <row r="71" spans="1:8" s="57" customFormat="1" ht="27.75" customHeight="1">
      <c r="A71" s="22">
        <v>28</v>
      </c>
      <c r="B71" s="191" t="s">
        <v>175</v>
      </c>
      <c r="C71" s="140" t="s">
        <v>102</v>
      </c>
      <c r="D71" s="175">
        <v>46083</v>
      </c>
      <c r="E71" s="176" t="s">
        <v>1098</v>
      </c>
      <c r="F71" s="177">
        <v>321</v>
      </c>
    </row>
    <row r="72" spans="1:8" s="57" customFormat="1" ht="27.75" customHeight="1">
      <c r="A72" s="22">
        <v>29</v>
      </c>
      <c r="B72" s="191" t="s">
        <v>177</v>
      </c>
      <c r="C72" s="140" t="s">
        <v>102</v>
      </c>
      <c r="D72" s="117">
        <v>46107</v>
      </c>
      <c r="E72" s="118" t="s">
        <v>1099</v>
      </c>
      <c r="F72" s="151">
        <v>321</v>
      </c>
    </row>
    <row r="73" spans="1:8" ht="27.75" customHeight="1" thickBot="1">
      <c r="A73" s="193"/>
      <c r="B73" s="194" t="s">
        <v>22</v>
      </c>
      <c r="C73" s="195"/>
      <c r="D73" s="199"/>
      <c r="E73" s="199"/>
      <c r="F73" s="196">
        <v>10753.5</v>
      </c>
      <c r="H73" s="512">
        <f>SUM(F44:F72)</f>
        <v>10753.5</v>
      </c>
    </row>
    <row r="74" spans="1:8" ht="27.75" customHeight="1" thickTop="1">
      <c r="A74" s="22"/>
      <c r="B74" s="23" t="s">
        <v>179</v>
      </c>
      <c r="C74" s="24"/>
      <c r="D74" s="29"/>
      <c r="E74" s="30"/>
      <c r="F74" s="31"/>
    </row>
    <row r="75" spans="1:8" ht="27.75" customHeight="1">
      <c r="A75" s="94">
        <v>1</v>
      </c>
      <c r="B75" s="40" t="s">
        <v>180</v>
      </c>
      <c r="C75" s="41" t="s">
        <v>181</v>
      </c>
      <c r="D75" s="48">
        <v>46090</v>
      </c>
      <c r="E75" s="49" t="s">
        <v>1100</v>
      </c>
      <c r="F75" s="202">
        <v>1284</v>
      </c>
    </row>
    <row r="76" spans="1:8" ht="27.75" customHeight="1">
      <c r="A76" s="94">
        <v>2</v>
      </c>
      <c r="B76" s="40" t="s">
        <v>184</v>
      </c>
      <c r="C76" s="41" t="s">
        <v>181</v>
      </c>
      <c r="D76" s="48">
        <v>46090</v>
      </c>
      <c r="E76" s="49" t="s">
        <v>1101</v>
      </c>
      <c r="F76" s="202">
        <v>3370.5</v>
      </c>
    </row>
    <row r="77" spans="1:8" ht="27.75" customHeight="1">
      <c r="A77" s="94">
        <v>3</v>
      </c>
      <c r="B77" s="205" t="s">
        <v>186</v>
      </c>
      <c r="C77" s="206" t="s">
        <v>181</v>
      </c>
      <c r="D77" s="48">
        <v>46108</v>
      </c>
      <c r="E77" s="49" t="s">
        <v>1102</v>
      </c>
      <c r="F77" s="202">
        <v>3370.5</v>
      </c>
    </row>
    <row r="78" spans="1:8" ht="27.75" customHeight="1">
      <c r="A78" s="186">
        <v>4</v>
      </c>
      <c r="B78" s="205" t="s">
        <v>188</v>
      </c>
      <c r="C78" s="206" t="s">
        <v>181</v>
      </c>
      <c r="D78" s="48">
        <v>46083</v>
      </c>
      <c r="E78" s="49" t="s">
        <v>1103</v>
      </c>
      <c r="F78" s="202">
        <v>2140</v>
      </c>
    </row>
    <row r="79" spans="1:8" s="220" customFormat="1" ht="27.75" customHeight="1">
      <c r="A79" s="186">
        <v>5</v>
      </c>
      <c r="B79" s="208" t="s">
        <v>71</v>
      </c>
      <c r="C79" s="209" t="s">
        <v>181</v>
      </c>
      <c r="D79" s="62">
        <v>46105</v>
      </c>
      <c r="E79" s="215" t="s">
        <v>1104</v>
      </c>
      <c r="F79" s="202">
        <v>2675</v>
      </c>
    </row>
    <row r="80" spans="1:8" ht="27.75" customHeight="1" thickBot="1">
      <c r="A80" s="193"/>
      <c r="B80" s="194" t="s">
        <v>22</v>
      </c>
      <c r="C80" s="195"/>
      <c r="D80" s="199"/>
      <c r="E80" s="199"/>
      <c r="F80" s="196">
        <v>12840</v>
      </c>
      <c r="H80" s="512">
        <f>SUM(F75:F79)</f>
        <v>12840</v>
      </c>
    </row>
    <row r="81" spans="1:8" ht="27.75" customHeight="1" thickTop="1">
      <c r="A81" s="22"/>
      <c r="B81" s="23" t="s">
        <v>191</v>
      </c>
      <c r="C81" s="24"/>
      <c r="D81" s="29"/>
      <c r="E81" s="30"/>
      <c r="F81" s="31"/>
    </row>
    <row r="82" spans="1:8" ht="27.75" customHeight="1">
      <c r="A82" s="94">
        <v>1</v>
      </c>
      <c r="B82" s="40" t="s">
        <v>192</v>
      </c>
      <c r="C82" s="41" t="s">
        <v>193</v>
      </c>
      <c r="D82" s="175">
        <v>46086</v>
      </c>
      <c r="E82" s="176" t="s">
        <v>1105</v>
      </c>
      <c r="F82" s="222">
        <v>2140</v>
      </c>
    </row>
    <row r="83" spans="1:8" ht="27.75" customHeight="1" thickBot="1">
      <c r="A83" s="193"/>
      <c r="B83" s="194" t="s">
        <v>22</v>
      </c>
      <c r="C83" s="195"/>
      <c r="D83" s="199"/>
      <c r="E83" s="199"/>
      <c r="F83" s="196">
        <v>2140</v>
      </c>
      <c r="H83" s="520">
        <f>SUM(F82)</f>
        <v>2140</v>
      </c>
    </row>
    <row r="84" spans="1:8" ht="27.75" customHeight="1" thickTop="1">
      <c r="A84" s="22"/>
      <c r="B84" s="23" t="s">
        <v>196</v>
      </c>
      <c r="C84" s="24"/>
      <c r="D84" s="29"/>
      <c r="E84" s="30"/>
      <c r="F84" s="31"/>
    </row>
    <row r="85" spans="1:8" s="226" customFormat="1" ht="27.75" customHeight="1">
      <c r="A85" s="94"/>
      <c r="B85" s="223" t="s">
        <v>197</v>
      </c>
      <c r="C85" s="224"/>
      <c r="D85" s="178"/>
      <c r="E85" s="176"/>
      <c r="F85" s="222"/>
    </row>
    <row r="86" spans="1:8" s="226" customFormat="1" ht="27.75" customHeight="1">
      <c r="A86" s="94">
        <v>1</v>
      </c>
      <c r="B86" s="181" t="s">
        <v>198</v>
      </c>
      <c r="C86" s="224" t="s">
        <v>199</v>
      </c>
      <c r="D86" s="113">
        <v>46089</v>
      </c>
      <c r="E86" s="114" t="s">
        <v>1106</v>
      </c>
      <c r="F86" s="144">
        <v>26750</v>
      </c>
    </row>
    <row r="87" spans="1:8" s="226" customFormat="1" ht="27.75" customHeight="1">
      <c r="A87" s="94">
        <v>2</v>
      </c>
      <c r="B87" s="181" t="s">
        <v>204</v>
      </c>
      <c r="C87" s="224" t="s">
        <v>205</v>
      </c>
      <c r="D87" s="113">
        <v>46106</v>
      </c>
      <c r="E87" s="114" t="s">
        <v>1107</v>
      </c>
      <c r="F87" s="144">
        <v>22470</v>
      </c>
    </row>
    <row r="88" spans="1:8" s="226" customFormat="1" ht="30" customHeight="1">
      <c r="A88" s="94">
        <v>3</v>
      </c>
      <c r="B88" s="181" t="s">
        <v>204</v>
      </c>
      <c r="C88" s="224" t="s">
        <v>207</v>
      </c>
      <c r="D88" s="113">
        <v>46106</v>
      </c>
      <c r="E88" s="114" t="s">
        <v>1107</v>
      </c>
      <c r="F88" s="144">
        <v>22470</v>
      </c>
    </row>
    <row r="89" spans="1:8" s="226" customFormat="1" ht="27.75" customHeight="1">
      <c r="A89" s="94">
        <v>4</v>
      </c>
      <c r="B89" s="181" t="s">
        <v>210</v>
      </c>
      <c r="C89" s="224" t="s">
        <v>211</v>
      </c>
      <c r="D89" s="113">
        <v>46111</v>
      </c>
      <c r="E89" s="114" t="s">
        <v>1108</v>
      </c>
      <c r="F89" s="144">
        <v>22470</v>
      </c>
    </row>
    <row r="90" spans="1:8" s="226" customFormat="1" ht="27.75" customHeight="1">
      <c r="A90" s="94">
        <v>5</v>
      </c>
      <c r="B90" s="181" t="s">
        <v>214</v>
      </c>
      <c r="C90" s="224" t="s">
        <v>215</v>
      </c>
      <c r="D90" s="113">
        <v>46083</v>
      </c>
      <c r="E90" s="114" t="s">
        <v>1110</v>
      </c>
      <c r="F90" s="144">
        <v>22470</v>
      </c>
    </row>
    <row r="91" spans="1:8" s="226" customFormat="1" ht="27.75" customHeight="1">
      <c r="A91" s="94">
        <v>6</v>
      </c>
      <c r="B91" s="181" t="s">
        <v>217</v>
      </c>
      <c r="C91" s="224" t="s">
        <v>218</v>
      </c>
      <c r="D91" s="113">
        <v>46099</v>
      </c>
      <c r="E91" s="114" t="s">
        <v>1111</v>
      </c>
      <c r="F91" s="144">
        <v>22470</v>
      </c>
    </row>
    <row r="92" spans="1:8" s="226" customFormat="1" ht="27.75" customHeight="1">
      <c r="A92" s="94">
        <v>7</v>
      </c>
      <c r="B92" s="181" t="s">
        <v>217</v>
      </c>
      <c r="C92" s="224" t="s">
        <v>220</v>
      </c>
      <c r="D92" s="113">
        <v>46099</v>
      </c>
      <c r="E92" s="114" t="s">
        <v>1111</v>
      </c>
      <c r="F92" s="144">
        <v>22470</v>
      </c>
    </row>
    <row r="93" spans="1:8" s="226" customFormat="1" ht="27.75" customHeight="1">
      <c r="A93" s="94">
        <v>8</v>
      </c>
      <c r="B93" s="181" t="s">
        <v>217</v>
      </c>
      <c r="C93" s="224" t="s">
        <v>221</v>
      </c>
      <c r="D93" s="113">
        <v>46099</v>
      </c>
      <c r="E93" s="114" t="s">
        <v>1111</v>
      </c>
      <c r="F93" s="144">
        <v>22470</v>
      </c>
    </row>
    <row r="94" spans="1:8" s="226" customFormat="1" ht="27.75" customHeight="1">
      <c r="A94" s="94">
        <v>9</v>
      </c>
      <c r="B94" s="181" t="s">
        <v>222</v>
      </c>
      <c r="C94" s="227" t="s">
        <v>223</v>
      </c>
      <c r="D94" s="230">
        <v>46083</v>
      </c>
      <c r="E94" s="184" t="s">
        <v>1112</v>
      </c>
      <c r="F94" s="231">
        <v>32100</v>
      </c>
    </row>
    <row r="95" spans="1:8" s="226" customFormat="1" ht="27.75" customHeight="1" thickBot="1">
      <c r="A95" s="234"/>
      <c r="B95" s="194" t="s">
        <v>22</v>
      </c>
      <c r="C95" s="235"/>
      <c r="D95" s="241"/>
      <c r="E95" s="234"/>
      <c r="F95" s="236">
        <v>216140</v>
      </c>
      <c r="H95" s="226">
        <f>SUM(F86:F94)</f>
        <v>216140</v>
      </c>
    </row>
    <row r="96" spans="1:8" s="226" customFormat="1" ht="27.75" customHeight="1" thickTop="1">
      <c r="A96" s="83"/>
      <c r="B96" s="244" t="s">
        <v>226</v>
      </c>
      <c r="C96" s="245"/>
      <c r="D96" s="248"/>
      <c r="E96" s="249"/>
      <c r="F96" s="250"/>
    </row>
    <row r="97" spans="1:8" s="226" customFormat="1" ht="27.75" customHeight="1">
      <c r="A97" s="94">
        <v>1</v>
      </c>
      <c r="B97" s="41" t="s">
        <v>227</v>
      </c>
      <c r="C97" s="224" t="s">
        <v>228</v>
      </c>
      <c r="D97" s="113">
        <v>46111</v>
      </c>
      <c r="E97" s="114" t="s">
        <v>1113</v>
      </c>
      <c r="F97" s="253">
        <v>22470</v>
      </c>
    </row>
    <row r="98" spans="1:8" s="226" customFormat="1" ht="27.75" customHeight="1">
      <c r="A98" s="94">
        <v>2</v>
      </c>
      <c r="B98" s="41" t="s">
        <v>227</v>
      </c>
      <c r="C98" s="224" t="s">
        <v>230</v>
      </c>
      <c r="D98" s="113">
        <v>46111</v>
      </c>
      <c r="E98" s="114" t="s">
        <v>1113</v>
      </c>
      <c r="F98" s="253">
        <v>22470</v>
      </c>
    </row>
    <row r="99" spans="1:8" s="226" customFormat="1" ht="27.75" customHeight="1">
      <c r="A99" s="94">
        <v>3</v>
      </c>
      <c r="B99" s="41" t="s">
        <v>227</v>
      </c>
      <c r="C99" s="224" t="s">
        <v>231</v>
      </c>
      <c r="D99" s="117">
        <v>46111</v>
      </c>
      <c r="E99" s="118" t="s">
        <v>1113</v>
      </c>
      <c r="F99" s="557">
        <v>22470</v>
      </c>
    </row>
    <row r="100" spans="1:8" s="226" customFormat="1" ht="27.75" customHeight="1">
      <c r="A100" s="94">
        <v>4</v>
      </c>
      <c r="B100" s="41" t="s">
        <v>236</v>
      </c>
      <c r="C100" s="224" t="s">
        <v>239</v>
      </c>
      <c r="D100" s="113">
        <v>46110</v>
      </c>
      <c r="E100" s="114" t="s">
        <v>1114</v>
      </c>
      <c r="F100" s="257">
        <v>22470</v>
      </c>
    </row>
    <row r="101" spans="1:8" s="226" customFormat="1" ht="27.75" customHeight="1">
      <c r="A101" s="94">
        <v>5</v>
      </c>
      <c r="B101" s="41" t="s">
        <v>92</v>
      </c>
      <c r="C101" s="224" t="s">
        <v>240</v>
      </c>
      <c r="D101" s="113">
        <v>46111</v>
      </c>
      <c r="E101" s="114" t="s">
        <v>1115</v>
      </c>
      <c r="F101" s="258">
        <v>22470</v>
      </c>
    </row>
    <row r="102" spans="1:8" s="226" customFormat="1" ht="27.75" customHeight="1">
      <c r="A102" s="94">
        <v>6</v>
      </c>
      <c r="B102" s="41" t="s">
        <v>92</v>
      </c>
      <c r="C102" s="224" t="s">
        <v>242</v>
      </c>
      <c r="D102" s="113">
        <v>46111</v>
      </c>
      <c r="E102" s="114" t="s">
        <v>1115</v>
      </c>
      <c r="F102" s="253">
        <v>22470</v>
      </c>
    </row>
    <row r="103" spans="1:8" s="226" customFormat="1" ht="27.75" customHeight="1">
      <c r="A103" s="94">
        <v>7</v>
      </c>
      <c r="B103" s="41" t="s">
        <v>243</v>
      </c>
      <c r="C103" s="224" t="s">
        <v>244</v>
      </c>
      <c r="D103" s="113">
        <v>46112</v>
      </c>
      <c r="E103" s="114" t="s">
        <v>1116</v>
      </c>
      <c r="F103" s="253">
        <v>22470</v>
      </c>
    </row>
    <row r="104" spans="1:8" s="226" customFormat="1" ht="27.75" customHeight="1">
      <c r="A104" s="94">
        <v>8</v>
      </c>
      <c r="B104" s="206" t="s">
        <v>90</v>
      </c>
      <c r="C104" s="224" t="s">
        <v>246</v>
      </c>
      <c r="D104" s="259">
        <v>46112</v>
      </c>
      <c r="E104" s="114" t="s">
        <v>1117</v>
      </c>
      <c r="F104" s="253">
        <v>22470</v>
      </c>
    </row>
    <row r="105" spans="1:8" s="226" customFormat="1" ht="27.75" customHeight="1">
      <c r="A105" s="234"/>
      <c r="B105" s="260"/>
      <c r="C105" s="235"/>
      <c r="D105" s="261"/>
      <c r="E105" s="262"/>
      <c r="F105" s="263">
        <v>179760</v>
      </c>
      <c r="H105" s="226">
        <f>SUM(F97:F104)</f>
        <v>179760</v>
      </c>
    </row>
    <row r="106" spans="1:8" s="226" customFormat="1" ht="27.75" customHeight="1">
      <c r="A106" s="83"/>
      <c r="B106" s="244" t="s">
        <v>248</v>
      </c>
      <c r="C106" s="245"/>
      <c r="D106" s="178"/>
      <c r="E106" s="179"/>
      <c r="F106" s="264"/>
    </row>
    <row r="107" spans="1:8" s="226" customFormat="1" ht="27.75" customHeight="1">
      <c r="A107" s="94">
        <v>1</v>
      </c>
      <c r="B107" s="41" t="s">
        <v>249</v>
      </c>
      <c r="C107" s="224" t="s">
        <v>250</v>
      </c>
      <c r="D107" s="113">
        <v>46111</v>
      </c>
      <c r="E107" s="114" t="s">
        <v>1118</v>
      </c>
      <c r="F107" s="144">
        <v>6420</v>
      </c>
    </row>
    <row r="108" spans="1:8" s="226" customFormat="1" ht="27.75" customHeight="1">
      <c r="A108" s="94">
        <v>2</v>
      </c>
      <c r="B108" s="41" t="s">
        <v>252</v>
      </c>
      <c r="C108" s="224" t="s">
        <v>253</v>
      </c>
      <c r="D108" s="113">
        <v>46086</v>
      </c>
      <c r="E108" s="114" t="s">
        <v>1119</v>
      </c>
      <c r="F108" s="144">
        <v>6420</v>
      </c>
    </row>
    <row r="109" spans="1:8" s="226" customFormat="1" ht="27.75" customHeight="1">
      <c r="A109" s="94">
        <v>3</v>
      </c>
      <c r="B109" s="41" t="s">
        <v>254</v>
      </c>
      <c r="C109" s="224" t="s">
        <v>255</v>
      </c>
      <c r="D109" s="113">
        <v>46087</v>
      </c>
      <c r="E109" s="114" t="s">
        <v>1120</v>
      </c>
      <c r="F109" s="144">
        <v>9630</v>
      </c>
    </row>
    <row r="110" spans="1:8" s="226" customFormat="1" ht="27.75" customHeight="1">
      <c r="A110" s="94">
        <v>4</v>
      </c>
      <c r="B110" s="41" t="s">
        <v>1045</v>
      </c>
      <c r="C110" s="224" t="s">
        <v>256</v>
      </c>
      <c r="D110" s="113">
        <v>46082</v>
      </c>
      <c r="E110" s="114" t="s">
        <v>1121</v>
      </c>
      <c r="F110" s="144">
        <v>9630</v>
      </c>
    </row>
    <row r="111" spans="1:8" s="226" customFormat="1" ht="27.75" customHeight="1">
      <c r="A111" s="94">
        <v>5</v>
      </c>
      <c r="B111" s="41" t="s">
        <v>257</v>
      </c>
      <c r="C111" s="224" t="s">
        <v>258</v>
      </c>
      <c r="D111" s="113">
        <v>46109</v>
      </c>
      <c r="E111" s="114" t="s">
        <v>1122</v>
      </c>
      <c r="F111" s="144">
        <v>9630</v>
      </c>
    </row>
    <row r="112" spans="1:8" s="226" customFormat="1" ht="27.75" customHeight="1">
      <c r="A112" s="94">
        <v>6</v>
      </c>
      <c r="B112" s="206" t="s">
        <v>257</v>
      </c>
      <c r="C112" s="224" t="s">
        <v>260</v>
      </c>
      <c r="D112" s="113">
        <v>46109</v>
      </c>
      <c r="E112" s="114" t="s">
        <v>1122</v>
      </c>
      <c r="F112" s="144">
        <v>9630</v>
      </c>
    </row>
    <row r="113" spans="1:8" s="226" customFormat="1" ht="27.75" customHeight="1">
      <c r="A113" s="94">
        <v>7</v>
      </c>
      <c r="B113" s="265" t="s">
        <v>261</v>
      </c>
      <c r="C113" s="224" t="s">
        <v>262</v>
      </c>
      <c r="D113" s="113">
        <v>46084</v>
      </c>
      <c r="E113" s="114" t="s">
        <v>1123</v>
      </c>
      <c r="F113" s="144">
        <v>6420</v>
      </c>
    </row>
    <row r="114" spans="1:8" s="226" customFormat="1" ht="27.75" customHeight="1">
      <c r="A114" s="94">
        <v>8</v>
      </c>
      <c r="B114" s="266" t="s">
        <v>264</v>
      </c>
      <c r="C114" s="224" t="s">
        <v>199</v>
      </c>
      <c r="D114" s="113">
        <v>46111</v>
      </c>
      <c r="E114" s="114" t="s">
        <v>1124</v>
      </c>
      <c r="F114" s="144">
        <v>6420</v>
      </c>
    </row>
    <row r="115" spans="1:8" s="226" customFormat="1" ht="27.75" customHeight="1">
      <c r="A115" s="94">
        <v>9</v>
      </c>
      <c r="B115" s="81" t="s">
        <v>267</v>
      </c>
      <c r="C115" s="224" t="s">
        <v>268</v>
      </c>
      <c r="D115" s="113">
        <v>46086</v>
      </c>
      <c r="E115" s="114" t="s">
        <v>1125</v>
      </c>
      <c r="F115" s="144">
        <v>6420</v>
      </c>
    </row>
    <row r="116" spans="1:8" s="226" customFormat="1" ht="27.75" customHeight="1">
      <c r="A116" s="94">
        <v>10</v>
      </c>
      <c r="B116" s="81" t="s">
        <v>156</v>
      </c>
      <c r="C116" s="224" t="s">
        <v>207</v>
      </c>
      <c r="D116" s="113">
        <v>46084</v>
      </c>
      <c r="E116" s="114" t="s">
        <v>1126</v>
      </c>
      <c r="F116" s="144">
        <v>6420</v>
      </c>
    </row>
    <row r="117" spans="1:8" s="226" customFormat="1" ht="27.75" customHeight="1">
      <c r="A117" s="94">
        <v>11</v>
      </c>
      <c r="B117" s="41" t="s">
        <v>271</v>
      </c>
      <c r="C117" s="224" t="s">
        <v>208</v>
      </c>
      <c r="D117" s="113">
        <v>46112</v>
      </c>
      <c r="E117" s="268" t="s">
        <v>1127</v>
      </c>
      <c r="F117" s="269">
        <v>6420</v>
      </c>
    </row>
    <row r="118" spans="1:8" s="226" customFormat="1" ht="27.75" customHeight="1">
      <c r="A118" s="94">
        <v>12</v>
      </c>
      <c r="B118" s="41" t="s">
        <v>273</v>
      </c>
      <c r="C118" s="224" t="s">
        <v>209</v>
      </c>
      <c r="D118" s="113">
        <v>46089</v>
      </c>
      <c r="E118" s="114" t="s">
        <v>1128</v>
      </c>
      <c r="F118" s="144">
        <v>6420</v>
      </c>
    </row>
    <row r="119" spans="1:8" s="226" customFormat="1" ht="27.75" customHeight="1">
      <c r="A119" s="94">
        <v>13</v>
      </c>
      <c r="B119" s="41" t="s">
        <v>275</v>
      </c>
      <c r="C119" s="224" t="s">
        <v>276</v>
      </c>
      <c r="D119" s="113">
        <v>46111</v>
      </c>
      <c r="E119" s="114" t="s">
        <v>1129</v>
      </c>
      <c r="F119" s="144">
        <v>6420</v>
      </c>
    </row>
    <row r="120" spans="1:8" ht="27.75" customHeight="1" thickBot="1">
      <c r="A120" s="22"/>
      <c r="B120" s="194" t="s">
        <v>22</v>
      </c>
      <c r="C120" s="195"/>
      <c r="D120" s="199"/>
      <c r="E120" s="199"/>
      <c r="F120" s="196">
        <v>96300</v>
      </c>
      <c r="H120" s="512">
        <f>SUM(F107:F119)</f>
        <v>96300</v>
      </c>
    </row>
    <row r="121" spans="1:8" ht="27.75" hidden="1" customHeight="1" thickBot="1">
      <c r="A121" s="22"/>
      <c r="B121" s="23" t="s">
        <v>278</v>
      </c>
      <c r="C121" s="24"/>
      <c r="D121" s="29"/>
      <c r="E121" s="30"/>
      <c r="F121" s="31"/>
    </row>
    <row r="122" spans="1:8" ht="27.75" hidden="1" customHeight="1" thickTop="1">
      <c r="A122" s="22">
        <v>1</v>
      </c>
      <c r="B122" s="270" t="s">
        <v>88</v>
      </c>
      <c r="C122" s="271" t="s">
        <v>279</v>
      </c>
      <c r="D122" s="275"/>
      <c r="E122" s="276"/>
      <c r="F122" s="277"/>
    </row>
    <row r="123" spans="1:8" ht="27.75" hidden="1" customHeight="1" thickTop="1">
      <c r="A123" s="22">
        <v>2</v>
      </c>
      <c r="B123" s="280" t="s">
        <v>89</v>
      </c>
      <c r="C123" s="271" t="s">
        <v>279</v>
      </c>
      <c r="D123" s="175"/>
      <c r="E123" s="282"/>
      <c r="F123" s="222"/>
    </row>
    <row r="124" spans="1:8" ht="27.75" hidden="1" customHeight="1" thickTop="1">
      <c r="A124" s="22">
        <v>3</v>
      </c>
      <c r="B124" s="270" t="s">
        <v>280</v>
      </c>
      <c r="C124" s="271" t="s">
        <v>279</v>
      </c>
      <c r="D124" s="175"/>
      <c r="E124" s="282"/>
      <c r="F124" s="222"/>
    </row>
    <row r="125" spans="1:8" ht="27.75" hidden="1" customHeight="1" thickTop="1">
      <c r="A125" s="22">
        <v>4</v>
      </c>
      <c r="B125" s="280" t="s">
        <v>96</v>
      </c>
      <c r="C125" s="271" t="s">
        <v>279</v>
      </c>
      <c r="D125" s="175"/>
      <c r="E125" s="282"/>
      <c r="F125" s="222"/>
    </row>
    <row r="126" spans="1:8" ht="27.75" hidden="1" customHeight="1" thickTop="1">
      <c r="A126" s="22">
        <v>5</v>
      </c>
      <c r="B126" s="280" t="s">
        <v>281</v>
      </c>
      <c r="C126" s="271" t="s">
        <v>279</v>
      </c>
      <c r="D126" s="175"/>
      <c r="E126" s="282"/>
      <c r="F126" s="222"/>
    </row>
    <row r="127" spans="1:8" ht="27.75" hidden="1" customHeight="1" thickTop="1">
      <c r="A127" s="22">
        <v>6</v>
      </c>
      <c r="B127" s="280" t="s">
        <v>282</v>
      </c>
      <c r="C127" s="271" t="s">
        <v>279</v>
      </c>
      <c r="D127" s="175"/>
      <c r="E127" s="282"/>
      <c r="F127" s="222"/>
    </row>
    <row r="128" spans="1:8" ht="27.75" hidden="1" customHeight="1" thickTop="1">
      <c r="A128" s="22">
        <v>7</v>
      </c>
      <c r="B128" s="280" t="s">
        <v>92</v>
      </c>
      <c r="C128" s="271" t="s">
        <v>279</v>
      </c>
      <c r="D128" s="175"/>
      <c r="E128" s="282"/>
      <c r="F128" s="222"/>
    </row>
    <row r="129" spans="1:8" ht="27.75" hidden="1" customHeight="1" thickTop="1">
      <c r="A129" s="22">
        <v>8</v>
      </c>
      <c r="B129" s="280" t="s">
        <v>91</v>
      </c>
      <c r="C129" s="271" t="s">
        <v>279</v>
      </c>
      <c r="D129" s="175"/>
      <c r="E129" s="282"/>
      <c r="F129" s="222"/>
    </row>
    <row r="130" spans="1:8" ht="27.75" hidden="1" customHeight="1" thickTop="1">
      <c r="A130" s="22">
        <v>9</v>
      </c>
      <c r="B130" s="280" t="s">
        <v>236</v>
      </c>
      <c r="C130" s="271" t="s">
        <v>279</v>
      </c>
      <c r="D130" s="175"/>
      <c r="E130" s="282"/>
      <c r="F130" s="222"/>
    </row>
    <row r="131" spans="1:8" ht="27.75" hidden="1" customHeight="1" thickTop="1">
      <c r="A131" s="22">
        <v>10</v>
      </c>
      <c r="B131" s="280" t="s">
        <v>94</v>
      </c>
      <c r="C131" s="280" t="s">
        <v>279</v>
      </c>
      <c r="D131" s="175"/>
      <c r="E131" s="282"/>
      <c r="F131" s="222"/>
    </row>
    <row r="132" spans="1:8" ht="27.75" hidden="1" customHeight="1" thickTop="1">
      <c r="A132" s="22">
        <v>11</v>
      </c>
      <c r="B132" s="270"/>
      <c r="C132" s="285"/>
      <c r="D132" s="275"/>
      <c r="E132" s="276"/>
      <c r="F132" s="277"/>
    </row>
    <row r="133" spans="1:8" ht="27.75" hidden="1" customHeight="1" thickTop="1">
      <c r="A133" s="22"/>
      <c r="B133" s="131" t="s">
        <v>22</v>
      </c>
      <c r="C133" s="132"/>
      <c r="D133" s="287"/>
      <c r="E133" s="137"/>
      <c r="F133" s="138">
        <v>0</v>
      </c>
    </row>
    <row r="134" spans="1:8" ht="27.75" customHeight="1" thickTop="1">
      <c r="A134" s="22"/>
      <c r="B134" s="288" t="s">
        <v>283</v>
      </c>
      <c r="C134" s="289"/>
      <c r="D134" s="291"/>
      <c r="E134" s="292"/>
      <c r="F134" s="222"/>
    </row>
    <row r="135" spans="1:8" ht="27.75" customHeight="1">
      <c r="A135" s="94">
        <v>1</v>
      </c>
      <c r="B135" s="205" t="s">
        <v>192</v>
      </c>
      <c r="C135" s="206" t="s">
        <v>284</v>
      </c>
      <c r="D135" s="183">
        <v>46086</v>
      </c>
      <c r="E135" s="184" t="s">
        <v>1130</v>
      </c>
      <c r="F135" s="231">
        <v>66660</v>
      </c>
    </row>
    <row r="136" spans="1:8" ht="27.75" customHeight="1" thickBot="1">
      <c r="A136" s="193"/>
      <c r="B136" s="308" t="s">
        <v>22</v>
      </c>
      <c r="C136" s="309"/>
      <c r="D136" s="314"/>
      <c r="E136" s="314"/>
      <c r="F136" s="310">
        <v>66660</v>
      </c>
      <c r="H136" s="520">
        <f>SUM(F135:G135)</f>
        <v>66660</v>
      </c>
    </row>
    <row r="137" spans="1:8" ht="27.75" customHeight="1" thickTop="1">
      <c r="A137" s="22"/>
      <c r="B137" s="23" t="s">
        <v>292</v>
      </c>
      <c r="C137" s="24"/>
      <c r="D137" s="29"/>
      <c r="E137" s="30"/>
      <c r="F137" s="31"/>
    </row>
    <row r="138" spans="1:8" ht="27.75" customHeight="1">
      <c r="A138" s="316">
        <v>1</v>
      </c>
      <c r="B138" s="280" t="s">
        <v>249</v>
      </c>
      <c r="C138" s="280" t="s">
        <v>250</v>
      </c>
      <c r="D138" s="317">
        <v>46111</v>
      </c>
      <c r="E138" s="318" t="s">
        <v>1118</v>
      </c>
      <c r="F138" s="319">
        <v>224.7</v>
      </c>
    </row>
    <row r="139" spans="1:8" ht="27.75" customHeight="1">
      <c r="A139" s="316">
        <v>2</v>
      </c>
      <c r="B139" s="280" t="s">
        <v>294</v>
      </c>
      <c r="C139" s="280" t="s">
        <v>255</v>
      </c>
      <c r="D139" s="321">
        <v>46087</v>
      </c>
      <c r="E139" s="322" t="s">
        <v>1131</v>
      </c>
      <c r="F139" s="323">
        <v>32.1</v>
      </c>
    </row>
    <row r="140" spans="1:8" ht="27.75" customHeight="1">
      <c r="A140" s="316">
        <v>3</v>
      </c>
      <c r="B140" s="270" t="s">
        <v>298</v>
      </c>
      <c r="C140" s="270" t="s">
        <v>199</v>
      </c>
      <c r="D140" s="328">
        <v>46111</v>
      </c>
      <c r="E140" s="329" t="s">
        <v>1132</v>
      </c>
      <c r="F140" s="330">
        <v>53.5</v>
      </c>
    </row>
    <row r="141" spans="1:8" ht="27.75" customHeight="1">
      <c r="A141" s="316">
        <v>4</v>
      </c>
      <c r="B141" s="270" t="s">
        <v>156</v>
      </c>
      <c r="C141" s="270" t="s">
        <v>208</v>
      </c>
      <c r="D141" s="328">
        <v>46084</v>
      </c>
      <c r="E141" s="329" t="s">
        <v>1133</v>
      </c>
      <c r="F141" s="330">
        <v>107</v>
      </c>
    </row>
    <row r="142" spans="1:8" ht="27.75" customHeight="1">
      <c r="A142" s="316">
        <v>5</v>
      </c>
      <c r="B142" s="270" t="s">
        <v>273</v>
      </c>
      <c r="C142" s="270" t="s">
        <v>211</v>
      </c>
      <c r="D142" s="328">
        <v>46089</v>
      </c>
      <c r="E142" s="329" t="s">
        <v>1134</v>
      </c>
      <c r="F142" s="330">
        <v>53.5</v>
      </c>
    </row>
    <row r="143" spans="1:8" ht="27.75" customHeight="1">
      <c r="A143" s="316">
        <v>6</v>
      </c>
      <c r="B143" s="270" t="s">
        <v>92</v>
      </c>
      <c r="C143" s="270" t="s">
        <v>302</v>
      </c>
      <c r="D143" s="331">
        <v>46111</v>
      </c>
      <c r="E143" s="332" t="s">
        <v>1135</v>
      </c>
      <c r="F143" s="333">
        <v>214</v>
      </c>
    </row>
    <row r="144" spans="1:8" ht="27.75" customHeight="1" thickBot="1">
      <c r="A144" s="193"/>
      <c r="B144" s="194"/>
      <c r="C144" s="195"/>
      <c r="D144" s="338"/>
      <c r="E144" s="199"/>
      <c r="F144" s="196">
        <v>684.8</v>
      </c>
      <c r="H144" s="512">
        <f>SUM(F138:F143)</f>
        <v>684.8</v>
      </c>
    </row>
    <row r="145" spans="1:6" ht="27.75" customHeight="1" thickTop="1">
      <c r="A145" s="22"/>
      <c r="B145" s="288" t="s">
        <v>304</v>
      </c>
      <c r="C145" s="289"/>
      <c r="D145" s="291"/>
      <c r="E145" s="292"/>
      <c r="F145" s="222"/>
    </row>
    <row r="146" spans="1:6" ht="27.75" customHeight="1">
      <c r="A146" s="186">
        <v>1</v>
      </c>
      <c r="B146" s="205" t="s">
        <v>24</v>
      </c>
      <c r="C146" s="346" t="s">
        <v>25</v>
      </c>
      <c r="D146" s="113">
        <v>46083</v>
      </c>
      <c r="E146" s="114" t="s">
        <v>1136</v>
      </c>
      <c r="F146" s="347">
        <v>1410</v>
      </c>
    </row>
    <row r="147" spans="1:6" ht="27.75" customHeight="1">
      <c r="A147" s="186">
        <v>4</v>
      </c>
      <c r="B147" s="205" t="s">
        <v>24</v>
      </c>
      <c r="C147" s="346" t="s">
        <v>316</v>
      </c>
      <c r="D147" s="113">
        <v>46083</v>
      </c>
      <c r="E147" s="114" t="s">
        <v>1136</v>
      </c>
      <c r="F147" s="347">
        <v>1410</v>
      </c>
    </row>
    <row r="148" spans="1:6" ht="27.75" customHeight="1">
      <c r="A148" s="186">
        <v>5</v>
      </c>
      <c r="B148" s="205" t="s">
        <v>24</v>
      </c>
      <c r="C148" s="346" t="s">
        <v>318</v>
      </c>
      <c r="D148" s="113">
        <v>46083</v>
      </c>
      <c r="E148" s="114" t="s">
        <v>1136</v>
      </c>
      <c r="F148" s="347">
        <v>1410</v>
      </c>
    </row>
    <row r="149" spans="1:6" ht="27.75" customHeight="1">
      <c r="A149" s="186">
        <v>6</v>
      </c>
      <c r="B149" s="205" t="s">
        <v>24</v>
      </c>
      <c r="C149" s="346" t="s">
        <v>319</v>
      </c>
      <c r="D149" s="113">
        <v>46083</v>
      </c>
      <c r="E149" s="114" t="s">
        <v>1136</v>
      </c>
      <c r="F149" s="347">
        <v>1410</v>
      </c>
    </row>
    <row r="150" spans="1:6" ht="27.75" customHeight="1">
      <c r="A150" s="186">
        <v>12</v>
      </c>
      <c r="B150" s="205" t="s">
        <v>325</v>
      </c>
      <c r="C150" s="346" t="s">
        <v>326</v>
      </c>
      <c r="D150" s="113">
        <v>46086</v>
      </c>
      <c r="E150" s="114" t="s">
        <v>1137</v>
      </c>
      <c r="F150" s="347">
        <v>1410</v>
      </c>
    </row>
    <row r="151" spans="1:6" ht="27.75" customHeight="1">
      <c r="A151" s="186">
        <v>13</v>
      </c>
      <c r="B151" s="205" t="s">
        <v>325</v>
      </c>
      <c r="C151" s="346" t="s">
        <v>330</v>
      </c>
      <c r="D151" s="113">
        <v>46086</v>
      </c>
      <c r="E151" s="114" t="s">
        <v>1137</v>
      </c>
      <c r="F151" s="347">
        <v>1410</v>
      </c>
    </row>
    <row r="152" spans="1:6" ht="27.75" customHeight="1">
      <c r="A152" s="186">
        <v>14</v>
      </c>
      <c r="B152" s="205" t="s">
        <v>325</v>
      </c>
      <c r="C152" s="346" t="s">
        <v>331</v>
      </c>
      <c r="D152" s="113">
        <v>46086</v>
      </c>
      <c r="E152" s="114" t="s">
        <v>1137</v>
      </c>
      <c r="F152" s="347">
        <v>1410</v>
      </c>
    </row>
    <row r="153" spans="1:6" ht="27.75" customHeight="1">
      <c r="A153" s="186">
        <v>15</v>
      </c>
      <c r="B153" s="205" t="s">
        <v>325</v>
      </c>
      <c r="C153" s="346" t="s">
        <v>332</v>
      </c>
      <c r="D153" s="113">
        <v>46086</v>
      </c>
      <c r="E153" s="114" t="s">
        <v>1137</v>
      </c>
      <c r="F153" s="347">
        <v>1410</v>
      </c>
    </row>
    <row r="154" spans="1:6" ht="27.75" customHeight="1">
      <c r="A154" s="186">
        <v>19</v>
      </c>
      <c r="B154" s="205" t="s">
        <v>40</v>
      </c>
      <c r="C154" s="346" t="s">
        <v>336</v>
      </c>
      <c r="D154" s="113">
        <v>46107</v>
      </c>
      <c r="E154" s="114" t="s">
        <v>1138</v>
      </c>
      <c r="F154" s="347">
        <v>3940</v>
      </c>
    </row>
    <row r="155" spans="1:6" ht="27.75" customHeight="1">
      <c r="A155" s="186">
        <v>20</v>
      </c>
      <c r="B155" s="205" t="s">
        <v>40</v>
      </c>
      <c r="C155" s="346" t="s">
        <v>338</v>
      </c>
      <c r="D155" s="113">
        <v>46107</v>
      </c>
      <c r="E155" s="114" t="s">
        <v>1138</v>
      </c>
      <c r="F155" s="347">
        <v>3940</v>
      </c>
    </row>
    <row r="156" spans="1:6" ht="27.75" customHeight="1">
      <c r="A156" s="186">
        <v>21</v>
      </c>
      <c r="B156" s="205" t="s">
        <v>40</v>
      </c>
      <c r="C156" s="346" t="s">
        <v>339</v>
      </c>
      <c r="D156" s="113">
        <v>46107</v>
      </c>
      <c r="E156" s="114" t="s">
        <v>1138</v>
      </c>
      <c r="F156" s="347">
        <v>3940</v>
      </c>
    </row>
    <row r="157" spans="1:6" ht="27.75" customHeight="1">
      <c r="A157" s="186">
        <v>22</v>
      </c>
      <c r="B157" s="40" t="s">
        <v>43</v>
      </c>
      <c r="C157" s="346" t="s">
        <v>340</v>
      </c>
      <c r="D157" s="113">
        <v>46083</v>
      </c>
      <c r="E157" s="114" t="s">
        <v>1139</v>
      </c>
      <c r="F157" s="347">
        <v>1410</v>
      </c>
    </row>
    <row r="158" spans="1:6" ht="27.75" customHeight="1">
      <c r="A158" s="186">
        <v>23</v>
      </c>
      <c r="B158" s="40" t="s">
        <v>43</v>
      </c>
      <c r="C158" s="346" t="s">
        <v>344</v>
      </c>
      <c r="D158" s="113">
        <v>46083</v>
      </c>
      <c r="E158" s="114" t="s">
        <v>1139</v>
      </c>
      <c r="F158" s="347">
        <v>1410</v>
      </c>
    </row>
    <row r="159" spans="1:6" ht="27.75" customHeight="1">
      <c r="A159" s="186">
        <v>24</v>
      </c>
      <c r="B159" s="40" t="s">
        <v>345</v>
      </c>
      <c r="C159" s="346" t="s">
        <v>346</v>
      </c>
      <c r="D159" s="113">
        <v>46083</v>
      </c>
      <c r="E159" s="114" t="s">
        <v>1140</v>
      </c>
      <c r="F159" s="347">
        <v>1410</v>
      </c>
    </row>
    <row r="160" spans="1:6" ht="27.75" customHeight="1">
      <c r="A160" s="186">
        <v>25</v>
      </c>
      <c r="B160" s="40" t="s">
        <v>345</v>
      </c>
      <c r="C160" s="346" t="s">
        <v>348</v>
      </c>
      <c r="D160" s="113">
        <v>46083</v>
      </c>
      <c r="E160" s="114" t="s">
        <v>1140</v>
      </c>
      <c r="F160" s="347">
        <v>1410</v>
      </c>
    </row>
    <row r="161" spans="1:6" ht="27.75" customHeight="1">
      <c r="A161" s="186">
        <v>26</v>
      </c>
      <c r="B161" s="40" t="s">
        <v>345</v>
      </c>
      <c r="C161" s="346" t="s">
        <v>349</v>
      </c>
      <c r="D161" s="113">
        <v>46083</v>
      </c>
      <c r="E161" s="114" t="s">
        <v>1140</v>
      </c>
      <c r="F161" s="347">
        <v>1410</v>
      </c>
    </row>
    <row r="162" spans="1:6" ht="27.75" customHeight="1">
      <c r="A162" s="186">
        <v>27</v>
      </c>
      <c r="B162" s="40" t="s">
        <v>345</v>
      </c>
      <c r="C162" s="346" t="s">
        <v>350</v>
      </c>
      <c r="D162" s="113">
        <v>46083</v>
      </c>
      <c r="E162" s="114" t="s">
        <v>1140</v>
      </c>
      <c r="F162" s="347">
        <v>1410</v>
      </c>
    </row>
    <row r="163" spans="1:6" ht="27.75" customHeight="1">
      <c r="A163" s="186">
        <v>28</v>
      </c>
      <c r="B163" s="40" t="s">
        <v>351</v>
      </c>
      <c r="C163" s="346" t="s">
        <v>352</v>
      </c>
      <c r="D163" s="113">
        <v>46083</v>
      </c>
      <c r="E163" s="114" t="s">
        <v>1141</v>
      </c>
      <c r="F163" s="347">
        <v>1410</v>
      </c>
    </row>
    <row r="164" spans="1:6" ht="27.75" customHeight="1">
      <c r="A164" s="186">
        <v>29</v>
      </c>
      <c r="B164" s="40" t="s">
        <v>351</v>
      </c>
      <c r="C164" s="346" t="s">
        <v>354</v>
      </c>
      <c r="D164" s="113">
        <v>46083</v>
      </c>
      <c r="E164" s="114" t="s">
        <v>1141</v>
      </c>
      <c r="F164" s="347">
        <v>1410</v>
      </c>
    </row>
    <row r="165" spans="1:6" ht="27.75" customHeight="1">
      <c r="A165" s="186">
        <v>30</v>
      </c>
      <c r="B165" s="40" t="s">
        <v>351</v>
      </c>
      <c r="C165" s="346" t="s">
        <v>355</v>
      </c>
      <c r="D165" s="113">
        <v>46083</v>
      </c>
      <c r="E165" s="114" t="s">
        <v>1141</v>
      </c>
      <c r="F165" s="347">
        <v>1410</v>
      </c>
    </row>
    <row r="166" spans="1:6" ht="27.75" customHeight="1">
      <c r="A166" s="186">
        <v>31</v>
      </c>
      <c r="B166" s="40" t="s">
        <v>356</v>
      </c>
      <c r="C166" s="346" t="s">
        <v>357</v>
      </c>
      <c r="D166" s="113">
        <v>46085</v>
      </c>
      <c r="E166" s="114" t="s">
        <v>1142</v>
      </c>
      <c r="F166" s="347">
        <v>1410</v>
      </c>
    </row>
    <row r="167" spans="1:6" ht="27.75" customHeight="1">
      <c r="A167" s="186">
        <v>32</v>
      </c>
      <c r="B167" s="40" t="s">
        <v>356</v>
      </c>
      <c r="C167" s="346" t="s">
        <v>360</v>
      </c>
      <c r="D167" s="113">
        <v>46085</v>
      </c>
      <c r="E167" s="114" t="s">
        <v>1142</v>
      </c>
      <c r="F167" s="347">
        <v>1410</v>
      </c>
    </row>
    <row r="168" spans="1:6" ht="27.75" customHeight="1">
      <c r="A168" s="186">
        <v>33</v>
      </c>
      <c r="B168" s="40" t="s">
        <v>356</v>
      </c>
      <c r="C168" s="346" t="s">
        <v>361</v>
      </c>
      <c r="D168" s="113">
        <v>46085</v>
      </c>
      <c r="E168" s="114" t="s">
        <v>1142</v>
      </c>
      <c r="F168" s="347">
        <v>1410</v>
      </c>
    </row>
    <row r="169" spans="1:6" ht="27.75" customHeight="1">
      <c r="A169" s="186">
        <v>34</v>
      </c>
      <c r="B169" s="40" t="s">
        <v>362</v>
      </c>
      <c r="C169" s="346" t="s">
        <v>363</v>
      </c>
      <c r="D169" s="113">
        <v>46082</v>
      </c>
      <c r="E169" s="114" t="s">
        <v>1143</v>
      </c>
      <c r="F169" s="347">
        <v>1410</v>
      </c>
    </row>
    <row r="170" spans="1:6" ht="27.75" customHeight="1">
      <c r="A170" s="186">
        <v>35</v>
      </c>
      <c r="B170" s="40" t="s">
        <v>362</v>
      </c>
      <c r="C170" s="346" t="s">
        <v>367</v>
      </c>
      <c r="D170" s="113">
        <v>46082</v>
      </c>
      <c r="E170" s="114" t="s">
        <v>1143</v>
      </c>
      <c r="F170" s="347">
        <v>1410</v>
      </c>
    </row>
    <row r="171" spans="1:6" ht="27.75" customHeight="1">
      <c r="A171" s="186">
        <v>36</v>
      </c>
      <c r="B171" s="40" t="s">
        <v>362</v>
      </c>
      <c r="C171" s="346" t="s">
        <v>368</v>
      </c>
      <c r="D171" s="113">
        <v>46082</v>
      </c>
      <c r="E171" s="114" t="s">
        <v>1143</v>
      </c>
      <c r="F171" s="347">
        <v>1410</v>
      </c>
    </row>
    <row r="172" spans="1:6" ht="27.75" customHeight="1">
      <c r="A172" s="186">
        <v>37</v>
      </c>
      <c r="B172" s="40" t="s">
        <v>362</v>
      </c>
      <c r="C172" s="346" t="s">
        <v>369</v>
      </c>
      <c r="D172" s="113">
        <v>46082</v>
      </c>
      <c r="E172" s="114" t="s">
        <v>1143</v>
      </c>
      <c r="F172" s="347">
        <v>1410</v>
      </c>
    </row>
    <row r="173" spans="1:6" ht="27.75" customHeight="1">
      <c r="A173" s="186">
        <v>38</v>
      </c>
      <c r="B173" s="40" t="s">
        <v>362</v>
      </c>
      <c r="C173" s="346" t="s">
        <v>370</v>
      </c>
      <c r="D173" s="113">
        <v>46082</v>
      </c>
      <c r="E173" s="114" t="s">
        <v>1143</v>
      </c>
      <c r="F173" s="347">
        <v>1410</v>
      </c>
    </row>
    <row r="174" spans="1:6" ht="27.75" customHeight="1">
      <c r="A174" s="186">
        <v>39</v>
      </c>
      <c r="B174" s="40" t="s">
        <v>362</v>
      </c>
      <c r="C174" s="346" t="s">
        <v>371</v>
      </c>
      <c r="D174" s="113">
        <v>46082</v>
      </c>
      <c r="E174" s="114" t="s">
        <v>1143</v>
      </c>
      <c r="F174" s="347">
        <v>1410</v>
      </c>
    </row>
    <row r="175" spans="1:6" ht="27.75" customHeight="1">
      <c r="A175" s="186">
        <v>40</v>
      </c>
      <c r="B175" s="40" t="s">
        <v>372</v>
      </c>
      <c r="C175" s="346" t="s">
        <v>373</v>
      </c>
      <c r="D175" s="113">
        <v>46083</v>
      </c>
      <c r="E175" s="114" t="s">
        <v>1144</v>
      </c>
      <c r="F175" s="347">
        <v>1410</v>
      </c>
    </row>
    <row r="176" spans="1:6" ht="27.75" customHeight="1">
      <c r="A176" s="186">
        <v>41</v>
      </c>
      <c r="B176" s="40" t="s">
        <v>372</v>
      </c>
      <c r="C176" s="346" t="s">
        <v>377</v>
      </c>
      <c r="D176" s="113">
        <v>46083</v>
      </c>
      <c r="E176" s="114" t="s">
        <v>1144</v>
      </c>
      <c r="F176" s="347">
        <v>1410</v>
      </c>
    </row>
    <row r="177" spans="1:8" ht="27.75" customHeight="1">
      <c r="A177" s="186">
        <v>42</v>
      </c>
      <c r="B177" s="40" t="s">
        <v>372</v>
      </c>
      <c r="C177" s="346" t="s">
        <v>378</v>
      </c>
      <c r="D177" s="113">
        <v>46083</v>
      </c>
      <c r="E177" s="114" t="s">
        <v>1144</v>
      </c>
      <c r="F177" s="347">
        <v>1410</v>
      </c>
    </row>
    <row r="178" spans="1:8" ht="27.75" customHeight="1">
      <c r="A178" s="186">
        <v>43</v>
      </c>
      <c r="B178" s="40" t="s">
        <v>372</v>
      </c>
      <c r="C178" s="346" t="s">
        <v>379</v>
      </c>
      <c r="D178" s="113">
        <v>46083</v>
      </c>
      <c r="E178" s="114" t="s">
        <v>1144</v>
      </c>
      <c r="F178" s="347">
        <v>1410</v>
      </c>
    </row>
    <row r="179" spans="1:8" ht="27.75" customHeight="1">
      <c r="A179" s="186">
        <v>44</v>
      </c>
      <c r="B179" s="40" t="s">
        <v>380</v>
      </c>
      <c r="C179" s="346" t="s">
        <v>381</v>
      </c>
      <c r="D179" s="175">
        <v>46086</v>
      </c>
      <c r="E179" s="176" t="s">
        <v>1145</v>
      </c>
      <c r="F179" s="222">
        <v>1410</v>
      </c>
    </row>
    <row r="180" spans="1:8" ht="27.75" customHeight="1">
      <c r="A180" s="186">
        <v>45</v>
      </c>
      <c r="B180" s="40" t="s">
        <v>380</v>
      </c>
      <c r="C180" s="346" t="s">
        <v>385</v>
      </c>
      <c r="D180" s="175">
        <v>46086</v>
      </c>
      <c r="E180" s="176" t="s">
        <v>1145</v>
      </c>
      <c r="F180" s="222">
        <v>1410</v>
      </c>
    </row>
    <row r="181" spans="1:8" ht="27.75" customHeight="1">
      <c r="A181" s="186">
        <v>46</v>
      </c>
      <c r="B181" s="40" t="s">
        <v>380</v>
      </c>
      <c r="C181" s="346" t="s">
        <v>386</v>
      </c>
      <c r="D181" s="175">
        <v>46086</v>
      </c>
      <c r="E181" s="176" t="s">
        <v>1145</v>
      </c>
      <c r="F181" s="222">
        <v>1410</v>
      </c>
    </row>
    <row r="182" spans="1:8" ht="27.75" customHeight="1">
      <c r="A182" s="186">
        <v>47</v>
      </c>
      <c r="B182" s="40" t="s">
        <v>380</v>
      </c>
      <c r="C182" s="346" t="s">
        <v>387</v>
      </c>
      <c r="D182" s="175">
        <v>46086</v>
      </c>
      <c r="E182" s="176" t="s">
        <v>1145</v>
      </c>
      <c r="F182" s="222">
        <v>1410</v>
      </c>
    </row>
    <row r="183" spans="1:8" ht="27.75" customHeight="1">
      <c r="A183" s="186">
        <v>48</v>
      </c>
      <c r="B183" s="351" t="s">
        <v>66</v>
      </c>
      <c r="C183" s="346" t="s">
        <v>388</v>
      </c>
      <c r="D183" s="175" t="s">
        <v>1059</v>
      </c>
      <c r="E183" s="176" t="s">
        <v>1146</v>
      </c>
      <c r="F183" s="222">
        <v>3520</v>
      </c>
    </row>
    <row r="184" spans="1:8" ht="27.75" customHeight="1">
      <c r="A184" s="186">
        <v>49</v>
      </c>
      <c r="B184" s="351" t="s">
        <v>66</v>
      </c>
      <c r="C184" s="346" t="s">
        <v>390</v>
      </c>
      <c r="D184" s="175" t="s">
        <v>1059</v>
      </c>
      <c r="E184" s="176" t="s">
        <v>1146</v>
      </c>
      <c r="F184" s="222">
        <v>3520</v>
      </c>
    </row>
    <row r="185" spans="1:8" ht="27.75" customHeight="1">
      <c r="A185" s="186">
        <v>50</v>
      </c>
      <c r="B185" s="351" t="s">
        <v>66</v>
      </c>
      <c r="C185" s="346" t="s">
        <v>391</v>
      </c>
      <c r="D185" s="175" t="s">
        <v>1059</v>
      </c>
      <c r="E185" s="176" t="s">
        <v>1146</v>
      </c>
      <c r="F185" s="222">
        <v>3520</v>
      </c>
    </row>
    <row r="186" spans="1:8" ht="27.75" customHeight="1">
      <c r="A186" s="186">
        <v>51</v>
      </c>
      <c r="B186" s="351" t="s">
        <v>66</v>
      </c>
      <c r="C186" s="346" t="s">
        <v>69</v>
      </c>
      <c r="D186" s="175" t="s">
        <v>1059</v>
      </c>
      <c r="E186" s="176" t="s">
        <v>1147</v>
      </c>
      <c r="F186" s="222">
        <v>5440</v>
      </c>
    </row>
    <row r="187" spans="1:8" ht="27.75" customHeight="1" thickBot="1">
      <c r="A187" s="357"/>
      <c r="B187" s="358"/>
      <c r="C187" s="359"/>
      <c r="D187" s="361"/>
      <c r="E187" s="361"/>
      <c r="F187" s="362">
        <v>75760</v>
      </c>
      <c r="H187" s="520">
        <f>SUM(F146:F186)</f>
        <v>75760</v>
      </c>
    </row>
    <row r="188" spans="1:8" ht="27.75" customHeight="1" thickTop="1">
      <c r="A188" s="94"/>
      <c r="B188" s="364" t="s">
        <v>395</v>
      </c>
      <c r="C188" s="81"/>
      <c r="D188" s="178"/>
      <c r="E188" s="179"/>
      <c r="F188" s="264"/>
    </row>
    <row r="189" spans="1:8" ht="27.75" customHeight="1">
      <c r="A189" s="94">
        <v>1</v>
      </c>
      <c r="B189" s="366" t="s">
        <v>167</v>
      </c>
      <c r="C189" s="367" t="s">
        <v>396</v>
      </c>
      <c r="D189" s="175">
        <v>46087</v>
      </c>
      <c r="E189" s="176" t="s">
        <v>1148</v>
      </c>
      <c r="F189" s="222">
        <v>22690</v>
      </c>
    </row>
    <row r="190" spans="1:8" ht="27.75" customHeight="1">
      <c r="A190" s="94">
        <v>2</v>
      </c>
      <c r="B190" s="366" t="s">
        <v>24</v>
      </c>
      <c r="C190" s="367" t="s">
        <v>403</v>
      </c>
      <c r="D190" s="175">
        <v>46083</v>
      </c>
      <c r="E190" s="176" t="s">
        <v>1149</v>
      </c>
      <c r="F190" s="222">
        <v>15295</v>
      </c>
    </row>
    <row r="191" spans="1:8" ht="27.75" customHeight="1">
      <c r="A191" s="94">
        <v>3</v>
      </c>
      <c r="B191" s="366" t="s">
        <v>411</v>
      </c>
      <c r="C191" s="367" t="s">
        <v>412</v>
      </c>
      <c r="D191" s="175">
        <v>46085</v>
      </c>
      <c r="E191" s="176" t="s">
        <v>1150</v>
      </c>
      <c r="F191" s="222">
        <v>5360</v>
      </c>
    </row>
    <row r="192" spans="1:8" ht="27.75" customHeight="1">
      <c r="A192" s="94">
        <v>4</v>
      </c>
      <c r="B192" s="366" t="s">
        <v>417</v>
      </c>
      <c r="C192" s="367" t="s">
        <v>418</v>
      </c>
      <c r="D192" s="175">
        <v>46105</v>
      </c>
      <c r="E192" s="176" t="s">
        <v>1151</v>
      </c>
      <c r="F192" s="222">
        <v>68108.75</v>
      </c>
    </row>
    <row r="193" spans="1:9" ht="27.75" customHeight="1">
      <c r="A193" s="94">
        <v>5</v>
      </c>
      <c r="B193" s="366" t="s">
        <v>417</v>
      </c>
      <c r="C193" s="367" t="s">
        <v>421</v>
      </c>
      <c r="D193" s="175">
        <v>46082</v>
      </c>
      <c r="E193" s="176" t="s">
        <v>1152</v>
      </c>
      <c r="F193" s="222">
        <v>4910</v>
      </c>
    </row>
    <row r="194" spans="1:9" ht="27.75" customHeight="1">
      <c r="A194" s="94">
        <v>6</v>
      </c>
      <c r="B194" s="366" t="s">
        <v>428</v>
      </c>
      <c r="C194" s="367" t="s">
        <v>429</v>
      </c>
      <c r="D194" s="175">
        <v>46086</v>
      </c>
      <c r="E194" s="176" t="s">
        <v>1153</v>
      </c>
      <c r="F194" s="222">
        <v>20000</v>
      </c>
    </row>
    <row r="195" spans="1:9" ht="27.75" customHeight="1" thickBot="1">
      <c r="A195" s="193"/>
      <c r="B195" s="194" t="s">
        <v>22</v>
      </c>
      <c r="C195" s="195"/>
      <c r="D195" s="199"/>
      <c r="E195" s="199"/>
      <c r="F195" s="196">
        <v>136363.75</v>
      </c>
      <c r="H195" s="520">
        <f>SUM(F189:F194)</f>
        <v>136363.75</v>
      </c>
    </row>
    <row r="196" spans="1:9" ht="27.75" customHeight="1" thickTop="1">
      <c r="A196" s="22"/>
      <c r="B196" s="288" t="s">
        <v>433</v>
      </c>
      <c r="C196" s="380"/>
      <c r="D196" s="382"/>
      <c r="E196" s="382"/>
      <c r="F196" s="383"/>
    </row>
    <row r="197" spans="1:9" ht="27.75" customHeight="1">
      <c r="A197" s="22">
        <v>1</v>
      </c>
      <c r="B197" s="270" t="s">
        <v>438</v>
      </c>
      <c r="C197" s="380" t="s">
        <v>439</v>
      </c>
      <c r="D197" s="389">
        <v>46086</v>
      </c>
      <c r="E197" s="386" t="s">
        <v>1155</v>
      </c>
      <c r="F197" s="383">
        <v>1500</v>
      </c>
    </row>
    <row r="198" spans="1:9" ht="27.75" customHeight="1" thickBot="1">
      <c r="A198" s="193"/>
      <c r="B198" s="194" t="s">
        <v>22</v>
      </c>
      <c r="C198" s="195"/>
      <c r="D198" s="393">
        <v>0</v>
      </c>
      <c r="E198" s="393">
        <v>0</v>
      </c>
      <c r="F198" s="394">
        <v>1500</v>
      </c>
      <c r="H198" s="520">
        <f>SUM(F197)</f>
        <v>1500</v>
      </c>
    </row>
    <row r="199" spans="1:9" ht="27.75" customHeight="1" thickTop="1" thickBot="1">
      <c r="A199" s="414"/>
      <c r="B199" s="415"/>
      <c r="C199" s="416" t="s">
        <v>468</v>
      </c>
      <c r="D199" s="421"/>
      <c r="E199" s="421"/>
      <c r="F199" s="422">
        <v>929094.3</v>
      </c>
      <c r="I199" s="521">
        <f>SUM(H20:H198)</f>
        <v>929094.3</v>
      </c>
    </row>
    <row r="200" spans="1:9" ht="27.75" customHeight="1" thickTop="1">
      <c r="A200" s="426"/>
      <c r="B200" s="4"/>
      <c r="C200" s="295"/>
      <c r="D200" s="431"/>
      <c r="E200" s="432"/>
      <c r="F200" s="427"/>
    </row>
    <row r="201" spans="1:9" s="226" customFormat="1" ht="27.75" customHeight="1">
      <c r="A201" s="6"/>
      <c r="B201" s="500"/>
      <c r="D201" s="3"/>
      <c r="E201" s="372"/>
      <c r="F201" s="501"/>
    </row>
    <row r="202" spans="1:9" s="226" customFormat="1" ht="27.75" customHeight="1">
      <c r="A202" s="6"/>
      <c r="B202" s="500"/>
      <c r="D202" s="3"/>
      <c r="E202" s="372"/>
      <c r="F202" s="501"/>
    </row>
    <row r="203" spans="1:9" s="226" customFormat="1" ht="27.75" customHeight="1">
      <c r="A203" s="6"/>
      <c r="B203" s="500"/>
      <c r="D203" s="3"/>
      <c r="E203" s="372"/>
      <c r="F203" s="501"/>
    </row>
    <row r="204" spans="1:9" s="226" customFormat="1" ht="27.75" customHeight="1">
      <c r="A204" s="6"/>
      <c r="B204" s="500"/>
      <c r="D204" s="3"/>
      <c r="E204" s="372"/>
      <c r="F204" s="501"/>
    </row>
    <row r="205" spans="1:9" s="226" customFormat="1" ht="27.75" customHeight="1">
      <c r="A205" s="6"/>
      <c r="B205" s="500"/>
      <c r="D205" s="3"/>
      <c r="E205" s="372"/>
      <c r="F205" s="501"/>
    </row>
    <row r="206" spans="1:9" s="226" customFormat="1" ht="27.75" customHeight="1">
      <c r="A206" s="6"/>
      <c r="B206" s="500"/>
      <c r="D206" s="3"/>
      <c r="E206" s="372"/>
      <c r="F206" s="501"/>
    </row>
    <row r="207" spans="1:9" s="226" customFormat="1" ht="27.75" customHeight="1">
      <c r="A207" s="6"/>
      <c r="B207" s="500"/>
      <c r="D207" s="3"/>
      <c r="E207" s="372"/>
      <c r="F207" s="501"/>
    </row>
    <row r="208" spans="1:9" s="226" customFormat="1" ht="27.75" customHeight="1">
      <c r="A208" s="6"/>
      <c r="D208" s="3"/>
      <c r="E208" s="372"/>
      <c r="F208" s="501"/>
    </row>
    <row r="209" spans="2:6" ht="27.75" customHeight="1">
      <c r="B209" s="4"/>
      <c r="F209" s="4"/>
    </row>
    <row r="210" spans="2:6" ht="27.75" customHeight="1">
      <c r="B210" s="4"/>
      <c r="F210" s="4"/>
    </row>
    <row r="211" spans="2:6" ht="27.75" customHeight="1">
      <c r="B211" s="4"/>
      <c r="F211" s="4"/>
    </row>
    <row r="212" spans="2:6" ht="27.75" customHeight="1">
      <c r="B212" s="4"/>
      <c r="F212" s="4"/>
    </row>
    <row r="213" spans="2:6" ht="27.75" customHeight="1">
      <c r="B213" s="4"/>
      <c r="F213" s="4"/>
    </row>
    <row r="214" spans="2:6" ht="27.75" customHeight="1">
      <c r="B214" s="4"/>
      <c r="F214" s="4"/>
    </row>
    <row r="215" spans="2:6" ht="27.75" customHeight="1">
      <c r="B215" s="4"/>
      <c r="F215" s="4"/>
    </row>
    <row r="216" spans="2:6" ht="27.75" customHeight="1">
      <c r="B216" s="4"/>
      <c r="F216" s="4"/>
    </row>
    <row r="217" spans="2:6" ht="27.75" customHeight="1">
      <c r="B217" s="4"/>
      <c r="F217" s="4"/>
    </row>
    <row r="218" spans="2:6" ht="27.75" customHeight="1">
      <c r="B218" s="4"/>
      <c r="F218" s="4"/>
    </row>
    <row r="219" spans="2:6" ht="27.75" customHeight="1">
      <c r="B219" s="4"/>
      <c r="F219" s="4"/>
    </row>
    <row r="220" spans="2:6" ht="27.75" customHeight="1">
      <c r="B220" s="4"/>
      <c r="F220" s="4"/>
    </row>
    <row r="221" spans="2:6" ht="27.75" customHeight="1">
      <c r="B221" s="4"/>
      <c r="F221" s="4"/>
    </row>
    <row r="222" spans="2:6" ht="27.75" customHeight="1">
      <c r="B222" s="4"/>
      <c r="F222" s="4"/>
    </row>
    <row r="223" spans="2:6" ht="27.75" customHeight="1">
      <c r="B223" s="4"/>
      <c r="F223" s="4"/>
    </row>
    <row r="224" spans="2:6" ht="27.75" customHeight="1">
      <c r="B224" s="4"/>
      <c r="F224" s="4"/>
    </row>
    <row r="236" spans="2:6" ht="27.75" customHeight="1">
      <c r="B236" s="4"/>
      <c r="F236" s="4"/>
    </row>
    <row r="237" spans="2:6" ht="27.75" customHeight="1">
      <c r="B237" s="4"/>
      <c r="F237" s="4"/>
    </row>
    <row r="238" spans="2:6" ht="27.75" customHeight="1">
      <c r="B238" s="4"/>
      <c r="F238" s="4"/>
    </row>
    <row r="239" spans="2:6" ht="27.75" customHeight="1">
      <c r="B239" s="4"/>
      <c r="F239" s="4"/>
    </row>
    <row r="240" spans="2:6" ht="27.75" customHeight="1">
      <c r="B240" s="4"/>
      <c r="F240" s="4"/>
    </row>
    <row r="241" spans="2:6" ht="27.75" customHeight="1">
      <c r="B241" s="4"/>
      <c r="F241" s="4"/>
    </row>
    <row r="242" spans="2:6" ht="27.75" customHeight="1">
      <c r="B242" s="4"/>
      <c r="F242" s="4"/>
    </row>
    <row r="243" spans="2:6" ht="27.75" customHeight="1">
      <c r="B243" s="4"/>
      <c r="F243" s="4"/>
    </row>
    <row r="244" spans="2:6" ht="27.75" customHeight="1">
      <c r="B244" s="4"/>
      <c r="F244" s="4"/>
    </row>
    <row r="245" spans="2:6" ht="27.75" customHeight="1">
      <c r="B245" s="4"/>
      <c r="F245" s="4"/>
    </row>
    <row r="246" spans="2:6" ht="27.75" customHeight="1">
      <c r="B246" s="4"/>
      <c r="F246" s="4"/>
    </row>
    <row r="247" spans="2:6" ht="27.75" customHeight="1">
      <c r="B247" s="4"/>
      <c r="F247" s="4"/>
    </row>
    <row r="248" spans="2:6" ht="27.75" customHeight="1">
      <c r="B248" s="4"/>
      <c r="F248" s="4"/>
    </row>
  </sheetData>
  <mergeCells count="8">
    <mergeCell ref="A5:A6"/>
    <mergeCell ref="B5:B6"/>
    <mergeCell ref="C5:C6"/>
    <mergeCell ref="A1:F1"/>
    <mergeCell ref="A2:F2"/>
    <mergeCell ref="A3:F3"/>
    <mergeCell ref="E5:E6"/>
    <mergeCell ref="F5:F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4DC6F-666A-4D4B-B7BB-AE169396ADEE}">
  <sheetPr>
    <tabColor rgb="FFFFFF00"/>
  </sheetPr>
  <dimension ref="A1:S151"/>
  <sheetViews>
    <sheetView zoomScale="60" zoomScaleNormal="60" workbookViewId="0">
      <pane ySplit="6" topLeftCell="A73" activePane="bottomLeft" state="frozen"/>
      <selection pane="bottomLeft" activeCell="T93" sqref="T93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6.88671875" style="552" customWidth="1"/>
    <col min="5" max="5" width="20" style="372" customWidth="1"/>
    <col min="6" max="6" width="9.109375" style="2" customWidth="1"/>
    <col min="7" max="7" width="23.6640625" style="507" customWidth="1"/>
    <col min="8" max="8" width="5.33203125" style="2" hidden="1" customWidth="1"/>
    <col min="9" max="9" width="9" style="508" hidden="1" customWidth="1"/>
    <col min="10" max="10" width="9.6640625" style="508" hidden="1" customWidth="1"/>
    <col min="11" max="11" width="10.88671875" style="512" hidden="1" customWidth="1"/>
    <col min="12" max="12" width="24.5546875" style="512" hidden="1" customWidth="1"/>
    <col min="13" max="14" width="8.88671875" style="4" hidden="1" customWidth="1"/>
    <col min="15" max="15" width="8.88671875" style="4"/>
    <col min="16" max="16" width="11.44140625" style="4" bestFit="1" customWidth="1"/>
    <col min="17" max="18" width="14.5546875" style="4" bestFit="1" customWidth="1"/>
    <col min="19" max="16384" width="8.88671875" style="4"/>
  </cols>
  <sheetData>
    <row r="1" spans="1:16" ht="28.5" customHeight="1">
      <c r="A1" s="653" t="s">
        <v>0</v>
      </c>
      <c r="B1" s="653"/>
      <c r="C1" s="653"/>
      <c r="D1" s="653"/>
      <c r="E1" s="653"/>
      <c r="F1" s="653"/>
      <c r="G1" s="653"/>
      <c r="I1" s="3"/>
      <c r="J1" s="3"/>
      <c r="K1" s="1"/>
      <c r="L1" s="1"/>
    </row>
    <row r="2" spans="1:16" ht="23.25" customHeight="1">
      <c r="A2" s="653" t="s">
        <v>1</v>
      </c>
      <c r="B2" s="653"/>
      <c r="C2" s="653"/>
      <c r="D2" s="653"/>
      <c r="E2" s="653"/>
      <c r="F2" s="653"/>
      <c r="G2" s="653"/>
      <c r="H2" s="5"/>
      <c r="I2" s="3"/>
      <c r="J2" s="3"/>
      <c r="K2" s="1"/>
      <c r="L2" s="1"/>
    </row>
    <row r="3" spans="1:16" ht="28.5" customHeight="1">
      <c r="A3" s="654" t="s">
        <v>1046</v>
      </c>
      <c r="B3" s="654"/>
      <c r="C3" s="654"/>
      <c r="D3" s="654"/>
      <c r="E3" s="654"/>
      <c r="F3" s="654"/>
      <c r="G3" s="654"/>
      <c r="I3" s="3"/>
      <c r="J3" s="3"/>
      <c r="K3" s="6"/>
      <c r="L3" s="6"/>
    </row>
    <row r="4" spans="1:16" ht="27.75" customHeight="1">
      <c r="A4" s="7"/>
      <c r="B4" s="8"/>
      <c r="C4" s="9"/>
      <c r="D4" s="522"/>
      <c r="E4" s="655" t="s">
        <v>5</v>
      </c>
      <c r="F4" s="656"/>
      <c r="G4" s="657"/>
      <c r="H4" s="658" t="s">
        <v>6</v>
      </c>
      <c r="I4" s="671" t="s">
        <v>7</v>
      </c>
      <c r="J4" s="671" t="s">
        <v>8</v>
      </c>
      <c r="K4" s="661" t="s">
        <v>9</v>
      </c>
      <c r="L4" s="661" t="s">
        <v>10</v>
      </c>
    </row>
    <row r="5" spans="1:16" ht="27.75" customHeight="1">
      <c r="A5" s="664" t="s">
        <v>11</v>
      </c>
      <c r="B5" s="666" t="s">
        <v>12</v>
      </c>
      <c r="C5" s="666" t="s">
        <v>13</v>
      </c>
      <c r="D5" s="523" t="s">
        <v>557</v>
      </c>
      <c r="E5" s="664" t="s">
        <v>15</v>
      </c>
      <c r="F5" s="669" t="s">
        <v>16</v>
      </c>
      <c r="G5" s="514"/>
      <c r="H5" s="659"/>
      <c r="I5" s="672"/>
      <c r="J5" s="672"/>
      <c r="K5" s="662"/>
      <c r="L5" s="662"/>
    </row>
    <row r="6" spans="1:16" ht="27.75" customHeight="1" thickBot="1">
      <c r="A6" s="665"/>
      <c r="B6" s="667"/>
      <c r="C6" s="667"/>
      <c r="D6" s="524"/>
      <c r="E6" s="668"/>
      <c r="F6" s="670"/>
      <c r="G6" s="21" t="s">
        <v>22</v>
      </c>
      <c r="H6" s="660"/>
      <c r="I6" s="673"/>
      <c r="J6" s="673"/>
      <c r="K6" s="663"/>
      <c r="L6" s="663"/>
    </row>
    <row r="7" spans="1:16" ht="27.75" customHeight="1" thickTop="1">
      <c r="A7" s="22"/>
      <c r="B7" s="23" t="s">
        <v>23</v>
      </c>
      <c r="C7" s="24"/>
      <c r="D7" s="525"/>
      <c r="E7" s="32"/>
      <c r="F7" s="33"/>
      <c r="G7" s="35"/>
      <c r="H7" s="36"/>
      <c r="I7" s="37"/>
      <c r="J7" s="37"/>
      <c r="K7" s="38"/>
      <c r="L7" s="38"/>
      <c r="M7" s="38"/>
    </row>
    <row r="8" spans="1:16" s="57" customFormat="1" ht="27.75" customHeight="1">
      <c r="A8" s="39">
        <v>1</v>
      </c>
      <c r="B8" s="40" t="s">
        <v>40</v>
      </c>
      <c r="C8" s="41" t="s">
        <v>41</v>
      </c>
      <c r="D8" s="526">
        <v>8025</v>
      </c>
      <c r="E8" s="51"/>
      <c r="F8" s="52"/>
      <c r="G8" s="54"/>
      <c r="H8" s="39"/>
      <c r="I8" s="55"/>
      <c r="J8" s="55"/>
      <c r="K8" s="56"/>
      <c r="L8" s="56"/>
    </row>
    <row r="9" spans="1:16" s="57" customFormat="1" ht="35.25" customHeight="1" thickBot="1">
      <c r="A9" s="67"/>
      <c r="B9" s="68" t="s">
        <v>22</v>
      </c>
      <c r="C9" s="69"/>
      <c r="D9" s="527"/>
      <c r="E9" s="77"/>
      <c r="F9" s="78"/>
      <c r="G9" s="79">
        <v>0</v>
      </c>
      <c r="H9" s="79">
        <v>0</v>
      </c>
      <c r="I9" s="79">
        <v>0</v>
      </c>
      <c r="J9" s="79">
        <v>0</v>
      </c>
      <c r="K9" s="79">
        <v>0</v>
      </c>
      <c r="L9" s="79">
        <v>0</v>
      </c>
      <c r="M9" s="79">
        <v>0</v>
      </c>
      <c r="N9" s="79">
        <v>0</v>
      </c>
    </row>
    <row r="10" spans="1:16" s="91" customFormat="1" ht="27.75" customHeight="1" thickTop="1">
      <c r="A10" s="39">
        <v>1</v>
      </c>
      <c r="B10" s="80" t="s">
        <v>71</v>
      </c>
      <c r="C10" s="81" t="s">
        <v>72</v>
      </c>
      <c r="D10" s="528">
        <v>6687.5</v>
      </c>
      <c r="E10" s="87"/>
      <c r="F10" s="88"/>
      <c r="G10" s="519"/>
      <c r="H10" s="39"/>
      <c r="I10" s="55"/>
      <c r="J10" s="55"/>
      <c r="K10" s="58"/>
      <c r="L10" s="58"/>
    </row>
    <row r="11" spans="1:16" ht="27.75" customHeight="1">
      <c r="A11" s="39">
        <v>2</v>
      </c>
      <c r="B11" s="40" t="s">
        <v>78</v>
      </c>
      <c r="C11" s="81" t="s">
        <v>72</v>
      </c>
      <c r="D11" s="528"/>
      <c r="E11" s="94" t="s">
        <v>952</v>
      </c>
      <c r="F11" s="116">
        <v>1</v>
      </c>
      <c r="G11" s="54">
        <v>10284.670373831776</v>
      </c>
      <c r="H11" s="39"/>
      <c r="I11" s="55"/>
      <c r="J11" s="55"/>
      <c r="K11" s="56"/>
      <c r="L11" s="56"/>
    </row>
    <row r="12" spans="1:16" ht="27.75" customHeight="1">
      <c r="A12" s="39">
        <v>3</v>
      </c>
      <c r="B12" s="40" t="s">
        <v>82</v>
      </c>
      <c r="C12" s="41" t="s">
        <v>72</v>
      </c>
      <c r="D12" s="529"/>
      <c r="E12" s="94" t="s">
        <v>952</v>
      </c>
      <c r="F12" s="116">
        <v>1</v>
      </c>
      <c r="G12" s="54">
        <v>1181.278130841122</v>
      </c>
      <c r="H12" s="39"/>
      <c r="I12" s="55"/>
      <c r="J12" s="55"/>
      <c r="K12" s="56"/>
      <c r="L12" s="56"/>
    </row>
    <row r="13" spans="1:16" s="57" customFormat="1" ht="27.75" customHeight="1" thickBot="1">
      <c r="A13" s="96"/>
      <c r="B13" s="97" t="s">
        <v>22</v>
      </c>
      <c r="C13" s="98"/>
      <c r="D13" s="530"/>
      <c r="E13" s="106"/>
      <c r="F13" s="107"/>
      <c r="G13" s="108">
        <v>11465.949252336446</v>
      </c>
      <c r="H13" s="39"/>
      <c r="I13" s="55"/>
      <c r="J13" s="55"/>
      <c r="K13" s="56"/>
      <c r="L13" s="56"/>
      <c r="P13" s="57">
        <f>SUM(G11:G12)</f>
        <v>11465.948504672897</v>
      </c>
    </row>
    <row r="14" spans="1:16" ht="27.75" hidden="1" customHeight="1" thickBot="1">
      <c r="A14" s="39">
        <v>1</v>
      </c>
      <c r="B14" s="40" t="s">
        <v>88</v>
      </c>
      <c r="C14" s="41" t="s">
        <v>72</v>
      </c>
      <c r="D14" s="529"/>
      <c r="E14" s="94"/>
      <c r="F14" s="39"/>
      <c r="G14" s="54">
        <v>0</v>
      </c>
      <c r="H14" s="122"/>
      <c r="I14" s="37"/>
      <c r="J14" s="37"/>
      <c r="K14" s="38"/>
      <c r="L14" s="38"/>
    </row>
    <row r="15" spans="1:16" ht="27.75" hidden="1" customHeight="1" thickTop="1">
      <c r="A15" s="39">
        <v>2</v>
      </c>
      <c r="B15" s="40" t="s">
        <v>89</v>
      </c>
      <c r="C15" s="41" t="s">
        <v>72</v>
      </c>
      <c r="D15" s="529"/>
      <c r="E15" s="94"/>
      <c r="F15" s="39"/>
      <c r="G15" s="54">
        <v>0</v>
      </c>
      <c r="H15" s="122"/>
      <c r="I15" s="37"/>
      <c r="J15" s="37"/>
      <c r="K15" s="38"/>
      <c r="L15" s="38"/>
    </row>
    <row r="16" spans="1:16" ht="27.75" hidden="1" customHeight="1" thickTop="1">
      <c r="A16" s="39">
        <v>3</v>
      </c>
      <c r="B16" s="40" t="s">
        <v>90</v>
      </c>
      <c r="C16" s="41" t="s">
        <v>72</v>
      </c>
      <c r="D16" s="529"/>
      <c r="E16" s="94"/>
      <c r="F16" s="39"/>
      <c r="G16" s="54">
        <v>0</v>
      </c>
      <c r="H16" s="122"/>
      <c r="I16" s="37"/>
      <c r="J16" s="37"/>
      <c r="K16" s="38"/>
      <c r="L16" s="38"/>
    </row>
    <row r="17" spans="1:13" ht="27.75" hidden="1" customHeight="1" thickTop="1">
      <c r="A17" s="39">
        <v>4</v>
      </c>
      <c r="B17" s="40" t="s">
        <v>91</v>
      </c>
      <c r="C17" s="41" t="s">
        <v>72</v>
      </c>
      <c r="D17" s="529"/>
      <c r="E17" s="94"/>
      <c r="F17" s="39"/>
      <c r="G17" s="54">
        <v>0</v>
      </c>
      <c r="H17" s="122"/>
      <c r="I17" s="37"/>
      <c r="J17" s="37"/>
      <c r="K17" s="38"/>
      <c r="L17" s="38"/>
    </row>
    <row r="18" spans="1:13" ht="27.75" hidden="1" customHeight="1" thickTop="1">
      <c r="A18" s="39">
        <v>5</v>
      </c>
      <c r="B18" s="40" t="s">
        <v>92</v>
      </c>
      <c r="C18" s="41" t="s">
        <v>72</v>
      </c>
      <c r="D18" s="529"/>
      <c r="E18" s="94"/>
      <c r="F18" s="39"/>
      <c r="G18" s="54">
        <v>0</v>
      </c>
      <c r="H18" s="122"/>
      <c r="I18" s="37"/>
      <c r="J18" s="37"/>
      <c r="K18" s="38"/>
      <c r="L18" s="38"/>
    </row>
    <row r="19" spans="1:13" ht="27.75" hidden="1" customHeight="1" thickTop="1">
      <c r="A19" s="39">
        <v>6</v>
      </c>
      <c r="B19" s="123" t="s">
        <v>93</v>
      </c>
      <c r="C19" s="41" t="s">
        <v>72</v>
      </c>
      <c r="D19" s="529"/>
      <c r="E19" s="94"/>
      <c r="F19" s="39"/>
      <c r="G19" s="54">
        <v>0</v>
      </c>
      <c r="H19" s="122"/>
      <c r="I19" s="37"/>
      <c r="J19" s="37"/>
      <c r="K19" s="38"/>
      <c r="L19" s="38"/>
    </row>
    <row r="20" spans="1:13" ht="27.75" hidden="1" customHeight="1" thickTop="1">
      <c r="A20" s="39">
        <v>7</v>
      </c>
      <c r="B20" s="40" t="s">
        <v>94</v>
      </c>
      <c r="C20" s="41" t="s">
        <v>72</v>
      </c>
      <c r="D20" s="529"/>
      <c r="E20" s="94"/>
      <c r="F20" s="39"/>
      <c r="G20" s="54">
        <v>0</v>
      </c>
      <c r="H20" s="122"/>
      <c r="I20" s="37"/>
      <c r="J20" s="37"/>
      <c r="K20" s="38"/>
      <c r="L20" s="38"/>
    </row>
    <row r="21" spans="1:13" ht="27.75" hidden="1" customHeight="1" thickTop="1">
      <c r="A21" s="39">
        <v>8</v>
      </c>
      <c r="B21" s="40" t="s">
        <v>95</v>
      </c>
      <c r="C21" s="41" t="s">
        <v>72</v>
      </c>
      <c r="D21" s="529"/>
      <c r="E21" s="94"/>
      <c r="F21" s="39"/>
      <c r="G21" s="54">
        <v>0</v>
      </c>
      <c r="H21" s="122"/>
      <c r="I21" s="37"/>
      <c r="J21" s="37"/>
      <c r="K21" s="38"/>
      <c r="L21" s="38"/>
    </row>
    <row r="22" spans="1:13" ht="27.75" hidden="1" customHeight="1" thickTop="1">
      <c r="A22" s="39">
        <v>9</v>
      </c>
      <c r="B22" s="40" t="s">
        <v>96</v>
      </c>
      <c r="C22" s="41" t="s">
        <v>72</v>
      </c>
      <c r="D22" s="529"/>
      <c r="E22" s="94"/>
      <c r="F22" s="39"/>
      <c r="G22" s="54">
        <v>0</v>
      </c>
      <c r="H22" s="122"/>
      <c r="I22" s="37"/>
      <c r="J22" s="37"/>
      <c r="K22" s="38"/>
      <c r="L22" s="38"/>
    </row>
    <row r="23" spans="1:13" ht="27.75" hidden="1" customHeight="1" thickTop="1">
      <c r="A23" s="39">
        <v>10</v>
      </c>
      <c r="B23" s="40" t="s">
        <v>97</v>
      </c>
      <c r="C23" s="41" t="s">
        <v>72</v>
      </c>
      <c r="D23" s="529"/>
      <c r="E23" s="94"/>
      <c r="F23" s="39"/>
      <c r="G23" s="54">
        <v>0</v>
      </c>
      <c r="H23" s="122"/>
      <c r="I23" s="37"/>
      <c r="J23" s="37"/>
      <c r="K23" s="38"/>
      <c r="L23" s="38"/>
    </row>
    <row r="24" spans="1:13" ht="27.75" hidden="1" customHeight="1" thickTop="1">
      <c r="A24" s="39">
        <v>11</v>
      </c>
      <c r="B24" s="40" t="s">
        <v>98</v>
      </c>
      <c r="C24" s="41" t="s">
        <v>72</v>
      </c>
      <c r="D24" s="529"/>
      <c r="E24" s="94"/>
      <c r="F24" s="39"/>
      <c r="G24" s="54">
        <v>0</v>
      </c>
      <c r="H24" s="122"/>
      <c r="I24" s="37"/>
      <c r="J24" s="37"/>
      <c r="K24" s="38"/>
      <c r="L24" s="38"/>
    </row>
    <row r="25" spans="1:13" ht="27.75" hidden="1" customHeight="1" thickTop="1">
      <c r="A25" s="39">
        <v>12</v>
      </c>
      <c r="B25" s="40" t="s">
        <v>99</v>
      </c>
      <c r="C25" s="41" t="s">
        <v>72</v>
      </c>
      <c r="D25" s="529"/>
      <c r="E25" s="94"/>
      <c r="F25" s="39"/>
      <c r="G25" s="54">
        <v>0</v>
      </c>
      <c r="H25" s="122"/>
      <c r="I25" s="37"/>
      <c r="J25" s="37"/>
      <c r="K25" s="38"/>
      <c r="L25" s="38"/>
    </row>
    <row r="26" spans="1:13" ht="27.75" hidden="1" customHeight="1" thickTop="1">
      <c r="A26" s="39"/>
      <c r="B26" s="123"/>
      <c r="C26" s="41"/>
      <c r="D26" s="528"/>
      <c r="E26" s="83"/>
      <c r="F26" s="130"/>
      <c r="G26" s="54">
        <v>0</v>
      </c>
      <c r="H26" s="122"/>
      <c r="I26" s="37"/>
      <c r="J26" s="37"/>
      <c r="K26" s="38"/>
      <c r="L26" s="38"/>
    </row>
    <row r="27" spans="1:13" ht="27.75" hidden="1" customHeight="1" thickTop="1">
      <c r="A27" s="22"/>
      <c r="B27" s="131" t="s">
        <v>22</v>
      </c>
      <c r="C27" s="132"/>
      <c r="D27" s="531"/>
      <c r="E27" s="139"/>
      <c r="F27" s="133"/>
      <c r="G27" s="136">
        <v>0</v>
      </c>
      <c r="H27" s="36"/>
      <c r="I27" s="37"/>
      <c r="J27" s="37"/>
      <c r="K27" s="38"/>
      <c r="L27" s="38"/>
      <c r="M27" s="38"/>
    </row>
    <row r="28" spans="1:13" ht="27.75" customHeight="1" thickTop="1">
      <c r="A28" s="22"/>
      <c r="B28" s="23" t="s">
        <v>100</v>
      </c>
      <c r="C28" s="24"/>
      <c r="D28" s="525"/>
      <c r="E28" s="32"/>
      <c r="F28" s="33"/>
      <c r="G28" s="35"/>
      <c r="H28" s="36"/>
      <c r="I28" s="37"/>
      <c r="J28" s="37"/>
      <c r="K28" s="38"/>
      <c r="L28" s="38"/>
      <c r="M28" s="38"/>
    </row>
    <row r="29" spans="1:13" s="169" customFormat="1" ht="27.75" customHeight="1">
      <c r="A29" s="152">
        <v>1</v>
      </c>
      <c r="B29" s="153" t="s">
        <v>106</v>
      </c>
      <c r="C29" s="154" t="s">
        <v>102</v>
      </c>
      <c r="D29" s="532">
        <v>642</v>
      </c>
      <c r="E29" s="163"/>
      <c r="F29" s="164"/>
      <c r="G29" s="159"/>
      <c r="H29" s="166"/>
      <c r="I29" s="167"/>
      <c r="J29" s="167"/>
      <c r="K29" s="168"/>
      <c r="L29" s="168"/>
    </row>
    <row r="30" spans="1:13" s="57" customFormat="1" ht="27.75" customHeight="1">
      <c r="A30" s="22">
        <v>2</v>
      </c>
      <c r="B30" s="40" t="s">
        <v>123</v>
      </c>
      <c r="C30" s="140" t="s">
        <v>102</v>
      </c>
      <c r="D30" s="529">
        <v>321</v>
      </c>
      <c r="E30" s="145"/>
      <c r="F30" s="146"/>
      <c r="G30" s="47"/>
      <c r="H30" s="146"/>
      <c r="I30" s="148"/>
      <c r="J30" s="148"/>
      <c r="K30" s="149"/>
      <c r="L30" s="149"/>
    </row>
    <row r="31" spans="1:13" s="57" customFormat="1" ht="27.75" customHeight="1">
      <c r="A31" s="22">
        <v>3</v>
      </c>
      <c r="B31" s="40" t="s">
        <v>130</v>
      </c>
      <c r="C31" s="140" t="s">
        <v>102</v>
      </c>
      <c r="D31" s="529"/>
      <c r="E31" s="145" t="s">
        <v>952</v>
      </c>
      <c r="F31" s="146">
        <v>1</v>
      </c>
      <c r="G31" s="47">
        <v>160.5</v>
      </c>
      <c r="H31" s="146"/>
      <c r="I31" s="148"/>
      <c r="J31" s="148"/>
      <c r="K31" s="149"/>
      <c r="L31" s="149"/>
    </row>
    <row r="32" spans="1:13" s="57" customFormat="1" ht="27.75" customHeight="1">
      <c r="A32" s="22">
        <v>4</v>
      </c>
      <c r="B32" s="181" t="s">
        <v>138</v>
      </c>
      <c r="C32" s="182" t="s">
        <v>139</v>
      </c>
      <c r="D32" s="534">
        <v>1444.5</v>
      </c>
      <c r="E32" s="171"/>
      <c r="F32" s="44"/>
      <c r="G32" s="47"/>
      <c r="H32" s="146"/>
      <c r="I32" s="148"/>
      <c r="J32" s="148"/>
      <c r="K32" s="149"/>
      <c r="L32" s="149"/>
    </row>
    <row r="33" spans="1:16" s="57" customFormat="1" ht="27.75" customHeight="1">
      <c r="A33" s="22">
        <v>5</v>
      </c>
      <c r="B33" s="170" t="s">
        <v>153</v>
      </c>
      <c r="C33" s="140" t="s">
        <v>102</v>
      </c>
      <c r="D33" s="533">
        <v>1444.5</v>
      </c>
      <c r="E33" s="171"/>
      <c r="F33" s="172"/>
      <c r="G33" s="47"/>
      <c r="H33" s="146"/>
      <c r="I33" s="148"/>
      <c r="J33" s="148"/>
      <c r="K33" s="149"/>
      <c r="L33" s="149"/>
    </row>
    <row r="34" spans="1:16" s="57" customFormat="1" ht="27.75" customHeight="1">
      <c r="A34" s="22">
        <v>6</v>
      </c>
      <c r="B34" s="170" t="s">
        <v>158</v>
      </c>
      <c r="C34" s="140" t="s">
        <v>102</v>
      </c>
      <c r="D34" s="533">
        <v>1643</v>
      </c>
      <c r="E34" s="171"/>
      <c r="F34" s="172"/>
      <c r="G34" s="47"/>
      <c r="H34" s="146"/>
      <c r="I34" s="148"/>
      <c r="J34" s="148"/>
      <c r="K34" s="149"/>
      <c r="L34" s="149"/>
    </row>
    <row r="35" spans="1:16" ht="27.75" customHeight="1" thickBot="1">
      <c r="A35" s="193"/>
      <c r="B35" s="194" t="s">
        <v>22</v>
      </c>
      <c r="C35" s="195"/>
      <c r="D35" s="535"/>
      <c r="E35" s="200"/>
      <c r="F35" s="196"/>
      <c r="G35" s="198">
        <v>160.50000000000023</v>
      </c>
      <c r="H35" s="36"/>
      <c r="I35" s="37"/>
      <c r="J35" s="37"/>
      <c r="K35" s="38"/>
      <c r="L35" s="38"/>
      <c r="M35" s="38"/>
      <c r="P35" s="507">
        <f>SUM(G31)</f>
        <v>160.5</v>
      </c>
    </row>
    <row r="36" spans="1:16" ht="27.75" customHeight="1" thickTop="1">
      <c r="A36" s="22"/>
      <c r="B36" s="23" t="s">
        <v>179</v>
      </c>
      <c r="C36" s="24"/>
      <c r="D36" s="525"/>
      <c r="E36" s="32"/>
      <c r="F36" s="33"/>
      <c r="G36" s="35"/>
      <c r="H36" s="36"/>
      <c r="I36" s="37"/>
      <c r="J36" s="37"/>
      <c r="K36" s="38"/>
      <c r="L36" s="38"/>
      <c r="M36" s="38"/>
    </row>
    <row r="37" spans="1:16" ht="27.75" customHeight="1">
      <c r="A37" s="94">
        <v>1</v>
      </c>
      <c r="B37" s="40" t="s">
        <v>180</v>
      </c>
      <c r="C37" s="41" t="s">
        <v>181</v>
      </c>
      <c r="D37" s="528"/>
      <c r="E37" s="83" t="s">
        <v>952</v>
      </c>
      <c r="F37" s="39">
        <v>1</v>
      </c>
      <c r="G37" s="47">
        <v>802.5</v>
      </c>
      <c r="H37" s="116"/>
      <c r="I37" s="203"/>
      <c r="J37" s="203"/>
      <c r="K37" s="204"/>
      <c r="L37" s="204"/>
    </row>
    <row r="38" spans="1:16" s="220" customFormat="1" ht="27.75" customHeight="1">
      <c r="A38" s="186">
        <v>2</v>
      </c>
      <c r="B38" s="208" t="s">
        <v>71</v>
      </c>
      <c r="C38" s="209" t="s">
        <v>181</v>
      </c>
      <c r="D38" s="536">
        <v>1337.5</v>
      </c>
      <c r="E38" s="216"/>
      <c r="F38" s="217"/>
      <c r="G38" s="47"/>
      <c r="H38" s="217"/>
      <c r="I38" s="218"/>
      <c r="J38" s="218"/>
      <c r="K38" s="219"/>
      <c r="L38" s="219"/>
      <c r="P38" s="590">
        <f>SUM(G37)</f>
        <v>802.5</v>
      </c>
    </row>
    <row r="39" spans="1:16" ht="27.75" customHeight="1" thickBot="1">
      <c r="A39" s="193"/>
      <c r="B39" s="194" t="s">
        <v>22</v>
      </c>
      <c r="C39" s="195"/>
      <c r="D39" s="535"/>
      <c r="E39" s="200"/>
      <c r="F39" s="196"/>
      <c r="G39" s="198">
        <v>802.5</v>
      </c>
      <c r="H39" s="36"/>
      <c r="I39" s="37"/>
      <c r="J39" s="37"/>
      <c r="K39" s="38"/>
      <c r="L39" s="38"/>
      <c r="M39" s="38"/>
    </row>
    <row r="40" spans="1:16" ht="27.75" customHeight="1" thickTop="1">
      <c r="A40" s="22"/>
      <c r="B40" s="23" t="s">
        <v>196</v>
      </c>
      <c r="C40" s="24"/>
      <c r="D40" s="525"/>
      <c r="E40" s="32"/>
      <c r="F40" s="33"/>
      <c r="G40" s="35"/>
      <c r="H40" s="36"/>
      <c r="I40" s="37"/>
      <c r="J40" s="37"/>
      <c r="K40" s="38"/>
      <c r="L40" s="38"/>
      <c r="M40" s="38"/>
    </row>
    <row r="41" spans="1:16" s="226" customFormat="1" ht="27.75" customHeight="1">
      <c r="A41" s="94">
        <v>1</v>
      </c>
      <c r="B41" s="181" t="s">
        <v>210</v>
      </c>
      <c r="C41" s="224" t="s">
        <v>211</v>
      </c>
      <c r="D41" s="528">
        <v>22470</v>
      </c>
      <c r="E41" s="87"/>
      <c r="F41" s="116"/>
      <c r="G41" s="47"/>
      <c r="H41" s="39"/>
      <c r="I41" s="55"/>
      <c r="J41" s="55"/>
      <c r="K41" s="56"/>
      <c r="L41" s="56"/>
    </row>
    <row r="42" spans="1:16" s="226" customFormat="1" ht="27.75" customHeight="1">
      <c r="A42" s="94">
        <v>2</v>
      </c>
      <c r="B42" s="41" t="s">
        <v>252</v>
      </c>
      <c r="C42" s="224" t="s">
        <v>253</v>
      </c>
      <c r="D42" s="528"/>
      <c r="E42" s="83" t="s">
        <v>952</v>
      </c>
      <c r="F42" s="116">
        <v>1</v>
      </c>
      <c r="G42" s="47">
        <v>6420</v>
      </c>
      <c r="H42" s="39"/>
      <c r="I42" s="55"/>
      <c r="J42" s="55"/>
      <c r="K42" s="56"/>
      <c r="L42" s="56"/>
    </row>
    <row r="43" spans="1:16" s="226" customFormat="1" ht="27.75" customHeight="1">
      <c r="A43" s="94">
        <v>3</v>
      </c>
      <c r="B43" s="41" t="s">
        <v>254</v>
      </c>
      <c r="C43" s="224" t="s">
        <v>255</v>
      </c>
      <c r="D43" s="528"/>
      <c r="E43" s="83" t="s">
        <v>952</v>
      </c>
      <c r="F43" s="116">
        <v>0.93457943925233611</v>
      </c>
      <c r="G43" s="47">
        <v>9630</v>
      </c>
      <c r="H43" s="39"/>
      <c r="I43" s="55"/>
      <c r="J43" s="55"/>
      <c r="K43" s="56"/>
      <c r="L43" s="56"/>
    </row>
    <row r="44" spans="1:16" s="226" customFormat="1" ht="27.75" customHeight="1">
      <c r="A44" s="94">
        <v>4</v>
      </c>
      <c r="B44" s="81" t="s">
        <v>267</v>
      </c>
      <c r="C44" s="224" t="s">
        <v>268</v>
      </c>
      <c r="D44" s="528"/>
      <c r="E44" s="83" t="s">
        <v>952</v>
      </c>
      <c r="F44" s="116">
        <v>0.93457943925233578</v>
      </c>
      <c r="G44" s="47">
        <v>6420</v>
      </c>
      <c r="H44" s="39"/>
      <c r="I44" s="55"/>
      <c r="J44" s="55"/>
      <c r="K44" s="56"/>
      <c r="L44" s="56"/>
    </row>
    <row r="45" spans="1:16" ht="27.75" customHeight="1" thickBot="1">
      <c r="A45" s="22"/>
      <c r="B45" s="194" t="s">
        <v>22</v>
      </c>
      <c r="C45" s="195"/>
      <c r="D45" s="535"/>
      <c r="E45" s="200"/>
      <c r="F45" s="196"/>
      <c r="G45" s="196">
        <v>22470</v>
      </c>
      <c r="H45" s="36"/>
      <c r="I45" s="37"/>
      <c r="J45" s="37"/>
      <c r="K45" s="38"/>
      <c r="L45" s="38"/>
      <c r="M45" s="38"/>
      <c r="P45" s="507">
        <f>SUM(G42:G44)</f>
        <v>22470</v>
      </c>
    </row>
    <row r="46" spans="1:16" ht="27.75" hidden="1" customHeight="1" thickBot="1">
      <c r="A46" s="22"/>
      <c r="B46" s="23" t="s">
        <v>278</v>
      </c>
      <c r="C46" s="24"/>
      <c r="D46" s="525"/>
      <c r="E46" s="32"/>
      <c r="F46" s="33"/>
      <c r="G46" s="35"/>
      <c r="H46" s="36"/>
      <c r="I46" s="37"/>
      <c r="J46" s="37"/>
      <c r="K46" s="38"/>
      <c r="L46" s="38"/>
      <c r="M46" s="38"/>
    </row>
    <row r="47" spans="1:16" ht="27.75" hidden="1" customHeight="1" thickTop="1">
      <c r="A47" s="22">
        <v>1</v>
      </c>
      <c r="B47" s="270" t="s">
        <v>88</v>
      </c>
      <c r="C47" s="271" t="s">
        <v>279</v>
      </c>
      <c r="D47" s="537"/>
      <c r="E47" s="232"/>
      <c r="F47" s="251"/>
      <c r="G47" s="66">
        <v>0</v>
      </c>
      <c r="H47" s="278"/>
      <c r="I47" s="279"/>
      <c r="J47" s="37"/>
      <c r="K47" s="38"/>
      <c r="L47" s="38"/>
      <c r="M47" s="38"/>
    </row>
    <row r="48" spans="1:16" ht="27.75" hidden="1" customHeight="1" thickTop="1">
      <c r="A48" s="22">
        <v>2</v>
      </c>
      <c r="B48" s="280" t="s">
        <v>89</v>
      </c>
      <c r="C48" s="271" t="s">
        <v>279</v>
      </c>
      <c r="D48" s="533"/>
      <c r="E48" s="94"/>
      <c r="F48" s="39"/>
      <c r="G48" s="66">
        <v>0</v>
      </c>
      <c r="H48" s="278"/>
      <c r="I48" s="279"/>
      <c r="J48" s="37"/>
      <c r="K48" s="38"/>
      <c r="L48" s="38"/>
      <c r="M48" s="38"/>
    </row>
    <row r="49" spans="1:16" ht="27.75" hidden="1" customHeight="1" thickTop="1">
      <c r="A49" s="22">
        <v>3</v>
      </c>
      <c r="B49" s="270" t="s">
        <v>280</v>
      </c>
      <c r="C49" s="271" t="s">
        <v>279</v>
      </c>
      <c r="D49" s="533"/>
      <c r="E49" s="94"/>
      <c r="F49" s="39"/>
      <c r="G49" s="66">
        <v>0</v>
      </c>
      <c r="H49" s="278"/>
      <c r="I49" s="279"/>
      <c r="J49" s="37"/>
      <c r="K49" s="38"/>
      <c r="L49" s="38"/>
      <c r="M49" s="38"/>
    </row>
    <row r="50" spans="1:16" ht="27.75" hidden="1" customHeight="1" thickTop="1">
      <c r="A50" s="22">
        <v>4</v>
      </c>
      <c r="B50" s="280" t="s">
        <v>96</v>
      </c>
      <c r="C50" s="271" t="s">
        <v>279</v>
      </c>
      <c r="D50" s="533"/>
      <c r="E50" s="94"/>
      <c r="F50" s="39"/>
      <c r="G50" s="66">
        <v>0</v>
      </c>
      <c r="H50" s="283"/>
      <c r="I50" s="55"/>
      <c r="J50" s="37"/>
      <c r="K50" s="38"/>
      <c r="L50" s="38"/>
      <c r="M50" s="38"/>
    </row>
    <row r="51" spans="1:16" ht="27.75" hidden="1" customHeight="1" thickTop="1">
      <c r="A51" s="22">
        <v>5</v>
      </c>
      <c r="B51" s="280" t="s">
        <v>281</v>
      </c>
      <c r="C51" s="271" t="s">
        <v>279</v>
      </c>
      <c r="D51" s="533"/>
      <c r="E51" s="94"/>
      <c r="F51" s="39"/>
      <c r="G51" s="66">
        <v>0</v>
      </c>
      <c r="H51" s="283"/>
      <c r="I51" s="55"/>
      <c r="J51" s="37"/>
      <c r="K51" s="38"/>
      <c r="L51" s="38"/>
      <c r="M51" s="38"/>
    </row>
    <row r="52" spans="1:16" ht="27.75" hidden="1" customHeight="1" thickTop="1">
      <c r="A52" s="22">
        <v>6</v>
      </c>
      <c r="B52" s="280" t="s">
        <v>282</v>
      </c>
      <c r="C52" s="271" t="s">
        <v>279</v>
      </c>
      <c r="D52" s="533"/>
      <c r="E52" s="94"/>
      <c r="F52" s="39"/>
      <c r="G52" s="66">
        <v>0</v>
      </c>
      <c r="H52" s="283"/>
      <c r="I52" s="37"/>
      <c r="J52" s="37"/>
      <c r="K52" s="38"/>
      <c r="L52" s="38"/>
      <c r="M52" s="38"/>
    </row>
    <row r="53" spans="1:16" ht="27.75" hidden="1" customHeight="1" thickTop="1">
      <c r="A53" s="22">
        <v>7</v>
      </c>
      <c r="B53" s="280" t="s">
        <v>92</v>
      </c>
      <c r="C53" s="271" t="s">
        <v>279</v>
      </c>
      <c r="D53" s="533"/>
      <c r="E53" s="94"/>
      <c r="F53" s="39"/>
      <c r="G53" s="66">
        <v>0</v>
      </c>
      <c r="H53" s="283"/>
      <c r="I53" s="37"/>
      <c r="J53" s="37"/>
      <c r="K53" s="38"/>
      <c r="L53" s="38"/>
      <c r="M53" s="38"/>
    </row>
    <row r="54" spans="1:16" ht="27.75" hidden="1" customHeight="1" thickTop="1">
      <c r="A54" s="22">
        <v>8</v>
      </c>
      <c r="B54" s="280" t="s">
        <v>91</v>
      </c>
      <c r="C54" s="271" t="s">
        <v>279</v>
      </c>
      <c r="D54" s="533"/>
      <c r="E54" s="94"/>
      <c r="F54" s="39"/>
      <c r="G54" s="66">
        <v>0</v>
      </c>
      <c r="H54" s="283"/>
      <c r="I54" s="37"/>
      <c r="J54" s="37"/>
      <c r="K54" s="38"/>
      <c r="L54" s="38"/>
      <c r="M54" s="38"/>
    </row>
    <row r="55" spans="1:16" ht="27.75" hidden="1" customHeight="1" thickTop="1">
      <c r="A55" s="22">
        <v>9</v>
      </c>
      <c r="B55" s="280" t="s">
        <v>236</v>
      </c>
      <c r="C55" s="271" t="s">
        <v>279</v>
      </c>
      <c r="D55" s="533"/>
      <c r="E55" s="94"/>
      <c r="F55" s="39"/>
      <c r="G55" s="66">
        <v>0</v>
      </c>
      <c r="H55" s="283"/>
      <c r="I55" s="37"/>
      <c r="J55" s="37"/>
      <c r="K55" s="38"/>
      <c r="L55" s="38"/>
      <c r="M55" s="38"/>
    </row>
    <row r="56" spans="1:16" ht="27.75" hidden="1" customHeight="1" thickTop="1">
      <c r="A56" s="22">
        <v>10</v>
      </c>
      <c r="B56" s="280" t="s">
        <v>94</v>
      </c>
      <c r="C56" s="280" t="s">
        <v>279</v>
      </c>
      <c r="D56" s="529"/>
      <c r="E56" s="94"/>
      <c r="F56" s="39"/>
      <c r="G56" s="66">
        <v>0</v>
      </c>
      <c r="H56" s="36"/>
      <c r="I56" s="37"/>
      <c r="J56" s="37"/>
      <c r="K56" s="38"/>
      <c r="L56" s="38"/>
      <c r="M56" s="38"/>
    </row>
    <row r="57" spans="1:16" ht="27.75" hidden="1" customHeight="1" thickTop="1">
      <c r="A57" s="22">
        <v>11</v>
      </c>
      <c r="B57" s="270"/>
      <c r="C57" s="285"/>
      <c r="D57" s="537"/>
      <c r="E57" s="232"/>
      <c r="F57" s="251"/>
      <c r="G57" s="66">
        <v>0</v>
      </c>
      <c r="H57" s="36"/>
      <c r="I57" s="37"/>
      <c r="J57" s="37"/>
      <c r="K57" s="38"/>
      <c r="L57" s="38"/>
      <c r="M57" s="38"/>
    </row>
    <row r="58" spans="1:16" ht="27.75" hidden="1" customHeight="1" thickTop="1">
      <c r="A58" s="22"/>
      <c r="B58" s="131" t="s">
        <v>22</v>
      </c>
      <c r="C58" s="132"/>
      <c r="D58" s="531"/>
      <c r="E58" s="139"/>
      <c r="F58" s="133"/>
      <c r="G58" s="136">
        <v>0</v>
      </c>
      <c r="H58" s="36"/>
      <c r="I58" s="37"/>
      <c r="J58" s="37"/>
      <c r="K58" s="38"/>
      <c r="L58" s="38"/>
      <c r="M58" s="38"/>
    </row>
    <row r="59" spans="1:16" ht="27.75" customHeight="1" thickTop="1">
      <c r="A59" s="22"/>
      <c r="B59" s="23" t="s">
        <v>292</v>
      </c>
      <c r="C59" s="24"/>
      <c r="D59" s="525"/>
      <c r="E59" s="32"/>
      <c r="F59" s="33"/>
      <c r="G59" s="35"/>
      <c r="H59" s="36"/>
      <c r="I59" s="37"/>
      <c r="J59" s="37"/>
      <c r="K59" s="38"/>
      <c r="L59" s="38"/>
      <c r="M59" s="38"/>
    </row>
    <row r="60" spans="1:16" ht="27.75" customHeight="1">
      <c r="A60" s="316">
        <v>1</v>
      </c>
      <c r="B60" s="280" t="s">
        <v>294</v>
      </c>
      <c r="C60" s="280" t="s">
        <v>255</v>
      </c>
      <c r="D60" s="526"/>
      <c r="E60" s="320" t="s">
        <v>952</v>
      </c>
      <c r="F60" s="39">
        <v>1</v>
      </c>
      <c r="G60" s="66">
        <v>32.1</v>
      </c>
      <c r="H60" s="36"/>
      <c r="I60" s="37"/>
      <c r="J60" s="37"/>
      <c r="K60" s="38"/>
      <c r="L60" s="38"/>
      <c r="M60" s="38"/>
    </row>
    <row r="61" spans="1:16" ht="27.75" customHeight="1" thickBot="1">
      <c r="A61" s="193"/>
      <c r="B61" s="194"/>
      <c r="C61" s="195"/>
      <c r="D61" s="535"/>
      <c r="E61" s="200"/>
      <c r="F61" s="196"/>
      <c r="G61" s="198">
        <v>32.1</v>
      </c>
      <c r="H61" s="36"/>
      <c r="I61" s="37"/>
      <c r="J61" s="37"/>
      <c r="K61" s="38"/>
      <c r="L61" s="38"/>
      <c r="M61" s="38"/>
      <c r="P61" s="507">
        <f>SUM(G60)</f>
        <v>32.1</v>
      </c>
    </row>
    <row r="62" spans="1:16" ht="27.75" customHeight="1" thickTop="1">
      <c r="A62" s="22"/>
      <c r="B62" s="288" t="s">
        <v>304</v>
      </c>
      <c r="C62" s="289"/>
      <c r="D62" s="538"/>
      <c r="E62" s="94"/>
      <c r="F62" s="39"/>
      <c r="G62" s="294"/>
      <c r="H62" s="36"/>
      <c r="I62" s="37"/>
      <c r="J62" s="37"/>
      <c r="K62" s="38"/>
      <c r="L62" s="38"/>
      <c r="M62" s="38"/>
    </row>
    <row r="63" spans="1:16" ht="27.75" customHeight="1">
      <c r="A63" s="186">
        <v>1</v>
      </c>
      <c r="B63" s="205" t="s">
        <v>40</v>
      </c>
      <c r="C63" s="346" t="s">
        <v>336</v>
      </c>
      <c r="D63" s="540">
        <v>2720</v>
      </c>
      <c r="E63" s="94"/>
      <c r="F63" s="116"/>
      <c r="G63" s="47"/>
      <c r="H63" s="39" t="s">
        <v>195</v>
      </c>
      <c r="I63" s="55">
        <v>43313</v>
      </c>
      <c r="J63" s="55">
        <v>44408</v>
      </c>
      <c r="K63" s="56">
        <v>9540</v>
      </c>
      <c r="L63" s="349"/>
    </row>
    <row r="64" spans="1:16" ht="27.75" customHeight="1">
      <c r="A64" s="186">
        <v>2</v>
      </c>
      <c r="B64" s="205" t="s">
        <v>40</v>
      </c>
      <c r="C64" s="346" t="s">
        <v>338</v>
      </c>
      <c r="D64" s="540">
        <v>2720</v>
      </c>
      <c r="E64" s="94"/>
      <c r="F64" s="116"/>
      <c r="G64" s="47"/>
      <c r="H64" s="39"/>
      <c r="I64" s="55"/>
      <c r="J64" s="55"/>
      <c r="K64" s="56"/>
      <c r="L64" s="349"/>
    </row>
    <row r="65" spans="1:18" ht="27.75" customHeight="1">
      <c r="A65" s="186">
        <v>3</v>
      </c>
      <c r="B65" s="205" t="s">
        <v>40</v>
      </c>
      <c r="C65" s="346" t="s">
        <v>339</v>
      </c>
      <c r="D65" s="540">
        <v>2720</v>
      </c>
      <c r="E65" s="94"/>
      <c r="F65" s="116"/>
      <c r="G65" s="47"/>
      <c r="H65" s="39"/>
      <c r="I65" s="55"/>
      <c r="J65" s="55"/>
      <c r="K65" s="56"/>
      <c r="L65" s="349"/>
    </row>
    <row r="66" spans="1:18" ht="27.75" customHeight="1" thickBot="1">
      <c r="A66" s="357"/>
      <c r="B66" s="358"/>
      <c r="C66" s="359"/>
      <c r="D66" s="541"/>
      <c r="E66" s="106"/>
      <c r="F66" s="107"/>
      <c r="G66" s="363">
        <v>0</v>
      </c>
      <c r="H66" s="356"/>
      <c r="I66" s="55"/>
      <c r="J66" s="55"/>
      <c r="K66" s="56"/>
      <c r="L66" s="349"/>
    </row>
    <row r="67" spans="1:18" ht="27.75" customHeight="1" thickTop="1">
      <c r="A67" s="94"/>
      <c r="B67" s="364" t="s">
        <v>395</v>
      </c>
      <c r="C67" s="81"/>
      <c r="D67" s="528"/>
      <c r="E67" s="83"/>
      <c r="F67" s="251"/>
      <c r="G67" s="85"/>
      <c r="H67" s="39"/>
      <c r="I67" s="55"/>
      <c r="J67" s="55"/>
      <c r="K67" s="56"/>
      <c r="L67" s="56"/>
    </row>
    <row r="68" spans="1:18" ht="27.75" customHeight="1">
      <c r="A68" s="94">
        <v>1</v>
      </c>
      <c r="B68" s="366" t="s">
        <v>417</v>
      </c>
      <c r="C68" s="367" t="s">
        <v>418</v>
      </c>
      <c r="D68" s="542">
        <v>34054.370000000003</v>
      </c>
      <c r="E68" s="377"/>
      <c r="F68" s="116"/>
      <c r="G68" s="368"/>
      <c r="H68" s="39" t="s">
        <v>195</v>
      </c>
      <c r="I68" s="55">
        <v>40072</v>
      </c>
      <c r="J68" s="55">
        <v>41167</v>
      </c>
      <c r="K68" s="56">
        <v>132250</v>
      </c>
      <c r="L68" s="378" t="s">
        <v>420</v>
      </c>
    </row>
    <row r="69" spans="1:18" ht="27.75" customHeight="1" thickBot="1">
      <c r="A69" s="193"/>
      <c r="B69" s="194" t="s">
        <v>22</v>
      </c>
      <c r="C69" s="195"/>
      <c r="D69" s="535"/>
      <c r="E69" s="200"/>
      <c r="F69" s="196"/>
      <c r="G69" s="198">
        <v>0</v>
      </c>
      <c r="H69" s="36"/>
      <c r="I69" s="37"/>
      <c r="J69" s="37"/>
      <c r="K69" s="38"/>
      <c r="L69" s="38"/>
      <c r="M69" s="38"/>
    </row>
    <row r="70" spans="1:18" ht="27.75" customHeight="1" thickTop="1">
      <c r="A70" s="22"/>
      <c r="B70" s="288" t="s">
        <v>441</v>
      </c>
      <c r="C70" s="289"/>
      <c r="D70" s="538"/>
      <c r="E70" s="94"/>
      <c r="F70" s="39"/>
      <c r="G70" s="294"/>
      <c r="H70" s="36"/>
      <c r="I70" s="37"/>
      <c r="J70" s="37"/>
      <c r="K70" s="38"/>
      <c r="L70" s="38"/>
      <c r="M70" s="38"/>
    </row>
    <row r="71" spans="1:18" ht="27.75" customHeight="1">
      <c r="A71" s="94">
        <v>1</v>
      </c>
      <c r="B71" s="40" t="s">
        <v>442</v>
      </c>
      <c r="C71" s="206" t="s">
        <v>443</v>
      </c>
      <c r="D71" s="533">
        <v>593688</v>
      </c>
      <c r="E71" s="387"/>
      <c r="F71" s="116"/>
      <c r="G71" s="376"/>
      <c r="H71" s="39" t="s">
        <v>446</v>
      </c>
      <c r="I71" s="55">
        <v>43952</v>
      </c>
      <c r="J71" s="55">
        <v>44561</v>
      </c>
      <c r="K71" s="56">
        <v>1032500</v>
      </c>
      <c r="L71" s="56" t="s">
        <v>447</v>
      </c>
    </row>
    <row r="72" spans="1:18" ht="27.75" customHeight="1">
      <c r="A72" s="94">
        <v>2</v>
      </c>
      <c r="B72" s="205" t="s">
        <v>451</v>
      </c>
      <c r="C72" s="206" t="s">
        <v>452</v>
      </c>
      <c r="D72" s="526">
        <v>377498</v>
      </c>
      <c r="E72" s="399"/>
      <c r="F72" s="116"/>
      <c r="G72" s="368"/>
      <c r="H72" s="172" t="s">
        <v>456</v>
      </c>
      <c r="I72" s="400" t="s">
        <v>457</v>
      </c>
      <c r="J72" s="400" t="s">
        <v>458</v>
      </c>
      <c r="K72" s="401">
        <v>442600</v>
      </c>
      <c r="L72" s="401" t="s">
        <v>459</v>
      </c>
    </row>
    <row r="73" spans="1:18" ht="27.75" customHeight="1">
      <c r="A73" s="405"/>
      <c r="B73" s="406" t="s">
        <v>22</v>
      </c>
      <c r="C73" s="407"/>
      <c r="D73" s="544"/>
      <c r="E73" s="412"/>
      <c r="F73" s="408"/>
      <c r="G73" s="239"/>
      <c r="H73" s="278"/>
      <c r="I73" s="279"/>
      <c r="J73" s="279"/>
      <c r="K73" s="413"/>
      <c r="L73" s="413"/>
      <c r="M73" s="413"/>
    </row>
    <row r="74" spans="1:18" ht="27.75" customHeight="1" thickBot="1">
      <c r="A74" s="414"/>
      <c r="B74" s="415"/>
      <c r="C74" s="416" t="s">
        <v>468</v>
      </c>
      <c r="D74" s="545"/>
      <c r="E74" s="423"/>
      <c r="F74" s="422"/>
      <c r="G74" s="420">
        <v>34931.049252336437</v>
      </c>
      <c r="H74" s="424"/>
      <c r="I74" s="425"/>
      <c r="J74" s="425"/>
      <c r="K74" s="345"/>
      <c r="L74" s="345"/>
      <c r="M74" s="345"/>
      <c r="Q74" s="521">
        <f>SUM(P13:Q72)</f>
        <v>34931.048504672894</v>
      </c>
      <c r="R74" s="4" t="s">
        <v>818</v>
      </c>
    </row>
    <row r="75" spans="1:18" ht="27.75" customHeight="1" thickTop="1">
      <c r="A75" s="426"/>
      <c r="B75" s="4"/>
      <c r="C75" s="295"/>
      <c r="D75" s="546"/>
      <c r="E75" s="433"/>
      <c r="F75" s="427"/>
      <c r="G75" s="430"/>
      <c r="H75" s="424"/>
      <c r="I75" s="425"/>
      <c r="J75" s="425"/>
      <c r="K75" s="345"/>
      <c r="L75" s="345"/>
      <c r="M75" s="345"/>
    </row>
    <row r="76" spans="1:18" ht="27.75" customHeight="1">
      <c r="A76" s="426"/>
      <c r="B76" s="434" t="s">
        <v>469</v>
      </c>
      <c r="C76" s="295"/>
      <c r="D76" s="546"/>
      <c r="E76" s="433"/>
      <c r="F76" s="427"/>
      <c r="G76" s="430"/>
      <c r="H76" s="424"/>
      <c r="I76" s="425"/>
      <c r="J76" s="425"/>
      <c r="K76" s="345"/>
      <c r="L76" s="345"/>
      <c r="M76" s="345"/>
    </row>
    <row r="77" spans="1:18" ht="27.75" customHeight="1">
      <c r="A77" s="435">
        <v>1</v>
      </c>
      <c r="B77" s="436" t="s">
        <v>470</v>
      </c>
      <c r="C77" s="437" t="s">
        <v>471</v>
      </c>
      <c r="D77" s="547"/>
      <c r="E77" s="435" t="s">
        <v>473</v>
      </c>
      <c r="F77" s="444">
        <v>21</v>
      </c>
      <c r="G77" s="17">
        <v>361288.35</v>
      </c>
      <c r="H77" s="251" t="s">
        <v>195</v>
      </c>
      <c r="I77" s="446">
        <v>41883</v>
      </c>
      <c r="J77" s="446">
        <v>42978</v>
      </c>
      <c r="K77" s="447">
        <v>90000</v>
      </c>
      <c r="L77" s="447" t="s">
        <v>474</v>
      </c>
    </row>
    <row r="78" spans="1:18" ht="27.75" customHeight="1">
      <c r="A78" s="435"/>
      <c r="B78" s="436" t="s">
        <v>476</v>
      </c>
      <c r="C78" s="437"/>
      <c r="D78" s="547"/>
      <c r="E78" s="435"/>
      <c r="F78" s="444"/>
      <c r="G78" s="17">
        <v>0</v>
      </c>
      <c r="H78" s="116"/>
      <c r="I78" s="203"/>
      <c r="J78" s="203"/>
      <c r="K78" s="204"/>
      <c r="L78" s="204"/>
    </row>
    <row r="79" spans="1:18" ht="27.75" customHeight="1">
      <c r="A79" s="435"/>
      <c r="B79" s="674" t="s">
        <v>477</v>
      </c>
      <c r="C79" s="675"/>
      <c r="D79" s="548"/>
      <c r="E79" s="435"/>
      <c r="F79" s="444"/>
      <c r="G79" s="17">
        <v>0</v>
      </c>
      <c r="H79" s="116"/>
      <c r="I79" s="203"/>
      <c r="J79" s="203"/>
      <c r="K79" s="204"/>
      <c r="L79" s="204"/>
    </row>
    <row r="80" spans="1:18" ht="27.75" customHeight="1">
      <c r="A80" s="435">
        <v>2</v>
      </c>
      <c r="B80" s="450" t="s">
        <v>470</v>
      </c>
      <c r="C80" s="451" t="s">
        <v>478</v>
      </c>
      <c r="D80" s="549"/>
      <c r="E80" s="435" t="s">
        <v>479</v>
      </c>
      <c r="F80" s="444">
        <v>6</v>
      </c>
      <c r="G80" s="17">
        <v>96700.72</v>
      </c>
      <c r="H80" s="116"/>
      <c r="I80" s="203"/>
      <c r="J80" s="203"/>
      <c r="K80" s="204"/>
      <c r="L80" s="204"/>
    </row>
    <row r="81" spans="1:19" ht="27.75" customHeight="1">
      <c r="A81" s="435">
        <v>3</v>
      </c>
      <c r="B81" s="450" t="s">
        <v>470</v>
      </c>
      <c r="C81" s="451" t="s">
        <v>480</v>
      </c>
      <c r="D81" s="549"/>
      <c r="E81" s="435" t="s">
        <v>481</v>
      </c>
      <c r="F81" s="444">
        <v>16</v>
      </c>
      <c r="G81" s="17">
        <v>285799.45</v>
      </c>
      <c r="H81" s="116"/>
      <c r="I81" s="203"/>
      <c r="J81" s="203"/>
      <c r="K81" s="204"/>
      <c r="L81" s="204"/>
    </row>
    <row r="82" spans="1:19" s="226" customFormat="1" ht="27.75" customHeight="1">
      <c r="A82" s="440">
        <v>4</v>
      </c>
      <c r="B82" s="436" t="s">
        <v>470</v>
      </c>
      <c r="C82" s="453" t="s">
        <v>482</v>
      </c>
      <c r="D82" s="547"/>
      <c r="E82" s="435" t="s">
        <v>483</v>
      </c>
      <c r="F82" s="448" t="s">
        <v>195</v>
      </c>
      <c r="G82" s="17">
        <v>57055.05</v>
      </c>
      <c r="H82" s="39"/>
      <c r="I82" s="55"/>
      <c r="J82" s="55"/>
      <c r="K82" s="141"/>
      <c r="L82" s="141"/>
      <c r="O82" s="4"/>
    </row>
    <row r="83" spans="1:19" s="226" customFormat="1" ht="27.75" customHeight="1">
      <c r="A83" s="440"/>
      <c r="B83" s="676" t="s">
        <v>484</v>
      </c>
      <c r="C83" s="677"/>
      <c r="D83" s="549"/>
      <c r="E83" s="435"/>
      <c r="F83" s="448"/>
      <c r="G83" s="17">
        <v>0</v>
      </c>
      <c r="H83" s="122"/>
      <c r="I83" s="37"/>
      <c r="J83" s="37"/>
      <c r="K83" s="459"/>
      <c r="L83" s="459"/>
      <c r="O83" s="4"/>
    </row>
    <row r="84" spans="1:19" ht="27.75" customHeight="1">
      <c r="A84" s="460">
        <v>5</v>
      </c>
      <c r="B84" s="436" t="s">
        <v>470</v>
      </c>
      <c r="C84" s="461" t="s">
        <v>485</v>
      </c>
      <c r="D84" s="550"/>
      <c r="E84" s="435" t="s">
        <v>486</v>
      </c>
      <c r="F84" s="464" t="s">
        <v>195</v>
      </c>
      <c r="G84" s="17">
        <v>28958.15</v>
      </c>
      <c r="H84" s="36"/>
      <c r="I84" s="37"/>
      <c r="J84" s="37"/>
      <c r="K84" s="38"/>
      <c r="L84" s="38"/>
      <c r="M84" s="38"/>
    </row>
    <row r="85" spans="1:19" ht="27.6" customHeight="1">
      <c r="A85" s="460"/>
      <c r="B85" s="436" t="s">
        <v>488</v>
      </c>
      <c r="C85" s="461"/>
      <c r="D85" s="550"/>
      <c r="E85" s="435"/>
      <c r="F85" s="444"/>
      <c r="G85" s="17"/>
      <c r="H85" s="36"/>
      <c r="I85" s="37"/>
      <c r="J85" s="37"/>
      <c r="K85" s="38"/>
      <c r="L85" s="38"/>
      <c r="M85" s="38"/>
    </row>
    <row r="86" spans="1:19" ht="27.6" customHeight="1">
      <c r="A86" s="460"/>
      <c r="B86" s="674" t="s">
        <v>489</v>
      </c>
      <c r="C86" s="675"/>
      <c r="D86" s="548"/>
      <c r="E86" s="435"/>
      <c r="F86" s="444"/>
      <c r="G86" s="17"/>
      <c r="H86" s="36"/>
      <c r="I86" s="37"/>
      <c r="J86" s="37"/>
      <c r="K86" s="38"/>
      <c r="L86" s="38"/>
      <c r="M86" s="38"/>
    </row>
    <row r="87" spans="1:19" ht="27.75" customHeight="1" thickBot="1">
      <c r="A87" s="465"/>
      <c r="B87" s="466" t="s">
        <v>22</v>
      </c>
      <c r="C87" s="195"/>
      <c r="D87" s="539"/>
      <c r="E87" s="315"/>
      <c r="F87" s="310"/>
      <c r="G87" s="313">
        <v>829801.72000000009</v>
      </c>
      <c r="H87" s="36"/>
      <c r="I87" s="37"/>
      <c r="J87" s="37"/>
      <c r="K87" s="38"/>
      <c r="L87" s="38"/>
      <c r="M87" s="38"/>
      <c r="Q87" s="507">
        <f>SUM(G77:G84)</f>
        <v>829801.72000000009</v>
      </c>
    </row>
    <row r="88" spans="1:19" ht="27.75" customHeight="1" thickTop="1">
      <c r="A88" s="468"/>
      <c r="B88" s="469" t="s">
        <v>490</v>
      </c>
      <c r="C88" s="470"/>
      <c r="D88" s="543"/>
      <c r="E88" s="186"/>
      <c r="F88" s="116"/>
      <c r="G88" s="474"/>
      <c r="H88" s="36"/>
      <c r="I88" s="37"/>
      <c r="J88" s="37"/>
      <c r="K88" s="38"/>
      <c r="L88" s="38"/>
      <c r="M88" s="38"/>
    </row>
    <row r="89" spans="1:19" ht="27.75" customHeight="1">
      <c r="A89" s="475">
        <v>1</v>
      </c>
      <c r="B89" s="436" t="s">
        <v>491</v>
      </c>
      <c r="C89" s="437" t="s">
        <v>492</v>
      </c>
      <c r="D89" s="547"/>
      <c r="E89" s="435"/>
      <c r="F89" s="477"/>
      <c r="G89" s="481"/>
      <c r="H89" s="356"/>
      <c r="I89" s="482"/>
      <c r="J89" s="482"/>
      <c r="K89" s="483"/>
      <c r="L89" s="483"/>
    </row>
    <row r="90" spans="1:19" ht="27.75" customHeight="1">
      <c r="A90" s="475"/>
      <c r="B90" s="484" t="s">
        <v>494</v>
      </c>
      <c r="C90" s="437"/>
      <c r="D90" s="547"/>
      <c r="E90" s="435"/>
      <c r="F90" s="477"/>
      <c r="G90" s="481"/>
      <c r="H90" s="485"/>
      <c r="I90" s="486"/>
      <c r="J90" s="486"/>
      <c r="K90" s="487"/>
      <c r="L90" s="487"/>
    </row>
    <row r="91" spans="1:19" ht="27.75" customHeight="1">
      <c r="A91" s="475">
        <v>2</v>
      </c>
      <c r="B91" s="436" t="s">
        <v>495</v>
      </c>
      <c r="C91" s="437" t="s">
        <v>496</v>
      </c>
      <c r="D91" s="547"/>
      <c r="E91" s="435"/>
      <c r="F91" s="477" t="s">
        <v>497</v>
      </c>
      <c r="G91" s="17">
        <v>8214529.25</v>
      </c>
      <c r="H91" s="485"/>
      <c r="I91" s="486"/>
      <c r="J91" s="486"/>
      <c r="K91" s="487"/>
      <c r="L91" s="487"/>
    </row>
    <row r="92" spans="1:19" ht="27.75" customHeight="1">
      <c r="A92" s="405"/>
      <c r="B92" s="234" t="s">
        <v>22</v>
      </c>
      <c r="C92" s="407"/>
      <c r="D92" s="544"/>
      <c r="E92" s="412"/>
      <c r="F92" s="408"/>
      <c r="G92" s="239">
        <v>8214529.25</v>
      </c>
      <c r="H92" s="278"/>
      <c r="I92" s="279"/>
      <c r="J92" s="279"/>
      <c r="K92" s="413"/>
      <c r="L92" s="413"/>
      <c r="M92" s="413"/>
      <c r="Q92" s="507">
        <f>SUM(G91)</f>
        <v>8214529.25</v>
      </c>
      <c r="R92" s="589"/>
    </row>
    <row r="93" spans="1:19" ht="27.75" customHeight="1">
      <c r="A93" s="426"/>
      <c r="B93" s="4"/>
      <c r="C93" s="295"/>
      <c r="D93" s="546"/>
      <c r="E93" s="433"/>
      <c r="F93" s="427"/>
      <c r="G93" s="430"/>
      <c r="H93" s="424"/>
      <c r="I93" s="425"/>
      <c r="J93" s="425"/>
      <c r="K93" s="345"/>
      <c r="L93" s="345"/>
      <c r="M93" s="345"/>
    </row>
    <row r="94" spans="1:19" ht="27.75" customHeight="1" thickBot="1">
      <c r="A94" s="488"/>
      <c r="B94" s="489" t="s">
        <v>498</v>
      </c>
      <c r="C94" s="490"/>
      <c r="D94" s="551"/>
      <c r="E94" s="495"/>
      <c r="F94" s="496"/>
      <c r="G94" s="493">
        <v>9079262.0192523375</v>
      </c>
      <c r="H94" s="497">
        <v>0</v>
      </c>
      <c r="I94" s="497">
        <v>0</v>
      </c>
      <c r="J94" s="498"/>
      <c r="K94" s="499"/>
      <c r="L94" s="499"/>
      <c r="M94" s="499"/>
      <c r="R94" s="591">
        <f>SUM(Q74:Q92)</f>
        <v>9079262.0185046736</v>
      </c>
      <c r="S94" s="4" t="s">
        <v>1156</v>
      </c>
    </row>
    <row r="95" spans="1:19" s="226" customFormat="1" ht="27.75" customHeight="1" thickTop="1">
      <c r="A95" s="6"/>
      <c r="B95" s="500"/>
      <c r="D95" s="552"/>
      <c r="E95" s="372"/>
      <c r="F95" s="501"/>
      <c r="G95" s="504"/>
      <c r="H95" s="2"/>
      <c r="I95" s="425"/>
      <c r="J95" s="425"/>
      <c r="K95" s="345"/>
      <c r="L95" s="345"/>
    </row>
    <row r="96" spans="1:19" s="226" customFormat="1" ht="27.75" customHeight="1">
      <c r="A96" s="6"/>
      <c r="B96" s="500"/>
      <c r="D96" s="552"/>
      <c r="E96" s="372"/>
      <c r="F96" s="501"/>
      <c r="G96" s="504"/>
      <c r="H96" s="2"/>
      <c r="I96" s="425"/>
      <c r="J96" s="425"/>
      <c r="K96" s="345"/>
      <c r="L96" s="345"/>
    </row>
    <row r="97" spans="1:12" s="226" customFormat="1" ht="27.75" customHeight="1">
      <c r="A97" s="684" t="s">
        <v>932</v>
      </c>
      <c r="B97" s="684"/>
      <c r="C97" s="684"/>
      <c r="D97" s="684"/>
      <c r="E97" s="684"/>
      <c r="F97" s="684"/>
      <c r="G97" s="684"/>
      <c r="H97" s="684"/>
      <c r="I97" s="425"/>
      <c r="J97" s="425"/>
      <c r="K97" s="345"/>
      <c r="L97" s="345"/>
    </row>
    <row r="98" spans="1:12" s="226" customFormat="1" ht="27.75" customHeight="1">
      <c r="A98" s="678" t="s">
        <v>933</v>
      </c>
      <c r="B98" s="678"/>
      <c r="C98" s="678"/>
      <c r="D98" s="678"/>
      <c r="E98" s="678"/>
      <c r="F98" s="678"/>
      <c r="G98" s="678"/>
      <c r="H98" s="678"/>
      <c r="I98" s="425"/>
      <c r="J98" s="425"/>
      <c r="K98" s="345"/>
      <c r="L98" s="345"/>
    </row>
    <row r="99" spans="1:12" s="226" customFormat="1" ht="27.75" customHeight="1">
      <c r="A99" s="678"/>
      <c r="B99" s="678"/>
      <c r="C99" s="678"/>
      <c r="D99" s="678"/>
      <c r="E99" s="678"/>
      <c r="F99" s="678"/>
      <c r="G99" s="678"/>
      <c r="H99" s="678"/>
      <c r="I99" s="425"/>
      <c r="J99" s="425"/>
      <c r="K99" s="345"/>
      <c r="L99" s="345"/>
    </row>
    <row r="100" spans="1:12" s="226" customFormat="1" ht="27.75" customHeight="1">
      <c r="A100" s="6"/>
      <c r="B100" s="500"/>
      <c r="D100" s="552"/>
      <c r="E100" s="372"/>
      <c r="F100" s="501"/>
      <c r="G100" s="504"/>
      <c r="H100" s="2"/>
      <c r="I100" s="425"/>
      <c r="J100" s="425"/>
      <c r="K100" s="345"/>
      <c r="L100" s="345"/>
    </row>
    <row r="101" spans="1:12" s="226" customFormat="1" ht="27.75" customHeight="1">
      <c r="A101" s="6"/>
      <c r="B101" s="500"/>
      <c r="D101" s="552"/>
      <c r="E101" s="372"/>
      <c r="F101" s="501"/>
      <c r="G101" s="430"/>
      <c r="H101" s="2"/>
      <c r="I101" s="425"/>
      <c r="J101" s="425"/>
      <c r="K101" s="345"/>
      <c r="L101" s="345"/>
    </row>
    <row r="102" spans="1:12" s="226" customFormat="1" ht="27.75" customHeight="1">
      <c r="A102" s="6"/>
      <c r="B102" s="500"/>
      <c r="D102" s="552"/>
      <c r="E102" s="372"/>
      <c r="F102" s="501"/>
      <c r="G102" s="504"/>
      <c r="H102" s="2"/>
      <c r="I102" s="425"/>
      <c r="J102" s="425"/>
      <c r="K102" s="345"/>
      <c r="L102" s="345"/>
    </row>
    <row r="103" spans="1:12" s="226" customFormat="1" ht="27.75" customHeight="1">
      <c r="A103" s="6"/>
      <c r="B103" s="500"/>
      <c r="D103" s="552"/>
      <c r="E103" s="372"/>
      <c r="F103" s="501"/>
      <c r="G103" s="504"/>
      <c r="H103" s="2"/>
      <c r="I103" s="425"/>
      <c r="J103" s="425"/>
      <c r="K103" s="345"/>
      <c r="L103" s="345"/>
    </row>
    <row r="104" spans="1:12" s="226" customFormat="1" ht="27.75" customHeight="1">
      <c r="A104" s="6"/>
      <c r="B104" s="500"/>
      <c r="D104" s="552"/>
      <c r="E104" s="372"/>
      <c r="F104" s="501"/>
      <c r="G104" s="504"/>
      <c r="H104" s="2"/>
      <c r="I104" s="425"/>
      <c r="J104" s="425"/>
      <c r="K104" s="345"/>
      <c r="L104" s="345"/>
    </row>
    <row r="105" spans="1:12" s="226" customFormat="1" ht="27.75" customHeight="1">
      <c r="A105" s="6"/>
      <c r="B105" s="500"/>
      <c r="D105" s="552"/>
      <c r="E105" s="372"/>
      <c r="F105" s="501"/>
      <c r="G105" s="504"/>
      <c r="H105" s="2"/>
      <c r="I105" s="425"/>
      <c r="J105" s="425"/>
      <c r="K105" s="345"/>
      <c r="L105" s="345"/>
    </row>
    <row r="106" spans="1:12" s="226" customFormat="1" ht="27.75" customHeight="1">
      <c r="A106" s="6"/>
      <c r="B106" s="500"/>
      <c r="D106" s="552"/>
      <c r="E106" s="372"/>
      <c r="F106" s="501"/>
      <c r="G106" s="504"/>
      <c r="H106" s="2"/>
      <c r="I106" s="425"/>
      <c r="J106" s="425"/>
      <c r="K106" s="345"/>
      <c r="L106" s="345"/>
    </row>
    <row r="107" spans="1:12" s="226" customFormat="1" ht="27.75" customHeight="1">
      <c r="A107" s="6"/>
      <c r="B107" s="500"/>
      <c r="D107" s="552"/>
      <c r="E107" s="372"/>
      <c r="F107" s="501"/>
      <c r="G107" s="504"/>
      <c r="H107" s="2"/>
      <c r="I107" s="425"/>
      <c r="J107" s="425"/>
      <c r="K107" s="345"/>
      <c r="L107" s="345"/>
    </row>
    <row r="108" spans="1:12" s="226" customFormat="1" ht="27.75" customHeight="1">
      <c r="A108" s="6"/>
      <c r="B108" s="500"/>
      <c r="D108" s="552"/>
      <c r="E108" s="372"/>
      <c r="F108" s="501"/>
      <c r="G108" s="504"/>
      <c r="H108" s="2"/>
      <c r="I108" s="425"/>
      <c r="J108" s="425"/>
      <c r="K108" s="345"/>
      <c r="L108" s="345"/>
    </row>
    <row r="109" spans="1:12" s="226" customFormat="1" ht="27.75" customHeight="1">
      <c r="A109" s="6"/>
      <c r="B109" s="500"/>
      <c r="D109" s="552"/>
      <c r="E109" s="372"/>
      <c r="F109" s="501"/>
      <c r="G109" s="504"/>
      <c r="H109" s="2"/>
      <c r="I109" s="425"/>
      <c r="J109" s="425"/>
      <c r="K109" s="345"/>
      <c r="L109" s="345"/>
    </row>
    <row r="110" spans="1:12" s="226" customFormat="1" ht="27.75" customHeight="1">
      <c r="A110" s="6"/>
      <c r="B110" s="500"/>
      <c r="D110" s="552"/>
      <c r="E110" s="372"/>
      <c r="F110" s="501"/>
      <c r="G110" s="504"/>
      <c r="H110" s="2"/>
      <c r="I110" s="425"/>
      <c r="J110" s="425"/>
      <c r="K110" s="345"/>
      <c r="L110" s="345"/>
    </row>
    <row r="111" spans="1:12" s="226" customFormat="1" ht="27.75" customHeight="1">
      <c r="A111" s="6"/>
      <c r="D111" s="552"/>
      <c r="E111" s="372"/>
      <c r="F111" s="501"/>
      <c r="G111" s="504"/>
      <c r="H111" s="2"/>
      <c r="I111" s="425"/>
      <c r="J111" s="425"/>
      <c r="K111" s="345"/>
      <c r="L111" s="345"/>
    </row>
    <row r="112" spans="1:12" ht="27.75" customHeight="1">
      <c r="B112" s="4"/>
      <c r="F112" s="4"/>
      <c r="K112" s="4"/>
      <c r="L112" s="4"/>
    </row>
    <row r="113" spans="2:12" ht="27.75" customHeight="1">
      <c r="B113" s="4"/>
      <c r="F113" s="4"/>
      <c r="K113" s="4"/>
      <c r="L113" s="4"/>
    </row>
    <row r="114" spans="2:12" ht="27.75" customHeight="1">
      <c r="B114" s="4"/>
      <c r="F114" s="4"/>
      <c r="K114" s="4"/>
      <c r="L114" s="4"/>
    </row>
    <row r="115" spans="2:12" ht="27.75" customHeight="1">
      <c r="B115" s="4"/>
      <c r="F115" s="4"/>
      <c r="K115" s="4"/>
      <c r="L115" s="4"/>
    </row>
    <row r="116" spans="2:12" ht="27.75" customHeight="1">
      <c r="B116" s="4"/>
      <c r="F116" s="4"/>
      <c r="K116" s="4"/>
      <c r="L116" s="4"/>
    </row>
    <row r="117" spans="2:12" ht="27.75" customHeight="1">
      <c r="B117" s="4"/>
      <c r="F117" s="4"/>
      <c r="K117" s="4"/>
      <c r="L117" s="4"/>
    </row>
    <row r="118" spans="2:12" ht="27.75" customHeight="1">
      <c r="B118" s="4"/>
      <c r="F118" s="4"/>
      <c r="K118" s="4"/>
      <c r="L118" s="4"/>
    </row>
    <row r="119" spans="2:12" ht="27.75" customHeight="1">
      <c r="B119" s="4"/>
      <c r="F119" s="4"/>
      <c r="K119" s="4"/>
      <c r="L119" s="4"/>
    </row>
    <row r="120" spans="2:12" ht="27.75" customHeight="1">
      <c r="B120" s="4"/>
      <c r="F120" s="4"/>
      <c r="K120" s="4"/>
      <c r="L120" s="4"/>
    </row>
    <row r="121" spans="2:12" ht="27.75" customHeight="1">
      <c r="B121" s="4"/>
      <c r="F121" s="4"/>
      <c r="K121" s="4"/>
      <c r="L121" s="4"/>
    </row>
    <row r="122" spans="2:12" ht="27.75" customHeight="1">
      <c r="B122" s="4"/>
      <c r="F122" s="4"/>
      <c r="K122" s="4"/>
      <c r="L122" s="4"/>
    </row>
    <row r="123" spans="2:12" ht="27.75" customHeight="1">
      <c r="B123" s="4"/>
      <c r="F123" s="4"/>
      <c r="K123" s="4"/>
      <c r="L123" s="4"/>
    </row>
    <row r="124" spans="2:12" ht="27.75" customHeight="1">
      <c r="B124" s="4"/>
      <c r="F124" s="4"/>
      <c r="K124" s="4"/>
      <c r="L124" s="4"/>
    </row>
    <row r="125" spans="2:12" ht="27.75" customHeight="1">
      <c r="B125" s="4"/>
      <c r="F125" s="4"/>
      <c r="K125" s="4"/>
      <c r="L125" s="4"/>
    </row>
    <row r="126" spans="2:12" ht="27.75" customHeight="1">
      <c r="B126" s="4"/>
      <c r="F126" s="4"/>
      <c r="K126" s="4"/>
      <c r="L126" s="4"/>
    </row>
    <row r="127" spans="2:12" ht="27.75" customHeight="1">
      <c r="B127" s="4"/>
      <c r="F127" s="4"/>
      <c r="K127" s="4"/>
      <c r="L127" s="4"/>
    </row>
    <row r="139" spans="4:7" s="4" customFormat="1" ht="27.75" customHeight="1">
      <c r="D139" s="552"/>
      <c r="E139" s="372"/>
      <c r="G139" s="507"/>
    </row>
    <row r="140" spans="4:7" s="4" customFormat="1" ht="27.75" customHeight="1">
      <c r="D140" s="552"/>
      <c r="E140" s="372"/>
      <c r="G140" s="507"/>
    </row>
    <row r="141" spans="4:7" s="4" customFormat="1" ht="27.75" customHeight="1">
      <c r="D141" s="552"/>
      <c r="E141" s="372"/>
      <c r="G141" s="507"/>
    </row>
    <row r="142" spans="4:7" s="4" customFormat="1" ht="27.75" customHeight="1">
      <c r="D142" s="552"/>
      <c r="E142" s="372"/>
      <c r="G142" s="507"/>
    </row>
    <row r="143" spans="4:7" s="4" customFormat="1" ht="27.75" customHeight="1">
      <c r="D143" s="552"/>
      <c r="E143" s="372"/>
      <c r="G143" s="507"/>
    </row>
    <row r="144" spans="4:7" s="4" customFormat="1" ht="27.75" customHeight="1">
      <c r="D144" s="552"/>
      <c r="E144" s="372"/>
      <c r="G144" s="507"/>
    </row>
    <row r="145" spans="4:7" s="4" customFormat="1" ht="27.75" customHeight="1">
      <c r="D145" s="552"/>
      <c r="E145" s="372"/>
      <c r="G145" s="507"/>
    </row>
    <row r="146" spans="4:7" s="4" customFormat="1" ht="27.75" customHeight="1">
      <c r="D146" s="552"/>
      <c r="E146" s="372"/>
      <c r="G146" s="507"/>
    </row>
    <row r="147" spans="4:7" s="4" customFormat="1" ht="27.75" customHeight="1">
      <c r="D147" s="552"/>
      <c r="E147" s="372"/>
      <c r="G147" s="507"/>
    </row>
    <row r="148" spans="4:7" s="4" customFormat="1" ht="27.75" customHeight="1">
      <c r="D148" s="552"/>
      <c r="E148" s="372"/>
      <c r="G148" s="507"/>
    </row>
    <row r="149" spans="4:7" s="4" customFormat="1" ht="27.75" customHeight="1">
      <c r="D149" s="552"/>
      <c r="E149" s="372"/>
      <c r="G149" s="507"/>
    </row>
    <row r="150" spans="4:7" s="4" customFormat="1" ht="27.75" customHeight="1">
      <c r="D150" s="552"/>
      <c r="E150" s="372"/>
      <c r="G150" s="507"/>
    </row>
    <row r="151" spans="4:7" s="4" customFormat="1" ht="27.75" customHeight="1">
      <c r="D151" s="552"/>
      <c r="E151" s="372"/>
      <c r="G151" s="507"/>
    </row>
  </sheetData>
  <mergeCells count="20">
    <mergeCell ref="A98:H98"/>
    <mergeCell ref="A99:H99"/>
    <mergeCell ref="F5:F6"/>
    <mergeCell ref="B79:C79"/>
    <mergeCell ref="B83:C83"/>
    <mergeCell ref="B86:C86"/>
    <mergeCell ref="A97:H97"/>
    <mergeCell ref="I4:I6"/>
    <mergeCell ref="J4:J6"/>
    <mergeCell ref="K4:K6"/>
    <mergeCell ref="L4:L6"/>
    <mergeCell ref="A5:A6"/>
    <mergeCell ref="B5:B6"/>
    <mergeCell ref="C5:C6"/>
    <mergeCell ref="A1:G1"/>
    <mergeCell ref="A2:G2"/>
    <mergeCell ref="A3:G3"/>
    <mergeCell ref="E4:G4"/>
    <mergeCell ref="H4:H6"/>
    <mergeCell ref="E5:E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2A0AE-3464-4C6D-93BB-7FD0088FC2CD}">
  <sheetPr>
    <tabColor rgb="FFFFFF00"/>
  </sheetPr>
  <dimension ref="A1:S93"/>
  <sheetViews>
    <sheetView zoomScale="60" zoomScaleNormal="60" workbookViewId="0">
      <pane ySplit="6" topLeftCell="A7" activePane="bottomLeft" state="frozen"/>
      <selection pane="bottomLeft" activeCell="T15" sqref="T15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6.88671875" style="552" customWidth="1"/>
    <col min="5" max="5" width="20" style="372" customWidth="1"/>
    <col min="6" max="6" width="9.109375" style="2" customWidth="1"/>
    <col min="7" max="7" width="23.6640625" style="507" customWidth="1"/>
    <col min="8" max="8" width="5.33203125" style="2" hidden="1" customWidth="1"/>
    <col min="9" max="9" width="9" style="508" hidden="1" customWidth="1"/>
    <col min="10" max="10" width="9.6640625" style="508" hidden="1" customWidth="1"/>
    <col min="11" max="11" width="10.88671875" style="512" hidden="1" customWidth="1"/>
    <col min="12" max="12" width="24.5546875" style="512" hidden="1" customWidth="1"/>
    <col min="13" max="14" width="8.88671875" style="4" hidden="1" customWidth="1"/>
    <col min="15" max="15" width="8.88671875" style="4"/>
    <col min="16" max="16" width="11.44140625" style="4" bestFit="1" customWidth="1"/>
    <col min="17" max="18" width="14.5546875" style="4" bestFit="1" customWidth="1"/>
    <col min="19" max="16384" width="8.88671875" style="4"/>
  </cols>
  <sheetData>
    <row r="1" spans="1:18" ht="28.5" customHeight="1">
      <c r="A1" s="653" t="s">
        <v>0</v>
      </c>
      <c r="B1" s="653"/>
      <c r="C1" s="653"/>
      <c r="D1" s="653"/>
      <c r="E1" s="653"/>
      <c r="F1" s="653"/>
      <c r="G1" s="653"/>
      <c r="I1" s="3"/>
      <c r="J1" s="3"/>
      <c r="K1" s="1"/>
      <c r="L1" s="1"/>
    </row>
    <row r="2" spans="1:18" ht="23.25" customHeight="1">
      <c r="A2" s="653" t="s">
        <v>1</v>
      </c>
      <c r="B2" s="653"/>
      <c r="C2" s="653"/>
      <c r="D2" s="653"/>
      <c r="E2" s="653"/>
      <c r="F2" s="653"/>
      <c r="G2" s="653"/>
      <c r="H2" s="5"/>
      <c r="I2" s="3"/>
      <c r="J2" s="3"/>
      <c r="K2" s="1"/>
      <c r="L2" s="1"/>
    </row>
    <row r="3" spans="1:18" ht="28.5" customHeight="1">
      <c r="A3" s="654" t="s">
        <v>1046</v>
      </c>
      <c r="B3" s="654"/>
      <c r="C3" s="654"/>
      <c r="D3" s="654"/>
      <c r="E3" s="654"/>
      <c r="F3" s="654"/>
      <c r="G3" s="654"/>
      <c r="I3" s="3"/>
      <c r="J3" s="3"/>
      <c r="K3" s="6"/>
      <c r="L3" s="6"/>
    </row>
    <row r="4" spans="1:18" ht="27.75" customHeight="1">
      <c r="A4" s="7"/>
      <c r="B4" s="8"/>
      <c r="C4" s="9"/>
      <c r="D4" s="522"/>
      <c r="E4" s="655" t="s">
        <v>5</v>
      </c>
      <c r="F4" s="656"/>
      <c r="G4" s="657"/>
      <c r="H4" s="658" t="s">
        <v>6</v>
      </c>
      <c r="I4" s="671" t="s">
        <v>7</v>
      </c>
      <c r="J4" s="671" t="s">
        <v>8</v>
      </c>
      <c r="K4" s="661" t="s">
        <v>9</v>
      </c>
      <c r="L4" s="661" t="s">
        <v>10</v>
      </c>
    </row>
    <row r="5" spans="1:18" ht="27.75" customHeight="1">
      <c r="A5" s="664" t="s">
        <v>11</v>
      </c>
      <c r="B5" s="666" t="s">
        <v>12</v>
      </c>
      <c r="C5" s="666" t="s">
        <v>13</v>
      </c>
      <c r="D5" s="523" t="s">
        <v>557</v>
      </c>
      <c r="E5" s="664" t="s">
        <v>15</v>
      </c>
      <c r="F5" s="669" t="s">
        <v>16</v>
      </c>
      <c r="G5" s="514"/>
      <c r="H5" s="659"/>
      <c r="I5" s="672"/>
      <c r="J5" s="672"/>
      <c r="K5" s="662"/>
      <c r="L5" s="662"/>
    </row>
    <row r="6" spans="1:18" ht="27.75" customHeight="1" thickBot="1">
      <c r="A6" s="665"/>
      <c r="B6" s="667"/>
      <c r="C6" s="667"/>
      <c r="D6" s="524"/>
      <c r="E6" s="668"/>
      <c r="F6" s="670"/>
      <c r="G6" s="21" t="s">
        <v>22</v>
      </c>
      <c r="H6" s="660"/>
      <c r="I6" s="673"/>
      <c r="J6" s="673"/>
      <c r="K6" s="663"/>
      <c r="L6" s="663"/>
    </row>
    <row r="7" spans="1:18" ht="27.75" customHeight="1" thickTop="1">
      <c r="A7" s="232"/>
      <c r="B7" s="553" t="s">
        <v>596</v>
      </c>
      <c r="C7" s="553"/>
      <c r="D7" s="592"/>
      <c r="E7" s="232"/>
      <c r="F7" s="251"/>
      <c r="G7" s="554"/>
      <c r="H7" s="517"/>
      <c r="I7" s="515"/>
      <c r="J7" s="515"/>
      <c r="K7" s="516"/>
      <c r="L7" s="516"/>
    </row>
    <row r="8" spans="1:18" ht="27.75" customHeight="1">
      <c r="A8" s="39">
        <v>1</v>
      </c>
      <c r="B8" s="40" t="s">
        <v>78</v>
      </c>
      <c r="C8" s="81" t="s">
        <v>72</v>
      </c>
      <c r="D8" s="528"/>
      <c r="E8" s="94" t="s">
        <v>952</v>
      </c>
      <c r="F8" s="116">
        <v>1</v>
      </c>
      <c r="G8" s="54">
        <v>10284.670373831776</v>
      </c>
      <c r="H8" s="39"/>
      <c r="I8" s="55"/>
      <c r="J8" s="55"/>
      <c r="K8" s="56"/>
      <c r="L8" s="56"/>
    </row>
    <row r="9" spans="1:18" ht="27.75" customHeight="1">
      <c r="A9" s="39">
        <v>2</v>
      </c>
      <c r="B9" s="40" t="s">
        <v>82</v>
      </c>
      <c r="C9" s="41" t="s">
        <v>72</v>
      </c>
      <c r="D9" s="529"/>
      <c r="E9" s="94" t="s">
        <v>952</v>
      </c>
      <c r="F9" s="116">
        <v>1</v>
      </c>
      <c r="G9" s="54">
        <v>1181.278130841122</v>
      </c>
      <c r="H9" s="39"/>
      <c r="I9" s="55"/>
      <c r="J9" s="55"/>
      <c r="K9" s="56"/>
      <c r="L9" s="56"/>
    </row>
    <row r="10" spans="1:18" s="57" customFormat="1" ht="27.75" customHeight="1">
      <c r="A10" s="39">
        <v>3</v>
      </c>
      <c r="B10" s="40" t="s">
        <v>130</v>
      </c>
      <c r="C10" s="140" t="s">
        <v>102</v>
      </c>
      <c r="D10" s="529"/>
      <c r="E10" s="145" t="s">
        <v>952</v>
      </c>
      <c r="F10" s="146">
        <v>1</v>
      </c>
      <c r="G10" s="47">
        <v>160.5</v>
      </c>
      <c r="H10" s="146"/>
      <c r="I10" s="148"/>
      <c r="J10" s="148"/>
      <c r="K10" s="149"/>
      <c r="L10" s="149"/>
    </row>
    <row r="11" spans="1:18" ht="27.75" customHeight="1">
      <c r="A11" s="39">
        <v>4</v>
      </c>
      <c r="B11" s="40" t="s">
        <v>180</v>
      </c>
      <c r="C11" s="41" t="s">
        <v>181</v>
      </c>
      <c r="D11" s="528"/>
      <c r="E11" s="83" t="s">
        <v>952</v>
      </c>
      <c r="F11" s="39">
        <v>1</v>
      </c>
      <c r="G11" s="47">
        <v>802.5</v>
      </c>
      <c r="H11" s="116"/>
      <c r="I11" s="203"/>
      <c r="J11" s="203"/>
      <c r="K11" s="204"/>
      <c r="L11" s="204"/>
    </row>
    <row r="12" spans="1:18" s="226" customFormat="1" ht="27.75" customHeight="1">
      <c r="A12" s="39">
        <v>5</v>
      </c>
      <c r="B12" s="41" t="s">
        <v>252</v>
      </c>
      <c r="C12" s="224" t="s">
        <v>253</v>
      </c>
      <c r="D12" s="528"/>
      <c r="E12" s="83" t="s">
        <v>952</v>
      </c>
      <c r="F12" s="116">
        <v>1</v>
      </c>
      <c r="G12" s="47">
        <v>6420</v>
      </c>
      <c r="H12" s="39"/>
      <c r="I12" s="55"/>
      <c r="J12" s="55"/>
      <c r="K12" s="56"/>
      <c r="L12" s="56"/>
    </row>
    <row r="13" spans="1:18" s="226" customFormat="1" ht="27.75" customHeight="1">
      <c r="A13" s="39">
        <v>6</v>
      </c>
      <c r="B13" s="41" t="s">
        <v>254</v>
      </c>
      <c r="C13" s="224" t="s">
        <v>255</v>
      </c>
      <c r="D13" s="528"/>
      <c r="E13" s="83" t="s">
        <v>952</v>
      </c>
      <c r="F13" s="116">
        <v>0.93457943925233611</v>
      </c>
      <c r="G13" s="47">
        <v>9630</v>
      </c>
      <c r="H13" s="39"/>
      <c r="I13" s="55"/>
      <c r="J13" s="55"/>
      <c r="K13" s="56"/>
      <c r="L13" s="56"/>
    </row>
    <row r="14" spans="1:18" s="226" customFormat="1" ht="27.75" customHeight="1">
      <c r="A14" s="39">
        <v>7</v>
      </c>
      <c r="B14" s="81" t="s">
        <v>267</v>
      </c>
      <c r="C14" s="224" t="s">
        <v>268</v>
      </c>
      <c r="D14" s="528"/>
      <c r="E14" s="83" t="s">
        <v>952</v>
      </c>
      <c r="F14" s="116">
        <v>0.93457943925233578</v>
      </c>
      <c r="G14" s="47">
        <v>6420</v>
      </c>
      <c r="H14" s="39"/>
      <c r="I14" s="55"/>
      <c r="J14" s="55"/>
      <c r="K14" s="56"/>
      <c r="L14" s="56"/>
    </row>
    <row r="15" spans="1:18" ht="27.75" customHeight="1">
      <c r="A15" s="39">
        <v>8</v>
      </c>
      <c r="B15" s="280" t="s">
        <v>294</v>
      </c>
      <c r="C15" s="280" t="s">
        <v>255</v>
      </c>
      <c r="D15" s="526"/>
      <c r="E15" s="320" t="s">
        <v>952</v>
      </c>
      <c r="F15" s="39">
        <v>1</v>
      </c>
      <c r="G15" s="66">
        <v>32.1</v>
      </c>
      <c r="H15" s="36"/>
      <c r="I15" s="37"/>
      <c r="J15" s="37"/>
      <c r="K15" s="38"/>
      <c r="L15" s="38"/>
      <c r="M15" s="38"/>
    </row>
    <row r="16" spans="1:18" ht="27.75" customHeight="1" thickBot="1">
      <c r="A16" s="414"/>
      <c r="B16" s="415"/>
      <c r="C16" s="416" t="s">
        <v>468</v>
      </c>
      <c r="D16" s="545"/>
      <c r="E16" s="423"/>
      <c r="F16" s="422"/>
      <c r="G16" s="420">
        <f>SUM(G8:G15)</f>
        <v>34931.048504672894</v>
      </c>
      <c r="H16" s="424"/>
      <c r="I16" s="425"/>
      <c r="J16" s="425"/>
      <c r="K16" s="345"/>
      <c r="L16" s="345"/>
      <c r="M16" s="345"/>
      <c r="Q16" s="521">
        <v>34931.048504672894</v>
      </c>
      <c r="R16" s="4" t="s">
        <v>818</v>
      </c>
    </row>
    <row r="17" spans="1:17" ht="27.75" customHeight="1" thickTop="1">
      <c r="A17" s="426"/>
      <c r="B17" s="4"/>
      <c r="C17" s="295"/>
      <c r="D17" s="546"/>
      <c r="E17" s="433"/>
      <c r="F17" s="427"/>
      <c r="G17" s="430"/>
      <c r="H17" s="424"/>
      <c r="I17" s="425"/>
      <c r="J17" s="425"/>
      <c r="K17" s="345"/>
      <c r="L17" s="345"/>
      <c r="M17" s="345"/>
    </row>
    <row r="18" spans="1:17" ht="27.75" customHeight="1">
      <c r="A18" s="426"/>
      <c r="B18" s="434" t="s">
        <v>469</v>
      </c>
      <c r="C18" s="295"/>
      <c r="D18" s="546"/>
      <c r="E18" s="433"/>
      <c r="F18" s="427"/>
      <c r="G18" s="430"/>
      <c r="H18" s="424"/>
      <c r="I18" s="425"/>
      <c r="J18" s="425"/>
      <c r="K18" s="345"/>
      <c r="L18" s="345"/>
      <c r="M18" s="345"/>
    </row>
    <row r="19" spans="1:17" ht="27.75" customHeight="1">
      <c r="A19" s="435">
        <v>1</v>
      </c>
      <c r="B19" s="436" t="s">
        <v>470</v>
      </c>
      <c r="C19" s="437" t="s">
        <v>471</v>
      </c>
      <c r="D19" s="547"/>
      <c r="E19" s="435" t="s">
        <v>473</v>
      </c>
      <c r="F19" s="444">
        <v>21</v>
      </c>
      <c r="G19" s="17">
        <v>361288.35</v>
      </c>
      <c r="H19" s="251" t="s">
        <v>195</v>
      </c>
      <c r="I19" s="446">
        <v>41883</v>
      </c>
      <c r="J19" s="446">
        <v>42978</v>
      </c>
      <c r="K19" s="447">
        <v>90000</v>
      </c>
      <c r="L19" s="447" t="s">
        <v>474</v>
      </c>
    </row>
    <row r="20" spans="1:17" ht="27.75" customHeight="1">
      <c r="A20" s="435"/>
      <c r="B20" s="436" t="s">
        <v>476</v>
      </c>
      <c r="C20" s="437"/>
      <c r="D20" s="547"/>
      <c r="E20" s="435"/>
      <c r="F20" s="444"/>
      <c r="G20" s="17">
        <v>0</v>
      </c>
      <c r="H20" s="116"/>
      <c r="I20" s="203"/>
      <c r="J20" s="203"/>
      <c r="K20" s="204"/>
      <c r="L20" s="204"/>
    </row>
    <row r="21" spans="1:17" ht="27.75" customHeight="1">
      <c r="A21" s="435"/>
      <c r="B21" s="674" t="s">
        <v>477</v>
      </c>
      <c r="C21" s="675"/>
      <c r="D21" s="548"/>
      <c r="E21" s="435"/>
      <c r="F21" s="444"/>
      <c r="G21" s="17">
        <v>0</v>
      </c>
      <c r="H21" s="116"/>
      <c r="I21" s="203"/>
      <c r="J21" s="203"/>
      <c r="K21" s="204"/>
      <c r="L21" s="204"/>
    </row>
    <row r="22" spans="1:17" ht="27.75" customHeight="1">
      <c r="A22" s="435">
        <v>2</v>
      </c>
      <c r="B22" s="450" t="s">
        <v>470</v>
      </c>
      <c r="C22" s="451" t="s">
        <v>478</v>
      </c>
      <c r="D22" s="549"/>
      <c r="E22" s="435" t="s">
        <v>479</v>
      </c>
      <c r="F22" s="444">
        <v>6</v>
      </c>
      <c r="G22" s="17">
        <v>96700.72</v>
      </c>
      <c r="H22" s="116"/>
      <c r="I22" s="203"/>
      <c r="J22" s="203"/>
      <c r="K22" s="204"/>
      <c r="L22" s="204"/>
    </row>
    <row r="23" spans="1:17" ht="27.75" customHeight="1">
      <c r="A23" s="435">
        <v>3</v>
      </c>
      <c r="B23" s="450" t="s">
        <v>470</v>
      </c>
      <c r="C23" s="451" t="s">
        <v>480</v>
      </c>
      <c r="D23" s="549"/>
      <c r="E23" s="435" t="s">
        <v>481</v>
      </c>
      <c r="F23" s="444">
        <v>16</v>
      </c>
      <c r="G23" s="17">
        <v>285799.45</v>
      </c>
      <c r="H23" s="116"/>
      <c r="I23" s="203"/>
      <c r="J23" s="203"/>
      <c r="K23" s="204"/>
      <c r="L23" s="204"/>
    </row>
    <row r="24" spans="1:17" s="226" customFormat="1" ht="27.75" customHeight="1">
      <c r="A24" s="440">
        <v>4</v>
      </c>
      <c r="B24" s="436" t="s">
        <v>470</v>
      </c>
      <c r="C24" s="453" t="s">
        <v>482</v>
      </c>
      <c r="D24" s="547"/>
      <c r="E24" s="435" t="s">
        <v>483</v>
      </c>
      <c r="F24" s="448" t="s">
        <v>195</v>
      </c>
      <c r="G24" s="17">
        <v>57055.05</v>
      </c>
      <c r="H24" s="39"/>
      <c r="I24" s="55"/>
      <c r="J24" s="55"/>
      <c r="K24" s="141"/>
      <c r="L24" s="141"/>
      <c r="O24" s="4"/>
    </row>
    <row r="25" spans="1:17" s="226" customFormat="1" ht="27.75" customHeight="1">
      <c r="A25" s="440"/>
      <c r="B25" s="676" t="s">
        <v>484</v>
      </c>
      <c r="C25" s="677"/>
      <c r="D25" s="549"/>
      <c r="E25" s="435"/>
      <c r="F25" s="448"/>
      <c r="G25" s="17">
        <v>0</v>
      </c>
      <c r="H25" s="122"/>
      <c r="I25" s="37"/>
      <c r="J25" s="37"/>
      <c r="K25" s="459"/>
      <c r="L25" s="459"/>
      <c r="O25" s="4"/>
    </row>
    <row r="26" spans="1:17" ht="27.75" customHeight="1">
      <c r="A26" s="460">
        <v>5</v>
      </c>
      <c r="B26" s="436" t="s">
        <v>470</v>
      </c>
      <c r="C26" s="461" t="s">
        <v>485</v>
      </c>
      <c r="D26" s="550"/>
      <c r="E26" s="435" t="s">
        <v>486</v>
      </c>
      <c r="F26" s="464" t="s">
        <v>195</v>
      </c>
      <c r="G26" s="17">
        <v>28958.15</v>
      </c>
      <c r="H26" s="36"/>
      <c r="I26" s="37"/>
      <c r="J26" s="37"/>
      <c r="K26" s="38"/>
      <c r="L26" s="38"/>
      <c r="M26" s="38"/>
    </row>
    <row r="27" spans="1:17" ht="27.6" customHeight="1">
      <c r="A27" s="460"/>
      <c r="B27" s="436" t="s">
        <v>488</v>
      </c>
      <c r="C27" s="461"/>
      <c r="D27" s="550"/>
      <c r="E27" s="435"/>
      <c r="F27" s="444"/>
      <c r="G27" s="17"/>
      <c r="H27" s="36"/>
      <c r="I27" s="37"/>
      <c r="J27" s="37"/>
      <c r="K27" s="38"/>
      <c r="L27" s="38"/>
      <c r="M27" s="38"/>
    </row>
    <row r="28" spans="1:17" ht="27.6" customHeight="1">
      <c r="A28" s="460"/>
      <c r="B28" s="674" t="s">
        <v>489</v>
      </c>
      <c r="C28" s="675"/>
      <c r="D28" s="548"/>
      <c r="E28" s="435"/>
      <c r="F28" s="444"/>
      <c r="G28" s="17"/>
      <c r="H28" s="36"/>
      <c r="I28" s="37"/>
      <c r="J28" s="37"/>
      <c r="K28" s="38"/>
      <c r="L28" s="38"/>
      <c r="M28" s="38"/>
    </row>
    <row r="29" spans="1:17" ht="27.75" customHeight="1" thickBot="1">
      <c r="A29" s="465"/>
      <c r="B29" s="466" t="s">
        <v>22</v>
      </c>
      <c r="C29" s="195"/>
      <c r="D29" s="539"/>
      <c r="E29" s="315"/>
      <c r="F29" s="310"/>
      <c r="G29" s="313">
        <v>829801.72000000009</v>
      </c>
      <c r="H29" s="36"/>
      <c r="I29" s="37"/>
      <c r="J29" s="37"/>
      <c r="K29" s="38"/>
      <c r="L29" s="38"/>
      <c r="M29" s="38"/>
      <c r="Q29" s="507">
        <v>829801.72000000009</v>
      </c>
    </row>
    <row r="30" spans="1:17" ht="27.75" customHeight="1" thickTop="1">
      <c r="A30" s="468"/>
      <c r="B30" s="469" t="s">
        <v>490</v>
      </c>
      <c r="C30" s="470"/>
      <c r="D30" s="543"/>
      <c r="E30" s="186"/>
      <c r="F30" s="116"/>
      <c r="G30" s="474"/>
      <c r="H30" s="36"/>
      <c r="I30" s="37"/>
      <c r="J30" s="37"/>
      <c r="K30" s="38"/>
      <c r="L30" s="38"/>
      <c r="M30" s="38"/>
    </row>
    <row r="31" spans="1:17" ht="27.75" customHeight="1">
      <c r="A31" s="475">
        <v>1</v>
      </c>
      <c r="B31" s="436" t="s">
        <v>491</v>
      </c>
      <c r="C31" s="437" t="s">
        <v>492</v>
      </c>
      <c r="D31" s="547"/>
      <c r="E31" s="435"/>
      <c r="F31" s="477"/>
      <c r="G31" s="481"/>
      <c r="H31" s="356"/>
      <c r="I31" s="482"/>
      <c r="J31" s="482"/>
      <c r="K31" s="483"/>
      <c r="L31" s="483"/>
    </row>
    <row r="32" spans="1:17" ht="27.75" customHeight="1">
      <c r="A32" s="475"/>
      <c r="B32" s="484" t="s">
        <v>494</v>
      </c>
      <c r="C32" s="437"/>
      <c r="D32" s="547"/>
      <c r="E32" s="435"/>
      <c r="F32" s="477"/>
      <c r="G32" s="481"/>
      <c r="H32" s="485"/>
      <c r="I32" s="486"/>
      <c r="J32" s="486"/>
      <c r="K32" s="487"/>
      <c r="L32" s="487"/>
    </row>
    <row r="33" spans="1:19" ht="27.75" customHeight="1">
      <c r="A33" s="475">
        <v>2</v>
      </c>
      <c r="B33" s="436" t="s">
        <v>495</v>
      </c>
      <c r="C33" s="437" t="s">
        <v>496</v>
      </c>
      <c r="D33" s="547"/>
      <c r="E33" s="435"/>
      <c r="F33" s="477" t="s">
        <v>497</v>
      </c>
      <c r="G33" s="17">
        <v>8214529.25</v>
      </c>
      <c r="H33" s="485"/>
      <c r="I33" s="486"/>
      <c r="J33" s="486"/>
      <c r="K33" s="487"/>
      <c r="L33" s="487"/>
    </row>
    <row r="34" spans="1:19" ht="27.75" customHeight="1">
      <c r="A34" s="405"/>
      <c r="B34" s="234" t="s">
        <v>22</v>
      </c>
      <c r="C34" s="407"/>
      <c r="D34" s="544"/>
      <c r="E34" s="412"/>
      <c r="F34" s="408"/>
      <c r="G34" s="239">
        <v>8214529.25</v>
      </c>
      <c r="H34" s="278"/>
      <c r="I34" s="279"/>
      <c r="J34" s="279"/>
      <c r="K34" s="413"/>
      <c r="L34" s="413"/>
      <c r="M34" s="413"/>
      <c r="Q34" s="507">
        <v>8214529.25</v>
      </c>
      <c r="R34" s="589"/>
    </row>
    <row r="35" spans="1:19" ht="27.75" customHeight="1">
      <c r="A35" s="426"/>
      <c r="B35" s="4"/>
      <c r="C35" s="295"/>
      <c r="D35" s="546"/>
      <c r="E35" s="433"/>
      <c r="F35" s="427"/>
      <c r="G35" s="430"/>
      <c r="H35" s="424"/>
      <c r="I35" s="425"/>
      <c r="J35" s="425"/>
      <c r="K35" s="345"/>
      <c r="L35" s="345"/>
      <c r="M35" s="345"/>
    </row>
    <row r="36" spans="1:19" ht="27.75" customHeight="1" thickBot="1">
      <c r="A36" s="488"/>
      <c r="B36" s="489" t="s">
        <v>498</v>
      </c>
      <c r="C36" s="490"/>
      <c r="D36" s="551"/>
      <c r="E36" s="495"/>
      <c r="F36" s="496"/>
      <c r="G36" s="493">
        <v>9079262.0192523375</v>
      </c>
      <c r="H36" s="497">
        <v>0</v>
      </c>
      <c r="I36" s="497">
        <v>0</v>
      </c>
      <c r="J36" s="498"/>
      <c r="K36" s="499"/>
      <c r="L36" s="499"/>
      <c r="M36" s="499"/>
      <c r="R36" s="591">
        <v>9079262.0185046736</v>
      </c>
      <c r="S36" s="4" t="s">
        <v>1156</v>
      </c>
    </row>
    <row r="37" spans="1:19" s="226" customFormat="1" ht="27.75" customHeight="1" thickTop="1">
      <c r="A37" s="6"/>
      <c r="B37" s="500"/>
      <c r="D37" s="552"/>
      <c r="E37" s="372"/>
      <c r="F37" s="501"/>
      <c r="G37" s="504"/>
      <c r="H37" s="2"/>
      <c r="I37" s="425"/>
      <c r="J37" s="425"/>
      <c r="K37" s="345"/>
      <c r="L37" s="345"/>
    </row>
    <row r="38" spans="1:19" s="226" customFormat="1" ht="27.75" customHeight="1">
      <c r="A38" s="6"/>
      <c r="B38" s="500"/>
      <c r="D38" s="552"/>
      <c r="E38" s="372"/>
      <c r="F38" s="501"/>
      <c r="G38" s="504"/>
      <c r="H38" s="2"/>
      <c r="I38" s="425"/>
      <c r="J38" s="425"/>
      <c r="K38" s="345"/>
      <c r="L38" s="345"/>
    </row>
    <row r="39" spans="1:19" s="226" customFormat="1" ht="27.75" customHeight="1">
      <c r="A39" s="684" t="s">
        <v>932</v>
      </c>
      <c r="B39" s="684"/>
      <c r="C39" s="684"/>
      <c r="D39" s="684"/>
      <c r="E39" s="684"/>
      <c r="F39" s="684"/>
      <c r="G39" s="684"/>
      <c r="H39" s="684"/>
      <c r="I39" s="425"/>
      <c r="J39" s="425"/>
      <c r="K39" s="345"/>
      <c r="L39" s="345"/>
    </row>
    <row r="40" spans="1:19" s="226" customFormat="1" ht="27.75" customHeight="1">
      <c r="A40" s="678" t="s">
        <v>933</v>
      </c>
      <c r="B40" s="678"/>
      <c r="C40" s="678"/>
      <c r="D40" s="678"/>
      <c r="E40" s="678"/>
      <c r="F40" s="678"/>
      <c r="G40" s="678"/>
      <c r="H40" s="678"/>
      <c r="I40" s="425"/>
      <c r="J40" s="425"/>
      <c r="K40" s="345"/>
      <c r="L40" s="345"/>
    </row>
    <row r="41" spans="1:19" s="226" customFormat="1" ht="27.75" customHeight="1">
      <c r="A41" s="678"/>
      <c r="B41" s="678"/>
      <c r="C41" s="678"/>
      <c r="D41" s="678"/>
      <c r="E41" s="678"/>
      <c r="F41" s="678"/>
      <c r="G41" s="678"/>
      <c r="H41" s="678"/>
      <c r="I41" s="425"/>
      <c r="J41" s="425"/>
      <c r="K41" s="345"/>
      <c r="L41" s="345"/>
    </row>
    <row r="42" spans="1:19" s="226" customFormat="1" ht="27.75" customHeight="1">
      <c r="A42" s="6"/>
      <c r="B42" s="500"/>
      <c r="D42" s="552"/>
      <c r="E42" s="372"/>
      <c r="F42" s="501"/>
      <c r="G42" s="504"/>
      <c r="H42" s="2"/>
      <c r="I42" s="425"/>
      <c r="J42" s="425"/>
      <c r="K42" s="345"/>
      <c r="L42" s="345"/>
    </row>
    <row r="43" spans="1:19" s="226" customFormat="1" ht="27.75" customHeight="1">
      <c r="A43" s="6"/>
      <c r="B43" s="500"/>
      <c r="D43" s="552"/>
      <c r="E43" s="372"/>
      <c r="F43" s="501"/>
      <c r="G43" s="430"/>
      <c r="H43" s="2"/>
      <c r="I43" s="425"/>
      <c r="J43" s="425"/>
      <c r="K43" s="345"/>
      <c r="L43" s="345"/>
    </row>
    <row r="44" spans="1:19" s="226" customFormat="1" ht="27.75" customHeight="1">
      <c r="A44" s="6"/>
      <c r="B44" s="500"/>
      <c r="D44" s="552"/>
      <c r="E44" s="372"/>
      <c r="F44" s="501"/>
      <c r="G44" s="504"/>
      <c r="H44" s="2"/>
      <c r="I44" s="425"/>
      <c r="J44" s="425"/>
      <c r="K44" s="345"/>
      <c r="L44" s="345"/>
    </row>
    <row r="45" spans="1:19" s="226" customFormat="1" ht="27.75" customHeight="1">
      <c r="A45" s="6"/>
      <c r="B45" s="500"/>
      <c r="D45" s="552"/>
      <c r="E45" s="372"/>
      <c r="F45" s="501"/>
      <c r="G45" s="504"/>
      <c r="H45" s="2"/>
      <c r="I45" s="425"/>
      <c r="J45" s="425"/>
      <c r="K45" s="345"/>
      <c r="L45" s="345"/>
    </row>
    <row r="46" spans="1:19" s="226" customFormat="1" ht="27.75" customHeight="1">
      <c r="A46" s="6"/>
      <c r="B46" s="500"/>
      <c r="D46" s="552"/>
      <c r="E46" s="372"/>
      <c r="F46" s="501"/>
      <c r="G46" s="504"/>
      <c r="H46" s="2"/>
      <c r="I46" s="425"/>
      <c r="J46" s="425"/>
      <c r="K46" s="345"/>
      <c r="L46" s="345"/>
    </row>
    <row r="47" spans="1:19" s="226" customFormat="1" ht="27.75" customHeight="1">
      <c r="A47" s="6"/>
      <c r="B47" s="500"/>
      <c r="D47" s="552"/>
      <c r="E47" s="372"/>
      <c r="F47" s="501"/>
      <c r="G47" s="504"/>
      <c r="H47" s="2"/>
      <c r="I47" s="425"/>
      <c r="J47" s="425"/>
      <c r="K47" s="345"/>
      <c r="L47" s="345"/>
    </row>
    <row r="48" spans="1:19" s="226" customFormat="1" ht="27.75" customHeight="1">
      <c r="A48" s="6"/>
      <c r="B48" s="500"/>
      <c r="D48" s="552"/>
      <c r="E48" s="372"/>
      <c r="F48" s="501"/>
      <c r="G48" s="504"/>
      <c r="H48" s="2"/>
      <c r="I48" s="425"/>
      <c r="J48" s="425"/>
      <c r="K48" s="345"/>
      <c r="L48" s="345"/>
    </row>
    <row r="49" spans="1:12" s="226" customFormat="1" ht="27.75" customHeight="1">
      <c r="A49" s="6"/>
      <c r="B49" s="500"/>
      <c r="D49" s="552"/>
      <c r="E49" s="372"/>
      <c r="F49" s="501"/>
      <c r="G49" s="504"/>
      <c r="H49" s="2"/>
      <c r="I49" s="425"/>
      <c r="J49" s="425"/>
      <c r="K49" s="345"/>
      <c r="L49" s="345"/>
    </row>
    <row r="50" spans="1:12" s="226" customFormat="1" ht="27.75" customHeight="1">
      <c r="A50" s="6"/>
      <c r="B50" s="500"/>
      <c r="D50" s="552"/>
      <c r="E50" s="372"/>
      <c r="F50" s="501"/>
      <c r="G50" s="504"/>
      <c r="H50" s="2"/>
      <c r="I50" s="425"/>
      <c r="J50" s="425"/>
      <c r="K50" s="345"/>
      <c r="L50" s="345"/>
    </row>
    <row r="51" spans="1:12" s="226" customFormat="1" ht="27.75" customHeight="1">
      <c r="A51" s="6"/>
      <c r="B51" s="500"/>
      <c r="D51" s="552"/>
      <c r="E51" s="372"/>
      <c r="F51" s="501"/>
      <c r="G51" s="504"/>
      <c r="H51" s="2"/>
      <c r="I51" s="425"/>
      <c r="J51" s="425"/>
      <c r="K51" s="345"/>
      <c r="L51" s="345"/>
    </row>
    <row r="52" spans="1:12" s="226" customFormat="1" ht="27.75" customHeight="1">
      <c r="A52" s="6"/>
      <c r="B52" s="500"/>
      <c r="D52" s="552"/>
      <c r="E52" s="372"/>
      <c r="F52" s="501"/>
      <c r="G52" s="504"/>
      <c r="H52" s="2"/>
      <c r="I52" s="425"/>
      <c r="J52" s="425"/>
      <c r="K52" s="345"/>
      <c r="L52" s="345"/>
    </row>
    <row r="53" spans="1:12" s="226" customFormat="1" ht="27.75" customHeight="1">
      <c r="A53" s="6"/>
      <c r="D53" s="552"/>
      <c r="E53" s="372"/>
      <c r="F53" s="501"/>
      <c r="G53" s="504"/>
      <c r="H53" s="2"/>
      <c r="I53" s="425"/>
      <c r="J53" s="425"/>
      <c r="K53" s="345"/>
      <c r="L53" s="345"/>
    </row>
    <row r="54" spans="1:12" ht="27.75" customHeight="1">
      <c r="B54" s="4"/>
      <c r="F54" s="4"/>
      <c r="K54" s="4"/>
      <c r="L54" s="4"/>
    </row>
    <row r="55" spans="1:12" ht="27.75" customHeight="1">
      <c r="B55" s="4"/>
      <c r="F55" s="4"/>
      <c r="K55" s="4"/>
      <c r="L55" s="4"/>
    </row>
    <row r="56" spans="1:12" ht="27.75" customHeight="1">
      <c r="B56" s="4"/>
      <c r="F56" s="4"/>
      <c r="K56" s="4"/>
      <c r="L56" s="4"/>
    </row>
    <row r="57" spans="1:12" ht="27.75" customHeight="1">
      <c r="B57" s="4"/>
      <c r="F57" s="4"/>
      <c r="K57" s="4"/>
      <c r="L57" s="4"/>
    </row>
    <row r="58" spans="1:12" ht="27.75" customHeight="1">
      <c r="B58" s="4"/>
      <c r="F58" s="4"/>
      <c r="K58" s="4"/>
      <c r="L58" s="4"/>
    </row>
    <row r="59" spans="1:12" ht="27.75" customHeight="1">
      <c r="B59" s="4"/>
      <c r="F59" s="4"/>
      <c r="K59" s="4"/>
      <c r="L59" s="4"/>
    </row>
    <row r="60" spans="1:12" ht="27.75" customHeight="1">
      <c r="B60" s="4"/>
      <c r="F60" s="4"/>
      <c r="K60" s="4"/>
      <c r="L60" s="4"/>
    </row>
    <row r="61" spans="1:12" ht="27.75" customHeight="1">
      <c r="B61" s="4"/>
      <c r="F61" s="4"/>
      <c r="K61" s="4"/>
      <c r="L61" s="4"/>
    </row>
    <row r="62" spans="1:12" ht="27.75" customHeight="1">
      <c r="B62" s="4"/>
      <c r="F62" s="4"/>
      <c r="K62" s="4"/>
      <c r="L62" s="4"/>
    </row>
    <row r="63" spans="1:12" ht="27.75" customHeight="1">
      <c r="B63" s="4"/>
      <c r="F63" s="4"/>
      <c r="K63" s="4"/>
      <c r="L63" s="4"/>
    </row>
    <row r="64" spans="1:12" ht="27.75" customHeight="1">
      <c r="B64" s="4"/>
      <c r="F64" s="4"/>
      <c r="K64" s="4"/>
      <c r="L64" s="4"/>
    </row>
    <row r="65" spans="2:12" ht="27.75" customHeight="1">
      <c r="B65" s="4"/>
      <c r="F65" s="4"/>
      <c r="K65" s="4"/>
      <c r="L65" s="4"/>
    </row>
    <row r="66" spans="2:12" ht="27.75" customHeight="1">
      <c r="B66" s="4"/>
      <c r="F66" s="4"/>
      <c r="K66" s="4"/>
      <c r="L66" s="4"/>
    </row>
    <row r="67" spans="2:12" ht="27.75" customHeight="1">
      <c r="B67" s="4"/>
      <c r="F67" s="4"/>
      <c r="K67" s="4"/>
      <c r="L67" s="4"/>
    </row>
    <row r="68" spans="2:12" ht="27.75" customHeight="1">
      <c r="B68" s="4"/>
      <c r="F68" s="4"/>
      <c r="K68" s="4"/>
      <c r="L68" s="4"/>
    </row>
    <row r="69" spans="2:12" ht="27.75" customHeight="1">
      <c r="B69" s="4"/>
      <c r="F69" s="4"/>
      <c r="K69" s="4"/>
      <c r="L69" s="4"/>
    </row>
    <row r="81" spans="4:7" s="4" customFormat="1" ht="27.75" customHeight="1">
      <c r="D81" s="552"/>
      <c r="E81" s="372"/>
      <c r="G81" s="507"/>
    </row>
    <row r="82" spans="4:7" s="4" customFormat="1" ht="27.75" customHeight="1">
      <c r="D82" s="552"/>
      <c r="E82" s="372"/>
      <c r="G82" s="507"/>
    </row>
    <row r="83" spans="4:7" s="4" customFormat="1" ht="27.75" customHeight="1">
      <c r="D83" s="552"/>
      <c r="E83" s="372"/>
      <c r="G83" s="507"/>
    </row>
    <row r="84" spans="4:7" s="4" customFormat="1" ht="27.75" customHeight="1">
      <c r="D84" s="552"/>
      <c r="E84" s="372"/>
      <c r="G84" s="507"/>
    </row>
    <row r="85" spans="4:7" s="4" customFormat="1" ht="27.75" customHeight="1">
      <c r="D85" s="552"/>
      <c r="E85" s="372"/>
      <c r="G85" s="507"/>
    </row>
    <row r="86" spans="4:7" s="4" customFormat="1" ht="27.75" customHeight="1">
      <c r="D86" s="552"/>
      <c r="E86" s="372"/>
      <c r="G86" s="507"/>
    </row>
    <row r="87" spans="4:7" s="4" customFormat="1" ht="27.75" customHeight="1">
      <c r="D87" s="552"/>
      <c r="E87" s="372"/>
      <c r="G87" s="507"/>
    </row>
    <row r="88" spans="4:7" s="4" customFormat="1" ht="27.75" customHeight="1">
      <c r="D88" s="552"/>
      <c r="E88" s="372"/>
      <c r="G88" s="507"/>
    </row>
    <row r="89" spans="4:7" s="4" customFormat="1" ht="27.75" customHeight="1">
      <c r="D89" s="552"/>
      <c r="E89" s="372"/>
      <c r="G89" s="507"/>
    </row>
    <row r="90" spans="4:7" s="4" customFormat="1" ht="27.75" customHeight="1">
      <c r="D90" s="552"/>
      <c r="E90" s="372"/>
      <c r="G90" s="507"/>
    </row>
    <row r="91" spans="4:7" s="4" customFormat="1" ht="27.75" customHeight="1">
      <c r="D91" s="552"/>
      <c r="E91" s="372"/>
      <c r="G91" s="507"/>
    </row>
    <row r="92" spans="4:7" s="4" customFormat="1" ht="27.75" customHeight="1">
      <c r="D92" s="552"/>
      <c r="E92" s="372"/>
      <c r="G92" s="507"/>
    </row>
    <row r="93" spans="4:7" s="4" customFormat="1" ht="27.75" customHeight="1">
      <c r="D93" s="552"/>
      <c r="E93" s="372"/>
      <c r="G93" s="507"/>
    </row>
  </sheetData>
  <mergeCells count="20">
    <mergeCell ref="A41:H41"/>
    <mergeCell ref="J4:J6"/>
    <mergeCell ref="K4:K6"/>
    <mergeCell ref="L4:L6"/>
    <mergeCell ref="A5:A6"/>
    <mergeCell ref="B5:B6"/>
    <mergeCell ref="C5:C6"/>
    <mergeCell ref="E5:E6"/>
    <mergeCell ref="F5:F6"/>
    <mergeCell ref="I4:I6"/>
    <mergeCell ref="B21:C21"/>
    <mergeCell ref="B25:C25"/>
    <mergeCell ref="B28:C28"/>
    <mergeCell ref="A39:H39"/>
    <mergeCell ref="A40:H40"/>
    <mergeCell ref="A1:G1"/>
    <mergeCell ref="A2:G2"/>
    <mergeCell ref="A3:G3"/>
    <mergeCell ref="E4:G4"/>
    <mergeCell ref="H4:H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6CE2-A2E3-4744-948F-0DCC133CB0D7}">
  <sheetPr>
    <tabColor rgb="FF00B0F0"/>
  </sheetPr>
  <dimension ref="A1:Y327"/>
  <sheetViews>
    <sheetView zoomScale="60" zoomScaleNormal="60" workbookViewId="0">
      <pane ySplit="6" topLeftCell="A261" activePane="bottomLeft" state="frozen"/>
      <selection pane="bottomLeft" activeCell="H155" sqref="H155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0.5546875" style="510" customWidth="1"/>
    <col min="5" max="5" width="18.88671875" style="511" customWidth="1"/>
    <col min="6" max="6" width="4.88671875" style="506" customWidth="1"/>
    <col min="7" max="7" width="20.109375" style="509" customWidth="1"/>
    <col min="8" max="8" width="18.33203125" style="509" customWidth="1"/>
    <col min="9" max="9" width="21.44140625" style="504" customWidth="1"/>
    <col min="10" max="10" width="21.6640625" style="3" customWidth="1"/>
    <col min="11" max="11" width="24.5546875" style="372" customWidth="1"/>
    <col min="12" max="12" width="22.109375" style="512" customWidth="1"/>
    <col min="13" max="13" width="20" style="372" customWidth="1"/>
    <col min="14" max="14" width="9.109375" style="2" customWidth="1"/>
    <col min="15" max="15" width="24" style="513" customWidth="1"/>
    <col min="16" max="16" width="16.6640625" style="513" customWidth="1"/>
    <col min="17" max="17" width="23.6640625" style="507" customWidth="1"/>
    <col min="18" max="18" width="5.33203125" style="2" hidden="1" customWidth="1"/>
    <col min="19" max="19" width="9" style="508" hidden="1" customWidth="1"/>
    <col min="20" max="20" width="9.6640625" style="508" hidden="1" customWidth="1"/>
    <col min="21" max="21" width="10.88671875" style="512" hidden="1" customWidth="1"/>
    <col min="22" max="22" width="24.5546875" style="512" hidden="1" customWidth="1"/>
    <col min="23" max="24" width="8.88671875" style="4" hidden="1" customWidth="1"/>
    <col min="25" max="16384" width="8.88671875" style="4"/>
  </cols>
  <sheetData>
    <row r="1" spans="1:23" ht="28.5" customHeight="1">
      <c r="A1" s="653" t="s">
        <v>0</v>
      </c>
      <c r="B1" s="653"/>
      <c r="C1" s="653"/>
      <c r="D1" s="653"/>
      <c r="E1" s="653"/>
      <c r="F1" s="653"/>
      <c r="G1" s="653"/>
      <c r="H1" s="653"/>
      <c r="I1" s="653"/>
      <c r="J1" s="653"/>
      <c r="K1" s="653"/>
      <c r="L1" s="653"/>
      <c r="M1" s="653"/>
      <c r="N1" s="653"/>
      <c r="O1" s="653"/>
      <c r="P1" s="653"/>
      <c r="Q1" s="653"/>
      <c r="S1" s="3"/>
      <c r="T1" s="3"/>
      <c r="U1" s="1"/>
      <c r="V1" s="1"/>
    </row>
    <row r="2" spans="1:23" ht="23.25" customHeight="1">
      <c r="A2" s="653" t="s">
        <v>1</v>
      </c>
      <c r="B2" s="653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3"/>
      <c r="R2" s="5"/>
      <c r="S2" s="3"/>
      <c r="T2" s="3"/>
      <c r="U2" s="1"/>
      <c r="V2" s="1"/>
    </row>
    <row r="3" spans="1:23" ht="28.5" customHeight="1">
      <c r="A3" s="654" t="s">
        <v>935</v>
      </c>
      <c r="B3" s="654"/>
      <c r="C3" s="654"/>
      <c r="D3" s="654"/>
      <c r="E3" s="654"/>
      <c r="F3" s="654"/>
      <c r="G3" s="654"/>
      <c r="H3" s="654"/>
      <c r="I3" s="654"/>
      <c r="J3" s="654"/>
      <c r="K3" s="654"/>
      <c r="L3" s="654"/>
      <c r="M3" s="654"/>
      <c r="N3" s="654"/>
      <c r="O3" s="654"/>
      <c r="P3" s="654"/>
      <c r="Q3" s="654"/>
      <c r="S3" s="3"/>
      <c r="T3" s="3"/>
      <c r="U3" s="6"/>
      <c r="V3" s="6"/>
    </row>
    <row r="4" spans="1:23" ht="27.75" customHeight="1">
      <c r="A4" s="7"/>
      <c r="B4" s="8"/>
      <c r="C4" s="9"/>
      <c r="D4" s="10"/>
      <c r="E4" s="655" t="s">
        <v>3</v>
      </c>
      <c r="F4" s="656"/>
      <c r="G4" s="656"/>
      <c r="H4" s="656"/>
      <c r="I4" s="657"/>
      <c r="J4" s="11"/>
      <c r="K4" s="12" t="s">
        <v>4</v>
      </c>
      <c r="L4" s="13"/>
      <c r="M4" s="655" t="s">
        <v>5</v>
      </c>
      <c r="N4" s="656"/>
      <c r="O4" s="656"/>
      <c r="P4" s="656"/>
      <c r="Q4" s="657"/>
      <c r="R4" s="658" t="s">
        <v>6</v>
      </c>
      <c r="S4" s="671" t="s">
        <v>7</v>
      </c>
      <c r="T4" s="671" t="s">
        <v>8</v>
      </c>
      <c r="U4" s="661" t="s">
        <v>9</v>
      </c>
      <c r="V4" s="661" t="s">
        <v>10</v>
      </c>
    </row>
    <row r="5" spans="1:23" ht="27.75" customHeight="1">
      <c r="A5" s="664" t="s">
        <v>11</v>
      </c>
      <c r="B5" s="666" t="s">
        <v>12</v>
      </c>
      <c r="C5" s="666" t="s">
        <v>13</v>
      </c>
      <c r="D5" s="685" t="s">
        <v>14</v>
      </c>
      <c r="E5" s="687" t="s">
        <v>15</v>
      </c>
      <c r="F5" s="689" t="s">
        <v>16</v>
      </c>
      <c r="G5" s="679" t="s">
        <v>17</v>
      </c>
      <c r="H5" s="680"/>
      <c r="I5" s="681"/>
      <c r="J5" s="14" t="s">
        <v>18</v>
      </c>
      <c r="K5" s="691" t="s">
        <v>19</v>
      </c>
      <c r="L5" s="693" t="s">
        <v>20</v>
      </c>
      <c r="M5" s="664" t="s">
        <v>15</v>
      </c>
      <c r="N5" s="669" t="s">
        <v>16</v>
      </c>
      <c r="O5" s="679" t="s">
        <v>17</v>
      </c>
      <c r="P5" s="680"/>
      <c r="Q5" s="681"/>
      <c r="R5" s="659"/>
      <c r="S5" s="672"/>
      <c r="T5" s="672"/>
      <c r="U5" s="662"/>
      <c r="V5" s="662"/>
    </row>
    <row r="6" spans="1:23" ht="27.75" customHeight="1" thickBot="1">
      <c r="A6" s="665"/>
      <c r="B6" s="667"/>
      <c r="C6" s="667"/>
      <c r="D6" s="686"/>
      <c r="E6" s="688"/>
      <c r="F6" s="690"/>
      <c r="G6" s="15" t="s">
        <v>20</v>
      </c>
      <c r="H6" s="16" t="s">
        <v>21</v>
      </c>
      <c r="I6" s="17" t="s">
        <v>22</v>
      </c>
      <c r="J6" s="18"/>
      <c r="K6" s="692"/>
      <c r="L6" s="694"/>
      <c r="M6" s="668"/>
      <c r="N6" s="670"/>
      <c r="O6" s="19" t="s">
        <v>20</v>
      </c>
      <c r="P6" s="20" t="s">
        <v>21</v>
      </c>
      <c r="Q6" s="21" t="s">
        <v>22</v>
      </c>
      <c r="R6" s="660"/>
      <c r="S6" s="673"/>
      <c r="T6" s="673"/>
      <c r="U6" s="663"/>
      <c r="V6" s="663"/>
    </row>
    <row r="7" spans="1:23" ht="27.75" customHeight="1" thickTop="1">
      <c r="A7" s="22"/>
      <c r="B7" s="23" t="s">
        <v>23</v>
      </c>
      <c r="C7" s="24"/>
      <c r="D7" s="25"/>
      <c r="E7" s="26"/>
      <c r="F7" s="27"/>
      <c r="G7" s="28"/>
      <c r="H7" s="28"/>
      <c r="I7" s="28"/>
      <c r="J7" s="29"/>
      <c r="K7" s="30"/>
      <c r="L7" s="31"/>
      <c r="M7" s="32"/>
      <c r="N7" s="33"/>
      <c r="O7" s="34"/>
      <c r="P7" s="34"/>
      <c r="Q7" s="35"/>
      <c r="R7" s="36"/>
      <c r="S7" s="37"/>
      <c r="T7" s="37"/>
      <c r="U7" s="38"/>
      <c r="V7" s="38"/>
      <c r="W7" s="38"/>
    </row>
    <row r="8" spans="1:23" s="57" customFormat="1" ht="27.75" customHeight="1">
      <c r="A8" s="39">
        <v>1</v>
      </c>
      <c r="B8" s="40" t="s">
        <v>24</v>
      </c>
      <c r="C8" s="41" t="s">
        <v>25</v>
      </c>
      <c r="D8" s="42">
        <v>4012.5</v>
      </c>
      <c r="E8" s="43" t="s">
        <v>26</v>
      </c>
      <c r="F8" s="44">
        <v>0</v>
      </c>
      <c r="G8" s="45">
        <v>0</v>
      </c>
      <c r="H8" s="46">
        <v>0</v>
      </c>
      <c r="I8" s="47">
        <v>0</v>
      </c>
      <c r="J8" s="48">
        <v>46057</v>
      </c>
      <c r="K8" s="49" t="s">
        <v>936</v>
      </c>
      <c r="L8" s="50">
        <v>4012.5</v>
      </c>
      <c r="M8" s="51" t="s">
        <v>26</v>
      </c>
      <c r="N8" s="52">
        <v>0</v>
      </c>
      <c r="O8" s="53">
        <v>0</v>
      </c>
      <c r="P8" s="53">
        <f t="shared" ref="P8:P44" si="0">ROUND((O8*0.07),2)</f>
        <v>0</v>
      </c>
      <c r="Q8" s="54">
        <f t="shared" ref="Q8:Q44" si="1">+O8+P8</f>
        <v>0</v>
      </c>
      <c r="R8" s="39"/>
      <c r="S8" s="55"/>
      <c r="T8" s="55"/>
      <c r="U8" s="56"/>
      <c r="V8" s="56"/>
    </row>
    <row r="9" spans="1:23" s="57" customFormat="1" ht="27.75" customHeight="1">
      <c r="A9" s="39">
        <v>2</v>
      </c>
      <c r="B9" s="40" t="s">
        <v>28</v>
      </c>
      <c r="C9" s="41" t="s">
        <v>29</v>
      </c>
      <c r="D9" s="58">
        <v>4012.5</v>
      </c>
      <c r="E9" s="43" t="s">
        <v>823</v>
      </c>
      <c r="F9" s="44">
        <v>-1</v>
      </c>
      <c r="G9" s="45">
        <v>-3750</v>
      </c>
      <c r="H9" s="46">
        <v>-262.5</v>
      </c>
      <c r="I9" s="47">
        <v>-4012.5</v>
      </c>
      <c r="J9" s="48">
        <v>46081</v>
      </c>
      <c r="K9" s="49" t="s">
        <v>937</v>
      </c>
      <c r="L9" s="50">
        <v>4012.5</v>
      </c>
      <c r="M9" s="51" t="s">
        <v>952</v>
      </c>
      <c r="N9" s="52">
        <v>-1</v>
      </c>
      <c r="O9" s="53">
        <f>+(D9*100/107)+G9-(L9*100/107)</f>
        <v>-3750</v>
      </c>
      <c r="P9" s="53">
        <f t="shared" si="0"/>
        <v>-262.5</v>
      </c>
      <c r="Q9" s="54">
        <f t="shared" si="1"/>
        <v>-4012.5</v>
      </c>
      <c r="R9" s="39"/>
      <c r="S9" s="55"/>
      <c r="T9" s="55"/>
      <c r="U9" s="56"/>
      <c r="V9" s="56"/>
    </row>
    <row r="10" spans="1:23" s="57" customFormat="1" ht="27.75" customHeight="1">
      <c r="A10" s="39">
        <v>3</v>
      </c>
      <c r="B10" s="40" t="s">
        <v>24</v>
      </c>
      <c r="C10" s="41" t="s">
        <v>33</v>
      </c>
      <c r="D10" s="58">
        <v>4012.5</v>
      </c>
      <c r="E10" s="43" t="s">
        <v>26</v>
      </c>
      <c r="F10" s="44">
        <v>0</v>
      </c>
      <c r="G10" s="45">
        <v>0</v>
      </c>
      <c r="H10" s="46">
        <v>0</v>
      </c>
      <c r="I10" s="47">
        <v>0</v>
      </c>
      <c r="J10" s="48">
        <v>46057</v>
      </c>
      <c r="K10" s="49" t="s">
        <v>936</v>
      </c>
      <c r="L10" s="50">
        <v>4012.5</v>
      </c>
      <c r="M10" s="51" t="s">
        <v>26</v>
      </c>
      <c r="N10" s="52">
        <v>0</v>
      </c>
      <c r="O10" s="53">
        <f t="shared" ref="O10:O23" si="2">+(D10*100/107)+G10-(L10*100/107)</f>
        <v>0</v>
      </c>
      <c r="P10" s="53">
        <f t="shared" si="0"/>
        <v>0</v>
      </c>
      <c r="Q10" s="54">
        <f t="shared" si="1"/>
        <v>0</v>
      </c>
      <c r="R10" s="39"/>
      <c r="S10" s="55"/>
      <c r="T10" s="55"/>
      <c r="U10" s="56"/>
      <c r="V10" s="56"/>
    </row>
    <row r="11" spans="1:23" s="57" customFormat="1" ht="27.75" customHeight="1">
      <c r="A11" s="39">
        <v>4</v>
      </c>
      <c r="B11" s="40" t="s">
        <v>34</v>
      </c>
      <c r="C11" s="41" t="s">
        <v>35</v>
      </c>
      <c r="D11" s="58">
        <v>4012.5</v>
      </c>
      <c r="E11" s="43" t="s">
        <v>823</v>
      </c>
      <c r="F11" s="44">
        <v>-1</v>
      </c>
      <c r="G11" s="45">
        <v>-3750</v>
      </c>
      <c r="H11" s="46">
        <v>-262.5</v>
      </c>
      <c r="I11" s="47">
        <v>-4012.5</v>
      </c>
      <c r="J11" s="48">
        <v>46081</v>
      </c>
      <c r="K11" s="49" t="s">
        <v>937</v>
      </c>
      <c r="L11" s="50">
        <v>4012.5</v>
      </c>
      <c r="M11" s="51" t="s">
        <v>952</v>
      </c>
      <c r="N11" s="52">
        <v>-1</v>
      </c>
      <c r="O11" s="53">
        <f t="shared" si="2"/>
        <v>-3750</v>
      </c>
      <c r="P11" s="53">
        <f t="shared" si="0"/>
        <v>-262.5</v>
      </c>
      <c r="Q11" s="54">
        <f t="shared" si="1"/>
        <v>-4012.5</v>
      </c>
      <c r="R11" s="39"/>
      <c r="S11" s="55"/>
      <c r="T11" s="55"/>
      <c r="U11" s="56"/>
      <c r="V11" s="56"/>
    </row>
    <row r="12" spans="1:23" s="57" customFormat="1" ht="27.75" customHeight="1">
      <c r="A12" s="39">
        <v>5</v>
      </c>
      <c r="B12" s="40" t="s">
        <v>36</v>
      </c>
      <c r="C12" s="41" t="s">
        <v>37</v>
      </c>
      <c r="D12" s="58">
        <v>4012.5</v>
      </c>
      <c r="E12" s="43" t="s">
        <v>26</v>
      </c>
      <c r="F12" s="44">
        <v>0</v>
      </c>
      <c r="G12" s="45">
        <v>0</v>
      </c>
      <c r="H12" s="46">
        <v>0</v>
      </c>
      <c r="I12" s="47">
        <v>0</v>
      </c>
      <c r="J12" s="48">
        <v>46058</v>
      </c>
      <c r="K12" s="49" t="s">
        <v>938</v>
      </c>
      <c r="L12" s="50">
        <v>4012.5</v>
      </c>
      <c r="M12" s="51" t="s">
        <v>26</v>
      </c>
      <c r="N12" s="52">
        <v>0</v>
      </c>
      <c r="O12" s="53">
        <f t="shared" si="2"/>
        <v>0</v>
      </c>
      <c r="P12" s="53">
        <f t="shared" si="0"/>
        <v>0</v>
      </c>
      <c r="Q12" s="54">
        <f t="shared" si="1"/>
        <v>0</v>
      </c>
      <c r="R12" s="39"/>
      <c r="S12" s="55"/>
      <c r="T12" s="55"/>
      <c r="U12" s="56"/>
      <c r="V12" s="56"/>
    </row>
    <row r="13" spans="1:23" s="57" customFormat="1" ht="27.75" customHeight="1">
      <c r="A13" s="39">
        <v>6</v>
      </c>
      <c r="B13" s="40" t="s">
        <v>34</v>
      </c>
      <c r="C13" s="41" t="s">
        <v>39</v>
      </c>
      <c r="D13" s="58">
        <v>4012.5</v>
      </c>
      <c r="E13" s="43" t="s">
        <v>823</v>
      </c>
      <c r="F13" s="44">
        <v>-1</v>
      </c>
      <c r="G13" s="45">
        <v>-3750</v>
      </c>
      <c r="H13" s="46">
        <v>-262.5</v>
      </c>
      <c r="I13" s="47">
        <v>-4012.5</v>
      </c>
      <c r="J13" s="48">
        <v>46081</v>
      </c>
      <c r="K13" s="49" t="s">
        <v>937</v>
      </c>
      <c r="L13" s="50">
        <v>4012.5</v>
      </c>
      <c r="M13" s="51" t="s">
        <v>952</v>
      </c>
      <c r="N13" s="52">
        <v>-1</v>
      </c>
      <c r="O13" s="53">
        <f t="shared" si="2"/>
        <v>-3750</v>
      </c>
      <c r="P13" s="53">
        <f t="shared" si="0"/>
        <v>-262.5</v>
      </c>
      <c r="Q13" s="54">
        <f t="shared" si="1"/>
        <v>-4012.5</v>
      </c>
      <c r="R13" s="39"/>
      <c r="S13" s="55"/>
      <c r="T13" s="55"/>
      <c r="U13" s="56"/>
      <c r="V13" s="56"/>
    </row>
    <row r="14" spans="1:23" s="57" customFormat="1" ht="27.75" customHeight="1">
      <c r="A14" s="39">
        <v>7</v>
      </c>
      <c r="B14" s="40" t="s">
        <v>40</v>
      </c>
      <c r="C14" s="41" t="s">
        <v>41</v>
      </c>
      <c r="D14" s="58">
        <v>4012.5</v>
      </c>
      <c r="E14" s="43" t="s">
        <v>26</v>
      </c>
      <c r="F14" s="44">
        <v>0</v>
      </c>
      <c r="G14" s="45">
        <v>0</v>
      </c>
      <c r="H14" s="46">
        <v>0</v>
      </c>
      <c r="I14" s="47">
        <v>0</v>
      </c>
      <c r="J14" s="48">
        <v>46057</v>
      </c>
      <c r="K14" s="49" t="s">
        <v>939</v>
      </c>
      <c r="L14" s="50">
        <v>4012.5</v>
      </c>
      <c r="M14" s="51" t="s">
        <v>26</v>
      </c>
      <c r="N14" s="52">
        <v>0</v>
      </c>
      <c r="O14" s="53">
        <f t="shared" si="2"/>
        <v>0</v>
      </c>
      <c r="P14" s="53">
        <f t="shared" si="0"/>
        <v>0</v>
      </c>
      <c r="Q14" s="54">
        <f t="shared" si="1"/>
        <v>0</v>
      </c>
      <c r="R14" s="39"/>
      <c r="S14" s="55"/>
      <c r="T14" s="55"/>
      <c r="U14" s="56"/>
      <c r="V14" s="56"/>
    </row>
    <row r="15" spans="1:23" s="57" customFormat="1" ht="27.75" customHeight="1">
      <c r="A15" s="39">
        <v>8</v>
      </c>
      <c r="B15" s="40" t="s">
        <v>43</v>
      </c>
      <c r="C15" s="41" t="s">
        <v>44</v>
      </c>
      <c r="D15" s="58">
        <v>4012.5</v>
      </c>
      <c r="E15" s="43" t="s">
        <v>823</v>
      </c>
      <c r="F15" s="44">
        <v>0</v>
      </c>
      <c r="G15" s="45">
        <v>-3750</v>
      </c>
      <c r="H15" s="46">
        <v>-262.5</v>
      </c>
      <c r="I15" s="47">
        <v>-4012.5</v>
      </c>
      <c r="J15" s="48"/>
      <c r="K15" s="49"/>
      <c r="L15" s="50">
        <v>0</v>
      </c>
      <c r="M15" s="51" t="s">
        <v>45</v>
      </c>
      <c r="N15" s="52">
        <v>0</v>
      </c>
      <c r="O15" s="53">
        <f t="shared" si="2"/>
        <v>0</v>
      </c>
      <c r="P15" s="53">
        <f t="shared" si="0"/>
        <v>0</v>
      </c>
      <c r="Q15" s="54">
        <f t="shared" si="1"/>
        <v>0</v>
      </c>
      <c r="R15" s="39"/>
      <c r="S15" s="55"/>
      <c r="T15" s="55"/>
      <c r="U15" s="56"/>
      <c r="V15" s="56"/>
    </row>
    <row r="16" spans="1:23" s="57" customFormat="1" ht="27.75" customHeight="1">
      <c r="A16" s="39">
        <v>9</v>
      </c>
      <c r="B16" s="40" t="s">
        <v>47</v>
      </c>
      <c r="C16" s="41" t="s">
        <v>48</v>
      </c>
      <c r="D16" s="58">
        <v>4012.5</v>
      </c>
      <c r="E16" s="43" t="s">
        <v>26</v>
      </c>
      <c r="F16" s="44">
        <v>0</v>
      </c>
      <c r="G16" s="45">
        <v>0</v>
      </c>
      <c r="H16" s="46">
        <v>0</v>
      </c>
      <c r="I16" s="47">
        <v>0</v>
      </c>
      <c r="J16" s="48">
        <v>46058</v>
      </c>
      <c r="K16" s="49" t="s">
        <v>940</v>
      </c>
      <c r="L16" s="50">
        <v>4012.5</v>
      </c>
      <c r="M16" s="51" t="s">
        <v>26</v>
      </c>
      <c r="N16" s="52">
        <v>0</v>
      </c>
      <c r="O16" s="53">
        <f t="shared" si="2"/>
        <v>0</v>
      </c>
      <c r="P16" s="53">
        <f t="shared" si="0"/>
        <v>0</v>
      </c>
      <c r="Q16" s="54">
        <f t="shared" si="1"/>
        <v>0</v>
      </c>
      <c r="R16" s="39"/>
      <c r="S16" s="55"/>
      <c r="T16" s="55"/>
      <c r="U16" s="56"/>
      <c r="V16" s="56"/>
    </row>
    <row r="17" spans="1:25" s="57" customFormat="1" ht="27.75" customHeight="1">
      <c r="A17" s="39">
        <v>10</v>
      </c>
      <c r="B17" s="40" t="s">
        <v>50</v>
      </c>
      <c r="C17" s="41" t="s">
        <v>51</v>
      </c>
      <c r="D17" s="58">
        <v>4012.5</v>
      </c>
      <c r="E17" s="43" t="s">
        <v>45</v>
      </c>
      <c r="F17" s="44">
        <v>0</v>
      </c>
      <c r="G17" s="45">
        <v>0</v>
      </c>
      <c r="H17" s="46">
        <v>0</v>
      </c>
      <c r="I17" s="47">
        <v>0</v>
      </c>
      <c r="J17" s="48">
        <v>46058</v>
      </c>
      <c r="K17" s="49" t="s">
        <v>941</v>
      </c>
      <c r="L17" s="50">
        <v>4012.5</v>
      </c>
      <c r="M17" s="51" t="s">
        <v>45</v>
      </c>
      <c r="N17" s="52">
        <v>0</v>
      </c>
      <c r="O17" s="53">
        <f t="shared" si="2"/>
        <v>0</v>
      </c>
      <c r="P17" s="53">
        <f t="shared" si="0"/>
        <v>0</v>
      </c>
      <c r="Q17" s="54">
        <f t="shared" si="1"/>
        <v>0</v>
      </c>
      <c r="R17" s="39"/>
      <c r="S17" s="55"/>
      <c r="T17" s="55"/>
      <c r="U17" s="56"/>
      <c r="V17" s="56"/>
    </row>
    <row r="18" spans="1:25" s="57" customFormat="1" ht="27.75" customHeight="1">
      <c r="A18" s="39">
        <v>11</v>
      </c>
      <c r="B18" s="40" t="s">
        <v>53</v>
      </c>
      <c r="C18" s="41" t="s">
        <v>54</v>
      </c>
      <c r="D18" s="58">
        <v>4012.5</v>
      </c>
      <c r="E18" s="43" t="s">
        <v>45</v>
      </c>
      <c r="F18" s="44">
        <v>-1</v>
      </c>
      <c r="G18" s="45">
        <v>0</v>
      </c>
      <c r="H18" s="46">
        <v>0</v>
      </c>
      <c r="I18" s="47">
        <v>0</v>
      </c>
      <c r="J18" s="48">
        <v>46057</v>
      </c>
      <c r="K18" s="59" t="s">
        <v>942</v>
      </c>
      <c r="L18" s="50">
        <v>4012.5</v>
      </c>
      <c r="M18" s="51" t="s">
        <v>45</v>
      </c>
      <c r="N18" s="52">
        <v>0</v>
      </c>
      <c r="O18" s="53">
        <f t="shared" si="2"/>
        <v>0</v>
      </c>
      <c r="P18" s="53">
        <f t="shared" si="0"/>
        <v>0</v>
      </c>
      <c r="Q18" s="54">
        <f t="shared" si="1"/>
        <v>0</v>
      </c>
      <c r="R18" s="39"/>
      <c r="S18" s="55"/>
      <c r="T18" s="55"/>
      <c r="U18" s="56"/>
      <c r="V18" s="56"/>
      <c r="Y18" s="57" t="s">
        <v>56</v>
      </c>
    </row>
    <row r="19" spans="1:25" s="57" customFormat="1" ht="27.75" customHeight="1">
      <c r="A19" s="39">
        <v>12</v>
      </c>
      <c r="B19" s="40" t="s">
        <v>57</v>
      </c>
      <c r="C19" s="41" t="s">
        <v>58</v>
      </c>
      <c r="D19" s="58">
        <v>4012.5</v>
      </c>
      <c r="E19" s="43" t="s">
        <v>26</v>
      </c>
      <c r="F19" s="44">
        <v>0</v>
      </c>
      <c r="G19" s="45">
        <v>0</v>
      </c>
      <c r="H19" s="46">
        <v>0</v>
      </c>
      <c r="I19" s="47">
        <v>0</v>
      </c>
      <c r="J19" s="48">
        <v>46054</v>
      </c>
      <c r="K19" s="49" t="s">
        <v>943</v>
      </c>
      <c r="L19" s="50">
        <v>4012.5</v>
      </c>
      <c r="M19" s="51" t="s">
        <v>26</v>
      </c>
      <c r="N19" s="52">
        <v>0</v>
      </c>
      <c r="O19" s="53">
        <f t="shared" si="2"/>
        <v>0</v>
      </c>
      <c r="P19" s="53">
        <f t="shared" si="0"/>
        <v>0</v>
      </c>
      <c r="Q19" s="54">
        <f t="shared" si="1"/>
        <v>0</v>
      </c>
      <c r="R19" s="39"/>
      <c r="S19" s="55"/>
      <c r="T19" s="55"/>
      <c r="U19" s="56"/>
      <c r="V19" s="56"/>
    </row>
    <row r="20" spans="1:25" s="57" customFormat="1" ht="27.75" customHeight="1">
      <c r="A20" s="39">
        <v>13</v>
      </c>
      <c r="B20" s="40" t="s">
        <v>60</v>
      </c>
      <c r="C20" s="41" t="s">
        <v>61</v>
      </c>
      <c r="D20" s="58">
        <v>4012.5</v>
      </c>
      <c r="E20" s="43" t="s">
        <v>26</v>
      </c>
      <c r="F20" s="44">
        <v>0</v>
      </c>
      <c r="G20" s="45">
        <v>0</v>
      </c>
      <c r="H20" s="46">
        <v>0</v>
      </c>
      <c r="I20" s="47">
        <v>0</v>
      </c>
      <c r="J20" s="48">
        <v>46054</v>
      </c>
      <c r="K20" s="49" t="s">
        <v>944</v>
      </c>
      <c r="L20" s="50">
        <v>4012.5</v>
      </c>
      <c r="M20" s="51" t="s">
        <v>26</v>
      </c>
      <c r="N20" s="52">
        <v>0</v>
      </c>
      <c r="O20" s="53">
        <f t="shared" si="2"/>
        <v>0</v>
      </c>
      <c r="P20" s="53">
        <f t="shared" si="0"/>
        <v>0</v>
      </c>
      <c r="Q20" s="54">
        <f t="shared" si="1"/>
        <v>0</v>
      </c>
      <c r="R20" s="39"/>
      <c r="S20" s="55"/>
      <c r="T20" s="55"/>
      <c r="U20" s="56"/>
      <c r="V20" s="56"/>
    </row>
    <row r="21" spans="1:25" s="57" customFormat="1" ht="27.75" customHeight="1">
      <c r="A21" s="39">
        <v>14</v>
      </c>
      <c r="B21" s="40" t="s">
        <v>63</v>
      </c>
      <c r="C21" s="41" t="s">
        <v>64</v>
      </c>
      <c r="D21" s="58">
        <v>4012.5</v>
      </c>
      <c r="E21" s="43" t="s">
        <v>26</v>
      </c>
      <c r="F21" s="44">
        <v>0</v>
      </c>
      <c r="G21" s="45">
        <v>0</v>
      </c>
      <c r="H21" s="46">
        <v>0</v>
      </c>
      <c r="I21" s="47">
        <v>0</v>
      </c>
      <c r="J21" s="48">
        <v>46058</v>
      </c>
      <c r="K21" s="49" t="s">
        <v>945</v>
      </c>
      <c r="L21" s="50">
        <v>4012.5</v>
      </c>
      <c r="M21" s="51" t="s">
        <v>26</v>
      </c>
      <c r="N21" s="52">
        <v>0</v>
      </c>
      <c r="O21" s="53">
        <f t="shared" si="2"/>
        <v>0</v>
      </c>
      <c r="P21" s="53">
        <f t="shared" si="0"/>
        <v>0</v>
      </c>
      <c r="Q21" s="54">
        <f t="shared" si="1"/>
        <v>0</v>
      </c>
      <c r="R21" s="39"/>
      <c r="S21" s="55"/>
      <c r="T21" s="55"/>
      <c r="U21" s="56"/>
      <c r="V21" s="56"/>
    </row>
    <row r="22" spans="1:25" s="57" customFormat="1" ht="27.75" customHeight="1">
      <c r="A22" s="39">
        <v>15</v>
      </c>
      <c r="B22" s="40" t="s">
        <v>66</v>
      </c>
      <c r="C22" s="41" t="s">
        <v>67</v>
      </c>
      <c r="D22" s="58">
        <v>12037.5</v>
      </c>
      <c r="E22" s="43" t="s">
        <v>26</v>
      </c>
      <c r="F22" s="60">
        <v>0</v>
      </c>
      <c r="G22" s="61">
        <v>0</v>
      </c>
      <c r="H22" s="46">
        <v>0</v>
      </c>
      <c r="I22" s="47">
        <v>0</v>
      </c>
      <c r="J22" s="62"/>
      <c r="K22" s="49"/>
      <c r="L22" s="50">
        <v>0</v>
      </c>
      <c r="M22" s="51" t="s">
        <v>823</v>
      </c>
      <c r="N22" s="52">
        <v>1</v>
      </c>
      <c r="O22" s="53">
        <f t="shared" si="2"/>
        <v>11250</v>
      </c>
      <c r="P22" s="53">
        <f t="shared" si="0"/>
        <v>787.5</v>
      </c>
      <c r="Q22" s="54">
        <f t="shared" si="1"/>
        <v>12037.5</v>
      </c>
      <c r="R22" s="39"/>
      <c r="S22" s="55"/>
      <c r="T22" s="55"/>
      <c r="U22" s="56"/>
      <c r="V22" s="56"/>
    </row>
    <row r="23" spans="1:25" s="57" customFormat="1" ht="27.75" customHeight="1">
      <c r="A23" s="39">
        <v>16</v>
      </c>
      <c r="B23" s="40" t="s">
        <v>66</v>
      </c>
      <c r="C23" s="41" t="s">
        <v>69</v>
      </c>
      <c r="D23" s="63">
        <v>4012.5</v>
      </c>
      <c r="E23" s="64" t="s">
        <v>26</v>
      </c>
      <c r="F23" s="44">
        <v>0</v>
      </c>
      <c r="G23" s="45">
        <v>0</v>
      </c>
      <c r="H23" s="65">
        <v>0</v>
      </c>
      <c r="I23" s="66">
        <v>0</v>
      </c>
      <c r="J23" s="62"/>
      <c r="K23" s="49"/>
      <c r="L23" s="50">
        <v>0</v>
      </c>
      <c r="M23" s="51" t="s">
        <v>823</v>
      </c>
      <c r="N23" s="52">
        <v>1</v>
      </c>
      <c r="O23" s="53">
        <f t="shared" si="2"/>
        <v>3750</v>
      </c>
      <c r="P23" s="53">
        <f t="shared" si="0"/>
        <v>262.5</v>
      </c>
      <c r="Q23" s="54">
        <f t="shared" si="1"/>
        <v>4012.5</v>
      </c>
      <c r="R23" s="39"/>
      <c r="S23" s="55"/>
      <c r="T23" s="55"/>
      <c r="U23" s="56"/>
      <c r="V23" s="56"/>
    </row>
    <row r="24" spans="1:25" s="57" customFormat="1" ht="35.25" customHeight="1" thickBot="1">
      <c r="A24" s="67"/>
      <c r="B24" s="68" t="s">
        <v>22</v>
      </c>
      <c r="C24" s="69"/>
      <c r="D24" s="70">
        <f>SUM(D8:D23)</f>
        <v>72225</v>
      </c>
      <c r="E24" s="71"/>
      <c r="F24" s="72"/>
      <c r="G24" s="73">
        <f>SUM(G8:G23)-G9-G11-G13-G18</f>
        <v>-3750</v>
      </c>
      <c r="H24" s="73">
        <f t="shared" ref="H24:I24" si="3">SUM(H8:H23)-H9-H11-H13-H18</f>
        <v>-262.5</v>
      </c>
      <c r="I24" s="73">
        <f t="shared" si="3"/>
        <v>-4012.5</v>
      </c>
      <c r="J24" s="74"/>
      <c r="K24" s="75"/>
      <c r="L24" s="76">
        <f>SUM(L8:L23)</f>
        <v>52162.5</v>
      </c>
      <c r="M24" s="77"/>
      <c r="N24" s="78"/>
      <c r="O24" s="79">
        <f>SUM(O8:O23)-O9-O11-O13</f>
        <v>15000</v>
      </c>
      <c r="P24" s="79">
        <f>SUM(P8:P23)-P9-P11-P13</f>
        <v>1050</v>
      </c>
      <c r="Q24" s="79">
        <f>SUM(Q8:Q23)-Q9-Q11-Q13</f>
        <v>16050</v>
      </c>
      <c r="R24" s="79">
        <f t="shared" ref="R24:X24" si="4">SUM(R8:R23)-R9-R11-R13-R15</f>
        <v>0</v>
      </c>
      <c r="S24" s="79">
        <f t="shared" si="4"/>
        <v>0</v>
      </c>
      <c r="T24" s="79">
        <f t="shared" si="4"/>
        <v>0</v>
      </c>
      <c r="U24" s="79">
        <f t="shared" si="4"/>
        <v>0</v>
      </c>
      <c r="V24" s="79">
        <f t="shared" si="4"/>
        <v>0</v>
      </c>
      <c r="W24" s="79">
        <f t="shared" si="4"/>
        <v>0</v>
      </c>
      <c r="X24" s="79">
        <f t="shared" si="4"/>
        <v>0</v>
      </c>
    </row>
    <row r="25" spans="1:25" s="91" customFormat="1" ht="27.75" customHeight="1" thickTop="1">
      <c r="A25" s="39">
        <v>1</v>
      </c>
      <c r="B25" s="80" t="s">
        <v>71</v>
      </c>
      <c r="C25" s="81" t="s">
        <v>72</v>
      </c>
      <c r="D25" s="82">
        <v>13375</v>
      </c>
      <c r="E25" s="83" t="s">
        <v>836</v>
      </c>
      <c r="F25" s="84">
        <v>-0.5</v>
      </c>
      <c r="G25" s="85">
        <v>-6250</v>
      </c>
      <c r="H25" s="46">
        <v>-437.5</v>
      </c>
      <c r="I25" s="85">
        <v>-6687.5</v>
      </c>
      <c r="J25" s="48">
        <v>46078</v>
      </c>
      <c r="K25" s="49" t="s">
        <v>946</v>
      </c>
      <c r="L25" s="86">
        <v>13375</v>
      </c>
      <c r="M25" s="87" t="s">
        <v>951</v>
      </c>
      <c r="N25" s="88">
        <v>-0.5</v>
      </c>
      <c r="O25" s="518">
        <f>+(D25*100/107)+G25-(L25*100/107)</f>
        <v>-6250</v>
      </c>
      <c r="P25" s="518">
        <f t="shared" ref="P25" si="5">ROUND((O25*0.07),2)</f>
        <v>-437.5</v>
      </c>
      <c r="Q25" s="519">
        <f t="shared" ref="Q25" si="6">+O25+P25</f>
        <v>-6687.5</v>
      </c>
      <c r="R25" s="39"/>
      <c r="S25" s="55"/>
      <c r="T25" s="55"/>
      <c r="U25" s="58"/>
      <c r="V25" s="58"/>
    </row>
    <row r="26" spans="1:25" s="57" customFormat="1" ht="27.75" customHeight="1">
      <c r="A26" s="39">
        <v>2</v>
      </c>
      <c r="B26" s="92" t="s">
        <v>76</v>
      </c>
      <c r="C26" s="41" t="s">
        <v>72</v>
      </c>
      <c r="D26" s="58">
        <v>1605</v>
      </c>
      <c r="E26" s="43" t="s">
        <v>45</v>
      </c>
      <c r="F26" s="60">
        <v>0</v>
      </c>
      <c r="G26" s="47">
        <v>0</v>
      </c>
      <c r="H26" s="46">
        <v>0</v>
      </c>
      <c r="I26" s="47">
        <v>0</v>
      </c>
      <c r="J26" s="62">
        <v>46058</v>
      </c>
      <c r="K26" s="49" t="s">
        <v>947</v>
      </c>
      <c r="L26" s="93">
        <v>1605</v>
      </c>
      <c r="M26" s="94" t="s">
        <v>45</v>
      </c>
      <c r="N26" s="95">
        <v>0</v>
      </c>
      <c r="O26" s="53">
        <f>+(D26*100/107)+G26-(L26*100/107)</f>
        <v>0</v>
      </c>
      <c r="P26" s="53">
        <f t="shared" si="0"/>
        <v>0</v>
      </c>
      <c r="Q26" s="54">
        <f t="shared" si="1"/>
        <v>0</v>
      </c>
      <c r="R26" s="39"/>
      <c r="S26" s="55"/>
      <c r="T26" s="55"/>
      <c r="U26" s="58"/>
      <c r="V26" s="58"/>
    </row>
    <row r="27" spans="1:25" s="57" customFormat="1" ht="27.75" customHeight="1" thickBot="1">
      <c r="A27" s="96"/>
      <c r="B27" s="97" t="s">
        <v>22</v>
      </c>
      <c r="C27" s="98"/>
      <c r="D27" s="99">
        <f>SUM(D25:D26)</f>
        <v>14980</v>
      </c>
      <c r="E27" s="100"/>
      <c r="F27" s="101"/>
      <c r="G27" s="102"/>
      <c r="H27" s="102"/>
      <c r="I27" s="102"/>
      <c r="J27" s="103"/>
      <c r="K27" s="104"/>
      <c r="L27" s="105">
        <f>SUM(L25:L26)</f>
        <v>14980</v>
      </c>
      <c r="M27" s="106"/>
      <c r="N27" s="107"/>
      <c r="O27" s="108"/>
      <c r="P27" s="108"/>
      <c r="Q27" s="109"/>
      <c r="R27" s="39"/>
      <c r="S27" s="55"/>
      <c r="T27" s="55"/>
      <c r="U27" s="56"/>
      <c r="V27" s="56"/>
    </row>
    <row r="28" spans="1:25" ht="27.75" customHeight="1" thickTop="1">
      <c r="A28" s="39">
        <v>1</v>
      </c>
      <c r="B28" s="40" t="s">
        <v>78</v>
      </c>
      <c r="C28" s="81" t="s">
        <v>72</v>
      </c>
      <c r="D28" s="110">
        <v>7573.89</v>
      </c>
      <c r="E28" s="111" t="s">
        <v>801</v>
      </c>
      <c r="F28" s="112">
        <v>1</v>
      </c>
      <c r="G28" s="61">
        <v>10740.802990654207</v>
      </c>
      <c r="H28" s="46">
        <v>751.86</v>
      </c>
      <c r="I28" s="47">
        <v>11492.662990654208</v>
      </c>
      <c r="J28" s="113"/>
      <c r="K28" s="114"/>
      <c r="L28" s="115"/>
      <c r="M28" s="94" t="s">
        <v>948</v>
      </c>
      <c r="N28" s="116">
        <v>2</v>
      </c>
      <c r="O28" s="53">
        <f>+(D28*100/107)+G28-(L28*100/107)</f>
        <v>17819.204859813086</v>
      </c>
      <c r="P28" s="53">
        <f t="shared" ref="P28:P30" si="7">ROUND((O28*0.07),2)</f>
        <v>1247.3399999999999</v>
      </c>
      <c r="Q28" s="54">
        <f t="shared" ref="Q28:Q30" si="8">+O28+P28</f>
        <v>19066.544859813086</v>
      </c>
      <c r="R28" s="39"/>
      <c r="S28" s="55"/>
      <c r="T28" s="55"/>
      <c r="U28" s="56"/>
      <c r="V28" s="56"/>
    </row>
    <row r="29" spans="1:25" ht="27.75" customHeight="1">
      <c r="A29" s="39">
        <v>2</v>
      </c>
      <c r="B29" s="40" t="s">
        <v>82</v>
      </c>
      <c r="C29" s="41" t="s">
        <v>72</v>
      </c>
      <c r="D29" s="110">
        <v>1883.2</v>
      </c>
      <c r="E29" s="111" t="s">
        <v>801</v>
      </c>
      <c r="F29" s="112">
        <v>1</v>
      </c>
      <c r="G29" s="61">
        <v>1639.998130841122</v>
      </c>
      <c r="H29" s="46">
        <v>114.8</v>
      </c>
      <c r="I29" s="47">
        <v>1754.798130841122</v>
      </c>
      <c r="J29" s="113">
        <v>46062</v>
      </c>
      <c r="K29" s="114" t="s">
        <v>949</v>
      </c>
      <c r="L29" s="115">
        <v>1754.8</v>
      </c>
      <c r="M29" s="94" t="s">
        <v>823</v>
      </c>
      <c r="N29" s="116">
        <v>1</v>
      </c>
      <c r="O29" s="53">
        <f>+(D29*100/107)+G29-(L29*100/107)</f>
        <v>1759.998130841122</v>
      </c>
      <c r="P29" s="53">
        <f t="shared" si="7"/>
        <v>123.2</v>
      </c>
      <c r="Q29" s="54">
        <f t="shared" si="8"/>
        <v>1883.1981308411221</v>
      </c>
      <c r="R29" s="39"/>
      <c r="S29" s="55"/>
      <c r="T29" s="55"/>
      <c r="U29" s="56"/>
      <c r="V29" s="56"/>
    </row>
    <row r="30" spans="1:25" ht="27.75" customHeight="1">
      <c r="A30" s="39">
        <v>3</v>
      </c>
      <c r="B30" s="40" t="s">
        <v>85</v>
      </c>
      <c r="C30" s="41" t="s">
        <v>72</v>
      </c>
      <c r="D30" s="110">
        <v>10000</v>
      </c>
      <c r="E30" s="111"/>
      <c r="F30" s="112"/>
      <c r="G30" s="61">
        <v>7.4766354737221263E-4</v>
      </c>
      <c r="H30" s="46">
        <v>0</v>
      </c>
      <c r="I30" s="47">
        <v>7.4766354737221263E-4</v>
      </c>
      <c r="J30" s="117">
        <v>46058</v>
      </c>
      <c r="K30" s="118" t="s">
        <v>950</v>
      </c>
      <c r="L30" s="119">
        <v>10000</v>
      </c>
      <c r="M30" s="94"/>
      <c r="N30" s="116"/>
      <c r="O30" s="53">
        <f>+(D30*100/107)+G30-(L30*100/107)</f>
        <v>7.4766354737221263E-4</v>
      </c>
      <c r="P30" s="53">
        <f t="shared" si="7"/>
        <v>0</v>
      </c>
      <c r="Q30" s="54">
        <f t="shared" si="8"/>
        <v>7.4766354737221263E-4</v>
      </c>
      <c r="R30" s="39"/>
      <c r="S30" s="55"/>
      <c r="T30" s="55"/>
      <c r="U30" s="56"/>
      <c r="V30" s="56"/>
    </row>
    <row r="31" spans="1:25" s="57" customFormat="1" ht="27.75" customHeight="1" thickBot="1">
      <c r="A31" s="96"/>
      <c r="B31" s="97" t="s">
        <v>22</v>
      </c>
      <c r="C31" s="98"/>
      <c r="D31" s="99">
        <f>SUM(D28:D30)</f>
        <v>19457.09</v>
      </c>
      <c r="E31" s="100"/>
      <c r="F31" s="101"/>
      <c r="G31" s="102">
        <f>SUM(G28:G30)</f>
        <v>12380.801869158877</v>
      </c>
      <c r="H31" s="102">
        <f t="shared" ref="H31:I31" si="9">SUM(H28:H30)</f>
        <v>866.66</v>
      </c>
      <c r="I31" s="102">
        <f t="shared" si="9"/>
        <v>13247.461869158877</v>
      </c>
      <c r="J31" s="103"/>
      <c r="K31" s="104"/>
      <c r="L31" s="105">
        <f>SUM(L28+L29+L30)</f>
        <v>11754.8</v>
      </c>
      <c r="M31" s="106"/>
      <c r="N31" s="107"/>
      <c r="O31" s="108">
        <f>SUM(O28:O30)</f>
        <v>19579.203738317756</v>
      </c>
      <c r="P31" s="108">
        <f t="shared" si="0"/>
        <v>1370.54</v>
      </c>
      <c r="Q31" s="108">
        <f t="shared" si="1"/>
        <v>20949.743738317757</v>
      </c>
      <c r="R31" s="39"/>
      <c r="S31" s="55"/>
      <c r="T31" s="55"/>
      <c r="U31" s="56"/>
      <c r="V31" s="56"/>
    </row>
    <row r="32" spans="1:25" ht="27.75" hidden="1" customHeight="1" thickBot="1">
      <c r="A32" s="39">
        <v>1</v>
      </c>
      <c r="B32" s="40" t="s">
        <v>88</v>
      </c>
      <c r="C32" s="41" t="s">
        <v>72</v>
      </c>
      <c r="D32" s="120">
        <v>0</v>
      </c>
      <c r="E32" s="43"/>
      <c r="F32" s="60"/>
      <c r="G32" s="61">
        <v>0</v>
      </c>
      <c r="H32" s="46">
        <v>0</v>
      </c>
      <c r="I32" s="47">
        <v>0</v>
      </c>
      <c r="J32" s="113"/>
      <c r="K32" s="118"/>
      <c r="L32" s="121">
        <v>0</v>
      </c>
      <c r="M32" s="94"/>
      <c r="N32" s="39"/>
      <c r="O32" s="53">
        <f t="shared" ref="O32:O44" si="10">+(D32*100/107)+G32-(L32*100/107)</f>
        <v>0</v>
      </c>
      <c r="P32" s="53">
        <f t="shared" si="0"/>
        <v>0</v>
      </c>
      <c r="Q32" s="54">
        <f t="shared" si="1"/>
        <v>0</v>
      </c>
      <c r="R32" s="122"/>
      <c r="S32" s="37"/>
      <c r="T32" s="37"/>
      <c r="U32" s="38"/>
      <c r="V32" s="38"/>
    </row>
    <row r="33" spans="1:23" ht="27.75" hidden="1" customHeight="1" thickTop="1">
      <c r="A33" s="39">
        <v>2</v>
      </c>
      <c r="B33" s="40" t="s">
        <v>89</v>
      </c>
      <c r="C33" s="41" t="s">
        <v>72</v>
      </c>
      <c r="D33" s="120">
        <v>0</v>
      </c>
      <c r="E33" s="43"/>
      <c r="F33" s="60"/>
      <c r="G33" s="61">
        <v>0</v>
      </c>
      <c r="H33" s="46">
        <v>0</v>
      </c>
      <c r="I33" s="47">
        <v>0</v>
      </c>
      <c r="J33" s="113"/>
      <c r="K33" s="118"/>
      <c r="L33" s="121">
        <v>0</v>
      </c>
      <c r="M33" s="94"/>
      <c r="N33" s="39"/>
      <c r="O33" s="53">
        <f t="shared" si="10"/>
        <v>0</v>
      </c>
      <c r="P33" s="53">
        <f t="shared" si="0"/>
        <v>0</v>
      </c>
      <c r="Q33" s="54">
        <f t="shared" si="1"/>
        <v>0</v>
      </c>
      <c r="R33" s="122"/>
      <c r="S33" s="37"/>
      <c r="T33" s="37"/>
      <c r="U33" s="38"/>
      <c r="V33" s="38"/>
    </row>
    <row r="34" spans="1:23" ht="27.75" hidden="1" customHeight="1" thickTop="1">
      <c r="A34" s="39">
        <v>3</v>
      </c>
      <c r="B34" s="40" t="s">
        <v>90</v>
      </c>
      <c r="C34" s="41" t="s">
        <v>72</v>
      </c>
      <c r="D34" s="120"/>
      <c r="E34" s="43"/>
      <c r="F34" s="60"/>
      <c r="G34" s="61">
        <v>0</v>
      </c>
      <c r="H34" s="46">
        <v>0</v>
      </c>
      <c r="I34" s="47">
        <v>0</v>
      </c>
      <c r="J34" s="113"/>
      <c r="K34" s="118"/>
      <c r="L34" s="121"/>
      <c r="M34" s="94"/>
      <c r="N34" s="39"/>
      <c r="O34" s="53">
        <f t="shared" si="10"/>
        <v>0</v>
      </c>
      <c r="P34" s="53">
        <f t="shared" si="0"/>
        <v>0</v>
      </c>
      <c r="Q34" s="54">
        <f t="shared" si="1"/>
        <v>0</v>
      </c>
      <c r="R34" s="122"/>
      <c r="S34" s="37"/>
      <c r="T34" s="37"/>
      <c r="U34" s="38"/>
      <c r="V34" s="38"/>
    </row>
    <row r="35" spans="1:23" ht="27.75" hidden="1" customHeight="1" thickTop="1">
      <c r="A35" s="39">
        <v>4</v>
      </c>
      <c r="B35" s="40" t="s">
        <v>91</v>
      </c>
      <c r="C35" s="41" t="s">
        <v>72</v>
      </c>
      <c r="D35" s="120"/>
      <c r="E35" s="43"/>
      <c r="F35" s="60"/>
      <c r="G35" s="61">
        <v>0</v>
      </c>
      <c r="H35" s="46">
        <v>0</v>
      </c>
      <c r="I35" s="47">
        <v>0</v>
      </c>
      <c r="J35" s="113"/>
      <c r="K35" s="118"/>
      <c r="L35" s="121">
        <v>0</v>
      </c>
      <c r="M35" s="94"/>
      <c r="N35" s="39"/>
      <c r="O35" s="53">
        <f t="shared" si="10"/>
        <v>0</v>
      </c>
      <c r="P35" s="53">
        <f t="shared" si="0"/>
        <v>0</v>
      </c>
      <c r="Q35" s="54">
        <f t="shared" si="1"/>
        <v>0</v>
      </c>
      <c r="R35" s="122"/>
      <c r="S35" s="37"/>
      <c r="T35" s="37"/>
      <c r="U35" s="38"/>
      <c r="V35" s="38"/>
    </row>
    <row r="36" spans="1:23" ht="27.75" hidden="1" customHeight="1" thickTop="1">
      <c r="A36" s="39">
        <v>5</v>
      </c>
      <c r="B36" s="40" t="s">
        <v>92</v>
      </c>
      <c r="C36" s="41" t="s">
        <v>72</v>
      </c>
      <c r="D36" s="120"/>
      <c r="E36" s="43"/>
      <c r="F36" s="60"/>
      <c r="G36" s="61">
        <v>0</v>
      </c>
      <c r="H36" s="46">
        <v>0</v>
      </c>
      <c r="I36" s="47">
        <v>0</v>
      </c>
      <c r="J36" s="117"/>
      <c r="K36" s="118"/>
      <c r="L36" s="119">
        <v>0</v>
      </c>
      <c r="M36" s="94"/>
      <c r="N36" s="39"/>
      <c r="O36" s="53">
        <f t="shared" si="10"/>
        <v>0</v>
      </c>
      <c r="P36" s="53">
        <f t="shared" si="0"/>
        <v>0</v>
      </c>
      <c r="Q36" s="54">
        <f t="shared" si="1"/>
        <v>0</v>
      </c>
      <c r="R36" s="122"/>
      <c r="S36" s="37"/>
      <c r="T36" s="37"/>
      <c r="U36" s="38"/>
      <c r="V36" s="38"/>
    </row>
    <row r="37" spans="1:23" ht="27.75" hidden="1" customHeight="1" thickTop="1">
      <c r="A37" s="39">
        <v>6</v>
      </c>
      <c r="B37" s="123" t="s">
        <v>93</v>
      </c>
      <c r="C37" s="41" t="s">
        <v>72</v>
      </c>
      <c r="D37" s="124">
        <v>0</v>
      </c>
      <c r="E37" s="125"/>
      <c r="F37" s="126"/>
      <c r="G37" s="65">
        <v>0</v>
      </c>
      <c r="H37" s="46">
        <v>0</v>
      </c>
      <c r="I37" s="47">
        <v>0</v>
      </c>
      <c r="J37" s="127"/>
      <c r="K37" s="128"/>
      <c r="L37" s="129">
        <v>0</v>
      </c>
      <c r="M37" s="94"/>
      <c r="N37" s="39"/>
      <c r="O37" s="53">
        <f t="shared" si="10"/>
        <v>0</v>
      </c>
      <c r="P37" s="53">
        <f t="shared" si="0"/>
        <v>0</v>
      </c>
      <c r="Q37" s="54">
        <f t="shared" si="1"/>
        <v>0</v>
      </c>
      <c r="R37" s="122"/>
      <c r="S37" s="37"/>
      <c r="T37" s="37"/>
      <c r="U37" s="38"/>
      <c r="V37" s="38"/>
    </row>
    <row r="38" spans="1:23" ht="27.75" hidden="1" customHeight="1" thickTop="1">
      <c r="A38" s="39">
        <v>7</v>
      </c>
      <c r="B38" s="40" t="s">
        <v>94</v>
      </c>
      <c r="C38" s="41" t="s">
        <v>72</v>
      </c>
      <c r="D38" s="120"/>
      <c r="E38" s="43"/>
      <c r="F38" s="60"/>
      <c r="G38" s="61">
        <v>0</v>
      </c>
      <c r="H38" s="46">
        <v>0</v>
      </c>
      <c r="I38" s="47">
        <v>0</v>
      </c>
      <c r="J38" s="117"/>
      <c r="K38" s="118"/>
      <c r="L38" s="119">
        <v>0</v>
      </c>
      <c r="M38" s="94"/>
      <c r="N38" s="39"/>
      <c r="O38" s="53">
        <f t="shared" si="10"/>
        <v>0</v>
      </c>
      <c r="P38" s="53">
        <f t="shared" si="0"/>
        <v>0</v>
      </c>
      <c r="Q38" s="54">
        <f t="shared" si="1"/>
        <v>0</v>
      </c>
      <c r="R38" s="122"/>
      <c r="S38" s="37"/>
      <c r="T38" s="37"/>
      <c r="U38" s="38"/>
      <c r="V38" s="38"/>
    </row>
    <row r="39" spans="1:23" ht="27.75" hidden="1" customHeight="1" thickTop="1">
      <c r="A39" s="39">
        <v>8</v>
      </c>
      <c r="B39" s="40" t="s">
        <v>95</v>
      </c>
      <c r="C39" s="41" t="s">
        <v>72</v>
      </c>
      <c r="D39" s="120"/>
      <c r="E39" s="43"/>
      <c r="F39" s="60"/>
      <c r="G39" s="61">
        <v>0</v>
      </c>
      <c r="H39" s="46">
        <v>0</v>
      </c>
      <c r="I39" s="47">
        <v>0</v>
      </c>
      <c r="J39" s="117"/>
      <c r="K39" s="118"/>
      <c r="L39" s="119">
        <v>0</v>
      </c>
      <c r="M39" s="94"/>
      <c r="N39" s="39"/>
      <c r="O39" s="53">
        <f t="shared" si="10"/>
        <v>0</v>
      </c>
      <c r="P39" s="53">
        <f t="shared" si="0"/>
        <v>0</v>
      </c>
      <c r="Q39" s="54">
        <f t="shared" si="1"/>
        <v>0</v>
      </c>
      <c r="R39" s="122"/>
      <c r="S39" s="37"/>
      <c r="T39" s="37"/>
      <c r="U39" s="38"/>
      <c r="V39" s="38"/>
    </row>
    <row r="40" spans="1:23" ht="27.75" hidden="1" customHeight="1" thickTop="1">
      <c r="A40" s="39">
        <v>9</v>
      </c>
      <c r="B40" s="40" t="s">
        <v>96</v>
      </c>
      <c r="C40" s="41" t="s">
        <v>72</v>
      </c>
      <c r="D40" s="120"/>
      <c r="E40" s="43"/>
      <c r="F40" s="60"/>
      <c r="G40" s="61">
        <v>0</v>
      </c>
      <c r="H40" s="46">
        <v>0</v>
      </c>
      <c r="I40" s="47">
        <v>0</v>
      </c>
      <c r="J40" s="117"/>
      <c r="K40" s="118"/>
      <c r="L40" s="119">
        <v>0</v>
      </c>
      <c r="M40" s="94"/>
      <c r="N40" s="39"/>
      <c r="O40" s="53">
        <f t="shared" si="10"/>
        <v>0</v>
      </c>
      <c r="P40" s="53">
        <f t="shared" si="0"/>
        <v>0</v>
      </c>
      <c r="Q40" s="54">
        <f t="shared" si="1"/>
        <v>0</v>
      </c>
      <c r="R40" s="122"/>
      <c r="S40" s="37"/>
      <c r="T40" s="37"/>
      <c r="U40" s="38"/>
      <c r="V40" s="38"/>
    </row>
    <row r="41" spans="1:23" ht="27.75" hidden="1" customHeight="1" thickTop="1">
      <c r="A41" s="39">
        <v>10</v>
      </c>
      <c r="B41" s="40" t="s">
        <v>97</v>
      </c>
      <c r="C41" s="41" t="s">
        <v>72</v>
      </c>
      <c r="D41" s="120">
        <v>0</v>
      </c>
      <c r="E41" s="43"/>
      <c r="F41" s="60"/>
      <c r="G41" s="61">
        <v>0</v>
      </c>
      <c r="H41" s="46">
        <v>0</v>
      </c>
      <c r="I41" s="47">
        <v>0</v>
      </c>
      <c r="J41" s="117"/>
      <c r="K41" s="118"/>
      <c r="L41" s="119">
        <v>0</v>
      </c>
      <c r="M41" s="94"/>
      <c r="N41" s="39"/>
      <c r="O41" s="53">
        <f t="shared" si="10"/>
        <v>0</v>
      </c>
      <c r="P41" s="53">
        <f t="shared" si="0"/>
        <v>0</v>
      </c>
      <c r="Q41" s="54">
        <f t="shared" si="1"/>
        <v>0</v>
      </c>
      <c r="R41" s="122"/>
      <c r="S41" s="37"/>
      <c r="T41" s="37"/>
      <c r="U41" s="38"/>
      <c r="V41" s="38"/>
    </row>
    <row r="42" spans="1:23" ht="27.75" hidden="1" customHeight="1" thickTop="1">
      <c r="A42" s="39">
        <v>11</v>
      </c>
      <c r="B42" s="40" t="s">
        <v>98</v>
      </c>
      <c r="C42" s="41" t="s">
        <v>72</v>
      </c>
      <c r="D42" s="120"/>
      <c r="E42" s="43"/>
      <c r="F42" s="60"/>
      <c r="G42" s="61">
        <v>0</v>
      </c>
      <c r="H42" s="46">
        <v>0</v>
      </c>
      <c r="I42" s="47">
        <v>0</v>
      </c>
      <c r="J42" s="117"/>
      <c r="K42" s="118"/>
      <c r="L42" s="119">
        <v>0</v>
      </c>
      <c r="M42" s="94"/>
      <c r="N42" s="39"/>
      <c r="O42" s="53">
        <f t="shared" si="10"/>
        <v>0</v>
      </c>
      <c r="P42" s="53">
        <f t="shared" si="0"/>
        <v>0</v>
      </c>
      <c r="Q42" s="54">
        <f t="shared" si="1"/>
        <v>0</v>
      </c>
      <c r="R42" s="122"/>
      <c r="S42" s="37"/>
      <c r="T42" s="37"/>
      <c r="U42" s="38"/>
      <c r="V42" s="38"/>
    </row>
    <row r="43" spans="1:23" ht="27.75" hidden="1" customHeight="1" thickTop="1">
      <c r="A43" s="39">
        <v>12</v>
      </c>
      <c r="B43" s="40" t="s">
        <v>99</v>
      </c>
      <c r="C43" s="41" t="s">
        <v>72</v>
      </c>
      <c r="D43" s="120">
        <v>0</v>
      </c>
      <c r="E43" s="43"/>
      <c r="F43" s="60"/>
      <c r="G43" s="61">
        <v>0</v>
      </c>
      <c r="H43" s="46">
        <v>0</v>
      </c>
      <c r="I43" s="47">
        <v>0</v>
      </c>
      <c r="J43" s="117"/>
      <c r="K43" s="118"/>
      <c r="L43" s="119">
        <v>0</v>
      </c>
      <c r="M43" s="94"/>
      <c r="N43" s="39"/>
      <c r="O43" s="53">
        <f t="shared" si="10"/>
        <v>0</v>
      </c>
      <c r="P43" s="53">
        <f t="shared" si="0"/>
        <v>0</v>
      </c>
      <c r="Q43" s="54">
        <f t="shared" si="1"/>
        <v>0</v>
      </c>
      <c r="R43" s="122"/>
      <c r="S43" s="37"/>
      <c r="T43" s="37"/>
      <c r="U43" s="38"/>
      <c r="V43" s="38"/>
    </row>
    <row r="44" spans="1:23" ht="27.75" hidden="1" customHeight="1" thickTop="1">
      <c r="A44" s="39"/>
      <c r="B44" s="123"/>
      <c r="C44" s="41"/>
      <c r="D44" s="124"/>
      <c r="E44" s="125"/>
      <c r="F44" s="126"/>
      <c r="G44" s="65">
        <v>0</v>
      </c>
      <c r="H44" s="46">
        <v>0</v>
      </c>
      <c r="I44" s="47">
        <v>0</v>
      </c>
      <c r="J44" s="127"/>
      <c r="K44" s="128"/>
      <c r="L44" s="129"/>
      <c r="M44" s="83"/>
      <c r="N44" s="130"/>
      <c r="O44" s="53">
        <f t="shared" si="10"/>
        <v>0</v>
      </c>
      <c r="P44" s="53">
        <f t="shared" si="0"/>
        <v>0</v>
      </c>
      <c r="Q44" s="54">
        <f t="shared" si="1"/>
        <v>0</v>
      </c>
      <c r="R44" s="122"/>
      <c r="S44" s="37"/>
      <c r="T44" s="37"/>
      <c r="U44" s="38"/>
      <c r="V44" s="38"/>
    </row>
    <row r="45" spans="1:23" ht="27.75" hidden="1" customHeight="1" thickTop="1">
      <c r="A45" s="22"/>
      <c r="B45" s="131" t="s">
        <v>22</v>
      </c>
      <c r="C45" s="132"/>
      <c r="D45" s="133">
        <f>SUM(D32:D43)</f>
        <v>0</v>
      </c>
      <c r="E45" s="134"/>
      <c r="F45" s="135"/>
      <c r="G45" s="136">
        <f>SUM(G32:G43)</f>
        <v>0</v>
      </c>
      <c r="H45" s="136">
        <f t="shared" ref="H45:I45" si="11">SUM(H32:H43)</f>
        <v>0</v>
      </c>
      <c r="I45" s="136">
        <f t="shared" si="11"/>
        <v>0</v>
      </c>
      <c r="J45" s="137">
        <v>0</v>
      </c>
      <c r="K45" s="137">
        <f>SUM(K8:K44)</f>
        <v>0</v>
      </c>
      <c r="L45" s="138">
        <f>SUM(L32:L44)</f>
        <v>0</v>
      </c>
      <c r="M45" s="139"/>
      <c r="N45" s="133"/>
      <c r="O45" s="136">
        <f>SUM(O32:O44)</f>
        <v>0</v>
      </c>
      <c r="P45" s="136">
        <f t="shared" ref="P45:Q45" si="12">SUM(P32:P44)</f>
        <v>0</v>
      </c>
      <c r="Q45" s="136">
        <f t="shared" si="12"/>
        <v>0</v>
      </c>
      <c r="R45" s="36"/>
      <c r="S45" s="37"/>
      <c r="T45" s="37"/>
      <c r="U45" s="38"/>
      <c r="V45" s="38"/>
      <c r="W45" s="38"/>
    </row>
    <row r="46" spans="1:23" ht="27.75" customHeight="1" thickTop="1">
      <c r="A46" s="22"/>
      <c r="B46" s="23" t="s">
        <v>100</v>
      </c>
      <c r="C46" s="24"/>
      <c r="D46" s="25"/>
      <c r="E46" s="26"/>
      <c r="F46" s="27"/>
      <c r="G46" s="28"/>
      <c r="H46" s="28"/>
      <c r="I46" s="28"/>
      <c r="J46" s="29"/>
      <c r="K46" s="30"/>
      <c r="L46" s="31"/>
      <c r="M46" s="32"/>
      <c r="N46" s="33"/>
      <c r="O46" s="34"/>
      <c r="P46" s="34"/>
      <c r="Q46" s="35"/>
      <c r="R46" s="36"/>
      <c r="S46" s="37"/>
      <c r="T46" s="37"/>
      <c r="U46" s="38"/>
      <c r="V46" s="38"/>
      <c r="W46" s="38"/>
    </row>
    <row r="47" spans="1:23" s="57" customFormat="1" ht="27.75" customHeight="1">
      <c r="A47" s="22">
        <v>1</v>
      </c>
      <c r="B47" s="40" t="s">
        <v>101</v>
      </c>
      <c r="C47" s="140" t="s">
        <v>102</v>
      </c>
      <c r="D47" s="141">
        <v>160.5</v>
      </c>
      <c r="E47" s="142" t="s">
        <v>45</v>
      </c>
      <c r="F47" s="143">
        <v>0</v>
      </c>
      <c r="G47" s="61">
        <v>0</v>
      </c>
      <c r="H47" s="61">
        <v>0</v>
      </c>
      <c r="I47" s="47">
        <v>0</v>
      </c>
      <c r="J47" s="113">
        <v>46072</v>
      </c>
      <c r="K47" s="114" t="s">
        <v>953</v>
      </c>
      <c r="L47" s="144">
        <v>160.5</v>
      </c>
      <c r="M47" s="145" t="s">
        <v>45</v>
      </c>
      <c r="N47" s="146">
        <v>0</v>
      </c>
      <c r="O47" s="147">
        <f t="shared" ref="O47:O81" si="13">+(D47*100/107)+G47-(L47*100/107)</f>
        <v>0</v>
      </c>
      <c r="P47" s="147">
        <f t="shared" ref="P47" si="14">ROUND((O47*0.07),2)</f>
        <v>0</v>
      </c>
      <c r="Q47" s="47">
        <f t="shared" ref="Q47" si="15">+O47+P47</f>
        <v>0</v>
      </c>
      <c r="R47" s="146"/>
      <c r="S47" s="148"/>
      <c r="T47" s="148"/>
      <c r="U47" s="149"/>
      <c r="V47" s="149"/>
    </row>
    <row r="48" spans="1:23" s="57" customFormat="1" ht="27.75" customHeight="1">
      <c r="A48" s="22">
        <v>2</v>
      </c>
      <c r="B48" s="150" t="s">
        <v>104</v>
      </c>
      <c r="C48" s="140" t="s">
        <v>102</v>
      </c>
      <c r="D48" s="141">
        <v>321</v>
      </c>
      <c r="E48" s="142" t="s">
        <v>45</v>
      </c>
      <c r="F48" s="143">
        <v>0</v>
      </c>
      <c r="G48" s="61">
        <v>0</v>
      </c>
      <c r="H48" s="61">
        <v>0</v>
      </c>
      <c r="I48" s="47">
        <v>0</v>
      </c>
      <c r="J48" s="117">
        <v>46080</v>
      </c>
      <c r="K48" s="118" t="s">
        <v>954</v>
      </c>
      <c r="L48" s="151">
        <v>321</v>
      </c>
      <c r="M48" s="94" t="s">
        <v>45</v>
      </c>
      <c r="N48" s="39">
        <v>0</v>
      </c>
      <c r="O48" s="147">
        <f t="shared" si="13"/>
        <v>0</v>
      </c>
      <c r="P48" s="147">
        <f>ROUND((O48*0.07),2)</f>
        <v>0</v>
      </c>
      <c r="Q48" s="47">
        <f>+O48+P48</f>
        <v>0</v>
      </c>
      <c r="R48" s="146"/>
      <c r="S48" s="148"/>
      <c r="T48" s="148"/>
      <c r="U48" s="149"/>
      <c r="V48" s="149"/>
    </row>
    <row r="49" spans="1:22" s="169" customFormat="1" ht="27.75" customHeight="1">
      <c r="A49" s="152">
        <v>3</v>
      </c>
      <c r="B49" s="153" t="s">
        <v>106</v>
      </c>
      <c r="C49" s="154" t="s">
        <v>102</v>
      </c>
      <c r="D49" s="155">
        <v>160.5</v>
      </c>
      <c r="E49" s="156" t="s">
        <v>842</v>
      </c>
      <c r="F49" s="157">
        <v>-6</v>
      </c>
      <c r="G49" s="158">
        <v>-900</v>
      </c>
      <c r="H49" s="158">
        <v>-63</v>
      </c>
      <c r="I49" s="159">
        <v>-963</v>
      </c>
      <c r="J49" s="160"/>
      <c r="K49" s="161"/>
      <c r="L49" s="162">
        <v>0</v>
      </c>
      <c r="M49" s="163" t="s">
        <v>955</v>
      </c>
      <c r="N49" s="164">
        <v>-5</v>
      </c>
      <c r="O49" s="165">
        <f t="shared" si="13"/>
        <v>-750</v>
      </c>
      <c r="P49" s="165">
        <f t="shared" ref="P49:P67" si="16">ROUND((O49*0.07),2)</f>
        <v>-52.5</v>
      </c>
      <c r="Q49" s="159">
        <f t="shared" ref="Q49:Q67" si="17">+O49+P49</f>
        <v>-802.5</v>
      </c>
      <c r="R49" s="166"/>
      <c r="S49" s="167"/>
      <c r="T49" s="167"/>
      <c r="U49" s="168"/>
      <c r="V49" s="168"/>
    </row>
    <row r="50" spans="1:22" s="57" customFormat="1" ht="27.75" customHeight="1">
      <c r="A50" s="22">
        <v>4</v>
      </c>
      <c r="B50" s="170" t="s">
        <v>109</v>
      </c>
      <c r="C50" s="140" t="s">
        <v>102</v>
      </c>
      <c r="D50" s="141">
        <v>321</v>
      </c>
      <c r="E50" s="142" t="s">
        <v>45</v>
      </c>
      <c r="F50" s="143">
        <v>0</v>
      </c>
      <c r="G50" s="61">
        <v>0</v>
      </c>
      <c r="H50" s="61">
        <v>0</v>
      </c>
      <c r="I50" s="47">
        <v>0</v>
      </c>
      <c r="J50" s="117">
        <v>46058</v>
      </c>
      <c r="K50" s="118" t="s">
        <v>956</v>
      </c>
      <c r="L50" s="151">
        <v>321</v>
      </c>
      <c r="M50" s="171" t="s">
        <v>45</v>
      </c>
      <c r="N50" s="172">
        <v>0</v>
      </c>
      <c r="O50" s="147">
        <f t="shared" si="13"/>
        <v>0</v>
      </c>
      <c r="P50" s="147">
        <f t="shared" si="16"/>
        <v>0</v>
      </c>
      <c r="Q50" s="47">
        <f t="shared" si="17"/>
        <v>0</v>
      </c>
      <c r="R50" s="146"/>
      <c r="S50" s="148"/>
      <c r="T50" s="148"/>
      <c r="U50" s="149"/>
      <c r="V50" s="149"/>
    </row>
    <row r="51" spans="1:22" s="57" customFormat="1" ht="27.75" customHeight="1">
      <c r="A51" s="22">
        <v>5</v>
      </c>
      <c r="B51" s="170" t="s">
        <v>111</v>
      </c>
      <c r="C51" s="140" t="s">
        <v>102</v>
      </c>
      <c r="D51" s="141">
        <v>321</v>
      </c>
      <c r="E51" s="142" t="s">
        <v>45</v>
      </c>
      <c r="F51" s="143">
        <v>0</v>
      </c>
      <c r="G51" s="61">
        <v>0</v>
      </c>
      <c r="H51" s="61">
        <v>0</v>
      </c>
      <c r="I51" s="47">
        <v>0</v>
      </c>
      <c r="J51" s="117">
        <v>46062</v>
      </c>
      <c r="K51" s="118" t="s">
        <v>957</v>
      </c>
      <c r="L51" s="151">
        <v>321</v>
      </c>
      <c r="M51" s="171" t="s">
        <v>45</v>
      </c>
      <c r="N51" s="172">
        <v>0</v>
      </c>
      <c r="O51" s="147">
        <f t="shared" si="13"/>
        <v>0</v>
      </c>
      <c r="P51" s="147">
        <f t="shared" si="16"/>
        <v>0</v>
      </c>
      <c r="Q51" s="47">
        <f t="shared" si="17"/>
        <v>0</v>
      </c>
      <c r="R51" s="146"/>
      <c r="S51" s="148"/>
      <c r="T51" s="148"/>
      <c r="U51" s="149"/>
      <c r="V51" s="149"/>
    </row>
    <row r="52" spans="1:22" s="57" customFormat="1" ht="27.75" customHeight="1">
      <c r="A52" s="22">
        <v>6</v>
      </c>
      <c r="B52" s="170" t="s">
        <v>113</v>
      </c>
      <c r="C52" s="140" t="s">
        <v>102</v>
      </c>
      <c r="D52" s="141">
        <v>160.5</v>
      </c>
      <c r="E52" s="142" t="s">
        <v>45</v>
      </c>
      <c r="F52" s="143">
        <v>0</v>
      </c>
      <c r="G52" s="61">
        <v>0</v>
      </c>
      <c r="H52" s="61">
        <v>0</v>
      </c>
      <c r="I52" s="47">
        <v>0</v>
      </c>
      <c r="J52" s="113">
        <v>46058</v>
      </c>
      <c r="K52" s="114" t="s">
        <v>958</v>
      </c>
      <c r="L52" s="151">
        <v>160.5</v>
      </c>
      <c r="M52" s="171" t="s">
        <v>45</v>
      </c>
      <c r="N52" s="172">
        <v>0</v>
      </c>
      <c r="O52" s="147">
        <f t="shared" si="13"/>
        <v>0</v>
      </c>
      <c r="P52" s="147">
        <f t="shared" si="16"/>
        <v>0</v>
      </c>
      <c r="Q52" s="47">
        <f t="shared" si="17"/>
        <v>0</v>
      </c>
      <c r="R52" s="146"/>
      <c r="S52" s="148"/>
      <c r="T52" s="148"/>
      <c r="U52" s="149"/>
      <c r="V52" s="149"/>
    </row>
    <row r="53" spans="1:22" s="57" customFormat="1" ht="27.75" customHeight="1">
      <c r="A53" s="22">
        <v>7</v>
      </c>
      <c r="B53" s="170" t="s">
        <v>117</v>
      </c>
      <c r="C53" s="140" t="s">
        <v>102</v>
      </c>
      <c r="D53" s="141">
        <v>535</v>
      </c>
      <c r="E53" s="142" t="s">
        <v>45</v>
      </c>
      <c r="F53" s="143">
        <v>0</v>
      </c>
      <c r="G53" s="45">
        <v>0</v>
      </c>
      <c r="H53" s="61">
        <v>0</v>
      </c>
      <c r="I53" s="47">
        <v>0</v>
      </c>
      <c r="J53" s="113">
        <v>46069</v>
      </c>
      <c r="K53" s="114" t="s">
        <v>959</v>
      </c>
      <c r="L53" s="151">
        <v>535</v>
      </c>
      <c r="M53" s="171" t="s">
        <v>45</v>
      </c>
      <c r="N53" s="172">
        <v>0</v>
      </c>
      <c r="O53" s="147">
        <f t="shared" si="13"/>
        <v>0</v>
      </c>
      <c r="P53" s="147">
        <f t="shared" si="16"/>
        <v>0</v>
      </c>
      <c r="Q53" s="47">
        <f t="shared" si="17"/>
        <v>0</v>
      </c>
      <c r="R53" s="146"/>
      <c r="S53" s="148"/>
      <c r="T53" s="148"/>
      <c r="U53" s="149"/>
      <c r="V53" s="149"/>
    </row>
    <row r="54" spans="1:22" s="57" customFormat="1" ht="27.75" customHeight="1">
      <c r="A54" s="22">
        <v>8</v>
      </c>
      <c r="B54" s="170" t="s">
        <v>119</v>
      </c>
      <c r="C54" s="140" t="s">
        <v>102</v>
      </c>
      <c r="D54" s="141">
        <v>321</v>
      </c>
      <c r="E54" s="142" t="s">
        <v>45</v>
      </c>
      <c r="F54" s="143">
        <v>0</v>
      </c>
      <c r="G54" s="45">
        <v>0</v>
      </c>
      <c r="H54" s="61">
        <v>0</v>
      </c>
      <c r="I54" s="47">
        <v>0</v>
      </c>
      <c r="J54" s="113">
        <v>46076</v>
      </c>
      <c r="K54" s="114" t="s">
        <v>960</v>
      </c>
      <c r="L54" s="151">
        <v>321</v>
      </c>
      <c r="M54" s="171" t="s">
        <v>45</v>
      </c>
      <c r="N54" s="172">
        <v>0</v>
      </c>
      <c r="O54" s="147">
        <f t="shared" si="13"/>
        <v>0</v>
      </c>
      <c r="P54" s="147">
        <f t="shared" si="16"/>
        <v>0</v>
      </c>
      <c r="Q54" s="47">
        <f t="shared" si="17"/>
        <v>0</v>
      </c>
      <c r="R54" s="146"/>
      <c r="S54" s="148"/>
      <c r="T54" s="148"/>
      <c r="U54" s="149"/>
      <c r="V54" s="149"/>
    </row>
    <row r="55" spans="1:22" s="57" customFormat="1" ht="27.75" customHeight="1">
      <c r="A55" s="22">
        <v>9</v>
      </c>
      <c r="B55" s="170" t="s">
        <v>121</v>
      </c>
      <c r="C55" s="140" t="s">
        <v>102</v>
      </c>
      <c r="D55" s="173">
        <v>321</v>
      </c>
      <c r="E55" s="142" t="s">
        <v>45</v>
      </c>
      <c r="F55" s="143">
        <v>0</v>
      </c>
      <c r="G55" s="45">
        <v>0</v>
      </c>
      <c r="H55" s="61">
        <v>0</v>
      </c>
      <c r="I55" s="47">
        <v>0</v>
      </c>
      <c r="J55" s="113">
        <v>46077</v>
      </c>
      <c r="K55" s="114" t="s">
        <v>961</v>
      </c>
      <c r="L55" s="151">
        <v>321</v>
      </c>
      <c r="M55" s="171" t="s">
        <v>45</v>
      </c>
      <c r="N55" s="172">
        <v>0</v>
      </c>
      <c r="O55" s="147">
        <f t="shared" si="13"/>
        <v>0</v>
      </c>
      <c r="P55" s="147">
        <f t="shared" si="16"/>
        <v>0</v>
      </c>
      <c r="Q55" s="47">
        <f t="shared" si="17"/>
        <v>0</v>
      </c>
      <c r="R55" s="146"/>
      <c r="S55" s="148"/>
      <c r="T55" s="148"/>
      <c r="U55" s="149"/>
      <c r="V55" s="149"/>
    </row>
    <row r="56" spans="1:22" s="57" customFormat="1" ht="27.75" customHeight="1">
      <c r="A56" s="22">
        <v>10</v>
      </c>
      <c r="B56" s="40" t="s">
        <v>123</v>
      </c>
      <c r="C56" s="140" t="s">
        <v>102</v>
      </c>
      <c r="D56" s="173">
        <v>160.5</v>
      </c>
      <c r="E56" s="142" t="s">
        <v>849</v>
      </c>
      <c r="F56" s="143">
        <v>-4</v>
      </c>
      <c r="G56" s="45">
        <v>-600</v>
      </c>
      <c r="H56" s="61">
        <v>-42</v>
      </c>
      <c r="I56" s="47">
        <v>-642</v>
      </c>
      <c r="J56" s="113"/>
      <c r="K56" s="114"/>
      <c r="L56" s="144">
        <v>0</v>
      </c>
      <c r="M56" s="145" t="s">
        <v>962</v>
      </c>
      <c r="N56" s="146">
        <v>-3</v>
      </c>
      <c r="O56" s="147">
        <f t="shared" si="13"/>
        <v>-450</v>
      </c>
      <c r="P56" s="147">
        <f t="shared" si="16"/>
        <v>-31.5</v>
      </c>
      <c r="Q56" s="47">
        <f t="shared" si="17"/>
        <v>-481.5</v>
      </c>
      <c r="R56" s="146"/>
      <c r="S56" s="148"/>
      <c r="T56" s="148"/>
      <c r="U56" s="149"/>
      <c r="V56" s="149"/>
    </row>
    <row r="57" spans="1:22" s="57" customFormat="1" ht="27.75" customHeight="1">
      <c r="A57" s="22">
        <v>11</v>
      </c>
      <c r="B57" s="40" t="s">
        <v>126</v>
      </c>
      <c r="C57" s="140" t="s">
        <v>102</v>
      </c>
      <c r="D57" s="173">
        <v>642</v>
      </c>
      <c r="E57" s="142" t="s">
        <v>823</v>
      </c>
      <c r="F57" s="143">
        <v>-1</v>
      </c>
      <c r="G57" s="61">
        <v>-600</v>
      </c>
      <c r="H57" s="61">
        <v>-42</v>
      </c>
      <c r="I57" s="47">
        <v>-642</v>
      </c>
      <c r="J57" s="113" t="s">
        <v>963</v>
      </c>
      <c r="K57" s="114" t="s">
        <v>964</v>
      </c>
      <c r="L57" s="144">
        <v>642</v>
      </c>
      <c r="M57" s="145" t="s">
        <v>952</v>
      </c>
      <c r="N57" s="146">
        <v>-1</v>
      </c>
      <c r="O57" s="147">
        <f t="shared" si="13"/>
        <v>-600</v>
      </c>
      <c r="P57" s="147">
        <f t="shared" si="16"/>
        <v>-42</v>
      </c>
      <c r="Q57" s="47">
        <f t="shared" si="17"/>
        <v>-642</v>
      </c>
      <c r="R57" s="146"/>
      <c r="S57" s="148"/>
      <c r="T57" s="148"/>
      <c r="U57" s="149"/>
      <c r="V57" s="149"/>
    </row>
    <row r="58" spans="1:22" s="57" customFormat="1" ht="27.75" customHeight="1">
      <c r="A58" s="22">
        <v>12</v>
      </c>
      <c r="B58" s="40" t="s">
        <v>128</v>
      </c>
      <c r="C58" s="140" t="s">
        <v>102</v>
      </c>
      <c r="D58" s="141">
        <v>642</v>
      </c>
      <c r="E58" s="142" t="s">
        <v>45</v>
      </c>
      <c r="F58" s="143">
        <v>0</v>
      </c>
      <c r="G58" s="61">
        <v>0</v>
      </c>
      <c r="H58" s="61">
        <v>0</v>
      </c>
      <c r="I58" s="47">
        <v>0</v>
      </c>
      <c r="J58" s="113">
        <v>46077</v>
      </c>
      <c r="K58" s="114" t="s">
        <v>965</v>
      </c>
      <c r="L58" s="144">
        <v>642</v>
      </c>
      <c r="M58" s="145" t="s">
        <v>45</v>
      </c>
      <c r="N58" s="146">
        <v>0</v>
      </c>
      <c r="O58" s="147">
        <f t="shared" si="13"/>
        <v>0</v>
      </c>
      <c r="P58" s="147">
        <f t="shared" si="16"/>
        <v>0</v>
      </c>
      <c r="Q58" s="47">
        <f t="shared" si="17"/>
        <v>0</v>
      </c>
      <c r="R58" s="146"/>
      <c r="S58" s="148"/>
      <c r="T58" s="148"/>
      <c r="U58" s="149"/>
      <c r="V58" s="149"/>
    </row>
    <row r="59" spans="1:22" s="57" customFormat="1" ht="27.75" customHeight="1">
      <c r="A59" s="22">
        <v>13</v>
      </c>
      <c r="B59" s="40" t="s">
        <v>130</v>
      </c>
      <c r="C59" s="140" t="s">
        <v>102</v>
      </c>
      <c r="D59" s="141">
        <v>160.5</v>
      </c>
      <c r="E59" s="142" t="s">
        <v>801</v>
      </c>
      <c r="F59" s="143">
        <v>1</v>
      </c>
      <c r="G59" s="61">
        <v>150</v>
      </c>
      <c r="H59" s="61">
        <v>10.5</v>
      </c>
      <c r="I59" s="47">
        <v>160.5</v>
      </c>
      <c r="J59" s="175">
        <v>46060</v>
      </c>
      <c r="K59" s="176" t="s">
        <v>966</v>
      </c>
      <c r="L59" s="177">
        <v>160.5</v>
      </c>
      <c r="M59" s="145" t="s">
        <v>823</v>
      </c>
      <c r="N59" s="146">
        <v>1</v>
      </c>
      <c r="O59" s="147">
        <f t="shared" si="13"/>
        <v>150</v>
      </c>
      <c r="P59" s="147">
        <f t="shared" si="16"/>
        <v>10.5</v>
      </c>
      <c r="Q59" s="47">
        <f t="shared" si="17"/>
        <v>160.5</v>
      </c>
      <c r="R59" s="146"/>
      <c r="S59" s="148"/>
      <c r="T59" s="148"/>
      <c r="U59" s="149"/>
      <c r="V59" s="149"/>
    </row>
    <row r="60" spans="1:22" s="57" customFormat="1" ht="27.75" customHeight="1">
      <c r="A60" s="22">
        <v>14</v>
      </c>
      <c r="B60" s="170" t="s">
        <v>132</v>
      </c>
      <c r="C60" s="140" t="s">
        <v>102</v>
      </c>
      <c r="D60" s="141">
        <v>321</v>
      </c>
      <c r="E60" s="142" t="s">
        <v>45</v>
      </c>
      <c r="F60" s="143">
        <v>0</v>
      </c>
      <c r="G60" s="45">
        <v>0</v>
      </c>
      <c r="H60" s="61">
        <v>0</v>
      </c>
      <c r="I60" s="47">
        <v>0</v>
      </c>
      <c r="J60" s="178">
        <v>46063</v>
      </c>
      <c r="K60" s="179" t="s">
        <v>967</v>
      </c>
      <c r="L60" s="180">
        <v>321</v>
      </c>
      <c r="M60" s="171" t="s">
        <v>45</v>
      </c>
      <c r="N60" s="172">
        <v>0</v>
      </c>
      <c r="O60" s="147">
        <f t="shared" si="13"/>
        <v>0</v>
      </c>
      <c r="P60" s="147">
        <f t="shared" si="16"/>
        <v>0</v>
      </c>
      <c r="Q60" s="47">
        <f t="shared" si="17"/>
        <v>0</v>
      </c>
      <c r="R60" s="146"/>
      <c r="S60" s="148"/>
      <c r="T60" s="148"/>
      <c r="U60" s="149"/>
      <c r="V60" s="149"/>
    </row>
    <row r="61" spans="1:22" s="57" customFormat="1" ht="27.75" customHeight="1">
      <c r="A61" s="22">
        <v>15</v>
      </c>
      <c r="B61" s="40" t="s">
        <v>134</v>
      </c>
      <c r="C61" s="140" t="s">
        <v>102</v>
      </c>
      <c r="D61" s="141">
        <v>160.5</v>
      </c>
      <c r="E61" s="142" t="s">
        <v>45</v>
      </c>
      <c r="F61" s="143">
        <v>0</v>
      </c>
      <c r="G61" s="61">
        <v>0</v>
      </c>
      <c r="H61" s="61">
        <v>0</v>
      </c>
      <c r="I61" s="47">
        <v>0</v>
      </c>
      <c r="J61" s="175">
        <v>46075</v>
      </c>
      <c r="K61" s="176" t="s">
        <v>968</v>
      </c>
      <c r="L61" s="177">
        <v>160.5</v>
      </c>
      <c r="M61" s="145" t="s">
        <v>45</v>
      </c>
      <c r="N61" s="146">
        <v>0</v>
      </c>
      <c r="O61" s="147">
        <f t="shared" si="13"/>
        <v>0</v>
      </c>
      <c r="P61" s="147">
        <f t="shared" si="16"/>
        <v>0</v>
      </c>
      <c r="Q61" s="47">
        <f t="shared" si="17"/>
        <v>0</v>
      </c>
      <c r="R61" s="146"/>
      <c r="S61" s="148"/>
      <c r="T61" s="148"/>
      <c r="U61" s="149"/>
      <c r="V61" s="149"/>
    </row>
    <row r="62" spans="1:22" s="57" customFormat="1" ht="27.75" customHeight="1">
      <c r="A62" s="22">
        <v>16</v>
      </c>
      <c r="B62" s="170" t="s">
        <v>136</v>
      </c>
      <c r="C62" s="140" t="s">
        <v>102</v>
      </c>
      <c r="D62" s="141">
        <v>321</v>
      </c>
      <c r="E62" s="142" t="s">
        <v>45</v>
      </c>
      <c r="F62" s="143">
        <v>0</v>
      </c>
      <c r="G62" s="45">
        <v>0</v>
      </c>
      <c r="H62" s="61">
        <v>0</v>
      </c>
      <c r="I62" s="47">
        <v>0</v>
      </c>
      <c r="J62" s="113">
        <v>46077</v>
      </c>
      <c r="K62" s="114" t="s">
        <v>969</v>
      </c>
      <c r="L62" s="144">
        <v>321</v>
      </c>
      <c r="M62" s="171" t="s">
        <v>45</v>
      </c>
      <c r="N62" s="172">
        <v>0</v>
      </c>
      <c r="O62" s="147">
        <f t="shared" si="13"/>
        <v>0</v>
      </c>
      <c r="P62" s="147">
        <f t="shared" si="16"/>
        <v>0</v>
      </c>
      <c r="Q62" s="47">
        <f t="shared" si="17"/>
        <v>0</v>
      </c>
      <c r="R62" s="146"/>
      <c r="S62" s="148"/>
      <c r="T62" s="148"/>
      <c r="U62" s="149"/>
      <c r="V62" s="149"/>
    </row>
    <row r="63" spans="1:22" s="57" customFormat="1" ht="27.75" customHeight="1">
      <c r="A63" s="22">
        <v>17</v>
      </c>
      <c r="B63" s="181" t="s">
        <v>138</v>
      </c>
      <c r="C63" s="182" t="s">
        <v>139</v>
      </c>
      <c r="D63" s="173">
        <v>160.5</v>
      </c>
      <c r="E63" s="142" t="s">
        <v>857</v>
      </c>
      <c r="F63" s="143">
        <v>-11</v>
      </c>
      <c r="G63" s="45">
        <v>-1650</v>
      </c>
      <c r="H63" s="61">
        <v>-115.5</v>
      </c>
      <c r="I63" s="47">
        <v>-1765.5</v>
      </c>
      <c r="J63" s="183"/>
      <c r="K63" s="184"/>
      <c r="L63" s="185">
        <v>0</v>
      </c>
      <c r="M63" s="171" t="s">
        <v>970</v>
      </c>
      <c r="N63" s="44">
        <v>-10</v>
      </c>
      <c r="O63" s="147">
        <f t="shared" si="13"/>
        <v>-1500</v>
      </c>
      <c r="P63" s="147">
        <f t="shared" si="16"/>
        <v>-105</v>
      </c>
      <c r="Q63" s="47">
        <f t="shared" si="17"/>
        <v>-1605</v>
      </c>
      <c r="R63" s="146"/>
      <c r="S63" s="148"/>
      <c r="T63" s="148"/>
      <c r="U63" s="149"/>
      <c r="V63" s="149"/>
    </row>
    <row r="64" spans="1:22" s="57" customFormat="1" ht="27.75" customHeight="1">
      <c r="A64" s="22">
        <v>18</v>
      </c>
      <c r="B64" s="181" t="s">
        <v>142</v>
      </c>
      <c r="C64" s="182" t="s">
        <v>143</v>
      </c>
      <c r="D64" s="173">
        <v>160.5</v>
      </c>
      <c r="E64" s="142" t="s">
        <v>45</v>
      </c>
      <c r="F64" s="143">
        <v>0</v>
      </c>
      <c r="G64" s="45">
        <v>0</v>
      </c>
      <c r="H64" s="61">
        <v>0</v>
      </c>
      <c r="I64" s="47">
        <v>0</v>
      </c>
      <c r="J64" s="183">
        <v>46080</v>
      </c>
      <c r="K64" s="184" t="s">
        <v>971</v>
      </c>
      <c r="L64" s="185">
        <v>160.5</v>
      </c>
      <c r="M64" s="186" t="s">
        <v>45</v>
      </c>
      <c r="N64" s="44">
        <v>0</v>
      </c>
      <c r="O64" s="147">
        <f t="shared" si="13"/>
        <v>0</v>
      </c>
      <c r="P64" s="147">
        <f t="shared" si="16"/>
        <v>0</v>
      </c>
      <c r="Q64" s="47">
        <f t="shared" si="17"/>
        <v>0</v>
      </c>
      <c r="R64" s="146"/>
      <c r="S64" s="148"/>
      <c r="T64" s="148"/>
      <c r="U64" s="149"/>
      <c r="V64" s="149"/>
    </row>
    <row r="65" spans="1:22" s="57" customFormat="1" ht="27.75" customHeight="1">
      <c r="A65" s="22">
        <v>19</v>
      </c>
      <c r="B65" s="40" t="s">
        <v>145</v>
      </c>
      <c r="C65" s="140" t="s">
        <v>102</v>
      </c>
      <c r="D65" s="173">
        <v>321</v>
      </c>
      <c r="E65" s="142" t="s">
        <v>45</v>
      </c>
      <c r="F65" s="143">
        <v>0</v>
      </c>
      <c r="G65" s="45">
        <v>0</v>
      </c>
      <c r="H65" s="61">
        <v>0</v>
      </c>
      <c r="I65" s="47">
        <v>0</v>
      </c>
      <c r="J65" s="175">
        <v>46076</v>
      </c>
      <c r="K65" s="176" t="s">
        <v>972</v>
      </c>
      <c r="L65" s="177">
        <v>321</v>
      </c>
      <c r="M65" s="171" t="s">
        <v>45</v>
      </c>
      <c r="N65" s="172">
        <v>0</v>
      </c>
      <c r="O65" s="147">
        <f t="shared" si="13"/>
        <v>0</v>
      </c>
      <c r="P65" s="147">
        <f t="shared" si="16"/>
        <v>0</v>
      </c>
      <c r="Q65" s="47">
        <f t="shared" si="17"/>
        <v>0</v>
      </c>
      <c r="R65" s="146"/>
      <c r="S65" s="148"/>
      <c r="T65" s="148"/>
      <c r="U65" s="149"/>
      <c r="V65" s="149"/>
    </row>
    <row r="66" spans="1:22" s="57" customFormat="1" ht="27.75" customHeight="1">
      <c r="A66" s="22">
        <v>20</v>
      </c>
      <c r="B66" s="40" t="s">
        <v>147</v>
      </c>
      <c r="C66" s="140" t="s">
        <v>102</v>
      </c>
      <c r="D66" s="173">
        <v>160.5</v>
      </c>
      <c r="E66" s="142" t="s">
        <v>45</v>
      </c>
      <c r="F66" s="143">
        <v>0</v>
      </c>
      <c r="G66" s="45">
        <v>0</v>
      </c>
      <c r="H66" s="61">
        <v>0</v>
      </c>
      <c r="I66" s="47">
        <v>0</v>
      </c>
      <c r="J66" s="175">
        <v>46056</v>
      </c>
      <c r="K66" s="176" t="s">
        <v>973</v>
      </c>
      <c r="L66" s="177">
        <v>160.5</v>
      </c>
      <c r="M66" s="171" t="s">
        <v>45</v>
      </c>
      <c r="N66" s="172">
        <v>0</v>
      </c>
      <c r="O66" s="147">
        <f t="shared" si="13"/>
        <v>0</v>
      </c>
      <c r="P66" s="147">
        <f t="shared" si="16"/>
        <v>0</v>
      </c>
      <c r="Q66" s="47">
        <f t="shared" si="17"/>
        <v>0</v>
      </c>
      <c r="R66" s="146"/>
      <c r="S66" s="148"/>
      <c r="T66" s="148"/>
      <c r="U66" s="149"/>
      <c r="V66" s="149"/>
    </row>
    <row r="67" spans="1:22" s="57" customFormat="1" ht="27.75" customHeight="1">
      <c r="A67" s="22">
        <v>21</v>
      </c>
      <c r="B67" s="80" t="s">
        <v>149</v>
      </c>
      <c r="C67" s="140" t="s">
        <v>102</v>
      </c>
      <c r="D67" s="173">
        <v>1070</v>
      </c>
      <c r="E67" s="142" t="s">
        <v>45</v>
      </c>
      <c r="F67" s="143">
        <v>0</v>
      </c>
      <c r="G67" s="187">
        <v>0</v>
      </c>
      <c r="H67" s="61">
        <v>0</v>
      </c>
      <c r="I67" s="47">
        <v>0</v>
      </c>
      <c r="J67" s="175">
        <v>46076</v>
      </c>
      <c r="K67" s="176" t="s">
        <v>974</v>
      </c>
      <c r="L67" s="177">
        <v>1070</v>
      </c>
      <c r="M67" s="171" t="s">
        <v>45</v>
      </c>
      <c r="N67" s="172">
        <v>0</v>
      </c>
      <c r="O67" s="147">
        <f t="shared" si="13"/>
        <v>0</v>
      </c>
      <c r="P67" s="147">
        <f t="shared" si="16"/>
        <v>0</v>
      </c>
      <c r="Q67" s="47">
        <f t="shared" si="17"/>
        <v>0</v>
      </c>
      <c r="R67" s="188"/>
      <c r="S67" s="189"/>
      <c r="T67" s="189"/>
      <c r="U67" s="190"/>
      <c r="V67" s="190"/>
    </row>
    <row r="68" spans="1:22" s="57" customFormat="1" ht="27.75" customHeight="1">
      <c r="A68" s="22">
        <v>22</v>
      </c>
      <c r="B68" s="170" t="s">
        <v>151</v>
      </c>
      <c r="C68" s="140" t="s">
        <v>102</v>
      </c>
      <c r="D68" s="141">
        <v>160.5</v>
      </c>
      <c r="E68" s="142" t="s">
        <v>45</v>
      </c>
      <c r="F68" s="143">
        <v>0</v>
      </c>
      <c r="G68" s="45">
        <v>0</v>
      </c>
      <c r="H68" s="61">
        <v>0</v>
      </c>
      <c r="I68" s="47">
        <v>0</v>
      </c>
      <c r="J68" s="117">
        <v>46056</v>
      </c>
      <c r="K68" s="118" t="s">
        <v>975</v>
      </c>
      <c r="L68" s="151">
        <v>160.5</v>
      </c>
      <c r="M68" s="171" t="s">
        <v>45</v>
      </c>
      <c r="N68" s="172">
        <v>0</v>
      </c>
      <c r="O68" s="147">
        <f t="shared" si="13"/>
        <v>0</v>
      </c>
      <c r="P68" s="147">
        <f>ROUND((O68*0.07),2)</f>
        <v>0</v>
      </c>
      <c r="Q68" s="47">
        <f>+O68+P68</f>
        <v>0</v>
      </c>
      <c r="R68" s="146"/>
      <c r="S68" s="148"/>
      <c r="T68" s="148"/>
      <c r="U68" s="149"/>
      <c r="V68" s="149"/>
    </row>
    <row r="69" spans="1:22" s="57" customFormat="1" ht="27.75" customHeight="1">
      <c r="A69" s="22">
        <v>23</v>
      </c>
      <c r="B69" s="170" t="s">
        <v>153</v>
      </c>
      <c r="C69" s="140" t="s">
        <v>102</v>
      </c>
      <c r="D69" s="141">
        <v>160.5</v>
      </c>
      <c r="E69" s="142" t="s">
        <v>857</v>
      </c>
      <c r="F69" s="143">
        <v>-11</v>
      </c>
      <c r="G69" s="45">
        <v>-1650</v>
      </c>
      <c r="H69" s="61">
        <v>-115.5</v>
      </c>
      <c r="I69" s="47">
        <v>-1765.5</v>
      </c>
      <c r="J69" s="175"/>
      <c r="K69" s="176"/>
      <c r="L69" s="177">
        <v>0</v>
      </c>
      <c r="M69" s="171" t="s">
        <v>970</v>
      </c>
      <c r="N69" s="172">
        <v>-10</v>
      </c>
      <c r="O69" s="147">
        <f t="shared" si="13"/>
        <v>-1500</v>
      </c>
      <c r="P69" s="147">
        <f>ROUND((O69*0.07),2)</f>
        <v>-105</v>
      </c>
      <c r="Q69" s="47">
        <f>+O69+P69</f>
        <v>-1605</v>
      </c>
      <c r="R69" s="146"/>
      <c r="S69" s="148"/>
      <c r="T69" s="148"/>
      <c r="U69" s="149"/>
      <c r="V69" s="149"/>
    </row>
    <row r="70" spans="1:22" s="57" customFormat="1" ht="27.75" customHeight="1">
      <c r="A70" s="22">
        <v>24</v>
      </c>
      <c r="B70" s="170" t="s">
        <v>154</v>
      </c>
      <c r="C70" s="140" t="s">
        <v>102</v>
      </c>
      <c r="D70" s="141">
        <v>321</v>
      </c>
      <c r="E70" s="142" t="s">
        <v>45</v>
      </c>
      <c r="F70" s="143">
        <v>0</v>
      </c>
      <c r="G70" s="45">
        <v>0</v>
      </c>
      <c r="H70" s="61">
        <v>0</v>
      </c>
      <c r="I70" s="47">
        <v>0</v>
      </c>
      <c r="J70" s="175">
        <v>46078</v>
      </c>
      <c r="K70" s="176" t="s">
        <v>976</v>
      </c>
      <c r="L70" s="177">
        <v>321</v>
      </c>
      <c r="M70" s="186" t="s">
        <v>45</v>
      </c>
      <c r="N70" s="44">
        <v>0</v>
      </c>
      <c r="O70" s="147">
        <f t="shared" si="13"/>
        <v>0</v>
      </c>
      <c r="P70" s="147">
        <f>ROUND((O70*0.07),2)</f>
        <v>0</v>
      </c>
      <c r="Q70" s="47">
        <f>+O70+P70</f>
        <v>0</v>
      </c>
      <c r="R70" s="146"/>
      <c r="S70" s="148"/>
      <c r="T70" s="148"/>
      <c r="U70" s="149"/>
      <c r="V70" s="149"/>
    </row>
    <row r="71" spans="1:22" s="57" customFormat="1" ht="27.75" customHeight="1">
      <c r="A71" s="22">
        <v>25</v>
      </c>
      <c r="B71" s="191" t="s">
        <v>156</v>
      </c>
      <c r="C71" s="140" t="s">
        <v>102</v>
      </c>
      <c r="D71" s="192">
        <v>160.5</v>
      </c>
      <c r="E71" s="142" t="s">
        <v>45</v>
      </c>
      <c r="F71" s="143">
        <v>0</v>
      </c>
      <c r="G71" s="187">
        <v>0</v>
      </c>
      <c r="H71" s="61">
        <v>0</v>
      </c>
      <c r="I71" s="47">
        <v>0</v>
      </c>
      <c r="J71" s="175">
        <v>46057</v>
      </c>
      <c r="K71" s="176" t="s">
        <v>977</v>
      </c>
      <c r="L71" s="177">
        <v>160.5</v>
      </c>
      <c r="M71" s="186" t="s">
        <v>45</v>
      </c>
      <c r="N71" s="44">
        <v>0</v>
      </c>
      <c r="O71" s="147">
        <f t="shared" si="13"/>
        <v>0</v>
      </c>
      <c r="P71" s="147">
        <f t="shared" ref="P71:P76" si="18">ROUND((O71*0.07),2)</f>
        <v>0</v>
      </c>
      <c r="Q71" s="47">
        <f t="shared" ref="Q71:Q76" si="19">+O71+P71</f>
        <v>0</v>
      </c>
      <c r="R71" s="188"/>
      <c r="S71" s="189"/>
      <c r="T71" s="189"/>
      <c r="U71" s="190"/>
      <c r="V71" s="190"/>
    </row>
    <row r="72" spans="1:22" s="57" customFormat="1" ht="27.75" customHeight="1">
      <c r="A72" s="22">
        <v>26</v>
      </c>
      <c r="B72" s="170" t="s">
        <v>158</v>
      </c>
      <c r="C72" s="140" t="s">
        <v>102</v>
      </c>
      <c r="D72" s="141">
        <v>321</v>
      </c>
      <c r="E72" s="142" t="s">
        <v>866</v>
      </c>
      <c r="F72" s="143">
        <v>-7.1183666666666676</v>
      </c>
      <c r="G72" s="45">
        <v>-2135.5100000000002</v>
      </c>
      <c r="H72" s="61">
        <v>-149.49</v>
      </c>
      <c r="I72" s="47">
        <v>-2285</v>
      </c>
      <c r="J72" s="117"/>
      <c r="K72" s="118"/>
      <c r="L72" s="151">
        <v>0</v>
      </c>
      <c r="M72" s="171" t="s">
        <v>978</v>
      </c>
      <c r="N72" s="172">
        <v>-6.1183666666666676</v>
      </c>
      <c r="O72" s="147">
        <f t="shared" si="13"/>
        <v>-1835.5100000000002</v>
      </c>
      <c r="P72" s="147">
        <f t="shared" si="18"/>
        <v>-128.49</v>
      </c>
      <c r="Q72" s="47">
        <f t="shared" si="19"/>
        <v>-1964.0000000000002</v>
      </c>
      <c r="R72" s="146"/>
      <c r="S72" s="148"/>
      <c r="T72" s="148"/>
      <c r="U72" s="149"/>
      <c r="V72" s="149"/>
    </row>
    <row r="73" spans="1:22" s="57" customFormat="1" ht="27.75" customHeight="1">
      <c r="A73" s="22">
        <v>27</v>
      </c>
      <c r="B73" s="191" t="s">
        <v>161</v>
      </c>
      <c r="C73" s="140" t="s">
        <v>102</v>
      </c>
      <c r="D73" s="192">
        <v>321</v>
      </c>
      <c r="E73" s="142" t="s">
        <v>45</v>
      </c>
      <c r="F73" s="143">
        <v>0</v>
      </c>
      <c r="G73" s="187">
        <v>0</v>
      </c>
      <c r="H73" s="61">
        <v>0</v>
      </c>
      <c r="I73" s="47">
        <v>0</v>
      </c>
      <c r="J73" s="117">
        <v>46077</v>
      </c>
      <c r="K73" s="118" t="s">
        <v>979</v>
      </c>
      <c r="L73" s="151">
        <v>321</v>
      </c>
      <c r="M73" s="171" t="s">
        <v>45</v>
      </c>
      <c r="N73" s="172">
        <v>0</v>
      </c>
      <c r="O73" s="147">
        <f t="shared" si="13"/>
        <v>0</v>
      </c>
      <c r="P73" s="147">
        <f t="shared" si="18"/>
        <v>0</v>
      </c>
      <c r="Q73" s="47">
        <f t="shared" si="19"/>
        <v>0</v>
      </c>
      <c r="R73" s="188"/>
      <c r="S73" s="189"/>
      <c r="T73" s="189"/>
      <c r="U73" s="190"/>
      <c r="V73" s="190"/>
    </row>
    <row r="74" spans="1:22" s="57" customFormat="1" ht="27.75" customHeight="1">
      <c r="A74" s="22">
        <v>28</v>
      </c>
      <c r="B74" s="191" t="s">
        <v>163</v>
      </c>
      <c r="C74" s="140" t="s">
        <v>102</v>
      </c>
      <c r="D74" s="192">
        <v>160.5</v>
      </c>
      <c r="E74" s="142" t="s">
        <v>45</v>
      </c>
      <c r="F74" s="143">
        <v>0</v>
      </c>
      <c r="G74" s="187">
        <v>0</v>
      </c>
      <c r="H74" s="61">
        <v>0</v>
      </c>
      <c r="I74" s="47">
        <v>0</v>
      </c>
      <c r="J74" s="117">
        <v>46078</v>
      </c>
      <c r="K74" s="118" t="s">
        <v>980</v>
      </c>
      <c r="L74" s="151">
        <v>160.5</v>
      </c>
      <c r="M74" s="171" t="s">
        <v>45</v>
      </c>
      <c r="N74" s="172">
        <v>0</v>
      </c>
      <c r="O74" s="147">
        <f t="shared" si="13"/>
        <v>0</v>
      </c>
      <c r="P74" s="147">
        <f t="shared" si="18"/>
        <v>0</v>
      </c>
      <c r="Q74" s="47">
        <f t="shared" si="19"/>
        <v>0</v>
      </c>
      <c r="R74" s="188"/>
      <c r="S74" s="189"/>
      <c r="T74" s="189"/>
      <c r="U74" s="190"/>
      <c r="V74" s="190"/>
    </row>
    <row r="75" spans="1:22" s="57" customFormat="1" ht="27.75" customHeight="1">
      <c r="A75" s="22">
        <v>29</v>
      </c>
      <c r="B75" s="170" t="s">
        <v>165</v>
      </c>
      <c r="C75" s="140" t="s">
        <v>102</v>
      </c>
      <c r="D75" s="141">
        <v>1070</v>
      </c>
      <c r="E75" s="142" t="s">
        <v>45</v>
      </c>
      <c r="F75" s="143">
        <v>0</v>
      </c>
      <c r="G75" s="45">
        <v>0</v>
      </c>
      <c r="H75" s="61">
        <v>0</v>
      </c>
      <c r="I75" s="47">
        <v>0</v>
      </c>
      <c r="J75" s="175">
        <v>46058</v>
      </c>
      <c r="K75" s="176" t="s">
        <v>981</v>
      </c>
      <c r="L75" s="177">
        <v>1070</v>
      </c>
      <c r="M75" s="171" t="s">
        <v>45</v>
      </c>
      <c r="N75" s="172">
        <v>0</v>
      </c>
      <c r="O75" s="147">
        <f t="shared" si="13"/>
        <v>0</v>
      </c>
      <c r="P75" s="147">
        <f t="shared" si="18"/>
        <v>0</v>
      </c>
      <c r="Q75" s="47">
        <f t="shared" si="19"/>
        <v>0</v>
      </c>
      <c r="R75" s="146"/>
      <c r="S75" s="148"/>
      <c r="T75" s="148"/>
      <c r="U75" s="149"/>
      <c r="V75" s="149"/>
    </row>
    <row r="76" spans="1:22" s="57" customFormat="1" ht="27.75" customHeight="1">
      <c r="A76" s="22">
        <v>30</v>
      </c>
      <c r="B76" s="191" t="s">
        <v>167</v>
      </c>
      <c r="C76" s="140" t="s">
        <v>102</v>
      </c>
      <c r="D76" s="192">
        <v>535</v>
      </c>
      <c r="E76" s="142" t="s">
        <v>45</v>
      </c>
      <c r="F76" s="143">
        <v>0</v>
      </c>
      <c r="G76" s="187">
        <v>0</v>
      </c>
      <c r="H76" s="61">
        <v>0</v>
      </c>
      <c r="I76" s="47">
        <v>0</v>
      </c>
      <c r="J76" s="117">
        <v>46080</v>
      </c>
      <c r="K76" s="118" t="s">
        <v>982</v>
      </c>
      <c r="L76" s="151">
        <v>535</v>
      </c>
      <c r="M76" s="171" t="s">
        <v>45</v>
      </c>
      <c r="N76" s="172">
        <v>0</v>
      </c>
      <c r="O76" s="147">
        <f t="shared" si="13"/>
        <v>0</v>
      </c>
      <c r="P76" s="147">
        <f t="shared" si="18"/>
        <v>0</v>
      </c>
      <c r="Q76" s="47">
        <f t="shared" si="19"/>
        <v>0</v>
      </c>
      <c r="R76" s="188"/>
      <c r="S76" s="189"/>
      <c r="T76" s="189"/>
      <c r="U76" s="190"/>
      <c r="V76" s="190"/>
    </row>
    <row r="77" spans="1:22" s="57" customFormat="1" ht="27.75" customHeight="1">
      <c r="A77" s="22">
        <v>31</v>
      </c>
      <c r="B77" s="170" t="s">
        <v>169</v>
      </c>
      <c r="C77" s="140" t="s">
        <v>102</v>
      </c>
      <c r="D77" s="173">
        <v>321</v>
      </c>
      <c r="E77" s="142" t="s">
        <v>45</v>
      </c>
      <c r="F77" s="143">
        <v>0</v>
      </c>
      <c r="G77" s="45">
        <v>0</v>
      </c>
      <c r="H77" s="61">
        <v>0</v>
      </c>
      <c r="I77" s="47">
        <v>0</v>
      </c>
      <c r="J77" s="175">
        <v>46077</v>
      </c>
      <c r="K77" s="176" t="s">
        <v>983</v>
      </c>
      <c r="L77" s="177">
        <v>321</v>
      </c>
      <c r="M77" s="171" t="s">
        <v>45</v>
      </c>
      <c r="N77" s="172">
        <v>0</v>
      </c>
      <c r="O77" s="147">
        <f t="shared" si="13"/>
        <v>0</v>
      </c>
      <c r="P77" s="147">
        <f>ROUND((O77*0.07),2)</f>
        <v>0</v>
      </c>
      <c r="Q77" s="47">
        <f>+O77+P77</f>
        <v>0</v>
      </c>
      <c r="R77" s="146"/>
      <c r="S77" s="148"/>
      <c r="T77" s="148"/>
      <c r="U77" s="149"/>
      <c r="V77" s="149"/>
    </row>
    <row r="78" spans="1:22" s="57" customFormat="1" ht="27.75" customHeight="1">
      <c r="A78" s="22">
        <v>32</v>
      </c>
      <c r="B78" s="191" t="s">
        <v>171</v>
      </c>
      <c r="C78" s="140" t="s">
        <v>102</v>
      </c>
      <c r="D78" s="173">
        <v>963</v>
      </c>
      <c r="E78" s="142" t="s">
        <v>45</v>
      </c>
      <c r="F78" s="143">
        <v>0</v>
      </c>
      <c r="G78" s="187">
        <v>0</v>
      </c>
      <c r="H78" s="61">
        <v>0</v>
      </c>
      <c r="I78" s="47">
        <v>0</v>
      </c>
      <c r="J78" s="175">
        <v>46078</v>
      </c>
      <c r="K78" s="176" t="s">
        <v>984</v>
      </c>
      <c r="L78" s="177">
        <v>963</v>
      </c>
      <c r="M78" s="171" t="s">
        <v>45</v>
      </c>
      <c r="N78" s="172">
        <v>0</v>
      </c>
      <c r="O78" s="147">
        <f t="shared" si="13"/>
        <v>0</v>
      </c>
      <c r="P78" s="147">
        <f t="shared" ref="P78:P81" si="20">ROUND((O78*0.07),2)</f>
        <v>0</v>
      </c>
      <c r="Q78" s="47">
        <f t="shared" ref="Q78:Q81" si="21">+O78+P78</f>
        <v>0</v>
      </c>
      <c r="R78" s="188"/>
      <c r="S78" s="189"/>
      <c r="T78" s="189"/>
      <c r="U78" s="190"/>
      <c r="V78" s="190"/>
    </row>
    <row r="79" spans="1:22" s="57" customFormat="1" ht="27.75" customHeight="1">
      <c r="A79" s="22">
        <v>33</v>
      </c>
      <c r="B79" s="191" t="s">
        <v>173</v>
      </c>
      <c r="C79" s="140" t="s">
        <v>102</v>
      </c>
      <c r="D79" s="173">
        <v>321</v>
      </c>
      <c r="E79" s="142" t="s">
        <v>45</v>
      </c>
      <c r="F79" s="143">
        <v>0</v>
      </c>
      <c r="G79" s="187">
        <v>0</v>
      </c>
      <c r="H79" s="61">
        <v>0</v>
      </c>
      <c r="I79" s="47">
        <v>0</v>
      </c>
      <c r="J79" s="175">
        <v>46054</v>
      </c>
      <c r="K79" s="176" t="s">
        <v>985</v>
      </c>
      <c r="L79" s="177">
        <v>321</v>
      </c>
      <c r="M79" s="171" t="s">
        <v>45</v>
      </c>
      <c r="N79" s="172">
        <v>0</v>
      </c>
      <c r="O79" s="147">
        <f t="shared" si="13"/>
        <v>0</v>
      </c>
      <c r="P79" s="147">
        <f t="shared" si="20"/>
        <v>0</v>
      </c>
      <c r="Q79" s="47">
        <f t="shared" si="21"/>
        <v>0</v>
      </c>
      <c r="R79" s="188"/>
      <c r="S79" s="189"/>
      <c r="T79" s="189"/>
      <c r="U79" s="190"/>
      <c r="V79" s="190"/>
    </row>
    <row r="80" spans="1:22" s="57" customFormat="1" ht="27.75" customHeight="1">
      <c r="A80" s="22">
        <v>34</v>
      </c>
      <c r="B80" s="191" t="s">
        <v>175</v>
      </c>
      <c r="C80" s="140" t="s">
        <v>102</v>
      </c>
      <c r="D80" s="173">
        <v>321</v>
      </c>
      <c r="E80" s="142" t="s">
        <v>26</v>
      </c>
      <c r="F80" s="143">
        <v>0</v>
      </c>
      <c r="G80" s="187">
        <v>0</v>
      </c>
      <c r="H80" s="61">
        <v>0</v>
      </c>
      <c r="I80" s="47">
        <v>0</v>
      </c>
      <c r="J80" s="175">
        <v>46054</v>
      </c>
      <c r="K80" s="176" t="s">
        <v>986</v>
      </c>
      <c r="L80" s="177">
        <v>321</v>
      </c>
      <c r="M80" s="171" t="s">
        <v>26</v>
      </c>
      <c r="N80" s="172">
        <v>0</v>
      </c>
      <c r="O80" s="147">
        <f t="shared" si="13"/>
        <v>0</v>
      </c>
      <c r="P80" s="147">
        <f t="shared" si="20"/>
        <v>0</v>
      </c>
      <c r="Q80" s="47">
        <f t="shared" si="21"/>
        <v>0</v>
      </c>
      <c r="R80" s="188"/>
      <c r="S80" s="189"/>
      <c r="T80" s="189"/>
      <c r="U80" s="190"/>
      <c r="V80" s="190"/>
    </row>
    <row r="81" spans="1:23" s="57" customFormat="1" ht="27.75" customHeight="1">
      <c r="A81" s="22">
        <v>35</v>
      </c>
      <c r="B81" s="191" t="s">
        <v>177</v>
      </c>
      <c r="C81" s="140" t="s">
        <v>102</v>
      </c>
      <c r="D81" s="192">
        <v>321</v>
      </c>
      <c r="E81" s="142" t="s">
        <v>45</v>
      </c>
      <c r="F81" s="143">
        <v>0</v>
      </c>
      <c r="G81" s="187">
        <v>0</v>
      </c>
      <c r="H81" s="61">
        <v>0</v>
      </c>
      <c r="I81" s="47">
        <v>0</v>
      </c>
      <c r="J81" s="117">
        <v>46077</v>
      </c>
      <c r="K81" s="118" t="s">
        <v>987</v>
      </c>
      <c r="L81" s="151">
        <v>321</v>
      </c>
      <c r="M81" s="171" t="s">
        <v>45</v>
      </c>
      <c r="N81" s="172">
        <v>0</v>
      </c>
      <c r="O81" s="147">
        <f t="shared" si="13"/>
        <v>0</v>
      </c>
      <c r="P81" s="147">
        <f t="shared" si="20"/>
        <v>0</v>
      </c>
      <c r="Q81" s="47">
        <f t="shared" si="21"/>
        <v>0</v>
      </c>
      <c r="R81" s="188"/>
      <c r="S81" s="189"/>
      <c r="T81" s="189"/>
      <c r="U81" s="190"/>
      <c r="V81" s="190"/>
    </row>
    <row r="82" spans="1:23" ht="27.75" customHeight="1" thickBot="1">
      <c r="A82" s="193"/>
      <c r="B82" s="194" t="s">
        <v>22</v>
      </c>
      <c r="C82" s="195"/>
      <c r="D82" s="196">
        <f>SUM(D47:D81)</f>
        <v>12358.5</v>
      </c>
      <c r="E82" s="196"/>
      <c r="F82" s="197"/>
      <c r="G82" s="198">
        <f>SUM(G59)</f>
        <v>150</v>
      </c>
      <c r="H82" s="198">
        <f t="shared" ref="H82:I82" si="22">SUM(H59)</f>
        <v>10.5</v>
      </c>
      <c r="I82" s="198">
        <f t="shared" si="22"/>
        <v>160.5</v>
      </c>
      <c r="J82" s="199"/>
      <c r="K82" s="199"/>
      <c r="L82" s="196">
        <f>SUM(L47:L81)</f>
        <v>11395.5</v>
      </c>
      <c r="M82" s="200"/>
      <c r="N82" s="196"/>
      <c r="O82" s="198">
        <f>SUM(O47:O81)-O49-O56-O57-O63-O69-O72</f>
        <v>150</v>
      </c>
      <c r="P82" s="198">
        <f t="shared" ref="P82:Q82" si="23">SUM(P47:P81)-P49-P56-P57-P63-P69-P72</f>
        <v>10.5</v>
      </c>
      <c r="Q82" s="198">
        <f t="shared" si="23"/>
        <v>160.50000000000023</v>
      </c>
      <c r="R82" s="36"/>
      <c r="S82" s="37"/>
      <c r="T82" s="37"/>
      <c r="U82" s="38"/>
      <c r="V82" s="38"/>
      <c r="W82" s="38"/>
    </row>
    <row r="83" spans="1:23" ht="27.75" customHeight="1" thickTop="1">
      <c r="A83" s="22"/>
      <c r="B83" s="23" t="s">
        <v>179</v>
      </c>
      <c r="C83" s="24"/>
      <c r="D83" s="25"/>
      <c r="E83" s="26"/>
      <c r="F83" s="27"/>
      <c r="G83" s="28"/>
      <c r="H83" s="28"/>
      <c r="I83" s="28"/>
      <c r="J83" s="29"/>
      <c r="K83" s="30"/>
      <c r="L83" s="31"/>
      <c r="M83" s="32"/>
      <c r="N83" s="33"/>
      <c r="O83" s="34"/>
      <c r="P83" s="34"/>
      <c r="Q83" s="35"/>
      <c r="R83" s="36"/>
      <c r="S83" s="37"/>
      <c r="T83" s="37"/>
      <c r="U83" s="38"/>
      <c r="V83" s="38"/>
      <c r="W83" s="38"/>
    </row>
    <row r="84" spans="1:23" ht="27.75" customHeight="1">
      <c r="A84" s="94">
        <v>1</v>
      </c>
      <c r="B84" s="40" t="s">
        <v>180</v>
      </c>
      <c r="C84" s="41" t="s">
        <v>181</v>
      </c>
      <c r="D84" s="562">
        <v>1284</v>
      </c>
      <c r="E84" s="43" t="s">
        <v>801</v>
      </c>
      <c r="F84" s="44">
        <v>1</v>
      </c>
      <c r="G84" s="45">
        <v>1275</v>
      </c>
      <c r="H84" s="61">
        <v>89.25</v>
      </c>
      <c r="I84" s="47">
        <v>1364.25</v>
      </c>
      <c r="J84" s="48">
        <v>46058</v>
      </c>
      <c r="K84" s="49" t="s">
        <v>988</v>
      </c>
      <c r="L84" s="202">
        <v>1364.25</v>
      </c>
      <c r="M84" s="83" t="s">
        <v>823</v>
      </c>
      <c r="N84" s="39">
        <v>1</v>
      </c>
      <c r="O84" s="147">
        <f>+(D84*100/107)+G84-(L84*100/107)</f>
        <v>1200</v>
      </c>
      <c r="P84" s="147">
        <f t="shared" ref="P84:P88" si="24">ROUND((O84*0.07),2)</f>
        <v>84</v>
      </c>
      <c r="Q84" s="47">
        <f t="shared" ref="Q84:Q88" si="25">+O84+P84</f>
        <v>1284</v>
      </c>
      <c r="R84" s="116"/>
      <c r="S84" s="203"/>
      <c r="T84" s="203"/>
      <c r="U84" s="204"/>
      <c r="V84" s="204"/>
    </row>
    <row r="85" spans="1:23" ht="27.75" customHeight="1">
      <c r="A85" s="94">
        <v>2</v>
      </c>
      <c r="B85" s="40" t="s">
        <v>184</v>
      </c>
      <c r="C85" s="41" t="s">
        <v>181</v>
      </c>
      <c r="D85" s="562">
        <v>3370.5</v>
      </c>
      <c r="E85" s="43" t="s">
        <v>45</v>
      </c>
      <c r="F85" s="44">
        <v>0</v>
      </c>
      <c r="G85" s="45">
        <v>0</v>
      </c>
      <c r="H85" s="61">
        <v>0</v>
      </c>
      <c r="I85" s="47">
        <v>0</v>
      </c>
      <c r="J85" s="48">
        <v>46062</v>
      </c>
      <c r="K85" s="49" t="s">
        <v>989</v>
      </c>
      <c r="L85" s="202">
        <v>3370.5</v>
      </c>
      <c r="M85" s="94" t="s">
        <v>45</v>
      </c>
      <c r="N85" s="116">
        <v>0</v>
      </c>
      <c r="O85" s="147">
        <f>+(D85*100/107)+G85-(L85*100/107)</f>
        <v>0</v>
      </c>
      <c r="P85" s="147">
        <f t="shared" si="24"/>
        <v>0</v>
      </c>
      <c r="Q85" s="47">
        <f t="shared" si="25"/>
        <v>0</v>
      </c>
      <c r="R85" s="116"/>
      <c r="S85" s="203"/>
      <c r="T85" s="203"/>
      <c r="U85" s="204"/>
      <c r="V85" s="204"/>
    </row>
    <row r="86" spans="1:23" ht="27.75" customHeight="1">
      <c r="A86" s="94">
        <v>3</v>
      </c>
      <c r="B86" s="205" t="s">
        <v>186</v>
      </c>
      <c r="C86" s="206" t="s">
        <v>181</v>
      </c>
      <c r="D86" s="563">
        <v>3370.5</v>
      </c>
      <c r="E86" s="64" t="s">
        <v>45</v>
      </c>
      <c r="F86" s="44">
        <v>0</v>
      </c>
      <c r="G86" s="45">
        <v>0</v>
      </c>
      <c r="H86" s="61">
        <v>0</v>
      </c>
      <c r="I86" s="47">
        <v>0</v>
      </c>
      <c r="J86" s="48">
        <v>46080</v>
      </c>
      <c r="K86" s="49" t="s">
        <v>990</v>
      </c>
      <c r="L86" s="202">
        <v>3370.5</v>
      </c>
      <c r="M86" s="186" t="s">
        <v>45</v>
      </c>
      <c r="N86" s="116">
        <v>0</v>
      </c>
      <c r="O86" s="147">
        <f>+(D86*100/107)+G86-(L86*100/107)</f>
        <v>0</v>
      </c>
      <c r="P86" s="147">
        <f t="shared" si="24"/>
        <v>0</v>
      </c>
      <c r="Q86" s="47">
        <f t="shared" si="25"/>
        <v>0</v>
      </c>
      <c r="R86" s="116"/>
      <c r="S86" s="203"/>
      <c r="T86" s="203"/>
      <c r="U86" s="204"/>
      <c r="V86" s="204"/>
    </row>
    <row r="87" spans="1:23" ht="27.75" customHeight="1">
      <c r="A87" s="186">
        <v>4</v>
      </c>
      <c r="B87" s="205" t="s">
        <v>188</v>
      </c>
      <c r="C87" s="206" t="s">
        <v>181</v>
      </c>
      <c r="D87" s="563">
        <v>2140</v>
      </c>
      <c r="E87" s="64" t="s">
        <v>26</v>
      </c>
      <c r="F87" s="44">
        <v>0</v>
      </c>
      <c r="G87" s="45">
        <v>0</v>
      </c>
      <c r="H87" s="45">
        <v>0</v>
      </c>
      <c r="I87" s="66">
        <v>0</v>
      </c>
      <c r="J87" s="48">
        <v>46055</v>
      </c>
      <c r="K87" s="49" t="s">
        <v>991</v>
      </c>
      <c r="L87" s="202">
        <v>2140</v>
      </c>
      <c r="M87" s="186" t="s">
        <v>26</v>
      </c>
      <c r="N87" s="116">
        <v>0</v>
      </c>
      <c r="O87" s="147">
        <f>+(D87*100/107)+G87-(L87*100/107)</f>
        <v>0</v>
      </c>
      <c r="P87" s="147">
        <f t="shared" si="24"/>
        <v>0</v>
      </c>
      <c r="Q87" s="47">
        <f t="shared" si="25"/>
        <v>0</v>
      </c>
      <c r="R87" s="116"/>
      <c r="S87" s="203"/>
      <c r="T87" s="203"/>
      <c r="U87" s="204"/>
      <c r="V87" s="204"/>
    </row>
    <row r="88" spans="1:23" s="220" customFormat="1" ht="27.75" customHeight="1">
      <c r="A88" s="186">
        <v>5</v>
      </c>
      <c r="B88" s="208" t="s">
        <v>71</v>
      </c>
      <c r="C88" s="209" t="s">
        <v>181</v>
      </c>
      <c r="D88" s="564">
        <v>2675</v>
      </c>
      <c r="E88" s="211" t="s">
        <v>836</v>
      </c>
      <c r="F88" s="212">
        <v>-0.5</v>
      </c>
      <c r="G88" s="213">
        <v>-1250</v>
      </c>
      <c r="H88" s="213">
        <v>-87.5</v>
      </c>
      <c r="I88" s="214">
        <v>-1337.5</v>
      </c>
      <c r="J88" s="62">
        <v>46078</v>
      </c>
      <c r="K88" s="215" t="s">
        <v>992</v>
      </c>
      <c r="L88" s="202">
        <v>2675</v>
      </c>
      <c r="M88" s="216" t="s">
        <v>951</v>
      </c>
      <c r="N88" s="217">
        <v>-0.5</v>
      </c>
      <c r="O88" s="147">
        <f>+(D88*100/107)+G88-(L88*100/107)</f>
        <v>-1250</v>
      </c>
      <c r="P88" s="147">
        <f t="shared" si="24"/>
        <v>-87.5</v>
      </c>
      <c r="Q88" s="47">
        <f t="shared" si="25"/>
        <v>-1337.5</v>
      </c>
      <c r="R88" s="217"/>
      <c r="S88" s="218"/>
      <c r="T88" s="218"/>
      <c r="U88" s="219"/>
      <c r="V88" s="219"/>
    </row>
    <row r="89" spans="1:23" ht="27.75" customHeight="1" thickBot="1">
      <c r="A89" s="193"/>
      <c r="B89" s="194" t="s">
        <v>22</v>
      </c>
      <c r="C89" s="195"/>
      <c r="D89" s="196">
        <f>SUM(D84:D88)</f>
        <v>12840</v>
      </c>
      <c r="E89" s="221"/>
      <c r="F89" s="197"/>
      <c r="G89" s="198">
        <f>SUM(G84:G88)-G88</f>
        <v>1275</v>
      </c>
      <c r="H89" s="198">
        <f t="shared" ref="H89:I89" si="26">SUM(H84:H88)-H88</f>
        <v>89.25</v>
      </c>
      <c r="I89" s="198">
        <f t="shared" si="26"/>
        <v>1364.25</v>
      </c>
      <c r="J89" s="199"/>
      <c r="K89" s="199"/>
      <c r="L89" s="196">
        <f>SUM(L84:L88)</f>
        <v>12920.25</v>
      </c>
      <c r="M89" s="200"/>
      <c r="N89" s="196"/>
      <c r="O89" s="198">
        <f>SUM(O84:O87)</f>
        <v>1200</v>
      </c>
      <c r="P89" s="198">
        <f>SUM(P84:P87)</f>
        <v>84</v>
      </c>
      <c r="Q89" s="198">
        <f t="shared" ref="Q89" si="27">ROUND(SUM(Q84:Q88),2)-Q88</f>
        <v>1284</v>
      </c>
      <c r="R89" s="36"/>
      <c r="S89" s="37"/>
      <c r="T89" s="37"/>
      <c r="U89" s="38"/>
      <c r="V89" s="38"/>
      <c r="W89" s="38"/>
    </row>
    <row r="90" spans="1:23" ht="27.75" customHeight="1" thickTop="1">
      <c r="A90" s="22"/>
      <c r="B90" s="23" t="s">
        <v>191</v>
      </c>
      <c r="C90" s="24"/>
      <c r="D90" s="25"/>
      <c r="E90" s="26"/>
      <c r="F90" s="27"/>
      <c r="G90" s="28"/>
      <c r="H90" s="28"/>
      <c r="I90" s="28"/>
      <c r="J90" s="29"/>
      <c r="K90" s="30"/>
      <c r="L90" s="31"/>
      <c r="M90" s="32"/>
      <c r="N90" s="33"/>
      <c r="O90" s="34"/>
      <c r="P90" s="34"/>
      <c r="Q90" s="35"/>
      <c r="R90" s="36"/>
      <c r="S90" s="37"/>
      <c r="T90" s="37"/>
      <c r="U90" s="38"/>
      <c r="V90" s="38"/>
      <c r="W90" s="38"/>
    </row>
    <row r="91" spans="1:23" ht="27.75" customHeight="1">
      <c r="A91" s="94">
        <v>1</v>
      </c>
      <c r="B91" s="40" t="s">
        <v>192</v>
      </c>
      <c r="C91" s="41" t="s">
        <v>193</v>
      </c>
      <c r="D91" s="141">
        <v>2140</v>
      </c>
      <c r="E91" s="43"/>
      <c r="F91" s="44"/>
      <c r="G91" s="45">
        <v>0</v>
      </c>
      <c r="H91" s="61">
        <v>0</v>
      </c>
      <c r="I91" s="47">
        <v>0</v>
      </c>
      <c r="J91" s="175">
        <v>46058</v>
      </c>
      <c r="K91" s="176" t="s">
        <v>993</v>
      </c>
      <c r="L91" s="222">
        <v>2140</v>
      </c>
      <c r="M91" s="94" t="s">
        <v>45</v>
      </c>
      <c r="N91" s="116">
        <v>0</v>
      </c>
      <c r="O91" s="147">
        <v>0</v>
      </c>
      <c r="P91" s="147">
        <v>0</v>
      </c>
      <c r="Q91" s="47">
        <v>0</v>
      </c>
      <c r="R91" s="39" t="s">
        <v>195</v>
      </c>
      <c r="S91" s="55">
        <v>42491</v>
      </c>
      <c r="T91" s="55">
        <v>43585</v>
      </c>
      <c r="U91" s="56">
        <v>262800</v>
      </c>
      <c r="V91" s="56"/>
    </row>
    <row r="92" spans="1:23" ht="27.75" customHeight="1" thickBot="1">
      <c r="A92" s="193"/>
      <c r="B92" s="194" t="s">
        <v>22</v>
      </c>
      <c r="C92" s="195"/>
      <c r="D92" s="196">
        <v>2140</v>
      </c>
      <c r="E92" s="221"/>
      <c r="F92" s="197"/>
      <c r="G92" s="198">
        <v>0</v>
      </c>
      <c r="H92" s="198">
        <v>0</v>
      </c>
      <c r="I92" s="198">
        <v>0</v>
      </c>
      <c r="J92" s="199"/>
      <c r="K92" s="199"/>
      <c r="L92" s="196">
        <f>SUM(L91)</f>
        <v>2140</v>
      </c>
      <c r="M92" s="200"/>
      <c r="N92" s="196"/>
      <c r="O92" s="198">
        <v>0</v>
      </c>
      <c r="P92" s="198">
        <v>0</v>
      </c>
      <c r="Q92" s="198">
        <v>0</v>
      </c>
      <c r="R92" s="36"/>
      <c r="S92" s="37"/>
      <c r="T92" s="37"/>
      <c r="U92" s="38"/>
      <c r="V92" s="38"/>
      <c r="W92" s="38"/>
    </row>
    <row r="93" spans="1:23" ht="27.75" customHeight="1" thickTop="1">
      <c r="A93" s="22"/>
      <c r="B93" s="23" t="s">
        <v>196</v>
      </c>
      <c r="C93" s="24"/>
      <c r="D93" s="25"/>
      <c r="E93" s="26"/>
      <c r="F93" s="27"/>
      <c r="G93" s="28"/>
      <c r="H93" s="28"/>
      <c r="I93" s="28"/>
      <c r="J93" s="29"/>
      <c r="K93" s="30"/>
      <c r="L93" s="31"/>
      <c r="M93" s="32"/>
      <c r="N93" s="33"/>
      <c r="O93" s="34"/>
      <c r="P93" s="34"/>
      <c r="Q93" s="35"/>
      <c r="R93" s="36"/>
      <c r="S93" s="37"/>
      <c r="T93" s="37"/>
      <c r="U93" s="38"/>
      <c r="V93" s="38"/>
      <c r="W93" s="38"/>
    </row>
    <row r="94" spans="1:23" s="226" customFormat="1" ht="27.75" customHeight="1">
      <c r="A94" s="94"/>
      <c r="B94" s="223" t="s">
        <v>197</v>
      </c>
      <c r="C94" s="224"/>
      <c r="D94" s="225"/>
      <c r="E94" s="80"/>
      <c r="F94" s="44"/>
      <c r="G94" s="61"/>
      <c r="H94" s="61"/>
      <c r="I94" s="85"/>
      <c r="J94" s="178"/>
      <c r="K94" s="176"/>
      <c r="L94" s="222"/>
      <c r="M94" s="83"/>
      <c r="N94" s="116"/>
      <c r="O94" s="147"/>
      <c r="P94" s="147"/>
      <c r="Q94" s="47"/>
      <c r="R94" s="39"/>
      <c r="S94" s="55"/>
      <c r="T94" s="55"/>
      <c r="U94" s="56"/>
      <c r="V94" s="56"/>
    </row>
    <row r="95" spans="1:23" s="226" customFormat="1" ht="27.75" customHeight="1">
      <c r="A95" s="94">
        <v>1</v>
      </c>
      <c r="B95" s="181" t="s">
        <v>198</v>
      </c>
      <c r="C95" s="224" t="s">
        <v>199</v>
      </c>
      <c r="D95" s="225">
        <v>26750</v>
      </c>
      <c r="E95" s="80" t="s">
        <v>26</v>
      </c>
      <c r="F95" s="44">
        <v>0</v>
      </c>
      <c r="G95" s="61">
        <v>0</v>
      </c>
      <c r="H95" s="61">
        <v>0</v>
      </c>
      <c r="I95" s="85">
        <v>0</v>
      </c>
      <c r="J95" s="113">
        <v>46060</v>
      </c>
      <c r="K95" s="114" t="s">
        <v>994</v>
      </c>
      <c r="L95" s="144">
        <v>26750</v>
      </c>
      <c r="M95" s="83" t="s">
        <v>26</v>
      </c>
      <c r="N95" s="116">
        <v>0</v>
      </c>
      <c r="O95" s="147">
        <f t="shared" ref="O95:O107" si="28">+(D95*100/107)+G95-(L95*100/107)</f>
        <v>0</v>
      </c>
      <c r="P95" s="147">
        <f t="shared" ref="P95:P107" si="29">ROUND((O95*0.07),2)</f>
        <v>0</v>
      </c>
      <c r="Q95" s="47">
        <f t="shared" ref="Q95:Q107" si="30">+O95+P95</f>
        <v>0</v>
      </c>
      <c r="R95" s="39"/>
      <c r="S95" s="55"/>
      <c r="T95" s="55"/>
      <c r="U95" s="56"/>
      <c r="V95" s="56"/>
    </row>
    <row r="96" spans="1:23" s="226" customFormat="1" ht="27.75" customHeight="1">
      <c r="A96" s="94">
        <v>2</v>
      </c>
      <c r="B96" s="181" t="s">
        <v>201</v>
      </c>
      <c r="C96" s="224" t="s">
        <v>202</v>
      </c>
      <c r="D96" s="225">
        <v>0</v>
      </c>
      <c r="E96" s="80" t="s">
        <v>26</v>
      </c>
      <c r="F96" s="44">
        <v>0</v>
      </c>
      <c r="G96" s="61">
        <v>0</v>
      </c>
      <c r="H96" s="61">
        <v>0</v>
      </c>
      <c r="I96" s="85">
        <v>0</v>
      </c>
      <c r="J96" s="113"/>
      <c r="K96" s="114"/>
      <c r="L96" s="144">
        <v>0</v>
      </c>
      <c r="M96" s="83" t="s">
        <v>26</v>
      </c>
      <c r="N96" s="116">
        <v>0</v>
      </c>
      <c r="O96" s="147">
        <f t="shared" si="28"/>
        <v>0</v>
      </c>
      <c r="P96" s="147">
        <f t="shared" si="29"/>
        <v>0</v>
      </c>
      <c r="Q96" s="47">
        <f t="shared" si="30"/>
        <v>0</v>
      </c>
      <c r="R96" s="39"/>
      <c r="S96" s="55"/>
      <c r="T96" s="55"/>
      <c r="U96" s="56"/>
      <c r="V96" s="226" t="s">
        <v>203</v>
      </c>
    </row>
    <row r="97" spans="1:22" s="226" customFormat="1" ht="27.75" customHeight="1">
      <c r="A97" s="94">
        <v>3</v>
      </c>
      <c r="B97" s="181" t="s">
        <v>204</v>
      </c>
      <c r="C97" s="224" t="s">
        <v>205</v>
      </c>
      <c r="D97" s="225">
        <v>22470</v>
      </c>
      <c r="E97" s="80" t="s">
        <v>45</v>
      </c>
      <c r="F97" s="44">
        <v>0</v>
      </c>
      <c r="G97" s="61">
        <v>0</v>
      </c>
      <c r="H97" s="61">
        <v>0</v>
      </c>
      <c r="I97" s="85">
        <v>0</v>
      </c>
      <c r="J97" s="113">
        <v>46076</v>
      </c>
      <c r="K97" s="114" t="s">
        <v>995</v>
      </c>
      <c r="L97" s="144">
        <v>22470</v>
      </c>
      <c r="M97" s="83" t="s">
        <v>45</v>
      </c>
      <c r="N97" s="116">
        <v>0</v>
      </c>
      <c r="O97" s="147">
        <f t="shared" si="28"/>
        <v>0</v>
      </c>
      <c r="P97" s="147">
        <f t="shared" si="29"/>
        <v>0</v>
      </c>
      <c r="Q97" s="47">
        <f t="shared" si="30"/>
        <v>0</v>
      </c>
      <c r="R97" s="39"/>
      <c r="S97" s="55"/>
      <c r="T97" s="55"/>
      <c r="U97" s="56"/>
      <c r="V97" s="56"/>
    </row>
    <row r="98" spans="1:22" s="226" customFormat="1" ht="27.75" customHeight="1">
      <c r="A98" s="94">
        <v>4</v>
      </c>
      <c r="B98" s="181" t="s">
        <v>204</v>
      </c>
      <c r="C98" s="224" t="s">
        <v>207</v>
      </c>
      <c r="D98" s="225">
        <v>22470</v>
      </c>
      <c r="E98" s="80" t="s">
        <v>45</v>
      </c>
      <c r="F98" s="44">
        <v>0</v>
      </c>
      <c r="G98" s="61">
        <v>0</v>
      </c>
      <c r="H98" s="61">
        <v>0</v>
      </c>
      <c r="I98" s="85">
        <v>0</v>
      </c>
      <c r="J98" s="113">
        <v>46076</v>
      </c>
      <c r="K98" s="114" t="s">
        <v>995</v>
      </c>
      <c r="L98" s="144">
        <v>22470</v>
      </c>
      <c r="M98" s="83" t="s">
        <v>45</v>
      </c>
      <c r="N98" s="116">
        <v>0</v>
      </c>
      <c r="O98" s="147">
        <f t="shared" si="28"/>
        <v>0</v>
      </c>
      <c r="P98" s="147">
        <f t="shared" si="29"/>
        <v>0</v>
      </c>
      <c r="Q98" s="47">
        <f t="shared" si="30"/>
        <v>0</v>
      </c>
      <c r="R98" s="39"/>
      <c r="S98" s="55"/>
      <c r="T98" s="55"/>
      <c r="U98" s="56"/>
      <c r="V98" s="56"/>
    </row>
    <row r="99" spans="1:22" s="226" customFormat="1" ht="27.75" customHeight="1">
      <c r="A99" s="94">
        <v>5</v>
      </c>
      <c r="B99" s="181" t="s">
        <v>201</v>
      </c>
      <c r="C99" s="224" t="s">
        <v>208</v>
      </c>
      <c r="D99" s="225">
        <v>0</v>
      </c>
      <c r="E99" s="80" t="s">
        <v>26</v>
      </c>
      <c r="F99" s="44">
        <v>0</v>
      </c>
      <c r="G99" s="61">
        <v>0</v>
      </c>
      <c r="H99" s="61">
        <v>0</v>
      </c>
      <c r="I99" s="85">
        <v>0</v>
      </c>
      <c r="J99" s="113"/>
      <c r="K99" s="114"/>
      <c r="L99" s="144">
        <v>0</v>
      </c>
      <c r="M99" s="83" t="s">
        <v>26</v>
      </c>
      <c r="N99" s="116">
        <v>0</v>
      </c>
      <c r="O99" s="147">
        <f t="shared" si="28"/>
        <v>0</v>
      </c>
      <c r="P99" s="147">
        <f t="shared" si="29"/>
        <v>0</v>
      </c>
      <c r="Q99" s="47">
        <f t="shared" si="30"/>
        <v>0</v>
      </c>
      <c r="R99" s="39"/>
      <c r="S99" s="55"/>
      <c r="T99" s="55"/>
      <c r="U99" s="56"/>
      <c r="V99" s="56"/>
    </row>
    <row r="100" spans="1:22" s="226" customFormat="1" ht="27.75" customHeight="1">
      <c r="A100" s="94">
        <v>6</v>
      </c>
      <c r="B100" s="181" t="s">
        <v>201</v>
      </c>
      <c r="C100" s="224" t="s">
        <v>209</v>
      </c>
      <c r="D100" s="225">
        <v>0</v>
      </c>
      <c r="E100" s="80" t="s">
        <v>26</v>
      </c>
      <c r="F100" s="44">
        <v>0</v>
      </c>
      <c r="G100" s="61">
        <v>0</v>
      </c>
      <c r="H100" s="61">
        <v>0</v>
      </c>
      <c r="I100" s="85">
        <v>0</v>
      </c>
      <c r="J100" s="113"/>
      <c r="K100" s="114"/>
      <c r="L100" s="144">
        <v>0</v>
      </c>
      <c r="M100" s="83" t="s">
        <v>26</v>
      </c>
      <c r="N100" s="116">
        <v>0</v>
      </c>
      <c r="O100" s="147">
        <f t="shared" si="28"/>
        <v>0</v>
      </c>
      <c r="P100" s="147">
        <f t="shared" si="29"/>
        <v>0</v>
      </c>
      <c r="Q100" s="47">
        <f t="shared" si="30"/>
        <v>0</v>
      </c>
      <c r="R100" s="39"/>
      <c r="S100" s="55"/>
      <c r="T100" s="55"/>
      <c r="U100" s="56"/>
      <c r="V100" s="56"/>
    </row>
    <row r="101" spans="1:22" s="226" customFormat="1" ht="27.75" customHeight="1">
      <c r="A101" s="94">
        <v>7</v>
      </c>
      <c r="B101" s="181" t="s">
        <v>210</v>
      </c>
      <c r="C101" s="224" t="s">
        <v>211</v>
      </c>
      <c r="D101" s="225">
        <v>22470</v>
      </c>
      <c r="E101" s="80" t="s">
        <v>823</v>
      </c>
      <c r="F101" s="44">
        <v>-0.934579439252336</v>
      </c>
      <c r="G101" s="61">
        <v>-21000</v>
      </c>
      <c r="H101" s="61">
        <v>-1470</v>
      </c>
      <c r="I101" s="85">
        <v>-22470</v>
      </c>
      <c r="J101" s="113">
        <v>46078</v>
      </c>
      <c r="K101" s="114" t="s">
        <v>996</v>
      </c>
      <c r="L101" s="144">
        <v>22470</v>
      </c>
      <c r="M101" s="87" t="s">
        <v>952</v>
      </c>
      <c r="N101" s="116">
        <v>-0.934579439252336</v>
      </c>
      <c r="O101" s="147">
        <f t="shared" si="28"/>
        <v>-21000</v>
      </c>
      <c r="P101" s="147">
        <f t="shared" si="29"/>
        <v>-1470</v>
      </c>
      <c r="Q101" s="47">
        <f t="shared" si="30"/>
        <v>-22470</v>
      </c>
      <c r="R101" s="39"/>
      <c r="S101" s="55"/>
      <c r="T101" s="55"/>
      <c r="U101" s="56"/>
      <c r="V101" s="56"/>
    </row>
    <row r="102" spans="1:22" s="226" customFormat="1" ht="27.75" customHeight="1">
      <c r="A102" s="94">
        <v>8</v>
      </c>
      <c r="B102" s="181" t="s">
        <v>201</v>
      </c>
      <c r="C102" s="224" t="s">
        <v>213</v>
      </c>
      <c r="D102" s="225">
        <v>0</v>
      </c>
      <c r="E102" s="80" t="s">
        <v>26</v>
      </c>
      <c r="F102" s="44">
        <v>0</v>
      </c>
      <c r="G102" s="61">
        <v>0</v>
      </c>
      <c r="H102" s="61">
        <v>0</v>
      </c>
      <c r="I102" s="85">
        <v>0</v>
      </c>
      <c r="J102" s="113"/>
      <c r="K102" s="114"/>
      <c r="L102" s="144">
        <v>0</v>
      </c>
      <c r="M102" s="83" t="s">
        <v>26</v>
      </c>
      <c r="N102" s="116">
        <v>0</v>
      </c>
      <c r="O102" s="147">
        <f t="shared" si="28"/>
        <v>0</v>
      </c>
      <c r="P102" s="147">
        <f t="shared" si="29"/>
        <v>0</v>
      </c>
      <c r="Q102" s="47">
        <f t="shared" si="30"/>
        <v>0</v>
      </c>
      <c r="R102" s="39"/>
      <c r="S102" s="55"/>
      <c r="T102" s="55"/>
      <c r="U102" s="56"/>
      <c r="V102" s="56"/>
    </row>
    <row r="103" spans="1:22" s="226" customFormat="1" ht="27.75" customHeight="1">
      <c r="A103" s="94">
        <v>9</v>
      </c>
      <c r="B103" s="181" t="s">
        <v>214</v>
      </c>
      <c r="C103" s="224" t="s">
        <v>215</v>
      </c>
      <c r="D103" s="225">
        <v>22470</v>
      </c>
      <c r="E103" s="80" t="s">
        <v>26</v>
      </c>
      <c r="F103" s="44">
        <v>0</v>
      </c>
      <c r="G103" s="61">
        <v>0</v>
      </c>
      <c r="H103" s="61">
        <v>0</v>
      </c>
      <c r="I103" s="85">
        <v>0</v>
      </c>
      <c r="J103" s="113">
        <v>46055</v>
      </c>
      <c r="K103" s="114" t="s">
        <v>997</v>
      </c>
      <c r="L103" s="144">
        <v>22470</v>
      </c>
      <c r="M103" s="83" t="s">
        <v>26</v>
      </c>
      <c r="N103" s="116">
        <v>0</v>
      </c>
      <c r="O103" s="147">
        <f t="shared" si="28"/>
        <v>0</v>
      </c>
      <c r="P103" s="147">
        <f t="shared" si="29"/>
        <v>0</v>
      </c>
      <c r="Q103" s="47">
        <f t="shared" si="30"/>
        <v>0</v>
      </c>
      <c r="R103" s="39"/>
      <c r="S103" s="55"/>
      <c r="T103" s="55"/>
      <c r="U103" s="56"/>
      <c r="V103" s="56"/>
    </row>
    <row r="104" spans="1:22" s="226" customFormat="1" ht="27.75" customHeight="1">
      <c r="A104" s="94">
        <v>10</v>
      </c>
      <c r="B104" s="181" t="s">
        <v>217</v>
      </c>
      <c r="C104" s="224" t="s">
        <v>218</v>
      </c>
      <c r="D104" s="225">
        <v>22470</v>
      </c>
      <c r="E104" s="80" t="s">
        <v>26</v>
      </c>
      <c r="F104" s="44">
        <v>0</v>
      </c>
      <c r="G104" s="61">
        <v>0</v>
      </c>
      <c r="H104" s="61">
        <v>0</v>
      </c>
      <c r="I104" s="85">
        <v>0</v>
      </c>
      <c r="J104" s="113">
        <v>46071</v>
      </c>
      <c r="K104" s="114" t="s">
        <v>998</v>
      </c>
      <c r="L104" s="144">
        <v>22470</v>
      </c>
      <c r="M104" s="83" t="s">
        <v>26</v>
      </c>
      <c r="N104" s="116">
        <v>0</v>
      </c>
      <c r="O104" s="147">
        <f t="shared" si="28"/>
        <v>0</v>
      </c>
      <c r="P104" s="147">
        <f t="shared" si="29"/>
        <v>0</v>
      </c>
      <c r="Q104" s="47">
        <f t="shared" si="30"/>
        <v>0</v>
      </c>
      <c r="R104" s="39"/>
      <c r="S104" s="55"/>
      <c r="T104" s="55"/>
      <c r="U104" s="56"/>
      <c r="V104" s="56"/>
    </row>
    <row r="105" spans="1:22" s="226" customFormat="1" ht="27.75" customHeight="1">
      <c r="A105" s="94">
        <v>11</v>
      </c>
      <c r="B105" s="181" t="s">
        <v>217</v>
      </c>
      <c r="C105" s="224" t="s">
        <v>220</v>
      </c>
      <c r="D105" s="225">
        <v>22470</v>
      </c>
      <c r="E105" s="80" t="s">
        <v>26</v>
      </c>
      <c r="F105" s="44">
        <v>0</v>
      </c>
      <c r="G105" s="61">
        <v>0</v>
      </c>
      <c r="H105" s="61">
        <v>0</v>
      </c>
      <c r="I105" s="85">
        <v>0</v>
      </c>
      <c r="J105" s="113">
        <v>46071</v>
      </c>
      <c r="K105" s="114" t="s">
        <v>998</v>
      </c>
      <c r="L105" s="144">
        <v>22470</v>
      </c>
      <c r="M105" s="83" t="s">
        <v>26</v>
      </c>
      <c r="N105" s="116">
        <v>0</v>
      </c>
      <c r="O105" s="147">
        <f t="shared" si="28"/>
        <v>0</v>
      </c>
      <c r="P105" s="147">
        <f t="shared" si="29"/>
        <v>0</v>
      </c>
      <c r="Q105" s="47">
        <f t="shared" si="30"/>
        <v>0</v>
      </c>
      <c r="R105" s="39"/>
      <c r="S105" s="55"/>
      <c r="T105" s="55"/>
      <c r="U105" s="56"/>
      <c r="V105" s="56"/>
    </row>
    <row r="106" spans="1:22" s="226" customFormat="1" ht="27.75" customHeight="1">
      <c r="A106" s="94">
        <v>12</v>
      </c>
      <c r="B106" s="181" t="s">
        <v>217</v>
      </c>
      <c r="C106" s="224" t="s">
        <v>221</v>
      </c>
      <c r="D106" s="225">
        <v>22470</v>
      </c>
      <c r="E106" s="80" t="s">
        <v>26</v>
      </c>
      <c r="F106" s="44">
        <v>0</v>
      </c>
      <c r="G106" s="61">
        <v>0</v>
      </c>
      <c r="H106" s="61">
        <v>0</v>
      </c>
      <c r="I106" s="85">
        <v>0</v>
      </c>
      <c r="J106" s="113">
        <v>46071</v>
      </c>
      <c r="K106" s="114" t="s">
        <v>998</v>
      </c>
      <c r="L106" s="144">
        <v>22470</v>
      </c>
      <c r="M106" s="83" t="s">
        <v>26</v>
      </c>
      <c r="N106" s="116">
        <v>0</v>
      </c>
      <c r="O106" s="147">
        <f t="shared" si="28"/>
        <v>0</v>
      </c>
      <c r="P106" s="147">
        <f t="shared" si="29"/>
        <v>0</v>
      </c>
      <c r="Q106" s="47">
        <f t="shared" si="30"/>
        <v>0</v>
      </c>
      <c r="R106" s="39"/>
      <c r="S106" s="55"/>
      <c r="T106" s="55"/>
      <c r="U106" s="56"/>
      <c r="V106" s="56"/>
    </row>
    <row r="107" spans="1:22" s="226" customFormat="1" ht="27.75" customHeight="1">
      <c r="A107" s="186">
        <v>13</v>
      </c>
      <c r="B107" s="181" t="s">
        <v>222</v>
      </c>
      <c r="C107" s="227" t="s">
        <v>223</v>
      </c>
      <c r="D107" s="228">
        <v>32100</v>
      </c>
      <c r="E107" s="123" t="s">
        <v>26</v>
      </c>
      <c r="F107" s="44">
        <v>0</v>
      </c>
      <c r="G107" s="45">
        <v>0</v>
      </c>
      <c r="H107" s="45">
        <v>0</v>
      </c>
      <c r="I107" s="229">
        <v>0</v>
      </c>
      <c r="J107" s="230">
        <v>46057</v>
      </c>
      <c r="K107" s="184" t="s">
        <v>967</v>
      </c>
      <c r="L107" s="231">
        <v>32100</v>
      </c>
      <c r="M107" s="232" t="s">
        <v>26</v>
      </c>
      <c r="N107" s="116">
        <v>0</v>
      </c>
      <c r="O107" s="233">
        <f t="shared" si="28"/>
        <v>0</v>
      </c>
      <c r="P107" s="233">
        <f t="shared" si="29"/>
        <v>0</v>
      </c>
      <c r="Q107" s="66">
        <f t="shared" si="30"/>
        <v>0</v>
      </c>
      <c r="R107" s="39"/>
      <c r="S107" s="55"/>
      <c r="T107" s="55"/>
      <c r="U107" s="56"/>
      <c r="V107" s="56" t="s">
        <v>225</v>
      </c>
    </row>
    <row r="108" spans="1:22" s="226" customFormat="1" ht="27.75" customHeight="1" thickBot="1">
      <c r="A108" s="234"/>
      <c r="B108" s="194" t="s">
        <v>22</v>
      </c>
      <c r="C108" s="235"/>
      <c r="D108" s="236">
        <f>SUM(D95:D107)</f>
        <v>216140</v>
      </c>
      <c r="E108" s="237"/>
      <c r="F108" s="238"/>
      <c r="G108" s="239"/>
      <c r="H108" s="239"/>
      <c r="I108" s="240"/>
      <c r="J108" s="241"/>
      <c r="K108" s="234"/>
      <c r="L108" s="236">
        <f>SUM(L95:L107)</f>
        <v>216140</v>
      </c>
      <c r="M108" s="234"/>
      <c r="N108" s="242"/>
      <c r="O108" s="243"/>
      <c r="P108" s="243"/>
      <c r="Q108" s="240"/>
      <c r="R108" s="39"/>
      <c r="S108" s="55"/>
      <c r="T108" s="55"/>
      <c r="U108" s="56"/>
      <c r="V108" s="56"/>
    </row>
    <row r="109" spans="1:22" s="226" customFormat="1" ht="27.75" customHeight="1" thickTop="1">
      <c r="A109" s="83"/>
      <c r="B109" s="244" t="s">
        <v>226</v>
      </c>
      <c r="C109" s="245"/>
      <c r="D109" s="246"/>
      <c r="E109" s="80"/>
      <c r="F109" s="126"/>
      <c r="G109" s="46"/>
      <c r="H109" s="46"/>
      <c r="I109" s="247"/>
      <c r="J109" s="248"/>
      <c r="K109" s="249"/>
      <c r="L109" s="250"/>
      <c r="M109" s="83"/>
      <c r="N109" s="251"/>
      <c r="O109" s="252"/>
      <c r="P109" s="252"/>
      <c r="Q109" s="85"/>
      <c r="R109" s="39"/>
      <c r="S109" s="55"/>
      <c r="T109" s="55"/>
      <c r="U109" s="56"/>
      <c r="V109" s="56"/>
    </row>
    <row r="110" spans="1:22" s="226" customFormat="1" ht="27.75" customHeight="1">
      <c r="A110" s="94">
        <v>1</v>
      </c>
      <c r="B110" s="41" t="s">
        <v>227</v>
      </c>
      <c r="C110" s="224" t="s">
        <v>228</v>
      </c>
      <c r="D110" s="225">
        <v>22470</v>
      </c>
      <c r="E110" s="80" t="s">
        <v>26</v>
      </c>
      <c r="F110" s="44">
        <v>0</v>
      </c>
      <c r="G110" s="61">
        <v>0</v>
      </c>
      <c r="H110" s="61">
        <v>0</v>
      </c>
      <c r="I110" s="85">
        <v>0</v>
      </c>
      <c r="J110" s="113">
        <v>46080</v>
      </c>
      <c r="K110" s="114" t="s">
        <v>999</v>
      </c>
      <c r="L110" s="253">
        <v>22470</v>
      </c>
      <c r="M110" s="83" t="s">
        <v>26</v>
      </c>
      <c r="N110" s="116">
        <v>0</v>
      </c>
      <c r="O110" s="147">
        <f>+(D110*100/107)+G110-(L110*100/107)</f>
        <v>0</v>
      </c>
      <c r="P110" s="147">
        <f t="shared" ref="P110:P121" si="31">ROUND((O110*0.07),2)</f>
        <v>0</v>
      </c>
      <c r="Q110" s="47">
        <f t="shared" ref="Q110:Q121" si="32">+O110+P110</f>
        <v>0</v>
      </c>
      <c r="R110" s="39"/>
      <c r="S110" s="55"/>
      <c r="T110" s="55"/>
      <c r="U110" s="56"/>
      <c r="V110" s="56"/>
    </row>
    <row r="111" spans="1:22" s="226" customFormat="1" ht="27.75" customHeight="1">
      <c r="A111" s="94">
        <v>2</v>
      </c>
      <c r="B111" s="41" t="s">
        <v>227</v>
      </c>
      <c r="C111" s="224" t="s">
        <v>230</v>
      </c>
      <c r="D111" s="246">
        <v>22470</v>
      </c>
      <c r="E111" s="80" t="s">
        <v>26</v>
      </c>
      <c r="F111" s="44">
        <v>0</v>
      </c>
      <c r="G111" s="61">
        <v>0</v>
      </c>
      <c r="H111" s="61">
        <v>0</v>
      </c>
      <c r="I111" s="85">
        <v>0</v>
      </c>
      <c r="J111" s="113">
        <v>46080</v>
      </c>
      <c r="K111" s="114" t="s">
        <v>999</v>
      </c>
      <c r="L111" s="253">
        <v>22470</v>
      </c>
      <c r="M111" s="83" t="s">
        <v>26</v>
      </c>
      <c r="N111" s="116">
        <v>0</v>
      </c>
      <c r="O111" s="147">
        <f>+(D111*100/107)+G111-(L111*100/107)</f>
        <v>0</v>
      </c>
      <c r="P111" s="147">
        <f t="shared" si="31"/>
        <v>0</v>
      </c>
      <c r="Q111" s="47">
        <f t="shared" si="32"/>
        <v>0</v>
      </c>
      <c r="R111" s="39"/>
      <c r="S111" s="55"/>
      <c r="T111" s="55"/>
      <c r="U111" s="56"/>
      <c r="V111" s="56"/>
    </row>
    <row r="112" spans="1:22" s="226" customFormat="1" ht="27.75" customHeight="1">
      <c r="A112" s="94">
        <v>3</v>
      </c>
      <c r="B112" s="41" t="s">
        <v>227</v>
      </c>
      <c r="C112" s="224" t="s">
        <v>231</v>
      </c>
      <c r="D112" s="246">
        <v>22470</v>
      </c>
      <c r="E112" s="80" t="s">
        <v>26</v>
      </c>
      <c r="F112" s="44">
        <v>0</v>
      </c>
      <c r="G112" s="61">
        <v>0</v>
      </c>
      <c r="H112" s="61">
        <v>0</v>
      </c>
      <c r="I112" s="85">
        <v>0</v>
      </c>
      <c r="J112" s="117">
        <v>46080</v>
      </c>
      <c r="K112" s="118" t="s">
        <v>999</v>
      </c>
      <c r="L112" s="557">
        <v>22470</v>
      </c>
      <c r="M112" s="83" t="s">
        <v>26</v>
      </c>
      <c r="N112" s="116">
        <v>0</v>
      </c>
      <c r="O112" s="147">
        <f t="shared" ref="O112:O119" si="33">+(D112*100/107)+G112-(L112*100/107)</f>
        <v>0</v>
      </c>
      <c r="P112" s="147">
        <f t="shared" si="31"/>
        <v>0</v>
      </c>
      <c r="Q112" s="47">
        <f t="shared" si="32"/>
        <v>0</v>
      </c>
      <c r="R112" s="39"/>
      <c r="S112" s="55"/>
      <c r="T112" s="55"/>
      <c r="U112" s="56"/>
      <c r="V112" s="56"/>
    </row>
    <row r="113" spans="1:22" s="226" customFormat="1" ht="27.75" customHeight="1">
      <c r="A113" s="94">
        <v>4</v>
      </c>
      <c r="B113" s="41" t="s">
        <v>201</v>
      </c>
      <c r="C113" s="224" t="s">
        <v>232</v>
      </c>
      <c r="D113" s="246">
        <v>0</v>
      </c>
      <c r="E113" s="80" t="s">
        <v>26</v>
      </c>
      <c r="F113" s="44">
        <v>0</v>
      </c>
      <c r="G113" s="61">
        <v>0</v>
      </c>
      <c r="H113" s="61">
        <v>0</v>
      </c>
      <c r="I113" s="85">
        <v>0</v>
      </c>
      <c r="J113" s="117"/>
      <c r="K113" s="118"/>
      <c r="L113" s="557">
        <v>0</v>
      </c>
      <c r="M113" s="83" t="s">
        <v>26</v>
      </c>
      <c r="N113" s="116">
        <v>0</v>
      </c>
      <c r="O113" s="147">
        <f t="shared" si="33"/>
        <v>0</v>
      </c>
      <c r="P113" s="147">
        <f t="shared" si="31"/>
        <v>0</v>
      </c>
      <c r="Q113" s="47">
        <f t="shared" si="32"/>
        <v>0</v>
      </c>
      <c r="R113" s="39"/>
      <c r="S113" s="55"/>
      <c r="T113" s="55"/>
      <c r="U113" s="56"/>
      <c r="V113" s="56"/>
    </row>
    <row r="114" spans="1:22" s="226" customFormat="1" ht="27.75" customHeight="1">
      <c r="A114" s="94">
        <v>5</v>
      </c>
      <c r="B114" s="41" t="s">
        <v>201</v>
      </c>
      <c r="C114" s="224" t="s">
        <v>233</v>
      </c>
      <c r="D114" s="246">
        <v>0</v>
      </c>
      <c r="E114" s="80" t="s">
        <v>26</v>
      </c>
      <c r="F114" s="44">
        <v>0</v>
      </c>
      <c r="G114" s="61">
        <v>0</v>
      </c>
      <c r="H114" s="61">
        <v>0</v>
      </c>
      <c r="I114" s="85">
        <v>0</v>
      </c>
      <c r="J114" s="117"/>
      <c r="K114" s="118"/>
      <c r="L114" s="557">
        <v>0</v>
      </c>
      <c r="M114" s="83" t="s">
        <v>26</v>
      </c>
      <c r="N114" s="116">
        <v>0</v>
      </c>
      <c r="O114" s="147">
        <f t="shared" si="33"/>
        <v>0</v>
      </c>
      <c r="P114" s="147">
        <f t="shared" si="31"/>
        <v>0</v>
      </c>
      <c r="Q114" s="47">
        <f t="shared" si="32"/>
        <v>0</v>
      </c>
      <c r="R114" s="39"/>
      <c r="S114" s="55"/>
      <c r="T114" s="55"/>
      <c r="U114" s="56"/>
      <c r="V114" s="56"/>
    </row>
    <row r="115" spans="1:22" s="226" customFormat="1" ht="27.75" customHeight="1">
      <c r="A115" s="94">
        <v>6</v>
      </c>
      <c r="B115" s="41" t="s">
        <v>201</v>
      </c>
      <c r="C115" s="224" t="s">
        <v>235</v>
      </c>
      <c r="D115" s="246">
        <v>0</v>
      </c>
      <c r="E115" s="80" t="s">
        <v>26</v>
      </c>
      <c r="F115" s="44">
        <v>0</v>
      </c>
      <c r="G115" s="61">
        <v>0</v>
      </c>
      <c r="H115" s="61">
        <v>0</v>
      </c>
      <c r="I115" s="85">
        <v>0</v>
      </c>
      <c r="J115" s="117"/>
      <c r="K115" s="118"/>
      <c r="L115" s="557">
        <v>0</v>
      </c>
      <c r="M115" s="83" t="s">
        <v>26</v>
      </c>
      <c r="N115" s="116">
        <v>0</v>
      </c>
      <c r="O115" s="147">
        <f t="shared" si="33"/>
        <v>0</v>
      </c>
      <c r="P115" s="147">
        <f t="shared" si="31"/>
        <v>0</v>
      </c>
      <c r="Q115" s="47">
        <f t="shared" si="32"/>
        <v>0</v>
      </c>
      <c r="R115" s="39"/>
      <c r="S115" s="55"/>
      <c r="T115" s="55"/>
      <c r="U115" s="56"/>
      <c r="V115" s="56"/>
    </row>
    <row r="116" spans="1:22" s="226" customFormat="1" ht="27.75" customHeight="1">
      <c r="A116" s="94">
        <v>7</v>
      </c>
      <c r="B116" s="41" t="s">
        <v>201</v>
      </c>
      <c r="C116" s="224" t="s">
        <v>237</v>
      </c>
      <c r="D116" s="225">
        <v>0</v>
      </c>
      <c r="E116" s="80" t="s">
        <v>26</v>
      </c>
      <c r="F116" s="44">
        <v>0</v>
      </c>
      <c r="G116" s="61">
        <v>0</v>
      </c>
      <c r="H116" s="61">
        <v>0</v>
      </c>
      <c r="I116" s="85">
        <v>0</v>
      </c>
      <c r="J116" s="117"/>
      <c r="K116" s="118"/>
      <c r="L116" s="557">
        <v>0</v>
      </c>
      <c r="M116" s="83" t="s">
        <v>26</v>
      </c>
      <c r="N116" s="116">
        <v>0</v>
      </c>
      <c r="O116" s="147">
        <f t="shared" si="33"/>
        <v>0</v>
      </c>
      <c r="P116" s="147">
        <f t="shared" si="31"/>
        <v>0</v>
      </c>
      <c r="Q116" s="47">
        <f t="shared" si="32"/>
        <v>0</v>
      </c>
      <c r="R116" s="39"/>
      <c r="S116" s="55"/>
      <c r="T116" s="55"/>
      <c r="U116" s="56"/>
      <c r="V116" s="56"/>
    </row>
    <row r="117" spans="1:22" s="226" customFormat="1" ht="27.75" customHeight="1">
      <c r="A117" s="94">
        <v>8</v>
      </c>
      <c r="B117" s="41" t="s">
        <v>236</v>
      </c>
      <c r="C117" s="224" t="s">
        <v>239</v>
      </c>
      <c r="D117" s="225">
        <v>22470</v>
      </c>
      <c r="E117" s="80" t="s">
        <v>26</v>
      </c>
      <c r="F117" s="44">
        <v>0</v>
      </c>
      <c r="G117" s="61">
        <v>0</v>
      </c>
      <c r="H117" s="61">
        <v>0</v>
      </c>
      <c r="I117" s="85">
        <v>0</v>
      </c>
      <c r="J117" s="113">
        <v>46080</v>
      </c>
      <c r="K117" s="114" t="s">
        <v>1000</v>
      </c>
      <c r="L117" s="257">
        <v>22470</v>
      </c>
      <c r="M117" s="83" t="s">
        <v>26</v>
      </c>
      <c r="N117" s="116">
        <v>0</v>
      </c>
      <c r="O117" s="147">
        <f t="shared" si="33"/>
        <v>0</v>
      </c>
      <c r="P117" s="147">
        <f t="shared" si="31"/>
        <v>0</v>
      </c>
      <c r="Q117" s="47">
        <f t="shared" si="32"/>
        <v>0</v>
      </c>
      <c r="R117" s="39"/>
      <c r="S117" s="55"/>
      <c r="T117" s="55"/>
      <c r="U117" s="56"/>
      <c r="V117" s="56"/>
    </row>
    <row r="118" spans="1:22" s="226" customFormat="1" ht="27.75" customHeight="1">
      <c r="A118" s="94">
        <v>9</v>
      </c>
      <c r="B118" s="41" t="s">
        <v>92</v>
      </c>
      <c r="C118" s="224" t="s">
        <v>240</v>
      </c>
      <c r="D118" s="225">
        <v>22470</v>
      </c>
      <c r="E118" s="80" t="s">
        <v>26</v>
      </c>
      <c r="F118" s="44">
        <v>0</v>
      </c>
      <c r="G118" s="61">
        <v>0</v>
      </c>
      <c r="H118" s="61">
        <v>0</v>
      </c>
      <c r="I118" s="85">
        <v>0</v>
      </c>
      <c r="J118" s="113">
        <v>46079</v>
      </c>
      <c r="K118" s="114" t="s">
        <v>1001</v>
      </c>
      <c r="L118" s="258">
        <v>22470</v>
      </c>
      <c r="M118" s="83" t="s">
        <v>26</v>
      </c>
      <c r="N118" s="116">
        <v>0</v>
      </c>
      <c r="O118" s="147">
        <f t="shared" si="33"/>
        <v>0</v>
      </c>
      <c r="P118" s="147">
        <f t="shared" si="31"/>
        <v>0</v>
      </c>
      <c r="Q118" s="47">
        <f t="shared" si="32"/>
        <v>0</v>
      </c>
      <c r="R118" s="39"/>
      <c r="S118" s="55"/>
      <c r="T118" s="55"/>
      <c r="U118" s="56"/>
      <c r="V118" s="56"/>
    </row>
    <row r="119" spans="1:22" s="226" customFormat="1" ht="27.75" customHeight="1">
      <c r="A119" s="94">
        <v>10</v>
      </c>
      <c r="B119" s="41" t="s">
        <v>92</v>
      </c>
      <c r="C119" s="224" t="s">
        <v>242</v>
      </c>
      <c r="D119" s="225">
        <v>22470</v>
      </c>
      <c r="E119" s="80" t="s">
        <v>26</v>
      </c>
      <c r="F119" s="44">
        <v>0</v>
      </c>
      <c r="G119" s="61">
        <v>0</v>
      </c>
      <c r="H119" s="61">
        <v>0</v>
      </c>
      <c r="I119" s="85">
        <v>0</v>
      </c>
      <c r="J119" s="113">
        <v>46079</v>
      </c>
      <c r="K119" s="114" t="s">
        <v>1001</v>
      </c>
      <c r="L119" s="253">
        <v>22470</v>
      </c>
      <c r="M119" s="83" t="s">
        <v>26</v>
      </c>
      <c r="N119" s="116">
        <v>0</v>
      </c>
      <c r="O119" s="147">
        <f t="shared" si="33"/>
        <v>0</v>
      </c>
      <c r="P119" s="147">
        <f t="shared" si="31"/>
        <v>0</v>
      </c>
      <c r="Q119" s="47">
        <f t="shared" si="32"/>
        <v>0</v>
      </c>
      <c r="R119" s="39"/>
      <c r="S119" s="55"/>
      <c r="T119" s="55"/>
      <c r="U119" s="56"/>
      <c r="V119" s="56"/>
    </row>
    <row r="120" spans="1:22" s="226" customFormat="1" ht="27.75" customHeight="1">
      <c r="A120" s="94">
        <v>11</v>
      </c>
      <c r="B120" s="41" t="s">
        <v>243</v>
      </c>
      <c r="C120" s="224" t="s">
        <v>244</v>
      </c>
      <c r="D120" s="225">
        <v>22470</v>
      </c>
      <c r="E120" s="80" t="s">
        <v>26</v>
      </c>
      <c r="F120" s="44">
        <v>0</v>
      </c>
      <c r="G120" s="61">
        <v>0</v>
      </c>
      <c r="H120" s="61">
        <v>0</v>
      </c>
      <c r="I120" s="85">
        <v>0</v>
      </c>
      <c r="J120" s="113">
        <v>46081</v>
      </c>
      <c r="K120" s="114" t="s">
        <v>1002</v>
      </c>
      <c r="L120" s="253">
        <v>22470</v>
      </c>
      <c r="M120" s="83" t="s">
        <v>26</v>
      </c>
      <c r="N120" s="116">
        <v>0</v>
      </c>
      <c r="O120" s="147">
        <f>+(D120*100/107)+G120-(L120*100/107)</f>
        <v>0</v>
      </c>
      <c r="P120" s="147">
        <f t="shared" si="31"/>
        <v>0</v>
      </c>
      <c r="Q120" s="47">
        <f t="shared" si="32"/>
        <v>0</v>
      </c>
      <c r="R120" s="39"/>
      <c r="S120" s="55"/>
      <c r="T120" s="55"/>
      <c r="U120" s="56"/>
      <c r="V120" s="56"/>
    </row>
    <row r="121" spans="1:22" s="226" customFormat="1" ht="27.75" customHeight="1">
      <c r="A121" s="186">
        <v>12</v>
      </c>
      <c r="B121" s="206" t="s">
        <v>90</v>
      </c>
      <c r="C121" s="224" t="s">
        <v>246</v>
      </c>
      <c r="D121" s="228">
        <v>22470</v>
      </c>
      <c r="E121" s="123" t="s">
        <v>26</v>
      </c>
      <c r="F121" s="44">
        <v>0</v>
      </c>
      <c r="G121" s="45">
        <v>0</v>
      </c>
      <c r="H121" s="45">
        <v>0</v>
      </c>
      <c r="I121" s="229">
        <v>0</v>
      </c>
      <c r="J121" s="259">
        <v>46080</v>
      </c>
      <c r="K121" s="114" t="s">
        <v>1003</v>
      </c>
      <c r="L121" s="253">
        <v>22470</v>
      </c>
      <c r="M121" s="232" t="s">
        <v>26</v>
      </c>
      <c r="N121" s="116">
        <v>0</v>
      </c>
      <c r="O121" s="147">
        <f>+(D121*100/107)+G121-(L121*100/107)</f>
        <v>0</v>
      </c>
      <c r="P121" s="147">
        <f t="shared" si="31"/>
        <v>0</v>
      </c>
      <c r="Q121" s="47">
        <f t="shared" si="32"/>
        <v>0</v>
      </c>
      <c r="R121" s="39"/>
      <c r="S121" s="55"/>
      <c r="T121" s="55"/>
      <c r="U121" s="56"/>
      <c r="V121" s="56"/>
    </row>
    <row r="122" spans="1:22" s="226" customFormat="1" ht="27.75" customHeight="1">
      <c r="A122" s="234"/>
      <c r="B122" s="260"/>
      <c r="C122" s="235"/>
      <c r="D122" s="236">
        <f>SUM(D110:D121)</f>
        <v>179760</v>
      </c>
      <c r="E122" s="237"/>
      <c r="F122" s="238"/>
      <c r="G122" s="239"/>
      <c r="H122" s="239"/>
      <c r="I122" s="240"/>
      <c r="J122" s="261"/>
      <c r="K122" s="262"/>
      <c r="L122" s="263">
        <f>SUM(L110:L121)</f>
        <v>179760</v>
      </c>
      <c r="M122" s="234"/>
      <c r="N122" s="242"/>
      <c r="O122" s="243"/>
      <c r="P122" s="243"/>
      <c r="Q122" s="240"/>
      <c r="R122" s="39"/>
      <c r="S122" s="55"/>
      <c r="T122" s="55"/>
      <c r="U122" s="56"/>
      <c r="V122" s="56"/>
    </row>
    <row r="123" spans="1:22" s="226" customFormat="1" ht="27.75" customHeight="1">
      <c r="A123" s="83"/>
      <c r="B123" s="244" t="s">
        <v>248</v>
      </c>
      <c r="C123" s="245"/>
      <c r="D123" s="246"/>
      <c r="E123" s="80"/>
      <c r="F123" s="126"/>
      <c r="G123" s="46"/>
      <c r="H123" s="46"/>
      <c r="I123" s="85"/>
      <c r="J123" s="178"/>
      <c r="K123" s="179"/>
      <c r="L123" s="264"/>
      <c r="M123" s="83"/>
      <c r="N123" s="251"/>
      <c r="O123" s="252"/>
      <c r="P123" s="252"/>
      <c r="Q123" s="85"/>
      <c r="R123" s="39"/>
      <c r="S123" s="55"/>
      <c r="T123" s="55"/>
      <c r="U123" s="56"/>
      <c r="V123" s="56"/>
    </row>
    <row r="124" spans="1:22" s="226" customFormat="1" ht="27.75" customHeight="1">
      <c r="A124" s="94">
        <v>1</v>
      </c>
      <c r="B124" s="41" t="s">
        <v>249</v>
      </c>
      <c r="C124" s="224" t="s">
        <v>250</v>
      </c>
      <c r="D124" s="225">
        <v>6420</v>
      </c>
      <c r="E124" s="80" t="s">
        <v>45</v>
      </c>
      <c r="F124" s="44">
        <v>0</v>
      </c>
      <c r="G124" s="61">
        <v>0</v>
      </c>
      <c r="H124" s="61">
        <v>0</v>
      </c>
      <c r="I124" s="85">
        <v>0</v>
      </c>
      <c r="J124" s="113">
        <v>46081</v>
      </c>
      <c r="K124" s="114" t="s">
        <v>1004</v>
      </c>
      <c r="L124" s="144">
        <v>6420</v>
      </c>
      <c r="M124" s="83" t="s">
        <v>45</v>
      </c>
      <c r="N124" s="116">
        <v>0</v>
      </c>
      <c r="O124" s="147">
        <f t="shared" ref="O124:O134" si="34">+(D124*100/107)+G124-(L124*100/107)</f>
        <v>0</v>
      </c>
      <c r="P124" s="147">
        <f t="shared" ref="P124:P134" si="35">ROUND((O124*0.07),2)</f>
        <v>0</v>
      </c>
      <c r="Q124" s="47">
        <f t="shared" ref="Q124:Q135" si="36">+O124+P124</f>
        <v>0</v>
      </c>
      <c r="R124" s="39"/>
      <c r="S124" s="55"/>
      <c r="T124" s="55"/>
      <c r="U124" s="56"/>
      <c r="V124" s="56"/>
    </row>
    <row r="125" spans="1:22" s="226" customFormat="1" ht="27.75" customHeight="1">
      <c r="A125" s="94">
        <v>2</v>
      </c>
      <c r="B125" s="41" t="s">
        <v>252</v>
      </c>
      <c r="C125" s="224" t="s">
        <v>253</v>
      </c>
      <c r="D125" s="225">
        <v>6420</v>
      </c>
      <c r="E125" s="80" t="s">
        <v>801</v>
      </c>
      <c r="F125" s="44">
        <v>1</v>
      </c>
      <c r="G125" s="61">
        <v>6000</v>
      </c>
      <c r="H125" s="61">
        <v>420</v>
      </c>
      <c r="I125" s="85">
        <v>6420</v>
      </c>
      <c r="J125" s="113">
        <v>46056</v>
      </c>
      <c r="K125" s="114" t="s">
        <v>1005</v>
      </c>
      <c r="L125" s="144">
        <v>6420</v>
      </c>
      <c r="M125" s="83" t="s">
        <v>823</v>
      </c>
      <c r="N125" s="116">
        <v>1</v>
      </c>
      <c r="O125" s="147">
        <f t="shared" si="34"/>
        <v>6000</v>
      </c>
      <c r="P125" s="147">
        <f t="shared" si="35"/>
        <v>420</v>
      </c>
      <c r="Q125" s="47">
        <f t="shared" si="36"/>
        <v>6420</v>
      </c>
      <c r="R125" s="39"/>
      <c r="S125" s="55"/>
      <c r="T125" s="55"/>
      <c r="U125" s="56"/>
      <c r="V125" s="56"/>
    </row>
    <row r="126" spans="1:22" s="226" customFormat="1" ht="27.75" customHeight="1">
      <c r="A126" s="94">
        <v>3</v>
      </c>
      <c r="B126" s="41" t="s">
        <v>254</v>
      </c>
      <c r="C126" s="224" t="s">
        <v>255</v>
      </c>
      <c r="D126" s="225">
        <v>9630</v>
      </c>
      <c r="E126" s="80" t="s">
        <v>801</v>
      </c>
      <c r="F126" s="44">
        <v>0.93457943925233611</v>
      </c>
      <c r="G126" s="61">
        <v>9000</v>
      </c>
      <c r="H126" s="61">
        <v>630</v>
      </c>
      <c r="I126" s="85">
        <v>9630</v>
      </c>
      <c r="J126" s="113">
        <v>46060</v>
      </c>
      <c r="K126" s="114" t="s">
        <v>1006</v>
      </c>
      <c r="L126" s="144">
        <v>9630</v>
      </c>
      <c r="M126" s="83" t="s">
        <v>823</v>
      </c>
      <c r="N126" s="116">
        <v>0.93457943925233611</v>
      </c>
      <c r="O126" s="147">
        <f t="shared" si="34"/>
        <v>9000</v>
      </c>
      <c r="P126" s="147">
        <f t="shared" si="35"/>
        <v>630</v>
      </c>
      <c r="Q126" s="47">
        <f t="shared" si="36"/>
        <v>9630</v>
      </c>
      <c r="R126" s="39"/>
      <c r="S126" s="55"/>
      <c r="T126" s="55"/>
      <c r="U126" s="56"/>
      <c r="V126" s="56"/>
    </row>
    <row r="127" spans="1:22" s="226" customFormat="1" ht="27.75" customHeight="1">
      <c r="A127" s="94">
        <v>4</v>
      </c>
      <c r="B127" s="41" t="s">
        <v>1045</v>
      </c>
      <c r="C127" s="224" t="s">
        <v>256</v>
      </c>
      <c r="D127" s="225">
        <v>9630</v>
      </c>
      <c r="E127" s="80" t="s">
        <v>45</v>
      </c>
      <c r="F127" s="44">
        <v>0</v>
      </c>
      <c r="G127" s="61">
        <v>0</v>
      </c>
      <c r="H127" s="61">
        <v>0</v>
      </c>
      <c r="I127" s="85">
        <v>0</v>
      </c>
      <c r="J127" s="113"/>
      <c r="K127" s="114"/>
      <c r="L127" s="144">
        <v>0</v>
      </c>
      <c r="M127" s="83" t="s">
        <v>823</v>
      </c>
      <c r="N127" s="116">
        <v>1</v>
      </c>
      <c r="O127" s="147">
        <f t="shared" si="34"/>
        <v>9000</v>
      </c>
      <c r="P127" s="147">
        <f t="shared" si="35"/>
        <v>630</v>
      </c>
      <c r="Q127" s="47">
        <f t="shared" si="36"/>
        <v>9630</v>
      </c>
      <c r="R127" s="39"/>
      <c r="S127" s="55"/>
      <c r="T127" s="55"/>
      <c r="U127" s="56"/>
      <c r="V127" s="56"/>
    </row>
    <row r="128" spans="1:22" s="226" customFormat="1" ht="27.75" customHeight="1">
      <c r="A128" s="94">
        <v>5</v>
      </c>
      <c r="B128" s="41" t="s">
        <v>257</v>
      </c>
      <c r="C128" s="224" t="s">
        <v>258</v>
      </c>
      <c r="D128" s="225">
        <v>9630</v>
      </c>
      <c r="E128" s="80" t="s">
        <v>45</v>
      </c>
      <c r="F128" s="44">
        <v>0</v>
      </c>
      <c r="G128" s="61">
        <v>0</v>
      </c>
      <c r="H128" s="61">
        <v>0</v>
      </c>
      <c r="I128" s="85">
        <v>0</v>
      </c>
      <c r="J128" s="113">
        <v>46075</v>
      </c>
      <c r="K128" s="114" t="s">
        <v>1007</v>
      </c>
      <c r="L128" s="144">
        <v>9630</v>
      </c>
      <c r="M128" s="83" t="s">
        <v>45</v>
      </c>
      <c r="N128" s="116">
        <v>0</v>
      </c>
      <c r="O128" s="147">
        <f t="shared" si="34"/>
        <v>0</v>
      </c>
      <c r="P128" s="147">
        <f t="shared" si="35"/>
        <v>0</v>
      </c>
      <c r="Q128" s="47">
        <f t="shared" si="36"/>
        <v>0</v>
      </c>
      <c r="R128" s="39"/>
      <c r="S128" s="55"/>
      <c r="T128" s="55"/>
      <c r="U128" s="56"/>
      <c r="V128" s="56"/>
    </row>
    <row r="129" spans="1:25" s="226" customFormat="1" ht="27.75" customHeight="1">
      <c r="A129" s="94">
        <v>6</v>
      </c>
      <c r="B129" s="206" t="s">
        <v>257</v>
      </c>
      <c r="C129" s="224" t="s">
        <v>260</v>
      </c>
      <c r="D129" s="225">
        <v>9630</v>
      </c>
      <c r="E129" s="80" t="s">
        <v>45</v>
      </c>
      <c r="F129" s="44">
        <v>0</v>
      </c>
      <c r="G129" s="61">
        <v>0</v>
      </c>
      <c r="H129" s="61">
        <v>0</v>
      </c>
      <c r="I129" s="85">
        <v>0</v>
      </c>
      <c r="J129" s="113">
        <v>46075</v>
      </c>
      <c r="K129" s="114" t="s">
        <v>1007</v>
      </c>
      <c r="L129" s="144">
        <v>9630</v>
      </c>
      <c r="M129" s="83" t="s">
        <v>45</v>
      </c>
      <c r="N129" s="116">
        <v>0</v>
      </c>
      <c r="O129" s="147">
        <f t="shared" si="34"/>
        <v>0</v>
      </c>
      <c r="P129" s="147">
        <f t="shared" si="35"/>
        <v>0</v>
      </c>
      <c r="Q129" s="47">
        <f t="shared" si="36"/>
        <v>0</v>
      </c>
      <c r="R129" s="39"/>
      <c r="S129" s="55"/>
      <c r="T129" s="55"/>
      <c r="U129" s="56"/>
      <c r="V129" s="56"/>
    </row>
    <row r="130" spans="1:25" s="226" customFormat="1" ht="27.75" customHeight="1">
      <c r="A130" s="94">
        <v>7</v>
      </c>
      <c r="B130" s="265" t="s">
        <v>261</v>
      </c>
      <c r="C130" s="224" t="s">
        <v>262</v>
      </c>
      <c r="D130" s="225">
        <v>6420</v>
      </c>
      <c r="E130" s="80" t="s">
        <v>45</v>
      </c>
      <c r="F130" s="44">
        <v>0</v>
      </c>
      <c r="G130" s="61">
        <v>0</v>
      </c>
      <c r="H130" s="61">
        <v>0</v>
      </c>
      <c r="I130" s="85">
        <v>0</v>
      </c>
      <c r="J130" s="113">
        <v>46056</v>
      </c>
      <c r="K130" s="114" t="s">
        <v>1008</v>
      </c>
      <c r="L130" s="144">
        <v>6420</v>
      </c>
      <c r="M130" s="83" t="s">
        <v>45</v>
      </c>
      <c r="N130" s="116">
        <v>0</v>
      </c>
      <c r="O130" s="147">
        <f t="shared" si="34"/>
        <v>0</v>
      </c>
      <c r="P130" s="147">
        <f t="shared" si="35"/>
        <v>0</v>
      </c>
      <c r="Q130" s="47">
        <f t="shared" si="36"/>
        <v>0</v>
      </c>
      <c r="R130" s="39"/>
      <c r="S130" s="55"/>
      <c r="T130" s="55"/>
      <c r="U130" s="56"/>
      <c r="V130" s="56"/>
    </row>
    <row r="131" spans="1:25" s="226" customFormat="1" ht="27.75" customHeight="1">
      <c r="A131" s="94">
        <v>8</v>
      </c>
      <c r="B131" s="266" t="s">
        <v>264</v>
      </c>
      <c r="C131" s="224" t="s">
        <v>199</v>
      </c>
      <c r="D131" s="225">
        <v>6420</v>
      </c>
      <c r="E131" s="80" t="s">
        <v>45</v>
      </c>
      <c r="F131" s="44">
        <v>0</v>
      </c>
      <c r="G131" s="61">
        <v>0</v>
      </c>
      <c r="H131" s="61">
        <v>0</v>
      </c>
      <c r="I131" s="85">
        <v>0</v>
      </c>
      <c r="J131" s="113">
        <v>46081</v>
      </c>
      <c r="K131" s="114" t="s">
        <v>1009</v>
      </c>
      <c r="L131" s="144">
        <v>6420</v>
      </c>
      <c r="M131" s="83" t="s">
        <v>45</v>
      </c>
      <c r="N131" s="116">
        <v>0</v>
      </c>
      <c r="O131" s="147">
        <f t="shared" si="34"/>
        <v>0</v>
      </c>
      <c r="P131" s="147">
        <f t="shared" si="35"/>
        <v>0</v>
      </c>
      <c r="Q131" s="47">
        <f t="shared" si="36"/>
        <v>0</v>
      </c>
      <c r="R131" s="39"/>
      <c r="S131" s="55"/>
      <c r="T131" s="55"/>
      <c r="U131" s="56"/>
      <c r="V131" s="56"/>
      <c r="Y131" s="226" t="s">
        <v>266</v>
      </c>
    </row>
    <row r="132" spans="1:25" s="226" customFormat="1" ht="27.75" customHeight="1">
      <c r="A132" s="94">
        <v>9</v>
      </c>
      <c r="B132" s="81" t="s">
        <v>267</v>
      </c>
      <c r="C132" s="224" t="s">
        <v>268</v>
      </c>
      <c r="D132" s="267">
        <v>6420</v>
      </c>
      <c r="E132" s="81" t="s">
        <v>801</v>
      </c>
      <c r="F132" s="116">
        <v>0.93457943925233578</v>
      </c>
      <c r="G132" s="147">
        <v>6000</v>
      </c>
      <c r="H132" s="147">
        <v>420</v>
      </c>
      <c r="I132" s="47">
        <v>6420</v>
      </c>
      <c r="J132" s="113">
        <v>46056</v>
      </c>
      <c r="K132" s="114" t="s">
        <v>1010</v>
      </c>
      <c r="L132" s="144">
        <v>6420</v>
      </c>
      <c r="M132" s="83" t="s">
        <v>823</v>
      </c>
      <c r="N132" s="116">
        <v>0.93457943925233578</v>
      </c>
      <c r="O132" s="147">
        <f t="shared" si="34"/>
        <v>6000</v>
      </c>
      <c r="P132" s="147">
        <f t="shared" si="35"/>
        <v>420</v>
      </c>
      <c r="Q132" s="47">
        <f t="shared" si="36"/>
        <v>6420</v>
      </c>
      <c r="R132" s="39"/>
      <c r="S132" s="55"/>
      <c r="T132" s="55"/>
      <c r="U132" s="56"/>
      <c r="V132" s="56"/>
      <c r="Y132" s="226" t="s">
        <v>269</v>
      </c>
    </row>
    <row r="133" spans="1:25" s="226" customFormat="1" ht="27.75" customHeight="1">
      <c r="A133" s="94">
        <v>10</v>
      </c>
      <c r="B133" s="81" t="s">
        <v>201</v>
      </c>
      <c r="C133" s="224" t="s">
        <v>205</v>
      </c>
      <c r="D133" s="225"/>
      <c r="E133" s="81" t="s">
        <v>45</v>
      </c>
      <c r="F133" s="116">
        <v>0</v>
      </c>
      <c r="G133" s="147">
        <v>0</v>
      </c>
      <c r="H133" s="147">
        <v>0</v>
      </c>
      <c r="I133" s="85">
        <v>0</v>
      </c>
      <c r="J133" s="113"/>
      <c r="K133" s="114"/>
      <c r="L133" s="144">
        <v>0</v>
      </c>
      <c r="M133" s="83" t="s">
        <v>45</v>
      </c>
      <c r="N133" s="116">
        <v>0</v>
      </c>
      <c r="O133" s="147">
        <f t="shared" si="34"/>
        <v>0</v>
      </c>
      <c r="P133" s="147">
        <f t="shared" si="35"/>
        <v>0</v>
      </c>
      <c r="Q133" s="47">
        <f t="shared" si="36"/>
        <v>0</v>
      </c>
      <c r="R133" s="39"/>
      <c r="S133" s="55"/>
      <c r="T133" s="55"/>
      <c r="U133" s="56"/>
      <c r="V133" s="56"/>
    </row>
    <row r="134" spans="1:25" s="226" customFormat="1" ht="27.75" customHeight="1">
      <c r="A134" s="94">
        <v>11</v>
      </c>
      <c r="B134" s="81" t="s">
        <v>156</v>
      </c>
      <c r="C134" s="224" t="s">
        <v>207</v>
      </c>
      <c r="D134" s="225">
        <v>6420</v>
      </c>
      <c r="E134" s="80" t="s">
        <v>45</v>
      </c>
      <c r="F134" s="44">
        <v>0</v>
      </c>
      <c r="G134" s="61">
        <v>0</v>
      </c>
      <c r="H134" s="61">
        <v>0</v>
      </c>
      <c r="I134" s="85">
        <v>0</v>
      </c>
      <c r="J134" s="113">
        <v>46057</v>
      </c>
      <c r="K134" s="114" t="s">
        <v>1011</v>
      </c>
      <c r="L134" s="144">
        <v>6420</v>
      </c>
      <c r="M134" s="83" t="s">
        <v>45</v>
      </c>
      <c r="N134" s="116">
        <v>0</v>
      </c>
      <c r="O134" s="147">
        <f t="shared" si="34"/>
        <v>0</v>
      </c>
      <c r="P134" s="147">
        <f t="shared" si="35"/>
        <v>0</v>
      </c>
      <c r="Q134" s="47">
        <f t="shared" si="36"/>
        <v>0</v>
      </c>
      <c r="R134" s="39"/>
      <c r="S134" s="55"/>
      <c r="T134" s="55"/>
      <c r="U134" s="56"/>
      <c r="V134" s="56"/>
    </row>
    <row r="135" spans="1:25" s="226" customFormat="1" ht="27.75" customHeight="1">
      <c r="A135" s="94">
        <v>12</v>
      </c>
      <c r="B135" s="41" t="s">
        <v>271</v>
      </c>
      <c r="C135" s="224" t="s">
        <v>208</v>
      </c>
      <c r="D135" s="225">
        <v>6420</v>
      </c>
      <c r="E135" s="80" t="s">
        <v>45</v>
      </c>
      <c r="F135" s="44">
        <v>0</v>
      </c>
      <c r="G135" s="61">
        <v>0</v>
      </c>
      <c r="H135" s="61">
        <v>0</v>
      </c>
      <c r="I135" s="85">
        <v>0</v>
      </c>
      <c r="J135" s="113">
        <v>46081</v>
      </c>
      <c r="K135" s="268" t="s">
        <v>1012</v>
      </c>
      <c r="L135" s="269">
        <v>6420</v>
      </c>
      <c r="M135" s="83" t="s">
        <v>45</v>
      </c>
      <c r="N135" s="116">
        <v>0</v>
      </c>
      <c r="O135" s="147">
        <f>+(D135*100/107)+G135-(L135*100/107)</f>
        <v>0</v>
      </c>
      <c r="P135" s="147">
        <f>ROUND((O135*0.07),2)</f>
        <v>0</v>
      </c>
      <c r="Q135" s="47">
        <f t="shared" si="36"/>
        <v>0</v>
      </c>
      <c r="R135" s="39"/>
      <c r="S135" s="55"/>
      <c r="T135" s="55"/>
      <c r="U135" s="56"/>
      <c r="V135" s="56"/>
    </row>
    <row r="136" spans="1:25" s="226" customFormat="1" ht="27.75" customHeight="1">
      <c r="A136" s="94">
        <v>13</v>
      </c>
      <c r="B136" s="41" t="s">
        <v>273</v>
      </c>
      <c r="C136" s="224" t="s">
        <v>209</v>
      </c>
      <c r="D136" s="225">
        <v>6420</v>
      </c>
      <c r="E136" s="80" t="s">
        <v>45</v>
      </c>
      <c r="F136" s="44">
        <v>0</v>
      </c>
      <c r="G136" s="61">
        <v>0</v>
      </c>
      <c r="H136" s="61">
        <v>0</v>
      </c>
      <c r="I136" s="85">
        <v>0</v>
      </c>
      <c r="J136" s="113">
        <v>46059</v>
      </c>
      <c r="K136" s="114" t="s">
        <v>1013</v>
      </c>
      <c r="L136" s="144">
        <v>6420</v>
      </c>
      <c r="M136" s="83" t="s">
        <v>45</v>
      </c>
      <c r="N136" s="116">
        <v>0</v>
      </c>
      <c r="O136" s="147">
        <f>+(D136*100/107)+G136-(L136*100/107)</f>
        <v>0</v>
      </c>
      <c r="P136" s="147">
        <f>ROUND((O136*0.07),2)</f>
        <v>0</v>
      </c>
      <c r="Q136" s="47">
        <f>+O136+P136</f>
        <v>0</v>
      </c>
      <c r="R136" s="39"/>
      <c r="S136" s="55"/>
      <c r="T136" s="55"/>
      <c r="U136" s="56"/>
      <c r="V136" s="56"/>
    </row>
    <row r="137" spans="1:25" s="226" customFormat="1" ht="27.75" customHeight="1">
      <c r="A137" s="94">
        <v>14</v>
      </c>
      <c r="B137" s="41" t="s">
        <v>275</v>
      </c>
      <c r="C137" s="224" t="s">
        <v>276</v>
      </c>
      <c r="D137" s="225">
        <v>6420</v>
      </c>
      <c r="E137" s="80" t="s">
        <v>45</v>
      </c>
      <c r="F137" s="44">
        <v>0</v>
      </c>
      <c r="G137" s="61">
        <v>0</v>
      </c>
      <c r="H137" s="61">
        <v>0</v>
      </c>
      <c r="I137" s="85">
        <v>0</v>
      </c>
      <c r="J137" s="113">
        <v>46080</v>
      </c>
      <c r="K137" s="114" t="s">
        <v>1014</v>
      </c>
      <c r="L137" s="144">
        <v>6420</v>
      </c>
      <c r="M137" s="87" t="s">
        <v>45</v>
      </c>
      <c r="N137" s="116">
        <v>0</v>
      </c>
      <c r="O137" s="147">
        <f>+(D137*100/107)+G137-(L137*100/107)</f>
        <v>0</v>
      </c>
      <c r="P137" s="147">
        <f>ROUND((O137*0.07),2)</f>
        <v>0</v>
      </c>
      <c r="Q137" s="47">
        <f>+O137+P137</f>
        <v>0</v>
      </c>
      <c r="R137" s="39"/>
      <c r="S137" s="55"/>
      <c r="T137" s="55"/>
      <c r="U137" s="56"/>
      <c r="V137" s="56"/>
    </row>
    <row r="138" spans="1:25" ht="27.75" customHeight="1" thickBot="1">
      <c r="A138" s="22"/>
      <c r="B138" s="194" t="s">
        <v>22</v>
      </c>
      <c r="C138" s="195"/>
      <c r="D138" s="196">
        <f>SUM(D124:D137)</f>
        <v>96300</v>
      </c>
      <c r="E138" s="196"/>
      <c r="F138" s="197"/>
      <c r="G138" s="196">
        <f>SUM(G124:G137)</f>
        <v>21000</v>
      </c>
      <c r="H138" s="196">
        <f>SUM(H124:H137)</f>
        <v>1470</v>
      </c>
      <c r="I138" s="196">
        <f>SUM(I124:I137)</f>
        <v>22470</v>
      </c>
      <c r="J138" s="199"/>
      <c r="K138" s="199"/>
      <c r="L138" s="196">
        <f>SUM(L124:L137)</f>
        <v>86670</v>
      </c>
      <c r="M138" s="200"/>
      <c r="N138" s="196"/>
      <c r="O138" s="196">
        <f>SUM(O124:O137)</f>
        <v>30000</v>
      </c>
      <c r="P138" s="196">
        <f>SUM(P124:P137)</f>
        <v>2100</v>
      </c>
      <c r="Q138" s="196">
        <f t="shared" ref="Q138" si="37">SUM(Q124:Q137)</f>
        <v>32100</v>
      </c>
      <c r="R138" s="36"/>
      <c r="S138" s="37"/>
      <c r="T138" s="37"/>
      <c r="U138" s="38"/>
      <c r="V138" s="38"/>
      <c r="W138" s="38"/>
    </row>
    <row r="139" spans="1:25" ht="27.75" hidden="1" customHeight="1" thickBot="1">
      <c r="A139" s="22"/>
      <c r="B139" s="23" t="s">
        <v>278</v>
      </c>
      <c r="C139" s="24"/>
      <c r="D139" s="25"/>
      <c r="E139" s="26"/>
      <c r="F139" s="27"/>
      <c r="G139" s="28"/>
      <c r="H139" s="28"/>
      <c r="I139" s="28"/>
      <c r="J139" s="29"/>
      <c r="K139" s="30"/>
      <c r="L139" s="31"/>
      <c r="M139" s="32"/>
      <c r="N139" s="33"/>
      <c r="O139" s="34"/>
      <c r="P139" s="34"/>
      <c r="Q139" s="35"/>
      <c r="R139" s="36"/>
      <c r="S139" s="37"/>
      <c r="T139" s="37"/>
      <c r="U139" s="38"/>
      <c r="V139" s="38"/>
      <c r="W139" s="38"/>
    </row>
    <row r="140" spans="1:25" ht="27.75" hidden="1" customHeight="1" thickTop="1">
      <c r="A140" s="22">
        <v>1</v>
      </c>
      <c r="B140" s="270" t="s">
        <v>88</v>
      </c>
      <c r="C140" s="271" t="s">
        <v>279</v>
      </c>
      <c r="D140" s="272"/>
      <c r="E140" s="273"/>
      <c r="F140" s="274"/>
      <c r="G140" s="65">
        <v>0</v>
      </c>
      <c r="H140" s="45">
        <v>0</v>
      </c>
      <c r="I140" s="61">
        <v>0</v>
      </c>
      <c r="J140" s="275"/>
      <c r="K140" s="276"/>
      <c r="L140" s="277"/>
      <c r="M140" s="232"/>
      <c r="N140" s="251"/>
      <c r="O140" s="233">
        <f t="shared" ref="O140:O150" si="38">+(D140*100/107)+G140-(L140*100/107)</f>
        <v>0</v>
      </c>
      <c r="P140" s="233">
        <f t="shared" ref="P140:P150" si="39">ROUND((O140*0.07),2)</f>
        <v>0</v>
      </c>
      <c r="Q140" s="66">
        <f t="shared" ref="Q140:Q150" si="40">+O140+P140</f>
        <v>0</v>
      </c>
      <c r="R140" s="278"/>
      <c r="S140" s="279"/>
      <c r="T140" s="37"/>
      <c r="U140" s="38"/>
      <c r="V140" s="38"/>
      <c r="W140" s="38"/>
    </row>
    <row r="141" spans="1:25" ht="27.75" hidden="1" customHeight="1" thickTop="1">
      <c r="A141" s="22">
        <v>2</v>
      </c>
      <c r="B141" s="280" t="s">
        <v>89</v>
      </c>
      <c r="C141" s="271" t="s">
        <v>279</v>
      </c>
      <c r="D141" s="272"/>
      <c r="E141" s="201"/>
      <c r="F141" s="281"/>
      <c r="G141" s="61">
        <v>0</v>
      </c>
      <c r="H141" s="45">
        <v>0</v>
      </c>
      <c r="I141" s="61">
        <v>0</v>
      </c>
      <c r="J141" s="175"/>
      <c r="K141" s="282"/>
      <c r="L141" s="222"/>
      <c r="M141" s="94"/>
      <c r="N141" s="39"/>
      <c r="O141" s="233">
        <f t="shared" si="38"/>
        <v>0</v>
      </c>
      <c r="P141" s="233">
        <f t="shared" si="39"/>
        <v>0</v>
      </c>
      <c r="Q141" s="66">
        <f t="shared" si="40"/>
        <v>0</v>
      </c>
      <c r="R141" s="278"/>
      <c r="S141" s="279"/>
      <c r="T141" s="37"/>
      <c r="U141" s="38"/>
      <c r="V141" s="38"/>
      <c r="W141" s="38"/>
    </row>
    <row r="142" spans="1:25" ht="27.75" hidden="1" customHeight="1" thickTop="1">
      <c r="A142" s="22">
        <v>3</v>
      </c>
      <c r="B142" s="270" t="s">
        <v>280</v>
      </c>
      <c r="C142" s="271" t="s">
        <v>279</v>
      </c>
      <c r="D142" s="272"/>
      <c r="E142" s="201"/>
      <c r="F142" s="281"/>
      <c r="G142" s="61">
        <v>0</v>
      </c>
      <c r="H142" s="45">
        <v>0</v>
      </c>
      <c r="I142" s="61">
        <v>0</v>
      </c>
      <c r="J142" s="175"/>
      <c r="K142" s="282"/>
      <c r="L142" s="222"/>
      <c r="M142" s="94"/>
      <c r="N142" s="39"/>
      <c r="O142" s="233">
        <f t="shared" si="38"/>
        <v>0</v>
      </c>
      <c r="P142" s="233">
        <f t="shared" si="39"/>
        <v>0</v>
      </c>
      <c r="Q142" s="66">
        <f t="shared" si="40"/>
        <v>0</v>
      </c>
      <c r="R142" s="278"/>
      <c r="S142" s="279"/>
      <c r="T142" s="37"/>
      <c r="U142" s="38"/>
      <c r="V142" s="38"/>
      <c r="W142" s="38"/>
    </row>
    <row r="143" spans="1:25" ht="27.75" hidden="1" customHeight="1" thickTop="1">
      <c r="A143" s="22">
        <v>4</v>
      </c>
      <c r="B143" s="280" t="s">
        <v>96</v>
      </c>
      <c r="C143" s="271" t="s">
        <v>279</v>
      </c>
      <c r="D143" s="272"/>
      <c r="E143" s="201"/>
      <c r="F143" s="281"/>
      <c r="G143" s="61">
        <v>0</v>
      </c>
      <c r="H143" s="45">
        <v>0</v>
      </c>
      <c r="I143" s="61">
        <v>0</v>
      </c>
      <c r="J143" s="175"/>
      <c r="K143" s="282"/>
      <c r="L143" s="222"/>
      <c r="M143" s="94"/>
      <c r="N143" s="39"/>
      <c r="O143" s="233">
        <f t="shared" si="38"/>
        <v>0</v>
      </c>
      <c r="P143" s="233">
        <f t="shared" si="39"/>
        <v>0</v>
      </c>
      <c r="Q143" s="66">
        <f t="shared" si="40"/>
        <v>0</v>
      </c>
      <c r="R143" s="283"/>
      <c r="S143" s="55"/>
      <c r="T143" s="37"/>
      <c r="U143" s="38"/>
      <c r="V143" s="38"/>
      <c r="W143" s="38"/>
    </row>
    <row r="144" spans="1:25" ht="27.75" hidden="1" customHeight="1" thickTop="1">
      <c r="A144" s="22">
        <v>5</v>
      </c>
      <c r="B144" s="280" t="s">
        <v>281</v>
      </c>
      <c r="C144" s="271" t="s">
        <v>279</v>
      </c>
      <c r="D144" s="272">
        <v>0</v>
      </c>
      <c r="E144" s="201"/>
      <c r="F144" s="281"/>
      <c r="G144" s="61">
        <v>0</v>
      </c>
      <c r="H144" s="45">
        <v>0</v>
      </c>
      <c r="I144" s="61">
        <v>0</v>
      </c>
      <c r="J144" s="175"/>
      <c r="K144" s="282"/>
      <c r="L144" s="222"/>
      <c r="M144" s="94"/>
      <c r="N144" s="39"/>
      <c r="O144" s="233">
        <f t="shared" si="38"/>
        <v>0</v>
      </c>
      <c r="P144" s="233">
        <f t="shared" si="39"/>
        <v>0</v>
      </c>
      <c r="Q144" s="66">
        <f t="shared" si="40"/>
        <v>0</v>
      </c>
      <c r="R144" s="283"/>
      <c r="S144" s="55"/>
      <c r="T144" s="37"/>
      <c r="U144" s="38"/>
      <c r="V144" s="38"/>
      <c r="W144" s="38"/>
    </row>
    <row r="145" spans="1:24" ht="27.75" hidden="1" customHeight="1" thickTop="1">
      <c r="A145" s="22">
        <v>6</v>
      </c>
      <c r="B145" s="280" t="s">
        <v>282</v>
      </c>
      <c r="C145" s="271" t="s">
        <v>279</v>
      </c>
      <c r="D145" s="272"/>
      <c r="E145" s="201"/>
      <c r="F145" s="281"/>
      <c r="G145" s="61">
        <v>0</v>
      </c>
      <c r="H145" s="45">
        <v>0</v>
      </c>
      <c r="I145" s="61">
        <v>0</v>
      </c>
      <c r="J145" s="175"/>
      <c r="K145" s="282"/>
      <c r="L145" s="222"/>
      <c r="M145" s="94"/>
      <c r="N145" s="39"/>
      <c r="O145" s="233">
        <f t="shared" si="38"/>
        <v>0</v>
      </c>
      <c r="P145" s="233">
        <f t="shared" si="39"/>
        <v>0</v>
      </c>
      <c r="Q145" s="66">
        <f t="shared" si="40"/>
        <v>0</v>
      </c>
      <c r="R145" s="283"/>
      <c r="S145" s="37"/>
      <c r="T145" s="37"/>
      <c r="U145" s="38"/>
      <c r="V145" s="38"/>
      <c r="W145" s="38"/>
    </row>
    <row r="146" spans="1:24" ht="27.75" hidden="1" customHeight="1" thickTop="1">
      <c r="A146" s="22">
        <v>7</v>
      </c>
      <c r="B146" s="280" t="s">
        <v>92</v>
      </c>
      <c r="C146" s="271" t="s">
        <v>279</v>
      </c>
      <c r="D146" s="272"/>
      <c r="E146" s="201"/>
      <c r="F146" s="281"/>
      <c r="G146" s="61">
        <v>0</v>
      </c>
      <c r="H146" s="45">
        <v>0</v>
      </c>
      <c r="I146" s="61">
        <v>0</v>
      </c>
      <c r="J146" s="175"/>
      <c r="K146" s="282"/>
      <c r="L146" s="222"/>
      <c r="M146" s="94"/>
      <c r="N146" s="39"/>
      <c r="O146" s="233">
        <f t="shared" si="38"/>
        <v>0</v>
      </c>
      <c r="P146" s="233">
        <f t="shared" si="39"/>
        <v>0</v>
      </c>
      <c r="Q146" s="66">
        <f t="shared" si="40"/>
        <v>0</v>
      </c>
      <c r="R146" s="283"/>
      <c r="S146" s="37"/>
      <c r="T146" s="37"/>
      <c r="U146" s="38"/>
      <c r="V146" s="38"/>
      <c r="W146" s="38"/>
    </row>
    <row r="147" spans="1:24" ht="27.75" hidden="1" customHeight="1" thickTop="1">
      <c r="A147" s="22">
        <v>8</v>
      </c>
      <c r="B147" s="280" t="s">
        <v>91</v>
      </c>
      <c r="C147" s="271" t="s">
        <v>279</v>
      </c>
      <c r="D147" s="284"/>
      <c r="E147" s="201"/>
      <c r="F147" s="281"/>
      <c r="G147" s="61">
        <v>0</v>
      </c>
      <c r="H147" s="45">
        <v>0</v>
      </c>
      <c r="I147" s="61">
        <v>0</v>
      </c>
      <c r="J147" s="175"/>
      <c r="K147" s="282"/>
      <c r="L147" s="222"/>
      <c r="M147" s="94"/>
      <c r="N147" s="39"/>
      <c r="O147" s="233">
        <f t="shared" si="38"/>
        <v>0</v>
      </c>
      <c r="P147" s="233">
        <f t="shared" si="39"/>
        <v>0</v>
      </c>
      <c r="Q147" s="66">
        <f t="shared" si="40"/>
        <v>0</v>
      </c>
      <c r="R147" s="283"/>
      <c r="S147" s="37"/>
      <c r="T147" s="37"/>
      <c r="U147" s="38"/>
      <c r="V147" s="38"/>
      <c r="W147" s="38"/>
    </row>
    <row r="148" spans="1:24" ht="27.75" hidden="1" customHeight="1" thickTop="1">
      <c r="A148" s="22">
        <v>9</v>
      </c>
      <c r="B148" s="280" t="s">
        <v>236</v>
      </c>
      <c r="C148" s="271" t="s">
        <v>279</v>
      </c>
      <c r="D148" s="272">
        <v>0</v>
      </c>
      <c r="E148" s="201"/>
      <c r="F148" s="281"/>
      <c r="G148" s="61">
        <v>0</v>
      </c>
      <c r="H148" s="45">
        <v>0</v>
      </c>
      <c r="I148" s="61">
        <v>0</v>
      </c>
      <c r="J148" s="175"/>
      <c r="K148" s="282"/>
      <c r="L148" s="222"/>
      <c r="M148" s="94"/>
      <c r="N148" s="39"/>
      <c r="O148" s="233">
        <f t="shared" si="38"/>
        <v>0</v>
      </c>
      <c r="P148" s="233">
        <f t="shared" si="39"/>
        <v>0</v>
      </c>
      <c r="Q148" s="66">
        <f t="shared" si="40"/>
        <v>0</v>
      </c>
      <c r="R148" s="283"/>
      <c r="S148" s="37"/>
      <c r="T148" s="37"/>
      <c r="U148" s="38"/>
      <c r="V148" s="38"/>
      <c r="W148" s="38"/>
    </row>
    <row r="149" spans="1:24" ht="27.75" hidden="1" customHeight="1" thickTop="1">
      <c r="A149" s="22">
        <v>10</v>
      </c>
      <c r="B149" s="280" t="s">
        <v>94</v>
      </c>
      <c r="C149" s="280" t="s">
        <v>279</v>
      </c>
      <c r="D149" s="284"/>
      <c r="E149" s="201"/>
      <c r="F149" s="281"/>
      <c r="G149" s="61">
        <v>0</v>
      </c>
      <c r="H149" s="45">
        <v>0</v>
      </c>
      <c r="I149" s="61">
        <v>0</v>
      </c>
      <c r="J149" s="175"/>
      <c r="K149" s="282"/>
      <c r="L149" s="222"/>
      <c r="M149" s="94"/>
      <c r="N149" s="39"/>
      <c r="O149" s="233">
        <f t="shared" si="38"/>
        <v>0</v>
      </c>
      <c r="P149" s="233">
        <f t="shared" si="39"/>
        <v>0</v>
      </c>
      <c r="Q149" s="66">
        <f t="shared" si="40"/>
        <v>0</v>
      </c>
      <c r="R149" s="36"/>
      <c r="S149" s="37"/>
      <c r="T149" s="37"/>
      <c r="U149" s="38"/>
      <c r="V149" s="38"/>
      <c r="W149" s="38"/>
    </row>
    <row r="150" spans="1:24" ht="27.75" hidden="1" customHeight="1" thickTop="1">
      <c r="A150" s="22">
        <v>11</v>
      </c>
      <c r="B150" s="270"/>
      <c r="C150" s="285"/>
      <c r="D150" s="286"/>
      <c r="E150" s="273"/>
      <c r="F150" s="274"/>
      <c r="G150" s="65">
        <v>0</v>
      </c>
      <c r="H150" s="45">
        <v>0</v>
      </c>
      <c r="I150" s="61">
        <v>0</v>
      </c>
      <c r="J150" s="275"/>
      <c r="K150" s="276"/>
      <c r="L150" s="277"/>
      <c r="M150" s="232"/>
      <c r="N150" s="251"/>
      <c r="O150" s="233">
        <f t="shared" si="38"/>
        <v>0</v>
      </c>
      <c r="P150" s="233">
        <f t="shared" si="39"/>
        <v>0</v>
      </c>
      <c r="Q150" s="66">
        <f t="shared" si="40"/>
        <v>0</v>
      </c>
      <c r="R150" s="36"/>
      <c r="S150" s="37"/>
      <c r="T150" s="37"/>
      <c r="U150" s="38"/>
      <c r="V150" s="38"/>
      <c r="W150" s="38"/>
    </row>
    <row r="151" spans="1:24" ht="27.75" hidden="1" customHeight="1" thickTop="1">
      <c r="A151" s="22"/>
      <c r="B151" s="131" t="s">
        <v>22</v>
      </c>
      <c r="C151" s="132"/>
      <c r="D151" s="133">
        <f>SUM(D140:D150)</f>
        <v>0</v>
      </c>
      <c r="E151" s="134"/>
      <c r="F151" s="135"/>
      <c r="G151" s="136">
        <f>SUM(G140:G150)</f>
        <v>0</v>
      </c>
      <c r="H151" s="136">
        <f t="shared" ref="H151:I151" si="41">SUM(H140:H150)</f>
        <v>0</v>
      </c>
      <c r="I151" s="136">
        <f t="shared" si="41"/>
        <v>0</v>
      </c>
      <c r="J151" s="287"/>
      <c r="K151" s="137"/>
      <c r="L151" s="138">
        <f>SUM(L144:L150)</f>
        <v>0</v>
      </c>
      <c r="M151" s="139"/>
      <c r="N151" s="133"/>
      <c r="O151" s="136">
        <f>SUM(O140:O150)</f>
        <v>0</v>
      </c>
      <c r="P151" s="136">
        <f t="shared" ref="P151:Q151" si="42">SUM(P140:P150)</f>
        <v>0</v>
      </c>
      <c r="Q151" s="136">
        <f t="shared" si="42"/>
        <v>0</v>
      </c>
      <c r="R151" s="36"/>
      <c r="S151" s="37"/>
      <c r="T151" s="37"/>
      <c r="U151" s="38"/>
      <c r="V151" s="38"/>
      <c r="W151" s="38"/>
    </row>
    <row r="152" spans="1:24" ht="27.75" customHeight="1" thickTop="1">
      <c r="A152" s="22"/>
      <c r="B152" s="288" t="s">
        <v>283</v>
      </c>
      <c r="C152" s="289"/>
      <c r="D152" s="272"/>
      <c r="E152" s="201"/>
      <c r="F152" s="281"/>
      <c r="G152" s="290"/>
      <c r="H152" s="290"/>
      <c r="I152" s="290"/>
      <c r="J152" s="291"/>
      <c r="K152" s="292"/>
      <c r="L152" s="222"/>
      <c r="M152" s="94"/>
      <c r="N152" s="39"/>
      <c r="O152" s="293"/>
      <c r="P152" s="293"/>
      <c r="Q152" s="294"/>
      <c r="R152" s="36"/>
      <c r="S152" s="37"/>
      <c r="T152" s="37"/>
      <c r="U152" s="38"/>
      <c r="V152" s="38"/>
      <c r="W152" s="295"/>
    </row>
    <row r="153" spans="1:24" ht="27.75" customHeight="1">
      <c r="A153" s="94">
        <v>1</v>
      </c>
      <c r="B153" s="205" t="s">
        <v>192</v>
      </c>
      <c r="C153" s="206" t="s">
        <v>284</v>
      </c>
      <c r="D153" s="296">
        <v>66660</v>
      </c>
      <c r="E153" s="64"/>
      <c r="F153" s="44"/>
      <c r="G153" s="45">
        <v>0</v>
      </c>
      <c r="H153" s="45">
        <v>0</v>
      </c>
      <c r="I153" s="66">
        <v>0</v>
      </c>
      <c r="J153" s="183">
        <v>46058</v>
      </c>
      <c r="K153" s="184" t="s">
        <v>1015</v>
      </c>
      <c r="L153" s="231">
        <v>66660</v>
      </c>
      <c r="M153" s="186"/>
      <c r="N153" s="116">
        <v>0</v>
      </c>
      <c r="O153" s="233">
        <f>SUM(D153+G153-L153)</f>
        <v>0</v>
      </c>
      <c r="P153" s="233">
        <v>0</v>
      </c>
      <c r="Q153" s="66">
        <f>SUM(D153+I153-L153)</f>
        <v>0</v>
      </c>
      <c r="R153" s="297" t="s">
        <v>287</v>
      </c>
      <c r="S153" s="298">
        <v>44682</v>
      </c>
      <c r="T153" s="299">
        <v>45565</v>
      </c>
      <c r="U153" s="56">
        <v>347760</v>
      </c>
      <c r="V153" s="56" t="s">
        <v>288</v>
      </c>
      <c r="W153" s="295" t="s">
        <v>289</v>
      </c>
      <c r="X153" s="4" t="s">
        <v>290</v>
      </c>
    </row>
    <row r="154" spans="1:24" ht="27.75" customHeight="1">
      <c r="A154" s="83"/>
      <c r="B154" s="208" t="s">
        <v>291</v>
      </c>
      <c r="C154" s="209"/>
      <c r="D154" s="300"/>
      <c r="E154" s="211"/>
      <c r="F154" s="212"/>
      <c r="G154" s="213"/>
      <c r="H154" s="213"/>
      <c r="I154" s="214"/>
      <c r="J154" s="301"/>
      <c r="K154" s="302"/>
      <c r="L154" s="303"/>
      <c r="M154" s="304"/>
      <c r="N154" s="217"/>
      <c r="O154" s="305"/>
      <c r="P154" s="305"/>
      <c r="Q154" s="214"/>
      <c r="R154" s="306"/>
      <c r="S154" s="307"/>
      <c r="T154" s="37"/>
      <c r="U154" s="38"/>
      <c r="V154" s="38"/>
    </row>
    <row r="155" spans="1:24" ht="27.75" customHeight="1" thickBot="1">
      <c r="A155" s="193"/>
      <c r="B155" s="308" t="s">
        <v>22</v>
      </c>
      <c r="C155" s="309"/>
      <c r="D155" s="310">
        <f>SUM(D153:D154)</f>
        <v>66660</v>
      </c>
      <c r="E155" s="311"/>
      <c r="F155" s="312"/>
      <c r="G155" s="313">
        <f>SUM(G153:G154)</f>
        <v>0</v>
      </c>
      <c r="H155" s="313">
        <v>0</v>
      </c>
      <c r="I155" s="313">
        <f>SUM(I153)</f>
        <v>0</v>
      </c>
      <c r="J155" s="314"/>
      <c r="K155" s="314"/>
      <c r="L155" s="310">
        <f>SUM(L153:L154)</f>
        <v>66660</v>
      </c>
      <c r="M155" s="315"/>
      <c r="N155" s="310"/>
      <c r="O155" s="198">
        <f>SUM(O153:O154)-O153</f>
        <v>0</v>
      </c>
      <c r="P155" s="198">
        <f t="shared" ref="P155:Q155" si="43">SUM(P153:P154)-P153</f>
        <v>0</v>
      </c>
      <c r="Q155" s="198">
        <f t="shared" si="43"/>
        <v>0</v>
      </c>
      <c r="R155" s="36"/>
      <c r="S155" s="37"/>
      <c r="T155" s="37"/>
      <c r="U155" s="38"/>
      <c r="V155" s="38"/>
      <c r="W155" s="38"/>
    </row>
    <row r="156" spans="1:24" ht="27.75" customHeight="1" thickTop="1">
      <c r="A156" s="22"/>
      <c r="B156" s="23" t="s">
        <v>292</v>
      </c>
      <c r="C156" s="24"/>
      <c r="D156" s="25"/>
      <c r="E156" s="26"/>
      <c r="F156" s="27"/>
      <c r="G156" s="28"/>
      <c r="H156" s="28"/>
      <c r="I156" s="28"/>
      <c r="J156" s="29"/>
      <c r="K156" s="30"/>
      <c r="L156" s="31"/>
      <c r="M156" s="32"/>
      <c r="N156" s="33"/>
      <c r="O156" s="34"/>
      <c r="P156" s="34"/>
      <c r="Q156" s="35"/>
      <c r="R156" s="36"/>
      <c r="S156" s="37"/>
      <c r="T156" s="37"/>
      <c r="U156" s="38"/>
      <c r="V156" s="38"/>
      <c r="W156" s="38"/>
    </row>
    <row r="157" spans="1:24" ht="27.75" customHeight="1">
      <c r="A157" s="316">
        <v>1</v>
      </c>
      <c r="B157" s="280" t="s">
        <v>249</v>
      </c>
      <c r="C157" s="280" t="s">
        <v>250</v>
      </c>
      <c r="D157" s="272">
        <v>310.3</v>
      </c>
      <c r="E157" s="201" t="s">
        <v>45</v>
      </c>
      <c r="F157" s="281">
        <v>0</v>
      </c>
      <c r="G157" s="61">
        <v>0</v>
      </c>
      <c r="H157" s="61">
        <v>0</v>
      </c>
      <c r="I157" s="61">
        <v>0</v>
      </c>
      <c r="J157" s="317">
        <v>46081</v>
      </c>
      <c r="K157" s="318" t="s">
        <v>1016</v>
      </c>
      <c r="L157" s="319">
        <v>310.3</v>
      </c>
      <c r="M157" s="320" t="s">
        <v>45</v>
      </c>
      <c r="N157" s="39">
        <v>0</v>
      </c>
      <c r="O157" s="233">
        <v>0</v>
      </c>
      <c r="P157" s="233">
        <v>0</v>
      </c>
      <c r="Q157" s="66">
        <v>0</v>
      </c>
      <c r="R157" s="36"/>
      <c r="S157" s="37"/>
      <c r="T157" s="37"/>
      <c r="U157" s="38"/>
      <c r="V157" s="38"/>
      <c r="W157" s="38"/>
    </row>
    <row r="158" spans="1:24" ht="27.75" customHeight="1">
      <c r="A158" s="316">
        <v>2</v>
      </c>
      <c r="B158" s="280" t="s">
        <v>294</v>
      </c>
      <c r="C158" s="280" t="s">
        <v>255</v>
      </c>
      <c r="D158" s="272">
        <v>32.1</v>
      </c>
      <c r="E158" s="201" t="s">
        <v>801</v>
      </c>
      <c r="F158" s="281">
        <v>1</v>
      </c>
      <c r="G158" s="61">
        <v>20</v>
      </c>
      <c r="H158" s="61">
        <v>1.4</v>
      </c>
      <c r="I158" s="61">
        <v>21.4</v>
      </c>
      <c r="J158" s="321">
        <v>46060</v>
      </c>
      <c r="K158" s="322" t="s">
        <v>1017</v>
      </c>
      <c r="L158" s="323">
        <v>21.4</v>
      </c>
      <c r="M158" s="320" t="s">
        <v>823</v>
      </c>
      <c r="N158" s="39">
        <v>1</v>
      </c>
      <c r="O158" s="233">
        <v>30</v>
      </c>
      <c r="P158" s="233">
        <v>2.1</v>
      </c>
      <c r="Q158" s="66">
        <v>32.1</v>
      </c>
      <c r="R158" s="36"/>
      <c r="S158" s="37"/>
      <c r="T158" s="37"/>
      <c r="U158" s="38"/>
      <c r="V158" s="38"/>
      <c r="W158" s="38"/>
    </row>
    <row r="159" spans="1:24" ht="27.75" customHeight="1">
      <c r="A159" s="316">
        <v>3</v>
      </c>
      <c r="B159" s="270" t="s">
        <v>295</v>
      </c>
      <c r="C159" s="285" t="s">
        <v>255</v>
      </c>
      <c r="D159" s="284">
        <v>0</v>
      </c>
      <c r="E159" s="273" t="s">
        <v>45</v>
      </c>
      <c r="F159" s="274">
        <v>0</v>
      </c>
      <c r="G159" s="61">
        <v>0</v>
      </c>
      <c r="H159" s="61">
        <v>0</v>
      </c>
      <c r="I159" s="61">
        <v>0</v>
      </c>
      <c r="J159" s="321"/>
      <c r="K159" s="322"/>
      <c r="L159" s="323">
        <v>0</v>
      </c>
      <c r="M159" s="320" t="s">
        <v>45</v>
      </c>
      <c r="N159" s="251">
        <v>0</v>
      </c>
      <c r="O159" s="233">
        <v>0</v>
      </c>
      <c r="P159" s="233">
        <v>0</v>
      </c>
      <c r="Q159" s="66">
        <v>0</v>
      </c>
      <c r="R159" s="36"/>
      <c r="S159" s="37"/>
      <c r="T159" s="37"/>
      <c r="U159" s="38"/>
      <c r="V159" s="38"/>
      <c r="W159" s="38"/>
    </row>
    <row r="160" spans="1:24" ht="27.75" customHeight="1">
      <c r="A160" s="22">
        <v>4</v>
      </c>
      <c r="B160" s="270" t="s">
        <v>296</v>
      </c>
      <c r="C160" s="270" t="s">
        <v>262</v>
      </c>
      <c r="D160" s="284">
        <v>10.7</v>
      </c>
      <c r="E160" s="273" t="s">
        <v>45</v>
      </c>
      <c r="F160" s="274">
        <v>0</v>
      </c>
      <c r="G160" s="65">
        <v>0</v>
      </c>
      <c r="H160" s="65">
        <v>0</v>
      </c>
      <c r="I160" s="65">
        <v>0</v>
      </c>
      <c r="J160" s="324">
        <v>46056</v>
      </c>
      <c r="K160" s="325" t="s">
        <v>1018</v>
      </c>
      <c r="L160" s="326">
        <v>10.7</v>
      </c>
      <c r="M160" s="327" t="s">
        <v>45</v>
      </c>
      <c r="N160" s="251">
        <v>0</v>
      </c>
      <c r="O160" s="233">
        <v>0</v>
      </c>
      <c r="P160" s="233">
        <v>0</v>
      </c>
      <c r="Q160" s="66">
        <v>0</v>
      </c>
      <c r="R160" s="36"/>
      <c r="S160" s="37"/>
      <c r="T160" s="37"/>
      <c r="U160" s="38"/>
      <c r="V160" s="38"/>
      <c r="W160" s="38"/>
    </row>
    <row r="161" spans="1:24" ht="27.75" customHeight="1">
      <c r="A161" s="22">
        <v>5</v>
      </c>
      <c r="B161" s="270" t="s">
        <v>298</v>
      </c>
      <c r="C161" s="270" t="s">
        <v>199</v>
      </c>
      <c r="D161" s="284">
        <v>53.5</v>
      </c>
      <c r="E161" s="273" t="s">
        <v>45</v>
      </c>
      <c r="F161" s="274">
        <v>0</v>
      </c>
      <c r="G161" s="65">
        <v>0</v>
      </c>
      <c r="H161" s="65">
        <v>0</v>
      </c>
      <c r="I161" s="65">
        <v>0</v>
      </c>
      <c r="J161" s="328">
        <v>46081</v>
      </c>
      <c r="K161" s="329" t="s">
        <v>1019</v>
      </c>
      <c r="L161" s="330">
        <v>53.5</v>
      </c>
      <c r="M161" s="327" t="s">
        <v>45</v>
      </c>
      <c r="N161" s="251">
        <v>0</v>
      </c>
      <c r="O161" s="233">
        <v>0</v>
      </c>
      <c r="P161" s="233">
        <v>0</v>
      </c>
      <c r="Q161" s="66">
        <v>0</v>
      </c>
      <c r="R161" s="36"/>
      <c r="S161" s="37"/>
      <c r="T161" s="37"/>
      <c r="U161" s="38"/>
      <c r="V161" s="38"/>
      <c r="W161" s="38"/>
    </row>
    <row r="162" spans="1:24" ht="27.75" customHeight="1">
      <c r="A162" s="22">
        <v>6</v>
      </c>
      <c r="B162" s="270" t="s">
        <v>156</v>
      </c>
      <c r="C162" s="270" t="s">
        <v>208</v>
      </c>
      <c r="D162" s="284">
        <v>128.4</v>
      </c>
      <c r="E162" s="273" t="s">
        <v>45</v>
      </c>
      <c r="F162" s="274">
        <v>0</v>
      </c>
      <c r="G162" s="65">
        <v>0</v>
      </c>
      <c r="H162" s="65">
        <v>0</v>
      </c>
      <c r="I162" s="65">
        <v>0</v>
      </c>
      <c r="J162" s="328">
        <v>46057</v>
      </c>
      <c r="K162" s="329" t="s">
        <v>1020</v>
      </c>
      <c r="L162" s="330">
        <v>128.4</v>
      </c>
      <c r="M162" s="327" t="s">
        <v>45</v>
      </c>
      <c r="N162" s="251">
        <v>0</v>
      </c>
      <c r="O162" s="233">
        <v>0</v>
      </c>
      <c r="P162" s="233">
        <v>0</v>
      </c>
      <c r="Q162" s="66">
        <v>0</v>
      </c>
      <c r="R162" s="36"/>
      <c r="S162" s="37"/>
      <c r="T162" s="37"/>
      <c r="U162" s="38"/>
      <c r="V162" s="38"/>
      <c r="W162" s="38"/>
    </row>
    <row r="163" spans="1:24" ht="27.75" customHeight="1">
      <c r="A163" s="22">
        <v>7</v>
      </c>
      <c r="B163" s="270" t="s">
        <v>273</v>
      </c>
      <c r="C163" s="270" t="s">
        <v>211</v>
      </c>
      <c r="D163" s="284">
        <v>53.5</v>
      </c>
      <c r="E163" s="273" t="s">
        <v>45</v>
      </c>
      <c r="F163" s="274">
        <v>0</v>
      </c>
      <c r="G163" s="65">
        <v>0</v>
      </c>
      <c r="H163" s="65">
        <v>0</v>
      </c>
      <c r="I163" s="65">
        <v>0</v>
      </c>
      <c r="J163" s="328">
        <v>46059</v>
      </c>
      <c r="K163" s="329" t="s">
        <v>1021</v>
      </c>
      <c r="L163" s="330">
        <v>53.5</v>
      </c>
      <c r="M163" s="327" t="s">
        <v>45</v>
      </c>
      <c r="N163" s="251">
        <v>0</v>
      </c>
      <c r="O163" s="233">
        <v>0</v>
      </c>
      <c r="P163" s="233">
        <v>0</v>
      </c>
      <c r="Q163" s="66">
        <v>0</v>
      </c>
      <c r="R163" s="36"/>
      <c r="S163" s="37"/>
      <c r="T163" s="37"/>
      <c r="U163" s="38"/>
      <c r="V163" s="38"/>
      <c r="W163" s="38"/>
    </row>
    <row r="164" spans="1:24" ht="27.75" customHeight="1">
      <c r="A164" s="22">
        <v>8</v>
      </c>
      <c r="B164" s="270" t="s">
        <v>92</v>
      </c>
      <c r="C164" s="270" t="s">
        <v>302</v>
      </c>
      <c r="D164" s="284">
        <v>214</v>
      </c>
      <c r="E164" s="273" t="s">
        <v>45</v>
      </c>
      <c r="F164" s="274">
        <v>0</v>
      </c>
      <c r="G164" s="65">
        <v>0</v>
      </c>
      <c r="H164" s="65">
        <v>0</v>
      </c>
      <c r="I164" s="65">
        <v>0</v>
      </c>
      <c r="J164" s="331">
        <v>46079</v>
      </c>
      <c r="K164" s="332" t="s">
        <v>1022</v>
      </c>
      <c r="L164" s="333">
        <v>214</v>
      </c>
      <c r="M164" s="327" t="s">
        <v>45</v>
      </c>
      <c r="N164" s="251">
        <v>0</v>
      </c>
      <c r="O164" s="233">
        <v>0</v>
      </c>
      <c r="P164" s="233">
        <v>0</v>
      </c>
      <c r="Q164" s="66">
        <v>0</v>
      </c>
      <c r="R164" s="36"/>
      <c r="S164" s="37"/>
      <c r="T164" s="37"/>
      <c r="U164" s="38"/>
      <c r="V164" s="38"/>
      <c r="W164" s="38"/>
    </row>
    <row r="165" spans="1:24" ht="27.75" customHeight="1">
      <c r="A165" s="22"/>
      <c r="B165" s="270"/>
      <c r="C165" s="270"/>
      <c r="D165" s="284"/>
      <c r="E165" s="273"/>
      <c r="F165" s="274"/>
      <c r="G165" s="65"/>
      <c r="H165" s="65"/>
      <c r="I165" s="65"/>
      <c r="J165" s="334"/>
      <c r="K165" s="335"/>
      <c r="L165" s="336"/>
      <c r="M165" s="327"/>
      <c r="N165" s="251"/>
      <c r="O165" s="337"/>
      <c r="P165" s="337"/>
      <c r="Q165" s="229"/>
      <c r="R165" s="36"/>
      <c r="S165" s="37"/>
      <c r="T165" s="37"/>
      <c r="U165" s="38"/>
      <c r="V165" s="38"/>
      <c r="W165" s="38"/>
    </row>
    <row r="166" spans="1:24" ht="27.75" customHeight="1" thickBot="1">
      <c r="A166" s="193"/>
      <c r="B166" s="194"/>
      <c r="C166" s="195"/>
      <c r="D166" s="196">
        <f>SUM(D157:D164)</f>
        <v>802.5</v>
      </c>
      <c r="E166" s="221"/>
      <c r="F166" s="197"/>
      <c r="G166" s="198">
        <f>SUM(G157:G165)</f>
        <v>20</v>
      </c>
      <c r="H166" s="198">
        <f t="shared" ref="H166:I166" si="44">SUM(H157:H165)</f>
        <v>1.4</v>
      </c>
      <c r="I166" s="198">
        <f t="shared" si="44"/>
        <v>21.4</v>
      </c>
      <c r="J166" s="338"/>
      <c r="K166" s="199"/>
      <c r="L166" s="196">
        <f>SUM(L157:L164)</f>
        <v>791.8</v>
      </c>
      <c r="M166" s="200"/>
      <c r="N166" s="196"/>
      <c r="O166" s="198">
        <f>SUM(O157:O164)</f>
        <v>30</v>
      </c>
      <c r="P166" s="198">
        <f t="shared" ref="P166:Q166" si="45">SUM(P157:P164)</f>
        <v>2.1</v>
      </c>
      <c r="Q166" s="198">
        <f t="shared" si="45"/>
        <v>32.1</v>
      </c>
      <c r="R166" s="36"/>
      <c r="S166" s="37"/>
      <c r="T166" s="37"/>
      <c r="U166" s="38"/>
      <c r="V166" s="38"/>
      <c r="W166" s="38"/>
    </row>
    <row r="167" spans="1:24" ht="27.75" customHeight="1" thickTop="1">
      <c r="A167" s="22"/>
      <c r="B167" s="288" t="s">
        <v>304</v>
      </c>
      <c r="C167" s="289"/>
      <c r="D167" s="272"/>
      <c r="E167" s="201"/>
      <c r="F167" s="281"/>
      <c r="G167" s="290"/>
      <c r="H167" s="290"/>
      <c r="I167" s="290"/>
      <c r="J167" s="291"/>
      <c r="K167" s="292"/>
      <c r="L167" s="222"/>
      <c r="M167" s="94"/>
      <c r="N167" s="39"/>
      <c r="O167" s="293"/>
      <c r="P167" s="293"/>
      <c r="Q167" s="294"/>
      <c r="R167" s="36"/>
      <c r="S167" s="37"/>
      <c r="T167" s="37"/>
      <c r="U167" s="38"/>
      <c r="V167" s="38"/>
      <c r="W167" s="38"/>
    </row>
    <row r="168" spans="1:24" ht="27.75" customHeight="1">
      <c r="A168" s="339"/>
      <c r="B168" s="340" t="s">
        <v>305</v>
      </c>
      <c r="C168" s="289"/>
      <c r="D168" s="272"/>
      <c r="E168" s="201"/>
      <c r="F168" s="341"/>
      <c r="G168" s="187"/>
      <c r="H168" s="187"/>
      <c r="I168" s="290"/>
      <c r="J168" s="342"/>
      <c r="K168" s="343"/>
      <c r="L168" s="264"/>
      <c r="M168" s="94"/>
      <c r="N168" s="116"/>
      <c r="O168" s="344"/>
      <c r="P168" s="344"/>
      <c r="Q168" s="294"/>
      <c r="R168" s="36"/>
      <c r="S168" s="37"/>
      <c r="T168" s="37"/>
      <c r="U168" s="38"/>
      <c r="V168" s="38"/>
      <c r="W168" s="345"/>
    </row>
    <row r="169" spans="1:24" ht="27.75" customHeight="1">
      <c r="A169" s="186">
        <v>1</v>
      </c>
      <c r="B169" s="205" t="s">
        <v>24</v>
      </c>
      <c r="C169" s="346" t="s">
        <v>25</v>
      </c>
      <c r="D169" s="141">
        <v>1410</v>
      </c>
      <c r="E169" s="43" t="s">
        <v>45</v>
      </c>
      <c r="F169" s="44">
        <v>0</v>
      </c>
      <c r="G169" s="45">
        <v>0</v>
      </c>
      <c r="H169" s="45"/>
      <c r="I169" s="47">
        <v>0</v>
      </c>
      <c r="J169" s="113">
        <v>46057</v>
      </c>
      <c r="K169" s="114" t="s">
        <v>1023</v>
      </c>
      <c r="L169" s="347">
        <v>1410</v>
      </c>
      <c r="M169" s="94" t="s">
        <v>45</v>
      </c>
      <c r="N169" s="116">
        <v>0</v>
      </c>
      <c r="O169" s="233">
        <f t="shared" ref="O169:O219" si="46">+I169+D169-L169</f>
        <v>0</v>
      </c>
      <c r="P169" s="233"/>
      <c r="Q169" s="47">
        <f t="shared" ref="Q169:Q219" si="47">+O169+P169</f>
        <v>0</v>
      </c>
      <c r="R169" s="348" t="s">
        <v>195</v>
      </c>
      <c r="S169" s="299" t="s">
        <v>307</v>
      </c>
      <c r="T169" s="299" t="s">
        <v>308</v>
      </c>
      <c r="U169" s="56">
        <v>3660</v>
      </c>
      <c r="V169" s="349" t="s">
        <v>309</v>
      </c>
      <c r="W169" s="295" t="s">
        <v>289</v>
      </c>
      <c r="X169" s="4" t="s">
        <v>310</v>
      </c>
    </row>
    <row r="170" spans="1:24" ht="27.75" customHeight="1">
      <c r="A170" s="186">
        <v>2</v>
      </c>
      <c r="B170" s="205" t="s">
        <v>28</v>
      </c>
      <c r="C170" s="346" t="s">
        <v>311</v>
      </c>
      <c r="D170" s="141">
        <v>1410</v>
      </c>
      <c r="E170" s="43" t="s">
        <v>823</v>
      </c>
      <c r="F170" s="44">
        <v>-1</v>
      </c>
      <c r="G170" s="45">
        <v>-1410</v>
      </c>
      <c r="H170" s="45"/>
      <c r="I170" s="47">
        <v>-1410</v>
      </c>
      <c r="J170" s="113">
        <v>46081</v>
      </c>
      <c r="K170" s="114" t="s">
        <v>1024</v>
      </c>
      <c r="L170" s="347">
        <v>1410</v>
      </c>
      <c r="M170" s="94" t="s">
        <v>952</v>
      </c>
      <c r="N170" s="116">
        <v>-1</v>
      </c>
      <c r="O170" s="233">
        <f t="shared" si="46"/>
        <v>-1410</v>
      </c>
      <c r="P170" s="233"/>
      <c r="Q170" s="47">
        <f t="shared" si="47"/>
        <v>-1410</v>
      </c>
      <c r="R170" s="348" t="s">
        <v>195</v>
      </c>
      <c r="S170" s="299" t="s">
        <v>307</v>
      </c>
      <c r="T170" s="299" t="s">
        <v>308</v>
      </c>
      <c r="U170" s="56">
        <v>36600</v>
      </c>
      <c r="V170" s="349" t="s">
        <v>313</v>
      </c>
      <c r="W170" s="4" t="s">
        <v>314</v>
      </c>
      <c r="X170" s="295" t="s">
        <v>289</v>
      </c>
    </row>
    <row r="171" spans="1:24" ht="27.75" customHeight="1">
      <c r="A171" s="186">
        <v>3</v>
      </c>
      <c r="B171" s="205" t="s">
        <v>28</v>
      </c>
      <c r="C171" s="346" t="s">
        <v>315</v>
      </c>
      <c r="D171" s="141">
        <v>1410</v>
      </c>
      <c r="E171" s="43" t="s">
        <v>823</v>
      </c>
      <c r="F171" s="44">
        <v>-1</v>
      </c>
      <c r="G171" s="45">
        <v>-1410</v>
      </c>
      <c r="H171" s="45"/>
      <c r="I171" s="47">
        <v>-1410</v>
      </c>
      <c r="J171" s="113">
        <v>46081</v>
      </c>
      <c r="K171" s="114" t="s">
        <v>1024</v>
      </c>
      <c r="L171" s="347">
        <v>1410</v>
      </c>
      <c r="M171" s="94" t="s">
        <v>952</v>
      </c>
      <c r="N171" s="116">
        <v>-1</v>
      </c>
      <c r="O171" s="233">
        <f t="shared" si="46"/>
        <v>-1410</v>
      </c>
      <c r="P171" s="233"/>
      <c r="Q171" s="47">
        <f t="shared" si="47"/>
        <v>-1410</v>
      </c>
      <c r="R171" s="348"/>
      <c r="S171" s="299"/>
      <c r="T171" s="299"/>
      <c r="U171" s="56"/>
      <c r="V171" s="349"/>
      <c r="X171" s="295"/>
    </row>
    <row r="172" spans="1:24" ht="27.75" customHeight="1">
      <c r="A172" s="186">
        <v>4</v>
      </c>
      <c r="B172" s="205" t="s">
        <v>24</v>
      </c>
      <c r="C172" s="346" t="s">
        <v>316</v>
      </c>
      <c r="D172" s="141">
        <v>1410</v>
      </c>
      <c r="E172" s="43" t="s">
        <v>45</v>
      </c>
      <c r="F172" s="44">
        <v>0</v>
      </c>
      <c r="G172" s="45">
        <v>0</v>
      </c>
      <c r="H172" s="45"/>
      <c r="I172" s="47">
        <v>0</v>
      </c>
      <c r="J172" s="113">
        <v>46057</v>
      </c>
      <c r="K172" s="114" t="s">
        <v>1023</v>
      </c>
      <c r="L172" s="347">
        <v>1410</v>
      </c>
      <c r="M172" s="94" t="s">
        <v>45</v>
      </c>
      <c r="N172" s="116">
        <v>0</v>
      </c>
      <c r="O172" s="233">
        <f t="shared" si="46"/>
        <v>0</v>
      </c>
      <c r="P172" s="233"/>
      <c r="Q172" s="47">
        <f t="shared" si="47"/>
        <v>0</v>
      </c>
      <c r="R172" s="348" t="s">
        <v>195</v>
      </c>
      <c r="S172" s="299" t="s">
        <v>307</v>
      </c>
      <c r="T172" s="299" t="s">
        <v>308</v>
      </c>
      <c r="U172" s="56">
        <v>10980</v>
      </c>
      <c r="V172" s="349" t="s">
        <v>317</v>
      </c>
      <c r="W172" s="295" t="s">
        <v>289</v>
      </c>
      <c r="X172" s="4" t="s">
        <v>310</v>
      </c>
    </row>
    <row r="173" spans="1:24" ht="27.75" customHeight="1">
      <c r="A173" s="186">
        <v>5</v>
      </c>
      <c r="B173" s="205" t="s">
        <v>24</v>
      </c>
      <c r="C173" s="346" t="s">
        <v>318</v>
      </c>
      <c r="D173" s="141">
        <v>1410</v>
      </c>
      <c r="E173" s="43" t="s">
        <v>45</v>
      </c>
      <c r="F173" s="44">
        <v>0</v>
      </c>
      <c r="G173" s="45">
        <v>0</v>
      </c>
      <c r="H173" s="45"/>
      <c r="I173" s="47">
        <v>0</v>
      </c>
      <c r="J173" s="113">
        <v>46057</v>
      </c>
      <c r="K173" s="114" t="s">
        <v>1023</v>
      </c>
      <c r="L173" s="347">
        <v>1410</v>
      </c>
      <c r="M173" s="94" t="s">
        <v>45</v>
      </c>
      <c r="N173" s="116">
        <v>0</v>
      </c>
      <c r="O173" s="233">
        <f t="shared" si="46"/>
        <v>0</v>
      </c>
      <c r="P173" s="233"/>
      <c r="Q173" s="47">
        <f t="shared" si="47"/>
        <v>0</v>
      </c>
      <c r="R173" s="348"/>
      <c r="S173" s="299"/>
      <c r="T173" s="299"/>
      <c r="U173" s="56"/>
      <c r="V173" s="349"/>
      <c r="W173" s="295"/>
    </row>
    <row r="174" spans="1:24" ht="27.75" customHeight="1">
      <c r="A174" s="186">
        <v>6</v>
      </c>
      <c r="B174" s="205" t="s">
        <v>24</v>
      </c>
      <c r="C174" s="346" t="s">
        <v>319</v>
      </c>
      <c r="D174" s="141">
        <v>1410</v>
      </c>
      <c r="E174" s="43" t="s">
        <v>45</v>
      </c>
      <c r="F174" s="44">
        <v>0</v>
      </c>
      <c r="G174" s="45">
        <v>0</v>
      </c>
      <c r="H174" s="45"/>
      <c r="I174" s="47">
        <v>0</v>
      </c>
      <c r="J174" s="113">
        <v>46057</v>
      </c>
      <c r="K174" s="114" t="s">
        <v>1023</v>
      </c>
      <c r="L174" s="347">
        <v>1410</v>
      </c>
      <c r="M174" s="94" t="s">
        <v>45</v>
      </c>
      <c r="N174" s="116">
        <v>0</v>
      </c>
      <c r="O174" s="233">
        <f t="shared" si="46"/>
        <v>0</v>
      </c>
      <c r="P174" s="233"/>
      <c r="Q174" s="47">
        <f t="shared" si="47"/>
        <v>0</v>
      </c>
      <c r="R174" s="348"/>
      <c r="S174" s="299"/>
      <c r="T174" s="299"/>
      <c r="U174" s="56"/>
      <c r="V174" s="349"/>
      <c r="W174" s="295"/>
    </row>
    <row r="175" spans="1:24" ht="27.75" customHeight="1">
      <c r="A175" s="186">
        <v>7</v>
      </c>
      <c r="B175" s="205" t="s">
        <v>28</v>
      </c>
      <c r="C175" s="346" t="s">
        <v>320</v>
      </c>
      <c r="D175" s="141">
        <v>1410</v>
      </c>
      <c r="E175" s="43" t="s">
        <v>823</v>
      </c>
      <c r="F175" s="44">
        <v>-1</v>
      </c>
      <c r="G175" s="45">
        <v>-1410</v>
      </c>
      <c r="H175" s="45"/>
      <c r="I175" s="47">
        <v>-1410</v>
      </c>
      <c r="J175" s="113">
        <v>46081</v>
      </c>
      <c r="K175" s="114" t="s">
        <v>1024</v>
      </c>
      <c r="L175" s="347">
        <v>1410</v>
      </c>
      <c r="M175" s="94" t="s">
        <v>952</v>
      </c>
      <c r="N175" s="116">
        <v>-1</v>
      </c>
      <c r="O175" s="233">
        <f t="shared" si="46"/>
        <v>-1410</v>
      </c>
      <c r="P175" s="233"/>
      <c r="Q175" s="47">
        <f t="shared" si="47"/>
        <v>-1410</v>
      </c>
      <c r="R175" s="348"/>
      <c r="S175" s="299"/>
      <c r="T175" s="299"/>
      <c r="U175" s="56"/>
      <c r="V175" s="349"/>
      <c r="W175" s="295"/>
    </row>
    <row r="176" spans="1:24" ht="27.75" customHeight="1">
      <c r="A176" s="186">
        <v>8</v>
      </c>
      <c r="B176" s="205" t="s">
        <v>28</v>
      </c>
      <c r="C176" s="346" t="s">
        <v>321</v>
      </c>
      <c r="D176" s="141">
        <v>1410</v>
      </c>
      <c r="E176" s="43" t="s">
        <v>823</v>
      </c>
      <c r="F176" s="44">
        <v>-1</v>
      </c>
      <c r="G176" s="45">
        <v>-1410</v>
      </c>
      <c r="H176" s="45"/>
      <c r="I176" s="47">
        <v>-1410</v>
      </c>
      <c r="J176" s="113">
        <v>46081</v>
      </c>
      <c r="K176" s="114" t="s">
        <v>1024</v>
      </c>
      <c r="L176" s="347">
        <v>1410</v>
      </c>
      <c r="M176" s="94" t="s">
        <v>952</v>
      </c>
      <c r="N176" s="116">
        <v>-1</v>
      </c>
      <c r="O176" s="233">
        <f t="shared" si="46"/>
        <v>-1410</v>
      </c>
      <c r="P176" s="233"/>
      <c r="Q176" s="47">
        <f t="shared" si="47"/>
        <v>-1410</v>
      </c>
      <c r="R176" s="348"/>
      <c r="S176" s="299"/>
      <c r="T176" s="299"/>
      <c r="U176" s="56"/>
      <c r="V176" s="349"/>
      <c r="W176" s="295"/>
    </row>
    <row r="177" spans="1:24" ht="27.75" customHeight="1">
      <c r="A177" s="186">
        <v>9</v>
      </c>
      <c r="B177" s="205" t="s">
        <v>28</v>
      </c>
      <c r="C177" s="346" t="s">
        <v>322</v>
      </c>
      <c r="D177" s="141">
        <v>1410</v>
      </c>
      <c r="E177" s="43" t="s">
        <v>823</v>
      </c>
      <c r="F177" s="44">
        <v>-1</v>
      </c>
      <c r="G177" s="45">
        <v>-1410</v>
      </c>
      <c r="H177" s="45"/>
      <c r="I177" s="47">
        <v>-1410</v>
      </c>
      <c r="J177" s="113">
        <v>46081</v>
      </c>
      <c r="K177" s="114" t="s">
        <v>1024</v>
      </c>
      <c r="L177" s="347">
        <v>1410</v>
      </c>
      <c r="M177" s="94" t="s">
        <v>952</v>
      </c>
      <c r="N177" s="116">
        <v>-1</v>
      </c>
      <c r="O177" s="233">
        <f t="shared" si="46"/>
        <v>-1410</v>
      </c>
      <c r="P177" s="233"/>
      <c r="Q177" s="47">
        <f t="shared" si="47"/>
        <v>-1410</v>
      </c>
      <c r="R177" s="348"/>
      <c r="S177" s="299"/>
      <c r="T177" s="299"/>
      <c r="U177" s="56"/>
      <c r="V177" s="349"/>
      <c r="W177" s="295"/>
    </row>
    <row r="178" spans="1:24" ht="27.75" customHeight="1">
      <c r="A178" s="186">
        <v>10</v>
      </c>
      <c r="B178" s="205" t="s">
        <v>28</v>
      </c>
      <c r="C178" s="346" t="s">
        <v>323</v>
      </c>
      <c r="D178" s="141">
        <v>1410</v>
      </c>
      <c r="E178" s="43" t="s">
        <v>823</v>
      </c>
      <c r="F178" s="44">
        <v>-1</v>
      </c>
      <c r="G178" s="45">
        <v>-1410</v>
      </c>
      <c r="H178" s="45"/>
      <c r="I178" s="47">
        <v>-1410</v>
      </c>
      <c r="J178" s="113">
        <v>46081</v>
      </c>
      <c r="K178" s="114" t="s">
        <v>1024</v>
      </c>
      <c r="L178" s="347">
        <v>1410</v>
      </c>
      <c r="M178" s="94" t="s">
        <v>952</v>
      </c>
      <c r="N178" s="116">
        <v>-1</v>
      </c>
      <c r="O178" s="233">
        <f t="shared" si="46"/>
        <v>-1410</v>
      </c>
      <c r="P178" s="233"/>
      <c r="Q178" s="47">
        <f t="shared" si="47"/>
        <v>-1410</v>
      </c>
      <c r="R178" s="348"/>
      <c r="S178" s="299"/>
      <c r="T178" s="299"/>
      <c r="U178" s="56"/>
      <c r="V178" s="349"/>
      <c r="W178" s="295"/>
    </row>
    <row r="179" spans="1:24" ht="27.75" customHeight="1">
      <c r="A179" s="186">
        <v>11</v>
      </c>
      <c r="B179" s="205" t="s">
        <v>28</v>
      </c>
      <c r="C179" s="346" t="s">
        <v>324</v>
      </c>
      <c r="D179" s="141">
        <v>1410</v>
      </c>
      <c r="E179" s="43" t="s">
        <v>823</v>
      </c>
      <c r="F179" s="44">
        <v>-1</v>
      </c>
      <c r="G179" s="45">
        <v>-1410</v>
      </c>
      <c r="H179" s="45"/>
      <c r="I179" s="47">
        <v>-1410</v>
      </c>
      <c r="J179" s="113">
        <v>46081</v>
      </c>
      <c r="K179" s="114" t="s">
        <v>1024</v>
      </c>
      <c r="L179" s="347">
        <v>1410</v>
      </c>
      <c r="M179" s="94" t="s">
        <v>952</v>
      </c>
      <c r="N179" s="116">
        <v>-1</v>
      </c>
      <c r="O179" s="233">
        <f t="shared" si="46"/>
        <v>-1410</v>
      </c>
      <c r="P179" s="233"/>
      <c r="Q179" s="47">
        <f t="shared" si="47"/>
        <v>-1410</v>
      </c>
      <c r="R179" s="348"/>
      <c r="S179" s="299"/>
      <c r="T179" s="299"/>
      <c r="U179" s="56"/>
      <c r="V179" s="349"/>
      <c r="W179" s="295"/>
    </row>
    <row r="180" spans="1:24" ht="27.75" customHeight="1">
      <c r="A180" s="186">
        <v>12</v>
      </c>
      <c r="B180" s="205" t="s">
        <v>325</v>
      </c>
      <c r="C180" s="346" t="s">
        <v>326</v>
      </c>
      <c r="D180" s="141">
        <v>1410</v>
      </c>
      <c r="E180" s="43" t="s">
        <v>45</v>
      </c>
      <c r="F180" s="44">
        <v>0</v>
      </c>
      <c r="G180" s="45">
        <v>0</v>
      </c>
      <c r="H180" s="45"/>
      <c r="I180" s="47">
        <v>0</v>
      </c>
      <c r="J180" s="113">
        <v>46058</v>
      </c>
      <c r="K180" s="114" t="s">
        <v>1025</v>
      </c>
      <c r="L180" s="347">
        <v>1410</v>
      </c>
      <c r="M180" s="94" t="s">
        <v>45</v>
      </c>
      <c r="N180" s="116">
        <v>0</v>
      </c>
      <c r="O180" s="233">
        <f t="shared" si="46"/>
        <v>0</v>
      </c>
      <c r="P180" s="233"/>
      <c r="Q180" s="47">
        <f t="shared" si="47"/>
        <v>0</v>
      </c>
      <c r="R180" s="348" t="s">
        <v>195</v>
      </c>
      <c r="S180" s="299" t="s">
        <v>307</v>
      </c>
      <c r="T180" s="299" t="s">
        <v>308</v>
      </c>
      <c r="U180" s="56">
        <v>14640</v>
      </c>
      <c r="V180" s="349" t="s">
        <v>328</v>
      </c>
      <c r="W180" s="295" t="s">
        <v>289</v>
      </c>
      <c r="X180" s="4" t="s">
        <v>329</v>
      </c>
    </row>
    <row r="181" spans="1:24" ht="27.75" customHeight="1">
      <c r="A181" s="186">
        <v>13</v>
      </c>
      <c r="B181" s="205" t="s">
        <v>325</v>
      </c>
      <c r="C181" s="346" t="s">
        <v>330</v>
      </c>
      <c r="D181" s="141">
        <v>1410</v>
      </c>
      <c r="E181" s="43" t="s">
        <v>45</v>
      </c>
      <c r="F181" s="44">
        <v>0</v>
      </c>
      <c r="G181" s="45">
        <v>0</v>
      </c>
      <c r="H181" s="45"/>
      <c r="I181" s="47">
        <v>0</v>
      </c>
      <c r="J181" s="113">
        <v>46058</v>
      </c>
      <c r="K181" s="114" t="s">
        <v>1025</v>
      </c>
      <c r="L181" s="347">
        <v>1410</v>
      </c>
      <c r="M181" s="94" t="s">
        <v>45</v>
      </c>
      <c r="N181" s="116">
        <v>0</v>
      </c>
      <c r="O181" s="233">
        <f t="shared" si="46"/>
        <v>0</v>
      </c>
      <c r="P181" s="233"/>
      <c r="Q181" s="47">
        <f t="shared" si="47"/>
        <v>0</v>
      </c>
      <c r="R181" s="348"/>
      <c r="S181" s="299"/>
      <c r="T181" s="299"/>
      <c r="U181" s="56"/>
      <c r="V181" s="349"/>
      <c r="W181" s="295"/>
    </row>
    <row r="182" spans="1:24" ht="27.75" customHeight="1">
      <c r="A182" s="186">
        <v>14</v>
      </c>
      <c r="B182" s="205" t="s">
        <v>325</v>
      </c>
      <c r="C182" s="346" t="s">
        <v>331</v>
      </c>
      <c r="D182" s="141">
        <v>1410</v>
      </c>
      <c r="E182" s="43" t="s">
        <v>45</v>
      </c>
      <c r="F182" s="44">
        <v>0</v>
      </c>
      <c r="G182" s="45">
        <v>0</v>
      </c>
      <c r="H182" s="45"/>
      <c r="I182" s="47">
        <v>0</v>
      </c>
      <c r="J182" s="113">
        <v>46058</v>
      </c>
      <c r="K182" s="114" t="s">
        <v>1025</v>
      </c>
      <c r="L182" s="347">
        <v>1410</v>
      </c>
      <c r="M182" s="94" t="s">
        <v>45</v>
      </c>
      <c r="N182" s="116">
        <v>0</v>
      </c>
      <c r="O182" s="233">
        <f t="shared" si="46"/>
        <v>0</v>
      </c>
      <c r="P182" s="233"/>
      <c r="Q182" s="47">
        <f t="shared" si="47"/>
        <v>0</v>
      </c>
      <c r="R182" s="348"/>
      <c r="S182" s="299"/>
      <c r="T182" s="299"/>
      <c r="U182" s="56"/>
      <c r="V182" s="349"/>
      <c r="W182" s="295"/>
    </row>
    <row r="183" spans="1:24" ht="27.75" customHeight="1">
      <c r="A183" s="186">
        <v>15</v>
      </c>
      <c r="B183" s="205" t="s">
        <v>325</v>
      </c>
      <c r="C183" s="346" t="s">
        <v>332</v>
      </c>
      <c r="D183" s="141">
        <v>1410</v>
      </c>
      <c r="E183" s="43" t="s">
        <v>45</v>
      </c>
      <c r="F183" s="44">
        <v>0</v>
      </c>
      <c r="G183" s="45">
        <v>0</v>
      </c>
      <c r="H183" s="45"/>
      <c r="I183" s="47">
        <v>0</v>
      </c>
      <c r="J183" s="113">
        <v>46058</v>
      </c>
      <c r="K183" s="114" t="s">
        <v>1025</v>
      </c>
      <c r="L183" s="347">
        <v>1410</v>
      </c>
      <c r="M183" s="94" t="s">
        <v>45</v>
      </c>
      <c r="N183" s="116">
        <v>0</v>
      </c>
      <c r="O183" s="233">
        <f t="shared" si="46"/>
        <v>0</v>
      </c>
      <c r="P183" s="233"/>
      <c r="Q183" s="47">
        <f t="shared" si="47"/>
        <v>0</v>
      </c>
      <c r="R183" s="348"/>
      <c r="S183" s="299"/>
      <c r="T183" s="299"/>
      <c r="U183" s="56"/>
      <c r="V183" s="349"/>
      <c r="W183" s="295"/>
    </row>
    <row r="184" spans="1:24" ht="27.75" customHeight="1">
      <c r="A184" s="186">
        <v>16</v>
      </c>
      <c r="B184" s="205" t="s">
        <v>28</v>
      </c>
      <c r="C184" s="346" t="s">
        <v>333</v>
      </c>
      <c r="D184" s="141">
        <v>1410</v>
      </c>
      <c r="E184" s="43" t="s">
        <v>823</v>
      </c>
      <c r="F184" s="44">
        <v>-1</v>
      </c>
      <c r="G184" s="45">
        <v>-1410</v>
      </c>
      <c r="H184" s="45"/>
      <c r="I184" s="47">
        <v>-1410</v>
      </c>
      <c r="J184" s="113">
        <v>46081</v>
      </c>
      <c r="K184" s="114" t="s">
        <v>1024</v>
      </c>
      <c r="L184" s="347">
        <v>1410</v>
      </c>
      <c r="M184" s="94" t="s">
        <v>952</v>
      </c>
      <c r="N184" s="116">
        <v>-1</v>
      </c>
      <c r="O184" s="233">
        <f t="shared" si="46"/>
        <v>-1410</v>
      </c>
      <c r="P184" s="233"/>
      <c r="Q184" s="47">
        <f t="shared" si="47"/>
        <v>-1410</v>
      </c>
      <c r="R184" s="348"/>
      <c r="S184" s="299"/>
      <c r="T184" s="299"/>
      <c r="U184" s="56"/>
      <c r="V184" s="349"/>
      <c r="W184" s="295"/>
    </row>
    <row r="185" spans="1:24" ht="27.75" customHeight="1">
      <c r="A185" s="186">
        <v>17</v>
      </c>
      <c r="B185" s="205" t="s">
        <v>28</v>
      </c>
      <c r="C185" s="346" t="s">
        <v>334</v>
      </c>
      <c r="D185" s="141">
        <v>1410</v>
      </c>
      <c r="E185" s="43" t="s">
        <v>823</v>
      </c>
      <c r="F185" s="44">
        <v>-1</v>
      </c>
      <c r="G185" s="45">
        <v>-1410</v>
      </c>
      <c r="H185" s="45"/>
      <c r="I185" s="47">
        <v>-1410</v>
      </c>
      <c r="J185" s="113">
        <v>46081</v>
      </c>
      <c r="K185" s="114" t="s">
        <v>1024</v>
      </c>
      <c r="L185" s="347">
        <v>1410</v>
      </c>
      <c r="M185" s="94" t="s">
        <v>952</v>
      </c>
      <c r="N185" s="116">
        <v>-1</v>
      </c>
      <c r="O185" s="233">
        <f t="shared" si="46"/>
        <v>-1410</v>
      </c>
      <c r="P185" s="233"/>
      <c r="Q185" s="47">
        <f t="shared" si="47"/>
        <v>-1410</v>
      </c>
      <c r="R185" s="348"/>
      <c r="S185" s="299"/>
      <c r="T185" s="299"/>
      <c r="U185" s="56"/>
      <c r="V185" s="349"/>
      <c r="W185" s="295"/>
    </row>
    <row r="186" spans="1:24" ht="27.75" customHeight="1">
      <c r="A186" s="186">
        <v>18</v>
      </c>
      <c r="B186" s="205" t="s">
        <v>28</v>
      </c>
      <c r="C186" s="346" t="s">
        <v>335</v>
      </c>
      <c r="D186" s="141">
        <v>1410</v>
      </c>
      <c r="E186" s="43" t="s">
        <v>823</v>
      </c>
      <c r="F186" s="44">
        <v>-1</v>
      </c>
      <c r="G186" s="45">
        <v>-1410</v>
      </c>
      <c r="H186" s="45"/>
      <c r="I186" s="47">
        <v>-1410</v>
      </c>
      <c r="J186" s="113">
        <v>46081</v>
      </c>
      <c r="K186" s="114" t="s">
        <v>1024</v>
      </c>
      <c r="L186" s="347">
        <v>1410</v>
      </c>
      <c r="M186" s="94" t="s">
        <v>952</v>
      </c>
      <c r="N186" s="116">
        <v>-1</v>
      </c>
      <c r="O186" s="233">
        <f t="shared" si="46"/>
        <v>-1410</v>
      </c>
      <c r="P186" s="233"/>
      <c r="Q186" s="47">
        <f t="shared" si="47"/>
        <v>-1410</v>
      </c>
      <c r="R186" s="348"/>
      <c r="S186" s="299"/>
      <c r="T186" s="299"/>
      <c r="U186" s="56"/>
      <c r="V186" s="349"/>
      <c r="W186" s="295"/>
    </row>
    <row r="187" spans="1:24" ht="27.75" customHeight="1">
      <c r="A187" s="186">
        <v>19</v>
      </c>
      <c r="B187" s="205" t="s">
        <v>40</v>
      </c>
      <c r="C187" s="346" t="s">
        <v>336</v>
      </c>
      <c r="D187" s="141">
        <v>1220</v>
      </c>
      <c r="E187" s="43" t="s">
        <v>26</v>
      </c>
      <c r="F187" s="44">
        <v>0</v>
      </c>
      <c r="G187" s="45">
        <v>0</v>
      </c>
      <c r="H187" s="45"/>
      <c r="I187" s="47">
        <v>0</v>
      </c>
      <c r="J187" s="113">
        <v>46057</v>
      </c>
      <c r="K187" s="114" t="s">
        <v>1026</v>
      </c>
      <c r="L187" s="347">
        <v>1220</v>
      </c>
      <c r="M187" s="94" t="s">
        <v>26</v>
      </c>
      <c r="N187" s="116">
        <v>0</v>
      </c>
      <c r="O187" s="233">
        <f t="shared" si="46"/>
        <v>0</v>
      </c>
      <c r="P187" s="233"/>
      <c r="Q187" s="47">
        <f t="shared" si="47"/>
        <v>0</v>
      </c>
      <c r="R187" s="39" t="s">
        <v>195</v>
      </c>
      <c r="S187" s="55">
        <v>43313</v>
      </c>
      <c r="T187" s="55">
        <v>44408</v>
      </c>
      <c r="U187" s="56">
        <v>9540</v>
      </c>
      <c r="V187" s="349"/>
    </row>
    <row r="188" spans="1:24" ht="27.75" customHeight="1">
      <c r="A188" s="186">
        <v>20</v>
      </c>
      <c r="B188" s="205" t="s">
        <v>40</v>
      </c>
      <c r="C188" s="346" t="s">
        <v>338</v>
      </c>
      <c r="D188" s="141">
        <v>1220</v>
      </c>
      <c r="E188" s="43" t="s">
        <v>26</v>
      </c>
      <c r="F188" s="44">
        <v>0</v>
      </c>
      <c r="G188" s="45">
        <v>0</v>
      </c>
      <c r="H188" s="45"/>
      <c r="I188" s="47">
        <v>0</v>
      </c>
      <c r="J188" s="113">
        <v>46057</v>
      </c>
      <c r="K188" s="114" t="s">
        <v>1026</v>
      </c>
      <c r="L188" s="347">
        <v>1220</v>
      </c>
      <c r="M188" s="94" t="s">
        <v>26</v>
      </c>
      <c r="N188" s="116">
        <v>0</v>
      </c>
      <c r="O188" s="233">
        <f t="shared" si="46"/>
        <v>0</v>
      </c>
      <c r="P188" s="233"/>
      <c r="Q188" s="47">
        <f t="shared" si="47"/>
        <v>0</v>
      </c>
      <c r="R188" s="39"/>
      <c r="S188" s="55"/>
      <c r="T188" s="55"/>
      <c r="U188" s="56"/>
      <c r="V188" s="349"/>
    </row>
    <row r="189" spans="1:24" ht="27.75" customHeight="1">
      <c r="A189" s="186">
        <v>21</v>
      </c>
      <c r="B189" s="205" t="s">
        <v>40</v>
      </c>
      <c r="C189" s="346" t="s">
        <v>339</v>
      </c>
      <c r="D189" s="141">
        <v>1220</v>
      </c>
      <c r="E189" s="43" t="s">
        <v>26</v>
      </c>
      <c r="F189" s="44">
        <v>0</v>
      </c>
      <c r="G189" s="45">
        <v>0</v>
      </c>
      <c r="H189" s="45"/>
      <c r="I189" s="47">
        <v>0</v>
      </c>
      <c r="J189" s="113">
        <v>46057</v>
      </c>
      <c r="K189" s="114" t="s">
        <v>1026</v>
      </c>
      <c r="L189" s="347">
        <v>1220</v>
      </c>
      <c r="M189" s="94" t="s">
        <v>26</v>
      </c>
      <c r="N189" s="116">
        <v>0</v>
      </c>
      <c r="O189" s="233">
        <f t="shared" si="46"/>
        <v>0</v>
      </c>
      <c r="P189" s="233"/>
      <c r="Q189" s="47">
        <f t="shared" si="47"/>
        <v>0</v>
      </c>
      <c r="R189" s="39"/>
      <c r="S189" s="55"/>
      <c r="T189" s="55"/>
      <c r="U189" s="56"/>
      <c r="V189" s="349"/>
    </row>
    <row r="190" spans="1:24" ht="27.75" customHeight="1">
      <c r="A190" s="186">
        <v>22</v>
      </c>
      <c r="B190" s="40" t="s">
        <v>43</v>
      </c>
      <c r="C190" s="346" t="s">
        <v>340</v>
      </c>
      <c r="D190" s="141">
        <v>1410</v>
      </c>
      <c r="E190" s="43" t="s">
        <v>823</v>
      </c>
      <c r="F190" s="44">
        <v>-1</v>
      </c>
      <c r="G190" s="45">
        <v>-1410</v>
      </c>
      <c r="H190" s="45">
        <v>0</v>
      </c>
      <c r="I190" s="47">
        <v>-1410</v>
      </c>
      <c r="J190" s="113"/>
      <c r="K190" s="114"/>
      <c r="L190" s="347"/>
      <c r="M190" s="94" t="s">
        <v>45</v>
      </c>
      <c r="N190" s="116">
        <v>0</v>
      </c>
      <c r="O190" s="233">
        <f t="shared" si="46"/>
        <v>0</v>
      </c>
      <c r="P190" s="233"/>
      <c r="Q190" s="47">
        <f t="shared" si="47"/>
        <v>0</v>
      </c>
      <c r="R190" s="348" t="s">
        <v>195</v>
      </c>
      <c r="S190" s="299" t="s">
        <v>307</v>
      </c>
      <c r="T190" s="299" t="s">
        <v>308</v>
      </c>
      <c r="U190" s="56">
        <v>7320</v>
      </c>
      <c r="V190" s="349" t="s">
        <v>342</v>
      </c>
      <c r="W190" s="295" t="s">
        <v>289</v>
      </c>
      <c r="X190" s="4" t="s">
        <v>343</v>
      </c>
    </row>
    <row r="191" spans="1:24" ht="27.75" customHeight="1">
      <c r="A191" s="186">
        <v>23</v>
      </c>
      <c r="B191" s="40" t="s">
        <v>43</v>
      </c>
      <c r="C191" s="346" t="s">
        <v>344</v>
      </c>
      <c r="D191" s="141">
        <v>1410</v>
      </c>
      <c r="E191" s="43" t="s">
        <v>823</v>
      </c>
      <c r="F191" s="44">
        <v>-1</v>
      </c>
      <c r="G191" s="45">
        <v>-1410</v>
      </c>
      <c r="H191" s="45">
        <v>0</v>
      </c>
      <c r="I191" s="47">
        <v>-1410</v>
      </c>
      <c r="J191" s="113"/>
      <c r="K191" s="114"/>
      <c r="L191" s="347"/>
      <c r="M191" s="94" t="s">
        <v>45</v>
      </c>
      <c r="N191" s="116">
        <v>0</v>
      </c>
      <c r="O191" s="233">
        <f t="shared" si="46"/>
        <v>0</v>
      </c>
      <c r="P191" s="233"/>
      <c r="Q191" s="47">
        <f t="shared" si="47"/>
        <v>0</v>
      </c>
      <c r="R191" s="348"/>
      <c r="S191" s="299"/>
      <c r="T191" s="299"/>
      <c r="U191" s="56"/>
      <c r="V191" s="349"/>
      <c r="W191" s="295"/>
    </row>
    <row r="192" spans="1:24" ht="27.75" customHeight="1">
      <c r="A192" s="186">
        <v>24</v>
      </c>
      <c r="B192" s="40" t="s">
        <v>345</v>
      </c>
      <c r="C192" s="346" t="s">
        <v>346</v>
      </c>
      <c r="D192" s="141">
        <v>1410</v>
      </c>
      <c r="E192" s="43" t="s">
        <v>45</v>
      </c>
      <c r="F192" s="44">
        <v>0</v>
      </c>
      <c r="G192" s="45">
        <v>0</v>
      </c>
      <c r="H192" s="45"/>
      <c r="I192" s="47">
        <v>0</v>
      </c>
      <c r="J192" s="113">
        <v>46058</v>
      </c>
      <c r="K192" s="114" t="s">
        <v>1027</v>
      </c>
      <c r="L192" s="347">
        <v>1410</v>
      </c>
      <c r="M192" s="94" t="s">
        <v>45</v>
      </c>
      <c r="N192" s="116">
        <v>0</v>
      </c>
      <c r="O192" s="233">
        <f t="shared" si="46"/>
        <v>0</v>
      </c>
      <c r="P192" s="233"/>
      <c r="Q192" s="47">
        <f t="shared" si="47"/>
        <v>0</v>
      </c>
      <c r="R192" s="39" t="s">
        <v>195</v>
      </c>
      <c r="S192" s="55">
        <v>43313</v>
      </c>
      <c r="T192" s="55">
        <v>44408</v>
      </c>
      <c r="U192" s="56">
        <v>12720</v>
      </c>
      <c r="V192" s="349"/>
    </row>
    <row r="193" spans="1:25" ht="27.75" customHeight="1">
      <c r="A193" s="186">
        <v>25</v>
      </c>
      <c r="B193" s="40" t="s">
        <v>345</v>
      </c>
      <c r="C193" s="346" t="s">
        <v>348</v>
      </c>
      <c r="D193" s="141">
        <v>1410</v>
      </c>
      <c r="E193" s="43" t="s">
        <v>45</v>
      </c>
      <c r="F193" s="44">
        <v>0</v>
      </c>
      <c r="G193" s="45">
        <v>0</v>
      </c>
      <c r="H193" s="45"/>
      <c r="I193" s="47">
        <v>0</v>
      </c>
      <c r="J193" s="113">
        <v>46058</v>
      </c>
      <c r="K193" s="114" t="s">
        <v>1027</v>
      </c>
      <c r="L193" s="347">
        <v>1410</v>
      </c>
      <c r="M193" s="94" t="s">
        <v>45</v>
      </c>
      <c r="N193" s="116">
        <v>0</v>
      </c>
      <c r="O193" s="233">
        <f t="shared" si="46"/>
        <v>0</v>
      </c>
      <c r="P193" s="233"/>
      <c r="Q193" s="47">
        <f t="shared" si="47"/>
        <v>0</v>
      </c>
      <c r="R193" s="39"/>
      <c r="S193" s="55"/>
      <c r="T193" s="55"/>
      <c r="U193" s="56"/>
      <c r="V193" s="349"/>
    </row>
    <row r="194" spans="1:25" ht="27.75" customHeight="1">
      <c r="A194" s="186">
        <v>26</v>
      </c>
      <c r="B194" s="40" t="s">
        <v>345</v>
      </c>
      <c r="C194" s="346" t="s">
        <v>349</v>
      </c>
      <c r="D194" s="141">
        <v>1410</v>
      </c>
      <c r="E194" s="43" t="s">
        <v>45</v>
      </c>
      <c r="F194" s="44">
        <v>0</v>
      </c>
      <c r="G194" s="45">
        <v>0</v>
      </c>
      <c r="H194" s="45"/>
      <c r="I194" s="47">
        <v>0</v>
      </c>
      <c r="J194" s="113">
        <v>46058</v>
      </c>
      <c r="K194" s="114" t="s">
        <v>1027</v>
      </c>
      <c r="L194" s="347">
        <v>1410</v>
      </c>
      <c r="M194" s="94" t="s">
        <v>45</v>
      </c>
      <c r="N194" s="116">
        <v>0</v>
      </c>
      <c r="O194" s="233">
        <f t="shared" si="46"/>
        <v>0</v>
      </c>
      <c r="P194" s="233"/>
      <c r="Q194" s="47">
        <f t="shared" si="47"/>
        <v>0</v>
      </c>
      <c r="R194" s="39"/>
      <c r="S194" s="55"/>
      <c r="T194" s="55"/>
      <c r="U194" s="56"/>
      <c r="V194" s="349"/>
    </row>
    <row r="195" spans="1:25" ht="27.75" customHeight="1">
      <c r="A195" s="186">
        <v>27</v>
      </c>
      <c r="B195" s="40" t="s">
        <v>345</v>
      </c>
      <c r="C195" s="346" t="s">
        <v>350</v>
      </c>
      <c r="D195" s="141">
        <v>1410</v>
      </c>
      <c r="E195" s="43" t="s">
        <v>45</v>
      </c>
      <c r="F195" s="44">
        <v>0</v>
      </c>
      <c r="G195" s="45">
        <v>0</v>
      </c>
      <c r="H195" s="45"/>
      <c r="I195" s="47">
        <v>0</v>
      </c>
      <c r="J195" s="113">
        <v>46058</v>
      </c>
      <c r="K195" s="114" t="s">
        <v>1027</v>
      </c>
      <c r="L195" s="347">
        <v>1410</v>
      </c>
      <c r="M195" s="94" t="s">
        <v>45</v>
      </c>
      <c r="N195" s="116">
        <v>0</v>
      </c>
      <c r="O195" s="233">
        <f t="shared" si="46"/>
        <v>0</v>
      </c>
      <c r="P195" s="233"/>
      <c r="Q195" s="47">
        <f t="shared" si="47"/>
        <v>0</v>
      </c>
      <c r="R195" s="39"/>
      <c r="S195" s="55"/>
      <c r="T195" s="55"/>
      <c r="U195" s="56"/>
      <c r="V195" s="349"/>
    </row>
    <row r="196" spans="1:25" ht="27.75" customHeight="1">
      <c r="A196" s="186">
        <v>28</v>
      </c>
      <c r="B196" s="40" t="s">
        <v>351</v>
      </c>
      <c r="C196" s="346" t="s">
        <v>352</v>
      </c>
      <c r="D196" s="141">
        <v>1410</v>
      </c>
      <c r="E196" s="43" t="s">
        <v>45</v>
      </c>
      <c r="F196" s="44">
        <v>0</v>
      </c>
      <c r="G196" s="45">
        <v>0</v>
      </c>
      <c r="H196" s="45"/>
      <c r="I196" s="47">
        <v>0</v>
      </c>
      <c r="J196" s="113">
        <v>46058</v>
      </c>
      <c r="K196" s="114" t="s">
        <v>1028</v>
      </c>
      <c r="L196" s="347">
        <v>1410</v>
      </c>
      <c r="M196" s="94" t="s">
        <v>45</v>
      </c>
      <c r="N196" s="116">
        <v>0</v>
      </c>
      <c r="O196" s="233">
        <f t="shared" si="46"/>
        <v>0</v>
      </c>
      <c r="P196" s="233"/>
      <c r="Q196" s="47">
        <f t="shared" si="47"/>
        <v>0</v>
      </c>
      <c r="R196" s="39" t="s">
        <v>195</v>
      </c>
      <c r="S196" s="55">
        <v>43313</v>
      </c>
      <c r="T196" s="55">
        <v>44408</v>
      </c>
      <c r="U196" s="56">
        <v>9540</v>
      </c>
      <c r="V196" s="349"/>
    </row>
    <row r="197" spans="1:25" ht="27.75" customHeight="1">
      <c r="A197" s="186">
        <v>29</v>
      </c>
      <c r="B197" s="40" t="s">
        <v>351</v>
      </c>
      <c r="C197" s="346" t="s">
        <v>354</v>
      </c>
      <c r="D197" s="141">
        <v>1410</v>
      </c>
      <c r="E197" s="43" t="s">
        <v>45</v>
      </c>
      <c r="F197" s="44">
        <v>0</v>
      </c>
      <c r="G197" s="45">
        <v>0</v>
      </c>
      <c r="H197" s="45"/>
      <c r="I197" s="47">
        <v>0</v>
      </c>
      <c r="J197" s="113">
        <v>46058</v>
      </c>
      <c r="K197" s="114" t="s">
        <v>1028</v>
      </c>
      <c r="L197" s="347">
        <v>1410</v>
      </c>
      <c r="M197" s="94" t="s">
        <v>45</v>
      </c>
      <c r="N197" s="116">
        <v>0</v>
      </c>
      <c r="O197" s="233">
        <f t="shared" si="46"/>
        <v>0</v>
      </c>
      <c r="P197" s="233"/>
      <c r="Q197" s="47">
        <f t="shared" si="47"/>
        <v>0</v>
      </c>
      <c r="R197" s="39"/>
      <c r="S197" s="55"/>
      <c r="T197" s="55"/>
      <c r="U197" s="56"/>
      <c r="V197" s="349"/>
    </row>
    <row r="198" spans="1:25" ht="27.75" customHeight="1">
      <c r="A198" s="186">
        <v>30</v>
      </c>
      <c r="B198" s="40" t="s">
        <v>351</v>
      </c>
      <c r="C198" s="346" t="s">
        <v>355</v>
      </c>
      <c r="D198" s="141">
        <v>1410</v>
      </c>
      <c r="E198" s="43" t="s">
        <v>45</v>
      </c>
      <c r="F198" s="44">
        <v>0</v>
      </c>
      <c r="G198" s="45">
        <v>0</v>
      </c>
      <c r="H198" s="45"/>
      <c r="I198" s="47">
        <v>0</v>
      </c>
      <c r="J198" s="113">
        <v>46058</v>
      </c>
      <c r="K198" s="114" t="s">
        <v>1028</v>
      </c>
      <c r="L198" s="347">
        <v>1410</v>
      </c>
      <c r="M198" s="94" t="s">
        <v>45</v>
      </c>
      <c r="N198" s="116">
        <v>0</v>
      </c>
      <c r="O198" s="233">
        <f t="shared" si="46"/>
        <v>0</v>
      </c>
      <c r="P198" s="233"/>
      <c r="Q198" s="47">
        <f t="shared" si="47"/>
        <v>0</v>
      </c>
      <c r="R198" s="39"/>
      <c r="S198" s="55"/>
      <c r="T198" s="55"/>
      <c r="U198" s="56"/>
      <c r="V198" s="349"/>
    </row>
    <row r="199" spans="1:25" ht="27.75" customHeight="1">
      <c r="A199" s="186">
        <v>31</v>
      </c>
      <c r="B199" s="40" t="s">
        <v>356</v>
      </c>
      <c r="C199" s="346" t="s">
        <v>357</v>
      </c>
      <c r="D199" s="141">
        <v>1410</v>
      </c>
      <c r="E199" s="43" t="s">
        <v>45</v>
      </c>
      <c r="F199" s="44">
        <v>0</v>
      </c>
      <c r="G199" s="45">
        <v>0</v>
      </c>
      <c r="H199" s="45"/>
      <c r="I199" s="47">
        <v>0</v>
      </c>
      <c r="J199" s="113">
        <v>46057</v>
      </c>
      <c r="K199" s="114" t="s">
        <v>1029</v>
      </c>
      <c r="L199" s="347">
        <v>1410</v>
      </c>
      <c r="M199" s="94" t="s">
        <v>45</v>
      </c>
      <c r="N199" s="116">
        <v>0</v>
      </c>
      <c r="O199" s="233">
        <f t="shared" si="46"/>
        <v>0</v>
      </c>
      <c r="P199" s="233"/>
      <c r="Q199" s="47">
        <f t="shared" si="47"/>
        <v>0</v>
      </c>
      <c r="R199" s="39" t="s">
        <v>195</v>
      </c>
      <c r="S199" s="55">
        <v>42217</v>
      </c>
      <c r="T199" s="55">
        <v>43312</v>
      </c>
      <c r="U199" s="56">
        <v>8280</v>
      </c>
      <c r="V199" s="349" t="s">
        <v>359</v>
      </c>
    </row>
    <row r="200" spans="1:25" ht="27.75" customHeight="1">
      <c r="A200" s="186">
        <v>32</v>
      </c>
      <c r="B200" s="40" t="s">
        <v>356</v>
      </c>
      <c r="C200" s="346" t="s">
        <v>360</v>
      </c>
      <c r="D200" s="141">
        <v>1410</v>
      </c>
      <c r="E200" s="43" t="s">
        <v>45</v>
      </c>
      <c r="F200" s="44">
        <v>0</v>
      </c>
      <c r="G200" s="45">
        <v>0</v>
      </c>
      <c r="H200" s="45"/>
      <c r="I200" s="47">
        <v>0</v>
      </c>
      <c r="J200" s="113">
        <v>46057</v>
      </c>
      <c r="K200" s="114" t="s">
        <v>1029</v>
      </c>
      <c r="L200" s="347">
        <v>1410</v>
      </c>
      <c r="M200" s="94" t="s">
        <v>45</v>
      </c>
      <c r="N200" s="116">
        <v>0</v>
      </c>
      <c r="O200" s="233">
        <f t="shared" si="46"/>
        <v>0</v>
      </c>
      <c r="P200" s="233"/>
      <c r="Q200" s="47">
        <f t="shared" si="47"/>
        <v>0</v>
      </c>
      <c r="R200" s="39"/>
      <c r="S200" s="55"/>
      <c r="T200" s="55"/>
      <c r="U200" s="56"/>
      <c r="V200" s="349"/>
    </row>
    <row r="201" spans="1:25" ht="27.75" customHeight="1">
      <c r="A201" s="186">
        <v>33</v>
      </c>
      <c r="B201" s="40" t="s">
        <v>356</v>
      </c>
      <c r="C201" s="346" t="s">
        <v>361</v>
      </c>
      <c r="D201" s="141">
        <v>1410</v>
      </c>
      <c r="E201" s="43" t="s">
        <v>45</v>
      </c>
      <c r="F201" s="44">
        <v>0</v>
      </c>
      <c r="G201" s="45">
        <v>0</v>
      </c>
      <c r="H201" s="45"/>
      <c r="I201" s="47">
        <v>0</v>
      </c>
      <c r="J201" s="113">
        <v>46057</v>
      </c>
      <c r="K201" s="114" t="s">
        <v>1029</v>
      </c>
      <c r="L201" s="347">
        <v>1410</v>
      </c>
      <c r="M201" s="94" t="s">
        <v>45</v>
      </c>
      <c r="N201" s="116">
        <v>0</v>
      </c>
      <c r="O201" s="233">
        <f t="shared" si="46"/>
        <v>0</v>
      </c>
      <c r="P201" s="233"/>
      <c r="Q201" s="47">
        <f t="shared" si="47"/>
        <v>0</v>
      </c>
      <c r="R201" s="39"/>
      <c r="S201" s="55"/>
      <c r="T201" s="55"/>
      <c r="U201" s="56"/>
      <c r="V201" s="349"/>
      <c r="Y201" s="4" t="s">
        <v>56</v>
      </c>
    </row>
    <row r="202" spans="1:25" ht="27.75" customHeight="1">
      <c r="A202" s="186">
        <v>34</v>
      </c>
      <c r="B202" s="40" t="s">
        <v>362</v>
      </c>
      <c r="C202" s="346" t="s">
        <v>363</v>
      </c>
      <c r="D202" s="141">
        <v>1410</v>
      </c>
      <c r="E202" s="43" t="s">
        <v>45</v>
      </c>
      <c r="F202" s="44">
        <v>0</v>
      </c>
      <c r="G202" s="45">
        <v>0</v>
      </c>
      <c r="H202" s="45"/>
      <c r="I202" s="47">
        <v>0</v>
      </c>
      <c r="J202" s="113">
        <v>46054</v>
      </c>
      <c r="K202" s="114" t="s">
        <v>1030</v>
      </c>
      <c r="L202" s="347">
        <v>1410</v>
      </c>
      <c r="M202" s="94" t="s">
        <v>45</v>
      </c>
      <c r="N202" s="116">
        <v>0</v>
      </c>
      <c r="O202" s="233">
        <f t="shared" si="46"/>
        <v>0</v>
      </c>
      <c r="P202" s="233"/>
      <c r="Q202" s="47">
        <f t="shared" si="47"/>
        <v>0</v>
      </c>
      <c r="R202" s="348" t="s">
        <v>195</v>
      </c>
      <c r="S202" s="299" t="s">
        <v>307</v>
      </c>
      <c r="T202" s="299" t="s">
        <v>308</v>
      </c>
      <c r="U202" s="56">
        <v>21960</v>
      </c>
      <c r="V202" s="349" t="s">
        <v>365</v>
      </c>
      <c r="W202" s="295" t="s">
        <v>289</v>
      </c>
      <c r="X202" s="40" t="s">
        <v>366</v>
      </c>
    </row>
    <row r="203" spans="1:25" ht="27.75" customHeight="1">
      <c r="A203" s="186">
        <v>35</v>
      </c>
      <c r="B203" s="40" t="s">
        <v>362</v>
      </c>
      <c r="C203" s="346" t="s">
        <v>367</v>
      </c>
      <c r="D203" s="141">
        <v>1410</v>
      </c>
      <c r="E203" s="43" t="s">
        <v>45</v>
      </c>
      <c r="F203" s="44">
        <v>0</v>
      </c>
      <c r="G203" s="45">
        <v>0</v>
      </c>
      <c r="H203" s="45"/>
      <c r="I203" s="47">
        <v>0</v>
      </c>
      <c r="J203" s="113">
        <v>46054</v>
      </c>
      <c r="K203" s="114" t="s">
        <v>1030</v>
      </c>
      <c r="L203" s="347">
        <v>1410</v>
      </c>
      <c r="M203" s="94" t="s">
        <v>45</v>
      </c>
      <c r="N203" s="116">
        <v>0</v>
      </c>
      <c r="O203" s="233">
        <f t="shared" si="46"/>
        <v>0</v>
      </c>
      <c r="P203" s="233"/>
      <c r="Q203" s="47">
        <f t="shared" si="47"/>
        <v>0</v>
      </c>
      <c r="R203" s="348"/>
      <c r="S203" s="299"/>
      <c r="T203" s="299"/>
      <c r="U203" s="56"/>
      <c r="V203" s="349"/>
      <c r="W203" s="295"/>
      <c r="X203" s="350"/>
    </row>
    <row r="204" spans="1:25" ht="27.75" customHeight="1">
      <c r="A204" s="186">
        <v>36</v>
      </c>
      <c r="B204" s="40" t="s">
        <v>362</v>
      </c>
      <c r="C204" s="346" t="s">
        <v>368</v>
      </c>
      <c r="D204" s="141">
        <v>1410</v>
      </c>
      <c r="E204" s="43" t="s">
        <v>45</v>
      </c>
      <c r="F204" s="44">
        <v>0</v>
      </c>
      <c r="G204" s="45">
        <v>0</v>
      </c>
      <c r="H204" s="45"/>
      <c r="I204" s="47">
        <v>0</v>
      </c>
      <c r="J204" s="113">
        <v>46054</v>
      </c>
      <c r="K204" s="114" t="s">
        <v>1030</v>
      </c>
      <c r="L204" s="347">
        <v>1410</v>
      </c>
      <c r="M204" s="94" t="s">
        <v>45</v>
      </c>
      <c r="N204" s="116">
        <v>0</v>
      </c>
      <c r="O204" s="233">
        <f t="shared" si="46"/>
        <v>0</v>
      </c>
      <c r="P204" s="233"/>
      <c r="Q204" s="47">
        <f t="shared" si="47"/>
        <v>0</v>
      </c>
      <c r="R204" s="348"/>
      <c r="S204" s="299"/>
      <c r="T204" s="299"/>
      <c r="U204" s="56"/>
      <c r="V204" s="349"/>
      <c r="W204" s="295"/>
      <c r="X204" s="350"/>
    </row>
    <row r="205" spans="1:25" ht="27.75" customHeight="1">
      <c r="A205" s="186">
        <v>37</v>
      </c>
      <c r="B205" s="40" t="s">
        <v>362</v>
      </c>
      <c r="C205" s="346" t="s">
        <v>369</v>
      </c>
      <c r="D205" s="141">
        <v>1410</v>
      </c>
      <c r="E205" s="43" t="s">
        <v>45</v>
      </c>
      <c r="F205" s="44">
        <v>0</v>
      </c>
      <c r="G205" s="45">
        <v>0</v>
      </c>
      <c r="H205" s="45"/>
      <c r="I205" s="47">
        <v>0</v>
      </c>
      <c r="J205" s="113">
        <v>46054</v>
      </c>
      <c r="K205" s="114" t="s">
        <v>1030</v>
      </c>
      <c r="L205" s="347">
        <v>1410</v>
      </c>
      <c r="M205" s="94" t="s">
        <v>45</v>
      </c>
      <c r="N205" s="116">
        <v>0</v>
      </c>
      <c r="O205" s="233">
        <f t="shared" si="46"/>
        <v>0</v>
      </c>
      <c r="P205" s="233"/>
      <c r="Q205" s="47">
        <f t="shared" si="47"/>
        <v>0</v>
      </c>
      <c r="R205" s="348"/>
      <c r="S205" s="299"/>
      <c r="T205" s="299"/>
      <c r="U205" s="56"/>
      <c r="V205" s="349"/>
      <c r="W205" s="295"/>
      <c r="X205" s="350"/>
    </row>
    <row r="206" spans="1:25" ht="27.75" customHeight="1">
      <c r="A206" s="186">
        <v>38</v>
      </c>
      <c r="B206" s="40" t="s">
        <v>362</v>
      </c>
      <c r="C206" s="346" t="s">
        <v>370</v>
      </c>
      <c r="D206" s="141">
        <v>1410</v>
      </c>
      <c r="E206" s="43" t="s">
        <v>45</v>
      </c>
      <c r="F206" s="44">
        <v>0</v>
      </c>
      <c r="G206" s="45">
        <v>0</v>
      </c>
      <c r="H206" s="45"/>
      <c r="I206" s="47">
        <v>0</v>
      </c>
      <c r="J206" s="113">
        <v>46054</v>
      </c>
      <c r="K206" s="114" t="s">
        <v>1030</v>
      </c>
      <c r="L206" s="347">
        <v>1410</v>
      </c>
      <c r="M206" s="94" t="s">
        <v>45</v>
      </c>
      <c r="N206" s="116">
        <v>0</v>
      </c>
      <c r="O206" s="233">
        <f t="shared" si="46"/>
        <v>0</v>
      </c>
      <c r="P206" s="233"/>
      <c r="Q206" s="47">
        <f t="shared" si="47"/>
        <v>0</v>
      </c>
      <c r="R206" s="348"/>
      <c r="S206" s="299"/>
      <c r="T206" s="299"/>
      <c r="U206" s="56"/>
      <c r="V206" s="349"/>
      <c r="W206" s="295"/>
      <c r="X206" s="350"/>
    </row>
    <row r="207" spans="1:25" ht="27.75" customHeight="1">
      <c r="A207" s="186">
        <v>39</v>
      </c>
      <c r="B207" s="40" t="s">
        <v>362</v>
      </c>
      <c r="C207" s="346" t="s">
        <v>371</v>
      </c>
      <c r="D207" s="141">
        <v>1410</v>
      </c>
      <c r="E207" s="43" t="s">
        <v>45</v>
      </c>
      <c r="F207" s="44">
        <v>0</v>
      </c>
      <c r="G207" s="45">
        <v>0</v>
      </c>
      <c r="H207" s="45"/>
      <c r="I207" s="47">
        <v>0</v>
      </c>
      <c r="J207" s="113">
        <v>46054</v>
      </c>
      <c r="K207" s="114" t="s">
        <v>1030</v>
      </c>
      <c r="L207" s="347">
        <v>1410</v>
      </c>
      <c r="M207" s="94" t="s">
        <v>45</v>
      </c>
      <c r="N207" s="116">
        <v>0</v>
      </c>
      <c r="O207" s="233">
        <f t="shared" si="46"/>
        <v>0</v>
      </c>
      <c r="P207" s="233"/>
      <c r="Q207" s="47">
        <f t="shared" si="47"/>
        <v>0</v>
      </c>
      <c r="R207" s="348"/>
      <c r="S207" s="299"/>
      <c r="T207" s="299"/>
      <c r="U207" s="56"/>
      <c r="V207" s="349"/>
      <c r="W207" s="295"/>
      <c r="X207" s="350"/>
    </row>
    <row r="208" spans="1:25" ht="27.75" customHeight="1">
      <c r="A208" s="186">
        <v>40</v>
      </c>
      <c r="B208" s="40" t="s">
        <v>372</v>
      </c>
      <c r="C208" s="346" t="s">
        <v>373</v>
      </c>
      <c r="D208" s="141">
        <v>1410</v>
      </c>
      <c r="E208" s="43" t="s">
        <v>45</v>
      </c>
      <c r="F208" s="44">
        <v>0</v>
      </c>
      <c r="G208" s="45">
        <v>0</v>
      </c>
      <c r="H208" s="45"/>
      <c r="I208" s="47">
        <v>0</v>
      </c>
      <c r="J208" s="113">
        <v>46055</v>
      </c>
      <c r="K208" s="114" t="s">
        <v>1031</v>
      </c>
      <c r="L208" s="347">
        <v>1410</v>
      </c>
      <c r="M208" s="94" t="s">
        <v>45</v>
      </c>
      <c r="N208" s="116">
        <v>0</v>
      </c>
      <c r="O208" s="233">
        <f t="shared" si="46"/>
        <v>0</v>
      </c>
      <c r="P208" s="233"/>
      <c r="Q208" s="47">
        <f t="shared" si="47"/>
        <v>0</v>
      </c>
      <c r="R208" s="348" t="s">
        <v>195</v>
      </c>
      <c r="S208" s="299" t="s">
        <v>307</v>
      </c>
      <c r="T208" s="299" t="s">
        <v>308</v>
      </c>
      <c r="U208" s="56">
        <v>14640</v>
      </c>
      <c r="V208" s="349" t="s">
        <v>375</v>
      </c>
      <c r="W208" s="295" t="s">
        <v>289</v>
      </c>
      <c r="X208" s="4" t="s">
        <v>376</v>
      </c>
    </row>
    <row r="209" spans="1:24" ht="27.75" customHeight="1">
      <c r="A209" s="186">
        <v>41</v>
      </c>
      <c r="B209" s="40" t="s">
        <v>372</v>
      </c>
      <c r="C209" s="346" t="s">
        <v>377</v>
      </c>
      <c r="D209" s="141">
        <v>1410</v>
      </c>
      <c r="E209" s="43" t="s">
        <v>45</v>
      </c>
      <c r="F209" s="44">
        <v>0</v>
      </c>
      <c r="G209" s="45">
        <v>0</v>
      </c>
      <c r="H209" s="45"/>
      <c r="I209" s="47">
        <v>0</v>
      </c>
      <c r="J209" s="113">
        <v>46055</v>
      </c>
      <c r="K209" s="114" t="s">
        <v>1031</v>
      </c>
      <c r="L209" s="347">
        <v>1410</v>
      </c>
      <c r="M209" s="94" t="s">
        <v>45</v>
      </c>
      <c r="N209" s="116">
        <v>0</v>
      </c>
      <c r="O209" s="233">
        <f t="shared" si="46"/>
        <v>0</v>
      </c>
      <c r="P209" s="233"/>
      <c r="Q209" s="47">
        <f t="shared" si="47"/>
        <v>0</v>
      </c>
      <c r="R209" s="348"/>
      <c r="S209" s="299"/>
      <c r="T209" s="299"/>
      <c r="U209" s="56"/>
      <c r="V209" s="349"/>
      <c r="W209" s="295"/>
    </row>
    <row r="210" spans="1:24" ht="27.75" customHeight="1">
      <c r="A210" s="186">
        <v>42</v>
      </c>
      <c r="B210" s="40" t="s">
        <v>372</v>
      </c>
      <c r="C210" s="346" t="s">
        <v>378</v>
      </c>
      <c r="D210" s="141">
        <v>1410</v>
      </c>
      <c r="E210" s="43" t="s">
        <v>45</v>
      </c>
      <c r="F210" s="44">
        <v>0</v>
      </c>
      <c r="G210" s="45">
        <v>0</v>
      </c>
      <c r="H210" s="45"/>
      <c r="I210" s="47">
        <v>0</v>
      </c>
      <c r="J210" s="113">
        <v>46055</v>
      </c>
      <c r="K210" s="114" t="s">
        <v>1031</v>
      </c>
      <c r="L210" s="347">
        <v>1410</v>
      </c>
      <c r="M210" s="94" t="s">
        <v>45</v>
      </c>
      <c r="N210" s="116">
        <v>0</v>
      </c>
      <c r="O210" s="233">
        <f t="shared" si="46"/>
        <v>0</v>
      </c>
      <c r="P210" s="233"/>
      <c r="Q210" s="47">
        <f t="shared" si="47"/>
        <v>0</v>
      </c>
      <c r="R210" s="348"/>
      <c r="S210" s="299"/>
      <c r="T210" s="299"/>
      <c r="U210" s="56"/>
      <c r="V210" s="349"/>
      <c r="W210" s="295"/>
    </row>
    <row r="211" spans="1:24" ht="27.75" customHeight="1">
      <c r="A211" s="186">
        <v>43</v>
      </c>
      <c r="B211" s="40" t="s">
        <v>372</v>
      </c>
      <c r="C211" s="346" t="s">
        <v>379</v>
      </c>
      <c r="D211" s="141">
        <v>1410</v>
      </c>
      <c r="E211" s="43" t="s">
        <v>45</v>
      </c>
      <c r="F211" s="44">
        <v>0</v>
      </c>
      <c r="G211" s="45">
        <v>0</v>
      </c>
      <c r="H211" s="45"/>
      <c r="I211" s="47">
        <v>0</v>
      </c>
      <c r="J211" s="113">
        <v>46055</v>
      </c>
      <c r="K211" s="114" t="s">
        <v>1031</v>
      </c>
      <c r="L211" s="347">
        <v>1410</v>
      </c>
      <c r="M211" s="94" t="s">
        <v>45</v>
      </c>
      <c r="N211" s="116">
        <v>0</v>
      </c>
      <c r="O211" s="233">
        <f t="shared" si="46"/>
        <v>0</v>
      </c>
      <c r="P211" s="233"/>
      <c r="Q211" s="47">
        <f t="shared" si="47"/>
        <v>0</v>
      </c>
      <c r="R211" s="348"/>
      <c r="S211" s="299"/>
      <c r="T211" s="299"/>
      <c r="U211" s="56"/>
      <c r="V211" s="349"/>
      <c r="W211" s="295"/>
    </row>
    <row r="212" spans="1:24" ht="27.75" customHeight="1">
      <c r="A212" s="186">
        <v>44</v>
      </c>
      <c r="B212" s="40" t="s">
        <v>380</v>
      </c>
      <c r="C212" s="346" t="s">
        <v>381</v>
      </c>
      <c r="D212" s="141">
        <v>1410</v>
      </c>
      <c r="E212" s="43" t="s">
        <v>45</v>
      </c>
      <c r="F212" s="44">
        <v>0</v>
      </c>
      <c r="G212" s="45">
        <v>0</v>
      </c>
      <c r="H212" s="45"/>
      <c r="I212" s="47">
        <v>0</v>
      </c>
      <c r="J212" s="175">
        <v>46058</v>
      </c>
      <c r="K212" s="176" t="s">
        <v>1032</v>
      </c>
      <c r="L212" s="222">
        <v>1410</v>
      </c>
      <c r="M212" s="94" t="s">
        <v>45</v>
      </c>
      <c r="N212" s="116">
        <v>0</v>
      </c>
      <c r="O212" s="233">
        <f t="shared" si="46"/>
        <v>0</v>
      </c>
      <c r="P212" s="233"/>
      <c r="Q212" s="47">
        <f t="shared" si="47"/>
        <v>0</v>
      </c>
      <c r="R212" s="348" t="s">
        <v>195</v>
      </c>
      <c r="S212" s="299" t="s">
        <v>307</v>
      </c>
      <c r="T212" s="299" t="s">
        <v>308</v>
      </c>
      <c r="U212" s="56">
        <v>14640</v>
      </c>
      <c r="V212" s="349" t="s">
        <v>383</v>
      </c>
      <c r="W212" s="295" t="s">
        <v>289</v>
      </c>
      <c r="X212" s="4" t="s">
        <v>384</v>
      </c>
    </row>
    <row r="213" spans="1:24" ht="27.75" customHeight="1">
      <c r="A213" s="186">
        <v>45</v>
      </c>
      <c r="B213" s="40" t="s">
        <v>380</v>
      </c>
      <c r="C213" s="346" t="s">
        <v>385</v>
      </c>
      <c r="D213" s="141">
        <v>1410</v>
      </c>
      <c r="E213" s="43" t="s">
        <v>45</v>
      </c>
      <c r="F213" s="44">
        <v>0</v>
      </c>
      <c r="G213" s="45">
        <v>0</v>
      </c>
      <c r="H213" s="45"/>
      <c r="I213" s="47">
        <v>0</v>
      </c>
      <c r="J213" s="175">
        <v>46058</v>
      </c>
      <c r="K213" s="176" t="s">
        <v>1032</v>
      </c>
      <c r="L213" s="222">
        <v>1410</v>
      </c>
      <c r="M213" s="94" t="s">
        <v>45</v>
      </c>
      <c r="N213" s="116">
        <v>0</v>
      </c>
      <c r="O213" s="233">
        <f t="shared" si="46"/>
        <v>0</v>
      </c>
      <c r="P213" s="233"/>
      <c r="Q213" s="47">
        <f t="shared" si="47"/>
        <v>0</v>
      </c>
      <c r="R213" s="348"/>
      <c r="S213" s="299"/>
      <c r="T213" s="299"/>
      <c r="U213" s="56"/>
      <c r="V213" s="349"/>
      <c r="W213" s="295"/>
    </row>
    <row r="214" spans="1:24" ht="27.75" customHeight="1">
      <c r="A214" s="186">
        <v>46</v>
      </c>
      <c r="B214" s="40" t="s">
        <v>380</v>
      </c>
      <c r="C214" s="346" t="s">
        <v>386</v>
      </c>
      <c r="D214" s="141">
        <v>1410</v>
      </c>
      <c r="E214" s="43" t="s">
        <v>45</v>
      </c>
      <c r="F214" s="44">
        <v>0</v>
      </c>
      <c r="G214" s="45">
        <v>0</v>
      </c>
      <c r="H214" s="45"/>
      <c r="I214" s="47">
        <v>0</v>
      </c>
      <c r="J214" s="175">
        <v>46058</v>
      </c>
      <c r="K214" s="176" t="s">
        <v>1032</v>
      </c>
      <c r="L214" s="222">
        <v>1410</v>
      </c>
      <c r="M214" s="94" t="s">
        <v>45</v>
      </c>
      <c r="N214" s="116">
        <v>0</v>
      </c>
      <c r="O214" s="233">
        <f t="shared" si="46"/>
        <v>0</v>
      </c>
      <c r="P214" s="233"/>
      <c r="Q214" s="47">
        <f t="shared" si="47"/>
        <v>0</v>
      </c>
      <c r="R214" s="348"/>
      <c r="S214" s="299"/>
      <c r="T214" s="299"/>
      <c r="U214" s="56"/>
      <c r="V214" s="349"/>
      <c r="W214" s="295"/>
    </row>
    <row r="215" spans="1:24" ht="27.75" customHeight="1">
      <c r="A215" s="186">
        <v>47</v>
      </c>
      <c r="B215" s="40" t="s">
        <v>380</v>
      </c>
      <c r="C215" s="346" t="s">
        <v>387</v>
      </c>
      <c r="D215" s="141">
        <v>1410</v>
      </c>
      <c r="E215" s="43" t="s">
        <v>45</v>
      </c>
      <c r="F215" s="44">
        <v>0</v>
      </c>
      <c r="G215" s="45">
        <v>0</v>
      </c>
      <c r="H215" s="45"/>
      <c r="I215" s="47">
        <v>0</v>
      </c>
      <c r="J215" s="175">
        <v>46058</v>
      </c>
      <c r="K215" s="176" t="s">
        <v>1032</v>
      </c>
      <c r="L215" s="222">
        <v>1410</v>
      </c>
      <c r="M215" s="94" t="s">
        <v>45</v>
      </c>
      <c r="N215" s="116">
        <v>0</v>
      </c>
      <c r="O215" s="233">
        <f t="shared" si="46"/>
        <v>0</v>
      </c>
      <c r="P215" s="233"/>
      <c r="Q215" s="47">
        <f t="shared" si="47"/>
        <v>0</v>
      </c>
      <c r="R215" s="348"/>
      <c r="S215" s="299"/>
      <c r="T215" s="299"/>
      <c r="U215" s="56"/>
      <c r="V215" s="349"/>
      <c r="W215" s="295"/>
    </row>
    <row r="216" spans="1:24" ht="27.75" customHeight="1">
      <c r="A216" s="186">
        <v>48</v>
      </c>
      <c r="B216" s="351" t="s">
        <v>66</v>
      </c>
      <c r="C216" s="346" t="s">
        <v>388</v>
      </c>
      <c r="D216" s="141">
        <v>1760</v>
      </c>
      <c r="E216" s="43" t="s">
        <v>45</v>
      </c>
      <c r="F216" s="44">
        <v>0</v>
      </c>
      <c r="G216" s="45">
        <v>0</v>
      </c>
      <c r="H216" s="45"/>
      <c r="I216" s="47">
        <v>0</v>
      </c>
      <c r="J216" s="175"/>
      <c r="K216" s="176"/>
      <c r="L216" s="222">
        <v>0</v>
      </c>
      <c r="M216" s="94" t="s">
        <v>823</v>
      </c>
      <c r="N216" s="116">
        <v>1</v>
      </c>
      <c r="O216" s="233">
        <f t="shared" si="46"/>
        <v>1760</v>
      </c>
      <c r="P216" s="233"/>
      <c r="Q216" s="47">
        <f t="shared" si="47"/>
        <v>1760</v>
      </c>
      <c r="R216" s="39" t="s">
        <v>195</v>
      </c>
      <c r="S216" s="55">
        <v>43313</v>
      </c>
      <c r="T216" s="55">
        <v>44408</v>
      </c>
      <c r="U216" s="56">
        <v>11925</v>
      </c>
      <c r="V216" s="349"/>
    </row>
    <row r="217" spans="1:24" ht="27.75" customHeight="1">
      <c r="A217" s="186">
        <v>49</v>
      </c>
      <c r="B217" s="351" t="s">
        <v>66</v>
      </c>
      <c r="C217" s="346" t="s">
        <v>390</v>
      </c>
      <c r="D217" s="141">
        <v>1760</v>
      </c>
      <c r="E217" s="43" t="s">
        <v>45</v>
      </c>
      <c r="F217" s="44">
        <v>0</v>
      </c>
      <c r="G217" s="45">
        <v>0</v>
      </c>
      <c r="H217" s="45"/>
      <c r="I217" s="47">
        <v>0</v>
      </c>
      <c r="J217" s="175"/>
      <c r="K217" s="176"/>
      <c r="L217" s="222">
        <v>0</v>
      </c>
      <c r="M217" s="94" t="s">
        <v>823</v>
      </c>
      <c r="N217" s="116">
        <v>1</v>
      </c>
      <c r="O217" s="233">
        <f t="shared" si="46"/>
        <v>1760</v>
      </c>
      <c r="P217" s="233"/>
      <c r="Q217" s="47">
        <f t="shared" si="47"/>
        <v>1760</v>
      </c>
      <c r="R217" s="39"/>
      <c r="S217" s="55"/>
      <c r="T217" s="55"/>
      <c r="U217" s="56"/>
      <c r="V217" s="349"/>
    </row>
    <row r="218" spans="1:24" ht="27.75" customHeight="1">
      <c r="A218" s="186">
        <v>50</v>
      </c>
      <c r="B218" s="351" t="s">
        <v>66</v>
      </c>
      <c r="C218" s="346" t="s">
        <v>391</v>
      </c>
      <c r="D218" s="141">
        <v>1760</v>
      </c>
      <c r="E218" s="43" t="s">
        <v>45</v>
      </c>
      <c r="F218" s="44">
        <v>0</v>
      </c>
      <c r="G218" s="45">
        <v>0</v>
      </c>
      <c r="H218" s="45"/>
      <c r="I218" s="47">
        <v>0</v>
      </c>
      <c r="J218" s="175"/>
      <c r="K218" s="176"/>
      <c r="L218" s="222">
        <v>0</v>
      </c>
      <c r="M218" s="94" t="s">
        <v>823</v>
      </c>
      <c r="N218" s="116">
        <v>1</v>
      </c>
      <c r="O218" s="233">
        <f t="shared" si="46"/>
        <v>1760</v>
      </c>
      <c r="P218" s="233"/>
      <c r="Q218" s="47">
        <f t="shared" si="47"/>
        <v>1760</v>
      </c>
      <c r="R218" s="39"/>
      <c r="S218" s="55"/>
      <c r="T218" s="55"/>
      <c r="U218" s="56"/>
      <c r="V218" s="349"/>
    </row>
    <row r="219" spans="1:24" ht="27.75" customHeight="1">
      <c r="A219" s="186">
        <v>51</v>
      </c>
      <c r="B219" s="351" t="s">
        <v>66</v>
      </c>
      <c r="C219" s="346" t="s">
        <v>69</v>
      </c>
      <c r="D219" s="141">
        <v>2720</v>
      </c>
      <c r="E219" s="43" t="s">
        <v>45</v>
      </c>
      <c r="F219" s="44">
        <v>0</v>
      </c>
      <c r="G219" s="45">
        <v>0</v>
      </c>
      <c r="H219" s="45"/>
      <c r="I219" s="47">
        <v>0</v>
      </c>
      <c r="J219" s="175"/>
      <c r="K219" s="176"/>
      <c r="L219" s="222">
        <v>0</v>
      </c>
      <c r="M219" s="94" t="s">
        <v>823</v>
      </c>
      <c r="N219" s="116">
        <v>1</v>
      </c>
      <c r="O219" s="233">
        <f t="shared" si="46"/>
        <v>2720</v>
      </c>
      <c r="P219" s="233"/>
      <c r="Q219" s="47">
        <f t="shared" si="47"/>
        <v>2720</v>
      </c>
      <c r="R219" s="39" t="s">
        <v>195</v>
      </c>
      <c r="S219" s="55">
        <v>43313</v>
      </c>
      <c r="T219" s="55">
        <v>44408</v>
      </c>
      <c r="U219" s="56">
        <v>9000</v>
      </c>
      <c r="V219" s="349"/>
    </row>
    <row r="220" spans="1:24" ht="27.75" customHeight="1">
      <c r="A220" s="94"/>
      <c r="B220" s="352" t="s">
        <v>393</v>
      </c>
      <c r="C220" s="353"/>
      <c r="D220" s="296"/>
      <c r="E220" s="64"/>
      <c r="F220" s="44"/>
      <c r="G220" s="45"/>
      <c r="H220" s="45"/>
      <c r="I220" s="354"/>
      <c r="J220" s="183"/>
      <c r="K220" s="355"/>
      <c r="L220" s="231"/>
      <c r="M220" s="186"/>
      <c r="N220" s="116"/>
      <c r="O220" s="233"/>
      <c r="P220" s="233"/>
      <c r="Q220" s="17"/>
      <c r="R220" s="356"/>
      <c r="S220" s="55"/>
      <c r="T220" s="55"/>
      <c r="U220" s="56"/>
      <c r="V220" s="349"/>
    </row>
    <row r="221" spans="1:24" ht="27.75" customHeight="1">
      <c r="A221" s="94"/>
      <c r="B221" s="352" t="s">
        <v>394</v>
      </c>
      <c r="C221" s="353"/>
      <c r="D221" s="296"/>
      <c r="E221" s="64"/>
      <c r="F221" s="44"/>
      <c r="G221" s="45"/>
      <c r="H221" s="45"/>
      <c r="I221" s="354"/>
      <c r="J221" s="175"/>
      <c r="K221" s="355"/>
      <c r="L221" s="222"/>
      <c r="M221" s="186"/>
      <c r="N221" s="116"/>
      <c r="O221" s="233"/>
      <c r="P221" s="233"/>
      <c r="Q221" s="17"/>
      <c r="R221" s="356"/>
      <c r="S221" s="55"/>
      <c r="T221" s="55"/>
      <c r="U221" s="56"/>
      <c r="V221" s="349"/>
    </row>
    <row r="222" spans="1:24" ht="27.75" customHeight="1" thickBot="1">
      <c r="A222" s="357"/>
      <c r="B222" s="358"/>
      <c r="C222" s="359"/>
      <c r="D222" s="360">
        <f>SUM(D169:D221)</f>
        <v>73700</v>
      </c>
      <c r="E222" s="100"/>
      <c r="F222" s="101"/>
      <c r="G222" s="102">
        <v>0</v>
      </c>
      <c r="H222" s="102">
        <v>0</v>
      </c>
      <c r="I222" s="102">
        <v>0</v>
      </c>
      <c r="J222" s="361"/>
      <c r="K222" s="361"/>
      <c r="L222" s="362">
        <f>SUM(L169:L221)</f>
        <v>62880</v>
      </c>
      <c r="M222" s="106"/>
      <c r="N222" s="107"/>
      <c r="O222" s="363">
        <f>SUM(O169:O221)-O170-O171-O175-O176-O177-O178-O179-O184-O185-O186</f>
        <v>8000</v>
      </c>
      <c r="P222" s="363">
        <f t="shared" ref="P222:Q222" si="48">SUM(P169:P221)-P170-P171-P175-P176-P177-P178-P179-P184-P185-P186-P199-P200</f>
        <v>0</v>
      </c>
      <c r="Q222" s="363">
        <f t="shared" si="48"/>
        <v>8000</v>
      </c>
      <c r="R222" s="356"/>
      <c r="S222" s="55"/>
      <c r="T222" s="55"/>
      <c r="U222" s="56"/>
      <c r="V222" s="349"/>
    </row>
    <row r="223" spans="1:24" ht="27.75" customHeight="1" thickTop="1">
      <c r="A223" s="94"/>
      <c r="B223" s="364" t="s">
        <v>395</v>
      </c>
      <c r="C223" s="81"/>
      <c r="D223" s="192"/>
      <c r="E223" s="365"/>
      <c r="F223" s="126"/>
      <c r="G223" s="65"/>
      <c r="H223" s="65"/>
      <c r="I223" s="85"/>
      <c r="J223" s="178"/>
      <c r="K223" s="179"/>
      <c r="L223" s="264"/>
      <c r="M223" s="83"/>
      <c r="N223" s="251"/>
      <c r="O223" s="337"/>
      <c r="P223" s="337"/>
      <c r="Q223" s="85"/>
      <c r="R223" s="39"/>
      <c r="S223" s="55"/>
      <c r="T223" s="55"/>
      <c r="U223" s="56"/>
      <c r="V223" s="56"/>
    </row>
    <row r="224" spans="1:24" ht="27.75" customHeight="1">
      <c r="A224" s="94">
        <v>1</v>
      </c>
      <c r="B224" s="366" t="s">
        <v>167</v>
      </c>
      <c r="C224" s="367" t="s">
        <v>396</v>
      </c>
      <c r="D224" s="141">
        <v>22690</v>
      </c>
      <c r="E224" s="43" t="s">
        <v>45</v>
      </c>
      <c r="F224" s="44">
        <v>0</v>
      </c>
      <c r="G224" s="45">
        <v>0</v>
      </c>
      <c r="H224" s="45"/>
      <c r="I224" s="47">
        <v>0</v>
      </c>
      <c r="J224" s="175">
        <v>46058</v>
      </c>
      <c r="K224" s="176" t="s">
        <v>1033</v>
      </c>
      <c r="L224" s="222">
        <v>22690</v>
      </c>
      <c r="M224" s="94" t="s">
        <v>45</v>
      </c>
      <c r="N224" s="116">
        <v>0</v>
      </c>
      <c r="O224" s="233">
        <f t="shared" ref="O224" si="49">+I224+D224-L224</f>
        <v>0</v>
      </c>
      <c r="P224" s="233"/>
      <c r="Q224" s="368">
        <f t="shared" ref="Q224" si="50">+O224+P224</f>
        <v>0</v>
      </c>
      <c r="R224" s="348" t="s">
        <v>195</v>
      </c>
      <c r="S224" s="299">
        <v>44166</v>
      </c>
      <c r="T224" s="299">
        <v>45260</v>
      </c>
      <c r="U224" s="149">
        <v>51450</v>
      </c>
      <c r="V224" s="369" t="s">
        <v>398</v>
      </c>
      <c r="W224" s="4" t="s">
        <v>399</v>
      </c>
      <c r="X224" s="4" t="s">
        <v>400</v>
      </c>
    </row>
    <row r="225" spans="1:24" ht="27.75" customHeight="1">
      <c r="A225" s="94"/>
      <c r="B225" s="366" t="s">
        <v>401</v>
      </c>
      <c r="C225" s="367" t="s">
        <v>402</v>
      </c>
      <c r="D225" s="141"/>
      <c r="E225" s="43"/>
      <c r="F225" s="44"/>
      <c r="G225" s="45"/>
      <c r="H225" s="45"/>
      <c r="I225" s="47"/>
      <c r="J225" s="175"/>
      <c r="K225" s="176"/>
      <c r="L225" s="222"/>
      <c r="M225" s="94"/>
      <c r="N225" s="116"/>
      <c r="O225" s="233"/>
      <c r="P225" s="233"/>
      <c r="Q225" s="368"/>
      <c r="R225" s="348"/>
      <c r="S225" s="299"/>
      <c r="T225" s="299"/>
      <c r="U225" s="149"/>
      <c r="V225" s="369"/>
    </row>
    <row r="226" spans="1:24" ht="27.75" customHeight="1">
      <c r="A226" s="94">
        <v>2</v>
      </c>
      <c r="B226" s="366" t="s">
        <v>24</v>
      </c>
      <c r="C226" s="367" t="s">
        <v>403</v>
      </c>
      <c r="D226" s="141">
        <v>15295</v>
      </c>
      <c r="E226" s="43" t="s">
        <v>45</v>
      </c>
      <c r="F226" s="44">
        <v>0</v>
      </c>
      <c r="G226" s="45">
        <v>0</v>
      </c>
      <c r="H226" s="45"/>
      <c r="I226" s="47">
        <v>0</v>
      </c>
      <c r="J226" s="175">
        <v>46057</v>
      </c>
      <c r="K226" s="176" t="s">
        <v>1034</v>
      </c>
      <c r="L226" s="222">
        <v>15295</v>
      </c>
      <c r="M226" s="94" t="s">
        <v>45</v>
      </c>
      <c r="N226" s="116">
        <v>0</v>
      </c>
      <c r="O226" s="233">
        <f t="shared" ref="O226" si="51">+I226+D226-L226</f>
        <v>0</v>
      </c>
      <c r="P226" s="233"/>
      <c r="Q226" s="368">
        <f t="shared" ref="Q226" si="52">+O226+P226</f>
        <v>0</v>
      </c>
      <c r="R226" s="348" t="s">
        <v>405</v>
      </c>
      <c r="S226" s="299">
        <v>44562</v>
      </c>
      <c r="T226" s="299" t="s">
        <v>406</v>
      </c>
      <c r="U226" s="149">
        <v>34680</v>
      </c>
      <c r="V226" s="370" t="s">
        <v>407</v>
      </c>
      <c r="W226" s="295" t="s">
        <v>289</v>
      </c>
      <c r="X226" s="4" t="s">
        <v>408</v>
      </c>
    </row>
    <row r="227" spans="1:24" ht="27.75" customHeight="1">
      <c r="A227" s="94"/>
      <c r="B227" s="366" t="s">
        <v>409</v>
      </c>
      <c r="C227" s="367" t="s">
        <v>410</v>
      </c>
      <c r="D227" s="141"/>
      <c r="E227" s="43"/>
      <c r="F227" s="44"/>
      <c r="G227" s="45"/>
      <c r="H227" s="45"/>
      <c r="I227" s="47"/>
      <c r="J227" s="175"/>
      <c r="K227" s="176"/>
      <c r="L227" s="222"/>
      <c r="M227" s="94"/>
      <c r="N227" s="116"/>
      <c r="O227" s="233"/>
      <c r="P227" s="233"/>
      <c r="Q227" s="368"/>
      <c r="R227" s="348"/>
      <c r="S227" s="299"/>
      <c r="T227" s="299"/>
      <c r="U227" s="149"/>
      <c r="V227" s="370"/>
      <c r="W227" s="295"/>
    </row>
    <row r="228" spans="1:24" ht="27.75" customHeight="1">
      <c r="A228" s="94">
        <v>3</v>
      </c>
      <c r="B228" s="366" t="s">
        <v>411</v>
      </c>
      <c r="C228" s="367" t="s">
        <v>412</v>
      </c>
      <c r="D228" s="141">
        <v>5360</v>
      </c>
      <c r="E228" s="43" t="s">
        <v>45</v>
      </c>
      <c r="F228" s="44">
        <v>0</v>
      </c>
      <c r="G228" s="45">
        <v>0</v>
      </c>
      <c r="H228" s="45"/>
      <c r="I228" s="47">
        <v>0</v>
      </c>
      <c r="J228" s="175">
        <v>46057</v>
      </c>
      <c r="K228" s="176" t="s">
        <v>1035</v>
      </c>
      <c r="L228" s="222">
        <v>5360</v>
      </c>
      <c r="M228" s="94" t="s">
        <v>45</v>
      </c>
      <c r="N228" s="116">
        <v>0</v>
      </c>
      <c r="O228" s="233">
        <f t="shared" ref="O228" si="53">+I228+D228-L228</f>
        <v>0</v>
      </c>
      <c r="P228" s="233"/>
      <c r="Q228" s="368">
        <f t="shared" ref="Q228" si="54">+O228+P228</f>
        <v>0</v>
      </c>
      <c r="R228" s="348" t="s">
        <v>405</v>
      </c>
      <c r="S228" s="299">
        <v>44562</v>
      </c>
      <c r="T228" s="299">
        <v>45503</v>
      </c>
      <c r="U228" s="149">
        <v>13980</v>
      </c>
      <c r="V228" s="371" t="s">
        <v>414</v>
      </c>
      <c r="W228" s="295" t="s">
        <v>289</v>
      </c>
      <c r="X228" s="4" t="s">
        <v>415</v>
      </c>
    </row>
    <row r="229" spans="1:24" ht="27.75" customHeight="1">
      <c r="A229" s="94"/>
      <c r="B229" s="366" t="s">
        <v>409</v>
      </c>
      <c r="C229" s="367" t="s">
        <v>416</v>
      </c>
      <c r="D229" s="141"/>
      <c r="E229" s="43"/>
      <c r="F229" s="44"/>
      <c r="G229" s="45"/>
      <c r="H229" s="45"/>
      <c r="I229" s="47"/>
      <c r="J229" s="175"/>
      <c r="K229" s="176"/>
      <c r="L229" s="222"/>
      <c r="N229" s="116"/>
      <c r="O229" s="233"/>
      <c r="P229" s="233"/>
      <c r="Q229" s="368"/>
      <c r="R229" s="348"/>
      <c r="S229" s="299"/>
      <c r="T229" s="299"/>
      <c r="U229" s="149"/>
      <c r="V229" s="371"/>
      <c r="W229" s="295"/>
    </row>
    <row r="230" spans="1:24" ht="27.75" customHeight="1">
      <c r="A230" s="94">
        <v>4</v>
      </c>
      <c r="B230" s="366" t="s">
        <v>417</v>
      </c>
      <c r="C230" s="367" t="s">
        <v>418</v>
      </c>
      <c r="D230" s="141">
        <v>68108.75</v>
      </c>
      <c r="E230" s="373" t="s">
        <v>836</v>
      </c>
      <c r="F230" s="374">
        <v>-0.49999992658799353</v>
      </c>
      <c r="G230" s="375">
        <v>-34054.370000000003</v>
      </c>
      <c r="H230" s="375"/>
      <c r="I230" s="376">
        <v>-34054.370000000003</v>
      </c>
      <c r="J230" s="175">
        <v>46078</v>
      </c>
      <c r="K230" s="176" t="s">
        <v>1036</v>
      </c>
      <c r="L230" s="222">
        <v>68108.75</v>
      </c>
      <c r="M230" s="377" t="s">
        <v>951</v>
      </c>
      <c r="N230" s="116">
        <v>-0.49999992658799353</v>
      </c>
      <c r="O230" s="233">
        <f t="shared" ref="O230" si="55">+I230+D230-L230</f>
        <v>-34054.370000000003</v>
      </c>
      <c r="P230" s="233"/>
      <c r="Q230" s="368">
        <f t="shared" ref="Q230" si="56">+O230+P230</f>
        <v>-34054.370000000003</v>
      </c>
      <c r="R230" s="39" t="s">
        <v>195</v>
      </c>
      <c r="S230" s="55">
        <v>40072</v>
      </c>
      <c r="T230" s="55">
        <v>41167</v>
      </c>
      <c r="U230" s="56">
        <v>132250</v>
      </c>
      <c r="V230" s="378" t="s">
        <v>420</v>
      </c>
    </row>
    <row r="231" spans="1:24" ht="27.75" customHeight="1">
      <c r="A231" s="94"/>
      <c r="B231" s="366" t="s">
        <v>409</v>
      </c>
      <c r="C231" s="379"/>
      <c r="D231" s="141"/>
      <c r="E231" s="43"/>
      <c r="F231" s="44"/>
      <c r="G231" s="45">
        <v>0</v>
      </c>
      <c r="H231" s="45"/>
      <c r="I231" s="47">
        <v>0</v>
      </c>
      <c r="J231" s="175"/>
      <c r="K231" s="176"/>
      <c r="L231" s="222"/>
      <c r="M231" s="94"/>
      <c r="N231" s="116"/>
      <c r="O231" s="233">
        <f t="shared" ref="O231:O232" si="57">D231+I231-L231</f>
        <v>0</v>
      </c>
      <c r="P231" s="233"/>
      <c r="Q231" s="368">
        <f t="shared" ref="Q231:Q232" si="58">O231</f>
        <v>0</v>
      </c>
      <c r="R231" s="39"/>
      <c r="S231" s="55"/>
      <c r="T231" s="55"/>
      <c r="U231" s="56"/>
      <c r="V231" s="56"/>
    </row>
    <row r="232" spans="1:24" ht="27.75" customHeight="1">
      <c r="A232" s="94">
        <v>5</v>
      </c>
      <c r="B232" s="366" t="s">
        <v>417</v>
      </c>
      <c r="C232" s="367" t="s">
        <v>421</v>
      </c>
      <c r="D232" s="141">
        <v>4910</v>
      </c>
      <c r="E232" s="43" t="s">
        <v>45</v>
      </c>
      <c r="F232" s="44">
        <v>0</v>
      </c>
      <c r="G232" s="45">
        <v>0</v>
      </c>
      <c r="H232" s="45">
        <v>0</v>
      </c>
      <c r="I232" s="47">
        <v>0</v>
      </c>
      <c r="J232" s="175">
        <v>46024</v>
      </c>
      <c r="K232" s="176" t="s">
        <v>1037</v>
      </c>
      <c r="L232" s="222">
        <v>4910</v>
      </c>
      <c r="M232" s="94" t="s">
        <v>45</v>
      </c>
      <c r="N232" s="116">
        <v>0</v>
      </c>
      <c r="O232" s="233">
        <f t="shared" si="57"/>
        <v>0</v>
      </c>
      <c r="P232" s="233">
        <v>0</v>
      </c>
      <c r="Q232" s="368">
        <f t="shared" si="58"/>
        <v>0</v>
      </c>
      <c r="R232" s="348" t="s">
        <v>195</v>
      </c>
      <c r="S232" s="299" t="s">
        <v>423</v>
      </c>
      <c r="T232" s="299" t="s">
        <v>406</v>
      </c>
      <c r="U232" s="56">
        <v>6420</v>
      </c>
      <c r="V232" s="56" t="s">
        <v>424</v>
      </c>
      <c r="W232" s="295" t="s">
        <v>289</v>
      </c>
      <c r="X232" s="4" t="s">
        <v>425</v>
      </c>
    </row>
    <row r="233" spans="1:24" ht="27.75" customHeight="1">
      <c r="A233" s="94"/>
      <c r="B233" s="366" t="s">
        <v>426</v>
      </c>
      <c r="C233" s="366" t="s">
        <v>427</v>
      </c>
      <c r="D233" s="141"/>
      <c r="E233" s="43"/>
      <c r="F233" s="44"/>
      <c r="G233" s="45"/>
      <c r="H233" s="45"/>
      <c r="I233" s="47"/>
      <c r="J233" s="175"/>
      <c r="K233" s="176"/>
      <c r="L233" s="222"/>
      <c r="M233" s="94"/>
      <c r="N233" s="116"/>
      <c r="O233" s="233"/>
      <c r="P233" s="233"/>
      <c r="Q233" s="368"/>
      <c r="R233" s="348"/>
      <c r="S233" s="299"/>
      <c r="T233" s="299"/>
      <c r="U233" s="56"/>
      <c r="V233" s="56"/>
      <c r="W233" s="295"/>
    </row>
    <row r="234" spans="1:24" ht="27.75" customHeight="1">
      <c r="A234" s="94">
        <v>6</v>
      </c>
      <c r="B234" s="366" t="s">
        <v>428</v>
      </c>
      <c r="C234" s="367" t="s">
        <v>429</v>
      </c>
      <c r="D234" s="141">
        <v>20000</v>
      </c>
      <c r="E234" s="43" t="s">
        <v>45</v>
      </c>
      <c r="F234" s="44">
        <v>0</v>
      </c>
      <c r="G234" s="45"/>
      <c r="H234" s="45"/>
      <c r="I234" s="47"/>
      <c r="J234" s="175">
        <v>46058</v>
      </c>
      <c r="K234" s="176" t="s">
        <v>1038</v>
      </c>
      <c r="L234" s="222">
        <v>20000</v>
      </c>
      <c r="M234" s="94" t="s">
        <v>45</v>
      </c>
      <c r="N234" s="116">
        <v>0</v>
      </c>
      <c r="O234" s="233"/>
      <c r="P234" s="233"/>
      <c r="Q234" s="368"/>
      <c r="R234" s="348"/>
      <c r="S234" s="299"/>
      <c r="T234" s="299"/>
      <c r="U234" s="56"/>
      <c r="V234" s="56"/>
      <c r="W234" s="295"/>
    </row>
    <row r="235" spans="1:24" ht="27.75" customHeight="1">
      <c r="A235" s="94"/>
      <c r="B235" s="366" t="s">
        <v>431</v>
      </c>
      <c r="C235" s="366" t="s">
        <v>432</v>
      </c>
      <c r="D235" s="141"/>
      <c r="E235" s="43"/>
      <c r="F235" s="44"/>
      <c r="G235" s="45"/>
      <c r="H235" s="45"/>
      <c r="I235" s="47"/>
      <c r="J235" s="175"/>
      <c r="K235" s="176"/>
      <c r="L235" s="222"/>
      <c r="M235" s="94"/>
      <c r="N235" s="116"/>
      <c r="O235" s="233"/>
      <c r="P235" s="233"/>
      <c r="Q235" s="47"/>
      <c r="R235" s="39"/>
      <c r="S235" s="55"/>
      <c r="T235" s="55"/>
      <c r="U235" s="56"/>
      <c r="V235" s="56"/>
    </row>
    <row r="236" spans="1:24" ht="27.75" customHeight="1" thickBot="1">
      <c r="A236" s="193"/>
      <c r="B236" s="194" t="s">
        <v>22</v>
      </c>
      <c r="C236" s="195"/>
      <c r="D236" s="196">
        <f>SUM(D224:D235)</f>
        <v>136363.75</v>
      </c>
      <c r="E236" s="221"/>
      <c r="F236" s="197"/>
      <c r="G236" s="198">
        <v>0</v>
      </c>
      <c r="H236" s="198"/>
      <c r="I236" s="198">
        <v>0</v>
      </c>
      <c r="J236" s="199"/>
      <c r="K236" s="199"/>
      <c r="L236" s="196">
        <f>SUM(L224:L235)</f>
        <v>136363.75</v>
      </c>
      <c r="M236" s="200"/>
      <c r="N236" s="196"/>
      <c r="O236" s="198">
        <v>0</v>
      </c>
      <c r="P236" s="198"/>
      <c r="Q236" s="198">
        <v>0</v>
      </c>
      <c r="R236" s="36"/>
      <c r="S236" s="37"/>
      <c r="T236" s="37"/>
      <c r="U236" s="38"/>
      <c r="V236" s="38"/>
      <c r="W236" s="38"/>
    </row>
    <row r="237" spans="1:24" ht="27.75" customHeight="1" thickTop="1">
      <c r="A237" s="22"/>
      <c r="B237" s="288" t="s">
        <v>433</v>
      </c>
      <c r="C237" s="380"/>
      <c r="D237" s="284"/>
      <c r="E237" s="273"/>
      <c r="F237" s="274"/>
      <c r="G237" s="381"/>
      <c r="H237" s="381"/>
      <c r="I237" s="381"/>
      <c r="J237" s="382"/>
      <c r="K237" s="382"/>
      <c r="L237" s="383"/>
      <c r="M237" s="384"/>
      <c r="N237" s="284"/>
      <c r="O237" s="381"/>
      <c r="P237" s="381"/>
      <c r="Q237" s="381"/>
      <c r="R237" s="36"/>
      <c r="S237" s="37"/>
      <c r="T237" s="37"/>
      <c r="U237" s="38"/>
      <c r="V237" s="38"/>
      <c r="W237" s="38"/>
    </row>
    <row r="238" spans="1:24" ht="27.75" customHeight="1">
      <c r="A238" s="22">
        <v>1</v>
      </c>
      <c r="B238" s="270" t="s">
        <v>434</v>
      </c>
      <c r="C238" s="380" t="s">
        <v>435</v>
      </c>
      <c r="D238" s="284">
        <v>0</v>
      </c>
      <c r="E238" s="273"/>
      <c r="F238" s="274"/>
      <c r="G238" s="381">
        <v>-6.3664629124104977E-12</v>
      </c>
      <c r="H238" s="381"/>
      <c r="I238" s="381">
        <v>-6.3664629124104977E-12</v>
      </c>
      <c r="J238" s="385"/>
      <c r="K238" s="386"/>
      <c r="L238" s="383"/>
      <c r="M238" s="387"/>
      <c r="N238" s="116"/>
      <c r="O238" s="388">
        <f>D238+I238-L238</f>
        <v>-6.3664629124104977E-12</v>
      </c>
      <c r="P238" s="388"/>
      <c r="Q238" s="376">
        <f>O238</f>
        <v>-6.3664629124104977E-12</v>
      </c>
      <c r="R238" s="36"/>
      <c r="S238" s="37"/>
      <c r="T238" s="37"/>
      <c r="U238" s="38"/>
      <c r="V238" s="38"/>
      <c r="W238" s="38"/>
    </row>
    <row r="239" spans="1:24" ht="27.75" customHeight="1">
      <c r="A239" s="22"/>
      <c r="B239" s="270" t="s">
        <v>436</v>
      </c>
      <c r="C239" s="380" t="s">
        <v>437</v>
      </c>
      <c r="D239" s="284"/>
      <c r="E239" s="384"/>
      <c r="F239" s="274"/>
      <c r="G239" s="381"/>
      <c r="H239" s="381"/>
      <c r="I239" s="381"/>
      <c r="J239" s="382"/>
      <c r="K239" s="382"/>
      <c r="L239" s="383"/>
      <c r="M239" s="384"/>
      <c r="N239" s="284"/>
      <c r="O239" s="381"/>
      <c r="P239" s="381"/>
      <c r="Q239" s="381"/>
      <c r="R239" s="36"/>
      <c r="S239" s="37"/>
      <c r="T239" s="37"/>
      <c r="U239" s="38"/>
      <c r="V239" s="38"/>
      <c r="W239" s="38"/>
    </row>
    <row r="240" spans="1:24" ht="27.75" customHeight="1">
      <c r="A240" s="22">
        <v>2</v>
      </c>
      <c r="B240" s="270" t="s">
        <v>438</v>
      </c>
      <c r="C240" s="380" t="s">
        <v>439</v>
      </c>
      <c r="D240" s="284">
        <v>1500</v>
      </c>
      <c r="E240" s="384" t="s">
        <v>45</v>
      </c>
      <c r="F240" s="274">
        <v>0</v>
      </c>
      <c r="G240" s="381">
        <v>0</v>
      </c>
      <c r="H240" s="381">
        <v>0</v>
      </c>
      <c r="I240" s="381">
        <v>0</v>
      </c>
      <c r="J240" s="389">
        <v>46057</v>
      </c>
      <c r="K240" s="386" t="s">
        <v>1041</v>
      </c>
      <c r="L240" s="383">
        <v>1500</v>
      </c>
      <c r="M240" s="390" t="s">
        <v>45</v>
      </c>
      <c r="N240" s="391">
        <v>0</v>
      </c>
      <c r="O240" s="381">
        <f>SUM(D240+G240-L240)</f>
        <v>0</v>
      </c>
      <c r="P240" s="381">
        <v>0</v>
      </c>
      <c r="Q240" s="381">
        <f>SUM(O240)</f>
        <v>0</v>
      </c>
      <c r="R240" s="36"/>
      <c r="S240" s="37"/>
      <c r="T240" s="37"/>
      <c r="U240" s="38"/>
      <c r="V240" s="38"/>
      <c r="W240" s="38"/>
    </row>
    <row r="241" spans="1:25" ht="27.75" customHeight="1" thickBot="1">
      <c r="A241" s="193"/>
      <c r="B241" s="194" t="s">
        <v>22</v>
      </c>
      <c r="C241" s="195"/>
      <c r="D241" s="196">
        <f>SUM(D238:D240)</f>
        <v>1500</v>
      </c>
      <c r="E241" s="221">
        <v>0</v>
      </c>
      <c r="F241" s="197"/>
      <c r="G241" s="392">
        <v>0</v>
      </c>
      <c r="H241" s="392">
        <v>0</v>
      </c>
      <c r="I241" s="392">
        <v>0</v>
      </c>
      <c r="J241" s="393">
        <v>0</v>
      </c>
      <c r="K241" s="393">
        <v>0</v>
      </c>
      <c r="L241" s="394">
        <f>SUM(L238:L240)</f>
        <v>1500</v>
      </c>
      <c r="M241" s="395"/>
      <c r="N241" s="392"/>
      <c r="O241" s="392">
        <f>SUM(O238:O240)</f>
        <v>-6.3664629124104977E-12</v>
      </c>
      <c r="P241" s="392">
        <f t="shared" ref="P241:Q241" si="59">SUM(P238:P240)</f>
        <v>0</v>
      </c>
      <c r="Q241" s="392">
        <f t="shared" si="59"/>
        <v>-6.3664629124104977E-12</v>
      </c>
      <c r="R241" s="36"/>
      <c r="S241" s="37"/>
      <c r="T241" s="37"/>
      <c r="U241" s="38"/>
      <c r="V241" s="38"/>
      <c r="W241" s="38"/>
    </row>
    <row r="242" spans="1:25" ht="27.75" customHeight="1" thickTop="1">
      <c r="A242" s="22"/>
      <c r="B242" s="288" t="s">
        <v>441</v>
      </c>
      <c r="C242" s="289"/>
      <c r="D242" s="272"/>
      <c r="E242" s="201"/>
      <c r="F242" s="281"/>
      <c r="G242" s="290"/>
      <c r="H242" s="290"/>
      <c r="I242" s="290"/>
      <c r="J242" s="291"/>
      <c r="K242" s="292"/>
      <c r="L242" s="222"/>
      <c r="M242" s="94"/>
      <c r="N242" s="39"/>
      <c r="O242" s="293"/>
      <c r="P242" s="293"/>
      <c r="Q242" s="294"/>
      <c r="R242" s="36"/>
      <c r="S242" s="37"/>
      <c r="T242" s="37"/>
      <c r="U242" s="38"/>
      <c r="V242" s="38"/>
      <c r="W242" s="38"/>
    </row>
    <row r="243" spans="1:25" ht="27.75" customHeight="1">
      <c r="A243" s="94">
        <v>1</v>
      </c>
      <c r="B243" s="40" t="s">
        <v>442</v>
      </c>
      <c r="C243" s="206" t="s">
        <v>443</v>
      </c>
      <c r="D243" s="296">
        <v>98948</v>
      </c>
      <c r="E243" s="43" t="s">
        <v>866</v>
      </c>
      <c r="F243" s="44">
        <v>-8</v>
      </c>
      <c r="G243" s="45">
        <v>-791584</v>
      </c>
      <c r="H243" s="45"/>
      <c r="I243" s="47">
        <v>-791584</v>
      </c>
      <c r="J243" s="175"/>
      <c r="K243" s="176"/>
      <c r="L243" s="222">
        <v>0</v>
      </c>
      <c r="M243" s="387" t="s">
        <v>978</v>
      </c>
      <c r="N243" s="116">
        <v>-7</v>
      </c>
      <c r="O243" s="233">
        <f t="shared" ref="O243" si="60">Q243</f>
        <v>-692636</v>
      </c>
      <c r="P243" s="233"/>
      <c r="Q243" s="376">
        <f>D243+I243-L243</f>
        <v>-692636</v>
      </c>
      <c r="R243" s="39" t="s">
        <v>446</v>
      </c>
      <c r="S243" s="55">
        <v>43952</v>
      </c>
      <c r="T243" s="55">
        <v>44561</v>
      </c>
      <c r="U243" s="56">
        <v>1032500</v>
      </c>
      <c r="V243" s="56" t="s">
        <v>447</v>
      </c>
    </row>
    <row r="244" spans="1:25" ht="27.75" customHeight="1">
      <c r="A244" s="94"/>
      <c r="B244" s="396" t="s">
        <v>448</v>
      </c>
      <c r="C244" s="206" t="s">
        <v>449</v>
      </c>
      <c r="D244" s="296"/>
      <c r="E244" s="64"/>
      <c r="F244" s="44"/>
      <c r="G244" s="45"/>
      <c r="H244" s="45"/>
      <c r="I244" s="47"/>
      <c r="J244" s="183"/>
      <c r="K244" s="184"/>
      <c r="L244" s="231"/>
      <c r="M244" s="186"/>
      <c r="N244" s="116"/>
      <c r="O244" s="233"/>
      <c r="P244" s="233"/>
      <c r="Q244" s="376"/>
      <c r="R244" s="297"/>
      <c r="S244" s="298"/>
      <c r="T244" s="298"/>
      <c r="U244" s="397"/>
      <c r="V244" s="397"/>
    </row>
    <row r="245" spans="1:25" ht="27.75" customHeight="1">
      <c r="A245" s="94"/>
      <c r="B245" s="396"/>
      <c r="C245" s="398" t="s">
        <v>450</v>
      </c>
      <c r="D245" s="296"/>
      <c r="E245" s="64"/>
      <c r="F245" s="44"/>
      <c r="G245" s="45"/>
      <c r="H245" s="45"/>
      <c r="I245" s="47"/>
      <c r="J245" s="183"/>
      <c r="K245" s="184"/>
      <c r="L245" s="231"/>
      <c r="M245" s="186"/>
      <c r="N245" s="116"/>
      <c r="O245" s="233"/>
      <c r="P245" s="233"/>
      <c r="Q245" s="376"/>
      <c r="R245" s="297"/>
      <c r="S245" s="298"/>
      <c r="T245" s="298"/>
      <c r="U245" s="397"/>
      <c r="V245" s="397"/>
    </row>
    <row r="246" spans="1:25" ht="27.75" customHeight="1">
      <c r="A246" s="94">
        <v>2</v>
      </c>
      <c r="B246" s="205" t="s">
        <v>451</v>
      </c>
      <c r="C246" s="206" t="s">
        <v>452</v>
      </c>
      <c r="D246" s="296">
        <v>48779</v>
      </c>
      <c r="E246" s="64" t="s">
        <v>1040</v>
      </c>
      <c r="F246" s="44">
        <v>-9.7389450378236528</v>
      </c>
      <c r="G246" s="45">
        <v>-475056</v>
      </c>
      <c r="H246" s="45"/>
      <c r="I246" s="47">
        <v>-475056</v>
      </c>
      <c r="J246" s="183"/>
      <c r="K246" s="184"/>
      <c r="L246" s="231">
        <v>0</v>
      </c>
      <c r="M246" s="399" t="s">
        <v>1039</v>
      </c>
      <c r="N246" s="116">
        <v>-8.7389450378236528</v>
      </c>
      <c r="O246" s="233">
        <f t="shared" ref="O246" si="61">Q246</f>
        <v>-426277</v>
      </c>
      <c r="P246" s="233"/>
      <c r="Q246" s="368">
        <f>D246+I246-L246</f>
        <v>-426277</v>
      </c>
      <c r="R246" s="172" t="s">
        <v>456</v>
      </c>
      <c r="S246" s="400" t="s">
        <v>457</v>
      </c>
      <c r="T246" s="400" t="s">
        <v>458</v>
      </c>
      <c r="U246" s="401">
        <v>442600</v>
      </c>
      <c r="V246" s="401" t="s">
        <v>459</v>
      </c>
    </row>
    <row r="247" spans="1:25" ht="27.75" customHeight="1">
      <c r="A247" s="232"/>
      <c r="B247" s="402" t="s">
        <v>460</v>
      </c>
      <c r="C247" s="206" t="s">
        <v>461</v>
      </c>
      <c r="D247" s="296"/>
      <c r="E247" s="64"/>
      <c r="F247" s="44"/>
      <c r="G247" s="45"/>
      <c r="H247" s="45"/>
      <c r="I247" s="47"/>
      <c r="J247" s="183"/>
      <c r="K247" s="184"/>
      <c r="L247" s="231"/>
      <c r="M247" s="186"/>
      <c r="N247" s="116"/>
      <c r="O247" s="233"/>
      <c r="P247" s="233"/>
      <c r="Q247" s="403"/>
      <c r="R247" s="172"/>
      <c r="S247" s="400"/>
      <c r="T247" s="400"/>
      <c r="U247" s="401"/>
      <c r="V247" s="401"/>
    </row>
    <row r="248" spans="1:25" ht="27.75" customHeight="1">
      <c r="A248" s="186"/>
      <c r="B248" s="404" t="s">
        <v>448</v>
      </c>
      <c r="C248" s="206" t="s">
        <v>462</v>
      </c>
      <c r="D248" s="296"/>
      <c r="E248" s="64"/>
      <c r="F248" s="44"/>
      <c r="G248" s="45"/>
      <c r="H248" s="45"/>
      <c r="I248" s="66"/>
      <c r="J248" s="183"/>
      <c r="K248" s="184"/>
      <c r="L248" s="231"/>
      <c r="M248" s="186"/>
      <c r="N248" s="116"/>
      <c r="O248" s="233"/>
      <c r="P248" s="233"/>
      <c r="Q248" s="403"/>
      <c r="R248" s="146" t="s">
        <v>463</v>
      </c>
      <c r="S248" s="148" t="s">
        <v>464</v>
      </c>
      <c r="T248" s="148" t="s">
        <v>465</v>
      </c>
      <c r="U248" s="149">
        <v>46000</v>
      </c>
      <c r="V248" s="149" t="s">
        <v>466</v>
      </c>
      <c r="W248" s="295" t="s">
        <v>289</v>
      </c>
      <c r="X248" s="4" t="s">
        <v>467</v>
      </c>
    </row>
    <row r="249" spans="1:25" ht="27.75" customHeight="1">
      <c r="A249" s="405"/>
      <c r="B249" s="406" t="s">
        <v>22</v>
      </c>
      <c r="C249" s="407"/>
      <c r="D249" s="408">
        <f>SUM(D243:D248)</f>
        <v>147727</v>
      </c>
      <c r="E249" s="409"/>
      <c r="F249" s="410"/>
      <c r="G249" s="239">
        <f>SUM(G243:G248)</f>
        <v>-1266640</v>
      </c>
      <c r="H249" s="239">
        <f t="shared" ref="H249:I249" si="62">SUM(H243:H248)</f>
        <v>0</v>
      </c>
      <c r="I249" s="239">
        <f t="shared" si="62"/>
        <v>-1266640</v>
      </c>
      <c r="J249" s="411"/>
      <c r="K249" s="411"/>
      <c r="L249" s="408">
        <f>SUM(L243:L246)</f>
        <v>0</v>
      </c>
      <c r="M249" s="412"/>
      <c r="N249" s="408"/>
      <c r="O249" s="239"/>
      <c r="P249" s="239">
        <f>SUM(P246:P248)</f>
        <v>0</v>
      </c>
      <c r="Q249" s="239"/>
      <c r="R249" s="278"/>
      <c r="S249" s="279"/>
      <c r="T249" s="279"/>
      <c r="U249" s="413"/>
      <c r="V249" s="413"/>
      <c r="W249" s="413"/>
    </row>
    <row r="250" spans="1:25" ht="27.75" customHeight="1" thickBot="1">
      <c r="A250" s="414"/>
      <c r="B250" s="415"/>
      <c r="C250" s="416" t="s">
        <v>468</v>
      </c>
      <c r="D250" s="417"/>
      <c r="E250" s="418"/>
      <c r="F250" s="419"/>
      <c r="G250" s="420">
        <f>SUM(G249+G241+G236+G222+G166+G155+G138+G122+G108+G92+G89+G82+G31+G27+G24)</f>
        <v>-1235564.1981308411</v>
      </c>
      <c r="H250" s="420">
        <f>SUM(H249+H241+H236+H222+H166+H155+H138+H122+H108+H92+H89+H82+H31+H27+H24)</f>
        <v>2175.31</v>
      </c>
      <c r="I250" s="420">
        <f>SUM(I249+I241+I236+I222+I166+I155+I138+I122+I108+I92+I89+I82+I31+I27+I24)</f>
        <v>-1233388.8881308413</v>
      </c>
      <c r="J250" s="421"/>
      <c r="K250" s="421"/>
      <c r="L250" s="422">
        <f>SUM(L249+L241+L236+L222+L166+L155+L138+L122+L108+L92+L89+L82+L31+L27+L24)</f>
        <v>856118.60000000009</v>
      </c>
      <c r="M250" s="423"/>
      <c r="N250" s="422"/>
      <c r="O250" s="420">
        <f>SUM(O249+O241+O236+O222+O166+O155+O138+O122+O108+O92+O89+O82+O31+O27+O24)</f>
        <v>73959.203738317752</v>
      </c>
      <c r="P250" s="420">
        <f>SUM(P249+P241+P236+P222+P166+P155+P138+P122+P108+P92+P89+P82+P31+P27+P24)</f>
        <v>4617.1399999999994</v>
      </c>
      <c r="Q250" s="420">
        <f>SUM(Q249+Q241+Q236+Q222+Q166+Q155+Q138+Q122+Q108+Q92+Q89+Q82+Q31+Q27+Q24)</f>
        <v>78576.343738317752</v>
      </c>
      <c r="R250" s="424"/>
      <c r="S250" s="425"/>
      <c r="T250" s="425"/>
      <c r="U250" s="345"/>
      <c r="V250" s="345"/>
      <c r="W250" s="345"/>
    </row>
    <row r="251" spans="1:25" ht="27.75" customHeight="1" thickTop="1">
      <c r="A251" s="426"/>
      <c r="B251" s="4"/>
      <c r="C251" s="295"/>
      <c r="D251" s="427"/>
      <c r="E251" s="428"/>
      <c r="F251" s="429"/>
      <c r="G251" s="430"/>
      <c r="H251" s="430"/>
      <c r="I251" s="430"/>
      <c r="J251" s="431"/>
      <c r="K251" s="432"/>
      <c r="L251" s="427"/>
      <c r="M251" s="433"/>
      <c r="N251" s="427"/>
      <c r="O251" s="430"/>
      <c r="P251" s="430"/>
      <c r="Q251" s="430"/>
      <c r="R251" s="424"/>
      <c r="S251" s="425"/>
      <c r="T251" s="425"/>
      <c r="U251" s="345"/>
      <c r="V251" s="345"/>
      <c r="W251" s="345"/>
    </row>
    <row r="252" spans="1:25" ht="27.75" customHeight="1">
      <c r="A252" s="426"/>
      <c r="B252" s="434" t="s">
        <v>469</v>
      </c>
      <c r="C252" s="295"/>
      <c r="D252" s="427"/>
      <c r="E252" s="428"/>
      <c r="F252" s="429"/>
      <c r="G252" s="430"/>
      <c r="H252" s="430"/>
      <c r="I252" s="430"/>
      <c r="J252" s="431"/>
      <c r="K252" s="432"/>
      <c r="L252" s="427"/>
      <c r="M252" s="433"/>
      <c r="N252" s="427"/>
      <c r="O252" s="430"/>
      <c r="P252" s="430"/>
      <c r="Q252" s="430"/>
      <c r="R252" s="424"/>
      <c r="S252" s="425"/>
      <c r="T252" s="425"/>
      <c r="U252" s="345"/>
      <c r="V252" s="345"/>
      <c r="W252" s="345"/>
    </row>
    <row r="253" spans="1:25" ht="27.75" customHeight="1">
      <c r="A253" s="435">
        <v>1</v>
      </c>
      <c r="B253" s="436" t="s">
        <v>470</v>
      </c>
      <c r="C253" s="437" t="s">
        <v>471</v>
      </c>
      <c r="D253" s="438" t="s">
        <v>472</v>
      </c>
      <c r="E253" s="439" t="s">
        <v>473</v>
      </c>
      <c r="F253" s="440">
        <v>21</v>
      </c>
      <c r="G253" s="15">
        <v>361288.35</v>
      </c>
      <c r="H253" s="15"/>
      <c r="I253" s="17">
        <v>361288.35</v>
      </c>
      <c r="J253" s="441"/>
      <c r="K253" s="442"/>
      <c r="L253" s="443"/>
      <c r="M253" s="435" t="s">
        <v>473</v>
      </c>
      <c r="N253" s="444">
        <v>21</v>
      </c>
      <c r="O253" s="445">
        <f>SUM(G253-L253)</f>
        <v>361288.35</v>
      </c>
      <c r="P253" s="19"/>
      <c r="Q253" s="17">
        <f>SUM(O253)</f>
        <v>361288.35</v>
      </c>
      <c r="R253" s="251" t="s">
        <v>195</v>
      </c>
      <c r="S253" s="446">
        <v>41883</v>
      </c>
      <c r="T253" s="446">
        <v>42978</v>
      </c>
      <c r="U253" s="447">
        <v>90000</v>
      </c>
      <c r="V253" s="447" t="s">
        <v>474</v>
      </c>
      <c r="Y253" s="4" t="s">
        <v>475</v>
      </c>
    </row>
    <row r="254" spans="1:25" ht="27.75" customHeight="1">
      <c r="A254" s="435"/>
      <c r="B254" s="436" t="s">
        <v>476</v>
      </c>
      <c r="C254" s="437"/>
      <c r="D254" s="448"/>
      <c r="E254" s="439"/>
      <c r="F254" s="440"/>
      <c r="G254" s="15"/>
      <c r="H254" s="15"/>
      <c r="I254" s="17"/>
      <c r="J254" s="441"/>
      <c r="K254" s="442"/>
      <c r="L254" s="443"/>
      <c r="M254" s="435"/>
      <c r="N254" s="444"/>
      <c r="O254" s="445">
        <f t="shared" ref="O254:O260" si="63">SUM(G254-L254)</f>
        <v>0</v>
      </c>
      <c r="P254" s="19"/>
      <c r="Q254" s="17">
        <f t="shared" ref="Q254:Q260" si="64">SUM(O254)</f>
        <v>0</v>
      </c>
      <c r="R254" s="116"/>
      <c r="S254" s="203"/>
      <c r="T254" s="203"/>
      <c r="U254" s="204"/>
      <c r="V254" s="204"/>
    </row>
    <row r="255" spans="1:25" ht="27.75" customHeight="1">
      <c r="A255" s="435"/>
      <c r="B255" s="674" t="s">
        <v>477</v>
      </c>
      <c r="C255" s="675"/>
      <c r="D255" s="682"/>
      <c r="E255" s="439"/>
      <c r="F255" s="440"/>
      <c r="G255" s="15"/>
      <c r="H255" s="15"/>
      <c r="I255" s="17"/>
      <c r="J255" s="441"/>
      <c r="K255" s="442"/>
      <c r="L255" s="443"/>
      <c r="M255" s="435"/>
      <c r="N255" s="444"/>
      <c r="O255" s="445">
        <f t="shared" si="63"/>
        <v>0</v>
      </c>
      <c r="P255" s="19"/>
      <c r="Q255" s="17">
        <f t="shared" si="64"/>
        <v>0</v>
      </c>
      <c r="R255" s="116"/>
      <c r="S255" s="203"/>
      <c r="T255" s="203"/>
      <c r="U255" s="204"/>
      <c r="V255" s="204"/>
    </row>
    <row r="256" spans="1:25" ht="27.75" customHeight="1">
      <c r="A256" s="435">
        <v>2</v>
      </c>
      <c r="B256" s="450" t="s">
        <v>470</v>
      </c>
      <c r="C256" s="451" t="s">
        <v>478</v>
      </c>
      <c r="D256" s="449"/>
      <c r="E256" s="439" t="s">
        <v>479</v>
      </c>
      <c r="F256" s="440">
        <v>6</v>
      </c>
      <c r="G256" s="15">
        <v>96700.72</v>
      </c>
      <c r="H256" s="15"/>
      <c r="I256" s="17">
        <v>96700.72</v>
      </c>
      <c r="J256" s="441"/>
      <c r="K256" s="442"/>
      <c r="L256" s="443"/>
      <c r="M256" s="435" t="s">
        <v>479</v>
      </c>
      <c r="N256" s="444">
        <v>6</v>
      </c>
      <c r="O256" s="445">
        <f t="shared" si="63"/>
        <v>96700.72</v>
      </c>
      <c r="P256" s="19"/>
      <c r="Q256" s="17">
        <f t="shared" si="64"/>
        <v>96700.72</v>
      </c>
      <c r="R256" s="116"/>
      <c r="S256" s="203"/>
      <c r="T256" s="203"/>
      <c r="U256" s="204"/>
      <c r="V256" s="204"/>
      <c r="Y256" s="4" t="s">
        <v>475</v>
      </c>
    </row>
    <row r="257" spans="1:25" ht="27.75" customHeight="1">
      <c r="A257" s="435">
        <v>3</v>
      </c>
      <c r="B257" s="450" t="s">
        <v>470</v>
      </c>
      <c r="C257" s="451" t="s">
        <v>480</v>
      </c>
      <c r="D257" s="452"/>
      <c r="E257" s="439" t="s">
        <v>481</v>
      </c>
      <c r="F257" s="440">
        <v>16</v>
      </c>
      <c r="G257" s="15">
        <v>285799.45</v>
      </c>
      <c r="H257" s="15"/>
      <c r="I257" s="17">
        <v>285799.45</v>
      </c>
      <c r="J257" s="441"/>
      <c r="K257" s="442"/>
      <c r="L257" s="443"/>
      <c r="M257" s="435" t="s">
        <v>481</v>
      </c>
      <c r="N257" s="444">
        <v>16</v>
      </c>
      <c r="O257" s="445">
        <f t="shared" si="63"/>
        <v>285799.45</v>
      </c>
      <c r="P257" s="19"/>
      <c r="Q257" s="17">
        <f t="shared" si="64"/>
        <v>285799.45</v>
      </c>
      <c r="R257" s="116"/>
      <c r="S257" s="203"/>
      <c r="T257" s="203"/>
      <c r="U257" s="204"/>
      <c r="V257" s="204"/>
      <c r="Y257" s="4" t="s">
        <v>475</v>
      </c>
    </row>
    <row r="258" spans="1:25" s="226" customFormat="1" ht="27.75" customHeight="1">
      <c r="A258" s="440">
        <v>4</v>
      </c>
      <c r="B258" s="436" t="s">
        <v>470</v>
      </c>
      <c r="C258" s="453" t="s">
        <v>482</v>
      </c>
      <c r="D258" s="454" t="s">
        <v>472</v>
      </c>
      <c r="E258" s="455" t="s">
        <v>483</v>
      </c>
      <c r="F258" s="456" t="s">
        <v>195</v>
      </c>
      <c r="G258" s="17">
        <v>57055.05</v>
      </c>
      <c r="H258" s="17"/>
      <c r="I258" s="17">
        <v>57055.05</v>
      </c>
      <c r="J258" s="441"/>
      <c r="K258" s="457"/>
      <c r="L258" s="458"/>
      <c r="M258" s="435" t="s">
        <v>483</v>
      </c>
      <c r="N258" s="448" t="s">
        <v>195</v>
      </c>
      <c r="O258" s="445">
        <f t="shared" si="63"/>
        <v>57055.05</v>
      </c>
      <c r="P258" s="17"/>
      <c r="Q258" s="17">
        <f t="shared" si="64"/>
        <v>57055.05</v>
      </c>
      <c r="R258" s="39"/>
      <c r="S258" s="55"/>
      <c r="T258" s="55"/>
      <c r="U258" s="141"/>
      <c r="V258" s="141"/>
      <c r="Y258" s="4" t="s">
        <v>475</v>
      </c>
    </row>
    <row r="259" spans="1:25" s="226" customFormat="1" ht="27.75" customHeight="1">
      <c r="A259" s="440"/>
      <c r="B259" s="676" t="s">
        <v>484</v>
      </c>
      <c r="C259" s="677"/>
      <c r="D259" s="683"/>
      <c r="E259" s="455"/>
      <c r="F259" s="456"/>
      <c r="G259" s="17"/>
      <c r="H259" s="17"/>
      <c r="I259" s="17"/>
      <c r="J259" s="441"/>
      <c r="K259" s="457"/>
      <c r="L259" s="458"/>
      <c r="M259" s="435"/>
      <c r="N259" s="448"/>
      <c r="O259" s="445">
        <f t="shared" si="63"/>
        <v>0</v>
      </c>
      <c r="P259" s="17"/>
      <c r="Q259" s="17">
        <f t="shared" si="64"/>
        <v>0</v>
      </c>
      <c r="R259" s="122"/>
      <c r="S259" s="37"/>
      <c r="T259" s="37"/>
      <c r="U259" s="459"/>
      <c r="V259" s="459"/>
      <c r="Y259" s="4" t="s">
        <v>475</v>
      </c>
    </row>
    <row r="260" spans="1:25" ht="27.75" customHeight="1">
      <c r="A260" s="460">
        <v>5</v>
      </c>
      <c r="B260" s="436" t="s">
        <v>470</v>
      </c>
      <c r="C260" s="461" t="s">
        <v>485</v>
      </c>
      <c r="D260" s="454"/>
      <c r="E260" s="455" t="s">
        <v>486</v>
      </c>
      <c r="F260" s="462" t="s">
        <v>195</v>
      </c>
      <c r="G260" s="17">
        <v>28958.15</v>
      </c>
      <c r="H260" s="15"/>
      <c r="I260" s="17">
        <v>28958.15</v>
      </c>
      <c r="J260" s="441" t="s">
        <v>487</v>
      </c>
      <c r="K260" s="463"/>
      <c r="L260" s="443"/>
      <c r="M260" s="435" t="s">
        <v>486</v>
      </c>
      <c r="N260" s="464" t="s">
        <v>195</v>
      </c>
      <c r="O260" s="445">
        <f t="shared" si="63"/>
        <v>28958.15</v>
      </c>
      <c r="P260" s="21"/>
      <c r="Q260" s="17">
        <f t="shared" si="64"/>
        <v>28958.15</v>
      </c>
      <c r="R260" s="36"/>
      <c r="S260" s="37"/>
      <c r="T260" s="37"/>
      <c r="U260" s="38"/>
      <c r="V260" s="38"/>
      <c r="W260" s="38"/>
      <c r="Y260" s="4" t="s">
        <v>475</v>
      </c>
    </row>
    <row r="261" spans="1:25" ht="27.6" customHeight="1">
      <c r="A261" s="460"/>
      <c r="B261" s="436" t="s">
        <v>488</v>
      </c>
      <c r="C261" s="461"/>
      <c r="D261" s="454"/>
      <c r="E261" s="448"/>
      <c r="F261" s="462"/>
      <c r="G261" s="17"/>
      <c r="H261" s="15"/>
      <c r="I261" s="17"/>
      <c r="J261" s="441"/>
      <c r="K261" s="463"/>
      <c r="L261" s="443"/>
      <c r="M261" s="435"/>
      <c r="N261" s="444"/>
      <c r="O261" s="17"/>
      <c r="P261" s="21"/>
      <c r="Q261" s="17"/>
      <c r="R261" s="36"/>
      <c r="S261" s="37"/>
      <c r="T261" s="37"/>
      <c r="U261" s="38"/>
      <c r="V261" s="38"/>
      <c r="W261" s="38"/>
    </row>
    <row r="262" spans="1:25" ht="27.6" customHeight="1">
      <c r="A262" s="460"/>
      <c r="B262" s="674" t="s">
        <v>489</v>
      </c>
      <c r="C262" s="675"/>
      <c r="D262" s="682"/>
      <c r="E262" s="448"/>
      <c r="F262" s="462"/>
      <c r="G262" s="17"/>
      <c r="H262" s="15"/>
      <c r="I262" s="17"/>
      <c r="J262" s="441"/>
      <c r="K262" s="463"/>
      <c r="L262" s="443"/>
      <c r="M262" s="435"/>
      <c r="N262" s="444"/>
      <c r="O262" s="17"/>
      <c r="P262" s="21"/>
      <c r="Q262" s="17"/>
      <c r="R262" s="36"/>
      <c r="S262" s="37"/>
      <c r="T262" s="37"/>
      <c r="U262" s="38"/>
      <c r="V262" s="38"/>
      <c r="W262" s="38"/>
    </row>
    <row r="263" spans="1:25" ht="27.75" customHeight="1" thickBot="1">
      <c r="A263" s="465"/>
      <c r="B263" s="466" t="s">
        <v>22</v>
      </c>
      <c r="C263" s="195"/>
      <c r="D263" s="310">
        <v>0</v>
      </c>
      <c r="E263" s="311"/>
      <c r="F263" s="312"/>
      <c r="G263" s="313">
        <f>SUM(G253:G261)</f>
        <v>829801.72000000009</v>
      </c>
      <c r="H263" s="313"/>
      <c r="I263" s="313">
        <f>SUM(I253:I261)</f>
        <v>829801.72000000009</v>
      </c>
      <c r="J263" s="467"/>
      <c r="K263" s="314"/>
      <c r="L263" s="310">
        <v>0</v>
      </c>
      <c r="M263" s="315"/>
      <c r="N263" s="310"/>
      <c r="O263" s="313">
        <f>SUM(O253:O261)</f>
        <v>829801.72000000009</v>
      </c>
      <c r="P263" s="313">
        <v>0</v>
      </c>
      <c r="Q263" s="313">
        <f>SUM(Q253:Q262)</f>
        <v>829801.72000000009</v>
      </c>
      <c r="R263" s="36"/>
      <c r="S263" s="37"/>
      <c r="T263" s="37"/>
      <c r="U263" s="38"/>
      <c r="V263" s="38"/>
      <c r="W263" s="38"/>
    </row>
    <row r="264" spans="1:25" ht="27.75" customHeight="1" thickTop="1">
      <c r="A264" s="468"/>
      <c r="B264" s="469" t="s">
        <v>490</v>
      </c>
      <c r="C264" s="470"/>
      <c r="D264" s="471"/>
      <c r="E264" s="207"/>
      <c r="F264" s="341"/>
      <c r="G264" s="187"/>
      <c r="H264" s="187"/>
      <c r="I264" s="187"/>
      <c r="J264" s="472"/>
      <c r="K264" s="473"/>
      <c r="L264" s="231"/>
      <c r="M264" s="186"/>
      <c r="N264" s="116"/>
      <c r="O264" s="344"/>
      <c r="P264" s="344"/>
      <c r="Q264" s="474"/>
      <c r="R264" s="36"/>
      <c r="S264" s="37"/>
      <c r="T264" s="37"/>
      <c r="U264" s="38"/>
      <c r="V264" s="38"/>
      <c r="W264" s="38"/>
    </row>
    <row r="265" spans="1:25" ht="27.75" customHeight="1">
      <c r="A265" s="475">
        <v>1</v>
      </c>
      <c r="B265" s="436" t="s">
        <v>491</v>
      </c>
      <c r="C265" s="437" t="s">
        <v>492</v>
      </c>
      <c r="D265" s="476"/>
      <c r="E265" s="477"/>
      <c r="F265" s="478"/>
      <c r="G265" s="15"/>
      <c r="H265" s="15"/>
      <c r="I265" s="17"/>
      <c r="J265" s="441"/>
      <c r="K265" s="442"/>
      <c r="L265" s="479"/>
      <c r="M265" s="435"/>
      <c r="N265" s="477"/>
      <c r="O265" s="480"/>
      <c r="P265" s="480"/>
      <c r="Q265" s="481"/>
      <c r="R265" s="356"/>
      <c r="S265" s="482"/>
      <c r="T265" s="482"/>
      <c r="U265" s="483"/>
      <c r="V265" s="483"/>
      <c r="Y265" s="4" t="s">
        <v>493</v>
      </c>
    </row>
    <row r="266" spans="1:25" ht="27.75" customHeight="1">
      <c r="A266" s="475"/>
      <c r="B266" s="484" t="s">
        <v>494</v>
      </c>
      <c r="C266" s="437"/>
      <c r="D266" s="476"/>
      <c r="E266" s="477"/>
      <c r="F266" s="478"/>
      <c r="G266" s="15"/>
      <c r="H266" s="15"/>
      <c r="I266" s="17"/>
      <c r="J266" s="441"/>
      <c r="K266" s="442"/>
      <c r="L266" s="479"/>
      <c r="M266" s="435"/>
      <c r="N266" s="477"/>
      <c r="O266" s="480"/>
      <c r="P266" s="480"/>
      <c r="Q266" s="481"/>
      <c r="R266" s="485"/>
      <c r="S266" s="486"/>
      <c r="T266" s="486"/>
      <c r="U266" s="487"/>
      <c r="V266" s="487"/>
    </row>
    <row r="267" spans="1:25" ht="27.75" customHeight="1">
      <c r="A267" s="475">
        <v>2</v>
      </c>
      <c r="B267" s="436" t="s">
        <v>495</v>
      </c>
      <c r="C267" s="437" t="s">
        <v>496</v>
      </c>
      <c r="D267" s="476"/>
      <c r="E267" s="477"/>
      <c r="F267" s="478" t="s">
        <v>497</v>
      </c>
      <c r="G267" s="15">
        <v>8214529.25</v>
      </c>
      <c r="H267" s="15"/>
      <c r="I267" s="17">
        <v>8214529.25</v>
      </c>
      <c r="J267" s="441"/>
      <c r="K267" s="442"/>
      <c r="L267" s="479"/>
      <c r="M267" s="435"/>
      <c r="N267" s="477" t="s">
        <v>497</v>
      </c>
      <c r="O267" s="15">
        <v>8214529.25</v>
      </c>
      <c r="P267" s="480"/>
      <c r="Q267" s="17">
        <v>8214529.25</v>
      </c>
      <c r="R267" s="485"/>
      <c r="S267" s="486"/>
      <c r="T267" s="486"/>
      <c r="U267" s="487"/>
      <c r="V267" s="487"/>
    </row>
    <row r="268" spans="1:25" ht="27.75" customHeight="1">
      <c r="A268" s="405"/>
      <c r="B268" s="234" t="s">
        <v>22</v>
      </c>
      <c r="C268" s="407"/>
      <c r="D268" s="408">
        <v>0</v>
      </c>
      <c r="E268" s="409"/>
      <c r="F268" s="410"/>
      <c r="G268" s="239">
        <f>SUM(G265:G267)</f>
        <v>8214529.25</v>
      </c>
      <c r="H268" s="239">
        <v>0</v>
      </c>
      <c r="I268" s="239">
        <f>SUM(I265:I267)</f>
        <v>8214529.25</v>
      </c>
      <c r="J268" s="411"/>
      <c r="K268" s="411"/>
      <c r="L268" s="408">
        <v>0</v>
      </c>
      <c r="M268" s="412"/>
      <c r="N268" s="408"/>
      <c r="O268" s="239">
        <f>SUM(O265:O267)</f>
        <v>8214529.25</v>
      </c>
      <c r="P268" s="239">
        <v>0</v>
      </c>
      <c r="Q268" s="239">
        <f>SUM(Q265:Q267)</f>
        <v>8214529.25</v>
      </c>
      <c r="R268" s="278"/>
      <c r="S268" s="279"/>
      <c r="T268" s="279"/>
      <c r="U268" s="413"/>
      <c r="V268" s="413"/>
      <c r="W268" s="413"/>
    </row>
    <row r="269" spans="1:25" ht="27.75" customHeight="1">
      <c r="A269" s="426"/>
      <c r="B269" s="4"/>
      <c r="C269" s="295"/>
      <c r="D269" s="427"/>
      <c r="E269" s="428"/>
      <c r="F269" s="429"/>
      <c r="G269" s="430"/>
      <c r="H269" s="430"/>
      <c r="I269" s="430"/>
      <c r="J269" s="432"/>
      <c r="K269" s="432"/>
      <c r="L269" s="427"/>
      <c r="M269" s="433"/>
      <c r="N269" s="427"/>
      <c r="O269" s="430"/>
      <c r="P269" s="430"/>
      <c r="Q269" s="430"/>
      <c r="R269" s="424"/>
      <c r="S269" s="425"/>
      <c r="T269" s="425"/>
      <c r="U269" s="345"/>
      <c r="V269" s="345"/>
      <c r="W269" s="345"/>
    </row>
    <row r="270" spans="1:25" ht="27.75" customHeight="1" thickBot="1">
      <c r="A270" s="488"/>
      <c r="B270" s="489" t="s">
        <v>498</v>
      </c>
      <c r="C270" s="490"/>
      <c r="D270" s="491">
        <f>+D268+D263+D249+D241+D236+D222+D166+D155+D151+D138+D122+D108+D92+D89+D82+D45+D31+D27+D24</f>
        <v>1052953.8399999999</v>
      </c>
      <c r="E270" s="491"/>
      <c r="F270" s="492"/>
      <c r="G270" s="493">
        <f>SUM(G268+G263+G250)</f>
        <v>7808766.7718691593</v>
      </c>
      <c r="H270" s="493">
        <f>SUM(H268+H263+H250)</f>
        <v>2175.31</v>
      </c>
      <c r="I270" s="493">
        <f>SUM(I268+I263+I250)</f>
        <v>7810942.0818691589</v>
      </c>
      <c r="J270" s="494"/>
      <c r="K270" s="494"/>
      <c r="L270" s="493">
        <f>SUM(L268+L263+L250)</f>
        <v>856118.60000000009</v>
      </c>
      <c r="M270" s="495"/>
      <c r="N270" s="496"/>
      <c r="O270" s="493">
        <f>SUM(O268+O263+O250)</f>
        <v>9118290.1737383176</v>
      </c>
      <c r="P270" s="493">
        <f>SUM(P268+P263+P250)</f>
        <v>4617.1399999999994</v>
      </c>
      <c r="Q270" s="493">
        <f>SUM(Q268+Q263+Q250)</f>
        <v>9122907.3137383182</v>
      </c>
      <c r="R270" s="497">
        <v>0</v>
      </c>
      <c r="S270" s="497">
        <v>0</v>
      </c>
      <c r="T270" s="498"/>
      <c r="U270" s="499"/>
      <c r="V270" s="499"/>
      <c r="W270" s="499"/>
    </row>
    <row r="271" spans="1:25" s="226" customFormat="1" ht="27.75" customHeight="1" thickTop="1">
      <c r="A271" s="6"/>
      <c r="B271" s="500"/>
      <c r="D271" s="501"/>
      <c r="E271" s="502"/>
      <c r="F271" s="503"/>
      <c r="G271" s="430"/>
      <c r="H271" s="430"/>
      <c r="I271" s="504"/>
      <c r="J271" s="3"/>
      <c r="K271" s="372"/>
      <c r="L271" s="501"/>
      <c r="M271" s="372"/>
      <c r="N271" s="501"/>
      <c r="O271" s="430"/>
      <c r="P271" s="430"/>
      <c r="Q271" s="504"/>
      <c r="R271" s="2"/>
      <c r="S271" s="425"/>
      <c r="T271" s="425"/>
      <c r="U271" s="345"/>
      <c r="V271" s="345"/>
    </row>
    <row r="272" spans="1:25" s="226" customFormat="1" ht="27.75" customHeight="1">
      <c r="A272" s="6"/>
      <c r="B272" s="500"/>
      <c r="D272" s="501"/>
      <c r="E272" s="502"/>
      <c r="F272" s="503"/>
      <c r="G272" s="430"/>
      <c r="H272" s="430"/>
      <c r="I272" s="504"/>
      <c r="J272" s="3"/>
      <c r="K272" s="372"/>
      <c r="L272" s="501"/>
      <c r="M272" s="372"/>
      <c r="N272" s="501"/>
      <c r="O272" s="430"/>
      <c r="P272" s="430"/>
      <c r="Q272" s="504"/>
      <c r="R272" s="2"/>
      <c r="S272" s="425"/>
      <c r="T272" s="425"/>
      <c r="U272" s="345"/>
      <c r="V272" s="345"/>
    </row>
    <row r="273" spans="1:22" s="226" customFormat="1" ht="27.75" customHeight="1">
      <c r="A273" s="684" t="s">
        <v>932</v>
      </c>
      <c r="B273" s="684"/>
      <c r="C273" s="684"/>
      <c r="D273" s="684"/>
      <c r="E273" s="684"/>
      <c r="F273" s="684"/>
      <c r="G273" s="684"/>
      <c r="H273" s="684"/>
      <c r="I273" s="684"/>
      <c r="J273" s="684"/>
      <c r="K273" s="684"/>
      <c r="L273" s="684"/>
      <c r="M273" s="684"/>
      <c r="N273" s="684"/>
      <c r="O273" s="684"/>
      <c r="P273" s="684"/>
      <c r="Q273" s="684"/>
      <c r="R273" s="684"/>
      <c r="S273" s="425"/>
      <c r="T273" s="425"/>
      <c r="U273" s="345"/>
      <c r="V273" s="345"/>
    </row>
    <row r="274" spans="1:22" s="226" customFormat="1" ht="27.75" customHeight="1">
      <c r="A274" s="678" t="s">
        <v>933</v>
      </c>
      <c r="B274" s="678"/>
      <c r="C274" s="678"/>
      <c r="D274" s="678"/>
      <c r="E274" s="678"/>
      <c r="F274" s="678"/>
      <c r="G274" s="678"/>
      <c r="H274" s="678"/>
      <c r="I274" s="678"/>
      <c r="J274" s="678"/>
      <c r="K274" s="678"/>
      <c r="L274" s="678"/>
      <c r="M274" s="678"/>
      <c r="N274" s="678"/>
      <c r="O274" s="678"/>
      <c r="P274" s="678"/>
      <c r="Q274" s="678"/>
      <c r="R274" s="678"/>
      <c r="S274" s="425"/>
      <c r="T274" s="425"/>
      <c r="U274" s="345"/>
      <c r="V274" s="345"/>
    </row>
    <row r="275" spans="1:22" s="226" customFormat="1" ht="27.75" customHeight="1">
      <c r="A275" s="678"/>
      <c r="B275" s="678"/>
      <c r="C275" s="678"/>
      <c r="D275" s="678"/>
      <c r="E275" s="678"/>
      <c r="F275" s="678"/>
      <c r="G275" s="678"/>
      <c r="H275" s="678"/>
      <c r="I275" s="678"/>
      <c r="J275" s="678"/>
      <c r="K275" s="678"/>
      <c r="L275" s="678"/>
      <c r="M275" s="678"/>
      <c r="N275" s="678"/>
      <c r="O275" s="678"/>
      <c r="P275" s="678"/>
      <c r="Q275" s="678"/>
      <c r="R275" s="678"/>
      <c r="S275" s="425"/>
      <c r="T275" s="425"/>
      <c r="U275" s="345"/>
      <c r="V275" s="345"/>
    </row>
    <row r="276" spans="1:22" s="226" customFormat="1" ht="27.75" customHeight="1">
      <c r="A276" s="6"/>
      <c r="B276" s="500"/>
      <c r="D276" s="501"/>
      <c r="E276" s="502"/>
      <c r="F276" s="503"/>
      <c r="G276" s="430"/>
      <c r="H276" s="430"/>
      <c r="I276" s="504"/>
      <c r="J276" s="3"/>
      <c r="K276" s="372"/>
      <c r="L276" s="501"/>
      <c r="M276" s="372"/>
      <c r="N276" s="501"/>
      <c r="O276" s="430"/>
      <c r="P276" s="430"/>
      <c r="Q276" s="504"/>
      <c r="R276" s="2"/>
      <c r="S276" s="425"/>
      <c r="T276" s="425"/>
      <c r="U276" s="345"/>
      <c r="V276" s="345"/>
    </row>
    <row r="277" spans="1:22" s="226" customFormat="1" ht="27.75" customHeight="1">
      <c r="A277" s="6"/>
      <c r="B277" s="500"/>
      <c r="D277" s="501"/>
      <c r="E277" s="502"/>
      <c r="F277" s="503"/>
      <c r="G277" s="430"/>
      <c r="H277" s="430"/>
      <c r="I277" s="504"/>
      <c r="J277" s="3"/>
      <c r="K277" s="372"/>
      <c r="L277" s="501"/>
      <c r="M277" s="372"/>
      <c r="N277" s="501"/>
      <c r="O277" s="430"/>
      <c r="P277" s="430"/>
      <c r="Q277" s="430"/>
      <c r="R277" s="2"/>
      <c r="S277" s="425"/>
      <c r="T277" s="425"/>
      <c r="U277" s="345"/>
      <c r="V277" s="345"/>
    </row>
    <row r="278" spans="1:22" s="226" customFormat="1" ht="27.75" customHeight="1">
      <c r="A278" s="6"/>
      <c r="B278" s="500"/>
      <c r="D278" s="501"/>
      <c r="E278" s="502"/>
      <c r="F278" s="503"/>
      <c r="G278" s="430"/>
      <c r="H278" s="430"/>
      <c r="I278" s="504"/>
      <c r="J278" s="3"/>
      <c r="K278" s="372"/>
      <c r="L278" s="501"/>
      <c r="M278" s="372"/>
      <c r="N278" s="501"/>
      <c r="O278" s="430"/>
      <c r="P278" s="430"/>
      <c r="Q278" s="504"/>
      <c r="R278" s="2"/>
      <c r="S278" s="425"/>
      <c r="T278" s="425"/>
      <c r="U278" s="345"/>
      <c r="V278" s="345"/>
    </row>
    <row r="279" spans="1:22" s="226" customFormat="1" ht="27.75" customHeight="1">
      <c r="A279" s="6"/>
      <c r="B279" s="500"/>
      <c r="D279" s="501"/>
      <c r="E279" s="502"/>
      <c r="F279" s="503"/>
      <c r="G279" s="430"/>
      <c r="H279" s="430"/>
      <c r="I279" s="504"/>
      <c r="J279" s="3"/>
      <c r="K279" s="372"/>
      <c r="L279" s="501"/>
      <c r="M279" s="372"/>
      <c r="N279" s="501"/>
      <c r="O279" s="430"/>
      <c r="P279" s="430"/>
      <c r="Q279" s="504"/>
      <c r="R279" s="2"/>
      <c r="S279" s="425"/>
      <c r="T279" s="425"/>
      <c r="U279" s="345"/>
      <c r="V279" s="345"/>
    </row>
    <row r="280" spans="1:22" s="226" customFormat="1" ht="27.75" customHeight="1">
      <c r="A280" s="6"/>
      <c r="B280" s="500"/>
      <c r="D280" s="501"/>
      <c r="E280" s="502"/>
      <c r="F280" s="503"/>
      <c r="G280" s="430"/>
      <c r="H280" s="430"/>
      <c r="I280" s="504"/>
      <c r="J280" s="3"/>
      <c r="K280" s="372"/>
      <c r="L280" s="501"/>
      <c r="M280" s="372"/>
      <c r="N280" s="501"/>
      <c r="O280" s="430"/>
      <c r="P280" s="430"/>
      <c r="Q280" s="504"/>
      <c r="R280" s="2"/>
      <c r="S280" s="425"/>
      <c r="T280" s="425"/>
      <c r="U280" s="345"/>
      <c r="V280" s="345"/>
    </row>
    <row r="281" spans="1:22" s="226" customFormat="1" ht="27.75" customHeight="1">
      <c r="A281" s="6"/>
      <c r="B281" s="500"/>
      <c r="D281" s="501"/>
      <c r="E281" s="502"/>
      <c r="F281" s="503"/>
      <c r="G281" s="430"/>
      <c r="H281" s="430"/>
      <c r="I281" s="504"/>
      <c r="J281" s="3"/>
      <c r="K281" s="372"/>
      <c r="L281" s="501"/>
      <c r="M281" s="372"/>
      <c r="N281" s="501"/>
      <c r="O281" s="430"/>
      <c r="P281" s="430"/>
      <c r="Q281" s="504"/>
      <c r="R281" s="2"/>
      <c r="S281" s="425"/>
      <c r="T281" s="425"/>
      <c r="U281" s="345"/>
      <c r="V281" s="345"/>
    </row>
    <row r="282" spans="1:22" s="226" customFormat="1" ht="27.75" customHeight="1">
      <c r="A282" s="6"/>
      <c r="B282" s="500"/>
      <c r="D282" s="501"/>
      <c r="E282" s="502"/>
      <c r="F282" s="503"/>
      <c r="G282" s="430"/>
      <c r="H282" s="430"/>
      <c r="J282" s="3"/>
      <c r="K282" s="372"/>
      <c r="L282" s="501"/>
      <c r="M282" s="372"/>
      <c r="N282" s="501"/>
      <c r="O282" s="430"/>
      <c r="P282" s="430"/>
      <c r="Q282" s="504"/>
      <c r="R282" s="2"/>
      <c r="S282" s="425"/>
      <c r="T282" s="425"/>
      <c r="U282" s="345"/>
      <c r="V282" s="345"/>
    </row>
    <row r="283" spans="1:22" s="226" customFormat="1" ht="27.75" customHeight="1">
      <c r="A283" s="6"/>
      <c r="B283" s="500"/>
      <c r="D283" s="501"/>
      <c r="E283" s="502"/>
      <c r="F283" s="503"/>
      <c r="G283" s="430"/>
      <c r="H283" s="430"/>
      <c r="I283" s="504"/>
      <c r="J283" s="3"/>
      <c r="K283" s="372"/>
      <c r="L283" s="501"/>
      <c r="M283" s="372"/>
      <c r="N283" s="501"/>
      <c r="O283" s="430"/>
      <c r="P283" s="430"/>
      <c r="Q283" s="504"/>
      <c r="R283" s="2"/>
      <c r="S283" s="425"/>
      <c r="T283" s="425"/>
      <c r="U283" s="345"/>
      <c r="V283" s="345"/>
    </row>
    <row r="284" spans="1:22" s="226" customFormat="1" ht="27.75" customHeight="1">
      <c r="A284" s="6"/>
      <c r="B284" s="500"/>
      <c r="D284" s="501"/>
      <c r="E284" s="502"/>
      <c r="F284" s="503"/>
      <c r="G284" s="430"/>
      <c r="H284" s="430"/>
      <c r="I284" s="504"/>
      <c r="J284" s="3"/>
      <c r="K284" s="372"/>
      <c r="L284" s="501"/>
      <c r="M284" s="372"/>
      <c r="N284" s="501"/>
      <c r="O284" s="430"/>
      <c r="P284" s="430"/>
      <c r="Q284" s="504"/>
      <c r="R284" s="2"/>
      <c r="S284" s="425"/>
      <c r="T284" s="425"/>
      <c r="U284" s="345"/>
      <c r="V284" s="345"/>
    </row>
    <row r="285" spans="1:22" s="226" customFormat="1" ht="27.75" customHeight="1">
      <c r="A285" s="6"/>
      <c r="B285" s="500"/>
      <c r="D285" s="501"/>
      <c r="E285" s="502"/>
      <c r="F285" s="503"/>
      <c r="G285" s="430"/>
      <c r="H285" s="430"/>
      <c r="I285" s="504"/>
      <c r="J285" s="3"/>
      <c r="K285" s="372"/>
      <c r="L285" s="501"/>
      <c r="M285" s="372"/>
      <c r="N285" s="501"/>
      <c r="O285" s="430"/>
      <c r="P285" s="430"/>
      <c r="Q285" s="504"/>
      <c r="R285" s="2"/>
      <c r="S285" s="425"/>
      <c r="T285" s="425"/>
      <c r="U285" s="345"/>
      <c r="V285" s="345"/>
    </row>
    <row r="286" spans="1:22" s="226" customFormat="1" ht="27.75" customHeight="1">
      <c r="A286" s="6"/>
      <c r="B286" s="500"/>
      <c r="D286" s="501"/>
      <c r="E286" s="502"/>
      <c r="F286" s="503"/>
      <c r="G286" s="430"/>
      <c r="H286" s="430"/>
      <c r="I286" s="504"/>
      <c r="J286" s="3"/>
      <c r="K286" s="372"/>
      <c r="L286" s="501"/>
      <c r="M286" s="372"/>
      <c r="N286" s="501"/>
      <c r="O286" s="430"/>
      <c r="P286" s="430"/>
      <c r="Q286" s="504"/>
      <c r="R286" s="2"/>
      <c r="S286" s="425"/>
      <c r="T286" s="425"/>
      <c r="U286" s="345"/>
      <c r="V286" s="345"/>
    </row>
    <row r="287" spans="1:22" s="226" customFormat="1" ht="27.75" customHeight="1">
      <c r="A287" s="6"/>
      <c r="D287" s="501"/>
      <c r="E287" s="502"/>
      <c r="F287" s="503"/>
      <c r="G287" s="430"/>
      <c r="H287" s="430"/>
      <c r="I287" s="504"/>
      <c r="J287" s="3"/>
      <c r="K287" s="372"/>
      <c r="L287" s="501"/>
      <c r="M287" s="372"/>
      <c r="N287" s="501"/>
      <c r="O287" s="430"/>
      <c r="P287" s="430"/>
      <c r="Q287" s="504"/>
      <c r="R287" s="2"/>
      <c r="S287" s="425"/>
      <c r="T287" s="425"/>
      <c r="U287" s="345"/>
      <c r="V287" s="345"/>
    </row>
    <row r="288" spans="1:22" ht="27.75" customHeight="1">
      <c r="B288" s="4"/>
      <c r="D288" s="4"/>
      <c r="E288" s="505"/>
      <c r="G288" s="504"/>
      <c r="H288" s="504"/>
      <c r="L288" s="4"/>
      <c r="N288" s="4"/>
      <c r="O288" s="507"/>
      <c r="P288" s="507"/>
      <c r="U288" s="4"/>
      <c r="V288" s="4"/>
    </row>
    <row r="289" spans="2:22" ht="27.75" customHeight="1">
      <c r="B289" s="4"/>
      <c r="D289" s="4"/>
      <c r="E289" s="505"/>
      <c r="G289" s="504"/>
      <c r="H289" s="504"/>
      <c r="L289" s="4"/>
      <c r="N289" s="4"/>
      <c r="O289" s="507"/>
      <c r="P289" s="507"/>
      <c r="U289" s="4"/>
      <c r="V289" s="4"/>
    </row>
    <row r="290" spans="2:22" ht="27.75" customHeight="1">
      <c r="B290" s="4"/>
      <c r="D290" s="4"/>
      <c r="E290" s="505"/>
      <c r="G290" s="504"/>
      <c r="H290" s="504"/>
      <c r="I290" s="509"/>
      <c r="L290" s="4"/>
      <c r="N290" s="4"/>
      <c r="O290" s="507"/>
      <c r="P290" s="507"/>
      <c r="U290" s="4"/>
      <c r="V290" s="4"/>
    </row>
    <row r="291" spans="2:22" ht="27.75" customHeight="1">
      <c r="B291" s="4"/>
      <c r="D291" s="4"/>
      <c r="E291" s="505"/>
      <c r="G291" s="504"/>
      <c r="H291" s="504"/>
      <c r="L291" s="4"/>
      <c r="N291" s="4"/>
      <c r="O291" s="507"/>
      <c r="P291" s="507"/>
      <c r="U291" s="4"/>
      <c r="V291" s="4"/>
    </row>
    <row r="292" spans="2:22" ht="27.75" customHeight="1">
      <c r="B292" s="4"/>
      <c r="D292" s="4"/>
      <c r="E292" s="505"/>
      <c r="G292" s="504"/>
      <c r="H292" s="504"/>
      <c r="L292" s="4"/>
      <c r="N292" s="4"/>
      <c r="O292" s="507"/>
      <c r="P292" s="507"/>
      <c r="U292" s="4"/>
      <c r="V292" s="4"/>
    </row>
    <row r="293" spans="2:22" ht="27.75" customHeight="1">
      <c r="B293" s="4"/>
      <c r="D293" s="4"/>
      <c r="E293" s="505"/>
      <c r="G293" s="504"/>
      <c r="H293" s="504"/>
      <c r="L293" s="4"/>
      <c r="N293" s="4"/>
      <c r="O293" s="507"/>
      <c r="P293" s="507"/>
      <c r="U293" s="4"/>
      <c r="V293" s="4"/>
    </row>
    <row r="294" spans="2:22" ht="27.75" customHeight="1">
      <c r="B294" s="4"/>
      <c r="D294" s="4"/>
      <c r="E294" s="505"/>
      <c r="G294" s="504"/>
      <c r="H294" s="504"/>
      <c r="L294" s="4"/>
      <c r="N294" s="4"/>
      <c r="O294" s="507"/>
      <c r="P294" s="507"/>
      <c r="U294" s="4"/>
      <c r="V294" s="4"/>
    </row>
    <row r="295" spans="2:22" ht="27.75" customHeight="1">
      <c r="B295" s="4"/>
      <c r="D295" s="4"/>
      <c r="E295" s="505"/>
      <c r="G295" s="504"/>
      <c r="H295" s="504"/>
      <c r="L295" s="4"/>
      <c r="N295" s="4"/>
      <c r="O295" s="507"/>
      <c r="P295" s="507"/>
      <c r="U295" s="4"/>
      <c r="V295" s="4"/>
    </row>
    <row r="296" spans="2:22" ht="27.75" customHeight="1">
      <c r="B296" s="4"/>
      <c r="D296" s="4"/>
      <c r="E296" s="505"/>
      <c r="G296" s="504"/>
      <c r="H296" s="504"/>
      <c r="L296" s="4"/>
      <c r="N296" s="4"/>
      <c r="O296" s="507"/>
      <c r="P296" s="507"/>
      <c r="U296" s="4"/>
      <c r="V296" s="4"/>
    </row>
    <row r="297" spans="2:22" ht="27.75" customHeight="1">
      <c r="B297" s="4"/>
      <c r="D297" s="4"/>
      <c r="E297" s="505"/>
      <c r="G297" s="504"/>
      <c r="H297" s="504"/>
      <c r="L297" s="4"/>
      <c r="N297" s="4"/>
      <c r="O297" s="507"/>
      <c r="P297" s="507"/>
      <c r="U297" s="4"/>
      <c r="V297" s="4"/>
    </row>
    <row r="298" spans="2:22" ht="27.75" customHeight="1">
      <c r="B298" s="4"/>
      <c r="D298" s="4"/>
      <c r="E298" s="505"/>
      <c r="G298" s="504"/>
      <c r="H298" s="504"/>
      <c r="L298" s="4"/>
      <c r="N298" s="4"/>
      <c r="O298" s="507"/>
      <c r="P298" s="507"/>
      <c r="U298" s="4"/>
      <c r="V298" s="4"/>
    </row>
    <row r="299" spans="2:22" ht="27.75" customHeight="1">
      <c r="B299" s="4"/>
      <c r="D299" s="4"/>
      <c r="E299" s="505"/>
      <c r="G299" s="504"/>
      <c r="H299" s="504"/>
      <c r="L299" s="4"/>
      <c r="N299" s="4"/>
      <c r="O299" s="507"/>
      <c r="P299" s="507"/>
      <c r="U299" s="4"/>
      <c r="V299" s="4"/>
    </row>
    <row r="300" spans="2:22" ht="27.75" customHeight="1">
      <c r="B300" s="4"/>
      <c r="D300" s="4"/>
      <c r="E300" s="505"/>
      <c r="G300" s="504"/>
      <c r="H300" s="504"/>
      <c r="L300" s="4"/>
      <c r="N300" s="4"/>
      <c r="O300" s="507"/>
      <c r="P300" s="507"/>
      <c r="U300" s="4"/>
      <c r="V300" s="4"/>
    </row>
    <row r="301" spans="2:22" ht="27.75" customHeight="1">
      <c r="B301" s="4"/>
      <c r="D301" s="4"/>
      <c r="E301" s="505"/>
      <c r="G301" s="504"/>
      <c r="H301" s="504"/>
      <c r="L301" s="4"/>
      <c r="N301" s="4"/>
      <c r="O301" s="507"/>
      <c r="P301" s="507"/>
      <c r="U301" s="4"/>
      <c r="V301" s="4"/>
    </row>
    <row r="302" spans="2:22" ht="27.75" customHeight="1">
      <c r="B302" s="4"/>
      <c r="D302" s="4"/>
      <c r="E302" s="505"/>
      <c r="G302" s="504"/>
      <c r="H302" s="504"/>
      <c r="L302" s="4"/>
      <c r="N302" s="4"/>
      <c r="O302" s="507"/>
      <c r="P302" s="507"/>
      <c r="U302" s="4"/>
      <c r="V302" s="4"/>
    </row>
    <row r="303" spans="2:22" ht="27.75" customHeight="1">
      <c r="B303" s="4"/>
      <c r="D303" s="4"/>
      <c r="E303" s="505"/>
      <c r="G303" s="504"/>
      <c r="H303" s="504"/>
      <c r="L303" s="4"/>
      <c r="N303" s="4"/>
      <c r="O303" s="507"/>
      <c r="P303" s="507"/>
      <c r="U303" s="4"/>
      <c r="V303" s="4"/>
    </row>
    <row r="315" spans="2:22" ht="27.75" customHeight="1">
      <c r="B315" s="4"/>
      <c r="D315" s="4"/>
      <c r="E315" s="505"/>
      <c r="G315" s="504"/>
      <c r="H315" s="504"/>
      <c r="L315" s="4"/>
      <c r="N315" s="4"/>
      <c r="O315" s="507"/>
      <c r="P315" s="507"/>
      <c r="R315" s="4"/>
      <c r="S315" s="4"/>
      <c r="T315" s="4"/>
      <c r="U315" s="4"/>
      <c r="V315" s="4"/>
    </row>
    <row r="316" spans="2:22" ht="27.75" customHeight="1">
      <c r="B316" s="4"/>
      <c r="D316" s="4"/>
      <c r="E316" s="505"/>
      <c r="G316" s="504"/>
      <c r="H316" s="504"/>
      <c r="L316" s="4"/>
      <c r="N316" s="4"/>
      <c r="O316" s="507"/>
      <c r="P316" s="507"/>
      <c r="R316" s="4"/>
      <c r="S316" s="4"/>
      <c r="T316" s="4"/>
      <c r="U316" s="4"/>
      <c r="V316" s="4"/>
    </row>
    <row r="317" spans="2:22" ht="27.75" customHeight="1">
      <c r="B317" s="4"/>
      <c r="D317" s="4"/>
      <c r="E317" s="505"/>
      <c r="G317" s="504"/>
      <c r="H317" s="504"/>
      <c r="L317" s="4"/>
      <c r="N317" s="4"/>
      <c r="O317" s="507"/>
      <c r="P317" s="507"/>
      <c r="R317" s="4"/>
      <c r="S317" s="4"/>
      <c r="T317" s="4"/>
      <c r="U317" s="4"/>
      <c r="V317" s="4"/>
    </row>
    <row r="318" spans="2:22" ht="27.75" customHeight="1">
      <c r="B318" s="4"/>
      <c r="D318" s="4"/>
      <c r="E318" s="505"/>
      <c r="G318" s="504"/>
      <c r="H318" s="504"/>
      <c r="L318" s="4"/>
      <c r="N318" s="4"/>
      <c r="O318" s="507"/>
      <c r="P318" s="507"/>
      <c r="R318" s="4"/>
      <c r="S318" s="4"/>
      <c r="T318" s="4"/>
      <c r="U318" s="4"/>
      <c r="V318" s="4"/>
    </row>
    <row r="319" spans="2:22" ht="27.75" customHeight="1">
      <c r="B319" s="4"/>
      <c r="D319" s="4"/>
      <c r="E319" s="505"/>
      <c r="G319" s="504"/>
      <c r="H319" s="504"/>
      <c r="L319" s="4"/>
      <c r="N319" s="4"/>
      <c r="O319" s="507"/>
      <c r="P319" s="507"/>
      <c r="R319" s="4"/>
      <c r="S319" s="4"/>
      <c r="T319" s="4"/>
      <c r="U319" s="4"/>
      <c r="V319" s="4"/>
    </row>
    <row r="320" spans="2:22" ht="27.75" customHeight="1">
      <c r="B320" s="4"/>
      <c r="D320" s="4"/>
      <c r="E320" s="505"/>
      <c r="G320" s="504"/>
      <c r="H320" s="504"/>
      <c r="L320" s="4"/>
      <c r="N320" s="4"/>
      <c r="O320" s="507"/>
      <c r="P320" s="507"/>
      <c r="R320" s="4"/>
      <c r="S320" s="4"/>
      <c r="T320" s="4"/>
      <c r="U320" s="4"/>
      <c r="V320" s="4"/>
    </row>
    <row r="321" spans="2:22" ht="27.75" customHeight="1">
      <c r="B321" s="4"/>
      <c r="D321" s="4"/>
      <c r="E321" s="505"/>
      <c r="G321" s="504"/>
      <c r="H321" s="504"/>
      <c r="L321" s="4"/>
      <c r="N321" s="4"/>
      <c r="O321" s="507"/>
      <c r="P321" s="507"/>
      <c r="R321" s="4"/>
      <c r="S321" s="4"/>
      <c r="T321" s="4"/>
      <c r="U321" s="4"/>
      <c r="V321" s="4"/>
    </row>
    <row r="322" spans="2:22" ht="27.75" customHeight="1">
      <c r="B322" s="4"/>
      <c r="D322" s="4"/>
      <c r="E322" s="505"/>
      <c r="G322" s="504"/>
      <c r="H322" s="504"/>
      <c r="L322" s="4"/>
      <c r="N322" s="4"/>
      <c r="O322" s="507"/>
      <c r="P322" s="507"/>
      <c r="R322" s="4"/>
      <c r="S322" s="4"/>
      <c r="T322" s="4"/>
      <c r="U322" s="4"/>
      <c r="V322" s="4"/>
    </row>
    <row r="323" spans="2:22" ht="27.75" customHeight="1">
      <c r="B323" s="4"/>
      <c r="D323" s="4"/>
      <c r="E323" s="505"/>
      <c r="G323" s="504"/>
      <c r="H323" s="504"/>
      <c r="L323" s="4"/>
      <c r="N323" s="4"/>
      <c r="O323" s="507"/>
      <c r="P323" s="507"/>
      <c r="R323" s="4"/>
      <c r="S323" s="4"/>
      <c r="T323" s="4"/>
      <c r="U323" s="4"/>
      <c r="V323" s="4"/>
    </row>
    <row r="324" spans="2:22" ht="27.75" customHeight="1">
      <c r="B324" s="4"/>
      <c r="D324" s="4"/>
      <c r="E324" s="505"/>
      <c r="G324" s="504"/>
      <c r="H324" s="504"/>
      <c r="L324" s="4"/>
      <c r="N324" s="4"/>
      <c r="O324" s="507"/>
      <c r="P324" s="507"/>
      <c r="R324" s="4"/>
      <c r="S324" s="4"/>
      <c r="T324" s="4"/>
      <c r="U324" s="4"/>
      <c r="V324" s="4"/>
    </row>
    <row r="325" spans="2:22" ht="27.75" customHeight="1">
      <c r="B325" s="4"/>
      <c r="D325" s="4"/>
      <c r="E325" s="505"/>
      <c r="G325" s="504"/>
      <c r="H325" s="504"/>
      <c r="L325" s="4"/>
      <c r="N325" s="4"/>
      <c r="O325" s="507"/>
      <c r="P325" s="507"/>
      <c r="R325" s="4"/>
      <c r="S325" s="4"/>
      <c r="T325" s="4"/>
      <c r="U325" s="4"/>
      <c r="V325" s="4"/>
    </row>
    <row r="326" spans="2:22" ht="27.75" customHeight="1">
      <c r="B326" s="4"/>
      <c r="D326" s="4"/>
      <c r="E326" s="505"/>
      <c r="G326" s="504"/>
      <c r="H326" s="504"/>
      <c r="L326" s="4"/>
      <c r="N326" s="4"/>
      <c r="O326" s="507"/>
      <c r="P326" s="507"/>
      <c r="R326" s="4"/>
      <c r="S326" s="4"/>
      <c r="T326" s="4"/>
      <c r="U326" s="4"/>
      <c r="V326" s="4"/>
    </row>
    <row r="327" spans="2:22" ht="27.75" customHeight="1">
      <c r="B327" s="4"/>
      <c r="D327" s="4"/>
      <c r="E327" s="505"/>
      <c r="G327" s="504"/>
      <c r="H327" s="504"/>
      <c r="L327" s="4"/>
      <c r="N327" s="4"/>
      <c r="O327" s="507"/>
      <c r="P327" s="507"/>
      <c r="R327" s="4"/>
      <c r="S327" s="4"/>
      <c r="T327" s="4"/>
      <c r="U327" s="4"/>
      <c r="V327" s="4"/>
    </row>
  </sheetData>
  <mergeCells count="28">
    <mergeCell ref="A1:Q1"/>
    <mergeCell ref="A2:Q2"/>
    <mergeCell ref="A3:Q3"/>
    <mergeCell ref="E4:I4"/>
    <mergeCell ref="M4:Q4"/>
    <mergeCell ref="S4:S6"/>
    <mergeCell ref="T4:T6"/>
    <mergeCell ref="U4:U6"/>
    <mergeCell ref="V4:V6"/>
    <mergeCell ref="A5:A6"/>
    <mergeCell ref="B5:B6"/>
    <mergeCell ref="C5:C6"/>
    <mergeCell ref="D5:D6"/>
    <mergeCell ref="E5:E6"/>
    <mergeCell ref="F5:F6"/>
    <mergeCell ref="R4:R6"/>
    <mergeCell ref="G5:I5"/>
    <mergeCell ref="K5:K6"/>
    <mergeCell ref="L5:L6"/>
    <mergeCell ref="M5:M6"/>
    <mergeCell ref="A274:R274"/>
    <mergeCell ref="A275:R275"/>
    <mergeCell ref="N5:N6"/>
    <mergeCell ref="O5:Q5"/>
    <mergeCell ref="B255:D255"/>
    <mergeCell ref="B259:D259"/>
    <mergeCell ref="B262:D262"/>
    <mergeCell ref="A273:R27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2FA76-1212-4031-9987-E9B24647D3D1}">
  <sheetPr>
    <tabColor rgb="FF00B0F0"/>
  </sheetPr>
  <dimension ref="A1:J248"/>
  <sheetViews>
    <sheetView zoomScale="60" zoomScaleNormal="60" workbookViewId="0">
      <pane ySplit="6" topLeftCell="A192" activePane="bottomLeft" state="frozen"/>
      <selection pane="bottomLeft" activeCell="H200" sqref="H200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1.6640625" style="3" customWidth="1"/>
    <col min="5" max="5" width="24.5546875" style="372" customWidth="1"/>
    <col min="6" max="6" width="22.109375" style="512" customWidth="1"/>
    <col min="7" max="7" width="8.88671875" style="4"/>
    <col min="8" max="8" width="19.44140625" style="4" customWidth="1"/>
    <col min="9" max="9" width="8.88671875" style="4"/>
    <col min="10" max="10" width="12.6640625" style="4" bestFit="1" customWidth="1"/>
    <col min="11" max="16384" width="8.88671875" style="4"/>
  </cols>
  <sheetData>
    <row r="1" spans="1:6" ht="28.5" customHeight="1">
      <c r="A1" s="653" t="s">
        <v>0</v>
      </c>
      <c r="B1" s="653"/>
      <c r="C1" s="653"/>
      <c r="D1" s="653"/>
      <c r="E1" s="653"/>
      <c r="F1" s="653"/>
    </row>
    <row r="2" spans="1:6" ht="23.25" customHeight="1">
      <c r="A2" s="653" t="s">
        <v>1</v>
      </c>
      <c r="B2" s="653"/>
      <c r="C2" s="653"/>
      <c r="D2" s="653"/>
      <c r="E2" s="653"/>
      <c r="F2" s="653"/>
    </row>
    <row r="3" spans="1:6" ht="28.5" customHeight="1">
      <c r="A3" s="654" t="s">
        <v>935</v>
      </c>
      <c r="B3" s="654"/>
      <c r="C3" s="654"/>
      <c r="D3" s="654"/>
      <c r="E3" s="654"/>
      <c r="F3" s="654"/>
    </row>
    <row r="4" spans="1:6" ht="27.75" customHeight="1">
      <c r="A4" s="7"/>
      <c r="B4" s="8"/>
      <c r="C4" s="9"/>
      <c r="D4" s="11"/>
      <c r="E4" s="12" t="s">
        <v>4</v>
      </c>
      <c r="F4" s="13"/>
    </row>
    <row r="5" spans="1:6" ht="27.75" customHeight="1">
      <c r="A5" s="664" t="s">
        <v>11</v>
      </c>
      <c r="B5" s="666" t="s">
        <v>12</v>
      </c>
      <c r="C5" s="666" t="s">
        <v>13</v>
      </c>
      <c r="D5" s="14" t="s">
        <v>18</v>
      </c>
      <c r="E5" s="691" t="s">
        <v>19</v>
      </c>
      <c r="F5" s="693" t="s">
        <v>20</v>
      </c>
    </row>
    <row r="6" spans="1:6" ht="27.75" customHeight="1" thickBot="1">
      <c r="A6" s="665"/>
      <c r="B6" s="667"/>
      <c r="C6" s="667"/>
      <c r="D6" s="18"/>
      <c r="E6" s="692"/>
      <c r="F6" s="694"/>
    </row>
    <row r="7" spans="1:6" ht="27.75" customHeight="1" thickTop="1">
      <c r="A7" s="22"/>
      <c r="B7" s="23" t="s">
        <v>23</v>
      </c>
      <c r="C7" s="24"/>
      <c r="D7" s="29"/>
      <c r="E7" s="30"/>
      <c r="F7" s="31"/>
    </row>
    <row r="8" spans="1:6" s="57" customFormat="1" ht="27.75" customHeight="1">
      <c r="A8" s="39">
        <v>1</v>
      </c>
      <c r="B8" s="40" t="s">
        <v>24</v>
      </c>
      <c r="C8" s="41" t="s">
        <v>25</v>
      </c>
      <c r="D8" s="48">
        <v>46057</v>
      </c>
      <c r="E8" s="49" t="s">
        <v>936</v>
      </c>
      <c r="F8" s="50">
        <v>4012.5</v>
      </c>
    </row>
    <row r="9" spans="1:6" s="57" customFormat="1" ht="27.75" customHeight="1">
      <c r="A9" s="39">
        <v>2</v>
      </c>
      <c r="B9" s="40" t="s">
        <v>28</v>
      </c>
      <c r="C9" s="41" t="s">
        <v>29</v>
      </c>
      <c r="D9" s="48">
        <v>46081</v>
      </c>
      <c r="E9" s="49" t="s">
        <v>937</v>
      </c>
      <c r="F9" s="50">
        <v>4012.5</v>
      </c>
    </row>
    <row r="10" spans="1:6" s="57" customFormat="1" ht="27.75" customHeight="1">
      <c r="A10" s="39">
        <v>3</v>
      </c>
      <c r="B10" s="40" t="s">
        <v>24</v>
      </c>
      <c r="C10" s="41" t="s">
        <v>33</v>
      </c>
      <c r="D10" s="48">
        <v>46057</v>
      </c>
      <c r="E10" s="49" t="s">
        <v>936</v>
      </c>
      <c r="F10" s="50">
        <v>4012.5</v>
      </c>
    </row>
    <row r="11" spans="1:6" s="57" customFormat="1" ht="27.75" customHeight="1">
      <c r="A11" s="39">
        <v>4</v>
      </c>
      <c r="B11" s="40" t="s">
        <v>34</v>
      </c>
      <c r="C11" s="41" t="s">
        <v>35</v>
      </c>
      <c r="D11" s="48">
        <v>46081</v>
      </c>
      <c r="E11" s="49" t="s">
        <v>937</v>
      </c>
      <c r="F11" s="50">
        <v>4012.5</v>
      </c>
    </row>
    <row r="12" spans="1:6" s="57" customFormat="1" ht="27.75" customHeight="1">
      <c r="A12" s="39">
        <v>5</v>
      </c>
      <c r="B12" s="40" t="s">
        <v>36</v>
      </c>
      <c r="C12" s="41" t="s">
        <v>37</v>
      </c>
      <c r="D12" s="48">
        <v>46058</v>
      </c>
      <c r="E12" s="49" t="s">
        <v>938</v>
      </c>
      <c r="F12" s="50">
        <v>4012.5</v>
      </c>
    </row>
    <row r="13" spans="1:6" s="57" customFormat="1" ht="27.75" customHeight="1">
      <c r="A13" s="39">
        <v>6</v>
      </c>
      <c r="B13" s="40" t="s">
        <v>34</v>
      </c>
      <c r="C13" s="41" t="s">
        <v>39</v>
      </c>
      <c r="D13" s="48">
        <v>46081</v>
      </c>
      <c r="E13" s="49" t="s">
        <v>937</v>
      </c>
      <c r="F13" s="50">
        <v>4012.5</v>
      </c>
    </row>
    <row r="14" spans="1:6" s="57" customFormat="1" ht="27.75" customHeight="1">
      <c r="A14" s="39">
        <v>7</v>
      </c>
      <c r="B14" s="40" t="s">
        <v>40</v>
      </c>
      <c r="C14" s="41" t="s">
        <v>41</v>
      </c>
      <c r="D14" s="48">
        <v>46057</v>
      </c>
      <c r="E14" s="49" t="s">
        <v>939</v>
      </c>
      <c r="F14" s="50">
        <v>4012.5</v>
      </c>
    </row>
    <row r="15" spans="1:6" s="57" customFormat="1" ht="27.75" customHeight="1">
      <c r="A15" s="39">
        <v>8</v>
      </c>
      <c r="B15" s="40" t="s">
        <v>47</v>
      </c>
      <c r="C15" s="41" t="s">
        <v>48</v>
      </c>
      <c r="D15" s="48">
        <v>46058</v>
      </c>
      <c r="E15" s="49" t="s">
        <v>940</v>
      </c>
      <c r="F15" s="50">
        <v>4012.5</v>
      </c>
    </row>
    <row r="16" spans="1:6" s="57" customFormat="1" ht="27.75" customHeight="1">
      <c r="A16" s="39">
        <v>9</v>
      </c>
      <c r="B16" s="40" t="s">
        <v>50</v>
      </c>
      <c r="C16" s="41" t="s">
        <v>51</v>
      </c>
      <c r="D16" s="48">
        <v>46058</v>
      </c>
      <c r="E16" s="49" t="s">
        <v>941</v>
      </c>
      <c r="F16" s="50">
        <v>4012.5</v>
      </c>
    </row>
    <row r="17" spans="1:8" s="57" customFormat="1" ht="27.75" customHeight="1">
      <c r="A17" s="39">
        <v>10</v>
      </c>
      <c r="B17" s="40" t="s">
        <v>53</v>
      </c>
      <c r="C17" s="41" t="s">
        <v>54</v>
      </c>
      <c r="D17" s="48">
        <v>46057</v>
      </c>
      <c r="E17" s="59" t="s">
        <v>942</v>
      </c>
      <c r="F17" s="50">
        <v>4012.5</v>
      </c>
    </row>
    <row r="18" spans="1:8" s="57" customFormat="1" ht="27.75" customHeight="1">
      <c r="A18" s="39">
        <v>11</v>
      </c>
      <c r="B18" s="40" t="s">
        <v>57</v>
      </c>
      <c r="C18" s="41" t="s">
        <v>58</v>
      </c>
      <c r="D18" s="48">
        <v>46054</v>
      </c>
      <c r="E18" s="49" t="s">
        <v>943</v>
      </c>
      <c r="F18" s="50">
        <v>4012.5</v>
      </c>
    </row>
    <row r="19" spans="1:8" s="57" customFormat="1" ht="27.75" customHeight="1">
      <c r="A19" s="39">
        <v>12</v>
      </c>
      <c r="B19" s="40" t="s">
        <v>60</v>
      </c>
      <c r="C19" s="41" t="s">
        <v>61</v>
      </c>
      <c r="D19" s="48">
        <v>46054</v>
      </c>
      <c r="E19" s="49" t="s">
        <v>944</v>
      </c>
      <c r="F19" s="50">
        <v>4012.5</v>
      </c>
    </row>
    <row r="20" spans="1:8" s="57" customFormat="1" ht="27.75" customHeight="1">
      <c r="A20" s="39">
        <v>13</v>
      </c>
      <c r="B20" s="40" t="s">
        <v>63</v>
      </c>
      <c r="C20" s="41" t="s">
        <v>64</v>
      </c>
      <c r="D20" s="48">
        <v>46058</v>
      </c>
      <c r="E20" s="49" t="s">
        <v>945</v>
      </c>
      <c r="F20" s="50">
        <v>4012.5</v>
      </c>
    </row>
    <row r="21" spans="1:8" s="57" customFormat="1" ht="35.25" customHeight="1" thickBot="1">
      <c r="A21" s="67"/>
      <c r="B21" s="68" t="s">
        <v>22</v>
      </c>
      <c r="C21" s="69"/>
      <c r="D21" s="74"/>
      <c r="E21" s="75"/>
      <c r="F21" s="76">
        <v>52162.5</v>
      </c>
      <c r="H21" s="57">
        <f>SUM(F8:F20)</f>
        <v>52162.5</v>
      </c>
    </row>
    <row r="22" spans="1:8" s="91" customFormat="1" ht="27.75" customHeight="1" thickTop="1">
      <c r="A22" s="39">
        <v>1</v>
      </c>
      <c r="B22" s="80" t="s">
        <v>71</v>
      </c>
      <c r="C22" s="81" t="s">
        <v>72</v>
      </c>
      <c r="D22" s="48">
        <v>46078</v>
      </c>
      <c r="E22" s="49" t="s">
        <v>946</v>
      </c>
      <c r="F22" s="86">
        <v>13375</v>
      </c>
    </row>
    <row r="23" spans="1:8" s="57" customFormat="1" ht="27.75" customHeight="1">
      <c r="A23" s="39">
        <v>2</v>
      </c>
      <c r="B23" s="92" t="s">
        <v>76</v>
      </c>
      <c r="C23" s="41" t="s">
        <v>72</v>
      </c>
      <c r="D23" s="62">
        <v>46058</v>
      </c>
      <c r="E23" s="49" t="s">
        <v>947</v>
      </c>
      <c r="F23" s="93">
        <v>1605</v>
      </c>
    </row>
    <row r="24" spans="1:8" s="57" customFormat="1" ht="27.75" customHeight="1" thickBot="1">
      <c r="A24" s="96"/>
      <c r="B24" s="97" t="s">
        <v>22</v>
      </c>
      <c r="C24" s="98"/>
      <c r="D24" s="103"/>
      <c r="E24" s="104"/>
      <c r="F24" s="105">
        <v>14980</v>
      </c>
      <c r="H24" s="57">
        <f>SUM(F22:F23)</f>
        <v>14980</v>
      </c>
    </row>
    <row r="25" spans="1:8" ht="27.75" customHeight="1" thickTop="1">
      <c r="A25" s="39">
        <v>1</v>
      </c>
      <c r="B25" s="40" t="s">
        <v>82</v>
      </c>
      <c r="C25" s="41" t="s">
        <v>72</v>
      </c>
      <c r="D25" s="113">
        <v>46062</v>
      </c>
      <c r="E25" s="114" t="s">
        <v>949</v>
      </c>
      <c r="F25" s="115">
        <v>1754.8</v>
      </c>
    </row>
    <row r="26" spans="1:8" ht="27.75" customHeight="1">
      <c r="A26" s="39">
        <v>2</v>
      </c>
      <c r="B26" s="40" t="s">
        <v>85</v>
      </c>
      <c r="C26" s="41" t="s">
        <v>72</v>
      </c>
      <c r="D26" s="117">
        <v>46058</v>
      </c>
      <c r="E26" s="118" t="s">
        <v>950</v>
      </c>
      <c r="F26" s="119">
        <v>10000</v>
      </c>
    </row>
    <row r="27" spans="1:8" s="57" customFormat="1" ht="27.75" customHeight="1" thickBot="1">
      <c r="A27" s="96"/>
      <c r="B27" s="97" t="s">
        <v>22</v>
      </c>
      <c r="C27" s="98"/>
      <c r="D27" s="103"/>
      <c r="E27" s="104"/>
      <c r="F27" s="105">
        <v>11754.8</v>
      </c>
      <c r="H27" s="57">
        <f>SUM(F25:F26)</f>
        <v>11754.8</v>
      </c>
    </row>
    <row r="28" spans="1:8" ht="27.75" hidden="1" customHeight="1" thickBot="1">
      <c r="A28" s="39">
        <v>1</v>
      </c>
      <c r="B28" s="40" t="s">
        <v>88</v>
      </c>
      <c r="C28" s="41" t="s">
        <v>72</v>
      </c>
      <c r="D28" s="113"/>
      <c r="E28" s="118"/>
      <c r="F28" s="121">
        <v>0</v>
      </c>
    </row>
    <row r="29" spans="1:8" ht="27.75" hidden="1" customHeight="1" thickTop="1">
      <c r="A29" s="39">
        <v>2</v>
      </c>
      <c r="B29" s="40" t="s">
        <v>89</v>
      </c>
      <c r="C29" s="41" t="s">
        <v>72</v>
      </c>
      <c r="D29" s="113"/>
      <c r="E29" s="118"/>
      <c r="F29" s="121">
        <v>0</v>
      </c>
    </row>
    <row r="30" spans="1:8" ht="27.75" hidden="1" customHeight="1" thickTop="1">
      <c r="A30" s="39">
        <v>3</v>
      </c>
      <c r="B30" s="40" t="s">
        <v>90</v>
      </c>
      <c r="C30" s="41" t="s">
        <v>72</v>
      </c>
      <c r="D30" s="113"/>
      <c r="E30" s="118"/>
      <c r="F30" s="121"/>
    </row>
    <row r="31" spans="1:8" ht="27.75" hidden="1" customHeight="1" thickTop="1">
      <c r="A31" s="39">
        <v>4</v>
      </c>
      <c r="B31" s="40" t="s">
        <v>91</v>
      </c>
      <c r="C31" s="41" t="s">
        <v>72</v>
      </c>
      <c r="D31" s="113"/>
      <c r="E31" s="118"/>
      <c r="F31" s="121">
        <v>0</v>
      </c>
    </row>
    <row r="32" spans="1:8" ht="27.75" hidden="1" customHeight="1" thickTop="1">
      <c r="A32" s="39">
        <v>5</v>
      </c>
      <c r="B32" s="40" t="s">
        <v>92</v>
      </c>
      <c r="C32" s="41" t="s">
        <v>72</v>
      </c>
      <c r="D32" s="117"/>
      <c r="E32" s="118"/>
      <c r="F32" s="119">
        <v>0</v>
      </c>
    </row>
    <row r="33" spans="1:6" ht="27.75" hidden="1" customHeight="1" thickTop="1">
      <c r="A33" s="39">
        <v>6</v>
      </c>
      <c r="B33" s="123" t="s">
        <v>93</v>
      </c>
      <c r="C33" s="41" t="s">
        <v>72</v>
      </c>
      <c r="D33" s="127"/>
      <c r="E33" s="128"/>
      <c r="F33" s="129">
        <v>0</v>
      </c>
    </row>
    <row r="34" spans="1:6" ht="27.75" hidden="1" customHeight="1" thickTop="1">
      <c r="A34" s="39">
        <v>7</v>
      </c>
      <c r="B34" s="40" t="s">
        <v>94</v>
      </c>
      <c r="C34" s="41" t="s">
        <v>72</v>
      </c>
      <c r="D34" s="117"/>
      <c r="E34" s="118"/>
      <c r="F34" s="119">
        <v>0</v>
      </c>
    </row>
    <row r="35" spans="1:6" ht="27.75" hidden="1" customHeight="1" thickTop="1">
      <c r="A35" s="39">
        <v>8</v>
      </c>
      <c r="B35" s="40" t="s">
        <v>95</v>
      </c>
      <c r="C35" s="41" t="s">
        <v>72</v>
      </c>
      <c r="D35" s="117"/>
      <c r="E35" s="118"/>
      <c r="F35" s="119">
        <v>0</v>
      </c>
    </row>
    <row r="36" spans="1:6" ht="27.75" hidden="1" customHeight="1" thickTop="1">
      <c r="A36" s="39">
        <v>9</v>
      </c>
      <c r="B36" s="40" t="s">
        <v>96</v>
      </c>
      <c r="C36" s="41" t="s">
        <v>72</v>
      </c>
      <c r="D36" s="117"/>
      <c r="E36" s="118"/>
      <c r="F36" s="119">
        <v>0</v>
      </c>
    </row>
    <row r="37" spans="1:6" ht="27.75" hidden="1" customHeight="1" thickTop="1">
      <c r="A37" s="39">
        <v>10</v>
      </c>
      <c r="B37" s="40" t="s">
        <v>97</v>
      </c>
      <c r="C37" s="41" t="s">
        <v>72</v>
      </c>
      <c r="D37" s="117"/>
      <c r="E37" s="118"/>
      <c r="F37" s="119">
        <v>0</v>
      </c>
    </row>
    <row r="38" spans="1:6" ht="27.75" hidden="1" customHeight="1" thickTop="1">
      <c r="A38" s="39">
        <v>11</v>
      </c>
      <c r="B38" s="40" t="s">
        <v>98</v>
      </c>
      <c r="C38" s="41" t="s">
        <v>72</v>
      </c>
      <c r="D38" s="117"/>
      <c r="E38" s="118"/>
      <c r="F38" s="119">
        <v>0</v>
      </c>
    </row>
    <row r="39" spans="1:6" ht="27.75" hidden="1" customHeight="1" thickTop="1">
      <c r="A39" s="39">
        <v>12</v>
      </c>
      <c r="B39" s="40" t="s">
        <v>99</v>
      </c>
      <c r="C39" s="41" t="s">
        <v>72</v>
      </c>
      <c r="D39" s="117"/>
      <c r="E39" s="118"/>
      <c r="F39" s="119">
        <v>0</v>
      </c>
    </row>
    <row r="40" spans="1:6" ht="27.75" hidden="1" customHeight="1" thickTop="1">
      <c r="A40" s="39"/>
      <c r="B40" s="123"/>
      <c r="C40" s="41"/>
      <c r="D40" s="127"/>
      <c r="E40" s="128"/>
      <c r="F40" s="129"/>
    </row>
    <row r="41" spans="1:6" ht="27.75" hidden="1" customHeight="1" thickTop="1">
      <c r="A41" s="22"/>
      <c r="B41" s="131" t="s">
        <v>22</v>
      </c>
      <c r="C41" s="132"/>
      <c r="D41" s="137">
        <v>0</v>
      </c>
      <c r="E41" s="137">
        <v>0</v>
      </c>
      <c r="F41" s="138">
        <v>0</v>
      </c>
    </row>
    <row r="42" spans="1:6" ht="27.75" customHeight="1" thickTop="1">
      <c r="A42" s="22"/>
      <c r="B42" s="23" t="s">
        <v>100</v>
      </c>
      <c r="C42" s="24"/>
      <c r="D42" s="29"/>
      <c r="E42" s="30"/>
      <c r="F42" s="31"/>
    </row>
    <row r="43" spans="1:6" s="57" customFormat="1" ht="27.75" customHeight="1">
      <c r="A43" s="22">
        <v>1</v>
      </c>
      <c r="B43" s="40" t="s">
        <v>101</v>
      </c>
      <c r="C43" s="140" t="s">
        <v>102</v>
      </c>
      <c r="D43" s="113">
        <v>46072</v>
      </c>
      <c r="E43" s="114" t="s">
        <v>953</v>
      </c>
      <c r="F43" s="144">
        <v>160.5</v>
      </c>
    </row>
    <row r="44" spans="1:6" s="57" customFormat="1" ht="27.75" customHeight="1">
      <c r="A44" s="22">
        <v>2</v>
      </c>
      <c r="B44" s="150" t="s">
        <v>104</v>
      </c>
      <c r="C44" s="140" t="s">
        <v>102</v>
      </c>
      <c r="D44" s="117">
        <v>46080</v>
      </c>
      <c r="E44" s="118" t="s">
        <v>954</v>
      </c>
      <c r="F44" s="151">
        <v>321</v>
      </c>
    </row>
    <row r="45" spans="1:6" s="57" customFormat="1" ht="27.75" customHeight="1">
      <c r="A45" s="22">
        <v>3</v>
      </c>
      <c r="B45" s="170" t="s">
        <v>109</v>
      </c>
      <c r="C45" s="140" t="s">
        <v>102</v>
      </c>
      <c r="D45" s="117">
        <v>46058</v>
      </c>
      <c r="E45" s="118" t="s">
        <v>956</v>
      </c>
      <c r="F45" s="151">
        <v>321</v>
      </c>
    </row>
    <row r="46" spans="1:6" s="57" customFormat="1" ht="27.75" customHeight="1">
      <c r="A46" s="22">
        <v>4</v>
      </c>
      <c r="B46" s="170" t="s">
        <v>111</v>
      </c>
      <c r="C46" s="140" t="s">
        <v>102</v>
      </c>
      <c r="D46" s="117">
        <v>46062</v>
      </c>
      <c r="E46" s="118" t="s">
        <v>957</v>
      </c>
      <c r="F46" s="151">
        <v>321</v>
      </c>
    </row>
    <row r="47" spans="1:6" s="57" customFormat="1" ht="27.75" customHeight="1">
      <c r="A47" s="22">
        <v>5</v>
      </c>
      <c r="B47" s="170" t="s">
        <v>113</v>
      </c>
      <c r="C47" s="140" t="s">
        <v>102</v>
      </c>
      <c r="D47" s="113">
        <v>46058</v>
      </c>
      <c r="E47" s="114" t="s">
        <v>958</v>
      </c>
      <c r="F47" s="151">
        <v>160.5</v>
      </c>
    </row>
    <row r="48" spans="1:6" s="57" customFormat="1" ht="27.75" customHeight="1">
      <c r="A48" s="22">
        <v>6</v>
      </c>
      <c r="B48" s="170" t="s">
        <v>117</v>
      </c>
      <c r="C48" s="140" t="s">
        <v>102</v>
      </c>
      <c r="D48" s="113">
        <v>46069</v>
      </c>
      <c r="E48" s="114" t="s">
        <v>959</v>
      </c>
      <c r="F48" s="151">
        <v>535</v>
      </c>
    </row>
    <row r="49" spans="1:6" s="57" customFormat="1" ht="27.75" customHeight="1">
      <c r="A49" s="22">
        <v>7</v>
      </c>
      <c r="B49" s="170" t="s">
        <v>119</v>
      </c>
      <c r="C49" s="140" t="s">
        <v>102</v>
      </c>
      <c r="D49" s="113">
        <v>46076</v>
      </c>
      <c r="E49" s="114" t="s">
        <v>960</v>
      </c>
      <c r="F49" s="151">
        <v>321</v>
      </c>
    </row>
    <row r="50" spans="1:6" s="57" customFormat="1" ht="27.75" customHeight="1">
      <c r="A50" s="22">
        <v>8</v>
      </c>
      <c r="B50" s="170" t="s">
        <v>121</v>
      </c>
      <c r="C50" s="140" t="s">
        <v>102</v>
      </c>
      <c r="D50" s="113">
        <v>46077</v>
      </c>
      <c r="E50" s="114" t="s">
        <v>961</v>
      </c>
      <c r="F50" s="151">
        <v>321</v>
      </c>
    </row>
    <row r="51" spans="1:6" s="57" customFormat="1" ht="27.75" customHeight="1">
      <c r="A51" s="22">
        <v>9</v>
      </c>
      <c r="B51" s="40" t="s">
        <v>126</v>
      </c>
      <c r="C51" s="140" t="s">
        <v>102</v>
      </c>
      <c r="D51" s="113" t="s">
        <v>963</v>
      </c>
      <c r="E51" s="114" t="s">
        <v>964</v>
      </c>
      <c r="F51" s="144">
        <v>642</v>
      </c>
    </row>
    <row r="52" spans="1:6" s="57" customFormat="1" ht="27.75" customHeight="1">
      <c r="A52" s="22">
        <v>10</v>
      </c>
      <c r="B52" s="40" t="s">
        <v>128</v>
      </c>
      <c r="C52" s="140" t="s">
        <v>102</v>
      </c>
      <c r="D52" s="113">
        <v>46077</v>
      </c>
      <c r="E52" s="114" t="s">
        <v>965</v>
      </c>
      <c r="F52" s="144">
        <v>642</v>
      </c>
    </row>
    <row r="53" spans="1:6" s="57" customFormat="1" ht="27.75" customHeight="1">
      <c r="A53" s="22">
        <v>11</v>
      </c>
      <c r="B53" s="40" t="s">
        <v>130</v>
      </c>
      <c r="C53" s="140" t="s">
        <v>102</v>
      </c>
      <c r="D53" s="175">
        <v>46060</v>
      </c>
      <c r="E53" s="176" t="s">
        <v>966</v>
      </c>
      <c r="F53" s="177">
        <v>160.5</v>
      </c>
    </row>
    <row r="54" spans="1:6" s="57" customFormat="1" ht="27.75" customHeight="1">
      <c r="A54" s="22">
        <v>12</v>
      </c>
      <c r="B54" s="170" t="s">
        <v>132</v>
      </c>
      <c r="C54" s="140" t="s">
        <v>102</v>
      </c>
      <c r="D54" s="178">
        <v>46063</v>
      </c>
      <c r="E54" s="179" t="s">
        <v>967</v>
      </c>
      <c r="F54" s="180">
        <v>321</v>
      </c>
    </row>
    <row r="55" spans="1:6" s="57" customFormat="1" ht="27.75" customHeight="1">
      <c r="A55" s="22">
        <v>13</v>
      </c>
      <c r="B55" s="40" t="s">
        <v>134</v>
      </c>
      <c r="C55" s="140" t="s">
        <v>102</v>
      </c>
      <c r="D55" s="175">
        <v>46075</v>
      </c>
      <c r="E55" s="176" t="s">
        <v>968</v>
      </c>
      <c r="F55" s="177">
        <v>160.5</v>
      </c>
    </row>
    <row r="56" spans="1:6" s="57" customFormat="1" ht="27.75" customHeight="1">
      <c r="A56" s="22">
        <v>14</v>
      </c>
      <c r="B56" s="170" t="s">
        <v>136</v>
      </c>
      <c r="C56" s="140" t="s">
        <v>102</v>
      </c>
      <c r="D56" s="113">
        <v>46077</v>
      </c>
      <c r="E56" s="114" t="s">
        <v>969</v>
      </c>
      <c r="F56" s="144">
        <v>321</v>
      </c>
    </row>
    <row r="57" spans="1:6" s="57" customFormat="1" ht="27.75" customHeight="1">
      <c r="A57" s="22">
        <v>15</v>
      </c>
      <c r="B57" s="181" t="s">
        <v>142</v>
      </c>
      <c r="C57" s="182" t="s">
        <v>143</v>
      </c>
      <c r="D57" s="183">
        <v>46080</v>
      </c>
      <c r="E57" s="184" t="s">
        <v>971</v>
      </c>
      <c r="F57" s="185">
        <v>160.5</v>
      </c>
    </row>
    <row r="58" spans="1:6" s="57" customFormat="1" ht="27.75" customHeight="1">
      <c r="A58" s="22">
        <v>16</v>
      </c>
      <c r="B58" s="40" t="s">
        <v>145</v>
      </c>
      <c r="C58" s="140" t="s">
        <v>102</v>
      </c>
      <c r="D58" s="175">
        <v>46076</v>
      </c>
      <c r="E58" s="176" t="s">
        <v>972</v>
      </c>
      <c r="F58" s="177">
        <v>321</v>
      </c>
    </row>
    <row r="59" spans="1:6" s="57" customFormat="1" ht="27.75" customHeight="1">
      <c r="A59" s="22">
        <v>17</v>
      </c>
      <c r="B59" s="40" t="s">
        <v>147</v>
      </c>
      <c r="C59" s="140" t="s">
        <v>102</v>
      </c>
      <c r="D59" s="175">
        <v>46056</v>
      </c>
      <c r="E59" s="176" t="s">
        <v>973</v>
      </c>
      <c r="F59" s="177">
        <v>160.5</v>
      </c>
    </row>
    <row r="60" spans="1:6" s="57" customFormat="1" ht="27.75" customHeight="1">
      <c r="A60" s="22">
        <v>18</v>
      </c>
      <c r="B60" s="80" t="s">
        <v>149</v>
      </c>
      <c r="C60" s="140" t="s">
        <v>102</v>
      </c>
      <c r="D60" s="175">
        <v>46076</v>
      </c>
      <c r="E60" s="176" t="s">
        <v>974</v>
      </c>
      <c r="F60" s="177">
        <v>1070</v>
      </c>
    </row>
    <row r="61" spans="1:6" s="57" customFormat="1" ht="27.75" customHeight="1">
      <c r="A61" s="22">
        <v>19</v>
      </c>
      <c r="B61" s="170" t="s">
        <v>151</v>
      </c>
      <c r="C61" s="140" t="s">
        <v>102</v>
      </c>
      <c r="D61" s="117">
        <v>46056</v>
      </c>
      <c r="E61" s="118" t="s">
        <v>975</v>
      </c>
      <c r="F61" s="151">
        <v>160.5</v>
      </c>
    </row>
    <row r="62" spans="1:6" s="57" customFormat="1" ht="27.75" customHeight="1">
      <c r="A62" s="22">
        <v>20</v>
      </c>
      <c r="B62" s="170" t="s">
        <v>154</v>
      </c>
      <c r="C62" s="140" t="s">
        <v>102</v>
      </c>
      <c r="D62" s="175">
        <v>46078</v>
      </c>
      <c r="E62" s="176" t="s">
        <v>976</v>
      </c>
      <c r="F62" s="177">
        <v>321</v>
      </c>
    </row>
    <row r="63" spans="1:6" s="57" customFormat="1" ht="27.75" customHeight="1">
      <c r="A63" s="22">
        <v>21</v>
      </c>
      <c r="B63" s="191" t="s">
        <v>156</v>
      </c>
      <c r="C63" s="140" t="s">
        <v>102</v>
      </c>
      <c r="D63" s="175">
        <v>46057</v>
      </c>
      <c r="E63" s="176" t="s">
        <v>977</v>
      </c>
      <c r="F63" s="177">
        <v>160.5</v>
      </c>
    </row>
    <row r="64" spans="1:6" s="57" customFormat="1" ht="27.75" customHeight="1">
      <c r="A64" s="22">
        <v>22</v>
      </c>
      <c r="B64" s="191" t="s">
        <v>161</v>
      </c>
      <c r="C64" s="140" t="s">
        <v>102</v>
      </c>
      <c r="D64" s="117">
        <v>46077</v>
      </c>
      <c r="E64" s="118" t="s">
        <v>979</v>
      </c>
      <c r="F64" s="151">
        <v>321</v>
      </c>
    </row>
    <row r="65" spans="1:8" s="57" customFormat="1" ht="27.75" customHeight="1">
      <c r="A65" s="22">
        <v>23</v>
      </c>
      <c r="B65" s="191" t="s">
        <v>163</v>
      </c>
      <c r="C65" s="140" t="s">
        <v>102</v>
      </c>
      <c r="D65" s="117">
        <v>46078</v>
      </c>
      <c r="E65" s="118" t="s">
        <v>980</v>
      </c>
      <c r="F65" s="151">
        <v>160.5</v>
      </c>
    </row>
    <row r="66" spans="1:8" s="57" customFormat="1" ht="27.75" customHeight="1">
      <c r="A66" s="22">
        <v>24</v>
      </c>
      <c r="B66" s="170" t="s">
        <v>165</v>
      </c>
      <c r="C66" s="140" t="s">
        <v>102</v>
      </c>
      <c r="D66" s="175">
        <v>46058</v>
      </c>
      <c r="E66" s="176" t="s">
        <v>981</v>
      </c>
      <c r="F66" s="177">
        <v>1070</v>
      </c>
    </row>
    <row r="67" spans="1:8" s="57" customFormat="1" ht="27.75" customHeight="1">
      <c r="A67" s="22">
        <v>25</v>
      </c>
      <c r="B67" s="191" t="s">
        <v>167</v>
      </c>
      <c r="C67" s="140" t="s">
        <v>102</v>
      </c>
      <c r="D67" s="117">
        <v>46080</v>
      </c>
      <c r="E67" s="118" t="s">
        <v>982</v>
      </c>
      <c r="F67" s="151">
        <v>535</v>
      </c>
    </row>
    <row r="68" spans="1:8" s="57" customFormat="1" ht="27.75" customHeight="1">
      <c r="A68" s="22">
        <v>26</v>
      </c>
      <c r="B68" s="170" t="s">
        <v>169</v>
      </c>
      <c r="C68" s="140" t="s">
        <v>102</v>
      </c>
      <c r="D68" s="175">
        <v>46077</v>
      </c>
      <c r="E68" s="176" t="s">
        <v>983</v>
      </c>
      <c r="F68" s="177">
        <v>321</v>
      </c>
    </row>
    <row r="69" spans="1:8" s="57" customFormat="1" ht="27.75" customHeight="1">
      <c r="A69" s="22">
        <v>27</v>
      </c>
      <c r="B69" s="191" t="s">
        <v>171</v>
      </c>
      <c r="C69" s="140" t="s">
        <v>102</v>
      </c>
      <c r="D69" s="175">
        <v>46078</v>
      </c>
      <c r="E69" s="176" t="s">
        <v>984</v>
      </c>
      <c r="F69" s="177">
        <v>963</v>
      </c>
    </row>
    <row r="70" spans="1:8" s="57" customFormat="1" ht="27.75" customHeight="1">
      <c r="A70" s="22">
        <v>28</v>
      </c>
      <c r="B70" s="191" t="s">
        <v>173</v>
      </c>
      <c r="C70" s="140" t="s">
        <v>102</v>
      </c>
      <c r="D70" s="175">
        <v>46054</v>
      </c>
      <c r="E70" s="176" t="s">
        <v>985</v>
      </c>
      <c r="F70" s="177">
        <v>321</v>
      </c>
    </row>
    <row r="71" spans="1:8" s="57" customFormat="1" ht="27.75" customHeight="1">
      <c r="A71" s="22">
        <v>29</v>
      </c>
      <c r="B71" s="191" t="s">
        <v>175</v>
      </c>
      <c r="C71" s="140" t="s">
        <v>102</v>
      </c>
      <c r="D71" s="175">
        <v>46054</v>
      </c>
      <c r="E71" s="176" t="s">
        <v>986</v>
      </c>
      <c r="F71" s="177">
        <v>321</v>
      </c>
    </row>
    <row r="72" spans="1:8" s="57" customFormat="1" ht="27.75" customHeight="1">
      <c r="A72" s="22">
        <v>30</v>
      </c>
      <c r="B72" s="191" t="s">
        <v>177</v>
      </c>
      <c r="C72" s="140" t="s">
        <v>102</v>
      </c>
      <c r="D72" s="117">
        <v>46077</v>
      </c>
      <c r="E72" s="118" t="s">
        <v>987</v>
      </c>
      <c r="F72" s="151">
        <v>321</v>
      </c>
    </row>
    <row r="73" spans="1:8" ht="27.75" customHeight="1" thickBot="1">
      <c r="A73" s="193"/>
      <c r="B73" s="194" t="s">
        <v>22</v>
      </c>
      <c r="C73" s="195"/>
      <c r="D73" s="199"/>
      <c r="E73" s="199"/>
      <c r="F73" s="196">
        <v>11395.5</v>
      </c>
      <c r="H73" s="512">
        <f>SUM(F43:F72)</f>
        <v>11395.5</v>
      </c>
    </row>
    <row r="74" spans="1:8" ht="27.75" customHeight="1" thickTop="1">
      <c r="A74" s="22"/>
      <c r="B74" s="23" t="s">
        <v>179</v>
      </c>
      <c r="C74" s="24"/>
      <c r="D74" s="29"/>
      <c r="E74" s="30"/>
      <c r="F74" s="31"/>
    </row>
    <row r="75" spans="1:8" ht="27.75" customHeight="1">
      <c r="A75" s="94">
        <v>1</v>
      </c>
      <c r="B75" s="40" t="s">
        <v>180</v>
      </c>
      <c r="C75" s="41" t="s">
        <v>181</v>
      </c>
      <c r="D75" s="48">
        <v>46058</v>
      </c>
      <c r="E75" s="49" t="s">
        <v>988</v>
      </c>
      <c r="F75" s="202">
        <v>1364.25</v>
      </c>
    </row>
    <row r="76" spans="1:8" ht="27.75" customHeight="1">
      <c r="A76" s="94">
        <v>2</v>
      </c>
      <c r="B76" s="40" t="s">
        <v>184</v>
      </c>
      <c r="C76" s="41" t="s">
        <v>181</v>
      </c>
      <c r="D76" s="48">
        <v>46062</v>
      </c>
      <c r="E76" s="49" t="s">
        <v>989</v>
      </c>
      <c r="F76" s="202">
        <v>3370.5</v>
      </c>
    </row>
    <row r="77" spans="1:8" ht="27.75" customHeight="1">
      <c r="A77" s="94">
        <v>3</v>
      </c>
      <c r="B77" s="205" t="s">
        <v>186</v>
      </c>
      <c r="C77" s="206" t="s">
        <v>181</v>
      </c>
      <c r="D77" s="48">
        <v>46080</v>
      </c>
      <c r="E77" s="49" t="s">
        <v>990</v>
      </c>
      <c r="F77" s="202">
        <v>3370.5</v>
      </c>
    </row>
    <row r="78" spans="1:8" ht="27.75" customHeight="1">
      <c r="A78" s="186">
        <v>4</v>
      </c>
      <c r="B78" s="205" t="s">
        <v>188</v>
      </c>
      <c r="C78" s="206" t="s">
        <v>181</v>
      </c>
      <c r="D78" s="48">
        <v>46055</v>
      </c>
      <c r="E78" s="49" t="s">
        <v>991</v>
      </c>
      <c r="F78" s="202">
        <v>2140</v>
      </c>
    </row>
    <row r="79" spans="1:8" s="220" customFormat="1" ht="27.75" customHeight="1">
      <c r="A79" s="186">
        <v>5</v>
      </c>
      <c r="B79" s="208" t="s">
        <v>71</v>
      </c>
      <c r="C79" s="209" t="s">
        <v>181</v>
      </c>
      <c r="D79" s="62">
        <v>46078</v>
      </c>
      <c r="E79" s="215" t="s">
        <v>992</v>
      </c>
      <c r="F79" s="202">
        <v>2675</v>
      </c>
    </row>
    <row r="80" spans="1:8" ht="27.75" customHeight="1" thickBot="1">
      <c r="A80" s="193"/>
      <c r="B80" s="194" t="s">
        <v>22</v>
      </c>
      <c r="C80" s="195"/>
      <c r="D80" s="199"/>
      <c r="E80" s="199"/>
      <c r="F80" s="196">
        <v>12920.25</v>
      </c>
      <c r="H80" s="512">
        <f>SUM(F75:F79)</f>
        <v>12920.25</v>
      </c>
    </row>
    <row r="81" spans="1:8" ht="27.75" customHeight="1" thickTop="1">
      <c r="A81" s="22"/>
      <c r="B81" s="23" t="s">
        <v>191</v>
      </c>
      <c r="C81" s="24"/>
      <c r="D81" s="29"/>
      <c r="E81" s="30"/>
      <c r="F81" s="31"/>
    </row>
    <row r="82" spans="1:8" ht="27.75" customHeight="1">
      <c r="A82" s="94">
        <v>1</v>
      </c>
      <c r="B82" s="40" t="s">
        <v>192</v>
      </c>
      <c r="C82" s="41" t="s">
        <v>193</v>
      </c>
      <c r="D82" s="175">
        <v>46058</v>
      </c>
      <c r="E82" s="176" t="s">
        <v>993</v>
      </c>
      <c r="F82" s="222">
        <v>2140</v>
      </c>
    </row>
    <row r="83" spans="1:8" ht="27.75" customHeight="1" thickBot="1">
      <c r="A83" s="193"/>
      <c r="B83" s="194" t="s">
        <v>22</v>
      </c>
      <c r="C83" s="195"/>
      <c r="D83" s="199"/>
      <c r="E83" s="199"/>
      <c r="F83" s="196">
        <v>2140</v>
      </c>
      <c r="H83" s="520">
        <f>SUM(F82)</f>
        <v>2140</v>
      </c>
    </row>
    <row r="84" spans="1:8" ht="27.75" customHeight="1" thickTop="1">
      <c r="A84" s="22"/>
      <c r="B84" s="23" t="s">
        <v>196</v>
      </c>
      <c r="C84" s="24"/>
      <c r="D84" s="29"/>
      <c r="E84" s="30"/>
      <c r="F84" s="31"/>
    </row>
    <row r="85" spans="1:8" s="226" customFormat="1" ht="27.75" customHeight="1">
      <c r="A85" s="94">
        <v>1</v>
      </c>
      <c r="B85" s="181" t="s">
        <v>198</v>
      </c>
      <c r="C85" s="224" t="s">
        <v>199</v>
      </c>
      <c r="D85" s="113">
        <v>46060</v>
      </c>
      <c r="E85" s="114" t="s">
        <v>994</v>
      </c>
      <c r="F85" s="144">
        <v>26750</v>
      </c>
    </row>
    <row r="86" spans="1:8" s="226" customFormat="1" ht="27.75" customHeight="1">
      <c r="A86" s="94">
        <v>2</v>
      </c>
      <c r="B86" s="181" t="s">
        <v>204</v>
      </c>
      <c r="C86" s="224" t="s">
        <v>205</v>
      </c>
      <c r="D86" s="113">
        <v>46076</v>
      </c>
      <c r="E86" s="114" t="s">
        <v>995</v>
      </c>
      <c r="F86" s="144">
        <v>22470</v>
      </c>
    </row>
    <row r="87" spans="1:8" s="226" customFormat="1" ht="27.75" customHeight="1">
      <c r="A87" s="94">
        <v>3</v>
      </c>
      <c r="B87" s="181" t="s">
        <v>204</v>
      </c>
      <c r="C87" s="224" t="s">
        <v>207</v>
      </c>
      <c r="D87" s="113">
        <v>46076</v>
      </c>
      <c r="E87" s="114" t="s">
        <v>995</v>
      </c>
      <c r="F87" s="144">
        <v>22470</v>
      </c>
    </row>
    <row r="88" spans="1:8" s="226" customFormat="1" ht="27.75" customHeight="1">
      <c r="A88" s="94">
        <v>4</v>
      </c>
      <c r="B88" s="181" t="s">
        <v>210</v>
      </c>
      <c r="C88" s="224" t="s">
        <v>211</v>
      </c>
      <c r="D88" s="113">
        <v>46078</v>
      </c>
      <c r="E88" s="114" t="s">
        <v>996</v>
      </c>
      <c r="F88" s="144">
        <v>22470</v>
      </c>
    </row>
    <row r="89" spans="1:8" s="226" customFormat="1" ht="27.75" customHeight="1">
      <c r="A89" s="94">
        <v>5</v>
      </c>
      <c r="B89" s="181" t="s">
        <v>214</v>
      </c>
      <c r="C89" s="224" t="s">
        <v>215</v>
      </c>
      <c r="D89" s="113">
        <v>46055</v>
      </c>
      <c r="E89" s="114" t="s">
        <v>997</v>
      </c>
      <c r="F89" s="144">
        <v>22470</v>
      </c>
    </row>
    <row r="90" spans="1:8" s="226" customFormat="1" ht="27.75" customHeight="1">
      <c r="A90" s="94">
        <v>6</v>
      </c>
      <c r="B90" s="181" t="s">
        <v>217</v>
      </c>
      <c r="C90" s="224" t="s">
        <v>218</v>
      </c>
      <c r="D90" s="113">
        <v>46071</v>
      </c>
      <c r="E90" s="114" t="s">
        <v>998</v>
      </c>
      <c r="F90" s="144">
        <v>22470</v>
      </c>
    </row>
    <row r="91" spans="1:8" s="226" customFormat="1" ht="27.75" customHeight="1">
      <c r="A91" s="94">
        <v>7</v>
      </c>
      <c r="B91" s="181" t="s">
        <v>217</v>
      </c>
      <c r="C91" s="224" t="s">
        <v>220</v>
      </c>
      <c r="D91" s="113">
        <v>46071</v>
      </c>
      <c r="E91" s="114" t="s">
        <v>998</v>
      </c>
      <c r="F91" s="144">
        <v>22470</v>
      </c>
    </row>
    <row r="92" spans="1:8" s="226" customFormat="1" ht="27.75" customHeight="1">
      <c r="A92" s="94">
        <v>8</v>
      </c>
      <c r="B92" s="181" t="s">
        <v>217</v>
      </c>
      <c r="C92" s="224" t="s">
        <v>221</v>
      </c>
      <c r="D92" s="113">
        <v>46071</v>
      </c>
      <c r="E92" s="114" t="s">
        <v>998</v>
      </c>
      <c r="F92" s="144">
        <v>22470</v>
      </c>
    </row>
    <row r="93" spans="1:8" s="226" customFormat="1" ht="27.75" customHeight="1">
      <c r="A93" s="94">
        <v>9</v>
      </c>
      <c r="B93" s="181" t="s">
        <v>222</v>
      </c>
      <c r="C93" s="227" t="s">
        <v>223</v>
      </c>
      <c r="D93" s="230">
        <v>46057</v>
      </c>
      <c r="E93" s="184" t="s">
        <v>967</v>
      </c>
      <c r="F93" s="231">
        <v>32100</v>
      </c>
    </row>
    <row r="94" spans="1:8" s="226" customFormat="1" ht="27.75" customHeight="1">
      <c r="A94" s="94">
        <v>1</v>
      </c>
      <c r="B94" s="41" t="s">
        <v>227</v>
      </c>
      <c r="C94" s="224" t="s">
        <v>228</v>
      </c>
      <c r="D94" s="113">
        <v>46080</v>
      </c>
      <c r="E94" s="114" t="s">
        <v>999</v>
      </c>
      <c r="F94" s="253">
        <v>22470</v>
      </c>
    </row>
    <row r="95" spans="1:8" s="226" customFormat="1" ht="27.75" customHeight="1">
      <c r="A95" s="94">
        <v>2</v>
      </c>
      <c r="B95" s="41" t="s">
        <v>227</v>
      </c>
      <c r="C95" s="224" t="s">
        <v>230</v>
      </c>
      <c r="D95" s="113">
        <v>46080</v>
      </c>
      <c r="E95" s="114" t="s">
        <v>999</v>
      </c>
      <c r="F95" s="253">
        <v>22470</v>
      </c>
      <c r="H95" s="226">
        <f>SUM(F85:F95)</f>
        <v>261080</v>
      </c>
    </row>
    <row r="96" spans="1:8" s="226" customFormat="1" ht="27.75" customHeight="1">
      <c r="A96" s="94">
        <v>3</v>
      </c>
      <c r="B96" s="41" t="s">
        <v>227</v>
      </c>
      <c r="C96" s="224" t="s">
        <v>231</v>
      </c>
      <c r="D96" s="117">
        <v>46080</v>
      </c>
      <c r="E96" s="118" t="s">
        <v>999</v>
      </c>
      <c r="F96" s="557">
        <v>22470</v>
      </c>
    </row>
    <row r="97" spans="1:8" s="226" customFormat="1" ht="27.75" customHeight="1">
      <c r="A97" s="94">
        <v>4</v>
      </c>
      <c r="B97" s="41" t="s">
        <v>236</v>
      </c>
      <c r="C97" s="224" t="s">
        <v>239</v>
      </c>
      <c r="D97" s="113">
        <v>46080</v>
      </c>
      <c r="E97" s="114" t="s">
        <v>1000</v>
      </c>
      <c r="F97" s="257">
        <v>22470</v>
      </c>
    </row>
    <row r="98" spans="1:8" s="226" customFormat="1" ht="27.75" customHeight="1">
      <c r="A98" s="94">
        <v>5</v>
      </c>
      <c r="B98" s="41" t="s">
        <v>92</v>
      </c>
      <c r="C98" s="224" t="s">
        <v>240</v>
      </c>
      <c r="D98" s="113">
        <v>46079</v>
      </c>
      <c r="E98" s="114" t="s">
        <v>1001</v>
      </c>
      <c r="F98" s="258">
        <v>22470</v>
      </c>
    </row>
    <row r="99" spans="1:8" s="226" customFormat="1" ht="27.75" customHeight="1">
      <c r="A99" s="94">
        <v>6</v>
      </c>
      <c r="B99" s="41" t="s">
        <v>92</v>
      </c>
      <c r="C99" s="224" t="s">
        <v>242</v>
      </c>
      <c r="D99" s="113">
        <v>46079</v>
      </c>
      <c r="E99" s="114" t="s">
        <v>1001</v>
      </c>
      <c r="F99" s="253">
        <v>22470</v>
      </c>
    </row>
    <row r="100" spans="1:8" s="226" customFormat="1" ht="27.75" customHeight="1">
      <c r="A100" s="94">
        <v>7</v>
      </c>
      <c r="B100" s="41" t="s">
        <v>243</v>
      </c>
      <c r="C100" s="224" t="s">
        <v>244</v>
      </c>
      <c r="D100" s="113">
        <v>46081</v>
      </c>
      <c r="E100" s="114" t="s">
        <v>1002</v>
      </c>
      <c r="F100" s="253">
        <v>22470</v>
      </c>
    </row>
    <row r="101" spans="1:8" s="226" customFormat="1" ht="27.75" customHeight="1">
      <c r="A101" s="94">
        <v>8</v>
      </c>
      <c r="B101" s="206" t="s">
        <v>90</v>
      </c>
      <c r="C101" s="224" t="s">
        <v>246</v>
      </c>
      <c r="D101" s="259">
        <v>46080</v>
      </c>
      <c r="E101" s="114" t="s">
        <v>1003</v>
      </c>
      <c r="F101" s="253">
        <v>22470</v>
      </c>
      <c r="H101" s="226">
        <f>SUM(F96:F101)</f>
        <v>134820</v>
      </c>
    </row>
    <row r="102" spans="1:8" s="226" customFormat="1" ht="27.75" customHeight="1">
      <c r="A102" s="94">
        <v>1</v>
      </c>
      <c r="B102" s="41" t="s">
        <v>249</v>
      </c>
      <c r="C102" s="224" t="s">
        <v>250</v>
      </c>
      <c r="D102" s="113">
        <v>46081</v>
      </c>
      <c r="E102" s="114" t="s">
        <v>1004</v>
      </c>
      <c r="F102" s="144">
        <v>6420</v>
      </c>
    </row>
    <row r="103" spans="1:8" s="226" customFormat="1" ht="27.75" customHeight="1">
      <c r="A103" s="94">
        <v>2</v>
      </c>
      <c r="B103" s="41" t="s">
        <v>252</v>
      </c>
      <c r="C103" s="224" t="s">
        <v>253</v>
      </c>
      <c r="D103" s="113">
        <v>46056</v>
      </c>
      <c r="E103" s="114" t="s">
        <v>1005</v>
      </c>
      <c r="F103" s="144">
        <v>6420</v>
      </c>
    </row>
    <row r="104" spans="1:8" s="226" customFormat="1" ht="27.75" customHeight="1">
      <c r="A104" s="94">
        <v>3</v>
      </c>
      <c r="B104" s="41" t="s">
        <v>254</v>
      </c>
      <c r="C104" s="224" t="s">
        <v>255</v>
      </c>
      <c r="D104" s="113">
        <v>46060</v>
      </c>
      <c r="E104" s="114" t="s">
        <v>1006</v>
      </c>
      <c r="F104" s="144">
        <v>9630</v>
      </c>
    </row>
    <row r="105" spans="1:8" s="226" customFormat="1" ht="27.75" customHeight="1">
      <c r="A105" s="94">
        <v>5</v>
      </c>
      <c r="B105" s="41" t="s">
        <v>257</v>
      </c>
      <c r="C105" s="224" t="s">
        <v>258</v>
      </c>
      <c r="D105" s="113">
        <v>46075</v>
      </c>
      <c r="E105" s="114" t="s">
        <v>1007</v>
      </c>
      <c r="F105" s="144">
        <v>9630</v>
      </c>
    </row>
    <row r="106" spans="1:8" s="226" customFormat="1" ht="27.75" customHeight="1">
      <c r="A106" s="94">
        <v>6</v>
      </c>
      <c r="B106" s="206" t="s">
        <v>257</v>
      </c>
      <c r="C106" s="224" t="s">
        <v>260</v>
      </c>
      <c r="D106" s="113">
        <v>46075</v>
      </c>
      <c r="E106" s="114" t="s">
        <v>1007</v>
      </c>
      <c r="F106" s="144">
        <v>9630</v>
      </c>
    </row>
    <row r="107" spans="1:8" s="226" customFormat="1" ht="27.75" customHeight="1">
      <c r="A107" s="94">
        <v>7</v>
      </c>
      <c r="B107" s="265" t="s">
        <v>261</v>
      </c>
      <c r="C107" s="224" t="s">
        <v>262</v>
      </c>
      <c r="D107" s="113">
        <v>46056</v>
      </c>
      <c r="E107" s="114" t="s">
        <v>1008</v>
      </c>
      <c r="F107" s="144">
        <v>6420</v>
      </c>
    </row>
    <row r="108" spans="1:8" s="226" customFormat="1" ht="27.75" customHeight="1">
      <c r="A108" s="94">
        <v>8</v>
      </c>
      <c r="B108" s="266" t="s">
        <v>264</v>
      </c>
      <c r="C108" s="224" t="s">
        <v>199</v>
      </c>
      <c r="D108" s="113">
        <v>46081</v>
      </c>
      <c r="E108" s="114" t="s">
        <v>1009</v>
      </c>
      <c r="F108" s="144">
        <v>6420</v>
      </c>
    </row>
    <row r="109" spans="1:8" s="226" customFormat="1" ht="27.75" customHeight="1">
      <c r="A109" s="94">
        <v>9</v>
      </c>
      <c r="B109" s="81" t="s">
        <v>267</v>
      </c>
      <c r="C109" s="224" t="s">
        <v>268</v>
      </c>
      <c r="D109" s="113">
        <v>46056</v>
      </c>
      <c r="E109" s="114" t="s">
        <v>1010</v>
      </c>
      <c r="F109" s="144">
        <v>6420</v>
      </c>
    </row>
    <row r="110" spans="1:8" s="226" customFormat="1" ht="27.75" customHeight="1">
      <c r="A110" s="94">
        <v>11</v>
      </c>
      <c r="B110" s="81" t="s">
        <v>156</v>
      </c>
      <c r="C110" s="224" t="s">
        <v>207</v>
      </c>
      <c r="D110" s="113">
        <v>46057</v>
      </c>
      <c r="E110" s="114" t="s">
        <v>1011</v>
      </c>
      <c r="F110" s="144">
        <v>6420</v>
      </c>
    </row>
    <row r="111" spans="1:8" s="226" customFormat="1" ht="27.75" customHeight="1">
      <c r="A111" s="94">
        <v>12</v>
      </c>
      <c r="B111" s="41" t="s">
        <v>271</v>
      </c>
      <c r="C111" s="224" t="s">
        <v>208</v>
      </c>
      <c r="D111" s="113">
        <v>46081</v>
      </c>
      <c r="E111" s="268" t="s">
        <v>1012</v>
      </c>
      <c r="F111" s="269">
        <v>6420</v>
      </c>
    </row>
    <row r="112" spans="1:8" s="226" customFormat="1" ht="27.75" customHeight="1">
      <c r="A112" s="94">
        <v>13</v>
      </c>
      <c r="B112" s="41" t="s">
        <v>273</v>
      </c>
      <c r="C112" s="224" t="s">
        <v>209</v>
      </c>
      <c r="D112" s="113">
        <v>46059</v>
      </c>
      <c r="E112" s="114" t="s">
        <v>1013</v>
      </c>
      <c r="F112" s="144">
        <v>6420</v>
      </c>
    </row>
    <row r="113" spans="1:10" s="226" customFormat="1" ht="27.75" customHeight="1">
      <c r="A113" s="94">
        <v>14</v>
      </c>
      <c r="B113" s="41" t="s">
        <v>275</v>
      </c>
      <c r="C113" s="224" t="s">
        <v>276</v>
      </c>
      <c r="D113" s="113">
        <v>46080</v>
      </c>
      <c r="E113" s="114" t="s">
        <v>1014</v>
      </c>
      <c r="F113" s="144">
        <v>6420</v>
      </c>
    </row>
    <row r="114" spans="1:10" ht="27.75" customHeight="1" thickBot="1">
      <c r="A114" s="22"/>
      <c r="B114" s="194" t="s">
        <v>22</v>
      </c>
      <c r="C114" s="195"/>
      <c r="D114" s="199"/>
      <c r="E114" s="199"/>
      <c r="F114" s="196">
        <f>SUM(F85:F113)</f>
        <v>482570</v>
      </c>
      <c r="H114" s="512">
        <f>SUM(F102:F113)</f>
        <v>86670</v>
      </c>
      <c r="J114" s="226">
        <f>SUM(H95:H114)</f>
        <v>482570</v>
      </c>
    </row>
    <row r="115" spans="1:10" ht="27.75" hidden="1" customHeight="1" thickBot="1">
      <c r="A115" s="22"/>
      <c r="B115" s="23" t="s">
        <v>278</v>
      </c>
      <c r="C115" s="24"/>
      <c r="D115" s="29"/>
      <c r="E115" s="30"/>
      <c r="F115" s="31"/>
    </row>
    <row r="116" spans="1:10" ht="27.75" hidden="1" customHeight="1" thickTop="1">
      <c r="A116" s="22">
        <v>1</v>
      </c>
      <c r="B116" s="270" t="s">
        <v>88</v>
      </c>
      <c r="C116" s="271" t="s">
        <v>279</v>
      </c>
      <c r="D116" s="275"/>
      <c r="E116" s="276"/>
      <c r="F116" s="277"/>
    </row>
    <row r="117" spans="1:10" ht="27.75" hidden="1" customHeight="1" thickTop="1">
      <c r="A117" s="22">
        <v>2</v>
      </c>
      <c r="B117" s="280" t="s">
        <v>89</v>
      </c>
      <c r="C117" s="271" t="s">
        <v>279</v>
      </c>
      <c r="D117" s="175"/>
      <c r="E117" s="282"/>
      <c r="F117" s="222"/>
    </row>
    <row r="118" spans="1:10" ht="27.75" hidden="1" customHeight="1" thickTop="1">
      <c r="A118" s="22">
        <v>3</v>
      </c>
      <c r="B118" s="270" t="s">
        <v>280</v>
      </c>
      <c r="C118" s="271" t="s">
        <v>279</v>
      </c>
      <c r="D118" s="175"/>
      <c r="E118" s="282"/>
      <c r="F118" s="222"/>
    </row>
    <row r="119" spans="1:10" ht="27.75" hidden="1" customHeight="1" thickTop="1">
      <c r="A119" s="22">
        <v>4</v>
      </c>
      <c r="B119" s="280" t="s">
        <v>96</v>
      </c>
      <c r="C119" s="271" t="s">
        <v>279</v>
      </c>
      <c r="D119" s="175"/>
      <c r="E119" s="282"/>
      <c r="F119" s="222"/>
    </row>
    <row r="120" spans="1:10" ht="27.75" hidden="1" customHeight="1" thickTop="1">
      <c r="A120" s="22">
        <v>5</v>
      </c>
      <c r="B120" s="280" t="s">
        <v>281</v>
      </c>
      <c r="C120" s="271" t="s">
        <v>279</v>
      </c>
      <c r="D120" s="175"/>
      <c r="E120" s="282"/>
      <c r="F120" s="222"/>
    </row>
    <row r="121" spans="1:10" ht="27.75" hidden="1" customHeight="1" thickTop="1">
      <c r="A121" s="22">
        <v>6</v>
      </c>
      <c r="B121" s="280" t="s">
        <v>282</v>
      </c>
      <c r="C121" s="271" t="s">
        <v>279</v>
      </c>
      <c r="D121" s="175"/>
      <c r="E121" s="282"/>
      <c r="F121" s="222"/>
    </row>
    <row r="122" spans="1:10" ht="27.75" hidden="1" customHeight="1" thickTop="1">
      <c r="A122" s="22">
        <v>7</v>
      </c>
      <c r="B122" s="280" t="s">
        <v>92</v>
      </c>
      <c r="C122" s="271" t="s">
        <v>279</v>
      </c>
      <c r="D122" s="175"/>
      <c r="E122" s="282"/>
      <c r="F122" s="222"/>
    </row>
    <row r="123" spans="1:10" ht="27.75" hidden="1" customHeight="1" thickTop="1">
      <c r="A123" s="22">
        <v>8</v>
      </c>
      <c r="B123" s="280" t="s">
        <v>91</v>
      </c>
      <c r="C123" s="271" t="s">
        <v>279</v>
      </c>
      <c r="D123" s="175"/>
      <c r="E123" s="282"/>
      <c r="F123" s="222"/>
    </row>
    <row r="124" spans="1:10" ht="27.75" hidden="1" customHeight="1" thickTop="1">
      <c r="A124" s="22">
        <v>9</v>
      </c>
      <c r="B124" s="280" t="s">
        <v>236</v>
      </c>
      <c r="C124" s="271" t="s">
        <v>279</v>
      </c>
      <c r="D124" s="175"/>
      <c r="E124" s="282"/>
      <c r="F124" s="222"/>
    </row>
    <row r="125" spans="1:10" ht="27.75" hidden="1" customHeight="1" thickTop="1">
      <c r="A125" s="22">
        <v>10</v>
      </c>
      <c r="B125" s="280" t="s">
        <v>94</v>
      </c>
      <c r="C125" s="280" t="s">
        <v>279</v>
      </c>
      <c r="D125" s="175"/>
      <c r="E125" s="282"/>
      <c r="F125" s="222"/>
    </row>
    <row r="126" spans="1:10" ht="27.75" hidden="1" customHeight="1" thickTop="1">
      <c r="A126" s="22">
        <v>11</v>
      </c>
      <c r="B126" s="270"/>
      <c r="C126" s="285"/>
      <c r="D126" s="275"/>
      <c r="E126" s="276"/>
      <c r="F126" s="277"/>
    </row>
    <row r="127" spans="1:10" ht="27.75" hidden="1" customHeight="1" thickTop="1">
      <c r="A127" s="22"/>
      <c r="B127" s="131" t="s">
        <v>22</v>
      </c>
      <c r="C127" s="132"/>
      <c r="D127" s="287"/>
      <c r="E127" s="137"/>
      <c r="F127" s="138">
        <v>0</v>
      </c>
    </row>
    <row r="128" spans="1:10" ht="27.75" customHeight="1" thickTop="1">
      <c r="A128" s="22"/>
      <c r="B128" s="288" t="s">
        <v>283</v>
      </c>
      <c r="C128" s="289"/>
      <c r="D128" s="291"/>
      <c r="E128" s="292"/>
      <c r="F128" s="222"/>
    </row>
    <row r="129" spans="1:8" ht="27.75" customHeight="1">
      <c r="A129" s="94">
        <v>1</v>
      </c>
      <c r="B129" s="205" t="s">
        <v>192</v>
      </c>
      <c r="C129" s="206" t="s">
        <v>284</v>
      </c>
      <c r="D129" s="183">
        <v>46058</v>
      </c>
      <c r="E129" s="184" t="s">
        <v>1015</v>
      </c>
      <c r="F129" s="231">
        <v>66660</v>
      </c>
    </row>
    <row r="130" spans="1:8" ht="27.75" customHeight="1" thickBot="1">
      <c r="A130" s="193"/>
      <c r="B130" s="308" t="s">
        <v>22</v>
      </c>
      <c r="C130" s="309"/>
      <c r="D130" s="314"/>
      <c r="E130" s="314"/>
      <c r="F130" s="310">
        <v>66660</v>
      </c>
      <c r="H130" s="520">
        <f>SUM(F129)</f>
        <v>66660</v>
      </c>
    </row>
    <row r="131" spans="1:8" ht="27.75" customHeight="1" thickTop="1">
      <c r="A131" s="22"/>
      <c r="B131" s="23" t="s">
        <v>292</v>
      </c>
      <c r="C131" s="24"/>
      <c r="D131" s="29"/>
      <c r="E131" s="30"/>
      <c r="F131" s="31"/>
    </row>
    <row r="132" spans="1:8" ht="27.75" customHeight="1">
      <c r="A132" s="316">
        <v>1</v>
      </c>
      <c r="B132" s="280" t="s">
        <v>249</v>
      </c>
      <c r="C132" s="280" t="s">
        <v>250</v>
      </c>
      <c r="D132" s="317">
        <v>46081</v>
      </c>
      <c r="E132" s="318" t="s">
        <v>1016</v>
      </c>
      <c r="F132" s="319">
        <v>310.3</v>
      </c>
    </row>
    <row r="133" spans="1:8" ht="27.75" customHeight="1">
      <c r="A133" s="316">
        <v>2</v>
      </c>
      <c r="B133" s="280" t="s">
        <v>294</v>
      </c>
      <c r="C133" s="280" t="s">
        <v>255</v>
      </c>
      <c r="D133" s="321">
        <v>46060</v>
      </c>
      <c r="E133" s="322" t="s">
        <v>1017</v>
      </c>
      <c r="F133" s="323">
        <v>21.4</v>
      </c>
    </row>
    <row r="134" spans="1:8" ht="27.75" customHeight="1">
      <c r="A134" s="316">
        <v>3</v>
      </c>
      <c r="B134" s="270" t="s">
        <v>296</v>
      </c>
      <c r="C134" s="270" t="s">
        <v>262</v>
      </c>
      <c r="D134" s="324">
        <v>46056</v>
      </c>
      <c r="E134" s="325" t="s">
        <v>1018</v>
      </c>
      <c r="F134" s="326">
        <v>10.7</v>
      </c>
    </row>
    <row r="135" spans="1:8" ht="27.75" customHeight="1">
      <c r="A135" s="316">
        <v>4</v>
      </c>
      <c r="B135" s="270" t="s">
        <v>298</v>
      </c>
      <c r="C135" s="270" t="s">
        <v>199</v>
      </c>
      <c r="D135" s="328">
        <v>46081</v>
      </c>
      <c r="E135" s="329" t="s">
        <v>1019</v>
      </c>
      <c r="F135" s="330">
        <v>53.5</v>
      </c>
    </row>
    <row r="136" spans="1:8" ht="27.75" customHeight="1">
      <c r="A136" s="316">
        <v>5</v>
      </c>
      <c r="B136" s="270" t="s">
        <v>156</v>
      </c>
      <c r="C136" s="270" t="s">
        <v>208</v>
      </c>
      <c r="D136" s="328">
        <v>46057</v>
      </c>
      <c r="E136" s="329" t="s">
        <v>1020</v>
      </c>
      <c r="F136" s="330">
        <v>128.4</v>
      </c>
    </row>
    <row r="137" spans="1:8" ht="27.75" customHeight="1">
      <c r="A137" s="316">
        <v>6</v>
      </c>
      <c r="B137" s="270" t="s">
        <v>273</v>
      </c>
      <c r="C137" s="270" t="s">
        <v>211</v>
      </c>
      <c r="D137" s="328">
        <v>46059</v>
      </c>
      <c r="E137" s="329" t="s">
        <v>1021</v>
      </c>
      <c r="F137" s="330">
        <v>53.5</v>
      </c>
    </row>
    <row r="138" spans="1:8" ht="27.75" customHeight="1">
      <c r="A138" s="316">
        <v>7</v>
      </c>
      <c r="B138" s="270" t="s">
        <v>92</v>
      </c>
      <c r="C138" s="270" t="s">
        <v>302</v>
      </c>
      <c r="D138" s="331">
        <v>46079</v>
      </c>
      <c r="E138" s="332" t="s">
        <v>1022</v>
      </c>
      <c r="F138" s="333">
        <v>214</v>
      </c>
    </row>
    <row r="139" spans="1:8" ht="27.75" customHeight="1" thickBot="1">
      <c r="A139" s="193"/>
      <c r="B139" s="194"/>
      <c r="C139" s="195"/>
      <c r="D139" s="338"/>
      <c r="E139" s="199"/>
      <c r="F139" s="196">
        <v>791.8</v>
      </c>
      <c r="H139" s="512">
        <f>SUM(F132:F138)</f>
        <v>791.8</v>
      </c>
    </row>
    <row r="140" spans="1:8" ht="27.75" customHeight="1" thickTop="1">
      <c r="A140" s="22"/>
      <c r="B140" s="288" t="s">
        <v>304</v>
      </c>
      <c r="C140" s="289"/>
      <c r="D140" s="291"/>
      <c r="E140" s="292"/>
      <c r="F140" s="222"/>
    </row>
    <row r="141" spans="1:8" ht="27.75" customHeight="1">
      <c r="A141" s="186">
        <v>1</v>
      </c>
      <c r="B141" s="205" t="s">
        <v>24</v>
      </c>
      <c r="C141" s="346" t="s">
        <v>25</v>
      </c>
      <c r="D141" s="113">
        <v>46057</v>
      </c>
      <c r="E141" s="114" t="s">
        <v>1023</v>
      </c>
      <c r="F141" s="347">
        <v>1410</v>
      </c>
    </row>
    <row r="142" spans="1:8" ht="27.75" customHeight="1">
      <c r="A142" s="186">
        <v>2</v>
      </c>
      <c r="B142" s="205" t="s">
        <v>28</v>
      </c>
      <c r="C142" s="346" t="s">
        <v>311</v>
      </c>
      <c r="D142" s="113">
        <v>46081</v>
      </c>
      <c r="E142" s="114" t="s">
        <v>1024</v>
      </c>
      <c r="F142" s="347">
        <v>1410</v>
      </c>
    </row>
    <row r="143" spans="1:8" ht="27.75" customHeight="1">
      <c r="A143" s="186">
        <v>3</v>
      </c>
      <c r="B143" s="205" t="s">
        <v>28</v>
      </c>
      <c r="C143" s="346" t="s">
        <v>315</v>
      </c>
      <c r="D143" s="113">
        <v>46081</v>
      </c>
      <c r="E143" s="114" t="s">
        <v>1024</v>
      </c>
      <c r="F143" s="347">
        <v>1410</v>
      </c>
    </row>
    <row r="144" spans="1:8" ht="27.75" customHeight="1">
      <c r="A144" s="186">
        <v>4</v>
      </c>
      <c r="B144" s="205" t="s">
        <v>24</v>
      </c>
      <c r="C144" s="346" t="s">
        <v>316</v>
      </c>
      <c r="D144" s="113">
        <v>46057</v>
      </c>
      <c r="E144" s="114" t="s">
        <v>1023</v>
      </c>
      <c r="F144" s="347">
        <v>1410</v>
      </c>
    </row>
    <row r="145" spans="1:6" ht="27.75" customHeight="1">
      <c r="A145" s="186">
        <v>5</v>
      </c>
      <c r="B145" s="205" t="s">
        <v>24</v>
      </c>
      <c r="C145" s="346" t="s">
        <v>318</v>
      </c>
      <c r="D145" s="113">
        <v>46057</v>
      </c>
      <c r="E145" s="114" t="s">
        <v>1023</v>
      </c>
      <c r="F145" s="347">
        <v>1410</v>
      </c>
    </row>
    <row r="146" spans="1:6" ht="27.75" customHeight="1">
      <c r="A146" s="186">
        <v>6</v>
      </c>
      <c r="B146" s="205" t="s">
        <v>24</v>
      </c>
      <c r="C146" s="346" t="s">
        <v>319</v>
      </c>
      <c r="D146" s="113">
        <v>46057</v>
      </c>
      <c r="E146" s="114" t="s">
        <v>1023</v>
      </c>
      <c r="F146" s="347">
        <v>1410</v>
      </c>
    </row>
    <row r="147" spans="1:6" ht="27.75" customHeight="1">
      <c r="A147" s="186">
        <v>7</v>
      </c>
      <c r="B147" s="205" t="s">
        <v>28</v>
      </c>
      <c r="C147" s="346" t="s">
        <v>320</v>
      </c>
      <c r="D147" s="113">
        <v>46081</v>
      </c>
      <c r="E147" s="114" t="s">
        <v>1024</v>
      </c>
      <c r="F147" s="347">
        <v>1410</v>
      </c>
    </row>
    <row r="148" spans="1:6" ht="27.75" customHeight="1">
      <c r="A148" s="186">
        <v>8</v>
      </c>
      <c r="B148" s="205" t="s">
        <v>28</v>
      </c>
      <c r="C148" s="346" t="s">
        <v>321</v>
      </c>
      <c r="D148" s="113">
        <v>46081</v>
      </c>
      <c r="E148" s="114" t="s">
        <v>1024</v>
      </c>
      <c r="F148" s="347">
        <v>1410</v>
      </c>
    </row>
    <row r="149" spans="1:6" ht="27.75" customHeight="1">
      <c r="A149" s="186">
        <v>9</v>
      </c>
      <c r="B149" s="205" t="s">
        <v>28</v>
      </c>
      <c r="C149" s="346" t="s">
        <v>322</v>
      </c>
      <c r="D149" s="113">
        <v>46081</v>
      </c>
      <c r="E149" s="114" t="s">
        <v>1024</v>
      </c>
      <c r="F149" s="347">
        <v>1410</v>
      </c>
    </row>
    <row r="150" spans="1:6" ht="27.75" customHeight="1">
      <c r="A150" s="186">
        <v>10</v>
      </c>
      <c r="B150" s="205" t="s">
        <v>28</v>
      </c>
      <c r="C150" s="346" t="s">
        <v>323</v>
      </c>
      <c r="D150" s="113">
        <v>46081</v>
      </c>
      <c r="E150" s="114" t="s">
        <v>1024</v>
      </c>
      <c r="F150" s="347">
        <v>1410</v>
      </c>
    </row>
    <row r="151" spans="1:6" ht="27.75" customHeight="1">
      <c r="A151" s="186">
        <v>11</v>
      </c>
      <c r="B151" s="205" t="s">
        <v>28</v>
      </c>
      <c r="C151" s="346" t="s">
        <v>324</v>
      </c>
      <c r="D151" s="113">
        <v>46081</v>
      </c>
      <c r="E151" s="114" t="s">
        <v>1024</v>
      </c>
      <c r="F151" s="347">
        <v>1410</v>
      </c>
    </row>
    <row r="152" spans="1:6" ht="27.75" customHeight="1">
      <c r="A152" s="186">
        <v>12</v>
      </c>
      <c r="B152" s="205" t="s">
        <v>325</v>
      </c>
      <c r="C152" s="346" t="s">
        <v>326</v>
      </c>
      <c r="D152" s="113">
        <v>46058</v>
      </c>
      <c r="E152" s="114" t="s">
        <v>1025</v>
      </c>
      <c r="F152" s="347">
        <v>1410</v>
      </c>
    </row>
    <row r="153" spans="1:6" ht="27.75" customHeight="1">
      <c r="A153" s="186">
        <v>13</v>
      </c>
      <c r="B153" s="205" t="s">
        <v>325</v>
      </c>
      <c r="C153" s="346" t="s">
        <v>330</v>
      </c>
      <c r="D153" s="113">
        <v>46058</v>
      </c>
      <c r="E153" s="114" t="s">
        <v>1025</v>
      </c>
      <c r="F153" s="347">
        <v>1410</v>
      </c>
    </row>
    <row r="154" spans="1:6" ht="27.75" customHeight="1">
      <c r="A154" s="186">
        <v>14</v>
      </c>
      <c r="B154" s="205" t="s">
        <v>325</v>
      </c>
      <c r="C154" s="346" t="s">
        <v>331</v>
      </c>
      <c r="D154" s="113">
        <v>46058</v>
      </c>
      <c r="E154" s="114" t="s">
        <v>1025</v>
      </c>
      <c r="F154" s="347">
        <v>1410</v>
      </c>
    </row>
    <row r="155" spans="1:6" ht="27.75" customHeight="1">
      <c r="A155" s="186">
        <v>15</v>
      </c>
      <c r="B155" s="205" t="s">
        <v>325</v>
      </c>
      <c r="C155" s="346" t="s">
        <v>332</v>
      </c>
      <c r="D155" s="113">
        <v>46058</v>
      </c>
      <c r="E155" s="114" t="s">
        <v>1025</v>
      </c>
      <c r="F155" s="347">
        <v>1410</v>
      </c>
    </row>
    <row r="156" spans="1:6" ht="27.75" customHeight="1">
      <c r="A156" s="186">
        <v>16</v>
      </c>
      <c r="B156" s="205" t="s">
        <v>28</v>
      </c>
      <c r="C156" s="346" t="s">
        <v>333</v>
      </c>
      <c r="D156" s="113">
        <v>46081</v>
      </c>
      <c r="E156" s="114" t="s">
        <v>1024</v>
      </c>
      <c r="F156" s="347">
        <v>1410</v>
      </c>
    </row>
    <row r="157" spans="1:6" ht="27.75" customHeight="1">
      <c r="A157" s="186">
        <v>17</v>
      </c>
      <c r="B157" s="205" t="s">
        <v>28</v>
      </c>
      <c r="C157" s="346" t="s">
        <v>334</v>
      </c>
      <c r="D157" s="113">
        <v>46081</v>
      </c>
      <c r="E157" s="114" t="s">
        <v>1024</v>
      </c>
      <c r="F157" s="347">
        <v>1410</v>
      </c>
    </row>
    <row r="158" spans="1:6" ht="27.75" customHeight="1">
      <c r="A158" s="186">
        <v>18</v>
      </c>
      <c r="B158" s="205" t="s">
        <v>28</v>
      </c>
      <c r="C158" s="346" t="s">
        <v>335</v>
      </c>
      <c r="D158" s="113">
        <v>46081</v>
      </c>
      <c r="E158" s="114" t="s">
        <v>1024</v>
      </c>
      <c r="F158" s="347">
        <v>1410</v>
      </c>
    </row>
    <row r="159" spans="1:6" ht="27.75" customHeight="1">
      <c r="A159" s="186">
        <v>19</v>
      </c>
      <c r="B159" s="205" t="s">
        <v>40</v>
      </c>
      <c r="C159" s="346" t="s">
        <v>336</v>
      </c>
      <c r="D159" s="113">
        <v>46057</v>
      </c>
      <c r="E159" s="114" t="s">
        <v>1026</v>
      </c>
      <c r="F159" s="347">
        <v>1220</v>
      </c>
    </row>
    <row r="160" spans="1:6" ht="27.75" customHeight="1">
      <c r="A160" s="186">
        <v>20</v>
      </c>
      <c r="B160" s="205" t="s">
        <v>40</v>
      </c>
      <c r="C160" s="346" t="s">
        <v>338</v>
      </c>
      <c r="D160" s="113">
        <v>46057</v>
      </c>
      <c r="E160" s="114" t="s">
        <v>1026</v>
      </c>
      <c r="F160" s="347">
        <v>1220</v>
      </c>
    </row>
    <row r="161" spans="1:6" ht="27.75" customHeight="1">
      <c r="A161" s="186">
        <v>21</v>
      </c>
      <c r="B161" s="205" t="s">
        <v>40</v>
      </c>
      <c r="C161" s="346" t="s">
        <v>339</v>
      </c>
      <c r="D161" s="113">
        <v>46057</v>
      </c>
      <c r="E161" s="114" t="s">
        <v>1026</v>
      </c>
      <c r="F161" s="347">
        <v>1220</v>
      </c>
    </row>
    <row r="162" spans="1:6" ht="27.75" customHeight="1">
      <c r="A162" s="186">
        <v>24</v>
      </c>
      <c r="B162" s="40" t="s">
        <v>345</v>
      </c>
      <c r="C162" s="346" t="s">
        <v>346</v>
      </c>
      <c r="D162" s="113">
        <v>46058</v>
      </c>
      <c r="E162" s="114" t="s">
        <v>1027</v>
      </c>
      <c r="F162" s="347">
        <v>1410</v>
      </c>
    </row>
    <row r="163" spans="1:6" ht="27.75" customHeight="1">
      <c r="A163" s="186">
        <v>25</v>
      </c>
      <c r="B163" s="40" t="s">
        <v>345</v>
      </c>
      <c r="C163" s="346" t="s">
        <v>348</v>
      </c>
      <c r="D163" s="113">
        <v>46058</v>
      </c>
      <c r="E163" s="114" t="s">
        <v>1027</v>
      </c>
      <c r="F163" s="347">
        <v>1410</v>
      </c>
    </row>
    <row r="164" spans="1:6" ht="27.75" customHeight="1">
      <c r="A164" s="186">
        <v>26</v>
      </c>
      <c r="B164" s="40" t="s">
        <v>345</v>
      </c>
      <c r="C164" s="346" t="s">
        <v>349</v>
      </c>
      <c r="D164" s="113">
        <v>46058</v>
      </c>
      <c r="E164" s="114" t="s">
        <v>1027</v>
      </c>
      <c r="F164" s="347">
        <v>1410</v>
      </c>
    </row>
    <row r="165" spans="1:6" ht="27.75" customHeight="1">
      <c r="A165" s="186">
        <v>27</v>
      </c>
      <c r="B165" s="40" t="s">
        <v>345</v>
      </c>
      <c r="C165" s="346" t="s">
        <v>350</v>
      </c>
      <c r="D165" s="113">
        <v>46058</v>
      </c>
      <c r="E165" s="114" t="s">
        <v>1027</v>
      </c>
      <c r="F165" s="347">
        <v>1410</v>
      </c>
    </row>
    <row r="166" spans="1:6" ht="27.75" customHeight="1">
      <c r="A166" s="186">
        <v>28</v>
      </c>
      <c r="B166" s="40" t="s">
        <v>351</v>
      </c>
      <c r="C166" s="346" t="s">
        <v>352</v>
      </c>
      <c r="D166" s="113">
        <v>46058</v>
      </c>
      <c r="E166" s="114" t="s">
        <v>1028</v>
      </c>
      <c r="F166" s="347">
        <v>1410</v>
      </c>
    </row>
    <row r="167" spans="1:6" ht="27.75" customHeight="1">
      <c r="A167" s="186">
        <v>29</v>
      </c>
      <c r="B167" s="40" t="s">
        <v>351</v>
      </c>
      <c r="C167" s="346" t="s">
        <v>354</v>
      </c>
      <c r="D167" s="113">
        <v>46058</v>
      </c>
      <c r="E167" s="114" t="s">
        <v>1028</v>
      </c>
      <c r="F167" s="347">
        <v>1410</v>
      </c>
    </row>
    <row r="168" spans="1:6" ht="27.75" customHeight="1">
      <c r="A168" s="186">
        <v>30</v>
      </c>
      <c r="B168" s="40" t="s">
        <v>351</v>
      </c>
      <c r="C168" s="346" t="s">
        <v>355</v>
      </c>
      <c r="D168" s="113">
        <v>46058</v>
      </c>
      <c r="E168" s="114" t="s">
        <v>1028</v>
      </c>
      <c r="F168" s="347">
        <v>1410</v>
      </c>
    </row>
    <row r="169" spans="1:6" ht="27.75" customHeight="1">
      <c r="A169" s="186">
        <v>31</v>
      </c>
      <c r="B169" s="40" t="s">
        <v>356</v>
      </c>
      <c r="C169" s="346" t="s">
        <v>357</v>
      </c>
      <c r="D169" s="113">
        <v>46057</v>
      </c>
      <c r="E169" s="114" t="s">
        <v>1029</v>
      </c>
      <c r="F169" s="347">
        <v>1410</v>
      </c>
    </row>
    <row r="170" spans="1:6" ht="27.75" customHeight="1">
      <c r="A170" s="186">
        <v>32</v>
      </c>
      <c r="B170" s="40" t="s">
        <v>356</v>
      </c>
      <c r="C170" s="346" t="s">
        <v>360</v>
      </c>
      <c r="D170" s="113">
        <v>46057</v>
      </c>
      <c r="E170" s="114" t="s">
        <v>1029</v>
      </c>
      <c r="F170" s="347">
        <v>1410</v>
      </c>
    </row>
    <row r="171" spans="1:6" ht="27.75" customHeight="1">
      <c r="A171" s="186">
        <v>33</v>
      </c>
      <c r="B171" s="40" t="s">
        <v>356</v>
      </c>
      <c r="C171" s="346" t="s">
        <v>361</v>
      </c>
      <c r="D171" s="113">
        <v>46057</v>
      </c>
      <c r="E171" s="114" t="s">
        <v>1029</v>
      </c>
      <c r="F171" s="347">
        <v>1410</v>
      </c>
    </row>
    <row r="172" spans="1:6" ht="27.75" customHeight="1">
      <c r="A172" s="186">
        <v>34</v>
      </c>
      <c r="B172" s="40" t="s">
        <v>362</v>
      </c>
      <c r="C172" s="346" t="s">
        <v>363</v>
      </c>
      <c r="D172" s="113">
        <v>46054</v>
      </c>
      <c r="E172" s="114" t="s">
        <v>1030</v>
      </c>
      <c r="F172" s="347">
        <v>1410</v>
      </c>
    </row>
    <row r="173" spans="1:6" ht="27.75" customHeight="1">
      <c r="A173" s="186">
        <v>35</v>
      </c>
      <c r="B173" s="40" t="s">
        <v>362</v>
      </c>
      <c r="C173" s="346" t="s">
        <v>367</v>
      </c>
      <c r="D173" s="113">
        <v>46054</v>
      </c>
      <c r="E173" s="114" t="s">
        <v>1030</v>
      </c>
      <c r="F173" s="347">
        <v>1410</v>
      </c>
    </row>
    <row r="174" spans="1:6" ht="27.75" customHeight="1">
      <c r="A174" s="186">
        <v>36</v>
      </c>
      <c r="B174" s="40" t="s">
        <v>362</v>
      </c>
      <c r="C174" s="346" t="s">
        <v>368</v>
      </c>
      <c r="D174" s="113">
        <v>46054</v>
      </c>
      <c r="E174" s="114" t="s">
        <v>1030</v>
      </c>
      <c r="F174" s="347">
        <v>1410</v>
      </c>
    </row>
    <row r="175" spans="1:6" ht="27.75" customHeight="1">
      <c r="A175" s="186">
        <v>37</v>
      </c>
      <c r="B175" s="40" t="s">
        <v>362</v>
      </c>
      <c r="C175" s="346" t="s">
        <v>369</v>
      </c>
      <c r="D175" s="113">
        <v>46054</v>
      </c>
      <c r="E175" s="114" t="s">
        <v>1030</v>
      </c>
      <c r="F175" s="347">
        <v>1410</v>
      </c>
    </row>
    <row r="176" spans="1:6" ht="27.75" customHeight="1">
      <c r="A176" s="186">
        <v>38</v>
      </c>
      <c r="B176" s="40" t="s">
        <v>362</v>
      </c>
      <c r="C176" s="346" t="s">
        <v>370</v>
      </c>
      <c r="D176" s="113">
        <v>46054</v>
      </c>
      <c r="E176" s="114" t="s">
        <v>1030</v>
      </c>
      <c r="F176" s="347">
        <v>1410</v>
      </c>
    </row>
    <row r="177" spans="1:8" ht="27.75" customHeight="1">
      <c r="A177" s="186">
        <v>39</v>
      </c>
      <c r="B177" s="40" t="s">
        <v>362</v>
      </c>
      <c r="C177" s="346" t="s">
        <v>371</v>
      </c>
      <c r="D177" s="113">
        <v>46054</v>
      </c>
      <c r="E177" s="114" t="s">
        <v>1030</v>
      </c>
      <c r="F177" s="347">
        <v>1410</v>
      </c>
    </row>
    <row r="178" spans="1:8" ht="27.75" customHeight="1">
      <c r="A178" s="186">
        <v>40</v>
      </c>
      <c r="B178" s="40" t="s">
        <v>372</v>
      </c>
      <c r="C178" s="346" t="s">
        <v>373</v>
      </c>
      <c r="D178" s="113">
        <v>46055</v>
      </c>
      <c r="E178" s="114" t="s">
        <v>1031</v>
      </c>
      <c r="F178" s="347">
        <v>1410</v>
      </c>
    </row>
    <row r="179" spans="1:8" ht="27.75" customHeight="1">
      <c r="A179" s="186">
        <v>41</v>
      </c>
      <c r="B179" s="40" t="s">
        <v>372</v>
      </c>
      <c r="C179" s="346" t="s">
        <v>377</v>
      </c>
      <c r="D179" s="113">
        <v>46055</v>
      </c>
      <c r="E179" s="114" t="s">
        <v>1031</v>
      </c>
      <c r="F179" s="347">
        <v>1410</v>
      </c>
    </row>
    <row r="180" spans="1:8" ht="27.75" customHeight="1">
      <c r="A180" s="186">
        <v>42</v>
      </c>
      <c r="B180" s="40" t="s">
        <v>372</v>
      </c>
      <c r="C180" s="346" t="s">
        <v>378</v>
      </c>
      <c r="D180" s="113">
        <v>46055</v>
      </c>
      <c r="E180" s="114" t="s">
        <v>1031</v>
      </c>
      <c r="F180" s="347">
        <v>1410</v>
      </c>
    </row>
    <row r="181" spans="1:8" ht="27.75" customHeight="1">
      <c r="A181" s="186">
        <v>43</v>
      </c>
      <c r="B181" s="40" t="s">
        <v>372</v>
      </c>
      <c r="C181" s="346" t="s">
        <v>379</v>
      </c>
      <c r="D181" s="113">
        <v>46055</v>
      </c>
      <c r="E181" s="114" t="s">
        <v>1031</v>
      </c>
      <c r="F181" s="347">
        <v>1410</v>
      </c>
    </row>
    <row r="182" spans="1:8" ht="27.75" customHeight="1">
      <c r="A182" s="186">
        <v>44</v>
      </c>
      <c r="B182" s="40" t="s">
        <v>380</v>
      </c>
      <c r="C182" s="346" t="s">
        <v>381</v>
      </c>
      <c r="D182" s="175">
        <v>46058</v>
      </c>
      <c r="E182" s="176" t="s">
        <v>1032</v>
      </c>
      <c r="F182" s="222">
        <v>1410</v>
      </c>
    </row>
    <row r="183" spans="1:8" ht="27.75" customHeight="1">
      <c r="A183" s="186">
        <v>45</v>
      </c>
      <c r="B183" s="40" t="s">
        <v>380</v>
      </c>
      <c r="C183" s="346" t="s">
        <v>385</v>
      </c>
      <c r="D183" s="175">
        <v>46058</v>
      </c>
      <c r="E183" s="176" t="s">
        <v>1032</v>
      </c>
      <c r="F183" s="222">
        <v>1410</v>
      </c>
    </row>
    <row r="184" spans="1:8" ht="27.75" customHeight="1">
      <c r="A184" s="186">
        <v>46</v>
      </c>
      <c r="B184" s="40" t="s">
        <v>380</v>
      </c>
      <c r="C184" s="346" t="s">
        <v>386</v>
      </c>
      <c r="D184" s="175">
        <v>46058</v>
      </c>
      <c r="E184" s="176" t="s">
        <v>1032</v>
      </c>
      <c r="F184" s="222">
        <v>1410</v>
      </c>
    </row>
    <row r="185" spans="1:8" ht="27.75" customHeight="1">
      <c r="A185" s="186">
        <v>47</v>
      </c>
      <c r="B185" s="40" t="s">
        <v>380</v>
      </c>
      <c r="C185" s="346" t="s">
        <v>387</v>
      </c>
      <c r="D185" s="175">
        <v>46058</v>
      </c>
      <c r="E185" s="176" t="s">
        <v>1032</v>
      </c>
      <c r="F185" s="222">
        <v>1410</v>
      </c>
    </row>
    <row r="186" spans="1:8" ht="27.75" customHeight="1" thickBot="1">
      <c r="A186" s="357"/>
      <c r="B186" s="358"/>
      <c r="C186" s="359"/>
      <c r="D186" s="361"/>
      <c r="E186" s="361"/>
      <c r="F186" s="362">
        <v>62880</v>
      </c>
      <c r="H186" s="520">
        <f>SUM(F141:F185)</f>
        <v>62880</v>
      </c>
    </row>
    <row r="187" spans="1:8" ht="27.75" customHeight="1" thickTop="1">
      <c r="A187" s="94"/>
      <c r="B187" s="364" t="s">
        <v>395</v>
      </c>
      <c r="C187" s="81"/>
      <c r="D187" s="178"/>
      <c r="E187" s="179"/>
      <c r="F187" s="264"/>
    </row>
    <row r="188" spans="1:8" ht="27.75" customHeight="1">
      <c r="A188" s="94">
        <v>1</v>
      </c>
      <c r="B188" s="366" t="s">
        <v>167</v>
      </c>
      <c r="C188" s="367" t="s">
        <v>396</v>
      </c>
      <c r="D188" s="175">
        <v>46058</v>
      </c>
      <c r="E188" s="176" t="s">
        <v>1033</v>
      </c>
      <c r="F188" s="222">
        <v>22690</v>
      </c>
    </row>
    <row r="189" spans="1:8" ht="27.75" customHeight="1">
      <c r="A189" s="94">
        <v>2</v>
      </c>
      <c r="B189" s="366" t="s">
        <v>24</v>
      </c>
      <c r="C189" s="367" t="s">
        <v>403</v>
      </c>
      <c r="D189" s="175">
        <v>46057</v>
      </c>
      <c r="E189" s="176" t="s">
        <v>1034</v>
      </c>
      <c r="F189" s="222">
        <v>15295</v>
      </c>
    </row>
    <row r="190" spans="1:8" ht="27.75" customHeight="1">
      <c r="A190" s="94">
        <v>3</v>
      </c>
      <c r="B190" s="366" t="s">
        <v>411</v>
      </c>
      <c r="C190" s="367" t="s">
        <v>412</v>
      </c>
      <c r="D190" s="175">
        <v>46057</v>
      </c>
      <c r="E190" s="176" t="s">
        <v>1035</v>
      </c>
      <c r="F190" s="222">
        <v>5360</v>
      </c>
    </row>
    <row r="191" spans="1:8" ht="27.75" customHeight="1">
      <c r="A191" s="94">
        <v>4</v>
      </c>
      <c r="B191" s="366" t="s">
        <v>417</v>
      </c>
      <c r="C191" s="367" t="s">
        <v>418</v>
      </c>
      <c r="D191" s="175">
        <v>46078</v>
      </c>
      <c r="E191" s="176" t="s">
        <v>1036</v>
      </c>
      <c r="F191" s="222">
        <v>68108.75</v>
      </c>
    </row>
    <row r="192" spans="1:8" ht="27.75" customHeight="1">
      <c r="A192" s="94">
        <v>5</v>
      </c>
      <c r="B192" s="366" t="s">
        <v>417</v>
      </c>
      <c r="C192" s="367" t="s">
        <v>421</v>
      </c>
      <c r="D192" s="175">
        <v>46024</v>
      </c>
      <c r="E192" s="176" t="s">
        <v>1037</v>
      </c>
      <c r="F192" s="222">
        <v>4910</v>
      </c>
    </row>
    <row r="193" spans="1:8" ht="27.75" customHeight="1">
      <c r="A193" s="94">
        <v>6</v>
      </c>
      <c r="B193" s="366" t="s">
        <v>428</v>
      </c>
      <c r="C193" s="367" t="s">
        <v>429</v>
      </c>
      <c r="D193" s="175">
        <v>46058</v>
      </c>
      <c r="E193" s="176" t="s">
        <v>1038</v>
      </c>
      <c r="F193" s="222">
        <v>20000</v>
      </c>
    </row>
    <row r="194" spans="1:8" ht="27.75" customHeight="1" thickBot="1">
      <c r="A194" s="193"/>
      <c r="B194" s="194" t="s">
        <v>22</v>
      </c>
      <c r="C194" s="195"/>
      <c r="D194" s="199"/>
      <c r="E194" s="199"/>
      <c r="F194" s="196">
        <v>136363.75</v>
      </c>
      <c r="H194" s="520">
        <f>SUM(F188:F193)</f>
        <v>136363.75</v>
      </c>
    </row>
    <row r="195" spans="1:8" ht="27.75" customHeight="1" thickTop="1">
      <c r="A195" s="22"/>
      <c r="B195" s="288" t="s">
        <v>433</v>
      </c>
      <c r="C195" s="380"/>
      <c r="D195" s="382"/>
      <c r="E195" s="382"/>
      <c r="F195" s="383"/>
    </row>
    <row r="196" spans="1:8" ht="27.75" customHeight="1">
      <c r="A196" s="22">
        <v>1</v>
      </c>
      <c r="B196" s="270" t="s">
        <v>438</v>
      </c>
      <c r="C196" s="380" t="s">
        <v>439</v>
      </c>
      <c r="D196" s="389">
        <v>46057</v>
      </c>
      <c r="E196" s="386" t="s">
        <v>1041</v>
      </c>
      <c r="F196" s="383">
        <v>1500</v>
      </c>
    </row>
    <row r="197" spans="1:8" ht="27.75" customHeight="1" thickBot="1">
      <c r="A197" s="193"/>
      <c r="B197" s="194" t="s">
        <v>22</v>
      </c>
      <c r="C197" s="195"/>
      <c r="D197" s="393">
        <v>0</v>
      </c>
      <c r="E197" s="393">
        <v>0</v>
      </c>
      <c r="F197" s="394">
        <v>1500</v>
      </c>
      <c r="H197" s="520">
        <f>SUM(F196)</f>
        <v>1500</v>
      </c>
    </row>
    <row r="198" spans="1:8" ht="27.75" customHeight="1" thickTop="1" thickBot="1">
      <c r="A198" s="414"/>
      <c r="B198" s="415"/>
      <c r="C198" s="416" t="s">
        <v>468</v>
      </c>
      <c r="D198" s="421"/>
      <c r="E198" s="421"/>
      <c r="F198" s="422">
        <v>856118.60000000009</v>
      </c>
      <c r="H198" s="57">
        <f>SUM(H21:H197)</f>
        <v>856118.60000000009</v>
      </c>
    </row>
    <row r="199" spans="1:8" ht="27.75" customHeight="1" thickTop="1">
      <c r="A199" s="426"/>
      <c r="B199" s="4"/>
      <c r="C199" s="295"/>
      <c r="D199" s="431"/>
      <c r="E199" s="432"/>
      <c r="F199" s="427"/>
    </row>
    <row r="200" spans="1:8" s="226" customFormat="1" ht="27.75" customHeight="1">
      <c r="A200" s="6"/>
      <c r="B200" s="500"/>
      <c r="D200" s="3"/>
      <c r="E200" s="372"/>
      <c r="F200" s="501"/>
    </row>
    <row r="201" spans="1:8" s="226" customFormat="1" ht="27.75" customHeight="1">
      <c r="A201" s="6"/>
      <c r="B201" s="500"/>
      <c r="D201" s="3"/>
      <c r="E201" s="372"/>
      <c r="F201" s="501"/>
    </row>
    <row r="202" spans="1:8" s="226" customFormat="1" ht="27.75" customHeight="1">
      <c r="A202" s="6"/>
      <c r="B202" s="500"/>
      <c r="D202" s="3"/>
      <c r="E202" s="372"/>
      <c r="F202" s="501"/>
    </row>
    <row r="203" spans="1:8" s="226" customFormat="1" ht="27.75" customHeight="1">
      <c r="A203" s="6"/>
      <c r="B203" s="500"/>
      <c r="D203" s="3"/>
      <c r="E203" s="372"/>
      <c r="F203" s="501"/>
    </row>
    <row r="204" spans="1:8" s="226" customFormat="1" ht="27.75" customHeight="1">
      <c r="A204" s="6"/>
      <c r="B204" s="500"/>
      <c r="D204" s="3"/>
      <c r="E204" s="372"/>
      <c r="F204" s="501"/>
    </row>
    <row r="205" spans="1:8" s="226" customFormat="1" ht="27.75" customHeight="1">
      <c r="A205" s="6"/>
      <c r="B205" s="500"/>
      <c r="D205" s="3"/>
      <c r="E205" s="372"/>
      <c r="F205" s="501"/>
    </row>
    <row r="206" spans="1:8" s="226" customFormat="1" ht="27.75" customHeight="1">
      <c r="A206" s="6"/>
      <c r="B206" s="500"/>
      <c r="D206" s="3"/>
      <c r="E206" s="372"/>
      <c r="F206" s="501"/>
    </row>
    <row r="207" spans="1:8" s="226" customFormat="1" ht="27.75" customHeight="1">
      <c r="A207" s="6"/>
      <c r="B207" s="500"/>
      <c r="D207" s="3"/>
      <c r="E207" s="372"/>
      <c r="F207" s="501"/>
    </row>
    <row r="208" spans="1:8" s="226" customFormat="1" ht="27.75" customHeight="1">
      <c r="A208" s="6"/>
      <c r="D208" s="3"/>
      <c r="E208" s="372"/>
      <c r="F208" s="501"/>
    </row>
    <row r="209" spans="2:6" ht="27.75" customHeight="1">
      <c r="B209" s="4"/>
      <c r="F209" s="4"/>
    </row>
    <row r="210" spans="2:6" ht="27.75" customHeight="1">
      <c r="B210" s="4"/>
      <c r="F210" s="4"/>
    </row>
    <row r="211" spans="2:6" ht="27.75" customHeight="1">
      <c r="B211" s="4"/>
      <c r="F211" s="4"/>
    </row>
    <row r="212" spans="2:6" ht="27.75" customHeight="1">
      <c r="B212" s="4"/>
      <c r="F212" s="4"/>
    </row>
    <row r="213" spans="2:6" ht="27.75" customHeight="1">
      <c r="B213" s="4"/>
      <c r="F213" s="4"/>
    </row>
    <row r="214" spans="2:6" ht="27.75" customHeight="1">
      <c r="B214" s="4"/>
      <c r="F214" s="4"/>
    </row>
    <row r="215" spans="2:6" ht="27.75" customHeight="1">
      <c r="B215" s="4"/>
      <c r="F215" s="4"/>
    </row>
    <row r="216" spans="2:6" ht="27.75" customHeight="1">
      <c r="B216" s="4"/>
      <c r="F216" s="4"/>
    </row>
    <row r="217" spans="2:6" ht="27.75" customHeight="1">
      <c r="B217" s="4"/>
      <c r="F217" s="4"/>
    </row>
    <row r="218" spans="2:6" ht="27.75" customHeight="1">
      <c r="B218" s="4"/>
      <c r="F218" s="4"/>
    </row>
    <row r="219" spans="2:6" ht="27.75" customHeight="1">
      <c r="B219" s="4"/>
      <c r="F219" s="4"/>
    </row>
    <row r="220" spans="2:6" ht="27.75" customHeight="1">
      <c r="B220" s="4"/>
      <c r="F220" s="4"/>
    </row>
    <row r="221" spans="2:6" ht="27.75" customHeight="1">
      <c r="B221" s="4"/>
      <c r="F221" s="4"/>
    </row>
    <row r="222" spans="2:6" ht="27.75" customHeight="1">
      <c r="B222" s="4"/>
      <c r="F222" s="4"/>
    </row>
    <row r="223" spans="2:6" ht="27.75" customHeight="1">
      <c r="B223" s="4"/>
      <c r="F223" s="4"/>
    </row>
    <row r="224" spans="2:6" ht="27.75" customHeight="1">
      <c r="B224" s="4"/>
      <c r="F224" s="4"/>
    </row>
    <row r="236" spans="2:6" ht="27.75" customHeight="1">
      <c r="B236" s="4"/>
      <c r="F236" s="4"/>
    </row>
    <row r="237" spans="2:6" ht="27.75" customHeight="1">
      <c r="B237" s="4"/>
      <c r="F237" s="4"/>
    </row>
    <row r="238" spans="2:6" ht="27.75" customHeight="1">
      <c r="B238" s="4"/>
      <c r="F238" s="4"/>
    </row>
    <row r="239" spans="2:6" ht="27.75" customHeight="1">
      <c r="B239" s="4"/>
      <c r="F239" s="4"/>
    </row>
    <row r="240" spans="2:6" ht="27.75" customHeight="1">
      <c r="B240" s="4"/>
      <c r="F240" s="4"/>
    </row>
    <row r="241" spans="2:6" ht="27.75" customHeight="1">
      <c r="B241" s="4"/>
      <c r="F241" s="4"/>
    </row>
    <row r="242" spans="2:6" ht="27.75" customHeight="1">
      <c r="B242" s="4"/>
      <c r="F242" s="4"/>
    </row>
    <row r="243" spans="2:6" ht="27.75" customHeight="1">
      <c r="B243" s="4"/>
      <c r="F243" s="4"/>
    </row>
    <row r="244" spans="2:6" ht="27.75" customHeight="1">
      <c r="B244" s="4"/>
      <c r="F244" s="4"/>
    </row>
    <row r="245" spans="2:6" ht="27.75" customHeight="1">
      <c r="B245" s="4"/>
      <c r="F245" s="4"/>
    </row>
    <row r="246" spans="2:6" ht="27.75" customHeight="1">
      <c r="B246" s="4"/>
      <c r="F246" s="4"/>
    </row>
    <row r="247" spans="2:6" ht="27.75" customHeight="1">
      <c r="B247" s="4"/>
      <c r="F247" s="4"/>
    </row>
    <row r="248" spans="2:6" ht="27.75" customHeight="1">
      <c r="B248" s="4"/>
      <c r="F248" s="4"/>
    </row>
  </sheetData>
  <mergeCells count="8">
    <mergeCell ref="A5:A6"/>
    <mergeCell ref="B5:B6"/>
    <mergeCell ref="C5:C6"/>
    <mergeCell ref="A1:F1"/>
    <mergeCell ref="A2:F2"/>
    <mergeCell ref="A3:F3"/>
    <mergeCell ref="E5:E6"/>
    <mergeCell ref="F5:F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F6D0E-3A89-47AA-A7E8-80026DFF0B79}">
  <sheetPr>
    <tabColor rgb="FF00B0F0"/>
  </sheetPr>
  <dimension ref="A1:S169"/>
  <sheetViews>
    <sheetView zoomScale="60" zoomScaleNormal="60" workbookViewId="0">
      <pane ySplit="6" topLeftCell="A77" activePane="bottomLeft" state="frozen"/>
      <selection pane="bottomLeft" activeCell="Q86" sqref="Q86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6.88671875" style="552" customWidth="1"/>
    <col min="5" max="5" width="20" style="372" customWidth="1"/>
    <col min="6" max="6" width="9.109375" style="2" customWidth="1"/>
    <col min="7" max="7" width="23.6640625" style="507" customWidth="1"/>
    <col min="8" max="8" width="5.33203125" style="2" hidden="1" customWidth="1"/>
    <col min="9" max="9" width="9" style="508" hidden="1" customWidth="1"/>
    <col min="10" max="10" width="9.6640625" style="508" hidden="1" customWidth="1"/>
    <col min="11" max="11" width="10.88671875" style="512" hidden="1" customWidth="1"/>
    <col min="12" max="12" width="24.5546875" style="512" hidden="1" customWidth="1"/>
    <col min="13" max="14" width="8.88671875" style="4" hidden="1" customWidth="1"/>
    <col min="15" max="15" width="8.88671875" style="4"/>
    <col min="16" max="16" width="12.109375" style="4" bestFit="1" customWidth="1"/>
    <col min="17" max="18" width="15.44140625" style="4" bestFit="1" customWidth="1"/>
    <col min="19" max="16384" width="8.88671875" style="4"/>
  </cols>
  <sheetData>
    <row r="1" spans="1:16" ht="28.5" customHeight="1">
      <c r="A1" s="653" t="s">
        <v>0</v>
      </c>
      <c r="B1" s="653"/>
      <c r="C1" s="653"/>
      <c r="D1" s="653"/>
      <c r="E1" s="653"/>
      <c r="F1" s="653"/>
      <c r="G1" s="653"/>
      <c r="I1" s="3"/>
      <c r="J1" s="3"/>
      <c r="K1" s="1"/>
      <c r="L1" s="1"/>
    </row>
    <row r="2" spans="1:16" ht="23.25" customHeight="1">
      <c r="A2" s="653" t="s">
        <v>1</v>
      </c>
      <c r="B2" s="653"/>
      <c r="C2" s="653"/>
      <c r="D2" s="653"/>
      <c r="E2" s="653"/>
      <c r="F2" s="653"/>
      <c r="G2" s="653"/>
      <c r="H2" s="5"/>
      <c r="I2" s="3"/>
      <c r="J2" s="3"/>
      <c r="K2" s="1"/>
      <c r="L2" s="1"/>
    </row>
    <row r="3" spans="1:16" ht="28.5" customHeight="1">
      <c r="A3" s="654" t="s">
        <v>935</v>
      </c>
      <c r="B3" s="654"/>
      <c r="C3" s="654"/>
      <c r="D3" s="654"/>
      <c r="E3" s="654"/>
      <c r="F3" s="654"/>
      <c r="G3" s="654"/>
      <c r="I3" s="3"/>
      <c r="J3" s="3"/>
      <c r="K3" s="6"/>
      <c r="L3" s="6"/>
    </row>
    <row r="4" spans="1:16" ht="27.75" customHeight="1">
      <c r="A4" s="7"/>
      <c r="B4" s="8"/>
      <c r="C4" s="9"/>
      <c r="D4" s="522"/>
      <c r="E4" s="655" t="s">
        <v>5</v>
      </c>
      <c r="F4" s="656"/>
      <c r="G4" s="657"/>
      <c r="H4" s="658" t="s">
        <v>6</v>
      </c>
      <c r="I4" s="671" t="s">
        <v>7</v>
      </c>
      <c r="J4" s="671" t="s">
        <v>8</v>
      </c>
      <c r="K4" s="661" t="s">
        <v>9</v>
      </c>
      <c r="L4" s="661" t="s">
        <v>10</v>
      </c>
    </row>
    <row r="5" spans="1:16" ht="27.75" customHeight="1">
      <c r="A5" s="664" t="s">
        <v>11</v>
      </c>
      <c r="B5" s="666" t="s">
        <v>12</v>
      </c>
      <c r="C5" s="666" t="s">
        <v>13</v>
      </c>
      <c r="D5" s="523" t="s">
        <v>1042</v>
      </c>
      <c r="E5" s="664" t="s">
        <v>15</v>
      </c>
      <c r="F5" s="669" t="s">
        <v>16</v>
      </c>
      <c r="G5" s="514"/>
      <c r="H5" s="659"/>
      <c r="I5" s="672"/>
      <c r="J5" s="672"/>
      <c r="K5" s="662"/>
      <c r="L5" s="662"/>
    </row>
    <row r="6" spans="1:16" ht="27.75" customHeight="1" thickBot="1">
      <c r="A6" s="665"/>
      <c r="B6" s="667"/>
      <c r="C6" s="667"/>
      <c r="D6" s="524"/>
      <c r="E6" s="668"/>
      <c r="F6" s="670"/>
      <c r="G6" s="21" t="s">
        <v>22</v>
      </c>
      <c r="H6" s="660"/>
      <c r="I6" s="673"/>
      <c r="J6" s="673"/>
      <c r="K6" s="663"/>
      <c r="L6" s="663"/>
    </row>
    <row r="7" spans="1:16" ht="27.75" customHeight="1" thickTop="1">
      <c r="A7" s="22"/>
      <c r="B7" s="23" t="s">
        <v>23</v>
      </c>
      <c r="C7" s="24"/>
      <c r="D7" s="525"/>
      <c r="E7" s="32"/>
      <c r="F7" s="33"/>
      <c r="G7" s="35"/>
      <c r="H7" s="36"/>
      <c r="I7" s="37"/>
      <c r="J7" s="37"/>
      <c r="K7" s="38"/>
      <c r="L7" s="38"/>
      <c r="M7" s="38"/>
    </row>
    <row r="8" spans="1:16" s="57" customFormat="1" ht="27.75" customHeight="1">
      <c r="A8" s="39">
        <v>2</v>
      </c>
      <c r="B8" s="40" t="s">
        <v>28</v>
      </c>
      <c r="C8" s="41" t="s">
        <v>29</v>
      </c>
      <c r="D8" s="526">
        <v>4012.5</v>
      </c>
      <c r="E8" s="51"/>
      <c r="F8" s="52"/>
      <c r="G8" s="54"/>
      <c r="H8" s="39"/>
      <c r="I8" s="55"/>
      <c r="J8" s="55"/>
      <c r="K8" s="56"/>
      <c r="L8" s="56"/>
    </row>
    <row r="9" spans="1:16" s="57" customFormat="1" ht="27.75" customHeight="1">
      <c r="A9" s="39">
        <v>4</v>
      </c>
      <c r="B9" s="40" t="s">
        <v>34</v>
      </c>
      <c r="C9" s="41" t="s">
        <v>35</v>
      </c>
      <c r="D9" s="526">
        <v>4012.5</v>
      </c>
      <c r="E9" s="51"/>
      <c r="F9" s="52"/>
      <c r="G9" s="54"/>
      <c r="H9" s="39"/>
      <c r="I9" s="55"/>
      <c r="J9" s="55"/>
      <c r="K9" s="56"/>
      <c r="L9" s="56"/>
    </row>
    <row r="10" spans="1:16" s="57" customFormat="1" ht="27.75" customHeight="1">
      <c r="A10" s="39">
        <v>6</v>
      </c>
      <c r="B10" s="40" t="s">
        <v>34</v>
      </c>
      <c r="C10" s="41" t="s">
        <v>39</v>
      </c>
      <c r="D10" s="526">
        <v>4012.5</v>
      </c>
      <c r="E10" s="51"/>
      <c r="F10" s="52"/>
      <c r="G10" s="54"/>
      <c r="H10" s="39"/>
      <c r="I10" s="55"/>
      <c r="J10" s="55"/>
      <c r="K10" s="56"/>
      <c r="L10" s="56"/>
    </row>
    <row r="11" spans="1:16" s="57" customFormat="1" ht="27.75" customHeight="1">
      <c r="A11" s="39">
        <v>15</v>
      </c>
      <c r="B11" s="40" t="s">
        <v>66</v>
      </c>
      <c r="C11" s="41" t="s">
        <v>67</v>
      </c>
      <c r="D11" s="526"/>
      <c r="E11" s="51" t="s">
        <v>823</v>
      </c>
      <c r="F11" s="52">
        <v>1</v>
      </c>
      <c r="G11" s="54">
        <v>12037.5</v>
      </c>
      <c r="H11" s="39"/>
      <c r="I11" s="55"/>
      <c r="J11" s="55"/>
      <c r="K11" s="56"/>
      <c r="L11" s="56"/>
    </row>
    <row r="12" spans="1:16" s="57" customFormat="1" ht="27.75" customHeight="1">
      <c r="A12" s="39">
        <v>16</v>
      </c>
      <c r="B12" s="40" t="s">
        <v>66</v>
      </c>
      <c r="C12" s="41" t="s">
        <v>69</v>
      </c>
      <c r="D12" s="526"/>
      <c r="E12" s="51" t="s">
        <v>823</v>
      </c>
      <c r="F12" s="52">
        <v>1</v>
      </c>
      <c r="G12" s="54">
        <v>4012.5</v>
      </c>
      <c r="H12" s="39"/>
      <c r="I12" s="55"/>
      <c r="J12" s="55"/>
      <c r="K12" s="56"/>
      <c r="L12" s="56"/>
    </row>
    <row r="13" spans="1:16" s="57" customFormat="1" ht="35.25" customHeight="1" thickBot="1">
      <c r="A13" s="67"/>
      <c r="B13" s="68" t="s">
        <v>22</v>
      </c>
      <c r="C13" s="69"/>
      <c r="D13" s="527"/>
      <c r="E13" s="77"/>
      <c r="F13" s="78"/>
      <c r="G13" s="79">
        <v>16050</v>
      </c>
      <c r="H13" s="79">
        <v>0</v>
      </c>
      <c r="I13" s="79">
        <v>0</v>
      </c>
      <c r="J13" s="79">
        <v>0</v>
      </c>
      <c r="K13" s="79">
        <v>0</v>
      </c>
      <c r="L13" s="79">
        <v>0</v>
      </c>
      <c r="M13" s="79">
        <v>0</v>
      </c>
      <c r="N13" s="79">
        <v>0</v>
      </c>
      <c r="P13" s="57">
        <f>SUM(G11:G12)</f>
        <v>16050</v>
      </c>
    </row>
    <row r="14" spans="1:16" s="91" customFormat="1" ht="27.75" customHeight="1" thickTop="1">
      <c r="A14" s="39">
        <v>1</v>
      </c>
      <c r="B14" s="80" t="s">
        <v>71</v>
      </c>
      <c r="C14" s="81" t="s">
        <v>72</v>
      </c>
      <c r="D14" s="528">
        <v>6687.5</v>
      </c>
      <c r="E14" s="87"/>
      <c r="F14" s="88"/>
      <c r="G14" s="519"/>
      <c r="H14" s="39"/>
      <c r="I14" s="55"/>
      <c r="J14" s="55"/>
      <c r="K14" s="58"/>
      <c r="L14" s="58"/>
    </row>
    <row r="15" spans="1:16" s="57" customFormat="1" ht="27.75" customHeight="1" thickBot="1">
      <c r="A15" s="96"/>
      <c r="B15" s="97" t="s">
        <v>22</v>
      </c>
      <c r="C15" s="98"/>
      <c r="D15" s="530"/>
      <c r="E15" s="106"/>
      <c r="F15" s="107"/>
      <c r="G15" s="109"/>
      <c r="H15" s="39"/>
      <c r="I15" s="55"/>
      <c r="J15" s="55"/>
      <c r="K15" s="56"/>
      <c r="L15" s="56"/>
    </row>
    <row r="16" spans="1:16" ht="27.75" customHeight="1" thickTop="1">
      <c r="A16" s="39">
        <v>1</v>
      </c>
      <c r="B16" s="40" t="s">
        <v>78</v>
      </c>
      <c r="C16" s="81" t="s">
        <v>72</v>
      </c>
      <c r="D16" s="528"/>
      <c r="E16" s="94" t="s">
        <v>948</v>
      </c>
      <c r="F16" s="116">
        <v>2</v>
      </c>
      <c r="G16" s="54">
        <v>19066.544859813086</v>
      </c>
      <c r="H16" s="39"/>
      <c r="I16" s="55"/>
      <c r="J16" s="55"/>
      <c r="K16" s="56"/>
      <c r="L16" s="56"/>
    </row>
    <row r="17" spans="1:16" ht="27.75" customHeight="1">
      <c r="A17" s="39">
        <v>2</v>
      </c>
      <c r="B17" s="40" t="s">
        <v>82</v>
      </c>
      <c r="C17" s="41" t="s">
        <v>72</v>
      </c>
      <c r="D17" s="529"/>
      <c r="E17" s="94" t="s">
        <v>823</v>
      </c>
      <c r="F17" s="116">
        <v>1</v>
      </c>
      <c r="G17" s="54">
        <v>1883.1981308411221</v>
      </c>
      <c r="H17" s="39"/>
      <c r="I17" s="55"/>
      <c r="J17" s="55"/>
      <c r="K17" s="56"/>
      <c r="L17" s="56"/>
    </row>
    <row r="18" spans="1:16" s="57" customFormat="1" ht="27.75" customHeight="1" thickBot="1">
      <c r="A18" s="96"/>
      <c r="B18" s="97" t="s">
        <v>22</v>
      </c>
      <c r="C18" s="98"/>
      <c r="D18" s="530"/>
      <c r="E18" s="106"/>
      <c r="F18" s="107"/>
      <c r="G18" s="108">
        <v>20949.743738317757</v>
      </c>
      <c r="H18" s="39"/>
      <c r="I18" s="55"/>
      <c r="J18" s="55"/>
      <c r="K18" s="56"/>
      <c r="L18" s="56"/>
      <c r="P18" s="57">
        <f>SUM(G16:G17)</f>
        <v>20949.742990654209</v>
      </c>
    </row>
    <row r="19" spans="1:16" ht="27.75" hidden="1" customHeight="1" thickBot="1">
      <c r="A19" s="39">
        <v>1</v>
      </c>
      <c r="B19" s="40" t="s">
        <v>88</v>
      </c>
      <c r="C19" s="41" t="s">
        <v>72</v>
      </c>
      <c r="D19" s="529"/>
      <c r="E19" s="94"/>
      <c r="F19" s="39"/>
      <c r="G19" s="54">
        <v>0</v>
      </c>
      <c r="H19" s="122"/>
      <c r="I19" s="37"/>
      <c r="J19" s="37"/>
      <c r="K19" s="38"/>
      <c r="L19" s="38"/>
    </row>
    <row r="20" spans="1:16" ht="27.75" hidden="1" customHeight="1" thickTop="1">
      <c r="A20" s="39">
        <v>2</v>
      </c>
      <c r="B20" s="40" t="s">
        <v>89</v>
      </c>
      <c r="C20" s="41" t="s">
        <v>72</v>
      </c>
      <c r="D20" s="529"/>
      <c r="E20" s="94"/>
      <c r="F20" s="39"/>
      <c r="G20" s="54">
        <v>0</v>
      </c>
      <c r="H20" s="122"/>
      <c r="I20" s="37"/>
      <c r="J20" s="37"/>
      <c r="K20" s="38"/>
      <c r="L20" s="38"/>
    </row>
    <row r="21" spans="1:16" ht="27.75" hidden="1" customHeight="1" thickTop="1">
      <c r="A21" s="39">
        <v>3</v>
      </c>
      <c r="B21" s="40" t="s">
        <v>90</v>
      </c>
      <c r="C21" s="41" t="s">
        <v>72</v>
      </c>
      <c r="D21" s="529"/>
      <c r="E21" s="94"/>
      <c r="F21" s="39"/>
      <c r="G21" s="54">
        <v>0</v>
      </c>
      <c r="H21" s="122"/>
      <c r="I21" s="37"/>
      <c r="J21" s="37"/>
      <c r="K21" s="38"/>
      <c r="L21" s="38"/>
    </row>
    <row r="22" spans="1:16" ht="27.75" hidden="1" customHeight="1" thickTop="1">
      <c r="A22" s="39">
        <v>4</v>
      </c>
      <c r="B22" s="40" t="s">
        <v>91</v>
      </c>
      <c r="C22" s="41" t="s">
        <v>72</v>
      </c>
      <c r="D22" s="529"/>
      <c r="E22" s="94"/>
      <c r="F22" s="39"/>
      <c r="G22" s="54">
        <v>0</v>
      </c>
      <c r="H22" s="122"/>
      <c r="I22" s="37"/>
      <c r="J22" s="37"/>
      <c r="K22" s="38"/>
      <c r="L22" s="38"/>
    </row>
    <row r="23" spans="1:16" ht="27.75" hidden="1" customHeight="1" thickTop="1">
      <c r="A23" s="39">
        <v>5</v>
      </c>
      <c r="B23" s="40" t="s">
        <v>92</v>
      </c>
      <c r="C23" s="41" t="s">
        <v>72</v>
      </c>
      <c r="D23" s="529"/>
      <c r="E23" s="94"/>
      <c r="F23" s="39"/>
      <c r="G23" s="54">
        <v>0</v>
      </c>
      <c r="H23" s="122"/>
      <c r="I23" s="37"/>
      <c r="J23" s="37"/>
      <c r="K23" s="38"/>
      <c r="L23" s="38"/>
    </row>
    <row r="24" spans="1:16" ht="27.75" hidden="1" customHeight="1" thickTop="1">
      <c r="A24" s="39">
        <v>6</v>
      </c>
      <c r="B24" s="123" t="s">
        <v>93</v>
      </c>
      <c r="C24" s="41" t="s">
        <v>72</v>
      </c>
      <c r="D24" s="529"/>
      <c r="E24" s="94"/>
      <c r="F24" s="39"/>
      <c r="G24" s="54">
        <v>0</v>
      </c>
      <c r="H24" s="122"/>
      <c r="I24" s="37"/>
      <c r="J24" s="37"/>
      <c r="K24" s="38"/>
      <c r="L24" s="38"/>
    </row>
    <row r="25" spans="1:16" ht="27.75" hidden="1" customHeight="1" thickTop="1">
      <c r="A25" s="39">
        <v>7</v>
      </c>
      <c r="B25" s="40" t="s">
        <v>94</v>
      </c>
      <c r="C25" s="41" t="s">
        <v>72</v>
      </c>
      <c r="D25" s="529"/>
      <c r="E25" s="94"/>
      <c r="F25" s="39"/>
      <c r="G25" s="54">
        <v>0</v>
      </c>
      <c r="H25" s="122"/>
      <c r="I25" s="37"/>
      <c r="J25" s="37"/>
      <c r="K25" s="38"/>
      <c r="L25" s="38"/>
    </row>
    <row r="26" spans="1:16" ht="27.75" hidden="1" customHeight="1" thickTop="1">
      <c r="A26" s="39">
        <v>8</v>
      </c>
      <c r="B26" s="40" t="s">
        <v>95</v>
      </c>
      <c r="C26" s="41" t="s">
        <v>72</v>
      </c>
      <c r="D26" s="529"/>
      <c r="E26" s="94"/>
      <c r="F26" s="39"/>
      <c r="G26" s="54">
        <v>0</v>
      </c>
      <c r="H26" s="122"/>
      <c r="I26" s="37"/>
      <c r="J26" s="37"/>
      <c r="K26" s="38"/>
      <c r="L26" s="38"/>
    </row>
    <row r="27" spans="1:16" ht="27.75" hidden="1" customHeight="1" thickTop="1">
      <c r="A27" s="39">
        <v>9</v>
      </c>
      <c r="B27" s="40" t="s">
        <v>96</v>
      </c>
      <c r="C27" s="41" t="s">
        <v>72</v>
      </c>
      <c r="D27" s="529"/>
      <c r="E27" s="94"/>
      <c r="F27" s="39"/>
      <c r="G27" s="54">
        <v>0</v>
      </c>
      <c r="H27" s="122"/>
      <c r="I27" s="37"/>
      <c r="J27" s="37"/>
      <c r="K27" s="38"/>
      <c r="L27" s="38"/>
    </row>
    <row r="28" spans="1:16" ht="27.75" hidden="1" customHeight="1" thickTop="1">
      <c r="A28" s="39">
        <v>10</v>
      </c>
      <c r="B28" s="40" t="s">
        <v>97</v>
      </c>
      <c r="C28" s="41" t="s">
        <v>72</v>
      </c>
      <c r="D28" s="529"/>
      <c r="E28" s="94"/>
      <c r="F28" s="39"/>
      <c r="G28" s="54">
        <v>0</v>
      </c>
      <c r="H28" s="122"/>
      <c r="I28" s="37"/>
      <c r="J28" s="37"/>
      <c r="K28" s="38"/>
      <c r="L28" s="38"/>
    </row>
    <row r="29" spans="1:16" ht="27.75" hidden="1" customHeight="1" thickTop="1">
      <c r="A29" s="39">
        <v>11</v>
      </c>
      <c r="B29" s="40" t="s">
        <v>98</v>
      </c>
      <c r="C29" s="41" t="s">
        <v>72</v>
      </c>
      <c r="D29" s="529"/>
      <c r="E29" s="94"/>
      <c r="F29" s="39"/>
      <c r="G29" s="54">
        <v>0</v>
      </c>
      <c r="H29" s="122"/>
      <c r="I29" s="37"/>
      <c r="J29" s="37"/>
      <c r="K29" s="38"/>
      <c r="L29" s="38"/>
    </row>
    <row r="30" spans="1:16" ht="27.75" hidden="1" customHeight="1" thickTop="1">
      <c r="A30" s="39">
        <v>12</v>
      </c>
      <c r="B30" s="40" t="s">
        <v>99</v>
      </c>
      <c r="C30" s="41" t="s">
        <v>72</v>
      </c>
      <c r="D30" s="529"/>
      <c r="E30" s="94"/>
      <c r="F30" s="39"/>
      <c r="G30" s="54">
        <v>0</v>
      </c>
      <c r="H30" s="122"/>
      <c r="I30" s="37"/>
      <c r="J30" s="37"/>
      <c r="K30" s="38"/>
      <c r="L30" s="38"/>
    </row>
    <row r="31" spans="1:16" ht="27.75" hidden="1" customHeight="1" thickTop="1">
      <c r="A31" s="39"/>
      <c r="B31" s="123"/>
      <c r="C31" s="41"/>
      <c r="D31" s="528"/>
      <c r="E31" s="83"/>
      <c r="F31" s="130"/>
      <c r="G31" s="54">
        <v>0</v>
      </c>
      <c r="H31" s="122"/>
      <c r="I31" s="37"/>
      <c r="J31" s="37"/>
      <c r="K31" s="38"/>
      <c r="L31" s="38"/>
    </row>
    <row r="32" spans="1:16" ht="27.75" hidden="1" customHeight="1" thickTop="1">
      <c r="A32" s="22"/>
      <c r="B32" s="131" t="s">
        <v>22</v>
      </c>
      <c r="C32" s="132"/>
      <c r="D32" s="531"/>
      <c r="E32" s="139"/>
      <c r="F32" s="133"/>
      <c r="G32" s="136">
        <v>0</v>
      </c>
      <c r="H32" s="36"/>
      <c r="I32" s="37"/>
      <c r="J32" s="37"/>
      <c r="K32" s="38"/>
      <c r="L32" s="38"/>
      <c r="M32" s="38"/>
    </row>
    <row r="33" spans="1:16" ht="27.75" customHeight="1" thickTop="1">
      <c r="A33" s="22"/>
      <c r="B33" s="23" t="s">
        <v>100</v>
      </c>
      <c r="C33" s="24"/>
      <c r="D33" s="525"/>
      <c r="E33" s="32"/>
      <c r="F33" s="33"/>
      <c r="G33" s="35"/>
      <c r="H33" s="36"/>
      <c r="I33" s="37"/>
      <c r="J33" s="37"/>
      <c r="K33" s="38"/>
      <c r="L33" s="38"/>
      <c r="M33" s="38"/>
    </row>
    <row r="34" spans="1:16" s="169" customFormat="1" ht="27.75" customHeight="1">
      <c r="A34" s="152">
        <v>3</v>
      </c>
      <c r="B34" s="153" t="s">
        <v>106</v>
      </c>
      <c r="C34" s="154" t="s">
        <v>102</v>
      </c>
      <c r="D34" s="532">
        <v>802.5</v>
      </c>
      <c r="E34" s="163"/>
      <c r="F34" s="164"/>
      <c r="G34" s="159"/>
      <c r="H34" s="166"/>
      <c r="I34" s="167"/>
      <c r="J34" s="167"/>
      <c r="K34" s="168"/>
      <c r="L34" s="168"/>
    </row>
    <row r="35" spans="1:16" s="57" customFormat="1" ht="27.75" customHeight="1">
      <c r="A35" s="22">
        <v>10</v>
      </c>
      <c r="B35" s="40" t="s">
        <v>123</v>
      </c>
      <c r="C35" s="140" t="s">
        <v>102</v>
      </c>
      <c r="D35" s="529">
        <v>481.5</v>
      </c>
      <c r="E35" s="145"/>
      <c r="F35" s="146"/>
      <c r="G35" s="47"/>
      <c r="H35" s="146"/>
      <c r="I35" s="148"/>
      <c r="J35" s="148"/>
      <c r="K35" s="149"/>
      <c r="L35" s="149"/>
    </row>
    <row r="36" spans="1:16" s="57" customFormat="1" ht="27.75" customHeight="1">
      <c r="A36" s="22">
        <v>11</v>
      </c>
      <c r="B36" s="40" t="s">
        <v>126</v>
      </c>
      <c r="C36" s="140" t="s">
        <v>102</v>
      </c>
      <c r="D36" s="529">
        <v>642</v>
      </c>
      <c r="E36" s="145"/>
      <c r="F36" s="146"/>
      <c r="G36" s="47"/>
      <c r="H36" s="146"/>
      <c r="I36" s="148"/>
      <c r="J36" s="148"/>
      <c r="K36" s="149"/>
      <c r="L36" s="149"/>
    </row>
    <row r="37" spans="1:16" s="57" customFormat="1" ht="27.75" customHeight="1">
      <c r="A37" s="22">
        <v>13</v>
      </c>
      <c r="B37" s="40" t="s">
        <v>130</v>
      </c>
      <c r="C37" s="140" t="s">
        <v>102</v>
      </c>
      <c r="D37" s="529"/>
      <c r="E37" s="145" t="s">
        <v>823</v>
      </c>
      <c r="F37" s="146">
        <v>1</v>
      </c>
      <c r="G37" s="47">
        <v>160.5</v>
      </c>
      <c r="H37" s="146"/>
      <c r="I37" s="148"/>
      <c r="J37" s="148"/>
      <c r="K37" s="149"/>
      <c r="L37" s="149"/>
    </row>
    <row r="38" spans="1:16" s="57" customFormat="1" ht="27.75" customHeight="1">
      <c r="A38" s="22">
        <v>17</v>
      </c>
      <c r="B38" s="181" t="s">
        <v>138</v>
      </c>
      <c r="C38" s="182" t="s">
        <v>139</v>
      </c>
      <c r="D38" s="534">
        <v>1605</v>
      </c>
      <c r="E38" s="171"/>
      <c r="F38" s="44"/>
      <c r="G38" s="47"/>
      <c r="H38" s="146"/>
      <c r="I38" s="148"/>
      <c r="J38" s="148"/>
      <c r="K38" s="149"/>
      <c r="L38" s="149"/>
    </row>
    <row r="39" spans="1:16" s="57" customFormat="1" ht="27.75" customHeight="1">
      <c r="A39" s="22">
        <v>23</v>
      </c>
      <c r="B39" s="170" t="s">
        <v>153</v>
      </c>
      <c r="C39" s="140" t="s">
        <v>102</v>
      </c>
      <c r="D39" s="533">
        <v>1605</v>
      </c>
      <c r="E39" s="171"/>
      <c r="F39" s="172"/>
      <c r="G39" s="47"/>
      <c r="H39" s="146"/>
      <c r="I39" s="148"/>
      <c r="J39" s="148"/>
      <c r="K39" s="149"/>
      <c r="L39" s="149"/>
    </row>
    <row r="40" spans="1:16" s="57" customFormat="1" ht="27.75" customHeight="1">
      <c r="A40" s="22">
        <v>26</v>
      </c>
      <c r="B40" s="170" t="s">
        <v>158</v>
      </c>
      <c r="C40" s="140" t="s">
        <v>102</v>
      </c>
      <c r="D40" s="533">
        <v>1964</v>
      </c>
      <c r="E40" s="171"/>
      <c r="F40" s="172"/>
      <c r="G40" s="47"/>
      <c r="H40" s="146"/>
      <c r="I40" s="148"/>
      <c r="J40" s="148"/>
      <c r="K40" s="149"/>
      <c r="L40" s="149"/>
    </row>
    <row r="41" spans="1:16" ht="27.75" customHeight="1" thickBot="1">
      <c r="A41" s="193"/>
      <c r="B41" s="194" t="s">
        <v>22</v>
      </c>
      <c r="C41" s="195"/>
      <c r="D41" s="535"/>
      <c r="E41" s="200"/>
      <c r="F41" s="196"/>
      <c r="G41" s="198">
        <v>160.50000000000023</v>
      </c>
      <c r="H41" s="36"/>
      <c r="I41" s="37"/>
      <c r="J41" s="37"/>
      <c r="K41" s="38"/>
      <c r="L41" s="38"/>
      <c r="M41" s="38"/>
      <c r="P41" s="507">
        <f>SUM(G37:G39)</f>
        <v>160.5</v>
      </c>
    </row>
    <row r="42" spans="1:16" ht="27.75" customHeight="1" thickTop="1">
      <c r="A42" s="22"/>
      <c r="B42" s="23" t="s">
        <v>179</v>
      </c>
      <c r="C42" s="24"/>
      <c r="D42" s="525"/>
      <c r="E42" s="32"/>
      <c r="F42" s="33"/>
      <c r="G42" s="35"/>
      <c r="H42" s="36"/>
      <c r="I42" s="37"/>
      <c r="J42" s="37"/>
      <c r="K42" s="38"/>
      <c r="L42" s="38"/>
      <c r="M42" s="38"/>
    </row>
    <row r="43" spans="1:16" ht="27.75" customHeight="1">
      <c r="A43" s="94">
        <v>1</v>
      </c>
      <c r="B43" s="40" t="s">
        <v>180</v>
      </c>
      <c r="C43" s="41" t="s">
        <v>181</v>
      </c>
      <c r="D43" s="528"/>
      <c r="E43" s="83" t="s">
        <v>823</v>
      </c>
      <c r="F43" s="39">
        <v>1</v>
      </c>
      <c r="G43" s="47">
        <v>1284</v>
      </c>
      <c r="H43" s="116"/>
      <c r="I43" s="203"/>
      <c r="J43" s="203"/>
      <c r="K43" s="204"/>
      <c r="L43" s="204"/>
    </row>
    <row r="44" spans="1:16" s="220" customFormat="1" ht="27.75" customHeight="1">
      <c r="A44" s="186">
        <v>5</v>
      </c>
      <c r="B44" s="208" t="s">
        <v>71</v>
      </c>
      <c r="C44" s="209" t="s">
        <v>181</v>
      </c>
      <c r="D44" s="536">
        <v>1337.5</v>
      </c>
      <c r="E44" s="216"/>
      <c r="F44" s="217"/>
      <c r="G44" s="47"/>
      <c r="H44" s="217"/>
      <c r="I44" s="218"/>
      <c r="J44" s="218"/>
      <c r="K44" s="219"/>
      <c r="L44" s="219"/>
    </row>
    <row r="45" spans="1:16" ht="27.75" customHeight="1" thickBot="1">
      <c r="A45" s="193"/>
      <c r="B45" s="194" t="s">
        <v>22</v>
      </c>
      <c r="C45" s="195"/>
      <c r="D45" s="535"/>
      <c r="E45" s="200"/>
      <c r="F45" s="196"/>
      <c r="G45" s="198">
        <v>1284</v>
      </c>
      <c r="H45" s="36"/>
      <c r="I45" s="37"/>
      <c r="J45" s="37"/>
      <c r="K45" s="38"/>
      <c r="L45" s="38"/>
      <c r="M45" s="38"/>
      <c r="P45" s="507">
        <f>SUM(G43:G44)</f>
        <v>1284</v>
      </c>
    </row>
    <row r="46" spans="1:16" ht="27.75" customHeight="1" thickTop="1">
      <c r="A46" s="22"/>
      <c r="B46" s="23" t="s">
        <v>196</v>
      </c>
      <c r="C46" s="24"/>
      <c r="D46" s="525"/>
      <c r="E46" s="32"/>
      <c r="F46" s="33"/>
      <c r="G46" s="35"/>
      <c r="H46" s="36"/>
      <c r="I46" s="37"/>
      <c r="J46" s="37"/>
      <c r="K46" s="38"/>
      <c r="L46" s="38"/>
      <c r="M46" s="38"/>
    </row>
    <row r="47" spans="1:16" s="226" customFormat="1" ht="27.75" customHeight="1">
      <c r="A47" s="94">
        <v>1</v>
      </c>
      <c r="B47" s="181" t="s">
        <v>210</v>
      </c>
      <c r="C47" s="224" t="s">
        <v>211</v>
      </c>
      <c r="D47" s="528">
        <v>22470</v>
      </c>
      <c r="E47" s="87"/>
      <c r="F47" s="116"/>
      <c r="G47" s="47"/>
      <c r="H47" s="39"/>
      <c r="I47" s="55"/>
      <c r="J47" s="55"/>
      <c r="K47" s="56"/>
      <c r="L47" s="56"/>
    </row>
    <row r="48" spans="1:16" s="226" customFormat="1" ht="27.75" customHeight="1">
      <c r="A48" s="94">
        <v>2</v>
      </c>
      <c r="B48" s="41" t="s">
        <v>252</v>
      </c>
      <c r="C48" s="224" t="s">
        <v>253</v>
      </c>
      <c r="D48" s="528"/>
      <c r="E48" s="83" t="s">
        <v>823</v>
      </c>
      <c r="F48" s="116">
        <v>1</v>
      </c>
      <c r="G48" s="47">
        <v>6420</v>
      </c>
      <c r="H48" s="39"/>
      <c r="I48" s="55"/>
      <c r="J48" s="55"/>
      <c r="K48" s="56"/>
      <c r="L48" s="56"/>
    </row>
    <row r="49" spans="1:16" s="226" customFormat="1" ht="27.75" customHeight="1">
      <c r="A49" s="94">
        <v>3</v>
      </c>
      <c r="B49" s="41" t="s">
        <v>254</v>
      </c>
      <c r="C49" s="224" t="s">
        <v>255</v>
      </c>
      <c r="D49" s="528"/>
      <c r="E49" s="83" t="s">
        <v>823</v>
      </c>
      <c r="F49" s="116">
        <v>0.93457943925233611</v>
      </c>
      <c r="G49" s="47">
        <v>9630</v>
      </c>
      <c r="H49" s="39"/>
      <c r="I49" s="55"/>
      <c r="J49" s="55"/>
      <c r="K49" s="56"/>
      <c r="L49" s="56"/>
    </row>
    <row r="50" spans="1:16" s="226" customFormat="1" ht="27.75" customHeight="1">
      <c r="A50" s="94">
        <v>4</v>
      </c>
      <c r="B50" s="41" t="s">
        <v>201</v>
      </c>
      <c r="C50" s="224" t="s">
        <v>256</v>
      </c>
      <c r="D50" s="528"/>
      <c r="E50" s="83" t="s">
        <v>823</v>
      </c>
      <c r="F50" s="116">
        <v>1</v>
      </c>
      <c r="G50" s="47">
        <v>9630</v>
      </c>
      <c r="H50" s="39"/>
      <c r="I50" s="55"/>
      <c r="J50" s="55"/>
      <c r="K50" s="56"/>
      <c r="L50" s="56"/>
    </row>
    <row r="51" spans="1:16" s="226" customFormat="1" ht="27.75" customHeight="1">
      <c r="A51" s="94">
        <v>5</v>
      </c>
      <c r="B51" s="81" t="s">
        <v>267</v>
      </c>
      <c r="C51" s="224" t="s">
        <v>268</v>
      </c>
      <c r="D51" s="528"/>
      <c r="E51" s="83" t="s">
        <v>823</v>
      </c>
      <c r="F51" s="116">
        <v>0.93457943925233578</v>
      </c>
      <c r="G51" s="47">
        <v>6420</v>
      </c>
      <c r="H51" s="39"/>
      <c r="I51" s="55"/>
      <c r="J51" s="55"/>
      <c r="K51" s="56"/>
      <c r="L51" s="56"/>
      <c r="O51" s="226" t="s">
        <v>269</v>
      </c>
    </row>
    <row r="52" spans="1:16" ht="27.75" customHeight="1" thickBot="1">
      <c r="A52" s="22"/>
      <c r="B52" s="194" t="s">
        <v>22</v>
      </c>
      <c r="C52" s="195"/>
      <c r="D52" s="535"/>
      <c r="E52" s="200"/>
      <c r="F52" s="196"/>
      <c r="G52" s="196">
        <f>SUM(G48:G51)</f>
        <v>32100</v>
      </c>
      <c r="H52" s="36"/>
      <c r="I52" s="37"/>
      <c r="J52" s="37"/>
      <c r="K52" s="38"/>
      <c r="L52" s="38"/>
      <c r="M52" s="38"/>
      <c r="P52" s="507">
        <f>SUM(G48:G51)</f>
        <v>32100</v>
      </c>
    </row>
    <row r="53" spans="1:16" ht="27.75" hidden="1" customHeight="1" thickBot="1">
      <c r="A53" s="22"/>
      <c r="B53" s="23" t="s">
        <v>278</v>
      </c>
      <c r="C53" s="24"/>
      <c r="D53" s="525"/>
      <c r="E53" s="32"/>
      <c r="F53" s="33"/>
      <c r="G53" s="35"/>
      <c r="H53" s="36"/>
      <c r="I53" s="37"/>
      <c r="J53" s="37"/>
      <c r="K53" s="38"/>
      <c r="L53" s="38"/>
      <c r="M53" s="38"/>
    </row>
    <row r="54" spans="1:16" ht="27.75" hidden="1" customHeight="1" thickTop="1">
      <c r="A54" s="22">
        <v>1</v>
      </c>
      <c r="B54" s="270" t="s">
        <v>88</v>
      </c>
      <c r="C54" s="271" t="s">
        <v>279</v>
      </c>
      <c r="D54" s="537"/>
      <c r="E54" s="232"/>
      <c r="F54" s="251"/>
      <c r="G54" s="66">
        <v>0</v>
      </c>
      <c r="H54" s="278"/>
      <c r="I54" s="279"/>
      <c r="J54" s="37"/>
      <c r="K54" s="38"/>
      <c r="L54" s="38"/>
      <c r="M54" s="38"/>
    </row>
    <row r="55" spans="1:16" ht="27.75" hidden="1" customHeight="1" thickTop="1">
      <c r="A55" s="22">
        <v>2</v>
      </c>
      <c r="B55" s="280" t="s">
        <v>89</v>
      </c>
      <c r="C55" s="271" t="s">
        <v>279</v>
      </c>
      <c r="D55" s="533"/>
      <c r="E55" s="94"/>
      <c r="F55" s="39"/>
      <c r="G55" s="66">
        <v>0</v>
      </c>
      <c r="H55" s="278"/>
      <c r="I55" s="279"/>
      <c r="J55" s="37"/>
      <c r="K55" s="38"/>
      <c r="L55" s="38"/>
      <c r="M55" s="38"/>
    </row>
    <row r="56" spans="1:16" ht="27.75" hidden="1" customHeight="1" thickTop="1">
      <c r="A56" s="22">
        <v>3</v>
      </c>
      <c r="B56" s="270" t="s">
        <v>280</v>
      </c>
      <c r="C56" s="271" t="s">
        <v>279</v>
      </c>
      <c r="D56" s="533"/>
      <c r="E56" s="94"/>
      <c r="F56" s="39"/>
      <c r="G56" s="66">
        <v>0</v>
      </c>
      <c r="H56" s="278"/>
      <c r="I56" s="279"/>
      <c r="J56" s="37"/>
      <c r="K56" s="38"/>
      <c r="L56" s="38"/>
      <c r="M56" s="38"/>
    </row>
    <row r="57" spans="1:16" ht="27.75" hidden="1" customHeight="1" thickTop="1">
      <c r="A57" s="22">
        <v>4</v>
      </c>
      <c r="B57" s="280" t="s">
        <v>96</v>
      </c>
      <c r="C57" s="271" t="s">
        <v>279</v>
      </c>
      <c r="D57" s="533"/>
      <c r="E57" s="94"/>
      <c r="F57" s="39"/>
      <c r="G57" s="66">
        <v>0</v>
      </c>
      <c r="H57" s="283"/>
      <c r="I57" s="55"/>
      <c r="J57" s="37"/>
      <c r="K57" s="38"/>
      <c r="L57" s="38"/>
      <c r="M57" s="38"/>
    </row>
    <row r="58" spans="1:16" ht="27.75" hidden="1" customHeight="1" thickTop="1">
      <c r="A58" s="22">
        <v>5</v>
      </c>
      <c r="B58" s="280" t="s">
        <v>281</v>
      </c>
      <c r="C58" s="271" t="s">
        <v>279</v>
      </c>
      <c r="D58" s="533"/>
      <c r="E58" s="94"/>
      <c r="F58" s="39"/>
      <c r="G58" s="66">
        <v>0</v>
      </c>
      <c r="H58" s="283"/>
      <c r="I58" s="55"/>
      <c r="J58" s="37"/>
      <c r="K58" s="38"/>
      <c r="L58" s="38"/>
      <c r="M58" s="38"/>
    </row>
    <row r="59" spans="1:16" ht="27.75" hidden="1" customHeight="1" thickTop="1">
      <c r="A59" s="22">
        <v>6</v>
      </c>
      <c r="B59" s="280" t="s">
        <v>282</v>
      </c>
      <c r="C59" s="271" t="s">
        <v>279</v>
      </c>
      <c r="D59" s="533"/>
      <c r="E59" s="94"/>
      <c r="F59" s="39"/>
      <c r="G59" s="66">
        <v>0</v>
      </c>
      <c r="H59" s="283"/>
      <c r="I59" s="37"/>
      <c r="J59" s="37"/>
      <c r="K59" s="38"/>
      <c r="L59" s="38"/>
      <c r="M59" s="38"/>
    </row>
    <row r="60" spans="1:16" ht="27.75" hidden="1" customHeight="1" thickTop="1">
      <c r="A60" s="22">
        <v>7</v>
      </c>
      <c r="B60" s="280" t="s">
        <v>92</v>
      </c>
      <c r="C60" s="271" t="s">
        <v>279</v>
      </c>
      <c r="D60" s="533"/>
      <c r="E60" s="94"/>
      <c r="F60" s="39"/>
      <c r="G60" s="66">
        <v>0</v>
      </c>
      <c r="H60" s="283"/>
      <c r="I60" s="37"/>
      <c r="J60" s="37"/>
      <c r="K60" s="38"/>
      <c r="L60" s="38"/>
      <c r="M60" s="38"/>
    </row>
    <row r="61" spans="1:16" ht="27.75" hidden="1" customHeight="1" thickTop="1">
      <c r="A61" s="22">
        <v>8</v>
      </c>
      <c r="B61" s="280" t="s">
        <v>91</v>
      </c>
      <c r="C61" s="271" t="s">
        <v>279</v>
      </c>
      <c r="D61" s="533"/>
      <c r="E61" s="94"/>
      <c r="F61" s="39"/>
      <c r="G61" s="66">
        <v>0</v>
      </c>
      <c r="H61" s="283"/>
      <c r="I61" s="37"/>
      <c r="J61" s="37"/>
      <c r="K61" s="38"/>
      <c r="L61" s="38"/>
      <c r="M61" s="38"/>
    </row>
    <row r="62" spans="1:16" ht="27.75" hidden="1" customHeight="1" thickTop="1">
      <c r="A62" s="22">
        <v>9</v>
      </c>
      <c r="B62" s="280" t="s">
        <v>236</v>
      </c>
      <c r="C62" s="271" t="s">
        <v>279</v>
      </c>
      <c r="D62" s="533"/>
      <c r="E62" s="94"/>
      <c r="F62" s="39"/>
      <c r="G62" s="66">
        <v>0</v>
      </c>
      <c r="H62" s="283"/>
      <c r="I62" s="37"/>
      <c r="J62" s="37"/>
      <c r="K62" s="38"/>
      <c r="L62" s="38"/>
      <c r="M62" s="38"/>
    </row>
    <row r="63" spans="1:16" ht="27.75" hidden="1" customHeight="1" thickTop="1">
      <c r="A63" s="22">
        <v>10</v>
      </c>
      <c r="B63" s="280" t="s">
        <v>94</v>
      </c>
      <c r="C63" s="280" t="s">
        <v>279</v>
      </c>
      <c r="D63" s="529"/>
      <c r="E63" s="94"/>
      <c r="F63" s="39"/>
      <c r="G63" s="66">
        <v>0</v>
      </c>
      <c r="H63" s="36"/>
      <c r="I63" s="37"/>
      <c r="J63" s="37"/>
      <c r="K63" s="38"/>
      <c r="L63" s="38"/>
      <c r="M63" s="38"/>
    </row>
    <row r="64" spans="1:16" ht="27.75" hidden="1" customHeight="1" thickTop="1">
      <c r="A64" s="22">
        <v>11</v>
      </c>
      <c r="B64" s="270"/>
      <c r="C64" s="285"/>
      <c r="D64" s="537"/>
      <c r="E64" s="232"/>
      <c r="F64" s="251"/>
      <c r="G64" s="66">
        <v>0</v>
      </c>
      <c r="H64" s="36"/>
      <c r="I64" s="37"/>
      <c r="J64" s="37"/>
      <c r="K64" s="38"/>
      <c r="L64" s="38"/>
      <c r="M64" s="38"/>
    </row>
    <row r="65" spans="1:16" ht="27.75" hidden="1" customHeight="1" thickTop="1">
      <c r="A65" s="22"/>
      <c r="B65" s="131" t="s">
        <v>22</v>
      </c>
      <c r="C65" s="132"/>
      <c r="D65" s="531"/>
      <c r="E65" s="139"/>
      <c r="F65" s="133"/>
      <c r="G65" s="136">
        <v>0</v>
      </c>
      <c r="H65" s="36"/>
      <c r="I65" s="37"/>
      <c r="J65" s="37"/>
      <c r="K65" s="38"/>
      <c r="L65" s="38"/>
      <c r="M65" s="38"/>
    </row>
    <row r="66" spans="1:16" ht="27.75" customHeight="1" thickTop="1">
      <c r="A66" s="22"/>
      <c r="B66" s="23" t="s">
        <v>292</v>
      </c>
      <c r="C66" s="24"/>
      <c r="D66" s="525"/>
      <c r="E66" s="32"/>
      <c r="F66" s="33"/>
      <c r="G66" s="35"/>
      <c r="H66" s="36"/>
      <c r="I66" s="37"/>
      <c r="J66" s="37"/>
      <c r="K66" s="38"/>
      <c r="L66" s="38"/>
      <c r="M66" s="38"/>
    </row>
    <row r="67" spans="1:16" ht="27.75" customHeight="1">
      <c r="A67" s="316">
        <v>1</v>
      </c>
      <c r="B67" s="280" t="s">
        <v>294</v>
      </c>
      <c r="C67" s="280" t="s">
        <v>255</v>
      </c>
      <c r="D67" s="526"/>
      <c r="E67" s="320" t="s">
        <v>823</v>
      </c>
      <c r="F67" s="39">
        <v>1</v>
      </c>
      <c r="G67" s="66">
        <v>32.1</v>
      </c>
      <c r="H67" s="36"/>
      <c r="I67" s="37"/>
      <c r="J67" s="37"/>
      <c r="K67" s="38"/>
      <c r="L67" s="38"/>
      <c r="M67" s="38"/>
    </row>
    <row r="68" spans="1:16" ht="27.75" customHeight="1" thickBot="1">
      <c r="A68" s="193"/>
      <c r="B68" s="194"/>
      <c r="C68" s="195"/>
      <c r="D68" s="535"/>
      <c r="E68" s="200"/>
      <c r="F68" s="196"/>
      <c r="G68" s="198">
        <v>32.1</v>
      </c>
      <c r="H68" s="36"/>
      <c r="I68" s="37"/>
      <c r="J68" s="37"/>
      <c r="K68" s="38"/>
      <c r="L68" s="38"/>
      <c r="M68" s="38"/>
      <c r="P68" s="507">
        <f>SUM(G67)</f>
        <v>32.1</v>
      </c>
    </row>
    <row r="69" spans="1:16" ht="27.75" customHeight="1" thickTop="1">
      <c r="A69" s="22"/>
      <c r="B69" s="288" t="s">
        <v>304</v>
      </c>
      <c r="C69" s="289"/>
      <c r="D69" s="538"/>
      <c r="E69" s="94"/>
      <c r="F69" s="39"/>
      <c r="G69" s="294"/>
      <c r="H69" s="36"/>
      <c r="I69" s="37"/>
      <c r="J69" s="37"/>
      <c r="K69" s="38"/>
      <c r="L69" s="38"/>
      <c r="M69" s="38"/>
    </row>
    <row r="70" spans="1:16" ht="27.75" customHeight="1">
      <c r="A70" s="186">
        <v>2</v>
      </c>
      <c r="B70" s="205" t="s">
        <v>28</v>
      </c>
      <c r="C70" s="346" t="s">
        <v>311</v>
      </c>
      <c r="D70" s="540">
        <v>1410</v>
      </c>
      <c r="E70" s="94"/>
      <c r="F70" s="116"/>
      <c r="G70" s="47"/>
      <c r="H70" s="348" t="s">
        <v>195</v>
      </c>
      <c r="I70" s="299" t="s">
        <v>307</v>
      </c>
      <c r="J70" s="299" t="s">
        <v>308</v>
      </c>
      <c r="K70" s="56">
        <v>36600</v>
      </c>
      <c r="L70" s="349" t="s">
        <v>313</v>
      </c>
      <c r="M70" s="4" t="s">
        <v>314</v>
      </c>
      <c r="N70" s="295" t="s">
        <v>289</v>
      </c>
    </row>
    <row r="71" spans="1:16" ht="27.75" customHeight="1">
      <c r="A71" s="186">
        <v>3</v>
      </c>
      <c r="B71" s="205" t="s">
        <v>28</v>
      </c>
      <c r="C71" s="346" t="s">
        <v>315</v>
      </c>
      <c r="D71" s="540">
        <v>1410</v>
      </c>
      <c r="E71" s="94"/>
      <c r="F71" s="116"/>
      <c r="G71" s="47"/>
      <c r="H71" s="348"/>
      <c r="I71" s="299"/>
      <c r="J71" s="299"/>
      <c r="K71" s="56"/>
      <c r="L71" s="349"/>
      <c r="N71" s="295"/>
    </row>
    <row r="72" spans="1:16" ht="27.75" customHeight="1">
      <c r="A72" s="186">
        <v>7</v>
      </c>
      <c r="B72" s="205" t="s">
        <v>28</v>
      </c>
      <c r="C72" s="346" t="s">
        <v>320</v>
      </c>
      <c r="D72" s="540">
        <v>1410</v>
      </c>
      <c r="E72" s="94"/>
      <c r="F72" s="116"/>
      <c r="G72" s="47"/>
      <c r="H72" s="348"/>
      <c r="I72" s="299"/>
      <c r="J72" s="299"/>
      <c r="K72" s="56"/>
      <c r="L72" s="349"/>
      <c r="M72" s="295"/>
    </row>
    <row r="73" spans="1:16" ht="27.75" customHeight="1">
      <c r="A73" s="186">
        <v>8</v>
      </c>
      <c r="B73" s="205" t="s">
        <v>28</v>
      </c>
      <c r="C73" s="346" t="s">
        <v>321</v>
      </c>
      <c r="D73" s="540">
        <v>1410</v>
      </c>
      <c r="E73" s="94"/>
      <c r="F73" s="116"/>
      <c r="G73" s="47"/>
      <c r="H73" s="348"/>
      <c r="I73" s="299"/>
      <c r="J73" s="299"/>
      <c r="K73" s="56"/>
      <c r="L73" s="349"/>
      <c r="M73" s="295"/>
    </row>
    <row r="74" spans="1:16" ht="27.75" customHeight="1">
      <c r="A74" s="186">
        <v>9</v>
      </c>
      <c r="B74" s="205" t="s">
        <v>28</v>
      </c>
      <c r="C74" s="346" t="s">
        <v>322</v>
      </c>
      <c r="D74" s="540">
        <v>1410</v>
      </c>
      <c r="E74" s="94"/>
      <c r="F74" s="116"/>
      <c r="G74" s="47"/>
      <c r="H74" s="348"/>
      <c r="I74" s="299"/>
      <c r="J74" s="299"/>
      <c r="K74" s="56"/>
      <c r="L74" s="349"/>
      <c r="M74" s="295"/>
    </row>
    <row r="75" spans="1:16" ht="27.75" customHeight="1">
      <c r="A75" s="186">
        <v>10</v>
      </c>
      <c r="B75" s="205" t="s">
        <v>28</v>
      </c>
      <c r="C75" s="346" t="s">
        <v>323</v>
      </c>
      <c r="D75" s="540">
        <v>1410</v>
      </c>
      <c r="E75" s="94"/>
      <c r="F75" s="116"/>
      <c r="G75" s="47"/>
      <c r="H75" s="348"/>
      <c r="I75" s="299"/>
      <c r="J75" s="299"/>
      <c r="K75" s="56"/>
      <c r="L75" s="349"/>
      <c r="M75" s="295"/>
    </row>
    <row r="76" spans="1:16" ht="27.75" customHeight="1">
      <c r="A76" s="186">
        <v>11</v>
      </c>
      <c r="B76" s="205" t="s">
        <v>28</v>
      </c>
      <c r="C76" s="346" t="s">
        <v>324</v>
      </c>
      <c r="D76" s="540">
        <v>1410</v>
      </c>
      <c r="E76" s="94"/>
      <c r="F76" s="116"/>
      <c r="G76" s="47"/>
      <c r="H76" s="348"/>
      <c r="I76" s="299"/>
      <c r="J76" s="299"/>
      <c r="K76" s="56"/>
      <c r="L76" s="349"/>
      <c r="M76" s="295"/>
    </row>
    <row r="77" spans="1:16" ht="27.75" customHeight="1">
      <c r="A77" s="186">
        <v>16</v>
      </c>
      <c r="B77" s="205" t="s">
        <v>28</v>
      </c>
      <c r="C77" s="346" t="s">
        <v>333</v>
      </c>
      <c r="D77" s="540">
        <v>1410</v>
      </c>
      <c r="E77" s="94"/>
      <c r="F77" s="116"/>
      <c r="G77" s="47"/>
      <c r="H77" s="348"/>
      <c r="I77" s="299"/>
      <c r="J77" s="299"/>
      <c r="K77" s="56"/>
      <c r="L77" s="349"/>
      <c r="M77" s="295"/>
    </row>
    <row r="78" spans="1:16" ht="27.75" customHeight="1">
      <c r="A78" s="186">
        <v>17</v>
      </c>
      <c r="B78" s="205" t="s">
        <v>28</v>
      </c>
      <c r="C78" s="346" t="s">
        <v>334</v>
      </c>
      <c r="D78" s="540">
        <v>1410</v>
      </c>
      <c r="E78" s="94"/>
      <c r="F78" s="116"/>
      <c r="G78" s="47"/>
      <c r="H78" s="348"/>
      <c r="I78" s="299"/>
      <c r="J78" s="299"/>
      <c r="K78" s="56"/>
      <c r="L78" s="349"/>
      <c r="M78" s="295"/>
    </row>
    <row r="79" spans="1:16" ht="27.75" customHeight="1">
      <c r="A79" s="186">
        <v>18</v>
      </c>
      <c r="B79" s="205" t="s">
        <v>28</v>
      </c>
      <c r="C79" s="346" t="s">
        <v>335</v>
      </c>
      <c r="D79" s="540">
        <v>1410</v>
      </c>
      <c r="E79" s="94"/>
      <c r="F79" s="116"/>
      <c r="G79" s="47"/>
      <c r="H79" s="348"/>
      <c r="I79" s="299"/>
      <c r="J79" s="299"/>
      <c r="K79" s="56"/>
      <c r="L79" s="349"/>
      <c r="M79" s="295"/>
    </row>
    <row r="80" spans="1:16" ht="27.75" customHeight="1">
      <c r="A80" s="186">
        <v>48</v>
      </c>
      <c r="B80" s="351" t="s">
        <v>66</v>
      </c>
      <c r="C80" s="346" t="s">
        <v>388</v>
      </c>
      <c r="D80" s="540"/>
      <c r="E80" s="94" t="s">
        <v>823</v>
      </c>
      <c r="F80" s="116">
        <v>1</v>
      </c>
      <c r="G80" s="47">
        <v>1760</v>
      </c>
      <c r="H80" s="39" t="s">
        <v>195</v>
      </c>
      <c r="I80" s="55">
        <v>43313</v>
      </c>
      <c r="J80" s="55">
        <v>44408</v>
      </c>
      <c r="K80" s="56">
        <v>11925</v>
      </c>
      <c r="L80" s="349"/>
    </row>
    <row r="81" spans="1:18" ht="27.75" customHeight="1">
      <c r="A81" s="186">
        <v>49</v>
      </c>
      <c r="B81" s="351" t="s">
        <v>66</v>
      </c>
      <c r="C81" s="346" t="s">
        <v>390</v>
      </c>
      <c r="D81" s="540"/>
      <c r="E81" s="94" t="s">
        <v>823</v>
      </c>
      <c r="F81" s="116">
        <v>1</v>
      </c>
      <c r="G81" s="47">
        <v>1760</v>
      </c>
      <c r="H81" s="39"/>
      <c r="I81" s="55"/>
      <c r="J81" s="55"/>
      <c r="K81" s="56"/>
      <c r="L81" s="349"/>
    </row>
    <row r="82" spans="1:18" ht="27.75" customHeight="1">
      <c r="A82" s="186">
        <v>50</v>
      </c>
      <c r="B82" s="351" t="s">
        <v>66</v>
      </c>
      <c r="C82" s="346" t="s">
        <v>391</v>
      </c>
      <c r="D82" s="540"/>
      <c r="E82" s="94" t="s">
        <v>823</v>
      </c>
      <c r="F82" s="116">
        <v>1</v>
      </c>
      <c r="G82" s="47">
        <v>1760</v>
      </c>
      <c r="H82" s="39"/>
      <c r="I82" s="55"/>
      <c r="J82" s="55"/>
      <c r="K82" s="56"/>
      <c r="L82" s="349"/>
    </row>
    <row r="83" spans="1:18" ht="27.75" customHeight="1">
      <c r="A83" s="186">
        <v>51</v>
      </c>
      <c r="B83" s="351" t="s">
        <v>66</v>
      </c>
      <c r="C83" s="346" t="s">
        <v>69</v>
      </c>
      <c r="D83" s="540"/>
      <c r="E83" s="94" t="s">
        <v>823</v>
      </c>
      <c r="F83" s="116">
        <v>1</v>
      </c>
      <c r="G83" s="47">
        <v>2720</v>
      </c>
      <c r="H83" s="39" t="s">
        <v>195</v>
      </c>
      <c r="I83" s="55">
        <v>43313</v>
      </c>
      <c r="J83" s="55">
        <v>44408</v>
      </c>
      <c r="K83" s="56">
        <v>9000</v>
      </c>
      <c r="L83" s="349"/>
    </row>
    <row r="84" spans="1:18" ht="27.75" customHeight="1" thickBot="1">
      <c r="A84" s="357"/>
      <c r="B84" s="358"/>
      <c r="C84" s="359"/>
      <c r="D84" s="541"/>
      <c r="E84" s="106"/>
      <c r="F84" s="107"/>
      <c r="G84" s="363">
        <v>8000</v>
      </c>
      <c r="H84" s="356"/>
      <c r="I84" s="55"/>
      <c r="J84" s="55"/>
      <c r="K84" s="56"/>
      <c r="L84" s="349"/>
      <c r="P84" s="507">
        <f>SUM(G80:G83)</f>
        <v>8000</v>
      </c>
    </row>
    <row r="85" spans="1:18" ht="27.75" customHeight="1" thickTop="1">
      <c r="A85" s="94"/>
      <c r="B85" s="364" t="s">
        <v>395</v>
      </c>
      <c r="C85" s="81"/>
      <c r="D85" s="528"/>
      <c r="E85" s="83"/>
      <c r="F85" s="251"/>
      <c r="G85" s="85"/>
      <c r="H85" s="39"/>
      <c r="I85" s="55"/>
      <c r="J85" s="55"/>
      <c r="K85" s="56"/>
      <c r="L85" s="56"/>
    </row>
    <row r="86" spans="1:18" ht="27.75" customHeight="1">
      <c r="A86" s="94">
        <v>1</v>
      </c>
      <c r="B86" s="366" t="s">
        <v>417</v>
      </c>
      <c r="C86" s="367" t="s">
        <v>418</v>
      </c>
      <c r="D86" s="542">
        <v>34054.370000000003</v>
      </c>
      <c r="E86" s="377"/>
      <c r="F86" s="116"/>
      <c r="G86" s="368"/>
      <c r="H86" s="39" t="s">
        <v>195</v>
      </c>
      <c r="I86" s="55">
        <v>40072</v>
      </c>
      <c r="J86" s="55">
        <v>41167</v>
      </c>
      <c r="K86" s="56">
        <v>132250</v>
      </c>
      <c r="L86" s="378" t="s">
        <v>420</v>
      </c>
    </row>
    <row r="87" spans="1:18" ht="27.75" customHeight="1" thickBot="1">
      <c r="A87" s="193"/>
      <c r="B87" s="194" t="s">
        <v>22</v>
      </c>
      <c r="C87" s="195"/>
      <c r="D87" s="535"/>
      <c r="E87" s="200"/>
      <c r="F87" s="196"/>
      <c r="G87" s="198">
        <v>0</v>
      </c>
      <c r="H87" s="36"/>
      <c r="I87" s="37"/>
      <c r="J87" s="37"/>
      <c r="K87" s="38"/>
      <c r="L87" s="38"/>
      <c r="M87" s="38"/>
    </row>
    <row r="88" spans="1:18" ht="27.75" customHeight="1" thickTop="1">
      <c r="A88" s="22"/>
      <c r="B88" s="288" t="s">
        <v>441</v>
      </c>
      <c r="C88" s="289"/>
      <c r="D88" s="538"/>
      <c r="E88" s="94"/>
      <c r="F88" s="39"/>
      <c r="G88" s="294"/>
      <c r="H88" s="36"/>
      <c r="I88" s="37"/>
      <c r="J88" s="37"/>
      <c r="K88" s="38"/>
      <c r="L88" s="38"/>
      <c r="M88" s="38"/>
    </row>
    <row r="89" spans="1:18" ht="27.75" customHeight="1">
      <c r="A89" s="94">
        <v>1</v>
      </c>
      <c r="B89" s="40" t="s">
        <v>442</v>
      </c>
      <c r="C89" s="206" t="s">
        <v>443</v>
      </c>
      <c r="D89" s="533">
        <v>692636</v>
      </c>
      <c r="E89" s="387"/>
      <c r="F89" s="116"/>
      <c r="G89" s="376"/>
      <c r="H89" s="39" t="s">
        <v>446</v>
      </c>
      <c r="I89" s="55">
        <v>43952</v>
      </c>
      <c r="J89" s="55">
        <v>44561</v>
      </c>
      <c r="K89" s="56">
        <v>1032500</v>
      </c>
      <c r="L89" s="56" t="s">
        <v>447</v>
      </c>
    </row>
    <row r="90" spans="1:18" ht="27.75" customHeight="1">
      <c r="A90" s="94">
        <v>2</v>
      </c>
      <c r="B90" s="205" t="s">
        <v>451</v>
      </c>
      <c r="C90" s="206" t="s">
        <v>452</v>
      </c>
      <c r="D90" s="526">
        <v>426277</v>
      </c>
      <c r="E90" s="399"/>
      <c r="F90" s="116"/>
      <c r="G90" s="368"/>
      <c r="H90" s="172" t="s">
        <v>456</v>
      </c>
      <c r="I90" s="400" t="s">
        <v>457</v>
      </c>
      <c r="J90" s="400" t="s">
        <v>458</v>
      </c>
      <c r="K90" s="401">
        <v>442600</v>
      </c>
      <c r="L90" s="401" t="s">
        <v>459</v>
      </c>
    </row>
    <row r="91" spans="1:18" ht="27.75" customHeight="1">
      <c r="A91" s="405"/>
      <c r="B91" s="406" t="s">
        <v>22</v>
      </c>
      <c r="C91" s="407"/>
      <c r="D91" s="544"/>
      <c r="E91" s="412"/>
      <c r="F91" s="408"/>
      <c r="G91" s="239"/>
      <c r="H91" s="278"/>
      <c r="I91" s="279"/>
      <c r="J91" s="279"/>
      <c r="K91" s="413"/>
      <c r="L91" s="413"/>
      <c r="M91" s="413"/>
    </row>
    <row r="92" spans="1:18" ht="27.75" customHeight="1" thickBot="1">
      <c r="A92" s="414"/>
      <c r="B92" s="415"/>
      <c r="C92" s="416" t="s">
        <v>468</v>
      </c>
      <c r="D92" s="545"/>
      <c r="E92" s="423"/>
      <c r="F92" s="422"/>
      <c r="G92" s="420">
        <v>78576.343738317752</v>
      </c>
      <c r="H92" s="424"/>
      <c r="I92" s="425"/>
      <c r="J92" s="425"/>
      <c r="K92" s="345"/>
      <c r="L92" s="345"/>
      <c r="M92" s="345"/>
      <c r="Q92" s="57">
        <f>SUM(P13:P85)</f>
        <v>78576.342990654215</v>
      </c>
      <c r="R92" s="4" t="s">
        <v>818</v>
      </c>
    </row>
    <row r="93" spans="1:18" ht="27.75" customHeight="1" thickTop="1">
      <c r="A93" s="426"/>
      <c r="B93" s="4"/>
      <c r="C93" s="295"/>
      <c r="D93" s="546"/>
      <c r="E93" s="433"/>
      <c r="F93" s="427"/>
      <c r="G93" s="430"/>
      <c r="H93" s="424"/>
      <c r="I93" s="425"/>
      <c r="J93" s="425"/>
      <c r="K93" s="345"/>
      <c r="L93" s="345"/>
      <c r="M93" s="345"/>
    </row>
    <row r="94" spans="1:18" ht="27.75" customHeight="1">
      <c r="A94" s="426"/>
      <c r="B94" s="434" t="s">
        <v>469</v>
      </c>
      <c r="C94" s="295"/>
      <c r="D94" s="546"/>
      <c r="E94" s="433"/>
      <c r="F94" s="427"/>
      <c r="G94" s="430"/>
      <c r="H94" s="424"/>
      <c r="I94" s="425"/>
      <c r="J94" s="425"/>
      <c r="K94" s="345"/>
      <c r="L94" s="345"/>
      <c r="M94" s="345"/>
    </row>
    <row r="95" spans="1:18" ht="27.75" customHeight="1">
      <c r="A95" s="435">
        <v>1</v>
      </c>
      <c r="B95" s="436" t="s">
        <v>470</v>
      </c>
      <c r="C95" s="437" t="s">
        <v>471</v>
      </c>
      <c r="D95" s="547"/>
      <c r="E95" s="435" t="s">
        <v>473</v>
      </c>
      <c r="F95" s="444">
        <v>21</v>
      </c>
      <c r="G95" s="17">
        <v>361288.35</v>
      </c>
      <c r="H95" s="251" t="s">
        <v>195</v>
      </c>
      <c r="I95" s="446">
        <v>41883</v>
      </c>
      <c r="J95" s="446">
        <v>42978</v>
      </c>
      <c r="K95" s="447">
        <v>90000</v>
      </c>
      <c r="L95" s="447" t="s">
        <v>474</v>
      </c>
      <c r="O95" s="4" t="s">
        <v>475</v>
      </c>
    </row>
    <row r="96" spans="1:18" ht="27.75" customHeight="1">
      <c r="A96" s="435"/>
      <c r="B96" s="436" t="s">
        <v>476</v>
      </c>
      <c r="C96" s="437"/>
      <c r="D96" s="547"/>
      <c r="E96" s="435"/>
      <c r="F96" s="444"/>
      <c r="G96" s="17">
        <v>0</v>
      </c>
      <c r="H96" s="116"/>
      <c r="I96" s="203"/>
      <c r="J96" s="203"/>
      <c r="K96" s="204"/>
      <c r="L96" s="204"/>
    </row>
    <row r="97" spans="1:19" ht="27.75" customHeight="1">
      <c r="A97" s="435"/>
      <c r="B97" s="674" t="s">
        <v>477</v>
      </c>
      <c r="C97" s="675"/>
      <c r="D97" s="548"/>
      <c r="E97" s="435"/>
      <c r="F97" s="444"/>
      <c r="G97" s="17">
        <v>0</v>
      </c>
      <c r="H97" s="116"/>
      <c r="I97" s="203"/>
      <c r="J97" s="203"/>
      <c r="K97" s="204"/>
      <c r="L97" s="204"/>
    </row>
    <row r="98" spans="1:19" ht="27.75" customHeight="1">
      <c r="A98" s="435">
        <v>2</v>
      </c>
      <c r="B98" s="450" t="s">
        <v>470</v>
      </c>
      <c r="C98" s="451" t="s">
        <v>478</v>
      </c>
      <c r="D98" s="549"/>
      <c r="E98" s="435" t="s">
        <v>479</v>
      </c>
      <c r="F98" s="444">
        <v>6</v>
      </c>
      <c r="G98" s="17">
        <v>96700.72</v>
      </c>
      <c r="H98" s="116"/>
      <c r="I98" s="203"/>
      <c r="J98" s="203"/>
      <c r="K98" s="204"/>
      <c r="L98" s="204"/>
      <c r="O98" s="4" t="s">
        <v>475</v>
      </c>
    </row>
    <row r="99" spans="1:19" ht="27.75" customHeight="1">
      <c r="A99" s="435">
        <v>3</v>
      </c>
      <c r="B99" s="450" t="s">
        <v>470</v>
      </c>
      <c r="C99" s="451" t="s">
        <v>480</v>
      </c>
      <c r="D99" s="549"/>
      <c r="E99" s="435" t="s">
        <v>481</v>
      </c>
      <c r="F99" s="444">
        <v>16</v>
      </c>
      <c r="G99" s="17">
        <v>285799.45</v>
      </c>
      <c r="H99" s="116"/>
      <c r="I99" s="203"/>
      <c r="J99" s="203"/>
      <c r="K99" s="204"/>
      <c r="L99" s="204"/>
      <c r="O99" s="4" t="s">
        <v>475</v>
      </c>
    </row>
    <row r="100" spans="1:19" s="226" customFormat="1" ht="27.75" customHeight="1">
      <c r="A100" s="440">
        <v>4</v>
      </c>
      <c r="B100" s="436" t="s">
        <v>470</v>
      </c>
      <c r="C100" s="453" t="s">
        <v>482</v>
      </c>
      <c r="D100" s="547"/>
      <c r="E100" s="435" t="s">
        <v>483</v>
      </c>
      <c r="F100" s="448" t="s">
        <v>195</v>
      </c>
      <c r="G100" s="17">
        <v>57055.05</v>
      </c>
      <c r="H100" s="39"/>
      <c r="I100" s="55"/>
      <c r="J100" s="55"/>
      <c r="K100" s="141"/>
      <c r="L100" s="141"/>
      <c r="O100" s="4" t="s">
        <v>475</v>
      </c>
    </row>
    <row r="101" spans="1:19" s="226" customFormat="1" ht="27.75" customHeight="1">
      <c r="A101" s="440"/>
      <c r="B101" s="676" t="s">
        <v>484</v>
      </c>
      <c r="C101" s="677"/>
      <c r="D101" s="549"/>
      <c r="E101" s="435"/>
      <c r="F101" s="448"/>
      <c r="G101" s="17">
        <v>0</v>
      </c>
      <c r="H101" s="122"/>
      <c r="I101" s="37"/>
      <c r="J101" s="37"/>
      <c r="K101" s="459"/>
      <c r="L101" s="459"/>
      <c r="O101" s="4" t="s">
        <v>475</v>
      </c>
    </row>
    <row r="102" spans="1:19" ht="27.75" customHeight="1">
      <c r="A102" s="460">
        <v>5</v>
      </c>
      <c r="B102" s="436" t="s">
        <v>470</v>
      </c>
      <c r="C102" s="461" t="s">
        <v>485</v>
      </c>
      <c r="D102" s="550"/>
      <c r="E102" s="435" t="s">
        <v>486</v>
      </c>
      <c r="F102" s="464" t="s">
        <v>195</v>
      </c>
      <c r="G102" s="17">
        <v>28958.15</v>
      </c>
      <c r="H102" s="36"/>
      <c r="I102" s="37"/>
      <c r="J102" s="37"/>
      <c r="K102" s="38"/>
      <c r="L102" s="38"/>
      <c r="M102" s="38"/>
      <c r="O102" s="4" t="s">
        <v>475</v>
      </c>
    </row>
    <row r="103" spans="1:19" ht="27.6" customHeight="1">
      <c r="A103" s="460"/>
      <c r="B103" s="436" t="s">
        <v>488</v>
      </c>
      <c r="C103" s="461"/>
      <c r="D103" s="550"/>
      <c r="E103" s="435"/>
      <c r="F103" s="444"/>
      <c r="G103" s="17"/>
      <c r="H103" s="36"/>
      <c r="I103" s="37"/>
      <c r="J103" s="37"/>
      <c r="K103" s="38"/>
      <c r="L103" s="38"/>
      <c r="M103" s="38"/>
    </row>
    <row r="104" spans="1:19" ht="27.6" customHeight="1">
      <c r="A104" s="460"/>
      <c r="B104" s="674" t="s">
        <v>489</v>
      </c>
      <c r="C104" s="675"/>
      <c r="D104" s="548"/>
      <c r="E104" s="435"/>
      <c r="F104" s="444"/>
      <c r="G104" s="17"/>
      <c r="H104" s="36"/>
      <c r="I104" s="37"/>
      <c r="J104" s="37"/>
      <c r="K104" s="38"/>
      <c r="L104" s="38"/>
      <c r="M104" s="38"/>
    </row>
    <row r="105" spans="1:19" ht="27.75" customHeight="1" thickBot="1">
      <c r="A105" s="465"/>
      <c r="B105" s="466" t="s">
        <v>22</v>
      </c>
      <c r="C105" s="195"/>
      <c r="D105" s="539"/>
      <c r="E105" s="315"/>
      <c r="F105" s="310"/>
      <c r="G105" s="313">
        <v>829801.72000000009</v>
      </c>
      <c r="H105" s="36"/>
      <c r="I105" s="37"/>
      <c r="J105" s="37"/>
      <c r="K105" s="38"/>
      <c r="L105" s="38"/>
      <c r="M105" s="38"/>
      <c r="Q105" s="507">
        <f>SUM(G95:G102)</f>
        <v>829801.72000000009</v>
      </c>
    </row>
    <row r="106" spans="1:19" ht="27.75" customHeight="1" thickTop="1">
      <c r="A106" s="468"/>
      <c r="B106" s="469" t="s">
        <v>490</v>
      </c>
      <c r="C106" s="470"/>
      <c r="D106" s="543"/>
      <c r="E106" s="186"/>
      <c r="F106" s="116"/>
      <c r="G106" s="474"/>
      <c r="H106" s="36"/>
      <c r="I106" s="37"/>
      <c r="J106" s="37"/>
      <c r="K106" s="38"/>
      <c r="L106" s="38"/>
      <c r="M106" s="38"/>
    </row>
    <row r="107" spans="1:19" ht="27.75" customHeight="1">
      <c r="A107" s="475">
        <v>1</v>
      </c>
      <c r="B107" s="436" t="s">
        <v>491</v>
      </c>
      <c r="C107" s="437" t="s">
        <v>492</v>
      </c>
      <c r="D107" s="547"/>
      <c r="E107" s="435"/>
      <c r="F107" s="477"/>
      <c r="G107" s="481"/>
      <c r="H107" s="356"/>
      <c r="I107" s="482"/>
      <c r="J107" s="482"/>
      <c r="K107" s="483"/>
      <c r="L107" s="483"/>
      <c r="O107" s="4" t="s">
        <v>493</v>
      </c>
    </row>
    <row r="108" spans="1:19" ht="27.75" customHeight="1">
      <c r="A108" s="475"/>
      <c r="B108" s="484" t="s">
        <v>494</v>
      </c>
      <c r="C108" s="437"/>
      <c r="D108" s="547"/>
      <c r="E108" s="435"/>
      <c r="F108" s="477"/>
      <c r="G108" s="481"/>
      <c r="H108" s="485"/>
      <c r="I108" s="486"/>
      <c r="J108" s="486"/>
      <c r="K108" s="487"/>
      <c r="L108" s="487"/>
    </row>
    <row r="109" spans="1:19" ht="27.75" customHeight="1">
      <c r="A109" s="475">
        <v>2</v>
      </c>
      <c r="B109" s="436" t="s">
        <v>495</v>
      </c>
      <c r="C109" s="437" t="s">
        <v>496</v>
      </c>
      <c r="D109" s="547"/>
      <c r="E109" s="435"/>
      <c r="F109" s="477" t="s">
        <v>497</v>
      </c>
      <c r="G109" s="17">
        <v>8214529.25</v>
      </c>
      <c r="H109" s="485"/>
      <c r="I109" s="486"/>
      <c r="J109" s="486"/>
      <c r="K109" s="487"/>
      <c r="L109" s="487"/>
    </row>
    <row r="110" spans="1:19" ht="27.75" customHeight="1">
      <c r="A110" s="405"/>
      <c r="B110" s="234" t="s">
        <v>22</v>
      </c>
      <c r="C110" s="407"/>
      <c r="D110" s="544"/>
      <c r="E110" s="412"/>
      <c r="F110" s="408"/>
      <c r="G110" s="239">
        <v>8214529.25</v>
      </c>
      <c r="H110" s="278"/>
      <c r="I110" s="279"/>
      <c r="J110" s="279"/>
      <c r="K110" s="413"/>
      <c r="L110" s="413"/>
      <c r="M110" s="413"/>
      <c r="Q110" s="507">
        <f>SUM(G109)</f>
        <v>8214529.25</v>
      </c>
    </row>
    <row r="111" spans="1:19" ht="27.75" customHeight="1">
      <c r="A111" s="426"/>
      <c r="B111" s="4"/>
      <c r="C111" s="295"/>
      <c r="D111" s="546"/>
      <c r="E111" s="433"/>
      <c r="F111" s="427"/>
      <c r="G111" s="430"/>
      <c r="H111" s="424"/>
      <c r="I111" s="425"/>
      <c r="J111" s="425"/>
      <c r="K111" s="345"/>
      <c r="L111" s="345"/>
      <c r="M111" s="345"/>
    </row>
    <row r="112" spans="1:19" ht="27.75" customHeight="1" thickBot="1">
      <c r="A112" s="488"/>
      <c r="B112" s="489" t="s">
        <v>498</v>
      </c>
      <c r="C112" s="490"/>
      <c r="D112" s="551"/>
      <c r="E112" s="495"/>
      <c r="F112" s="496"/>
      <c r="G112" s="493">
        <v>9122907.3137383182</v>
      </c>
      <c r="H112" s="497">
        <v>0</v>
      </c>
      <c r="I112" s="497">
        <v>0</v>
      </c>
      <c r="J112" s="498"/>
      <c r="K112" s="499"/>
      <c r="L112" s="499"/>
      <c r="M112" s="499"/>
      <c r="R112" s="521">
        <f>SUM(Q92:Q110)</f>
        <v>9122907.3129906543</v>
      </c>
      <c r="S112" s="4" t="s">
        <v>1043</v>
      </c>
    </row>
    <row r="113" spans="1:12" s="226" customFormat="1" ht="27.75" customHeight="1" thickTop="1">
      <c r="A113" s="6"/>
      <c r="B113" s="500"/>
      <c r="D113" s="552"/>
      <c r="E113" s="372"/>
      <c r="F113" s="501"/>
      <c r="G113" s="504"/>
      <c r="H113" s="2"/>
      <c r="I113" s="425"/>
      <c r="J113" s="425"/>
      <c r="K113" s="345"/>
      <c r="L113" s="345"/>
    </row>
    <row r="114" spans="1:12" s="226" customFormat="1" ht="27.75" customHeight="1">
      <c r="A114" s="6"/>
      <c r="B114" s="500"/>
      <c r="D114" s="552"/>
      <c r="E114" s="372"/>
      <c r="F114" s="501"/>
      <c r="G114" s="504"/>
      <c r="H114" s="2"/>
      <c r="I114" s="425"/>
      <c r="J114" s="425"/>
      <c r="K114" s="345"/>
      <c r="L114" s="345"/>
    </row>
    <row r="115" spans="1:12" s="226" customFormat="1" ht="27.75" customHeight="1">
      <c r="A115" s="684" t="s">
        <v>932</v>
      </c>
      <c r="B115" s="684"/>
      <c r="C115" s="684"/>
      <c r="D115" s="684"/>
      <c r="E115" s="684"/>
      <c r="F115" s="684"/>
      <c r="G115" s="684"/>
      <c r="H115" s="684"/>
      <c r="I115" s="425"/>
      <c r="J115" s="425"/>
      <c r="K115" s="345"/>
      <c r="L115" s="345"/>
    </row>
    <row r="116" spans="1:12" s="226" customFormat="1" ht="27.75" customHeight="1">
      <c r="A116" s="678" t="s">
        <v>933</v>
      </c>
      <c r="B116" s="678"/>
      <c r="C116" s="678"/>
      <c r="D116" s="678"/>
      <c r="E116" s="678"/>
      <c r="F116" s="678"/>
      <c r="G116" s="678"/>
      <c r="H116" s="678"/>
      <c r="I116" s="425"/>
      <c r="J116" s="425"/>
      <c r="K116" s="345"/>
      <c r="L116" s="345"/>
    </row>
    <row r="117" spans="1:12" s="226" customFormat="1" ht="27.75" customHeight="1">
      <c r="A117" s="678"/>
      <c r="B117" s="678"/>
      <c r="C117" s="678"/>
      <c r="D117" s="678"/>
      <c r="E117" s="678"/>
      <c r="F117" s="678"/>
      <c r="G117" s="678"/>
      <c r="H117" s="678"/>
      <c r="I117" s="425"/>
      <c r="J117" s="425"/>
      <c r="K117" s="345"/>
      <c r="L117" s="345"/>
    </row>
    <row r="118" spans="1:12" s="226" customFormat="1" ht="27.75" customHeight="1">
      <c r="A118" s="6"/>
      <c r="B118" s="500"/>
      <c r="D118" s="552"/>
      <c r="E118" s="372"/>
      <c r="F118" s="501"/>
      <c r="G118" s="504"/>
      <c r="H118" s="2"/>
      <c r="I118" s="425"/>
      <c r="J118" s="425"/>
      <c r="K118" s="345"/>
      <c r="L118" s="345"/>
    </row>
    <row r="119" spans="1:12" s="226" customFormat="1" ht="27.75" customHeight="1">
      <c r="A119" s="6"/>
      <c r="B119" s="500"/>
      <c r="D119" s="552"/>
      <c r="E119" s="372"/>
      <c r="F119" s="501"/>
      <c r="G119" s="430"/>
      <c r="H119" s="2"/>
      <c r="I119" s="425"/>
      <c r="J119" s="425"/>
      <c r="K119" s="345"/>
      <c r="L119" s="345"/>
    </row>
    <row r="120" spans="1:12" s="226" customFormat="1" ht="27.75" customHeight="1">
      <c r="A120" s="6"/>
      <c r="B120" s="500"/>
      <c r="D120" s="552"/>
      <c r="E120" s="372"/>
      <c r="F120" s="501"/>
      <c r="G120" s="504"/>
      <c r="H120" s="2"/>
      <c r="I120" s="425"/>
      <c r="J120" s="425"/>
      <c r="K120" s="345"/>
      <c r="L120" s="345"/>
    </row>
    <row r="121" spans="1:12" s="226" customFormat="1" ht="27.75" customHeight="1">
      <c r="A121" s="6"/>
      <c r="B121" s="500"/>
      <c r="D121" s="552"/>
      <c r="E121" s="372"/>
      <c r="F121" s="501"/>
      <c r="G121" s="504"/>
      <c r="H121" s="2"/>
      <c r="I121" s="425"/>
      <c r="J121" s="425"/>
      <c r="K121" s="345"/>
      <c r="L121" s="345"/>
    </row>
    <row r="122" spans="1:12" s="226" customFormat="1" ht="27.75" customHeight="1">
      <c r="A122" s="6"/>
      <c r="B122" s="500"/>
      <c r="D122" s="552"/>
      <c r="E122" s="372"/>
      <c r="F122" s="501"/>
      <c r="G122" s="504"/>
      <c r="H122" s="2"/>
      <c r="I122" s="425"/>
      <c r="J122" s="425"/>
      <c r="K122" s="345"/>
      <c r="L122" s="345"/>
    </row>
    <row r="123" spans="1:12" s="226" customFormat="1" ht="27.75" customHeight="1">
      <c r="A123" s="6"/>
      <c r="B123" s="500"/>
      <c r="D123" s="552"/>
      <c r="E123" s="372"/>
      <c r="F123" s="501"/>
      <c r="G123" s="504"/>
      <c r="H123" s="2"/>
      <c r="I123" s="425"/>
      <c r="J123" s="425"/>
      <c r="K123" s="345"/>
      <c r="L123" s="345"/>
    </row>
    <row r="124" spans="1:12" s="226" customFormat="1" ht="27.75" customHeight="1">
      <c r="A124" s="6"/>
      <c r="B124" s="500"/>
      <c r="D124" s="552"/>
      <c r="E124" s="372"/>
      <c r="F124" s="501"/>
      <c r="G124" s="504"/>
      <c r="H124" s="2"/>
      <c r="I124" s="425"/>
      <c r="J124" s="425"/>
      <c r="K124" s="345"/>
      <c r="L124" s="345"/>
    </row>
    <row r="125" spans="1:12" s="226" customFormat="1" ht="27.75" customHeight="1">
      <c r="A125" s="6"/>
      <c r="B125" s="500"/>
      <c r="D125" s="552"/>
      <c r="E125" s="372"/>
      <c r="F125" s="501"/>
      <c r="G125" s="504"/>
      <c r="H125" s="2"/>
      <c r="I125" s="425"/>
      <c r="J125" s="425"/>
      <c r="K125" s="345"/>
      <c r="L125" s="345"/>
    </row>
    <row r="126" spans="1:12" s="226" customFormat="1" ht="27.75" customHeight="1">
      <c r="A126" s="6"/>
      <c r="B126" s="500"/>
      <c r="D126" s="552"/>
      <c r="E126" s="372"/>
      <c r="F126" s="501"/>
      <c r="G126" s="504"/>
      <c r="H126" s="2"/>
      <c r="I126" s="425"/>
      <c r="J126" s="425"/>
      <c r="K126" s="345"/>
      <c r="L126" s="345"/>
    </row>
    <row r="127" spans="1:12" s="226" customFormat="1" ht="27.75" customHeight="1">
      <c r="A127" s="6"/>
      <c r="B127" s="500"/>
      <c r="D127" s="552"/>
      <c r="E127" s="372"/>
      <c r="F127" s="501"/>
      <c r="G127" s="504"/>
      <c r="H127" s="2"/>
      <c r="I127" s="425"/>
      <c r="J127" s="425"/>
      <c r="K127" s="345"/>
      <c r="L127" s="345"/>
    </row>
    <row r="128" spans="1:12" s="226" customFormat="1" ht="27.75" customHeight="1">
      <c r="A128" s="6"/>
      <c r="B128" s="500"/>
      <c r="D128" s="552"/>
      <c r="E128" s="372"/>
      <c r="F128" s="501"/>
      <c r="G128" s="504"/>
      <c r="H128" s="2"/>
      <c r="I128" s="425"/>
      <c r="J128" s="425"/>
      <c r="K128" s="345"/>
      <c r="L128" s="345"/>
    </row>
    <row r="129" spans="1:12" s="226" customFormat="1" ht="27.75" customHeight="1">
      <c r="A129" s="6"/>
      <c r="D129" s="552"/>
      <c r="E129" s="372"/>
      <c r="F129" s="501"/>
      <c r="G129" s="504"/>
      <c r="H129" s="2"/>
      <c r="I129" s="425"/>
      <c r="J129" s="425"/>
      <c r="K129" s="345"/>
      <c r="L129" s="345"/>
    </row>
    <row r="130" spans="1:12" ht="27.75" customHeight="1">
      <c r="B130" s="4"/>
      <c r="F130" s="4"/>
      <c r="K130" s="4"/>
      <c r="L130" s="4"/>
    </row>
    <row r="131" spans="1:12" ht="27.75" customHeight="1">
      <c r="B131" s="4"/>
      <c r="F131" s="4"/>
      <c r="K131" s="4"/>
      <c r="L131" s="4"/>
    </row>
    <row r="132" spans="1:12" ht="27.75" customHeight="1">
      <c r="B132" s="4"/>
      <c r="F132" s="4"/>
      <c r="K132" s="4"/>
      <c r="L132" s="4"/>
    </row>
    <row r="133" spans="1:12" ht="27.75" customHeight="1">
      <c r="B133" s="4"/>
      <c r="F133" s="4"/>
      <c r="K133" s="4"/>
      <c r="L133" s="4"/>
    </row>
    <row r="134" spans="1:12" ht="27.75" customHeight="1">
      <c r="B134" s="4"/>
      <c r="F134" s="4"/>
      <c r="K134" s="4"/>
      <c r="L134" s="4"/>
    </row>
    <row r="135" spans="1:12" ht="27.75" customHeight="1">
      <c r="B135" s="4"/>
      <c r="F135" s="4"/>
      <c r="K135" s="4"/>
      <c r="L135" s="4"/>
    </row>
    <row r="136" spans="1:12" ht="27.75" customHeight="1">
      <c r="B136" s="4"/>
      <c r="F136" s="4"/>
      <c r="K136" s="4"/>
      <c r="L136" s="4"/>
    </row>
    <row r="137" spans="1:12" ht="27.75" customHeight="1">
      <c r="B137" s="4"/>
      <c r="F137" s="4"/>
      <c r="K137" s="4"/>
      <c r="L137" s="4"/>
    </row>
    <row r="138" spans="1:12" ht="27.75" customHeight="1">
      <c r="B138" s="4"/>
      <c r="F138" s="4"/>
      <c r="K138" s="4"/>
      <c r="L138" s="4"/>
    </row>
    <row r="139" spans="1:12" ht="27.75" customHeight="1">
      <c r="B139" s="4"/>
      <c r="F139" s="4"/>
      <c r="K139" s="4"/>
      <c r="L139" s="4"/>
    </row>
    <row r="140" spans="1:12" ht="27.75" customHeight="1">
      <c r="B140" s="4"/>
      <c r="F140" s="4"/>
      <c r="K140" s="4"/>
      <c r="L140" s="4"/>
    </row>
    <row r="141" spans="1:12" ht="27.75" customHeight="1">
      <c r="B141" s="4"/>
      <c r="F141" s="4"/>
      <c r="K141" s="4"/>
      <c r="L141" s="4"/>
    </row>
    <row r="142" spans="1:12" ht="27.75" customHeight="1">
      <c r="B142" s="4"/>
      <c r="F142" s="4"/>
      <c r="K142" s="4"/>
      <c r="L142" s="4"/>
    </row>
    <row r="143" spans="1:12" ht="27.75" customHeight="1">
      <c r="B143" s="4"/>
      <c r="F143" s="4"/>
      <c r="K143" s="4"/>
      <c r="L143" s="4"/>
    </row>
    <row r="144" spans="1:12" ht="27.75" customHeight="1">
      <c r="B144" s="4"/>
      <c r="F144" s="4"/>
      <c r="K144" s="4"/>
      <c r="L144" s="4"/>
    </row>
    <row r="145" spans="2:12" ht="27.75" customHeight="1">
      <c r="B145" s="4"/>
      <c r="F145" s="4"/>
      <c r="K145" s="4"/>
      <c r="L145" s="4"/>
    </row>
    <row r="157" spans="2:12" s="4" customFormat="1" ht="27.75" customHeight="1">
      <c r="D157" s="552"/>
      <c r="E157" s="372"/>
      <c r="G157" s="507"/>
    </row>
    <row r="158" spans="2:12" s="4" customFormat="1" ht="27.75" customHeight="1">
      <c r="D158" s="552"/>
      <c r="E158" s="372"/>
      <c r="G158" s="507"/>
    </row>
    <row r="159" spans="2:12" s="4" customFormat="1" ht="27.75" customHeight="1">
      <c r="D159" s="552"/>
      <c r="E159" s="372"/>
      <c r="G159" s="507"/>
    </row>
    <row r="160" spans="2:12" s="4" customFormat="1" ht="27.75" customHeight="1">
      <c r="D160" s="552"/>
      <c r="E160" s="372"/>
      <c r="G160" s="507"/>
    </row>
    <row r="161" spans="4:7" s="4" customFormat="1" ht="27.75" customHeight="1">
      <c r="D161" s="552"/>
      <c r="E161" s="372"/>
      <c r="G161" s="507"/>
    </row>
    <row r="162" spans="4:7" s="4" customFormat="1" ht="27.75" customHeight="1">
      <c r="D162" s="552"/>
      <c r="E162" s="372"/>
      <c r="G162" s="507"/>
    </row>
    <row r="163" spans="4:7" s="4" customFormat="1" ht="27.75" customHeight="1">
      <c r="D163" s="552"/>
      <c r="E163" s="372"/>
      <c r="G163" s="507"/>
    </row>
    <row r="164" spans="4:7" s="4" customFormat="1" ht="27.75" customHeight="1">
      <c r="D164" s="552"/>
      <c r="E164" s="372"/>
      <c r="G164" s="507"/>
    </row>
    <row r="165" spans="4:7" s="4" customFormat="1" ht="27.75" customHeight="1">
      <c r="D165" s="552"/>
      <c r="E165" s="372"/>
      <c r="G165" s="507"/>
    </row>
    <row r="166" spans="4:7" s="4" customFormat="1" ht="27.75" customHeight="1">
      <c r="D166" s="552"/>
      <c r="E166" s="372"/>
      <c r="G166" s="507"/>
    </row>
    <row r="167" spans="4:7" s="4" customFormat="1" ht="27.75" customHeight="1">
      <c r="D167" s="552"/>
      <c r="E167" s="372"/>
      <c r="G167" s="507"/>
    </row>
    <row r="168" spans="4:7" s="4" customFormat="1" ht="27.75" customHeight="1">
      <c r="D168" s="552"/>
      <c r="E168" s="372"/>
      <c r="G168" s="507"/>
    </row>
    <row r="169" spans="4:7" s="4" customFormat="1" ht="27.75" customHeight="1">
      <c r="D169" s="552"/>
      <c r="E169" s="372"/>
      <c r="G169" s="507"/>
    </row>
  </sheetData>
  <mergeCells count="20">
    <mergeCell ref="A116:H116"/>
    <mergeCell ref="A117:H117"/>
    <mergeCell ref="F5:F6"/>
    <mergeCell ref="B97:C97"/>
    <mergeCell ref="B101:C101"/>
    <mergeCell ref="B104:C104"/>
    <mergeCell ref="A115:H115"/>
    <mergeCell ref="I4:I6"/>
    <mergeCell ref="J4:J6"/>
    <mergeCell ref="K4:K6"/>
    <mergeCell ref="L4:L6"/>
    <mergeCell ref="A5:A6"/>
    <mergeCell ref="B5:B6"/>
    <mergeCell ref="C5:C6"/>
    <mergeCell ref="A1:G1"/>
    <mergeCell ref="A2:G2"/>
    <mergeCell ref="A3:G3"/>
    <mergeCell ref="E4:G4"/>
    <mergeCell ref="H4:H6"/>
    <mergeCell ref="E5:E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A9EF1-D81A-49BD-8A99-A32AB8813D0D}">
  <sheetPr>
    <tabColor rgb="FF00B0F0"/>
  </sheetPr>
  <dimension ref="A1:R103"/>
  <sheetViews>
    <sheetView zoomScale="60" zoomScaleNormal="60" workbookViewId="0">
      <pane ySplit="6" topLeftCell="A18" activePane="bottomLeft" state="frozen"/>
      <selection pane="bottomLeft" activeCell="S33" sqref="S33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0" style="372" customWidth="1"/>
    <col min="5" max="5" width="9.109375" style="2" customWidth="1"/>
    <col min="6" max="6" width="23.6640625" style="507" customWidth="1"/>
    <col min="7" max="7" width="5.33203125" style="2" hidden="1" customWidth="1"/>
    <col min="8" max="8" width="9" style="508" hidden="1" customWidth="1"/>
    <col min="9" max="9" width="9.6640625" style="508" hidden="1" customWidth="1"/>
    <col min="10" max="10" width="10.88671875" style="512" hidden="1" customWidth="1"/>
    <col min="11" max="11" width="24.5546875" style="512" hidden="1" customWidth="1"/>
    <col min="12" max="13" width="8.88671875" style="4" hidden="1" customWidth="1"/>
    <col min="14" max="14" width="8.88671875" style="4"/>
    <col min="15" max="15" width="12.109375" style="4" bestFit="1" customWidth="1"/>
    <col min="16" max="17" width="15.44140625" style="4" bestFit="1" customWidth="1"/>
    <col min="18" max="16384" width="8.88671875" style="4"/>
  </cols>
  <sheetData>
    <row r="1" spans="1:11" ht="28.5" customHeight="1">
      <c r="A1" s="653" t="s">
        <v>0</v>
      </c>
      <c r="B1" s="653"/>
      <c r="C1" s="653"/>
      <c r="D1" s="653"/>
      <c r="E1" s="653"/>
      <c r="F1" s="653"/>
      <c r="H1" s="3"/>
      <c r="I1" s="3"/>
      <c r="J1" s="1"/>
      <c r="K1" s="1"/>
    </row>
    <row r="2" spans="1:11" ht="23.25" customHeight="1">
      <c r="A2" s="653" t="s">
        <v>1</v>
      </c>
      <c r="B2" s="653"/>
      <c r="C2" s="653"/>
      <c r="D2" s="653"/>
      <c r="E2" s="653"/>
      <c r="F2" s="653"/>
      <c r="G2" s="5"/>
      <c r="H2" s="3"/>
      <c r="I2" s="3"/>
      <c r="J2" s="1"/>
      <c r="K2" s="1"/>
    </row>
    <row r="3" spans="1:11" ht="28.5" customHeight="1">
      <c r="A3" s="654" t="s">
        <v>935</v>
      </c>
      <c r="B3" s="654"/>
      <c r="C3" s="654"/>
      <c r="D3" s="654"/>
      <c r="E3" s="654"/>
      <c r="F3" s="654"/>
      <c r="H3" s="3"/>
      <c r="I3" s="3"/>
      <c r="J3" s="6"/>
      <c r="K3" s="6"/>
    </row>
    <row r="4" spans="1:11" ht="27.75" customHeight="1">
      <c r="A4" s="7"/>
      <c r="B4" s="8"/>
      <c r="C4" s="9"/>
      <c r="D4" s="655" t="s">
        <v>5</v>
      </c>
      <c r="E4" s="656"/>
      <c r="F4" s="657"/>
      <c r="G4" s="658" t="s">
        <v>6</v>
      </c>
      <c r="H4" s="671" t="s">
        <v>7</v>
      </c>
      <c r="I4" s="671" t="s">
        <v>8</v>
      </c>
      <c r="J4" s="661" t="s">
        <v>9</v>
      </c>
      <c r="K4" s="661" t="s">
        <v>10</v>
      </c>
    </row>
    <row r="5" spans="1:11" ht="27.75" customHeight="1">
      <c r="A5" s="664" t="s">
        <v>11</v>
      </c>
      <c r="B5" s="666" t="s">
        <v>12</v>
      </c>
      <c r="C5" s="666" t="s">
        <v>13</v>
      </c>
      <c r="D5" s="664" t="s">
        <v>15</v>
      </c>
      <c r="E5" s="669" t="s">
        <v>16</v>
      </c>
      <c r="F5" s="514"/>
      <c r="G5" s="659"/>
      <c r="H5" s="672"/>
      <c r="I5" s="672"/>
      <c r="J5" s="662"/>
      <c r="K5" s="662"/>
    </row>
    <row r="6" spans="1:11" ht="27.75" customHeight="1" thickBot="1">
      <c r="A6" s="665"/>
      <c r="B6" s="667"/>
      <c r="C6" s="667"/>
      <c r="D6" s="668"/>
      <c r="E6" s="670"/>
      <c r="F6" s="21" t="s">
        <v>22</v>
      </c>
      <c r="G6" s="660"/>
      <c r="H6" s="673"/>
      <c r="I6" s="673"/>
      <c r="J6" s="663"/>
      <c r="K6" s="663"/>
    </row>
    <row r="7" spans="1:11" ht="27.75" customHeight="1" thickTop="1">
      <c r="A7" s="232"/>
      <c r="B7" s="40" t="s">
        <v>596</v>
      </c>
      <c r="C7" s="553"/>
      <c r="F7" s="554"/>
      <c r="G7" s="517"/>
      <c r="H7" s="515"/>
      <c r="I7" s="515"/>
      <c r="J7" s="516"/>
      <c r="K7" s="516"/>
    </row>
    <row r="8" spans="1:11" s="57" customFormat="1" ht="27.75" customHeight="1">
      <c r="A8" s="39">
        <v>1</v>
      </c>
      <c r="B8" s="40" t="s">
        <v>66</v>
      </c>
      <c r="C8" s="41" t="s">
        <v>67</v>
      </c>
      <c r="D8" s="51" t="s">
        <v>823</v>
      </c>
      <c r="E8" s="52">
        <v>1</v>
      </c>
      <c r="F8" s="54">
        <v>12037.5</v>
      </c>
      <c r="G8" s="39"/>
      <c r="H8" s="55"/>
      <c r="I8" s="55"/>
      <c r="J8" s="56"/>
      <c r="K8" s="56"/>
    </row>
    <row r="9" spans="1:11" s="57" customFormat="1" ht="27.75" customHeight="1">
      <c r="A9" s="39">
        <v>2</v>
      </c>
      <c r="B9" s="40" t="s">
        <v>66</v>
      </c>
      <c r="C9" s="41" t="s">
        <v>69</v>
      </c>
      <c r="D9" s="51" t="s">
        <v>823</v>
      </c>
      <c r="E9" s="52">
        <v>1</v>
      </c>
      <c r="F9" s="54">
        <v>4012.5</v>
      </c>
      <c r="G9" s="39"/>
      <c r="H9" s="55"/>
      <c r="I9" s="55"/>
      <c r="J9" s="56"/>
      <c r="K9" s="56"/>
    </row>
    <row r="10" spans="1:11" ht="27.75" customHeight="1">
      <c r="A10" s="39">
        <v>3</v>
      </c>
      <c r="B10" s="280" t="s">
        <v>294</v>
      </c>
      <c r="C10" s="285" t="s">
        <v>255</v>
      </c>
      <c r="D10" s="570" t="s">
        <v>823</v>
      </c>
      <c r="E10" s="116">
        <v>1</v>
      </c>
      <c r="F10" s="54">
        <v>32.1</v>
      </c>
      <c r="G10" s="39"/>
      <c r="H10" s="55"/>
      <c r="I10" s="55"/>
      <c r="J10" s="56"/>
      <c r="K10" s="56"/>
    </row>
    <row r="11" spans="1:11" ht="27.75" customHeight="1">
      <c r="A11" s="39">
        <v>4</v>
      </c>
      <c r="B11" s="40" t="s">
        <v>130</v>
      </c>
      <c r="C11" s="140" t="s">
        <v>102</v>
      </c>
      <c r="D11" s="145" t="s">
        <v>823</v>
      </c>
      <c r="E11" s="172">
        <v>1</v>
      </c>
      <c r="F11" s="54">
        <v>160.5</v>
      </c>
      <c r="G11" s="39"/>
      <c r="H11" s="55"/>
      <c r="I11" s="55"/>
      <c r="J11" s="56"/>
      <c r="K11" s="56"/>
    </row>
    <row r="12" spans="1:11" s="57" customFormat="1" ht="27.75" customHeight="1">
      <c r="A12" s="39">
        <v>5</v>
      </c>
      <c r="B12" s="40" t="s">
        <v>180</v>
      </c>
      <c r="C12" s="41" t="s">
        <v>181</v>
      </c>
      <c r="D12" s="94" t="s">
        <v>823</v>
      </c>
      <c r="E12" s="39">
        <v>1</v>
      </c>
      <c r="F12" s="47">
        <v>1284</v>
      </c>
      <c r="G12" s="146"/>
      <c r="H12" s="148"/>
      <c r="I12" s="148"/>
      <c r="J12" s="149"/>
      <c r="K12" s="149"/>
    </row>
    <row r="13" spans="1:11" ht="27.75" customHeight="1">
      <c r="A13" s="39">
        <v>6</v>
      </c>
      <c r="B13" s="40" t="s">
        <v>66</v>
      </c>
      <c r="C13" s="346" t="s">
        <v>388</v>
      </c>
      <c r="D13" s="83" t="s">
        <v>823</v>
      </c>
      <c r="E13" s="39">
        <v>1</v>
      </c>
      <c r="F13" s="47">
        <v>1760</v>
      </c>
      <c r="G13" s="116"/>
      <c r="H13" s="203"/>
      <c r="I13" s="203"/>
      <c r="J13" s="204"/>
      <c r="K13" s="204"/>
    </row>
    <row r="14" spans="1:11" s="226" customFormat="1" ht="27.75" customHeight="1">
      <c r="A14" s="39">
        <v>7</v>
      </c>
      <c r="B14" s="40" t="s">
        <v>66</v>
      </c>
      <c r="C14" s="346" t="s">
        <v>390</v>
      </c>
      <c r="D14" s="83" t="s">
        <v>823</v>
      </c>
      <c r="E14" s="116">
        <v>1</v>
      </c>
      <c r="F14" s="47">
        <v>1760</v>
      </c>
      <c r="G14" s="39"/>
      <c r="H14" s="55"/>
      <c r="I14" s="55"/>
      <c r="J14" s="56"/>
      <c r="K14" s="56"/>
    </row>
    <row r="15" spans="1:11" s="226" customFormat="1" ht="27.75" customHeight="1">
      <c r="A15" s="39">
        <v>8</v>
      </c>
      <c r="B15" s="40" t="s">
        <v>66</v>
      </c>
      <c r="C15" s="346" t="s">
        <v>391</v>
      </c>
      <c r="D15" s="83" t="s">
        <v>823</v>
      </c>
      <c r="E15" s="116">
        <v>1</v>
      </c>
      <c r="F15" s="47">
        <v>1760</v>
      </c>
      <c r="G15" s="39"/>
      <c r="H15" s="55"/>
      <c r="I15" s="55"/>
      <c r="J15" s="56"/>
      <c r="K15" s="56"/>
    </row>
    <row r="16" spans="1:11" s="226" customFormat="1" ht="27.75" customHeight="1">
      <c r="A16" s="39">
        <v>9</v>
      </c>
      <c r="B16" s="40" t="s">
        <v>82</v>
      </c>
      <c r="C16" s="41" t="s">
        <v>72</v>
      </c>
      <c r="D16" s="83" t="s">
        <v>823</v>
      </c>
      <c r="E16" s="116">
        <v>1</v>
      </c>
      <c r="F16" s="47">
        <v>1883.1981308411221</v>
      </c>
      <c r="G16" s="39"/>
      <c r="H16" s="55"/>
      <c r="I16" s="55"/>
      <c r="J16" s="56"/>
      <c r="K16" s="56"/>
    </row>
    <row r="17" spans="1:17" s="226" customFormat="1" ht="27.75" customHeight="1">
      <c r="A17" s="39">
        <v>10</v>
      </c>
      <c r="B17" s="80" t="s">
        <v>66</v>
      </c>
      <c r="C17" s="346" t="s">
        <v>69</v>
      </c>
      <c r="D17" s="83" t="s">
        <v>823</v>
      </c>
      <c r="E17" s="116">
        <v>1</v>
      </c>
      <c r="F17" s="47">
        <v>2720</v>
      </c>
      <c r="G17" s="39"/>
      <c r="H17" s="55"/>
      <c r="I17" s="55"/>
      <c r="J17" s="56"/>
      <c r="K17" s="56"/>
      <c r="N17" s="226" t="s">
        <v>269</v>
      </c>
    </row>
    <row r="18" spans="1:17" ht="27.75" customHeight="1">
      <c r="A18" s="39">
        <v>11</v>
      </c>
      <c r="B18" s="41" t="s">
        <v>252</v>
      </c>
      <c r="C18" s="224" t="s">
        <v>253</v>
      </c>
      <c r="D18" s="571" t="s">
        <v>823</v>
      </c>
      <c r="E18" s="39">
        <v>1</v>
      </c>
      <c r="F18" s="66">
        <v>6420</v>
      </c>
      <c r="G18" s="36"/>
      <c r="H18" s="37"/>
      <c r="I18" s="37"/>
      <c r="J18" s="38"/>
      <c r="K18" s="38"/>
      <c r="L18" s="38"/>
    </row>
    <row r="19" spans="1:17" ht="27.75" customHeight="1">
      <c r="A19" s="39">
        <v>12</v>
      </c>
      <c r="B19" s="569" t="s">
        <v>267</v>
      </c>
      <c r="C19" s="224" t="s">
        <v>268</v>
      </c>
      <c r="D19" s="94" t="s">
        <v>823</v>
      </c>
      <c r="E19" s="116">
        <v>0.93457943925233578</v>
      </c>
      <c r="F19" s="47">
        <v>6420</v>
      </c>
      <c r="G19" s="39" t="s">
        <v>195</v>
      </c>
      <c r="H19" s="55">
        <v>43313</v>
      </c>
      <c r="I19" s="55">
        <v>44408</v>
      </c>
      <c r="J19" s="56">
        <v>11925</v>
      </c>
      <c r="K19" s="349"/>
    </row>
    <row r="20" spans="1:17" ht="27.75" customHeight="1">
      <c r="A20" s="39">
        <v>13</v>
      </c>
      <c r="B20" s="569" t="s">
        <v>254</v>
      </c>
      <c r="C20" s="224" t="s">
        <v>255</v>
      </c>
      <c r="D20" s="94" t="s">
        <v>823</v>
      </c>
      <c r="E20" s="116">
        <v>0.93457943925233611</v>
      </c>
      <c r="F20" s="47">
        <v>9630</v>
      </c>
      <c r="G20" s="39"/>
      <c r="H20" s="55"/>
      <c r="I20" s="55"/>
      <c r="J20" s="56"/>
      <c r="K20" s="349"/>
    </row>
    <row r="21" spans="1:17" ht="27.75" customHeight="1">
      <c r="A21" s="39">
        <v>14</v>
      </c>
      <c r="B21" s="572" t="s">
        <v>201</v>
      </c>
      <c r="C21" s="227" t="s">
        <v>256</v>
      </c>
      <c r="D21" s="186" t="s">
        <v>823</v>
      </c>
      <c r="E21" s="116">
        <v>1</v>
      </c>
      <c r="F21" s="66">
        <v>9630</v>
      </c>
      <c r="G21" s="39"/>
      <c r="H21" s="55"/>
      <c r="I21" s="55"/>
      <c r="J21" s="56"/>
      <c r="K21" s="349"/>
    </row>
    <row r="22" spans="1:17" ht="27.75" customHeight="1" thickBot="1">
      <c r="A22" s="573"/>
      <c r="B22" s="574"/>
      <c r="C22" s="575"/>
      <c r="D22" s="573"/>
      <c r="E22" s="576"/>
      <c r="F22" s="577">
        <f>SUM(F8:F21)</f>
        <v>59509.798130841125</v>
      </c>
      <c r="G22" s="39"/>
      <c r="H22" s="55"/>
      <c r="I22" s="55"/>
      <c r="J22" s="56"/>
      <c r="K22" s="349"/>
    </row>
    <row r="23" spans="1:17" ht="27.75" customHeight="1" thickTop="1">
      <c r="A23" s="232"/>
      <c r="B23" s="578" t="s">
        <v>1044</v>
      </c>
      <c r="C23" s="245"/>
      <c r="D23" s="83"/>
      <c r="E23" s="251"/>
      <c r="F23" s="85"/>
      <c r="G23" s="39"/>
      <c r="H23" s="55"/>
      <c r="I23" s="55"/>
      <c r="J23" s="56"/>
      <c r="K23" s="349"/>
    </row>
    <row r="24" spans="1:17" ht="27.75" customHeight="1">
      <c r="A24" s="116">
        <v>1</v>
      </c>
      <c r="B24" s="352" t="s">
        <v>78</v>
      </c>
      <c r="C24" s="206" t="s">
        <v>72</v>
      </c>
      <c r="D24" s="186" t="s">
        <v>948</v>
      </c>
      <c r="E24" s="116">
        <v>2</v>
      </c>
      <c r="F24" s="66">
        <v>19066.544859813086</v>
      </c>
      <c r="G24" s="39" t="s">
        <v>195</v>
      </c>
      <c r="H24" s="55">
        <v>43313</v>
      </c>
      <c r="I24" s="55">
        <v>44408</v>
      </c>
      <c r="J24" s="56">
        <v>9000</v>
      </c>
      <c r="K24" s="349"/>
    </row>
    <row r="25" spans="1:17" ht="27.75" customHeight="1" thickBot="1">
      <c r="A25" s="586"/>
      <c r="B25" s="587"/>
      <c r="C25" s="588"/>
      <c r="D25" s="573"/>
      <c r="E25" s="576"/>
      <c r="F25" s="577">
        <f>SUM(F24)</f>
        <v>19066.544859813086</v>
      </c>
      <c r="H25" s="425"/>
      <c r="I25" s="425"/>
      <c r="J25" s="345"/>
      <c r="K25" s="579"/>
    </row>
    <row r="26" spans="1:17" ht="27.75" customHeight="1" thickTop="1" thickBot="1">
      <c r="A26" s="580"/>
      <c r="B26" s="581"/>
      <c r="C26" s="582" t="s">
        <v>468</v>
      </c>
      <c r="D26" s="583"/>
      <c r="E26" s="584"/>
      <c r="F26" s="585">
        <v>78576.343738317752</v>
      </c>
      <c r="G26" s="424"/>
      <c r="H26" s="425"/>
      <c r="I26" s="425"/>
      <c r="J26" s="345"/>
      <c r="K26" s="345"/>
      <c r="L26" s="345"/>
      <c r="P26" s="57">
        <f>SUM(F22+F25)</f>
        <v>78576.342990654215</v>
      </c>
      <c r="Q26" s="4" t="s">
        <v>818</v>
      </c>
    </row>
    <row r="27" spans="1:17" ht="27.75" customHeight="1" thickTop="1">
      <c r="A27" s="426"/>
      <c r="B27" s="4"/>
      <c r="C27" s="295"/>
      <c r="D27" s="433"/>
      <c r="E27" s="427"/>
      <c r="F27" s="430"/>
      <c r="G27" s="424"/>
      <c r="H27" s="425"/>
      <c r="I27" s="425"/>
      <c r="J27" s="345"/>
      <c r="K27" s="345"/>
      <c r="L27" s="345"/>
    </row>
    <row r="28" spans="1:17" ht="27.75" customHeight="1">
      <c r="A28" s="426"/>
      <c r="B28" s="434" t="s">
        <v>469</v>
      </c>
      <c r="C28" s="295"/>
      <c r="D28" s="433"/>
      <c r="E28" s="427"/>
      <c r="F28" s="430"/>
      <c r="G28" s="424"/>
      <c r="H28" s="425"/>
      <c r="I28" s="425"/>
      <c r="J28" s="345"/>
      <c r="K28" s="345"/>
      <c r="L28" s="345"/>
    </row>
    <row r="29" spans="1:17" ht="27.75" customHeight="1">
      <c r="A29" s="435">
        <v>1</v>
      </c>
      <c r="B29" s="436" t="s">
        <v>470</v>
      </c>
      <c r="C29" s="437" t="s">
        <v>471</v>
      </c>
      <c r="D29" s="435" t="s">
        <v>473</v>
      </c>
      <c r="E29" s="444">
        <v>21</v>
      </c>
      <c r="F29" s="17">
        <v>361288.35</v>
      </c>
      <c r="G29" s="251" t="s">
        <v>195</v>
      </c>
      <c r="H29" s="446">
        <v>41883</v>
      </c>
      <c r="I29" s="446">
        <v>42978</v>
      </c>
      <c r="J29" s="447">
        <v>90000</v>
      </c>
      <c r="K29" s="447" t="s">
        <v>474</v>
      </c>
      <c r="N29" s="4" t="s">
        <v>475</v>
      </c>
    </row>
    <row r="30" spans="1:17" ht="27.75" customHeight="1">
      <c r="A30" s="435"/>
      <c r="B30" s="436" t="s">
        <v>476</v>
      </c>
      <c r="C30" s="437"/>
      <c r="D30" s="435"/>
      <c r="E30" s="444"/>
      <c r="F30" s="17">
        <v>0</v>
      </c>
      <c r="G30" s="116"/>
      <c r="H30" s="203"/>
      <c r="I30" s="203"/>
      <c r="J30" s="204"/>
      <c r="K30" s="204"/>
    </row>
    <row r="31" spans="1:17" ht="27.75" customHeight="1">
      <c r="A31" s="435"/>
      <c r="B31" s="674" t="s">
        <v>477</v>
      </c>
      <c r="C31" s="675"/>
      <c r="D31" s="435"/>
      <c r="E31" s="444"/>
      <c r="F31" s="17">
        <v>0</v>
      </c>
      <c r="G31" s="116"/>
      <c r="H31" s="203"/>
      <c r="I31" s="203"/>
      <c r="J31" s="204"/>
      <c r="K31" s="204"/>
    </row>
    <row r="32" spans="1:17" ht="27.75" customHeight="1">
      <c r="A32" s="435">
        <v>2</v>
      </c>
      <c r="B32" s="450" t="s">
        <v>470</v>
      </c>
      <c r="C32" s="451" t="s">
        <v>478</v>
      </c>
      <c r="D32" s="435" t="s">
        <v>479</v>
      </c>
      <c r="E32" s="444">
        <v>6</v>
      </c>
      <c r="F32" s="17">
        <v>96700.72</v>
      </c>
      <c r="G32" s="116"/>
      <c r="H32" s="203"/>
      <c r="I32" s="203"/>
      <c r="J32" s="204"/>
      <c r="K32" s="204"/>
      <c r="N32" s="4" t="s">
        <v>475</v>
      </c>
    </row>
    <row r="33" spans="1:18" ht="27.75" customHeight="1">
      <c r="A33" s="435">
        <v>3</v>
      </c>
      <c r="B33" s="450" t="s">
        <v>470</v>
      </c>
      <c r="C33" s="451" t="s">
        <v>480</v>
      </c>
      <c r="D33" s="435" t="s">
        <v>481</v>
      </c>
      <c r="E33" s="444">
        <v>16</v>
      </c>
      <c r="F33" s="17">
        <v>285799.45</v>
      </c>
      <c r="G33" s="116"/>
      <c r="H33" s="203"/>
      <c r="I33" s="203"/>
      <c r="J33" s="204"/>
      <c r="K33" s="204"/>
      <c r="N33" s="4" t="s">
        <v>475</v>
      </c>
    </row>
    <row r="34" spans="1:18" s="226" customFormat="1" ht="27.75" customHeight="1">
      <c r="A34" s="440">
        <v>4</v>
      </c>
      <c r="B34" s="436" t="s">
        <v>470</v>
      </c>
      <c r="C34" s="453" t="s">
        <v>482</v>
      </c>
      <c r="D34" s="435" t="s">
        <v>483</v>
      </c>
      <c r="E34" s="448" t="s">
        <v>195</v>
      </c>
      <c r="F34" s="17">
        <v>57055.05</v>
      </c>
      <c r="G34" s="39"/>
      <c r="H34" s="55"/>
      <c r="I34" s="55"/>
      <c r="J34" s="141"/>
      <c r="K34" s="141"/>
      <c r="N34" s="4" t="s">
        <v>475</v>
      </c>
    </row>
    <row r="35" spans="1:18" s="226" customFormat="1" ht="27.75" customHeight="1">
      <c r="A35" s="440"/>
      <c r="B35" s="676" t="s">
        <v>484</v>
      </c>
      <c r="C35" s="677"/>
      <c r="D35" s="435"/>
      <c r="E35" s="448"/>
      <c r="F35" s="17">
        <v>0</v>
      </c>
      <c r="G35" s="122"/>
      <c r="H35" s="37"/>
      <c r="I35" s="37"/>
      <c r="J35" s="459"/>
      <c r="K35" s="459"/>
      <c r="N35" s="4" t="s">
        <v>475</v>
      </c>
    </row>
    <row r="36" spans="1:18" ht="27.75" customHeight="1">
      <c r="A36" s="460">
        <v>5</v>
      </c>
      <c r="B36" s="436" t="s">
        <v>470</v>
      </c>
      <c r="C36" s="461" t="s">
        <v>485</v>
      </c>
      <c r="D36" s="435" t="s">
        <v>486</v>
      </c>
      <c r="E36" s="464" t="s">
        <v>195</v>
      </c>
      <c r="F36" s="17">
        <v>28958.15</v>
      </c>
      <c r="G36" s="36"/>
      <c r="H36" s="37"/>
      <c r="I36" s="37"/>
      <c r="J36" s="38"/>
      <c r="K36" s="38"/>
      <c r="L36" s="38"/>
      <c r="N36" s="4" t="s">
        <v>475</v>
      </c>
    </row>
    <row r="37" spans="1:18" ht="27.6" customHeight="1">
      <c r="A37" s="460"/>
      <c r="B37" s="436" t="s">
        <v>488</v>
      </c>
      <c r="C37" s="461"/>
      <c r="D37" s="435"/>
      <c r="E37" s="444"/>
      <c r="F37" s="17"/>
      <c r="G37" s="36"/>
      <c r="H37" s="37"/>
      <c r="I37" s="37"/>
      <c r="J37" s="38"/>
      <c r="K37" s="38"/>
      <c r="L37" s="38"/>
    </row>
    <row r="38" spans="1:18" ht="27.6" customHeight="1">
      <c r="A38" s="460"/>
      <c r="B38" s="674" t="s">
        <v>489</v>
      </c>
      <c r="C38" s="675"/>
      <c r="D38" s="435"/>
      <c r="E38" s="444"/>
      <c r="F38" s="17"/>
      <c r="G38" s="36"/>
      <c r="H38" s="37"/>
      <c r="I38" s="37"/>
      <c r="J38" s="38"/>
      <c r="K38" s="38"/>
      <c r="L38" s="38"/>
    </row>
    <row r="39" spans="1:18" ht="27.75" customHeight="1" thickBot="1">
      <c r="A39" s="465"/>
      <c r="B39" s="466" t="s">
        <v>22</v>
      </c>
      <c r="C39" s="195"/>
      <c r="D39" s="315"/>
      <c r="E39" s="310"/>
      <c r="F39" s="313">
        <v>829801.72000000009</v>
      </c>
      <c r="G39" s="36"/>
      <c r="H39" s="37"/>
      <c r="I39" s="37"/>
      <c r="J39" s="38"/>
      <c r="K39" s="38"/>
      <c r="L39" s="38"/>
      <c r="P39" s="507">
        <v>829801.72000000009</v>
      </c>
    </row>
    <row r="40" spans="1:18" ht="27.75" customHeight="1" thickTop="1">
      <c r="A40" s="468"/>
      <c r="B40" s="469" t="s">
        <v>490</v>
      </c>
      <c r="C40" s="470"/>
      <c r="D40" s="186"/>
      <c r="E40" s="116"/>
      <c r="F40" s="474"/>
      <c r="G40" s="36"/>
      <c r="H40" s="37"/>
      <c r="I40" s="37"/>
      <c r="J40" s="38"/>
      <c r="K40" s="38"/>
      <c r="L40" s="38"/>
    </row>
    <row r="41" spans="1:18" ht="27.75" customHeight="1">
      <c r="A41" s="475">
        <v>1</v>
      </c>
      <c r="B41" s="436" t="s">
        <v>491</v>
      </c>
      <c r="C41" s="437" t="s">
        <v>492</v>
      </c>
      <c r="D41" s="435"/>
      <c r="E41" s="477"/>
      <c r="F41" s="481"/>
      <c r="G41" s="356"/>
      <c r="H41" s="482"/>
      <c r="I41" s="482"/>
      <c r="J41" s="483"/>
      <c r="K41" s="483"/>
      <c r="N41" s="4" t="s">
        <v>493</v>
      </c>
    </row>
    <row r="42" spans="1:18" ht="27.75" customHeight="1">
      <c r="A42" s="475"/>
      <c r="B42" s="484" t="s">
        <v>494</v>
      </c>
      <c r="C42" s="437"/>
      <c r="D42" s="435"/>
      <c r="E42" s="477"/>
      <c r="F42" s="481"/>
      <c r="G42" s="485"/>
      <c r="H42" s="486"/>
      <c r="I42" s="486"/>
      <c r="J42" s="487"/>
      <c r="K42" s="487"/>
    </row>
    <row r="43" spans="1:18" ht="27.75" customHeight="1">
      <c r="A43" s="475">
        <v>2</v>
      </c>
      <c r="B43" s="436" t="s">
        <v>495</v>
      </c>
      <c r="C43" s="437" t="s">
        <v>496</v>
      </c>
      <c r="D43" s="435"/>
      <c r="E43" s="477" t="s">
        <v>497</v>
      </c>
      <c r="F43" s="17">
        <v>8214529.25</v>
      </c>
      <c r="G43" s="485"/>
      <c r="H43" s="486"/>
      <c r="I43" s="486"/>
      <c r="J43" s="487"/>
      <c r="K43" s="487"/>
    </row>
    <row r="44" spans="1:18" ht="27.75" customHeight="1">
      <c r="A44" s="405"/>
      <c r="B44" s="234" t="s">
        <v>22</v>
      </c>
      <c r="C44" s="407"/>
      <c r="D44" s="412"/>
      <c r="E44" s="408"/>
      <c r="F44" s="239">
        <v>8214529.25</v>
      </c>
      <c r="G44" s="278"/>
      <c r="H44" s="279"/>
      <c r="I44" s="279"/>
      <c r="J44" s="413"/>
      <c r="K44" s="413"/>
      <c r="L44" s="413"/>
      <c r="P44" s="507">
        <v>8214529.25</v>
      </c>
    </row>
    <row r="45" spans="1:18" ht="27.75" customHeight="1">
      <c r="A45" s="426"/>
      <c r="B45" s="4"/>
      <c r="C45" s="295"/>
      <c r="D45" s="433"/>
      <c r="E45" s="427"/>
      <c r="F45" s="430"/>
      <c r="G45" s="424"/>
      <c r="H45" s="425"/>
      <c r="I45" s="425"/>
      <c r="J45" s="345"/>
      <c r="K45" s="345"/>
      <c r="L45" s="345"/>
    </row>
    <row r="46" spans="1:18" ht="27.75" customHeight="1" thickBot="1">
      <c r="A46" s="488"/>
      <c r="B46" s="489" t="s">
        <v>498</v>
      </c>
      <c r="C46" s="490"/>
      <c r="D46" s="495"/>
      <c r="E46" s="496"/>
      <c r="F46" s="493">
        <v>9122907.3137383182</v>
      </c>
      <c r="G46" s="497">
        <v>0</v>
      </c>
      <c r="H46" s="497">
        <v>0</v>
      </c>
      <c r="I46" s="498"/>
      <c r="J46" s="499"/>
      <c r="K46" s="499"/>
      <c r="L46" s="499"/>
      <c r="Q46" s="521">
        <v>9122907.3129906543</v>
      </c>
      <c r="R46" s="4" t="s">
        <v>1043</v>
      </c>
    </row>
    <row r="47" spans="1:18" s="226" customFormat="1" ht="27.75" customHeight="1" thickTop="1">
      <c r="A47" s="6"/>
      <c r="B47" s="500"/>
      <c r="D47" s="372"/>
      <c r="E47" s="501"/>
      <c r="F47" s="504"/>
      <c r="G47" s="2"/>
      <c r="H47" s="425"/>
      <c r="I47" s="425"/>
      <c r="J47" s="345"/>
      <c r="K47" s="345"/>
    </row>
    <row r="48" spans="1:18" s="226" customFormat="1" ht="27.75" customHeight="1">
      <c r="A48" s="6"/>
      <c r="B48" s="500"/>
      <c r="D48" s="372"/>
      <c r="E48" s="501"/>
      <c r="F48" s="504"/>
      <c r="G48" s="2"/>
      <c r="H48" s="425"/>
      <c r="I48" s="425"/>
      <c r="J48" s="345"/>
      <c r="K48" s="345"/>
    </row>
    <row r="49" spans="1:11" s="226" customFormat="1" ht="27.75" customHeight="1">
      <c r="A49" s="684" t="s">
        <v>932</v>
      </c>
      <c r="B49" s="684"/>
      <c r="C49" s="684"/>
      <c r="D49" s="684"/>
      <c r="E49" s="684"/>
      <c r="F49" s="684"/>
      <c r="G49" s="684"/>
      <c r="H49" s="425"/>
      <c r="I49" s="425"/>
      <c r="J49" s="345"/>
      <c r="K49" s="345"/>
    </row>
    <row r="50" spans="1:11" s="226" customFormat="1" ht="27.75" customHeight="1">
      <c r="A50" s="678" t="s">
        <v>933</v>
      </c>
      <c r="B50" s="678"/>
      <c r="C50" s="678"/>
      <c r="D50" s="678"/>
      <c r="E50" s="678"/>
      <c r="F50" s="678"/>
      <c r="G50" s="678"/>
      <c r="H50" s="425"/>
      <c r="I50" s="425"/>
      <c r="J50" s="345"/>
      <c r="K50" s="345"/>
    </row>
    <row r="51" spans="1:11" s="226" customFormat="1" ht="27.75" customHeight="1">
      <c r="A51" s="678"/>
      <c r="B51" s="678"/>
      <c r="C51" s="678"/>
      <c r="D51" s="678"/>
      <c r="E51" s="678"/>
      <c r="F51" s="678"/>
      <c r="G51" s="678"/>
      <c r="H51" s="425"/>
      <c r="I51" s="425"/>
      <c r="J51" s="345"/>
      <c r="K51" s="345"/>
    </row>
    <row r="52" spans="1:11" s="226" customFormat="1" ht="27.75" customHeight="1">
      <c r="A52" s="6"/>
      <c r="B52" s="500"/>
      <c r="D52" s="372"/>
      <c r="E52" s="501"/>
      <c r="F52" s="504"/>
      <c r="G52" s="2"/>
      <c r="H52" s="425"/>
      <c r="I52" s="425"/>
      <c r="J52" s="345"/>
      <c r="K52" s="345"/>
    </row>
    <row r="53" spans="1:11" s="226" customFormat="1" ht="27.75" customHeight="1">
      <c r="A53" s="6"/>
      <c r="B53" s="500"/>
      <c r="D53" s="372"/>
      <c r="E53" s="501"/>
      <c r="F53" s="430"/>
      <c r="G53" s="2"/>
      <c r="H53" s="425"/>
      <c r="I53" s="425"/>
      <c r="J53" s="345"/>
      <c r="K53" s="345"/>
    </row>
    <row r="54" spans="1:11" s="226" customFormat="1" ht="27.75" customHeight="1">
      <c r="A54" s="6"/>
      <c r="B54" s="500"/>
      <c r="D54" s="372"/>
      <c r="E54" s="501"/>
      <c r="F54" s="504"/>
      <c r="G54" s="2"/>
      <c r="H54" s="425"/>
      <c r="I54" s="425"/>
      <c r="J54" s="345"/>
      <c r="K54" s="345"/>
    </row>
    <row r="55" spans="1:11" s="226" customFormat="1" ht="27.75" customHeight="1">
      <c r="A55" s="6"/>
      <c r="B55" s="500"/>
      <c r="D55" s="372"/>
      <c r="E55" s="501"/>
      <c r="F55" s="504"/>
      <c r="G55" s="2"/>
      <c r="H55" s="425"/>
      <c r="I55" s="425"/>
      <c r="J55" s="345"/>
      <c r="K55" s="345"/>
    </row>
    <row r="56" spans="1:11" s="226" customFormat="1" ht="27.75" customHeight="1">
      <c r="A56" s="6"/>
      <c r="B56" s="500"/>
      <c r="D56" s="372"/>
      <c r="E56" s="501"/>
      <c r="F56" s="504"/>
      <c r="G56" s="2"/>
      <c r="H56" s="425"/>
      <c r="I56" s="425"/>
      <c r="J56" s="345"/>
      <c r="K56" s="345"/>
    </row>
    <row r="57" spans="1:11" s="226" customFormat="1" ht="27.75" customHeight="1">
      <c r="A57" s="6"/>
      <c r="B57" s="500"/>
      <c r="D57" s="372"/>
      <c r="E57" s="501"/>
      <c r="F57" s="504"/>
      <c r="G57" s="2"/>
      <c r="H57" s="425"/>
      <c r="I57" s="425"/>
      <c r="J57" s="345"/>
      <c r="K57" s="345"/>
    </row>
    <row r="58" spans="1:11" s="226" customFormat="1" ht="27.75" customHeight="1">
      <c r="A58" s="6"/>
      <c r="B58" s="500"/>
      <c r="D58" s="372"/>
      <c r="E58" s="501"/>
      <c r="F58" s="504"/>
      <c r="G58" s="2"/>
      <c r="H58" s="425"/>
      <c r="I58" s="425"/>
      <c r="J58" s="345"/>
      <c r="K58" s="345"/>
    </row>
    <row r="59" spans="1:11" s="226" customFormat="1" ht="27.75" customHeight="1">
      <c r="A59" s="6"/>
      <c r="B59" s="500"/>
      <c r="D59" s="372"/>
      <c r="E59" s="501"/>
      <c r="F59" s="504"/>
      <c r="G59" s="2"/>
      <c r="H59" s="425"/>
      <c r="I59" s="425"/>
      <c r="J59" s="345"/>
      <c r="K59" s="345"/>
    </row>
    <row r="60" spans="1:11" s="226" customFormat="1" ht="27.75" customHeight="1">
      <c r="A60" s="6"/>
      <c r="B60" s="500"/>
      <c r="D60" s="372"/>
      <c r="E60" s="501"/>
      <c r="F60" s="504"/>
      <c r="G60" s="2"/>
      <c r="H60" s="425"/>
      <c r="I60" s="425"/>
      <c r="J60" s="345"/>
      <c r="K60" s="345"/>
    </row>
    <row r="61" spans="1:11" s="226" customFormat="1" ht="27.75" customHeight="1">
      <c r="A61" s="6"/>
      <c r="B61" s="500"/>
      <c r="D61" s="372"/>
      <c r="E61" s="501"/>
      <c r="F61" s="504"/>
      <c r="G61" s="2"/>
      <c r="H61" s="425"/>
      <c r="I61" s="425"/>
      <c r="J61" s="345"/>
      <c r="K61" s="345"/>
    </row>
    <row r="62" spans="1:11" s="226" customFormat="1" ht="27.75" customHeight="1">
      <c r="A62" s="6"/>
      <c r="B62" s="500"/>
      <c r="D62" s="372"/>
      <c r="E62" s="501"/>
      <c r="F62" s="504"/>
      <c r="G62" s="2"/>
      <c r="H62" s="425"/>
      <c r="I62" s="425"/>
      <c r="J62" s="345"/>
      <c r="K62" s="345"/>
    </row>
    <row r="63" spans="1:11" s="226" customFormat="1" ht="27.75" customHeight="1">
      <c r="A63" s="6"/>
      <c r="D63" s="372"/>
      <c r="E63" s="501"/>
      <c r="F63" s="504"/>
      <c r="G63" s="2"/>
      <c r="H63" s="425"/>
      <c r="I63" s="425"/>
      <c r="J63" s="345"/>
      <c r="K63" s="345"/>
    </row>
    <row r="64" spans="1:11" ht="27.75" customHeight="1">
      <c r="B64" s="4"/>
      <c r="E64" s="4"/>
      <c r="J64" s="4"/>
      <c r="K64" s="4"/>
    </row>
    <row r="65" spans="2:11" ht="27.75" customHeight="1">
      <c r="B65" s="4"/>
      <c r="E65" s="4"/>
      <c r="J65" s="4"/>
      <c r="K65" s="4"/>
    </row>
    <row r="66" spans="2:11" ht="27.75" customHeight="1">
      <c r="B66" s="4"/>
      <c r="E66" s="4"/>
      <c r="J66" s="4"/>
      <c r="K66" s="4"/>
    </row>
    <row r="67" spans="2:11" ht="27.75" customHeight="1">
      <c r="B67" s="4"/>
      <c r="E67" s="4"/>
      <c r="J67" s="4"/>
      <c r="K67" s="4"/>
    </row>
    <row r="68" spans="2:11" ht="27.75" customHeight="1">
      <c r="B68" s="4"/>
      <c r="E68" s="4"/>
      <c r="J68" s="4"/>
      <c r="K68" s="4"/>
    </row>
    <row r="69" spans="2:11" ht="27.75" customHeight="1">
      <c r="B69" s="4"/>
      <c r="E69" s="4"/>
      <c r="J69" s="4"/>
      <c r="K69" s="4"/>
    </row>
    <row r="70" spans="2:11" ht="27.75" customHeight="1">
      <c r="B70" s="4"/>
      <c r="E70" s="4"/>
      <c r="J70" s="4"/>
      <c r="K70" s="4"/>
    </row>
    <row r="71" spans="2:11" ht="27.75" customHeight="1">
      <c r="B71" s="4"/>
      <c r="E71" s="4"/>
      <c r="J71" s="4"/>
      <c r="K71" s="4"/>
    </row>
    <row r="72" spans="2:11" ht="27.75" customHeight="1">
      <c r="B72" s="4"/>
      <c r="E72" s="4"/>
      <c r="J72" s="4"/>
      <c r="K72" s="4"/>
    </row>
    <row r="73" spans="2:11" ht="27.75" customHeight="1">
      <c r="B73" s="4"/>
      <c r="E73" s="4"/>
      <c r="J73" s="4"/>
      <c r="K73" s="4"/>
    </row>
    <row r="74" spans="2:11" ht="27.75" customHeight="1">
      <c r="B74" s="4"/>
      <c r="E74" s="4"/>
      <c r="J74" s="4"/>
      <c r="K74" s="4"/>
    </row>
    <row r="75" spans="2:11" ht="27.75" customHeight="1">
      <c r="B75" s="4"/>
      <c r="E75" s="4"/>
      <c r="J75" s="4"/>
      <c r="K75" s="4"/>
    </row>
    <row r="76" spans="2:11" ht="27.75" customHeight="1">
      <c r="B76" s="4"/>
      <c r="E76" s="4"/>
      <c r="J76" s="4"/>
      <c r="K76" s="4"/>
    </row>
    <row r="77" spans="2:11" ht="27.75" customHeight="1">
      <c r="B77" s="4"/>
      <c r="E77" s="4"/>
      <c r="J77" s="4"/>
      <c r="K77" s="4"/>
    </row>
    <row r="78" spans="2:11" ht="27.75" customHeight="1">
      <c r="B78" s="4"/>
      <c r="E78" s="4"/>
      <c r="J78" s="4"/>
      <c r="K78" s="4"/>
    </row>
    <row r="79" spans="2:11" ht="27.75" customHeight="1">
      <c r="B79" s="4"/>
      <c r="E79" s="4"/>
      <c r="J79" s="4"/>
      <c r="K79" s="4"/>
    </row>
    <row r="91" spans="4:6" s="4" customFormat="1" ht="27.75" customHeight="1">
      <c r="D91" s="372"/>
      <c r="F91" s="507"/>
    </row>
    <row r="92" spans="4:6" s="4" customFormat="1" ht="27.75" customHeight="1">
      <c r="D92" s="372"/>
      <c r="F92" s="507"/>
    </row>
    <row r="93" spans="4:6" s="4" customFormat="1" ht="27.75" customHeight="1">
      <c r="D93" s="372"/>
      <c r="F93" s="507"/>
    </row>
    <row r="94" spans="4:6" s="4" customFormat="1" ht="27.75" customHeight="1">
      <c r="D94" s="372"/>
      <c r="F94" s="507"/>
    </row>
    <row r="95" spans="4:6" s="4" customFormat="1" ht="27.75" customHeight="1">
      <c r="D95" s="372"/>
      <c r="F95" s="507"/>
    </row>
    <row r="96" spans="4:6" s="4" customFormat="1" ht="27.75" customHeight="1">
      <c r="D96" s="372"/>
      <c r="F96" s="507"/>
    </row>
    <row r="97" spans="4:6" s="4" customFormat="1" ht="27.75" customHeight="1">
      <c r="D97" s="372"/>
      <c r="F97" s="507"/>
    </row>
    <row r="98" spans="4:6" s="4" customFormat="1" ht="27.75" customHeight="1">
      <c r="D98" s="372"/>
      <c r="F98" s="507"/>
    </row>
    <row r="99" spans="4:6" s="4" customFormat="1" ht="27.75" customHeight="1">
      <c r="D99" s="372"/>
      <c r="F99" s="507"/>
    </row>
    <row r="100" spans="4:6" s="4" customFormat="1" ht="27.75" customHeight="1">
      <c r="D100" s="372"/>
      <c r="F100" s="507"/>
    </row>
    <row r="101" spans="4:6" s="4" customFormat="1" ht="27.75" customHeight="1">
      <c r="D101" s="372"/>
      <c r="F101" s="507"/>
    </row>
    <row r="102" spans="4:6" s="4" customFormat="1" ht="27.75" customHeight="1">
      <c r="D102" s="372"/>
      <c r="F102" s="507"/>
    </row>
    <row r="103" spans="4:6" s="4" customFormat="1" ht="27.75" customHeight="1">
      <c r="D103" s="372"/>
      <c r="F103" s="507"/>
    </row>
  </sheetData>
  <sortState xmlns:xlrd2="http://schemas.microsoft.com/office/spreadsheetml/2017/richdata2" ref="A10:F24">
    <sortCondition ref="F10:F24"/>
  </sortState>
  <mergeCells count="20">
    <mergeCell ref="A51:G51"/>
    <mergeCell ref="I4:I6"/>
    <mergeCell ref="J4:J6"/>
    <mergeCell ref="K4:K6"/>
    <mergeCell ref="A5:A6"/>
    <mergeCell ref="B5:B6"/>
    <mergeCell ref="C5:C6"/>
    <mergeCell ref="D5:D6"/>
    <mergeCell ref="E5:E6"/>
    <mergeCell ref="H4:H6"/>
    <mergeCell ref="B31:C31"/>
    <mergeCell ref="B35:C35"/>
    <mergeCell ref="B38:C38"/>
    <mergeCell ref="A49:G49"/>
    <mergeCell ref="A50:G50"/>
    <mergeCell ref="A1:F1"/>
    <mergeCell ref="A2:F2"/>
    <mergeCell ref="A3:F3"/>
    <mergeCell ref="D4:F4"/>
    <mergeCell ref="G4:G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53C6E-CFFC-4D79-B8B6-371770920ADB}">
  <sheetPr>
    <tabColor rgb="FF92D050"/>
  </sheetPr>
  <dimension ref="A1:Y328"/>
  <sheetViews>
    <sheetView zoomScale="70" zoomScaleNormal="70" workbookViewId="0">
      <pane ySplit="6" topLeftCell="A187" activePane="bottomLeft" state="frozen"/>
      <selection pane="bottomLeft" activeCell="E195" sqref="E195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0.5546875" style="510" customWidth="1"/>
    <col min="5" max="5" width="18.88671875" style="511" customWidth="1"/>
    <col min="6" max="6" width="4.88671875" style="506" customWidth="1"/>
    <col min="7" max="7" width="20.109375" style="509" customWidth="1"/>
    <col min="8" max="8" width="18.33203125" style="509" customWidth="1"/>
    <col min="9" max="9" width="21.44140625" style="504" customWidth="1"/>
    <col min="10" max="10" width="21.6640625" style="3" customWidth="1"/>
    <col min="11" max="11" width="24.5546875" style="372" customWidth="1"/>
    <col min="12" max="12" width="22.109375" style="512" customWidth="1"/>
    <col min="13" max="13" width="20" style="372" customWidth="1"/>
    <col min="14" max="14" width="9.109375" style="2" customWidth="1"/>
    <col min="15" max="15" width="24" style="513" customWidth="1"/>
    <col min="16" max="16" width="16.6640625" style="513" customWidth="1"/>
    <col min="17" max="17" width="23.6640625" style="507" customWidth="1"/>
    <col min="18" max="18" width="5.33203125" style="2" hidden="1" customWidth="1"/>
    <col min="19" max="19" width="9" style="508" hidden="1" customWidth="1"/>
    <col min="20" max="20" width="9.6640625" style="508" hidden="1" customWidth="1"/>
    <col min="21" max="21" width="10.88671875" style="512" hidden="1" customWidth="1"/>
    <col min="22" max="22" width="24.5546875" style="512" hidden="1" customWidth="1"/>
    <col min="23" max="24" width="8.88671875" style="4" hidden="1" customWidth="1"/>
    <col min="25" max="16384" width="8.88671875" style="4"/>
  </cols>
  <sheetData>
    <row r="1" spans="1:23" ht="28.5" customHeight="1">
      <c r="A1" s="653" t="s">
        <v>0</v>
      </c>
      <c r="B1" s="653"/>
      <c r="C1" s="653"/>
      <c r="D1" s="653"/>
      <c r="E1" s="653"/>
      <c r="F1" s="653"/>
      <c r="G1" s="653"/>
      <c r="H1" s="653"/>
      <c r="I1" s="653"/>
      <c r="J1" s="653"/>
      <c r="K1" s="653"/>
      <c r="L1" s="653"/>
      <c r="M1" s="653"/>
      <c r="N1" s="653"/>
      <c r="O1" s="653"/>
      <c r="P1" s="653"/>
      <c r="Q1" s="653"/>
      <c r="S1" s="3"/>
      <c r="T1" s="3"/>
      <c r="U1" s="1"/>
      <c r="V1" s="1"/>
    </row>
    <row r="2" spans="1:23" ht="23.25" customHeight="1">
      <c r="A2" s="653" t="s">
        <v>1</v>
      </c>
      <c r="B2" s="653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3"/>
      <c r="R2" s="5"/>
      <c r="S2" s="3"/>
      <c r="T2" s="3"/>
      <c r="U2" s="1"/>
      <c r="V2" s="1"/>
    </row>
    <row r="3" spans="1:23" ht="28.5" customHeight="1">
      <c r="A3" s="654" t="s">
        <v>820</v>
      </c>
      <c r="B3" s="654"/>
      <c r="C3" s="654"/>
      <c r="D3" s="654"/>
      <c r="E3" s="654"/>
      <c r="F3" s="654"/>
      <c r="G3" s="654"/>
      <c r="H3" s="654"/>
      <c r="I3" s="654"/>
      <c r="J3" s="654"/>
      <c r="K3" s="654"/>
      <c r="L3" s="654"/>
      <c r="M3" s="654"/>
      <c r="N3" s="654"/>
      <c r="O3" s="654"/>
      <c r="P3" s="654"/>
      <c r="Q3" s="654"/>
      <c r="S3" s="3"/>
      <c r="T3" s="3"/>
      <c r="U3" s="6"/>
      <c r="V3" s="6"/>
    </row>
    <row r="4" spans="1:23" ht="27.75" customHeight="1">
      <c r="A4" s="7"/>
      <c r="B4" s="8"/>
      <c r="C4" s="9"/>
      <c r="D4" s="10"/>
      <c r="E4" s="655" t="s">
        <v>3</v>
      </c>
      <c r="F4" s="656"/>
      <c r="G4" s="656"/>
      <c r="H4" s="656"/>
      <c r="I4" s="657"/>
      <c r="J4" s="11"/>
      <c r="K4" s="12" t="s">
        <v>4</v>
      </c>
      <c r="L4" s="13"/>
      <c r="M4" s="655" t="s">
        <v>5</v>
      </c>
      <c r="N4" s="656"/>
      <c r="O4" s="656"/>
      <c r="P4" s="656"/>
      <c r="Q4" s="657"/>
      <c r="R4" s="658" t="s">
        <v>6</v>
      </c>
      <c r="S4" s="671" t="s">
        <v>7</v>
      </c>
      <c r="T4" s="671" t="s">
        <v>8</v>
      </c>
      <c r="U4" s="661" t="s">
        <v>9</v>
      </c>
      <c r="V4" s="661" t="s">
        <v>10</v>
      </c>
    </row>
    <row r="5" spans="1:23" ht="27.75" customHeight="1">
      <c r="A5" s="664" t="s">
        <v>11</v>
      </c>
      <c r="B5" s="666" t="s">
        <v>12</v>
      </c>
      <c r="C5" s="666" t="s">
        <v>13</v>
      </c>
      <c r="D5" s="685" t="s">
        <v>14</v>
      </c>
      <c r="E5" s="687" t="s">
        <v>15</v>
      </c>
      <c r="F5" s="689" t="s">
        <v>16</v>
      </c>
      <c r="G5" s="679" t="s">
        <v>17</v>
      </c>
      <c r="H5" s="680"/>
      <c r="I5" s="681"/>
      <c r="J5" s="14" t="s">
        <v>18</v>
      </c>
      <c r="K5" s="691" t="s">
        <v>19</v>
      </c>
      <c r="L5" s="693" t="s">
        <v>20</v>
      </c>
      <c r="M5" s="664" t="s">
        <v>15</v>
      </c>
      <c r="N5" s="669" t="s">
        <v>16</v>
      </c>
      <c r="O5" s="679" t="s">
        <v>17</v>
      </c>
      <c r="P5" s="680"/>
      <c r="Q5" s="681"/>
      <c r="R5" s="659"/>
      <c r="S5" s="672"/>
      <c r="T5" s="672"/>
      <c r="U5" s="662"/>
      <c r="V5" s="662"/>
    </row>
    <row r="6" spans="1:23" ht="27.75" customHeight="1" thickBot="1">
      <c r="A6" s="665"/>
      <c r="B6" s="667"/>
      <c r="C6" s="667"/>
      <c r="D6" s="686"/>
      <c r="E6" s="688"/>
      <c r="F6" s="690"/>
      <c r="G6" s="15" t="s">
        <v>20</v>
      </c>
      <c r="H6" s="16" t="s">
        <v>21</v>
      </c>
      <c r="I6" s="17" t="s">
        <v>22</v>
      </c>
      <c r="J6" s="18"/>
      <c r="K6" s="692"/>
      <c r="L6" s="694"/>
      <c r="M6" s="668"/>
      <c r="N6" s="670"/>
      <c r="O6" s="19" t="s">
        <v>20</v>
      </c>
      <c r="P6" s="20" t="s">
        <v>21</v>
      </c>
      <c r="Q6" s="21" t="s">
        <v>22</v>
      </c>
      <c r="R6" s="660"/>
      <c r="S6" s="673"/>
      <c r="T6" s="673"/>
      <c r="U6" s="663"/>
      <c r="V6" s="663"/>
    </row>
    <row r="7" spans="1:23" ht="27.75" customHeight="1" thickTop="1">
      <c r="A7" s="22"/>
      <c r="B7" s="23" t="s">
        <v>23</v>
      </c>
      <c r="C7" s="24"/>
      <c r="D7" s="25"/>
      <c r="E7" s="26"/>
      <c r="F7" s="27"/>
      <c r="G7" s="28"/>
      <c r="H7" s="28"/>
      <c r="I7" s="28"/>
      <c r="J7" s="29"/>
      <c r="K7" s="30"/>
      <c r="L7" s="31"/>
      <c r="M7" s="32"/>
      <c r="N7" s="33"/>
      <c r="O7" s="34"/>
      <c r="P7" s="34"/>
      <c r="Q7" s="35"/>
      <c r="R7" s="36"/>
      <c r="S7" s="37"/>
      <c r="T7" s="37"/>
      <c r="U7" s="38"/>
      <c r="V7" s="38"/>
      <c r="W7" s="38"/>
    </row>
    <row r="8" spans="1:23" s="57" customFormat="1" ht="27.75" customHeight="1">
      <c r="A8" s="39">
        <v>1</v>
      </c>
      <c r="B8" s="40" t="s">
        <v>24</v>
      </c>
      <c r="C8" s="41" t="s">
        <v>25</v>
      </c>
      <c r="D8" s="42">
        <v>4012.5</v>
      </c>
      <c r="E8" s="43" t="s">
        <v>26</v>
      </c>
      <c r="F8" s="44">
        <v>0</v>
      </c>
      <c r="G8" s="45">
        <v>0</v>
      </c>
      <c r="H8" s="46">
        <v>0</v>
      </c>
      <c r="I8" s="47">
        <v>0</v>
      </c>
      <c r="J8" s="48">
        <v>46026</v>
      </c>
      <c r="K8" s="49" t="s">
        <v>821</v>
      </c>
      <c r="L8" s="50">
        <v>4012.5</v>
      </c>
      <c r="M8" s="51" t="s">
        <v>26</v>
      </c>
      <c r="N8" s="52">
        <v>0</v>
      </c>
      <c r="O8" s="53">
        <v>0</v>
      </c>
      <c r="P8" s="53">
        <f t="shared" ref="P8:P44" si="0">ROUND((O8*0.07),2)</f>
        <v>0</v>
      </c>
      <c r="Q8" s="54">
        <f t="shared" ref="Q8:Q44" si="1">+O8+P8</f>
        <v>0</v>
      </c>
      <c r="R8" s="39"/>
      <c r="S8" s="55"/>
      <c r="T8" s="55"/>
      <c r="U8" s="56"/>
      <c r="V8" s="56"/>
    </row>
    <row r="9" spans="1:23" s="57" customFormat="1" ht="27.75" customHeight="1">
      <c r="A9" s="39">
        <v>2</v>
      </c>
      <c r="B9" s="40" t="s">
        <v>28</v>
      </c>
      <c r="C9" s="41" t="s">
        <v>29</v>
      </c>
      <c r="D9" s="58">
        <v>4012.5</v>
      </c>
      <c r="E9" s="43" t="s">
        <v>801</v>
      </c>
      <c r="F9" s="44">
        <v>-1</v>
      </c>
      <c r="G9" s="45">
        <v>-3750</v>
      </c>
      <c r="H9" s="46">
        <v>-262.5</v>
      </c>
      <c r="I9" s="47">
        <v>-4012.5</v>
      </c>
      <c r="J9" s="48">
        <v>46053</v>
      </c>
      <c r="K9" s="49" t="s">
        <v>822</v>
      </c>
      <c r="L9" s="50">
        <v>4012.5</v>
      </c>
      <c r="M9" s="51" t="s">
        <v>823</v>
      </c>
      <c r="N9" s="52">
        <v>-1</v>
      </c>
      <c r="O9" s="53">
        <f>+(D9*100/107)+G9-(L9*100/107)</f>
        <v>-3750</v>
      </c>
      <c r="P9" s="53">
        <f t="shared" si="0"/>
        <v>-262.5</v>
      </c>
      <c r="Q9" s="54">
        <f t="shared" si="1"/>
        <v>-4012.5</v>
      </c>
      <c r="R9" s="39"/>
      <c r="S9" s="55"/>
      <c r="T9" s="55"/>
      <c r="U9" s="56"/>
      <c r="V9" s="56"/>
    </row>
    <row r="10" spans="1:23" s="57" customFormat="1" ht="27.75" customHeight="1">
      <c r="A10" s="39">
        <v>3</v>
      </c>
      <c r="B10" s="40" t="s">
        <v>24</v>
      </c>
      <c r="C10" s="41" t="s">
        <v>33</v>
      </c>
      <c r="D10" s="58">
        <v>4012.5</v>
      </c>
      <c r="E10" s="43" t="s">
        <v>26</v>
      </c>
      <c r="F10" s="44">
        <v>0</v>
      </c>
      <c r="G10" s="45">
        <v>0</v>
      </c>
      <c r="H10" s="46">
        <v>0</v>
      </c>
      <c r="I10" s="47">
        <v>0</v>
      </c>
      <c r="J10" s="48">
        <v>46026</v>
      </c>
      <c r="K10" s="49" t="s">
        <v>821</v>
      </c>
      <c r="L10" s="50">
        <v>4012.5</v>
      </c>
      <c r="M10" s="51" t="s">
        <v>26</v>
      </c>
      <c r="N10" s="52">
        <v>0</v>
      </c>
      <c r="O10" s="53">
        <f t="shared" ref="O10:O23" si="2">+(D10*100/107)+G10-(L10*100/107)</f>
        <v>0</v>
      </c>
      <c r="P10" s="53">
        <f t="shared" si="0"/>
        <v>0</v>
      </c>
      <c r="Q10" s="54">
        <f t="shared" si="1"/>
        <v>0</v>
      </c>
      <c r="R10" s="39"/>
      <c r="S10" s="55"/>
      <c r="T10" s="55"/>
      <c r="U10" s="56"/>
      <c r="V10" s="56"/>
    </row>
    <row r="11" spans="1:23" s="57" customFormat="1" ht="27.75" customHeight="1">
      <c r="A11" s="39">
        <v>4</v>
      </c>
      <c r="B11" s="40" t="s">
        <v>34</v>
      </c>
      <c r="C11" s="41" t="s">
        <v>35</v>
      </c>
      <c r="D11" s="58">
        <v>4012.5</v>
      </c>
      <c r="E11" s="43" t="s">
        <v>801</v>
      </c>
      <c r="F11" s="44">
        <v>-1</v>
      </c>
      <c r="G11" s="45">
        <v>-3750</v>
      </c>
      <c r="H11" s="46">
        <v>-262.5</v>
      </c>
      <c r="I11" s="47">
        <v>-4012.5</v>
      </c>
      <c r="J11" s="48">
        <v>46053</v>
      </c>
      <c r="K11" s="49" t="s">
        <v>822</v>
      </c>
      <c r="L11" s="50">
        <v>4012.5</v>
      </c>
      <c r="M11" s="51" t="s">
        <v>823</v>
      </c>
      <c r="N11" s="52">
        <v>-1</v>
      </c>
      <c r="O11" s="53">
        <f t="shared" si="2"/>
        <v>-3750</v>
      </c>
      <c r="P11" s="53">
        <f t="shared" si="0"/>
        <v>-262.5</v>
      </c>
      <c r="Q11" s="54">
        <f t="shared" si="1"/>
        <v>-4012.5</v>
      </c>
      <c r="R11" s="39"/>
      <c r="S11" s="55"/>
      <c r="T11" s="55"/>
      <c r="U11" s="56"/>
      <c r="V11" s="56"/>
    </row>
    <row r="12" spans="1:23" s="57" customFormat="1" ht="27.75" customHeight="1">
      <c r="A12" s="39">
        <v>5</v>
      </c>
      <c r="B12" s="40" t="s">
        <v>36</v>
      </c>
      <c r="C12" s="41" t="s">
        <v>37</v>
      </c>
      <c r="D12" s="58">
        <v>4012.5</v>
      </c>
      <c r="E12" s="43" t="s">
        <v>26</v>
      </c>
      <c r="F12" s="44">
        <v>0</v>
      </c>
      <c r="G12" s="45">
        <v>0</v>
      </c>
      <c r="H12" s="46">
        <v>0</v>
      </c>
      <c r="I12" s="47">
        <v>0</v>
      </c>
      <c r="J12" s="48">
        <v>46027</v>
      </c>
      <c r="K12" s="49" t="s">
        <v>824</v>
      </c>
      <c r="L12" s="50">
        <v>4012.5</v>
      </c>
      <c r="M12" s="51" t="s">
        <v>26</v>
      </c>
      <c r="N12" s="52">
        <v>0</v>
      </c>
      <c r="O12" s="53">
        <f t="shared" si="2"/>
        <v>0</v>
      </c>
      <c r="P12" s="53">
        <f t="shared" si="0"/>
        <v>0</v>
      </c>
      <c r="Q12" s="54">
        <f t="shared" si="1"/>
        <v>0</v>
      </c>
      <c r="R12" s="39"/>
      <c r="S12" s="55"/>
      <c r="T12" s="55"/>
      <c r="U12" s="56"/>
      <c r="V12" s="56"/>
    </row>
    <row r="13" spans="1:23" s="57" customFormat="1" ht="27.75" customHeight="1">
      <c r="A13" s="39">
        <v>6</v>
      </c>
      <c r="B13" s="40" t="s">
        <v>34</v>
      </c>
      <c r="C13" s="41" t="s">
        <v>39</v>
      </c>
      <c r="D13" s="58">
        <v>4012.5</v>
      </c>
      <c r="E13" s="43" t="s">
        <v>801</v>
      </c>
      <c r="F13" s="44">
        <v>-1</v>
      </c>
      <c r="G13" s="45">
        <v>-3750</v>
      </c>
      <c r="H13" s="46">
        <v>-262.5</v>
      </c>
      <c r="I13" s="47">
        <v>-4012.5</v>
      </c>
      <c r="J13" s="48">
        <v>46053</v>
      </c>
      <c r="K13" s="49" t="s">
        <v>822</v>
      </c>
      <c r="L13" s="50">
        <v>4012.5</v>
      </c>
      <c r="M13" s="51" t="s">
        <v>823</v>
      </c>
      <c r="N13" s="52">
        <v>-1</v>
      </c>
      <c r="O13" s="53">
        <f t="shared" si="2"/>
        <v>-3750</v>
      </c>
      <c r="P13" s="53">
        <f t="shared" si="0"/>
        <v>-262.5</v>
      </c>
      <c r="Q13" s="54">
        <f t="shared" si="1"/>
        <v>-4012.5</v>
      </c>
      <c r="R13" s="39"/>
      <c r="S13" s="55"/>
      <c r="T13" s="55"/>
      <c r="U13" s="56"/>
      <c r="V13" s="56"/>
    </row>
    <row r="14" spans="1:23" s="57" customFormat="1" ht="27.75" customHeight="1">
      <c r="A14" s="39">
        <v>7</v>
      </c>
      <c r="B14" s="40" t="s">
        <v>40</v>
      </c>
      <c r="C14" s="41" t="s">
        <v>41</v>
      </c>
      <c r="D14" s="58">
        <v>4012.5</v>
      </c>
      <c r="E14" s="43" t="s">
        <v>26</v>
      </c>
      <c r="F14" s="44">
        <v>0</v>
      </c>
      <c r="G14" s="45">
        <v>0</v>
      </c>
      <c r="H14" s="46">
        <v>0</v>
      </c>
      <c r="I14" s="47">
        <v>0</v>
      </c>
      <c r="J14" s="48">
        <v>46027</v>
      </c>
      <c r="K14" s="49" t="s">
        <v>825</v>
      </c>
      <c r="L14" s="50">
        <v>4012.5</v>
      </c>
      <c r="M14" s="51" t="s">
        <v>26</v>
      </c>
      <c r="N14" s="52">
        <v>0</v>
      </c>
      <c r="O14" s="53">
        <f t="shared" si="2"/>
        <v>0</v>
      </c>
      <c r="P14" s="53">
        <f t="shared" si="0"/>
        <v>0</v>
      </c>
      <c r="Q14" s="54">
        <f t="shared" si="1"/>
        <v>0</v>
      </c>
      <c r="R14" s="39"/>
      <c r="S14" s="55"/>
      <c r="T14" s="55"/>
      <c r="U14" s="56"/>
      <c r="V14" s="56"/>
    </row>
    <row r="15" spans="1:23" s="57" customFormat="1" ht="27.75" customHeight="1">
      <c r="A15" s="39">
        <v>8</v>
      </c>
      <c r="B15" s="40" t="s">
        <v>43</v>
      </c>
      <c r="C15" s="41" t="s">
        <v>44</v>
      </c>
      <c r="D15" s="58">
        <v>4012.5</v>
      </c>
      <c r="E15" s="43" t="s">
        <v>45</v>
      </c>
      <c r="F15" s="44">
        <v>0</v>
      </c>
      <c r="G15" s="45">
        <v>0</v>
      </c>
      <c r="H15" s="46">
        <v>0</v>
      </c>
      <c r="I15" s="47">
        <v>0</v>
      </c>
      <c r="J15" s="48" t="s">
        <v>826</v>
      </c>
      <c r="K15" s="49" t="s">
        <v>827</v>
      </c>
      <c r="L15" s="50">
        <v>8025</v>
      </c>
      <c r="M15" s="51" t="s">
        <v>823</v>
      </c>
      <c r="N15" s="52">
        <v>0</v>
      </c>
      <c r="O15" s="53">
        <f t="shared" si="2"/>
        <v>-3750</v>
      </c>
      <c r="P15" s="53">
        <f t="shared" si="0"/>
        <v>-262.5</v>
      </c>
      <c r="Q15" s="54">
        <f t="shared" si="1"/>
        <v>-4012.5</v>
      </c>
      <c r="R15" s="39"/>
      <c r="S15" s="55"/>
      <c r="T15" s="55"/>
      <c r="U15" s="56"/>
      <c r="V15" s="56"/>
    </row>
    <row r="16" spans="1:23" s="57" customFormat="1" ht="27.75" customHeight="1">
      <c r="A16" s="39">
        <v>9</v>
      </c>
      <c r="B16" s="40" t="s">
        <v>47</v>
      </c>
      <c r="C16" s="41" t="s">
        <v>48</v>
      </c>
      <c r="D16" s="58">
        <v>4012.5</v>
      </c>
      <c r="E16" s="43" t="s">
        <v>26</v>
      </c>
      <c r="F16" s="44">
        <v>0</v>
      </c>
      <c r="G16" s="45">
        <v>0</v>
      </c>
      <c r="H16" s="46">
        <v>0</v>
      </c>
      <c r="I16" s="47">
        <v>0</v>
      </c>
      <c r="J16" s="48">
        <v>46025</v>
      </c>
      <c r="K16" s="49" t="s">
        <v>828</v>
      </c>
      <c r="L16" s="50">
        <v>4012.5</v>
      </c>
      <c r="M16" s="51" t="s">
        <v>26</v>
      </c>
      <c r="N16" s="52">
        <v>0</v>
      </c>
      <c r="O16" s="53">
        <f t="shared" si="2"/>
        <v>0</v>
      </c>
      <c r="P16" s="53">
        <f t="shared" si="0"/>
        <v>0</v>
      </c>
      <c r="Q16" s="54">
        <f t="shared" si="1"/>
        <v>0</v>
      </c>
      <c r="R16" s="39"/>
      <c r="S16" s="55"/>
      <c r="T16" s="55"/>
      <c r="U16" s="56"/>
      <c r="V16" s="56"/>
    </row>
    <row r="17" spans="1:25" s="57" customFormat="1" ht="27.75" customHeight="1">
      <c r="A17" s="39">
        <v>10</v>
      </c>
      <c r="B17" s="40" t="s">
        <v>50</v>
      </c>
      <c r="C17" s="41" t="s">
        <v>51</v>
      </c>
      <c r="D17" s="58">
        <v>4012.5</v>
      </c>
      <c r="E17" s="43" t="s">
        <v>45</v>
      </c>
      <c r="F17" s="44">
        <v>0</v>
      </c>
      <c r="G17" s="45">
        <v>0</v>
      </c>
      <c r="H17" s="46">
        <v>0</v>
      </c>
      <c r="I17" s="47">
        <v>0</v>
      </c>
      <c r="J17" s="48">
        <v>46024</v>
      </c>
      <c r="K17" s="49" t="s">
        <v>829</v>
      </c>
      <c r="L17" s="50">
        <v>4012.5</v>
      </c>
      <c r="M17" s="51" t="s">
        <v>45</v>
      </c>
      <c r="N17" s="52">
        <v>0</v>
      </c>
      <c r="O17" s="53">
        <f t="shared" si="2"/>
        <v>0</v>
      </c>
      <c r="P17" s="53">
        <f t="shared" si="0"/>
        <v>0</v>
      </c>
      <c r="Q17" s="54">
        <f t="shared" si="1"/>
        <v>0</v>
      </c>
      <c r="R17" s="39"/>
      <c r="S17" s="55"/>
      <c r="T17" s="55"/>
      <c r="U17" s="56"/>
      <c r="V17" s="56"/>
    </row>
    <row r="18" spans="1:25" s="57" customFormat="1" ht="27.75" customHeight="1">
      <c r="A18" s="39">
        <v>11</v>
      </c>
      <c r="B18" s="40" t="s">
        <v>53</v>
      </c>
      <c r="C18" s="41" t="s">
        <v>54</v>
      </c>
      <c r="D18" s="58">
        <v>4012.5</v>
      </c>
      <c r="E18" s="43" t="s">
        <v>801</v>
      </c>
      <c r="F18" s="44">
        <v>-1</v>
      </c>
      <c r="G18" s="45">
        <v>-3750</v>
      </c>
      <c r="H18" s="46">
        <v>-262.5</v>
      </c>
      <c r="I18" s="47">
        <v>-4012.5</v>
      </c>
      <c r="J18" s="48"/>
      <c r="K18" s="59"/>
      <c r="L18" s="50">
        <v>0</v>
      </c>
      <c r="M18" s="51" t="s">
        <v>45</v>
      </c>
      <c r="N18" s="52">
        <v>-1</v>
      </c>
      <c r="O18" s="53">
        <f t="shared" si="2"/>
        <v>0</v>
      </c>
      <c r="P18" s="53">
        <f t="shared" si="0"/>
        <v>0</v>
      </c>
      <c r="Q18" s="54">
        <f t="shared" si="1"/>
        <v>0</v>
      </c>
      <c r="R18" s="39"/>
      <c r="S18" s="55"/>
      <c r="T18" s="55"/>
      <c r="U18" s="56"/>
      <c r="V18" s="56"/>
      <c r="Y18" s="57" t="s">
        <v>56</v>
      </c>
    </row>
    <row r="19" spans="1:25" s="57" customFormat="1" ht="27.75" customHeight="1">
      <c r="A19" s="39">
        <v>12</v>
      </c>
      <c r="B19" s="40" t="s">
        <v>57</v>
      </c>
      <c r="C19" s="41" t="s">
        <v>58</v>
      </c>
      <c r="D19" s="58">
        <v>4012.5</v>
      </c>
      <c r="E19" s="43" t="s">
        <v>26</v>
      </c>
      <c r="F19" s="44">
        <v>0</v>
      </c>
      <c r="G19" s="45">
        <v>0</v>
      </c>
      <c r="H19" s="46">
        <v>0</v>
      </c>
      <c r="I19" s="47">
        <v>0</v>
      </c>
      <c r="J19" s="48">
        <v>46024</v>
      </c>
      <c r="K19" s="49" t="s">
        <v>830</v>
      </c>
      <c r="L19" s="50">
        <v>4012.5</v>
      </c>
      <c r="M19" s="51" t="s">
        <v>26</v>
      </c>
      <c r="N19" s="52">
        <v>0</v>
      </c>
      <c r="O19" s="53">
        <f t="shared" si="2"/>
        <v>0</v>
      </c>
      <c r="P19" s="53">
        <f t="shared" si="0"/>
        <v>0</v>
      </c>
      <c r="Q19" s="54">
        <f t="shared" si="1"/>
        <v>0</v>
      </c>
      <c r="R19" s="39"/>
      <c r="S19" s="55"/>
      <c r="T19" s="55"/>
      <c r="U19" s="56"/>
      <c r="V19" s="56"/>
    </row>
    <row r="20" spans="1:25" s="57" customFormat="1" ht="27.75" customHeight="1">
      <c r="A20" s="39">
        <v>13</v>
      </c>
      <c r="B20" s="40" t="s">
        <v>60</v>
      </c>
      <c r="C20" s="41" t="s">
        <v>61</v>
      </c>
      <c r="D20" s="58">
        <v>4012.5</v>
      </c>
      <c r="E20" s="43" t="s">
        <v>26</v>
      </c>
      <c r="F20" s="44">
        <v>0</v>
      </c>
      <c r="G20" s="45">
        <v>0</v>
      </c>
      <c r="H20" s="46">
        <v>0</v>
      </c>
      <c r="I20" s="47">
        <v>0</v>
      </c>
      <c r="J20" s="48">
        <v>46024</v>
      </c>
      <c r="K20" s="49" t="s">
        <v>831</v>
      </c>
      <c r="L20" s="50">
        <v>4012.5</v>
      </c>
      <c r="M20" s="51" t="s">
        <v>26</v>
      </c>
      <c r="N20" s="52">
        <v>0</v>
      </c>
      <c r="O20" s="53">
        <f t="shared" si="2"/>
        <v>0</v>
      </c>
      <c r="P20" s="53">
        <f t="shared" si="0"/>
        <v>0</v>
      </c>
      <c r="Q20" s="54">
        <f t="shared" si="1"/>
        <v>0</v>
      </c>
      <c r="R20" s="39"/>
      <c r="S20" s="55"/>
      <c r="T20" s="55"/>
      <c r="U20" s="56"/>
      <c r="V20" s="56"/>
    </row>
    <row r="21" spans="1:25" s="57" customFormat="1" ht="27.75" customHeight="1">
      <c r="A21" s="39">
        <v>14</v>
      </c>
      <c r="B21" s="40" t="s">
        <v>63</v>
      </c>
      <c r="C21" s="41" t="s">
        <v>64</v>
      </c>
      <c r="D21" s="58">
        <v>4012.5</v>
      </c>
      <c r="E21" s="43" t="s">
        <v>26</v>
      </c>
      <c r="F21" s="44">
        <v>0</v>
      </c>
      <c r="G21" s="45">
        <v>0</v>
      </c>
      <c r="H21" s="46">
        <v>0</v>
      </c>
      <c r="I21" s="47">
        <v>0</v>
      </c>
      <c r="J21" s="48">
        <v>46027</v>
      </c>
      <c r="K21" s="49" t="s">
        <v>832</v>
      </c>
      <c r="L21" s="50">
        <v>4012.5</v>
      </c>
      <c r="M21" s="51" t="s">
        <v>26</v>
      </c>
      <c r="N21" s="52">
        <v>0</v>
      </c>
      <c r="O21" s="53">
        <f t="shared" si="2"/>
        <v>0</v>
      </c>
      <c r="P21" s="53">
        <f t="shared" si="0"/>
        <v>0</v>
      </c>
      <c r="Q21" s="54">
        <f t="shared" si="1"/>
        <v>0</v>
      </c>
      <c r="R21" s="39"/>
      <c r="S21" s="55"/>
      <c r="T21" s="55"/>
      <c r="U21" s="56"/>
      <c r="V21" s="56"/>
    </row>
    <row r="22" spans="1:25" s="57" customFormat="1" ht="27.75" customHeight="1">
      <c r="A22" s="39">
        <v>15</v>
      </c>
      <c r="B22" s="40" t="s">
        <v>66</v>
      </c>
      <c r="C22" s="41" t="s">
        <v>67</v>
      </c>
      <c r="D22" s="58">
        <v>12037.5</v>
      </c>
      <c r="E22" s="43" t="s">
        <v>26</v>
      </c>
      <c r="F22" s="60">
        <v>0</v>
      </c>
      <c r="G22" s="61">
        <v>0</v>
      </c>
      <c r="H22" s="46">
        <v>0</v>
      </c>
      <c r="I22" s="47">
        <v>0</v>
      </c>
      <c r="J22" s="62">
        <v>46052</v>
      </c>
      <c r="K22" s="49" t="s">
        <v>833</v>
      </c>
      <c r="L22" s="50">
        <v>12037.5</v>
      </c>
      <c r="M22" s="51" t="s">
        <v>26</v>
      </c>
      <c r="N22" s="52">
        <v>0</v>
      </c>
      <c r="O22" s="53">
        <f t="shared" si="2"/>
        <v>0</v>
      </c>
      <c r="P22" s="53">
        <f t="shared" si="0"/>
        <v>0</v>
      </c>
      <c r="Q22" s="54">
        <f t="shared" si="1"/>
        <v>0</v>
      </c>
      <c r="R22" s="39"/>
      <c r="S22" s="55"/>
      <c r="T22" s="55"/>
      <c r="U22" s="56"/>
      <c r="V22" s="56"/>
    </row>
    <row r="23" spans="1:25" s="57" customFormat="1" ht="27.75" customHeight="1">
      <c r="A23" s="39">
        <v>16</v>
      </c>
      <c r="B23" s="40" t="s">
        <v>66</v>
      </c>
      <c r="C23" s="41" t="s">
        <v>69</v>
      </c>
      <c r="D23" s="63">
        <v>4012.5</v>
      </c>
      <c r="E23" s="64" t="s">
        <v>26</v>
      </c>
      <c r="F23" s="44">
        <v>0</v>
      </c>
      <c r="G23" s="45">
        <v>0</v>
      </c>
      <c r="H23" s="65">
        <v>0</v>
      </c>
      <c r="I23" s="66">
        <v>0</v>
      </c>
      <c r="J23" s="62">
        <v>46052</v>
      </c>
      <c r="K23" s="49" t="s">
        <v>834</v>
      </c>
      <c r="L23" s="50">
        <v>4012.5</v>
      </c>
      <c r="M23" s="51" t="s">
        <v>26</v>
      </c>
      <c r="N23" s="52">
        <v>0</v>
      </c>
      <c r="O23" s="53">
        <f t="shared" si="2"/>
        <v>0</v>
      </c>
      <c r="P23" s="53">
        <f t="shared" si="0"/>
        <v>0</v>
      </c>
      <c r="Q23" s="54">
        <f t="shared" si="1"/>
        <v>0</v>
      </c>
      <c r="R23" s="39"/>
      <c r="S23" s="55"/>
      <c r="T23" s="55"/>
      <c r="U23" s="56"/>
      <c r="V23" s="56"/>
    </row>
    <row r="24" spans="1:25" s="57" customFormat="1" ht="35.25" customHeight="1" thickBot="1">
      <c r="A24" s="67"/>
      <c r="B24" s="68" t="s">
        <v>22</v>
      </c>
      <c r="C24" s="69"/>
      <c r="D24" s="70">
        <f>SUM(D8:D23)</f>
        <v>72225</v>
      </c>
      <c r="E24" s="71"/>
      <c r="F24" s="72"/>
      <c r="G24" s="73">
        <f>SUM(G8:G23)-G9-G11-G13-G18</f>
        <v>0</v>
      </c>
      <c r="H24" s="73">
        <f t="shared" ref="H24:I24" si="3">SUM(H8:H23)-H9-H11-H13-H18</f>
        <v>0</v>
      </c>
      <c r="I24" s="73">
        <f t="shared" si="3"/>
        <v>0</v>
      </c>
      <c r="J24" s="74"/>
      <c r="K24" s="75"/>
      <c r="L24" s="76">
        <f>SUM(L8:L23)</f>
        <v>72225</v>
      </c>
      <c r="M24" s="77"/>
      <c r="N24" s="78"/>
      <c r="O24" s="79">
        <f>SUM(O8:O23)-O9-O11-O13-O15</f>
        <v>0</v>
      </c>
      <c r="P24" s="79">
        <f t="shared" ref="P24:X24" si="4">SUM(P8:P23)-P9-P11-P13-P15</f>
        <v>0</v>
      </c>
      <c r="Q24" s="79">
        <f t="shared" si="4"/>
        <v>0</v>
      </c>
      <c r="R24" s="79">
        <f t="shared" si="4"/>
        <v>0</v>
      </c>
      <c r="S24" s="79">
        <f t="shared" si="4"/>
        <v>0</v>
      </c>
      <c r="T24" s="79">
        <f t="shared" si="4"/>
        <v>0</v>
      </c>
      <c r="U24" s="79">
        <f t="shared" si="4"/>
        <v>0</v>
      </c>
      <c r="V24" s="79">
        <f t="shared" si="4"/>
        <v>0</v>
      </c>
      <c r="W24" s="79">
        <f t="shared" si="4"/>
        <v>0</v>
      </c>
      <c r="X24" s="79">
        <f t="shared" si="4"/>
        <v>0</v>
      </c>
    </row>
    <row r="25" spans="1:25" s="91" customFormat="1" ht="27.75" customHeight="1" thickTop="1">
      <c r="A25" s="39">
        <v>1</v>
      </c>
      <c r="B25" s="80" t="s">
        <v>71</v>
      </c>
      <c r="C25" s="81" t="s">
        <v>72</v>
      </c>
      <c r="D25" s="82">
        <v>13375</v>
      </c>
      <c r="E25" s="83" t="s">
        <v>722</v>
      </c>
      <c r="F25" s="84">
        <v>-0.5</v>
      </c>
      <c r="G25" s="85">
        <v>-6250</v>
      </c>
      <c r="H25" s="46">
        <v>-437.5</v>
      </c>
      <c r="I25" s="85">
        <v>-6687.5</v>
      </c>
      <c r="J25" s="48">
        <v>46044</v>
      </c>
      <c r="K25" s="49" t="s">
        <v>835</v>
      </c>
      <c r="L25" s="86">
        <v>13375</v>
      </c>
      <c r="M25" s="87" t="s">
        <v>836</v>
      </c>
      <c r="N25" s="88">
        <v>-0.5</v>
      </c>
      <c r="O25" s="518">
        <f>+(D25*100/107)+G25-(L25*100/107)</f>
        <v>-6250</v>
      </c>
      <c r="P25" s="518">
        <f t="shared" ref="P25" si="5">ROUND((O25*0.07),2)</f>
        <v>-437.5</v>
      </c>
      <c r="Q25" s="519">
        <f t="shared" ref="Q25" si="6">+O25+P25</f>
        <v>-6687.5</v>
      </c>
      <c r="R25" s="39"/>
      <c r="S25" s="55"/>
      <c r="T25" s="55"/>
      <c r="U25" s="58"/>
      <c r="V25" s="58"/>
    </row>
    <row r="26" spans="1:25" s="57" customFormat="1" ht="27.75" customHeight="1">
      <c r="A26" s="39">
        <v>2</v>
      </c>
      <c r="B26" s="92" t="s">
        <v>76</v>
      </c>
      <c r="C26" s="41" t="s">
        <v>72</v>
      </c>
      <c r="D26" s="58">
        <v>1605</v>
      </c>
      <c r="E26" s="43" t="s">
        <v>45</v>
      </c>
      <c r="F26" s="60">
        <v>0</v>
      </c>
      <c r="G26" s="47">
        <v>0</v>
      </c>
      <c r="H26" s="46">
        <v>0</v>
      </c>
      <c r="I26" s="47">
        <v>0</v>
      </c>
      <c r="J26" s="62">
        <v>46029</v>
      </c>
      <c r="K26" s="49" t="s">
        <v>837</v>
      </c>
      <c r="L26" s="93">
        <v>1605</v>
      </c>
      <c r="M26" s="94" t="s">
        <v>45</v>
      </c>
      <c r="N26" s="95">
        <v>0</v>
      </c>
      <c r="O26" s="53">
        <f>+(D26*100/107)+G26-(L26*100/107)</f>
        <v>0</v>
      </c>
      <c r="P26" s="53">
        <f t="shared" si="0"/>
        <v>0</v>
      </c>
      <c r="Q26" s="54">
        <f t="shared" si="1"/>
        <v>0</v>
      </c>
      <c r="R26" s="39"/>
      <c r="S26" s="55"/>
      <c r="T26" s="55"/>
      <c r="U26" s="58"/>
      <c r="V26" s="58"/>
    </row>
    <row r="27" spans="1:25" s="57" customFormat="1" ht="27.75" customHeight="1" thickBot="1">
      <c r="A27" s="96"/>
      <c r="B27" s="97" t="s">
        <v>22</v>
      </c>
      <c r="C27" s="98"/>
      <c r="D27" s="99">
        <f>SUM(D25:D26)</f>
        <v>14980</v>
      </c>
      <c r="E27" s="100"/>
      <c r="F27" s="101"/>
      <c r="G27" s="102"/>
      <c r="H27" s="102"/>
      <c r="I27" s="102"/>
      <c r="J27" s="103"/>
      <c r="K27" s="104"/>
      <c r="L27" s="105">
        <f>SUM(L25:L26)</f>
        <v>14980</v>
      </c>
      <c r="M27" s="106"/>
      <c r="N27" s="107"/>
      <c r="O27" s="108"/>
      <c r="P27" s="108"/>
      <c r="Q27" s="109"/>
      <c r="R27" s="39"/>
      <c r="S27" s="55"/>
      <c r="T27" s="55"/>
      <c r="U27" s="56"/>
      <c r="V27" s="56"/>
    </row>
    <row r="28" spans="1:25" ht="27.75" customHeight="1" thickTop="1">
      <c r="A28" s="39">
        <v>1</v>
      </c>
      <c r="B28" s="40" t="s">
        <v>78</v>
      </c>
      <c r="C28" s="81" t="s">
        <v>72</v>
      </c>
      <c r="D28" s="110">
        <v>11492.66</v>
      </c>
      <c r="E28" s="111" t="s">
        <v>634</v>
      </c>
      <c r="F28" s="112">
        <v>1</v>
      </c>
      <c r="G28" s="61">
        <v>6439.999252336449</v>
      </c>
      <c r="H28" s="46">
        <v>450.8</v>
      </c>
      <c r="I28" s="47">
        <v>6890.7992523364492</v>
      </c>
      <c r="J28" s="113">
        <v>46052</v>
      </c>
      <c r="K28" s="114" t="s">
        <v>838</v>
      </c>
      <c r="L28" s="115">
        <v>6890.8</v>
      </c>
      <c r="M28" s="94" t="s">
        <v>801</v>
      </c>
      <c r="N28" s="116">
        <v>1</v>
      </c>
      <c r="O28" s="53">
        <f>+(D28*100/107)+G28-(L28*100/107)</f>
        <v>10740.802990654207</v>
      </c>
      <c r="P28" s="53">
        <f t="shared" ref="P28:P30" si="7">ROUND((O28*0.07),2)</f>
        <v>751.86</v>
      </c>
      <c r="Q28" s="54">
        <f t="shared" ref="Q28:Q30" si="8">+O28+P28</f>
        <v>11492.662990654208</v>
      </c>
      <c r="R28" s="39"/>
      <c r="S28" s="55"/>
      <c r="T28" s="55"/>
      <c r="U28" s="56"/>
      <c r="V28" s="56"/>
    </row>
    <row r="29" spans="1:25" ht="27.75" customHeight="1">
      <c r="A29" s="39">
        <v>2</v>
      </c>
      <c r="B29" s="40" t="s">
        <v>82</v>
      </c>
      <c r="C29" s="41" t="s">
        <v>72</v>
      </c>
      <c r="D29" s="110">
        <v>1754.8</v>
      </c>
      <c r="E29" s="111" t="s">
        <v>634</v>
      </c>
      <c r="F29" s="112">
        <v>1</v>
      </c>
      <c r="G29" s="61">
        <v>2295.9981308411216</v>
      </c>
      <c r="H29" s="46">
        <v>160.72</v>
      </c>
      <c r="I29" s="47">
        <v>2456.7181308411214</v>
      </c>
      <c r="J29" s="113">
        <v>46029</v>
      </c>
      <c r="K29" s="114" t="s">
        <v>839</v>
      </c>
      <c r="L29" s="115">
        <v>2456.7199999999998</v>
      </c>
      <c r="M29" s="94" t="s">
        <v>801</v>
      </c>
      <c r="N29" s="116">
        <v>1</v>
      </c>
      <c r="O29" s="53">
        <f>+(D29*100/107)+G29-(L29*100/107)</f>
        <v>1639.998130841122</v>
      </c>
      <c r="P29" s="53">
        <f t="shared" si="7"/>
        <v>114.8</v>
      </c>
      <c r="Q29" s="54">
        <f t="shared" si="8"/>
        <v>1754.798130841122</v>
      </c>
      <c r="R29" s="39"/>
      <c r="S29" s="55"/>
      <c r="T29" s="55"/>
      <c r="U29" s="56"/>
      <c r="V29" s="56"/>
    </row>
    <row r="30" spans="1:25" ht="27.75" customHeight="1">
      <c r="A30" s="39">
        <v>3</v>
      </c>
      <c r="B30" s="40" t="s">
        <v>85</v>
      </c>
      <c r="C30" s="41" t="s">
        <v>72</v>
      </c>
      <c r="D30" s="110">
        <v>10000</v>
      </c>
      <c r="E30" s="111"/>
      <c r="F30" s="112"/>
      <c r="G30" s="61">
        <v>7.4766354737221263E-4</v>
      </c>
      <c r="H30" s="46">
        <v>0</v>
      </c>
      <c r="I30" s="47">
        <v>7.4766354737221263E-4</v>
      </c>
      <c r="J30" s="117">
        <v>46029</v>
      </c>
      <c r="K30" s="118" t="s">
        <v>840</v>
      </c>
      <c r="L30" s="119">
        <v>10000</v>
      </c>
      <c r="M30" s="94"/>
      <c r="N30" s="116"/>
      <c r="O30" s="53">
        <f>+(D30*100/107)+G30-(L30*100/107)</f>
        <v>7.4766354737221263E-4</v>
      </c>
      <c r="P30" s="53">
        <f t="shared" si="7"/>
        <v>0</v>
      </c>
      <c r="Q30" s="54">
        <f t="shared" si="8"/>
        <v>7.4766354737221263E-4</v>
      </c>
      <c r="R30" s="39"/>
      <c r="S30" s="55"/>
      <c r="T30" s="55"/>
      <c r="U30" s="56"/>
      <c r="V30" s="56"/>
    </row>
    <row r="31" spans="1:25" s="57" customFormat="1" ht="27.75" customHeight="1" thickBot="1">
      <c r="A31" s="96"/>
      <c r="B31" s="97" t="s">
        <v>22</v>
      </c>
      <c r="C31" s="98"/>
      <c r="D31" s="99">
        <f>SUM(D28:D30)</f>
        <v>23247.46</v>
      </c>
      <c r="E31" s="100"/>
      <c r="F31" s="101"/>
      <c r="G31" s="102">
        <f>SUM(G28:G30)</f>
        <v>8735.9981308411188</v>
      </c>
      <c r="H31" s="102">
        <f t="shared" ref="H31:I31" si="9">SUM(H28:H30)</f>
        <v>611.52</v>
      </c>
      <c r="I31" s="102">
        <f t="shared" si="9"/>
        <v>9347.5181308411175</v>
      </c>
      <c r="J31" s="103"/>
      <c r="K31" s="104"/>
      <c r="L31" s="105">
        <f>SUM(L28+L29+L30)</f>
        <v>19347.52</v>
      </c>
      <c r="M31" s="106"/>
      <c r="N31" s="107"/>
      <c r="O31" s="108">
        <f>SUM(O28:O30)</f>
        <v>12380.801869158877</v>
      </c>
      <c r="P31" s="108">
        <f t="shared" si="0"/>
        <v>866.66</v>
      </c>
      <c r="Q31" s="108">
        <f t="shared" si="1"/>
        <v>13247.461869158877</v>
      </c>
      <c r="R31" s="39"/>
      <c r="S31" s="55"/>
      <c r="T31" s="55"/>
      <c r="U31" s="56"/>
      <c r="V31" s="56"/>
    </row>
    <row r="32" spans="1:25" ht="27.75" hidden="1" customHeight="1" thickBot="1">
      <c r="A32" s="39">
        <v>1</v>
      </c>
      <c r="B32" s="40" t="s">
        <v>88</v>
      </c>
      <c r="C32" s="41" t="s">
        <v>72</v>
      </c>
      <c r="D32" s="120">
        <v>0</v>
      </c>
      <c r="E32" s="43"/>
      <c r="F32" s="60"/>
      <c r="G32" s="61">
        <v>0</v>
      </c>
      <c r="H32" s="46">
        <v>0</v>
      </c>
      <c r="I32" s="47">
        <v>0</v>
      </c>
      <c r="J32" s="113"/>
      <c r="K32" s="118"/>
      <c r="L32" s="121">
        <v>0</v>
      </c>
      <c r="M32" s="94"/>
      <c r="N32" s="39"/>
      <c r="O32" s="53">
        <f t="shared" ref="O32:O44" si="10">+(D32*100/107)+G32-(L32*100/107)</f>
        <v>0</v>
      </c>
      <c r="P32" s="53">
        <f t="shared" si="0"/>
        <v>0</v>
      </c>
      <c r="Q32" s="54">
        <f t="shared" si="1"/>
        <v>0</v>
      </c>
      <c r="R32" s="122"/>
      <c r="S32" s="37"/>
      <c r="T32" s="37"/>
      <c r="U32" s="38"/>
      <c r="V32" s="38"/>
    </row>
    <row r="33" spans="1:23" ht="27.75" hidden="1" customHeight="1" thickTop="1">
      <c r="A33" s="39">
        <v>2</v>
      </c>
      <c r="B33" s="40" t="s">
        <v>89</v>
      </c>
      <c r="C33" s="41" t="s">
        <v>72</v>
      </c>
      <c r="D33" s="120">
        <v>0</v>
      </c>
      <c r="E33" s="43"/>
      <c r="F33" s="60"/>
      <c r="G33" s="61">
        <v>0</v>
      </c>
      <c r="H33" s="46">
        <v>0</v>
      </c>
      <c r="I33" s="47">
        <v>0</v>
      </c>
      <c r="J33" s="113"/>
      <c r="K33" s="118"/>
      <c r="L33" s="121">
        <v>0</v>
      </c>
      <c r="M33" s="94"/>
      <c r="N33" s="39"/>
      <c r="O33" s="53">
        <f t="shared" si="10"/>
        <v>0</v>
      </c>
      <c r="P33" s="53">
        <f t="shared" si="0"/>
        <v>0</v>
      </c>
      <c r="Q33" s="54">
        <f t="shared" si="1"/>
        <v>0</v>
      </c>
      <c r="R33" s="122"/>
      <c r="S33" s="37"/>
      <c r="T33" s="37"/>
      <c r="U33" s="38"/>
      <c r="V33" s="38"/>
    </row>
    <row r="34" spans="1:23" ht="27.75" hidden="1" customHeight="1" thickTop="1">
      <c r="A34" s="39">
        <v>3</v>
      </c>
      <c r="B34" s="40" t="s">
        <v>90</v>
      </c>
      <c r="C34" s="41" t="s">
        <v>72</v>
      </c>
      <c r="D34" s="120"/>
      <c r="E34" s="43"/>
      <c r="F34" s="60"/>
      <c r="G34" s="61">
        <v>0</v>
      </c>
      <c r="H34" s="46">
        <v>0</v>
      </c>
      <c r="I34" s="47">
        <v>0</v>
      </c>
      <c r="J34" s="113"/>
      <c r="K34" s="118"/>
      <c r="L34" s="121"/>
      <c r="M34" s="94"/>
      <c r="N34" s="39"/>
      <c r="O34" s="53">
        <f t="shared" si="10"/>
        <v>0</v>
      </c>
      <c r="P34" s="53">
        <f t="shared" si="0"/>
        <v>0</v>
      </c>
      <c r="Q34" s="54">
        <f t="shared" si="1"/>
        <v>0</v>
      </c>
      <c r="R34" s="122"/>
      <c r="S34" s="37"/>
      <c r="T34" s="37"/>
      <c r="U34" s="38"/>
      <c r="V34" s="38"/>
    </row>
    <row r="35" spans="1:23" ht="27.75" hidden="1" customHeight="1" thickTop="1">
      <c r="A35" s="39">
        <v>4</v>
      </c>
      <c r="B35" s="40" t="s">
        <v>91</v>
      </c>
      <c r="C35" s="41" t="s">
        <v>72</v>
      </c>
      <c r="D35" s="120"/>
      <c r="E35" s="43"/>
      <c r="F35" s="60"/>
      <c r="G35" s="61">
        <v>0</v>
      </c>
      <c r="H35" s="46">
        <v>0</v>
      </c>
      <c r="I35" s="47">
        <v>0</v>
      </c>
      <c r="J35" s="113"/>
      <c r="K35" s="118"/>
      <c r="L35" s="121">
        <v>0</v>
      </c>
      <c r="M35" s="94"/>
      <c r="N35" s="39"/>
      <c r="O35" s="53">
        <f t="shared" si="10"/>
        <v>0</v>
      </c>
      <c r="P35" s="53">
        <f t="shared" si="0"/>
        <v>0</v>
      </c>
      <c r="Q35" s="54">
        <f t="shared" si="1"/>
        <v>0</v>
      </c>
      <c r="R35" s="122"/>
      <c r="S35" s="37"/>
      <c r="T35" s="37"/>
      <c r="U35" s="38"/>
      <c r="V35" s="38"/>
    </row>
    <row r="36" spans="1:23" ht="27.75" hidden="1" customHeight="1" thickTop="1">
      <c r="A36" s="39">
        <v>5</v>
      </c>
      <c r="B36" s="40" t="s">
        <v>92</v>
      </c>
      <c r="C36" s="41" t="s">
        <v>72</v>
      </c>
      <c r="D36" s="120"/>
      <c r="E36" s="43"/>
      <c r="F36" s="60"/>
      <c r="G36" s="61">
        <v>0</v>
      </c>
      <c r="H36" s="46">
        <v>0</v>
      </c>
      <c r="I36" s="47">
        <v>0</v>
      </c>
      <c r="J36" s="117"/>
      <c r="K36" s="118"/>
      <c r="L36" s="119">
        <v>0</v>
      </c>
      <c r="M36" s="94"/>
      <c r="N36" s="39"/>
      <c r="O36" s="53">
        <f t="shared" si="10"/>
        <v>0</v>
      </c>
      <c r="P36" s="53">
        <f t="shared" si="0"/>
        <v>0</v>
      </c>
      <c r="Q36" s="54">
        <f t="shared" si="1"/>
        <v>0</v>
      </c>
      <c r="R36" s="122"/>
      <c r="S36" s="37"/>
      <c r="T36" s="37"/>
      <c r="U36" s="38"/>
      <c r="V36" s="38"/>
    </row>
    <row r="37" spans="1:23" ht="27.75" hidden="1" customHeight="1" thickTop="1">
      <c r="A37" s="39">
        <v>6</v>
      </c>
      <c r="B37" s="123" t="s">
        <v>93</v>
      </c>
      <c r="C37" s="41" t="s">
        <v>72</v>
      </c>
      <c r="D37" s="124">
        <v>0</v>
      </c>
      <c r="E37" s="125"/>
      <c r="F37" s="126"/>
      <c r="G37" s="65">
        <v>0</v>
      </c>
      <c r="H37" s="46">
        <v>0</v>
      </c>
      <c r="I37" s="47">
        <v>0</v>
      </c>
      <c r="J37" s="127"/>
      <c r="K37" s="128"/>
      <c r="L37" s="129">
        <v>0</v>
      </c>
      <c r="M37" s="94"/>
      <c r="N37" s="39"/>
      <c r="O37" s="53">
        <f t="shared" si="10"/>
        <v>0</v>
      </c>
      <c r="P37" s="53">
        <f t="shared" si="0"/>
        <v>0</v>
      </c>
      <c r="Q37" s="54">
        <f t="shared" si="1"/>
        <v>0</v>
      </c>
      <c r="R37" s="122"/>
      <c r="S37" s="37"/>
      <c r="T37" s="37"/>
      <c r="U37" s="38"/>
      <c r="V37" s="38"/>
    </row>
    <row r="38" spans="1:23" ht="27.75" hidden="1" customHeight="1" thickTop="1">
      <c r="A38" s="39">
        <v>7</v>
      </c>
      <c r="B38" s="40" t="s">
        <v>94</v>
      </c>
      <c r="C38" s="41" t="s">
        <v>72</v>
      </c>
      <c r="D38" s="120"/>
      <c r="E38" s="43"/>
      <c r="F38" s="60"/>
      <c r="G38" s="61">
        <v>0</v>
      </c>
      <c r="H38" s="46">
        <v>0</v>
      </c>
      <c r="I38" s="47">
        <v>0</v>
      </c>
      <c r="J38" s="117"/>
      <c r="K38" s="118"/>
      <c r="L38" s="119">
        <v>0</v>
      </c>
      <c r="M38" s="94"/>
      <c r="N38" s="39"/>
      <c r="O38" s="53">
        <f t="shared" si="10"/>
        <v>0</v>
      </c>
      <c r="P38" s="53">
        <f t="shared" si="0"/>
        <v>0</v>
      </c>
      <c r="Q38" s="54">
        <f t="shared" si="1"/>
        <v>0</v>
      </c>
      <c r="R38" s="122"/>
      <c r="S38" s="37"/>
      <c r="T38" s="37"/>
      <c r="U38" s="38"/>
      <c r="V38" s="38"/>
    </row>
    <row r="39" spans="1:23" ht="27.75" hidden="1" customHeight="1" thickTop="1">
      <c r="A39" s="39">
        <v>8</v>
      </c>
      <c r="B39" s="40" t="s">
        <v>95</v>
      </c>
      <c r="C39" s="41" t="s">
        <v>72</v>
      </c>
      <c r="D39" s="120"/>
      <c r="E39" s="43"/>
      <c r="F39" s="60"/>
      <c r="G39" s="61">
        <v>0</v>
      </c>
      <c r="H39" s="46">
        <v>0</v>
      </c>
      <c r="I39" s="47">
        <v>0</v>
      </c>
      <c r="J39" s="117"/>
      <c r="K39" s="118"/>
      <c r="L39" s="119">
        <v>0</v>
      </c>
      <c r="M39" s="94"/>
      <c r="N39" s="39"/>
      <c r="O39" s="53">
        <f t="shared" si="10"/>
        <v>0</v>
      </c>
      <c r="P39" s="53">
        <f t="shared" si="0"/>
        <v>0</v>
      </c>
      <c r="Q39" s="54">
        <f t="shared" si="1"/>
        <v>0</v>
      </c>
      <c r="R39" s="122"/>
      <c r="S39" s="37"/>
      <c r="T39" s="37"/>
      <c r="U39" s="38"/>
      <c r="V39" s="38"/>
    </row>
    <row r="40" spans="1:23" ht="27.75" hidden="1" customHeight="1" thickTop="1">
      <c r="A40" s="39">
        <v>9</v>
      </c>
      <c r="B40" s="40" t="s">
        <v>96</v>
      </c>
      <c r="C40" s="41" t="s">
        <v>72</v>
      </c>
      <c r="D40" s="120"/>
      <c r="E40" s="43"/>
      <c r="F40" s="60"/>
      <c r="G40" s="61">
        <v>0</v>
      </c>
      <c r="H40" s="46">
        <v>0</v>
      </c>
      <c r="I40" s="47">
        <v>0</v>
      </c>
      <c r="J40" s="117"/>
      <c r="K40" s="118"/>
      <c r="L40" s="119">
        <v>0</v>
      </c>
      <c r="M40" s="94"/>
      <c r="N40" s="39"/>
      <c r="O40" s="53">
        <f t="shared" si="10"/>
        <v>0</v>
      </c>
      <c r="P40" s="53">
        <f t="shared" si="0"/>
        <v>0</v>
      </c>
      <c r="Q40" s="54">
        <f t="shared" si="1"/>
        <v>0</v>
      </c>
      <c r="R40" s="122"/>
      <c r="S40" s="37"/>
      <c r="T40" s="37"/>
      <c r="U40" s="38"/>
      <c r="V40" s="38"/>
    </row>
    <row r="41" spans="1:23" ht="27.75" hidden="1" customHeight="1" thickTop="1">
      <c r="A41" s="39">
        <v>10</v>
      </c>
      <c r="B41" s="40" t="s">
        <v>97</v>
      </c>
      <c r="C41" s="41" t="s">
        <v>72</v>
      </c>
      <c r="D41" s="120">
        <v>0</v>
      </c>
      <c r="E41" s="43"/>
      <c r="F41" s="60"/>
      <c r="G41" s="61">
        <v>0</v>
      </c>
      <c r="H41" s="46">
        <v>0</v>
      </c>
      <c r="I41" s="47">
        <v>0</v>
      </c>
      <c r="J41" s="117"/>
      <c r="K41" s="118"/>
      <c r="L41" s="119">
        <v>0</v>
      </c>
      <c r="M41" s="94"/>
      <c r="N41" s="39"/>
      <c r="O41" s="53">
        <f t="shared" si="10"/>
        <v>0</v>
      </c>
      <c r="P41" s="53">
        <f t="shared" si="0"/>
        <v>0</v>
      </c>
      <c r="Q41" s="54">
        <f t="shared" si="1"/>
        <v>0</v>
      </c>
      <c r="R41" s="122"/>
      <c r="S41" s="37"/>
      <c r="T41" s="37"/>
      <c r="U41" s="38"/>
      <c r="V41" s="38"/>
    </row>
    <row r="42" spans="1:23" ht="27.75" hidden="1" customHeight="1" thickTop="1">
      <c r="A42" s="39">
        <v>11</v>
      </c>
      <c r="B42" s="40" t="s">
        <v>98</v>
      </c>
      <c r="C42" s="41" t="s">
        <v>72</v>
      </c>
      <c r="D42" s="120"/>
      <c r="E42" s="43"/>
      <c r="F42" s="60"/>
      <c r="G42" s="61">
        <v>0</v>
      </c>
      <c r="H42" s="46">
        <v>0</v>
      </c>
      <c r="I42" s="47">
        <v>0</v>
      </c>
      <c r="J42" s="117"/>
      <c r="K42" s="118"/>
      <c r="L42" s="119">
        <v>0</v>
      </c>
      <c r="M42" s="94"/>
      <c r="N42" s="39"/>
      <c r="O42" s="53">
        <f t="shared" si="10"/>
        <v>0</v>
      </c>
      <c r="P42" s="53">
        <f t="shared" si="0"/>
        <v>0</v>
      </c>
      <c r="Q42" s="54">
        <f t="shared" si="1"/>
        <v>0</v>
      </c>
      <c r="R42" s="122"/>
      <c r="S42" s="37"/>
      <c r="T42" s="37"/>
      <c r="U42" s="38"/>
      <c r="V42" s="38"/>
    </row>
    <row r="43" spans="1:23" ht="27.75" hidden="1" customHeight="1" thickTop="1">
      <c r="A43" s="39">
        <v>12</v>
      </c>
      <c r="B43" s="40" t="s">
        <v>99</v>
      </c>
      <c r="C43" s="41" t="s">
        <v>72</v>
      </c>
      <c r="D43" s="120">
        <v>0</v>
      </c>
      <c r="E43" s="43"/>
      <c r="F43" s="60"/>
      <c r="G43" s="61">
        <v>0</v>
      </c>
      <c r="H43" s="46">
        <v>0</v>
      </c>
      <c r="I43" s="47">
        <v>0</v>
      </c>
      <c r="J43" s="117"/>
      <c r="K43" s="118"/>
      <c r="L43" s="119">
        <v>0</v>
      </c>
      <c r="M43" s="94"/>
      <c r="N43" s="39"/>
      <c r="O43" s="53">
        <f t="shared" si="10"/>
        <v>0</v>
      </c>
      <c r="P43" s="53">
        <f t="shared" si="0"/>
        <v>0</v>
      </c>
      <c r="Q43" s="54">
        <f t="shared" si="1"/>
        <v>0</v>
      </c>
      <c r="R43" s="122"/>
      <c r="S43" s="37"/>
      <c r="T43" s="37"/>
      <c r="U43" s="38"/>
      <c r="V43" s="38"/>
    </row>
    <row r="44" spans="1:23" ht="27.75" hidden="1" customHeight="1" thickTop="1">
      <c r="A44" s="39"/>
      <c r="B44" s="123"/>
      <c r="C44" s="41"/>
      <c r="D44" s="124"/>
      <c r="E44" s="125"/>
      <c r="F44" s="126"/>
      <c r="G44" s="65">
        <v>0</v>
      </c>
      <c r="H44" s="46">
        <v>0</v>
      </c>
      <c r="I44" s="47">
        <v>0</v>
      </c>
      <c r="J44" s="127"/>
      <c r="K44" s="128"/>
      <c r="L44" s="129"/>
      <c r="M44" s="83"/>
      <c r="N44" s="130"/>
      <c r="O44" s="53">
        <f t="shared" si="10"/>
        <v>0</v>
      </c>
      <c r="P44" s="53">
        <f t="shared" si="0"/>
        <v>0</v>
      </c>
      <c r="Q44" s="54">
        <f t="shared" si="1"/>
        <v>0</v>
      </c>
      <c r="R44" s="122"/>
      <c r="S44" s="37"/>
      <c r="T44" s="37"/>
      <c r="U44" s="38"/>
      <c r="V44" s="38"/>
    </row>
    <row r="45" spans="1:23" ht="27.75" hidden="1" customHeight="1" thickTop="1">
      <c r="A45" s="22"/>
      <c r="B45" s="131" t="s">
        <v>22</v>
      </c>
      <c r="C45" s="132"/>
      <c r="D45" s="133">
        <f>SUM(D32:D43)</f>
        <v>0</v>
      </c>
      <c r="E45" s="134"/>
      <c r="F45" s="135"/>
      <c r="G45" s="136">
        <f>SUM(G32:G43)</f>
        <v>0</v>
      </c>
      <c r="H45" s="136">
        <f t="shared" ref="H45:I45" si="11">SUM(H32:H43)</f>
        <v>0</v>
      </c>
      <c r="I45" s="136">
        <f t="shared" si="11"/>
        <v>0</v>
      </c>
      <c r="J45" s="137">
        <v>0</v>
      </c>
      <c r="K45" s="137">
        <f>SUM(K8:K44)</f>
        <v>0</v>
      </c>
      <c r="L45" s="138">
        <f>SUM(L32:L44)</f>
        <v>0</v>
      </c>
      <c r="M45" s="139"/>
      <c r="N45" s="133"/>
      <c r="O45" s="136">
        <f>SUM(O32:O44)</f>
        <v>0</v>
      </c>
      <c r="P45" s="136">
        <f t="shared" ref="P45:Q45" si="12">SUM(P32:P44)</f>
        <v>0</v>
      </c>
      <c r="Q45" s="136">
        <f t="shared" si="12"/>
        <v>0</v>
      </c>
      <c r="R45" s="36"/>
      <c r="S45" s="37"/>
      <c r="T45" s="37"/>
      <c r="U45" s="38"/>
      <c r="V45" s="38"/>
      <c r="W45" s="38"/>
    </row>
    <row r="46" spans="1:23" ht="27.75" customHeight="1" thickTop="1">
      <c r="A46" s="22"/>
      <c r="B46" s="23" t="s">
        <v>100</v>
      </c>
      <c r="C46" s="24"/>
      <c r="D46" s="25"/>
      <c r="E46" s="26"/>
      <c r="F46" s="27"/>
      <c r="G46" s="28"/>
      <c r="H46" s="28"/>
      <c r="I46" s="28"/>
      <c r="J46" s="29"/>
      <c r="K46" s="30"/>
      <c r="L46" s="31"/>
      <c r="M46" s="32"/>
      <c r="N46" s="33"/>
      <c r="O46" s="34"/>
      <c r="P46" s="34"/>
      <c r="Q46" s="35"/>
      <c r="R46" s="36"/>
      <c r="S46" s="37"/>
      <c r="T46" s="37"/>
      <c r="U46" s="38"/>
      <c r="V46" s="38"/>
      <c r="W46" s="38"/>
    </row>
    <row r="47" spans="1:23" s="57" customFormat="1" ht="27.75" customHeight="1">
      <c r="A47" s="22">
        <v>1</v>
      </c>
      <c r="B47" s="40" t="s">
        <v>101</v>
      </c>
      <c r="C47" s="140" t="s">
        <v>102</v>
      </c>
      <c r="D47" s="141">
        <v>160.5</v>
      </c>
      <c r="E47" s="142" t="s">
        <v>45</v>
      </c>
      <c r="F47" s="143">
        <v>0</v>
      </c>
      <c r="G47" s="61">
        <v>0</v>
      </c>
      <c r="H47" s="61">
        <v>0</v>
      </c>
      <c r="I47" s="47">
        <v>0</v>
      </c>
      <c r="J47" s="113">
        <v>46042</v>
      </c>
      <c r="K47" s="114" t="s">
        <v>841</v>
      </c>
      <c r="L47" s="144">
        <v>160.5</v>
      </c>
      <c r="M47" s="145" t="s">
        <v>45</v>
      </c>
      <c r="N47" s="146">
        <v>0</v>
      </c>
      <c r="O47" s="147">
        <f t="shared" ref="O47:O82" si="13">+(D47*100/107)+G47-(L47*100/107)</f>
        <v>0</v>
      </c>
      <c r="P47" s="147">
        <f t="shared" ref="P47" si="14">ROUND((O47*0.07),2)</f>
        <v>0</v>
      </c>
      <c r="Q47" s="47">
        <f t="shared" ref="Q47" si="15">+O47+P47</f>
        <v>0</v>
      </c>
      <c r="R47" s="146"/>
      <c r="S47" s="148"/>
      <c r="T47" s="148"/>
      <c r="U47" s="149"/>
      <c r="V47" s="149"/>
    </row>
    <row r="48" spans="1:23" s="57" customFormat="1" ht="27.75" customHeight="1">
      <c r="A48" s="22">
        <v>2</v>
      </c>
      <c r="B48" s="150" t="s">
        <v>104</v>
      </c>
      <c r="C48" s="140" t="s">
        <v>102</v>
      </c>
      <c r="D48" s="141">
        <v>321</v>
      </c>
      <c r="E48" s="142" t="s">
        <v>801</v>
      </c>
      <c r="F48" s="143">
        <v>-1</v>
      </c>
      <c r="G48" s="61">
        <v>-300</v>
      </c>
      <c r="H48" s="61">
        <v>-21</v>
      </c>
      <c r="I48" s="47">
        <v>-321</v>
      </c>
      <c r="J48" s="117"/>
      <c r="K48" s="118"/>
      <c r="L48" s="151">
        <v>0</v>
      </c>
      <c r="M48" s="94" t="s">
        <v>45</v>
      </c>
      <c r="N48" s="39">
        <v>0</v>
      </c>
      <c r="O48" s="147">
        <f t="shared" si="13"/>
        <v>0</v>
      </c>
      <c r="P48" s="147">
        <f>ROUND((O48*0.07),2)</f>
        <v>0</v>
      </c>
      <c r="Q48" s="47">
        <f>+O48+P48</f>
        <v>0</v>
      </c>
      <c r="R48" s="146"/>
      <c r="S48" s="148"/>
      <c r="T48" s="148"/>
      <c r="U48" s="149"/>
      <c r="V48" s="149"/>
    </row>
    <row r="49" spans="1:22" s="169" customFormat="1" ht="27.75" customHeight="1">
      <c r="A49" s="152">
        <v>3</v>
      </c>
      <c r="B49" s="153" t="s">
        <v>106</v>
      </c>
      <c r="C49" s="154" t="s">
        <v>102</v>
      </c>
      <c r="D49" s="155">
        <v>160.5</v>
      </c>
      <c r="E49" s="156" t="s">
        <v>812</v>
      </c>
      <c r="F49" s="157">
        <v>-7</v>
      </c>
      <c r="G49" s="158">
        <v>-1050</v>
      </c>
      <c r="H49" s="158">
        <v>-73.5</v>
      </c>
      <c r="I49" s="159">
        <v>-1123.5</v>
      </c>
      <c r="J49" s="160"/>
      <c r="K49" s="161"/>
      <c r="L49" s="162">
        <v>0</v>
      </c>
      <c r="M49" s="163" t="s">
        <v>842</v>
      </c>
      <c r="N49" s="164">
        <v>-6</v>
      </c>
      <c r="O49" s="165">
        <f t="shared" si="13"/>
        <v>-900</v>
      </c>
      <c r="P49" s="165">
        <f t="shared" ref="P49:P68" si="16">ROUND((O49*0.07),2)</f>
        <v>-63</v>
      </c>
      <c r="Q49" s="159">
        <f t="shared" ref="Q49:Q68" si="17">+O49+P49</f>
        <v>-963</v>
      </c>
      <c r="R49" s="166"/>
      <c r="S49" s="167"/>
      <c r="T49" s="167"/>
      <c r="U49" s="168"/>
      <c r="V49" s="168"/>
    </row>
    <row r="50" spans="1:22" s="57" customFormat="1" ht="27.75" customHeight="1">
      <c r="A50" s="22">
        <v>4</v>
      </c>
      <c r="B50" s="170" t="s">
        <v>109</v>
      </c>
      <c r="C50" s="140" t="s">
        <v>102</v>
      </c>
      <c r="D50" s="141">
        <v>321</v>
      </c>
      <c r="E50" s="142" t="s">
        <v>45</v>
      </c>
      <c r="F50" s="143">
        <v>0</v>
      </c>
      <c r="G50" s="61">
        <v>0</v>
      </c>
      <c r="H50" s="61">
        <v>0</v>
      </c>
      <c r="I50" s="47">
        <v>0</v>
      </c>
      <c r="J50" s="117">
        <v>46027</v>
      </c>
      <c r="K50" s="118" t="s">
        <v>843</v>
      </c>
      <c r="L50" s="151">
        <v>321</v>
      </c>
      <c r="M50" s="171" t="s">
        <v>45</v>
      </c>
      <c r="N50" s="172">
        <v>0</v>
      </c>
      <c r="O50" s="147">
        <f t="shared" si="13"/>
        <v>0</v>
      </c>
      <c r="P50" s="147">
        <f t="shared" si="16"/>
        <v>0</v>
      </c>
      <c r="Q50" s="47">
        <f t="shared" si="17"/>
        <v>0</v>
      </c>
      <c r="R50" s="146"/>
      <c r="S50" s="148"/>
      <c r="T50" s="148"/>
      <c r="U50" s="149"/>
      <c r="V50" s="149"/>
    </row>
    <row r="51" spans="1:22" s="57" customFormat="1" ht="27.75" customHeight="1">
      <c r="A51" s="22">
        <v>5</v>
      </c>
      <c r="B51" s="170" t="s">
        <v>111</v>
      </c>
      <c r="C51" s="140" t="s">
        <v>102</v>
      </c>
      <c r="D51" s="141">
        <v>321</v>
      </c>
      <c r="E51" s="142" t="s">
        <v>45</v>
      </c>
      <c r="F51" s="143">
        <v>0</v>
      </c>
      <c r="G51" s="61">
        <v>0</v>
      </c>
      <c r="H51" s="61">
        <v>0</v>
      </c>
      <c r="I51" s="47">
        <v>0</v>
      </c>
      <c r="J51" s="117">
        <v>46046</v>
      </c>
      <c r="K51" s="118" t="s">
        <v>844</v>
      </c>
      <c r="L51" s="151">
        <v>321</v>
      </c>
      <c r="M51" s="171" t="s">
        <v>45</v>
      </c>
      <c r="N51" s="172">
        <v>0</v>
      </c>
      <c r="O51" s="147">
        <f t="shared" si="13"/>
        <v>0</v>
      </c>
      <c r="P51" s="147">
        <f t="shared" si="16"/>
        <v>0</v>
      </c>
      <c r="Q51" s="47">
        <f t="shared" si="17"/>
        <v>0</v>
      </c>
      <c r="R51" s="146"/>
      <c r="S51" s="148"/>
      <c r="T51" s="148"/>
      <c r="U51" s="149"/>
      <c r="V51" s="149"/>
    </row>
    <row r="52" spans="1:22" s="57" customFormat="1" ht="27.75" customHeight="1">
      <c r="A52" s="22">
        <v>6</v>
      </c>
      <c r="B52" s="170" t="s">
        <v>113</v>
      </c>
      <c r="C52" s="140" t="s">
        <v>102</v>
      </c>
      <c r="D52" s="141">
        <v>160.5</v>
      </c>
      <c r="E52" s="142" t="s">
        <v>45</v>
      </c>
      <c r="F52" s="143">
        <v>0</v>
      </c>
      <c r="G52" s="61">
        <v>0</v>
      </c>
      <c r="H52" s="61">
        <v>0</v>
      </c>
      <c r="I52" s="47">
        <v>0</v>
      </c>
      <c r="J52" s="113">
        <v>46031</v>
      </c>
      <c r="K52" s="114" t="s">
        <v>845</v>
      </c>
      <c r="L52" s="151">
        <v>160.5</v>
      </c>
      <c r="M52" s="171" t="s">
        <v>45</v>
      </c>
      <c r="N52" s="172">
        <v>0</v>
      </c>
      <c r="O52" s="147">
        <f t="shared" si="13"/>
        <v>0</v>
      </c>
      <c r="P52" s="147">
        <f t="shared" si="16"/>
        <v>0</v>
      </c>
      <c r="Q52" s="47">
        <f t="shared" si="17"/>
        <v>0</v>
      </c>
      <c r="R52" s="146"/>
      <c r="S52" s="148"/>
      <c r="T52" s="148"/>
      <c r="U52" s="149"/>
      <c r="V52" s="149"/>
    </row>
    <row r="53" spans="1:22" s="57" customFormat="1" ht="27.75" customHeight="1">
      <c r="A53" s="22">
        <v>7</v>
      </c>
      <c r="B53" s="170" t="s">
        <v>115</v>
      </c>
      <c r="C53" s="140" t="s">
        <v>102</v>
      </c>
      <c r="D53" s="173">
        <v>0</v>
      </c>
      <c r="E53" s="142" t="s">
        <v>45</v>
      </c>
      <c r="F53" s="143">
        <v>0</v>
      </c>
      <c r="G53" s="61">
        <v>0</v>
      </c>
      <c r="H53" s="61">
        <v>0</v>
      </c>
      <c r="I53" s="47">
        <v>0</v>
      </c>
      <c r="J53" s="113"/>
      <c r="K53" s="114"/>
      <c r="L53" s="151">
        <v>0</v>
      </c>
      <c r="M53" s="174" t="s">
        <v>45</v>
      </c>
      <c r="N53" s="172">
        <v>0</v>
      </c>
      <c r="O53" s="147">
        <f t="shared" si="13"/>
        <v>0</v>
      </c>
      <c r="P53" s="147">
        <f t="shared" si="16"/>
        <v>0</v>
      </c>
      <c r="Q53" s="47">
        <f t="shared" si="17"/>
        <v>0</v>
      </c>
      <c r="R53" s="146"/>
      <c r="S53" s="148"/>
      <c r="T53" s="148"/>
      <c r="U53" s="149"/>
      <c r="V53" s="149"/>
    </row>
    <row r="54" spans="1:22" s="57" customFormat="1" ht="27.75" customHeight="1">
      <c r="A54" s="22">
        <v>8</v>
      </c>
      <c r="B54" s="170" t="s">
        <v>117</v>
      </c>
      <c r="C54" s="140" t="s">
        <v>102</v>
      </c>
      <c r="D54" s="141">
        <v>535</v>
      </c>
      <c r="E54" s="142" t="s">
        <v>45</v>
      </c>
      <c r="F54" s="143">
        <v>0</v>
      </c>
      <c r="G54" s="45">
        <v>0</v>
      </c>
      <c r="H54" s="61">
        <v>0</v>
      </c>
      <c r="I54" s="47">
        <v>0</v>
      </c>
      <c r="J54" s="113">
        <v>46037</v>
      </c>
      <c r="K54" s="114" t="s">
        <v>846</v>
      </c>
      <c r="L54" s="151">
        <v>535</v>
      </c>
      <c r="M54" s="171" t="s">
        <v>45</v>
      </c>
      <c r="N54" s="172">
        <v>0</v>
      </c>
      <c r="O54" s="147">
        <f t="shared" si="13"/>
        <v>0</v>
      </c>
      <c r="P54" s="147">
        <f t="shared" si="16"/>
        <v>0</v>
      </c>
      <c r="Q54" s="47">
        <f t="shared" si="17"/>
        <v>0</v>
      </c>
      <c r="R54" s="146"/>
      <c r="S54" s="148"/>
      <c r="T54" s="148"/>
      <c r="U54" s="149"/>
      <c r="V54" s="149"/>
    </row>
    <row r="55" spans="1:22" s="57" customFormat="1" ht="27.75" customHeight="1">
      <c r="A55" s="22">
        <v>9</v>
      </c>
      <c r="B55" s="170" t="s">
        <v>119</v>
      </c>
      <c r="C55" s="140" t="s">
        <v>102</v>
      </c>
      <c r="D55" s="141">
        <v>321</v>
      </c>
      <c r="E55" s="142" t="s">
        <v>45</v>
      </c>
      <c r="F55" s="143">
        <v>0</v>
      </c>
      <c r="G55" s="45">
        <v>0</v>
      </c>
      <c r="H55" s="61">
        <v>0</v>
      </c>
      <c r="I55" s="47">
        <v>0</v>
      </c>
      <c r="J55" s="113">
        <v>46049</v>
      </c>
      <c r="K55" s="114" t="s">
        <v>847</v>
      </c>
      <c r="L55" s="151">
        <v>321</v>
      </c>
      <c r="M55" s="171" t="s">
        <v>45</v>
      </c>
      <c r="N55" s="172">
        <v>0</v>
      </c>
      <c r="O55" s="147">
        <f t="shared" si="13"/>
        <v>0</v>
      </c>
      <c r="P55" s="147">
        <f t="shared" si="16"/>
        <v>0</v>
      </c>
      <c r="Q55" s="47">
        <f t="shared" si="17"/>
        <v>0</v>
      </c>
      <c r="R55" s="146"/>
      <c r="S55" s="148"/>
      <c r="T55" s="148"/>
      <c r="U55" s="149"/>
      <c r="V55" s="149"/>
    </row>
    <row r="56" spans="1:22" s="57" customFormat="1" ht="27.75" customHeight="1">
      <c r="A56" s="22">
        <v>10</v>
      </c>
      <c r="B56" s="170" t="s">
        <v>121</v>
      </c>
      <c r="C56" s="140" t="s">
        <v>102</v>
      </c>
      <c r="D56" s="173">
        <v>321</v>
      </c>
      <c r="E56" s="142" t="s">
        <v>45</v>
      </c>
      <c r="F56" s="143">
        <v>0</v>
      </c>
      <c r="G56" s="45">
        <v>0</v>
      </c>
      <c r="H56" s="61">
        <v>0</v>
      </c>
      <c r="I56" s="47">
        <v>0</v>
      </c>
      <c r="J56" s="113">
        <v>46049</v>
      </c>
      <c r="K56" s="114" t="s">
        <v>848</v>
      </c>
      <c r="L56" s="151">
        <v>321</v>
      </c>
      <c r="M56" s="171" t="s">
        <v>45</v>
      </c>
      <c r="N56" s="172">
        <v>0</v>
      </c>
      <c r="O56" s="147">
        <f t="shared" si="13"/>
        <v>0</v>
      </c>
      <c r="P56" s="147">
        <f t="shared" si="16"/>
        <v>0</v>
      </c>
      <c r="Q56" s="47">
        <f t="shared" si="17"/>
        <v>0</v>
      </c>
      <c r="R56" s="146"/>
      <c r="S56" s="148"/>
      <c r="T56" s="148"/>
      <c r="U56" s="149"/>
      <c r="V56" s="149"/>
    </row>
    <row r="57" spans="1:22" s="57" customFormat="1" ht="27.75" customHeight="1">
      <c r="A57" s="22">
        <v>11</v>
      </c>
      <c r="B57" s="40" t="s">
        <v>123</v>
      </c>
      <c r="C57" s="140" t="s">
        <v>102</v>
      </c>
      <c r="D57" s="173">
        <v>160.5</v>
      </c>
      <c r="E57" s="142" t="s">
        <v>737</v>
      </c>
      <c r="F57" s="143">
        <v>-5</v>
      </c>
      <c r="G57" s="45">
        <v>-750</v>
      </c>
      <c r="H57" s="61">
        <v>-52.5</v>
      </c>
      <c r="I57" s="47">
        <v>-802.5</v>
      </c>
      <c r="J57" s="113"/>
      <c r="K57" s="114"/>
      <c r="L57" s="144">
        <v>0</v>
      </c>
      <c r="M57" s="145" t="s">
        <v>849</v>
      </c>
      <c r="N57" s="146">
        <v>-4</v>
      </c>
      <c r="O57" s="147">
        <f t="shared" si="13"/>
        <v>-600</v>
      </c>
      <c r="P57" s="147">
        <f t="shared" si="16"/>
        <v>-42</v>
      </c>
      <c r="Q57" s="47">
        <f t="shared" si="17"/>
        <v>-642</v>
      </c>
      <c r="R57" s="146"/>
      <c r="S57" s="148"/>
      <c r="T57" s="148"/>
      <c r="U57" s="149"/>
      <c r="V57" s="149"/>
    </row>
    <row r="58" spans="1:22" s="57" customFormat="1" ht="27.75" customHeight="1">
      <c r="A58" s="22">
        <v>12</v>
      </c>
      <c r="B58" s="40" t="s">
        <v>126</v>
      </c>
      <c r="C58" s="140" t="s">
        <v>102</v>
      </c>
      <c r="D58" s="173">
        <v>642</v>
      </c>
      <c r="E58" s="142" t="s">
        <v>801</v>
      </c>
      <c r="F58" s="143">
        <v>-1</v>
      </c>
      <c r="G58" s="61">
        <v>-600</v>
      </c>
      <c r="H58" s="61">
        <v>-42</v>
      </c>
      <c r="I58" s="47">
        <v>-642</v>
      </c>
      <c r="J58" s="113">
        <v>46053</v>
      </c>
      <c r="K58" s="114" t="s">
        <v>850</v>
      </c>
      <c r="L58" s="144">
        <v>642</v>
      </c>
      <c r="M58" s="145" t="s">
        <v>823</v>
      </c>
      <c r="N58" s="146">
        <v>-1</v>
      </c>
      <c r="O58" s="147">
        <f t="shared" si="13"/>
        <v>-600</v>
      </c>
      <c r="P58" s="147">
        <f t="shared" si="16"/>
        <v>-42</v>
      </c>
      <c r="Q58" s="47">
        <f t="shared" si="17"/>
        <v>-642</v>
      </c>
      <c r="R58" s="146"/>
      <c r="S58" s="148"/>
      <c r="T58" s="148"/>
      <c r="U58" s="149"/>
      <c r="V58" s="149"/>
    </row>
    <row r="59" spans="1:22" s="57" customFormat="1" ht="27.75" customHeight="1">
      <c r="A59" s="22">
        <v>13</v>
      </c>
      <c r="B59" s="40" t="s">
        <v>128</v>
      </c>
      <c r="C59" s="140" t="s">
        <v>102</v>
      </c>
      <c r="D59" s="141">
        <v>642</v>
      </c>
      <c r="E59" s="142" t="s">
        <v>45</v>
      </c>
      <c r="F59" s="143">
        <v>0</v>
      </c>
      <c r="G59" s="61">
        <v>0</v>
      </c>
      <c r="H59" s="61">
        <v>0</v>
      </c>
      <c r="I59" s="47">
        <v>0</v>
      </c>
      <c r="J59" s="113">
        <v>46050</v>
      </c>
      <c r="K59" s="114" t="s">
        <v>851</v>
      </c>
      <c r="L59" s="144">
        <v>642</v>
      </c>
      <c r="M59" s="145" t="s">
        <v>45</v>
      </c>
      <c r="N59" s="146">
        <v>0</v>
      </c>
      <c r="O59" s="147">
        <f t="shared" si="13"/>
        <v>0</v>
      </c>
      <c r="P59" s="147">
        <f t="shared" si="16"/>
        <v>0</v>
      </c>
      <c r="Q59" s="47">
        <f t="shared" si="17"/>
        <v>0</v>
      </c>
      <c r="R59" s="146"/>
      <c r="S59" s="148"/>
      <c r="T59" s="148"/>
      <c r="U59" s="149"/>
      <c r="V59" s="149"/>
    </row>
    <row r="60" spans="1:22" s="57" customFormat="1" ht="27.75" customHeight="1">
      <c r="A60" s="22">
        <v>14</v>
      </c>
      <c r="B60" s="40" t="s">
        <v>130</v>
      </c>
      <c r="C60" s="140" t="s">
        <v>102</v>
      </c>
      <c r="D60" s="141">
        <v>160.5</v>
      </c>
      <c r="E60" s="142" t="s">
        <v>634</v>
      </c>
      <c r="F60" s="143">
        <v>1</v>
      </c>
      <c r="G60" s="61">
        <v>150</v>
      </c>
      <c r="H60" s="61">
        <v>10.5</v>
      </c>
      <c r="I60" s="47">
        <v>160.5</v>
      </c>
      <c r="J60" s="175">
        <v>46027</v>
      </c>
      <c r="K60" s="176" t="s">
        <v>852</v>
      </c>
      <c r="L60" s="177">
        <v>160.5</v>
      </c>
      <c r="M60" s="145" t="s">
        <v>801</v>
      </c>
      <c r="N60" s="146">
        <v>1</v>
      </c>
      <c r="O60" s="147">
        <f t="shared" si="13"/>
        <v>150</v>
      </c>
      <c r="P60" s="147">
        <f t="shared" si="16"/>
        <v>10.5</v>
      </c>
      <c r="Q60" s="47">
        <f t="shared" si="17"/>
        <v>160.5</v>
      </c>
      <c r="R60" s="146"/>
      <c r="S60" s="148"/>
      <c r="T60" s="148"/>
      <c r="U60" s="149"/>
      <c r="V60" s="149"/>
    </row>
    <row r="61" spans="1:22" s="57" customFormat="1" ht="27.75" customHeight="1">
      <c r="A61" s="22">
        <v>15</v>
      </c>
      <c r="B61" s="170" t="s">
        <v>132</v>
      </c>
      <c r="C61" s="140" t="s">
        <v>102</v>
      </c>
      <c r="D61" s="141">
        <v>321</v>
      </c>
      <c r="E61" s="142" t="s">
        <v>45</v>
      </c>
      <c r="F61" s="143">
        <v>0</v>
      </c>
      <c r="G61" s="45">
        <v>0</v>
      </c>
      <c r="H61" s="61">
        <v>0</v>
      </c>
      <c r="I61" s="47">
        <v>0</v>
      </c>
      <c r="J61" s="178">
        <v>46034</v>
      </c>
      <c r="K61" s="179" t="s">
        <v>853</v>
      </c>
      <c r="L61" s="180">
        <v>321</v>
      </c>
      <c r="M61" s="171" t="s">
        <v>45</v>
      </c>
      <c r="N61" s="172">
        <v>0</v>
      </c>
      <c r="O61" s="147">
        <f t="shared" si="13"/>
        <v>0</v>
      </c>
      <c r="P61" s="147">
        <f t="shared" si="16"/>
        <v>0</v>
      </c>
      <c r="Q61" s="47">
        <f t="shared" si="17"/>
        <v>0</v>
      </c>
      <c r="R61" s="146"/>
      <c r="S61" s="148"/>
      <c r="T61" s="148"/>
      <c r="U61" s="149"/>
      <c r="V61" s="149"/>
    </row>
    <row r="62" spans="1:22" s="57" customFormat="1" ht="27.75" customHeight="1">
      <c r="A62" s="22">
        <v>16</v>
      </c>
      <c r="B62" s="40" t="s">
        <v>134</v>
      </c>
      <c r="C62" s="140" t="s">
        <v>102</v>
      </c>
      <c r="D62" s="141">
        <v>160.5</v>
      </c>
      <c r="E62" s="142" t="s">
        <v>45</v>
      </c>
      <c r="F62" s="143">
        <v>0</v>
      </c>
      <c r="G62" s="61">
        <v>0</v>
      </c>
      <c r="H62" s="61">
        <v>0</v>
      </c>
      <c r="I62" s="47">
        <v>0</v>
      </c>
      <c r="J62" s="175">
        <v>46046</v>
      </c>
      <c r="K62" s="176" t="s">
        <v>854</v>
      </c>
      <c r="L62" s="177">
        <v>160.5</v>
      </c>
      <c r="M62" s="145" t="s">
        <v>45</v>
      </c>
      <c r="N62" s="146">
        <v>0</v>
      </c>
      <c r="O62" s="147">
        <f t="shared" si="13"/>
        <v>0</v>
      </c>
      <c r="P62" s="147">
        <f t="shared" si="16"/>
        <v>0</v>
      </c>
      <c r="Q62" s="47">
        <f t="shared" si="17"/>
        <v>0</v>
      </c>
      <c r="R62" s="146"/>
      <c r="S62" s="148"/>
      <c r="T62" s="148"/>
      <c r="U62" s="149"/>
      <c r="V62" s="149"/>
    </row>
    <row r="63" spans="1:22" s="57" customFormat="1" ht="27.75" customHeight="1">
      <c r="A63" s="22">
        <v>17</v>
      </c>
      <c r="B63" s="170" t="s">
        <v>136</v>
      </c>
      <c r="C63" s="140" t="s">
        <v>102</v>
      </c>
      <c r="D63" s="141">
        <v>321</v>
      </c>
      <c r="E63" s="142" t="s">
        <v>45</v>
      </c>
      <c r="F63" s="143">
        <v>0</v>
      </c>
      <c r="G63" s="45">
        <v>0</v>
      </c>
      <c r="H63" s="61">
        <v>0</v>
      </c>
      <c r="I63" s="47">
        <v>0</v>
      </c>
      <c r="J63" s="113">
        <v>46049</v>
      </c>
      <c r="K63" s="114" t="s">
        <v>855</v>
      </c>
      <c r="L63" s="144">
        <v>321</v>
      </c>
      <c r="M63" s="171" t="s">
        <v>45</v>
      </c>
      <c r="N63" s="172">
        <v>0</v>
      </c>
      <c r="O63" s="147">
        <f t="shared" si="13"/>
        <v>0</v>
      </c>
      <c r="P63" s="147">
        <f t="shared" si="16"/>
        <v>0</v>
      </c>
      <c r="Q63" s="47">
        <f t="shared" si="17"/>
        <v>0</v>
      </c>
      <c r="R63" s="146"/>
      <c r="S63" s="148"/>
      <c r="T63" s="148"/>
      <c r="U63" s="149"/>
      <c r="V63" s="149"/>
    </row>
    <row r="64" spans="1:22" s="57" customFormat="1" ht="27.75" customHeight="1">
      <c r="A64" s="22">
        <v>18</v>
      </c>
      <c r="B64" s="181" t="s">
        <v>138</v>
      </c>
      <c r="C64" s="182" t="s">
        <v>139</v>
      </c>
      <c r="D64" s="173">
        <v>160.5</v>
      </c>
      <c r="E64" s="142" t="s">
        <v>45</v>
      </c>
      <c r="F64" s="143">
        <v>0</v>
      </c>
      <c r="G64" s="45">
        <v>0</v>
      </c>
      <c r="H64" s="61">
        <v>0</v>
      </c>
      <c r="I64" s="47">
        <v>0</v>
      </c>
      <c r="J64" s="183">
        <v>46051</v>
      </c>
      <c r="K64" s="184" t="s">
        <v>856</v>
      </c>
      <c r="L64" s="185">
        <v>1926</v>
      </c>
      <c r="M64" s="171" t="s">
        <v>857</v>
      </c>
      <c r="N64" s="44">
        <v>-11</v>
      </c>
      <c r="O64" s="147">
        <f t="shared" si="13"/>
        <v>-1650</v>
      </c>
      <c r="P64" s="147">
        <f t="shared" si="16"/>
        <v>-115.5</v>
      </c>
      <c r="Q64" s="47">
        <f t="shared" si="17"/>
        <v>-1765.5</v>
      </c>
      <c r="R64" s="146"/>
      <c r="S64" s="148"/>
      <c r="T64" s="148"/>
      <c r="U64" s="149"/>
      <c r="V64" s="149"/>
    </row>
    <row r="65" spans="1:22" s="57" customFormat="1" ht="27.75" customHeight="1">
      <c r="A65" s="22">
        <v>19</v>
      </c>
      <c r="B65" s="181" t="s">
        <v>142</v>
      </c>
      <c r="C65" s="182" t="s">
        <v>143</v>
      </c>
      <c r="D65" s="173">
        <v>160.5</v>
      </c>
      <c r="E65" s="142" t="s">
        <v>45</v>
      </c>
      <c r="F65" s="143">
        <v>0</v>
      </c>
      <c r="G65" s="45">
        <v>0</v>
      </c>
      <c r="H65" s="61">
        <v>0</v>
      </c>
      <c r="I65" s="47">
        <v>0</v>
      </c>
      <c r="J65" s="183">
        <v>46052</v>
      </c>
      <c r="K65" s="184" t="s">
        <v>858</v>
      </c>
      <c r="L65" s="185">
        <v>160.5</v>
      </c>
      <c r="M65" s="186" t="s">
        <v>45</v>
      </c>
      <c r="N65" s="44">
        <v>0</v>
      </c>
      <c r="O65" s="147">
        <f t="shared" si="13"/>
        <v>0</v>
      </c>
      <c r="P65" s="147">
        <f t="shared" si="16"/>
        <v>0</v>
      </c>
      <c r="Q65" s="47">
        <f t="shared" si="17"/>
        <v>0</v>
      </c>
      <c r="R65" s="146"/>
      <c r="S65" s="148"/>
      <c r="T65" s="148"/>
      <c r="U65" s="149"/>
      <c r="V65" s="149"/>
    </row>
    <row r="66" spans="1:22" s="57" customFormat="1" ht="27.75" customHeight="1">
      <c r="A66" s="22">
        <v>20</v>
      </c>
      <c r="B66" s="40" t="s">
        <v>145</v>
      </c>
      <c r="C66" s="140" t="s">
        <v>102</v>
      </c>
      <c r="D66" s="173">
        <v>321</v>
      </c>
      <c r="E66" s="142" t="s">
        <v>45</v>
      </c>
      <c r="F66" s="143">
        <v>0</v>
      </c>
      <c r="G66" s="45">
        <v>0</v>
      </c>
      <c r="H66" s="61">
        <v>0</v>
      </c>
      <c r="I66" s="47">
        <v>0</v>
      </c>
      <c r="J66" s="175">
        <v>46044</v>
      </c>
      <c r="K66" s="176" t="s">
        <v>859</v>
      </c>
      <c r="L66" s="177">
        <v>321</v>
      </c>
      <c r="M66" s="171" t="s">
        <v>45</v>
      </c>
      <c r="N66" s="172">
        <v>0</v>
      </c>
      <c r="O66" s="147">
        <f t="shared" si="13"/>
        <v>0</v>
      </c>
      <c r="P66" s="147">
        <f t="shared" si="16"/>
        <v>0</v>
      </c>
      <c r="Q66" s="47">
        <f t="shared" si="17"/>
        <v>0</v>
      </c>
      <c r="R66" s="146"/>
      <c r="S66" s="148"/>
      <c r="T66" s="148"/>
      <c r="U66" s="149"/>
      <c r="V66" s="149"/>
    </row>
    <row r="67" spans="1:22" s="57" customFormat="1" ht="27.75" customHeight="1">
      <c r="A67" s="22">
        <v>21</v>
      </c>
      <c r="B67" s="40" t="s">
        <v>147</v>
      </c>
      <c r="C67" s="140" t="s">
        <v>102</v>
      </c>
      <c r="D67" s="173">
        <v>160.5</v>
      </c>
      <c r="E67" s="142" t="s">
        <v>45</v>
      </c>
      <c r="F67" s="143">
        <v>0</v>
      </c>
      <c r="G67" s="45">
        <v>0</v>
      </c>
      <c r="H67" s="61">
        <v>0</v>
      </c>
      <c r="I67" s="47">
        <v>0</v>
      </c>
      <c r="J67" s="175">
        <v>46028</v>
      </c>
      <c r="K67" s="176" t="s">
        <v>860</v>
      </c>
      <c r="L67" s="177">
        <v>160.5</v>
      </c>
      <c r="M67" s="171" t="s">
        <v>45</v>
      </c>
      <c r="N67" s="172">
        <v>0</v>
      </c>
      <c r="O67" s="147">
        <f t="shared" si="13"/>
        <v>0</v>
      </c>
      <c r="P67" s="147">
        <f t="shared" si="16"/>
        <v>0</v>
      </c>
      <c r="Q67" s="47">
        <f t="shared" si="17"/>
        <v>0</v>
      </c>
      <c r="R67" s="146"/>
      <c r="S67" s="148"/>
      <c r="T67" s="148"/>
      <c r="U67" s="149"/>
      <c r="V67" s="149"/>
    </row>
    <row r="68" spans="1:22" s="57" customFormat="1" ht="27.75" customHeight="1">
      <c r="A68" s="22">
        <v>22</v>
      </c>
      <c r="B68" s="80" t="s">
        <v>149</v>
      </c>
      <c r="C68" s="140" t="s">
        <v>102</v>
      </c>
      <c r="D68" s="173">
        <v>1070</v>
      </c>
      <c r="E68" s="142" t="s">
        <v>45</v>
      </c>
      <c r="F68" s="143">
        <v>0</v>
      </c>
      <c r="G68" s="187">
        <v>0</v>
      </c>
      <c r="H68" s="61">
        <v>0</v>
      </c>
      <c r="I68" s="47">
        <v>0</v>
      </c>
      <c r="J68" s="175">
        <v>46044</v>
      </c>
      <c r="K68" s="176" t="s">
        <v>861</v>
      </c>
      <c r="L68" s="177">
        <v>1070</v>
      </c>
      <c r="M68" s="171" t="s">
        <v>45</v>
      </c>
      <c r="N68" s="172">
        <v>0</v>
      </c>
      <c r="O68" s="147">
        <f t="shared" si="13"/>
        <v>0</v>
      </c>
      <c r="P68" s="147">
        <f t="shared" si="16"/>
        <v>0</v>
      </c>
      <c r="Q68" s="47">
        <f t="shared" si="17"/>
        <v>0</v>
      </c>
      <c r="R68" s="188"/>
      <c r="S68" s="189"/>
      <c r="T68" s="189"/>
      <c r="U68" s="190"/>
      <c r="V68" s="190"/>
    </row>
    <row r="69" spans="1:22" s="57" customFormat="1" ht="27.75" customHeight="1">
      <c r="A69" s="22">
        <v>23</v>
      </c>
      <c r="B69" s="170" t="s">
        <v>151</v>
      </c>
      <c r="C69" s="140" t="s">
        <v>102</v>
      </c>
      <c r="D69" s="141">
        <v>160.5</v>
      </c>
      <c r="E69" s="142" t="s">
        <v>45</v>
      </c>
      <c r="F69" s="143">
        <v>0</v>
      </c>
      <c r="G69" s="45">
        <v>0</v>
      </c>
      <c r="H69" s="61">
        <v>0</v>
      </c>
      <c r="I69" s="47">
        <v>0</v>
      </c>
      <c r="J69" s="117">
        <v>46034</v>
      </c>
      <c r="K69" s="118" t="s">
        <v>862</v>
      </c>
      <c r="L69" s="151">
        <v>160.5</v>
      </c>
      <c r="M69" s="171" t="s">
        <v>45</v>
      </c>
      <c r="N69" s="172">
        <v>0</v>
      </c>
      <c r="O69" s="147">
        <f t="shared" si="13"/>
        <v>0</v>
      </c>
      <c r="P69" s="147">
        <f>ROUND((O69*0.07),2)</f>
        <v>0</v>
      </c>
      <c r="Q69" s="47">
        <f>+O69+P69</f>
        <v>0</v>
      </c>
      <c r="R69" s="146"/>
      <c r="S69" s="148"/>
      <c r="T69" s="148"/>
      <c r="U69" s="149"/>
      <c r="V69" s="149"/>
    </row>
    <row r="70" spans="1:22" s="57" customFormat="1" ht="27.75" customHeight="1">
      <c r="A70" s="22">
        <v>24</v>
      </c>
      <c r="B70" s="170" t="s">
        <v>153</v>
      </c>
      <c r="C70" s="140" t="s">
        <v>102</v>
      </c>
      <c r="D70" s="141">
        <v>160.5</v>
      </c>
      <c r="E70" s="142" t="s">
        <v>45</v>
      </c>
      <c r="F70" s="143">
        <v>0</v>
      </c>
      <c r="G70" s="45">
        <v>0</v>
      </c>
      <c r="H70" s="61">
        <v>0</v>
      </c>
      <c r="I70" s="47">
        <v>0</v>
      </c>
      <c r="J70" s="175">
        <v>46034</v>
      </c>
      <c r="K70" s="176" t="s">
        <v>863</v>
      </c>
      <c r="L70" s="177">
        <v>1926</v>
      </c>
      <c r="M70" s="171" t="s">
        <v>857</v>
      </c>
      <c r="N70" s="172">
        <v>-11</v>
      </c>
      <c r="O70" s="147">
        <f t="shared" si="13"/>
        <v>-1650</v>
      </c>
      <c r="P70" s="147">
        <f>ROUND((O70*0.07),2)</f>
        <v>-115.5</v>
      </c>
      <c r="Q70" s="47">
        <f>+O70+P70</f>
        <v>-1765.5</v>
      </c>
      <c r="R70" s="146"/>
      <c r="S70" s="148"/>
      <c r="T70" s="148"/>
      <c r="U70" s="149"/>
      <c r="V70" s="149"/>
    </row>
    <row r="71" spans="1:22" s="57" customFormat="1" ht="27.75" customHeight="1">
      <c r="A71" s="22">
        <v>25</v>
      </c>
      <c r="B71" s="170" t="s">
        <v>154</v>
      </c>
      <c r="C71" s="140" t="s">
        <v>102</v>
      </c>
      <c r="D71" s="141">
        <v>321</v>
      </c>
      <c r="E71" s="142" t="s">
        <v>45</v>
      </c>
      <c r="F71" s="143">
        <v>0</v>
      </c>
      <c r="G71" s="45">
        <v>0</v>
      </c>
      <c r="H71" s="61">
        <v>0</v>
      </c>
      <c r="I71" s="47">
        <v>0</v>
      </c>
      <c r="J71" s="175">
        <v>46050</v>
      </c>
      <c r="K71" s="176" t="s">
        <v>864</v>
      </c>
      <c r="L71" s="177">
        <v>321</v>
      </c>
      <c r="M71" s="186" t="s">
        <v>45</v>
      </c>
      <c r="N71" s="44">
        <v>0</v>
      </c>
      <c r="O71" s="147">
        <f t="shared" si="13"/>
        <v>0</v>
      </c>
      <c r="P71" s="147">
        <f>ROUND((O71*0.07),2)</f>
        <v>0</v>
      </c>
      <c r="Q71" s="47">
        <f>+O71+P71</f>
        <v>0</v>
      </c>
      <c r="R71" s="146"/>
      <c r="S71" s="148"/>
      <c r="T71" s="148"/>
      <c r="U71" s="149"/>
      <c r="V71" s="149"/>
    </row>
    <row r="72" spans="1:22" s="57" customFormat="1" ht="27.75" customHeight="1">
      <c r="A72" s="22">
        <v>26</v>
      </c>
      <c r="B72" s="191" t="s">
        <v>156</v>
      </c>
      <c r="C72" s="140" t="s">
        <v>102</v>
      </c>
      <c r="D72" s="192">
        <v>160.5</v>
      </c>
      <c r="E72" s="142" t="s">
        <v>45</v>
      </c>
      <c r="F72" s="143">
        <v>0</v>
      </c>
      <c r="G72" s="187">
        <v>0</v>
      </c>
      <c r="H72" s="61">
        <v>0</v>
      </c>
      <c r="I72" s="47">
        <v>0</v>
      </c>
      <c r="J72" s="175">
        <v>46026</v>
      </c>
      <c r="K72" s="176" t="s">
        <v>865</v>
      </c>
      <c r="L72" s="177">
        <v>160.5</v>
      </c>
      <c r="M72" s="186" t="s">
        <v>45</v>
      </c>
      <c r="N72" s="44">
        <v>0</v>
      </c>
      <c r="O72" s="147">
        <f t="shared" si="13"/>
        <v>0</v>
      </c>
      <c r="P72" s="147">
        <f t="shared" ref="P72:P77" si="18">ROUND((O72*0.07),2)</f>
        <v>0</v>
      </c>
      <c r="Q72" s="47">
        <f t="shared" ref="Q72:Q77" si="19">+O72+P72</f>
        <v>0</v>
      </c>
      <c r="R72" s="188"/>
      <c r="S72" s="189"/>
      <c r="T72" s="189"/>
      <c r="U72" s="190"/>
      <c r="V72" s="190"/>
    </row>
    <row r="73" spans="1:22" s="57" customFormat="1" ht="27.75" customHeight="1">
      <c r="A73" s="22">
        <v>27</v>
      </c>
      <c r="B73" s="170" t="s">
        <v>158</v>
      </c>
      <c r="C73" s="140" t="s">
        <v>102</v>
      </c>
      <c r="D73" s="141">
        <v>321</v>
      </c>
      <c r="E73" s="142" t="s">
        <v>749</v>
      </c>
      <c r="F73" s="143">
        <v>-8.1183666666666685</v>
      </c>
      <c r="G73" s="45">
        <v>-2435.5100000000002</v>
      </c>
      <c r="H73" s="61">
        <v>-170.49</v>
      </c>
      <c r="I73" s="47">
        <v>-2606</v>
      </c>
      <c r="J73" s="117"/>
      <c r="K73" s="118"/>
      <c r="L73" s="151">
        <v>0</v>
      </c>
      <c r="M73" s="171" t="s">
        <v>866</v>
      </c>
      <c r="N73" s="172">
        <v>-7.1183666666666676</v>
      </c>
      <c r="O73" s="147">
        <f t="shared" si="13"/>
        <v>-2135.5100000000002</v>
      </c>
      <c r="P73" s="147">
        <f t="shared" si="18"/>
        <v>-149.49</v>
      </c>
      <c r="Q73" s="47">
        <f t="shared" si="19"/>
        <v>-2285</v>
      </c>
      <c r="R73" s="146"/>
      <c r="S73" s="148"/>
      <c r="T73" s="148"/>
      <c r="U73" s="149"/>
      <c r="V73" s="149"/>
    </row>
    <row r="74" spans="1:22" s="57" customFormat="1" ht="27.75" customHeight="1">
      <c r="A74" s="22">
        <v>28</v>
      </c>
      <c r="B74" s="191" t="s">
        <v>161</v>
      </c>
      <c r="C74" s="140" t="s">
        <v>102</v>
      </c>
      <c r="D74" s="192">
        <v>321</v>
      </c>
      <c r="E74" s="142" t="s">
        <v>45</v>
      </c>
      <c r="F74" s="143">
        <v>0</v>
      </c>
      <c r="G74" s="187">
        <v>0</v>
      </c>
      <c r="H74" s="61">
        <v>0</v>
      </c>
      <c r="I74" s="47">
        <v>0</v>
      </c>
      <c r="J74" s="117">
        <v>46050</v>
      </c>
      <c r="K74" s="118" t="s">
        <v>867</v>
      </c>
      <c r="L74" s="151">
        <v>321</v>
      </c>
      <c r="M74" s="171" t="s">
        <v>45</v>
      </c>
      <c r="N74" s="172">
        <v>0</v>
      </c>
      <c r="O74" s="147">
        <f t="shared" si="13"/>
        <v>0</v>
      </c>
      <c r="P74" s="147">
        <f t="shared" si="18"/>
        <v>0</v>
      </c>
      <c r="Q74" s="47">
        <f t="shared" si="19"/>
        <v>0</v>
      </c>
      <c r="R74" s="188"/>
      <c r="S74" s="189"/>
      <c r="T74" s="189"/>
      <c r="U74" s="190"/>
      <c r="V74" s="190"/>
    </row>
    <row r="75" spans="1:22" s="57" customFormat="1" ht="27.75" customHeight="1">
      <c r="A75" s="22">
        <v>29</v>
      </c>
      <c r="B75" s="191" t="s">
        <v>163</v>
      </c>
      <c r="C75" s="140" t="s">
        <v>102</v>
      </c>
      <c r="D75" s="192">
        <v>160.5</v>
      </c>
      <c r="E75" s="142" t="s">
        <v>45</v>
      </c>
      <c r="F75" s="143">
        <v>0</v>
      </c>
      <c r="G75" s="187">
        <v>0</v>
      </c>
      <c r="H75" s="61">
        <v>0</v>
      </c>
      <c r="I75" s="47">
        <v>0</v>
      </c>
      <c r="J75" s="117">
        <v>46049</v>
      </c>
      <c r="K75" s="118" t="s">
        <v>868</v>
      </c>
      <c r="L75" s="151">
        <v>160.5</v>
      </c>
      <c r="M75" s="171" t="s">
        <v>45</v>
      </c>
      <c r="N75" s="172">
        <v>0</v>
      </c>
      <c r="O75" s="147">
        <f t="shared" si="13"/>
        <v>0</v>
      </c>
      <c r="P75" s="147">
        <f t="shared" si="18"/>
        <v>0</v>
      </c>
      <c r="Q75" s="47">
        <f t="shared" si="19"/>
        <v>0</v>
      </c>
      <c r="R75" s="188"/>
      <c r="S75" s="189"/>
      <c r="T75" s="189"/>
      <c r="U75" s="190"/>
      <c r="V75" s="190"/>
    </row>
    <row r="76" spans="1:22" s="57" customFormat="1" ht="27.75" customHeight="1">
      <c r="A76" s="22">
        <v>30</v>
      </c>
      <c r="B76" s="170" t="s">
        <v>165</v>
      </c>
      <c r="C76" s="140" t="s">
        <v>102</v>
      </c>
      <c r="D76" s="141">
        <v>1070</v>
      </c>
      <c r="E76" s="142" t="s">
        <v>45</v>
      </c>
      <c r="F76" s="143">
        <v>0</v>
      </c>
      <c r="G76" s="45">
        <v>0</v>
      </c>
      <c r="H76" s="61">
        <v>0</v>
      </c>
      <c r="I76" s="47">
        <v>0</v>
      </c>
      <c r="J76" s="175">
        <v>46029</v>
      </c>
      <c r="K76" s="176" t="s">
        <v>869</v>
      </c>
      <c r="L76" s="177">
        <v>1070</v>
      </c>
      <c r="M76" s="171" t="s">
        <v>45</v>
      </c>
      <c r="N76" s="172">
        <v>0</v>
      </c>
      <c r="O76" s="147">
        <f t="shared" si="13"/>
        <v>0</v>
      </c>
      <c r="P76" s="147">
        <f t="shared" si="18"/>
        <v>0</v>
      </c>
      <c r="Q76" s="47">
        <f t="shared" si="19"/>
        <v>0</v>
      </c>
      <c r="R76" s="146"/>
      <c r="S76" s="148"/>
      <c r="T76" s="148"/>
      <c r="U76" s="149"/>
      <c r="V76" s="149"/>
    </row>
    <row r="77" spans="1:22" s="57" customFormat="1" ht="27.75" customHeight="1">
      <c r="A77" s="22">
        <v>31</v>
      </c>
      <c r="B77" s="191" t="s">
        <v>167</v>
      </c>
      <c r="C77" s="140" t="s">
        <v>102</v>
      </c>
      <c r="D77" s="192">
        <v>535</v>
      </c>
      <c r="E77" s="142" t="s">
        <v>45</v>
      </c>
      <c r="F77" s="143">
        <v>0</v>
      </c>
      <c r="G77" s="187">
        <v>0</v>
      </c>
      <c r="H77" s="61">
        <v>0</v>
      </c>
      <c r="I77" s="47">
        <v>0</v>
      </c>
      <c r="J77" s="117">
        <v>46051</v>
      </c>
      <c r="K77" s="118" t="s">
        <v>870</v>
      </c>
      <c r="L77" s="151">
        <v>535</v>
      </c>
      <c r="M77" s="171" t="s">
        <v>45</v>
      </c>
      <c r="N77" s="172">
        <v>0</v>
      </c>
      <c r="O77" s="147">
        <f t="shared" si="13"/>
        <v>0</v>
      </c>
      <c r="P77" s="147">
        <f t="shared" si="18"/>
        <v>0</v>
      </c>
      <c r="Q77" s="47">
        <f t="shared" si="19"/>
        <v>0</v>
      </c>
      <c r="R77" s="188"/>
      <c r="S77" s="189"/>
      <c r="T77" s="189"/>
      <c r="U77" s="190"/>
      <c r="V77" s="190"/>
    </row>
    <row r="78" spans="1:22" s="57" customFormat="1" ht="27.75" customHeight="1">
      <c r="A78" s="22">
        <v>32</v>
      </c>
      <c r="B78" s="170" t="s">
        <v>169</v>
      </c>
      <c r="C78" s="140" t="s">
        <v>102</v>
      </c>
      <c r="D78" s="173">
        <v>321</v>
      </c>
      <c r="E78" s="142" t="s">
        <v>45</v>
      </c>
      <c r="F78" s="143">
        <v>0</v>
      </c>
      <c r="G78" s="45">
        <v>0</v>
      </c>
      <c r="H78" s="61">
        <v>0</v>
      </c>
      <c r="I78" s="47">
        <v>0</v>
      </c>
      <c r="J78" s="175">
        <v>46050</v>
      </c>
      <c r="K78" s="176" t="s">
        <v>871</v>
      </c>
      <c r="L78" s="177">
        <v>321</v>
      </c>
      <c r="M78" s="171" t="s">
        <v>45</v>
      </c>
      <c r="N78" s="172">
        <v>0</v>
      </c>
      <c r="O78" s="147">
        <f t="shared" si="13"/>
        <v>0</v>
      </c>
      <c r="P78" s="147">
        <f>ROUND((O78*0.07),2)</f>
        <v>0</v>
      </c>
      <c r="Q78" s="47">
        <f>+O78+P78</f>
        <v>0</v>
      </c>
      <c r="R78" s="146"/>
      <c r="S78" s="148"/>
      <c r="T78" s="148"/>
      <c r="U78" s="149"/>
      <c r="V78" s="149"/>
    </row>
    <row r="79" spans="1:22" s="57" customFormat="1" ht="27.75" customHeight="1">
      <c r="A79" s="22">
        <v>33</v>
      </c>
      <c r="B79" s="191" t="s">
        <v>171</v>
      </c>
      <c r="C79" s="140" t="s">
        <v>102</v>
      </c>
      <c r="D79" s="173">
        <v>963</v>
      </c>
      <c r="E79" s="142" t="s">
        <v>45</v>
      </c>
      <c r="F79" s="143">
        <v>0</v>
      </c>
      <c r="G79" s="187">
        <v>0</v>
      </c>
      <c r="H79" s="61">
        <v>0</v>
      </c>
      <c r="I79" s="47">
        <v>0</v>
      </c>
      <c r="J79" s="175">
        <v>46053</v>
      </c>
      <c r="K79" s="176" t="s">
        <v>872</v>
      </c>
      <c r="L79" s="177">
        <v>963</v>
      </c>
      <c r="M79" s="171" t="s">
        <v>45</v>
      </c>
      <c r="N79" s="172">
        <v>0</v>
      </c>
      <c r="O79" s="147">
        <f t="shared" si="13"/>
        <v>0</v>
      </c>
      <c r="P79" s="147">
        <f t="shared" ref="P79:P83" si="20">ROUND((O79*0.07),2)</f>
        <v>0</v>
      </c>
      <c r="Q79" s="47">
        <f t="shared" ref="Q79:Q83" si="21">+O79+P79</f>
        <v>0</v>
      </c>
      <c r="R79" s="188"/>
      <c r="S79" s="189"/>
      <c r="T79" s="189"/>
      <c r="U79" s="190"/>
      <c r="V79" s="190"/>
    </row>
    <row r="80" spans="1:22" s="57" customFormat="1" ht="27.75" customHeight="1">
      <c r="A80" s="22">
        <v>34</v>
      </c>
      <c r="B80" s="191" t="s">
        <v>173</v>
      </c>
      <c r="C80" s="140" t="s">
        <v>102</v>
      </c>
      <c r="D80" s="173">
        <v>321</v>
      </c>
      <c r="E80" s="142" t="s">
        <v>45</v>
      </c>
      <c r="F80" s="143">
        <v>0</v>
      </c>
      <c r="G80" s="187">
        <v>0</v>
      </c>
      <c r="H80" s="61">
        <v>0</v>
      </c>
      <c r="I80" s="47">
        <v>0</v>
      </c>
      <c r="J80" s="175">
        <v>46034</v>
      </c>
      <c r="K80" s="176" t="s">
        <v>873</v>
      </c>
      <c r="L80" s="177">
        <v>321</v>
      </c>
      <c r="M80" s="171" t="s">
        <v>45</v>
      </c>
      <c r="N80" s="172">
        <v>0</v>
      </c>
      <c r="O80" s="147">
        <f t="shared" si="13"/>
        <v>0</v>
      </c>
      <c r="P80" s="147">
        <f t="shared" si="20"/>
        <v>0</v>
      </c>
      <c r="Q80" s="47">
        <f t="shared" si="21"/>
        <v>0</v>
      </c>
      <c r="R80" s="188"/>
      <c r="S80" s="189"/>
      <c r="T80" s="189"/>
      <c r="U80" s="190"/>
      <c r="V80" s="190"/>
    </row>
    <row r="81" spans="1:23" s="57" customFormat="1" ht="27.75" customHeight="1">
      <c r="A81" s="22">
        <v>35</v>
      </c>
      <c r="B81" s="191" t="s">
        <v>175</v>
      </c>
      <c r="C81" s="140" t="s">
        <v>102</v>
      </c>
      <c r="D81" s="173">
        <v>321</v>
      </c>
      <c r="E81" s="142" t="s">
        <v>26</v>
      </c>
      <c r="F81" s="143">
        <v>0</v>
      </c>
      <c r="G81" s="187">
        <v>0</v>
      </c>
      <c r="H81" s="61">
        <v>0</v>
      </c>
      <c r="I81" s="47">
        <v>0</v>
      </c>
      <c r="J81" s="175">
        <v>46025</v>
      </c>
      <c r="K81" s="176" t="s">
        <v>874</v>
      </c>
      <c r="L81" s="177">
        <v>321</v>
      </c>
      <c r="M81" s="171" t="s">
        <v>26</v>
      </c>
      <c r="N81" s="172">
        <v>0</v>
      </c>
      <c r="O81" s="147">
        <f t="shared" si="13"/>
        <v>0</v>
      </c>
      <c r="P81" s="147">
        <f t="shared" si="20"/>
        <v>0</v>
      </c>
      <c r="Q81" s="47">
        <f t="shared" si="21"/>
        <v>0</v>
      </c>
      <c r="R81" s="188"/>
      <c r="S81" s="189"/>
      <c r="T81" s="189"/>
      <c r="U81" s="190"/>
      <c r="V81" s="190"/>
    </row>
    <row r="82" spans="1:23" s="57" customFormat="1" ht="27.75" customHeight="1">
      <c r="A82" s="22">
        <v>36</v>
      </c>
      <c r="B82" s="191" t="s">
        <v>177</v>
      </c>
      <c r="C82" s="140" t="s">
        <v>102</v>
      </c>
      <c r="D82" s="192">
        <v>321</v>
      </c>
      <c r="E82" s="142" t="s">
        <v>45</v>
      </c>
      <c r="F82" s="143">
        <v>0</v>
      </c>
      <c r="G82" s="187">
        <v>0</v>
      </c>
      <c r="H82" s="61">
        <v>0</v>
      </c>
      <c r="I82" s="47">
        <v>0</v>
      </c>
      <c r="J82" s="117">
        <v>46050</v>
      </c>
      <c r="K82" s="118" t="s">
        <v>875</v>
      </c>
      <c r="L82" s="151">
        <v>321</v>
      </c>
      <c r="M82" s="171" t="s">
        <v>45</v>
      </c>
      <c r="N82" s="172">
        <v>0</v>
      </c>
      <c r="O82" s="147">
        <f t="shared" si="13"/>
        <v>0</v>
      </c>
      <c r="P82" s="147">
        <f t="shared" si="20"/>
        <v>0</v>
      </c>
      <c r="Q82" s="47">
        <f t="shared" si="21"/>
        <v>0</v>
      </c>
      <c r="R82" s="188"/>
      <c r="S82" s="189"/>
      <c r="T82" s="189"/>
      <c r="U82" s="190"/>
      <c r="V82" s="190"/>
    </row>
    <row r="83" spans="1:23" ht="27.75" customHeight="1" thickBot="1">
      <c r="A83" s="193"/>
      <c r="B83" s="194" t="s">
        <v>22</v>
      </c>
      <c r="C83" s="195"/>
      <c r="D83" s="196">
        <f>SUM(D47:D82)</f>
        <v>12358.5</v>
      </c>
      <c r="E83" s="196"/>
      <c r="F83" s="197"/>
      <c r="G83" s="198">
        <f>SUM(G60)</f>
        <v>150</v>
      </c>
      <c r="H83" s="198">
        <f t="shared" ref="H83:I83" si="22">SUM(H60)</f>
        <v>10.5</v>
      </c>
      <c r="I83" s="198">
        <f t="shared" si="22"/>
        <v>160.5</v>
      </c>
      <c r="J83" s="199"/>
      <c r="K83" s="199"/>
      <c r="L83" s="196">
        <f>SUM(L47:L82)</f>
        <v>14926.5</v>
      </c>
      <c r="M83" s="200"/>
      <c r="N83" s="196"/>
      <c r="O83" s="198">
        <f>+O60</f>
        <v>150</v>
      </c>
      <c r="P83" s="198">
        <f t="shared" si="20"/>
        <v>10.5</v>
      </c>
      <c r="Q83" s="198">
        <f t="shared" si="21"/>
        <v>160.5</v>
      </c>
      <c r="R83" s="36"/>
      <c r="S83" s="37"/>
      <c r="T83" s="37"/>
      <c r="U83" s="38"/>
      <c r="V83" s="38"/>
      <c r="W83" s="38"/>
    </row>
    <row r="84" spans="1:23" ht="27.75" customHeight="1" thickTop="1">
      <c r="A84" s="22"/>
      <c r="B84" s="23" t="s">
        <v>179</v>
      </c>
      <c r="C84" s="24"/>
      <c r="D84" s="25"/>
      <c r="E84" s="26"/>
      <c r="F84" s="27"/>
      <c r="G84" s="28"/>
      <c r="H84" s="28"/>
      <c r="I84" s="28"/>
      <c r="J84" s="29"/>
      <c r="K84" s="30"/>
      <c r="L84" s="31"/>
      <c r="M84" s="32"/>
      <c r="N84" s="33"/>
      <c r="O84" s="34"/>
      <c r="P84" s="34"/>
      <c r="Q84" s="35"/>
      <c r="R84" s="36"/>
      <c r="S84" s="37"/>
      <c r="T84" s="37"/>
      <c r="U84" s="38"/>
      <c r="V84" s="38"/>
      <c r="W84" s="38"/>
    </row>
    <row r="85" spans="1:23" ht="27.75" customHeight="1">
      <c r="A85" s="94">
        <v>1</v>
      </c>
      <c r="B85" s="40" t="s">
        <v>180</v>
      </c>
      <c r="C85" s="41" t="s">
        <v>181</v>
      </c>
      <c r="D85" s="562">
        <v>1364.25</v>
      </c>
      <c r="E85" s="43" t="s">
        <v>522</v>
      </c>
      <c r="F85" s="44">
        <v>1</v>
      </c>
      <c r="G85" s="45">
        <v>1350</v>
      </c>
      <c r="H85" s="61">
        <v>94.5</v>
      </c>
      <c r="I85" s="47">
        <v>1444.5</v>
      </c>
      <c r="J85" s="48">
        <v>46029</v>
      </c>
      <c r="K85" s="49" t="s">
        <v>876</v>
      </c>
      <c r="L85" s="202">
        <v>1444.5</v>
      </c>
      <c r="M85" s="83" t="s">
        <v>801</v>
      </c>
      <c r="N85" s="39">
        <v>1</v>
      </c>
      <c r="O85" s="147">
        <f>+(D85*100/107)+G85-(L85*100/107)</f>
        <v>1275</v>
      </c>
      <c r="P85" s="147">
        <f t="shared" ref="P85:P89" si="23">ROUND((O85*0.07),2)</f>
        <v>89.25</v>
      </c>
      <c r="Q85" s="47">
        <f t="shared" ref="Q85:Q89" si="24">+O85+P85</f>
        <v>1364.25</v>
      </c>
      <c r="R85" s="116"/>
      <c r="S85" s="203"/>
      <c r="T85" s="203"/>
      <c r="U85" s="204"/>
      <c r="V85" s="204"/>
    </row>
    <row r="86" spans="1:23" ht="27.75" customHeight="1">
      <c r="A86" s="94">
        <v>2</v>
      </c>
      <c r="B86" s="40" t="s">
        <v>184</v>
      </c>
      <c r="C86" s="41" t="s">
        <v>181</v>
      </c>
      <c r="D86" s="562">
        <v>3370.5</v>
      </c>
      <c r="E86" s="43" t="s">
        <v>45</v>
      </c>
      <c r="F86" s="44">
        <v>0</v>
      </c>
      <c r="G86" s="45">
        <v>0</v>
      </c>
      <c r="H86" s="61">
        <v>0</v>
      </c>
      <c r="I86" s="47">
        <v>0</v>
      </c>
      <c r="J86" s="48">
        <v>46031</v>
      </c>
      <c r="K86" s="49" t="s">
        <v>877</v>
      </c>
      <c r="L86" s="202">
        <v>3370.5</v>
      </c>
      <c r="M86" s="94" t="s">
        <v>45</v>
      </c>
      <c r="N86" s="116">
        <v>0</v>
      </c>
      <c r="O86" s="147">
        <f>+(D86*100/107)+G86-(L86*100/107)</f>
        <v>0</v>
      </c>
      <c r="P86" s="147">
        <f t="shared" si="23"/>
        <v>0</v>
      </c>
      <c r="Q86" s="47">
        <f t="shared" si="24"/>
        <v>0</v>
      </c>
      <c r="R86" s="116"/>
      <c r="S86" s="203"/>
      <c r="T86" s="203"/>
      <c r="U86" s="204"/>
      <c r="V86" s="204"/>
    </row>
    <row r="87" spans="1:23" ht="27.75" customHeight="1">
      <c r="A87" s="94">
        <v>3</v>
      </c>
      <c r="B87" s="205" t="s">
        <v>186</v>
      </c>
      <c r="C87" s="206" t="s">
        <v>181</v>
      </c>
      <c r="D87" s="563">
        <v>3370.5</v>
      </c>
      <c r="E87" s="64" t="s">
        <v>45</v>
      </c>
      <c r="F87" s="44">
        <v>0</v>
      </c>
      <c r="G87" s="45">
        <v>0</v>
      </c>
      <c r="H87" s="61">
        <v>0</v>
      </c>
      <c r="I87" s="47">
        <v>0</v>
      </c>
      <c r="J87" s="48">
        <v>46051</v>
      </c>
      <c r="K87" s="49" t="s">
        <v>878</v>
      </c>
      <c r="L87" s="202">
        <v>3370.5</v>
      </c>
      <c r="M87" s="186" t="s">
        <v>45</v>
      </c>
      <c r="N87" s="116">
        <v>0</v>
      </c>
      <c r="O87" s="147">
        <f>+(D87*100/107)+G87-(L87*100/107)</f>
        <v>0</v>
      </c>
      <c r="P87" s="147">
        <f t="shared" si="23"/>
        <v>0</v>
      </c>
      <c r="Q87" s="47">
        <f t="shared" si="24"/>
        <v>0</v>
      </c>
      <c r="R87" s="116"/>
      <c r="S87" s="203"/>
      <c r="T87" s="203"/>
      <c r="U87" s="204"/>
      <c r="V87" s="204"/>
    </row>
    <row r="88" spans="1:23" ht="27.75" customHeight="1">
      <c r="A88" s="186">
        <v>4</v>
      </c>
      <c r="B88" s="205" t="s">
        <v>188</v>
      </c>
      <c r="C88" s="206" t="s">
        <v>181</v>
      </c>
      <c r="D88" s="563">
        <v>2140</v>
      </c>
      <c r="E88" s="64" t="s">
        <v>26</v>
      </c>
      <c r="F88" s="44">
        <v>0</v>
      </c>
      <c r="G88" s="45">
        <v>0</v>
      </c>
      <c r="H88" s="45">
        <v>0</v>
      </c>
      <c r="I88" s="66">
        <v>0</v>
      </c>
      <c r="J88" s="48">
        <v>46024</v>
      </c>
      <c r="K88" s="49" t="s">
        <v>879</v>
      </c>
      <c r="L88" s="202">
        <v>2140</v>
      </c>
      <c r="M88" s="186" t="s">
        <v>26</v>
      </c>
      <c r="N88" s="116">
        <v>0</v>
      </c>
      <c r="O88" s="147">
        <f>+(D88*100/107)+G88-(L88*100/107)</f>
        <v>0</v>
      </c>
      <c r="P88" s="147">
        <f t="shared" si="23"/>
        <v>0</v>
      </c>
      <c r="Q88" s="47">
        <f t="shared" si="24"/>
        <v>0</v>
      </c>
      <c r="R88" s="116"/>
      <c r="S88" s="203"/>
      <c r="T88" s="203"/>
      <c r="U88" s="204"/>
      <c r="V88" s="204"/>
    </row>
    <row r="89" spans="1:23" s="220" customFormat="1" ht="27.75" customHeight="1">
      <c r="A89" s="186">
        <v>5</v>
      </c>
      <c r="B89" s="208" t="s">
        <v>71</v>
      </c>
      <c r="C89" s="209" t="s">
        <v>181</v>
      </c>
      <c r="D89" s="564">
        <v>2675</v>
      </c>
      <c r="E89" s="211" t="s">
        <v>722</v>
      </c>
      <c r="F89" s="212">
        <v>-0.5</v>
      </c>
      <c r="G89" s="213">
        <v>-1250</v>
      </c>
      <c r="H89" s="213">
        <v>-87.5</v>
      </c>
      <c r="I89" s="214">
        <v>-1337.5</v>
      </c>
      <c r="J89" s="62">
        <v>46044</v>
      </c>
      <c r="K89" s="215" t="s">
        <v>880</v>
      </c>
      <c r="L89" s="202">
        <v>2675</v>
      </c>
      <c r="M89" s="216" t="s">
        <v>836</v>
      </c>
      <c r="N89" s="217">
        <v>-0.5</v>
      </c>
      <c r="O89" s="147">
        <f>+(D89*100/107)+G89-(L89*100/107)</f>
        <v>-1250</v>
      </c>
      <c r="P89" s="147">
        <f t="shared" si="23"/>
        <v>-87.5</v>
      </c>
      <c r="Q89" s="47">
        <f t="shared" si="24"/>
        <v>-1337.5</v>
      </c>
      <c r="R89" s="217"/>
      <c r="S89" s="218"/>
      <c r="T89" s="218"/>
      <c r="U89" s="219"/>
      <c r="V89" s="219"/>
    </row>
    <row r="90" spans="1:23" ht="27.75" customHeight="1" thickBot="1">
      <c r="A90" s="193"/>
      <c r="B90" s="194" t="s">
        <v>22</v>
      </c>
      <c r="C90" s="195"/>
      <c r="D90" s="196">
        <f>SUM(D85:D89)</f>
        <v>12920.25</v>
      </c>
      <c r="E90" s="221"/>
      <c r="F90" s="197"/>
      <c r="G90" s="198">
        <f>SUM(G85:G89)-G89</f>
        <v>1350</v>
      </c>
      <c r="H90" s="198">
        <f t="shared" ref="H90:I90" si="25">SUM(H85:H89)-H89</f>
        <v>94.5</v>
      </c>
      <c r="I90" s="198">
        <f t="shared" si="25"/>
        <v>1444.5</v>
      </c>
      <c r="J90" s="199"/>
      <c r="K90" s="199"/>
      <c r="L90" s="196">
        <f>SUM(L85:L89)</f>
        <v>13000.5</v>
      </c>
      <c r="M90" s="200"/>
      <c r="N90" s="196"/>
      <c r="O90" s="198">
        <f>SUM(O85:O88)</f>
        <v>1275</v>
      </c>
      <c r="P90" s="198">
        <f>SUM(P85:P88)</f>
        <v>89.25</v>
      </c>
      <c r="Q90" s="198">
        <f t="shared" ref="Q90" si="26">ROUND(SUM(Q85:Q89),2)-Q89</f>
        <v>1364.25</v>
      </c>
      <c r="R90" s="36"/>
      <c r="S90" s="37"/>
      <c r="T90" s="37"/>
      <c r="U90" s="38"/>
      <c r="V90" s="38"/>
      <c r="W90" s="38"/>
    </row>
    <row r="91" spans="1:23" ht="27.75" customHeight="1" thickTop="1">
      <c r="A91" s="22"/>
      <c r="B91" s="23" t="s">
        <v>191</v>
      </c>
      <c r="C91" s="24"/>
      <c r="D91" s="25"/>
      <c r="E91" s="26"/>
      <c r="F91" s="27"/>
      <c r="G91" s="28"/>
      <c r="H91" s="28"/>
      <c r="I91" s="28"/>
      <c r="J91" s="29"/>
      <c r="K91" s="30"/>
      <c r="L91" s="31"/>
      <c r="M91" s="32"/>
      <c r="N91" s="33"/>
      <c r="O91" s="34"/>
      <c r="P91" s="34"/>
      <c r="Q91" s="35"/>
      <c r="R91" s="36"/>
      <c r="S91" s="37"/>
      <c r="T91" s="37"/>
      <c r="U91" s="38"/>
      <c r="V91" s="38"/>
      <c r="W91" s="38"/>
    </row>
    <row r="92" spans="1:23" ht="27.75" customHeight="1">
      <c r="A92" s="94">
        <v>1</v>
      </c>
      <c r="B92" s="40" t="s">
        <v>192</v>
      </c>
      <c r="C92" s="41" t="s">
        <v>193</v>
      </c>
      <c r="D92" s="141">
        <v>2140</v>
      </c>
      <c r="E92" s="43"/>
      <c r="F92" s="44"/>
      <c r="G92" s="45">
        <v>0</v>
      </c>
      <c r="H92" s="61">
        <v>0</v>
      </c>
      <c r="I92" s="47">
        <v>0</v>
      </c>
      <c r="J92" s="175">
        <v>46027</v>
      </c>
      <c r="K92" s="176" t="s">
        <v>881</v>
      </c>
      <c r="L92" s="222">
        <v>2140</v>
      </c>
      <c r="M92" s="94"/>
      <c r="N92" s="116"/>
      <c r="O92" s="147">
        <v>0</v>
      </c>
      <c r="P92" s="147">
        <v>0</v>
      </c>
      <c r="Q92" s="47">
        <v>0</v>
      </c>
      <c r="R92" s="39" t="s">
        <v>195</v>
      </c>
      <c r="S92" s="55">
        <v>42491</v>
      </c>
      <c r="T92" s="55">
        <v>43585</v>
      </c>
      <c r="U92" s="56">
        <v>262800</v>
      </c>
      <c r="V92" s="56"/>
    </row>
    <row r="93" spans="1:23" ht="27.75" customHeight="1" thickBot="1">
      <c r="A93" s="193"/>
      <c r="B93" s="194" t="s">
        <v>22</v>
      </c>
      <c r="C93" s="195"/>
      <c r="D93" s="196">
        <v>2140</v>
      </c>
      <c r="E93" s="221"/>
      <c r="F93" s="197"/>
      <c r="G93" s="198">
        <v>0</v>
      </c>
      <c r="H93" s="198">
        <v>0</v>
      </c>
      <c r="I93" s="198">
        <v>0</v>
      </c>
      <c r="J93" s="199"/>
      <c r="K93" s="199"/>
      <c r="L93" s="196">
        <f>SUM(L92)</f>
        <v>2140</v>
      </c>
      <c r="M93" s="200"/>
      <c r="N93" s="196"/>
      <c r="O93" s="198">
        <v>0</v>
      </c>
      <c r="P93" s="198">
        <v>0</v>
      </c>
      <c r="Q93" s="198">
        <v>0</v>
      </c>
      <c r="R93" s="36"/>
      <c r="S93" s="37"/>
      <c r="T93" s="37"/>
      <c r="U93" s="38"/>
      <c r="V93" s="38"/>
      <c r="W93" s="38"/>
    </row>
    <row r="94" spans="1:23" ht="27.75" customHeight="1" thickTop="1">
      <c r="A94" s="22"/>
      <c r="B94" s="23" t="s">
        <v>196</v>
      </c>
      <c r="C94" s="24"/>
      <c r="D94" s="25"/>
      <c r="E94" s="26"/>
      <c r="F94" s="27"/>
      <c r="G94" s="28"/>
      <c r="H94" s="28"/>
      <c r="I94" s="28"/>
      <c r="J94" s="29"/>
      <c r="K94" s="30"/>
      <c r="L94" s="31"/>
      <c r="M94" s="32"/>
      <c r="N94" s="33"/>
      <c r="O94" s="34"/>
      <c r="P94" s="34"/>
      <c r="Q94" s="35"/>
      <c r="R94" s="36"/>
      <c r="S94" s="37"/>
      <c r="T94" s="37"/>
      <c r="U94" s="38"/>
      <c r="V94" s="38"/>
      <c r="W94" s="38"/>
    </row>
    <row r="95" spans="1:23" s="226" customFormat="1" ht="27.75" customHeight="1">
      <c r="A95" s="94"/>
      <c r="B95" s="223" t="s">
        <v>197</v>
      </c>
      <c r="C95" s="224"/>
      <c r="D95" s="225"/>
      <c r="E95" s="80"/>
      <c r="F95" s="44"/>
      <c r="G95" s="61"/>
      <c r="H95" s="61"/>
      <c r="I95" s="85"/>
      <c r="J95" s="178"/>
      <c r="K95" s="176"/>
      <c r="L95" s="222"/>
      <c r="M95" s="83"/>
      <c r="N95" s="116"/>
      <c r="O95" s="147"/>
      <c r="P95" s="147"/>
      <c r="Q95" s="47"/>
      <c r="R95" s="39"/>
      <c r="S95" s="55"/>
      <c r="T95" s="55"/>
      <c r="U95" s="56"/>
      <c r="V95" s="56"/>
    </row>
    <row r="96" spans="1:23" s="226" customFormat="1" ht="27.75" customHeight="1">
      <c r="A96" s="94">
        <v>1</v>
      </c>
      <c r="B96" s="181" t="s">
        <v>198</v>
      </c>
      <c r="C96" s="224" t="s">
        <v>199</v>
      </c>
      <c r="D96" s="225">
        <v>26750</v>
      </c>
      <c r="E96" s="80" t="s">
        <v>26</v>
      </c>
      <c r="F96" s="44">
        <v>0</v>
      </c>
      <c r="G96" s="61">
        <v>0</v>
      </c>
      <c r="H96" s="61">
        <v>0</v>
      </c>
      <c r="I96" s="85">
        <v>0</v>
      </c>
      <c r="J96" s="113">
        <v>46030</v>
      </c>
      <c r="K96" s="114" t="s">
        <v>882</v>
      </c>
      <c r="L96" s="144">
        <v>26750</v>
      </c>
      <c r="M96" s="83" t="s">
        <v>26</v>
      </c>
      <c r="N96" s="116">
        <v>0</v>
      </c>
      <c r="O96" s="147">
        <f t="shared" ref="O96:O108" si="27">+(D96*100/107)+G96-(L96*100/107)</f>
        <v>0</v>
      </c>
      <c r="P96" s="147">
        <f t="shared" ref="P96:P108" si="28">ROUND((O96*0.07),2)</f>
        <v>0</v>
      </c>
      <c r="Q96" s="47">
        <f t="shared" ref="Q96:Q108" si="29">+O96+P96</f>
        <v>0</v>
      </c>
      <c r="R96" s="39"/>
      <c r="S96" s="55"/>
      <c r="T96" s="55"/>
      <c r="U96" s="56"/>
      <c r="V96" s="56"/>
    </row>
    <row r="97" spans="1:22" s="226" customFormat="1" ht="27.75" customHeight="1">
      <c r="A97" s="94">
        <v>2</v>
      </c>
      <c r="B97" s="181" t="s">
        <v>201</v>
      </c>
      <c r="C97" s="224" t="s">
        <v>202</v>
      </c>
      <c r="D97" s="225">
        <v>0</v>
      </c>
      <c r="E97" s="80" t="s">
        <v>26</v>
      </c>
      <c r="F97" s="44">
        <v>0</v>
      </c>
      <c r="G97" s="61">
        <v>0</v>
      </c>
      <c r="H97" s="61">
        <v>0</v>
      </c>
      <c r="I97" s="85">
        <v>0</v>
      </c>
      <c r="J97" s="113"/>
      <c r="K97" s="114"/>
      <c r="L97" s="144"/>
      <c r="M97" s="83" t="s">
        <v>26</v>
      </c>
      <c r="N97" s="116">
        <v>0</v>
      </c>
      <c r="O97" s="147">
        <f t="shared" si="27"/>
        <v>0</v>
      </c>
      <c r="P97" s="147">
        <f t="shared" si="28"/>
        <v>0</v>
      </c>
      <c r="Q97" s="47">
        <f t="shared" si="29"/>
        <v>0</v>
      </c>
      <c r="R97" s="39"/>
      <c r="S97" s="55"/>
      <c r="T97" s="55"/>
      <c r="U97" s="56"/>
      <c r="V97" s="226" t="s">
        <v>203</v>
      </c>
    </row>
    <row r="98" spans="1:22" s="226" customFormat="1" ht="27.75" customHeight="1">
      <c r="A98" s="94">
        <v>3</v>
      </c>
      <c r="B98" s="181" t="s">
        <v>204</v>
      </c>
      <c r="C98" s="224" t="s">
        <v>205</v>
      </c>
      <c r="D98" s="225">
        <v>22470</v>
      </c>
      <c r="E98" s="80" t="s">
        <v>45</v>
      </c>
      <c r="F98" s="44">
        <v>0</v>
      </c>
      <c r="G98" s="61">
        <v>0</v>
      </c>
      <c r="H98" s="61">
        <v>0</v>
      </c>
      <c r="I98" s="85">
        <v>0</v>
      </c>
      <c r="J98" s="113">
        <v>46044</v>
      </c>
      <c r="K98" s="114" t="s">
        <v>883</v>
      </c>
      <c r="L98" s="144">
        <v>22470</v>
      </c>
      <c r="M98" s="83" t="s">
        <v>45</v>
      </c>
      <c r="N98" s="116">
        <v>0</v>
      </c>
      <c r="O98" s="147">
        <f t="shared" si="27"/>
        <v>0</v>
      </c>
      <c r="P98" s="147">
        <f t="shared" si="28"/>
        <v>0</v>
      </c>
      <c r="Q98" s="47">
        <f t="shared" si="29"/>
        <v>0</v>
      </c>
      <c r="R98" s="39"/>
      <c r="S98" s="55"/>
      <c r="T98" s="55"/>
      <c r="U98" s="56"/>
      <c r="V98" s="56"/>
    </row>
    <row r="99" spans="1:22" s="226" customFormat="1" ht="27.75" customHeight="1">
      <c r="A99" s="94">
        <v>4</v>
      </c>
      <c r="B99" s="181" t="s">
        <v>204</v>
      </c>
      <c r="C99" s="224" t="s">
        <v>207</v>
      </c>
      <c r="D99" s="225">
        <v>22470</v>
      </c>
      <c r="E99" s="80" t="s">
        <v>45</v>
      </c>
      <c r="F99" s="44">
        <v>0</v>
      </c>
      <c r="G99" s="61">
        <v>0</v>
      </c>
      <c r="H99" s="61">
        <v>0</v>
      </c>
      <c r="I99" s="85">
        <v>0</v>
      </c>
      <c r="J99" s="113">
        <v>46044</v>
      </c>
      <c r="K99" s="114" t="s">
        <v>883</v>
      </c>
      <c r="L99" s="144">
        <v>22470</v>
      </c>
      <c r="M99" s="83" t="s">
        <v>45</v>
      </c>
      <c r="N99" s="116">
        <v>0</v>
      </c>
      <c r="O99" s="147">
        <f t="shared" si="27"/>
        <v>0</v>
      </c>
      <c r="P99" s="147">
        <f t="shared" si="28"/>
        <v>0</v>
      </c>
      <c r="Q99" s="47">
        <f t="shared" si="29"/>
        <v>0</v>
      </c>
      <c r="R99" s="39"/>
      <c r="S99" s="55"/>
      <c r="T99" s="55"/>
      <c r="U99" s="56"/>
      <c r="V99" s="56"/>
    </row>
    <row r="100" spans="1:22" s="226" customFormat="1" ht="27.75" customHeight="1">
      <c r="A100" s="94">
        <v>5</v>
      </c>
      <c r="B100" s="181" t="s">
        <v>201</v>
      </c>
      <c r="C100" s="224" t="s">
        <v>208</v>
      </c>
      <c r="D100" s="225">
        <v>0</v>
      </c>
      <c r="E100" s="80" t="s">
        <v>26</v>
      </c>
      <c r="F100" s="44">
        <v>0</v>
      </c>
      <c r="G100" s="61">
        <v>0</v>
      </c>
      <c r="H100" s="61">
        <v>0</v>
      </c>
      <c r="I100" s="85">
        <v>0</v>
      </c>
      <c r="J100" s="113"/>
      <c r="K100" s="114"/>
      <c r="L100" s="144"/>
      <c r="M100" s="83" t="s">
        <v>26</v>
      </c>
      <c r="N100" s="116">
        <v>0</v>
      </c>
      <c r="O100" s="147">
        <f t="shared" si="27"/>
        <v>0</v>
      </c>
      <c r="P100" s="147">
        <f t="shared" si="28"/>
        <v>0</v>
      </c>
      <c r="Q100" s="47">
        <f t="shared" si="29"/>
        <v>0</v>
      </c>
      <c r="R100" s="39"/>
      <c r="S100" s="55"/>
      <c r="T100" s="55"/>
      <c r="U100" s="56"/>
      <c r="V100" s="56"/>
    </row>
    <row r="101" spans="1:22" s="226" customFormat="1" ht="27.75" customHeight="1">
      <c r="A101" s="94">
        <v>6</v>
      </c>
      <c r="B101" s="181" t="s">
        <v>201</v>
      </c>
      <c r="C101" s="224" t="s">
        <v>209</v>
      </c>
      <c r="D101" s="225">
        <v>0</v>
      </c>
      <c r="E101" s="80" t="s">
        <v>26</v>
      </c>
      <c r="F101" s="44">
        <v>0</v>
      </c>
      <c r="G101" s="61">
        <v>0</v>
      </c>
      <c r="H101" s="61">
        <v>0</v>
      </c>
      <c r="I101" s="85">
        <v>0</v>
      </c>
      <c r="J101" s="113"/>
      <c r="K101" s="114"/>
      <c r="L101" s="144"/>
      <c r="M101" s="83" t="s">
        <v>26</v>
      </c>
      <c r="N101" s="116">
        <v>0</v>
      </c>
      <c r="O101" s="147">
        <f t="shared" si="27"/>
        <v>0</v>
      </c>
      <c r="P101" s="147">
        <f t="shared" si="28"/>
        <v>0</v>
      </c>
      <c r="Q101" s="47">
        <f t="shared" si="29"/>
        <v>0</v>
      </c>
      <c r="R101" s="39"/>
      <c r="S101" s="55"/>
      <c r="T101" s="55"/>
      <c r="U101" s="56"/>
      <c r="V101" s="56"/>
    </row>
    <row r="102" spans="1:22" s="226" customFormat="1" ht="27.75" customHeight="1">
      <c r="A102" s="94">
        <v>7</v>
      </c>
      <c r="B102" s="181" t="s">
        <v>210</v>
      </c>
      <c r="C102" s="224" t="s">
        <v>211</v>
      </c>
      <c r="D102" s="225">
        <v>22470</v>
      </c>
      <c r="E102" s="80" t="s">
        <v>26</v>
      </c>
      <c r="F102" s="44">
        <v>0</v>
      </c>
      <c r="G102" s="61">
        <v>0</v>
      </c>
      <c r="H102" s="61">
        <v>0</v>
      </c>
      <c r="I102" s="85">
        <v>0</v>
      </c>
      <c r="J102" s="113" t="s">
        <v>884</v>
      </c>
      <c r="K102" s="114" t="s">
        <v>885</v>
      </c>
      <c r="L102" s="144">
        <v>44940</v>
      </c>
      <c r="M102" s="87" t="s">
        <v>823</v>
      </c>
      <c r="N102" s="116">
        <v>-0.934579439252336</v>
      </c>
      <c r="O102" s="147">
        <f t="shared" si="27"/>
        <v>-21000</v>
      </c>
      <c r="P102" s="147">
        <f t="shared" si="28"/>
        <v>-1470</v>
      </c>
      <c r="Q102" s="47">
        <f t="shared" si="29"/>
        <v>-22470</v>
      </c>
      <c r="R102" s="39"/>
      <c r="S102" s="55"/>
      <c r="T102" s="55"/>
      <c r="U102" s="56"/>
      <c r="V102" s="56"/>
    </row>
    <row r="103" spans="1:22" s="226" customFormat="1" ht="27.75" customHeight="1">
      <c r="A103" s="94">
        <v>8</v>
      </c>
      <c r="B103" s="181" t="s">
        <v>201</v>
      </c>
      <c r="C103" s="224" t="s">
        <v>213</v>
      </c>
      <c r="D103" s="225">
        <v>0</v>
      </c>
      <c r="E103" s="80" t="s">
        <v>26</v>
      </c>
      <c r="F103" s="44">
        <v>0</v>
      </c>
      <c r="G103" s="61">
        <v>0</v>
      </c>
      <c r="H103" s="61">
        <v>0</v>
      </c>
      <c r="I103" s="85">
        <v>0</v>
      </c>
      <c r="J103" s="113"/>
      <c r="K103" s="114"/>
      <c r="L103" s="144"/>
      <c r="M103" s="83" t="s">
        <v>26</v>
      </c>
      <c r="N103" s="116">
        <v>0</v>
      </c>
      <c r="O103" s="147">
        <f t="shared" si="27"/>
        <v>0</v>
      </c>
      <c r="P103" s="147">
        <f t="shared" si="28"/>
        <v>0</v>
      </c>
      <c r="Q103" s="47">
        <f t="shared" si="29"/>
        <v>0</v>
      </c>
      <c r="R103" s="39"/>
      <c r="S103" s="55"/>
      <c r="T103" s="55"/>
      <c r="U103" s="56"/>
      <c r="V103" s="56"/>
    </row>
    <row r="104" spans="1:22" s="226" customFormat="1" ht="27.75" customHeight="1">
      <c r="A104" s="94">
        <v>9</v>
      </c>
      <c r="B104" s="181" t="s">
        <v>214</v>
      </c>
      <c r="C104" s="224" t="s">
        <v>215</v>
      </c>
      <c r="D104" s="225">
        <v>22470</v>
      </c>
      <c r="E104" s="80" t="s">
        <v>26</v>
      </c>
      <c r="F104" s="44">
        <v>0</v>
      </c>
      <c r="G104" s="61">
        <v>0</v>
      </c>
      <c r="H104" s="61">
        <v>0</v>
      </c>
      <c r="I104" s="85">
        <v>0</v>
      </c>
      <c r="J104" s="113">
        <v>46025</v>
      </c>
      <c r="K104" s="114" t="s">
        <v>886</v>
      </c>
      <c r="L104" s="144">
        <v>22470</v>
      </c>
      <c r="M104" s="83" t="s">
        <v>26</v>
      </c>
      <c r="N104" s="116">
        <v>0</v>
      </c>
      <c r="O104" s="147">
        <f t="shared" si="27"/>
        <v>0</v>
      </c>
      <c r="P104" s="147">
        <f t="shared" si="28"/>
        <v>0</v>
      </c>
      <c r="Q104" s="47">
        <f t="shared" si="29"/>
        <v>0</v>
      </c>
      <c r="R104" s="39"/>
      <c r="S104" s="55"/>
      <c r="T104" s="55"/>
      <c r="U104" s="56"/>
      <c r="V104" s="56"/>
    </row>
    <row r="105" spans="1:22" s="226" customFormat="1" ht="27.75" customHeight="1">
      <c r="A105" s="94">
        <v>10</v>
      </c>
      <c r="B105" s="181" t="s">
        <v>217</v>
      </c>
      <c r="C105" s="224" t="s">
        <v>218</v>
      </c>
      <c r="D105" s="225">
        <v>22470</v>
      </c>
      <c r="E105" s="80" t="s">
        <v>26</v>
      </c>
      <c r="F105" s="44">
        <v>0</v>
      </c>
      <c r="G105" s="61">
        <v>0</v>
      </c>
      <c r="H105" s="61">
        <v>0</v>
      </c>
      <c r="I105" s="85">
        <v>0</v>
      </c>
      <c r="J105" s="113">
        <v>46039</v>
      </c>
      <c r="K105" s="114" t="s">
        <v>887</v>
      </c>
      <c r="L105" s="144">
        <v>22470</v>
      </c>
      <c r="M105" s="83" t="s">
        <v>26</v>
      </c>
      <c r="N105" s="116">
        <v>0</v>
      </c>
      <c r="O105" s="147">
        <f t="shared" si="27"/>
        <v>0</v>
      </c>
      <c r="P105" s="147">
        <f t="shared" si="28"/>
        <v>0</v>
      </c>
      <c r="Q105" s="47">
        <f t="shared" si="29"/>
        <v>0</v>
      </c>
      <c r="R105" s="39"/>
      <c r="S105" s="55"/>
      <c r="T105" s="55"/>
      <c r="U105" s="56"/>
      <c r="V105" s="56"/>
    </row>
    <row r="106" spans="1:22" s="226" customFormat="1" ht="27.75" customHeight="1">
      <c r="A106" s="94">
        <v>11</v>
      </c>
      <c r="B106" s="181" t="s">
        <v>217</v>
      </c>
      <c r="C106" s="224" t="s">
        <v>220</v>
      </c>
      <c r="D106" s="225">
        <v>22470</v>
      </c>
      <c r="E106" s="80" t="s">
        <v>26</v>
      </c>
      <c r="F106" s="44">
        <v>0</v>
      </c>
      <c r="G106" s="61">
        <v>0</v>
      </c>
      <c r="H106" s="61">
        <v>0</v>
      </c>
      <c r="I106" s="85">
        <v>0</v>
      </c>
      <c r="J106" s="113">
        <v>46039</v>
      </c>
      <c r="K106" s="114" t="s">
        <v>887</v>
      </c>
      <c r="L106" s="144">
        <v>22470</v>
      </c>
      <c r="M106" s="83" t="s">
        <v>26</v>
      </c>
      <c r="N106" s="116">
        <v>0</v>
      </c>
      <c r="O106" s="147">
        <f t="shared" si="27"/>
        <v>0</v>
      </c>
      <c r="P106" s="147">
        <f t="shared" si="28"/>
        <v>0</v>
      </c>
      <c r="Q106" s="47">
        <f t="shared" si="29"/>
        <v>0</v>
      </c>
      <c r="R106" s="39"/>
      <c r="S106" s="55"/>
      <c r="T106" s="55"/>
      <c r="U106" s="56"/>
      <c r="V106" s="56"/>
    </row>
    <row r="107" spans="1:22" s="226" customFormat="1" ht="27.75" customHeight="1">
      <c r="A107" s="94">
        <v>12</v>
      </c>
      <c r="B107" s="181" t="s">
        <v>217</v>
      </c>
      <c r="C107" s="224" t="s">
        <v>221</v>
      </c>
      <c r="D107" s="225">
        <v>22470</v>
      </c>
      <c r="E107" s="80" t="s">
        <v>26</v>
      </c>
      <c r="F107" s="44">
        <v>0</v>
      </c>
      <c r="G107" s="61">
        <v>0</v>
      </c>
      <c r="H107" s="61">
        <v>0</v>
      </c>
      <c r="I107" s="85">
        <v>0</v>
      </c>
      <c r="J107" s="113">
        <v>46039</v>
      </c>
      <c r="K107" s="114" t="s">
        <v>887</v>
      </c>
      <c r="L107" s="144">
        <v>22470</v>
      </c>
      <c r="M107" s="83" t="s">
        <v>26</v>
      </c>
      <c r="N107" s="116">
        <v>0</v>
      </c>
      <c r="O107" s="147">
        <f t="shared" si="27"/>
        <v>0</v>
      </c>
      <c r="P107" s="147">
        <f t="shared" si="28"/>
        <v>0</v>
      </c>
      <c r="Q107" s="47">
        <f t="shared" si="29"/>
        <v>0</v>
      </c>
      <c r="R107" s="39"/>
      <c r="S107" s="55"/>
      <c r="T107" s="55"/>
      <c r="U107" s="56"/>
      <c r="V107" s="56"/>
    </row>
    <row r="108" spans="1:22" s="226" customFormat="1" ht="27.75" customHeight="1">
      <c r="A108" s="186">
        <v>13</v>
      </c>
      <c r="B108" s="181" t="s">
        <v>222</v>
      </c>
      <c r="C108" s="227" t="s">
        <v>223</v>
      </c>
      <c r="D108" s="228">
        <v>32100</v>
      </c>
      <c r="E108" s="123" t="s">
        <v>26</v>
      </c>
      <c r="F108" s="44">
        <v>0</v>
      </c>
      <c r="G108" s="45">
        <v>0</v>
      </c>
      <c r="H108" s="45">
        <v>0</v>
      </c>
      <c r="I108" s="229">
        <v>0</v>
      </c>
      <c r="J108" s="230">
        <v>46026</v>
      </c>
      <c r="K108" s="184" t="s">
        <v>888</v>
      </c>
      <c r="L108" s="231">
        <v>32100</v>
      </c>
      <c r="M108" s="232" t="s">
        <v>26</v>
      </c>
      <c r="N108" s="116">
        <v>0</v>
      </c>
      <c r="O108" s="233">
        <f t="shared" si="27"/>
        <v>0</v>
      </c>
      <c r="P108" s="233">
        <f t="shared" si="28"/>
        <v>0</v>
      </c>
      <c r="Q108" s="66">
        <f t="shared" si="29"/>
        <v>0</v>
      </c>
      <c r="R108" s="39"/>
      <c r="S108" s="55"/>
      <c r="T108" s="55"/>
      <c r="U108" s="56"/>
      <c r="V108" s="56" t="s">
        <v>225</v>
      </c>
    </row>
    <row r="109" spans="1:22" s="226" customFormat="1" ht="27.75" customHeight="1" thickBot="1">
      <c r="A109" s="234"/>
      <c r="B109" s="194" t="s">
        <v>22</v>
      </c>
      <c r="C109" s="235"/>
      <c r="D109" s="236">
        <f>SUM(D96:D108)</f>
        <v>216140</v>
      </c>
      <c r="E109" s="237"/>
      <c r="F109" s="238"/>
      <c r="G109" s="239"/>
      <c r="H109" s="239"/>
      <c r="I109" s="240"/>
      <c r="J109" s="241"/>
      <c r="K109" s="234"/>
      <c r="L109" s="236">
        <f>SUM(L96:L108)</f>
        <v>238610</v>
      </c>
      <c r="M109" s="234"/>
      <c r="N109" s="242"/>
      <c r="O109" s="243"/>
      <c r="P109" s="243"/>
      <c r="Q109" s="240"/>
      <c r="R109" s="39"/>
      <c r="S109" s="55"/>
      <c r="T109" s="55"/>
      <c r="U109" s="56"/>
      <c r="V109" s="56"/>
    </row>
    <row r="110" spans="1:22" s="226" customFormat="1" ht="27.75" customHeight="1" thickTop="1">
      <c r="A110" s="83"/>
      <c r="B110" s="244" t="s">
        <v>226</v>
      </c>
      <c r="C110" s="245"/>
      <c r="D110" s="246"/>
      <c r="E110" s="80"/>
      <c r="F110" s="126"/>
      <c r="G110" s="46"/>
      <c r="H110" s="46"/>
      <c r="I110" s="247"/>
      <c r="J110" s="248"/>
      <c r="K110" s="249"/>
      <c r="L110" s="250"/>
      <c r="M110" s="83"/>
      <c r="N110" s="251"/>
      <c r="O110" s="252"/>
      <c r="P110" s="252"/>
      <c r="Q110" s="85"/>
      <c r="R110" s="39"/>
      <c r="S110" s="55"/>
      <c r="T110" s="55"/>
      <c r="U110" s="56"/>
      <c r="V110" s="56"/>
    </row>
    <row r="111" spans="1:22" s="226" customFormat="1" ht="27.75" customHeight="1">
      <c r="A111" s="94">
        <v>1</v>
      </c>
      <c r="B111" s="41" t="s">
        <v>227</v>
      </c>
      <c r="C111" s="224" t="s">
        <v>228</v>
      </c>
      <c r="D111" s="225">
        <v>22470</v>
      </c>
      <c r="E111" s="80" t="s">
        <v>26</v>
      </c>
      <c r="F111" s="44">
        <v>0</v>
      </c>
      <c r="G111" s="61">
        <v>0</v>
      </c>
      <c r="H111" s="61">
        <v>0</v>
      </c>
      <c r="I111" s="85">
        <v>0</v>
      </c>
      <c r="J111" s="113">
        <v>46052</v>
      </c>
      <c r="K111" s="114" t="s">
        <v>889</v>
      </c>
      <c r="L111" s="253">
        <v>22470</v>
      </c>
      <c r="M111" s="83" t="s">
        <v>26</v>
      </c>
      <c r="N111" s="116">
        <v>0</v>
      </c>
      <c r="O111" s="147">
        <f>+(D111*100/107)+G111-(L111*100/107)</f>
        <v>0</v>
      </c>
      <c r="P111" s="147">
        <f t="shared" ref="P111:P122" si="30">ROUND((O111*0.07),2)</f>
        <v>0</v>
      </c>
      <c r="Q111" s="47">
        <f t="shared" ref="Q111:Q122" si="31">+O111+P111</f>
        <v>0</v>
      </c>
      <c r="R111" s="39"/>
      <c r="S111" s="55"/>
      <c r="T111" s="55"/>
      <c r="U111" s="56"/>
      <c r="V111" s="56"/>
    </row>
    <row r="112" spans="1:22" s="226" customFormat="1" ht="27.75" customHeight="1">
      <c r="A112" s="94">
        <v>2</v>
      </c>
      <c r="B112" s="41" t="s">
        <v>227</v>
      </c>
      <c r="C112" s="224" t="s">
        <v>230</v>
      </c>
      <c r="D112" s="246">
        <v>22470</v>
      </c>
      <c r="E112" s="80" t="s">
        <v>26</v>
      </c>
      <c r="F112" s="44">
        <v>0</v>
      </c>
      <c r="G112" s="61">
        <v>0</v>
      </c>
      <c r="H112" s="61">
        <v>0</v>
      </c>
      <c r="I112" s="85">
        <v>0</v>
      </c>
      <c r="J112" s="113">
        <v>46052</v>
      </c>
      <c r="K112" s="114" t="s">
        <v>889</v>
      </c>
      <c r="L112" s="253">
        <v>22470</v>
      </c>
      <c r="M112" s="83" t="s">
        <v>26</v>
      </c>
      <c r="N112" s="116">
        <v>0</v>
      </c>
      <c r="O112" s="147">
        <f>+(D112*100/107)+G112-(L112*100/107)</f>
        <v>0</v>
      </c>
      <c r="P112" s="147">
        <f t="shared" si="30"/>
        <v>0</v>
      </c>
      <c r="Q112" s="47">
        <f t="shared" si="31"/>
        <v>0</v>
      </c>
      <c r="R112" s="39"/>
      <c r="S112" s="55"/>
      <c r="T112" s="55"/>
      <c r="U112" s="56"/>
      <c r="V112" s="56"/>
    </row>
    <row r="113" spans="1:22" s="226" customFormat="1" ht="27.75" customHeight="1">
      <c r="A113" s="94">
        <v>3</v>
      </c>
      <c r="B113" s="41" t="s">
        <v>227</v>
      </c>
      <c r="C113" s="224" t="s">
        <v>231</v>
      </c>
      <c r="D113" s="246">
        <v>22470</v>
      </c>
      <c r="E113" s="80" t="s">
        <v>26</v>
      </c>
      <c r="F113" s="44">
        <v>0</v>
      </c>
      <c r="G113" s="61">
        <v>0</v>
      </c>
      <c r="H113" s="61">
        <v>0</v>
      </c>
      <c r="I113" s="85">
        <v>0</v>
      </c>
      <c r="J113" s="117">
        <v>46052</v>
      </c>
      <c r="K113" s="118" t="s">
        <v>889</v>
      </c>
      <c r="L113" s="557">
        <v>22470</v>
      </c>
      <c r="M113" s="83" t="s">
        <v>26</v>
      </c>
      <c r="N113" s="116">
        <v>0</v>
      </c>
      <c r="O113" s="147">
        <f t="shared" ref="O113:O120" si="32">+(D113*100/107)+G113-(L113*100/107)</f>
        <v>0</v>
      </c>
      <c r="P113" s="147">
        <f t="shared" si="30"/>
        <v>0</v>
      </c>
      <c r="Q113" s="47">
        <f t="shared" si="31"/>
        <v>0</v>
      </c>
      <c r="R113" s="39"/>
      <c r="S113" s="55"/>
      <c r="T113" s="55"/>
      <c r="U113" s="56"/>
      <c r="V113" s="56"/>
    </row>
    <row r="114" spans="1:22" s="226" customFormat="1" ht="27.75" customHeight="1">
      <c r="A114" s="94">
        <v>4</v>
      </c>
      <c r="B114" s="41" t="s">
        <v>201</v>
      </c>
      <c r="C114" s="224" t="s">
        <v>232</v>
      </c>
      <c r="D114" s="246">
        <v>0</v>
      </c>
      <c r="E114" s="80" t="s">
        <v>26</v>
      </c>
      <c r="F114" s="44">
        <v>0</v>
      </c>
      <c r="G114" s="61">
        <v>0</v>
      </c>
      <c r="H114" s="61">
        <v>0</v>
      </c>
      <c r="I114" s="85">
        <v>0</v>
      </c>
      <c r="J114" s="117"/>
      <c r="K114" s="118"/>
      <c r="L114" s="557"/>
      <c r="M114" s="83" t="s">
        <v>26</v>
      </c>
      <c r="N114" s="116">
        <v>0</v>
      </c>
      <c r="O114" s="147">
        <f t="shared" si="32"/>
        <v>0</v>
      </c>
      <c r="P114" s="147">
        <f t="shared" si="30"/>
        <v>0</v>
      </c>
      <c r="Q114" s="47">
        <f t="shared" si="31"/>
        <v>0</v>
      </c>
      <c r="R114" s="39"/>
      <c r="S114" s="55"/>
      <c r="T114" s="55"/>
      <c r="U114" s="56"/>
      <c r="V114" s="56"/>
    </row>
    <row r="115" spans="1:22" s="226" customFormat="1" ht="27.75" customHeight="1">
      <c r="A115" s="94">
        <v>5</v>
      </c>
      <c r="B115" s="41" t="s">
        <v>201</v>
      </c>
      <c r="C115" s="224" t="s">
        <v>233</v>
      </c>
      <c r="D115" s="246">
        <v>0</v>
      </c>
      <c r="E115" s="80" t="s">
        <v>26</v>
      </c>
      <c r="F115" s="44">
        <v>0</v>
      </c>
      <c r="G115" s="61">
        <v>0</v>
      </c>
      <c r="H115" s="61">
        <v>0</v>
      </c>
      <c r="I115" s="85">
        <v>0</v>
      </c>
      <c r="J115" s="117"/>
      <c r="K115" s="118"/>
      <c r="L115" s="557"/>
      <c r="M115" s="83" t="s">
        <v>26</v>
      </c>
      <c r="N115" s="116">
        <v>0</v>
      </c>
      <c r="O115" s="147">
        <f t="shared" si="32"/>
        <v>0</v>
      </c>
      <c r="P115" s="147">
        <f t="shared" si="30"/>
        <v>0</v>
      </c>
      <c r="Q115" s="47">
        <f t="shared" si="31"/>
        <v>0</v>
      </c>
      <c r="R115" s="39"/>
      <c r="S115" s="55"/>
      <c r="T115" s="55"/>
      <c r="U115" s="56"/>
      <c r="V115" s="56"/>
    </row>
    <row r="116" spans="1:22" s="226" customFormat="1" ht="27.75" customHeight="1">
      <c r="A116" s="94">
        <v>6</v>
      </c>
      <c r="B116" s="41" t="s">
        <v>201</v>
      </c>
      <c r="C116" s="224" t="s">
        <v>235</v>
      </c>
      <c r="D116" s="246">
        <v>0</v>
      </c>
      <c r="E116" s="80" t="s">
        <v>26</v>
      </c>
      <c r="F116" s="44">
        <v>0</v>
      </c>
      <c r="G116" s="61">
        <v>0</v>
      </c>
      <c r="H116" s="61">
        <v>0</v>
      </c>
      <c r="I116" s="85">
        <v>0</v>
      </c>
      <c r="J116" s="117"/>
      <c r="K116" s="118"/>
      <c r="L116" s="557"/>
      <c r="M116" s="83" t="s">
        <v>26</v>
      </c>
      <c r="N116" s="116">
        <v>0</v>
      </c>
      <c r="O116" s="147">
        <f t="shared" si="32"/>
        <v>0</v>
      </c>
      <c r="P116" s="147">
        <f t="shared" si="30"/>
        <v>0</v>
      </c>
      <c r="Q116" s="47">
        <f t="shared" si="31"/>
        <v>0</v>
      </c>
      <c r="R116" s="39"/>
      <c r="S116" s="55"/>
      <c r="T116" s="55"/>
      <c r="U116" s="56"/>
      <c r="V116" s="56"/>
    </row>
    <row r="117" spans="1:22" s="226" customFormat="1" ht="27.75" customHeight="1">
      <c r="A117" s="94">
        <v>7</v>
      </c>
      <c r="B117" s="41" t="s">
        <v>201</v>
      </c>
      <c r="C117" s="224" t="s">
        <v>237</v>
      </c>
      <c r="D117" s="225">
        <v>0</v>
      </c>
      <c r="E117" s="80" t="s">
        <v>26</v>
      </c>
      <c r="F117" s="44">
        <v>0</v>
      </c>
      <c r="G117" s="61">
        <v>0</v>
      </c>
      <c r="H117" s="61">
        <v>0</v>
      </c>
      <c r="I117" s="85">
        <v>0</v>
      </c>
      <c r="J117" s="117"/>
      <c r="K117" s="118"/>
      <c r="L117" s="557">
        <v>0</v>
      </c>
      <c r="M117" s="83" t="s">
        <v>26</v>
      </c>
      <c r="N117" s="116">
        <v>0</v>
      </c>
      <c r="O117" s="147">
        <f t="shared" si="32"/>
        <v>0</v>
      </c>
      <c r="P117" s="147">
        <f t="shared" si="30"/>
        <v>0</v>
      </c>
      <c r="Q117" s="47">
        <f t="shared" si="31"/>
        <v>0</v>
      </c>
      <c r="R117" s="39"/>
      <c r="S117" s="55"/>
      <c r="T117" s="55"/>
      <c r="U117" s="56"/>
      <c r="V117" s="56"/>
    </row>
    <row r="118" spans="1:22" s="226" customFormat="1" ht="27.75" customHeight="1">
      <c r="A118" s="94">
        <v>8</v>
      </c>
      <c r="B118" s="41" t="s">
        <v>236</v>
      </c>
      <c r="C118" s="224" t="s">
        <v>239</v>
      </c>
      <c r="D118" s="225">
        <v>22470</v>
      </c>
      <c r="E118" s="80" t="s">
        <v>26</v>
      </c>
      <c r="F118" s="44">
        <v>0</v>
      </c>
      <c r="G118" s="61">
        <v>0</v>
      </c>
      <c r="H118" s="61">
        <v>0</v>
      </c>
      <c r="I118" s="85">
        <v>0</v>
      </c>
      <c r="J118" s="113">
        <v>46051</v>
      </c>
      <c r="K118" s="114" t="s">
        <v>890</v>
      </c>
      <c r="L118" s="257">
        <v>22470</v>
      </c>
      <c r="M118" s="83" t="s">
        <v>26</v>
      </c>
      <c r="N118" s="116">
        <v>0</v>
      </c>
      <c r="O118" s="147">
        <f t="shared" si="32"/>
        <v>0</v>
      </c>
      <c r="P118" s="147">
        <f t="shared" si="30"/>
        <v>0</v>
      </c>
      <c r="Q118" s="47">
        <f t="shared" si="31"/>
        <v>0</v>
      </c>
      <c r="R118" s="39"/>
      <c r="S118" s="55"/>
      <c r="T118" s="55"/>
      <c r="U118" s="56"/>
      <c r="V118" s="56"/>
    </row>
    <row r="119" spans="1:22" s="226" customFormat="1" ht="27.75" customHeight="1">
      <c r="A119" s="94">
        <v>9</v>
      </c>
      <c r="B119" s="41" t="s">
        <v>92</v>
      </c>
      <c r="C119" s="224" t="s">
        <v>240</v>
      </c>
      <c r="D119" s="225">
        <v>22470</v>
      </c>
      <c r="E119" s="80" t="s">
        <v>26</v>
      </c>
      <c r="F119" s="44">
        <v>0</v>
      </c>
      <c r="G119" s="61">
        <v>0</v>
      </c>
      <c r="H119" s="61">
        <v>0</v>
      </c>
      <c r="I119" s="85">
        <v>0</v>
      </c>
      <c r="J119" s="113">
        <v>46051</v>
      </c>
      <c r="K119" s="114" t="s">
        <v>891</v>
      </c>
      <c r="L119" s="258">
        <v>22470</v>
      </c>
      <c r="M119" s="83" t="s">
        <v>26</v>
      </c>
      <c r="N119" s="116">
        <v>0</v>
      </c>
      <c r="O119" s="147">
        <f t="shared" si="32"/>
        <v>0</v>
      </c>
      <c r="P119" s="147">
        <f t="shared" si="30"/>
        <v>0</v>
      </c>
      <c r="Q119" s="47">
        <f t="shared" si="31"/>
        <v>0</v>
      </c>
      <c r="R119" s="39"/>
      <c r="S119" s="55"/>
      <c r="T119" s="55"/>
      <c r="U119" s="56"/>
      <c r="V119" s="56"/>
    </row>
    <row r="120" spans="1:22" s="226" customFormat="1" ht="27.75" customHeight="1">
      <c r="A120" s="94">
        <v>10</v>
      </c>
      <c r="B120" s="41" t="s">
        <v>92</v>
      </c>
      <c r="C120" s="224" t="s">
        <v>242</v>
      </c>
      <c r="D120" s="225">
        <v>22470</v>
      </c>
      <c r="E120" s="80" t="s">
        <v>26</v>
      </c>
      <c r="F120" s="44">
        <v>0</v>
      </c>
      <c r="G120" s="61">
        <v>0</v>
      </c>
      <c r="H120" s="61">
        <v>0</v>
      </c>
      <c r="I120" s="85">
        <v>0</v>
      </c>
      <c r="J120" s="113">
        <v>46051</v>
      </c>
      <c r="K120" s="114" t="s">
        <v>891</v>
      </c>
      <c r="L120" s="253">
        <v>22470</v>
      </c>
      <c r="M120" s="83" t="s">
        <v>26</v>
      </c>
      <c r="N120" s="116">
        <v>0</v>
      </c>
      <c r="O120" s="147">
        <f t="shared" si="32"/>
        <v>0</v>
      </c>
      <c r="P120" s="147">
        <f t="shared" si="30"/>
        <v>0</v>
      </c>
      <c r="Q120" s="47">
        <f t="shared" si="31"/>
        <v>0</v>
      </c>
      <c r="R120" s="39"/>
      <c r="S120" s="55"/>
      <c r="T120" s="55"/>
      <c r="U120" s="56"/>
      <c r="V120" s="56"/>
    </row>
    <row r="121" spans="1:22" s="226" customFormat="1" ht="27.75" customHeight="1">
      <c r="A121" s="94">
        <v>11</v>
      </c>
      <c r="B121" s="41" t="s">
        <v>243</v>
      </c>
      <c r="C121" s="224" t="s">
        <v>244</v>
      </c>
      <c r="D121" s="225">
        <v>22470</v>
      </c>
      <c r="E121" s="80" t="s">
        <v>26</v>
      </c>
      <c r="F121" s="44">
        <v>0</v>
      </c>
      <c r="G121" s="61">
        <v>0</v>
      </c>
      <c r="H121" s="61">
        <v>0</v>
      </c>
      <c r="I121" s="85">
        <v>0</v>
      </c>
      <c r="J121" s="113">
        <v>46052</v>
      </c>
      <c r="K121" s="114" t="s">
        <v>892</v>
      </c>
      <c r="L121" s="253">
        <v>22470</v>
      </c>
      <c r="M121" s="83" t="s">
        <v>26</v>
      </c>
      <c r="N121" s="116">
        <v>0</v>
      </c>
      <c r="O121" s="147">
        <f>+(D121*100/107)+G121-(L121*100/107)</f>
        <v>0</v>
      </c>
      <c r="P121" s="147">
        <f t="shared" si="30"/>
        <v>0</v>
      </c>
      <c r="Q121" s="47">
        <f t="shared" si="31"/>
        <v>0</v>
      </c>
      <c r="R121" s="39"/>
      <c r="S121" s="55"/>
      <c r="T121" s="55"/>
      <c r="U121" s="56"/>
      <c r="V121" s="56"/>
    </row>
    <row r="122" spans="1:22" s="226" customFormat="1" ht="27.75" customHeight="1">
      <c r="A122" s="186">
        <v>12</v>
      </c>
      <c r="B122" s="206" t="s">
        <v>90</v>
      </c>
      <c r="C122" s="224" t="s">
        <v>246</v>
      </c>
      <c r="D122" s="228">
        <v>22470</v>
      </c>
      <c r="E122" s="123" t="s">
        <v>26</v>
      </c>
      <c r="F122" s="44">
        <v>0</v>
      </c>
      <c r="G122" s="45">
        <v>0</v>
      </c>
      <c r="H122" s="45">
        <v>0</v>
      </c>
      <c r="I122" s="229">
        <v>0</v>
      </c>
      <c r="J122" s="259">
        <v>46051</v>
      </c>
      <c r="K122" s="114" t="s">
        <v>893</v>
      </c>
      <c r="L122" s="253">
        <v>22470</v>
      </c>
      <c r="M122" s="232" t="s">
        <v>26</v>
      </c>
      <c r="N122" s="116">
        <v>0</v>
      </c>
      <c r="O122" s="147">
        <f>+(D122*100/107)+G122-(L122*100/107)</f>
        <v>0</v>
      </c>
      <c r="P122" s="147">
        <f t="shared" si="30"/>
        <v>0</v>
      </c>
      <c r="Q122" s="47">
        <f t="shared" si="31"/>
        <v>0</v>
      </c>
      <c r="R122" s="39"/>
      <c r="S122" s="55"/>
      <c r="T122" s="55"/>
      <c r="U122" s="56"/>
      <c r="V122" s="56"/>
    </row>
    <row r="123" spans="1:22" s="226" customFormat="1" ht="27.75" customHeight="1">
      <c r="A123" s="234"/>
      <c r="B123" s="260"/>
      <c r="C123" s="235"/>
      <c r="D123" s="236">
        <f>SUM(D111:D122)</f>
        <v>179760</v>
      </c>
      <c r="E123" s="237"/>
      <c r="F123" s="238"/>
      <c r="G123" s="239"/>
      <c r="H123" s="239"/>
      <c r="I123" s="240"/>
      <c r="J123" s="261"/>
      <c r="K123" s="262"/>
      <c r="L123" s="263">
        <f>SUM(L111:L122)</f>
        <v>179760</v>
      </c>
      <c r="M123" s="234"/>
      <c r="N123" s="242"/>
      <c r="O123" s="243"/>
      <c r="P123" s="243"/>
      <c r="Q123" s="240"/>
      <c r="R123" s="39"/>
      <c r="S123" s="55"/>
      <c r="T123" s="55"/>
      <c r="U123" s="56"/>
      <c r="V123" s="56"/>
    </row>
    <row r="124" spans="1:22" s="226" customFormat="1" ht="27.75" customHeight="1">
      <c r="A124" s="83"/>
      <c r="B124" s="244" t="s">
        <v>248</v>
      </c>
      <c r="C124" s="245"/>
      <c r="D124" s="246"/>
      <c r="E124" s="80"/>
      <c r="F124" s="126"/>
      <c r="G124" s="46"/>
      <c r="H124" s="46"/>
      <c r="I124" s="85"/>
      <c r="J124" s="178"/>
      <c r="K124" s="179"/>
      <c r="L124" s="264"/>
      <c r="M124" s="83"/>
      <c r="N124" s="251"/>
      <c r="O124" s="252"/>
      <c r="P124" s="252"/>
      <c r="Q124" s="85"/>
      <c r="R124" s="39"/>
      <c r="S124" s="55"/>
      <c r="T124" s="55"/>
      <c r="U124" s="56"/>
      <c r="V124" s="56"/>
    </row>
    <row r="125" spans="1:22" s="226" customFormat="1" ht="27.75" customHeight="1">
      <c r="A125" s="94">
        <v>1</v>
      </c>
      <c r="B125" s="41" t="s">
        <v>249</v>
      </c>
      <c r="C125" s="224" t="s">
        <v>250</v>
      </c>
      <c r="D125" s="225">
        <v>6420</v>
      </c>
      <c r="E125" s="80" t="s">
        <v>45</v>
      </c>
      <c r="F125" s="44">
        <v>0</v>
      </c>
      <c r="G125" s="61">
        <v>0</v>
      </c>
      <c r="H125" s="61">
        <v>0</v>
      </c>
      <c r="I125" s="85">
        <v>0</v>
      </c>
      <c r="J125" s="113">
        <v>46053</v>
      </c>
      <c r="K125" s="114" t="s">
        <v>894</v>
      </c>
      <c r="L125" s="144">
        <v>6420</v>
      </c>
      <c r="M125" s="83" t="s">
        <v>45</v>
      </c>
      <c r="N125" s="116">
        <v>0</v>
      </c>
      <c r="O125" s="147">
        <f t="shared" ref="O125:O135" si="33">+(D125*100/107)+G125-(L125*100/107)</f>
        <v>0</v>
      </c>
      <c r="P125" s="147">
        <f t="shared" ref="P125:P135" si="34">ROUND((O125*0.07),2)</f>
        <v>0</v>
      </c>
      <c r="Q125" s="47">
        <f t="shared" ref="Q125:Q136" si="35">+O125+P125</f>
        <v>0</v>
      </c>
      <c r="R125" s="39"/>
      <c r="S125" s="55"/>
      <c r="T125" s="55"/>
      <c r="U125" s="56"/>
      <c r="V125" s="56"/>
    </row>
    <row r="126" spans="1:22" s="226" customFormat="1" ht="27.75" customHeight="1">
      <c r="A126" s="94">
        <v>2</v>
      </c>
      <c r="B126" s="41" t="s">
        <v>252</v>
      </c>
      <c r="C126" s="224" t="s">
        <v>253</v>
      </c>
      <c r="D126" s="225">
        <v>6420</v>
      </c>
      <c r="E126" s="80" t="s">
        <v>634</v>
      </c>
      <c r="F126" s="44">
        <v>1</v>
      </c>
      <c r="G126" s="61">
        <v>6000</v>
      </c>
      <c r="H126" s="61">
        <v>420</v>
      </c>
      <c r="I126" s="85">
        <v>6420</v>
      </c>
      <c r="J126" s="113">
        <v>46025</v>
      </c>
      <c r="K126" s="114" t="s">
        <v>895</v>
      </c>
      <c r="L126" s="144">
        <v>6420</v>
      </c>
      <c r="M126" s="83" t="s">
        <v>801</v>
      </c>
      <c r="N126" s="116">
        <v>1</v>
      </c>
      <c r="O126" s="147">
        <f t="shared" si="33"/>
        <v>6000</v>
      </c>
      <c r="P126" s="147">
        <f t="shared" si="34"/>
        <v>420</v>
      </c>
      <c r="Q126" s="47">
        <f t="shared" si="35"/>
        <v>6420</v>
      </c>
      <c r="R126" s="39"/>
      <c r="S126" s="55"/>
      <c r="T126" s="55"/>
      <c r="U126" s="56"/>
      <c r="V126" s="56"/>
    </row>
    <row r="127" spans="1:22" s="226" customFormat="1" ht="27.75" customHeight="1">
      <c r="A127" s="94">
        <v>3</v>
      </c>
      <c r="B127" s="41" t="s">
        <v>254</v>
      </c>
      <c r="C127" s="224" t="s">
        <v>255</v>
      </c>
      <c r="D127" s="225">
        <v>9630</v>
      </c>
      <c r="E127" s="80" t="s">
        <v>634</v>
      </c>
      <c r="F127" s="44">
        <v>0.93457943925233611</v>
      </c>
      <c r="G127" s="61">
        <v>9000</v>
      </c>
      <c r="H127" s="61">
        <v>630</v>
      </c>
      <c r="I127" s="85">
        <v>9630</v>
      </c>
      <c r="J127" s="113">
        <v>46027</v>
      </c>
      <c r="K127" s="114" t="s">
        <v>896</v>
      </c>
      <c r="L127" s="144">
        <v>9630</v>
      </c>
      <c r="M127" s="83" t="s">
        <v>801</v>
      </c>
      <c r="N127" s="116">
        <v>0.93457943925233611</v>
      </c>
      <c r="O127" s="147">
        <f t="shared" si="33"/>
        <v>9000</v>
      </c>
      <c r="P127" s="147">
        <f t="shared" si="34"/>
        <v>630</v>
      </c>
      <c r="Q127" s="47">
        <f t="shared" si="35"/>
        <v>9630</v>
      </c>
      <c r="R127" s="39"/>
      <c r="S127" s="55"/>
      <c r="T127" s="55"/>
      <c r="U127" s="56"/>
      <c r="V127" s="56"/>
    </row>
    <row r="128" spans="1:22" s="226" customFormat="1" ht="27.75" customHeight="1">
      <c r="A128" s="94">
        <v>4</v>
      </c>
      <c r="B128" s="41" t="s">
        <v>201</v>
      </c>
      <c r="C128" s="224" t="s">
        <v>256</v>
      </c>
      <c r="D128" s="225">
        <v>9630</v>
      </c>
      <c r="E128" s="80" t="s">
        <v>45</v>
      </c>
      <c r="F128" s="44">
        <v>0</v>
      </c>
      <c r="G128" s="61">
        <v>0</v>
      </c>
      <c r="H128" s="61">
        <v>0</v>
      </c>
      <c r="I128" s="85">
        <v>0</v>
      </c>
      <c r="J128" s="113">
        <v>46053</v>
      </c>
      <c r="K128" s="114" t="s">
        <v>897</v>
      </c>
      <c r="L128" s="144">
        <v>9630</v>
      </c>
      <c r="M128" s="83" t="s">
        <v>45</v>
      </c>
      <c r="N128" s="116">
        <v>0</v>
      </c>
      <c r="O128" s="147">
        <f t="shared" si="33"/>
        <v>0</v>
      </c>
      <c r="P128" s="147">
        <f t="shared" si="34"/>
        <v>0</v>
      </c>
      <c r="Q128" s="47">
        <f t="shared" si="35"/>
        <v>0</v>
      </c>
      <c r="R128" s="39"/>
      <c r="S128" s="55"/>
      <c r="T128" s="55"/>
      <c r="U128" s="56"/>
      <c r="V128" s="56"/>
    </row>
    <row r="129" spans="1:25" s="226" customFormat="1" ht="27.75" customHeight="1">
      <c r="A129" s="94">
        <v>5</v>
      </c>
      <c r="B129" s="41" t="s">
        <v>257</v>
      </c>
      <c r="C129" s="224" t="s">
        <v>258</v>
      </c>
      <c r="D129" s="225">
        <v>9630</v>
      </c>
      <c r="E129" s="80" t="s">
        <v>45</v>
      </c>
      <c r="F129" s="44">
        <v>0</v>
      </c>
      <c r="G129" s="61">
        <v>0</v>
      </c>
      <c r="H129" s="61">
        <v>0</v>
      </c>
      <c r="I129" s="85">
        <v>0</v>
      </c>
      <c r="J129" s="113">
        <v>46046</v>
      </c>
      <c r="K129" s="114" t="s">
        <v>898</v>
      </c>
      <c r="L129" s="144">
        <v>9630</v>
      </c>
      <c r="M129" s="83" t="s">
        <v>45</v>
      </c>
      <c r="N129" s="116">
        <v>0</v>
      </c>
      <c r="O129" s="147">
        <f t="shared" si="33"/>
        <v>0</v>
      </c>
      <c r="P129" s="147">
        <f t="shared" si="34"/>
        <v>0</v>
      </c>
      <c r="Q129" s="47">
        <f t="shared" si="35"/>
        <v>0</v>
      </c>
      <c r="R129" s="39"/>
      <c r="S129" s="55"/>
      <c r="T129" s="55"/>
      <c r="U129" s="56"/>
      <c r="V129" s="56"/>
    </row>
    <row r="130" spans="1:25" s="226" customFormat="1" ht="27.75" customHeight="1">
      <c r="A130" s="94">
        <v>6</v>
      </c>
      <c r="B130" s="206" t="s">
        <v>257</v>
      </c>
      <c r="C130" s="224" t="s">
        <v>260</v>
      </c>
      <c r="D130" s="225">
        <v>9630</v>
      </c>
      <c r="E130" s="80" t="s">
        <v>45</v>
      </c>
      <c r="F130" s="44">
        <v>0</v>
      </c>
      <c r="G130" s="61">
        <v>0</v>
      </c>
      <c r="H130" s="61">
        <v>0</v>
      </c>
      <c r="I130" s="85">
        <v>0</v>
      </c>
      <c r="J130" s="113">
        <v>46046</v>
      </c>
      <c r="K130" s="114" t="s">
        <v>898</v>
      </c>
      <c r="L130" s="144">
        <v>9630</v>
      </c>
      <c r="M130" s="83" t="s">
        <v>45</v>
      </c>
      <c r="N130" s="116">
        <v>0</v>
      </c>
      <c r="O130" s="147">
        <f t="shared" si="33"/>
        <v>0</v>
      </c>
      <c r="P130" s="147">
        <f t="shared" si="34"/>
        <v>0</v>
      </c>
      <c r="Q130" s="47">
        <f t="shared" si="35"/>
        <v>0</v>
      </c>
      <c r="R130" s="39"/>
      <c r="S130" s="55"/>
      <c r="T130" s="55"/>
      <c r="U130" s="56"/>
      <c r="V130" s="56"/>
    </row>
    <row r="131" spans="1:25" s="226" customFormat="1" ht="27.75" customHeight="1">
      <c r="A131" s="94">
        <v>7</v>
      </c>
      <c r="B131" s="265" t="s">
        <v>261</v>
      </c>
      <c r="C131" s="224" t="s">
        <v>262</v>
      </c>
      <c r="D131" s="225">
        <v>6420</v>
      </c>
      <c r="E131" s="80" t="s">
        <v>45</v>
      </c>
      <c r="F131" s="44">
        <v>0</v>
      </c>
      <c r="G131" s="61">
        <v>0</v>
      </c>
      <c r="H131" s="61">
        <v>0</v>
      </c>
      <c r="I131" s="85">
        <v>0</v>
      </c>
      <c r="J131" s="113">
        <v>46026</v>
      </c>
      <c r="K131" s="114" t="s">
        <v>899</v>
      </c>
      <c r="L131" s="144">
        <v>6420</v>
      </c>
      <c r="M131" s="83" t="s">
        <v>45</v>
      </c>
      <c r="N131" s="116">
        <v>0</v>
      </c>
      <c r="O131" s="147">
        <f t="shared" si="33"/>
        <v>0</v>
      </c>
      <c r="P131" s="147">
        <f t="shared" si="34"/>
        <v>0</v>
      </c>
      <c r="Q131" s="47">
        <f t="shared" si="35"/>
        <v>0</v>
      </c>
      <c r="R131" s="39"/>
      <c r="S131" s="55"/>
      <c r="T131" s="55"/>
      <c r="U131" s="56"/>
      <c r="V131" s="56"/>
    </row>
    <row r="132" spans="1:25" s="226" customFormat="1" ht="27.75" customHeight="1">
      <c r="A132" s="94">
        <v>8</v>
      </c>
      <c r="B132" s="266" t="s">
        <v>264</v>
      </c>
      <c r="C132" s="224" t="s">
        <v>199</v>
      </c>
      <c r="D132" s="225">
        <v>6420</v>
      </c>
      <c r="E132" s="80" t="s">
        <v>634</v>
      </c>
      <c r="F132" s="44">
        <v>0.934579439252336</v>
      </c>
      <c r="G132" s="61">
        <v>6000</v>
      </c>
      <c r="H132" s="61">
        <v>420</v>
      </c>
      <c r="I132" s="85">
        <v>6420</v>
      </c>
      <c r="J132" s="113" t="s">
        <v>826</v>
      </c>
      <c r="K132" s="114" t="s">
        <v>900</v>
      </c>
      <c r="L132" s="144">
        <v>12840</v>
      </c>
      <c r="M132" s="83" t="s">
        <v>45</v>
      </c>
      <c r="N132" s="116">
        <v>0</v>
      </c>
      <c r="O132" s="147">
        <f t="shared" si="33"/>
        <v>0</v>
      </c>
      <c r="P132" s="147">
        <f t="shared" si="34"/>
        <v>0</v>
      </c>
      <c r="Q132" s="47">
        <f t="shared" si="35"/>
        <v>0</v>
      </c>
      <c r="R132" s="39"/>
      <c r="S132" s="55"/>
      <c r="T132" s="55"/>
      <c r="U132" s="56"/>
      <c r="V132" s="56"/>
      <c r="Y132" s="226" t="s">
        <v>266</v>
      </c>
    </row>
    <row r="133" spans="1:25" s="226" customFormat="1" ht="27.75" customHeight="1">
      <c r="A133" s="94">
        <v>9</v>
      </c>
      <c r="B133" s="81" t="s">
        <v>267</v>
      </c>
      <c r="C133" s="224" t="s">
        <v>268</v>
      </c>
      <c r="D133" s="267">
        <v>6420</v>
      </c>
      <c r="E133" s="81" t="s">
        <v>634</v>
      </c>
      <c r="F133" s="116">
        <v>0.93457943925233578</v>
      </c>
      <c r="G133" s="147">
        <v>6000</v>
      </c>
      <c r="H133" s="147">
        <v>420</v>
      </c>
      <c r="I133" s="47">
        <v>6420</v>
      </c>
      <c r="J133" s="113">
        <v>46028</v>
      </c>
      <c r="K133" s="114" t="s">
        <v>901</v>
      </c>
      <c r="L133" s="144">
        <v>6420</v>
      </c>
      <c r="M133" s="83" t="s">
        <v>801</v>
      </c>
      <c r="N133" s="116">
        <v>0.93457943925233578</v>
      </c>
      <c r="O133" s="147">
        <f t="shared" si="33"/>
        <v>6000</v>
      </c>
      <c r="P133" s="147">
        <f t="shared" si="34"/>
        <v>420</v>
      </c>
      <c r="Q133" s="47">
        <f t="shared" si="35"/>
        <v>6420</v>
      </c>
      <c r="R133" s="39"/>
      <c r="S133" s="55"/>
      <c r="T133" s="55"/>
      <c r="U133" s="56"/>
      <c r="V133" s="56"/>
      <c r="Y133" s="226" t="s">
        <v>269</v>
      </c>
    </row>
    <row r="134" spans="1:25" s="226" customFormat="1" ht="27.75" customHeight="1">
      <c r="A134" s="94">
        <v>10</v>
      </c>
      <c r="B134" s="81" t="s">
        <v>201</v>
      </c>
      <c r="C134" s="224" t="s">
        <v>205</v>
      </c>
      <c r="D134" s="225"/>
      <c r="E134" s="81" t="s">
        <v>45</v>
      </c>
      <c r="F134" s="116">
        <v>0</v>
      </c>
      <c r="G134" s="147">
        <v>0</v>
      </c>
      <c r="H134" s="147">
        <v>0</v>
      </c>
      <c r="I134" s="85">
        <v>0</v>
      </c>
      <c r="J134" s="113"/>
      <c r="K134" s="114"/>
      <c r="L134" s="144"/>
      <c r="M134" s="83" t="s">
        <v>45</v>
      </c>
      <c r="N134" s="116">
        <v>0</v>
      </c>
      <c r="O134" s="147">
        <f t="shared" si="33"/>
        <v>0</v>
      </c>
      <c r="P134" s="147">
        <f t="shared" si="34"/>
        <v>0</v>
      </c>
      <c r="Q134" s="47">
        <f t="shared" si="35"/>
        <v>0</v>
      </c>
      <c r="R134" s="39"/>
      <c r="S134" s="55"/>
      <c r="T134" s="55"/>
      <c r="U134" s="56"/>
      <c r="V134" s="56"/>
    </row>
    <row r="135" spans="1:25" s="226" customFormat="1" ht="27.75" customHeight="1">
      <c r="A135" s="94">
        <v>11</v>
      </c>
      <c r="B135" s="81" t="s">
        <v>156</v>
      </c>
      <c r="C135" s="224" t="s">
        <v>207</v>
      </c>
      <c r="D135" s="225">
        <v>6420</v>
      </c>
      <c r="E135" s="80" t="s">
        <v>45</v>
      </c>
      <c r="F135" s="44">
        <v>0</v>
      </c>
      <c r="G135" s="61">
        <v>0</v>
      </c>
      <c r="H135" s="61">
        <v>0</v>
      </c>
      <c r="I135" s="85">
        <v>0</v>
      </c>
      <c r="J135" s="113">
        <v>46026</v>
      </c>
      <c r="K135" s="114" t="s">
        <v>902</v>
      </c>
      <c r="L135" s="144">
        <v>6420</v>
      </c>
      <c r="M135" s="83" t="s">
        <v>45</v>
      </c>
      <c r="N135" s="116">
        <v>0</v>
      </c>
      <c r="O135" s="147">
        <f t="shared" si="33"/>
        <v>0</v>
      </c>
      <c r="P135" s="147">
        <f t="shared" si="34"/>
        <v>0</v>
      </c>
      <c r="Q135" s="47">
        <f t="shared" si="35"/>
        <v>0</v>
      </c>
      <c r="R135" s="39"/>
      <c r="S135" s="55"/>
      <c r="T135" s="55"/>
      <c r="U135" s="56"/>
      <c r="V135" s="56"/>
    </row>
    <row r="136" spans="1:25" s="226" customFormat="1" ht="27.75" customHeight="1">
      <c r="A136" s="94">
        <v>12</v>
      </c>
      <c r="B136" s="41" t="s">
        <v>271</v>
      </c>
      <c r="C136" s="224" t="s">
        <v>208</v>
      </c>
      <c r="D136" s="225">
        <v>6420</v>
      </c>
      <c r="E136" s="80" t="s">
        <v>45</v>
      </c>
      <c r="F136" s="44">
        <v>0</v>
      </c>
      <c r="G136" s="61">
        <v>0</v>
      </c>
      <c r="H136" s="61">
        <v>0</v>
      </c>
      <c r="I136" s="85">
        <v>0</v>
      </c>
      <c r="J136" s="113">
        <v>46053</v>
      </c>
      <c r="K136" s="268" t="s">
        <v>903</v>
      </c>
      <c r="L136" s="269">
        <v>6420</v>
      </c>
      <c r="M136" s="83" t="s">
        <v>45</v>
      </c>
      <c r="N136" s="116">
        <v>0</v>
      </c>
      <c r="O136" s="147">
        <f>+(D136*100/107)+G136-(L136*100/107)</f>
        <v>0</v>
      </c>
      <c r="P136" s="147">
        <f>ROUND((O136*0.07),2)</f>
        <v>0</v>
      </c>
      <c r="Q136" s="47">
        <f t="shared" si="35"/>
        <v>0</v>
      </c>
      <c r="R136" s="39"/>
      <c r="S136" s="55"/>
      <c r="T136" s="55"/>
      <c r="U136" s="56"/>
      <c r="V136" s="56"/>
    </row>
    <row r="137" spans="1:25" s="226" customFormat="1" ht="27.75" customHeight="1">
      <c r="A137" s="94">
        <v>13</v>
      </c>
      <c r="B137" s="41" t="s">
        <v>273</v>
      </c>
      <c r="C137" s="224" t="s">
        <v>209</v>
      </c>
      <c r="D137" s="225">
        <v>6420</v>
      </c>
      <c r="E137" s="80" t="s">
        <v>45</v>
      </c>
      <c r="F137" s="44">
        <v>0</v>
      </c>
      <c r="G137" s="61">
        <v>0</v>
      </c>
      <c r="H137" s="61">
        <v>0</v>
      </c>
      <c r="I137" s="85">
        <v>0</v>
      </c>
      <c r="J137" s="113">
        <v>46027</v>
      </c>
      <c r="K137" s="114" t="s">
        <v>904</v>
      </c>
      <c r="L137" s="144">
        <v>6420</v>
      </c>
      <c r="M137" s="83" t="s">
        <v>45</v>
      </c>
      <c r="N137" s="116">
        <v>0</v>
      </c>
      <c r="O137" s="147">
        <f>+(D137*100/107)+G137-(L137*100/107)</f>
        <v>0</v>
      </c>
      <c r="P137" s="147">
        <f>ROUND((O137*0.07),2)</f>
        <v>0</v>
      </c>
      <c r="Q137" s="47">
        <f>+O137+P137</f>
        <v>0</v>
      </c>
      <c r="R137" s="39"/>
      <c r="S137" s="55"/>
      <c r="T137" s="55"/>
      <c r="U137" s="56"/>
      <c r="V137" s="56"/>
    </row>
    <row r="138" spans="1:25" s="226" customFormat="1" ht="27.75" customHeight="1">
      <c r="A138" s="94">
        <v>14</v>
      </c>
      <c r="B138" s="41" t="s">
        <v>275</v>
      </c>
      <c r="C138" s="224" t="s">
        <v>276</v>
      </c>
      <c r="D138" s="225">
        <v>6420</v>
      </c>
      <c r="E138" s="80" t="s">
        <v>45</v>
      </c>
      <c r="F138" s="44">
        <v>0</v>
      </c>
      <c r="G138" s="61">
        <v>0</v>
      </c>
      <c r="H138" s="61">
        <v>0</v>
      </c>
      <c r="I138" s="85">
        <v>0</v>
      </c>
      <c r="J138" s="113">
        <v>46052</v>
      </c>
      <c r="K138" s="114" t="s">
        <v>905</v>
      </c>
      <c r="L138" s="144">
        <v>6420</v>
      </c>
      <c r="M138" s="87" t="s">
        <v>45</v>
      </c>
      <c r="N138" s="116">
        <v>0</v>
      </c>
      <c r="O138" s="147">
        <f>+(D138*100/107)+G138-(L138*100/107)</f>
        <v>0</v>
      </c>
      <c r="P138" s="147">
        <f>ROUND((O138*0.07),2)</f>
        <v>0</v>
      </c>
      <c r="Q138" s="47">
        <f>+O138+P138</f>
        <v>0</v>
      </c>
      <c r="R138" s="39"/>
      <c r="S138" s="55"/>
      <c r="T138" s="55"/>
      <c r="U138" s="56"/>
      <c r="V138" s="56"/>
    </row>
    <row r="139" spans="1:25" ht="27.75" customHeight="1" thickBot="1">
      <c r="A139" s="22"/>
      <c r="B139" s="194" t="s">
        <v>22</v>
      </c>
      <c r="C139" s="195"/>
      <c r="D139" s="196">
        <f>SUM(D125:D138)</f>
        <v>96300</v>
      </c>
      <c r="E139" s="196"/>
      <c r="F139" s="197"/>
      <c r="G139" s="196">
        <f>SUM(G125:G138)</f>
        <v>27000</v>
      </c>
      <c r="H139" s="196">
        <f>SUM(H125:H138)</f>
        <v>1890</v>
      </c>
      <c r="I139" s="196">
        <f>SUM(I125:I138)</f>
        <v>28890</v>
      </c>
      <c r="J139" s="199"/>
      <c r="K139" s="199"/>
      <c r="L139" s="196">
        <f>SUM(L125:L138)</f>
        <v>102720</v>
      </c>
      <c r="M139" s="200"/>
      <c r="N139" s="196"/>
      <c r="O139" s="196">
        <f>SUM(O125:O138)</f>
        <v>21000</v>
      </c>
      <c r="P139" s="196">
        <f>SUM(P125:P138)</f>
        <v>1470</v>
      </c>
      <c r="Q139" s="196">
        <f t="shared" ref="Q139" si="36">SUM(Q125:Q138)</f>
        <v>22470</v>
      </c>
      <c r="R139" s="36"/>
      <c r="S139" s="37"/>
      <c r="T139" s="37"/>
      <c r="U139" s="38"/>
      <c r="V139" s="38"/>
      <c r="W139" s="38"/>
    </row>
    <row r="140" spans="1:25" ht="27.75" hidden="1" customHeight="1" thickBot="1">
      <c r="A140" s="22"/>
      <c r="B140" s="23" t="s">
        <v>278</v>
      </c>
      <c r="C140" s="24"/>
      <c r="D140" s="25"/>
      <c r="E140" s="26"/>
      <c r="F140" s="27"/>
      <c r="G140" s="28"/>
      <c r="H140" s="28"/>
      <c r="I140" s="28"/>
      <c r="J140" s="29"/>
      <c r="K140" s="30"/>
      <c r="L140" s="31"/>
      <c r="M140" s="32"/>
      <c r="N140" s="33"/>
      <c r="O140" s="34"/>
      <c r="P140" s="34"/>
      <c r="Q140" s="35"/>
      <c r="R140" s="36"/>
      <c r="S140" s="37"/>
      <c r="T140" s="37"/>
      <c r="U140" s="38"/>
      <c r="V140" s="38"/>
      <c r="W140" s="38"/>
    </row>
    <row r="141" spans="1:25" ht="27.75" hidden="1" customHeight="1" thickTop="1">
      <c r="A141" s="22">
        <v>1</v>
      </c>
      <c r="B141" s="270" t="s">
        <v>88</v>
      </c>
      <c r="C141" s="271" t="s">
        <v>279</v>
      </c>
      <c r="D141" s="272"/>
      <c r="E141" s="273"/>
      <c r="F141" s="274"/>
      <c r="G141" s="65">
        <v>0</v>
      </c>
      <c r="H141" s="45">
        <v>0</v>
      </c>
      <c r="I141" s="61">
        <v>0</v>
      </c>
      <c r="J141" s="275"/>
      <c r="K141" s="276"/>
      <c r="L141" s="277"/>
      <c r="M141" s="232"/>
      <c r="N141" s="251"/>
      <c r="O141" s="233">
        <f t="shared" ref="O141:O151" si="37">+(D141*100/107)+G141-(L141*100/107)</f>
        <v>0</v>
      </c>
      <c r="P141" s="233">
        <f t="shared" ref="P141:P151" si="38">ROUND((O141*0.07),2)</f>
        <v>0</v>
      </c>
      <c r="Q141" s="66">
        <f t="shared" ref="Q141:Q151" si="39">+O141+P141</f>
        <v>0</v>
      </c>
      <c r="R141" s="278"/>
      <c r="S141" s="279"/>
      <c r="T141" s="37"/>
      <c r="U141" s="38"/>
      <c r="V141" s="38"/>
      <c r="W141" s="38"/>
    </row>
    <row r="142" spans="1:25" ht="27.75" hidden="1" customHeight="1" thickTop="1">
      <c r="A142" s="22">
        <v>2</v>
      </c>
      <c r="B142" s="280" t="s">
        <v>89</v>
      </c>
      <c r="C142" s="271" t="s">
        <v>279</v>
      </c>
      <c r="D142" s="272"/>
      <c r="E142" s="201"/>
      <c r="F142" s="281"/>
      <c r="G142" s="61">
        <v>0</v>
      </c>
      <c r="H142" s="45">
        <v>0</v>
      </c>
      <c r="I142" s="61">
        <v>0</v>
      </c>
      <c r="J142" s="175"/>
      <c r="K142" s="282"/>
      <c r="L142" s="222"/>
      <c r="M142" s="94"/>
      <c r="N142" s="39"/>
      <c r="O142" s="233">
        <f t="shared" si="37"/>
        <v>0</v>
      </c>
      <c r="P142" s="233">
        <f t="shared" si="38"/>
        <v>0</v>
      </c>
      <c r="Q142" s="66">
        <f t="shared" si="39"/>
        <v>0</v>
      </c>
      <c r="R142" s="278"/>
      <c r="S142" s="279"/>
      <c r="T142" s="37"/>
      <c r="U142" s="38"/>
      <c r="V142" s="38"/>
      <c r="W142" s="38"/>
    </row>
    <row r="143" spans="1:25" ht="27.75" hidden="1" customHeight="1" thickTop="1">
      <c r="A143" s="22">
        <v>3</v>
      </c>
      <c r="B143" s="270" t="s">
        <v>280</v>
      </c>
      <c r="C143" s="271" t="s">
        <v>279</v>
      </c>
      <c r="D143" s="272"/>
      <c r="E143" s="201"/>
      <c r="F143" s="281"/>
      <c r="G143" s="61">
        <v>0</v>
      </c>
      <c r="H143" s="45">
        <v>0</v>
      </c>
      <c r="I143" s="61">
        <v>0</v>
      </c>
      <c r="J143" s="175"/>
      <c r="K143" s="282"/>
      <c r="L143" s="222"/>
      <c r="M143" s="94"/>
      <c r="N143" s="39"/>
      <c r="O143" s="233">
        <f t="shared" si="37"/>
        <v>0</v>
      </c>
      <c r="P143" s="233">
        <f t="shared" si="38"/>
        <v>0</v>
      </c>
      <c r="Q143" s="66">
        <f t="shared" si="39"/>
        <v>0</v>
      </c>
      <c r="R143" s="278"/>
      <c r="S143" s="279"/>
      <c r="T143" s="37"/>
      <c r="U143" s="38"/>
      <c r="V143" s="38"/>
      <c r="W143" s="38"/>
    </row>
    <row r="144" spans="1:25" ht="27.75" hidden="1" customHeight="1" thickTop="1">
      <c r="A144" s="22">
        <v>4</v>
      </c>
      <c r="B144" s="280" t="s">
        <v>96</v>
      </c>
      <c r="C144" s="271" t="s">
        <v>279</v>
      </c>
      <c r="D144" s="272"/>
      <c r="E144" s="201"/>
      <c r="F144" s="281"/>
      <c r="G144" s="61">
        <v>0</v>
      </c>
      <c r="H144" s="45">
        <v>0</v>
      </c>
      <c r="I144" s="61">
        <v>0</v>
      </c>
      <c r="J144" s="175"/>
      <c r="K144" s="282"/>
      <c r="L144" s="222"/>
      <c r="M144" s="94"/>
      <c r="N144" s="39"/>
      <c r="O144" s="233">
        <f t="shared" si="37"/>
        <v>0</v>
      </c>
      <c r="P144" s="233">
        <f t="shared" si="38"/>
        <v>0</v>
      </c>
      <c r="Q144" s="66">
        <f t="shared" si="39"/>
        <v>0</v>
      </c>
      <c r="R144" s="283"/>
      <c r="S144" s="55"/>
      <c r="T144" s="37"/>
      <c r="U144" s="38"/>
      <c r="V144" s="38"/>
      <c r="W144" s="38"/>
    </row>
    <row r="145" spans="1:24" ht="27.75" hidden="1" customHeight="1" thickTop="1">
      <c r="A145" s="22">
        <v>5</v>
      </c>
      <c r="B145" s="280" t="s">
        <v>281</v>
      </c>
      <c r="C145" s="271" t="s">
        <v>279</v>
      </c>
      <c r="D145" s="272">
        <v>0</v>
      </c>
      <c r="E145" s="201"/>
      <c r="F145" s="281"/>
      <c r="G145" s="61">
        <v>0</v>
      </c>
      <c r="H145" s="45">
        <v>0</v>
      </c>
      <c r="I145" s="61">
        <v>0</v>
      </c>
      <c r="J145" s="175"/>
      <c r="K145" s="282"/>
      <c r="L145" s="222"/>
      <c r="M145" s="94"/>
      <c r="N145" s="39"/>
      <c r="O145" s="233">
        <f t="shared" si="37"/>
        <v>0</v>
      </c>
      <c r="P145" s="233">
        <f t="shared" si="38"/>
        <v>0</v>
      </c>
      <c r="Q145" s="66">
        <f t="shared" si="39"/>
        <v>0</v>
      </c>
      <c r="R145" s="283"/>
      <c r="S145" s="55"/>
      <c r="T145" s="37"/>
      <c r="U145" s="38"/>
      <c r="V145" s="38"/>
      <c r="W145" s="38"/>
    </row>
    <row r="146" spans="1:24" ht="27.75" hidden="1" customHeight="1" thickTop="1">
      <c r="A146" s="22">
        <v>6</v>
      </c>
      <c r="B146" s="280" t="s">
        <v>282</v>
      </c>
      <c r="C146" s="271" t="s">
        <v>279</v>
      </c>
      <c r="D146" s="272"/>
      <c r="E146" s="201"/>
      <c r="F146" s="281"/>
      <c r="G146" s="61">
        <v>0</v>
      </c>
      <c r="H146" s="45">
        <v>0</v>
      </c>
      <c r="I146" s="61">
        <v>0</v>
      </c>
      <c r="J146" s="175"/>
      <c r="K146" s="282"/>
      <c r="L146" s="222"/>
      <c r="M146" s="94"/>
      <c r="N146" s="39"/>
      <c r="O146" s="233">
        <f t="shared" si="37"/>
        <v>0</v>
      </c>
      <c r="P146" s="233">
        <f t="shared" si="38"/>
        <v>0</v>
      </c>
      <c r="Q146" s="66">
        <f t="shared" si="39"/>
        <v>0</v>
      </c>
      <c r="R146" s="283"/>
      <c r="S146" s="37"/>
      <c r="T146" s="37"/>
      <c r="U146" s="38"/>
      <c r="V146" s="38"/>
      <c r="W146" s="38"/>
    </row>
    <row r="147" spans="1:24" ht="27.75" hidden="1" customHeight="1" thickTop="1">
      <c r="A147" s="22">
        <v>7</v>
      </c>
      <c r="B147" s="280" t="s">
        <v>92</v>
      </c>
      <c r="C147" s="271" t="s">
        <v>279</v>
      </c>
      <c r="D147" s="272"/>
      <c r="E147" s="201"/>
      <c r="F147" s="281"/>
      <c r="G147" s="61">
        <v>0</v>
      </c>
      <c r="H147" s="45">
        <v>0</v>
      </c>
      <c r="I147" s="61">
        <v>0</v>
      </c>
      <c r="J147" s="175"/>
      <c r="K147" s="282"/>
      <c r="L147" s="222"/>
      <c r="M147" s="94"/>
      <c r="N147" s="39"/>
      <c r="O147" s="233">
        <f t="shared" si="37"/>
        <v>0</v>
      </c>
      <c r="P147" s="233">
        <f t="shared" si="38"/>
        <v>0</v>
      </c>
      <c r="Q147" s="66">
        <f t="shared" si="39"/>
        <v>0</v>
      </c>
      <c r="R147" s="283"/>
      <c r="S147" s="37"/>
      <c r="T147" s="37"/>
      <c r="U147" s="38"/>
      <c r="V147" s="38"/>
      <c r="W147" s="38"/>
    </row>
    <row r="148" spans="1:24" ht="27.75" hidden="1" customHeight="1" thickTop="1">
      <c r="A148" s="22">
        <v>8</v>
      </c>
      <c r="B148" s="280" t="s">
        <v>91</v>
      </c>
      <c r="C148" s="271" t="s">
        <v>279</v>
      </c>
      <c r="D148" s="284"/>
      <c r="E148" s="201"/>
      <c r="F148" s="281"/>
      <c r="G148" s="61">
        <v>0</v>
      </c>
      <c r="H148" s="45">
        <v>0</v>
      </c>
      <c r="I148" s="61">
        <v>0</v>
      </c>
      <c r="J148" s="175"/>
      <c r="K148" s="282"/>
      <c r="L148" s="222"/>
      <c r="M148" s="94"/>
      <c r="N148" s="39"/>
      <c r="O148" s="233">
        <f t="shared" si="37"/>
        <v>0</v>
      </c>
      <c r="P148" s="233">
        <f t="shared" si="38"/>
        <v>0</v>
      </c>
      <c r="Q148" s="66">
        <f t="shared" si="39"/>
        <v>0</v>
      </c>
      <c r="R148" s="283"/>
      <c r="S148" s="37"/>
      <c r="T148" s="37"/>
      <c r="U148" s="38"/>
      <c r="V148" s="38"/>
      <c r="W148" s="38"/>
    </row>
    <row r="149" spans="1:24" ht="27.75" hidden="1" customHeight="1" thickTop="1">
      <c r="A149" s="22">
        <v>9</v>
      </c>
      <c r="B149" s="280" t="s">
        <v>236</v>
      </c>
      <c r="C149" s="271" t="s">
        <v>279</v>
      </c>
      <c r="D149" s="272">
        <v>0</v>
      </c>
      <c r="E149" s="201"/>
      <c r="F149" s="281"/>
      <c r="G149" s="61">
        <v>0</v>
      </c>
      <c r="H149" s="45">
        <v>0</v>
      </c>
      <c r="I149" s="61">
        <v>0</v>
      </c>
      <c r="J149" s="175"/>
      <c r="K149" s="282"/>
      <c r="L149" s="222"/>
      <c r="M149" s="94"/>
      <c r="N149" s="39"/>
      <c r="O149" s="233">
        <f t="shared" si="37"/>
        <v>0</v>
      </c>
      <c r="P149" s="233">
        <f t="shared" si="38"/>
        <v>0</v>
      </c>
      <c r="Q149" s="66">
        <f t="shared" si="39"/>
        <v>0</v>
      </c>
      <c r="R149" s="283"/>
      <c r="S149" s="37"/>
      <c r="T149" s="37"/>
      <c r="U149" s="38"/>
      <c r="V149" s="38"/>
      <c r="W149" s="38"/>
    </row>
    <row r="150" spans="1:24" ht="27.75" hidden="1" customHeight="1" thickTop="1">
      <c r="A150" s="22">
        <v>10</v>
      </c>
      <c r="B150" s="280" t="s">
        <v>94</v>
      </c>
      <c r="C150" s="280" t="s">
        <v>279</v>
      </c>
      <c r="D150" s="284"/>
      <c r="E150" s="201"/>
      <c r="F150" s="281"/>
      <c r="G150" s="61">
        <v>0</v>
      </c>
      <c r="H150" s="45">
        <v>0</v>
      </c>
      <c r="I150" s="61">
        <v>0</v>
      </c>
      <c r="J150" s="175"/>
      <c r="K150" s="282"/>
      <c r="L150" s="222"/>
      <c r="M150" s="94"/>
      <c r="N150" s="39"/>
      <c r="O150" s="233">
        <f t="shared" si="37"/>
        <v>0</v>
      </c>
      <c r="P150" s="233">
        <f t="shared" si="38"/>
        <v>0</v>
      </c>
      <c r="Q150" s="66">
        <f t="shared" si="39"/>
        <v>0</v>
      </c>
      <c r="R150" s="36"/>
      <c r="S150" s="37"/>
      <c r="T150" s="37"/>
      <c r="U150" s="38"/>
      <c r="V150" s="38"/>
      <c r="W150" s="38"/>
    </row>
    <row r="151" spans="1:24" ht="27.75" hidden="1" customHeight="1" thickTop="1">
      <c r="A151" s="22">
        <v>11</v>
      </c>
      <c r="B151" s="270"/>
      <c r="C151" s="285"/>
      <c r="D151" s="286"/>
      <c r="E151" s="273"/>
      <c r="F151" s="274"/>
      <c r="G151" s="65">
        <v>0</v>
      </c>
      <c r="H151" s="45">
        <v>0</v>
      </c>
      <c r="I151" s="61">
        <v>0</v>
      </c>
      <c r="J151" s="275"/>
      <c r="K151" s="276"/>
      <c r="L151" s="277"/>
      <c r="M151" s="232"/>
      <c r="N151" s="251"/>
      <c r="O151" s="233">
        <f t="shared" si="37"/>
        <v>0</v>
      </c>
      <c r="P151" s="233">
        <f t="shared" si="38"/>
        <v>0</v>
      </c>
      <c r="Q151" s="66">
        <f t="shared" si="39"/>
        <v>0</v>
      </c>
      <c r="R151" s="36"/>
      <c r="S151" s="37"/>
      <c r="T151" s="37"/>
      <c r="U151" s="38"/>
      <c r="V151" s="38"/>
      <c r="W151" s="38"/>
    </row>
    <row r="152" spans="1:24" ht="27.75" hidden="1" customHeight="1" thickTop="1">
      <c r="A152" s="22"/>
      <c r="B152" s="131" t="s">
        <v>22</v>
      </c>
      <c r="C152" s="132"/>
      <c r="D152" s="133">
        <f>SUM(D141:D151)</f>
        <v>0</v>
      </c>
      <c r="E152" s="134"/>
      <c r="F152" s="135"/>
      <c r="G152" s="136">
        <f>SUM(G141:G151)</f>
        <v>0</v>
      </c>
      <c r="H152" s="136">
        <f t="shared" ref="H152:I152" si="40">SUM(H141:H151)</f>
        <v>0</v>
      </c>
      <c r="I152" s="136">
        <f t="shared" si="40"/>
        <v>0</v>
      </c>
      <c r="J152" s="287"/>
      <c r="K152" s="137"/>
      <c r="L152" s="138">
        <f>SUM(L145:L151)</f>
        <v>0</v>
      </c>
      <c r="M152" s="139"/>
      <c r="N152" s="133"/>
      <c r="O152" s="136">
        <f>SUM(O141:O151)</f>
        <v>0</v>
      </c>
      <c r="P152" s="136">
        <f t="shared" ref="P152:Q152" si="41">SUM(P141:P151)</f>
        <v>0</v>
      </c>
      <c r="Q152" s="136">
        <f t="shared" si="41"/>
        <v>0</v>
      </c>
      <c r="R152" s="36"/>
      <c r="S152" s="37"/>
      <c r="T152" s="37"/>
      <c r="U152" s="38"/>
      <c r="V152" s="38"/>
      <c r="W152" s="38"/>
    </row>
    <row r="153" spans="1:24" ht="27.75" customHeight="1" thickTop="1">
      <c r="A153" s="22"/>
      <c r="B153" s="288" t="s">
        <v>283</v>
      </c>
      <c r="C153" s="289"/>
      <c r="D153" s="272"/>
      <c r="E153" s="201"/>
      <c r="F153" s="281"/>
      <c r="G153" s="290"/>
      <c r="H153" s="290"/>
      <c r="I153" s="290"/>
      <c r="J153" s="291"/>
      <c r="K153" s="292"/>
      <c r="L153" s="222"/>
      <c r="M153" s="94"/>
      <c r="N153" s="39"/>
      <c r="O153" s="293"/>
      <c r="P153" s="293"/>
      <c r="Q153" s="294"/>
      <c r="R153" s="36"/>
      <c r="S153" s="37"/>
      <c r="T153" s="37"/>
      <c r="U153" s="38"/>
      <c r="V153" s="38"/>
      <c r="W153" s="295"/>
    </row>
    <row r="154" spans="1:24" ht="27.75" customHeight="1">
      <c r="A154" s="94">
        <v>1</v>
      </c>
      <c r="B154" s="205" t="s">
        <v>192</v>
      </c>
      <c r="C154" s="206" t="s">
        <v>284</v>
      </c>
      <c r="D154" s="296">
        <v>66660</v>
      </c>
      <c r="E154" s="64"/>
      <c r="F154" s="44"/>
      <c r="G154" s="45">
        <v>0</v>
      </c>
      <c r="H154" s="45">
        <v>0</v>
      </c>
      <c r="I154" s="66">
        <v>0</v>
      </c>
      <c r="J154" s="183">
        <v>46027</v>
      </c>
      <c r="K154" s="184" t="s">
        <v>906</v>
      </c>
      <c r="L154" s="231">
        <v>66660</v>
      </c>
      <c r="M154" s="186"/>
      <c r="N154" s="116"/>
      <c r="O154" s="233">
        <f>SUM(D154+G154-L154)</f>
        <v>0</v>
      </c>
      <c r="P154" s="233">
        <v>0</v>
      </c>
      <c r="Q154" s="66">
        <f>SUM(D154+I154-L154)</f>
        <v>0</v>
      </c>
      <c r="R154" s="297" t="s">
        <v>287</v>
      </c>
      <c r="S154" s="298">
        <v>44682</v>
      </c>
      <c r="T154" s="299">
        <v>45565</v>
      </c>
      <c r="U154" s="56">
        <v>347760</v>
      </c>
      <c r="V154" s="56" t="s">
        <v>288</v>
      </c>
      <c r="W154" s="295" t="s">
        <v>289</v>
      </c>
      <c r="X154" s="4" t="s">
        <v>290</v>
      </c>
    </row>
    <row r="155" spans="1:24" ht="27.75" customHeight="1">
      <c r="A155" s="83"/>
      <c r="B155" s="208" t="s">
        <v>291</v>
      </c>
      <c r="C155" s="209"/>
      <c r="D155" s="300"/>
      <c r="E155" s="211"/>
      <c r="F155" s="212"/>
      <c r="G155" s="213"/>
      <c r="H155" s="213"/>
      <c r="I155" s="214"/>
      <c r="J155" s="301"/>
      <c r="K155" s="302"/>
      <c r="L155" s="303"/>
      <c r="M155" s="304"/>
      <c r="N155" s="217"/>
      <c r="O155" s="305"/>
      <c r="P155" s="305"/>
      <c r="Q155" s="214"/>
      <c r="R155" s="306"/>
      <c r="S155" s="307"/>
      <c r="T155" s="37"/>
      <c r="U155" s="38"/>
      <c r="V155" s="38"/>
    </row>
    <row r="156" spans="1:24" ht="27.75" customHeight="1" thickBot="1">
      <c r="A156" s="193"/>
      <c r="B156" s="308" t="s">
        <v>22</v>
      </c>
      <c r="C156" s="309"/>
      <c r="D156" s="310">
        <f>SUM(D154:D155)</f>
        <v>66660</v>
      </c>
      <c r="E156" s="311"/>
      <c r="F156" s="312"/>
      <c r="G156" s="313">
        <f>SUM(G154:G155)</f>
        <v>0</v>
      </c>
      <c r="H156" s="313">
        <v>0</v>
      </c>
      <c r="I156" s="313">
        <f>SUM(I154)</f>
        <v>0</v>
      </c>
      <c r="J156" s="314"/>
      <c r="K156" s="314"/>
      <c r="L156" s="310">
        <f>SUM(L154:L155)</f>
        <v>66660</v>
      </c>
      <c r="M156" s="315"/>
      <c r="N156" s="310"/>
      <c r="O156" s="198">
        <f>SUM(O154:O155)-O154</f>
        <v>0</v>
      </c>
      <c r="P156" s="198">
        <f t="shared" ref="P156:Q156" si="42">SUM(P154:P155)-P154</f>
        <v>0</v>
      </c>
      <c r="Q156" s="198">
        <f t="shared" si="42"/>
        <v>0</v>
      </c>
      <c r="R156" s="36"/>
      <c r="S156" s="37"/>
      <c r="T156" s="37"/>
      <c r="U156" s="38"/>
      <c r="V156" s="38"/>
      <c r="W156" s="38"/>
    </row>
    <row r="157" spans="1:24" ht="27.75" customHeight="1" thickTop="1">
      <c r="A157" s="22"/>
      <c r="B157" s="23" t="s">
        <v>292</v>
      </c>
      <c r="C157" s="24"/>
      <c r="D157" s="25"/>
      <c r="E157" s="26"/>
      <c r="F157" s="27"/>
      <c r="G157" s="28"/>
      <c r="H157" s="28"/>
      <c r="I157" s="28"/>
      <c r="J157" s="29"/>
      <c r="K157" s="30"/>
      <c r="L157" s="31"/>
      <c r="M157" s="32"/>
      <c r="N157" s="33"/>
      <c r="O157" s="34"/>
      <c r="P157" s="34"/>
      <c r="Q157" s="35"/>
      <c r="R157" s="36"/>
      <c r="S157" s="37"/>
      <c r="T157" s="37"/>
      <c r="U157" s="38"/>
      <c r="V157" s="38"/>
      <c r="W157" s="38"/>
    </row>
    <row r="158" spans="1:24" ht="27.75" customHeight="1">
      <c r="A158" s="316">
        <v>1</v>
      </c>
      <c r="B158" s="280" t="s">
        <v>249</v>
      </c>
      <c r="C158" s="280" t="s">
        <v>250</v>
      </c>
      <c r="D158" s="272">
        <v>321</v>
      </c>
      <c r="E158" s="201" t="s">
        <v>45</v>
      </c>
      <c r="F158" s="281">
        <v>0</v>
      </c>
      <c r="G158" s="61">
        <v>0</v>
      </c>
      <c r="H158" s="61">
        <v>0</v>
      </c>
      <c r="I158" s="61">
        <v>0</v>
      </c>
      <c r="J158" s="317">
        <v>46053</v>
      </c>
      <c r="K158" s="318" t="s">
        <v>907</v>
      </c>
      <c r="L158" s="319">
        <v>321</v>
      </c>
      <c r="M158" s="320" t="s">
        <v>45</v>
      </c>
      <c r="N158" s="39">
        <v>0</v>
      </c>
      <c r="O158" s="233">
        <v>0</v>
      </c>
      <c r="P158" s="233">
        <v>0</v>
      </c>
      <c r="Q158" s="66">
        <v>0</v>
      </c>
      <c r="R158" s="36"/>
      <c r="S158" s="37"/>
      <c r="T158" s="37"/>
      <c r="U158" s="38"/>
      <c r="V158" s="38"/>
      <c r="W158" s="38"/>
    </row>
    <row r="159" spans="1:24" ht="27.75" customHeight="1">
      <c r="A159" s="316">
        <v>2</v>
      </c>
      <c r="B159" s="280" t="s">
        <v>294</v>
      </c>
      <c r="C159" s="280" t="s">
        <v>255</v>
      </c>
      <c r="D159" s="272">
        <v>21.4</v>
      </c>
      <c r="E159" s="201" t="s">
        <v>634</v>
      </c>
      <c r="F159" s="281">
        <v>1</v>
      </c>
      <c r="G159" s="61">
        <v>30</v>
      </c>
      <c r="H159" s="61">
        <v>2.1</v>
      </c>
      <c r="I159" s="61">
        <v>32.1</v>
      </c>
      <c r="J159" s="321">
        <v>46027</v>
      </c>
      <c r="K159" s="322" t="s">
        <v>908</v>
      </c>
      <c r="L159" s="323">
        <v>32.1</v>
      </c>
      <c r="M159" s="320" t="s">
        <v>801</v>
      </c>
      <c r="N159" s="39">
        <v>1</v>
      </c>
      <c r="O159" s="233">
        <v>20</v>
      </c>
      <c r="P159" s="233">
        <v>1.4</v>
      </c>
      <c r="Q159" s="66">
        <v>21.4</v>
      </c>
      <c r="R159" s="36"/>
      <c r="S159" s="37"/>
      <c r="T159" s="37"/>
      <c r="U159" s="38"/>
      <c r="V159" s="38"/>
      <c r="W159" s="38"/>
    </row>
    <row r="160" spans="1:24" ht="27.75" customHeight="1">
      <c r="A160" s="316">
        <v>3</v>
      </c>
      <c r="B160" s="270" t="s">
        <v>295</v>
      </c>
      <c r="C160" s="285" t="s">
        <v>255</v>
      </c>
      <c r="D160" s="284">
        <v>0</v>
      </c>
      <c r="E160" s="273" t="s">
        <v>45</v>
      </c>
      <c r="F160" s="274">
        <v>0</v>
      </c>
      <c r="G160" s="61">
        <v>0</v>
      </c>
      <c r="H160" s="61">
        <v>0</v>
      </c>
      <c r="I160" s="61">
        <v>0</v>
      </c>
      <c r="J160" s="321"/>
      <c r="K160" s="322"/>
      <c r="L160" s="323"/>
      <c r="M160" s="320" t="s">
        <v>45</v>
      </c>
      <c r="N160" s="251">
        <v>0</v>
      </c>
      <c r="O160" s="233">
        <v>0</v>
      </c>
      <c r="P160" s="233">
        <v>0</v>
      </c>
      <c r="Q160" s="66">
        <v>0</v>
      </c>
      <c r="R160" s="36"/>
      <c r="S160" s="37"/>
      <c r="T160" s="37"/>
      <c r="U160" s="38"/>
      <c r="V160" s="38"/>
      <c r="W160" s="38"/>
    </row>
    <row r="161" spans="1:24" ht="27.75" customHeight="1">
      <c r="A161" s="22">
        <v>4</v>
      </c>
      <c r="B161" s="270" t="s">
        <v>296</v>
      </c>
      <c r="C161" s="270" t="s">
        <v>262</v>
      </c>
      <c r="D161" s="284">
        <v>0</v>
      </c>
      <c r="E161" s="273" t="s">
        <v>45</v>
      </c>
      <c r="F161" s="274">
        <v>0</v>
      </c>
      <c r="G161" s="65"/>
      <c r="H161" s="65"/>
      <c r="I161" s="65"/>
      <c r="J161" s="324"/>
      <c r="K161" s="325"/>
      <c r="L161" s="326"/>
      <c r="M161" s="327" t="s">
        <v>45</v>
      </c>
      <c r="N161" s="251">
        <v>0</v>
      </c>
      <c r="O161" s="233">
        <v>0</v>
      </c>
      <c r="P161" s="233">
        <v>0</v>
      </c>
      <c r="Q161" s="66">
        <v>0</v>
      </c>
      <c r="R161" s="36"/>
      <c r="S161" s="37"/>
      <c r="T161" s="37"/>
      <c r="U161" s="38"/>
      <c r="V161" s="38"/>
      <c r="W161" s="38"/>
    </row>
    <row r="162" spans="1:24" ht="27.75" customHeight="1">
      <c r="A162" s="22">
        <v>5</v>
      </c>
      <c r="B162" s="270" t="s">
        <v>298</v>
      </c>
      <c r="C162" s="270" t="s">
        <v>199</v>
      </c>
      <c r="D162" s="284">
        <v>53.5</v>
      </c>
      <c r="E162" s="273" t="s">
        <v>634</v>
      </c>
      <c r="F162" s="274">
        <v>1</v>
      </c>
      <c r="G162" s="65">
        <v>40</v>
      </c>
      <c r="H162" s="65">
        <v>2.8</v>
      </c>
      <c r="I162" s="65">
        <v>42.8</v>
      </c>
      <c r="J162" s="328" t="s">
        <v>826</v>
      </c>
      <c r="K162" s="329" t="s">
        <v>909</v>
      </c>
      <c r="L162" s="330">
        <v>96.3</v>
      </c>
      <c r="M162" s="327" t="s">
        <v>45</v>
      </c>
      <c r="N162" s="251">
        <v>0</v>
      </c>
      <c r="O162" s="233">
        <v>0</v>
      </c>
      <c r="P162" s="233">
        <v>0</v>
      </c>
      <c r="Q162" s="66">
        <v>0</v>
      </c>
      <c r="R162" s="36"/>
      <c r="S162" s="37"/>
      <c r="T162" s="37"/>
      <c r="U162" s="38"/>
      <c r="V162" s="38"/>
      <c r="W162" s="38"/>
    </row>
    <row r="163" spans="1:24" ht="27.75" customHeight="1">
      <c r="A163" s="22">
        <v>6</v>
      </c>
      <c r="B163" s="270" t="s">
        <v>156</v>
      </c>
      <c r="C163" s="270" t="s">
        <v>208</v>
      </c>
      <c r="D163" s="284">
        <v>107</v>
      </c>
      <c r="E163" s="273" t="s">
        <v>45</v>
      </c>
      <c r="F163" s="274">
        <v>0</v>
      </c>
      <c r="G163" s="65">
        <v>0</v>
      </c>
      <c r="H163" s="65">
        <v>0</v>
      </c>
      <c r="I163" s="65">
        <v>0</v>
      </c>
      <c r="J163" s="328">
        <v>46026</v>
      </c>
      <c r="K163" s="329" t="s">
        <v>910</v>
      </c>
      <c r="L163" s="330">
        <v>107</v>
      </c>
      <c r="M163" s="327" t="s">
        <v>45</v>
      </c>
      <c r="N163" s="251">
        <v>0</v>
      </c>
      <c r="O163" s="233">
        <v>0</v>
      </c>
      <c r="P163" s="233">
        <v>0</v>
      </c>
      <c r="Q163" s="66">
        <v>0</v>
      </c>
      <c r="R163" s="36"/>
      <c r="S163" s="37"/>
      <c r="T163" s="37"/>
      <c r="U163" s="38"/>
      <c r="V163" s="38"/>
      <c r="W163" s="38"/>
    </row>
    <row r="164" spans="1:24" ht="27.75" customHeight="1">
      <c r="A164" s="22">
        <v>7</v>
      </c>
      <c r="B164" s="270" t="s">
        <v>273</v>
      </c>
      <c r="C164" s="270" t="s">
        <v>211</v>
      </c>
      <c r="D164" s="284">
        <v>42.8</v>
      </c>
      <c r="E164" s="273" t="s">
        <v>45</v>
      </c>
      <c r="F164" s="274">
        <v>0</v>
      </c>
      <c r="G164" s="65">
        <v>0</v>
      </c>
      <c r="H164" s="65">
        <v>0</v>
      </c>
      <c r="I164" s="65">
        <v>0</v>
      </c>
      <c r="J164" s="328">
        <v>46027</v>
      </c>
      <c r="K164" s="329" t="s">
        <v>911</v>
      </c>
      <c r="L164" s="330">
        <v>42.8</v>
      </c>
      <c r="M164" s="327" t="s">
        <v>45</v>
      </c>
      <c r="N164" s="251">
        <v>0</v>
      </c>
      <c r="O164" s="233">
        <v>0</v>
      </c>
      <c r="P164" s="233">
        <v>0</v>
      </c>
      <c r="Q164" s="66">
        <v>0</v>
      </c>
      <c r="R164" s="36"/>
      <c r="S164" s="37"/>
      <c r="T164" s="37"/>
      <c r="U164" s="38"/>
      <c r="V164" s="38"/>
      <c r="W164" s="38"/>
    </row>
    <row r="165" spans="1:24" ht="27.75" customHeight="1">
      <c r="A165" s="22">
        <v>8</v>
      </c>
      <c r="B165" s="270" t="s">
        <v>92</v>
      </c>
      <c r="C165" s="270" t="s">
        <v>302</v>
      </c>
      <c r="D165" s="284">
        <v>214</v>
      </c>
      <c r="E165" s="273" t="s">
        <v>45</v>
      </c>
      <c r="F165" s="274">
        <v>0</v>
      </c>
      <c r="G165" s="65">
        <v>0</v>
      </c>
      <c r="H165" s="65">
        <v>0</v>
      </c>
      <c r="I165" s="65">
        <v>0</v>
      </c>
      <c r="J165" s="331">
        <v>46051</v>
      </c>
      <c r="K165" s="332" t="s">
        <v>912</v>
      </c>
      <c r="L165" s="333">
        <v>214</v>
      </c>
      <c r="M165" s="327" t="s">
        <v>45</v>
      </c>
      <c r="N165" s="251">
        <v>0</v>
      </c>
      <c r="O165" s="233">
        <v>0</v>
      </c>
      <c r="P165" s="233">
        <v>0</v>
      </c>
      <c r="Q165" s="66">
        <v>0</v>
      </c>
      <c r="R165" s="36"/>
      <c r="S165" s="37"/>
      <c r="T165" s="37"/>
      <c r="U165" s="38"/>
      <c r="V165" s="38"/>
      <c r="W165" s="38"/>
    </row>
    <row r="166" spans="1:24" ht="27.75" customHeight="1">
      <c r="A166" s="22"/>
      <c r="B166" s="270"/>
      <c r="C166" s="270"/>
      <c r="D166" s="284"/>
      <c r="E166" s="273"/>
      <c r="F166" s="274"/>
      <c r="G166" s="65"/>
      <c r="H166" s="65"/>
      <c r="I166" s="65"/>
      <c r="J166" s="334"/>
      <c r="K166" s="335"/>
      <c r="L166" s="336"/>
      <c r="M166" s="327"/>
      <c r="N166" s="251"/>
      <c r="O166" s="337"/>
      <c r="P166" s="337"/>
      <c r="Q166" s="229"/>
      <c r="R166" s="36"/>
      <c r="S166" s="37"/>
      <c r="T166" s="37"/>
      <c r="U166" s="38"/>
      <c r="V166" s="38"/>
      <c r="W166" s="38"/>
    </row>
    <row r="167" spans="1:24" ht="27.75" customHeight="1" thickBot="1">
      <c r="A167" s="193"/>
      <c r="B167" s="194"/>
      <c r="C167" s="195"/>
      <c r="D167" s="196">
        <f>SUM(D158:D165)</f>
        <v>759.69999999999993</v>
      </c>
      <c r="E167" s="221"/>
      <c r="F167" s="197"/>
      <c r="G167" s="198">
        <f>SUM(G158:G166)</f>
        <v>70</v>
      </c>
      <c r="H167" s="198">
        <f t="shared" ref="H167:I167" si="43">SUM(H158:H166)</f>
        <v>4.9000000000000004</v>
      </c>
      <c r="I167" s="198">
        <f t="shared" si="43"/>
        <v>74.900000000000006</v>
      </c>
      <c r="J167" s="338"/>
      <c r="K167" s="199"/>
      <c r="L167" s="196">
        <f>SUM(L158:L165)</f>
        <v>813.2</v>
      </c>
      <c r="M167" s="200"/>
      <c r="N167" s="196"/>
      <c r="O167" s="198">
        <f>SUM(O158:O165)</f>
        <v>20</v>
      </c>
      <c r="P167" s="198">
        <f t="shared" ref="P167:Q167" si="44">SUM(P158:P165)</f>
        <v>1.4</v>
      </c>
      <c r="Q167" s="198">
        <f t="shared" si="44"/>
        <v>21.4</v>
      </c>
      <c r="R167" s="36"/>
      <c r="S167" s="37"/>
      <c r="T167" s="37"/>
      <c r="U167" s="38"/>
      <c r="V167" s="38"/>
      <c r="W167" s="38"/>
    </row>
    <row r="168" spans="1:24" ht="27.75" customHeight="1" thickTop="1">
      <c r="A168" s="22"/>
      <c r="B168" s="288" t="s">
        <v>304</v>
      </c>
      <c r="C168" s="289"/>
      <c r="D168" s="272"/>
      <c r="E168" s="201"/>
      <c r="F168" s="281"/>
      <c r="G168" s="290"/>
      <c r="H168" s="290"/>
      <c r="I168" s="290"/>
      <c r="J168" s="291"/>
      <c r="K168" s="292"/>
      <c r="L168" s="222"/>
      <c r="M168" s="94"/>
      <c r="N168" s="39"/>
      <c r="O168" s="293"/>
      <c r="P168" s="293"/>
      <c r="Q168" s="294"/>
      <c r="R168" s="36"/>
      <c r="S168" s="37"/>
      <c r="T168" s="37"/>
      <c r="U168" s="38"/>
      <c r="V168" s="38"/>
      <c r="W168" s="38"/>
    </row>
    <row r="169" spans="1:24" ht="27.75" customHeight="1">
      <c r="A169" s="339"/>
      <c r="B169" s="340" t="s">
        <v>305</v>
      </c>
      <c r="C169" s="289"/>
      <c r="D169" s="272"/>
      <c r="E169" s="201"/>
      <c r="F169" s="341"/>
      <c r="G169" s="187"/>
      <c r="H169" s="187"/>
      <c r="I169" s="290"/>
      <c r="J169" s="342"/>
      <c r="K169" s="343"/>
      <c r="L169" s="264"/>
      <c r="M169" s="94"/>
      <c r="N169" s="116"/>
      <c r="O169" s="344"/>
      <c r="P169" s="344"/>
      <c r="Q169" s="294"/>
      <c r="R169" s="36"/>
      <c r="S169" s="37"/>
      <c r="T169" s="37"/>
      <c r="U169" s="38"/>
      <c r="V169" s="38"/>
      <c r="W169" s="345"/>
    </row>
    <row r="170" spans="1:24" ht="27.75" customHeight="1">
      <c r="A170" s="186">
        <v>1</v>
      </c>
      <c r="B170" s="205" t="s">
        <v>24</v>
      </c>
      <c r="C170" s="346" t="s">
        <v>25</v>
      </c>
      <c r="D170" s="141">
        <v>1410</v>
      </c>
      <c r="E170" s="43" t="s">
        <v>45</v>
      </c>
      <c r="F170" s="44">
        <v>0</v>
      </c>
      <c r="G170" s="45">
        <v>0</v>
      </c>
      <c r="H170" s="45"/>
      <c r="I170" s="47">
        <v>0</v>
      </c>
      <c r="J170" s="113">
        <v>46026</v>
      </c>
      <c r="K170" s="114" t="s">
        <v>913</v>
      </c>
      <c r="L170" s="347">
        <v>1410</v>
      </c>
      <c r="M170" s="94" t="s">
        <v>45</v>
      </c>
      <c r="N170" s="116">
        <v>0</v>
      </c>
      <c r="O170" s="233">
        <f t="shared" ref="O170:O220" si="45">+I170+D170-L170</f>
        <v>0</v>
      </c>
      <c r="P170" s="233"/>
      <c r="Q170" s="47">
        <f t="shared" ref="Q170:Q220" si="46">+O170+P170</f>
        <v>0</v>
      </c>
      <c r="R170" s="348" t="s">
        <v>195</v>
      </c>
      <c r="S170" s="299" t="s">
        <v>307</v>
      </c>
      <c r="T170" s="299" t="s">
        <v>308</v>
      </c>
      <c r="U170" s="56">
        <v>3660</v>
      </c>
      <c r="V170" s="349" t="s">
        <v>309</v>
      </c>
      <c r="W170" s="295" t="s">
        <v>289</v>
      </c>
      <c r="X170" s="4" t="s">
        <v>310</v>
      </c>
    </row>
    <row r="171" spans="1:24" ht="27.75" customHeight="1">
      <c r="A171" s="186">
        <v>2</v>
      </c>
      <c r="B171" s="205" t="s">
        <v>28</v>
      </c>
      <c r="C171" s="346" t="s">
        <v>311</v>
      </c>
      <c r="D171" s="141">
        <v>1410</v>
      </c>
      <c r="E171" s="43" t="s">
        <v>801</v>
      </c>
      <c r="F171" s="44">
        <v>-1</v>
      </c>
      <c r="G171" s="45">
        <v>-1410</v>
      </c>
      <c r="H171" s="45"/>
      <c r="I171" s="47">
        <v>-1410</v>
      </c>
      <c r="J171" s="113">
        <v>46053</v>
      </c>
      <c r="K171" s="114" t="s">
        <v>914</v>
      </c>
      <c r="L171" s="347">
        <v>1410</v>
      </c>
      <c r="M171" s="94" t="s">
        <v>823</v>
      </c>
      <c r="N171" s="116">
        <v>-1</v>
      </c>
      <c r="O171" s="233">
        <f t="shared" si="45"/>
        <v>-1410</v>
      </c>
      <c r="P171" s="233"/>
      <c r="Q171" s="47">
        <f t="shared" si="46"/>
        <v>-1410</v>
      </c>
      <c r="R171" s="348" t="s">
        <v>195</v>
      </c>
      <c r="S171" s="299" t="s">
        <v>307</v>
      </c>
      <c r="T171" s="299" t="s">
        <v>308</v>
      </c>
      <c r="U171" s="56">
        <v>36600</v>
      </c>
      <c r="V171" s="349" t="s">
        <v>313</v>
      </c>
      <c r="W171" s="4" t="s">
        <v>314</v>
      </c>
      <c r="X171" s="295" t="s">
        <v>289</v>
      </c>
    </row>
    <row r="172" spans="1:24" ht="27.75" customHeight="1">
      <c r="A172" s="186">
        <v>3</v>
      </c>
      <c r="B172" s="205" t="s">
        <v>28</v>
      </c>
      <c r="C172" s="346" t="s">
        <v>315</v>
      </c>
      <c r="D172" s="141">
        <v>1410</v>
      </c>
      <c r="E172" s="43" t="s">
        <v>801</v>
      </c>
      <c r="F172" s="44">
        <v>-1</v>
      </c>
      <c r="G172" s="45">
        <v>-1410</v>
      </c>
      <c r="H172" s="45"/>
      <c r="I172" s="47">
        <v>-1410</v>
      </c>
      <c r="J172" s="113">
        <v>46053</v>
      </c>
      <c r="K172" s="114" t="s">
        <v>914</v>
      </c>
      <c r="L172" s="347">
        <v>1410</v>
      </c>
      <c r="M172" s="94" t="s">
        <v>823</v>
      </c>
      <c r="N172" s="116">
        <v>-1</v>
      </c>
      <c r="O172" s="233">
        <f t="shared" si="45"/>
        <v>-1410</v>
      </c>
      <c r="P172" s="233"/>
      <c r="Q172" s="47">
        <f t="shared" si="46"/>
        <v>-1410</v>
      </c>
      <c r="R172" s="348"/>
      <c r="S172" s="299"/>
      <c r="T172" s="299"/>
      <c r="U172" s="56"/>
      <c r="V172" s="349"/>
      <c r="X172" s="295"/>
    </row>
    <row r="173" spans="1:24" ht="27.75" customHeight="1">
      <c r="A173" s="186">
        <v>4</v>
      </c>
      <c r="B173" s="205" t="s">
        <v>24</v>
      </c>
      <c r="C173" s="346" t="s">
        <v>316</v>
      </c>
      <c r="D173" s="141">
        <v>1410</v>
      </c>
      <c r="E173" s="43" t="s">
        <v>45</v>
      </c>
      <c r="F173" s="44">
        <v>0</v>
      </c>
      <c r="G173" s="45">
        <v>0</v>
      </c>
      <c r="H173" s="45"/>
      <c r="I173" s="47">
        <v>0</v>
      </c>
      <c r="J173" s="113">
        <v>46026</v>
      </c>
      <c r="K173" s="114" t="s">
        <v>913</v>
      </c>
      <c r="L173" s="347">
        <v>1410</v>
      </c>
      <c r="M173" s="94" t="s">
        <v>45</v>
      </c>
      <c r="N173" s="116">
        <v>0</v>
      </c>
      <c r="O173" s="233">
        <f t="shared" si="45"/>
        <v>0</v>
      </c>
      <c r="P173" s="233"/>
      <c r="Q173" s="47">
        <f t="shared" si="46"/>
        <v>0</v>
      </c>
      <c r="R173" s="348" t="s">
        <v>195</v>
      </c>
      <c r="S173" s="299" t="s">
        <v>307</v>
      </c>
      <c r="T173" s="299" t="s">
        <v>308</v>
      </c>
      <c r="U173" s="56">
        <v>10980</v>
      </c>
      <c r="V173" s="349" t="s">
        <v>317</v>
      </c>
      <c r="W173" s="295" t="s">
        <v>289</v>
      </c>
      <c r="X173" s="4" t="s">
        <v>310</v>
      </c>
    </row>
    <row r="174" spans="1:24" ht="27.75" customHeight="1">
      <c r="A174" s="186">
        <v>5</v>
      </c>
      <c r="B174" s="205" t="s">
        <v>24</v>
      </c>
      <c r="C174" s="346" t="s">
        <v>318</v>
      </c>
      <c r="D174" s="141">
        <v>1410</v>
      </c>
      <c r="E174" s="43" t="s">
        <v>45</v>
      </c>
      <c r="F174" s="44">
        <v>0</v>
      </c>
      <c r="G174" s="45">
        <v>0</v>
      </c>
      <c r="H174" s="45"/>
      <c r="I174" s="47">
        <v>0</v>
      </c>
      <c r="J174" s="113">
        <v>46026</v>
      </c>
      <c r="K174" s="114" t="s">
        <v>913</v>
      </c>
      <c r="L174" s="347">
        <v>1410</v>
      </c>
      <c r="M174" s="94" t="s">
        <v>45</v>
      </c>
      <c r="N174" s="116">
        <v>0</v>
      </c>
      <c r="O174" s="233">
        <f t="shared" si="45"/>
        <v>0</v>
      </c>
      <c r="P174" s="233"/>
      <c r="Q174" s="47">
        <f t="shared" si="46"/>
        <v>0</v>
      </c>
      <c r="R174" s="348"/>
      <c r="S174" s="299"/>
      <c r="T174" s="299"/>
      <c r="U174" s="56"/>
      <c r="V174" s="349"/>
      <c r="W174" s="295"/>
    </row>
    <row r="175" spans="1:24" ht="27.75" customHeight="1">
      <c r="A175" s="186">
        <v>6</v>
      </c>
      <c r="B175" s="205" t="s">
        <v>24</v>
      </c>
      <c r="C175" s="346" t="s">
        <v>319</v>
      </c>
      <c r="D175" s="141">
        <v>1410</v>
      </c>
      <c r="E175" s="43" t="s">
        <v>45</v>
      </c>
      <c r="F175" s="44">
        <v>0</v>
      </c>
      <c r="G175" s="45">
        <v>0</v>
      </c>
      <c r="H175" s="45"/>
      <c r="I175" s="47">
        <v>0</v>
      </c>
      <c r="J175" s="113">
        <v>46026</v>
      </c>
      <c r="K175" s="114" t="s">
        <v>913</v>
      </c>
      <c r="L175" s="347">
        <v>1410</v>
      </c>
      <c r="M175" s="94" t="s">
        <v>45</v>
      </c>
      <c r="N175" s="116">
        <v>0</v>
      </c>
      <c r="O175" s="233">
        <f t="shared" si="45"/>
        <v>0</v>
      </c>
      <c r="P175" s="233"/>
      <c r="Q175" s="47">
        <f t="shared" si="46"/>
        <v>0</v>
      </c>
      <c r="R175" s="348"/>
      <c r="S175" s="299"/>
      <c r="T175" s="299"/>
      <c r="U175" s="56"/>
      <c r="V175" s="349"/>
      <c r="W175" s="295"/>
    </row>
    <row r="176" spans="1:24" ht="27.75" customHeight="1">
      <c r="A176" s="186">
        <v>7</v>
      </c>
      <c r="B176" s="205" t="s">
        <v>28</v>
      </c>
      <c r="C176" s="346" t="s">
        <v>320</v>
      </c>
      <c r="D176" s="141">
        <v>1410</v>
      </c>
      <c r="E176" s="43" t="s">
        <v>801</v>
      </c>
      <c r="F176" s="44">
        <v>-1</v>
      </c>
      <c r="G176" s="45">
        <v>-1410</v>
      </c>
      <c r="H176" s="45"/>
      <c r="I176" s="47">
        <v>-1410</v>
      </c>
      <c r="J176" s="113">
        <v>46053</v>
      </c>
      <c r="K176" s="114" t="s">
        <v>914</v>
      </c>
      <c r="L176" s="347">
        <v>1410</v>
      </c>
      <c r="M176" s="94" t="s">
        <v>823</v>
      </c>
      <c r="N176" s="116">
        <v>-1</v>
      </c>
      <c r="O176" s="233">
        <f t="shared" si="45"/>
        <v>-1410</v>
      </c>
      <c r="P176" s="233"/>
      <c r="Q176" s="47">
        <f t="shared" si="46"/>
        <v>-1410</v>
      </c>
      <c r="R176" s="348"/>
      <c r="S176" s="299"/>
      <c r="T176" s="299"/>
      <c r="U176" s="56"/>
      <c r="V176" s="349"/>
      <c r="W176" s="295"/>
    </row>
    <row r="177" spans="1:24" ht="27.75" customHeight="1">
      <c r="A177" s="186">
        <v>8</v>
      </c>
      <c r="B177" s="205" t="s">
        <v>28</v>
      </c>
      <c r="C177" s="346" t="s">
        <v>321</v>
      </c>
      <c r="D177" s="141">
        <v>1410</v>
      </c>
      <c r="E177" s="43" t="s">
        <v>801</v>
      </c>
      <c r="F177" s="44">
        <v>-1</v>
      </c>
      <c r="G177" s="45">
        <v>-1410</v>
      </c>
      <c r="H177" s="45"/>
      <c r="I177" s="47">
        <v>-1410</v>
      </c>
      <c r="J177" s="113">
        <v>46053</v>
      </c>
      <c r="K177" s="114" t="s">
        <v>914</v>
      </c>
      <c r="L177" s="347">
        <v>1410</v>
      </c>
      <c r="M177" s="94" t="s">
        <v>823</v>
      </c>
      <c r="N177" s="116">
        <v>-1</v>
      </c>
      <c r="O177" s="233">
        <f t="shared" si="45"/>
        <v>-1410</v>
      </c>
      <c r="P177" s="233"/>
      <c r="Q177" s="47">
        <f t="shared" si="46"/>
        <v>-1410</v>
      </c>
      <c r="R177" s="348"/>
      <c r="S177" s="299"/>
      <c r="T177" s="299"/>
      <c r="U177" s="56"/>
      <c r="V177" s="349"/>
      <c r="W177" s="295"/>
    </row>
    <row r="178" spans="1:24" ht="27.75" customHeight="1">
      <c r="A178" s="186">
        <v>9</v>
      </c>
      <c r="B178" s="205" t="s">
        <v>28</v>
      </c>
      <c r="C178" s="346" t="s">
        <v>322</v>
      </c>
      <c r="D178" s="141">
        <v>1410</v>
      </c>
      <c r="E178" s="43" t="s">
        <v>801</v>
      </c>
      <c r="F178" s="44">
        <v>-1</v>
      </c>
      <c r="G178" s="45">
        <v>-1410</v>
      </c>
      <c r="H178" s="45"/>
      <c r="I178" s="47">
        <v>-1410</v>
      </c>
      <c r="J178" s="113">
        <v>46053</v>
      </c>
      <c r="K178" s="114" t="s">
        <v>914</v>
      </c>
      <c r="L178" s="347">
        <v>1410</v>
      </c>
      <c r="M178" s="94" t="s">
        <v>823</v>
      </c>
      <c r="N178" s="116">
        <v>-1</v>
      </c>
      <c r="O178" s="233">
        <f t="shared" si="45"/>
        <v>-1410</v>
      </c>
      <c r="P178" s="233"/>
      <c r="Q178" s="47">
        <f t="shared" si="46"/>
        <v>-1410</v>
      </c>
      <c r="R178" s="348"/>
      <c r="S178" s="299"/>
      <c r="T178" s="299"/>
      <c r="U178" s="56"/>
      <c r="V178" s="349"/>
      <c r="W178" s="295"/>
    </row>
    <row r="179" spans="1:24" ht="27.75" customHeight="1">
      <c r="A179" s="186">
        <v>10</v>
      </c>
      <c r="B179" s="205" t="s">
        <v>28</v>
      </c>
      <c r="C179" s="346" t="s">
        <v>323</v>
      </c>
      <c r="D179" s="141">
        <v>1410</v>
      </c>
      <c r="E179" s="43" t="s">
        <v>801</v>
      </c>
      <c r="F179" s="44">
        <v>-1</v>
      </c>
      <c r="G179" s="45">
        <v>-1410</v>
      </c>
      <c r="H179" s="45"/>
      <c r="I179" s="47">
        <v>-1410</v>
      </c>
      <c r="J179" s="113">
        <v>46053</v>
      </c>
      <c r="K179" s="114" t="s">
        <v>914</v>
      </c>
      <c r="L179" s="347">
        <v>1410</v>
      </c>
      <c r="M179" s="94" t="s">
        <v>823</v>
      </c>
      <c r="N179" s="116">
        <v>-1</v>
      </c>
      <c r="O179" s="233">
        <f t="shared" si="45"/>
        <v>-1410</v>
      </c>
      <c r="P179" s="233"/>
      <c r="Q179" s="47">
        <f t="shared" si="46"/>
        <v>-1410</v>
      </c>
      <c r="R179" s="348"/>
      <c r="S179" s="299"/>
      <c r="T179" s="299"/>
      <c r="U179" s="56"/>
      <c r="V179" s="349"/>
      <c r="W179" s="295"/>
    </row>
    <row r="180" spans="1:24" ht="27.75" customHeight="1">
      <c r="A180" s="186">
        <v>11</v>
      </c>
      <c r="B180" s="205" t="s">
        <v>28</v>
      </c>
      <c r="C180" s="346" t="s">
        <v>324</v>
      </c>
      <c r="D180" s="141">
        <v>1410</v>
      </c>
      <c r="E180" s="43" t="s">
        <v>801</v>
      </c>
      <c r="F180" s="44">
        <v>-1</v>
      </c>
      <c r="G180" s="45">
        <v>-1410</v>
      </c>
      <c r="H180" s="45"/>
      <c r="I180" s="47">
        <v>-1410</v>
      </c>
      <c r="J180" s="113">
        <v>46053</v>
      </c>
      <c r="K180" s="114" t="s">
        <v>914</v>
      </c>
      <c r="L180" s="347">
        <v>1410</v>
      </c>
      <c r="M180" s="94" t="s">
        <v>823</v>
      </c>
      <c r="N180" s="116">
        <v>-1</v>
      </c>
      <c r="O180" s="233">
        <f t="shared" si="45"/>
        <v>-1410</v>
      </c>
      <c r="P180" s="233"/>
      <c r="Q180" s="47">
        <f t="shared" si="46"/>
        <v>-1410</v>
      </c>
      <c r="R180" s="348"/>
      <c r="S180" s="299"/>
      <c r="T180" s="299"/>
      <c r="U180" s="56"/>
      <c r="V180" s="349"/>
      <c r="W180" s="295"/>
    </row>
    <row r="181" spans="1:24" ht="27.75" customHeight="1">
      <c r="A181" s="186">
        <v>12</v>
      </c>
      <c r="B181" s="205" t="s">
        <v>325</v>
      </c>
      <c r="C181" s="346" t="s">
        <v>326</v>
      </c>
      <c r="D181" s="141">
        <v>1410</v>
      </c>
      <c r="E181" s="43" t="s">
        <v>45</v>
      </c>
      <c r="F181" s="44">
        <v>0</v>
      </c>
      <c r="G181" s="45">
        <v>0</v>
      </c>
      <c r="H181" s="45"/>
      <c r="I181" s="47">
        <v>0</v>
      </c>
      <c r="J181" s="113">
        <v>46027</v>
      </c>
      <c r="K181" s="114" t="s">
        <v>915</v>
      </c>
      <c r="L181" s="347">
        <v>1410</v>
      </c>
      <c r="M181" s="94" t="s">
        <v>45</v>
      </c>
      <c r="N181" s="116">
        <v>0</v>
      </c>
      <c r="O181" s="233">
        <f t="shared" si="45"/>
        <v>0</v>
      </c>
      <c r="P181" s="233"/>
      <c r="Q181" s="47">
        <f t="shared" si="46"/>
        <v>0</v>
      </c>
      <c r="R181" s="348" t="s">
        <v>195</v>
      </c>
      <c r="S181" s="299" t="s">
        <v>307</v>
      </c>
      <c r="T181" s="299" t="s">
        <v>308</v>
      </c>
      <c r="U181" s="56">
        <v>14640</v>
      </c>
      <c r="V181" s="349" t="s">
        <v>328</v>
      </c>
      <c r="W181" s="295" t="s">
        <v>289</v>
      </c>
      <c r="X181" s="4" t="s">
        <v>329</v>
      </c>
    </row>
    <row r="182" spans="1:24" ht="27.75" customHeight="1">
      <c r="A182" s="186">
        <v>13</v>
      </c>
      <c r="B182" s="205" t="s">
        <v>325</v>
      </c>
      <c r="C182" s="346" t="s">
        <v>330</v>
      </c>
      <c r="D182" s="141">
        <v>1410</v>
      </c>
      <c r="E182" s="43" t="s">
        <v>45</v>
      </c>
      <c r="F182" s="44">
        <v>0</v>
      </c>
      <c r="G182" s="45">
        <v>0</v>
      </c>
      <c r="H182" s="45"/>
      <c r="I182" s="47">
        <v>0</v>
      </c>
      <c r="J182" s="113">
        <v>46027</v>
      </c>
      <c r="K182" s="114" t="s">
        <v>915</v>
      </c>
      <c r="L182" s="347">
        <v>1410</v>
      </c>
      <c r="M182" s="94" t="s">
        <v>45</v>
      </c>
      <c r="N182" s="116">
        <v>0</v>
      </c>
      <c r="O182" s="233">
        <f t="shared" si="45"/>
        <v>0</v>
      </c>
      <c r="P182" s="233"/>
      <c r="Q182" s="47">
        <f t="shared" si="46"/>
        <v>0</v>
      </c>
      <c r="R182" s="348"/>
      <c r="S182" s="299"/>
      <c r="T182" s="299"/>
      <c r="U182" s="56"/>
      <c r="V182" s="349"/>
      <c r="W182" s="295"/>
    </row>
    <row r="183" spans="1:24" ht="27.75" customHeight="1">
      <c r="A183" s="186">
        <v>14</v>
      </c>
      <c r="B183" s="205" t="s">
        <v>325</v>
      </c>
      <c r="C183" s="346" t="s">
        <v>331</v>
      </c>
      <c r="D183" s="141">
        <v>1410</v>
      </c>
      <c r="E183" s="43" t="s">
        <v>45</v>
      </c>
      <c r="F183" s="44">
        <v>0</v>
      </c>
      <c r="G183" s="45">
        <v>0</v>
      </c>
      <c r="H183" s="45"/>
      <c r="I183" s="47">
        <v>0</v>
      </c>
      <c r="J183" s="113">
        <v>46027</v>
      </c>
      <c r="K183" s="114" t="s">
        <v>915</v>
      </c>
      <c r="L183" s="347">
        <v>1410</v>
      </c>
      <c r="M183" s="94" t="s">
        <v>45</v>
      </c>
      <c r="N183" s="116">
        <v>0</v>
      </c>
      <c r="O183" s="233">
        <f t="shared" si="45"/>
        <v>0</v>
      </c>
      <c r="P183" s="233"/>
      <c r="Q183" s="47">
        <f t="shared" si="46"/>
        <v>0</v>
      </c>
      <c r="R183" s="348"/>
      <c r="S183" s="299"/>
      <c r="T183" s="299"/>
      <c r="U183" s="56"/>
      <c r="V183" s="349"/>
      <c r="W183" s="295"/>
    </row>
    <row r="184" spans="1:24" ht="27.75" customHeight="1">
      <c r="A184" s="186">
        <v>15</v>
      </c>
      <c r="B184" s="205" t="s">
        <v>325</v>
      </c>
      <c r="C184" s="346" t="s">
        <v>332</v>
      </c>
      <c r="D184" s="141">
        <v>1410</v>
      </c>
      <c r="E184" s="43" t="s">
        <v>45</v>
      </c>
      <c r="F184" s="44">
        <v>0</v>
      </c>
      <c r="G184" s="45">
        <v>0</v>
      </c>
      <c r="H184" s="45"/>
      <c r="I184" s="47">
        <v>0</v>
      </c>
      <c r="J184" s="113">
        <v>46027</v>
      </c>
      <c r="K184" s="114" t="s">
        <v>915</v>
      </c>
      <c r="L184" s="347">
        <v>1410</v>
      </c>
      <c r="M184" s="94" t="s">
        <v>45</v>
      </c>
      <c r="N184" s="116">
        <v>0</v>
      </c>
      <c r="O184" s="233">
        <f t="shared" si="45"/>
        <v>0</v>
      </c>
      <c r="P184" s="233"/>
      <c r="Q184" s="47">
        <f t="shared" si="46"/>
        <v>0</v>
      </c>
      <c r="R184" s="348"/>
      <c r="S184" s="299"/>
      <c r="T184" s="299"/>
      <c r="U184" s="56"/>
      <c r="V184" s="349"/>
      <c r="W184" s="295"/>
    </row>
    <row r="185" spans="1:24" ht="27.75" customHeight="1">
      <c r="A185" s="186">
        <v>16</v>
      </c>
      <c r="B185" s="205" t="s">
        <v>28</v>
      </c>
      <c r="C185" s="346" t="s">
        <v>333</v>
      </c>
      <c r="D185" s="141">
        <v>1410</v>
      </c>
      <c r="E185" s="43" t="s">
        <v>801</v>
      </c>
      <c r="F185" s="44">
        <v>-1</v>
      </c>
      <c r="G185" s="45">
        <v>-1410</v>
      </c>
      <c r="H185" s="45"/>
      <c r="I185" s="47">
        <v>-1410</v>
      </c>
      <c r="J185" s="113">
        <v>46053</v>
      </c>
      <c r="K185" s="114" t="s">
        <v>914</v>
      </c>
      <c r="L185" s="347">
        <v>1410</v>
      </c>
      <c r="M185" s="94" t="s">
        <v>823</v>
      </c>
      <c r="N185" s="116">
        <v>-1</v>
      </c>
      <c r="O185" s="233">
        <f t="shared" si="45"/>
        <v>-1410</v>
      </c>
      <c r="P185" s="233"/>
      <c r="Q185" s="47">
        <f t="shared" si="46"/>
        <v>-1410</v>
      </c>
      <c r="R185" s="348"/>
      <c r="S185" s="299"/>
      <c r="T185" s="299"/>
      <c r="U185" s="56"/>
      <c r="V185" s="349"/>
      <c r="W185" s="295"/>
    </row>
    <row r="186" spans="1:24" ht="27.75" customHeight="1">
      <c r="A186" s="186">
        <v>17</v>
      </c>
      <c r="B186" s="205" t="s">
        <v>28</v>
      </c>
      <c r="C186" s="346" t="s">
        <v>334</v>
      </c>
      <c r="D186" s="141">
        <v>1410</v>
      </c>
      <c r="E186" s="43" t="s">
        <v>801</v>
      </c>
      <c r="F186" s="44">
        <v>-1</v>
      </c>
      <c r="G186" s="45">
        <v>-1410</v>
      </c>
      <c r="H186" s="45"/>
      <c r="I186" s="47">
        <v>-1410</v>
      </c>
      <c r="J186" s="113">
        <v>46053</v>
      </c>
      <c r="K186" s="114" t="s">
        <v>914</v>
      </c>
      <c r="L186" s="347">
        <v>1410</v>
      </c>
      <c r="M186" s="94" t="s">
        <v>823</v>
      </c>
      <c r="N186" s="116">
        <v>-1</v>
      </c>
      <c r="O186" s="233">
        <f t="shared" si="45"/>
        <v>-1410</v>
      </c>
      <c r="P186" s="233"/>
      <c r="Q186" s="47">
        <f t="shared" si="46"/>
        <v>-1410</v>
      </c>
      <c r="R186" s="348"/>
      <c r="S186" s="299"/>
      <c r="T186" s="299"/>
      <c r="U186" s="56"/>
      <c r="V186" s="349"/>
      <c r="W186" s="295"/>
    </row>
    <row r="187" spans="1:24" ht="27.75" customHeight="1">
      <c r="A187" s="186">
        <v>18</v>
      </c>
      <c r="B187" s="205" t="s">
        <v>28</v>
      </c>
      <c r="C187" s="346" t="s">
        <v>335</v>
      </c>
      <c r="D187" s="141">
        <v>1410</v>
      </c>
      <c r="E187" s="43" t="s">
        <v>801</v>
      </c>
      <c r="F187" s="44">
        <v>-1</v>
      </c>
      <c r="G187" s="45">
        <v>-1410</v>
      </c>
      <c r="H187" s="45"/>
      <c r="I187" s="47">
        <v>-1410</v>
      </c>
      <c r="J187" s="113">
        <v>46053</v>
      </c>
      <c r="K187" s="114" t="s">
        <v>914</v>
      </c>
      <c r="L187" s="347">
        <v>1410</v>
      </c>
      <c r="M187" s="94" t="s">
        <v>823</v>
      </c>
      <c r="N187" s="116">
        <v>-1</v>
      </c>
      <c r="O187" s="233">
        <f t="shared" si="45"/>
        <v>-1410</v>
      </c>
      <c r="P187" s="233"/>
      <c r="Q187" s="47">
        <f t="shared" si="46"/>
        <v>-1410</v>
      </c>
      <c r="R187" s="348"/>
      <c r="S187" s="299"/>
      <c r="T187" s="299"/>
      <c r="U187" s="56"/>
      <c r="V187" s="349"/>
      <c r="W187" s="295"/>
    </row>
    <row r="188" spans="1:24" ht="27.75" customHeight="1">
      <c r="A188" s="186">
        <v>19</v>
      </c>
      <c r="B188" s="205" t="s">
        <v>40</v>
      </c>
      <c r="C188" s="346" t="s">
        <v>336</v>
      </c>
      <c r="D188" s="141">
        <v>1220</v>
      </c>
      <c r="E188" s="43" t="s">
        <v>26</v>
      </c>
      <c r="F188" s="44">
        <v>0</v>
      </c>
      <c r="G188" s="45">
        <v>0</v>
      </c>
      <c r="H188" s="45"/>
      <c r="I188" s="47">
        <v>0</v>
      </c>
      <c r="J188" s="113">
        <v>46027</v>
      </c>
      <c r="K188" s="114" t="s">
        <v>916</v>
      </c>
      <c r="L188" s="347">
        <v>1220</v>
      </c>
      <c r="M188" s="94" t="s">
        <v>26</v>
      </c>
      <c r="N188" s="116">
        <v>0</v>
      </c>
      <c r="O188" s="233">
        <f t="shared" si="45"/>
        <v>0</v>
      </c>
      <c r="P188" s="233"/>
      <c r="Q188" s="47">
        <f t="shared" si="46"/>
        <v>0</v>
      </c>
      <c r="R188" s="39" t="s">
        <v>195</v>
      </c>
      <c r="S188" s="55">
        <v>43313</v>
      </c>
      <c r="T188" s="55">
        <v>44408</v>
      </c>
      <c r="U188" s="56">
        <v>9540</v>
      </c>
      <c r="V188" s="349"/>
    </row>
    <row r="189" spans="1:24" ht="27.75" customHeight="1">
      <c r="A189" s="186">
        <v>20</v>
      </c>
      <c r="B189" s="205" t="s">
        <v>40</v>
      </c>
      <c r="C189" s="346" t="s">
        <v>338</v>
      </c>
      <c r="D189" s="141">
        <v>1220</v>
      </c>
      <c r="E189" s="43" t="s">
        <v>26</v>
      </c>
      <c r="F189" s="44">
        <v>0</v>
      </c>
      <c r="G189" s="45">
        <v>0</v>
      </c>
      <c r="H189" s="45"/>
      <c r="I189" s="47">
        <v>0</v>
      </c>
      <c r="J189" s="113">
        <v>46027</v>
      </c>
      <c r="K189" s="114" t="s">
        <v>916</v>
      </c>
      <c r="L189" s="347">
        <v>1220</v>
      </c>
      <c r="M189" s="94" t="s">
        <v>26</v>
      </c>
      <c r="N189" s="116">
        <v>0</v>
      </c>
      <c r="O189" s="233">
        <f t="shared" si="45"/>
        <v>0</v>
      </c>
      <c r="P189" s="233"/>
      <c r="Q189" s="47">
        <f t="shared" si="46"/>
        <v>0</v>
      </c>
      <c r="R189" s="39"/>
      <c r="S189" s="55"/>
      <c r="T189" s="55"/>
      <c r="U189" s="56"/>
      <c r="V189" s="349"/>
    </row>
    <row r="190" spans="1:24" ht="27.75" customHeight="1">
      <c r="A190" s="186">
        <v>21</v>
      </c>
      <c r="B190" s="205" t="s">
        <v>40</v>
      </c>
      <c r="C190" s="346" t="s">
        <v>339</v>
      </c>
      <c r="D190" s="141">
        <v>1220</v>
      </c>
      <c r="E190" s="43" t="s">
        <v>26</v>
      </c>
      <c r="F190" s="44">
        <v>0</v>
      </c>
      <c r="G190" s="45">
        <v>0</v>
      </c>
      <c r="H190" s="45"/>
      <c r="I190" s="47">
        <v>0</v>
      </c>
      <c r="J190" s="113">
        <v>46027</v>
      </c>
      <c r="K190" s="114" t="s">
        <v>916</v>
      </c>
      <c r="L190" s="347">
        <v>1220</v>
      </c>
      <c r="M190" s="94" t="s">
        <v>26</v>
      </c>
      <c r="N190" s="116">
        <v>0</v>
      </c>
      <c r="O190" s="233">
        <f t="shared" si="45"/>
        <v>0</v>
      </c>
      <c r="P190" s="233"/>
      <c r="Q190" s="47">
        <f t="shared" si="46"/>
        <v>0</v>
      </c>
      <c r="R190" s="39"/>
      <c r="S190" s="55"/>
      <c r="T190" s="55"/>
      <c r="U190" s="56"/>
      <c r="V190" s="349"/>
    </row>
    <row r="191" spans="1:24" ht="27.75" customHeight="1">
      <c r="A191" s="186">
        <v>22</v>
      </c>
      <c r="B191" s="40" t="s">
        <v>43</v>
      </c>
      <c r="C191" s="346" t="s">
        <v>340</v>
      </c>
      <c r="D191" s="141">
        <v>1410</v>
      </c>
      <c r="E191" s="43" t="s">
        <v>45</v>
      </c>
      <c r="F191" s="44">
        <v>0</v>
      </c>
      <c r="G191" s="45">
        <v>0</v>
      </c>
      <c r="H191" s="45"/>
      <c r="I191" s="47">
        <v>0</v>
      </c>
      <c r="J191" s="113" t="s">
        <v>826</v>
      </c>
      <c r="K191" s="114" t="s">
        <v>917</v>
      </c>
      <c r="L191" s="347">
        <v>1410</v>
      </c>
      <c r="M191" s="94" t="s">
        <v>45</v>
      </c>
      <c r="N191" s="116">
        <v>0</v>
      </c>
      <c r="O191" s="233">
        <f t="shared" si="45"/>
        <v>0</v>
      </c>
      <c r="P191" s="233"/>
      <c r="Q191" s="47">
        <f t="shared" si="46"/>
        <v>0</v>
      </c>
      <c r="R191" s="348" t="s">
        <v>195</v>
      </c>
      <c r="S191" s="299" t="s">
        <v>307</v>
      </c>
      <c r="T191" s="299" t="s">
        <v>308</v>
      </c>
      <c r="U191" s="56">
        <v>7320</v>
      </c>
      <c r="V191" s="349" t="s">
        <v>342</v>
      </c>
      <c r="W191" s="295" t="s">
        <v>289</v>
      </c>
      <c r="X191" s="4" t="s">
        <v>343</v>
      </c>
    </row>
    <row r="192" spans="1:24" ht="27.75" customHeight="1">
      <c r="A192" s="186">
        <v>23</v>
      </c>
      <c r="B192" s="40" t="s">
        <v>43</v>
      </c>
      <c r="C192" s="346" t="s">
        <v>344</v>
      </c>
      <c r="D192" s="141">
        <v>1410</v>
      </c>
      <c r="E192" s="43" t="s">
        <v>45</v>
      </c>
      <c r="F192" s="44">
        <v>0</v>
      </c>
      <c r="G192" s="45">
        <v>0</v>
      </c>
      <c r="H192" s="45"/>
      <c r="I192" s="47">
        <v>0</v>
      </c>
      <c r="J192" s="113" t="s">
        <v>826</v>
      </c>
      <c r="K192" s="114" t="s">
        <v>917</v>
      </c>
      <c r="L192" s="347">
        <v>1410</v>
      </c>
      <c r="M192" s="94" t="s">
        <v>45</v>
      </c>
      <c r="N192" s="116">
        <v>0</v>
      </c>
      <c r="O192" s="233">
        <f t="shared" si="45"/>
        <v>0</v>
      </c>
      <c r="P192" s="233"/>
      <c r="Q192" s="47">
        <f t="shared" si="46"/>
        <v>0</v>
      </c>
      <c r="R192" s="348"/>
      <c r="S192" s="299"/>
      <c r="T192" s="299"/>
      <c r="U192" s="56"/>
      <c r="V192" s="349"/>
      <c r="W192" s="295"/>
    </row>
    <row r="193" spans="1:25" ht="27.75" customHeight="1">
      <c r="A193" s="186">
        <v>24</v>
      </c>
      <c r="B193" s="40" t="s">
        <v>345</v>
      </c>
      <c r="C193" s="346" t="s">
        <v>346</v>
      </c>
      <c r="D193" s="141">
        <v>1410</v>
      </c>
      <c r="E193" s="43" t="s">
        <v>45</v>
      </c>
      <c r="F193" s="44">
        <v>0</v>
      </c>
      <c r="G193" s="45">
        <v>0</v>
      </c>
      <c r="H193" s="45"/>
      <c r="I193" s="47">
        <v>0</v>
      </c>
      <c r="J193" s="113">
        <v>46025</v>
      </c>
      <c r="K193" s="114" t="s">
        <v>918</v>
      </c>
      <c r="L193" s="347">
        <v>1410</v>
      </c>
      <c r="M193" s="94" t="s">
        <v>45</v>
      </c>
      <c r="N193" s="116">
        <v>0</v>
      </c>
      <c r="O193" s="233">
        <f t="shared" si="45"/>
        <v>0</v>
      </c>
      <c r="P193" s="233"/>
      <c r="Q193" s="47">
        <f t="shared" si="46"/>
        <v>0</v>
      </c>
      <c r="R193" s="39" t="s">
        <v>195</v>
      </c>
      <c r="S193" s="55">
        <v>43313</v>
      </c>
      <c r="T193" s="55">
        <v>44408</v>
      </c>
      <c r="U193" s="56">
        <v>12720</v>
      </c>
      <c r="V193" s="349"/>
    </row>
    <row r="194" spans="1:25" ht="27.75" customHeight="1">
      <c r="A194" s="186">
        <v>25</v>
      </c>
      <c r="B194" s="40" t="s">
        <v>345</v>
      </c>
      <c r="C194" s="346" t="s">
        <v>348</v>
      </c>
      <c r="D194" s="141">
        <v>1410</v>
      </c>
      <c r="E194" s="43" t="s">
        <v>45</v>
      </c>
      <c r="F194" s="44">
        <v>0</v>
      </c>
      <c r="G194" s="45">
        <v>0</v>
      </c>
      <c r="H194" s="45"/>
      <c r="I194" s="47">
        <v>0</v>
      </c>
      <c r="J194" s="113">
        <v>46025</v>
      </c>
      <c r="K194" s="114" t="s">
        <v>918</v>
      </c>
      <c r="L194" s="347">
        <v>1410</v>
      </c>
      <c r="M194" s="94" t="s">
        <v>45</v>
      </c>
      <c r="N194" s="116">
        <v>0</v>
      </c>
      <c r="O194" s="233">
        <f t="shared" si="45"/>
        <v>0</v>
      </c>
      <c r="P194" s="233"/>
      <c r="Q194" s="47">
        <f t="shared" si="46"/>
        <v>0</v>
      </c>
      <c r="R194" s="39"/>
      <c r="S194" s="55"/>
      <c r="T194" s="55"/>
      <c r="U194" s="56"/>
      <c r="V194" s="349"/>
    </row>
    <row r="195" spans="1:25" ht="27.75" customHeight="1">
      <c r="A195" s="186">
        <v>26</v>
      </c>
      <c r="B195" s="40" t="s">
        <v>345</v>
      </c>
      <c r="C195" s="346" t="s">
        <v>349</v>
      </c>
      <c r="D195" s="141">
        <v>1410</v>
      </c>
      <c r="E195" s="43" t="s">
        <v>45</v>
      </c>
      <c r="F195" s="44">
        <v>0</v>
      </c>
      <c r="G195" s="45">
        <v>0</v>
      </c>
      <c r="H195" s="45"/>
      <c r="I195" s="47">
        <v>0</v>
      </c>
      <c r="J195" s="113">
        <v>46025</v>
      </c>
      <c r="K195" s="114" t="s">
        <v>918</v>
      </c>
      <c r="L195" s="347">
        <v>1410</v>
      </c>
      <c r="M195" s="94" t="s">
        <v>45</v>
      </c>
      <c r="N195" s="116">
        <v>0</v>
      </c>
      <c r="O195" s="233">
        <f t="shared" si="45"/>
        <v>0</v>
      </c>
      <c r="P195" s="233"/>
      <c r="Q195" s="47">
        <f t="shared" si="46"/>
        <v>0</v>
      </c>
      <c r="R195" s="39"/>
      <c r="S195" s="55"/>
      <c r="T195" s="55"/>
      <c r="U195" s="56"/>
      <c r="V195" s="349"/>
    </row>
    <row r="196" spans="1:25" ht="27.75" customHeight="1">
      <c r="A196" s="186">
        <v>27</v>
      </c>
      <c r="B196" s="40" t="s">
        <v>345</v>
      </c>
      <c r="C196" s="346" t="s">
        <v>350</v>
      </c>
      <c r="D196" s="141">
        <v>1410</v>
      </c>
      <c r="E196" s="43" t="s">
        <v>45</v>
      </c>
      <c r="F196" s="44">
        <v>0</v>
      </c>
      <c r="G196" s="45">
        <v>0</v>
      </c>
      <c r="H196" s="45"/>
      <c r="I196" s="47">
        <v>0</v>
      </c>
      <c r="J196" s="113">
        <v>46025</v>
      </c>
      <c r="K196" s="114" t="s">
        <v>918</v>
      </c>
      <c r="L196" s="347">
        <v>1410</v>
      </c>
      <c r="M196" s="94" t="s">
        <v>45</v>
      </c>
      <c r="N196" s="116">
        <v>0</v>
      </c>
      <c r="O196" s="233">
        <f t="shared" si="45"/>
        <v>0</v>
      </c>
      <c r="P196" s="233"/>
      <c r="Q196" s="47">
        <f t="shared" si="46"/>
        <v>0</v>
      </c>
      <c r="R196" s="39"/>
      <c r="S196" s="55"/>
      <c r="T196" s="55"/>
      <c r="U196" s="56"/>
      <c r="V196" s="349"/>
    </row>
    <row r="197" spans="1:25" ht="27.75" customHeight="1">
      <c r="A197" s="186">
        <v>28</v>
      </c>
      <c r="B197" s="40" t="s">
        <v>351</v>
      </c>
      <c r="C197" s="346" t="s">
        <v>352</v>
      </c>
      <c r="D197" s="141">
        <v>1410</v>
      </c>
      <c r="E197" s="43" t="s">
        <v>45</v>
      </c>
      <c r="F197" s="44">
        <v>0</v>
      </c>
      <c r="G197" s="45">
        <v>0</v>
      </c>
      <c r="H197" s="45"/>
      <c r="I197" s="47">
        <v>0</v>
      </c>
      <c r="J197" s="113">
        <v>46024</v>
      </c>
      <c r="K197" s="114" t="s">
        <v>919</v>
      </c>
      <c r="L197" s="347">
        <v>1410</v>
      </c>
      <c r="M197" s="94" t="s">
        <v>45</v>
      </c>
      <c r="N197" s="116">
        <v>0</v>
      </c>
      <c r="O197" s="233">
        <f t="shared" si="45"/>
        <v>0</v>
      </c>
      <c r="P197" s="233"/>
      <c r="Q197" s="47">
        <f t="shared" si="46"/>
        <v>0</v>
      </c>
      <c r="R197" s="39" t="s">
        <v>195</v>
      </c>
      <c r="S197" s="55">
        <v>43313</v>
      </c>
      <c r="T197" s="55">
        <v>44408</v>
      </c>
      <c r="U197" s="56">
        <v>9540</v>
      </c>
      <c r="V197" s="349"/>
    </row>
    <row r="198" spans="1:25" ht="27.75" customHeight="1">
      <c r="A198" s="186">
        <v>29</v>
      </c>
      <c r="B198" s="40" t="s">
        <v>351</v>
      </c>
      <c r="C198" s="346" t="s">
        <v>354</v>
      </c>
      <c r="D198" s="141">
        <v>1410</v>
      </c>
      <c r="E198" s="43" t="s">
        <v>45</v>
      </c>
      <c r="F198" s="44">
        <v>0</v>
      </c>
      <c r="G198" s="45">
        <v>0</v>
      </c>
      <c r="H198" s="45"/>
      <c r="I198" s="47">
        <v>0</v>
      </c>
      <c r="J198" s="113">
        <v>46024</v>
      </c>
      <c r="K198" s="114" t="s">
        <v>919</v>
      </c>
      <c r="L198" s="347">
        <v>1410</v>
      </c>
      <c r="M198" s="94" t="s">
        <v>45</v>
      </c>
      <c r="N198" s="116">
        <v>0</v>
      </c>
      <c r="O198" s="233">
        <f t="shared" si="45"/>
        <v>0</v>
      </c>
      <c r="P198" s="233"/>
      <c r="Q198" s="47">
        <f t="shared" si="46"/>
        <v>0</v>
      </c>
      <c r="R198" s="39"/>
      <c r="S198" s="55"/>
      <c r="T198" s="55"/>
      <c r="U198" s="56"/>
      <c r="V198" s="349"/>
    </row>
    <row r="199" spans="1:25" ht="27.75" customHeight="1">
      <c r="A199" s="186">
        <v>30</v>
      </c>
      <c r="B199" s="40" t="s">
        <v>351</v>
      </c>
      <c r="C199" s="346" t="s">
        <v>355</v>
      </c>
      <c r="D199" s="141">
        <v>1410</v>
      </c>
      <c r="E199" s="43" t="s">
        <v>45</v>
      </c>
      <c r="F199" s="44">
        <v>0</v>
      </c>
      <c r="G199" s="45">
        <v>0</v>
      </c>
      <c r="H199" s="45"/>
      <c r="I199" s="47">
        <v>0</v>
      </c>
      <c r="J199" s="113">
        <v>46024</v>
      </c>
      <c r="K199" s="114" t="s">
        <v>919</v>
      </c>
      <c r="L199" s="347">
        <v>1410</v>
      </c>
      <c r="M199" s="94" t="s">
        <v>45</v>
      </c>
      <c r="N199" s="116">
        <v>0</v>
      </c>
      <c r="O199" s="233">
        <f t="shared" si="45"/>
        <v>0</v>
      </c>
      <c r="P199" s="233"/>
      <c r="Q199" s="47">
        <f t="shared" si="46"/>
        <v>0</v>
      </c>
      <c r="R199" s="39"/>
      <c r="S199" s="55"/>
      <c r="T199" s="55"/>
      <c r="U199" s="56"/>
      <c r="V199" s="349"/>
    </row>
    <row r="200" spans="1:25" ht="27.75" customHeight="1">
      <c r="A200" s="186">
        <v>31</v>
      </c>
      <c r="B200" s="40" t="s">
        <v>356</v>
      </c>
      <c r="C200" s="346" t="s">
        <v>357</v>
      </c>
      <c r="D200" s="141">
        <v>1410</v>
      </c>
      <c r="E200" s="43" t="s">
        <v>801</v>
      </c>
      <c r="F200" s="44">
        <v>-1</v>
      </c>
      <c r="G200" s="45">
        <v>-1410</v>
      </c>
      <c r="H200" s="45"/>
      <c r="I200" s="47">
        <v>-1410</v>
      </c>
      <c r="J200" s="113"/>
      <c r="K200" s="114"/>
      <c r="L200" s="347">
        <v>0</v>
      </c>
      <c r="M200" s="94" t="s">
        <v>45</v>
      </c>
      <c r="N200" s="116">
        <v>0</v>
      </c>
      <c r="O200" s="233">
        <f t="shared" si="45"/>
        <v>0</v>
      </c>
      <c r="P200" s="233"/>
      <c r="Q200" s="47">
        <f t="shared" si="46"/>
        <v>0</v>
      </c>
      <c r="R200" s="39" t="s">
        <v>195</v>
      </c>
      <c r="S200" s="55">
        <v>42217</v>
      </c>
      <c r="T200" s="55">
        <v>43312</v>
      </c>
      <c r="U200" s="56">
        <v>8280</v>
      </c>
      <c r="V200" s="349" t="s">
        <v>359</v>
      </c>
    </row>
    <row r="201" spans="1:25" ht="27.75" customHeight="1">
      <c r="A201" s="186">
        <v>32</v>
      </c>
      <c r="B201" s="40" t="s">
        <v>356</v>
      </c>
      <c r="C201" s="346" t="s">
        <v>360</v>
      </c>
      <c r="D201" s="141">
        <v>1410</v>
      </c>
      <c r="E201" s="43" t="s">
        <v>801</v>
      </c>
      <c r="F201" s="44">
        <v>-1</v>
      </c>
      <c r="G201" s="45">
        <v>-1410</v>
      </c>
      <c r="H201" s="45"/>
      <c r="I201" s="47">
        <v>-1410</v>
      </c>
      <c r="J201" s="113"/>
      <c r="K201" s="114"/>
      <c r="L201" s="347">
        <v>0</v>
      </c>
      <c r="M201" s="94" t="s">
        <v>45</v>
      </c>
      <c r="N201" s="116">
        <v>0</v>
      </c>
      <c r="O201" s="233">
        <f t="shared" si="45"/>
        <v>0</v>
      </c>
      <c r="P201" s="233"/>
      <c r="Q201" s="47">
        <f t="shared" si="46"/>
        <v>0</v>
      </c>
      <c r="R201" s="39"/>
      <c r="S201" s="55"/>
      <c r="T201" s="55"/>
      <c r="U201" s="56"/>
      <c r="V201" s="349"/>
    </row>
    <row r="202" spans="1:25" ht="27.75" customHeight="1">
      <c r="A202" s="186">
        <v>33</v>
      </c>
      <c r="B202" s="40" t="s">
        <v>356</v>
      </c>
      <c r="C202" s="346" t="s">
        <v>361</v>
      </c>
      <c r="D202" s="141">
        <v>1410</v>
      </c>
      <c r="E202" s="43" t="s">
        <v>925</v>
      </c>
      <c r="F202" s="44">
        <v>-1</v>
      </c>
      <c r="G202" s="45">
        <v>-1410</v>
      </c>
      <c r="H202" s="45"/>
      <c r="I202" s="47">
        <v>-1410</v>
      </c>
      <c r="J202" s="113"/>
      <c r="K202" s="114"/>
      <c r="L202" s="347">
        <v>0</v>
      </c>
      <c r="M202" s="94" t="s">
        <v>45</v>
      </c>
      <c r="N202" s="116">
        <v>0</v>
      </c>
      <c r="O202" s="233">
        <f t="shared" si="45"/>
        <v>0</v>
      </c>
      <c r="P202" s="233"/>
      <c r="Q202" s="47">
        <f t="shared" si="46"/>
        <v>0</v>
      </c>
      <c r="R202" s="39"/>
      <c r="S202" s="55"/>
      <c r="T202" s="55"/>
      <c r="U202" s="56"/>
      <c r="V202" s="349"/>
      <c r="Y202" s="4" t="s">
        <v>56</v>
      </c>
    </row>
    <row r="203" spans="1:25" ht="27.75" customHeight="1">
      <c r="A203" s="186">
        <v>34</v>
      </c>
      <c r="B203" s="40" t="s">
        <v>362</v>
      </c>
      <c r="C203" s="346" t="s">
        <v>363</v>
      </c>
      <c r="D203" s="141">
        <v>1410</v>
      </c>
      <c r="E203" s="43" t="s">
        <v>45</v>
      </c>
      <c r="F203" s="44">
        <v>0</v>
      </c>
      <c r="G203" s="45">
        <v>0</v>
      </c>
      <c r="H203" s="45"/>
      <c r="I203" s="47">
        <v>0</v>
      </c>
      <c r="J203" s="113">
        <v>46024</v>
      </c>
      <c r="K203" s="114" t="s">
        <v>920</v>
      </c>
      <c r="L203" s="347">
        <v>1410</v>
      </c>
      <c r="M203" s="94" t="s">
        <v>45</v>
      </c>
      <c r="N203" s="116">
        <v>0</v>
      </c>
      <c r="O203" s="233">
        <f t="shared" si="45"/>
        <v>0</v>
      </c>
      <c r="P203" s="233"/>
      <c r="Q203" s="47">
        <f t="shared" si="46"/>
        <v>0</v>
      </c>
      <c r="R203" s="348" t="s">
        <v>195</v>
      </c>
      <c r="S203" s="299" t="s">
        <v>307</v>
      </c>
      <c r="T203" s="299" t="s">
        <v>308</v>
      </c>
      <c r="U203" s="56">
        <v>21960</v>
      </c>
      <c r="V203" s="349" t="s">
        <v>365</v>
      </c>
      <c r="W203" s="295" t="s">
        <v>289</v>
      </c>
      <c r="X203" s="40" t="s">
        <v>366</v>
      </c>
    </row>
    <row r="204" spans="1:25" ht="27.75" customHeight="1">
      <c r="A204" s="186">
        <v>35</v>
      </c>
      <c r="B204" s="40" t="s">
        <v>362</v>
      </c>
      <c r="C204" s="346" t="s">
        <v>367</v>
      </c>
      <c r="D204" s="141">
        <v>1410</v>
      </c>
      <c r="E204" s="43" t="s">
        <v>45</v>
      </c>
      <c r="F204" s="44">
        <v>0</v>
      </c>
      <c r="G204" s="45">
        <v>0</v>
      </c>
      <c r="H204" s="45"/>
      <c r="I204" s="47">
        <v>0</v>
      </c>
      <c r="J204" s="113">
        <v>46024</v>
      </c>
      <c r="K204" s="114" t="s">
        <v>920</v>
      </c>
      <c r="L204" s="347">
        <v>1410</v>
      </c>
      <c r="M204" s="94" t="s">
        <v>45</v>
      </c>
      <c r="N204" s="116">
        <v>0</v>
      </c>
      <c r="O204" s="233">
        <f t="shared" si="45"/>
        <v>0</v>
      </c>
      <c r="P204" s="233"/>
      <c r="Q204" s="47">
        <f t="shared" si="46"/>
        <v>0</v>
      </c>
      <c r="R204" s="348"/>
      <c r="S204" s="299"/>
      <c r="T204" s="299"/>
      <c r="U204" s="56"/>
      <c r="V204" s="349"/>
      <c r="W204" s="295"/>
      <c r="X204" s="350"/>
    </row>
    <row r="205" spans="1:25" ht="27.75" customHeight="1">
      <c r="A205" s="186">
        <v>36</v>
      </c>
      <c r="B205" s="40" t="s">
        <v>362</v>
      </c>
      <c r="C205" s="346" t="s">
        <v>368</v>
      </c>
      <c r="D205" s="141">
        <v>1410</v>
      </c>
      <c r="E205" s="43" t="s">
        <v>45</v>
      </c>
      <c r="F205" s="44">
        <v>0</v>
      </c>
      <c r="G205" s="45">
        <v>0</v>
      </c>
      <c r="H205" s="45"/>
      <c r="I205" s="47">
        <v>0</v>
      </c>
      <c r="J205" s="113">
        <v>46024</v>
      </c>
      <c r="K205" s="114" t="s">
        <v>920</v>
      </c>
      <c r="L205" s="347">
        <v>1410</v>
      </c>
      <c r="M205" s="94" t="s">
        <v>45</v>
      </c>
      <c r="N205" s="116">
        <v>0</v>
      </c>
      <c r="O205" s="233">
        <f t="shared" si="45"/>
        <v>0</v>
      </c>
      <c r="P205" s="233"/>
      <c r="Q205" s="47">
        <f t="shared" si="46"/>
        <v>0</v>
      </c>
      <c r="R205" s="348"/>
      <c r="S205" s="299"/>
      <c r="T205" s="299"/>
      <c r="U205" s="56"/>
      <c r="V205" s="349"/>
      <c r="W205" s="295"/>
      <c r="X205" s="350"/>
    </row>
    <row r="206" spans="1:25" ht="27.75" customHeight="1">
      <c r="A206" s="186">
        <v>37</v>
      </c>
      <c r="B206" s="40" t="s">
        <v>362</v>
      </c>
      <c r="C206" s="346" t="s">
        <v>369</v>
      </c>
      <c r="D206" s="141">
        <v>1410</v>
      </c>
      <c r="E206" s="43" t="s">
        <v>45</v>
      </c>
      <c r="F206" s="44">
        <v>0</v>
      </c>
      <c r="G206" s="45">
        <v>0</v>
      </c>
      <c r="H206" s="45"/>
      <c r="I206" s="47">
        <v>0</v>
      </c>
      <c r="J206" s="113">
        <v>46024</v>
      </c>
      <c r="K206" s="114" t="s">
        <v>920</v>
      </c>
      <c r="L206" s="347">
        <v>1410</v>
      </c>
      <c r="M206" s="94" t="s">
        <v>45</v>
      </c>
      <c r="N206" s="116">
        <v>0</v>
      </c>
      <c r="O206" s="233">
        <f t="shared" si="45"/>
        <v>0</v>
      </c>
      <c r="P206" s="233"/>
      <c r="Q206" s="47">
        <f t="shared" si="46"/>
        <v>0</v>
      </c>
      <c r="R206" s="348"/>
      <c r="S206" s="299"/>
      <c r="T206" s="299"/>
      <c r="U206" s="56"/>
      <c r="V206" s="349"/>
      <c r="W206" s="295"/>
      <c r="X206" s="350"/>
    </row>
    <row r="207" spans="1:25" ht="27.75" customHeight="1">
      <c r="A207" s="186">
        <v>38</v>
      </c>
      <c r="B207" s="40" t="s">
        <v>362</v>
      </c>
      <c r="C207" s="346" t="s">
        <v>370</v>
      </c>
      <c r="D207" s="141">
        <v>1410</v>
      </c>
      <c r="E207" s="43" t="s">
        <v>45</v>
      </c>
      <c r="F207" s="44">
        <v>0</v>
      </c>
      <c r="G207" s="45">
        <v>0</v>
      </c>
      <c r="H207" s="45"/>
      <c r="I207" s="47">
        <v>0</v>
      </c>
      <c r="J207" s="113">
        <v>46024</v>
      </c>
      <c r="K207" s="114" t="s">
        <v>920</v>
      </c>
      <c r="L207" s="347">
        <v>1410</v>
      </c>
      <c r="M207" s="94" t="s">
        <v>45</v>
      </c>
      <c r="N207" s="116">
        <v>0</v>
      </c>
      <c r="O207" s="233">
        <f t="shared" si="45"/>
        <v>0</v>
      </c>
      <c r="P207" s="233"/>
      <c r="Q207" s="47">
        <f t="shared" si="46"/>
        <v>0</v>
      </c>
      <c r="R207" s="348"/>
      <c r="S207" s="299"/>
      <c r="T207" s="299"/>
      <c r="U207" s="56"/>
      <c r="V207" s="349"/>
      <c r="W207" s="295"/>
      <c r="X207" s="350"/>
    </row>
    <row r="208" spans="1:25" ht="27.75" customHeight="1">
      <c r="A208" s="186">
        <v>39</v>
      </c>
      <c r="B208" s="40" t="s">
        <v>362</v>
      </c>
      <c r="C208" s="346" t="s">
        <v>371</v>
      </c>
      <c r="D208" s="141">
        <v>1410</v>
      </c>
      <c r="E208" s="43" t="s">
        <v>45</v>
      </c>
      <c r="F208" s="44">
        <v>0</v>
      </c>
      <c r="G208" s="45">
        <v>0</v>
      </c>
      <c r="H208" s="45"/>
      <c r="I208" s="47">
        <v>0</v>
      </c>
      <c r="J208" s="113">
        <v>46024</v>
      </c>
      <c r="K208" s="114" t="s">
        <v>920</v>
      </c>
      <c r="L208" s="347">
        <v>1410</v>
      </c>
      <c r="M208" s="94" t="s">
        <v>45</v>
      </c>
      <c r="N208" s="116">
        <v>0</v>
      </c>
      <c r="O208" s="233">
        <f t="shared" si="45"/>
        <v>0</v>
      </c>
      <c r="P208" s="233"/>
      <c r="Q208" s="47">
        <f t="shared" si="46"/>
        <v>0</v>
      </c>
      <c r="R208" s="348"/>
      <c r="S208" s="299"/>
      <c r="T208" s="299"/>
      <c r="U208" s="56"/>
      <c r="V208" s="349"/>
      <c r="W208" s="295"/>
      <c r="X208" s="350"/>
    </row>
    <row r="209" spans="1:24" ht="27.75" customHeight="1">
      <c r="A209" s="186">
        <v>40</v>
      </c>
      <c r="B209" s="40" t="s">
        <v>372</v>
      </c>
      <c r="C209" s="346" t="s">
        <v>373</v>
      </c>
      <c r="D209" s="141">
        <v>1410</v>
      </c>
      <c r="E209" s="43" t="s">
        <v>45</v>
      </c>
      <c r="F209" s="44">
        <v>0</v>
      </c>
      <c r="G209" s="45">
        <v>0</v>
      </c>
      <c r="H209" s="45"/>
      <c r="I209" s="47">
        <v>0</v>
      </c>
      <c r="J209" s="113">
        <v>46024</v>
      </c>
      <c r="K209" s="114" t="s">
        <v>921</v>
      </c>
      <c r="L209" s="347">
        <v>1410</v>
      </c>
      <c r="M209" s="94" t="s">
        <v>45</v>
      </c>
      <c r="N209" s="116">
        <v>0</v>
      </c>
      <c r="O209" s="233">
        <f t="shared" si="45"/>
        <v>0</v>
      </c>
      <c r="P209" s="233"/>
      <c r="Q209" s="47">
        <f t="shared" si="46"/>
        <v>0</v>
      </c>
      <c r="R209" s="348" t="s">
        <v>195</v>
      </c>
      <c r="S209" s="299" t="s">
        <v>307</v>
      </c>
      <c r="T209" s="299" t="s">
        <v>308</v>
      </c>
      <c r="U209" s="56">
        <v>14640</v>
      </c>
      <c r="V209" s="349" t="s">
        <v>375</v>
      </c>
      <c r="W209" s="295" t="s">
        <v>289</v>
      </c>
      <c r="X209" s="4" t="s">
        <v>376</v>
      </c>
    </row>
    <row r="210" spans="1:24" ht="27.75" customHeight="1">
      <c r="A210" s="186">
        <v>41</v>
      </c>
      <c r="B210" s="40" t="s">
        <v>372</v>
      </c>
      <c r="C210" s="346" t="s">
        <v>377</v>
      </c>
      <c r="D210" s="141">
        <v>1410</v>
      </c>
      <c r="E210" s="43" t="s">
        <v>45</v>
      </c>
      <c r="F210" s="44">
        <v>0</v>
      </c>
      <c r="G210" s="45">
        <v>0</v>
      </c>
      <c r="H210" s="45"/>
      <c r="I210" s="47">
        <v>0</v>
      </c>
      <c r="J210" s="113">
        <v>46024</v>
      </c>
      <c r="K210" s="114" t="s">
        <v>921</v>
      </c>
      <c r="L210" s="347">
        <v>1410</v>
      </c>
      <c r="M210" s="94" t="s">
        <v>45</v>
      </c>
      <c r="N210" s="116">
        <v>0</v>
      </c>
      <c r="O210" s="233">
        <f t="shared" si="45"/>
        <v>0</v>
      </c>
      <c r="P210" s="233"/>
      <c r="Q210" s="47">
        <f t="shared" si="46"/>
        <v>0</v>
      </c>
      <c r="R210" s="348"/>
      <c r="S210" s="299"/>
      <c r="T210" s="299"/>
      <c r="U210" s="56"/>
      <c r="V210" s="349"/>
      <c r="W210" s="295"/>
    </row>
    <row r="211" spans="1:24" ht="27.75" customHeight="1">
      <c r="A211" s="186">
        <v>42</v>
      </c>
      <c r="B211" s="40" t="s">
        <v>372</v>
      </c>
      <c r="C211" s="346" t="s">
        <v>378</v>
      </c>
      <c r="D211" s="141">
        <v>1410</v>
      </c>
      <c r="E211" s="43" t="s">
        <v>45</v>
      </c>
      <c r="F211" s="44">
        <v>0</v>
      </c>
      <c r="G211" s="45">
        <v>0</v>
      </c>
      <c r="H211" s="45"/>
      <c r="I211" s="47">
        <v>0</v>
      </c>
      <c r="J211" s="113">
        <v>46024</v>
      </c>
      <c r="K211" s="114" t="s">
        <v>921</v>
      </c>
      <c r="L211" s="347">
        <v>1410</v>
      </c>
      <c r="M211" s="94" t="s">
        <v>45</v>
      </c>
      <c r="N211" s="116">
        <v>0</v>
      </c>
      <c r="O211" s="233">
        <f t="shared" si="45"/>
        <v>0</v>
      </c>
      <c r="P211" s="233"/>
      <c r="Q211" s="47">
        <f t="shared" si="46"/>
        <v>0</v>
      </c>
      <c r="R211" s="348"/>
      <c r="S211" s="299"/>
      <c r="T211" s="299"/>
      <c r="U211" s="56"/>
      <c r="V211" s="349"/>
      <c r="W211" s="295"/>
    </row>
    <row r="212" spans="1:24" ht="27.75" customHeight="1">
      <c r="A212" s="186">
        <v>43</v>
      </c>
      <c r="B212" s="40" t="s">
        <v>372</v>
      </c>
      <c r="C212" s="346" t="s">
        <v>379</v>
      </c>
      <c r="D212" s="141">
        <v>1410</v>
      </c>
      <c r="E212" s="43" t="s">
        <v>45</v>
      </c>
      <c r="F212" s="44">
        <v>0</v>
      </c>
      <c r="G212" s="45">
        <v>0</v>
      </c>
      <c r="H212" s="45"/>
      <c r="I212" s="47">
        <v>0</v>
      </c>
      <c r="J212" s="113">
        <v>46024</v>
      </c>
      <c r="K212" s="114" t="s">
        <v>921</v>
      </c>
      <c r="L212" s="347">
        <v>1410</v>
      </c>
      <c r="M212" s="94" t="s">
        <v>45</v>
      </c>
      <c r="N212" s="116">
        <v>0</v>
      </c>
      <c r="O212" s="233">
        <f t="shared" si="45"/>
        <v>0</v>
      </c>
      <c r="P212" s="233"/>
      <c r="Q212" s="47">
        <f t="shared" si="46"/>
        <v>0</v>
      </c>
      <c r="R212" s="348"/>
      <c r="S212" s="299"/>
      <c r="T212" s="299"/>
      <c r="U212" s="56"/>
      <c r="V212" s="349"/>
      <c r="W212" s="295"/>
    </row>
    <row r="213" spans="1:24" ht="27.75" customHeight="1">
      <c r="A213" s="186">
        <v>44</v>
      </c>
      <c r="B213" s="40" t="s">
        <v>380</v>
      </c>
      <c r="C213" s="346" t="s">
        <v>381</v>
      </c>
      <c r="D213" s="141">
        <v>1410</v>
      </c>
      <c r="E213" s="43" t="s">
        <v>45</v>
      </c>
      <c r="F213" s="44">
        <v>0</v>
      </c>
      <c r="G213" s="45">
        <v>0</v>
      </c>
      <c r="H213" s="45"/>
      <c r="I213" s="47">
        <v>0</v>
      </c>
      <c r="J213" s="175">
        <v>46027</v>
      </c>
      <c r="K213" s="176" t="s">
        <v>922</v>
      </c>
      <c r="L213" s="222">
        <v>1410</v>
      </c>
      <c r="M213" s="94" t="s">
        <v>45</v>
      </c>
      <c r="N213" s="116">
        <v>0</v>
      </c>
      <c r="O213" s="233">
        <f t="shared" si="45"/>
        <v>0</v>
      </c>
      <c r="P213" s="233"/>
      <c r="Q213" s="47">
        <f t="shared" si="46"/>
        <v>0</v>
      </c>
      <c r="R213" s="348" t="s">
        <v>195</v>
      </c>
      <c r="S213" s="299" t="s">
        <v>307</v>
      </c>
      <c r="T213" s="299" t="s">
        <v>308</v>
      </c>
      <c r="U213" s="56">
        <v>14640</v>
      </c>
      <c r="V213" s="349" t="s">
        <v>383</v>
      </c>
      <c r="W213" s="295" t="s">
        <v>289</v>
      </c>
      <c r="X213" s="4" t="s">
        <v>384</v>
      </c>
    </row>
    <row r="214" spans="1:24" ht="27.75" customHeight="1">
      <c r="A214" s="186">
        <v>45</v>
      </c>
      <c r="B214" s="40" t="s">
        <v>380</v>
      </c>
      <c r="C214" s="346" t="s">
        <v>385</v>
      </c>
      <c r="D214" s="141">
        <v>1410</v>
      </c>
      <c r="E214" s="43" t="s">
        <v>45</v>
      </c>
      <c r="F214" s="44">
        <v>0</v>
      </c>
      <c r="G214" s="45">
        <v>0</v>
      </c>
      <c r="H214" s="45"/>
      <c r="I214" s="47">
        <v>0</v>
      </c>
      <c r="J214" s="175">
        <v>46027</v>
      </c>
      <c r="K214" s="176" t="s">
        <v>922</v>
      </c>
      <c r="L214" s="222">
        <v>1410</v>
      </c>
      <c r="M214" s="94" t="s">
        <v>45</v>
      </c>
      <c r="N214" s="116">
        <v>0</v>
      </c>
      <c r="O214" s="233">
        <f t="shared" si="45"/>
        <v>0</v>
      </c>
      <c r="P214" s="233"/>
      <c r="Q214" s="47">
        <f t="shared" si="46"/>
        <v>0</v>
      </c>
      <c r="R214" s="348"/>
      <c r="S214" s="299"/>
      <c r="T214" s="299"/>
      <c r="U214" s="56"/>
      <c r="V214" s="349"/>
      <c r="W214" s="295"/>
    </row>
    <row r="215" spans="1:24" ht="27.75" customHeight="1">
      <c r="A215" s="186">
        <v>46</v>
      </c>
      <c r="B215" s="40" t="s">
        <v>380</v>
      </c>
      <c r="C215" s="346" t="s">
        <v>386</v>
      </c>
      <c r="D215" s="141">
        <v>1410</v>
      </c>
      <c r="E215" s="43" t="s">
        <v>45</v>
      </c>
      <c r="F215" s="44">
        <v>0</v>
      </c>
      <c r="G215" s="45">
        <v>0</v>
      </c>
      <c r="H215" s="45"/>
      <c r="I215" s="47">
        <v>0</v>
      </c>
      <c r="J215" s="175">
        <v>46027</v>
      </c>
      <c r="K215" s="176" t="s">
        <v>922</v>
      </c>
      <c r="L215" s="222">
        <v>1410</v>
      </c>
      <c r="M215" s="94" t="s">
        <v>45</v>
      </c>
      <c r="N215" s="116">
        <v>0</v>
      </c>
      <c r="O215" s="233">
        <f t="shared" si="45"/>
        <v>0</v>
      </c>
      <c r="P215" s="233"/>
      <c r="Q215" s="47">
        <f t="shared" si="46"/>
        <v>0</v>
      </c>
      <c r="R215" s="348"/>
      <c r="S215" s="299"/>
      <c r="T215" s="299"/>
      <c r="U215" s="56"/>
      <c r="V215" s="349"/>
      <c r="W215" s="295"/>
    </row>
    <row r="216" spans="1:24" ht="27.75" customHeight="1">
      <c r="A216" s="186">
        <v>47</v>
      </c>
      <c r="B216" s="40" t="s">
        <v>380</v>
      </c>
      <c r="C216" s="346" t="s">
        <v>387</v>
      </c>
      <c r="D216" s="141">
        <v>1410</v>
      </c>
      <c r="E216" s="43" t="s">
        <v>45</v>
      </c>
      <c r="F216" s="44">
        <v>0</v>
      </c>
      <c r="G216" s="45">
        <v>0</v>
      </c>
      <c r="H216" s="45"/>
      <c r="I216" s="47">
        <v>0</v>
      </c>
      <c r="J216" s="175">
        <v>46027</v>
      </c>
      <c r="K216" s="176" t="s">
        <v>922</v>
      </c>
      <c r="L216" s="222">
        <v>1410</v>
      </c>
      <c r="M216" s="94" t="s">
        <v>45</v>
      </c>
      <c r="N216" s="116">
        <v>0</v>
      </c>
      <c r="O216" s="233">
        <f t="shared" si="45"/>
        <v>0</v>
      </c>
      <c r="P216" s="233"/>
      <c r="Q216" s="47">
        <f t="shared" si="46"/>
        <v>0</v>
      </c>
      <c r="R216" s="348"/>
      <c r="S216" s="299"/>
      <c r="T216" s="299"/>
      <c r="U216" s="56"/>
      <c r="V216" s="349"/>
      <c r="W216" s="295"/>
    </row>
    <row r="217" spans="1:24" ht="27.75" customHeight="1">
      <c r="A217" s="186">
        <v>48</v>
      </c>
      <c r="B217" s="351" t="s">
        <v>66</v>
      </c>
      <c r="C217" s="346" t="s">
        <v>388</v>
      </c>
      <c r="D217" s="141">
        <v>1760</v>
      </c>
      <c r="E217" s="43" t="s">
        <v>45</v>
      </c>
      <c r="F217" s="44">
        <v>0</v>
      </c>
      <c r="G217" s="45">
        <v>0</v>
      </c>
      <c r="H217" s="45"/>
      <c r="I217" s="47">
        <v>0</v>
      </c>
      <c r="J217" s="175">
        <v>46052</v>
      </c>
      <c r="K217" s="176" t="s">
        <v>923</v>
      </c>
      <c r="L217" s="222">
        <v>1760</v>
      </c>
      <c r="M217" s="94" t="s">
        <v>45</v>
      </c>
      <c r="N217" s="116">
        <v>0</v>
      </c>
      <c r="O217" s="233">
        <f t="shared" si="45"/>
        <v>0</v>
      </c>
      <c r="P217" s="233"/>
      <c r="Q217" s="47">
        <f t="shared" si="46"/>
        <v>0</v>
      </c>
      <c r="R217" s="39" t="s">
        <v>195</v>
      </c>
      <c r="S217" s="55">
        <v>43313</v>
      </c>
      <c r="T217" s="55">
        <v>44408</v>
      </c>
      <c r="U217" s="56">
        <v>11925</v>
      </c>
      <c r="V217" s="349"/>
    </row>
    <row r="218" spans="1:24" ht="27.75" customHeight="1">
      <c r="A218" s="186">
        <v>49</v>
      </c>
      <c r="B218" s="351" t="s">
        <v>66</v>
      </c>
      <c r="C218" s="346" t="s">
        <v>390</v>
      </c>
      <c r="D218" s="141">
        <v>1760</v>
      </c>
      <c r="E218" s="43" t="s">
        <v>45</v>
      </c>
      <c r="F218" s="44">
        <v>0</v>
      </c>
      <c r="G218" s="45">
        <v>0</v>
      </c>
      <c r="H218" s="45"/>
      <c r="I218" s="47">
        <v>0</v>
      </c>
      <c r="J218" s="175">
        <v>46052</v>
      </c>
      <c r="K218" s="176" t="s">
        <v>923</v>
      </c>
      <c r="L218" s="222">
        <v>1760</v>
      </c>
      <c r="M218" s="94" t="s">
        <v>45</v>
      </c>
      <c r="N218" s="116">
        <v>0</v>
      </c>
      <c r="O218" s="233">
        <f t="shared" si="45"/>
        <v>0</v>
      </c>
      <c r="P218" s="233"/>
      <c r="Q218" s="47">
        <f t="shared" si="46"/>
        <v>0</v>
      </c>
      <c r="R218" s="39"/>
      <c r="S218" s="55"/>
      <c r="T218" s="55"/>
      <c r="U218" s="56"/>
      <c r="V218" s="349"/>
    </row>
    <row r="219" spans="1:24" ht="27.75" customHeight="1">
      <c r="A219" s="186">
        <v>50</v>
      </c>
      <c r="B219" s="351" t="s">
        <v>66</v>
      </c>
      <c r="C219" s="346" t="s">
        <v>391</v>
      </c>
      <c r="D219" s="141">
        <v>1760</v>
      </c>
      <c r="E219" s="43" t="s">
        <v>45</v>
      </c>
      <c r="F219" s="44">
        <v>0</v>
      </c>
      <c r="G219" s="45">
        <v>0</v>
      </c>
      <c r="H219" s="45"/>
      <c r="I219" s="47">
        <v>0</v>
      </c>
      <c r="J219" s="175">
        <v>46052</v>
      </c>
      <c r="K219" s="176" t="s">
        <v>923</v>
      </c>
      <c r="L219" s="222">
        <v>1760</v>
      </c>
      <c r="M219" s="94" t="s">
        <v>45</v>
      </c>
      <c r="N219" s="116">
        <v>0</v>
      </c>
      <c r="O219" s="233">
        <f t="shared" si="45"/>
        <v>0</v>
      </c>
      <c r="P219" s="233"/>
      <c r="Q219" s="47">
        <f t="shared" si="46"/>
        <v>0</v>
      </c>
      <c r="R219" s="39"/>
      <c r="S219" s="55"/>
      <c r="T219" s="55"/>
      <c r="U219" s="56"/>
      <c r="V219" s="349"/>
    </row>
    <row r="220" spans="1:24" ht="27.75" customHeight="1">
      <c r="A220" s="186">
        <v>51</v>
      </c>
      <c r="B220" s="351" t="s">
        <v>66</v>
      </c>
      <c r="C220" s="346" t="s">
        <v>69</v>
      </c>
      <c r="D220" s="141">
        <v>2720</v>
      </c>
      <c r="E220" s="43" t="s">
        <v>45</v>
      </c>
      <c r="F220" s="44">
        <v>0</v>
      </c>
      <c r="G220" s="45">
        <v>0</v>
      </c>
      <c r="H220" s="45"/>
      <c r="I220" s="47">
        <v>0</v>
      </c>
      <c r="J220" s="175">
        <v>46052</v>
      </c>
      <c r="K220" s="176" t="s">
        <v>924</v>
      </c>
      <c r="L220" s="222">
        <v>2720</v>
      </c>
      <c r="M220" s="94" t="s">
        <v>45</v>
      </c>
      <c r="N220" s="116">
        <v>0</v>
      </c>
      <c r="O220" s="233">
        <f t="shared" si="45"/>
        <v>0</v>
      </c>
      <c r="P220" s="233"/>
      <c r="Q220" s="47">
        <f t="shared" si="46"/>
        <v>0</v>
      </c>
      <c r="R220" s="39" t="s">
        <v>195</v>
      </c>
      <c r="S220" s="55">
        <v>43313</v>
      </c>
      <c r="T220" s="55">
        <v>44408</v>
      </c>
      <c r="U220" s="56">
        <v>9000</v>
      </c>
      <c r="V220" s="349"/>
    </row>
    <row r="221" spans="1:24" ht="27.75" customHeight="1">
      <c r="A221" s="94"/>
      <c r="B221" s="352" t="s">
        <v>393</v>
      </c>
      <c r="C221" s="353"/>
      <c r="D221" s="296"/>
      <c r="E221" s="64"/>
      <c r="F221" s="44"/>
      <c r="G221" s="45"/>
      <c r="H221" s="45"/>
      <c r="I221" s="354"/>
      <c r="J221" s="183"/>
      <c r="K221" s="355"/>
      <c r="L221" s="231"/>
      <c r="M221" s="186"/>
      <c r="N221" s="116"/>
      <c r="O221" s="233"/>
      <c r="P221" s="233"/>
      <c r="Q221" s="17"/>
      <c r="R221" s="356"/>
      <c r="S221" s="55"/>
      <c r="T221" s="55"/>
      <c r="U221" s="56"/>
      <c r="V221" s="349"/>
    </row>
    <row r="222" spans="1:24" ht="27.75" customHeight="1">
      <c r="A222" s="94"/>
      <c r="B222" s="352" t="s">
        <v>394</v>
      </c>
      <c r="C222" s="353"/>
      <c r="D222" s="296"/>
      <c r="E222" s="64"/>
      <c r="F222" s="44"/>
      <c r="G222" s="45"/>
      <c r="H222" s="45"/>
      <c r="I222" s="354"/>
      <c r="J222" s="175"/>
      <c r="K222" s="355"/>
      <c r="L222" s="222"/>
      <c r="M222" s="186"/>
      <c r="N222" s="116"/>
      <c r="O222" s="233"/>
      <c r="P222" s="233"/>
      <c r="Q222" s="17"/>
      <c r="R222" s="356"/>
      <c r="S222" s="55"/>
      <c r="T222" s="55"/>
      <c r="U222" s="56"/>
      <c r="V222" s="349"/>
    </row>
    <row r="223" spans="1:24" ht="27.75" customHeight="1" thickBot="1">
      <c r="A223" s="357"/>
      <c r="B223" s="358"/>
      <c r="C223" s="359"/>
      <c r="D223" s="360">
        <f>SUM(D170:D222)</f>
        <v>73700</v>
      </c>
      <c r="E223" s="100"/>
      <c r="F223" s="101"/>
      <c r="G223" s="102">
        <v>0</v>
      </c>
      <c r="H223" s="102">
        <v>0</v>
      </c>
      <c r="I223" s="102">
        <v>0</v>
      </c>
      <c r="J223" s="361"/>
      <c r="K223" s="361"/>
      <c r="L223" s="362">
        <f>SUM(L170:L222)</f>
        <v>69470</v>
      </c>
      <c r="M223" s="106"/>
      <c r="N223" s="107"/>
      <c r="O223" s="363">
        <f>SUM(O170:O222)-O171-O172-O176-O177-O178-O179-O180-O185-O186-O187-O200-O201</f>
        <v>0</v>
      </c>
      <c r="P223" s="363">
        <f t="shared" ref="P223:Q223" si="47">SUM(P170:P222)-P171-P172-P176-P177-P178-P179-P180-P185-P186-P187-P200-P201</f>
        <v>0</v>
      </c>
      <c r="Q223" s="363">
        <f t="shared" si="47"/>
        <v>0</v>
      </c>
      <c r="R223" s="356"/>
      <c r="S223" s="55"/>
      <c r="T223" s="55"/>
      <c r="U223" s="56"/>
      <c r="V223" s="349"/>
    </row>
    <row r="224" spans="1:24" ht="27.75" customHeight="1" thickTop="1">
      <c r="A224" s="94"/>
      <c r="B224" s="364" t="s">
        <v>395</v>
      </c>
      <c r="C224" s="81"/>
      <c r="D224" s="192"/>
      <c r="E224" s="365"/>
      <c r="F224" s="126"/>
      <c r="G224" s="65"/>
      <c r="H224" s="65"/>
      <c r="I224" s="85"/>
      <c r="J224" s="178"/>
      <c r="K224" s="179"/>
      <c r="L224" s="264"/>
      <c r="M224" s="83"/>
      <c r="N224" s="251"/>
      <c r="O224" s="337"/>
      <c r="P224" s="337"/>
      <c r="Q224" s="85"/>
      <c r="R224" s="39"/>
      <c r="S224" s="55"/>
      <c r="T224" s="55"/>
      <c r="U224" s="56"/>
      <c r="V224" s="56"/>
    </row>
    <row r="225" spans="1:24" ht="27.75" customHeight="1">
      <c r="A225" s="94">
        <v>1</v>
      </c>
      <c r="B225" s="366" t="s">
        <v>167</v>
      </c>
      <c r="C225" s="367" t="s">
        <v>396</v>
      </c>
      <c r="D225" s="141">
        <v>22690</v>
      </c>
      <c r="E225" s="43" t="s">
        <v>45</v>
      </c>
      <c r="F225" s="44">
        <v>0</v>
      </c>
      <c r="G225" s="45">
        <v>0</v>
      </c>
      <c r="H225" s="45"/>
      <c r="I225" s="47">
        <v>0</v>
      </c>
      <c r="J225" s="175">
        <v>46029</v>
      </c>
      <c r="K225" s="176" t="s">
        <v>926</v>
      </c>
      <c r="L225" s="222">
        <v>22690</v>
      </c>
      <c r="M225" s="94" t="s">
        <v>45</v>
      </c>
      <c r="N225" s="116">
        <v>0</v>
      </c>
      <c r="O225" s="233">
        <f t="shared" ref="O225" si="48">+I225+D225-L225</f>
        <v>0</v>
      </c>
      <c r="P225" s="233"/>
      <c r="Q225" s="368">
        <f t="shared" ref="Q225" si="49">+O225+P225</f>
        <v>0</v>
      </c>
      <c r="R225" s="348" t="s">
        <v>195</v>
      </c>
      <c r="S225" s="299">
        <v>44166</v>
      </c>
      <c r="T225" s="299">
        <v>45260</v>
      </c>
      <c r="U225" s="149">
        <v>51450</v>
      </c>
      <c r="V225" s="369" t="s">
        <v>398</v>
      </c>
      <c r="W225" s="4" t="s">
        <v>399</v>
      </c>
      <c r="X225" s="4" t="s">
        <v>400</v>
      </c>
    </row>
    <row r="226" spans="1:24" ht="27.75" customHeight="1">
      <c r="A226" s="94"/>
      <c r="B226" s="366" t="s">
        <v>401</v>
      </c>
      <c r="C226" s="367" t="s">
        <v>402</v>
      </c>
      <c r="D226" s="141"/>
      <c r="E226" s="43"/>
      <c r="F226" s="44"/>
      <c r="G226" s="45"/>
      <c r="H226" s="45"/>
      <c r="I226" s="47"/>
      <c r="J226" s="175"/>
      <c r="K226" s="176"/>
      <c r="L226" s="222"/>
      <c r="M226" s="94"/>
      <c r="N226" s="116"/>
      <c r="O226" s="233"/>
      <c r="P226" s="233"/>
      <c r="Q226" s="368"/>
      <c r="R226" s="348"/>
      <c r="S226" s="299"/>
      <c r="T226" s="299"/>
      <c r="U226" s="149"/>
      <c r="V226" s="369"/>
    </row>
    <row r="227" spans="1:24" ht="27.75" customHeight="1">
      <c r="A227" s="94">
        <v>2</v>
      </c>
      <c r="B227" s="366" t="s">
        <v>24</v>
      </c>
      <c r="C227" s="367" t="s">
        <v>403</v>
      </c>
      <c r="D227" s="141">
        <v>15295</v>
      </c>
      <c r="E227" s="43" t="s">
        <v>801</v>
      </c>
      <c r="F227" s="44">
        <v>-1.1499999999999999</v>
      </c>
      <c r="G227" s="45">
        <v>-15295</v>
      </c>
      <c r="H227" s="45"/>
      <c r="I227" s="47">
        <v>-15295</v>
      </c>
      <c r="J227" s="175"/>
      <c r="K227" s="176"/>
      <c r="L227" s="222">
        <v>0</v>
      </c>
      <c r="M227" s="94" t="s">
        <v>45</v>
      </c>
      <c r="N227" s="116">
        <v>0</v>
      </c>
      <c r="O227" s="233">
        <f t="shared" ref="O227" si="50">+I227+D227-L227</f>
        <v>0</v>
      </c>
      <c r="P227" s="233"/>
      <c r="Q227" s="368">
        <f t="shared" ref="Q227" si="51">+O227+P227</f>
        <v>0</v>
      </c>
      <c r="R227" s="348" t="s">
        <v>405</v>
      </c>
      <c r="S227" s="299">
        <v>44562</v>
      </c>
      <c r="T227" s="299" t="s">
        <v>406</v>
      </c>
      <c r="U227" s="149">
        <v>34680</v>
      </c>
      <c r="V227" s="370" t="s">
        <v>407</v>
      </c>
      <c r="W227" s="295" t="s">
        <v>289</v>
      </c>
      <c r="X227" s="4" t="s">
        <v>408</v>
      </c>
    </row>
    <row r="228" spans="1:24" ht="27.75" customHeight="1">
      <c r="A228" s="94"/>
      <c r="B228" s="366" t="s">
        <v>409</v>
      </c>
      <c r="C228" s="367" t="s">
        <v>410</v>
      </c>
      <c r="D228" s="141"/>
      <c r="E228" s="43"/>
      <c r="F228" s="44"/>
      <c r="G228" s="45"/>
      <c r="H228" s="45"/>
      <c r="I228" s="47"/>
      <c r="J228" s="175"/>
      <c r="K228" s="176"/>
      <c r="L228" s="222"/>
      <c r="M228" s="94"/>
      <c r="N228" s="116"/>
      <c r="O228" s="233"/>
      <c r="P228" s="233"/>
      <c r="Q228" s="368"/>
      <c r="R228" s="348"/>
      <c r="S228" s="299"/>
      <c r="T228" s="299"/>
      <c r="U228" s="149"/>
      <c r="V228" s="370"/>
      <c r="W228" s="295"/>
    </row>
    <row r="229" spans="1:24" ht="27.75" customHeight="1">
      <c r="A229" s="94">
        <v>3</v>
      </c>
      <c r="B229" s="366" t="s">
        <v>411</v>
      </c>
      <c r="C229" s="367" t="s">
        <v>412</v>
      </c>
      <c r="D229" s="141">
        <v>5360</v>
      </c>
      <c r="E229" s="43" t="s">
        <v>45</v>
      </c>
      <c r="F229" s="44">
        <v>0</v>
      </c>
      <c r="G229" s="45">
        <v>0</v>
      </c>
      <c r="H229" s="45"/>
      <c r="I229" s="47">
        <v>0</v>
      </c>
      <c r="J229" s="175">
        <v>46027</v>
      </c>
      <c r="K229" s="176" t="s">
        <v>927</v>
      </c>
      <c r="L229" s="222">
        <v>5360</v>
      </c>
      <c r="M229" s="94" t="s">
        <v>45</v>
      </c>
      <c r="N229" s="116">
        <v>0</v>
      </c>
      <c r="O229" s="233">
        <f t="shared" ref="O229" si="52">+I229+D229-L229</f>
        <v>0</v>
      </c>
      <c r="P229" s="233"/>
      <c r="Q229" s="368">
        <f t="shared" ref="Q229" si="53">+O229+P229</f>
        <v>0</v>
      </c>
      <c r="R229" s="348" t="s">
        <v>405</v>
      </c>
      <c r="S229" s="299">
        <v>44562</v>
      </c>
      <c r="T229" s="299">
        <v>45503</v>
      </c>
      <c r="U229" s="149">
        <v>13980</v>
      </c>
      <c r="V229" s="371" t="s">
        <v>414</v>
      </c>
      <c r="W229" s="295" t="s">
        <v>289</v>
      </c>
      <c r="X229" s="4" t="s">
        <v>415</v>
      </c>
    </row>
    <row r="230" spans="1:24" ht="27.75" customHeight="1">
      <c r="A230" s="94"/>
      <c r="B230" s="366" t="s">
        <v>409</v>
      </c>
      <c r="C230" s="367" t="s">
        <v>416</v>
      </c>
      <c r="D230" s="141"/>
      <c r="E230" s="43"/>
      <c r="F230" s="44"/>
      <c r="G230" s="45"/>
      <c r="H230" s="45"/>
      <c r="I230" s="47"/>
      <c r="J230" s="175"/>
      <c r="K230" s="176"/>
      <c r="L230" s="222"/>
      <c r="N230" s="116"/>
      <c r="O230" s="233"/>
      <c r="P230" s="233"/>
      <c r="Q230" s="368"/>
      <c r="R230" s="348"/>
      <c r="S230" s="299"/>
      <c r="T230" s="299"/>
      <c r="U230" s="149"/>
      <c r="V230" s="371"/>
      <c r="W230" s="295"/>
    </row>
    <row r="231" spans="1:24" ht="27.75" customHeight="1">
      <c r="A231" s="94">
        <v>4</v>
      </c>
      <c r="B231" s="366" t="s">
        <v>417</v>
      </c>
      <c r="C231" s="367" t="s">
        <v>418</v>
      </c>
      <c r="D231" s="141">
        <v>68108.75</v>
      </c>
      <c r="E231" s="373" t="s">
        <v>722</v>
      </c>
      <c r="F231" s="374">
        <v>-0.49999992658799353</v>
      </c>
      <c r="G231" s="375">
        <v>-34054.370000000003</v>
      </c>
      <c r="H231" s="375"/>
      <c r="I231" s="376">
        <v>-34054.370000000003</v>
      </c>
      <c r="J231" s="175">
        <v>46044</v>
      </c>
      <c r="K231" s="176" t="s">
        <v>928</v>
      </c>
      <c r="L231" s="222">
        <v>68108.75</v>
      </c>
      <c r="M231" s="377" t="s">
        <v>836</v>
      </c>
      <c r="N231" s="116">
        <v>-0.49999992658799353</v>
      </c>
      <c r="O231" s="233">
        <f t="shared" ref="O231" si="54">+I231+D231-L231</f>
        <v>-34054.370000000003</v>
      </c>
      <c r="P231" s="233"/>
      <c r="Q231" s="368">
        <f t="shared" ref="Q231" si="55">+O231+P231</f>
        <v>-34054.370000000003</v>
      </c>
      <c r="R231" s="39" t="s">
        <v>195</v>
      </c>
      <c r="S231" s="55">
        <v>40072</v>
      </c>
      <c r="T231" s="55">
        <v>41167</v>
      </c>
      <c r="U231" s="56">
        <v>132250</v>
      </c>
      <c r="V231" s="378" t="s">
        <v>420</v>
      </c>
    </row>
    <row r="232" spans="1:24" ht="27.75" customHeight="1">
      <c r="A232" s="94"/>
      <c r="B232" s="366" t="s">
        <v>409</v>
      </c>
      <c r="C232" s="379"/>
      <c r="D232" s="141"/>
      <c r="E232" s="43"/>
      <c r="F232" s="44"/>
      <c r="G232" s="45">
        <v>0</v>
      </c>
      <c r="H232" s="45"/>
      <c r="I232" s="47">
        <v>0</v>
      </c>
      <c r="J232" s="175"/>
      <c r="K232" s="176"/>
      <c r="L232" s="222"/>
      <c r="M232" s="94"/>
      <c r="N232" s="116"/>
      <c r="O232" s="233">
        <f t="shared" ref="O232:O233" si="56">D232+I232-L232</f>
        <v>0</v>
      </c>
      <c r="P232" s="233"/>
      <c r="Q232" s="368">
        <f t="shared" ref="Q232:Q233" si="57">O232</f>
        <v>0</v>
      </c>
      <c r="R232" s="39"/>
      <c r="S232" s="55"/>
      <c r="T232" s="55"/>
      <c r="U232" s="56"/>
      <c r="V232" s="56"/>
    </row>
    <row r="233" spans="1:24" ht="27.75" customHeight="1">
      <c r="A233" s="94">
        <v>5</v>
      </c>
      <c r="B233" s="366" t="s">
        <v>417</v>
      </c>
      <c r="C233" s="367" t="s">
        <v>421</v>
      </c>
      <c r="D233" s="141">
        <v>4910</v>
      </c>
      <c r="E233" s="43" t="s">
        <v>45</v>
      </c>
      <c r="F233" s="44">
        <v>0</v>
      </c>
      <c r="G233" s="45">
        <v>0</v>
      </c>
      <c r="H233" s="45">
        <v>0</v>
      </c>
      <c r="I233" s="47">
        <v>0</v>
      </c>
      <c r="J233" s="175">
        <v>46023</v>
      </c>
      <c r="K233" s="176" t="s">
        <v>929</v>
      </c>
      <c r="L233" s="222">
        <v>4910</v>
      </c>
      <c r="M233" s="94" t="s">
        <v>45</v>
      </c>
      <c r="N233" s="116">
        <v>0</v>
      </c>
      <c r="O233" s="233">
        <f t="shared" si="56"/>
        <v>0</v>
      </c>
      <c r="P233" s="233">
        <v>0</v>
      </c>
      <c r="Q233" s="368">
        <f t="shared" si="57"/>
        <v>0</v>
      </c>
      <c r="R233" s="348" t="s">
        <v>195</v>
      </c>
      <c r="S233" s="299" t="s">
        <v>423</v>
      </c>
      <c r="T233" s="299" t="s">
        <v>406</v>
      </c>
      <c r="U233" s="56">
        <v>6420</v>
      </c>
      <c r="V233" s="56" t="s">
        <v>424</v>
      </c>
      <c r="W233" s="295" t="s">
        <v>289</v>
      </c>
      <c r="X233" s="4" t="s">
        <v>425</v>
      </c>
    </row>
    <row r="234" spans="1:24" ht="27.75" customHeight="1">
      <c r="A234" s="94"/>
      <c r="B234" s="366" t="s">
        <v>426</v>
      </c>
      <c r="C234" s="366" t="s">
        <v>427</v>
      </c>
      <c r="D234" s="141"/>
      <c r="E234" s="43"/>
      <c r="F234" s="44"/>
      <c r="G234" s="45"/>
      <c r="H234" s="45"/>
      <c r="I234" s="47"/>
      <c r="J234" s="175"/>
      <c r="K234" s="176"/>
      <c r="L234" s="222"/>
      <c r="M234" s="94"/>
      <c r="N234" s="116"/>
      <c r="O234" s="233"/>
      <c r="P234" s="233"/>
      <c r="Q234" s="368"/>
      <c r="R234" s="348"/>
      <c r="S234" s="299"/>
      <c r="T234" s="299"/>
      <c r="U234" s="56"/>
      <c r="V234" s="56"/>
      <c r="W234" s="295"/>
    </row>
    <row r="235" spans="1:24" ht="27.75" customHeight="1">
      <c r="A235" s="94">
        <v>6</v>
      </c>
      <c r="B235" s="366" t="s">
        <v>428</v>
      </c>
      <c r="C235" s="367" t="s">
        <v>429</v>
      </c>
      <c r="D235" s="141">
        <v>20000</v>
      </c>
      <c r="E235" s="43" t="s">
        <v>45</v>
      </c>
      <c r="F235" s="44">
        <v>0</v>
      </c>
      <c r="G235" s="45"/>
      <c r="H235" s="45"/>
      <c r="I235" s="47"/>
      <c r="J235" s="175">
        <v>46027</v>
      </c>
      <c r="K235" s="176" t="s">
        <v>930</v>
      </c>
      <c r="L235" s="222">
        <v>20000</v>
      </c>
      <c r="M235" s="94" t="s">
        <v>45</v>
      </c>
      <c r="N235" s="116">
        <v>0</v>
      </c>
      <c r="O235" s="233"/>
      <c r="P235" s="233"/>
      <c r="Q235" s="368"/>
      <c r="R235" s="348"/>
      <c r="S235" s="299"/>
      <c r="T235" s="299"/>
      <c r="U235" s="56"/>
      <c r="V235" s="56"/>
      <c r="W235" s="295"/>
    </row>
    <row r="236" spans="1:24" ht="27.75" customHeight="1">
      <c r="A236" s="94"/>
      <c r="B236" s="366" t="s">
        <v>431</v>
      </c>
      <c r="C236" s="366" t="s">
        <v>432</v>
      </c>
      <c r="D236" s="141"/>
      <c r="E236" s="43"/>
      <c r="F236" s="44"/>
      <c r="G236" s="45"/>
      <c r="H236" s="45"/>
      <c r="I236" s="47"/>
      <c r="J236" s="175"/>
      <c r="K236" s="176"/>
      <c r="L236" s="222"/>
      <c r="M236" s="94"/>
      <c r="N236" s="116"/>
      <c r="O236" s="233"/>
      <c r="P236" s="233"/>
      <c r="Q236" s="47"/>
      <c r="R236" s="39"/>
      <c r="S236" s="55"/>
      <c r="T236" s="55"/>
      <c r="U236" s="56"/>
      <c r="V236" s="56"/>
    </row>
    <row r="237" spans="1:24" ht="27.75" customHeight="1" thickBot="1">
      <c r="A237" s="193"/>
      <c r="B237" s="194" t="s">
        <v>22</v>
      </c>
      <c r="C237" s="195"/>
      <c r="D237" s="196">
        <f>SUM(D225:D236)</f>
        <v>136363.75</v>
      </c>
      <c r="E237" s="221"/>
      <c r="F237" s="197"/>
      <c r="G237" s="198">
        <v>0</v>
      </c>
      <c r="H237" s="198"/>
      <c r="I237" s="198">
        <v>0</v>
      </c>
      <c r="J237" s="199"/>
      <c r="K237" s="199"/>
      <c r="L237" s="196">
        <f>SUM(L225:L236)</f>
        <v>121068.75</v>
      </c>
      <c r="M237" s="200"/>
      <c r="N237" s="196"/>
      <c r="O237" s="198">
        <v>0</v>
      </c>
      <c r="P237" s="198"/>
      <c r="Q237" s="198">
        <v>0</v>
      </c>
      <c r="R237" s="36"/>
      <c r="S237" s="37"/>
      <c r="T237" s="37"/>
      <c r="U237" s="38"/>
      <c r="V237" s="38"/>
      <c r="W237" s="38"/>
    </row>
    <row r="238" spans="1:24" ht="27.75" customHeight="1" thickTop="1">
      <c r="A238" s="22"/>
      <c r="B238" s="288" t="s">
        <v>433</v>
      </c>
      <c r="C238" s="380"/>
      <c r="D238" s="284"/>
      <c r="E238" s="273"/>
      <c r="F238" s="274"/>
      <c r="G238" s="381"/>
      <c r="H238" s="381"/>
      <c r="I238" s="381"/>
      <c r="J238" s="382"/>
      <c r="K238" s="382"/>
      <c r="L238" s="383"/>
      <c r="M238" s="384"/>
      <c r="N238" s="284"/>
      <c r="O238" s="381"/>
      <c r="P238" s="381"/>
      <c r="Q238" s="381"/>
      <c r="R238" s="36"/>
      <c r="S238" s="37"/>
      <c r="T238" s="37"/>
      <c r="U238" s="38"/>
      <c r="V238" s="38"/>
      <c r="W238" s="38"/>
    </row>
    <row r="239" spans="1:24" ht="27.75" customHeight="1">
      <c r="A239" s="22">
        <v>1</v>
      </c>
      <c r="B239" s="270" t="s">
        <v>434</v>
      </c>
      <c r="C239" s="380" t="s">
        <v>435</v>
      </c>
      <c r="D239" s="284">
        <v>0</v>
      </c>
      <c r="E239" s="273"/>
      <c r="F239" s="274"/>
      <c r="G239" s="381">
        <v>-6.3664629124104977E-12</v>
      </c>
      <c r="H239" s="381"/>
      <c r="I239" s="381">
        <v>-6.3664629124104977E-12</v>
      </c>
      <c r="J239" s="385"/>
      <c r="K239" s="386"/>
      <c r="L239" s="383"/>
      <c r="M239" s="387"/>
      <c r="N239" s="116"/>
      <c r="O239" s="388">
        <f>D239+I239-L239</f>
        <v>-6.3664629124104977E-12</v>
      </c>
      <c r="P239" s="388"/>
      <c r="Q239" s="376">
        <f>O239</f>
        <v>-6.3664629124104977E-12</v>
      </c>
      <c r="R239" s="36"/>
      <c r="S239" s="37"/>
      <c r="T239" s="37"/>
      <c r="U239" s="38"/>
      <c r="V239" s="38"/>
      <c r="W239" s="38"/>
    </row>
    <row r="240" spans="1:24" ht="27.75" customHeight="1">
      <c r="A240" s="22"/>
      <c r="B240" s="270" t="s">
        <v>436</v>
      </c>
      <c r="C240" s="380" t="s">
        <v>437</v>
      </c>
      <c r="D240" s="284"/>
      <c r="E240" s="384"/>
      <c r="F240" s="274"/>
      <c r="G240" s="381"/>
      <c r="H240" s="381"/>
      <c r="I240" s="381"/>
      <c r="J240" s="382"/>
      <c r="K240" s="382"/>
      <c r="L240" s="383"/>
      <c r="M240" s="384"/>
      <c r="N240" s="284"/>
      <c r="O240" s="381"/>
      <c r="P240" s="381"/>
      <c r="Q240" s="381"/>
      <c r="R240" s="36"/>
      <c r="S240" s="37"/>
      <c r="T240" s="37"/>
      <c r="U240" s="38"/>
      <c r="V240" s="38"/>
      <c r="W240" s="38"/>
    </row>
    <row r="241" spans="1:25" ht="27.75" customHeight="1">
      <c r="A241" s="22">
        <v>2</v>
      </c>
      <c r="B241" s="270" t="s">
        <v>438</v>
      </c>
      <c r="C241" s="380" t="s">
        <v>439</v>
      </c>
      <c r="D241" s="284">
        <v>1500</v>
      </c>
      <c r="E241" s="384"/>
      <c r="F241" s="274"/>
      <c r="G241" s="381">
        <v>0</v>
      </c>
      <c r="H241" s="381">
        <v>0</v>
      </c>
      <c r="I241" s="381">
        <v>0</v>
      </c>
      <c r="J241" s="389">
        <v>46025</v>
      </c>
      <c r="K241" s="386" t="s">
        <v>931</v>
      </c>
      <c r="L241" s="383">
        <v>1500</v>
      </c>
      <c r="M241" s="390" t="s">
        <v>45</v>
      </c>
      <c r="N241" s="391">
        <v>0</v>
      </c>
      <c r="O241" s="381">
        <f>SUM(D241+G241-L241)</f>
        <v>0</v>
      </c>
      <c r="P241" s="381">
        <v>0</v>
      </c>
      <c r="Q241" s="381">
        <f>SUM(O241)</f>
        <v>0</v>
      </c>
      <c r="R241" s="36"/>
      <c r="S241" s="37"/>
      <c r="T241" s="37"/>
      <c r="U241" s="38"/>
      <c r="V241" s="38"/>
      <c r="W241" s="38"/>
    </row>
    <row r="242" spans="1:25" ht="27.75" customHeight="1" thickBot="1">
      <c r="A242" s="193"/>
      <c r="B242" s="194" t="s">
        <v>22</v>
      </c>
      <c r="C242" s="195"/>
      <c r="D242" s="196">
        <f>SUM(D239:D241)</f>
        <v>1500</v>
      </c>
      <c r="E242" s="221">
        <v>0</v>
      </c>
      <c r="F242" s="197"/>
      <c r="G242" s="392">
        <v>0</v>
      </c>
      <c r="H242" s="392">
        <v>0</v>
      </c>
      <c r="I242" s="392">
        <v>0</v>
      </c>
      <c r="J242" s="393">
        <v>0</v>
      </c>
      <c r="K242" s="393">
        <v>0</v>
      </c>
      <c r="L242" s="394">
        <f>SUM(L239:L241)</f>
        <v>1500</v>
      </c>
      <c r="M242" s="395"/>
      <c r="N242" s="392"/>
      <c r="O242" s="392">
        <f>SUM(O239:O241)</f>
        <v>-6.3664629124104977E-12</v>
      </c>
      <c r="P242" s="392">
        <f t="shared" ref="P242:Q242" si="58">SUM(P239:P241)</f>
        <v>0</v>
      </c>
      <c r="Q242" s="392">
        <f t="shared" si="58"/>
        <v>-6.3664629124104977E-12</v>
      </c>
      <c r="R242" s="36"/>
      <c r="S242" s="37"/>
      <c r="T242" s="37"/>
      <c r="U242" s="38"/>
      <c r="V242" s="38"/>
      <c r="W242" s="38"/>
    </row>
    <row r="243" spans="1:25" ht="27.75" customHeight="1" thickTop="1">
      <c r="A243" s="22"/>
      <c r="B243" s="288" t="s">
        <v>441</v>
      </c>
      <c r="C243" s="289"/>
      <c r="D243" s="272"/>
      <c r="E243" s="201"/>
      <c r="F243" s="281"/>
      <c r="G243" s="290"/>
      <c r="H243" s="290"/>
      <c r="I243" s="290"/>
      <c r="J243" s="291"/>
      <c r="K243" s="292"/>
      <c r="L243" s="222"/>
      <c r="M243" s="94"/>
      <c r="N243" s="39"/>
      <c r="O243" s="293"/>
      <c r="P243" s="293"/>
      <c r="Q243" s="294"/>
      <c r="R243" s="36"/>
      <c r="S243" s="37"/>
      <c r="T243" s="37"/>
      <c r="U243" s="38"/>
      <c r="V243" s="38"/>
      <c r="W243" s="38"/>
    </row>
    <row r="244" spans="1:25" ht="27.75" customHeight="1">
      <c r="A244" s="94">
        <v>1</v>
      </c>
      <c r="B244" s="40" t="s">
        <v>442</v>
      </c>
      <c r="C244" s="206" t="s">
        <v>443</v>
      </c>
      <c r="D244" s="296">
        <v>98948</v>
      </c>
      <c r="E244" s="43" t="s">
        <v>749</v>
      </c>
      <c r="F244" s="44">
        <v>-9</v>
      </c>
      <c r="G244" s="45">
        <v>-890532</v>
      </c>
      <c r="H244" s="45"/>
      <c r="I244" s="47">
        <v>-890532</v>
      </c>
      <c r="J244" s="175"/>
      <c r="K244" s="176"/>
      <c r="L244" s="222"/>
      <c r="M244" s="387" t="s">
        <v>749</v>
      </c>
      <c r="N244" s="116">
        <v>-9</v>
      </c>
      <c r="O244" s="233">
        <f t="shared" ref="O244" si="59">Q244</f>
        <v>-791584</v>
      </c>
      <c r="P244" s="233"/>
      <c r="Q244" s="376">
        <f>D244+I244-L244</f>
        <v>-791584</v>
      </c>
      <c r="R244" s="39" t="s">
        <v>446</v>
      </c>
      <c r="S244" s="55">
        <v>43952</v>
      </c>
      <c r="T244" s="55">
        <v>44561</v>
      </c>
      <c r="U244" s="56">
        <v>1032500</v>
      </c>
      <c r="V244" s="56" t="s">
        <v>447</v>
      </c>
    </row>
    <row r="245" spans="1:25" ht="27.75" customHeight="1">
      <c r="A245" s="94"/>
      <c r="B245" s="396" t="s">
        <v>448</v>
      </c>
      <c r="C245" s="206" t="s">
        <v>449</v>
      </c>
      <c r="D245" s="296"/>
      <c r="E245" s="64"/>
      <c r="F245" s="44"/>
      <c r="G245" s="45"/>
      <c r="H245" s="45"/>
      <c r="I245" s="47"/>
      <c r="J245" s="183"/>
      <c r="K245" s="184"/>
      <c r="L245" s="231"/>
      <c r="M245" s="186"/>
      <c r="N245" s="116"/>
      <c r="O245" s="233"/>
      <c r="P245" s="233"/>
      <c r="Q245" s="376"/>
      <c r="R245" s="297"/>
      <c r="S245" s="298"/>
      <c r="T245" s="298"/>
      <c r="U245" s="397"/>
      <c r="V245" s="397"/>
    </row>
    <row r="246" spans="1:25" ht="27.75" customHeight="1">
      <c r="A246" s="94"/>
      <c r="B246" s="396"/>
      <c r="C246" s="398" t="s">
        <v>450</v>
      </c>
      <c r="D246" s="296"/>
      <c r="E246" s="64"/>
      <c r="F246" s="44"/>
      <c r="G246" s="45"/>
      <c r="H246" s="45"/>
      <c r="I246" s="47"/>
      <c r="J246" s="183"/>
      <c r="K246" s="184"/>
      <c r="L246" s="231"/>
      <c r="M246" s="186"/>
      <c r="N246" s="116"/>
      <c r="O246" s="233"/>
      <c r="P246" s="233"/>
      <c r="Q246" s="376"/>
      <c r="R246" s="297"/>
      <c r="S246" s="298"/>
      <c r="T246" s="298"/>
      <c r="U246" s="397"/>
      <c r="V246" s="397"/>
    </row>
    <row r="247" spans="1:25" ht="27.75" customHeight="1">
      <c r="A247" s="94">
        <v>2</v>
      </c>
      <c r="B247" s="205" t="s">
        <v>451</v>
      </c>
      <c r="C247" s="206" t="s">
        <v>452</v>
      </c>
      <c r="D247" s="296">
        <v>48779</v>
      </c>
      <c r="E247" s="64" t="s">
        <v>806</v>
      </c>
      <c r="F247" s="44">
        <v>-10.738945037823653</v>
      </c>
      <c r="G247" s="45">
        <v>-523835</v>
      </c>
      <c r="H247" s="45"/>
      <c r="I247" s="47">
        <v>-523835</v>
      </c>
      <c r="J247" s="183"/>
      <c r="K247" s="184"/>
      <c r="L247" s="231"/>
      <c r="M247" s="399" t="s">
        <v>806</v>
      </c>
      <c r="N247" s="116">
        <v>-10.738945037823653</v>
      </c>
      <c r="O247" s="233">
        <f t="shared" ref="O247" si="60">Q247</f>
        <v>-475056</v>
      </c>
      <c r="P247" s="233"/>
      <c r="Q247" s="368">
        <f>D247+I247-L247</f>
        <v>-475056</v>
      </c>
      <c r="R247" s="172" t="s">
        <v>456</v>
      </c>
      <c r="S247" s="400" t="s">
        <v>457</v>
      </c>
      <c r="T247" s="400" t="s">
        <v>458</v>
      </c>
      <c r="U247" s="401">
        <v>442600</v>
      </c>
      <c r="V247" s="401" t="s">
        <v>459</v>
      </c>
    </row>
    <row r="248" spans="1:25" ht="27.75" customHeight="1">
      <c r="A248" s="232"/>
      <c r="B248" s="402" t="s">
        <v>460</v>
      </c>
      <c r="C248" s="206" t="s">
        <v>461</v>
      </c>
      <c r="D248" s="296"/>
      <c r="E248" s="64"/>
      <c r="F248" s="44"/>
      <c r="G248" s="45"/>
      <c r="H248" s="45"/>
      <c r="I248" s="47"/>
      <c r="J248" s="183"/>
      <c r="K248" s="184"/>
      <c r="L248" s="231"/>
      <c r="M248" s="186"/>
      <c r="N248" s="116"/>
      <c r="O248" s="233"/>
      <c r="P248" s="233"/>
      <c r="Q248" s="403"/>
      <c r="R248" s="172"/>
      <c r="S248" s="400"/>
      <c r="T248" s="400"/>
      <c r="U248" s="401"/>
      <c r="V248" s="401"/>
    </row>
    <row r="249" spans="1:25" ht="27.75" customHeight="1">
      <c r="A249" s="186"/>
      <c r="B249" s="404" t="s">
        <v>448</v>
      </c>
      <c r="C249" s="206" t="s">
        <v>462</v>
      </c>
      <c r="D249" s="296"/>
      <c r="E249" s="64"/>
      <c r="F249" s="44"/>
      <c r="G249" s="45"/>
      <c r="H249" s="45"/>
      <c r="I249" s="66"/>
      <c r="J249" s="183"/>
      <c r="K249" s="184"/>
      <c r="L249" s="231"/>
      <c r="M249" s="186"/>
      <c r="N249" s="116"/>
      <c r="O249" s="233"/>
      <c r="P249" s="233"/>
      <c r="Q249" s="403"/>
      <c r="R249" s="146" t="s">
        <v>463</v>
      </c>
      <c r="S249" s="148" t="s">
        <v>464</v>
      </c>
      <c r="T249" s="148" t="s">
        <v>465</v>
      </c>
      <c r="U249" s="149">
        <v>46000</v>
      </c>
      <c r="V249" s="149" t="s">
        <v>466</v>
      </c>
      <c r="W249" s="295" t="s">
        <v>289</v>
      </c>
      <c r="X249" s="4" t="s">
        <v>467</v>
      </c>
    </row>
    <row r="250" spans="1:25" ht="27.75" customHeight="1">
      <c r="A250" s="405"/>
      <c r="B250" s="406" t="s">
        <v>22</v>
      </c>
      <c r="C250" s="407"/>
      <c r="D250" s="408">
        <f>SUM(D244:D249)</f>
        <v>147727</v>
      </c>
      <c r="E250" s="409"/>
      <c r="F250" s="410"/>
      <c r="G250" s="239">
        <f>SUM(G244:G249)</f>
        <v>-1414367</v>
      </c>
      <c r="H250" s="239">
        <f t="shared" ref="H250:I250" si="61">SUM(H244:H249)</f>
        <v>0</v>
      </c>
      <c r="I250" s="239">
        <f t="shared" si="61"/>
        <v>-1414367</v>
      </c>
      <c r="J250" s="411"/>
      <c r="K250" s="411"/>
      <c r="L250" s="408">
        <f>SUM(L244:L247)</f>
        <v>0</v>
      </c>
      <c r="M250" s="412"/>
      <c r="N250" s="408"/>
      <c r="O250" s="239"/>
      <c r="P250" s="239">
        <f>SUM(P247:P249)</f>
        <v>0</v>
      </c>
      <c r="Q250" s="239"/>
      <c r="R250" s="278"/>
      <c r="S250" s="279"/>
      <c r="T250" s="279"/>
      <c r="U250" s="413"/>
      <c r="V250" s="413"/>
      <c r="W250" s="413"/>
    </row>
    <row r="251" spans="1:25" ht="27.75" customHeight="1" thickBot="1">
      <c r="A251" s="414"/>
      <c r="B251" s="415"/>
      <c r="C251" s="416" t="s">
        <v>468</v>
      </c>
      <c r="D251" s="417"/>
      <c r="E251" s="418"/>
      <c r="F251" s="419"/>
      <c r="G251" s="420">
        <f>SUM(G250+G242+G237+G223+G167+G156+G139+G123+G109+G93+G90+G83+G31+G27+G24)</f>
        <v>-1377061.0018691588</v>
      </c>
      <c r="H251" s="420">
        <f>SUM(H250+H242+H237+H223+H167+H156+H139+H123+H109+H93+H90+H83+H31+H27+H24)</f>
        <v>2611.42</v>
      </c>
      <c r="I251" s="420">
        <f>SUM(I250+I242+I237+I223+I167+I156+I139+I123+I109+I93+I90+I83+I31+I27+I24)</f>
        <v>-1374449.5818691589</v>
      </c>
      <c r="J251" s="421"/>
      <c r="K251" s="421"/>
      <c r="L251" s="422">
        <f>SUM(L250+L242+L237+L223+L167+L156+L139+L123+L109+L93+L90+L83+L31+L27+L24)</f>
        <v>917221.47</v>
      </c>
      <c r="M251" s="423"/>
      <c r="N251" s="422"/>
      <c r="O251" s="420">
        <f>SUM(O250+O242+O237+O223+O167+O156+O139+O123+O109+O93+O90+O83+O31+O27+O24)</f>
        <v>34825.801869158866</v>
      </c>
      <c r="P251" s="420">
        <f>SUM(P250+P242+P237+P223+P167+P156+P139+P123+P109+P93+P90+P83+P31+P27+P24)</f>
        <v>2437.81</v>
      </c>
      <c r="Q251" s="420">
        <f>SUM(Q250+Q242+Q237+Q223+Q167+Q156+Q139+Q123+Q109+Q93+Q90+Q83+Q31+Q27+Q24)</f>
        <v>37263.611869158871</v>
      </c>
      <c r="R251" s="424"/>
      <c r="S251" s="425"/>
      <c r="T251" s="425"/>
      <c r="U251" s="345"/>
      <c r="V251" s="345"/>
      <c r="W251" s="345"/>
    </row>
    <row r="252" spans="1:25" ht="27.75" customHeight="1" thickTop="1">
      <c r="A252" s="426"/>
      <c r="B252" s="4"/>
      <c r="C252" s="295"/>
      <c r="D252" s="427"/>
      <c r="E252" s="428"/>
      <c r="F252" s="429"/>
      <c r="G252" s="430"/>
      <c r="H252" s="430"/>
      <c r="I252" s="430"/>
      <c r="J252" s="431"/>
      <c r="K252" s="432"/>
      <c r="L252" s="427"/>
      <c r="M252" s="433"/>
      <c r="N252" s="427"/>
      <c r="O252" s="430"/>
      <c r="P252" s="430"/>
      <c r="Q252" s="430"/>
      <c r="R252" s="424"/>
      <c r="S252" s="425"/>
      <c r="T252" s="425"/>
      <c r="U252" s="345"/>
      <c r="V252" s="345"/>
      <c r="W252" s="345"/>
    </row>
    <row r="253" spans="1:25" ht="27.75" customHeight="1">
      <c r="A253" s="426"/>
      <c r="B253" s="434" t="s">
        <v>469</v>
      </c>
      <c r="C253" s="295"/>
      <c r="D253" s="427"/>
      <c r="E253" s="428"/>
      <c r="F253" s="429"/>
      <c r="G253" s="430"/>
      <c r="H253" s="430"/>
      <c r="I253" s="430"/>
      <c r="J253" s="431"/>
      <c r="K253" s="432"/>
      <c r="L253" s="427"/>
      <c r="M253" s="433"/>
      <c r="N253" s="427"/>
      <c r="O253" s="430"/>
      <c r="P253" s="430"/>
      <c r="Q253" s="430"/>
      <c r="R253" s="424"/>
      <c r="S253" s="425"/>
      <c r="T253" s="425"/>
      <c r="U253" s="345"/>
      <c r="V253" s="345"/>
      <c r="W253" s="345"/>
    </row>
    <row r="254" spans="1:25" ht="27.75" customHeight="1">
      <c r="A254" s="435">
        <v>1</v>
      </c>
      <c r="B254" s="436" t="s">
        <v>470</v>
      </c>
      <c r="C254" s="437" t="s">
        <v>471</v>
      </c>
      <c r="D254" s="438" t="s">
        <v>472</v>
      </c>
      <c r="E254" s="439" t="s">
        <v>473</v>
      </c>
      <c r="F254" s="440">
        <v>21</v>
      </c>
      <c r="G254" s="15">
        <v>361288.35</v>
      </c>
      <c r="H254" s="15"/>
      <c r="I254" s="17">
        <v>361288.35</v>
      </c>
      <c r="J254" s="441"/>
      <c r="K254" s="442"/>
      <c r="L254" s="443"/>
      <c r="M254" s="435" t="s">
        <v>473</v>
      </c>
      <c r="N254" s="444">
        <v>21</v>
      </c>
      <c r="O254" s="445">
        <f>SUM(G254-L254)</f>
        <v>361288.35</v>
      </c>
      <c r="P254" s="19"/>
      <c r="Q254" s="17">
        <f>SUM(O254)</f>
        <v>361288.35</v>
      </c>
      <c r="R254" s="251" t="s">
        <v>195</v>
      </c>
      <c r="S254" s="446">
        <v>41883</v>
      </c>
      <c r="T254" s="446">
        <v>42978</v>
      </c>
      <c r="U254" s="447">
        <v>90000</v>
      </c>
      <c r="V254" s="447" t="s">
        <v>474</v>
      </c>
      <c r="Y254" s="4" t="s">
        <v>475</v>
      </c>
    </row>
    <row r="255" spans="1:25" ht="27.75" customHeight="1">
      <c r="A255" s="435"/>
      <c r="B255" s="436" t="s">
        <v>476</v>
      </c>
      <c r="C255" s="437"/>
      <c r="D255" s="448"/>
      <c r="E255" s="439"/>
      <c r="F255" s="440"/>
      <c r="G255" s="15"/>
      <c r="H255" s="15"/>
      <c r="I255" s="17"/>
      <c r="J255" s="441"/>
      <c r="K255" s="442"/>
      <c r="L255" s="443"/>
      <c r="M255" s="435"/>
      <c r="N255" s="444"/>
      <c r="O255" s="445">
        <f t="shared" ref="O255:O261" si="62">SUM(G255-L255)</f>
        <v>0</v>
      </c>
      <c r="P255" s="19"/>
      <c r="Q255" s="17">
        <f t="shared" ref="Q255:Q261" si="63">SUM(O255)</f>
        <v>0</v>
      </c>
      <c r="R255" s="116"/>
      <c r="S255" s="203"/>
      <c r="T255" s="203"/>
      <c r="U255" s="204"/>
      <c r="V255" s="204"/>
    </row>
    <row r="256" spans="1:25" ht="27.75" customHeight="1">
      <c r="A256" s="435"/>
      <c r="B256" s="674" t="s">
        <v>477</v>
      </c>
      <c r="C256" s="675"/>
      <c r="D256" s="682"/>
      <c r="E256" s="439"/>
      <c r="F256" s="440"/>
      <c r="G256" s="15"/>
      <c r="H256" s="15"/>
      <c r="I256" s="17"/>
      <c r="J256" s="441"/>
      <c r="K256" s="442"/>
      <c r="L256" s="443"/>
      <c r="M256" s="435"/>
      <c r="N256" s="444"/>
      <c r="O256" s="445">
        <f t="shared" si="62"/>
        <v>0</v>
      </c>
      <c r="P256" s="19"/>
      <c r="Q256" s="17">
        <f t="shared" si="63"/>
        <v>0</v>
      </c>
      <c r="R256" s="116"/>
      <c r="S256" s="203"/>
      <c r="T256" s="203"/>
      <c r="U256" s="204"/>
      <c r="V256" s="204"/>
    </row>
    <row r="257" spans="1:25" ht="27.75" customHeight="1">
      <c r="A257" s="435">
        <v>2</v>
      </c>
      <c r="B257" s="450" t="s">
        <v>470</v>
      </c>
      <c r="C257" s="451" t="s">
        <v>478</v>
      </c>
      <c r="D257" s="449"/>
      <c r="E257" s="439" t="s">
        <v>479</v>
      </c>
      <c r="F257" s="440">
        <v>6</v>
      </c>
      <c r="G257" s="15">
        <v>96700.72</v>
      </c>
      <c r="H257" s="15"/>
      <c r="I257" s="17">
        <v>96700.72</v>
      </c>
      <c r="J257" s="441"/>
      <c r="K257" s="442"/>
      <c r="L257" s="443"/>
      <c r="M257" s="435" t="s">
        <v>479</v>
      </c>
      <c r="N257" s="444">
        <v>6</v>
      </c>
      <c r="O257" s="445">
        <f t="shared" si="62"/>
        <v>96700.72</v>
      </c>
      <c r="P257" s="19"/>
      <c r="Q257" s="17">
        <f t="shared" si="63"/>
        <v>96700.72</v>
      </c>
      <c r="R257" s="116"/>
      <c r="S257" s="203"/>
      <c r="T257" s="203"/>
      <c r="U257" s="204"/>
      <c r="V257" s="204"/>
      <c r="Y257" s="4" t="s">
        <v>475</v>
      </c>
    </row>
    <row r="258" spans="1:25" ht="27.75" customHeight="1">
      <c r="A258" s="435">
        <v>3</v>
      </c>
      <c r="B258" s="450" t="s">
        <v>470</v>
      </c>
      <c r="C258" s="451" t="s">
        <v>480</v>
      </c>
      <c r="D258" s="452"/>
      <c r="E258" s="439" t="s">
        <v>481</v>
      </c>
      <c r="F258" s="440">
        <v>16</v>
      </c>
      <c r="G258" s="15">
        <v>285799.45</v>
      </c>
      <c r="H258" s="15"/>
      <c r="I258" s="17">
        <v>285799.45</v>
      </c>
      <c r="J258" s="441"/>
      <c r="K258" s="442"/>
      <c r="L258" s="443"/>
      <c r="M258" s="435" t="s">
        <v>481</v>
      </c>
      <c r="N258" s="444">
        <v>16</v>
      </c>
      <c r="O258" s="445">
        <f t="shared" si="62"/>
        <v>285799.45</v>
      </c>
      <c r="P258" s="19"/>
      <c r="Q258" s="17">
        <f t="shared" si="63"/>
        <v>285799.45</v>
      </c>
      <c r="R258" s="116"/>
      <c r="S258" s="203"/>
      <c r="T258" s="203"/>
      <c r="U258" s="204"/>
      <c r="V258" s="204"/>
      <c r="Y258" s="4" t="s">
        <v>475</v>
      </c>
    </row>
    <row r="259" spans="1:25" s="226" customFormat="1" ht="27.75" customHeight="1">
      <c r="A259" s="440">
        <v>4</v>
      </c>
      <c r="B259" s="436" t="s">
        <v>470</v>
      </c>
      <c r="C259" s="453" t="s">
        <v>482</v>
      </c>
      <c r="D259" s="454" t="s">
        <v>472</v>
      </c>
      <c r="E259" s="455" t="s">
        <v>483</v>
      </c>
      <c r="F259" s="456" t="s">
        <v>195</v>
      </c>
      <c r="G259" s="17">
        <v>57055.05</v>
      </c>
      <c r="H259" s="17"/>
      <c r="I259" s="17">
        <v>57055.05</v>
      </c>
      <c r="J259" s="441"/>
      <c r="K259" s="457"/>
      <c r="L259" s="458"/>
      <c r="M259" s="435" t="s">
        <v>483</v>
      </c>
      <c r="N259" s="448" t="s">
        <v>195</v>
      </c>
      <c r="O259" s="445">
        <f t="shared" si="62"/>
        <v>57055.05</v>
      </c>
      <c r="P259" s="17"/>
      <c r="Q259" s="17">
        <f t="shared" si="63"/>
        <v>57055.05</v>
      </c>
      <c r="R259" s="39"/>
      <c r="S259" s="55"/>
      <c r="T259" s="55"/>
      <c r="U259" s="141"/>
      <c r="V259" s="141"/>
      <c r="Y259" s="4" t="s">
        <v>475</v>
      </c>
    </row>
    <row r="260" spans="1:25" s="226" customFormat="1" ht="27.75" customHeight="1">
      <c r="A260" s="440"/>
      <c r="B260" s="676" t="s">
        <v>484</v>
      </c>
      <c r="C260" s="677"/>
      <c r="D260" s="683"/>
      <c r="E260" s="455"/>
      <c r="F260" s="456"/>
      <c r="G260" s="17"/>
      <c r="H260" s="17"/>
      <c r="I260" s="17"/>
      <c r="J260" s="441"/>
      <c r="K260" s="457"/>
      <c r="L260" s="458"/>
      <c r="M260" s="435"/>
      <c r="N260" s="448"/>
      <c r="O260" s="445">
        <f t="shared" si="62"/>
        <v>0</v>
      </c>
      <c r="P260" s="17"/>
      <c r="Q260" s="17">
        <f t="shared" si="63"/>
        <v>0</v>
      </c>
      <c r="R260" s="122"/>
      <c r="S260" s="37"/>
      <c r="T260" s="37"/>
      <c r="U260" s="459"/>
      <c r="V260" s="459"/>
      <c r="Y260" s="4" t="s">
        <v>475</v>
      </c>
    </row>
    <row r="261" spans="1:25" ht="27.75" customHeight="1">
      <c r="A261" s="460">
        <v>5</v>
      </c>
      <c r="B261" s="436" t="s">
        <v>470</v>
      </c>
      <c r="C261" s="461" t="s">
        <v>485</v>
      </c>
      <c r="D261" s="454"/>
      <c r="E261" s="455" t="s">
        <v>486</v>
      </c>
      <c r="F261" s="462" t="s">
        <v>195</v>
      </c>
      <c r="G261" s="17">
        <v>28958.15</v>
      </c>
      <c r="H261" s="15"/>
      <c r="I261" s="17">
        <v>28958.15</v>
      </c>
      <c r="J261" s="441" t="s">
        <v>487</v>
      </c>
      <c r="K261" s="463"/>
      <c r="L261" s="443"/>
      <c r="M261" s="435" t="s">
        <v>486</v>
      </c>
      <c r="N261" s="464" t="s">
        <v>195</v>
      </c>
      <c r="O261" s="445">
        <f t="shared" si="62"/>
        <v>28958.15</v>
      </c>
      <c r="P261" s="21"/>
      <c r="Q261" s="17">
        <f t="shared" si="63"/>
        <v>28958.15</v>
      </c>
      <c r="R261" s="36"/>
      <c r="S261" s="37"/>
      <c r="T261" s="37"/>
      <c r="U261" s="38"/>
      <c r="V261" s="38"/>
      <c r="W261" s="38"/>
      <c r="Y261" s="4" t="s">
        <v>475</v>
      </c>
    </row>
    <row r="262" spans="1:25" ht="27.6" customHeight="1">
      <c r="A262" s="460"/>
      <c r="B262" s="436" t="s">
        <v>488</v>
      </c>
      <c r="C262" s="461"/>
      <c r="D262" s="454"/>
      <c r="E262" s="448"/>
      <c r="F262" s="462"/>
      <c r="G262" s="17"/>
      <c r="H262" s="15"/>
      <c r="I262" s="17"/>
      <c r="J262" s="441"/>
      <c r="K262" s="463"/>
      <c r="L262" s="443"/>
      <c r="M262" s="435"/>
      <c r="N262" s="444"/>
      <c r="O262" s="17"/>
      <c r="P262" s="21"/>
      <c r="Q262" s="17"/>
      <c r="R262" s="36"/>
      <c r="S262" s="37"/>
      <c r="T262" s="37"/>
      <c r="U262" s="38"/>
      <c r="V262" s="38"/>
      <c r="W262" s="38"/>
    </row>
    <row r="263" spans="1:25" ht="27.6" customHeight="1">
      <c r="A263" s="460"/>
      <c r="B263" s="674" t="s">
        <v>489</v>
      </c>
      <c r="C263" s="675"/>
      <c r="D263" s="682"/>
      <c r="E263" s="448"/>
      <c r="F263" s="462"/>
      <c r="G263" s="17"/>
      <c r="H263" s="15"/>
      <c r="I263" s="17"/>
      <c r="J263" s="441"/>
      <c r="K263" s="463"/>
      <c r="L263" s="443"/>
      <c r="M263" s="435"/>
      <c r="N263" s="444"/>
      <c r="O263" s="17"/>
      <c r="P263" s="21"/>
      <c r="Q263" s="17"/>
      <c r="R263" s="36"/>
      <c r="S263" s="37"/>
      <c r="T263" s="37"/>
      <c r="U263" s="38"/>
      <c r="V263" s="38"/>
      <c r="W263" s="38"/>
    </row>
    <row r="264" spans="1:25" ht="27.75" customHeight="1" thickBot="1">
      <c r="A264" s="465"/>
      <c r="B264" s="466" t="s">
        <v>22</v>
      </c>
      <c r="C264" s="195"/>
      <c r="D264" s="310">
        <v>0</v>
      </c>
      <c r="E264" s="311"/>
      <c r="F264" s="312"/>
      <c r="G264" s="313">
        <f>SUM(G254:G262)</f>
        <v>829801.72000000009</v>
      </c>
      <c r="H264" s="313"/>
      <c r="I264" s="313">
        <f>SUM(I254:I262)</f>
        <v>829801.72000000009</v>
      </c>
      <c r="J264" s="467"/>
      <c r="K264" s="314"/>
      <c r="L264" s="310">
        <v>0</v>
      </c>
      <c r="M264" s="315"/>
      <c r="N264" s="310"/>
      <c r="O264" s="313">
        <f>SUM(O254:O262)</f>
        <v>829801.72000000009</v>
      </c>
      <c r="P264" s="313">
        <v>0</v>
      </c>
      <c r="Q264" s="313">
        <f>SUM(Q254:Q263)</f>
        <v>829801.72000000009</v>
      </c>
      <c r="R264" s="36"/>
      <c r="S264" s="37"/>
      <c r="T264" s="37"/>
      <c r="U264" s="38"/>
      <c r="V264" s="38"/>
      <c r="W264" s="38"/>
    </row>
    <row r="265" spans="1:25" ht="27.75" customHeight="1" thickTop="1">
      <c r="A265" s="468"/>
      <c r="B265" s="469" t="s">
        <v>490</v>
      </c>
      <c r="C265" s="470"/>
      <c r="D265" s="471"/>
      <c r="E265" s="207"/>
      <c r="F265" s="341"/>
      <c r="G265" s="187"/>
      <c r="H265" s="187"/>
      <c r="I265" s="187"/>
      <c r="J265" s="472"/>
      <c r="K265" s="473"/>
      <c r="L265" s="231"/>
      <c r="M265" s="186"/>
      <c r="N265" s="116"/>
      <c r="O265" s="344"/>
      <c r="P265" s="344"/>
      <c r="Q265" s="474"/>
      <c r="R265" s="36"/>
      <c r="S265" s="37"/>
      <c r="T265" s="37"/>
      <c r="U265" s="38"/>
      <c r="V265" s="38"/>
      <c r="W265" s="38"/>
    </row>
    <row r="266" spans="1:25" ht="27.75" customHeight="1">
      <c r="A266" s="475">
        <v>1</v>
      </c>
      <c r="B266" s="436" t="s">
        <v>491</v>
      </c>
      <c r="C266" s="437" t="s">
        <v>492</v>
      </c>
      <c r="D266" s="476"/>
      <c r="E266" s="477"/>
      <c r="F266" s="478"/>
      <c r="G266" s="15"/>
      <c r="H266" s="15"/>
      <c r="I266" s="17"/>
      <c r="J266" s="441"/>
      <c r="K266" s="442"/>
      <c r="L266" s="479"/>
      <c r="M266" s="435"/>
      <c r="N266" s="477"/>
      <c r="O266" s="480"/>
      <c r="P266" s="480"/>
      <c r="Q266" s="481"/>
      <c r="R266" s="356"/>
      <c r="S266" s="482"/>
      <c r="T266" s="482"/>
      <c r="U266" s="483"/>
      <c r="V266" s="483"/>
      <c r="Y266" s="4" t="s">
        <v>493</v>
      </c>
    </row>
    <row r="267" spans="1:25" ht="27.75" customHeight="1">
      <c r="A267" s="475"/>
      <c r="B267" s="484" t="s">
        <v>494</v>
      </c>
      <c r="C267" s="437"/>
      <c r="D267" s="476"/>
      <c r="E267" s="477"/>
      <c r="F267" s="478"/>
      <c r="G267" s="15"/>
      <c r="H267" s="15"/>
      <c r="I267" s="17"/>
      <c r="J267" s="441"/>
      <c r="K267" s="442"/>
      <c r="L267" s="479"/>
      <c r="M267" s="435"/>
      <c r="N267" s="477"/>
      <c r="O267" s="480"/>
      <c r="P267" s="480"/>
      <c r="Q267" s="481"/>
      <c r="R267" s="485"/>
      <c r="S267" s="486"/>
      <c r="T267" s="486"/>
      <c r="U267" s="487"/>
      <c r="V267" s="487"/>
    </row>
    <row r="268" spans="1:25" ht="27.75" customHeight="1">
      <c r="A268" s="475">
        <v>2</v>
      </c>
      <c r="B268" s="436" t="s">
        <v>495</v>
      </c>
      <c r="C268" s="437" t="s">
        <v>496</v>
      </c>
      <c r="D268" s="476"/>
      <c r="E268" s="477"/>
      <c r="F268" s="478" t="s">
        <v>497</v>
      </c>
      <c r="G268" s="15">
        <v>8214529.25</v>
      </c>
      <c r="H268" s="15"/>
      <c r="I268" s="17">
        <v>8214529.25</v>
      </c>
      <c r="J268" s="441"/>
      <c r="K268" s="442"/>
      <c r="L268" s="479"/>
      <c r="M268" s="435"/>
      <c r="N268" s="477" t="s">
        <v>497</v>
      </c>
      <c r="O268" s="15">
        <v>8214529.25</v>
      </c>
      <c r="P268" s="480"/>
      <c r="Q268" s="17">
        <v>8214529.25</v>
      </c>
      <c r="R268" s="485"/>
      <c r="S268" s="486"/>
      <c r="T268" s="486"/>
      <c r="U268" s="487"/>
      <c r="V268" s="487"/>
    </row>
    <row r="269" spans="1:25" ht="27.75" customHeight="1">
      <c r="A269" s="405"/>
      <c r="B269" s="234" t="s">
        <v>22</v>
      </c>
      <c r="C269" s="407"/>
      <c r="D269" s="408">
        <v>0</v>
      </c>
      <c r="E269" s="409"/>
      <c r="F269" s="410"/>
      <c r="G269" s="239">
        <f>SUM(G266:G268)</f>
        <v>8214529.25</v>
      </c>
      <c r="H269" s="239">
        <v>0</v>
      </c>
      <c r="I269" s="239">
        <f>SUM(I266:I268)</f>
        <v>8214529.25</v>
      </c>
      <c r="J269" s="411"/>
      <c r="K269" s="411"/>
      <c r="L269" s="408">
        <v>0</v>
      </c>
      <c r="M269" s="412"/>
      <c r="N269" s="408"/>
      <c r="O269" s="239">
        <f>SUM(O266:O268)</f>
        <v>8214529.25</v>
      </c>
      <c r="P269" s="239">
        <v>0</v>
      </c>
      <c r="Q269" s="239">
        <f>SUM(Q266:Q268)</f>
        <v>8214529.25</v>
      </c>
      <c r="R269" s="278"/>
      <c r="S269" s="279"/>
      <c r="T269" s="279"/>
      <c r="U269" s="413"/>
      <c r="V269" s="413"/>
      <c r="W269" s="413"/>
    </row>
    <row r="270" spans="1:25" ht="27.75" customHeight="1">
      <c r="A270" s="426"/>
      <c r="B270" s="4"/>
      <c r="C270" s="295"/>
      <c r="D270" s="427"/>
      <c r="E270" s="428"/>
      <c r="F270" s="429"/>
      <c r="G270" s="430"/>
      <c r="H270" s="430"/>
      <c r="I270" s="430"/>
      <c r="J270" s="432"/>
      <c r="K270" s="432"/>
      <c r="L270" s="427"/>
      <c r="M270" s="433"/>
      <c r="N270" s="427"/>
      <c r="O270" s="430"/>
      <c r="P270" s="430"/>
      <c r="Q270" s="430"/>
      <c r="R270" s="424"/>
      <c r="S270" s="425"/>
      <c r="T270" s="425"/>
      <c r="U270" s="345"/>
      <c r="V270" s="345"/>
      <c r="W270" s="345"/>
    </row>
    <row r="271" spans="1:25" ht="27.75" customHeight="1" thickBot="1">
      <c r="A271" s="488"/>
      <c r="B271" s="489" t="s">
        <v>498</v>
      </c>
      <c r="C271" s="490"/>
      <c r="D271" s="491">
        <f>+D269+D264+D250+D242+D237+D223+D167+D156+D152+D139+D123+D109+D93+D90+D83+D45+D31+D27+D24</f>
        <v>1056781.6599999999</v>
      </c>
      <c r="E271" s="491"/>
      <c r="F271" s="492"/>
      <c r="G271" s="493">
        <f>SUM(G269+G264+G251)</f>
        <v>7667269.9681308419</v>
      </c>
      <c r="H271" s="493">
        <f>SUM(H269+H264+H251)</f>
        <v>2611.42</v>
      </c>
      <c r="I271" s="493">
        <f>SUM(I269+I264+I251)</f>
        <v>7669881.3881308418</v>
      </c>
      <c r="J271" s="494"/>
      <c r="K271" s="494"/>
      <c r="L271" s="493">
        <f>SUM(L269+L264+L251)</f>
        <v>917221.47</v>
      </c>
      <c r="M271" s="495"/>
      <c r="N271" s="496"/>
      <c r="O271" s="493">
        <f>SUM(O269+O264+O251)</f>
        <v>9079156.7718691602</v>
      </c>
      <c r="P271" s="493">
        <f>SUM(P269+P264+P251)</f>
        <v>2437.81</v>
      </c>
      <c r="Q271" s="493">
        <f>SUM(Q269+Q264+Q251)</f>
        <v>9081594.5818691589</v>
      </c>
      <c r="R271" s="497">
        <v>0</v>
      </c>
      <c r="S271" s="497">
        <v>0</v>
      </c>
      <c r="T271" s="498"/>
      <c r="U271" s="499"/>
      <c r="V271" s="499"/>
      <c r="W271" s="499"/>
    </row>
    <row r="272" spans="1:25" s="226" customFormat="1" ht="27.75" customHeight="1" thickTop="1">
      <c r="A272" s="6"/>
      <c r="B272" s="500"/>
      <c r="D272" s="501"/>
      <c r="E272" s="502"/>
      <c r="F272" s="503"/>
      <c r="G272" s="430"/>
      <c r="H272" s="430"/>
      <c r="I272" s="504"/>
      <c r="J272" s="3"/>
      <c r="K272" s="372"/>
      <c r="L272" s="501"/>
      <c r="M272" s="372"/>
      <c r="N272" s="501"/>
      <c r="O272" s="430"/>
      <c r="P272" s="430"/>
      <c r="Q272" s="504"/>
      <c r="R272" s="2"/>
      <c r="S272" s="425"/>
      <c r="T272" s="425"/>
      <c r="U272" s="345"/>
      <c r="V272" s="345"/>
    </row>
    <row r="273" spans="1:22" s="226" customFormat="1" ht="27.75" customHeight="1">
      <c r="A273" s="6"/>
      <c r="B273" s="500"/>
      <c r="D273" s="501"/>
      <c r="E273" s="502"/>
      <c r="F273" s="503"/>
      <c r="G273" s="430"/>
      <c r="H273" s="430"/>
      <c r="I273" s="504"/>
      <c r="J273" s="3"/>
      <c r="K273" s="372"/>
      <c r="L273" s="501"/>
      <c r="M273" s="372"/>
      <c r="N273" s="501"/>
      <c r="O273" s="430"/>
      <c r="P273" s="430"/>
      <c r="Q273" s="504"/>
      <c r="R273" s="2"/>
      <c r="S273" s="425"/>
      <c r="T273" s="425"/>
      <c r="U273" s="345"/>
      <c r="V273" s="345"/>
    </row>
    <row r="274" spans="1:22" s="226" customFormat="1" ht="27.75" customHeight="1">
      <c r="A274" s="684" t="s">
        <v>932</v>
      </c>
      <c r="B274" s="684"/>
      <c r="C274" s="684"/>
      <c r="D274" s="684"/>
      <c r="E274" s="684"/>
      <c r="F274" s="684"/>
      <c r="G274" s="684"/>
      <c r="H274" s="684"/>
      <c r="I274" s="684"/>
      <c r="J274" s="684"/>
      <c r="K274" s="684"/>
      <c r="L274" s="684"/>
      <c r="M274" s="684"/>
      <c r="N274" s="684"/>
      <c r="O274" s="684"/>
      <c r="P274" s="684"/>
      <c r="Q274" s="684"/>
      <c r="R274" s="684"/>
      <c r="S274" s="425"/>
      <c r="T274" s="425"/>
      <c r="U274" s="345"/>
      <c r="V274" s="345"/>
    </row>
    <row r="275" spans="1:22" s="226" customFormat="1" ht="27.75" customHeight="1">
      <c r="A275" s="678" t="s">
        <v>933</v>
      </c>
      <c r="B275" s="678"/>
      <c r="C275" s="678"/>
      <c r="D275" s="678"/>
      <c r="E275" s="678"/>
      <c r="F275" s="678"/>
      <c r="G275" s="678"/>
      <c r="H275" s="678"/>
      <c r="I275" s="678"/>
      <c r="J275" s="678"/>
      <c r="K275" s="678"/>
      <c r="L275" s="678"/>
      <c r="M275" s="678"/>
      <c r="N275" s="678"/>
      <c r="O275" s="678"/>
      <c r="P275" s="678"/>
      <c r="Q275" s="678"/>
      <c r="R275" s="678"/>
      <c r="S275" s="425"/>
      <c r="T275" s="425"/>
      <c r="U275" s="345"/>
      <c r="V275" s="345"/>
    </row>
    <row r="276" spans="1:22" s="226" customFormat="1" ht="27.75" customHeight="1">
      <c r="A276" s="678"/>
      <c r="B276" s="678"/>
      <c r="C276" s="678"/>
      <c r="D276" s="678"/>
      <c r="E276" s="678"/>
      <c r="F276" s="678"/>
      <c r="G276" s="678"/>
      <c r="H276" s="678"/>
      <c r="I276" s="678"/>
      <c r="J276" s="678"/>
      <c r="K276" s="678"/>
      <c r="L276" s="678"/>
      <c r="M276" s="678"/>
      <c r="N276" s="678"/>
      <c r="O276" s="678"/>
      <c r="P276" s="678"/>
      <c r="Q276" s="678"/>
      <c r="R276" s="678"/>
      <c r="S276" s="425"/>
      <c r="T276" s="425"/>
      <c r="U276" s="345"/>
      <c r="V276" s="345"/>
    </row>
    <row r="277" spans="1:22" s="226" customFormat="1" ht="27.75" customHeight="1">
      <c r="A277" s="6"/>
      <c r="B277" s="500"/>
      <c r="D277" s="501"/>
      <c r="E277" s="502"/>
      <c r="F277" s="503"/>
      <c r="G277" s="430"/>
      <c r="H277" s="430"/>
      <c r="I277" s="504"/>
      <c r="J277" s="3"/>
      <c r="K277" s="372"/>
      <c r="L277" s="501"/>
      <c r="M277" s="372"/>
      <c r="N277" s="501"/>
      <c r="O277" s="430"/>
      <c r="P277" s="430"/>
      <c r="Q277" s="504"/>
      <c r="R277" s="2"/>
      <c r="S277" s="425"/>
      <c r="T277" s="425"/>
      <c r="U277" s="345"/>
      <c r="V277" s="345"/>
    </row>
    <row r="278" spans="1:22" s="226" customFormat="1" ht="27.75" customHeight="1">
      <c r="A278" s="6"/>
      <c r="B278" s="500"/>
      <c r="D278" s="501"/>
      <c r="E278" s="502"/>
      <c r="F278" s="503"/>
      <c r="G278" s="430"/>
      <c r="H278" s="430"/>
      <c r="I278" s="504"/>
      <c r="J278" s="3"/>
      <c r="K278" s="372"/>
      <c r="L278" s="501"/>
      <c r="M278" s="372"/>
      <c r="N278" s="501"/>
      <c r="O278" s="430"/>
      <c r="P278" s="430"/>
      <c r="Q278" s="430"/>
      <c r="R278" s="2"/>
      <c r="S278" s="425"/>
      <c r="T278" s="425"/>
      <c r="U278" s="345"/>
      <c r="V278" s="345"/>
    </row>
    <row r="279" spans="1:22" s="226" customFormat="1" ht="27.75" customHeight="1">
      <c r="A279" s="6"/>
      <c r="B279" s="500"/>
      <c r="D279" s="501"/>
      <c r="E279" s="502"/>
      <c r="F279" s="503"/>
      <c r="G279" s="430"/>
      <c r="H279" s="430"/>
      <c r="I279" s="504"/>
      <c r="J279" s="3"/>
      <c r="K279" s="372"/>
      <c r="L279" s="501"/>
      <c r="M279" s="372"/>
      <c r="N279" s="501"/>
      <c r="O279" s="430"/>
      <c r="P279" s="430"/>
      <c r="Q279" s="504"/>
      <c r="R279" s="2"/>
      <c r="S279" s="425"/>
      <c r="T279" s="425"/>
      <c r="U279" s="345"/>
      <c r="V279" s="345"/>
    </row>
    <row r="280" spans="1:22" s="226" customFormat="1" ht="27.75" customHeight="1">
      <c r="A280" s="6"/>
      <c r="B280" s="500"/>
      <c r="D280" s="501"/>
      <c r="E280" s="502"/>
      <c r="F280" s="503"/>
      <c r="G280" s="430"/>
      <c r="H280" s="430"/>
      <c r="I280" s="504"/>
      <c r="J280" s="3"/>
      <c r="K280" s="372"/>
      <c r="L280" s="501"/>
      <c r="M280" s="372"/>
      <c r="N280" s="501"/>
      <c r="O280" s="430"/>
      <c r="P280" s="430"/>
      <c r="Q280" s="504"/>
      <c r="R280" s="2"/>
      <c r="S280" s="425"/>
      <c r="T280" s="425"/>
      <c r="U280" s="345"/>
      <c r="V280" s="345"/>
    </row>
    <row r="281" spans="1:22" s="226" customFormat="1" ht="27.75" customHeight="1">
      <c r="A281" s="6"/>
      <c r="B281" s="500"/>
      <c r="D281" s="501"/>
      <c r="E281" s="502"/>
      <c r="F281" s="503"/>
      <c r="G281" s="430"/>
      <c r="H281" s="430"/>
      <c r="I281" s="504"/>
      <c r="J281" s="3"/>
      <c r="K281" s="372"/>
      <c r="L281" s="501"/>
      <c r="M281" s="372"/>
      <c r="N281" s="501"/>
      <c r="O281" s="430"/>
      <c r="P281" s="430"/>
      <c r="Q281" s="504"/>
      <c r="R281" s="2"/>
      <c r="S281" s="425"/>
      <c r="T281" s="425"/>
      <c r="U281" s="345"/>
      <c r="V281" s="345"/>
    </row>
    <row r="282" spans="1:22" s="226" customFormat="1" ht="27.75" customHeight="1">
      <c r="A282" s="6"/>
      <c r="B282" s="500"/>
      <c r="D282" s="501"/>
      <c r="E282" s="502"/>
      <c r="F282" s="503"/>
      <c r="G282" s="430"/>
      <c r="H282" s="430"/>
      <c r="I282" s="504"/>
      <c r="J282" s="3"/>
      <c r="K282" s="372"/>
      <c r="L282" s="501"/>
      <c r="M282" s="372"/>
      <c r="N282" s="501"/>
      <c r="O282" s="430"/>
      <c r="P282" s="430"/>
      <c r="Q282" s="504"/>
      <c r="R282" s="2"/>
      <c r="S282" s="425"/>
      <c r="T282" s="425"/>
      <c r="U282" s="345"/>
      <c r="V282" s="345"/>
    </row>
    <row r="283" spans="1:22" s="226" customFormat="1" ht="27.75" customHeight="1">
      <c r="A283" s="6"/>
      <c r="B283" s="500"/>
      <c r="D283" s="501"/>
      <c r="E283" s="502"/>
      <c r="F283" s="503"/>
      <c r="G283" s="430"/>
      <c r="H283" s="430"/>
      <c r="J283" s="3"/>
      <c r="K283" s="372"/>
      <c r="L283" s="501"/>
      <c r="M283" s="372"/>
      <c r="N283" s="501"/>
      <c r="O283" s="430"/>
      <c r="P283" s="430"/>
      <c r="Q283" s="504"/>
      <c r="R283" s="2"/>
      <c r="S283" s="425"/>
      <c r="T283" s="425"/>
      <c r="U283" s="345"/>
      <c r="V283" s="345"/>
    </row>
    <row r="284" spans="1:22" s="226" customFormat="1" ht="27.75" customHeight="1">
      <c r="A284" s="6"/>
      <c r="B284" s="500"/>
      <c r="D284" s="501"/>
      <c r="E284" s="502"/>
      <c r="F284" s="503"/>
      <c r="G284" s="430"/>
      <c r="H284" s="430"/>
      <c r="I284" s="504"/>
      <c r="J284" s="3"/>
      <c r="K284" s="372"/>
      <c r="L284" s="501"/>
      <c r="M284" s="372"/>
      <c r="N284" s="501"/>
      <c r="O284" s="430"/>
      <c r="P284" s="430"/>
      <c r="Q284" s="504"/>
      <c r="R284" s="2"/>
      <c r="S284" s="425"/>
      <c r="T284" s="425"/>
      <c r="U284" s="345"/>
      <c r="V284" s="345"/>
    </row>
    <row r="285" spans="1:22" s="226" customFormat="1" ht="27.75" customHeight="1">
      <c r="A285" s="6"/>
      <c r="B285" s="500"/>
      <c r="D285" s="501"/>
      <c r="E285" s="502"/>
      <c r="F285" s="503"/>
      <c r="G285" s="430"/>
      <c r="H285" s="430"/>
      <c r="I285" s="504"/>
      <c r="J285" s="3"/>
      <c r="K285" s="372"/>
      <c r="L285" s="501"/>
      <c r="M285" s="372"/>
      <c r="N285" s="501"/>
      <c r="O285" s="430"/>
      <c r="P285" s="430"/>
      <c r="Q285" s="504"/>
      <c r="R285" s="2"/>
      <c r="S285" s="425"/>
      <c r="T285" s="425"/>
      <c r="U285" s="345"/>
      <c r="V285" s="345"/>
    </row>
    <row r="286" spans="1:22" s="226" customFormat="1" ht="27.75" customHeight="1">
      <c r="A286" s="6"/>
      <c r="B286" s="500"/>
      <c r="D286" s="501"/>
      <c r="E286" s="502"/>
      <c r="F286" s="503"/>
      <c r="G286" s="430"/>
      <c r="H286" s="430"/>
      <c r="I286" s="504"/>
      <c r="J286" s="3"/>
      <c r="K286" s="372"/>
      <c r="L286" s="501"/>
      <c r="M286" s="372"/>
      <c r="N286" s="501"/>
      <c r="O286" s="430"/>
      <c r="P286" s="430"/>
      <c r="Q286" s="504"/>
      <c r="R286" s="2"/>
      <c r="S286" s="425"/>
      <c r="T286" s="425"/>
      <c r="U286" s="345"/>
      <c r="V286" s="345"/>
    </row>
    <row r="287" spans="1:22" s="226" customFormat="1" ht="27.75" customHeight="1">
      <c r="A287" s="6"/>
      <c r="B287" s="500"/>
      <c r="D287" s="501"/>
      <c r="E287" s="502"/>
      <c r="F287" s="503"/>
      <c r="G287" s="430"/>
      <c r="H287" s="430"/>
      <c r="I287" s="504"/>
      <c r="J287" s="3"/>
      <c r="K287" s="372"/>
      <c r="L287" s="501"/>
      <c r="M287" s="372"/>
      <c r="N287" s="501"/>
      <c r="O287" s="430"/>
      <c r="P287" s="430"/>
      <c r="Q287" s="504"/>
      <c r="R287" s="2"/>
      <c r="S287" s="425"/>
      <c r="T287" s="425"/>
      <c r="U287" s="345"/>
      <c r="V287" s="345"/>
    </row>
    <row r="288" spans="1:22" s="226" customFormat="1" ht="27.75" customHeight="1">
      <c r="A288" s="6"/>
      <c r="D288" s="501"/>
      <c r="E288" s="502"/>
      <c r="F288" s="503"/>
      <c r="G288" s="430"/>
      <c r="H288" s="430"/>
      <c r="I288" s="504"/>
      <c r="J288" s="3"/>
      <c r="K288" s="372"/>
      <c r="L288" s="501"/>
      <c r="M288" s="372"/>
      <c r="N288" s="501"/>
      <c r="O288" s="430"/>
      <c r="P288" s="430"/>
      <c r="Q288" s="504"/>
      <c r="R288" s="2"/>
      <c r="S288" s="425"/>
      <c r="T288" s="425"/>
      <c r="U288" s="345"/>
      <c r="V288" s="345"/>
    </row>
    <row r="289" spans="2:22" ht="27.75" customHeight="1">
      <c r="B289" s="4"/>
      <c r="D289" s="4"/>
      <c r="E289" s="505"/>
      <c r="G289" s="504"/>
      <c r="H289" s="504"/>
      <c r="L289" s="4"/>
      <c r="N289" s="4"/>
      <c r="O289" s="507"/>
      <c r="P289" s="507"/>
      <c r="U289" s="4"/>
      <c r="V289" s="4"/>
    </row>
    <row r="290" spans="2:22" ht="27.75" customHeight="1">
      <c r="B290" s="4"/>
      <c r="D290" s="4"/>
      <c r="E290" s="505"/>
      <c r="G290" s="504"/>
      <c r="H290" s="504"/>
      <c r="L290" s="4"/>
      <c r="N290" s="4"/>
      <c r="O290" s="507"/>
      <c r="P290" s="507"/>
      <c r="U290" s="4"/>
      <c r="V290" s="4"/>
    </row>
    <row r="291" spans="2:22" ht="27.75" customHeight="1">
      <c r="B291" s="4"/>
      <c r="D291" s="4"/>
      <c r="E291" s="505"/>
      <c r="G291" s="504"/>
      <c r="H291" s="504"/>
      <c r="I291" s="509"/>
      <c r="L291" s="4"/>
      <c r="N291" s="4"/>
      <c r="O291" s="507"/>
      <c r="P291" s="507"/>
      <c r="U291" s="4"/>
      <c r="V291" s="4"/>
    </row>
    <row r="292" spans="2:22" ht="27.75" customHeight="1">
      <c r="B292" s="4"/>
      <c r="D292" s="4"/>
      <c r="E292" s="505"/>
      <c r="G292" s="504"/>
      <c r="H292" s="504"/>
      <c r="L292" s="4"/>
      <c r="N292" s="4"/>
      <c r="O292" s="507"/>
      <c r="P292" s="507"/>
      <c r="U292" s="4"/>
      <c r="V292" s="4"/>
    </row>
    <row r="293" spans="2:22" ht="27.75" customHeight="1">
      <c r="B293" s="4"/>
      <c r="D293" s="4"/>
      <c r="E293" s="505"/>
      <c r="G293" s="504"/>
      <c r="H293" s="504"/>
      <c r="L293" s="4"/>
      <c r="N293" s="4"/>
      <c r="O293" s="507"/>
      <c r="P293" s="507"/>
      <c r="U293" s="4"/>
      <c r="V293" s="4"/>
    </row>
    <row r="294" spans="2:22" ht="27.75" customHeight="1">
      <c r="B294" s="4"/>
      <c r="D294" s="4"/>
      <c r="E294" s="505"/>
      <c r="G294" s="504"/>
      <c r="H294" s="504"/>
      <c r="L294" s="4"/>
      <c r="N294" s="4"/>
      <c r="O294" s="507"/>
      <c r="P294" s="507"/>
      <c r="U294" s="4"/>
      <c r="V294" s="4"/>
    </row>
    <row r="295" spans="2:22" ht="27.75" customHeight="1">
      <c r="B295" s="4"/>
      <c r="D295" s="4"/>
      <c r="E295" s="505"/>
      <c r="G295" s="504"/>
      <c r="H295" s="504"/>
      <c r="L295" s="4"/>
      <c r="N295" s="4"/>
      <c r="O295" s="507"/>
      <c r="P295" s="507"/>
      <c r="U295" s="4"/>
      <c r="V295" s="4"/>
    </row>
    <row r="296" spans="2:22" ht="27.75" customHeight="1">
      <c r="B296" s="4"/>
      <c r="D296" s="4"/>
      <c r="E296" s="505"/>
      <c r="G296" s="504"/>
      <c r="H296" s="504"/>
      <c r="L296" s="4"/>
      <c r="N296" s="4"/>
      <c r="O296" s="507"/>
      <c r="P296" s="507"/>
      <c r="U296" s="4"/>
      <c r="V296" s="4"/>
    </row>
    <row r="297" spans="2:22" ht="27.75" customHeight="1">
      <c r="B297" s="4"/>
      <c r="D297" s="4"/>
      <c r="E297" s="505"/>
      <c r="G297" s="504"/>
      <c r="H297" s="504"/>
      <c r="L297" s="4"/>
      <c r="N297" s="4"/>
      <c r="O297" s="507"/>
      <c r="P297" s="507"/>
      <c r="U297" s="4"/>
      <c r="V297" s="4"/>
    </row>
    <row r="298" spans="2:22" ht="27.75" customHeight="1">
      <c r="B298" s="4"/>
      <c r="D298" s="4"/>
      <c r="E298" s="505"/>
      <c r="G298" s="504"/>
      <c r="H298" s="504"/>
      <c r="L298" s="4"/>
      <c r="N298" s="4"/>
      <c r="O298" s="507"/>
      <c r="P298" s="507"/>
      <c r="U298" s="4"/>
      <c r="V298" s="4"/>
    </row>
    <row r="299" spans="2:22" ht="27.75" customHeight="1">
      <c r="B299" s="4"/>
      <c r="D299" s="4"/>
      <c r="E299" s="505"/>
      <c r="G299" s="504"/>
      <c r="H299" s="504"/>
      <c r="L299" s="4"/>
      <c r="N299" s="4"/>
      <c r="O299" s="507"/>
      <c r="P299" s="507"/>
      <c r="U299" s="4"/>
      <c r="V299" s="4"/>
    </row>
    <row r="300" spans="2:22" ht="27.75" customHeight="1">
      <c r="B300" s="4"/>
      <c r="D300" s="4"/>
      <c r="E300" s="505"/>
      <c r="G300" s="504"/>
      <c r="H300" s="504"/>
      <c r="L300" s="4"/>
      <c r="N300" s="4"/>
      <c r="O300" s="507"/>
      <c r="P300" s="507"/>
      <c r="U300" s="4"/>
      <c r="V300" s="4"/>
    </row>
    <row r="301" spans="2:22" ht="27.75" customHeight="1">
      <c r="B301" s="4"/>
      <c r="D301" s="4"/>
      <c r="E301" s="505"/>
      <c r="G301" s="504"/>
      <c r="H301" s="504"/>
      <c r="L301" s="4"/>
      <c r="N301" s="4"/>
      <c r="O301" s="507"/>
      <c r="P301" s="507"/>
      <c r="U301" s="4"/>
      <c r="V301" s="4"/>
    </row>
    <row r="302" spans="2:22" ht="27.75" customHeight="1">
      <c r="B302" s="4"/>
      <c r="D302" s="4"/>
      <c r="E302" s="505"/>
      <c r="G302" s="504"/>
      <c r="H302" s="504"/>
      <c r="L302" s="4"/>
      <c r="N302" s="4"/>
      <c r="O302" s="507"/>
      <c r="P302" s="507"/>
      <c r="U302" s="4"/>
      <c r="V302" s="4"/>
    </row>
    <row r="303" spans="2:22" ht="27.75" customHeight="1">
      <c r="B303" s="4"/>
      <c r="D303" s="4"/>
      <c r="E303" s="505"/>
      <c r="G303" s="504"/>
      <c r="H303" s="504"/>
      <c r="L303" s="4"/>
      <c r="N303" s="4"/>
      <c r="O303" s="507"/>
      <c r="P303" s="507"/>
      <c r="U303" s="4"/>
      <c r="V303" s="4"/>
    </row>
    <row r="304" spans="2:22" ht="27.75" customHeight="1">
      <c r="B304" s="4"/>
      <c r="D304" s="4"/>
      <c r="E304" s="505"/>
      <c r="G304" s="504"/>
      <c r="H304" s="504"/>
      <c r="L304" s="4"/>
      <c r="N304" s="4"/>
      <c r="O304" s="507"/>
      <c r="P304" s="507"/>
      <c r="U304" s="4"/>
      <c r="V304" s="4"/>
    </row>
    <row r="316" spans="2:22" ht="27.75" customHeight="1">
      <c r="B316" s="4"/>
      <c r="D316" s="4"/>
      <c r="E316" s="505"/>
      <c r="G316" s="504"/>
      <c r="H316" s="504"/>
      <c r="L316" s="4"/>
      <c r="N316" s="4"/>
      <c r="O316" s="507"/>
      <c r="P316" s="507"/>
      <c r="R316" s="4"/>
      <c r="S316" s="4"/>
      <c r="T316" s="4"/>
      <c r="U316" s="4"/>
      <c r="V316" s="4"/>
    </row>
    <row r="317" spans="2:22" ht="27.75" customHeight="1">
      <c r="B317" s="4"/>
      <c r="D317" s="4"/>
      <c r="E317" s="505"/>
      <c r="G317" s="504"/>
      <c r="H317" s="504"/>
      <c r="L317" s="4"/>
      <c r="N317" s="4"/>
      <c r="O317" s="507"/>
      <c r="P317" s="507"/>
      <c r="R317" s="4"/>
      <c r="S317" s="4"/>
      <c r="T317" s="4"/>
      <c r="U317" s="4"/>
      <c r="V317" s="4"/>
    </row>
    <row r="318" spans="2:22" ht="27.75" customHeight="1">
      <c r="B318" s="4"/>
      <c r="D318" s="4"/>
      <c r="E318" s="505"/>
      <c r="G318" s="504"/>
      <c r="H318" s="504"/>
      <c r="L318" s="4"/>
      <c r="N318" s="4"/>
      <c r="O318" s="507"/>
      <c r="P318" s="507"/>
      <c r="R318" s="4"/>
      <c r="S318" s="4"/>
      <c r="T318" s="4"/>
      <c r="U318" s="4"/>
      <c r="V318" s="4"/>
    </row>
    <row r="319" spans="2:22" ht="27.75" customHeight="1">
      <c r="B319" s="4"/>
      <c r="D319" s="4"/>
      <c r="E319" s="505"/>
      <c r="G319" s="504"/>
      <c r="H319" s="504"/>
      <c r="L319" s="4"/>
      <c r="N319" s="4"/>
      <c r="O319" s="507"/>
      <c r="P319" s="507"/>
      <c r="R319" s="4"/>
      <c r="S319" s="4"/>
      <c r="T319" s="4"/>
      <c r="U319" s="4"/>
      <c r="V319" s="4"/>
    </row>
    <row r="320" spans="2:22" ht="27.75" customHeight="1">
      <c r="B320" s="4"/>
      <c r="D320" s="4"/>
      <c r="E320" s="505"/>
      <c r="G320" s="504"/>
      <c r="H320" s="504"/>
      <c r="L320" s="4"/>
      <c r="N320" s="4"/>
      <c r="O320" s="507"/>
      <c r="P320" s="507"/>
      <c r="R320" s="4"/>
      <c r="S320" s="4"/>
      <c r="T320" s="4"/>
      <c r="U320" s="4"/>
      <c r="V320" s="4"/>
    </row>
    <row r="321" spans="2:22" ht="27.75" customHeight="1">
      <c r="B321" s="4"/>
      <c r="D321" s="4"/>
      <c r="E321" s="505"/>
      <c r="G321" s="504"/>
      <c r="H321" s="504"/>
      <c r="L321" s="4"/>
      <c r="N321" s="4"/>
      <c r="O321" s="507"/>
      <c r="P321" s="507"/>
      <c r="R321" s="4"/>
      <c r="S321" s="4"/>
      <c r="T321" s="4"/>
      <c r="U321" s="4"/>
      <c r="V321" s="4"/>
    </row>
    <row r="322" spans="2:22" ht="27.75" customHeight="1">
      <c r="B322" s="4"/>
      <c r="D322" s="4"/>
      <c r="E322" s="505"/>
      <c r="G322" s="504"/>
      <c r="H322" s="504"/>
      <c r="L322" s="4"/>
      <c r="N322" s="4"/>
      <c r="O322" s="507"/>
      <c r="P322" s="507"/>
      <c r="R322" s="4"/>
      <c r="S322" s="4"/>
      <c r="T322" s="4"/>
      <c r="U322" s="4"/>
      <c r="V322" s="4"/>
    </row>
    <row r="323" spans="2:22" ht="27.75" customHeight="1">
      <c r="B323" s="4"/>
      <c r="D323" s="4"/>
      <c r="E323" s="505"/>
      <c r="G323" s="504"/>
      <c r="H323" s="504"/>
      <c r="L323" s="4"/>
      <c r="N323" s="4"/>
      <c r="O323" s="507"/>
      <c r="P323" s="507"/>
      <c r="R323" s="4"/>
      <c r="S323" s="4"/>
      <c r="T323" s="4"/>
      <c r="U323" s="4"/>
      <c r="V323" s="4"/>
    </row>
    <row r="324" spans="2:22" ht="27.75" customHeight="1">
      <c r="B324" s="4"/>
      <c r="D324" s="4"/>
      <c r="E324" s="505"/>
      <c r="G324" s="504"/>
      <c r="H324" s="504"/>
      <c r="L324" s="4"/>
      <c r="N324" s="4"/>
      <c r="O324" s="507"/>
      <c r="P324" s="507"/>
      <c r="R324" s="4"/>
      <c r="S324" s="4"/>
      <c r="T324" s="4"/>
      <c r="U324" s="4"/>
      <c r="V324" s="4"/>
    </row>
    <row r="325" spans="2:22" ht="27.75" customHeight="1">
      <c r="B325" s="4"/>
      <c r="D325" s="4"/>
      <c r="E325" s="505"/>
      <c r="G325" s="504"/>
      <c r="H325" s="504"/>
      <c r="L325" s="4"/>
      <c r="N325" s="4"/>
      <c r="O325" s="507"/>
      <c r="P325" s="507"/>
      <c r="R325" s="4"/>
      <c r="S325" s="4"/>
      <c r="T325" s="4"/>
      <c r="U325" s="4"/>
      <c r="V325" s="4"/>
    </row>
    <row r="326" spans="2:22" ht="27.75" customHeight="1">
      <c r="B326" s="4"/>
      <c r="D326" s="4"/>
      <c r="E326" s="505"/>
      <c r="G326" s="504"/>
      <c r="H326" s="504"/>
      <c r="L326" s="4"/>
      <c r="N326" s="4"/>
      <c r="O326" s="507"/>
      <c r="P326" s="507"/>
      <c r="R326" s="4"/>
      <c r="S326" s="4"/>
      <c r="T326" s="4"/>
      <c r="U326" s="4"/>
      <c r="V326" s="4"/>
    </row>
    <row r="327" spans="2:22" ht="27.75" customHeight="1">
      <c r="B327" s="4"/>
      <c r="D327" s="4"/>
      <c r="E327" s="505"/>
      <c r="G327" s="504"/>
      <c r="H327" s="504"/>
      <c r="L327" s="4"/>
      <c r="N327" s="4"/>
      <c r="O327" s="507"/>
      <c r="P327" s="507"/>
      <c r="R327" s="4"/>
      <c r="S327" s="4"/>
      <c r="T327" s="4"/>
      <c r="U327" s="4"/>
      <c r="V327" s="4"/>
    </row>
    <row r="328" spans="2:22" ht="27.75" customHeight="1">
      <c r="B328" s="4"/>
      <c r="D328" s="4"/>
      <c r="E328" s="505"/>
      <c r="G328" s="504"/>
      <c r="H328" s="504"/>
      <c r="L328" s="4"/>
      <c r="N328" s="4"/>
      <c r="O328" s="507"/>
      <c r="P328" s="507"/>
      <c r="R328" s="4"/>
      <c r="S328" s="4"/>
      <c r="T328" s="4"/>
      <c r="U328" s="4"/>
      <c r="V328" s="4"/>
    </row>
  </sheetData>
  <mergeCells count="28">
    <mergeCell ref="A274:R274"/>
    <mergeCell ref="A275:R275"/>
    <mergeCell ref="A276:R276"/>
    <mergeCell ref="A1:Q1"/>
    <mergeCell ref="A2:Q2"/>
    <mergeCell ref="A3:Q3"/>
    <mergeCell ref="E4:I4"/>
    <mergeCell ref="M4:Q4"/>
    <mergeCell ref="O5:Q5"/>
    <mergeCell ref="B256:D256"/>
    <mergeCell ref="B260:D260"/>
    <mergeCell ref="B263:D263"/>
    <mergeCell ref="S4:S6"/>
    <mergeCell ref="T4:T6"/>
    <mergeCell ref="U4:U6"/>
    <mergeCell ref="V4:V6"/>
    <mergeCell ref="A5:A6"/>
    <mergeCell ref="B5:B6"/>
    <mergeCell ref="C5:C6"/>
    <mergeCell ref="D5:D6"/>
    <mergeCell ref="E5:E6"/>
    <mergeCell ref="F5:F6"/>
    <mergeCell ref="R4:R6"/>
    <mergeCell ref="G5:I5"/>
    <mergeCell ref="K5:K6"/>
    <mergeCell ref="L5:L6"/>
    <mergeCell ref="M5:M6"/>
    <mergeCell ref="N5:N6"/>
  </mergeCells>
  <phoneticPr fontId="15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928AA-5B9E-4719-8C76-56E3373E71A6}">
  <sheetPr>
    <tabColor rgb="FF92D050"/>
  </sheetPr>
  <dimension ref="A1:J260"/>
  <sheetViews>
    <sheetView zoomScale="70" zoomScaleNormal="70" workbookViewId="0">
      <pane ySplit="6" topLeftCell="A187" activePane="bottomLeft" state="frozen"/>
      <selection pane="bottomLeft" activeCell="H196" sqref="H196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1.6640625" style="3" customWidth="1"/>
    <col min="5" max="5" width="24.5546875" style="372" customWidth="1"/>
    <col min="6" max="6" width="22.109375" style="512" customWidth="1"/>
    <col min="7" max="7" width="8.88671875" style="4"/>
    <col min="8" max="8" width="12.21875" style="4" bestFit="1" customWidth="1"/>
    <col min="9" max="9" width="15.6640625" style="4" customWidth="1"/>
    <col min="10" max="10" width="18.44140625" style="4" customWidth="1"/>
    <col min="11" max="16384" width="8.88671875" style="4"/>
  </cols>
  <sheetData>
    <row r="1" spans="1:6" ht="28.5" customHeight="1">
      <c r="A1" s="653" t="s">
        <v>0</v>
      </c>
      <c r="B1" s="653"/>
      <c r="C1" s="653"/>
      <c r="D1" s="653"/>
      <c r="E1" s="653"/>
      <c r="F1" s="653"/>
    </row>
    <row r="2" spans="1:6" ht="23.25" customHeight="1">
      <c r="A2" s="653" t="s">
        <v>1</v>
      </c>
      <c r="B2" s="653"/>
      <c r="C2" s="653"/>
      <c r="D2" s="653"/>
      <c r="E2" s="653"/>
      <c r="F2" s="653"/>
    </row>
    <row r="3" spans="1:6" ht="28.5" customHeight="1">
      <c r="A3" s="654" t="s">
        <v>820</v>
      </c>
      <c r="B3" s="654"/>
      <c r="C3" s="654"/>
      <c r="D3" s="654"/>
      <c r="E3" s="654"/>
      <c r="F3" s="654"/>
    </row>
    <row r="4" spans="1:6" ht="27.75" customHeight="1">
      <c r="A4" s="7"/>
      <c r="B4" s="8"/>
      <c r="C4" s="9"/>
      <c r="D4" s="11"/>
      <c r="E4" s="12" t="s">
        <v>4</v>
      </c>
      <c r="F4" s="13"/>
    </row>
    <row r="5" spans="1:6" ht="27.75" customHeight="1">
      <c r="A5" s="664" t="s">
        <v>11</v>
      </c>
      <c r="B5" s="666" t="s">
        <v>12</v>
      </c>
      <c r="C5" s="666" t="s">
        <v>13</v>
      </c>
      <c r="D5" s="14" t="s">
        <v>18</v>
      </c>
      <c r="E5" s="691" t="s">
        <v>19</v>
      </c>
      <c r="F5" s="693" t="s">
        <v>20</v>
      </c>
    </row>
    <row r="6" spans="1:6" ht="27.75" customHeight="1" thickBot="1">
      <c r="A6" s="665"/>
      <c r="B6" s="667"/>
      <c r="C6" s="667"/>
      <c r="D6" s="18"/>
      <c r="E6" s="692"/>
      <c r="F6" s="694"/>
    </row>
    <row r="7" spans="1:6" ht="27.75" customHeight="1" thickTop="1">
      <c r="A7" s="22"/>
      <c r="B7" s="23" t="s">
        <v>23</v>
      </c>
      <c r="C7" s="24"/>
      <c r="D7" s="29"/>
      <c r="E7" s="30"/>
      <c r="F7" s="31"/>
    </row>
    <row r="8" spans="1:6" s="57" customFormat="1" ht="27.75" customHeight="1">
      <c r="A8" s="39">
        <v>1</v>
      </c>
      <c r="B8" s="40" t="s">
        <v>24</v>
      </c>
      <c r="C8" s="41" t="s">
        <v>25</v>
      </c>
      <c r="D8" s="48">
        <v>46026</v>
      </c>
      <c r="E8" s="49" t="s">
        <v>821</v>
      </c>
      <c r="F8" s="50">
        <v>4012.5</v>
      </c>
    </row>
    <row r="9" spans="1:6" s="57" customFormat="1" ht="27.75" customHeight="1">
      <c r="A9" s="39">
        <v>2</v>
      </c>
      <c r="B9" s="40" t="s">
        <v>28</v>
      </c>
      <c r="C9" s="41" t="s">
        <v>29</v>
      </c>
      <c r="D9" s="48">
        <v>46053</v>
      </c>
      <c r="E9" s="49" t="s">
        <v>822</v>
      </c>
      <c r="F9" s="50">
        <v>4012.5</v>
      </c>
    </row>
    <row r="10" spans="1:6" s="57" customFormat="1" ht="27.75" customHeight="1">
      <c r="A10" s="39">
        <v>3</v>
      </c>
      <c r="B10" s="40" t="s">
        <v>24</v>
      </c>
      <c r="C10" s="41" t="s">
        <v>33</v>
      </c>
      <c r="D10" s="48">
        <v>46026</v>
      </c>
      <c r="E10" s="49" t="s">
        <v>821</v>
      </c>
      <c r="F10" s="50">
        <v>4012.5</v>
      </c>
    </row>
    <row r="11" spans="1:6" s="57" customFormat="1" ht="27.75" customHeight="1">
      <c r="A11" s="39">
        <v>4</v>
      </c>
      <c r="B11" s="40" t="s">
        <v>34</v>
      </c>
      <c r="C11" s="41" t="s">
        <v>35</v>
      </c>
      <c r="D11" s="48">
        <v>46053</v>
      </c>
      <c r="E11" s="49" t="s">
        <v>822</v>
      </c>
      <c r="F11" s="50">
        <v>4012.5</v>
      </c>
    </row>
    <row r="12" spans="1:6" s="57" customFormat="1" ht="27.75" customHeight="1">
      <c r="A12" s="39">
        <v>5</v>
      </c>
      <c r="B12" s="40" t="s">
        <v>36</v>
      </c>
      <c r="C12" s="41" t="s">
        <v>37</v>
      </c>
      <c r="D12" s="48">
        <v>46027</v>
      </c>
      <c r="E12" s="49" t="s">
        <v>824</v>
      </c>
      <c r="F12" s="50">
        <v>4012.5</v>
      </c>
    </row>
    <row r="13" spans="1:6" s="57" customFormat="1" ht="27.75" customHeight="1">
      <c r="A13" s="39">
        <v>6</v>
      </c>
      <c r="B13" s="40" t="s">
        <v>34</v>
      </c>
      <c r="C13" s="41" t="s">
        <v>39</v>
      </c>
      <c r="D13" s="48">
        <v>46053</v>
      </c>
      <c r="E13" s="49" t="s">
        <v>822</v>
      </c>
      <c r="F13" s="50">
        <v>4012.5</v>
      </c>
    </row>
    <row r="14" spans="1:6" s="57" customFormat="1" ht="27.75" customHeight="1">
      <c r="A14" s="39">
        <v>7</v>
      </c>
      <c r="B14" s="40" t="s">
        <v>40</v>
      </c>
      <c r="C14" s="41" t="s">
        <v>41</v>
      </c>
      <c r="D14" s="48">
        <v>46027</v>
      </c>
      <c r="E14" s="49" t="s">
        <v>825</v>
      </c>
      <c r="F14" s="50">
        <v>4012.5</v>
      </c>
    </row>
    <row r="15" spans="1:6" s="57" customFormat="1" ht="27.75" customHeight="1">
      <c r="A15" s="39">
        <v>8</v>
      </c>
      <c r="B15" s="40" t="s">
        <v>43</v>
      </c>
      <c r="C15" s="41" t="s">
        <v>44</v>
      </c>
      <c r="D15" s="48" t="s">
        <v>826</v>
      </c>
      <c r="E15" s="49" t="s">
        <v>827</v>
      </c>
      <c r="F15" s="50">
        <v>8025</v>
      </c>
    </row>
    <row r="16" spans="1:6" s="57" customFormat="1" ht="27.75" customHeight="1">
      <c r="A16" s="39">
        <v>9</v>
      </c>
      <c r="B16" s="40" t="s">
        <v>47</v>
      </c>
      <c r="C16" s="41" t="s">
        <v>48</v>
      </c>
      <c r="D16" s="48">
        <v>46025</v>
      </c>
      <c r="E16" s="49" t="s">
        <v>828</v>
      </c>
      <c r="F16" s="50">
        <v>4012.5</v>
      </c>
    </row>
    <row r="17" spans="1:9" s="57" customFormat="1" ht="27.75" customHeight="1">
      <c r="A17" s="39">
        <v>10</v>
      </c>
      <c r="B17" s="40" t="s">
        <v>50</v>
      </c>
      <c r="C17" s="41" t="s">
        <v>51</v>
      </c>
      <c r="D17" s="48">
        <v>46024</v>
      </c>
      <c r="E17" s="49" t="s">
        <v>829</v>
      </c>
      <c r="F17" s="50">
        <v>4012.5</v>
      </c>
    </row>
    <row r="18" spans="1:9" s="57" customFormat="1" ht="27.75" customHeight="1">
      <c r="A18" s="39">
        <v>11</v>
      </c>
      <c r="B18" s="40" t="s">
        <v>57</v>
      </c>
      <c r="C18" s="41" t="s">
        <v>58</v>
      </c>
      <c r="D18" s="48">
        <v>46024</v>
      </c>
      <c r="E18" s="49" t="s">
        <v>830</v>
      </c>
      <c r="F18" s="50">
        <v>4012.5</v>
      </c>
    </row>
    <row r="19" spans="1:9" s="57" customFormat="1" ht="27.75" customHeight="1">
      <c r="A19" s="39">
        <v>12</v>
      </c>
      <c r="B19" s="40" t="s">
        <v>60</v>
      </c>
      <c r="C19" s="41" t="s">
        <v>61</v>
      </c>
      <c r="D19" s="48">
        <v>46024</v>
      </c>
      <c r="E19" s="49" t="s">
        <v>831</v>
      </c>
      <c r="F19" s="50">
        <v>4012.5</v>
      </c>
    </row>
    <row r="20" spans="1:9" s="57" customFormat="1" ht="27.75" customHeight="1">
      <c r="A20" s="39">
        <v>13</v>
      </c>
      <c r="B20" s="40" t="s">
        <v>63</v>
      </c>
      <c r="C20" s="41" t="s">
        <v>64</v>
      </c>
      <c r="D20" s="48">
        <v>46027</v>
      </c>
      <c r="E20" s="49" t="s">
        <v>832</v>
      </c>
      <c r="F20" s="50">
        <v>4012.5</v>
      </c>
    </row>
    <row r="21" spans="1:9" s="57" customFormat="1" ht="27.75" customHeight="1">
      <c r="A21" s="39">
        <v>14</v>
      </c>
      <c r="B21" s="40" t="s">
        <v>66</v>
      </c>
      <c r="C21" s="41" t="s">
        <v>67</v>
      </c>
      <c r="D21" s="62">
        <v>46052</v>
      </c>
      <c r="E21" s="49" t="s">
        <v>833</v>
      </c>
      <c r="F21" s="50">
        <v>12037.5</v>
      </c>
    </row>
    <row r="22" spans="1:9" s="57" customFormat="1" ht="27.75" customHeight="1">
      <c r="A22" s="39">
        <v>15</v>
      </c>
      <c r="B22" s="40" t="s">
        <v>66</v>
      </c>
      <c r="C22" s="41" t="s">
        <v>69</v>
      </c>
      <c r="D22" s="62">
        <v>46052</v>
      </c>
      <c r="E22" s="49" t="s">
        <v>834</v>
      </c>
      <c r="F22" s="50">
        <v>4012.5</v>
      </c>
      <c r="H22" s="57">
        <f>SUM(F8:F22)</f>
        <v>72225</v>
      </c>
    </row>
    <row r="23" spans="1:9" s="91" customFormat="1" ht="27.75" customHeight="1">
      <c r="A23" s="39">
        <v>1</v>
      </c>
      <c r="B23" s="80" t="s">
        <v>71</v>
      </c>
      <c r="C23" s="81" t="s">
        <v>72</v>
      </c>
      <c r="D23" s="48">
        <v>46044</v>
      </c>
      <c r="E23" s="49" t="s">
        <v>835</v>
      </c>
      <c r="F23" s="86">
        <v>13375</v>
      </c>
    </row>
    <row r="24" spans="1:9" s="57" customFormat="1" ht="27.75" customHeight="1">
      <c r="A24" s="39">
        <v>2</v>
      </c>
      <c r="B24" s="92" t="s">
        <v>76</v>
      </c>
      <c r="C24" s="41" t="s">
        <v>72</v>
      </c>
      <c r="D24" s="62">
        <v>46029</v>
      </c>
      <c r="E24" s="49" t="s">
        <v>837</v>
      </c>
      <c r="F24" s="93">
        <v>1605</v>
      </c>
      <c r="H24" s="57">
        <f>SUM(F23:F24)</f>
        <v>14980</v>
      </c>
    </row>
    <row r="25" spans="1:9" ht="27.75" customHeight="1">
      <c r="A25" s="39">
        <v>1</v>
      </c>
      <c r="B25" s="40" t="s">
        <v>78</v>
      </c>
      <c r="C25" s="81" t="s">
        <v>72</v>
      </c>
      <c r="D25" s="113">
        <v>46052</v>
      </c>
      <c r="E25" s="114" t="s">
        <v>838</v>
      </c>
      <c r="F25" s="115">
        <v>6890.8</v>
      </c>
    </row>
    <row r="26" spans="1:9" ht="27.75" customHeight="1">
      <c r="A26" s="39">
        <v>2</v>
      </c>
      <c r="B26" s="40" t="s">
        <v>82</v>
      </c>
      <c r="C26" s="41" t="s">
        <v>72</v>
      </c>
      <c r="D26" s="113">
        <v>46029</v>
      </c>
      <c r="E26" s="114" t="s">
        <v>839</v>
      </c>
      <c r="F26" s="115">
        <v>2456.7199999999998</v>
      </c>
    </row>
    <row r="27" spans="1:9" ht="27.75" customHeight="1">
      <c r="A27" s="39">
        <v>3</v>
      </c>
      <c r="B27" s="40" t="s">
        <v>85</v>
      </c>
      <c r="C27" s="41" t="s">
        <v>72</v>
      </c>
      <c r="D27" s="117">
        <v>46029</v>
      </c>
      <c r="E27" s="118" t="s">
        <v>840</v>
      </c>
      <c r="F27" s="119">
        <v>10000</v>
      </c>
      <c r="H27" s="512">
        <f>SUM(F25:F27)</f>
        <v>19347.52</v>
      </c>
    </row>
    <row r="28" spans="1:9" s="57" customFormat="1" ht="27.75" customHeight="1" thickBot="1">
      <c r="A28" s="96"/>
      <c r="B28" s="97" t="s">
        <v>22</v>
      </c>
      <c r="C28" s="98"/>
      <c r="D28" s="103"/>
      <c r="E28" s="104"/>
      <c r="F28" s="105">
        <f>SUM(F8:F27)</f>
        <v>106552.52</v>
      </c>
      <c r="I28" s="565">
        <f>SUM(H22:H27)</f>
        <v>106552.52</v>
      </c>
    </row>
    <row r="29" spans="1:9" ht="27.75" hidden="1" customHeight="1" thickBot="1">
      <c r="A29" s="39">
        <v>1</v>
      </c>
      <c r="B29" s="40" t="s">
        <v>88</v>
      </c>
      <c r="C29" s="41" t="s">
        <v>72</v>
      </c>
      <c r="D29" s="113"/>
      <c r="E29" s="118"/>
      <c r="F29" s="121">
        <v>0</v>
      </c>
    </row>
    <row r="30" spans="1:9" ht="27.75" hidden="1" customHeight="1" thickTop="1">
      <c r="A30" s="39">
        <v>2</v>
      </c>
      <c r="B30" s="40" t="s">
        <v>89</v>
      </c>
      <c r="C30" s="41" t="s">
        <v>72</v>
      </c>
      <c r="D30" s="113"/>
      <c r="E30" s="118"/>
      <c r="F30" s="121">
        <v>0</v>
      </c>
    </row>
    <row r="31" spans="1:9" ht="27.75" hidden="1" customHeight="1" thickTop="1">
      <c r="A31" s="39">
        <v>3</v>
      </c>
      <c r="B31" s="40" t="s">
        <v>90</v>
      </c>
      <c r="C31" s="41" t="s">
        <v>72</v>
      </c>
      <c r="D31" s="113"/>
      <c r="E31" s="118"/>
      <c r="F31" s="121"/>
    </row>
    <row r="32" spans="1:9" ht="27.75" hidden="1" customHeight="1" thickTop="1">
      <c r="A32" s="39">
        <v>4</v>
      </c>
      <c r="B32" s="40" t="s">
        <v>91</v>
      </c>
      <c r="C32" s="41" t="s">
        <v>72</v>
      </c>
      <c r="D32" s="113"/>
      <c r="E32" s="118"/>
      <c r="F32" s="121">
        <v>0</v>
      </c>
    </row>
    <row r="33" spans="1:6" ht="27.75" hidden="1" customHeight="1" thickTop="1">
      <c r="A33" s="39">
        <v>5</v>
      </c>
      <c r="B33" s="40" t="s">
        <v>92</v>
      </c>
      <c r="C33" s="41" t="s">
        <v>72</v>
      </c>
      <c r="D33" s="117"/>
      <c r="E33" s="118"/>
      <c r="F33" s="119">
        <v>0</v>
      </c>
    </row>
    <row r="34" spans="1:6" ht="27.75" hidden="1" customHeight="1" thickTop="1">
      <c r="A34" s="39">
        <v>6</v>
      </c>
      <c r="B34" s="123" t="s">
        <v>93</v>
      </c>
      <c r="C34" s="41" t="s">
        <v>72</v>
      </c>
      <c r="D34" s="127"/>
      <c r="E34" s="128"/>
      <c r="F34" s="129">
        <v>0</v>
      </c>
    </row>
    <row r="35" spans="1:6" ht="27.75" hidden="1" customHeight="1" thickTop="1">
      <c r="A35" s="39">
        <v>7</v>
      </c>
      <c r="B35" s="40" t="s">
        <v>94</v>
      </c>
      <c r="C35" s="41" t="s">
        <v>72</v>
      </c>
      <c r="D35" s="117"/>
      <c r="E35" s="118"/>
      <c r="F35" s="119">
        <v>0</v>
      </c>
    </row>
    <row r="36" spans="1:6" ht="27.75" hidden="1" customHeight="1" thickTop="1">
      <c r="A36" s="39">
        <v>8</v>
      </c>
      <c r="B36" s="40" t="s">
        <v>95</v>
      </c>
      <c r="C36" s="41" t="s">
        <v>72</v>
      </c>
      <c r="D36" s="117"/>
      <c r="E36" s="118"/>
      <c r="F36" s="119">
        <v>0</v>
      </c>
    </row>
    <row r="37" spans="1:6" ht="27.75" hidden="1" customHeight="1" thickTop="1">
      <c r="A37" s="39">
        <v>9</v>
      </c>
      <c r="B37" s="40" t="s">
        <v>96</v>
      </c>
      <c r="C37" s="41" t="s">
        <v>72</v>
      </c>
      <c r="D37" s="117"/>
      <c r="E37" s="118"/>
      <c r="F37" s="119">
        <v>0</v>
      </c>
    </row>
    <row r="38" spans="1:6" ht="27.75" hidden="1" customHeight="1" thickTop="1">
      <c r="A38" s="39">
        <v>10</v>
      </c>
      <c r="B38" s="40" t="s">
        <v>97</v>
      </c>
      <c r="C38" s="41" t="s">
        <v>72</v>
      </c>
      <c r="D38" s="117"/>
      <c r="E38" s="118"/>
      <c r="F38" s="119">
        <v>0</v>
      </c>
    </row>
    <row r="39" spans="1:6" ht="27.75" hidden="1" customHeight="1" thickTop="1">
      <c r="A39" s="39">
        <v>11</v>
      </c>
      <c r="B39" s="40" t="s">
        <v>98</v>
      </c>
      <c r="C39" s="41" t="s">
        <v>72</v>
      </c>
      <c r="D39" s="117"/>
      <c r="E39" s="118"/>
      <c r="F39" s="119">
        <v>0</v>
      </c>
    </row>
    <row r="40" spans="1:6" ht="27.75" hidden="1" customHeight="1" thickTop="1">
      <c r="A40" s="39">
        <v>12</v>
      </c>
      <c r="B40" s="40" t="s">
        <v>99</v>
      </c>
      <c r="C40" s="41" t="s">
        <v>72</v>
      </c>
      <c r="D40" s="117"/>
      <c r="E40" s="118"/>
      <c r="F40" s="119">
        <v>0</v>
      </c>
    </row>
    <row r="41" spans="1:6" ht="27.75" hidden="1" customHeight="1" thickTop="1">
      <c r="A41" s="39"/>
      <c r="B41" s="123"/>
      <c r="C41" s="41"/>
      <c r="D41" s="127"/>
      <c r="E41" s="128"/>
      <c r="F41" s="129"/>
    </row>
    <row r="42" spans="1:6" ht="27.75" hidden="1" customHeight="1" thickTop="1">
      <c r="A42" s="22"/>
      <c r="B42" s="131" t="s">
        <v>22</v>
      </c>
      <c r="C42" s="132"/>
      <c r="D42" s="137">
        <v>0</v>
      </c>
      <c r="E42" s="137">
        <v>0</v>
      </c>
      <c r="F42" s="138">
        <v>0</v>
      </c>
    </row>
    <row r="43" spans="1:6" ht="27.75" customHeight="1" thickTop="1">
      <c r="A43" s="22"/>
      <c r="B43" s="23" t="s">
        <v>100</v>
      </c>
      <c r="C43" s="24"/>
      <c r="D43" s="29"/>
      <c r="E43" s="30"/>
      <c r="F43" s="31"/>
    </row>
    <row r="44" spans="1:6" s="57" customFormat="1" ht="27.75" customHeight="1">
      <c r="A44" s="22">
        <v>1</v>
      </c>
      <c r="B44" s="40" t="s">
        <v>101</v>
      </c>
      <c r="C44" s="140" t="s">
        <v>102</v>
      </c>
      <c r="D44" s="113">
        <v>46042</v>
      </c>
      <c r="E44" s="114" t="s">
        <v>841</v>
      </c>
      <c r="F44" s="144">
        <v>160.5</v>
      </c>
    </row>
    <row r="45" spans="1:6" s="57" customFormat="1" ht="27.75" customHeight="1">
      <c r="A45" s="22">
        <v>4</v>
      </c>
      <c r="B45" s="170" t="s">
        <v>109</v>
      </c>
      <c r="C45" s="140" t="s">
        <v>102</v>
      </c>
      <c r="D45" s="117">
        <v>46027</v>
      </c>
      <c r="E45" s="118" t="s">
        <v>843</v>
      </c>
      <c r="F45" s="151">
        <v>321</v>
      </c>
    </row>
    <row r="46" spans="1:6" s="57" customFormat="1" ht="27.75" customHeight="1">
      <c r="A46" s="22">
        <v>5</v>
      </c>
      <c r="B46" s="170" t="s">
        <v>111</v>
      </c>
      <c r="C46" s="140" t="s">
        <v>102</v>
      </c>
      <c r="D46" s="117">
        <v>46046</v>
      </c>
      <c r="E46" s="118" t="s">
        <v>844</v>
      </c>
      <c r="F46" s="151">
        <v>321</v>
      </c>
    </row>
    <row r="47" spans="1:6" s="57" customFormat="1" ht="27.75" customHeight="1">
      <c r="A47" s="22">
        <v>6</v>
      </c>
      <c r="B47" s="170" t="s">
        <v>113</v>
      </c>
      <c r="C47" s="140" t="s">
        <v>102</v>
      </c>
      <c r="D47" s="113">
        <v>46031</v>
      </c>
      <c r="E47" s="114" t="s">
        <v>845</v>
      </c>
      <c r="F47" s="151">
        <v>160.5</v>
      </c>
    </row>
    <row r="48" spans="1:6" s="57" customFormat="1" ht="27.75" customHeight="1">
      <c r="A48" s="22">
        <v>8</v>
      </c>
      <c r="B48" s="170" t="s">
        <v>117</v>
      </c>
      <c r="C48" s="140" t="s">
        <v>102</v>
      </c>
      <c r="D48" s="113">
        <v>46037</v>
      </c>
      <c r="E48" s="114" t="s">
        <v>846</v>
      </c>
      <c r="F48" s="151">
        <v>535</v>
      </c>
    </row>
    <row r="49" spans="1:6" s="57" customFormat="1" ht="27.75" customHeight="1">
      <c r="A49" s="22">
        <v>9</v>
      </c>
      <c r="B49" s="170" t="s">
        <v>119</v>
      </c>
      <c r="C49" s="140" t="s">
        <v>102</v>
      </c>
      <c r="D49" s="113">
        <v>46049</v>
      </c>
      <c r="E49" s="114" t="s">
        <v>847</v>
      </c>
      <c r="F49" s="151">
        <v>321</v>
      </c>
    </row>
    <row r="50" spans="1:6" s="57" customFormat="1" ht="27.75" customHeight="1">
      <c r="A50" s="22">
        <v>10</v>
      </c>
      <c r="B50" s="170" t="s">
        <v>121</v>
      </c>
      <c r="C50" s="140" t="s">
        <v>102</v>
      </c>
      <c r="D50" s="113">
        <v>46049</v>
      </c>
      <c r="E50" s="114" t="s">
        <v>848</v>
      </c>
      <c r="F50" s="151">
        <v>321</v>
      </c>
    </row>
    <row r="51" spans="1:6" s="57" customFormat="1" ht="27.75" customHeight="1">
      <c r="A51" s="22">
        <v>12</v>
      </c>
      <c r="B51" s="40" t="s">
        <v>126</v>
      </c>
      <c r="C51" s="140" t="s">
        <v>102</v>
      </c>
      <c r="D51" s="113">
        <v>46053</v>
      </c>
      <c r="E51" s="114" t="s">
        <v>850</v>
      </c>
      <c r="F51" s="144">
        <v>642</v>
      </c>
    </row>
    <row r="52" spans="1:6" s="57" customFormat="1" ht="27.75" customHeight="1">
      <c r="A52" s="22">
        <v>13</v>
      </c>
      <c r="B52" s="40" t="s">
        <v>128</v>
      </c>
      <c r="C52" s="140" t="s">
        <v>102</v>
      </c>
      <c r="D52" s="113">
        <v>46050</v>
      </c>
      <c r="E52" s="114" t="s">
        <v>851</v>
      </c>
      <c r="F52" s="144">
        <v>642</v>
      </c>
    </row>
    <row r="53" spans="1:6" s="57" customFormat="1" ht="27.75" customHeight="1">
      <c r="A53" s="22">
        <v>14</v>
      </c>
      <c r="B53" s="40" t="s">
        <v>130</v>
      </c>
      <c r="C53" s="140" t="s">
        <v>102</v>
      </c>
      <c r="D53" s="175">
        <v>46027</v>
      </c>
      <c r="E53" s="176" t="s">
        <v>852</v>
      </c>
      <c r="F53" s="177">
        <v>160.5</v>
      </c>
    </row>
    <row r="54" spans="1:6" s="57" customFormat="1" ht="27.75" customHeight="1">
      <c r="A54" s="22">
        <v>15</v>
      </c>
      <c r="B54" s="170" t="s">
        <v>132</v>
      </c>
      <c r="C54" s="140" t="s">
        <v>102</v>
      </c>
      <c r="D54" s="178">
        <v>46034</v>
      </c>
      <c r="E54" s="179" t="s">
        <v>853</v>
      </c>
      <c r="F54" s="180">
        <v>321</v>
      </c>
    </row>
    <row r="55" spans="1:6" s="57" customFormat="1" ht="27.75" customHeight="1">
      <c r="A55" s="22">
        <v>16</v>
      </c>
      <c r="B55" s="40" t="s">
        <v>134</v>
      </c>
      <c r="C55" s="140" t="s">
        <v>102</v>
      </c>
      <c r="D55" s="175">
        <v>46046</v>
      </c>
      <c r="E55" s="176" t="s">
        <v>854</v>
      </c>
      <c r="F55" s="177">
        <v>160.5</v>
      </c>
    </row>
    <row r="56" spans="1:6" s="57" customFormat="1" ht="27.75" customHeight="1">
      <c r="A56" s="22">
        <v>17</v>
      </c>
      <c r="B56" s="170" t="s">
        <v>136</v>
      </c>
      <c r="C56" s="140" t="s">
        <v>102</v>
      </c>
      <c r="D56" s="113">
        <v>46049</v>
      </c>
      <c r="E56" s="114" t="s">
        <v>855</v>
      </c>
      <c r="F56" s="144">
        <v>321</v>
      </c>
    </row>
    <row r="57" spans="1:6" s="57" customFormat="1" ht="27.75" customHeight="1">
      <c r="A57" s="22">
        <v>18</v>
      </c>
      <c r="B57" s="181" t="s">
        <v>138</v>
      </c>
      <c r="C57" s="182" t="s">
        <v>139</v>
      </c>
      <c r="D57" s="183">
        <v>46051</v>
      </c>
      <c r="E57" s="184" t="s">
        <v>856</v>
      </c>
      <c r="F57" s="185">
        <v>1926</v>
      </c>
    </row>
    <row r="58" spans="1:6" s="57" customFormat="1" ht="27.75" customHeight="1">
      <c r="A58" s="22">
        <v>19</v>
      </c>
      <c r="B58" s="181" t="s">
        <v>142</v>
      </c>
      <c r="C58" s="182" t="s">
        <v>143</v>
      </c>
      <c r="D58" s="183">
        <v>46052</v>
      </c>
      <c r="E58" s="184" t="s">
        <v>858</v>
      </c>
      <c r="F58" s="185">
        <v>160.5</v>
      </c>
    </row>
    <row r="59" spans="1:6" s="57" customFormat="1" ht="27.75" customHeight="1">
      <c r="A59" s="22">
        <v>20</v>
      </c>
      <c r="B59" s="40" t="s">
        <v>145</v>
      </c>
      <c r="C59" s="140" t="s">
        <v>102</v>
      </c>
      <c r="D59" s="175">
        <v>46044</v>
      </c>
      <c r="E59" s="176" t="s">
        <v>859</v>
      </c>
      <c r="F59" s="177">
        <v>321</v>
      </c>
    </row>
    <row r="60" spans="1:6" s="57" customFormat="1" ht="27.75" customHeight="1">
      <c r="A60" s="22">
        <v>21</v>
      </c>
      <c r="B60" s="40" t="s">
        <v>147</v>
      </c>
      <c r="C60" s="140" t="s">
        <v>102</v>
      </c>
      <c r="D60" s="175">
        <v>46028</v>
      </c>
      <c r="E60" s="176" t="s">
        <v>860</v>
      </c>
      <c r="F60" s="177">
        <v>160.5</v>
      </c>
    </row>
    <row r="61" spans="1:6" s="57" customFormat="1" ht="27.75" customHeight="1">
      <c r="A61" s="22">
        <v>22</v>
      </c>
      <c r="B61" s="80" t="s">
        <v>149</v>
      </c>
      <c r="C61" s="140" t="s">
        <v>102</v>
      </c>
      <c r="D61" s="175">
        <v>46044</v>
      </c>
      <c r="E61" s="176" t="s">
        <v>861</v>
      </c>
      <c r="F61" s="177">
        <v>1070</v>
      </c>
    </row>
    <row r="62" spans="1:6" s="57" customFormat="1" ht="27.75" customHeight="1">
      <c r="A62" s="22">
        <v>23</v>
      </c>
      <c r="B62" s="170" t="s">
        <v>151</v>
      </c>
      <c r="C62" s="140" t="s">
        <v>102</v>
      </c>
      <c r="D62" s="117">
        <v>46034</v>
      </c>
      <c r="E62" s="118" t="s">
        <v>862</v>
      </c>
      <c r="F62" s="151">
        <v>160.5</v>
      </c>
    </row>
    <row r="63" spans="1:6" s="57" customFormat="1" ht="27.75" customHeight="1">
      <c r="A63" s="22">
        <v>24</v>
      </c>
      <c r="B63" s="170" t="s">
        <v>153</v>
      </c>
      <c r="C63" s="140" t="s">
        <v>102</v>
      </c>
      <c r="D63" s="175">
        <v>46034</v>
      </c>
      <c r="E63" s="176" t="s">
        <v>863</v>
      </c>
      <c r="F63" s="177">
        <v>1926</v>
      </c>
    </row>
    <row r="64" spans="1:6" s="57" customFormat="1" ht="27.75" customHeight="1">
      <c r="A64" s="22">
        <v>25</v>
      </c>
      <c r="B64" s="170" t="s">
        <v>154</v>
      </c>
      <c r="C64" s="140" t="s">
        <v>102</v>
      </c>
      <c r="D64" s="175">
        <v>46050</v>
      </c>
      <c r="E64" s="176" t="s">
        <v>864</v>
      </c>
      <c r="F64" s="177">
        <v>321</v>
      </c>
    </row>
    <row r="65" spans="1:9" s="57" customFormat="1" ht="27.75" customHeight="1">
      <c r="A65" s="22">
        <v>26</v>
      </c>
      <c r="B65" s="191" t="s">
        <v>156</v>
      </c>
      <c r="C65" s="140" t="s">
        <v>102</v>
      </c>
      <c r="D65" s="175">
        <v>46026</v>
      </c>
      <c r="E65" s="176" t="s">
        <v>865</v>
      </c>
      <c r="F65" s="177">
        <v>160.5</v>
      </c>
    </row>
    <row r="66" spans="1:9" s="57" customFormat="1" ht="27.75" customHeight="1">
      <c r="A66" s="22">
        <v>28</v>
      </c>
      <c r="B66" s="191" t="s">
        <v>161</v>
      </c>
      <c r="C66" s="140" t="s">
        <v>102</v>
      </c>
      <c r="D66" s="117">
        <v>46050</v>
      </c>
      <c r="E66" s="118" t="s">
        <v>867</v>
      </c>
      <c r="F66" s="151">
        <v>321</v>
      </c>
    </row>
    <row r="67" spans="1:9" s="57" customFormat="1" ht="27.75" customHeight="1">
      <c r="A67" s="22">
        <v>29</v>
      </c>
      <c r="B67" s="191" t="s">
        <v>163</v>
      </c>
      <c r="C67" s="140" t="s">
        <v>102</v>
      </c>
      <c r="D67" s="117">
        <v>46049</v>
      </c>
      <c r="E67" s="118" t="s">
        <v>868</v>
      </c>
      <c r="F67" s="151">
        <v>160.5</v>
      </c>
    </row>
    <row r="68" spans="1:9" s="57" customFormat="1" ht="27.75" customHeight="1">
      <c r="A68" s="22">
        <v>30</v>
      </c>
      <c r="B68" s="170" t="s">
        <v>165</v>
      </c>
      <c r="C68" s="140" t="s">
        <v>102</v>
      </c>
      <c r="D68" s="175">
        <v>46029</v>
      </c>
      <c r="E68" s="176" t="s">
        <v>869</v>
      </c>
      <c r="F68" s="177">
        <v>1070</v>
      </c>
    </row>
    <row r="69" spans="1:9" s="57" customFormat="1" ht="27.75" customHeight="1">
      <c r="A69" s="22">
        <v>31</v>
      </c>
      <c r="B69" s="191" t="s">
        <v>167</v>
      </c>
      <c r="C69" s="140" t="s">
        <v>102</v>
      </c>
      <c r="D69" s="117">
        <v>46051</v>
      </c>
      <c r="E69" s="118" t="s">
        <v>870</v>
      </c>
      <c r="F69" s="151">
        <v>535</v>
      </c>
    </row>
    <row r="70" spans="1:9" s="57" customFormat="1" ht="27.75" customHeight="1">
      <c r="A70" s="22">
        <v>32</v>
      </c>
      <c r="B70" s="170" t="s">
        <v>169</v>
      </c>
      <c r="C70" s="140" t="s">
        <v>102</v>
      </c>
      <c r="D70" s="175">
        <v>46050</v>
      </c>
      <c r="E70" s="176" t="s">
        <v>871</v>
      </c>
      <c r="F70" s="177">
        <v>321</v>
      </c>
    </row>
    <row r="71" spans="1:9" s="57" customFormat="1" ht="27.75" customHeight="1">
      <c r="A71" s="22">
        <v>33</v>
      </c>
      <c r="B71" s="191" t="s">
        <v>171</v>
      </c>
      <c r="C71" s="140" t="s">
        <v>102</v>
      </c>
      <c r="D71" s="175">
        <v>46053</v>
      </c>
      <c r="E71" s="176" t="s">
        <v>872</v>
      </c>
      <c r="F71" s="177">
        <v>963</v>
      </c>
    </row>
    <row r="72" spans="1:9" s="57" customFormat="1" ht="27.75" customHeight="1">
      <c r="A72" s="22">
        <v>34</v>
      </c>
      <c r="B72" s="191" t="s">
        <v>173</v>
      </c>
      <c r="C72" s="140" t="s">
        <v>102</v>
      </c>
      <c r="D72" s="175">
        <v>46034</v>
      </c>
      <c r="E72" s="176" t="s">
        <v>873</v>
      </c>
      <c r="F72" s="177">
        <v>321</v>
      </c>
    </row>
    <row r="73" spans="1:9" s="57" customFormat="1" ht="27.75" customHeight="1">
      <c r="A73" s="22">
        <v>35</v>
      </c>
      <c r="B73" s="191" t="s">
        <v>175</v>
      </c>
      <c r="C73" s="140" t="s">
        <v>102</v>
      </c>
      <c r="D73" s="175">
        <v>46025</v>
      </c>
      <c r="E73" s="176" t="s">
        <v>874</v>
      </c>
      <c r="F73" s="177">
        <v>321</v>
      </c>
    </row>
    <row r="74" spans="1:9" s="57" customFormat="1" ht="27.75" customHeight="1">
      <c r="A74" s="22">
        <v>36</v>
      </c>
      <c r="B74" s="191" t="s">
        <v>177</v>
      </c>
      <c r="C74" s="140" t="s">
        <v>102</v>
      </c>
      <c r="D74" s="117">
        <v>46050</v>
      </c>
      <c r="E74" s="118" t="s">
        <v>875</v>
      </c>
      <c r="F74" s="151">
        <v>321</v>
      </c>
    </row>
    <row r="75" spans="1:9" ht="27.75" customHeight="1" thickBot="1">
      <c r="A75" s="193"/>
      <c r="B75" s="194" t="s">
        <v>22</v>
      </c>
      <c r="C75" s="195"/>
      <c r="D75" s="199"/>
      <c r="E75" s="199"/>
      <c r="F75" s="196">
        <v>14926.5</v>
      </c>
      <c r="I75" s="566">
        <f>SUM(F44:F74)</f>
        <v>14926.5</v>
      </c>
    </row>
    <row r="76" spans="1:9" ht="27.75" customHeight="1" thickTop="1">
      <c r="A76" s="22"/>
      <c r="B76" s="23" t="s">
        <v>179</v>
      </c>
      <c r="C76" s="24"/>
      <c r="D76" s="29"/>
      <c r="E76" s="30"/>
      <c r="F76" s="31"/>
    </row>
    <row r="77" spans="1:9" ht="27.75" customHeight="1">
      <c r="A77" s="94">
        <v>1</v>
      </c>
      <c r="B77" s="40" t="s">
        <v>180</v>
      </c>
      <c r="C77" s="41" t="s">
        <v>181</v>
      </c>
      <c r="D77" s="48">
        <v>46029</v>
      </c>
      <c r="E77" s="49" t="s">
        <v>876</v>
      </c>
      <c r="F77" s="202">
        <v>1444.5</v>
      </c>
    </row>
    <row r="78" spans="1:9" ht="27.75" customHeight="1">
      <c r="A78" s="94">
        <v>2</v>
      </c>
      <c r="B78" s="40" t="s">
        <v>184</v>
      </c>
      <c r="C78" s="41" t="s">
        <v>181</v>
      </c>
      <c r="D78" s="48">
        <v>46031</v>
      </c>
      <c r="E78" s="49" t="s">
        <v>877</v>
      </c>
      <c r="F78" s="202">
        <v>3370.5</v>
      </c>
    </row>
    <row r="79" spans="1:9" ht="27.75" customHeight="1">
      <c r="A79" s="94">
        <v>3</v>
      </c>
      <c r="B79" s="205" t="s">
        <v>186</v>
      </c>
      <c r="C79" s="206" t="s">
        <v>181</v>
      </c>
      <c r="D79" s="48">
        <v>46051</v>
      </c>
      <c r="E79" s="49" t="s">
        <v>878</v>
      </c>
      <c r="F79" s="202">
        <v>3370.5</v>
      </c>
    </row>
    <row r="80" spans="1:9" ht="27.75" customHeight="1">
      <c r="A80" s="186">
        <v>4</v>
      </c>
      <c r="B80" s="205" t="s">
        <v>188</v>
      </c>
      <c r="C80" s="206" t="s">
        <v>181</v>
      </c>
      <c r="D80" s="48">
        <v>46024</v>
      </c>
      <c r="E80" s="49" t="s">
        <v>879</v>
      </c>
      <c r="F80" s="202">
        <v>2140</v>
      </c>
    </row>
    <row r="81" spans="1:9" s="220" customFormat="1" ht="27.75" customHeight="1">
      <c r="A81" s="186">
        <v>5</v>
      </c>
      <c r="B81" s="208" t="s">
        <v>71</v>
      </c>
      <c r="C81" s="209" t="s">
        <v>181</v>
      </c>
      <c r="D81" s="62">
        <v>46044</v>
      </c>
      <c r="E81" s="215" t="s">
        <v>880</v>
      </c>
      <c r="F81" s="202">
        <v>2675</v>
      </c>
    </row>
    <row r="82" spans="1:9" ht="27.75" customHeight="1" thickBot="1">
      <c r="A82" s="193"/>
      <c r="B82" s="194" t="s">
        <v>22</v>
      </c>
      <c r="C82" s="195"/>
      <c r="D82" s="199"/>
      <c r="E82" s="199"/>
      <c r="F82" s="196">
        <v>13000.5</v>
      </c>
      <c r="I82" s="566">
        <f>SUM(F77:F81)</f>
        <v>13000.5</v>
      </c>
    </row>
    <row r="83" spans="1:9" ht="27.75" customHeight="1" thickTop="1">
      <c r="A83" s="22"/>
      <c r="B83" s="23" t="s">
        <v>191</v>
      </c>
      <c r="C83" s="24"/>
      <c r="D83" s="29"/>
      <c r="E83" s="30"/>
      <c r="F83" s="31"/>
    </row>
    <row r="84" spans="1:9" ht="27.75" customHeight="1">
      <c r="A84" s="94">
        <v>1</v>
      </c>
      <c r="B84" s="40" t="s">
        <v>192</v>
      </c>
      <c r="C84" s="41" t="s">
        <v>193</v>
      </c>
      <c r="D84" s="175">
        <v>46027</v>
      </c>
      <c r="E84" s="176" t="s">
        <v>881</v>
      </c>
      <c r="F84" s="222">
        <v>2140</v>
      </c>
    </row>
    <row r="85" spans="1:9" ht="27.75" customHeight="1" thickBot="1">
      <c r="A85" s="193"/>
      <c r="B85" s="194" t="s">
        <v>22</v>
      </c>
      <c r="C85" s="195"/>
      <c r="D85" s="199"/>
      <c r="E85" s="199"/>
      <c r="F85" s="196">
        <v>2140</v>
      </c>
      <c r="I85" s="567">
        <f>SUM(F84)</f>
        <v>2140</v>
      </c>
    </row>
    <row r="86" spans="1:9" ht="27.75" customHeight="1" thickTop="1">
      <c r="A86" s="22"/>
      <c r="B86" s="23" t="s">
        <v>196</v>
      </c>
      <c r="C86" s="24"/>
      <c r="D86" s="29"/>
      <c r="E86" s="30"/>
      <c r="F86" s="31"/>
    </row>
    <row r="87" spans="1:9" s="226" customFormat="1" ht="27.75" customHeight="1">
      <c r="A87" s="94">
        <v>1</v>
      </c>
      <c r="B87" s="181" t="s">
        <v>198</v>
      </c>
      <c r="C87" s="224" t="s">
        <v>199</v>
      </c>
      <c r="D87" s="113">
        <v>46030</v>
      </c>
      <c r="E87" s="114" t="s">
        <v>882</v>
      </c>
      <c r="F87" s="144">
        <v>26750</v>
      </c>
    </row>
    <row r="88" spans="1:9" s="226" customFormat="1" ht="27.75" customHeight="1">
      <c r="A88" s="94">
        <v>2</v>
      </c>
      <c r="B88" s="181" t="s">
        <v>204</v>
      </c>
      <c r="C88" s="224" t="s">
        <v>205</v>
      </c>
      <c r="D88" s="113">
        <v>46044</v>
      </c>
      <c r="E88" s="114" t="s">
        <v>883</v>
      </c>
      <c r="F88" s="144">
        <v>22470</v>
      </c>
    </row>
    <row r="89" spans="1:9" s="226" customFormat="1" ht="27.75" customHeight="1">
      <c r="A89" s="94">
        <v>3</v>
      </c>
      <c r="B89" s="181" t="s">
        <v>204</v>
      </c>
      <c r="C89" s="224" t="s">
        <v>207</v>
      </c>
      <c r="D89" s="113">
        <v>46044</v>
      </c>
      <c r="E89" s="114" t="s">
        <v>883</v>
      </c>
      <c r="F89" s="144">
        <v>22470</v>
      </c>
    </row>
    <row r="90" spans="1:9" s="226" customFormat="1" ht="27.75" customHeight="1">
      <c r="A90" s="94">
        <v>4</v>
      </c>
      <c r="B90" s="181" t="s">
        <v>210</v>
      </c>
      <c r="C90" s="224" t="s">
        <v>211</v>
      </c>
      <c r="D90" s="113" t="s">
        <v>884</v>
      </c>
      <c r="E90" s="114" t="s">
        <v>885</v>
      </c>
      <c r="F90" s="144">
        <v>44940</v>
      </c>
    </row>
    <row r="91" spans="1:9" s="226" customFormat="1" ht="27.75" customHeight="1">
      <c r="A91" s="94">
        <v>5</v>
      </c>
      <c r="B91" s="181" t="s">
        <v>214</v>
      </c>
      <c r="C91" s="224" t="s">
        <v>215</v>
      </c>
      <c r="D91" s="113">
        <v>46025</v>
      </c>
      <c r="E91" s="114" t="s">
        <v>886</v>
      </c>
      <c r="F91" s="144">
        <v>22470</v>
      </c>
    </row>
    <row r="92" spans="1:9" s="226" customFormat="1" ht="27.75" customHeight="1">
      <c r="A92" s="94">
        <v>6</v>
      </c>
      <c r="B92" s="181" t="s">
        <v>217</v>
      </c>
      <c r="C92" s="224" t="s">
        <v>218</v>
      </c>
      <c r="D92" s="113">
        <v>46039</v>
      </c>
      <c r="E92" s="114" t="s">
        <v>887</v>
      </c>
      <c r="F92" s="144">
        <v>22470</v>
      </c>
    </row>
    <row r="93" spans="1:9" s="226" customFormat="1" ht="27.75" customHeight="1">
      <c r="A93" s="94">
        <v>7</v>
      </c>
      <c r="B93" s="181" t="s">
        <v>217</v>
      </c>
      <c r="C93" s="224" t="s">
        <v>220</v>
      </c>
      <c r="D93" s="113">
        <v>46039</v>
      </c>
      <c r="E93" s="114" t="s">
        <v>887</v>
      </c>
      <c r="F93" s="144">
        <v>22470</v>
      </c>
    </row>
    <row r="94" spans="1:9" s="226" customFormat="1" ht="27.75" customHeight="1">
      <c r="A94" s="94">
        <v>8</v>
      </c>
      <c r="B94" s="181" t="s">
        <v>217</v>
      </c>
      <c r="C94" s="224" t="s">
        <v>221</v>
      </c>
      <c r="D94" s="113">
        <v>46039</v>
      </c>
      <c r="E94" s="114" t="s">
        <v>887</v>
      </c>
      <c r="F94" s="144">
        <v>22470</v>
      </c>
    </row>
    <row r="95" spans="1:9" s="226" customFormat="1" ht="27.75" customHeight="1">
      <c r="A95" s="94">
        <v>9</v>
      </c>
      <c r="B95" s="181" t="s">
        <v>222</v>
      </c>
      <c r="C95" s="227" t="s">
        <v>223</v>
      </c>
      <c r="D95" s="230">
        <v>46026</v>
      </c>
      <c r="E95" s="184" t="s">
        <v>888</v>
      </c>
      <c r="F95" s="231">
        <v>32100</v>
      </c>
      <c r="H95" s="226">
        <f>SUM(F87:F95)</f>
        <v>238610</v>
      </c>
    </row>
    <row r="96" spans="1:9" s="226" customFormat="1" ht="27.75" customHeight="1">
      <c r="A96" s="94">
        <v>10</v>
      </c>
      <c r="B96" s="41" t="s">
        <v>227</v>
      </c>
      <c r="C96" s="224" t="s">
        <v>228</v>
      </c>
      <c r="D96" s="113">
        <v>46052</v>
      </c>
      <c r="E96" s="114" t="s">
        <v>889</v>
      </c>
      <c r="F96" s="253">
        <v>22470</v>
      </c>
    </row>
    <row r="97" spans="1:8" s="226" customFormat="1" ht="27.75" customHeight="1">
      <c r="A97" s="94">
        <v>11</v>
      </c>
      <c r="B97" s="41" t="s">
        <v>227</v>
      </c>
      <c r="C97" s="224" t="s">
        <v>230</v>
      </c>
      <c r="D97" s="113">
        <v>46052</v>
      </c>
      <c r="E97" s="114" t="s">
        <v>889</v>
      </c>
      <c r="F97" s="253">
        <v>22470</v>
      </c>
    </row>
    <row r="98" spans="1:8" s="226" customFormat="1" ht="27.75" customHeight="1">
      <c r="A98" s="94">
        <v>12</v>
      </c>
      <c r="B98" s="41" t="s">
        <v>227</v>
      </c>
      <c r="C98" s="224" t="s">
        <v>231</v>
      </c>
      <c r="D98" s="117">
        <v>46052</v>
      </c>
      <c r="E98" s="118" t="s">
        <v>889</v>
      </c>
      <c r="F98" s="557">
        <v>22470</v>
      </c>
    </row>
    <row r="99" spans="1:8" s="226" customFormat="1" ht="27.75" customHeight="1">
      <c r="A99" s="94">
        <v>13</v>
      </c>
      <c r="B99" s="41" t="s">
        <v>236</v>
      </c>
      <c r="C99" s="224" t="s">
        <v>239</v>
      </c>
      <c r="D99" s="113">
        <v>46051</v>
      </c>
      <c r="E99" s="114" t="s">
        <v>890</v>
      </c>
      <c r="F99" s="257">
        <v>22470</v>
      </c>
    </row>
    <row r="100" spans="1:8" s="226" customFormat="1" ht="27.75" customHeight="1">
      <c r="A100" s="94">
        <v>14</v>
      </c>
      <c r="B100" s="41" t="s">
        <v>92</v>
      </c>
      <c r="C100" s="224" t="s">
        <v>240</v>
      </c>
      <c r="D100" s="113">
        <v>46051</v>
      </c>
      <c r="E100" s="114" t="s">
        <v>891</v>
      </c>
      <c r="F100" s="258">
        <v>22470</v>
      </c>
    </row>
    <row r="101" spans="1:8" s="226" customFormat="1" ht="27.75" customHeight="1">
      <c r="A101" s="94">
        <v>15</v>
      </c>
      <c r="B101" s="41" t="s">
        <v>92</v>
      </c>
      <c r="C101" s="224" t="s">
        <v>242</v>
      </c>
      <c r="D101" s="113">
        <v>46051</v>
      </c>
      <c r="E101" s="114" t="s">
        <v>891</v>
      </c>
      <c r="F101" s="253">
        <v>22470</v>
      </c>
    </row>
    <row r="102" spans="1:8" s="226" customFormat="1" ht="27.75" customHeight="1">
      <c r="A102" s="94">
        <v>16</v>
      </c>
      <c r="B102" s="41" t="s">
        <v>243</v>
      </c>
      <c r="C102" s="224" t="s">
        <v>244</v>
      </c>
      <c r="D102" s="113">
        <v>46052</v>
      </c>
      <c r="E102" s="114" t="s">
        <v>892</v>
      </c>
      <c r="F102" s="253">
        <v>22470</v>
      </c>
    </row>
    <row r="103" spans="1:8" s="226" customFormat="1" ht="27.75" customHeight="1">
      <c r="A103" s="94">
        <v>17</v>
      </c>
      <c r="B103" s="206" t="s">
        <v>90</v>
      </c>
      <c r="C103" s="224" t="s">
        <v>246</v>
      </c>
      <c r="D103" s="259">
        <v>46051</v>
      </c>
      <c r="E103" s="114" t="s">
        <v>893</v>
      </c>
      <c r="F103" s="253">
        <v>22470</v>
      </c>
      <c r="H103" s="226">
        <f>SUM(F96:F103)</f>
        <v>179760</v>
      </c>
    </row>
    <row r="104" spans="1:8" s="226" customFormat="1" ht="27.75" customHeight="1">
      <c r="A104" s="94">
        <v>18</v>
      </c>
      <c r="B104" s="41" t="s">
        <v>249</v>
      </c>
      <c r="C104" s="224" t="s">
        <v>250</v>
      </c>
      <c r="D104" s="113">
        <v>46053</v>
      </c>
      <c r="E104" s="114" t="s">
        <v>894</v>
      </c>
      <c r="F104" s="144">
        <v>6420</v>
      </c>
    </row>
    <row r="105" spans="1:8" s="226" customFormat="1" ht="27.75" customHeight="1">
      <c r="A105" s="94">
        <v>19</v>
      </c>
      <c r="B105" s="41" t="s">
        <v>252</v>
      </c>
      <c r="C105" s="224" t="s">
        <v>253</v>
      </c>
      <c r="D105" s="113">
        <v>46025</v>
      </c>
      <c r="E105" s="114" t="s">
        <v>895</v>
      </c>
      <c r="F105" s="144">
        <v>6420</v>
      </c>
    </row>
    <row r="106" spans="1:8" s="226" customFormat="1" ht="27.75" customHeight="1">
      <c r="A106" s="94">
        <v>20</v>
      </c>
      <c r="B106" s="41" t="s">
        <v>254</v>
      </c>
      <c r="C106" s="224" t="s">
        <v>255</v>
      </c>
      <c r="D106" s="113">
        <v>46027</v>
      </c>
      <c r="E106" s="114" t="s">
        <v>896</v>
      </c>
      <c r="F106" s="144">
        <v>9630</v>
      </c>
    </row>
    <row r="107" spans="1:8" s="226" customFormat="1" ht="27.75" customHeight="1">
      <c r="A107" s="94">
        <v>21</v>
      </c>
      <c r="B107" s="41" t="s">
        <v>201</v>
      </c>
      <c r="C107" s="224" t="s">
        <v>256</v>
      </c>
      <c r="D107" s="113">
        <v>46053</v>
      </c>
      <c r="E107" s="114" t="s">
        <v>897</v>
      </c>
      <c r="F107" s="144">
        <v>9630</v>
      </c>
    </row>
    <row r="108" spans="1:8" s="226" customFormat="1" ht="27.75" customHeight="1">
      <c r="A108" s="94">
        <v>22</v>
      </c>
      <c r="B108" s="41" t="s">
        <v>257</v>
      </c>
      <c r="C108" s="224" t="s">
        <v>258</v>
      </c>
      <c r="D108" s="113">
        <v>46046</v>
      </c>
      <c r="E108" s="114" t="s">
        <v>898</v>
      </c>
      <c r="F108" s="144">
        <v>9630</v>
      </c>
    </row>
    <row r="109" spans="1:8" s="226" customFormat="1" ht="27.75" customHeight="1">
      <c r="A109" s="94">
        <v>23</v>
      </c>
      <c r="B109" s="206" t="s">
        <v>257</v>
      </c>
      <c r="C109" s="224" t="s">
        <v>260</v>
      </c>
      <c r="D109" s="113">
        <v>46046</v>
      </c>
      <c r="E109" s="114" t="s">
        <v>898</v>
      </c>
      <c r="F109" s="144">
        <v>9630</v>
      </c>
    </row>
    <row r="110" spans="1:8" s="226" customFormat="1" ht="27.75" customHeight="1">
      <c r="A110" s="94">
        <v>24</v>
      </c>
      <c r="B110" s="265" t="s">
        <v>261</v>
      </c>
      <c r="C110" s="224" t="s">
        <v>262</v>
      </c>
      <c r="D110" s="113">
        <v>46026</v>
      </c>
      <c r="E110" s="114" t="s">
        <v>899</v>
      </c>
      <c r="F110" s="144">
        <v>6420</v>
      </c>
    </row>
    <row r="111" spans="1:8" s="226" customFormat="1" ht="27.75" customHeight="1">
      <c r="A111" s="94">
        <v>25</v>
      </c>
      <c r="B111" s="266" t="s">
        <v>264</v>
      </c>
      <c r="C111" s="224" t="s">
        <v>199</v>
      </c>
      <c r="D111" s="113" t="s">
        <v>826</v>
      </c>
      <c r="E111" s="114" t="s">
        <v>900</v>
      </c>
      <c r="F111" s="144">
        <v>12840</v>
      </c>
    </row>
    <row r="112" spans="1:8" s="226" customFormat="1" ht="27.75" customHeight="1">
      <c r="A112" s="94">
        <v>26</v>
      </c>
      <c r="B112" s="81" t="s">
        <v>267</v>
      </c>
      <c r="C112" s="224" t="s">
        <v>268</v>
      </c>
      <c r="D112" s="113">
        <v>46028</v>
      </c>
      <c r="E112" s="114" t="s">
        <v>901</v>
      </c>
      <c r="F112" s="144">
        <v>6420</v>
      </c>
    </row>
    <row r="113" spans="1:9" s="226" customFormat="1" ht="27.75" customHeight="1">
      <c r="A113" s="94">
        <v>27</v>
      </c>
      <c r="B113" s="81" t="s">
        <v>156</v>
      </c>
      <c r="C113" s="224" t="s">
        <v>207</v>
      </c>
      <c r="D113" s="113">
        <v>46026</v>
      </c>
      <c r="E113" s="114" t="s">
        <v>902</v>
      </c>
      <c r="F113" s="144">
        <v>6420</v>
      </c>
    </row>
    <row r="114" spans="1:9" s="226" customFormat="1" ht="27.75" customHeight="1">
      <c r="A114" s="94">
        <v>28</v>
      </c>
      <c r="B114" s="41" t="s">
        <v>271</v>
      </c>
      <c r="C114" s="224" t="s">
        <v>208</v>
      </c>
      <c r="D114" s="113">
        <v>46053</v>
      </c>
      <c r="E114" s="268" t="s">
        <v>903</v>
      </c>
      <c r="F114" s="269">
        <v>6420</v>
      </c>
    </row>
    <row r="115" spans="1:9" s="226" customFormat="1" ht="27.75" customHeight="1">
      <c r="A115" s="94">
        <v>29</v>
      </c>
      <c r="B115" s="41" t="s">
        <v>273</v>
      </c>
      <c r="C115" s="224" t="s">
        <v>209</v>
      </c>
      <c r="D115" s="113">
        <v>46027</v>
      </c>
      <c r="E115" s="114" t="s">
        <v>904</v>
      </c>
      <c r="F115" s="144">
        <v>6420</v>
      </c>
    </row>
    <row r="116" spans="1:9" s="226" customFormat="1" ht="27.75" customHeight="1">
      <c r="A116" s="94">
        <v>30</v>
      </c>
      <c r="B116" s="41" t="s">
        <v>275</v>
      </c>
      <c r="C116" s="224" t="s">
        <v>276</v>
      </c>
      <c r="D116" s="113">
        <v>46052</v>
      </c>
      <c r="E116" s="114" t="s">
        <v>905</v>
      </c>
      <c r="F116" s="144">
        <v>6420</v>
      </c>
      <c r="H116" s="226">
        <f>SUM(F104:F116)</f>
        <v>102720</v>
      </c>
    </row>
    <row r="117" spans="1:9" ht="27.75" customHeight="1" thickBot="1">
      <c r="A117" s="22"/>
      <c r="B117" s="194" t="s">
        <v>22</v>
      </c>
      <c r="C117" s="195"/>
      <c r="D117" s="199"/>
      <c r="E117" s="199"/>
      <c r="F117" s="196">
        <f>SUM(F87:F116)</f>
        <v>521090</v>
      </c>
      <c r="I117" s="226">
        <f>SUM(H95:H116)</f>
        <v>521090</v>
      </c>
    </row>
    <row r="118" spans="1:9" ht="27.75" hidden="1" customHeight="1" thickBot="1">
      <c r="A118" s="22"/>
      <c r="B118" s="23" t="s">
        <v>278</v>
      </c>
      <c r="C118" s="24"/>
      <c r="D118" s="29"/>
      <c r="E118" s="30"/>
      <c r="F118" s="31"/>
    </row>
    <row r="119" spans="1:9" ht="27.75" hidden="1" customHeight="1" thickTop="1">
      <c r="A119" s="22">
        <v>1</v>
      </c>
      <c r="B119" s="270" t="s">
        <v>88</v>
      </c>
      <c r="C119" s="271" t="s">
        <v>279</v>
      </c>
      <c r="D119" s="275"/>
      <c r="E119" s="276"/>
      <c r="F119" s="277"/>
    </row>
    <row r="120" spans="1:9" ht="27.75" hidden="1" customHeight="1" thickTop="1">
      <c r="A120" s="22">
        <v>2</v>
      </c>
      <c r="B120" s="280" t="s">
        <v>89</v>
      </c>
      <c r="C120" s="271" t="s">
        <v>279</v>
      </c>
      <c r="D120" s="175"/>
      <c r="E120" s="282"/>
      <c r="F120" s="222"/>
    </row>
    <row r="121" spans="1:9" ht="27.75" hidden="1" customHeight="1" thickTop="1">
      <c r="A121" s="22">
        <v>3</v>
      </c>
      <c r="B121" s="270" t="s">
        <v>280</v>
      </c>
      <c r="C121" s="271" t="s">
        <v>279</v>
      </c>
      <c r="D121" s="175"/>
      <c r="E121" s="282"/>
      <c r="F121" s="222"/>
    </row>
    <row r="122" spans="1:9" ht="27.75" hidden="1" customHeight="1" thickTop="1">
      <c r="A122" s="22">
        <v>4</v>
      </c>
      <c r="B122" s="280" t="s">
        <v>96</v>
      </c>
      <c r="C122" s="271" t="s">
        <v>279</v>
      </c>
      <c r="D122" s="175"/>
      <c r="E122" s="282"/>
      <c r="F122" s="222"/>
    </row>
    <row r="123" spans="1:9" ht="27.75" hidden="1" customHeight="1" thickTop="1">
      <c r="A123" s="22">
        <v>5</v>
      </c>
      <c r="B123" s="280" t="s">
        <v>281</v>
      </c>
      <c r="C123" s="271" t="s">
        <v>279</v>
      </c>
      <c r="D123" s="175"/>
      <c r="E123" s="282"/>
      <c r="F123" s="222"/>
    </row>
    <row r="124" spans="1:9" ht="27.75" hidden="1" customHeight="1" thickTop="1">
      <c r="A124" s="22">
        <v>6</v>
      </c>
      <c r="B124" s="280" t="s">
        <v>282</v>
      </c>
      <c r="C124" s="271" t="s">
        <v>279</v>
      </c>
      <c r="D124" s="175"/>
      <c r="E124" s="282"/>
      <c r="F124" s="222"/>
    </row>
    <row r="125" spans="1:9" ht="27.75" hidden="1" customHeight="1" thickTop="1">
      <c r="A125" s="22">
        <v>7</v>
      </c>
      <c r="B125" s="280" t="s">
        <v>92</v>
      </c>
      <c r="C125" s="271" t="s">
        <v>279</v>
      </c>
      <c r="D125" s="175"/>
      <c r="E125" s="282"/>
      <c r="F125" s="222"/>
    </row>
    <row r="126" spans="1:9" ht="27.75" hidden="1" customHeight="1" thickTop="1">
      <c r="A126" s="22">
        <v>8</v>
      </c>
      <c r="B126" s="280" t="s">
        <v>91</v>
      </c>
      <c r="C126" s="271" t="s">
        <v>279</v>
      </c>
      <c r="D126" s="175"/>
      <c r="E126" s="282"/>
      <c r="F126" s="222"/>
    </row>
    <row r="127" spans="1:9" ht="27.75" hidden="1" customHeight="1" thickTop="1">
      <c r="A127" s="22">
        <v>9</v>
      </c>
      <c r="B127" s="280" t="s">
        <v>236</v>
      </c>
      <c r="C127" s="271" t="s">
        <v>279</v>
      </c>
      <c r="D127" s="175"/>
      <c r="E127" s="282"/>
      <c r="F127" s="222"/>
    </row>
    <row r="128" spans="1:9" ht="27.75" hidden="1" customHeight="1" thickTop="1">
      <c r="A128" s="22">
        <v>10</v>
      </c>
      <c r="B128" s="280" t="s">
        <v>94</v>
      </c>
      <c r="C128" s="280" t="s">
        <v>279</v>
      </c>
      <c r="D128" s="175"/>
      <c r="E128" s="282"/>
      <c r="F128" s="222"/>
    </row>
    <row r="129" spans="1:9" ht="27.75" hidden="1" customHeight="1" thickTop="1">
      <c r="A129" s="22">
        <v>11</v>
      </c>
      <c r="B129" s="270"/>
      <c r="C129" s="285"/>
      <c r="D129" s="275"/>
      <c r="E129" s="276"/>
      <c r="F129" s="277"/>
    </row>
    <row r="130" spans="1:9" ht="27.75" hidden="1" customHeight="1" thickTop="1">
      <c r="A130" s="22"/>
      <c r="B130" s="131" t="s">
        <v>22</v>
      </c>
      <c r="C130" s="132"/>
      <c r="D130" s="287"/>
      <c r="E130" s="137"/>
      <c r="F130" s="138">
        <v>0</v>
      </c>
    </row>
    <row r="131" spans="1:9" ht="27.75" customHeight="1" thickTop="1">
      <c r="A131" s="22"/>
      <c r="B131" s="288" t="s">
        <v>283</v>
      </c>
      <c r="C131" s="289"/>
      <c r="D131" s="291"/>
      <c r="E131" s="292"/>
      <c r="F131" s="222"/>
    </row>
    <row r="132" spans="1:9" ht="27.75" customHeight="1">
      <c r="A132" s="94">
        <v>1</v>
      </c>
      <c r="B132" s="205" t="s">
        <v>192</v>
      </c>
      <c r="C132" s="206" t="s">
        <v>284</v>
      </c>
      <c r="D132" s="183">
        <v>46027</v>
      </c>
      <c r="E132" s="184" t="s">
        <v>906</v>
      </c>
      <c r="F132" s="231">
        <v>66660</v>
      </c>
    </row>
    <row r="133" spans="1:9" ht="27.75" customHeight="1" thickBot="1">
      <c r="A133" s="193"/>
      <c r="B133" s="308" t="s">
        <v>22</v>
      </c>
      <c r="C133" s="309"/>
      <c r="D133" s="314"/>
      <c r="E133" s="314"/>
      <c r="F133" s="310">
        <v>66660</v>
      </c>
      <c r="I133" s="520">
        <f>SUM(F132)</f>
        <v>66660</v>
      </c>
    </row>
    <row r="134" spans="1:9" ht="27.75" customHeight="1" thickTop="1">
      <c r="A134" s="22"/>
      <c r="B134" s="23" t="s">
        <v>292</v>
      </c>
      <c r="C134" s="24"/>
      <c r="D134" s="29"/>
      <c r="E134" s="30"/>
      <c r="F134" s="31"/>
    </row>
    <row r="135" spans="1:9" ht="27.75" customHeight="1">
      <c r="A135" s="316">
        <v>1</v>
      </c>
      <c r="B135" s="280" t="s">
        <v>249</v>
      </c>
      <c r="C135" s="280" t="s">
        <v>250</v>
      </c>
      <c r="D135" s="317">
        <v>46053</v>
      </c>
      <c r="E135" s="318" t="s">
        <v>907</v>
      </c>
      <c r="F135" s="319">
        <v>321</v>
      </c>
    </row>
    <row r="136" spans="1:9" ht="27.75" customHeight="1">
      <c r="A136" s="316">
        <v>2</v>
      </c>
      <c r="B136" s="280" t="s">
        <v>294</v>
      </c>
      <c r="C136" s="280" t="s">
        <v>255</v>
      </c>
      <c r="D136" s="321">
        <v>46027</v>
      </c>
      <c r="E136" s="322" t="s">
        <v>908</v>
      </c>
      <c r="F136" s="323">
        <v>32.1</v>
      </c>
    </row>
    <row r="137" spans="1:9" ht="27.75" customHeight="1">
      <c r="A137" s="316">
        <v>3</v>
      </c>
      <c r="B137" s="270" t="s">
        <v>298</v>
      </c>
      <c r="C137" s="270" t="s">
        <v>199</v>
      </c>
      <c r="D137" s="328" t="s">
        <v>826</v>
      </c>
      <c r="E137" s="329" t="s">
        <v>909</v>
      </c>
      <c r="F137" s="330">
        <v>96.3</v>
      </c>
    </row>
    <row r="138" spans="1:9" ht="27.75" customHeight="1">
      <c r="A138" s="316">
        <v>4</v>
      </c>
      <c r="B138" s="270" t="s">
        <v>156</v>
      </c>
      <c r="C138" s="270" t="s">
        <v>208</v>
      </c>
      <c r="D138" s="328">
        <v>46026</v>
      </c>
      <c r="E138" s="329" t="s">
        <v>910</v>
      </c>
      <c r="F138" s="330">
        <v>107</v>
      </c>
    </row>
    <row r="139" spans="1:9" ht="27.75" customHeight="1">
      <c r="A139" s="316">
        <v>5</v>
      </c>
      <c r="B139" s="270" t="s">
        <v>273</v>
      </c>
      <c r="C139" s="270" t="s">
        <v>211</v>
      </c>
      <c r="D139" s="328">
        <v>46027</v>
      </c>
      <c r="E139" s="329" t="s">
        <v>911</v>
      </c>
      <c r="F139" s="330">
        <v>42.8</v>
      </c>
    </row>
    <row r="140" spans="1:9" ht="27.75" customHeight="1">
      <c r="A140" s="316">
        <v>6</v>
      </c>
      <c r="B140" s="270" t="s">
        <v>92</v>
      </c>
      <c r="C140" s="270" t="s">
        <v>302</v>
      </c>
      <c r="D140" s="331">
        <v>46051</v>
      </c>
      <c r="E140" s="332" t="s">
        <v>912</v>
      </c>
      <c r="F140" s="333">
        <v>214</v>
      </c>
    </row>
    <row r="141" spans="1:9" ht="27.75" customHeight="1" thickBot="1">
      <c r="A141" s="193"/>
      <c r="B141" s="194"/>
      <c r="C141" s="195"/>
      <c r="D141" s="338"/>
      <c r="E141" s="199"/>
      <c r="F141" s="196">
        <v>813.2</v>
      </c>
      <c r="I141" s="512">
        <f>SUM(F135:F140)</f>
        <v>813.2</v>
      </c>
    </row>
    <row r="142" spans="1:9" ht="27.75" customHeight="1" thickTop="1">
      <c r="A142" s="22"/>
      <c r="B142" s="288" t="s">
        <v>304</v>
      </c>
      <c r="C142" s="289"/>
      <c r="D142" s="291"/>
      <c r="E142" s="292"/>
      <c r="F142" s="222"/>
    </row>
    <row r="143" spans="1:9" ht="27.75" customHeight="1">
      <c r="A143" s="186">
        <v>1</v>
      </c>
      <c r="B143" s="205" t="s">
        <v>24</v>
      </c>
      <c r="C143" s="346" t="s">
        <v>25</v>
      </c>
      <c r="D143" s="113">
        <v>46026</v>
      </c>
      <c r="E143" s="114" t="s">
        <v>913</v>
      </c>
      <c r="F143" s="347">
        <v>1410</v>
      </c>
    </row>
    <row r="144" spans="1:9" ht="27.75" customHeight="1">
      <c r="A144" s="186">
        <v>2</v>
      </c>
      <c r="B144" s="205" t="s">
        <v>28</v>
      </c>
      <c r="C144" s="346" t="s">
        <v>311</v>
      </c>
      <c r="D144" s="113">
        <v>46053</v>
      </c>
      <c r="E144" s="114" t="s">
        <v>914</v>
      </c>
      <c r="F144" s="347">
        <v>1410</v>
      </c>
    </row>
    <row r="145" spans="1:6" ht="27.75" customHeight="1">
      <c r="A145" s="186">
        <v>3</v>
      </c>
      <c r="B145" s="205" t="s">
        <v>28</v>
      </c>
      <c r="C145" s="346" t="s">
        <v>315</v>
      </c>
      <c r="D145" s="113">
        <v>46053</v>
      </c>
      <c r="E145" s="114" t="s">
        <v>914</v>
      </c>
      <c r="F145" s="347">
        <v>1410</v>
      </c>
    </row>
    <row r="146" spans="1:6" ht="27.75" customHeight="1">
      <c r="A146" s="186">
        <v>4</v>
      </c>
      <c r="B146" s="205" t="s">
        <v>24</v>
      </c>
      <c r="C146" s="346" t="s">
        <v>316</v>
      </c>
      <c r="D146" s="113">
        <v>46026</v>
      </c>
      <c r="E146" s="114" t="s">
        <v>913</v>
      </c>
      <c r="F146" s="347">
        <v>1410</v>
      </c>
    </row>
    <row r="147" spans="1:6" ht="27.75" customHeight="1">
      <c r="A147" s="186">
        <v>5</v>
      </c>
      <c r="B147" s="205" t="s">
        <v>24</v>
      </c>
      <c r="C147" s="346" t="s">
        <v>318</v>
      </c>
      <c r="D147" s="113">
        <v>46026</v>
      </c>
      <c r="E147" s="114" t="s">
        <v>913</v>
      </c>
      <c r="F147" s="347">
        <v>1410</v>
      </c>
    </row>
    <row r="148" spans="1:6" ht="27.75" customHeight="1">
      <c r="A148" s="186">
        <v>6</v>
      </c>
      <c r="B148" s="205" t="s">
        <v>24</v>
      </c>
      <c r="C148" s="346" t="s">
        <v>319</v>
      </c>
      <c r="D148" s="113">
        <v>46026</v>
      </c>
      <c r="E148" s="114" t="s">
        <v>913</v>
      </c>
      <c r="F148" s="347">
        <v>1410</v>
      </c>
    </row>
    <row r="149" spans="1:6" ht="27.75" customHeight="1">
      <c r="A149" s="186">
        <v>7</v>
      </c>
      <c r="B149" s="205" t="s">
        <v>28</v>
      </c>
      <c r="C149" s="346" t="s">
        <v>320</v>
      </c>
      <c r="D149" s="113">
        <v>46053</v>
      </c>
      <c r="E149" s="114" t="s">
        <v>914</v>
      </c>
      <c r="F149" s="347">
        <v>1410</v>
      </c>
    </row>
    <row r="150" spans="1:6" ht="27.75" customHeight="1">
      <c r="A150" s="186">
        <v>8</v>
      </c>
      <c r="B150" s="205" t="s">
        <v>28</v>
      </c>
      <c r="C150" s="346" t="s">
        <v>321</v>
      </c>
      <c r="D150" s="113">
        <v>46053</v>
      </c>
      <c r="E150" s="114" t="s">
        <v>914</v>
      </c>
      <c r="F150" s="347">
        <v>1410</v>
      </c>
    </row>
    <row r="151" spans="1:6" ht="27.75" customHeight="1">
      <c r="A151" s="186">
        <v>9</v>
      </c>
      <c r="B151" s="205" t="s">
        <v>28</v>
      </c>
      <c r="C151" s="346" t="s">
        <v>322</v>
      </c>
      <c r="D151" s="113">
        <v>46053</v>
      </c>
      <c r="E151" s="114" t="s">
        <v>914</v>
      </c>
      <c r="F151" s="347">
        <v>1410</v>
      </c>
    </row>
    <row r="152" spans="1:6" ht="27.75" customHeight="1">
      <c r="A152" s="186">
        <v>10</v>
      </c>
      <c r="B152" s="205" t="s">
        <v>28</v>
      </c>
      <c r="C152" s="346" t="s">
        <v>323</v>
      </c>
      <c r="D152" s="113">
        <v>46053</v>
      </c>
      <c r="E152" s="114" t="s">
        <v>914</v>
      </c>
      <c r="F152" s="347">
        <v>1410</v>
      </c>
    </row>
    <row r="153" spans="1:6" ht="27.75" customHeight="1">
      <c r="A153" s="186">
        <v>11</v>
      </c>
      <c r="B153" s="205" t="s">
        <v>28</v>
      </c>
      <c r="C153" s="346" t="s">
        <v>324</v>
      </c>
      <c r="D153" s="113">
        <v>46053</v>
      </c>
      <c r="E153" s="114" t="s">
        <v>914</v>
      </c>
      <c r="F153" s="347">
        <v>1410</v>
      </c>
    </row>
    <row r="154" spans="1:6" ht="27.75" customHeight="1">
      <c r="A154" s="186">
        <v>12</v>
      </c>
      <c r="B154" s="205" t="s">
        <v>325</v>
      </c>
      <c r="C154" s="346" t="s">
        <v>326</v>
      </c>
      <c r="D154" s="113">
        <v>46027</v>
      </c>
      <c r="E154" s="114" t="s">
        <v>915</v>
      </c>
      <c r="F154" s="347">
        <v>1410</v>
      </c>
    </row>
    <row r="155" spans="1:6" ht="27.75" customHeight="1">
      <c r="A155" s="186">
        <v>13</v>
      </c>
      <c r="B155" s="205" t="s">
        <v>325</v>
      </c>
      <c r="C155" s="346" t="s">
        <v>330</v>
      </c>
      <c r="D155" s="113">
        <v>46027</v>
      </c>
      <c r="E155" s="114" t="s">
        <v>915</v>
      </c>
      <c r="F155" s="347">
        <v>1410</v>
      </c>
    </row>
    <row r="156" spans="1:6" ht="27.75" customHeight="1">
      <c r="A156" s="186">
        <v>14</v>
      </c>
      <c r="B156" s="205" t="s">
        <v>325</v>
      </c>
      <c r="C156" s="346" t="s">
        <v>331</v>
      </c>
      <c r="D156" s="113">
        <v>46027</v>
      </c>
      <c r="E156" s="114" t="s">
        <v>915</v>
      </c>
      <c r="F156" s="347">
        <v>1410</v>
      </c>
    </row>
    <row r="157" spans="1:6" ht="27.75" customHeight="1">
      <c r="A157" s="186">
        <v>15</v>
      </c>
      <c r="B157" s="205" t="s">
        <v>325</v>
      </c>
      <c r="C157" s="346" t="s">
        <v>332</v>
      </c>
      <c r="D157" s="113">
        <v>46027</v>
      </c>
      <c r="E157" s="114" t="s">
        <v>915</v>
      </c>
      <c r="F157" s="347">
        <v>1410</v>
      </c>
    </row>
    <row r="158" spans="1:6" ht="27.75" customHeight="1">
      <c r="A158" s="186">
        <v>16</v>
      </c>
      <c r="B158" s="205" t="s">
        <v>28</v>
      </c>
      <c r="C158" s="346" t="s">
        <v>333</v>
      </c>
      <c r="D158" s="113">
        <v>46053</v>
      </c>
      <c r="E158" s="114" t="s">
        <v>914</v>
      </c>
      <c r="F158" s="347">
        <v>1410</v>
      </c>
    </row>
    <row r="159" spans="1:6" ht="27.75" customHeight="1">
      <c r="A159" s="186">
        <v>17</v>
      </c>
      <c r="B159" s="205" t="s">
        <v>28</v>
      </c>
      <c r="C159" s="346" t="s">
        <v>334</v>
      </c>
      <c r="D159" s="113">
        <v>46053</v>
      </c>
      <c r="E159" s="114" t="s">
        <v>914</v>
      </c>
      <c r="F159" s="347">
        <v>1410</v>
      </c>
    </row>
    <row r="160" spans="1:6" ht="27.75" customHeight="1">
      <c r="A160" s="186">
        <v>18</v>
      </c>
      <c r="B160" s="205" t="s">
        <v>28</v>
      </c>
      <c r="C160" s="346" t="s">
        <v>335</v>
      </c>
      <c r="D160" s="113">
        <v>46053</v>
      </c>
      <c r="E160" s="114" t="s">
        <v>914</v>
      </c>
      <c r="F160" s="347">
        <v>1410</v>
      </c>
    </row>
    <row r="161" spans="1:6" ht="27.75" customHeight="1">
      <c r="A161" s="186">
        <v>19</v>
      </c>
      <c r="B161" s="205" t="s">
        <v>40</v>
      </c>
      <c r="C161" s="346" t="s">
        <v>336</v>
      </c>
      <c r="D161" s="113">
        <v>46027</v>
      </c>
      <c r="E161" s="114" t="s">
        <v>916</v>
      </c>
      <c r="F161" s="347">
        <v>1220</v>
      </c>
    </row>
    <row r="162" spans="1:6" ht="27.75" customHeight="1">
      <c r="A162" s="186">
        <v>20</v>
      </c>
      <c r="B162" s="205" t="s">
        <v>40</v>
      </c>
      <c r="C162" s="346" t="s">
        <v>338</v>
      </c>
      <c r="D162" s="113">
        <v>46027</v>
      </c>
      <c r="E162" s="114" t="s">
        <v>916</v>
      </c>
      <c r="F162" s="347">
        <v>1220</v>
      </c>
    </row>
    <row r="163" spans="1:6" ht="27.75" customHeight="1">
      <c r="A163" s="186">
        <v>21</v>
      </c>
      <c r="B163" s="205" t="s">
        <v>40</v>
      </c>
      <c r="C163" s="346" t="s">
        <v>339</v>
      </c>
      <c r="D163" s="113">
        <v>46027</v>
      </c>
      <c r="E163" s="114" t="s">
        <v>916</v>
      </c>
      <c r="F163" s="347">
        <v>1220</v>
      </c>
    </row>
    <row r="164" spans="1:6" ht="27.75" customHeight="1">
      <c r="A164" s="186">
        <v>22</v>
      </c>
      <c r="B164" s="40" t="s">
        <v>43</v>
      </c>
      <c r="C164" s="346" t="s">
        <v>340</v>
      </c>
      <c r="D164" s="113" t="s">
        <v>826</v>
      </c>
      <c r="E164" s="114" t="s">
        <v>917</v>
      </c>
      <c r="F164" s="347">
        <v>1410</v>
      </c>
    </row>
    <row r="165" spans="1:6" ht="27.75" customHeight="1">
      <c r="A165" s="186">
        <v>23</v>
      </c>
      <c r="B165" s="40" t="s">
        <v>43</v>
      </c>
      <c r="C165" s="346" t="s">
        <v>344</v>
      </c>
      <c r="D165" s="113" t="s">
        <v>826</v>
      </c>
      <c r="E165" s="114" t="s">
        <v>917</v>
      </c>
      <c r="F165" s="347">
        <v>1410</v>
      </c>
    </row>
    <row r="166" spans="1:6" ht="27.75" customHeight="1">
      <c r="A166" s="186">
        <v>24</v>
      </c>
      <c r="B166" s="40" t="s">
        <v>345</v>
      </c>
      <c r="C166" s="346" t="s">
        <v>346</v>
      </c>
      <c r="D166" s="113">
        <v>46025</v>
      </c>
      <c r="E166" s="114" t="s">
        <v>918</v>
      </c>
      <c r="F166" s="347">
        <v>1410</v>
      </c>
    </row>
    <row r="167" spans="1:6" ht="27.75" customHeight="1">
      <c r="A167" s="186">
        <v>25</v>
      </c>
      <c r="B167" s="40" t="s">
        <v>345</v>
      </c>
      <c r="C167" s="346" t="s">
        <v>348</v>
      </c>
      <c r="D167" s="113">
        <v>46025</v>
      </c>
      <c r="E167" s="114" t="s">
        <v>918</v>
      </c>
      <c r="F167" s="347">
        <v>1410</v>
      </c>
    </row>
    <row r="168" spans="1:6" ht="27.75" customHeight="1">
      <c r="A168" s="186">
        <v>26</v>
      </c>
      <c r="B168" s="40" t="s">
        <v>345</v>
      </c>
      <c r="C168" s="346" t="s">
        <v>349</v>
      </c>
      <c r="D168" s="113">
        <v>46025</v>
      </c>
      <c r="E168" s="114" t="s">
        <v>918</v>
      </c>
      <c r="F168" s="347">
        <v>1410</v>
      </c>
    </row>
    <row r="169" spans="1:6" ht="27.75" customHeight="1">
      <c r="A169" s="186">
        <v>27</v>
      </c>
      <c r="B169" s="40" t="s">
        <v>345</v>
      </c>
      <c r="C169" s="346" t="s">
        <v>350</v>
      </c>
      <c r="D169" s="113">
        <v>46025</v>
      </c>
      <c r="E169" s="114" t="s">
        <v>918</v>
      </c>
      <c r="F169" s="347">
        <v>1410</v>
      </c>
    </row>
    <row r="170" spans="1:6" ht="27.75" customHeight="1">
      <c r="A170" s="186">
        <v>28</v>
      </c>
      <c r="B170" s="40" t="s">
        <v>351</v>
      </c>
      <c r="C170" s="346" t="s">
        <v>352</v>
      </c>
      <c r="D170" s="113">
        <v>46024</v>
      </c>
      <c r="E170" s="114" t="s">
        <v>919</v>
      </c>
      <c r="F170" s="347">
        <v>1410</v>
      </c>
    </row>
    <row r="171" spans="1:6" ht="27.75" customHeight="1">
      <c r="A171" s="186">
        <v>29</v>
      </c>
      <c r="B171" s="40" t="s">
        <v>351</v>
      </c>
      <c r="C171" s="346" t="s">
        <v>354</v>
      </c>
      <c r="D171" s="113">
        <v>46024</v>
      </c>
      <c r="E171" s="114" t="s">
        <v>919</v>
      </c>
      <c r="F171" s="347">
        <v>1410</v>
      </c>
    </row>
    <row r="172" spans="1:6" ht="27.75" customHeight="1">
      <c r="A172" s="186">
        <v>30</v>
      </c>
      <c r="B172" s="40" t="s">
        <v>351</v>
      </c>
      <c r="C172" s="346" t="s">
        <v>355</v>
      </c>
      <c r="D172" s="113">
        <v>46024</v>
      </c>
      <c r="E172" s="114" t="s">
        <v>919</v>
      </c>
      <c r="F172" s="347">
        <v>1410</v>
      </c>
    </row>
    <row r="173" spans="1:6" ht="27.75" customHeight="1">
      <c r="A173" s="186">
        <v>31</v>
      </c>
      <c r="B173" s="40" t="s">
        <v>362</v>
      </c>
      <c r="C173" s="346" t="s">
        <v>363</v>
      </c>
      <c r="D173" s="113">
        <v>46024</v>
      </c>
      <c r="E173" s="114" t="s">
        <v>920</v>
      </c>
      <c r="F173" s="347">
        <v>1410</v>
      </c>
    </row>
    <row r="174" spans="1:6" ht="27.75" customHeight="1">
      <c r="A174" s="186">
        <v>32</v>
      </c>
      <c r="B174" s="40" t="s">
        <v>362</v>
      </c>
      <c r="C174" s="346" t="s">
        <v>367</v>
      </c>
      <c r="D174" s="113">
        <v>46024</v>
      </c>
      <c r="E174" s="114" t="s">
        <v>920</v>
      </c>
      <c r="F174" s="347">
        <v>1410</v>
      </c>
    </row>
    <row r="175" spans="1:6" ht="27.75" customHeight="1">
      <c r="A175" s="186">
        <v>33</v>
      </c>
      <c r="B175" s="40" t="s">
        <v>362</v>
      </c>
      <c r="C175" s="346" t="s">
        <v>368</v>
      </c>
      <c r="D175" s="113">
        <v>46024</v>
      </c>
      <c r="E175" s="114" t="s">
        <v>920</v>
      </c>
      <c r="F175" s="347">
        <v>1410</v>
      </c>
    </row>
    <row r="176" spans="1:6" ht="27.75" customHeight="1">
      <c r="A176" s="186">
        <v>34</v>
      </c>
      <c r="B176" s="40" t="s">
        <v>362</v>
      </c>
      <c r="C176" s="346" t="s">
        <v>369</v>
      </c>
      <c r="D176" s="113">
        <v>46024</v>
      </c>
      <c r="E176" s="114" t="s">
        <v>920</v>
      </c>
      <c r="F176" s="347">
        <v>1410</v>
      </c>
    </row>
    <row r="177" spans="1:9" ht="27.75" customHeight="1">
      <c r="A177" s="186">
        <v>35</v>
      </c>
      <c r="B177" s="40" t="s">
        <v>362</v>
      </c>
      <c r="C177" s="346" t="s">
        <v>370</v>
      </c>
      <c r="D177" s="113">
        <v>46024</v>
      </c>
      <c r="E177" s="114" t="s">
        <v>920</v>
      </c>
      <c r="F177" s="347">
        <v>1410</v>
      </c>
    </row>
    <row r="178" spans="1:9" ht="27.75" customHeight="1">
      <c r="A178" s="186">
        <v>36</v>
      </c>
      <c r="B178" s="40" t="s">
        <v>362</v>
      </c>
      <c r="C178" s="346" t="s">
        <v>371</v>
      </c>
      <c r="D178" s="113">
        <v>46024</v>
      </c>
      <c r="E178" s="114" t="s">
        <v>920</v>
      </c>
      <c r="F178" s="347">
        <v>1410</v>
      </c>
    </row>
    <row r="179" spans="1:9" ht="27.75" customHeight="1">
      <c r="A179" s="186">
        <v>37</v>
      </c>
      <c r="B179" s="40" t="s">
        <v>372</v>
      </c>
      <c r="C179" s="346" t="s">
        <v>373</v>
      </c>
      <c r="D179" s="113">
        <v>46024</v>
      </c>
      <c r="E179" s="114" t="s">
        <v>921</v>
      </c>
      <c r="F179" s="347">
        <v>1410</v>
      </c>
    </row>
    <row r="180" spans="1:9" ht="27.75" customHeight="1">
      <c r="A180" s="186">
        <v>38</v>
      </c>
      <c r="B180" s="40" t="s">
        <v>372</v>
      </c>
      <c r="C180" s="346" t="s">
        <v>377</v>
      </c>
      <c r="D180" s="113">
        <v>46024</v>
      </c>
      <c r="E180" s="114" t="s">
        <v>921</v>
      </c>
      <c r="F180" s="347">
        <v>1410</v>
      </c>
    </row>
    <row r="181" spans="1:9" ht="27.75" customHeight="1">
      <c r="A181" s="186">
        <v>39</v>
      </c>
      <c r="B181" s="40" t="s">
        <v>372</v>
      </c>
      <c r="C181" s="346" t="s">
        <v>378</v>
      </c>
      <c r="D181" s="113">
        <v>46024</v>
      </c>
      <c r="E181" s="114" t="s">
        <v>921</v>
      </c>
      <c r="F181" s="347">
        <v>1410</v>
      </c>
    </row>
    <row r="182" spans="1:9" ht="27.75" customHeight="1">
      <c r="A182" s="186">
        <v>40</v>
      </c>
      <c r="B182" s="40" t="s">
        <v>372</v>
      </c>
      <c r="C182" s="346" t="s">
        <v>379</v>
      </c>
      <c r="D182" s="113">
        <v>46024</v>
      </c>
      <c r="E182" s="114" t="s">
        <v>921</v>
      </c>
      <c r="F182" s="347">
        <v>1410</v>
      </c>
    </row>
    <row r="183" spans="1:9" ht="27.75" customHeight="1">
      <c r="A183" s="186">
        <v>41</v>
      </c>
      <c r="B183" s="40" t="s">
        <v>380</v>
      </c>
      <c r="C183" s="346" t="s">
        <v>381</v>
      </c>
      <c r="D183" s="175">
        <v>46027</v>
      </c>
      <c r="E183" s="176" t="s">
        <v>922</v>
      </c>
      <c r="F183" s="222">
        <v>1410</v>
      </c>
    </row>
    <row r="184" spans="1:9" ht="27.75" customHeight="1">
      <c r="A184" s="186">
        <v>42</v>
      </c>
      <c r="B184" s="40" t="s">
        <v>380</v>
      </c>
      <c r="C184" s="346" t="s">
        <v>385</v>
      </c>
      <c r="D184" s="175">
        <v>46027</v>
      </c>
      <c r="E184" s="176" t="s">
        <v>922</v>
      </c>
      <c r="F184" s="222">
        <v>1410</v>
      </c>
    </row>
    <row r="185" spans="1:9" ht="27.75" customHeight="1">
      <c r="A185" s="186">
        <v>43</v>
      </c>
      <c r="B185" s="40" t="s">
        <v>380</v>
      </c>
      <c r="C185" s="346" t="s">
        <v>386</v>
      </c>
      <c r="D185" s="175">
        <v>46027</v>
      </c>
      <c r="E185" s="176" t="s">
        <v>922</v>
      </c>
      <c r="F185" s="222">
        <v>1410</v>
      </c>
    </row>
    <row r="186" spans="1:9" ht="27.75" customHeight="1">
      <c r="A186" s="186">
        <v>44</v>
      </c>
      <c r="B186" s="40" t="s">
        <v>380</v>
      </c>
      <c r="C186" s="346" t="s">
        <v>387</v>
      </c>
      <c r="D186" s="175">
        <v>46027</v>
      </c>
      <c r="E186" s="176" t="s">
        <v>922</v>
      </c>
      <c r="F186" s="222">
        <v>1410</v>
      </c>
    </row>
    <row r="187" spans="1:9" ht="27.75" customHeight="1">
      <c r="A187" s="186">
        <v>45</v>
      </c>
      <c r="B187" s="351" t="s">
        <v>66</v>
      </c>
      <c r="C187" s="346" t="s">
        <v>388</v>
      </c>
      <c r="D187" s="175">
        <v>46052</v>
      </c>
      <c r="E187" s="176" t="s">
        <v>923</v>
      </c>
      <c r="F187" s="222">
        <v>1760</v>
      </c>
    </row>
    <row r="188" spans="1:9" ht="27.75" customHeight="1">
      <c r="A188" s="186">
        <v>46</v>
      </c>
      <c r="B188" s="351" t="s">
        <v>66</v>
      </c>
      <c r="C188" s="346" t="s">
        <v>390</v>
      </c>
      <c r="D188" s="175">
        <v>46052</v>
      </c>
      <c r="E188" s="176" t="s">
        <v>923</v>
      </c>
      <c r="F188" s="222">
        <v>1760</v>
      </c>
    </row>
    <row r="189" spans="1:9" ht="27.75" customHeight="1">
      <c r="A189" s="186">
        <v>47</v>
      </c>
      <c r="B189" s="351" t="s">
        <v>66</v>
      </c>
      <c r="C189" s="346" t="s">
        <v>391</v>
      </c>
      <c r="D189" s="175">
        <v>46052</v>
      </c>
      <c r="E189" s="176" t="s">
        <v>923</v>
      </c>
      <c r="F189" s="222">
        <v>1760</v>
      </c>
    </row>
    <row r="190" spans="1:9" ht="27.75" customHeight="1">
      <c r="A190" s="186">
        <v>48</v>
      </c>
      <c r="B190" s="351" t="s">
        <v>66</v>
      </c>
      <c r="C190" s="346" t="s">
        <v>69</v>
      </c>
      <c r="D190" s="175">
        <v>46052</v>
      </c>
      <c r="E190" s="176" t="s">
        <v>924</v>
      </c>
      <c r="F190" s="222">
        <v>2720</v>
      </c>
    </row>
    <row r="191" spans="1:9" ht="27.75" customHeight="1" thickBot="1">
      <c r="A191" s="357"/>
      <c r="B191" s="358"/>
      <c r="C191" s="359"/>
      <c r="D191" s="361"/>
      <c r="E191" s="361"/>
      <c r="F191" s="362">
        <v>69470</v>
      </c>
      <c r="I191" s="520">
        <f>SUM(F143:F190)</f>
        <v>69470</v>
      </c>
    </row>
    <row r="192" spans="1:9" ht="27.75" customHeight="1" thickTop="1">
      <c r="A192" s="94"/>
      <c r="B192" s="364" t="s">
        <v>395</v>
      </c>
      <c r="C192" s="81"/>
      <c r="D192" s="178"/>
      <c r="E192" s="179"/>
      <c r="F192" s="264"/>
    </row>
    <row r="193" spans="1:10" ht="27.75" customHeight="1">
      <c r="A193" s="94">
        <v>1</v>
      </c>
      <c r="B193" s="366" t="s">
        <v>167</v>
      </c>
      <c r="C193" s="367" t="s">
        <v>396</v>
      </c>
      <c r="D193" s="175">
        <v>46029</v>
      </c>
      <c r="E193" s="176" t="s">
        <v>926</v>
      </c>
      <c r="F193" s="222">
        <v>22690</v>
      </c>
    </row>
    <row r="194" spans="1:10" ht="27.75" customHeight="1">
      <c r="A194" s="94">
        <v>3</v>
      </c>
      <c r="B194" s="366" t="s">
        <v>411</v>
      </c>
      <c r="C194" s="367" t="s">
        <v>412</v>
      </c>
      <c r="D194" s="175">
        <v>46027</v>
      </c>
      <c r="E194" s="176" t="s">
        <v>927</v>
      </c>
      <c r="F194" s="222">
        <v>5360</v>
      </c>
    </row>
    <row r="195" spans="1:10" ht="27.75" customHeight="1">
      <c r="A195" s="94">
        <v>4</v>
      </c>
      <c r="B195" s="366" t="s">
        <v>417</v>
      </c>
      <c r="C195" s="367" t="s">
        <v>418</v>
      </c>
      <c r="D195" s="175">
        <v>46044</v>
      </c>
      <c r="E195" s="176" t="s">
        <v>928</v>
      </c>
      <c r="F195" s="222">
        <v>68108.75</v>
      </c>
    </row>
    <row r="196" spans="1:10" ht="27.75" customHeight="1">
      <c r="A196" s="94">
        <v>5</v>
      </c>
      <c r="B196" s="366" t="s">
        <v>417</v>
      </c>
      <c r="C196" s="367" t="s">
        <v>421</v>
      </c>
      <c r="D196" s="175">
        <v>46023</v>
      </c>
      <c r="E196" s="176" t="s">
        <v>929</v>
      </c>
      <c r="F196" s="222">
        <v>4910</v>
      </c>
    </row>
    <row r="197" spans="1:10" ht="27.75" customHeight="1">
      <c r="A197" s="94">
        <v>6</v>
      </c>
      <c r="B197" s="366" t="s">
        <v>428</v>
      </c>
      <c r="C197" s="367" t="s">
        <v>429</v>
      </c>
      <c r="D197" s="175">
        <v>46027</v>
      </c>
      <c r="E197" s="176" t="s">
        <v>930</v>
      </c>
      <c r="F197" s="222">
        <v>20000</v>
      </c>
    </row>
    <row r="198" spans="1:10" ht="27.75" customHeight="1" thickBot="1">
      <c r="A198" s="193"/>
      <c r="B198" s="194" t="s">
        <v>22</v>
      </c>
      <c r="C198" s="195"/>
      <c r="D198" s="199"/>
      <c r="E198" s="199"/>
      <c r="F198" s="196">
        <v>121068.75</v>
      </c>
      <c r="I198" s="520">
        <f>SUM(F193:F197)</f>
        <v>121068.75</v>
      </c>
    </row>
    <row r="199" spans="1:10" ht="27.75" customHeight="1" thickTop="1">
      <c r="A199" s="22"/>
      <c r="B199" s="288" t="s">
        <v>433</v>
      </c>
      <c r="C199" s="380"/>
      <c r="D199" s="382"/>
      <c r="E199" s="382"/>
      <c r="F199" s="383"/>
    </row>
    <row r="200" spans="1:10" ht="27.75" customHeight="1">
      <c r="A200" s="22">
        <v>1</v>
      </c>
      <c r="B200" s="270" t="s">
        <v>438</v>
      </c>
      <c r="C200" s="380" t="s">
        <v>439</v>
      </c>
      <c r="D200" s="389">
        <v>46025</v>
      </c>
      <c r="E200" s="386" t="s">
        <v>931</v>
      </c>
      <c r="F200" s="383">
        <v>1500</v>
      </c>
    </row>
    <row r="201" spans="1:10" ht="27.75" customHeight="1" thickBot="1">
      <c r="A201" s="193"/>
      <c r="B201" s="194" t="s">
        <v>22</v>
      </c>
      <c r="C201" s="195"/>
      <c r="D201" s="393">
        <v>0</v>
      </c>
      <c r="E201" s="393">
        <v>0</v>
      </c>
      <c r="F201" s="394">
        <v>1500</v>
      </c>
      <c r="I201" s="520">
        <f>SUM(F200)</f>
        <v>1500</v>
      </c>
    </row>
    <row r="202" spans="1:10" ht="27.75" customHeight="1" thickTop="1" thickBot="1">
      <c r="A202" s="414"/>
      <c r="B202" s="415"/>
      <c r="C202" s="416" t="s">
        <v>468</v>
      </c>
      <c r="D202" s="421"/>
      <c r="E202" s="421"/>
      <c r="F202" s="422">
        <v>917221.47</v>
      </c>
      <c r="J202" s="521">
        <f>SUM(I8:I201)</f>
        <v>917221.47</v>
      </c>
    </row>
    <row r="203" spans="1:10" ht="27.75" customHeight="1" thickTop="1">
      <c r="A203" s="426"/>
      <c r="B203" s="4"/>
      <c r="C203" s="295"/>
      <c r="D203" s="431"/>
      <c r="E203" s="432"/>
      <c r="F203" s="427"/>
    </row>
    <row r="204" spans="1:10" s="226" customFormat="1" ht="27.75" customHeight="1">
      <c r="A204" s="6"/>
      <c r="B204" s="500"/>
      <c r="D204" s="3"/>
      <c r="E204" s="372"/>
      <c r="F204" s="501"/>
    </row>
    <row r="205" spans="1:10" s="226" customFormat="1" ht="27.75" customHeight="1">
      <c r="A205" s="6"/>
      <c r="B205" s="500"/>
      <c r="D205" s="3"/>
      <c r="E205" s="372"/>
      <c r="F205" s="501"/>
    </row>
    <row r="206" spans="1:10" s="226" customFormat="1" ht="27.75" customHeight="1">
      <c r="A206" s="6"/>
      <c r="B206" s="500"/>
      <c r="D206" s="3"/>
      <c r="E206" s="372"/>
      <c r="F206" s="501"/>
    </row>
    <row r="207" spans="1:10" s="226" customFormat="1" ht="27.75" customHeight="1">
      <c r="A207" s="6"/>
      <c r="B207" s="500"/>
      <c r="D207" s="3"/>
      <c r="E207" s="372"/>
      <c r="F207" s="501"/>
    </row>
    <row r="208" spans="1:10" s="226" customFormat="1" ht="27.75" customHeight="1">
      <c r="A208" s="6"/>
      <c r="B208" s="500"/>
      <c r="D208" s="3"/>
      <c r="E208" s="372"/>
      <c r="F208" s="501"/>
    </row>
    <row r="209" spans="1:6" s="226" customFormat="1" ht="27.75" customHeight="1">
      <c r="A209" s="6"/>
      <c r="B209" s="500"/>
      <c r="D209" s="3"/>
      <c r="E209" s="372"/>
      <c r="F209" s="501"/>
    </row>
    <row r="210" spans="1:6" s="226" customFormat="1" ht="27.75" customHeight="1">
      <c r="A210" s="6"/>
      <c r="B210" s="500"/>
      <c r="D210" s="3"/>
      <c r="E210" s="372"/>
      <c r="F210" s="501"/>
    </row>
    <row r="211" spans="1:6" s="226" customFormat="1" ht="27.75" customHeight="1">
      <c r="A211" s="6"/>
      <c r="B211" s="500"/>
      <c r="D211" s="3"/>
      <c r="E211" s="372"/>
      <c r="F211" s="501"/>
    </row>
    <row r="212" spans="1:6" s="226" customFormat="1" ht="27.75" customHeight="1">
      <c r="A212" s="6"/>
      <c r="B212" s="500"/>
      <c r="D212" s="3"/>
      <c r="E212" s="372"/>
      <c r="F212" s="501"/>
    </row>
    <row r="213" spans="1:6" s="226" customFormat="1" ht="27.75" customHeight="1">
      <c r="A213" s="6"/>
      <c r="B213" s="500"/>
      <c r="D213" s="3"/>
      <c r="E213" s="372"/>
      <c r="F213" s="501"/>
    </row>
    <row r="214" spans="1:6" s="226" customFormat="1" ht="27.75" customHeight="1">
      <c r="A214" s="6"/>
      <c r="B214" s="500"/>
      <c r="D214" s="3"/>
      <c r="E214" s="372"/>
      <c r="F214" s="501"/>
    </row>
    <row r="215" spans="1:6" s="226" customFormat="1" ht="27.75" customHeight="1">
      <c r="A215" s="6"/>
      <c r="B215" s="500"/>
      <c r="D215" s="3"/>
      <c r="E215" s="372"/>
      <c r="F215" s="501"/>
    </row>
    <row r="216" spans="1:6" s="226" customFormat="1" ht="27.75" customHeight="1">
      <c r="A216" s="6"/>
      <c r="B216" s="500"/>
      <c r="D216" s="3"/>
      <c r="E216" s="372"/>
      <c r="F216" s="501"/>
    </row>
    <row r="217" spans="1:6" s="226" customFormat="1" ht="27.75" customHeight="1">
      <c r="A217" s="6"/>
      <c r="B217" s="500"/>
      <c r="D217" s="3"/>
      <c r="E217" s="372"/>
      <c r="F217" s="501"/>
    </row>
    <row r="218" spans="1:6" s="226" customFormat="1" ht="27.75" customHeight="1">
      <c r="A218" s="6"/>
      <c r="B218" s="500"/>
      <c r="D218" s="3"/>
      <c r="E218" s="372"/>
      <c r="F218" s="501"/>
    </row>
    <row r="219" spans="1:6" s="226" customFormat="1" ht="27.75" customHeight="1">
      <c r="A219" s="6"/>
      <c r="B219" s="500"/>
      <c r="D219" s="3"/>
      <c r="E219" s="372"/>
      <c r="F219" s="501"/>
    </row>
    <row r="220" spans="1:6" s="226" customFormat="1" ht="27.75" customHeight="1">
      <c r="A220" s="6"/>
      <c r="D220" s="3"/>
      <c r="E220" s="372"/>
      <c r="F220" s="501"/>
    </row>
    <row r="221" spans="1:6" ht="27.75" customHeight="1">
      <c r="B221" s="4"/>
      <c r="F221" s="4"/>
    </row>
    <row r="222" spans="1:6" ht="27.75" customHeight="1">
      <c r="B222" s="4"/>
      <c r="F222" s="4"/>
    </row>
    <row r="223" spans="1:6" ht="27.75" customHeight="1">
      <c r="B223" s="4"/>
      <c r="F223" s="4"/>
    </row>
    <row r="224" spans="1:6" ht="27.75" customHeight="1">
      <c r="B224" s="4"/>
      <c r="F224" s="4"/>
    </row>
    <row r="225" spans="2:6" ht="27.75" customHeight="1">
      <c r="B225" s="4"/>
      <c r="F225" s="4"/>
    </row>
    <row r="226" spans="2:6" ht="27.75" customHeight="1">
      <c r="B226" s="4"/>
      <c r="F226" s="4"/>
    </row>
    <row r="227" spans="2:6" ht="27.75" customHeight="1">
      <c r="B227" s="4"/>
      <c r="F227" s="4"/>
    </row>
    <row r="228" spans="2:6" ht="27.75" customHeight="1">
      <c r="B228" s="4"/>
      <c r="F228" s="4"/>
    </row>
    <row r="229" spans="2:6" ht="27.75" customHeight="1">
      <c r="B229" s="4"/>
      <c r="F229" s="4"/>
    </row>
    <row r="230" spans="2:6" ht="27.75" customHeight="1">
      <c r="B230" s="4"/>
      <c r="F230" s="4"/>
    </row>
    <row r="231" spans="2:6" ht="27.75" customHeight="1">
      <c r="B231" s="4"/>
      <c r="F231" s="4"/>
    </row>
    <row r="232" spans="2:6" ht="27.75" customHeight="1">
      <c r="B232" s="4"/>
      <c r="F232" s="4"/>
    </row>
    <row r="233" spans="2:6" ht="27.75" customHeight="1">
      <c r="B233" s="4"/>
      <c r="F233" s="4"/>
    </row>
    <row r="234" spans="2:6" ht="27.75" customHeight="1">
      <c r="B234" s="4"/>
      <c r="F234" s="4"/>
    </row>
    <row r="235" spans="2:6" ht="27.75" customHeight="1">
      <c r="B235" s="4"/>
      <c r="F235" s="4"/>
    </row>
    <row r="236" spans="2:6" ht="27.75" customHeight="1">
      <c r="B236" s="4"/>
      <c r="F236" s="4"/>
    </row>
    <row r="248" spans="2:6" ht="27.75" customHeight="1">
      <c r="B248" s="4"/>
      <c r="F248" s="4"/>
    </row>
    <row r="249" spans="2:6" ht="27.75" customHeight="1">
      <c r="B249" s="4"/>
      <c r="F249" s="4"/>
    </row>
    <row r="250" spans="2:6" ht="27.75" customHeight="1">
      <c r="B250" s="4"/>
      <c r="F250" s="4"/>
    </row>
    <row r="251" spans="2:6" ht="27.75" customHeight="1">
      <c r="B251" s="4"/>
      <c r="F251" s="4"/>
    </row>
    <row r="252" spans="2:6" ht="27.75" customHeight="1">
      <c r="B252" s="4"/>
      <c r="F252" s="4"/>
    </row>
    <row r="253" spans="2:6" ht="27.75" customHeight="1">
      <c r="B253" s="4"/>
      <c r="F253" s="4"/>
    </row>
    <row r="254" spans="2:6" ht="27.75" customHeight="1">
      <c r="B254" s="4"/>
      <c r="F254" s="4"/>
    </row>
    <row r="255" spans="2:6" ht="27.75" customHeight="1">
      <c r="B255" s="4"/>
      <c r="F255" s="4"/>
    </row>
    <row r="256" spans="2:6" ht="27.75" customHeight="1">
      <c r="B256" s="4"/>
      <c r="F256" s="4"/>
    </row>
    <row r="257" spans="2:6" ht="27.75" customHeight="1">
      <c r="B257" s="4"/>
      <c r="F257" s="4"/>
    </row>
    <row r="258" spans="2:6" ht="27.75" customHeight="1">
      <c r="B258" s="4"/>
      <c r="F258" s="4"/>
    </row>
    <row r="259" spans="2:6" ht="27.75" customHeight="1">
      <c r="B259" s="4"/>
      <c r="F259" s="4"/>
    </row>
    <row r="260" spans="2:6" ht="27.75" customHeight="1">
      <c r="B260" s="4"/>
      <c r="F260" s="4"/>
    </row>
  </sheetData>
  <mergeCells count="8">
    <mergeCell ref="A5:A6"/>
    <mergeCell ref="B5:B6"/>
    <mergeCell ref="C5:C6"/>
    <mergeCell ref="A1:F1"/>
    <mergeCell ref="A2:F2"/>
    <mergeCell ref="A3:F3"/>
    <mergeCell ref="E5:E6"/>
    <mergeCell ref="F5:F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ECD0D-AC28-470D-81B7-8C33720574AA}">
  <sheetPr>
    <tabColor rgb="FF92D050"/>
  </sheetPr>
  <dimension ref="A1:Q161"/>
  <sheetViews>
    <sheetView zoomScale="70" zoomScaleNormal="70" workbookViewId="0">
      <pane ySplit="6" topLeftCell="A89" activePane="bottomLeft" state="frozen"/>
      <selection pane="bottomLeft" activeCell="U86" sqref="U86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6.88671875" style="552" customWidth="1"/>
    <col min="5" max="5" width="20" style="372" customWidth="1"/>
    <col min="6" max="6" width="9.109375" style="2" customWidth="1"/>
    <col min="7" max="7" width="23.6640625" style="507" customWidth="1"/>
    <col min="8" max="8" width="5.33203125" style="2" hidden="1" customWidth="1"/>
    <col min="9" max="9" width="9" style="508" hidden="1" customWidth="1"/>
    <col min="10" max="10" width="9.6640625" style="508" hidden="1" customWidth="1"/>
    <col min="11" max="11" width="10.88671875" style="512" hidden="1" customWidth="1"/>
    <col min="12" max="12" width="24.5546875" style="512" hidden="1" customWidth="1"/>
    <col min="13" max="14" width="8.88671875" style="4" hidden="1" customWidth="1"/>
    <col min="15" max="15" width="8.88671875" style="4"/>
    <col min="16" max="17" width="11.6640625" style="4" bestFit="1" customWidth="1"/>
    <col min="18" max="16384" width="8.88671875" style="4"/>
  </cols>
  <sheetData>
    <row r="1" spans="1:16" ht="28.5" customHeight="1">
      <c r="A1" s="653" t="s">
        <v>0</v>
      </c>
      <c r="B1" s="653"/>
      <c r="C1" s="653"/>
      <c r="D1" s="653"/>
      <c r="E1" s="653"/>
      <c r="F1" s="653"/>
      <c r="G1" s="653"/>
      <c r="I1" s="3"/>
      <c r="J1" s="3"/>
      <c r="K1" s="1"/>
      <c r="L1" s="1"/>
    </row>
    <row r="2" spans="1:16" ht="23.25" customHeight="1">
      <c r="A2" s="653" t="s">
        <v>1</v>
      </c>
      <c r="B2" s="653"/>
      <c r="C2" s="653"/>
      <c r="D2" s="653"/>
      <c r="E2" s="653"/>
      <c r="F2" s="653"/>
      <c r="G2" s="653"/>
      <c r="H2" s="5"/>
      <c r="I2" s="3"/>
      <c r="J2" s="3"/>
      <c r="K2" s="1"/>
      <c r="L2" s="1"/>
    </row>
    <row r="3" spans="1:16" ht="28.5" customHeight="1">
      <c r="A3" s="654" t="s">
        <v>820</v>
      </c>
      <c r="B3" s="654"/>
      <c r="C3" s="654"/>
      <c r="D3" s="654"/>
      <c r="E3" s="654"/>
      <c r="F3" s="654"/>
      <c r="G3" s="654"/>
      <c r="I3" s="3"/>
      <c r="J3" s="3"/>
      <c r="K3" s="6"/>
      <c r="L3" s="6"/>
    </row>
    <row r="4" spans="1:16" ht="27.75" customHeight="1">
      <c r="A4" s="7"/>
      <c r="B4" s="8"/>
      <c r="C4" s="9"/>
      <c r="D4" s="522"/>
      <c r="E4" s="655" t="s">
        <v>5</v>
      </c>
      <c r="F4" s="656"/>
      <c r="G4" s="657"/>
      <c r="H4" s="658" t="s">
        <v>6</v>
      </c>
      <c r="I4" s="671" t="s">
        <v>7</v>
      </c>
      <c r="J4" s="671" t="s">
        <v>8</v>
      </c>
      <c r="K4" s="661" t="s">
        <v>9</v>
      </c>
      <c r="L4" s="661" t="s">
        <v>10</v>
      </c>
    </row>
    <row r="5" spans="1:16" ht="27.75" customHeight="1">
      <c r="A5" s="664" t="s">
        <v>11</v>
      </c>
      <c r="B5" s="666" t="s">
        <v>12</v>
      </c>
      <c r="C5" s="666" t="s">
        <v>13</v>
      </c>
      <c r="D5" s="523" t="s">
        <v>557</v>
      </c>
      <c r="E5" s="664" t="s">
        <v>15</v>
      </c>
      <c r="F5" s="669" t="s">
        <v>16</v>
      </c>
      <c r="G5" s="514"/>
      <c r="H5" s="659"/>
      <c r="I5" s="672"/>
      <c r="J5" s="672"/>
      <c r="K5" s="662"/>
      <c r="L5" s="662"/>
    </row>
    <row r="6" spans="1:16" ht="27.75" customHeight="1" thickBot="1">
      <c r="A6" s="665"/>
      <c r="B6" s="667"/>
      <c r="C6" s="667"/>
      <c r="D6" s="524"/>
      <c r="E6" s="668"/>
      <c r="F6" s="670"/>
      <c r="G6" s="21" t="s">
        <v>22</v>
      </c>
      <c r="H6" s="660"/>
      <c r="I6" s="673"/>
      <c r="J6" s="673"/>
      <c r="K6" s="663"/>
      <c r="L6" s="663"/>
    </row>
    <row r="7" spans="1:16" ht="27.75" customHeight="1" thickTop="1">
      <c r="A7" s="22"/>
      <c r="B7" s="23" t="s">
        <v>23</v>
      </c>
      <c r="C7" s="24"/>
      <c r="D7" s="525"/>
      <c r="E7" s="32"/>
      <c r="F7" s="33"/>
      <c r="G7" s="35"/>
      <c r="H7" s="36"/>
      <c r="I7" s="37"/>
      <c r="J7" s="37"/>
      <c r="K7" s="38"/>
      <c r="L7" s="38"/>
      <c r="M7" s="38"/>
    </row>
    <row r="8" spans="1:16" s="57" customFormat="1" ht="27.75" customHeight="1">
      <c r="A8" s="39">
        <v>1</v>
      </c>
      <c r="B8" s="40" t="s">
        <v>28</v>
      </c>
      <c r="C8" s="41" t="s">
        <v>29</v>
      </c>
      <c r="D8" s="526">
        <v>4012.5</v>
      </c>
      <c r="E8" s="51"/>
      <c r="F8" s="52"/>
      <c r="G8" s="54"/>
      <c r="H8" s="39"/>
      <c r="I8" s="55"/>
      <c r="J8" s="55"/>
      <c r="K8" s="56"/>
      <c r="L8" s="56"/>
    </row>
    <row r="9" spans="1:16" s="57" customFormat="1" ht="27.75" customHeight="1">
      <c r="A9" s="39">
        <v>2</v>
      </c>
      <c r="B9" s="40" t="s">
        <v>34</v>
      </c>
      <c r="C9" s="41" t="s">
        <v>35</v>
      </c>
      <c r="D9" s="526">
        <v>4012.5</v>
      </c>
      <c r="E9" s="51"/>
      <c r="F9" s="52"/>
      <c r="G9" s="54"/>
      <c r="H9" s="39"/>
      <c r="I9" s="55"/>
      <c r="J9" s="55"/>
      <c r="K9" s="56"/>
      <c r="L9" s="56"/>
    </row>
    <row r="10" spans="1:16" s="57" customFormat="1" ht="27.75" customHeight="1">
      <c r="A10" s="39">
        <v>3</v>
      </c>
      <c r="B10" s="40" t="s">
        <v>34</v>
      </c>
      <c r="C10" s="41" t="s">
        <v>39</v>
      </c>
      <c r="D10" s="526">
        <v>4012.5</v>
      </c>
      <c r="E10" s="51"/>
      <c r="F10" s="52"/>
      <c r="G10" s="54"/>
      <c r="H10" s="39"/>
      <c r="I10" s="55"/>
      <c r="J10" s="55"/>
      <c r="K10" s="56"/>
      <c r="L10" s="56"/>
    </row>
    <row r="11" spans="1:16" s="57" customFormat="1" ht="27.75" customHeight="1">
      <c r="A11" s="39">
        <v>4</v>
      </c>
      <c r="B11" s="40" t="s">
        <v>43</v>
      </c>
      <c r="C11" s="41" t="s">
        <v>44</v>
      </c>
      <c r="D11" s="526">
        <v>4012.5</v>
      </c>
      <c r="E11" s="51"/>
      <c r="F11" s="52"/>
      <c r="G11" s="54"/>
      <c r="H11" s="39"/>
      <c r="I11" s="55"/>
      <c r="J11" s="55"/>
      <c r="K11" s="56"/>
      <c r="L11" s="56"/>
    </row>
    <row r="12" spans="1:16" s="91" customFormat="1" ht="27.75" customHeight="1">
      <c r="A12" s="39">
        <v>5</v>
      </c>
      <c r="B12" s="80" t="s">
        <v>71</v>
      </c>
      <c r="C12" s="81" t="s">
        <v>72</v>
      </c>
      <c r="D12" s="528">
        <v>6687.5</v>
      </c>
      <c r="E12" s="87"/>
      <c r="F12" s="88"/>
      <c r="G12" s="519"/>
      <c r="H12" s="39"/>
      <c r="I12" s="55"/>
      <c r="J12" s="55"/>
      <c r="K12" s="58"/>
      <c r="L12" s="58"/>
    </row>
    <row r="13" spans="1:16" ht="27.75" customHeight="1">
      <c r="A13" s="39">
        <v>6</v>
      </c>
      <c r="B13" s="40" t="s">
        <v>78</v>
      </c>
      <c r="C13" s="81" t="s">
        <v>72</v>
      </c>
      <c r="D13" s="528"/>
      <c r="E13" s="94" t="s">
        <v>801</v>
      </c>
      <c r="F13" s="116">
        <v>1</v>
      </c>
      <c r="G13" s="54">
        <v>11492.662990654208</v>
      </c>
      <c r="H13" s="39"/>
      <c r="I13" s="55"/>
      <c r="J13" s="55"/>
      <c r="K13" s="56"/>
      <c r="L13" s="56"/>
    </row>
    <row r="14" spans="1:16" ht="27.75" customHeight="1">
      <c r="A14" s="39">
        <v>7</v>
      </c>
      <c r="B14" s="40" t="s">
        <v>82</v>
      </c>
      <c r="C14" s="41" t="s">
        <v>72</v>
      </c>
      <c r="D14" s="529"/>
      <c r="E14" s="94" t="s">
        <v>801</v>
      </c>
      <c r="F14" s="116">
        <v>1</v>
      </c>
      <c r="G14" s="54">
        <v>1754.798130841122</v>
      </c>
      <c r="H14" s="39"/>
      <c r="I14" s="55"/>
      <c r="J14" s="55"/>
      <c r="K14" s="56"/>
      <c r="L14" s="56"/>
    </row>
    <row r="15" spans="1:16" s="57" customFormat="1" ht="27.75" customHeight="1" thickBot="1">
      <c r="A15" s="96"/>
      <c r="B15" s="97" t="s">
        <v>22</v>
      </c>
      <c r="C15" s="98"/>
      <c r="D15" s="530"/>
      <c r="E15" s="106"/>
      <c r="F15" s="107"/>
      <c r="G15" s="108">
        <v>13247.461869158877</v>
      </c>
      <c r="H15" s="39"/>
      <c r="I15" s="55"/>
      <c r="J15" s="55"/>
      <c r="K15" s="56"/>
      <c r="L15" s="56"/>
      <c r="P15" s="57">
        <f>SUM(G13:G14)</f>
        <v>13247.461121495329</v>
      </c>
    </row>
    <row r="16" spans="1:16" ht="27.75" hidden="1" customHeight="1" thickBot="1">
      <c r="A16" s="39">
        <v>1</v>
      </c>
      <c r="B16" s="40" t="s">
        <v>88</v>
      </c>
      <c r="C16" s="41" t="s">
        <v>72</v>
      </c>
      <c r="D16" s="529"/>
      <c r="E16" s="94"/>
      <c r="F16" s="39"/>
      <c r="G16" s="54">
        <v>0</v>
      </c>
      <c r="H16" s="122"/>
      <c r="I16" s="37"/>
      <c r="J16" s="37"/>
      <c r="K16" s="38"/>
      <c r="L16" s="38"/>
    </row>
    <row r="17" spans="1:13" ht="27.75" hidden="1" customHeight="1" thickTop="1">
      <c r="A17" s="39">
        <v>2</v>
      </c>
      <c r="B17" s="40" t="s">
        <v>89</v>
      </c>
      <c r="C17" s="41" t="s">
        <v>72</v>
      </c>
      <c r="D17" s="529"/>
      <c r="E17" s="94"/>
      <c r="F17" s="39"/>
      <c r="G17" s="54">
        <v>0</v>
      </c>
      <c r="H17" s="122"/>
      <c r="I17" s="37"/>
      <c r="J17" s="37"/>
      <c r="K17" s="38"/>
      <c r="L17" s="38"/>
    </row>
    <row r="18" spans="1:13" ht="27.75" hidden="1" customHeight="1" thickTop="1">
      <c r="A18" s="39">
        <v>3</v>
      </c>
      <c r="B18" s="40" t="s">
        <v>90</v>
      </c>
      <c r="C18" s="41" t="s">
        <v>72</v>
      </c>
      <c r="D18" s="529"/>
      <c r="E18" s="94"/>
      <c r="F18" s="39"/>
      <c r="G18" s="54">
        <v>0</v>
      </c>
      <c r="H18" s="122"/>
      <c r="I18" s="37"/>
      <c r="J18" s="37"/>
      <c r="K18" s="38"/>
      <c r="L18" s="38"/>
    </row>
    <row r="19" spans="1:13" ht="27.75" hidden="1" customHeight="1" thickTop="1">
      <c r="A19" s="39">
        <v>4</v>
      </c>
      <c r="B19" s="40" t="s">
        <v>91</v>
      </c>
      <c r="C19" s="41" t="s">
        <v>72</v>
      </c>
      <c r="D19" s="529"/>
      <c r="E19" s="94"/>
      <c r="F19" s="39"/>
      <c r="G19" s="54">
        <v>0</v>
      </c>
      <c r="H19" s="122"/>
      <c r="I19" s="37"/>
      <c r="J19" s="37"/>
      <c r="K19" s="38"/>
      <c r="L19" s="38"/>
    </row>
    <row r="20" spans="1:13" ht="27.75" hidden="1" customHeight="1" thickTop="1">
      <c r="A20" s="39">
        <v>5</v>
      </c>
      <c r="B20" s="40" t="s">
        <v>92</v>
      </c>
      <c r="C20" s="41" t="s">
        <v>72</v>
      </c>
      <c r="D20" s="529"/>
      <c r="E20" s="94"/>
      <c r="F20" s="39"/>
      <c r="G20" s="54">
        <v>0</v>
      </c>
      <c r="H20" s="122"/>
      <c r="I20" s="37"/>
      <c r="J20" s="37"/>
      <c r="K20" s="38"/>
      <c r="L20" s="38"/>
    </row>
    <row r="21" spans="1:13" ht="27.75" hidden="1" customHeight="1" thickTop="1">
      <c r="A21" s="39">
        <v>6</v>
      </c>
      <c r="B21" s="123" t="s">
        <v>93</v>
      </c>
      <c r="C21" s="41" t="s">
        <v>72</v>
      </c>
      <c r="D21" s="529"/>
      <c r="E21" s="94"/>
      <c r="F21" s="39"/>
      <c r="G21" s="54">
        <v>0</v>
      </c>
      <c r="H21" s="122"/>
      <c r="I21" s="37"/>
      <c r="J21" s="37"/>
      <c r="K21" s="38"/>
      <c r="L21" s="38"/>
    </row>
    <row r="22" spans="1:13" ht="27.75" hidden="1" customHeight="1" thickTop="1">
      <c r="A22" s="39">
        <v>7</v>
      </c>
      <c r="B22" s="40" t="s">
        <v>94</v>
      </c>
      <c r="C22" s="41" t="s">
        <v>72</v>
      </c>
      <c r="D22" s="529"/>
      <c r="E22" s="94"/>
      <c r="F22" s="39"/>
      <c r="G22" s="54">
        <v>0</v>
      </c>
      <c r="H22" s="122"/>
      <c r="I22" s="37"/>
      <c r="J22" s="37"/>
      <c r="K22" s="38"/>
      <c r="L22" s="38"/>
    </row>
    <row r="23" spans="1:13" ht="27.75" hidden="1" customHeight="1" thickTop="1">
      <c r="A23" s="39">
        <v>8</v>
      </c>
      <c r="B23" s="40" t="s">
        <v>95</v>
      </c>
      <c r="C23" s="41" t="s">
        <v>72</v>
      </c>
      <c r="D23" s="529"/>
      <c r="E23" s="94"/>
      <c r="F23" s="39"/>
      <c r="G23" s="54">
        <v>0</v>
      </c>
      <c r="H23" s="122"/>
      <c r="I23" s="37"/>
      <c r="J23" s="37"/>
      <c r="K23" s="38"/>
      <c r="L23" s="38"/>
    </row>
    <row r="24" spans="1:13" ht="27.75" hidden="1" customHeight="1" thickTop="1">
      <c r="A24" s="39">
        <v>9</v>
      </c>
      <c r="B24" s="40" t="s">
        <v>96</v>
      </c>
      <c r="C24" s="41" t="s">
        <v>72</v>
      </c>
      <c r="D24" s="529"/>
      <c r="E24" s="94"/>
      <c r="F24" s="39"/>
      <c r="G24" s="54">
        <v>0</v>
      </c>
      <c r="H24" s="122"/>
      <c r="I24" s="37"/>
      <c r="J24" s="37"/>
      <c r="K24" s="38"/>
      <c r="L24" s="38"/>
    </row>
    <row r="25" spans="1:13" ht="27.75" hidden="1" customHeight="1" thickTop="1">
      <c r="A25" s="39">
        <v>10</v>
      </c>
      <c r="B25" s="40" t="s">
        <v>97</v>
      </c>
      <c r="C25" s="41" t="s">
        <v>72</v>
      </c>
      <c r="D25" s="529"/>
      <c r="E25" s="94"/>
      <c r="F25" s="39"/>
      <c r="G25" s="54">
        <v>0</v>
      </c>
      <c r="H25" s="122"/>
      <c r="I25" s="37"/>
      <c r="J25" s="37"/>
      <c r="K25" s="38"/>
      <c r="L25" s="38"/>
    </row>
    <row r="26" spans="1:13" ht="27.75" hidden="1" customHeight="1" thickTop="1">
      <c r="A26" s="39">
        <v>11</v>
      </c>
      <c r="B26" s="40" t="s">
        <v>98</v>
      </c>
      <c r="C26" s="41" t="s">
        <v>72</v>
      </c>
      <c r="D26" s="529"/>
      <c r="E26" s="94"/>
      <c r="F26" s="39"/>
      <c r="G26" s="54">
        <v>0</v>
      </c>
      <c r="H26" s="122"/>
      <c r="I26" s="37"/>
      <c r="J26" s="37"/>
      <c r="K26" s="38"/>
      <c r="L26" s="38"/>
    </row>
    <row r="27" spans="1:13" ht="27.75" hidden="1" customHeight="1" thickTop="1">
      <c r="A27" s="39">
        <v>12</v>
      </c>
      <c r="B27" s="40" t="s">
        <v>99</v>
      </c>
      <c r="C27" s="41" t="s">
        <v>72</v>
      </c>
      <c r="D27" s="529"/>
      <c r="E27" s="94"/>
      <c r="F27" s="39"/>
      <c r="G27" s="54">
        <v>0</v>
      </c>
      <c r="H27" s="122"/>
      <c r="I27" s="37"/>
      <c r="J27" s="37"/>
      <c r="K27" s="38"/>
      <c r="L27" s="38"/>
    </row>
    <row r="28" spans="1:13" ht="27.75" hidden="1" customHeight="1" thickTop="1">
      <c r="A28" s="39"/>
      <c r="B28" s="123"/>
      <c r="C28" s="41"/>
      <c r="D28" s="528"/>
      <c r="E28" s="83"/>
      <c r="F28" s="130"/>
      <c r="G28" s="54">
        <v>0</v>
      </c>
      <c r="H28" s="122"/>
      <c r="I28" s="37"/>
      <c r="J28" s="37"/>
      <c r="K28" s="38"/>
      <c r="L28" s="38"/>
    </row>
    <row r="29" spans="1:13" ht="27.75" hidden="1" customHeight="1" thickTop="1">
      <c r="A29" s="22"/>
      <c r="B29" s="131" t="s">
        <v>22</v>
      </c>
      <c r="C29" s="132"/>
      <c r="D29" s="531"/>
      <c r="E29" s="139"/>
      <c r="F29" s="133"/>
      <c r="G29" s="136">
        <v>0</v>
      </c>
      <c r="H29" s="36"/>
      <c r="I29" s="37"/>
      <c r="J29" s="37"/>
      <c r="K29" s="38"/>
      <c r="L29" s="38"/>
      <c r="M29" s="38"/>
    </row>
    <row r="30" spans="1:13" ht="27.75" customHeight="1" thickTop="1">
      <c r="A30" s="22"/>
      <c r="B30" s="23" t="s">
        <v>100</v>
      </c>
      <c r="C30" s="24"/>
      <c r="D30" s="525"/>
      <c r="E30" s="32"/>
      <c r="F30" s="33"/>
      <c r="G30" s="35"/>
      <c r="H30" s="36"/>
      <c r="I30" s="37"/>
      <c r="J30" s="37"/>
      <c r="K30" s="38"/>
      <c r="L30" s="38"/>
      <c r="M30" s="38"/>
    </row>
    <row r="31" spans="1:13" s="169" customFormat="1" ht="27.75" customHeight="1">
      <c r="A31" s="152">
        <v>3</v>
      </c>
      <c r="B31" s="153" t="s">
        <v>106</v>
      </c>
      <c r="C31" s="154" t="s">
        <v>102</v>
      </c>
      <c r="D31" s="532">
        <v>963</v>
      </c>
      <c r="E31" s="163"/>
      <c r="F31" s="164"/>
      <c r="G31" s="159"/>
      <c r="H31" s="166"/>
      <c r="I31" s="167"/>
      <c r="J31" s="167"/>
      <c r="K31" s="168"/>
      <c r="L31" s="168"/>
    </row>
    <row r="32" spans="1:13" s="57" customFormat="1" ht="27.75" customHeight="1">
      <c r="A32" s="22">
        <v>11</v>
      </c>
      <c r="B32" s="40" t="s">
        <v>123</v>
      </c>
      <c r="C32" s="140" t="s">
        <v>102</v>
      </c>
      <c r="D32" s="529">
        <v>642</v>
      </c>
      <c r="E32" s="145"/>
      <c r="F32" s="146"/>
      <c r="G32" s="47"/>
      <c r="H32" s="146"/>
      <c r="I32" s="148"/>
      <c r="J32" s="148"/>
      <c r="K32" s="149"/>
      <c r="L32" s="149"/>
    </row>
    <row r="33" spans="1:16" s="57" customFormat="1" ht="27.75" customHeight="1">
      <c r="A33" s="22">
        <v>12</v>
      </c>
      <c r="B33" s="40" t="s">
        <v>126</v>
      </c>
      <c r="C33" s="140" t="s">
        <v>102</v>
      </c>
      <c r="D33" s="529">
        <v>642</v>
      </c>
      <c r="E33" s="145"/>
      <c r="F33" s="146"/>
      <c r="G33" s="47"/>
      <c r="H33" s="146"/>
      <c r="I33" s="148"/>
      <c r="J33" s="148"/>
      <c r="K33" s="149"/>
      <c r="L33" s="149"/>
    </row>
    <row r="34" spans="1:16" s="57" customFormat="1" ht="27.75" customHeight="1">
      <c r="A34" s="22">
        <v>14</v>
      </c>
      <c r="B34" s="40" t="s">
        <v>130</v>
      </c>
      <c r="C34" s="140" t="s">
        <v>102</v>
      </c>
      <c r="D34" s="529"/>
      <c r="E34" s="145" t="s">
        <v>801</v>
      </c>
      <c r="F34" s="146">
        <v>1</v>
      </c>
      <c r="G34" s="47">
        <v>160.5</v>
      </c>
      <c r="H34" s="146"/>
      <c r="I34" s="148"/>
      <c r="J34" s="148"/>
      <c r="K34" s="149"/>
      <c r="L34" s="149"/>
    </row>
    <row r="35" spans="1:16" s="57" customFormat="1" ht="27.75" customHeight="1">
      <c r="A35" s="22">
        <v>18</v>
      </c>
      <c r="B35" s="181" t="s">
        <v>138</v>
      </c>
      <c r="C35" s="182" t="s">
        <v>139</v>
      </c>
      <c r="D35" s="534">
        <v>1765.5</v>
      </c>
      <c r="E35" s="171"/>
      <c r="F35" s="44"/>
      <c r="G35" s="47"/>
      <c r="H35" s="146"/>
      <c r="I35" s="148"/>
      <c r="J35" s="148"/>
      <c r="K35" s="149"/>
      <c r="L35" s="149"/>
    </row>
    <row r="36" spans="1:16" s="57" customFormat="1" ht="27.75" customHeight="1">
      <c r="A36" s="22">
        <v>24</v>
      </c>
      <c r="B36" s="170" t="s">
        <v>153</v>
      </c>
      <c r="C36" s="140" t="s">
        <v>102</v>
      </c>
      <c r="D36" s="533">
        <v>1765.5</v>
      </c>
      <c r="E36" s="171"/>
      <c r="F36" s="172"/>
      <c r="G36" s="47"/>
      <c r="H36" s="146"/>
      <c r="I36" s="148"/>
      <c r="J36" s="148"/>
      <c r="K36" s="149"/>
      <c r="L36" s="149"/>
    </row>
    <row r="37" spans="1:16" s="57" customFormat="1" ht="27.75" customHeight="1">
      <c r="A37" s="22">
        <v>27</v>
      </c>
      <c r="B37" s="170" t="s">
        <v>158</v>
      </c>
      <c r="C37" s="140" t="s">
        <v>102</v>
      </c>
      <c r="D37" s="533">
        <v>2285</v>
      </c>
      <c r="E37" s="171"/>
      <c r="F37" s="172"/>
      <c r="G37" s="47"/>
      <c r="H37" s="146"/>
      <c r="I37" s="148"/>
      <c r="J37" s="148"/>
      <c r="K37" s="149"/>
      <c r="L37" s="149"/>
    </row>
    <row r="38" spans="1:16" ht="27.75" customHeight="1" thickBot="1">
      <c r="A38" s="193"/>
      <c r="B38" s="194" t="s">
        <v>22</v>
      </c>
      <c r="C38" s="195"/>
      <c r="D38" s="535"/>
      <c r="E38" s="200"/>
      <c r="F38" s="196"/>
      <c r="G38" s="198">
        <v>160.5</v>
      </c>
      <c r="H38" s="36"/>
      <c r="I38" s="37"/>
      <c r="J38" s="37"/>
      <c r="K38" s="38"/>
      <c r="L38" s="38"/>
      <c r="M38" s="38"/>
      <c r="P38" s="507">
        <f>SUM(G34)</f>
        <v>160.5</v>
      </c>
    </row>
    <row r="39" spans="1:16" ht="27.75" customHeight="1" thickTop="1">
      <c r="A39" s="22"/>
      <c r="B39" s="23" t="s">
        <v>179</v>
      </c>
      <c r="C39" s="24"/>
      <c r="D39" s="525"/>
      <c r="E39" s="32"/>
      <c r="F39" s="33"/>
      <c r="G39" s="35"/>
      <c r="H39" s="36"/>
      <c r="I39" s="37"/>
      <c r="J39" s="37"/>
      <c r="K39" s="38"/>
      <c r="L39" s="38"/>
      <c r="M39" s="38"/>
    </row>
    <row r="40" spans="1:16" ht="27.75" customHeight="1">
      <c r="A40" s="94">
        <v>1</v>
      </c>
      <c r="B40" s="40" t="s">
        <v>180</v>
      </c>
      <c r="C40" s="41" t="s">
        <v>181</v>
      </c>
      <c r="D40" s="528"/>
      <c r="E40" s="83" t="s">
        <v>801</v>
      </c>
      <c r="F40" s="39">
        <v>1</v>
      </c>
      <c r="G40" s="47">
        <v>1364.25</v>
      </c>
      <c r="H40" s="116"/>
      <c r="I40" s="203"/>
      <c r="J40" s="203"/>
      <c r="K40" s="204"/>
      <c r="L40" s="204"/>
    </row>
    <row r="41" spans="1:16" s="220" customFormat="1" ht="27.75" customHeight="1">
      <c r="A41" s="186">
        <v>2</v>
      </c>
      <c r="B41" s="208" t="s">
        <v>71</v>
      </c>
      <c r="C41" s="209" t="s">
        <v>181</v>
      </c>
      <c r="D41" s="536">
        <v>1337.5</v>
      </c>
      <c r="E41" s="216"/>
      <c r="F41" s="217"/>
      <c r="G41" s="47"/>
      <c r="H41" s="217"/>
      <c r="I41" s="218"/>
      <c r="J41" s="218"/>
      <c r="K41" s="219"/>
      <c r="L41" s="219"/>
    </row>
    <row r="42" spans="1:16" ht="27.75" customHeight="1" thickBot="1">
      <c r="A42" s="193"/>
      <c r="B42" s="194" t="s">
        <v>22</v>
      </c>
      <c r="C42" s="195"/>
      <c r="D42" s="535"/>
      <c r="E42" s="200"/>
      <c r="F42" s="196"/>
      <c r="G42" s="198">
        <v>1364.25</v>
      </c>
      <c r="H42" s="36"/>
      <c r="I42" s="37"/>
      <c r="J42" s="37"/>
      <c r="K42" s="38"/>
      <c r="L42" s="38"/>
      <c r="M42" s="38"/>
      <c r="P42" s="507">
        <f>SUM(G40)</f>
        <v>1364.25</v>
      </c>
    </row>
    <row r="43" spans="1:16" ht="27.75" customHeight="1" thickTop="1">
      <c r="A43" s="22"/>
      <c r="B43" s="23" t="s">
        <v>196</v>
      </c>
      <c r="C43" s="24"/>
      <c r="D43" s="525"/>
      <c r="E43" s="32"/>
      <c r="F43" s="33"/>
      <c r="G43" s="35"/>
      <c r="H43" s="36"/>
      <c r="I43" s="37"/>
      <c r="J43" s="37"/>
      <c r="K43" s="38"/>
      <c r="L43" s="38"/>
      <c r="M43" s="38"/>
    </row>
    <row r="44" spans="1:16" s="226" customFormat="1" ht="27.75" customHeight="1">
      <c r="A44" s="94">
        <v>1</v>
      </c>
      <c r="B44" s="181" t="s">
        <v>210</v>
      </c>
      <c r="C44" s="224" t="s">
        <v>211</v>
      </c>
      <c r="D44" s="528">
        <v>22470</v>
      </c>
      <c r="E44" s="87"/>
      <c r="F44" s="116"/>
      <c r="G44" s="47"/>
      <c r="H44" s="39"/>
      <c r="I44" s="55"/>
      <c r="J44" s="55"/>
      <c r="K44" s="56"/>
      <c r="L44" s="56"/>
    </row>
    <row r="45" spans="1:16" s="226" customFormat="1" ht="27.75" customHeight="1">
      <c r="A45" s="94">
        <v>2</v>
      </c>
      <c r="B45" s="41" t="s">
        <v>252</v>
      </c>
      <c r="C45" s="224" t="s">
        <v>253</v>
      </c>
      <c r="D45" s="528"/>
      <c r="E45" s="83" t="s">
        <v>801</v>
      </c>
      <c r="F45" s="116">
        <v>1</v>
      </c>
      <c r="G45" s="47">
        <v>6420</v>
      </c>
      <c r="H45" s="39"/>
      <c r="I45" s="55"/>
      <c r="J45" s="55"/>
      <c r="K45" s="56"/>
      <c r="L45" s="56"/>
    </row>
    <row r="46" spans="1:16" s="226" customFormat="1" ht="27.75" customHeight="1">
      <c r="A46" s="94">
        <v>3</v>
      </c>
      <c r="B46" s="41" t="s">
        <v>254</v>
      </c>
      <c r="C46" s="224" t="s">
        <v>255</v>
      </c>
      <c r="D46" s="528"/>
      <c r="E46" s="83" t="s">
        <v>801</v>
      </c>
      <c r="F46" s="116">
        <v>0.93457943925233611</v>
      </c>
      <c r="G46" s="47">
        <v>9630</v>
      </c>
      <c r="H46" s="39"/>
      <c r="I46" s="55"/>
      <c r="J46" s="55"/>
      <c r="K46" s="56"/>
      <c r="L46" s="56"/>
    </row>
    <row r="47" spans="1:16" s="226" customFormat="1" ht="27.75" customHeight="1">
      <c r="A47" s="94">
        <v>4</v>
      </c>
      <c r="B47" s="81" t="s">
        <v>267</v>
      </c>
      <c r="C47" s="224" t="s">
        <v>268</v>
      </c>
      <c r="D47" s="528"/>
      <c r="E47" s="83" t="s">
        <v>801</v>
      </c>
      <c r="F47" s="116">
        <v>0.93457943925233578</v>
      </c>
      <c r="G47" s="47">
        <v>6420</v>
      </c>
      <c r="H47" s="39"/>
      <c r="I47" s="55"/>
      <c r="J47" s="55"/>
      <c r="K47" s="56"/>
      <c r="L47" s="56"/>
    </row>
    <row r="48" spans="1:16" ht="27.75" customHeight="1" thickBot="1">
      <c r="A48" s="22"/>
      <c r="B48" s="194" t="s">
        <v>22</v>
      </c>
      <c r="C48" s="195"/>
      <c r="D48" s="535"/>
      <c r="E48" s="200"/>
      <c r="F48" s="196"/>
      <c r="G48" s="196">
        <v>22470</v>
      </c>
      <c r="H48" s="36"/>
      <c r="I48" s="37"/>
      <c r="J48" s="37"/>
      <c r="K48" s="38"/>
      <c r="L48" s="38"/>
      <c r="M48" s="38"/>
      <c r="P48" s="507">
        <f>SUM(G45:G47)</f>
        <v>22470</v>
      </c>
    </row>
    <row r="49" spans="1:16" ht="27.75" hidden="1" customHeight="1" thickBot="1">
      <c r="A49" s="22"/>
      <c r="B49" s="23" t="s">
        <v>278</v>
      </c>
      <c r="C49" s="24"/>
      <c r="D49" s="525"/>
      <c r="E49" s="32"/>
      <c r="F49" s="33"/>
      <c r="G49" s="35"/>
      <c r="H49" s="36"/>
      <c r="I49" s="37"/>
      <c r="J49" s="37"/>
      <c r="K49" s="38"/>
      <c r="L49" s="38"/>
      <c r="M49" s="38"/>
    </row>
    <row r="50" spans="1:16" ht="27.75" hidden="1" customHeight="1" thickTop="1">
      <c r="A50" s="22">
        <v>1</v>
      </c>
      <c r="B50" s="270" t="s">
        <v>88</v>
      </c>
      <c r="C50" s="271" t="s">
        <v>279</v>
      </c>
      <c r="D50" s="537"/>
      <c r="E50" s="232"/>
      <c r="F50" s="251"/>
      <c r="G50" s="66">
        <v>0</v>
      </c>
      <c r="H50" s="278"/>
      <c r="I50" s="279"/>
      <c r="J50" s="37"/>
      <c r="K50" s="38"/>
      <c r="L50" s="38"/>
      <c r="M50" s="38"/>
    </row>
    <row r="51" spans="1:16" ht="27.75" hidden="1" customHeight="1" thickTop="1">
      <c r="A51" s="22">
        <v>2</v>
      </c>
      <c r="B51" s="280" t="s">
        <v>89</v>
      </c>
      <c r="C51" s="271" t="s">
        <v>279</v>
      </c>
      <c r="D51" s="533"/>
      <c r="E51" s="94"/>
      <c r="F51" s="39"/>
      <c r="G51" s="66">
        <v>0</v>
      </c>
      <c r="H51" s="278"/>
      <c r="I51" s="279"/>
      <c r="J51" s="37"/>
      <c r="K51" s="38"/>
      <c r="L51" s="38"/>
      <c r="M51" s="38"/>
    </row>
    <row r="52" spans="1:16" ht="27.75" hidden="1" customHeight="1" thickTop="1">
      <c r="A52" s="22">
        <v>3</v>
      </c>
      <c r="B52" s="270" t="s">
        <v>280</v>
      </c>
      <c r="C52" s="271" t="s">
        <v>279</v>
      </c>
      <c r="D52" s="533"/>
      <c r="E52" s="94"/>
      <c r="F52" s="39"/>
      <c r="G52" s="66">
        <v>0</v>
      </c>
      <c r="H52" s="278"/>
      <c r="I52" s="279"/>
      <c r="J52" s="37"/>
      <c r="K52" s="38"/>
      <c r="L52" s="38"/>
      <c r="M52" s="38"/>
    </row>
    <row r="53" spans="1:16" ht="27.75" hidden="1" customHeight="1" thickTop="1">
      <c r="A53" s="22">
        <v>4</v>
      </c>
      <c r="B53" s="280" t="s">
        <v>96</v>
      </c>
      <c r="C53" s="271" t="s">
        <v>279</v>
      </c>
      <c r="D53" s="533"/>
      <c r="E53" s="94"/>
      <c r="F53" s="39"/>
      <c r="G53" s="66">
        <v>0</v>
      </c>
      <c r="H53" s="283"/>
      <c r="I53" s="55"/>
      <c r="J53" s="37"/>
      <c r="K53" s="38"/>
      <c r="L53" s="38"/>
      <c r="M53" s="38"/>
    </row>
    <row r="54" spans="1:16" ht="27.75" hidden="1" customHeight="1" thickTop="1">
      <c r="A54" s="22">
        <v>5</v>
      </c>
      <c r="B54" s="280" t="s">
        <v>281</v>
      </c>
      <c r="C54" s="271" t="s">
        <v>279</v>
      </c>
      <c r="D54" s="533"/>
      <c r="E54" s="94"/>
      <c r="F54" s="39"/>
      <c r="G54" s="66">
        <v>0</v>
      </c>
      <c r="H54" s="283"/>
      <c r="I54" s="55"/>
      <c r="J54" s="37"/>
      <c r="K54" s="38"/>
      <c r="L54" s="38"/>
      <c r="M54" s="38"/>
    </row>
    <row r="55" spans="1:16" ht="27.75" hidden="1" customHeight="1" thickTop="1">
      <c r="A55" s="22">
        <v>6</v>
      </c>
      <c r="B55" s="280" t="s">
        <v>282</v>
      </c>
      <c r="C55" s="271" t="s">
        <v>279</v>
      </c>
      <c r="D55" s="533"/>
      <c r="E55" s="94"/>
      <c r="F55" s="39"/>
      <c r="G55" s="66">
        <v>0</v>
      </c>
      <c r="H55" s="283"/>
      <c r="I55" s="37"/>
      <c r="J55" s="37"/>
      <c r="K55" s="38"/>
      <c r="L55" s="38"/>
      <c r="M55" s="38"/>
    </row>
    <row r="56" spans="1:16" ht="27.75" hidden="1" customHeight="1" thickTop="1">
      <c r="A56" s="22">
        <v>7</v>
      </c>
      <c r="B56" s="280" t="s">
        <v>92</v>
      </c>
      <c r="C56" s="271" t="s">
        <v>279</v>
      </c>
      <c r="D56" s="533"/>
      <c r="E56" s="94"/>
      <c r="F56" s="39"/>
      <c r="G56" s="66">
        <v>0</v>
      </c>
      <c r="H56" s="283"/>
      <c r="I56" s="37"/>
      <c r="J56" s="37"/>
      <c r="K56" s="38"/>
      <c r="L56" s="38"/>
      <c r="M56" s="38"/>
    </row>
    <row r="57" spans="1:16" ht="27.75" hidden="1" customHeight="1" thickTop="1">
      <c r="A57" s="22">
        <v>8</v>
      </c>
      <c r="B57" s="280" t="s">
        <v>91</v>
      </c>
      <c r="C57" s="271" t="s">
        <v>279</v>
      </c>
      <c r="D57" s="533"/>
      <c r="E57" s="94"/>
      <c r="F57" s="39"/>
      <c r="G57" s="66">
        <v>0</v>
      </c>
      <c r="H57" s="283"/>
      <c r="I57" s="37"/>
      <c r="J57" s="37"/>
      <c r="K57" s="38"/>
      <c r="L57" s="38"/>
      <c r="M57" s="38"/>
    </row>
    <row r="58" spans="1:16" ht="27.75" hidden="1" customHeight="1" thickTop="1">
      <c r="A58" s="22">
        <v>9</v>
      </c>
      <c r="B58" s="280" t="s">
        <v>236</v>
      </c>
      <c r="C58" s="271" t="s">
        <v>279</v>
      </c>
      <c r="D58" s="533"/>
      <c r="E58" s="94"/>
      <c r="F58" s="39"/>
      <c r="G58" s="66">
        <v>0</v>
      </c>
      <c r="H58" s="283"/>
      <c r="I58" s="37"/>
      <c r="J58" s="37"/>
      <c r="K58" s="38"/>
      <c r="L58" s="38"/>
      <c r="M58" s="38"/>
    </row>
    <row r="59" spans="1:16" ht="27.75" hidden="1" customHeight="1" thickTop="1">
      <c r="A59" s="22">
        <v>10</v>
      </c>
      <c r="B59" s="280" t="s">
        <v>94</v>
      </c>
      <c r="C59" s="280" t="s">
        <v>279</v>
      </c>
      <c r="D59" s="529"/>
      <c r="E59" s="94"/>
      <c r="F59" s="39"/>
      <c r="G59" s="66">
        <v>0</v>
      </c>
      <c r="H59" s="36"/>
      <c r="I59" s="37"/>
      <c r="J59" s="37"/>
      <c r="K59" s="38"/>
      <c r="L59" s="38"/>
      <c r="M59" s="38"/>
    </row>
    <row r="60" spans="1:16" ht="27.75" hidden="1" customHeight="1" thickTop="1">
      <c r="A60" s="22">
        <v>11</v>
      </c>
      <c r="B60" s="270"/>
      <c r="C60" s="285"/>
      <c r="D60" s="537"/>
      <c r="E60" s="232"/>
      <c r="F60" s="251"/>
      <c r="G60" s="66">
        <v>0</v>
      </c>
      <c r="H60" s="36"/>
      <c r="I60" s="37"/>
      <c r="J60" s="37"/>
      <c r="K60" s="38"/>
      <c r="L60" s="38"/>
      <c r="M60" s="38"/>
    </row>
    <row r="61" spans="1:16" ht="27.75" hidden="1" customHeight="1" thickTop="1">
      <c r="A61" s="22"/>
      <c r="B61" s="131" t="s">
        <v>22</v>
      </c>
      <c r="C61" s="132"/>
      <c r="D61" s="531"/>
      <c r="E61" s="139"/>
      <c r="F61" s="133"/>
      <c r="G61" s="136">
        <v>0</v>
      </c>
      <c r="H61" s="36"/>
      <c r="I61" s="37"/>
      <c r="J61" s="37"/>
      <c r="K61" s="38"/>
      <c r="L61" s="38"/>
      <c r="M61" s="38"/>
    </row>
    <row r="62" spans="1:16" ht="27.75" customHeight="1" thickTop="1">
      <c r="A62" s="22"/>
      <c r="B62" s="23" t="s">
        <v>292</v>
      </c>
      <c r="C62" s="24"/>
      <c r="D62" s="525"/>
      <c r="E62" s="32"/>
      <c r="F62" s="33"/>
      <c r="G62" s="35"/>
      <c r="H62" s="36"/>
      <c r="I62" s="37"/>
      <c r="J62" s="37"/>
      <c r="K62" s="38"/>
      <c r="L62" s="38"/>
      <c r="M62" s="38"/>
    </row>
    <row r="63" spans="1:16" ht="27.75" customHeight="1">
      <c r="A63" s="316">
        <v>1</v>
      </c>
      <c r="B63" s="280" t="s">
        <v>294</v>
      </c>
      <c r="C63" s="280" t="s">
        <v>255</v>
      </c>
      <c r="D63" s="526"/>
      <c r="E63" s="320" t="s">
        <v>801</v>
      </c>
      <c r="F63" s="39">
        <v>1</v>
      </c>
      <c r="G63" s="66">
        <v>21.4</v>
      </c>
      <c r="H63" s="36"/>
      <c r="I63" s="37"/>
      <c r="J63" s="37"/>
      <c r="K63" s="38"/>
      <c r="L63" s="38"/>
      <c r="M63" s="38"/>
    </row>
    <row r="64" spans="1:16" ht="27.75" customHeight="1" thickBot="1">
      <c r="A64" s="193"/>
      <c r="B64" s="194"/>
      <c r="C64" s="195"/>
      <c r="D64" s="535"/>
      <c r="E64" s="200"/>
      <c r="F64" s="196"/>
      <c r="G64" s="198">
        <v>21.4</v>
      </c>
      <c r="H64" s="36"/>
      <c r="I64" s="37"/>
      <c r="J64" s="37"/>
      <c r="K64" s="38"/>
      <c r="L64" s="38"/>
      <c r="M64" s="38"/>
      <c r="P64" s="552">
        <v>21.4</v>
      </c>
    </row>
    <row r="65" spans="1:14" ht="27.75" customHeight="1" thickTop="1">
      <c r="A65" s="22"/>
      <c r="B65" s="288" t="s">
        <v>304</v>
      </c>
      <c r="C65" s="289"/>
      <c r="D65" s="538"/>
      <c r="E65" s="94"/>
      <c r="F65" s="39"/>
      <c r="G65" s="294"/>
      <c r="H65" s="36"/>
      <c r="I65" s="37"/>
      <c r="J65" s="37"/>
      <c r="K65" s="38"/>
      <c r="L65" s="38"/>
      <c r="M65" s="38"/>
    </row>
    <row r="66" spans="1:14" ht="27.75" customHeight="1">
      <c r="A66" s="186">
        <v>1</v>
      </c>
      <c r="B66" s="205" t="s">
        <v>28</v>
      </c>
      <c r="C66" s="346" t="s">
        <v>311</v>
      </c>
      <c r="D66" s="540">
        <v>1410</v>
      </c>
      <c r="E66" s="94"/>
      <c r="F66" s="116"/>
      <c r="G66" s="47"/>
      <c r="H66" s="348" t="s">
        <v>195</v>
      </c>
      <c r="I66" s="299" t="s">
        <v>307</v>
      </c>
      <c r="J66" s="299" t="s">
        <v>308</v>
      </c>
      <c r="K66" s="56">
        <v>36600</v>
      </c>
      <c r="L66" s="349" t="s">
        <v>313</v>
      </c>
      <c r="M66" s="4" t="s">
        <v>314</v>
      </c>
      <c r="N66" s="295" t="s">
        <v>289</v>
      </c>
    </row>
    <row r="67" spans="1:14" ht="27.75" customHeight="1">
      <c r="A67" s="186">
        <v>2</v>
      </c>
      <c r="B67" s="205" t="s">
        <v>28</v>
      </c>
      <c r="C67" s="346" t="s">
        <v>315</v>
      </c>
      <c r="D67" s="540">
        <v>1410</v>
      </c>
      <c r="E67" s="94"/>
      <c r="F67" s="116"/>
      <c r="G67" s="47"/>
      <c r="H67" s="348"/>
      <c r="I67" s="299"/>
      <c r="J67" s="299"/>
      <c r="K67" s="56"/>
      <c r="L67" s="349"/>
      <c r="N67" s="295"/>
    </row>
    <row r="68" spans="1:14" ht="27.75" customHeight="1">
      <c r="A68" s="186">
        <v>3</v>
      </c>
      <c r="B68" s="205" t="s">
        <v>28</v>
      </c>
      <c r="C68" s="346" t="s">
        <v>320</v>
      </c>
      <c r="D68" s="540">
        <v>1410</v>
      </c>
      <c r="E68" s="94"/>
      <c r="F68" s="116"/>
      <c r="G68" s="47"/>
      <c r="H68" s="348"/>
      <c r="I68" s="299"/>
      <c r="J68" s="299"/>
      <c r="K68" s="56"/>
      <c r="L68" s="349"/>
      <c r="M68" s="295"/>
    </row>
    <row r="69" spans="1:14" ht="27.75" customHeight="1">
      <c r="A69" s="186">
        <v>4</v>
      </c>
      <c r="B69" s="205" t="s">
        <v>28</v>
      </c>
      <c r="C69" s="346" t="s">
        <v>321</v>
      </c>
      <c r="D69" s="540">
        <v>1410</v>
      </c>
      <c r="E69" s="94"/>
      <c r="F69" s="116"/>
      <c r="G69" s="47"/>
      <c r="H69" s="348"/>
      <c r="I69" s="299"/>
      <c r="J69" s="299"/>
      <c r="K69" s="56"/>
      <c r="L69" s="349"/>
      <c r="M69" s="295"/>
    </row>
    <row r="70" spans="1:14" ht="27.75" customHeight="1">
      <c r="A70" s="186">
        <v>5</v>
      </c>
      <c r="B70" s="205" t="s">
        <v>28</v>
      </c>
      <c r="C70" s="346" t="s">
        <v>322</v>
      </c>
      <c r="D70" s="540">
        <v>1410</v>
      </c>
      <c r="E70" s="94"/>
      <c r="F70" s="116"/>
      <c r="G70" s="47"/>
      <c r="H70" s="348"/>
      <c r="I70" s="299"/>
      <c r="J70" s="299"/>
      <c r="K70" s="56"/>
      <c r="L70" s="349"/>
      <c r="M70" s="295"/>
    </row>
    <row r="71" spans="1:14" ht="27.75" customHeight="1">
      <c r="A71" s="186">
        <v>6</v>
      </c>
      <c r="B71" s="205" t="s">
        <v>28</v>
      </c>
      <c r="C71" s="346" t="s">
        <v>323</v>
      </c>
      <c r="D71" s="540">
        <v>1410</v>
      </c>
      <c r="E71" s="94"/>
      <c r="F71" s="116"/>
      <c r="G71" s="47"/>
      <c r="H71" s="348"/>
      <c r="I71" s="299"/>
      <c r="J71" s="299"/>
      <c r="K71" s="56"/>
      <c r="L71" s="349"/>
      <c r="M71" s="295"/>
    </row>
    <row r="72" spans="1:14" ht="27.75" customHeight="1">
      <c r="A72" s="186">
        <v>7</v>
      </c>
      <c r="B72" s="205" t="s">
        <v>28</v>
      </c>
      <c r="C72" s="346" t="s">
        <v>324</v>
      </c>
      <c r="D72" s="540">
        <v>1410</v>
      </c>
      <c r="E72" s="94"/>
      <c r="F72" s="116"/>
      <c r="G72" s="47"/>
      <c r="H72" s="348"/>
      <c r="I72" s="299"/>
      <c r="J72" s="299"/>
      <c r="K72" s="56"/>
      <c r="L72" s="349"/>
      <c r="M72" s="295"/>
    </row>
    <row r="73" spans="1:14" ht="27.75" customHeight="1">
      <c r="A73" s="186">
        <v>8</v>
      </c>
      <c r="B73" s="205" t="s">
        <v>28</v>
      </c>
      <c r="C73" s="346" t="s">
        <v>333</v>
      </c>
      <c r="D73" s="540">
        <v>1410</v>
      </c>
      <c r="E73" s="94"/>
      <c r="F73" s="116"/>
      <c r="G73" s="47"/>
      <c r="H73" s="348"/>
      <c r="I73" s="299"/>
      <c r="J73" s="299"/>
      <c r="K73" s="56"/>
      <c r="L73" s="349"/>
      <c r="M73" s="295"/>
    </row>
    <row r="74" spans="1:14" ht="27.75" customHeight="1">
      <c r="A74" s="186">
        <v>9</v>
      </c>
      <c r="B74" s="205" t="s">
        <v>28</v>
      </c>
      <c r="C74" s="346" t="s">
        <v>334</v>
      </c>
      <c r="D74" s="540">
        <v>1410</v>
      </c>
      <c r="E74" s="94"/>
      <c r="F74" s="116"/>
      <c r="G74" s="47"/>
      <c r="H74" s="348"/>
      <c r="I74" s="299"/>
      <c r="J74" s="299"/>
      <c r="K74" s="56"/>
      <c r="L74" s="349"/>
      <c r="M74" s="295"/>
    </row>
    <row r="75" spans="1:14" ht="27.75" customHeight="1">
      <c r="A75" s="186">
        <v>10</v>
      </c>
      <c r="B75" s="205" t="s">
        <v>28</v>
      </c>
      <c r="C75" s="346" t="s">
        <v>335</v>
      </c>
      <c r="D75" s="540">
        <v>1410</v>
      </c>
      <c r="E75" s="94"/>
      <c r="F75" s="116"/>
      <c r="G75" s="47"/>
      <c r="H75" s="348"/>
      <c r="I75" s="299"/>
      <c r="J75" s="299"/>
      <c r="K75" s="56"/>
      <c r="L75" s="349"/>
      <c r="M75" s="295"/>
    </row>
    <row r="76" spans="1:14" ht="27.75" customHeight="1" thickBot="1">
      <c r="A76" s="357"/>
      <c r="B76" s="358"/>
      <c r="C76" s="359"/>
      <c r="D76" s="541"/>
      <c r="E76" s="106"/>
      <c r="F76" s="107"/>
      <c r="G76" s="363">
        <v>0</v>
      </c>
      <c r="H76" s="356"/>
      <c r="I76" s="55"/>
      <c r="J76" s="55"/>
      <c r="K76" s="56"/>
      <c r="L76" s="349"/>
    </row>
    <row r="77" spans="1:14" ht="27.75" customHeight="1" thickTop="1">
      <c r="A77" s="94"/>
      <c r="B77" s="364" t="s">
        <v>395</v>
      </c>
      <c r="C77" s="81"/>
      <c r="D77" s="528"/>
      <c r="E77" s="83"/>
      <c r="F77" s="251"/>
      <c r="G77" s="85"/>
      <c r="H77" s="39"/>
      <c r="I77" s="55"/>
      <c r="J77" s="55"/>
      <c r="K77" s="56"/>
      <c r="L77" s="56"/>
    </row>
    <row r="78" spans="1:14" ht="27.75" customHeight="1">
      <c r="A78" s="94">
        <v>1</v>
      </c>
      <c r="B78" s="366" t="s">
        <v>417</v>
      </c>
      <c r="C78" s="367" t="s">
        <v>418</v>
      </c>
      <c r="D78" s="542">
        <v>34054.370000000003</v>
      </c>
      <c r="E78" s="377"/>
      <c r="F78" s="116"/>
      <c r="G78" s="368"/>
      <c r="H78" s="39" t="s">
        <v>195</v>
      </c>
      <c r="I78" s="55">
        <v>40072</v>
      </c>
      <c r="J78" s="55">
        <v>41167</v>
      </c>
      <c r="K78" s="56">
        <v>132250</v>
      </c>
      <c r="L78" s="378" t="s">
        <v>420</v>
      </c>
    </row>
    <row r="79" spans="1:14" ht="27.75" customHeight="1" thickBot="1">
      <c r="A79" s="193"/>
      <c r="B79" s="194" t="s">
        <v>22</v>
      </c>
      <c r="C79" s="195"/>
      <c r="D79" s="535"/>
      <c r="E79" s="200"/>
      <c r="F79" s="196"/>
      <c r="G79" s="198">
        <v>0</v>
      </c>
      <c r="H79" s="36"/>
      <c r="I79" s="37"/>
      <c r="J79" s="37"/>
      <c r="K79" s="38"/>
      <c r="L79" s="38"/>
      <c r="M79" s="38"/>
    </row>
    <row r="80" spans="1:14" ht="27.75" customHeight="1" thickTop="1">
      <c r="A80" s="22"/>
      <c r="B80" s="288" t="s">
        <v>441</v>
      </c>
      <c r="C80" s="289"/>
      <c r="D80" s="538"/>
      <c r="E80" s="94"/>
      <c r="F80" s="39"/>
      <c r="G80" s="294"/>
      <c r="H80" s="36"/>
      <c r="I80" s="37"/>
      <c r="J80" s="37"/>
      <c r="K80" s="38"/>
      <c r="L80" s="38"/>
      <c r="M80" s="38"/>
    </row>
    <row r="81" spans="1:17" ht="27.75" customHeight="1">
      <c r="A81" s="94">
        <v>1</v>
      </c>
      <c r="B81" s="40" t="s">
        <v>442</v>
      </c>
      <c r="C81" s="206" t="s">
        <v>443</v>
      </c>
      <c r="D81" s="533">
        <v>791584</v>
      </c>
      <c r="E81" s="387"/>
      <c r="F81" s="116"/>
      <c r="G81" s="376"/>
      <c r="H81" s="39" t="s">
        <v>446</v>
      </c>
      <c r="I81" s="55">
        <v>43952</v>
      </c>
      <c r="J81" s="55">
        <v>44561</v>
      </c>
      <c r="K81" s="56">
        <v>1032500</v>
      </c>
      <c r="L81" s="56" t="s">
        <v>447</v>
      </c>
    </row>
    <row r="82" spans="1:17" ht="27.75" customHeight="1">
      <c r="A82" s="94">
        <v>2</v>
      </c>
      <c r="B82" s="205" t="s">
        <v>451</v>
      </c>
      <c r="C82" s="206" t="s">
        <v>452</v>
      </c>
      <c r="D82" s="526">
        <v>475056</v>
      </c>
      <c r="E82" s="399"/>
      <c r="F82" s="116"/>
      <c r="G82" s="368"/>
      <c r="H82" s="172" t="s">
        <v>456</v>
      </c>
      <c r="I82" s="400" t="s">
        <v>457</v>
      </c>
      <c r="J82" s="400" t="s">
        <v>458</v>
      </c>
      <c r="K82" s="401">
        <v>442600</v>
      </c>
      <c r="L82" s="401" t="s">
        <v>459</v>
      </c>
    </row>
    <row r="83" spans="1:17" ht="27.75" customHeight="1">
      <c r="A83" s="405"/>
      <c r="B83" s="406" t="s">
        <v>22</v>
      </c>
      <c r="C83" s="407"/>
      <c r="D83" s="544"/>
      <c r="E83" s="412"/>
      <c r="F83" s="408"/>
      <c r="G83" s="239"/>
      <c r="H83" s="278"/>
      <c r="I83" s="279"/>
      <c r="J83" s="279"/>
      <c r="K83" s="413"/>
      <c r="L83" s="413"/>
      <c r="M83" s="413"/>
    </row>
    <row r="84" spans="1:17" ht="27.75" customHeight="1" thickBot="1">
      <c r="A84" s="414"/>
      <c r="B84" s="415"/>
      <c r="C84" s="416" t="s">
        <v>468</v>
      </c>
      <c r="D84" s="545"/>
      <c r="E84" s="423"/>
      <c r="F84" s="422"/>
      <c r="G84" s="420">
        <v>37263.611869158871</v>
      </c>
      <c r="H84" s="424"/>
      <c r="I84" s="425"/>
      <c r="J84" s="425"/>
      <c r="K84" s="345"/>
      <c r="L84" s="345"/>
      <c r="M84" s="345"/>
      <c r="Q84" s="57">
        <f>SUM(P15:P82)</f>
        <v>37263.611121495334</v>
      </c>
    </row>
    <row r="85" spans="1:17" ht="27.75" customHeight="1" thickTop="1">
      <c r="A85" s="426"/>
      <c r="B85" s="4"/>
      <c r="C85" s="295"/>
      <c r="D85" s="546"/>
      <c r="E85" s="433"/>
      <c r="F85" s="427"/>
      <c r="G85" s="430"/>
      <c r="H85" s="424"/>
      <c r="I85" s="425"/>
      <c r="J85" s="425"/>
      <c r="K85" s="345"/>
      <c r="L85" s="345"/>
      <c r="M85" s="345"/>
    </row>
    <row r="86" spans="1:17" ht="27.75" customHeight="1">
      <c r="A86" s="426"/>
      <c r="B86" s="434" t="s">
        <v>469</v>
      </c>
      <c r="C86" s="295"/>
      <c r="D86" s="546"/>
      <c r="E86" s="433"/>
      <c r="F86" s="427"/>
      <c r="G86" s="430"/>
      <c r="H86" s="424"/>
      <c r="I86" s="425"/>
      <c r="J86" s="425"/>
      <c r="K86" s="345"/>
      <c r="L86" s="345"/>
      <c r="M86" s="345"/>
    </row>
    <row r="87" spans="1:17" ht="27.75" customHeight="1">
      <c r="A87" s="435">
        <v>1</v>
      </c>
      <c r="B87" s="436" t="s">
        <v>470</v>
      </c>
      <c r="C87" s="437" t="s">
        <v>471</v>
      </c>
      <c r="D87" s="547"/>
      <c r="E87" s="435" t="s">
        <v>473</v>
      </c>
      <c r="F87" s="444">
        <v>21</v>
      </c>
      <c r="G87" s="17">
        <v>361288.35</v>
      </c>
      <c r="H87" s="251" t="s">
        <v>195</v>
      </c>
      <c r="I87" s="446">
        <v>41883</v>
      </c>
      <c r="J87" s="446">
        <v>42978</v>
      </c>
      <c r="K87" s="447">
        <v>90000</v>
      </c>
      <c r="L87" s="447" t="s">
        <v>474</v>
      </c>
      <c r="O87" s="4" t="s">
        <v>475</v>
      </c>
    </row>
    <row r="88" spans="1:17" ht="27.75" customHeight="1">
      <c r="A88" s="435"/>
      <c r="B88" s="436" t="s">
        <v>476</v>
      </c>
      <c r="C88" s="437"/>
      <c r="D88" s="547"/>
      <c r="E88" s="435"/>
      <c r="F88" s="444"/>
      <c r="G88" s="17">
        <v>0</v>
      </c>
      <c r="H88" s="116"/>
      <c r="I88" s="203"/>
      <c r="J88" s="203"/>
      <c r="K88" s="204"/>
      <c r="L88" s="204"/>
    </row>
    <row r="89" spans="1:17" ht="27.75" customHeight="1">
      <c r="A89" s="435"/>
      <c r="B89" s="674" t="s">
        <v>477</v>
      </c>
      <c r="C89" s="675"/>
      <c r="D89" s="548"/>
      <c r="E89" s="435"/>
      <c r="F89" s="444"/>
      <c r="G89" s="17">
        <v>0</v>
      </c>
      <c r="H89" s="116"/>
      <c r="I89" s="203"/>
      <c r="J89" s="203"/>
      <c r="K89" s="204"/>
      <c r="L89" s="204"/>
    </row>
    <row r="90" spans="1:17" ht="27.75" customHeight="1">
      <c r="A90" s="435">
        <v>2</v>
      </c>
      <c r="B90" s="450" t="s">
        <v>470</v>
      </c>
      <c r="C90" s="451" t="s">
        <v>478</v>
      </c>
      <c r="D90" s="549"/>
      <c r="E90" s="435" t="s">
        <v>479</v>
      </c>
      <c r="F90" s="444">
        <v>6</v>
      </c>
      <c r="G90" s="17">
        <v>96700.72</v>
      </c>
      <c r="H90" s="116"/>
      <c r="I90" s="203"/>
      <c r="J90" s="203"/>
      <c r="K90" s="204"/>
      <c r="L90" s="204"/>
      <c r="O90" s="4" t="s">
        <v>475</v>
      </c>
    </row>
    <row r="91" spans="1:17" ht="27.75" customHeight="1">
      <c r="A91" s="435">
        <v>3</v>
      </c>
      <c r="B91" s="450" t="s">
        <v>470</v>
      </c>
      <c r="C91" s="451" t="s">
        <v>480</v>
      </c>
      <c r="D91" s="549"/>
      <c r="E91" s="435" t="s">
        <v>481</v>
      </c>
      <c r="F91" s="444">
        <v>16</v>
      </c>
      <c r="G91" s="17">
        <v>285799.45</v>
      </c>
      <c r="H91" s="116"/>
      <c r="I91" s="203"/>
      <c r="J91" s="203"/>
      <c r="K91" s="204"/>
      <c r="L91" s="204"/>
      <c r="O91" s="4" t="s">
        <v>475</v>
      </c>
    </row>
    <row r="92" spans="1:17" s="226" customFormat="1" ht="27.75" customHeight="1">
      <c r="A92" s="440">
        <v>4</v>
      </c>
      <c r="B92" s="436" t="s">
        <v>470</v>
      </c>
      <c r="C92" s="453" t="s">
        <v>482</v>
      </c>
      <c r="D92" s="547"/>
      <c r="E92" s="435" t="s">
        <v>483</v>
      </c>
      <c r="F92" s="448" t="s">
        <v>195</v>
      </c>
      <c r="G92" s="17">
        <v>57055.05</v>
      </c>
      <c r="H92" s="39"/>
      <c r="I92" s="55"/>
      <c r="J92" s="55"/>
      <c r="K92" s="141"/>
      <c r="L92" s="141"/>
      <c r="O92" s="4" t="s">
        <v>475</v>
      </c>
    </row>
    <row r="93" spans="1:17" s="226" customFormat="1" ht="27.75" customHeight="1">
      <c r="A93" s="440"/>
      <c r="B93" s="676" t="s">
        <v>484</v>
      </c>
      <c r="C93" s="677"/>
      <c r="D93" s="549"/>
      <c r="E93" s="435"/>
      <c r="F93" s="448"/>
      <c r="G93" s="17">
        <v>0</v>
      </c>
      <c r="H93" s="122"/>
      <c r="I93" s="37"/>
      <c r="J93" s="37"/>
      <c r="K93" s="459"/>
      <c r="L93" s="459"/>
      <c r="O93" s="4" t="s">
        <v>475</v>
      </c>
    </row>
    <row r="94" spans="1:17" ht="27.75" customHeight="1">
      <c r="A94" s="460">
        <v>5</v>
      </c>
      <c r="B94" s="436" t="s">
        <v>470</v>
      </c>
      <c r="C94" s="461" t="s">
        <v>485</v>
      </c>
      <c r="D94" s="550"/>
      <c r="E94" s="435" t="s">
        <v>486</v>
      </c>
      <c r="F94" s="464" t="s">
        <v>195</v>
      </c>
      <c r="G94" s="17">
        <v>28958.15</v>
      </c>
      <c r="H94" s="36"/>
      <c r="I94" s="37"/>
      <c r="J94" s="37"/>
      <c r="K94" s="38"/>
      <c r="L94" s="38"/>
      <c r="M94" s="38"/>
      <c r="O94" s="4" t="s">
        <v>475</v>
      </c>
    </row>
    <row r="95" spans="1:17" ht="27.6" customHeight="1">
      <c r="A95" s="460"/>
      <c r="B95" s="436" t="s">
        <v>488</v>
      </c>
      <c r="C95" s="461"/>
      <c r="D95" s="550"/>
      <c r="E95" s="435"/>
      <c r="F95" s="444"/>
      <c r="G95" s="17"/>
      <c r="H95" s="36"/>
      <c r="I95" s="37"/>
      <c r="J95" s="37"/>
      <c r="K95" s="38"/>
      <c r="L95" s="38"/>
      <c r="M95" s="38"/>
    </row>
    <row r="96" spans="1:17" ht="27.6" customHeight="1">
      <c r="A96" s="460"/>
      <c r="B96" s="674" t="s">
        <v>489</v>
      </c>
      <c r="C96" s="675"/>
      <c r="D96" s="548"/>
      <c r="E96" s="435"/>
      <c r="F96" s="444"/>
      <c r="G96" s="17"/>
      <c r="H96" s="36"/>
      <c r="I96" s="37"/>
      <c r="J96" s="37"/>
      <c r="K96" s="38"/>
      <c r="L96" s="38"/>
      <c r="M96" s="38"/>
    </row>
    <row r="97" spans="1:15" ht="27.75" customHeight="1" thickBot="1">
      <c r="A97" s="465"/>
      <c r="B97" s="466" t="s">
        <v>22</v>
      </c>
      <c r="C97" s="195"/>
      <c r="D97" s="539"/>
      <c r="E97" s="315"/>
      <c r="F97" s="310"/>
      <c r="G97" s="313">
        <v>829801.72000000009</v>
      </c>
      <c r="H97" s="36"/>
      <c r="I97" s="37"/>
      <c r="J97" s="37"/>
      <c r="K97" s="38"/>
      <c r="L97" s="38"/>
      <c r="M97" s="38"/>
    </row>
    <row r="98" spans="1:15" ht="27.75" customHeight="1" thickTop="1">
      <c r="A98" s="468"/>
      <c r="B98" s="469" t="s">
        <v>490</v>
      </c>
      <c r="C98" s="470"/>
      <c r="D98" s="543"/>
      <c r="E98" s="186"/>
      <c r="F98" s="116"/>
      <c r="G98" s="474"/>
      <c r="H98" s="36"/>
      <c r="I98" s="37"/>
      <c r="J98" s="37"/>
      <c r="K98" s="38"/>
      <c r="L98" s="38"/>
      <c r="M98" s="38"/>
    </row>
    <row r="99" spans="1:15" ht="27.75" customHeight="1">
      <c r="A99" s="475">
        <v>1</v>
      </c>
      <c r="B99" s="436" t="s">
        <v>491</v>
      </c>
      <c r="C99" s="437" t="s">
        <v>492</v>
      </c>
      <c r="D99" s="547"/>
      <c r="E99" s="435"/>
      <c r="F99" s="477"/>
      <c r="G99" s="481"/>
      <c r="H99" s="356"/>
      <c r="I99" s="482"/>
      <c r="J99" s="482"/>
      <c r="K99" s="483"/>
      <c r="L99" s="483"/>
      <c r="O99" s="4" t="s">
        <v>493</v>
      </c>
    </row>
    <row r="100" spans="1:15" ht="27.75" customHeight="1">
      <c r="A100" s="475"/>
      <c r="B100" s="484" t="s">
        <v>494</v>
      </c>
      <c r="C100" s="437"/>
      <c r="D100" s="547"/>
      <c r="E100" s="435"/>
      <c r="F100" s="477"/>
      <c r="G100" s="481"/>
      <c r="H100" s="485"/>
      <c r="I100" s="486"/>
      <c r="J100" s="486"/>
      <c r="K100" s="487"/>
      <c r="L100" s="487"/>
    </row>
    <row r="101" spans="1:15" ht="27.75" customHeight="1">
      <c r="A101" s="475">
        <v>2</v>
      </c>
      <c r="B101" s="436" t="s">
        <v>495</v>
      </c>
      <c r="C101" s="437" t="s">
        <v>496</v>
      </c>
      <c r="D101" s="547"/>
      <c r="E101" s="435"/>
      <c r="F101" s="477" t="s">
        <v>497</v>
      </c>
      <c r="G101" s="17">
        <v>8214529.25</v>
      </c>
      <c r="H101" s="485"/>
      <c r="I101" s="486"/>
      <c r="J101" s="486"/>
      <c r="K101" s="487"/>
      <c r="L101" s="487"/>
    </row>
    <row r="102" spans="1:15" ht="27.75" customHeight="1">
      <c r="A102" s="405"/>
      <c r="B102" s="234" t="s">
        <v>22</v>
      </c>
      <c r="C102" s="407"/>
      <c r="D102" s="544"/>
      <c r="E102" s="412"/>
      <c r="F102" s="408"/>
      <c r="G102" s="239">
        <v>8214529.25</v>
      </c>
      <c r="H102" s="278"/>
      <c r="I102" s="279"/>
      <c r="J102" s="279"/>
      <c r="K102" s="413"/>
      <c r="L102" s="413"/>
      <c r="M102" s="413"/>
    </row>
    <row r="103" spans="1:15" ht="27.75" customHeight="1">
      <c r="A103" s="426"/>
      <c r="B103" s="4"/>
      <c r="C103" s="295"/>
      <c r="D103" s="546"/>
      <c r="E103" s="433"/>
      <c r="F103" s="427"/>
      <c r="G103" s="430"/>
      <c r="H103" s="424"/>
      <c r="I103" s="425"/>
      <c r="J103" s="425"/>
      <c r="K103" s="345"/>
      <c r="L103" s="345"/>
      <c r="M103" s="345"/>
    </row>
    <row r="104" spans="1:15" ht="27.75" customHeight="1" thickBot="1">
      <c r="A104" s="488"/>
      <c r="B104" s="489" t="s">
        <v>498</v>
      </c>
      <c r="C104" s="490"/>
      <c r="D104" s="551"/>
      <c r="E104" s="495"/>
      <c r="F104" s="496"/>
      <c r="G104" s="493">
        <v>9081594.5818691589</v>
      </c>
      <c r="H104" s="497">
        <v>0</v>
      </c>
      <c r="I104" s="497">
        <v>0</v>
      </c>
      <c r="J104" s="498"/>
      <c r="K104" s="499"/>
      <c r="L104" s="499"/>
      <c r="M104" s="499"/>
    </row>
    <row r="105" spans="1:15" s="226" customFormat="1" ht="27.75" customHeight="1" thickTop="1">
      <c r="A105" s="6"/>
      <c r="B105" s="500"/>
      <c r="D105" s="552"/>
      <c r="E105" s="372"/>
      <c r="F105" s="501"/>
      <c r="G105" s="504"/>
      <c r="H105" s="2"/>
      <c r="I105" s="425"/>
      <c r="J105" s="425"/>
      <c r="K105" s="345"/>
      <c r="L105" s="345"/>
    </row>
    <row r="106" spans="1:15" s="226" customFormat="1" ht="27.75" customHeight="1">
      <c r="A106" s="6"/>
      <c r="B106" s="500"/>
      <c r="D106" s="552"/>
      <c r="E106" s="372"/>
      <c r="F106" s="501"/>
      <c r="G106" s="504"/>
      <c r="H106" s="2"/>
      <c r="I106" s="425"/>
      <c r="J106" s="425"/>
      <c r="K106" s="345"/>
      <c r="L106" s="345"/>
    </row>
    <row r="107" spans="1:15" s="226" customFormat="1" ht="27.75" customHeight="1">
      <c r="A107" s="684" t="s">
        <v>932</v>
      </c>
      <c r="B107" s="684"/>
      <c r="C107" s="684"/>
      <c r="D107" s="684"/>
      <c r="E107" s="684"/>
      <c r="F107" s="684"/>
      <c r="G107" s="684"/>
      <c r="H107" s="684"/>
      <c r="I107" s="425"/>
      <c r="J107" s="425"/>
      <c r="K107" s="345"/>
      <c r="L107" s="345"/>
    </row>
    <row r="108" spans="1:15" s="226" customFormat="1" ht="27.75" customHeight="1">
      <c r="A108" s="678" t="s">
        <v>933</v>
      </c>
      <c r="B108" s="678"/>
      <c r="C108" s="678"/>
      <c r="D108" s="678"/>
      <c r="E108" s="678"/>
      <c r="F108" s="678"/>
      <c r="G108" s="678"/>
      <c r="H108" s="678"/>
      <c r="I108" s="425"/>
      <c r="J108" s="425"/>
      <c r="K108" s="345"/>
      <c r="L108" s="345"/>
    </row>
    <row r="109" spans="1:15" s="226" customFormat="1" ht="27.75" customHeight="1">
      <c r="A109" s="678"/>
      <c r="B109" s="678"/>
      <c r="C109" s="678"/>
      <c r="D109" s="678"/>
      <c r="E109" s="678"/>
      <c r="F109" s="678"/>
      <c r="G109" s="678"/>
      <c r="H109" s="678"/>
      <c r="I109" s="425"/>
      <c r="J109" s="425"/>
      <c r="K109" s="345"/>
      <c r="L109" s="345"/>
    </row>
    <row r="110" spans="1:15" s="226" customFormat="1" ht="27.75" customHeight="1">
      <c r="A110" s="6"/>
      <c r="B110" s="500"/>
      <c r="D110" s="552"/>
      <c r="E110" s="372"/>
      <c r="F110" s="501"/>
      <c r="G110" s="504"/>
      <c r="H110" s="2"/>
      <c r="I110" s="425"/>
      <c r="J110" s="425"/>
      <c r="K110" s="345"/>
      <c r="L110" s="345"/>
    </row>
    <row r="111" spans="1:15" s="226" customFormat="1" ht="27.75" customHeight="1">
      <c r="A111" s="6"/>
      <c r="B111" s="500"/>
      <c r="D111" s="552"/>
      <c r="E111" s="372"/>
      <c r="F111" s="501"/>
      <c r="G111" s="430"/>
      <c r="H111" s="2"/>
      <c r="I111" s="425"/>
      <c r="J111" s="425"/>
      <c r="K111" s="345"/>
      <c r="L111" s="345"/>
    </row>
    <row r="112" spans="1:15" s="226" customFormat="1" ht="27.75" customHeight="1">
      <c r="A112" s="6"/>
      <c r="B112" s="500"/>
      <c r="D112" s="552"/>
      <c r="E112" s="372"/>
      <c r="F112" s="501"/>
      <c r="G112" s="504"/>
      <c r="H112" s="2"/>
      <c r="I112" s="425"/>
      <c r="J112" s="425"/>
      <c r="K112" s="345"/>
      <c r="L112" s="345"/>
    </row>
    <row r="113" spans="1:12" s="226" customFormat="1" ht="27.75" customHeight="1">
      <c r="A113" s="6"/>
      <c r="B113" s="500"/>
      <c r="D113" s="552"/>
      <c r="E113" s="372"/>
      <c r="F113" s="501"/>
      <c r="G113" s="504"/>
      <c r="H113" s="2"/>
      <c r="I113" s="425"/>
      <c r="J113" s="425"/>
      <c r="K113" s="345"/>
      <c r="L113" s="345"/>
    </row>
    <row r="114" spans="1:12" s="226" customFormat="1" ht="27.75" customHeight="1">
      <c r="A114" s="6"/>
      <c r="B114" s="500"/>
      <c r="D114" s="552"/>
      <c r="E114" s="372"/>
      <c r="F114" s="501"/>
      <c r="G114" s="504"/>
      <c r="H114" s="2"/>
      <c r="I114" s="425"/>
      <c r="J114" s="425"/>
      <c r="K114" s="345"/>
      <c r="L114" s="345"/>
    </row>
    <row r="115" spans="1:12" s="226" customFormat="1" ht="27.75" customHeight="1">
      <c r="A115" s="6"/>
      <c r="B115" s="500"/>
      <c r="D115" s="552"/>
      <c r="E115" s="372"/>
      <c r="F115" s="501"/>
      <c r="G115" s="504"/>
      <c r="H115" s="2"/>
      <c r="I115" s="425"/>
      <c r="J115" s="425"/>
      <c r="K115" s="345"/>
      <c r="L115" s="345"/>
    </row>
    <row r="116" spans="1:12" s="226" customFormat="1" ht="27.75" customHeight="1">
      <c r="A116" s="6"/>
      <c r="B116" s="500"/>
      <c r="D116" s="552"/>
      <c r="E116" s="372"/>
      <c r="F116" s="501"/>
      <c r="G116" s="504"/>
      <c r="H116" s="2"/>
      <c r="I116" s="425"/>
      <c r="J116" s="425"/>
      <c r="K116" s="345"/>
      <c r="L116" s="345"/>
    </row>
    <row r="117" spans="1:12" s="226" customFormat="1" ht="27.75" customHeight="1">
      <c r="A117" s="6"/>
      <c r="B117" s="500"/>
      <c r="D117" s="552"/>
      <c r="E117" s="372"/>
      <c r="F117" s="501"/>
      <c r="G117" s="504"/>
      <c r="H117" s="2"/>
      <c r="I117" s="425"/>
      <c r="J117" s="425"/>
      <c r="K117" s="345"/>
      <c r="L117" s="345"/>
    </row>
    <row r="118" spans="1:12" s="226" customFormat="1" ht="27.75" customHeight="1">
      <c r="A118" s="6"/>
      <c r="B118" s="500"/>
      <c r="D118" s="552"/>
      <c r="E118" s="372"/>
      <c r="F118" s="501"/>
      <c r="G118" s="504"/>
      <c r="H118" s="2"/>
      <c r="I118" s="425"/>
      <c r="J118" s="425"/>
      <c r="K118" s="345"/>
      <c r="L118" s="345"/>
    </row>
    <row r="119" spans="1:12" s="226" customFormat="1" ht="27.75" customHeight="1">
      <c r="A119" s="6"/>
      <c r="B119" s="500"/>
      <c r="D119" s="552"/>
      <c r="E119" s="372"/>
      <c r="F119" s="501"/>
      <c r="G119" s="504"/>
      <c r="H119" s="2"/>
      <c r="I119" s="425"/>
      <c r="J119" s="425"/>
      <c r="K119" s="345"/>
      <c r="L119" s="345"/>
    </row>
    <row r="120" spans="1:12" s="226" customFormat="1" ht="27.75" customHeight="1">
      <c r="A120" s="6"/>
      <c r="B120" s="500"/>
      <c r="D120" s="552"/>
      <c r="E120" s="372"/>
      <c r="F120" s="501"/>
      <c r="G120" s="504"/>
      <c r="H120" s="2"/>
      <c r="I120" s="425"/>
      <c r="J120" s="425"/>
      <c r="K120" s="345"/>
      <c r="L120" s="345"/>
    </row>
    <row r="121" spans="1:12" s="226" customFormat="1" ht="27.75" customHeight="1">
      <c r="A121" s="6"/>
      <c r="D121" s="552"/>
      <c r="E121" s="372"/>
      <c r="F121" s="501"/>
      <c r="G121" s="504"/>
      <c r="H121" s="2"/>
      <c r="I121" s="425"/>
      <c r="J121" s="425"/>
      <c r="K121" s="345"/>
      <c r="L121" s="345"/>
    </row>
    <row r="122" spans="1:12" ht="27.75" customHeight="1">
      <c r="B122" s="4"/>
      <c r="F122" s="4"/>
      <c r="K122" s="4"/>
      <c r="L122" s="4"/>
    </row>
    <row r="123" spans="1:12" ht="27.75" customHeight="1">
      <c r="B123" s="4"/>
      <c r="F123" s="4"/>
      <c r="K123" s="4"/>
      <c r="L123" s="4"/>
    </row>
    <row r="124" spans="1:12" ht="27.75" customHeight="1">
      <c r="B124" s="4"/>
      <c r="F124" s="4"/>
      <c r="K124" s="4"/>
      <c r="L124" s="4"/>
    </row>
    <row r="125" spans="1:12" ht="27.75" customHeight="1">
      <c r="B125" s="4"/>
      <c r="F125" s="4"/>
      <c r="K125" s="4"/>
      <c r="L125" s="4"/>
    </row>
    <row r="126" spans="1:12" ht="27.75" customHeight="1">
      <c r="B126" s="4"/>
      <c r="F126" s="4"/>
      <c r="K126" s="4"/>
      <c r="L126" s="4"/>
    </row>
    <row r="127" spans="1:12" ht="27.75" customHeight="1">
      <c r="B127" s="4"/>
      <c r="F127" s="4"/>
      <c r="K127" s="4"/>
      <c r="L127" s="4"/>
    </row>
    <row r="128" spans="1:12" ht="27.75" customHeight="1">
      <c r="B128" s="4"/>
      <c r="F128" s="4"/>
      <c r="K128" s="4"/>
      <c r="L128" s="4"/>
    </row>
    <row r="129" spans="2:12" ht="27.75" customHeight="1">
      <c r="B129" s="4"/>
      <c r="F129" s="4"/>
      <c r="K129" s="4"/>
      <c r="L129" s="4"/>
    </row>
    <row r="130" spans="2:12" ht="27.75" customHeight="1">
      <c r="B130" s="4"/>
      <c r="F130" s="4"/>
      <c r="K130" s="4"/>
      <c r="L130" s="4"/>
    </row>
    <row r="131" spans="2:12" ht="27.75" customHeight="1">
      <c r="B131" s="4"/>
      <c r="F131" s="4"/>
      <c r="K131" s="4"/>
      <c r="L131" s="4"/>
    </row>
    <row r="132" spans="2:12" ht="27.75" customHeight="1">
      <c r="B132" s="4"/>
      <c r="F132" s="4"/>
      <c r="K132" s="4"/>
      <c r="L132" s="4"/>
    </row>
    <row r="133" spans="2:12" ht="27.75" customHeight="1">
      <c r="B133" s="4"/>
      <c r="F133" s="4"/>
      <c r="K133" s="4"/>
      <c r="L133" s="4"/>
    </row>
    <row r="134" spans="2:12" ht="27.75" customHeight="1">
      <c r="B134" s="4"/>
      <c r="F134" s="4"/>
      <c r="K134" s="4"/>
      <c r="L134" s="4"/>
    </row>
    <row r="135" spans="2:12" ht="27.75" customHeight="1">
      <c r="B135" s="4"/>
      <c r="F135" s="4"/>
      <c r="K135" s="4"/>
      <c r="L135" s="4"/>
    </row>
    <row r="136" spans="2:12" ht="27.75" customHeight="1">
      <c r="B136" s="4"/>
      <c r="F136" s="4"/>
      <c r="K136" s="4"/>
      <c r="L136" s="4"/>
    </row>
    <row r="137" spans="2:12" ht="27.75" customHeight="1">
      <c r="B137" s="4"/>
      <c r="F137" s="4"/>
      <c r="K137" s="4"/>
      <c r="L137" s="4"/>
    </row>
    <row r="149" spans="4:7" s="4" customFormat="1" ht="27.75" customHeight="1">
      <c r="D149" s="552"/>
      <c r="E149" s="372"/>
      <c r="G149" s="507"/>
    </row>
    <row r="150" spans="4:7" s="4" customFormat="1" ht="27.75" customHeight="1">
      <c r="D150" s="552"/>
      <c r="E150" s="372"/>
      <c r="G150" s="507"/>
    </row>
    <row r="151" spans="4:7" s="4" customFormat="1" ht="27.75" customHeight="1">
      <c r="D151" s="552"/>
      <c r="E151" s="372"/>
      <c r="G151" s="507"/>
    </row>
    <row r="152" spans="4:7" s="4" customFormat="1" ht="27.75" customHeight="1">
      <c r="D152" s="552"/>
      <c r="E152" s="372"/>
      <c r="G152" s="507"/>
    </row>
    <row r="153" spans="4:7" s="4" customFormat="1" ht="27.75" customHeight="1">
      <c r="D153" s="552"/>
      <c r="E153" s="372"/>
      <c r="G153" s="507"/>
    </row>
    <row r="154" spans="4:7" s="4" customFormat="1" ht="27.75" customHeight="1">
      <c r="D154" s="552"/>
      <c r="E154" s="372"/>
      <c r="G154" s="507"/>
    </row>
    <row r="155" spans="4:7" s="4" customFormat="1" ht="27.75" customHeight="1">
      <c r="D155" s="552"/>
      <c r="E155" s="372"/>
      <c r="G155" s="507"/>
    </row>
    <row r="156" spans="4:7" s="4" customFormat="1" ht="27.75" customHeight="1">
      <c r="D156" s="552"/>
      <c r="E156" s="372"/>
      <c r="G156" s="507"/>
    </row>
    <row r="157" spans="4:7" s="4" customFormat="1" ht="27.75" customHeight="1">
      <c r="D157" s="552"/>
      <c r="E157" s="372"/>
      <c r="G157" s="507"/>
    </row>
    <row r="158" spans="4:7" s="4" customFormat="1" ht="27.75" customHeight="1">
      <c r="D158" s="552"/>
      <c r="E158" s="372"/>
      <c r="G158" s="507"/>
    </row>
    <row r="159" spans="4:7" s="4" customFormat="1" ht="27.75" customHeight="1">
      <c r="D159" s="552"/>
      <c r="E159" s="372"/>
      <c r="G159" s="507"/>
    </row>
    <row r="160" spans="4:7" s="4" customFormat="1" ht="27.75" customHeight="1">
      <c r="D160" s="552"/>
      <c r="E160" s="372"/>
      <c r="G160" s="507"/>
    </row>
    <row r="161" spans="4:7" s="4" customFormat="1" ht="27.75" customHeight="1">
      <c r="D161" s="552"/>
      <c r="E161" s="372"/>
      <c r="G161" s="507"/>
    </row>
  </sheetData>
  <mergeCells count="20">
    <mergeCell ref="A108:H108"/>
    <mergeCell ref="A109:H109"/>
    <mergeCell ref="F5:F6"/>
    <mergeCell ref="B89:C89"/>
    <mergeCell ref="B93:C93"/>
    <mergeCell ref="B96:C96"/>
    <mergeCell ref="A107:H107"/>
    <mergeCell ref="I4:I6"/>
    <mergeCell ref="J4:J6"/>
    <mergeCell ref="K4:K6"/>
    <mergeCell ref="L4:L6"/>
    <mergeCell ref="A5:A6"/>
    <mergeCell ref="B5:B6"/>
    <mergeCell ref="C5:C6"/>
    <mergeCell ref="A1:G1"/>
    <mergeCell ref="A2:G2"/>
    <mergeCell ref="A3:G3"/>
    <mergeCell ref="E4:G4"/>
    <mergeCell ref="H4:H6"/>
    <mergeCell ref="E5:E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93DFC-AE10-4D8C-BCD5-F2D21EC7EBEF}">
  <sheetPr>
    <tabColor rgb="FF92D050"/>
  </sheetPr>
  <dimension ref="A1:P93"/>
  <sheetViews>
    <sheetView zoomScale="70" zoomScaleNormal="70" workbookViewId="0">
      <pane ySplit="6" topLeftCell="A15" activePane="bottomLeft" state="frozen"/>
      <selection pane="bottomLeft" activeCell="V13" sqref="V13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0" style="372" customWidth="1"/>
    <col min="5" max="5" width="9.109375" style="2" customWidth="1"/>
    <col min="6" max="6" width="23.6640625" style="507" customWidth="1"/>
    <col min="7" max="7" width="5.33203125" style="2" hidden="1" customWidth="1"/>
    <col min="8" max="8" width="9" style="508" hidden="1" customWidth="1"/>
    <col min="9" max="9" width="9.6640625" style="508" hidden="1" customWidth="1"/>
    <col min="10" max="10" width="10.88671875" style="512" hidden="1" customWidth="1"/>
    <col min="11" max="11" width="24.5546875" style="512" hidden="1" customWidth="1"/>
    <col min="12" max="13" width="8.88671875" style="4" hidden="1" customWidth="1"/>
    <col min="14" max="14" width="8.88671875" style="4"/>
    <col min="15" max="16" width="11.6640625" style="4" bestFit="1" customWidth="1"/>
    <col min="17" max="16384" width="8.88671875" style="4"/>
  </cols>
  <sheetData>
    <row r="1" spans="1:16" ht="28.5" customHeight="1">
      <c r="A1" s="653" t="s">
        <v>0</v>
      </c>
      <c r="B1" s="653"/>
      <c r="C1" s="653"/>
      <c r="D1" s="653"/>
      <c r="E1" s="653"/>
      <c r="F1" s="653"/>
      <c r="H1" s="3"/>
      <c r="I1" s="3"/>
      <c r="J1" s="1"/>
      <c r="K1" s="1"/>
    </row>
    <row r="2" spans="1:16" ht="23.25" customHeight="1">
      <c r="A2" s="653" t="s">
        <v>1</v>
      </c>
      <c r="B2" s="653"/>
      <c r="C2" s="653"/>
      <c r="D2" s="653"/>
      <c r="E2" s="653"/>
      <c r="F2" s="653"/>
      <c r="G2" s="5"/>
      <c r="H2" s="3"/>
      <c r="I2" s="3"/>
      <c r="J2" s="1"/>
      <c r="K2" s="1"/>
    </row>
    <row r="3" spans="1:16" ht="28.5" customHeight="1">
      <c r="A3" s="654" t="s">
        <v>820</v>
      </c>
      <c r="B3" s="654"/>
      <c r="C3" s="654"/>
      <c r="D3" s="654"/>
      <c r="E3" s="654"/>
      <c r="F3" s="654"/>
      <c r="H3" s="3"/>
      <c r="I3" s="3"/>
      <c r="J3" s="6"/>
      <c r="K3" s="6"/>
    </row>
    <row r="4" spans="1:16" ht="27.75" customHeight="1">
      <c r="A4" s="7"/>
      <c r="B4" s="8"/>
      <c r="C4" s="9"/>
      <c r="D4" s="655" t="s">
        <v>5</v>
      </c>
      <c r="E4" s="656"/>
      <c r="F4" s="657"/>
      <c r="G4" s="658" t="s">
        <v>6</v>
      </c>
      <c r="H4" s="671" t="s">
        <v>7</v>
      </c>
      <c r="I4" s="671" t="s">
        <v>8</v>
      </c>
      <c r="J4" s="661" t="s">
        <v>9</v>
      </c>
      <c r="K4" s="661" t="s">
        <v>10</v>
      </c>
    </row>
    <row r="5" spans="1:16" ht="27.75" customHeight="1">
      <c r="A5" s="664" t="s">
        <v>11</v>
      </c>
      <c r="B5" s="666" t="s">
        <v>12</v>
      </c>
      <c r="C5" s="666" t="s">
        <v>13</v>
      </c>
      <c r="D5" s="664" t="s">
        <v>15</v>
      </c>
      <c r="E5" s="669" t="s">
        <v>16</v>
      </c>
      <c r="F5" s="514"/>
      <c r="G5" s="659"/>
      <c r="H5" s="672"/>
      <c r="I5" s="672"/>
      <c r="J5" s="662"/>
      <c r="K5" s="662"/>
    </row>
    <row r="6" spans="1:16" ht="27.75" customHeight="1" thickBot="1">
      <c r="A6" s="665"/>
      <c r="B6" s="667"/>
      <c r="C6" s="667"/>
      <c r="D6" s="668"/>
      <c r="E6" s="670"/>
      <c r="F6" s="21" t="s">
        <v>22</v>
      </c>
      <c r="G6" s="660"/>
      <c r="H6" s="673"/>
      <c r="I6" s="673"/>
      <c r="J6" s="663"/>
      <c r="K6" s="663"/>
    </row>
    <row r="7" spans="1:16" ht="27.75" customHeight="1" thickTop="1">
      <c r="A7" s="232"/>
      <c r="B7" s="568" t="s">
        <v>934</v>
      </c>
      <c r="C7" s="553"/>
      <c r="D7" s="232"/>
      <c r="E7" s="251"/>
      <c r="F7" s="554"/>
      <c r="G7" s="517"/>
      <c r="H7" s="515"/>
      <c r="I7" s="515"/>
      <c r="J7" s="516"/>
      <c r="K7" s="516"/>
    </row>
    <row r="8" spans="1:16" ht="27.75" customHeight="1">
      <c r="A8" s="39">
        <v>1</v>
      </c>
      <c r="B8" s="40" t="s">
        <v>78</v>
      </c>
      <c r="C8" s="81" t="s">
        <v>72</v>
      </c>
      <c r="D8" s="94" t="s">
        <v>801</v>
      </c>
      <c r="E8" s="116">
        <v>1</v>
      </c>
      <c r="F8" s="54">
        <v>11492.662990654208</v>
      </c>
      <c r="G8" s="39"/>
      <c r="H8" s="55"/>
      <c r="I8" s="55"/>
      <c r="J8" s="56"/>
      <c r="K8" s="56"/>
    </row>
    <row r="9" spans="1:16" ht="27.75" customHeight="1">
      <c r="A9" s="39">
        <v>2</v>
      </c>
      <c r="B9" s="40" t="s">
        <v>82</v>
      </c>
      <c r="C9" s="41" t="s">
        <v>72</v>
      </c>
      <c r="D9" s="94" t="s">
        <v>801</v>
      </c>
      <c r="E9" s="116">
        <v>1</v>
      </c>
      <c r="F9" s="54">
        <v>1754.798130841122</v>
      </c>
      <c r="G9" s="39"/>
      <c r="H9" s="55"/>
      <c r="I9" s="55"/>
      <c r="J9" s="56"/>
      <c r="K9" s="56"/>
    </row>
    <row r="10" spans="1:16" s="57" customFormat="1" ht="27.75" customHeight="1">
      <c r="A10" s="39">
        <v>3</v>
      </c>
      <c r="B10" s="40" t="s">
        <v>130</v>
      </c>
      <c r="C10" s="140" t="s">
        <v>102</v>
      </c>
      <c r="D10" s="145" t="s">
        <v>801</v>
      </c>
      <c r="E10" s="146">
        <v>1</v>
      </c>
      <c r="F10" s="47">
        <v>160.5</v>
      </c>
      <c r="G10" s="146"/>
      <c r="H10" s="148"/>
      <c r="I10" s="148"/>
      <c r="J10" s="149"/>
      <c r="K10" s="149"/>
    </row>
    <row r="11" spans="1:16" ht="27.75" customHeight="1">
      <c r="A11" s="39">
        <v>4</v>
      </c>
      <c r="B11" s="40" t="s">
        <v>180</v>
      </c>
      <c r="C11" s="41" t="s">
        <v>181</v>
      </c>
      <c r="D11" s="83" t="s">
        <v>801</v>
      </c>
      <c r="E11" s="39">
        <v>1</v>
      </c>
      <c r="F11" s="47">
        <v>1364.25</v>
      </c>
      <c r="G11" s="116"/>
      <c r="H11" s="203"/>
      <c r="I11" s="203"/>
      <c r="J11" s="204"/>
      <c r="K11" s="204"/>
    </row>
    <row r="12" spans="1:16" s="226" customFormat="1" ht="27.75" customHeight="1">
      <c r="A12" s="39">
        <v>5</v>
      </c>
      <c r="B12" s="41" t="s">
        <v>252</v>
      </c>
      <c r="C12" s="224" t="s">
        <v>253</v>
      </c>
      <c r="D12" s="83" t="s">
        <v>801</v>
      </c>
      <c r="E12" s="116">
        <v>1</v>
      </c>
      <c r="F12" s="47">
        <v>6420</v>
      </c>
      <c r="G12" s="39"/>
      <c r="H12" s="55"/>
      <c r="I12" s="55"/>
      <c r="J12" s="56"/>
      <c r="K12" s="56"/>
    </row>
    <row r="13" spans="1:16" s="226" customFormat="1" ht="27.75" customHeight="1">
      <c r="A13" s="39">
        <v>6</v>
      </c>
      <c r="B13" s="41" t="s">
        <v>254</v>
      </c>
      <c r="C13" s="224" t="s">
        <v>255</v>
      </c>
      <c r="D13" s="83" t="s">
        <v>801</v>
      </c>
      <c r="E13" s="116">
        <v>0.93457943925233611</v>
      </c>
      <c r="F13" s="47">
        <v>9630</v>
      </c>
      <c r="G13" s="39"/>
      <c r="H13" s="55"/>
      <c r="I13" s="55"/>
      <c r="J13" s="56"/>
      <c r="K13" s="56"/>
    </row>
    <row r="14" spans="1:16" s="226" customFormat="1" ht="27.75" customHeight="1">
      <c r="A14" s="39">
        <v>7</v>
      </c>
      <c r="B14" s="81" t="s">
        <v>267</v>
      </c>
      <c r="C14" s="224" t="s">
        <v>268</v>
      </c>
      <c r="D14" s="83" t="s">
        <v>801</v>
      </c>
      <c r="E14" s="116">
        <v>0.93457943925233578</v>
      </c>
      <c r="F14" s="47">
        <v>6420</v>
      </c>
      <c r="G14" s="39"/>
      <c r="H14" s="55"/>
      <c r="I14" s="55"/>
      <c r="J14" s="56"/>
      <c r="K14" s="56"/>
    </row>
    <row r="15" spans="1:16" ht="27.75" customHeight="1">
      <c r="A15" s="39">
        <v>8</v>
      </c>
      <c r="B15" s="280" t="s">
        <v>294</v>
      </c>
      <c r="C15" s="280" t="s">
        <v>255</v>
      </c>
      <c r="D15" s="320" t="s">
        <v>801</v>
      </c>
      <c r="E15" s="39">
        <v>1</v>
      </c>
      <c r="F15" s="66">
        <v>21.4</v>
      </c>
      <c r="G15" s="36"/>
      <c r="H15" s="37"/>
      <c r="I15" s="37"/>
      <c r="J15" s="38"/>
      <c r="K15" s="38"/>
      <c r="L15" s="38"/>
    </row>
    <row r="16" spans="1:16" ht="27.75" customHeight="1" thickBot="1">
      <c r="A16" s="414"/>
      <c r="B16" s="415"/>
      <c r="C16" s="416" t="s">
        <v>468</v>
      </c>
      <c r="D16" s="423"/>
      <c r="E16" s="422"/>
      <c r="F16" s="420">
        <v>37263.611869158871</v>
      </c>
      <c r="G16" s="424"/>
      <c r="H16" s="425"/>
      <c r="I16" s="425"/>
      <c r="J16" s="345"/>
      <c r="K16" s="345"/>
      <c r="L16" s="345"/>
      <c r="P16" s="57">
        <f>SUM(F8:F15)</f>
        <v>37263.611121495334</v>
      </c>
    </row>
    <row r="17" spans="1:14" ht="27.75" customHeight="1" thickTop="1">
      <c r="A17" s="426"/>
      <c r="B17" s="4"/>
      <c r="C17" s="295"/>
      <c r="D17" s="433"/>
      <c r="E17" s="427"/>
      <c r="F17" s="430"/>
      <c r="G17" s="424"/>
      <c r="H17" s="425"/>
      <c r="I17" s="425"/>
      <c r="J17" s="345"/>
      <c r="K17" s="345"/>
      <c r="L17" s="345"/>
    </row>
    <row r="18" spans="1:14" ht="27.75" customHeight="1">
      <c r="A18" s="426"/>
      <c r="B18" s="434" t="s">
        <v>469</v>
      </c>
      <c r="C18" s="295"/>
      <c r="D18" s="433"/>
      <c r="E18" s="427"/>
      <c r="F18" s="430"/>
      <c r="G18" s="424"/>
      <c r="H18" s="425"/>
      <c r="I18" s="425"/>
      <c r="J18" s="345"/>
      <c r="K18" s="345"/>
      <c r="L18" s="345"/>
    </row>
    <row r="19" spans="1:14" ht="27.75" customHeight="1">
      <c r="A19" s="435">
        <v>1</v>
      </c>
      <c r="B19" s="436" t="s">
        <v>470</v>
      </c>
      <c r="C19" s="437" t="s">
        <v>471</v>
      </c>
      <c r="D19" s="435" t="s">
        <v>473</v>
      </c>
      <c r="E19" s="444">
        <v>21</v>
      </c>
      <c r="F19" s="17">
        <v>361288.35</v>
      </c>
      <c r="G19" s="251" t="s">
        <v>195</v>
      </c>
      <c r="H19" s="446">
        <v>41883</v>
      </c>
      <c r="I19" s="446">
        <v>42978</v>
      </c>
      <c r="J19" s="447">
        <v>90000</v>
      </c>
      <c r="K19" s="447" t="s">
        <v>474</v>
      </c>
      <c r="N19" s="4" t="s">
        <v>475</v>
      </c>
    </row>
    <row r="20" spans="1:14" ht="27.75" customHeight="1">
      <c r="A20" s="435"/>
      <c r="B20" s="436" t="s">
        <v>476</v>
      </c>
      <c r="C20" s="437"/>
      <c r="D20" s="435"/>
      <c r="E20" s="444"/>
      <c r="F20" s="17">
        <v>0</v>
      </c>
      <c r="G20" s="116"/>
      <c r="H20" s="203"/>
      <c r="I20" s="203"/>
      <c r="J20" s="204"/>
      <c r="K20" s="204"/>
    </row>
    <row r="21" spans="1:14" ht="27.75" customHeight="1">
      <c r="A21" s="435"/>
      <c r="B21" s="674" t="s">
        <v>477</v>
      </c>
      <c r="C21" s="675"/>
      <c r="D21" s="435"/>
      <c r="E21" s="444"/>
      <c r="F21" s="17">
        <v>0</v>
      </c>
      <c r="G21" s="116"/>
      <c r="H21" s="203"/>
      <c r="I21" s="203"/>
      <c r="J21" s="204"/>
      <c r="K21" s="204"/>
    </row>
    <row r="22" spans="1:14" ht="27.75" customHeight="1">
      <c r="A22" s="435">
        <v>2</v>
      </c>
      <c r="B22" s="450" t="s">
        <v>470</v>
      </c>
      <c r="C22" s="451" t="s">
        <v>478</v>
      </c>
      <c r="D22" s="435" t="s">
        <v>479</v>
      </c>
      <c r="E22" s="444">
        <v>6</v>
      </c>
      <c r="F22" s="17">
        <v>96700.72</v>
      </c>
      <c r="G22" s="116"/>
      <c r="H22" s="203"/>
      <c r="I22" s="203"/>
      <c r="J22" s="204"/>
      <c r="K22" s="204"/>
      <c r="N22" s="4" t="s">
        <v>475</v>
      </c>
    </row>
    <row r="23" spans="1:14" ht="27.75" customHeight="1">
      <c r="A23" s="435">
        <v>3</v>
      </c>
      <c r="B23" s="450" t="s">
        <v>470</v>
      </c>
      <c r="C23" s="451" t="s">
        <v>480</v>
      </c>
      <c r="D23" s="435" t="s">
        <v>481</v>
      </c>
      <c r="E23" s="444">
        <v>16</v>
      </c>
      <c r="F23" s="17">
        <v>285799.45</v>
      </c>
      <c r="G23" s="116"/>
      <c r="H23" s="203"/>
      <c r="I23" s="203"/>
      <c r="J23" s="204"/>
      <c r="K23" s="204"/>
      <c r="N23" s="4" t="s">
        <v>475</v>
      </c>
    </row>
    <row r="24" spans="1:14" s="226" customFormat="1" ht="27.75" customHeight="1">
      <c r="A24" s="440">
        <v>4</v>
      </c>
      <c r="B24" s="436" t="s">
        <v>470</v>
      </c>
      <c r="C24" s="453" t="s">
        <v>482</v>
      </c>
      <c r="D24" s="435" t="s">
        <v>483</v>
      </c>
      <c r="E24" s="448" t="s">
        <v>195</v>
      </c>
      <c r="F24" s="17">
        <v>57055.05</v>
      </c>
      <c r="G24" s="39"/>
      <c r="H24" s="55"/>
      <c r="I24" s="55"/>
      <c r="J24" s="141"/>
      <c r="K24" s="141"/>
      <c r="N24" s="4" t="s">
        <v>475</v>
      </c>
    </row>
    <row r="25" spans="1:14" s="226" customFormat="1" ht="27.75" customHeight="1">
      <c r="A25" s="440"/>
      <c r="B25" s="676" t="s">
        <v>484</v>
      </c>
      <c r="C25" s="677"/>
      <c r="D25" s="435"/>
      <c r="E25" s="448"/>
      <c r="F25" s="17">
        <v>0</v>
      </c>
      <c r="G25" s="122"/>
      <c r="H25" s="37"/>
      <c r="I25" s="37"/>
      <c r="J25" s="459"/>
      <c r="K25" s="459"/>
      <c r="N25" s="4" t="s">
        <v>475</v>
      </c>
    </row>
    <row r="26" spans="1:14" ht="27.75" customHeight="1">
      <c r="A26" s="460">
        <v>5</v>
      </c>
      <c r="B26" s="436" t="s">
        <v>470</v>
      </c>
      <c r="C26" s="461" t="s">
        <v>485</v>
      </c>
      <c r="D26" s="435" t="s">
        <v>486</v>
      </c>
      <c r="E26" s="464" t="s">
        <v>195</v>
      </c>
      <c r="F26" s="17">
        <v>28958.15</v>
      </c>
      <c r="G26" s="36"/>
      <c r="H26" s="37"/>
      <c r="I26" s="37"/>
      <c r="J26" s="38"/>
      <c r="K26" s="38"/>
      <c r="L26" s="38"/>
      <c r="N26" s="4" t="s">
        <v>475</v>
      </c>
    </row>
    <row r="27" spans="1:14" ht="27.6" customHeight="1">
      <c r="A27" s="460"/>
      <c r="B27" s="436" t="s">
        <v>488</v>
      </c>
      <c r="C27" s="461"/>
      <c r="D27" s="435"/>
      <c r="E27" s="444"/>
      <c r="F27" s="17"/>
      <c r="G27" s="36"/>
      <c r="H27" s="37"/>
      <c r="I27" s="37"/>
      <c r="J27" s="38"/>
      <c r="K27" s="38"/>
      <c r="L27" s="38"/>
    </row>
    <row r="28" spans="1:14" ht="27.6" customHeight="1">
      <c r="A28" s="460"/>
      <c r="B28" s="674" t="s">
        <v>489</v>
      </c>
      <c r="C28" s="675"/>
      <c r="D28" s="435"/>
      <c r="E28" s="444"/>
      <c r="F28" s="17"/>
      <c r="G28" s="36"/>
      <c r="H28" s="37"/>
      <c r="I28" s="37"/>
      <c r="J28" s="38"/>
      <c r="K28" s="38"/>
      <c r="L28" s="38"/>
    </row>
    <row r="29" spans="1:14" ht="27.75" customHeight="1" thickBot="1">
      <c r="A29" s="465"/>
      <c r="B29" s="466" t="s">
        <v>22</v>
      </c>
      <c r="C29" s="195"/>
      <c r="D29" s="315"/>
      <c r="E29" s="310"/>
      <c r="F29" s="313">
        <v>829801.72000000009</v>
      </c>
      <c r="G29" s="36"/>
      <c r="H29" s="37"/>
      <c r="I29" s="37"/>
      <c r="J29" s="38"/>
      <c r="K29" s="38"/>
      <c r="L29" s="38"/>
    </row>
    <row r="30" spans="1:14" ht="27.75" customHeight="1" thickTop="1">
      <c r="A30" s="468"/>
      <c r="B30" s="469" t="s">
        <v>490</v>
      </c>
      <c r="C30" s="470"/>
      <c r="D30" s="186"/>
      <c r="E30" s="116"/>
      <c r="F30" s="474"/>
      <c r="G30" s="36"/>
      <c r="H30" s="37"/>
      <c r="I30" s="37"/>
      <c r="J30" s="38"/>
      <c r="K30" s="38"/>
      <c r="L30" s="38"/>
    </row>
    <row r="31" spans="1:14" ht="27.75" customHeight="1">
      <c r="A31" s="475">
        <v>1</v>
      </c>
      <c r="B31" s="436" t="s">
        <v>491</v>
      </c>
      <c r="C31" s="437" t="s">
        <v>492</v>
      </c>
      <c r="D31" s="435"/>
      <c r="E31" s="477"/>
      <c r="F31" s="481"/>
      <c r="G31" s="356"/>
      <c r="H31" s="482"/>
      <c r="I31" s="482"/>
      <c r="J31" s="483"/>
      <c r="K31" s="483"/>
      <c r="N31" s="4" t="s">
        <v>493</v>
      </c>
    </row>
    <row r="32" spans="1:14" ht="27.75" customHeight="1">
      <c r="A32" s="475"/>
      <c r="B32" s="484" t="s">
        <v>494</v>
      </c>
      <c r="C32" s="437"/>
      <c r="D32" s="435"/>
      <c r="E32" s="477"/>
      <c r="F32" s="481"/>
      <c r="G32" s="485"/>
      <c r="H32" s="486"/>
      <c r="I32" s="486"/>
      <c r="J32" s="487"/>
      <c r="K32" s="487"/>
    </row>
    <row r="33" spans="1:12" ht="27.75" customHeight="1">
      <c r="A33" s="475">
        <v>2</v>
      </c>
      <c r="B33" s="436" t="s">
        <v>495</v>
      </c>
      <c r="C33" s="437" t="s">
        <v>496</v>
      </c>
      <c r="D33" s="435"/>
      <c r="E33" s="477" t="s">
        <v>497</v>
      </c>
      <c r="F33" s="17">
        <v>8214529.25</v>
      </c>
      <c r="G33" s="485"/>
      <c r="H33" s="486"/>
      <c r="I33" s="486"/>
      <c r="J33" s="487"/>
      <c r="K33" s="487"/>
    </row>
    <row r="34" spans="1:12" ht="27.75" customHeight="1">
      <c r="A34" s="405"/>
      <c r="B34" s="234" t="s">
        <v>22</v>
      </c>
      <c r="C34" s="407"/>
      <c r="D34" s="412"/>
      <c r="E34" s="408"/>
      <c r="F34" s="239">
        <v>8214529.25</v>
      </c>
      <c r="G34" s="278"/>
      <c r="H34" s="279"/>
      <c r="I34" s="279"/>
      <c r="J34" s="413"/>
      <c r="K34" s="413"/>
      <c r="L34" s="413"/>
    </row>
    <row r="35" spans="1:12" ht="27.75" customHeight="1">
      <c r="A35" s="426"/>
      <c r="B35" s="4"/>
      <c r="C35" s="295"/>
      <c r="D35" s="433"/>
      <c r="E35" s="427"/>
      <c r="F35" s="430"/>
      <c r="G35" s="424"/>
      <c r="H35" s="425"/>
      <c r="I35" s="425"/>
      <c r="J35" s="345"/>
      <c r="K35" s="345"/>
      <c r="L35" s="345"/>
    </row>
    <row r="36" spans="1:12" ht="27.75" customHeight="1" thickBot="1">
      <c r="A36" s="488"/>
      <c r="B36" s="489" t="s">
        <v>498</v>
      </c>
      <c r="C36" s="490"/>
      <c r="D36" s="495"/>
      <c r="E36" s="496"/>
      <c r="F36" s="493">
        <v>9081594.5818691589</v>
      </c>
      <c r="G36" s="497">
        <v>0</v>
      </c>
      <c r="H36" s="497">
        <v>0</v>
      </c>
      <c r="I36" s="498"/>
      <c r="J36" s="499"/>
      <c r="K36" s="499"/>
      <c r="L36" s="499"/>
    </row>
    <row r="37" spans="1:12" s="226" customFormat="1" ht="27.75" customHeight="1" thickTop="1">
      <c r="A37" s="6"/>
      <c r="B37" s="500"/>
      <c r="D37" s="372"/>
      <c r="E37" s="501"/>
      <c r="F37" s="504"/>
      <c r="G37" s="2"/>
      <c r="H37" s="425"/>
      <c r="I37" s="425"/>
      <c r="J37" s="345"/>
      <c r="K37" s="345"/>
    </row>
    <row r="38" spans="1:12" s="226" customFormat="1" ht="27.75" customHeight="1">
      <c r="A38" s="6"/>
      <c r="B38" s="500"/>
      <c r="D38" s="372"/>
      <c r="E38" s="501"/>
      <c r="F38" s="504"/>
      <c r="G38" s="2"/>
      <c r="H38" s="425"/>
      <c r="I38" s="425"/>
      <c r="J38" s="345"/>
      <c r="K38" s="345"/>
    </row>
    <row r="39" spans="1:12" s="226" customFormat="1" ht="27.75" customHeight="1">
      <c r="A39" s="684" t="s">
        <v>932</v>
      </c>
      <c r="B39" s="684"/>
      <c r="C39" s="684"/>
      <c r="D39" s="684"/>
      <c r="E39" s="684"/>
      <c r="F39" s="684"/>
      <c r="G39" s="684"/>
      <c r="H39" s="425"/>
      <c r="I39" s="425"/>
      <c r="J39" s="345"/>
      <c r="K39" s="345"/>
    </row>
    <row r="40" spans="1:12" s="226" customFormat="1" ht="27.75" customHeight="1">
      <c r="A40" s="678" t="s">
        <v>933</v>
      </c>
      <c r="B40" s="678"/>
      <c r="C40" s="678"/>
      <c r="D40" s="678"/>
      <c r="E40" s="678"/>
      <c r="F40" s="678"/>
      <c r="G40" s="678"/>
      <c r="H40" s="425"/>
      <c r="I40" s="425"/>
      <c r="J40" s="345"/>
      <c r="K40" s="345"/>
    </row>
    <row r="41" spans="1:12" s="226" customFormat="1" ht="27.75" customHeight="1">
      <c r="A41" s="678"/>
      <c r="B41" s="678"/>
      <c r="C41" s="678"/>
      <c r="D41" s="678"/>
      <c r="E41" s="678"/>
      <c r="F41" s="678"/>
      <c r="G41" s="678"/>
      <c r="H41" s="425"/>
      <c r="I41" s="425"/>
      <c r="J41" s="345"/>
      <c r="K41" s="345"/>
    </row>
    <row r="42" spans="1:12" s="226" customFormat="1" ht="27.75" customHeight="1">
      <c r="A42" s="6"/>
      <c r="B42" s="500"/>
      <c r="D42" s="372"/>
      <c r="E42" s="501"/>
      <c r="F42" s="504"/>
      <c r="G42" s="2"/>
      <c r="H42" s="425"/>
      <c r="I42" s="425"/>
      <c r="J42" s="345"/>
      <c r="K42" s="345"/>
    </row>
    <row r="43" spans="1:12" s="226" customFormat="1" ht="27.75" customHeight="1">
      <c r="A43" s="6"/>
      <c r="B43" s="500"/>
      <c r="D43" s="372"/>
      <c r="E43" s="501"/>
      <c r="F43" s="430"/>
      <c r="G43" s="2"/>
      <c r="H43" s="425"/>
      <c r="I43" s="425"/>
      <c r="J43" s="345"/>
      <c r="K43" s="345"/>
    </row>
    <row r="44" spans="1:12" s="226" customFormat="1" ht="27.75" customHeight="1">
      <c r="A44" s="6"/>
      <c r="B44" s="500"/>
      <c r="D44" s="372"/>
      <c r="E44" s="501"/>
      <c r="F44" s="504"/>
      <c r="G44" s="2"/>
      <c r="H44" s="425"/>
      <c r="I44" s="425"/>
      <c r="J44" s="345"/>
      <c r="K44" s="345"/>
    </row>
    <row r="45" spans="1:12" s="226" customFormat="1" ht="27.75" customHeight="1">
      <c r="A45" s="6"/>
      <c r="B45" s="500"/>
      <c r="D45" s="372"/>
      <c r="E45" s="501"/>
      <c r="F45" s="504"/>
      <c r="G45" s="2"/>
      <c r="H45" s="425"/>
      <c r="I45" s="425"/>
      <c r="J45" s="345"/>
      <c r="K45" s="345"/>
    </row>
    <row r="46" spans="1:12" s="226" customFormat="1" ht="27.75" customHeight="1">
      <c r="A46" s="6"/>
      <c r="B46" s="500"/>
      <c r="D46" s="372"/>
      <c r="E46" s="501"/>
      <c r="F46" s="504"/>
      <c r="G46" s="2"/>
      <c r="H46" s="425"/>
      <c r="I46" s="425"/>
      <c r="J46" s="345"/>
      <c r="K46" s="345"/>
    </row>
    <row r="47" spans="1:12" s="226" customFormat="1" ht="27.75" customHeight="1">
      <c r="A47" s="6"/>
      <c r="B47" s="500"/>
      <c r="D47" s="372"/>
      <c r="E47" s="501"/>
      <c r="F47" s="504"/>
      <c r="G47" s="2"/>
      <c r="H47" s="425"/>
      <c r="I47" s="425"/>
      <c r="J47" s="345"/>
      <c r="K47" s="345"/>
    </row>
    <row r="48" spans="1:12" s="226" customFormat="1" ht="27.75" customHeight="1">
      <c r="A48" s="6"/>
      <c r="B48" s="500"/>
      <c r="D48" s="372"/>
      <c r="E48" s="501"/>
      <c r="F48" s="504"/>
      <c r="G48" s="2"/>
      <c r="H48" s="425"/>
      <c r="I48" s="425"/>
      <c r="J48" s="345"/>
      <c r="K48" s="345"/>
    </row>
    <row r="49" spans="1:11" s="226" customFormat="1" ht="27.75" customHeight="1">
      <c r="A49" s="6"/>
      <c r="B49" s="500"/>
      <c r="D49" s="372"/>
      <c r="E49" s="501"/>
      <c r="F49" s="504"/>
      <c r="G49" s="2"/>
      <c r="H49" s="425"/>
      <c r="I49" s="425"/>
      <c r="J49" s="345"/>
      <c r="K49" s="345"/>
    </row>
    <row r="50" spans="1:11" s="226" customFormat="1" ht="27.75" customHeight="1">
      <c r="A50" s="6"/>
      <c r="B50" s="500"/>
      <c r="D50" s="372"/>
      <c r="E50" s="501"/>
      <c r="F50" s="504"/>
      <c r="G50" s="2"/>
      <c r="H50" s="425"/>
      <c r="I50" s="425"/>
      <c r="J50" s="345"/>
      <c r="K50" s="345"/>
    </row>
    <row r="51" spans="1:11" s="226" customFormat="1" ht="27.75" customHeight="1">
      <c r="A51" s="6"/>
      <c r="B51" s="500"/>
      <c r="D51" s="372"/>
      <c r="E51" s="501"/>
      <c r="F51" s="504"/>
      <c r="G51" s="2"/>
      <c r="H51" s="425"/>
      <c r="I51" s="425"/>
      <c r="J51" s="345"/>
      <c r="K51" s="345"/>
    </row>
    <row r="52" spans="1:11" s="226" customFormat="1" ht="27.75" customHeight="1">
      <c r="A52" s="6"/>
      <c r="B52" s="500"/>
      <c r="D52" s="372"/>
      <c r="E52" s="501"/>
      <c r="F52" s="504"/>
      <c r="G52" s="2"/>
      <c r="H52" s="425"/>
      <c r="I52" s="425"/>
      <c r="J52" s="345"/>
      <c r="K52" s="345"/>
    </row>
    <row r="53" spans="1:11" s="226" customFormat="1" ht="27.75" customHeight="1">
      <c r="A53" s="6"/>
      <c r="D53" s="372"/>
      <c r="E53" s="501"/>
      <c r="F53" s="504"/>
      <c r="G53" s="2"/>
      <c r="H53" s="425"/>
      <c r="I53" s="425"/>
      <c r="J53" s="345"/>
      <c r="K53" s="345"/>
    </row>
    <row r="54" spans="1:11" ht="27.75" customHeight="1">
      <c r="B54" s="4"/>
      <c r="E54" s="4"/>
      <c r="J54" s="4"/>
      <c r="K54" s="4"/>
    </row>
    <row r="55" spans="1:11" ht="27.75" customHeight="1">
      <c r="B55" s="4"/>
      <c r="E55" s="4"/>
      <c r="J55" s="4"/>
      <c r="K55" s="4"/>
    </row>
    <row r="56" spans="1:11" ht="27.75" customHeight="1">
      <c r="B56" s="4"/>
      <c r="E56" s="4"/>
      <c r="J56" s="4"/>
      <c r="K56" s="4"/>
    </row>
    <row r="57" spans="1:11" ht="27.75" customHeight="1">
      <c r="B57" s="4"/>
      <c r="E57" s="4"/>
      <c r="J57" s="4"/>
      <c r="K57" s="4"/>
    </row>
    <row r="58" spans="1:11" ht="27.75" customHeight="1">
      <c r="B58" s="4"/>
      <c r="E58" s="4"/>
      <c r="J58" s="4"/>
      <c r="K58" s="4"/>
    </row>
    <row r="59" spans="1:11" ht="27.75" customHeight="1">
      <c r="B59" s="4"/>
      <c r="E59" s="4"/>
      <c r="J59" s="4"/>
      <c r="K59" s="4"/>
    </row>
    <row r="60" spans="1:11" ht="27.75" customHeight="1">
      <c r="B60" s="4"/>
      <c r="E60" s="4"/>
      <c r="J60" s="4"/>
      <c r="K60" s="4"/>
    </row>
    <row r="61" spans="1:11" ht="27.75" customHeight="1">
      <c r="B61" s="4"/>
      <c r="E61" s="4"/>
      <c r="J61" s="4"/>
      <c r="K61" s="4"/>
    </row>
    <row r="62" spans="1:11" ht="27.75" customHeight="1">
      <c r="B62" s="4"/>
      <c r="E62" s="4"/>
      <c r="J62" s="4"/>
      <c r="K62" s="4"/>
    </row>
    <row r="63" spans="1:11" ht="27.75" customHeight="1">
      <c r="B63" s="4"/>
      <c r="E63" s="4"/>
      <c r="J63" s="4"/>
      <c r="K63" s="4"/>
    </row>
    <row r="64" spans="1:11" ht="27.75" customHeight="1">
      <c r="B64" s="4"/>
      <c r="E64" s="4"/>
      <c r="J64" s="4"/>
      <c r="K64" s="4"/>
    </row>
    <row r="65" spans="2:11" ht="27.75" customHeight="1">
      <c r="B65" s="4"/>
      <c r="E65" s="4"/>
      <c r="J65" s="4"/>
      <c r="K65" s="4"/>
    </row>
    <row r="66" spans="2:11" ht="27.75" customHeight="1">
      <c r="B66" s="4"/>
      <c r="E66" s="4"/>
      <c r="J66" s="4"/>
      <c r="K66" s="4"/>
    </row>
    <row r="67" spans="2:11" ht="27.75" customHeight="1">
      <c r="B67" s="4"/>
      <c r="E67" s="4"/>
      <c r="J67" s="4"/>
      <c r="K67" s="4"/>
    </row>
    <row r="68" spans="2:11" ht="27.75" customHeight="1">
      <c r="B68" s="4"/>
      <c r="E68" s="4"/>
      <c r="J68" s="4"/>
      <c r="K68" s="4"/>
    </row>
    <row r="69" spans="2:11" ht="27.75" customHeight="1">
      <c r="B69" s="4"/>
      <c r="E69" s="4"/>
      <c r="J69" s="4"/>
      <c r="K69" s="4"/>
    </row>
    <row r="81" spans="4:6" s="4" customFormat="1" ht="27.75" customHeight="1">
      <c r="D81" s="372"/>
      <c r="F81" s="507"/>
    </row>
    <row r="82" spans="4:6" s="4" customFormat="1" ht="27.75" customHeight="1">
      <c r="D82" s="372"/>
      <c r="F82" s="507"/>
    </row>
    <row r="83" spans="4:6" s="4" customFormat="1" ht="27.75" customHeight="1">
      <c r="D83" s="372"/>
      <c r="F83" s="507"/>
    </row>
    <row r="84" spans="4:6" s="4" customFormat="1" ht="27.75" customHeight="1">
      <c r="D84" s="372"/>
      <c r="F84" s="507"/>
    </row>
    <row r="85" spans="4:6" s="4" customFormat="1" ht="27.75" customHeight="1">
      <c r="D85" s="372"/>
      <c r="F85" s="507"/>
    </row>
    <row r="86" spans="4:6" s="4" customFormat="1" ht="27.75" customHeight="1">
      <c r="D86" s="372"/>
      <c r="F86" s="507"/>
    </row>
    <row r="87" spans="4:6" s="4" customFormat="1" ht="27.75" customHeight="1">
      <c r="D87" s="372"/>
      <c r="F87" s="507"/>
    </row>
    <row r="88" spans="4:6" s="4" customFormat="1" ht="27.75" customHeight="1">
      <c r="D88" s="372"/>
      <c r="F88" s="507"/>
    </row>
    <row r="89" spans="4:6" s="4" customFormat="1" ht="27.75" customHeight="1">
      <c r="D89" s="372"/>
      <c r="F89" s="507"/>
    </row>
    <row r="90" spans="4:6" s="4" customFormat="1" ht="27.75" customHeight="1">
      <c r="D90" s="372"/>
      <c r="F90" s="507"/>
    </row>
    <row r="91" spans="4:6" s="4" customFormat="1" ht="27.75" customHeight="1">
      <c r="D91" s="372"/>
      <c r="F91" s="507"/>
    </row>
    <row r="92" spans="4:6" s="4" customFormat="1" ht="27.75" customHeight="1">
      <c r="D92" s="372"/>
      <c r="F92" s="507"/>
    </row>
    <row r="93" spans="4:6" s="4" customFormat="1" ht="27.75" customHeight="1">
      <c r="D93" s="372"/>
      <c r="F93" s="507"/>
    </row>
  </sheetData>
  <mergeCells count="20">
    <mergeCell ref="A41:G41"/>
    <mergeCell ref="I4:I6"/>
    <mergeCell ref="J4:J6"/>
    <mergeCell ref="K4:K6"/>
    <mergeCell ref="A5:A6"/>
    <mergeCell ref="B5:B6"/>
    <mergeCell ref="C5:C6"/>
    <mergeCell ref="D5:D6"/>
    <mergeCell ref="E5:E6"/>
    <mergeCell ref="H4:H6"/>
    <mergeCell ref="B21:C21"/>
    <mergeCell ref="B25:C25"/>
    <mergeCell ref="B28:C28"/>
    <mergeCell ref="A39:G39"/>
    <mergeCell ref="A40:G40"/>
    <mergeCell ref="A1:F1"/>
    <mergeCell ref="A2:F2"/>
    <mergeCell ref="A3:F3"/>
    <mergeCell ref="D4:F4"/>
    <mergeCell ref="G4:G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E95BF-92CD-4771-A347-9FA65C24993A}">
  <sheetPr>
    <tabColor rgb="FFFFFF00"/>
  </sheetPr>
  <dimension ref="A1:Y328"/>
  <sheetViews>
    <sheetView zoomScale="60" zoomScaleNormal="60" workbookViewId="0">
      <pane ySplit="6" topLeftCell="A198" activePane="bottomLeft" state="frozen"/>
      <selection pane="bottomLeft" activeCell="Y202" sqref="Y202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0.5546875" style="510" customWidth="1"/>
    <col min="5" max="5" width="18.88671875" style="511" customWidth="1"/>
    <col min="6" max="6" width="4.88671875" style="506" customWidth="1"/>
    <col min="7" max="7" width="20.109375" style="509" customWidth="1"/>
    <col min="8" max="8" width="18.33203125" style="509" customWidth="1"/>
    <col min="9" max="9" width="21.44140625" style="504" customWidth="1"/>
    <col min="10" max="10" width="21.6640625" style="3" customWidth="1"/>
    <col min="11" max="11" width="24.5546875" style="372" customWidth="1"/>
    <col min="12" max="12" width="22.109375" style="512" customWidth="1"/>
    <col min="13" max="13" width="20" style="372" customWidth="1"/>
    <col min="14" max="14" width="9.109375" style="2" customWidth="1"/>
    <col min="15" max="15" width="24" style="513" customWidth="1"/>
    <col min="16" max="16" width="16.6640625" style="513" customWidth="1"/>
    <col min="17" max="17" width="23.6640625" style="507" customWidth="1"/>
    <col min="18" max="18" width="5.33203125" style="2" hidden="1" customWidth="1"/>
    <col min="19" max="19" width="9" style="508" hidden="1" customWidth="1"/>
    <col min="20" max="20" width="9.6640625" style="508" hidden="1" customWidth="1"/>
    <col min="21" max="21" width="10.88671875" style="512" hidden="1" customWidth="1"/>
    <col min="22" max="22" width="24.5546875" style="512" hidden="1" customWidth="1"/>
    <col min="23" max="24" width="8.88671875" style="4" hidden="1" customWidth="1"/>
    <col min="25" max="16384" width="8.88671875" style="4"/>
  </cols>
  <sheetData>
    <row r="1" spans="1:23" ht="28.5" customHeight="1">
      <c r="A1" s="653" t="s">
        <v>0</v>
      </c>
      <c r="B1" s="653"/>
      <c r="C1" s="653"/>
      <c r="D1" s="653"/>
      <c r="E1" s="653"/>
      <c r="F1" s="653"/>
      <c r="G1" s="653"/>
      <c r="H1" s="653"/>
      <c r="I1" s="653"/>
      <c r="J1" s="653"/>
      <c r="K1" s="653"/>
      <c r="L1" s="653"/>
      <c r="M1" s="653"/>
      <c r="N1" s="653"/>
      <c r="O1" s="653"/>
      <c r="P1" s="653"/>
      <c r="Q1" s="653"/>
      <c r="S1" s="3"/>
      <c r="T1" s="3"/>
      <c r="U1" s="1"/>
      <c r="V1" s="1"/>
    </row>
    <row r="2" spans="1:23" ht="23.25" customHeight="1">
      <c r="A2" s="653" t="s">
        <v>1</v>
      </c>
      <c r="B2" s="653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3"/>
      <c r="R2" s="5"/>
      <c r="S2" s="3"/>
      <c r="T2" s="3"/>
      <c r="U2" s="1"/>
      <c r="V2" s="1"/>
    </row>
    <row r="3" spans="1:23" ht="28.5" customHeight="1">
      <c r="A3" s="654" t="s">
        <v>709</v>
      </c>
      <c r="B3" s="654"/>
      <c r="C3" s="654"/>
      <c r="D3" s="654"/>
      <c r="E3" s="654"/>
      <c r="F3" s="654"/>
      <c r="G3" s="654"/>
      <c r="H3" s="654"/>
      <c r="I3" s="654"/>
      <c r="J3" s="654"/>
      <c r="K3" s="654"/>
      <c r="L3" s="654"/>
      <c r="M3" s="654"/>
      <c r="N3" s="654"/>
      <c r="O3" s="654"/>
      <c r="P3" s="654"/>
      <c r="Q3" s="654"/>
      <c r="S3" s="3"/>
      <c r="T3" s="3"/>
      <c r="U3" s="6"/>
      <c r="V3" s="6"/>
    </row>
    <row r="4" spans="1:23" ht="27.75" customHeight="1">
      <c r="A4" s="7"/>
      <c r="B4" s="8"/>
      <c r="C4" s="9"/>
      <c r="D4" s="10"/>
      <c r="E4" s="655" t="s">
        <v>3</v>
      </c>
      <c r="F4" s="656"/>
      <c r="G4" s="656"/>
      <c r="H4" s="656"/>
      <c r="I4" s="657"/>
      <c r="J4" s="11"/>
      <c r="K4" s="12" t="s">
        <v>4</v>
      </c>
      <c r="L4" s="13"/>
      <c r="M4" s="655" t="s">
        <v>5</v>
      </c>
      <c r="N4" s="656"/>
      <c r="O4" s="656"/>
      <c r="P4" s="656"/>
      <c r="Q4" s="657"/>
      <c r="R4" s="658" t="s">
        <v>6</v>
      </c>
      <c r="S4" s="671" t="s">
        <v>7</v>
      </c>
      <c r="T4" s="671" t="s">
        <v>8</v>
      </c>
      <c r="U4" s="661" t="s">
        <v>9</v>
      </c>
      <c r="V4" s="661" t="s">
        <v>10</v>
      </c>
    </row>
    <row r="5" spans="1:23" ht="27.75" customHeight="1">
      <c r="A5" s="664" t="s">
        <v>11</v>
      </c>
      <c r="B5" s="666" t="s">
        <v>12</v>
      </c>
      <c r="C5" s="666" t="s">
        <v>13</v>
      </c>
      <c r="D5" s="685" t="s">
        <v>14</v>
      </c>
      <c r="E5" s="687" t="s">
        <v>15</v>
      </c>
      <c r="F5" s="689" t="s">
        <v>16</v>
      </c>
      <c r="G5" s="679" t="s">
        <v>17</v>
      </c>
      <c r="H5" s="680"/>
      <c r="I5" s="681"/>
      <c r="J5" s="14" t="s">
        <v>18</v>
      </c>
      <c r="K5" s="691" t="s">
        <v>19</v>
      </c>
      <c r="L5" s="693" t="s">
        <v>20</v>
      </c>
      <c r="M5" s="664" t="s">
        <v>15</v>
      </c>
      <c r="N5" s="669" t="s">
        <v>16</v>
      </c>
      <c r="O5" s="679" t="s">
        <v>17</v>
      </c>
      <c r="P5" s="680"/>
      <c r="Q5" s="681"/>
      <c r="R5" s="659"/>
      <c r="S5" s="672"/>
      <c r="T5" s="672"/>
      <c r="U5" s="662"/>
      <c r="V5" s="662"/>
    </row>
    <row r="6" spans="1:23" ht="27.75" customHeight="1" thickBot="1">
      <c r="A6" s="665"/>
      <c r="B6" s="667"/>
      <c r="C6" s="667"/>
      <c r="D6" s="686"/>
      <c r="E6" s="688"/>
      <c r="F6" s="690"/>
      <c r="G6" s="15" t="s">
        <v>20</v>
      </c>
      <c r="H6" s="16" t="s">
        <v>21</v>
      </c>
      <c r="I6" s="17" t="s">
        <v>22</v>
      </c>
      <c r="J6" s="18"/>
      <c r="K6" s="692"/>
      <c r="L6" s="694"/>
      <c r="M6" s="668"/>
      <c r="N6" s="670"/>
      <c r="O6" s="19" t="s">
        <v>20</v>
      </c>
      <c r="P6" s="20" t="s">
        <v>21</v>
      </c>
      <c r="Q6" s="21" t="s">
        <v>22</v>
      </c>
      <c r="R6" s="660"/>
      <c r="S6" s="673"/>
      <c r="T6" s="673"/>
      <c r="U6" s="663"/>
      <c r="V6" s="663"/>
    </row>
    <row r="7" spans="1:23" ht="27.75" customHeight="1" thickTop="1">
      <c r="A7" s="22"/>
      <c r="B7" s="23" t="s">
        <v>23</v>
      </c>
      <c r="C7" s="24"/>
      <c r="D7" s="25"/>
      <c r="E7" s="26"/>
      <c r="F7" s="27"/>
      <c r="G7" s="28"/>
      <c r="H7" s="28"/>
      <c r="I7" s="28"/>
      <c r="J7" s="29"/>
      <c r="K7" s="30"/>
      <c r="L7" s="31"/>
      <c r="M7" s="32"/>
      <c r="N7" s="33"/>
      <c r="O7" s="34"/>
      <c r="P7" s="34"/>
      <c r="Q7" s="35"/>
      <c r="R7" s="36"/>
      <c r="S7" s="37"/>
      <c r="T7" s="37"/>
      <c r="U7" s="38"/>
      <c r="V7" s="38"/>
      <c r="W7" s="38"/>
    </row>
    <row r="8" spans="1:23" s="57" customFormat="1" ht="27.75" customHeight="1">
      <c r="A8" s="39">
        <v>1</v>
      </c>
      <c r="B8" s="40" t="s">
        <v>24</v>
      </c>
      <c r="C8" s="41" t="s">
        <v>25</v>
      </c>
      <c r="D8" s="42">
        <v>4012.5</v>
      </c>
      <c r="E8" s="43"/>
      <c r="F8" s="44"/>
      <c r="G8" s="45">
        <v>0</v>
      </c>
      <c r="H8" s="46">
        <v>0</v>
      </c>
      <c r="I8" s="47">
        <v>0</v>
      </c>
      <c r="J8" s="48">
        <v>45992</v>
      </c>
      <c r="K8" s="49" t="s">
        <v>710</v>
      </c>
      <c r="L8" s="50">
        <v>4012.5</v>
      </c>
      <c r="M8" s="51" t="s">
        <v>26</v>
      </c>
      <c r="N8" s="52">
        <v>0</v>
      </c>
      <c r="O8" s="53">
        <v>0</v>
      </c>
      <c r="P8" s="53">
        <f t="shared" ref="P8:P44" si="0">ROUND((O8*0.07),2)</f>
        <v>0</v>
      </c>
      <c r="Q8" s="54">
        <f t="shared" ref="Q8:Q44" si="1">+O8+P8</f>
        <v>0</v>
      </c>
      <c r="R8" s="39"/>
      <c r="S8" s="55"/>
      <c r="T8" s="55"/>
      <c r="U8" s="56"/>
      <c r="V8" s="56"/>
    </row>
    <row r="9" spans="1:23" s="57" customFormat="1" ht="27.75" customHeight="1">
      <c r="A9" s="39">
        <v>2</v>
      </c>
      <c r="B9" s="40" t="s">
        <v>28</v>
      </c>
      <c r="C9" s="41" t="s">
        <v>29</v>
      </c>
      <c r="D9" s="58">
        <v>4012.5</v>
      </c>
      <c r="E9" s="43"/>
      <c r="F9" s="44"/>
      <c r="G9" s="45">
        <v>0</v>
      </c>
      <c r="H9" s="46">
        <v>0</v>
      </c>
      <c r="I9" s="47">
        <v>0</v>
      </c>
      <c r="J9" s="48" t="s">
        <v>808</v>
      </c>
      <c r="K9" s="49" t="s">
        <v>809</v>
      </c>
      <c r="L9" s="50">
        <v>8025</v>
      </c>
      <c r="M9" s="51" t="s">
        <v>801</v>
      </c>
      <c r="N9" s="52">
        <v>-1</v>
      </c>
      <c r="O9" s="53">
        <f>+(D9*100/107)+G9-(L9*100/107)</f>
        <v>-3750</v>
      </c>
      <c r="P9" s="53">
        <f t="shared" si="0"/>
        <v>-262.5</v>
      </c>
      <c r="Q9" s="54">
        <f t="shared" si="1"/>
        <v>-4012.5</v>
      </c>
      <c r="R9" s="39"/>
      <c r="S9" s="55"/>
      <c r="T9" s="55"/>
      <c r="U9" s="56"/>
      <c r="V9" s="56"/>
    </row>
    <row r="10" spans="1:23" s="57" customFormat="1" ht="27.75" customHeight="1">
      <c r="A10" s="39">
        <v>3</v>
      </c>
      <c r="B10" s="40" t="s">
        <v>24</v>
      </c>
      <c r="C10" s="41" t="s">
        <v>33</v>
      </c>
      <c r="D10" s="58">
        <v>4012.5</v>
      </c>
      <c r="E10" s="43"/>
      <c r="F10" s="44"/>
      <c r="G10" s="45">
        <v>0</v>
      </c>
      <c r="H10" s="46">
        <v>0</v>
      </c>
      <c r="I10" s="47">
        <v>0</v>
      </c>
      <c r="J10" s="48">
        <v>45992</v>
      </c>
      <c r="K10" s="49" t="s">
        <v>710</v>
      </c>
      <c r="L10" s="50">
        <v>4012.5</v>
      </c>
      <c r="M10" s="51" t="s">
        <v>26</v>
      </c>
      <c r="N10" s="52">
        <v>0</v>
      </c>
      <c r="O10" s="53">
        <f t="shared" ref="O10:O23" si="2">+(D10*100/107)+G10-(L10*100/107)</f>
        <v>0</v>
      </c>
      <c r="P10" s="53">
        <f t="shared" si="0"/>
        <v>0</v>
      </c>
      <c r="Q10" s="54">
        <f t="shared" si="1"/>
        <v>0</v>
      </c>
      <c r="R10" s="39"/>
      <c r="S10" s="55"/>
      <c r="T10" s="55"/>
      <c r="U10" s="56"/>
      <c r="V10" s="56"/>
    </row>
    <row r="11" spans="1:23" s="57" customFormat="1" ht="27.75" customHeight="1">
      <c r="A11" s="39">
        <v>4</v>
      </c>
      <c r="B11" s="40" t="s">
        <v>34</v>
      </c>
      <c r="C11" s="41" t="s">
        <v>35</v>
      </c>
      <c r="D11" s="58">
        <v>4012.5</v>
      </c>
      <c r="E11" s="43"/>
      <c r="F11" s="44"/>
      <c r="G11" s="45">
        <v>0</v>
      </c>
      <c r="H11" s="46">
        <v>0</v>
      </c>
      <c r="I11" s="47">
        <v>0</v>
      </c>
      <c r="J11" s="48" t="s">
        <v>808</v>
      </c>
      <c r="K11" s="49" t="s">
        <v>809</v>
      </c>
      <c r="L11" s="50">
        <v>8025</v>
      </c>
      <c r="M11" s="51" t="s">
        <v>801</v>
      </c>
      <c r="N11" s="52">
        <v>-1</v>
      </c>
      <c r="O11" s="53">
        <f t="shared" si="2"/>
        <v>-3750</v>
      </c>
      <c r="P11" s="53">
        <f t="shared" si="0"/>
        <v>-262.5</v>
      </c>
      <c r="Q11" s="54">
        <f t="shared" si="1"/>
        <v>-4012.5</v>
      </c>
      <c r="R11" s="39"/>
      <c r="S11" s="55"/>
      <c r="T11" s="55"/>
      <c r="U11" s="56"/>
      <c r="V11" s="56"/>
    </row>
    <row r="12" spans="1:23" s="57" customFormat="1" ht="27.75" customHeight="1">
      <c r="A12" s="39">
        <v>5</v>
      </c>
      <c r="B12" s="40" t="s">
        <v>36</v>
      </c>
      <c r="C12" s="41" t="s">
        <v>37</v>
      </c>
      <c r="D12" s="58">
        <v>4012.5</v>
      </c>
      <c r="E12" s="43"/>
      <c r="F12" s="44"/>
      <c r="G12" s="45">
        <v>0</v>
      </c>
      <c r="H12" s="46">
        <v>0</v>
      </c>
      <c r="I12" s="47">
        <v>0</v>
      </c>
      <c r="J12" s="48">
        <v>45996</v>
      </c>
      <c r="K12" s="49" t="s">
        <v>711</v>
      </c>
      <c r="L12" s="50">
        <v>4012.5</v>
      </c>
      <c r="M12" s="51" t="s">
        <v>26</v>
      </c>
      <c r="N12" s="52">
        <v>0</v>
      </c>
      <c r="O12" s="53">
        <f t="shared" si="2"/>
        <v>0</v>
      </c>
      <c r="P12" s="53">
        <f t="shared" si="0"/>
        <v>0</v>
      </c>
      <c r="Q12" s="54">
        <f t="shared" si="1"/>
        <v>0</v>
      </c>
      <c r="R12" s="39"/>
      <c r="S12" s="55"/>
      <c r="T12" s="55"/>
      <c r="U12" s="56"/>
      <c r="V12" s="56"/>
    </row>
    <row r="13" spans="1:23" s="57" customFormat="1" ht="27.75" customHeight="1">
      <c r="A13" s="39">
        <v>6</v>
      </c>
      <c r="B13" s="40" t="s">
        <v>34</v>
      </c>
      <c r="C13" s="41" t="s">
        <v>39</v>
      </c>
      <c r="D13" s="58">
        <v>4012.5</v>
      </c>
      <c r="E13" s="43"/>
      <c r="F13" s="44"/>
      <c r="G13" s="45">
        <v>0</v>
      </c>
      <c r="H13" s="46">
        <v>0</v>
      </c>
      <c r="I13" s="47">
        <v>0</v>
      </c>
      <c r="J13" s="48" t="s">
        <v>808</v>
      </c>
      <c r="K13" s="49" t="s">
        <v>809</v>
      </c>
      <c r="L13" s="50">
        <v>8025</v>
      </c>
      <c r="M13" s="51" t="s">
        <v>801</v>
      </c>
      <c r="N13" s="52">
        <v>-1</v>
      </c>
      <c r="O13" s="53">
        <f t="shared" si="2"/>
        <v>-3750</v>
      </c>
      <c r="P13" s="53">
        <f t="shared" si="0"/>
        <v>-262.5</v>
      </c>
      <c r="Q13" s="54">
        <f t="shared" si="1"/>
        <v>-4012.5</v>
      </c>
      <c r="R13" s="39"/>
      <c r="S13" s="55"/>
      <c r="T13" s="55"/>
      <c r="U13" s="56"/>
      <c r="V13" s="56"/>
    </row>
    <row r="14" spans="1:23" s="57" customFormat="1" ht="27.75" customHeight="1">
      <c r="A14" s="39">
        <v>7</v>
      </c>
      <c r="B14" s="40" t="s">
        <v>40</v>
      </c>
      <c r="C14" s="41" t="s">
        <v>41</v>
      </c>
      <c r="D14" s="58">
        <v>4012.5</v>
      </c>
      <c r="E14" s="43"/>
      <c r="F14" s="44"/>
      <c r="G14" s="45">
        <v>0</v>
      </c>
      <c r="H14" s="46">
        <v>0</v>
      </c>
      <c r="I14" s="47">
        <v>0</v>
      </c>
      <c r="J14" s="48">
        <v>45996</v>
      </c>
      <c r="K14" s="49" t="s">
        <v>712</v>
      </c>
      <c r="L14" s="50">
        <v>4012.5</v>
      </c>
      <c r="M14" s="51" t="s">
        <v>26</v>
      </c>
      <c r="N14" s="52">
        <v>0</v>
      </c>
      <c r="O14" s="53">
        <f t="shared" si="2"/>
        <v>0</v>
      </c>
      <c r="P14" s="53">
        <f t="shared" si="0"/>
        <v>0</v>
      </c>
      <c r="Q14" s="54">
        <f t="shared" si="1"/>
        <v>0</v>
      </c>
      <c r="R14" s="39"/>
      <c r="S14" s="55"/>
      <c r="T14" s="55"/>
      <c r="U14" s="56"/>
      <c r="V14" s="56"/>
    </row>
    <row r="15" spans="1:23" s="57" customFormat="1" ht="27.75" customHeight="1">
      <c r="A15" s="39">
        <v>8</v>
      </c>
      <c r="B15" s="40" t="s">
        <v>43</v>
      </c>
      <c r="C15" s="41" t="s">
        <v>44</v>
      </c>
      <c r="D15" s="58">
        <v>4012.5</v>
      </c>
      <c r="E15" s="43"/>
      <c r="F15" s="44"/>
      <c r="G15" s="45">
        <v>0</v>
      </c>
      <c r="H15" s="46">
        <v>0</v>
      </c>
      <c r="I15" s="47">
        <v>0</v>
      </c>
      <c r="J15" s="48">
        <v>45992</v>
      </c>
      <c r="K15" s="49" t="s">
        <v>713</v>
      </c>
      <c r="L15" s="50">
        <v>4012.5</v>
      </c>
      <c r="M15" s="51" t="s">
        <v>45</v>
      </c>
      <c r="N15" s="52">
        <v>0</v>
      </c>
      <c r="O15" s="53">
        <f t="shared" si="2"/>
        <v>0</v>
      </c>
      <c r="P15" s="53">
        <f t="shared" si="0"/>
        <v>0</v>
      </c>
      <c r="Q15" s="54">
        <f t="shared" si="1"/>
        <v>0</v>
      </c>
      <c r="R15" s="39"/>
      <c r="S15" s="55"/>
      <c r="T15" s="55"/>
      <c r="U15" s="56"/>
      <c r="V15" s="56"/>
    </row>
    <row r="16" spans="1:23" s="57" customFormat="1" ht="27.75" customHeight="1">
      <c r="A16" s="39">
        <v>9</v>
      </c>
      <c r="B16" s="40" t="s">
        <v>47</v>
      </c>
      <c r="C16" s="41" t="s">
        <v>48</v>
      </c>
      <c r="D16" s="58">
        <v>4012.5</v>
      </c>
      <c r="E16" s="43"/>
      <c r="F16" s="44"/>
      <c r="G16" s="45">
        <v>0</v>
      </c>
      <c r="H16" s="46">
        <v>0</v>
      </c>
      <c r="I16" s="47">
        <v>0</v>
      </c>
      <c r="J16" s="48">
        <v>45995</v>
      </c>
      <c r="K16" s="49" t="s">
        <v>714</v>
      </c>
      <c r="L16" s="50">
        <v>4012.5</v>
      </c>
      <c r="M16" s="51" t="s">
        <v>26</v>
      </c>
      <c r="N16" s="52">
        <v>0</v>
      </c>
      <c r="O16" s="53">
        <f t="shared" si="2"/>
        <v>0</v>
      </c>
      <c r="P16" s="53">
        <f t="shared" si="0"/>
        <v>0</v>
      </c>
      <c r="Q16" s="54">
        <f t="shared" si="1"/>
        <v>0</v>
      </c>
      <c r="R16" s="39"/>
      <c r="S16" s="55"/>
      <c r="T16" s="55"/>
      <c r="U16" s="56"/>
      <c r="V16" s="56"/>
    </row>
    <row r="17" spans="1:25" s="57" customFormat="1" ht="27.75" customHeight="1">
      <c r="A17" s="39">
        <v>10</v>
      </c>
      <c r="B17" s="40" t="s">
        <v>50</v>
      </c>
      <c r="C17" s="41" t="s">
        <v>51</v>
      </c>
      <c r="D17" s="58">
        <v>4012.5</v>
      </c>
      <c r="E17" s="43"/>
      <c r="F17" s="44"/>
      <c r="G17" s="45">
        <v>0</v>
      </c>
      <c r="H17" s="46">
        <v>0</v>
      </c>
      <c r="I17" s="47">
        <v>0</v>
      </c>
      <c r="J17" s="48">
        <v>45995</v>
      </c>
      <c r="K17" s="49" t="s">
        <v>715</v>
      </c>
      <c r="L17" s="50">
        <v>4012.5</v>
      </c>
      <c r="M17" s="51" t="s">
        <v>45</v>
      </c>
      <c r="N17" s="52">
        <v>0</v>
      </c>
      <c r="O17" s="53">
        <f t="shared" si="2"/>
        <v>0</v>
      </c>
      <c r="P17" s="53">
        <f t="shared" si="0"/>
        <v>0</v>
      </c>
      <c r="Q17" s="54">
        <f t="shared" si="1"/>
        <v>0</v>
      </c>
      <c r="R17" s="39"/>
      <c r="S17" s="55"/>
      <c r="T17" s="55"/>
      <c r="U17" s="56"/>
      <c r="V17" s="56"/>
    </row>
    <row r="18" spans="1:25" s="57" customFormat="1" ht="27.75" customHeight="1">
      <c r="A18" s="39">
        <v>11</v>
      </c>
      <c r="B18" s="40" t="s">
        <v>53</v>
      </c>
      <c r="C18" s="41" t="s">
        <v>54</v>
      </c>
      <c r="D18" s="58">
        <v>4012.5</v>
      </c>
      <c r="E18" s="43"/>
      <c r="F18" s="44"/>
      <c r="G18" s="45">
        <v>0</v>
      </c>
      <c r="H18" s="46">
        <v>0</v>
      </c>
      <c r="I18" s="47">
        <v>0</v>
      </c>
      <c r="J18" s="48" t="s">
        <v>810</v>
      </c>
      <c r="K18" s="59" t="s">
        <v>811</v>
      </c>
      <c r="L18" s="50">
        <v>8025</v>
      </c>
      <c r="M18" s="51" t="s">
        <v>801</v>
      </c>
      <c r="N18" s="52">
        <v>-1</v>
      </c>
      <c r="O18" s="53">
        <f t="shared" si="2"/>
        <v>-3750</v>
      </c>
      <c r="P18" s="53">
        <f t="shared" si="0"/>
        <v>-262.5</v>
      </c>
      <c r="Q18" s="54">
        <f t="shared" si="1"/>
        <v>-4012.5</v>
      </c>
      <c r="R18" s="39"/>
      <c r="S18" s="55"/>
      <c r="T18" s="55"/>
      <c r="U18" s="56"/>
      <c r="V18" s="56"/>
      <c r="Y18" s="57" t="s">
        <v>56</v>
      </c>
    </row>
    <row r="19" spans="1:25" s="57" customFormat="1" ht="27.75" customHeight="1">
      <c r="A19" s="39">
        <v>12</v>
      </c>
      <c r="B19" s="40" t="s">
        <v>57</v>
      </c>
      <c r="C19" s="41" t="s">
        <v>58</v>
      </c>
      <c r="D19" s="58">
        <v>4012.5</v>
      </c>
      <c r="E19" s="43"/>
      <c r="F19" s="44"/>
      <c r="G19" s="45">
        <v>0</v>
      </c>
      <c r="H19" s="46">
        <v>0</v>
      </c>
      <c r="I19" s="47">
        <v>0</v>
      </c>
      <c r="J19" s="48">
        <v>45992</v>
      </c>
      <c r="K19" s="49" t="s">
        <v>716</v>
      </c>
      <c r="L19" s="50">
        <v>4012.5</v>
      </c>
      <c r="M19" s="51" t="s">
        <v>26</v>
      </c>
      <c r="N19" s="52">
        <v>0</v>
      </c>
      <c r="O19" s="53">
        <f t="shared" si="2"/>
        <v>0</v>
      </c>
      <c r="P19" s="53">
        <f t="shared" si="0"/>
        <v>0</v>
      </c>
      <c r="Q19" s="54">
        <f t="shared" si="1"/>
        <v>0</v>
      </c>
      <c r="R19" s="39"/>
      <c r="S19" s="55"/>
      <c r="T19" s="55"/>
      <c r="U19" s="56"/>
      <c r="V19" s="56"/>
    </row>
    <row r="20" spans="1:25" s="57" customFormat="1" ht="27.75" customHeight="1">
      <c r="A20" s="39">
        <v>13</v>
      </c>
      <c r="B20" s="40" t="s">
        <v>60</v>
      </c>
      <c r="C20" s="41" t="s">
        <v>61</v>
      </c>
      <c r="D20" s="58">
        <v>4012.5</v>
      </c>
      <c r="E20" s="43"/>
      <c r="F20" s="44"/>
      <c r="G20" s="45">
        <v>0</v>
      </c>
      <c r="H20" s="46">
        <v>0</v>
      </c>
      <c r="I20" s="47">
        <v>0</v>
      </c>
      <c r="J20" s="48">
        <v>45995</v>
      </c>
      <c r="K20" s="49" t="s">
        <v>717</v>
      </c>
      <c r="L20" s="50">
        <v>4012.5</v>
      </c>
      <c r="M20" s="51" t="s">
        <v>26</v>
      </c>
      <c r="N20" s="52">
        <v>0</v>
      </c>
      <c r="O20" s="53">
        <f t="shared" si="2"/>
        <v>0</v>
      </c>
      <c r="P20" s="53">
        <f t="shared" si="0"/>
        <v>0</v>
      </c>
      <c r="Q20" s="54">
        <f t="shared" si="1"/>
        <v>0</v>
      </c>
      <c r="R20" s="39"/>
      <c r="S20" s="55"/>
      <c r="T20" s="55"/>
      <c r="U20" s="56"/>
      <c r="V20" s="56"/>
    </row>
    <row r="21" spans="1:25" s="57" customFormat="1" ht="27.75" customHeight="1">
      <c r="A21" s="39">
        <v>14</v>
      </c>
      <c r="B21" s="40" t="s">
        <v>63</v>
      </c>
      <c r="C21" s="41" t="s">
        <v>64</v>
      </c>
      <c r="D21" s="58">
        <v>4012.5</v>
      </c>
      <c r="E21" s="43"/>
      <c r="F21" s="44"/>
      <c r="G21" s="45">
        <v>0</v>
      </c>
      <c r="H21" s="46">
        <v>0</v>
      </c>
      <c r="I21" s="47">
        <v>0</v>
      </c>
      <c r="J21" s="48">
        <v>45995</v>
      </c>
      <c r="K21" s="49" t="s">
        <v>718</v>
      </c>
      <c r="L21" s="50">
        <v>4012.5</v>
      </c>
      <c r="M21" s="51" t="s">
        <v>26</v>
      </c>
      <c r="N21" s="52">
        <v>0</v>
      </c>
      <c r="O21" s="53">
        <f t="shared" si="2"/>
        <v>0</v>
      </c>
      <c r="P21" s="53">
        <f t="shared" si="0"/>
        <v>0</v>
      </c>
      <c r="Q21" s="54">
        <f t="shared" si="1"/>
        <v>0</v>
      </c>
      <c r="R21" s="39"/>
      <c r="S21" s="55"/>
      <c r="T21" s="55"/>
      <c r="U21" s="56"/>
      <c r="V21" s="56"/>
    </row>
    <row r="22" spans="1:25" s="57" customFormat="1" ht="27.75" customHeight="1">
      <c r="A22" s="39">
        <v>15</v>
      </c>
      <c r="B22" s="40" t="s">
        <v>66</v>
      </c>
      <c r="C22" s="41" t="s">
        <v>67</v>
      </c>
      <c r="D22" s="58">
        <v>12037.5</v>
      </c>
      <c r="E22" s="43"/>
      <c r="F22" s="60"/>
      <c r="G22" s="61">
        <v>0</v>
      </c>
      <c r="H22" s="46">
        <v>0</v>
      </c>
      <c r="I22" s="47">
        <v>0</v>
      </c>
      <c r="J22" s="62">
        <v>46020</v>
      </c>
      <c r="K22" s="49" t="s">
        <v>719</v>
      </c>
      <c r="L22" s="50">
        <v>12037.5</v>
      </c>
      <c r="M22" s="51" t="s">
        <v>26</v>
      </c>
      <c r="N22" s="52">
        <v>0</v>
      </c>
      <c r="O22" s="53">
        <f t="shared" si="2"/>
        <v>0</v>
      </c>
      <c r="P22" s="53">
        <f t="shared" si="0"/>
        <v>0</v>
      </c>
      <c r="Q22" s="54">
        <f t="shared" si="1"/>
        <v>0</v>
      </c>
      <c r="R22" s="39"/>
      <c r="S22" s="55"/>
      <c r="T22" s="55"/>
      <c r="U22" s="56"/>
      <c r="V22" s="56"/>
    </row>
    <row r="23" spans="1:25" s="57" customFormat="1" ht="27.75" customHeight="1">
      <c r="A23" s="39">
        <v>16</v>
      </c>
      <c r="B23" s="40" t="s">
        <v>66</v>
      </c>
      <c r="C23" s="41" t="s">
        <v>69</v>
      </c>
      <c r="D23" s="63">
        <v>4012.5</v>
      </c>
      <c r="E23" s="64"/>
      <c r="F23" s="44"/>
      <c r="G23" s="45">
        <v>0</v>
      </c>
      <c r="H23" s="65">
        <v>0</v>
      </c>
      <c r="I23" s="66">
        <v>0</v>
      </c>
      <c r="J23" s="62">
        <v>46020</v>
      </c>
      <c r="K23" s="49" t="s">
        <v>720</v>
      </c>
      <c r="L23" s="50">
        <v>4012.5</v>
      </c>
      <c r="M23" s="51" t="s">
        <v>26</v>
      </c>
      <c r="N23" s="52">
        <v>0</v>
      </c>
      <c r="O23" s="53">
        <f t="shared" si="2"/>
        <v>0</v>
      </c>
      <c r="P23" s="53">
        <f t="shared" si="0"/>
        <v>0</v>
      </c>
      <c r="Q23" s="54">
        <f t="shared" si="1"/>
        <v>0</v>
      </c>
      <c r="R23" s="39"/>
      <c r="S23" s="55"/>
      <c r="T23" s="55"/>
      <c r="U23" s="56"/>
      <c r="V23" s="56"/>
    </row>
    <row r="24" spans="1:25" s="57" customFormat="1" ht="35.25" customHeight="1" thickBot="1">
      <c r="A24" s="67"/>
      <c r="B24" s="68" t="s">
        <v>22</v>
      </c>
      <c r="C24" s="69"/>
      <c r="D24" s="70">
        <f>SUM(D8:D23)</f>
        <v>72225</v>
      </c>
      <c r="E24" s="71"/>
      <c r="F24" s="72"/>
      <c r="G24" s="73">
        <f>SUM(G8:G23)</f>
        <v>0</v>
      </c>
      <c r="H24" s="73">
        <f>SUM(H8:H23)</f>
        <v>0</v>
      </c>
      <c r="I24" s="73">
        <f>SUM(I8:I23)</f>
        <v>0</v>
      </c>
      <c r="J24" s="74"/>
      <c r="K24" s="75"/>
      <c r="L24" s="76">
        <f>SUM(L8:L23)</f>
        <v>88275</v>
      </c>
      <c r="M24" s="77"/>
      <c r="N24" s="78"/>
      <c r="O24" s="79">
        <f>SUM(O8:O23)-O9-O11-O13-O18</f>
        <v>0</v>
      </c>
      <c r="P24" s="79">
        <f t="shared" ref="P24:Q24" si="3">SUM(P8:P23)-P9-P11-P13-P18</f>
        <v>0</v>
      </c>
      <c r="Q24" s="79">
        <f t="shared" si="3"/>
        <v>0</v>
      </c>
      <c r="R24" s="39"/>
      <c r="S24" s="55"/>
      <c r="T24" s="55"/>
      <c r="U24" s="56"/>
      <c r="V24" s="56"/>
    </row>
    <row r="25" spans="1:25" s="91" customFormat="1" ht="27.75" customHeight="1" thickTop="1">
      <c r="A25" s="39">
        <v>1</v>
      </c>
      <c r="B25" s="80" t="s">
        <v>71</v>
      </c>
      <c r="C25" s="81" t="s">
        <v>72</v>
      </c>
      <c r="D25" s="82">
        <v>13375</v>
      </c>
      <c r="E25" s="83" t="s">
        <v>613</v>
      </c>
      <c r="F25" s="84">
        <v>-0.5</v>
      </c>
      <c r="G25" s="85">
        <v>-6250</v>
      </c>
      <c r="H25" s="46">
        <v>-437.5</v>
      </c>
      <c r="I25" s="85">
        <v>-6687.5</v>
      </c>
      <c r="J25" s="48">
        <v>46014</v>
      </c>
      <c r="K25" s="49" t="s">
        <v>721</v>
      </c>
      <c r="L25" s="86">
        <v>13375</v>
      </c>
      <c r="M25" s="87" t="s">
        <v>722</v>
      </c>
      <c r="N25" s="88">
        <v>-0.5</v>
      </c>
      <c r="O25" s="518">
        <f>+(D25*100/107)+G25-(L25*100/107)</f>
        <v>-6250</v>
      </c>
      <c r="P25" s="518">
        <f t="shared" ref="P25" si="4">ROUND((O25*0.07),2)</f>
        <v>-437.5</v>
      </c>
      <c r="Q25" s="519">
        <f t="shared" ref="Q25" si="5">+O25+P25</f>
        <v>-6687.5</v>
      </c>
      <c r="R25" s="39"/>
      <c r="S25" s="55"/>
      <c r="T25" s="55"/>
      <c r="U25" s="58"/>
      <c r="V25" s="58"/>
    </row>
    <row r="26" spans="1:25" s="57" customFormat="1" ht="27.75" customHeight="1">
      <c r="A26" s="39">
        <v>2</v>
      </c>
      <c r="B26" s="92" t="s">
        <v>76</v>
      </c>
      <c r="C26" s="41" t="s">
        <v>72</v>
      </c>
      <c r="D26" s="58">
        <v>1605</v>
      </c>
      <c r="E26" s="43" t="s">
        <v>45</v>
      </c>
      <c r="F26" s="60">
        <v>0</v>
      </c>
      <c r="G26" s="47">
        <v>0</v>
      </c>
      <c r="H26" s="46">
        <v>0</v>
      </c>
      <c r="I26" s="47">
        <v>0</v>
      </c>
      <c r="J26" s="62">
        <v>45995</v>
      </c>
      <c r="K26" s="49" t="s">
        <v>723</v>
      </c>
      <c r="L26" s="93">
        <v>1605</v>
      </c>
      <c r="M26" s="94" t="s">
        <v>45</v>
      </c>
      <c r="N26" s="95">
        <v>0</v>
      </c>
      <c r="O26" s="53">
        <f>+(D26*100/107)+G26-(L26*100/107)</f>
        <v>0</v>
      </c>
      <c r="P26" s="53">
        <f t="shared" si="0"/>
        <v>0</v>
      </c>
      <c r="Q26" s="54">
        <f t="shared" si="1"/>
        <v>0</v>
      </c>
      <c r="R26" s="39"/>
      <c r="S26" s="55"/>
      <c r="T26" s="55"/>
      <c r="U26" s="58"/>
      <c r="V26" s="58"/>
    </row>
    <row r="27" spans="1:25" s="57" customFormat="1" ht="27.75" customHeight="1" thickBot="1">
      <c r="A27" s="96"/>
      <c r="B27" s="97" t="s">
        <v>22</v>
      </c>
      <c r="C27" s="98"/>
      <c r="D27" s="99">
        <f>SUM(D25:D26)</f>
        <v>14980</v>
      </c>
      <c r="E27" s="100"/>
      <c r="F27" s="101"/>
      <c r="G27" s="102"/>
      <c r="H27" s="102"/>
      <c r="I27" s="102"/>
      <c r="J27" s="103"/>
      <c r="K27" s="104"/>
      <c r="L27" s="105">
        <f>SUM(L25:L26)</f>
        <v>14980</v>
      </c>
      <c r="M27" s="106"/>
      <c r="N27" s="107"/>
      <c r="O27" s="108"/>
      <c r="P27" s="108"/>
      <c r="Q27" s="109"/>
      <c r="R27" s="39"/>
      <c r="S27" s="55"/>
      <c r="T27" s="55"/>
      <c r="U27" s="56"/>
      <c r="V27" s="56"/>
    </row>
    <row r="28" spans="1:25" ht="27.75" customHeight="1" thickTop="1">
      <c r="A28" s="39">
        <v>1</v>
      </c>
      <c r="B28" s="40" t="s">
        <v>78</v>
      </c>
      <c r="C28" s="81" t="s">
        <v>72</v>
      </c>
      <c r="D28" s="110">
        <v>6890.8</v>
      </c>
      <c r="E28" s="111" t="s">
        <v>522</v>
      </c>
      <c r="F28" s="112">
        <v>1</v>
      </c>
      <c r="G28" s="61">
        <v>10286.083364485981</v>
      </c>
      <c r="H28" s="46">
        <v>720.03</v>
      </c>
      <c r="I28" s="47">
        <v>11006.113364485982</v>
      </c>
      <c r="J28" s="113">
        <v>46020</v>
      </c>
      <c r="K28" s="114" t="s">
        <v>724</v>
      </c>
      <c r="L28" s="115">
        <v>11006.11</v>
      </c>
      <c r="M28" s="94" t="s">
        <v>634</v>
      </c>
      <c r="N28" s="116">
        <v>1</v>
      </c>
      <c r="O28" s="53">
        <f>+(D28*100/107)+G28-(L28*100/107)</f>
        <v>6439.999252336449</v>
      </c>
      <c r="P28" s="53">
        <f t="shared" ref="P28:P30" si="6">ROUND((O28*0.07),2)</f>
        <v>450.8</v>
      </c>
      <c r="Q28" s="54">
        <f t="shared" ref="Q28:Q30" si="7">+O28+P28</f>
        <v>6890.7992523364492</v>
      </c>
      <c r="R28" s="39"/>
      <c r="S28" s="55"/>
      <c r="T28" s="55"/>
      <c r="U28" s="56"/>
      <c r="V28" s="56"/>
    </row>
    <row r="29" spans="1:25" ht="27.75" customHeight="1">
      <c r="A29" s="39">
        <v>2</v>
      </c>
      <c r="B29" s="40" t="s">
        <v>82</v>
      </c>
      <c r="C29" s="41" t="s">
        <v>72</v>
      </c>
      <c r="D29" s="110">
        <v>2456.7199999999998</v>
      </c>
      <c r="E29" s="111" t="s">
        <v>522</v>
      </c>
      <c r="F29" s="112">
        <v>1</v>
      </c>
      <c r="G29" s="61">
        <v>2535.998130841122</v>
      </c>
      <c r="H29" s="46">
        <v>177.52</v>
      </c>
      <c r="I29" s="47">
        <v>2713.518130841122</v>
      </c>
      <c r="J29" s="113">
        <v>45993</v>
      </c>
      <c r="K29" s="114" t="s">
        <v>725</v>
      </c>
      <c r="L29" s="115">
        <v>2713.52</v>
      </c>
      <c r="M29" s="94" t="s">
        <v>634</v>
      </c>
      <c r="N29" s="116">
        <v>1</v>
      </c>
      <c r="O29" s="53">
        <f>+(D29*100/107)+G29-(L29*100/107)</f>
        <v>2295.9981308411216</v>
      </c>
      <c r="P29" s="53">
        <f t="shared" si="6"/>
        <v>160.72</v>
      </c>
      <c r="Q29" s="54">
        <f t="shared" si="7"/>
        <v>2456.7181308411214</v>
      </c>
      <c r="R29" s="39"/>
      <c r="S29" s="55"/>
      <c r="T29" s="55"/>
      <c r="U29" s="56"/>
      <c r="V29" s="56"/>
    </row>
    <row r="30" spans="1:25" ht="27.75" customHeight="1">
      <c r="A30" s="39">
        <v>3</v>
      </c>
      <c r="B30" s="40" t="s">
        <v>85</v>
      </c>
      <c r="C30" s="41" t="s">
        <v>72</v>
      </c>
      <c r="D30" s="110">
        <v>10700</v>
      </c>
      <c r="E30" s="111"/>
      <c r="F30" s="112"/>
      <c r="G30" s="61">
        <v>7.4766354737221263E-4</v>
      </c>
      <c r="H30" s="46">
        <v>0</v>
      </c>
      <c r="I30" s="47">
        <v>7.4766354737221263E-4</v>
      </c>
      <c r="J30" s="117">
        <v>45995</v>
      </c>
      <c r="K30" s="118" t="s">
        <v>726</v>
      </c>
      <c r="L30" s="119">
        <v>10700</v>
      </c>
      <c r="M30" s="94"/>
      <c r="N30" s="116"/>
      <c r="O30" s="53">
        <f>+(D30*100/107)+G30-(L30*100/107)</f>
        <v>7.4766354737221263E-4</v>
      </c>
      <c r="P30" s="53">
        <f t="shared" si="6"/>
        <v>0</v>
      </c>
      <c r="Q30" s="54">
        <f t="shared" si="7"/>
        <v>7.4766354737221263E-4</v>
      </c>
      <c r="R30" s="39"/>
      <c r="S30" s="55"/>
      <c r="T30" s="55"/>
      <c r="U30" s="56"/>
      <c r="V30" s="56"/>
    </row>
    <row r="31" spans="1:25" s="57" customFormat="1" ht="27.75" customHeight="1" thickBot="1">
      <c r="A31" s="96"/>
      <c r="B31" s="97" t="s">
        <v>22</v>
      </c>
      <c r="C31" s="98"/>
      <c r="D31" s="99">
        <f>SUM(D28:D30)</f>
        <v>20047.52</v>
      </c>
      <c r="E31" s="100"/>
      <c r="F31" s="101"/>
      <c r="G31" s="102">
        <f>SUM(G28:G30)</f>
        <v>12822.082242990651</v>
      </c>
      <c r="H31" s="102">
        <f t="shared" ref="H31:I31" si="8">SUM(H28:H30)</f>
        <v>897.55</v>
      </c>
      <c r="I31" s="102">
        <f t="shared" si="8"/>
        <v>13719.63224299065</v>
      </c>
      <c r="J31" s="103"/>
      <c r="K31" s="104"/>
      <c r="L31" s="105">
        <f>SUM(L28+L29+L30)</f>
        <v>24419.63</v>
      </c>
      <c r="M31" s="106"/>
      <c r="N31" s="107"/>
      <c r="O31" s="108">
        <f>SUM(O28:O30)</f>
        <v>8735.9981308411188</v>
      </c>
      <c r="P31" s="108">
        <f t="shared" si="0"/>
        <v>611.52</v>
      </c>
      <c r="Q31" s="108">
        <f t="shared" si="1"/>
        <v>9347.5181308411193</v>
      </c>
      <c r="R31" s="39"/>
      <c r="S31" s="55"/>
      <c r="T31" s="55"/>
      <c r="U31" s="56"/>
      <c r="V31" s="56"/>
    </row>
    <row r="32" spans="1:25" ht="27.75" hidden="1" customHeight="1" thickBot="1">
      <c r="A32" s="39">
        <v>1</v>
      </c>
      <c r="B32" s="40" t="s">
        <v>88</v>
      </c>
      <c r="C32" s="41" t="s">
        <v>72</v>
      </c>
      <c r="D32" s="120">
        <v>0</v>
      </c>
      <c r="E32" s="43"/>
      <c r="F32" s="60"/>
      <c r="G32" s="61">
        <v>0</v>
      </c>
      <c r="H32" s="46">
        <v>0</v>
      </c>
      <c r="I32" s="47">
        <v>0</v>
      </c>
      <c r="J32" s="113"/>
      <c r="K32" s="118"/>
      <c r="L32" s="121">
        <v>0</v>
      </c>
      <c r="M32" s="94"/>
      <c r="N32" s="39"/>
      <c r="O32" s="53">
        <f t="shared" ref="O32:O44" si="9">+(D32*100/107)+G32-(L32*100/107)</f>
        <v>0</v>
      </c>
      <c r="P32" s="53">
        <f t="shared" si="0"/>
        <v>0</v>
      </c>
      <c r="Q32" s="54">
        <f t="shared" si="1"/>
        <v>0</v>
      </c>
      <c r="R32" s="122"/>
      <c r="S32" s="37"/>
      <c r="T32" s="37"/>
      <c r="U32" s="38"/>
      <c r="V32" s="38"/>
    </row>
    <row r="33" spans="1:23" ht="27.75" hidden="1" customHeight="1" thickTop="1">
      <c r="A33" s="39">
        <v>2</v>
      </c>
      <c r="B33" s="40" t="s">
        <v>89</v>
      </c>
      <c r="C33" s="41" t="s">
        <v>72</v>
      </c>
      <c r="D33" s="120">
        <v>0</v>
      </c>
      <c r="E33" s="43"/>
      <c r="F33" s="60"/>
      <c r="G33" s="61">
        <v>0</v>
      </c>
      <c r="H33" s="46">
        <v>0</v>
      </c>
      <c r="I33" s="47">
        <v>0</v>
      </c>
      <c r="J33" s="113"/>
      <c r="K33" s="118"/>
      <c r="L33" s="121">
        <v>0</v>
      </c>
      <c r="M33" s="94"/>
      <c r="N33" s="39"/>
      <c r="O33" s="53">
        <f t="shared" si="9"/>
        <v>0</v>
      </c>
      <c r="P33" s="53">
        <f t="shared" si="0"/>
        <v>0</v>
      </c>
      <c r="Q33" s="54">
        <f t="shared" si="1"/>
        <v>0</v>
      </c>
      <c r="R33" s="122"/>
      <c r="S33" s="37"/>
      <c r="T33" s="37"/>
      <c r="U33" s="38"/>
      <c r="V33" s="38"/>
    </row>
    <row r="34" spans="1:23" ht="27.75" hidden="1" customHeight="1" thickTop="1">
      <c r="A34" s="39">
        <v>3</v>
      </c>
      <c r="B34" s="40" t="s">
        <v>90</v>
      </c>
      <c r="C34" s="41" t="s">
        <v>72</v>
      </c>
      <c r="D34" s="120"/>
      <c r="E34" s="43"/>
      <c r="F34" s="60"/>
      <c r="G34" s="61">
        <v>0</v>
      </c>
      <c r="H34" s="46">
        <v>0</v>
      </c>
      <c r="I34" s="47">
        <v>0</v>
      </c>
      <c r="J34" s="113"/>
      <c r="K34" s="118"/>
      <c r="L34" s="121"/>
      <c r="M34" s="94"/>
      <c r="N34" s="39"/>
      <c r="O34" s="53">
        <f t="shared" si="9"/>
        <v>0</v>
      </c>
      <c r="P34" s="53">
        <f t="shared" si="0"/>
        <v>0</v>
      </c>
      <c r="Q34" s="54">
        <f t="shared" si="1"/>
        <v>0</v>
      </c>
      <c r="R34" s="122"/>
      <c r="S34" s="37"/>
      <c r="T34" s="37"/>
      <c r="U34" s="38"/>
      <c r="V34" s="38"/>
    </row>
    <row r="35" spans="1:23" ht="27.75" hidden="1" customHeight="1" thickTop="1">
      <c r="A35" s="39">
        <v>4</v>
      </c>
      <c r="B35" s="40" t="s">
        <v>91</v>
      </c>
      <c r="C35" s="41" t="s">
        <v>72</v>
      </c>
      <c r="D35" s="120"/>
      <c r="E35" s="43"/>
      <c r="F35" s="60"/>
      <c r="G35" s="61">
        <v>0</v>
      </c>
      <c r="H35" s="46">
        <v>0</v>
      </c>
      <c r="I35" s="47">
        <v>0</v>
      </c>
      <c r="J35" s="113"/>
      <c r="K35" s="118"/>
      <c r="L35" s="121">
        <v>0</v>
      </c>
      <c r="M35" s="94"/>
      <c r="N35" s="39"/>
      <c r="O35" s="53">
        <f t="shared" si="9"/>
        <v>0</v>
      </c>
      <c r="P35" s="53">
        <f t="shared" si="0"/>
        <v>0</v>
      </c>
      <c r="Q35" s="54">
        <f t="shared" si="1"/>
        <v>0</v>
      </c>
      <c r="R35" s="122"/>
      <c r="S35" s="37"/>
      <c r="T35" s="37"/>
      <c r="U35" s="38"/>
      <c r="V35" s="38"/>
    </row>
    <row r="36" spans="1:23" ht="27.75" hidden="1" customHeight="1" thickTop="1">
      <c r="A36" s="39">
        <v>5</v>
      </c>
      <c r="B36" s="40" t="s">
        <v>92</v>
      </c>
      <c r="C36" s="41" t="s">
        <v>72</v>
      </c>
      <c r="D36" s="120"/>
      <c r="E36" s="43"/>
      <c r="F36" s="60"/>
      <c r="G36" s="61">
        <v>0</v>
      </c>
      <c r="H36" s="46">
        <v>0</v>
      </c>
      <c r="I36" s="47">
        <v>0</v>
      </c>
      <c r="J36" s="117"/>
      <c r="K36" s="118"/>
      <c r="L36" s="119">
        <v>0</v>
      </c>
      <c r="M36" s="94"/>
      <c r="N36" s="39"/>
      <c r="O36" s="53">
        <f t="shared" si="9"/>
        <v>0</v>
      </c>
      <c r="P36" s="53">
        <f t="shared" si="0"/>
        <v>0</v>
      </c>
      <c r="Q36" s="54">
        <f t="shared" si="1"/>
        <v>0</v>
      </c>
      <c r="R36" s="122"/>
      <c r="S36" s="37"/>
      <c r="T36" s="37"/>
      <c r="U36" s="38"/>
      <c r="V36" s="38"/>
    </row>
    <row r="37" spans="1:23" ht="27.75" hidden="1" customHeight="1" thickTop="1">
      <c r="A37" s="39">
        <v>6</v>
      </c>
      <c r="B37" s="123" t="s">
        <v>93</v>
      </c>
      <c r="C37" s="41" t="s">
        <v>72</v>
      </c>
      <c r="D37" s="124">
        <v>0</v>
      </c>
      <c r="E37" s="125"/>
      <c r="F37" s="126"/>
      <c r="G37" s="65">
        <v>0</v>
      </c>
      <c r="H37" s="46">
        <v>0</v>
      </c>
      <c r="I37" s="47">
        <v>0</v>
      </c>
      <c r="J37" s="127"/>
      <c r="K37" s="128"/>
      <c r="L37" s="129">
        <v>0</v>
      </c>
      <c r="M37" s="94"/>
      <c r="N37" s="39"/>
      <c r="O37" s="53">
        <f t="shared" si="9"/>
        <v>0</v>
      </c>
      <c r="P37" s="53">
        <f t="shared" si="0"/>
        <v>0</v>
      </c>
      <c r="Q37" s="54">
        <f t="shared" si="1"/>
        <v>0</v>
      </c>
      <c r="R37" s="122"/>
      <c r="S37" s="37"/>
      <c r="T37" s="37"/>
      <c r="U37" s="38"/>
      <c r="V37" s="38"/>
    </row>
    <row r="38" spans="1:23" ht="27.75" hidden="1" customHeight="1" thickTop="1">
      <c r="A38" s="39">
        <v>7</v>
      </c>
      <c r="B38" s="40" t="s">
        <v>94</v>
      </c>
      <c r="C38" s="41" t="s">
        <v>72</v>
      </c>
      <c r="D38" s="120"/>
      <c r="E38" s="43"/>
      <c r="F38" s="60"/>
      <c r="G38" s="61">
        <v>0</v>
      </c>
      <c r="H38" s="46">
        <v>0</v>
      </c>
      <c r="I38" s="47">
        <v>0</v>
      </c>
      <c r="J38" s="117"/>
      <c r="K38" s="118"/>
      <c r="L38" s="119">
        <v>0</v>
      </c>
      <c r="M38" s="94"/>
      <c r="N38" s="39"/>
      <c r="O38" s="53">
        <f t="shared" si="9"/>
        <v>0</v>
      </c>
      <c r="P38" s="53">
        <f t="shared" si="0"/>
        <v>0</v>
      </c>
      <c r="Q38" s="54">
        <f t="shared" si="1"/>
        <v>0</v>
      </c>
      <c r="R38" s="122"/>
      <c r="S38" s="37"/>
      <c r="T38" s="37"/>
      <c r="U38" s="38"/>
      <c r="V38" s="38"/>
    </row>
    <row r="39" spans="1:23" ht="27.75" hidden="1" customHeight="1" thickTop="1">
      <c r="A39" s="39">
        <v>8</v>
      </c>
      <c r="B39" s="40" t="s">
        <v>95</v>
      </c>
      <c r="C39" s="41" t="s">
        <v>72</v>
      </c>
      <c r="D39" s="120"/>
      <c r="E39" s="43"/>
      <c r="F39" s="60"/>
      <c r="G39" s="61">
        <v>0</v>
      </c>
      <c r="H39" s="46">
        <v>0</v>
      </c>
      <c r="I39" s="47">
        <v>0</v>
      </c>
      <c r="J39" s="117"/>
      <c r="K39" s="118"/>
      <c r="L39" s="119">
        <v>0</v>
      </c>
      <c r="M39" s="94"/>
      <c r="N39" s="39"/>
      <c r="O39" s="53">
        <f t="shared" si="9"/>
        <v>0</v>
      </c>
      <c r="P39" s="53">
        <f t="shared" si="0"/>
        <v>0</v>
      </c>
      <c r="Q39" s="54">
        <f t="shared" si="1"/>
        <v>0</v>
      </c>
      <c r="R39" s="122"/>
      <c r="S39" s="37"/>
      <c r="T39" s="37"/>
      <c r="U39" s="38"/>
      <c r="V39" s="38"/>
    </row>
    <row r="40" spans="1:23" ht="27.75" hidden="1" customHeight="1" thickTop="1">
      <c r="A40" s="39">
        <v>9</v>
      </c>
      <c r="B40" s="40" t="s">
        <v>96</v>
      </c>
      <c r="C40" s="41" t="s">
        <v>72</v>
      </c>
      <c r="D40" s="120"/>
      <c r="E40" s="43"/>
      <c r="F40" s="60"/>
      <c r="G40" s="61">
        <v>0</v>
      </c>
      <c r="H40" s="46">
        <v>0</v>
      </c>
      <c r="I40" s="47">
        <v>0</v>
      </c>
      <c r="J40" s="117"/>
      <c r="K40" s="118"/>
      <c r="L40" s="119">
        <v>0</v>
      </c>
      <c r="M40" s="94"/>
      <c r="N40" s="39"/>
      <c r="O40" s="53">
        <f t="shared" si="9"/>
        <v>0</v>
      </c>
      <c r="P40" s="53">
        <f t="shared" si="0"/>
        <v>0</v>
      </c>
      <c r="Q40" s="54">
        <f t="shared" si="1"/>
        <v>0</v>
      </c>
      <c r="R40" s="122"/>
      <c r="S40" s="37"/>
      <c r="T40" s="37"/>
      <c r="U40" s="38"/>
      <c r="V40" s="38"/>
    </row>
    <row r="41" spans="1:23" ht="27.75" hidden="1" customHeight="1" thickTop="1">
      <c r="A41" s="39">
        <v>10</v>
      </c>
      <c r="B41" s="40" t="s">
        <v>97</v>
      </c>
      <c r="C41" s="41" t="s">
        <v>72</v>
      </c>
      <c r="D41" s="120">
        <v>0</v>
      </c>
      <c r="E41" s="43"/>
      <c r="F41" s="60"/>
      <c r="G41" s="61">
        <v>0</v>
      </c>
      <c r="H41" s="46">
        <v>0</v>
      </c>
      <c r="I41" s="47">
        <v>0</v>
      </c>
      <c r="J41" s="117"/>
      <c r="K41" s="118"/>
      <c r="L41" s="119">
        <v>0</v>
      </c>
      <c r="M41" s="94"/>
      <c r="N41" s="39"/>
      <c r="O41" s="53">
        <f t="shared" si="9"/>
        <v>0</v>
      </c>
      <c r="P41" s="53">
        <f t="shared" si="0"/>
        <v>0</v>
      </c>
      <c r="Q41" s="54">
        <f t="shared" si="1"/>
        <v>0</v>
      </c>
      <c r="R41" s="122"/>
      <c r="S41" s="37"/>
      <c r="T41" s="37"/>
      <c r="U41" s="38"/>
      <c r="V41" s="38"/>
    </row>
    <row r="42" spans="1:23" ht="27.75" hidden="1" customHeight="1" thickTop="1">
      <c r="A42" s="39">
        <v>11</v>
      </c>
      <c r="B42" s="40" t="s">
        <v>98</v>
      </c>
      <c r="C42" s="41" t="s">
        <v>72</v>
      </c>
      <c r="D42" s="120"/>
      <c r="E42" s="43"/>
      <c r="F42" s="60"/>
      <c r="G42" s="61">
        <v>0</v>
      </c>
      <c r="H42" s="46">
        <v>0</v>
      </c>
      <c r="I42" s="47">
        <v>0</v>
      </c>
      <c r="J42" s="117"/>
      <c r="K42" s="118"/>
      <c r="L42" s="119">
        <v>0</v>
      </c>
      <c r="M42" s="94"/>
      <c r="N42" s="39"/>
      <c r="O42" s="53">
        <f t="shared" si="9"/>
        <v>0</v>
      </c>
      <c r="P42" s="53">
        <f t="shared" si="0"/>
        <v>0</v>
      </c>
      <c r="Q42" s="54">
        <f t="shared" si="1"/>
        <v>0</v>
      </c>
      <c r="R42" s="122"/>
      <c r="S42" s="37"/>
      <c r="T42" s="37"/>
      <c r="U42" s="38"/>
      <c r="V42" s="38"/>
    </row>
    <row r="43" spans="1:23" ht="27.75" hidden="1" customHeight="1" thickTop="1">
      <c r="A43" s="39">
        <v>12</v>
      </c>
      <c r="B43" s="40" t="s">
        <v>99</v>
      </c>
      <c r="C43" s="41" t="s">
        <v>72</v>
      </c>
      <c r="D43" s="120">
        <v>0</v>
      </c>
      <c r="E43" s="43"/>
      <c r="F43" s="60"/>
      <c r="G43" s="61">
        <v>0</v>
      </c>
      <c r="H43" s="46">
        <v>0</v>
      </c>
      <c r="I43" s="47">
        <v>0</v>
      </c>
      <c r="J43" s="117"/>
      <c r="K43" s="118"/>
      <c r="L43" s="119">
        <v>0</v>
      </c>
      <c r="M43" s="94"/>
      <c r="N43" s="39"/>
      <c r="O43" s="53">
        <f t="shared" si="9"/>
        <v>0</v>
      </c>
      <c r="P43" s="53">
        <f t="shared" si="0"/>
        <v>0</v>
      </c>
      <c r="Q43" s="54">
        <f t="shared" si="1"/>
        <v>0</v>
      </c>
      <c r="R43" s="122"/>
      <c r="S43" s="37"/>
      <c r="T43" s="37"/>
      <c r="U43" s="38"/>
      <c r="V43" s="38"/>
    </row>
    <row r="44" spans="1:23" ht="27.75" hidden="1" customHeight="1" thickTop="1">
      <c r="A44" s="39"/>
      <c r="B44" s="123"/>
      <c r="C44" s="41"/>
      <c r="D44" s="124"/>
      <c r="E44" s="125"/>
      <c r="F44" s="126"/>
      <c r="G44" s="65">
        <v>0</v>
      </c>
      <c r="H44" s="46">
        <v>0</v>
      </c>
      <c r="I44" s="47">
        <v>0</v>
      </c>
      <c r="J44" s="127"/>
      <c r="K44" s="128"/>
      <c r="L44" s="129"/>
      <c r="M44" s="83"/>
      <c r="N44" s="130"/>
      <c r="O44" s="53">
        <f t="shared" si="9"/>
        <v>0</v>
      </c>
      <c r="P44" s="53">
        <f t="shared" si="0"/>
        <v>0</v>
      </c>
      <c r="Q44" s="54">
        <f t="shared" si="1"/>
        <v>0</v>
      </c>
      <c r="R44" s="122"/>
      <c r="S44" s="37"/>
      <c r="T44" s="37"/>
      <c r="U44" s="38"/>
      <c r="V44" s="38"/>
    </row>
    <row r="45" spans="1:23" ht="27.75" hidden="1" customHeight="1" thickTop="1">
      <c r="A45" s="22"/>
      <c r="B45" s="131" t="s">
        <v>22</v>
      </c>
      <c r="C45" s="132"/>
      <c r="D45" s="133">
        <f>SUM(D32:D43)</f>
        <v>0</v>
      </c>
      <c r="E45" s="134"/>
      <c r="F45" s="135"/>
      <c r="G45" s="136">
        <f>SUM(G32:G43)</f>
        <v>0</v>
      </c>
      <c r="H45" s="136">
        <f t="shared" ref="H45:I45" si="10">SUM(H32:H43)</f>
        <v>0</v>
      </c>
      <c r="I45" s="136">
        <f t="shared" si="10"/>
        <v>0</v>
      </c>
      <c r="J45" s="137">
        <v>0</v>
      </c>
      <c r="K45" s="137">
        <f>SUM(K8:K44)</f>
        <v>0</v>
      </c>
      <c r="L45" s="138">
        <f>SUM(L32:L44)</f>
        <v>0</v>
      </c>
      <c r="M45" s="139"/>
      <c r="N45" s="133"/>
      <c r="O45" s="136">
        <f>SUM(O32:O44)</f>
        <v>0</v>
      </c>
      <c r="P45" s="136">
        <f t="shared" ref="P45:Q45" si="11">SUM(P32:P44)</f>
        <v>0</v>
      </c>
      <c r="Q45" s="136">
        <f t="shared" si="11"/>
        <v>0</v>
      </c>
      <c r="R45" s="36"/>
      <c r="S45" s="37"/>
      <c r="T45" s="37"/>
      <c r="U45" s="38"/>
      <c r="V45" s="38"/>
      <c r="W45" s="38"/>
    </row>
    <row r="46" spans="1:23" ht="27.75" customHeight="1" thickTop="1">
      <c r="A46" s="22"/>
      <c r="B46" s="23" t="s">
        <v>100</v>
      </c>
      <c r="C46" s="24"/>
      <c r="D46" s="25"/>
      <c r="E46" s="26"/>
      <c r="F46" s="27"/>
      <c r="G46" s="28"/>
      <c r="H46" s="28"/>
      <c r="I46" s="28"/>
      <c r="J46" s="29"/>
      <c r="K46" s="30"/>
      <c r="L46" s="31"/>
      <c r="M46" s="32"/>
      <c r="N46" s="33"/>
      <c r="O46" s="34"/>
      <c r="P46" s="34"/>
      <c r="Q46" s="35"/>
      <c r="R46" s="36"/>
      <c r="S46" s="37"/>
      <c r="T46" s="37"/>
      <c r="U46" s="38"/>
      <c r="V46" s="38"/>
      <c r="W46" s="38"/>
    </row>
    <row r="47" spans="1:23" s="57" customFormat="1" ht="27.75" customHeight="1">
      <c r="A47" s="22">
        <v>1</v>
      </c>
      <c r="B47" s="40" t="s">
        <v>101</v>
      </c>
      <c r="C47" s="140" t="s">
        <v>102</v>
      </c>
      <c r="D47" s="141">
        <v>160.5</v>
      </c>
      <c r="E47" s="142" t="s">
        <v>45</v>
      </c>
      <c r="F47" s="143">
        <v>0</v>
      </c>
      <c r="G47" s="61">
        <v>0</v>
      </c>
      <c r="H47" s="61">
        <v>0</v>
      </c>
      <c r="I47" s="47">
        <v>0</v>
      </c>
      <c r="J47" s="113">
        <v>46013</v>
      </c>
      <c r="K47" s="114" t="s">
        <v>727</v>
      </c>
      <c r="L47" s="144">
        <v>160.5</v>
      </c>
      <c r="M47" s="145" t="s">
        <v>45</v>
      </c>
      <c r="N47" s="146">
        <v>0</v>
      </c>
      <c r="O47" s="147">
        <f t="shared" ref="O47:O82" si="12">+(D47*100/107)+G47-(L47*100/107)</f>
        <v>0</v>
      </c>
      <c r="P47" s="147">
        <f t="shared" ref="P47" si="13">ROUND((O47*0.07),2)</f>
        <v>0</v>
      </c>
      <c r="Q47" s="47">
        <f t="shared" ref="Q47" si="14">+O47+P47</f>
        <v>0</v>
      </c>
      <c r="R47" s="146"/>
      <c r="S47" s="148"/>
      <c r="T47" s="148"/>
      <c r="U47" s="149"/>
      <c r="V47" s="149"/>
    </row>
    <row r="48" spans="1:23" s="57" customFormat="1" ht="27.75" customHeight="1">
      <c r="A48" s="22">
        <v>2</v>
      </c>
      <c r="B48" s="150" t="s">
        <v>104</v>
      </c>
      <c r="C48" s="140" t="s">
        <v>102</v>
      </c>
      <c r="D48" s="141">
        <v>321</v>
      </c>
      <c r="E48" s="142" t="s">
        <v>522</v>
      </c>
      <c r="F48" s="143">
        <v>1</v>
      </c>
      <c r="G48" s="61">
        <v>300</v>
      </c>
      <c r="H48" s="61">
        <v>21</v>
      </c>
      <c r="I48" s="47">
        <v>321</v>
      </c>
      <c r="J48" s="117">
        <v>45992</v>
      </c>
      <c r="K48" s="118" t="s">
        <v>728</v>
      </c>
      <c r="L48" s="151">
        <v>963</v>
      </c>
      <c r="M48" s="94" t="s">
        <v>801</v>
      </c>
      <c r="N48" s="39">
        <v>-1</v>
      </c>
      <c r="O48" s="147">
        <f t="shared" si="12"/>
        <v>-300</v>
      </c>
      <c r="P48" s="147">
        <f>ROUND((O48*0.07),2)</f>
        <v>-21</v>
      </c>
      <c r="Q48" s="47">
        <f>+O48+P48</f>
        <v>-321</v>
      </c>
      <c r="R48" s="146"/>
      <c r="S48" s="148"/>
      <c r="T48" s="148"/>
      <c r="U48" s="149"/>
      <c r="V48" s="149"/>
    </row>
    <row r="49" spans="1:22" s="169" customFormat="1" ht="27.75" customHeight="1">
      <c r="A49" s="152">
        <v>3</v>
      </c>
      <c r="B49" s="153" t="s">
        <v>106</v>
      </c>
      <c r="C49" s="154" t="s">
        <v>102</v>
      </c>
      <c r="D49" s="155">
        <v>160.5</v>
      </c>
      <c r="E49" s="156" t="s">
        <v>514</v>
      </c>
      <c r="F49" s="157">
        <v>-8</v>
      </c>
      <c r="G49" s="158">
        <v>-1200</v>
      </c>
      <c r="H49" s="158">
        <v>-84</v>
      </c>
      <c r="I49" s="159">
        <v>-1284</v>
      </c>
      <c r="J49" s="160"/>
      <c r="K49" s="161"/>
      <c r="L49" s="162"/>
      <c r="M49" s="163" t="s">
        <v>812</v>
      </c>
      <c r="N49" s="164">
        <v>-7</v>
      </c>
      <c r="O49" s="165">
        <f t="shared" si="12"/>
        <v>-1050</v>
      </c>
      <c r="P49" s="165">
        <f t="shared" ref="P49:P68" si="15">ROUND((O49*0.07),2)</f>
        <v>-73.5</v>
      </c>
      <c r="Q49" s="159">
        <f t="shared" ref="Q49:Q68" si="16">+O49+P49</f>
        <v>-1123.5</v>
      </c>
      <c r="R49" s="166"/>
      <c r="S49" s="167"/>
      <c r="T49" s="167"/>
      <c r="U49" s="168"/>
      <c r="V49" s="168"/>
    </row>
    <row r="50" spans="1:22" s="57" customFormat="1" ht="27.75" customHeight="1">
      <c r="A50" s="22">
        <v>4</v>
      </c>
      <c r="B50" s="170" t="s">
        <v>109</v>
      </c>
      <c r="C50" s="140" t="s">
        <v>102</v>
      </c>
      <c r="D50" s="141">
        <v>321</v>
      </c>
      <c r="E50" s="142" t="s">
        <v>45</v>
      </c>
      <c r="F50" s="143">
        <v>0</v>
      </c>
      <c r="G50" s="61">
        <v>0</v>
      </c>
      <c r="H50" s="61">
        <v>0</v>
      </c>
      <c r="I50" s="47">
        <v>0</v>
      </c>
      <c r="J50" s="117">
        <v>46017</v>
      </c>
      <c r="K50" s="118" t="s">
        <v>729</v>
      </c>
      <c r="L50" s="151">
        <v>321</v>
      </c>
      <c r="M50" s="171" t="s">
        <v>45</v>
      </c>
      <c r="N50" s="172">
        <v>0</v>
      </c>
      <c r="O50" s="147">
        <f t="shared" si="12"/>
        <v>0</v>
      </c>
      <c r="P50" s="147">
        <f t="shared" si="15"/>
        <v>0</v>
      </c>
      <c r="Q50" s="47">
        <f t="shared" si="16"/>
        <v>0</v>
      </c>
      <c r="R50" s="146"/>
      <c r="S50" s="148"/>
      <c r="T50" s="148"/>
      <c r="U50" s="149"/>
      <c r="V50" s="149"/>
    </row>
    <row r="51" spans="1:22" s="57" customFormat="1" ht="27.75" customHeight="1">
      <c r="A51" s="22">
        <v>5</v>
      </c>
      <c r="B51" s="170" t="s">
        <v>111</v>
      </c>
      <c r="C51" s="140" t="s">
        <v>102</v>
      </c>
      <c r="D51" s="141">
        <v>321</v>
      </c>
      <c r="E51" s="142" t="s">
        <v>45</v>
      </c>
      <c r="F51" s="143">
        <v>0</v>
      </c>
      <c r="G51" s="61">
        <v>0</v>
      </c>
      <c r="H51" s="61">
        <v>0</v>
      </c>
      <c r="I51" s="47">
        <v>0</v>
      </c>
      <c r="J51" s="117">
        <v>45995</v>
      </c>
      <c r="K51" s="118" t="s">
        <v>730</v>
      </c>
      <c r="L51" s="151">
        <v>321</v>
      </c>
      <c r="M51" s="171" t="s">
        <v>45</v>
      </c>
      <c r="N51" s="172">
        <v>0</v>
      </c>
      <c r="O51" s="147">
        <f t="shared" si="12"/>
        <v>0</v>
      </c>
      <c r="P51" s="147">
        <f t="shared" si="15"/>
        <v>0</v>
      </c>
      <c r="Q51" s="47">
        <f t="shared" si="16"/>
        <v>0</v>
      </c>
      <c r="R51" s="146"/>
      <c r="S51" s="148"/>
      <c r="T51" s="148"/>
      <c r="U51" s="149"/>
      <c r="V51" s="149"/>
    </row>
    <row r="52" spans="1:22" s="57" customFormat="1" ht="27.75" customHeight="1">
      <c r="A52" s="22">
        <v>6</v>
      </c>
      <c r="B52" s="170" t="s">
        <v>113</v>
      </c>
      <c r="C52" s="140" t="s">
        <v>102</v>
      </c>
      <c r="D52" s="141">
        <v>160.5</v>
      </c>
      <c r="E52" s="142" t="s">
        <v>45</v>
      </c>
      <c r="F52" s="143">
        <v>0</v>
      </c>
      <c r="G52" s="61">
        <v>0</v>
      </c>
      <c r="H52" s="61">
        <v>0</v>
      </c>
      <c r="I52" s="47">
        <v>0</v>
      </c>
      <c r="J52" s="113">
        <v>46004</v>
      </c>
      <c r="K52" s="114" t="s">
        <v>731</v>
      </c>
      <c r="L52" s="151">
        <v>160.5</v>
      </c>
      <c r="M52" s="171" t="s">
        <v>45</v>
      </c>
      <c r="N52" s="172">
        <v>0</v>
      </c>
      <c r="O52" s="147">
        <f t="shared" si="12"/>
        <v>0</v>
      </c>
      <c r="P52" s="147">
        <f t="shared" si="15"/>
        <v>0</v>
      </c>
      <c r="Q52" s="47">
        <f t="shared" si="16"/>
        <v>0</v>
      </c>
      <c r="R52" s="146"/>
      <c r="S52" s="148"/>
      <c r="T52" s="148"/>
      <c r="U52" s="149"/>
      <c r="V52" s="149"/>
    </row>
    <row r="53" spans="1:22" s="57" customFormat="1" ht="27.75" customHeight="1">
      <c r="A53" s="22">
        <v>7</v>
      </c>
      <c r="B53" s="170" t="s">
        <v>115</v>
      </c>
      <c r="C53" s="140" t="s">
        <v>102</v>
      </c>
      <c r="D53" s="173">
        <v>321</v>
      </c>
      <c r="E53" s="142" t="s">
        <v>45</v>
      </c>
      <c r="F53" s="143">
        <v>0</v>
      </c>
      <c r="G53" s="61">
        <v>0</v>
      </c>
      <c r="H53" s="61">
        <v>0</v>
      </c>
      <c r="I53" s="47">
        <v>0</v>
      </c>
      <c r="J53" s="113">
        <v>45992</v>
      </c>
      <c r="K53" s="114" t="s">
        <v>732</v>
      </c>
      <c r="L53" s="151">
        <v>321</v>
      </c>
      <c r="M53" s="174" t="s">
        <v>45</v>
      </c>
      <c r="N53" s="172">
        <v>0</v>
      </c>
      <c r="O53" s="147">
        <f t="shared" si="12"/>
        <v>0</v>
      </c>
      <c r="P53" s="147">
        <f t="shared" si="15"/>
        <v>0</v>
      </c>
      <c r="Q53" s="47">
        <f t="shared" si="16"/>
        <v>0</v>
      </c>
      <c r="R53" s="146"/>
      <c r="S53" s="148"/>
      <c r="T53" s="148"/>
      <c r="U53" s="149"/>
      <c r="V53" s="149"/>
    </row>
    <row r="54" spans="1:22" s="57" customFormat="1" ht="27.75" customHeight="1">
      <c r="A54" s="22">
        <v>8</v>
      </c>
      <c r="B54" s="170" t="s">
        <v>117</v>
      </c>
      <c r="C54" s="140" t="s">
        <v>102</v>
      </c>
      <c r="D54" s="141">
        <v>535</v>
      </c>
      <c r="E54" s="142" t="s">
        <v>45</v>
      </c>
      <c r="F54" s="143">
        <v>0</v>
      </c>
      <c r="G54" s="45">
        <v>0</v>
      </c>
      <c r="H54" s="61">
        <v>0</v>
      </c>
      <c r="I54" s="47">
        <v>0</v>
      </c>
      <c r="J54" s="113">
        <v>46006</v>
      </c>
      <c r="K54" s="114" t="s">
        <v>733</v>
      </c>
      <c r="L54" s="151">
        <v>535</v>
      </c>
      <c r="M54" s="171" t="s">
        <v>45</v>
      </c>
      <c r="N54" s="172">
        <v>0</v>
      </c>
      <c r="O54" s="147">
        <f t="shared" si="12"/>
        <v>0</v>
      </c>
      <c r="P54" s="147">
        <f t="shared" si="15"/>
        <v>0</v>
      </c>
      <c r="Q54" s="47">
        <f t="shared" si="16"/>
        <v>0</v>
      </c>
      <c r="R54" s="146"/>
      <c r="S54" s="148"/>
      <c r="T54" s="148"/>
      <c r="U54" s="149"/>
      <c r="V54" s="149"/>
    </row>
    <row r="55" spans="1:22" s="57" customFormat="1" ht="27.75" customHeight="1">
      <c r="A55" s="22">
        <v>9</v>
      </c>
      <c r="B55" s="170" t="s">
        <v>119</v>
      </c>
      <c r="C55" s="140" t="s">
        <v>102</v>
      </c>
      <c r="D55" s="141">
        <v>321</v>
      </c>
      <c r="E55" s="142" t="s">
        <v>45</v>
      </c>
      <c r="F55" s="143">
        <v>0</v>
      </c>
      <c r="G55" s="45">
        <v>0</v>
      </c>
      <c r="H55" s="61">
        <v>0</v>
      </c>
      <c r="I55" s="47">
        <v>0</v>
      </c>
      <c r="J55" s="113">
        <v>46019</v>
      </c>
      <c r="K55" s="114" t="s">
        <v>734</v>
      </c>
      <c r="L55" s="151">
        <v>321</v>
      </c>
      <c r="M55" s="171" t="s">
        <v>45</v>
      </c>
      <c r="N55" s="172">
        <v>0</v>
      </c>
      <c r="O55" s="147">
        <f t="shared" si="12"/>
        <v>0</v>
      </c>
      <c r="P55" s="147">
        <f t="shared" si="15"/>
        <v>0</v>
      </c>
      <c r="Q55" s="47">
        <f t="shared" si="16"/>
        <v>0</v>
      </c>
      <c r="R55" s="146"/>
      <c r="S55" s="148"/>
      <c r="T55" s="148"/>
      <c r="U55" s="149"/>
      <c r="V55" s="149"/>
    </row>
    <row r="56" spans="1:22" s="57" customFormat="1" ht="27.75" customHeight="1">
      <c r="A56" s="22">
        <v>10</v>
      </c>
      <c r="B56" s="170" t="s">
        <v>121</v>
      </c>
      <c r="C56" s="140" t="s">
        <v>102</v>
      </c>
      <c r="D56" s="173">
        <v>321</v>
      </c>
      <c r="E56" s="142" t="s">
        <v>45</v>
      </c>
      <c r="F56" s="143">
        <v>0</v>
      </c>
      <c r="G56" s="45">
        <v>0</v>
      </c>
      <c r="H56" s="61">
        <v>0</v>
      </c>
      <c r="I56" s="47">
        <v>0</v>
      </c>
      <c r="J56" s="113">
        <v>46014</v>
      </c>
      <c r="K56" s="114" t="s">
        <v>735</v>
      </c>
      <c r="L56" s="151">
        <v>321</v>
      </c>
      <c r="M56" s="171" t="s">
        <v>45</v>
      </c>
      <c r="N56" s="172">
        <v>0</v>
      </c>
      <c r="O56" s="147">
        <f t="shared" si="12"/>
        <v>0</v>
      </c>
      <c r="P56" s="147">
        <f t="shared" si="15"/>
        <v>0</v>
      </c>
      <c r="Q56" s="47">
        <f t="shared" si="16"/>
        <v>0</v>
      </c>
      <c r="R56" s="146"/>
      <c r="S56" s="148"/>
      <c r="T56" s="148"/>
      <c r="U56" s="149"/>
      <c r="V56" s="149"/>
    </row>
    <row r="57" spans="1:22" s="57" customFormat="1" ht="27.75" customHeight="1">
      <c r="A57" s="22">
        <v>11</v>
      </c>
      <c r="B57" s="40" t="s">
        <v>123</v>
      </c>
      <c r="C57" s="140" t="s">
        <v>102</v>
      </c>
      <c r="D57" s="173">
        <v>160.5</v>
      </c>
      <c r="E57" s="142" t="s">
        <v>45</v>
      </c>
      <c r="F57" s="143">
        <v>0</v>
      </c>
      <c r="G57" s="45">
        <v>0</v>
      </c>
      <c r="H57" s="61">
        <v>0</v>
      </c>
      <c r="I57" s="47">
        <v>0</v>
      </c>
      <c r="J57" s="113">
        <v>46015</v>
      </c>
      <c r="K57" s="114" t="s">
        <v>736</v>
      </c>
      <c r="L57" s="144">
        <v>963</v>
      </c>
      <c r="M57" s="145" t="s">
        <v>737</v>
      </c>
      <c r="N57" s="146">
        <v>-5</v>
      </c>
      <c r="O57" s="147">
        <f t="shared" si="12"/>
        <v>-750</v>
      </c>
      <c r="P57" s="147">
        <f t="shared" si="15"/>
        <v>-52.5</v>
      </c>
      <c r="Q57" s="47">
        <f t="shared" si="16"/>
        <v>-802.5</v>
      </c>
      <c r="R57" s="146"/>
      <c r="S57" s="148"/>
      <c r="T57" s="148"/>
      <c r="U57" s="149"/>
      <c r="V57" s="149"/>
    </row>
    <row r="58" spans="1:22" s="57" customFormat="1" ht="27.75" customHeight="1">
      <c r="A58" s="22">
        <v>12</v>
      </c>
      <c r="B58" s="40" t="s">
        <v>126</v>
      </c>
      <c r="C58" s="140" t="s">
        <v>102</v>
      </c>
      <c r="D58" s="173">
        <v>642</v>
      </c>
      <c r="E58" s="142" t="s">
        <v>45</v>
      </c>
      <c r="F58" s="143">
        <v>0</v>
      </c>
      <c r="G58" s="61">
        <v>0</v>
      </c>
      <c r="H58" s="61">
        <v>0</v>
      </c>
      <c r="I58" s="47">
        <v>0</v>
      </c>
      <c r="J58" s="113" t="s">
        <v>808</v>
      </c>
      <c r="K58" s="114" t="s">
        <v>813</v>
      </c>
      <c r="L58" s="144">
        <v>1284</v>
      </c>
      <c r="M58" s="145" t="s">
        <v>801</v>
      </c>
      <c r="N58" s="146">
        <v>-1</v>
      </c>
      <c r="O58" s="147">
        <f t="shared" si="12"/>
        <v>-600</v>
      </c>
      <c r="P58" s="147">
        <f t="shared" si="15"/>
        <v>-42</v>
      </c>
      <c r="Q58" s="47">
        <f t="shared" si="16"/>
        <v>-642</v>
      </c>
      <c r="R58" s="146"/>
      <c r="S58" s="148"/>
      <c r="T58" s="148"/>
      <c r="U58" s="149"/>
      <c r="V58" s="149"/>
    </row>
    <row r="59" spans="1:22" s="57" customFormat="1" ht="27.75" customHeight="1">
      <c r="A59" s="22">
        <v>13</v>
      </c>
      <c r="B59" s="40" t="s">
        <v>128</v>
      </c>
      <c r="C59" s="140" t="s">
        <v>102</v>
      </c>
      <c r="D59" s="141">
        <v>642</v>
      </c>
      <c r="E59" s="142" t="s">
        <v>45</v>
      </c>
      <c r="F59" s="143">
        <v>0</v>
      </c>
      <c r="G59" s="61">
        <v>0</v>
      </c>
      <c r="H59" s="61">
        <v>0</v>
      </c>
      <c r="I59" s="47">
        <v>0</v>
      </c>
      <c r="J59" s="113">
        <v>46014</v>
      </c>
      <c r="K59" s="114" t="s">
        <v>738</v>
      </c>
      <c r="L59" s="144">
        <v>642</v>
      </c>
      <c r="M59" s="145" t="s">
        <v>45</v>
      </c>
      <c r="N59" s="146">
        <v>0</v>
      </c>
      <c r="O59" s="147">
        <f t="shared" si="12"/>
        <v>0</v>
      </c>
      <c r="P59" s="147">
        <f t="shared" si="15"/>
        <v>0</v>
      </c>
      <c r="Q59" s="47">
        <f t="shared" si="16"/>
        <v>0</v>
      </c>
      <c r="R59" s="146"/>
      <c r="S59" s="148"/>
      <c r="T59" s="148"/>
      <c r="U59" s="149"/>
      <c r="V59" s="149"/>
    </row>
    <row r="60" spans="1:22" s="57" customFormat="1" ht="27.75" customHeight="1">
      <c r="A60" s="22">
        <v>14</v>
      </c>
      <c r="B60" s="40" t="s">
        <v>130</v>
      </c>
      <c r="C60" s="140" t="s">
        <v>102</v>
      </c>
      <c r="D60" s="141">
        <v>160.5</v>
      </c>
      <c r="E60" s="142" t="s">
        <v>45</v>
      </c>
      <c r="F60" s="143">
        <v>0</v>
      </c>
      <c r="G60" s="61">
        <v>0</v>
      </c>
      <c r="H60" s="61">
        <v>0</v>
      </c>
      <c r="I60" s="47">
        <v>0</v>
      </c>
      <c r="J60" s="175"/>
      <c r="K60" s="176"/>
      <c r="L60" s="177"/>
      <c r="M60" s="145" t="s">
        <v>634</v>
      </c>
      <c r="N60" s="146">
        <v>1</v>
      </c>
      <c r="O60" s="147">
        <f t="shared" si="12"/>
        <v>150</v>
      </c>
      <c r="P60" s="147">
        <f t="shared" si="15"/>
        <v>10.5</v>
      </c>
      <c r="Q60" s="47">
        <f t="shared" si="16"/>
        <v>160.5</v>
      </c>
      <c r="R60" s="146"/>
      <c r="S60" s="148"/>
      <c r="T60" s="148"/>
      <c r="U60" s="149"/>
      <c r="V60" s="149"/>
    </row>
    <row r="61" spans="1:22" s="57" customFormat="1" ht="27.75" customHeight="1">
      <c r="A61" s="22">
        <v>15</v>
      </c>
      <c r="B61" s="170" t="s">
        <v>132</v>
      </c>
      <c r="C61" s="140" t="s">
        <v>102</v>
      </c>
      <c r="D61" s="141">
        <v>321</v>
      </c>
      <c r="E61" s="142" t="s">
        <v>45</v>
      </c>
      <c r="F61" s="143">
        <v>0</v>
      </c>
      <c r="G61" s="45">
        <v>0</v>
      </c>
      <c r="H61" s="61">
        <v>0</v>
      </c>
      <c r="I61" s="47">
        <v>0</v>
      </c>
      <c r="J61" s="178">
        <v>45992</v>
      </c>
      <c r="K61" s="179" t="s">
        <v>739</v>
      </c>
      <c r="L61" s="180">
        <v>321</v>
      </c>
      <c r="M61" s="171" t="s">
        <v>45</v>
      </c>
      <c r="N61" s="172">
        <v>0</v>
      </c>
      <c r="O61" s="147">
        <f t="shared" si="12"/>
        <v>0</v>
      </c>
      <c r="P61" s="147">
        <f t="shared" si="15"/>
        <v>0</v>
      </c>
      <c r="Q61" s="47">
        <f t="shared" si="16"/>
        <v>0</v>
      </c>
      <c r="R61" s="146"/>
      <c r="S61" s="148"/>
      <c r="T61" s="148"/>
      <c r="U61" s="149"/>
      <c r="V61" s="149"/>
    </row>
    <row r="62" spans="1:22" s="57" customFormat="1" ht="27.75" customHeight="1">
      <c r="A62" s="22">
        <v>16</v>
      </c>
      <c r="B62" s="40" t="s">
        <v>134</v>
      </c>
      <c r="C62" s="140" t="s">
        <v>102</v>
      </c>
      <c r="D62" s="141">
        <v>160.5</v>
      </c>
      <c r="E62" s="142" t="s">
        <v>45</v>
      </c>
      <c r="F62" s="143">
        <v>0</v>
      </c>
      <c r="G62" s="61">
        <v>0</v>
      </c>
      <c r="H62" s="61">
        <v>0</v>
      </c>
      <c r="I62" s="47">
        <v>0</v>
      </c>
      <c r="J62" s="175">
        <v>46019</v>
      </c>
      <c r="K62" s="176" t="s">
        <v>740</v>
      </c>
      <c r="L62" s="177">
        <v>160.5</v>
      </c>
      <c r="M62" s="145" t="s">
        <v>45</v>
      </c>
      <c r="N62" s="146">
        <v>0</v>
      </c>
      <c r="O62" s="147">
        <f t="shared" si="12"/>
        <v>0</v>
      </c>
      <c r="P62" s="147">
        <f t="shared" si="15"/>
        <v>0</v>
      </c>
      <c r="Q62" s="47">
        <f t="shared" si="16"/>
        <v>0</v>
      </c>
      <c r="R62" s="146"/>
      <c r="S62" s="148"/>
      <c r="T62" s="148"/>
      <c r="U62" s="149"/>
      <c r="V62" s="149"/>
    </row>
    <row r="63" spans="1:22" s="57" customFormat="1" ht="27.75" customHeight="1">
      <c r="A63" s="22">
        <v>17</v>
      </c>
      <c r="B63" s="170" t="s">
        <v>136</v>
      </c>
      <c r="C63" s="140" t="s">
        <v>102</v>
      </c>
      <c r="D63" s="141">
        <v>321</v>
      </c>
      <c r="E63" s="142" t="s">
        <v>45</v>
      </c>
      <c r="F63" s="143">
        <v>0</v>
      </c>
      <c r="G63" s="45">
        <v>0</v>
      </c>
      <c r="H63" s="61">
        <v>0</v>
      </c>
      <c r="I63" s="47">
        <v>0</v>
      </c>
      <c r="J63" s="113">
        <v>46014</v>
      </c>
      <c r="K63" s="114" t="s">
        <v>741</v>
      </c>
      <c r="L63" s="144">
        <v>321</v>
      </c>
      <c r="M63" s="171" t="s">
        <v>45</v>
      </c>
      <c r="N63" s="172">
        <v>0</v>
      </c>
      <c r="O63" s="147">
        <f t="shared" si="12"/>
        <v>0</v>
      </c>
      <c r="P63" s="147">
        <f t="shared" si="15"/>
        <v>0</v>
      </c>
      <c r="Q63" s="47">
        <f t="shared" si="16"/>
        <v>0</v>
      </c>
      <c r="R63" s="146"/>
      <c r="S63" s="148"/>
      <c r="T63" s="148"/>
      <c r="U63" s="149"/>
      <c r="V63" s="149"/>
    </row>
    <row r="64" spans="1:22" s="57" customFormat="1" ht="27.75" customHeight="1">
      <c r="A64" s="22">
        <v>18</v>
      </c>
      <c r="B64" s="181" t="s">
        <v>138</v>
      </c>
      <c r="C64" s="182" t="s">
        <v>139</v>
      </c>
      <c r="D64" s="173">
        <v>160.5</v>
      </c>
      <c r="E64" s="142" t="s">
        <v>634</v>
      </c>
      <c r="F64" s="143">
        <v>-1</v>
      </c>
      <c r="G64" s="45">
        <v>-150</v>
      </c>
      <c r="H64" s="61">
        <v>-10.5</v>
      </c>
      <c r="I64" s="47">
        <v>-160.5</v>
      </c>
      <c r="J64" s="183"/>
      <c r="K64" s="184"/>
      <c r="L64" s="185">
        <v>0</v>
      </c>
      <c r="M64" s="171" t="s">
        <v>45</v>
      </c>
      <c r="N64" s="44">
        <v>0</v>
      </c>
      <c r="O64" s="147">
        <f t="shared" si="12"/>
        <v>0</v>
      </c>
      <c r="P64" s="147">
        <f t="shared" si="15"/>
        <v>0</v>
      </c>
      <c r="Q64" s="47">
        <f t="shared" si="16"/>
        <v>0</v>
      </c>
      <c r="R64" s="146"/>
      <c r="S64" s="148"/>
      <c r="T64" s="148"/>
      <c r="U64" s="149"/>
      <c r="V64" s="149"/>
    </row>
    <row r="65" spans="1:22" s="57" customFormat="1" ht="27.75" customHeight="1">
      <c r="A65" s="22">
        <v>19</v>
      </c>
      <c r="B65" s="181" t="s">
        <v>142</v>
      </c>
      <c r="C65" s="182" t="s">
        <v>143</v>
      </c>
      <c r="D65" s="173">
        <v>160.5</v>
      </c>
      <c r="E65" s="142" t="s">
        <v>45</v>
      </c>
      <c r="F65" s="143">
        <v>0</v>
      </c>
      <c r="G65" s="45">
        <v>0</v>
      </c>
      <c r="H65" s="61">
        <v>0</v>
      </c>
      <c r="I65" s="47">
        <v>0</v>
      </c>
      <c r="J65" s="183">
        <v>46020</v>
      </c>
      <c r="K65" s="184" t="s">
        <v>742</v>
      </c>
      <c r="L65" s="185">
        <v>160.5</v>
      </c>
      <c r="M65" s="186" t="s">
        <v>45</v>
      </c>
      <c r="N65" s="44">
        <v>0</v>
      </c>
      <c r="O65" s="147">
        <f t="shared" si="12"/>
        <v>0</v>
      </c>
      <c r="P65" s="147">
        <f t="shared" si="15"/>
        <v>0</v>
      </c>
      <c r="Q65" s="47">
        <f t="shared" si="16"/>
        <v>0</v>
      </c>
      <c r="R65" s="146"/>
      <c r="S65" s="148"/>
      <c r="T65" s="148"/>
      <c r="U65" s="149"/>
      <c r="V65" s="149"/>
    </row>
    <row r="66" spans="1:22" s="57" customFormat="1" ht="27.75" customHeight="1">
      <c r="A66" s="22">
        <v>20</v>
      </c>
      <c r="B66" s="40" t="s">
        <v>145</v>
      </c>
      <c r="C66" s="140" t="s">
        <v>102</v>
      </c>
      <c r="D66" s="173">
        <v>321</v>
      </c>
      <c r="E66" s="142" t="s">
        <v>45</v>
      </c>
      <c r="F66" s="143">
        <v>0</v>
      </c>
      <c r="G66" s="45">
        <v>0</v>
      </c>
      <c r="H66" s="61">
        <v>0</v>
      </c>
      <c r="I66" s="47">
        <v>0</v>
      </c>
      <c r="J66" s="175">
        <v>46017</v>
      </c>
      <c r="K66" s="176" t="s">
        <v>743</v>
      </c>
      <c r="L66" s="177">
        <v>321</v>
      </c>
      <c r="M66" s="171" t="s">
        <v>45</v>
      </c>
      <c r="N66" s="172">
        <v>0</v>
      </c>
      <c r="O66" s="147">
        <f t="shared" si="12"/>
        <v>0</v>
      </c>
      <c r="P66" s="147">
        <f t="shared" si="15"/>
        <v>0</v>
      </c>
      <c r="Q66" s="47">
        <f t="shared" si="16"/>
        <v>0</v>
      </c>
      <c r="R66" s="146"/>
      <c r="S66" s="148"/>
      <c r="T66" s="148"/>
      <c r="U66" s="149"/>
      <c r="V66" s="149"/>
    </row>
    <row r="67" spans="1:22" s="57" customFormat="1" ht="27.75" customHeight="1">
      <c r="A67" s="22">
        <v>21</v>
      </c>
      <c r="B67" s="40" t="s">
        <v>147</v>
      </c>
      <c r="C67" s="140" t="s">
        <v>102</v>
      </c>
      <c r="D67" s="173">
        <v>160.5</v>
      </c>
      <c r="E67" s="142" t="s">
        <v>45</v>
      </c>
      <c r="F67" s="143">
        <v>0</v>
      </c>
      <c r="G67" s="45">
        <v>0</v>
      </c>
      <c r="H67" s="61">
        <v>0</v>
      </c>
      <c r="I67" s="47">
        <v>0</v>
      </c>
      <c r="J67" s="175">
        <v>45997</v>
      </c>
      <c r="K67" s="176" t="s">
        <v>744</v>
      </c>
      <c r="L67" s="177">
        <v>160.5</v>
      </c>
      <c r="M67" s="171" t="s">
        <v>45</v>
      </c>
      <c r="N67" s="172">
        <v>0</v>
      </c>
      <c r="O67" s="147">
        <f t="shared" si="12"/>
        <v>0</v>
      </c>
      <c r="P67" s="147">
        <f t="shared" si="15"/>
        <v>0</v>
      </c>
      <c r="Q67" s="47">
        <f t="shared" si="16"/>
        <v>0</v>
      </c>
      <c r="R67" s="146"/>
      <c r="S67" s="148"/>
      <c r="T67" s="148"/>
      <c r="U67" s="149"/>
      <c r="V67" s="149"/>
    </row>
    <row r="68" spans="1:22" s="57" customFormat="1" ht="27.75" customHeight="1">
      <c r="A68" s="22">
        <v>22</v>
      </c>
      <c r="B68" s="80" t="s">
        <v>149</v>
      </c>
      <c r="C68" s="140" t="s">
        <v>102</v>
      </c>
      <c r="D68" s="173">
        <v>1070</v>
      </c>
      <c r="E68" s="142" t="s">
        <v>45</v>
      </c>
      <c r="F68" s="143">
        <v>0</v>
      </c>
      <c r="G68" s="187">
        <v>0</v>
      </c>
      <c r="H68" s="61">
        <v>0</v>
      </c>
      <c r="I68" s="47">
        <v>0</v>
      </c>
      <c r="J68" s="175">
        <v>46013</v>
      </c>
      <c r="K68" s="176" t="s">
        <v>745</v>
      </c>
      <c r="L68" s="177">
        <v>1070</v>
      </c>
      <c r="M68" s="171" t="s">
        <v>45</v>
      </c>
      <c r="N68" s="172">
        <v>0</v>
      </c>
      <c r="O68" s="147">
        <f t="shared" si="12"/>
        <v>0</v>
      </c>
      <c r="P68" s="147">
        <f t="shared" si="15"/>
        <v>0</v>
      </c>
      <c r="Q68" s="47">
        <f t="shared" si="16"/>
        <v>0</v>
      </c>
      <c r="R68" s="188"/>
      <c r="S68" s="189"/>
      <c r="T68" s="189"/>
      <c r="U68" s="190"/>
      <c r="V68" s="190"/>
    </row>
    <row r="69" spans="1:22" s="57" customFormat="1" ht="27.75" customHeight="1">
      <c r="A69" s="22">
        <v>23</v>
      </c>
      <c r="B69" s="170" t="s">
        <v>151</v>
      </c>
      <c r="C69" s="140" t="s">
        <v>102</v>
      </c>
      <c r="D69" s="141">
        <v>160.5</v>
      </c>
      <c r="E69" s="142" t="s">
        <v>45</v>
      </c>
      <c r="F69" s="143">
        <v>0</v>
      </c>
      <c r="G69" s="45">
        <v>0</v>
      </c>
      <c r="H69" s="61">
        <v>0</v>
      </c>
      <c r="I69" s="47">
        <v>0</v>
      </c>
      <c r="J69" s="117">
        <v>45992</v>
      </c>
      <c r="K69" s="118" t="s">
        <v>746</v>
      </c>
      <c r="L69" s="151">
        <v>160.5</v>
      </c>
      <c r="M69" s="171" t="s">
        <v>45</v>
      </c>
      <c r="N69" s="172">
        <v>0</v>
      </c>
      <c r="O69" s="147">
        <f t="shared" si="12"/>
        <v>0</v>
      </c>
      <c r="P69" s="147">
        <f>ROUND((O69*0.07),2)</f>
        <v>0</v>
      </c>
      <c r="Q69" s="47">
        <f>+O69+P69</f>
        <v>0</v>
      </c>
      <c r="R69" s="146"/>
      <c r="S69" s="148"/>
      <c r="T69" s="148"/>
      <c r="U69" s="149"/>
      <c r="V69" s="149"/>
    </row>
    <row r="70" spans="1:22" s="57" customFormat="1" ht="27.75" customHeight="1">
      <c r="A70" s="22">
        <v>24</v>
      </c>
      <c r="B70" s="170" t="s">
        <v>153</v>
      </c>
      <c r="C70" s="140" t="s">
        <v>102</v>
      </c>
      <c r="D70" s="141">
        <v>160.5</v>
      </c>
      <c r="E70" s="142" t="s">
        <v>634</v>
      </c>
      <c r="F70" s="143">
        <v>-1</v>
      </c>
      <c r="G70" s="45">
        <v>-150</v>
      </c>
      <c r="H70" s="61">
        <v>-10.5</v>
      </c>
      <c r="I70" s="47">
        <v>-160.5</v>
      </c>
      <c r="J70" s="175"/>
      <c r="K70" s="176"/>
      <c r="L70" s="177"/>
      <c r="M70" s="171" t="s">
        <v>45</v>
      </c>
      <c r="N70" s="172">
        <v>0</v>
      </c>
      <c r="O70" s="147">
        <f t="shared" si="12"/>
        <v>0</v>
      </c>
      <c r="P70" s="147">
        <f>ROUND((O70*0.07),2)</f>
        <v>0</v>
      </c>
      <c r="Q70" s="47">
        <f>+O70+P70</f>
        <v>0</v>
      </c>
      <c r="R70" s="146"/>
      <c r="S70" s="148"/>
      <c r="T70" s="148"/>
      <c r="U70" s="149"/>
      <c r="V70" s="149"/>
    </row>
    <row r="71" spans="1:22" s="57" customFormat="1" ht="27.75" customHeight="1">
      <c r="A71" s="22">
        <v>25</v>
      </c>
      <c r="B71" s="170" t="s">
        <v>154</v>
      </c>
      <c r="C71" s="140" t="s">
        <v>102</v>
      </c>
      <c r="D71" s="141">
        <v>321</v>
      </c>
      <c r="E71" s="142" t="s">
        <v>45</v>
      </c>
      <c r="F71" s="143">
        <v>0</v>
      </c>
      <c r="G71" s="45">
        <v>0</v>
      </c>
      <c r="H71" s="61">
        <v>0</v>
      </c>
      <c r="I71" s="47">
        <v>0</v>
      </c>
      <c r="J71" s="175">
        <v>45992</v>
      </c>
      <c r="K71" s="176" t="s">
        <v>747</v>
      </c>
      <c r="L71" s="177">
        <v>321</v>
      </c>
      <c r="M71" s="186" t="s">
        <v>45</v>
      </c>
      <c r="N71" s="44">
        <v>0</v>
      </c>
      <c r="O71" s="147">
        <f t="shared" si="12"/>
        <v>0</v>
      </c>
      <c r="P71" s="147">
        <f>ROUND((O71*0.07),2)</f>
        <v>0</v>
      </c>
      <c r="Q71" s="47">
        <f>+O71+P71</f>
        <v>0</v>
      </c>
      <c r="R71" s="146"/>
      <c r="S71" s="148"/>
      <c r="T71" s="148"/>
      <c r="U71" s="149"/>
      <c r="V71" s="149"/>
    </row>
    <row r="72" spans="1:22" s="57" customFormat="1" ht="27.75" customHeight="1">
      <c r="A72" s="22">
        <v>26</v>
      </c>
      <c r="B72" s="191" t="s">
        <v>156</v>
      </c>
      <c r="C72" s="140" t="s">
        <v>102</v>
      </c>
      <c r="D72" s="192">
        <v>160.5</v>
      </c>
      <c r="E72" s="142" t="s">
        <v>45</v>
      </c>
      <c r="F72" s="143">
        <v>0</v>
      </c>
      <c r="G72" s="187">
        <v>0</v>
      </c>
      <c r="H72" s="61">
        <v>0</v>
      </c>
      <c r="I72" s="47">
        <v>0</v>
      </c>
      <c r="J72" s="175">
        <v>45992</v>
      </c>
      <c r="K72" s="176" t="s">
        <v>748</v>
      </c>
      <c r="L72" s="177">
        <v>160.5</v>
      </c>
      <c r="M72" s="186" t="s">
        <v>45</v>
      </c>
      <c r="N72" s="44">
        <v>0</v>
      </c>
      <c r="O72" s="147">
        <f t="shared" si="12"/>
        <v>0</v>
      </c>
      <c r="P72" s="147">
        <f t="shared" ref="P72:P77" si="17">ROUND((O72*0.07),2)</f>
        <v>0</v>
      </c>
      <c r="Q72" s="47">
        <f t="shared" ref="Q72:Q77" si="18">+O72+P72</f>
        <v>0</v>
      </c>
      <c r="R72" s="188"/>
      <c r="S72" s="189"/>
      <c r="T72" s="189"/>
      <c r="U72" s="190"/>
      <c r="V72" s="190"/>
    </row>
    <row r="73" spans="1:22" s="57" customFormat="1" ht="27.75" customHeight="1">
      <c r="A73" s="22">
        <v>27</v>
      </c>
      <c r="B73" s="170" t="s">
        <v>158</v>
      </c>
      <c r="C73" s="140" t="s">
        <v>102</v>
      </c>
      <c r="D73" s="141">
        <v>321</v>
      </c>
      <c r="E73" s="142" t="s">
        <v>641</v>
      </c>
      <c r="F73" s="143">
        <v>-9.1183666666666685</v>
      </c>
      <c r="G73" s="45">
        <v>-2735.51</v>
      </c>
      <c r="H73" s="61">
        <v>-191.49</v>
      </c>
      <c r="I73" s="47">
        <v>-2927</v>
      </c>
      <c r="J73" s="117"/>
      <c r="K73" s="118"/>
      <c r="L73" s="151"/>
      <c r="M73" s="171" t="s">
        <v>749</v>
      </c>
      <c r="N73" s="172">
        <v>-8.1183666666666685</v>
      </c>
      <c r="O73" s="147">
        <f t="shared" si="12"/>
        <v>-2435.5100000000002</v>
      </c>
      <c r="P73" s="147">
        <f t="shared" si="17"/>
        <v>-170.49</v>
      </c>
      <c r="Q73" s="47">
        <f t="shared" si="18"/>
        <v>-2606</v>
      </c>
      <c r="R73" s="146"/>
      <c r="S73" s="148"/>
      <c r="T73" s="148"/>
      <c r="U73" s="149"/>
      <c r="V73" s="149"/>
    </row>
    <row r="74" spans="1:22" s="57" customFormat="1" ht="27.75" customHeight="1">
      <c r="A74" s="22">
        <v>28</v>
      </c>
      <c r="B74" s="191" t="s">
        <v>161</v>
      </c>
      <c r="C74" s="140" t="s">
        <v>102</v>
      </c>
      <c r="D74" s="192">
        <v>321</v>
      </c>
      <c r="E74" s="142" t="s">
        <v>45</v>
      </c>
      <c r="F74" s="143">
        <v>0</v>
      </c>
      <c r="G74" s="187">
        <v>0</v>
      </c>
      <c r="H74" s="61">
        <v>0</v>
      </c>
      <c r="I74" s="47">
        <v>0</v>
      </c>
      <c r="J74" s="117">
        <v>46015</v>
      </c>
      <c r="K74" s="118" t="s">
        <v>750</v>
      </c>
      <c r="L74" s="151">
        <v>321</v>
      </c>
      <c r="M74" s="171" t="s">
        <v>45</v>
      </c>
      <c r="N74" s="172">
        <v>0</v>
      </c>
      <c r="O74" s="147">
        <f t="shared" si="12"/>
        <v>0</v>
      </c>
      <c r="P74" s="147">
        <f t="shared" si="17"/>
        <v>0</v>
      </c>
      <c r="Q74" s="47">
        <f t="shared" si="18"/>
        <v>0</v>
      </c>
      <c r="R74" s="188"/>
      <c r="S74" s="189"/>
      <c r="T74" s="189"/>
      <c r="U74" s="190"/>
      <c r="V74" s="190"/>
    </row>
    <row r="75" spans="1:22" s="57" customFormat="1" ht="27.75" customHeight="1">
      <c r="A75" s="22">
        <v>29</v>
      </c>
      <c r="B75" s="191" t="s">
        <v>163</v>
      </c>
      <c r="C75" s="140" t="s">
        <v>102</v>
      </c>
      <c r="D75" s="192">
        <v>160.5</v>
      </c>
      <c r="E75" s="142" t="s">
        <v>45</v>
      </c>
      <c r="F75" s="143">
        <v>0</v>
      </c>
      <c r="G75" s="187">
        <v>0</v>
      </c>
      <c r="H75" s="61">
        <v>0</v>
      </c>
      <c r="I75" s="47">
        <v>0</v>
      </c>
      <c r="J75" s="117">
        <v>46015</v>
      </c>
      <c r="K75" s="118" t="s">
        <v>751</v>
      </c>
      <c r="L75" s="151">
        <v>160.5</v>
      </c>
      <c r="M75" s="171" t="s">
        <v>45</v>
      </c>
      <c r="N75" s="172">
        <v>0</v>
      </c>
      <c r="O75" s="147">
        <f t="shared" si="12"/>
        <v>0</v>
      </c>
      <c r="P75" s="147">
        <f t="shared" si="17"/>
        <v>0</v>
      </c>
      <c r="Q75" s="47">
        <f t="shared" si="18"/>
        <v>0</v>
      </c>
      <c r="R75" s="188"/>
      <c r="S75" s="189"/>
      <c r="T75" s="189"/>
      <c r="U75" s="190"/>
      <c r="V75" s="190"/>
    </row>
    <row r="76" spans="1:22" s="57" customFormat="1" ht="27.75" customHeight="1">
      <c r="A76" s="22">
        <v>30</v>
      </c>
      <c r="B76" s="170" t="s">
        <v>165</v>
      </c>
      <c r="C76" s="140" t="s">
        <v>102</v>
      </c>
      <c r="D76" s="141">
        <v>1070</v>
      </c>
      <c r="E76" s="142" t="s">
        <v>45</v>
      </c>
      <c r="F76" s="143">
        <v>0</v>
      </c>
      <c r="G76" s="45">
        <v>0</v>
      </c>
      <c r="H76" s="61">
        <v>0</v>
      </c>
      <c r="I76" s="47">
        <v>0</v>
      </c>
      <c r="J76" s="175">
        <v>45995</v>
      </c>
      <c r="K76" s="176" t="s">
        <v>752</v>
      </c>
      <c r="L76" s="177">
        <v>1070</v>
      </c>
      <c r="M76" s="171" t="s">
        <v>45</v>
      </c>
      <c r="N76" s="172">
        <v>0</v>
      </c>
      <c r="O76" s="147">
        <f t="shared" si="12"/>
        <v>0</v>
      </c>
      <c r="P76" s="147">
        <f t="shared" si="17"/>
        <v>0</v>
      </c>
      <c r="Q76" s="47">
        <f t="shared" si="18"/>
        <v>0</v>
      </c>
      <c r="R76" s="146"/>
      <c r="S76" s="148"/>
      <c r="T76" s="148"/>
      <c r="U76" s="149"/>
      <c r="V76" s="149"/>
    </row>
    <row r="77" spans="1:22" s="57" customFormat="1" ht="27.75" customHeight="1">
      <c r="A77" s="22">
        <v>31</v>
      </c>
      <c r="B77" s="191" t="s">
        <v>167</v>
      </c>
      <c r="C77" s="140" t="s">
        <v>102</v>
      </c>
      <c r="D77" s="192">
        <v>535</v>
      </c>
      <c r="E77" s="142" t="s">
        <v>45</v>
      </c>
      <c r="F77" s="143">
        <v>0</v>
      </c>
      <c r="G77" s="187">
        <v>0</v>
      </c>
      <c r="H77" s="61">
        <v>0</v>
      </c>
      <c r="I77" s="47">
        <v>0</v>
      </c>
      <c r="J77" s="117">
        <v>46017</v>
      </c>
      <c r="K77" s="118" t="s">
        <v>753</v>
      </c>
      <c r="L77" s="151">
        <v>535</v>
      </c>
      <c r="M77" s="171" t="s">
        <v>45</v>
      </c>
      <c r="N77" s="172">
        <v>0</v>
      </c>
      <c r="O77" s="147">
        <f t="shared" si="12"/>
        <v>0</v>
      </c>
      <c r="P77" s="147">
        <f t="shared" si="17"/>
        <v>0</v>
      </c>
      <c r="Q77" s="47">
        <f t="shared" si="18"/>
        <v>0</v>
      </c>
      <c r="R77" s="188"/>
      <c r="S77" s="189"/>
      <c r="T77" s="189"/>
      <c r="U77" s="190"/>
      <c r="V77" s="190"/>
    </row>
    <row r="78" spans="1:22" s="57" customFormat="1" ht="27.75" customHeight="1">
      <c r="A78" s="22">
        <v>32</v>
      </c>
      <c r="B78" s="170" t="s">
        <v>169</v>
      </c>
      <c r="C78" s="140" t="s">
        <v>102</v>
      </c>
      <c r="D78" s="173">
        <v>321</v>
      </c>
      <c r="E78" s="142" t="s">
        <v>45</v>
      </c>
      <c r="F78" s="143">
        <v>0</v>
      </c>
      <c r="G78" s="45">
        <v>0</v>
      </c>
      <c r="H78" s="61">
        <v>0</v>
      </c>
      <c r="I78" s="47">
        <v>0</v>
      </c>
      <c r="J78" s="175">
        <v>46004</v>
      </c>
      <c r="K78" s="176" t="s">
        <v>754</v>
      </c>
      <c r="L78" s="177">
        <v>321</v>
      </c>
      <c r="M78" s="171" t="s">
        <v>45</v>
      </c>
      <c r="N78" s="172">
        <v>0</v>
      </c>
      <c r="O78" s="147">
        <f t="shared" si="12"/>
        <v>0</v>
      </c>
      <c r="P78" s="147">
        <f>ROUND((O78*0.07),2)</f>
        <v>0</v>
      </c>
      <c r="Q78" s="47">
        <f>+O78+P78</f>
        <v>0</v>
      </c>
      <c r="R78" s="146"/>
      <c r="S78" s="148"/>
      <c r="T78" s="148"/>
      <c r="U78" s="149"/>
      <c r="V78" s="149"/>
    </row>
    <row r="79" spans="1:22" s="57" customFormat="1" ht="27.75" customHeight="1">
      <c r="A79" s="22">
        <v>33</v>
      </c>
      <c r="B79" s="191" t="s">
        <v>171</v>
      </c>
      <c r="C79" s="140" t="s">
        <v>102</v>
      </c>
      <c r="D79" s="173">
        <v>963</v>
      </c>
      <c r="E79" s="142" t="s">
        <v>45</v>
      </c>
      <c r="F79" s="143">
        <v>0</v>
      </c>
      <c r="G79" s="187">
        <v>0</v>
      </c>
      <c r="H79" s="61">
        <v>0</v>
      </c>
      <c r="I79" s="47">
        <v>0</v>
      </c>
      <c r="J79" s="175">
        <v>46017</v>
      </c>
      <c r="K79" s="176" t="s">
        <v>755</v>
      </c>
      <c r="L79" s="177">
        <v>963</v>
      </c>
      <c r="M79" s="171" t="s">
        <v>45</v>
      </c>
      <c r="N79" s="172">
        <v>0</v>
      </c>
      <c r="O79" s="147">
        <f t="shared" si="12"/>
        <v>0</v>
      </c>
      <c r="P79" s="147">
        <f t="shared" ref="P79:P83" si="19">ROUND((O79*0.07),2)</f>
        <v>0</v>
      </c>
      <c r="Q79" s="47">
        <f t="shared" ref="Q79:Q83" si="20">+O79+P79</f>
        <v>0</v>
      </c>
      <c r="R79" s="188"/>
      <c r="S79" s="189"/>
      <c r="T79" s="189"/>
      <c r="U79" s="190"/>
      <c r="V79" s="190"/>
    </row>
    <row r="80" spans="1:22" s="57" customFormat="1" ht="27.75" customHeight="1">
      <c r="A80" s="22">
        <v>34</v>
      </c>
      <c r="B80" s="191" t="s">
        <v>173</v>
      </c>
      <c r="C80" s="140" t="s">
        <v>102</v>
      </c>
      <c r="D80" s="173">
        <v>321</v>
      </c>
      <c r="E80" s="142" t="s">
        <v>45</v>
      </c>
      <c r="F80" s="143">
        <v>0</v>
      </c>
      <c r="G80" s="187">
        <v>0</v>
      </c>
      <c r="H80" s="61">
        <v>0</v>
      </c>
      <c r="I80" s="47">
        <v>0</v>
      </c>
      <c r="J80" s="175">
        <v>45992</v>
      </c>
      <c r="K80" s="176" t="s">
        <v>756</v>
      </c>
      <c r="L80" s="177">
        <v>321</v>
      </c>
      <c r="M80" s="171" t="s">
        <v>45</v>
      </c>
      <c r="N80" s="172">
        <v>0</v>
      </c>
      <c r="O80" s="147">
        <f t="shared" si="12"/>
        <v>0</v>
      </c>
      <c r="P80" s="147">
        <f t="shared" si="19"/>
        <v>0</v>
      </c>
      <c r="Q80" s="47">
        <f t="shared" si="20"/>
        <v>0</v>
      </c>
      <c r="R80" s="188"/>
      <c r="S80" s="189"/>
      <c r="T80" s="189"/>
      <c r="U80" s="190"/>
      <c r="V80" s="190"/>
    </row>
    <row r="81" spans="1:23" s="57" customFormat="1" ht="27.75" customHeight="1">
      <c r="A81" s="22">
        <v>35</v>
      </c>
      <c r="B81" s="191" t="s">
        <v>175</v>
      </c>
      <c r="C81" s="140" t="s">
        <v>102</v>
      </c>
      <c r="D81" s="173">
        <v>321</v>
      </c>
      <c r="E81" s="142" t="s">
        <v>26</v>
      </c>
      <c r="F81" s="143">
        <v>0</v>
      </c>
      <c r="G81" s="187">
        <v>0</v>
      </c>
      <c r="H81" s="61">
        <v>0</v>
      </c>
      <c r="I81" s="47">
        <v>0</v>
      </c>
      <c r="J81" s="175">
        <v>45993</v>
      </c>
      <c r="K81" s="176" t="s">
        <v>757</v>
      </c>
      <c r="L81" s="177">
        <v>321</v>
      </c>
      <c r="M81" s="171" t="s">
        <v>26</v>
      </c>
      <c r="N81" s="172">
        <v>0</v>
      </c>
      <c r="O81" s="147">
        <f t="shared" si="12"/>
        <v>0</v>
      </c>
      <c r="P81" s="147">
        <f t="shared" si="19"/>
        <v>0</v>
      </c>
      <c r="Q81" s="47">
        <f t="shared" si="20"/>
        <v>0</v>
      </c>
      <c r="R81" s="188"/>
      <c r="S81" s="189"/>
      <c r="T81" s="189"/>
      <c r="U81" s="190"/>
      <c r="V81" s="190"/>
    </row>
    <row r="82" spans="1:23" s="57" customFormat="1" ht="27.75" customHeight="1">
      <c r="A82" s="22">
        <v>36</v>
      </c>
      <c r="B82" s="191" t="s">
        <v>177</v>
      </c>
      <c r="C82" s="140" t="s">
        <v>102</v>
      </c>
      <c r="D82" s="192">
        <v>321</v>
      </c>
      <c r="E82" s="142" t="s">
        <v>45</v>
      </c>
      <c r="F82" s="143">
        <v>0</v>
      </c>
      <c r="G82" s="187">
        <v>0</v>
      </c>
      <c r="H82" s="61">
        <v>0</v>
      </c>
      <c r="I82" s="47">
        <v>0</v>
      </c>
      <c r="J82" s="117">
        <v>46015</v>
      </c>
      <c r="K82" s="118" t="s">
        <v>758</v>
      </c>
      <c r="L82" s="151">
        <v>321</v>
      </c>
      <c r="M82" s="171" t="s">
        <v>45</v>
      </c>
      <c r="N82" s="172">
        <v>0</v>
      </c>
      <c r="O82" s="147">
        <f t="shared" si="12"/>
        <v>0</v>
      </c>
      <c r="P82" s="147">
        <f t="shared" si="19"/>
        <v>0</v>
      </c>
      <c r="Q82" s="47">
        <f t="shared" si="20"/>
        <v>0</v>
      </c>
      <c r="R82" s="188"/>
      <c r="S82" s="189"/>
      <c r="T82" s="189"/>
      <c r="U82" s="190"/>
      <c r="V82" s="190"/>
    </row>
    <row r="83" spans="1:23" ht="27.75" customHeight="1" thickBot="1">
      <c r="A83" s="193"/>
      <c r="B83" s="194" t="s">
        <v>22</v>
      </c>
      <c r="C83" s="195"/>
      <c r="D83" s="196">
        <f>SUM(D47:D82)</f>
        <v>12679.5</v>
      </c>
      <c r="E83" s="196"/>
      <c r="F83" s="197"/>
      <c r="G83" s="198">
        <f>SUM(G60+G48)</f>
        <v>300</v>
      </c>
      <c r="H83" s="198">
        <f t="shared" ref="H83:I83" si="21">SUM(H60+H48)</f>
        <v>21</v>
      </c>
      <c r="I83" s="198">
        <f t="shared" si="21"/>
        <v>321</v>
      </c>
      <c r="J83" s="199"/>
      <c r="K83" s="199"/>
      <c r="L83" s="196">
        <f>SUM(L47:L82)</f>
        <v>13803</v>
      </c>
      <c r="M83" s="200"/>
      <c r="N83" s="196"/>
      <c r="O83" s="198">
        <f>+O60</f>
        <v>150</v>
      </c>
      <c r="P83" s="198">
        <f t="shared" si="19"/>
        <v>10.5</v>
      </c>
      <c r="Q83" s="198">
        <f t="shared" si="20"/>
        <v>160.5</v>
      </c>
      <c r="R83" s="36"/>
      <c r="S83" s="37"/>
      <c r="T83" s="37"/>
      <c r="U83" s="38"/>
      <c r="V83" s="38"/>
      <c r="W83" s="38"/>
    </row>
    <row r="84" spans="1:23" ht="27.75" customHeight="1" thickTop="1">
      <c r="A84" s="22"/>
      <c r="B84" s="23" t="s">
        <v>179</v>
      </c>
      <c r="C84" s="24"/>
      <c r="D84" s="25"/>
      <c r="E84" s="26"/>
      <c r="F84" s="27"/>
      <c r="G84" s="28"/>
      <c r="H84" s="28"/>
      <c r="I84" s="28"/>
      <c r="J84" s="29"/>
      <c r="K84" s="30"/>
      <c r="L84" s="31"/>
      <c r="M84" s="32"/>
      <c r="N84" s="33"/>
      <c r="O84" s="34"/>
      <c r="P84" s="34"/>
      <c r="Q84" s="35"/>
      <c r="R84" s="36"/>
      <c r="S84" s="37"/>
      <c r="T84" s="37"/>
      <c r="U84" s="38"/>
      <c r="V84" s="38"/>
      <c r="W84" s="38"/>
    </row>
    <row r="85" spans="1:23" ht="27.75" customHeight="1">
      <c r="A85" s="94">
        <v>1</v>
      </c>
      <c r="B85" s="40" t="s">
        <v>180</v>
      </c>
      <c r="C85" s="41" t="s">
        <v>181</v>
      </c>
      <c r="D85" s="201">
        <v>1444.5</v>
      </c>
      <c r="E85" s="43" t="s">
        <v>522</v>
      </c>
      <c r="F85" s="44">
        <v>1</v>
      </c>
      <c r="G85" s="45">
        <v>1200</v>
      </c>
      <c r="H85" s="61">
        <v>84</v>
      </c>
      <c r="I85" s="47">
        <v>1284</v>
      </c>
      <c r="J85" s="48">
        <v>45995</v>
      </c>
      <c r="K85" s="49" t="s">
        <v>759</v>
      </c>
      <c r="L85" s="202">
        <v>1284</v>
      </c>
      <c r="M85" s="83" t="s">
        <v>522</v>
      </c>
      <c r="N85" s="39">
        <v>1</v>
      </c>
      <c r="O85" s="147">
        <f>+(D85*100/107)+G85-(L85*100/107)</f>
        <v>1350</v>
      </c>
      <c r="P85" s="147">
        <f t="shared" ref="P85:P89" si="22">ROUND((O85*0.07),2)</f>
        <v>94.5</v>
      </c>
      <c r="Q85" s="47">
        <f t="shared" ref="Q85:Q89" si="23">+O85+P85</f>
        <v>1444.5</v>
      </c>
      <c r="R85" s="116"/>
      <c r="S85" s="203"/>
      <c r="T85" s="203"/>
      <c r="U85" s="204"/>
      <c r="V85" s="204"/>
    </row>
    <row r="86" spans="1:23" ht="27.75" customHeight="1">
      <c r="A86" s="94">
        <v>2</v>
      </c>
      <c r="B86" s="40" t="s">
        <v>184</v>
      </c>
      <c r="C86" s="41" t="s">
        <v>181</v>
      </c>
      <c r="D86" s="201">
        <v>3370.5</v>
      </c>
      <c r="E86" s="43" t="s">
        <v>45</v>
      </c>
      <c r="F86" s="44">
        <v>0</v>
      </c>
      <c r="G86" s="45">
        <v>0</v>
      </c>
      <c r="H86" s="61">
        <v>0</v>
      </c>
      <c r="I86" s="47">
        <v>0</v>
      </c>
      <c r="J86" s="48">
        <v>46003</v>
      </c>
      <c r="K86" s="49" t="s">
        <v>760</v>
      </c>
      <c r="L86" s="202">
        <v>3370.5</v>
      </c>
      <c r="M86" s="94" t="s">
        <v>45</v>
      </c>
      <c r="N86" s="116">
        <v>0</v>
      </c>
      <c r="O86" s="147">
        <f>+(D86*100/107)+G86-(L86*100/107)</f>
        <v>0</v>
      </c>
      <c r="P86" s="147">
        <f t="shared" si="22"/>
        <v>0</v>
      </c>
      <c r="Q86" s="47">
        <f t="shared" si="23"/>
        <v>0</v>
      </c>
      <c r="R86" s="116"/>
      <c r="S86" s="203"/>
      <c r="T86" s="203"/>
      <c r="U86" s="204"/>
      <c r="V86" s="204"/>
    </row>
    <row r="87" spans="1:23" ht="27.75" customHeight="1">
      <c r="A87" s="94">
        <v>3</v>
      </c>
      <c r="B87" s="205" t="s">
        <v>186</v>
      </c>
      <c r="C87" s="206" t="s">
        <v>181</v>
      </c>
      <c r="D87" s="207">
        <v>3370.5</v>
      </c>
      <c r="E87" s="64" t="s">
        <v>45</v>
      </c>
      <c r="F87" s="44">
        <v>0</v>
      </c>
      <c r="G87" s="45">
        <v>0</v>
      </c>
      <c r="H87" s="61">
        <v>0</v>
      </c>
      <c r="I87" s="47">
        <v>0</v>
      </c>
      <c r="J87" s="48">
        <v>46017</v>
      </c>
      <c r="K87" s="49" t="s">
        <v>761</v>
      </c>
      <c r="L87" s="202">
        <v>3370.5</v>
      </c>
      <c r="M87" s="186" t="s">
        <v>45</v>
      </c>
      <c r="N87" s="116">
        <v>0</v>
      </c>
      <c r="O87" s="147">
        <f>+(D87*100/107)+G87-(L87*100/107)</f>
        <v>0</v>
      </c>
      <c r="P87" s="147">
        <f t="shared" si="22"/>
        <v>0</v>
      </c>
      <c r="Q87" s="47">
        <f t="shared" si="23"/>
        <v>0</v>
      </c>
      <c r="R87" s="116"/>
      <c r="S87" s="203"/>
      <c r="T87" s="203"/>
      <c r="U87" s="204"/>
      <c r="V87" s="204"/>
    </row>
    <row r="88" spans="1:23" ht="27.75" customHeight="1">
      <c r="A88" s="186">
        <v>4</v>
      </c>
      <c r="B88" s="205" t="s">
        <v>188</v>
      </c>
      <c r="C88" s="206" t="s">
        <v>181</v>
      </c>
      <c r="D88" s="207">
        <v>2140</v>
      </c>
      <c r="E88" s="64" t="s">
        <v>26</v>
      </c>
      <c r="F88" s="44">
        <v>0</v>
      </c>
      <c r="G88" s="45">
        <v>0</v>
      </c>
      <c r="H88" s="45">
        <v>0</v>
      </c>
      <c r="I88" s="66">
        <v>0</v>
      </c>
      <c r="J88" s="48">
        <v>45995</v>
      </c>
      <c r="K88" s="49" t="s">
        <v>762</v>
      </c>
      <c r="L88" s="202">
        <v>2140</v>
      </c>
      <c r="M88" s="186" t="s">
        <v>26</v>
      </c>
      <c r="N88" s="116">
        <v>0</v>
      </c>
      <c r="O88" s="147">
        <f>+(D88*100/107)+G88-(L88*100/107)</f>
        <v>0</v>
      </c>
      <c r="P88" s="147">
        <f t="shared" si="22"/>
        <v>0</v>
      </c>
      <c r="Q88" s="47">
        <f t="shared" si="23"/>
        <v>0</v>
      </c>
      <c r="R88" s="116"/>
      <c r="S88" s="203"/>
      <c r="T88" s="203"/>
      <c r="U88" s="204"/>
      <c r="V88" s="204"/>
    </row>
    <row r="89" spans="1:23" s="220" customFormat="1" ht="27.75" customHeight="1">
      <c r="A89" s="186">
        <v>5</v>
      </c>
      <c r="B89" s="208" t="s">
        <v>71</v>
      </c>
      <c r="C89" s="209" t="s">
        <v>181</v>
      </c>
      <c r="D89" s="210">
        <v>2675</v>
      </c>
      <c r="E89" s="211" t="s">
        <v>613</v>
      </c>
      <c r="F89" s="212">
        <v>-0.5</v>
      </c>
      <c r="G89" s="213">
        <v>-1250</v>
      </c>
      <c r="H89" s="213">
        <v>-87.5</v>
      </c>
      <c r="I89" s="214">
        <v>-1337.5</v>
      </c>
      <c r="J89" s="62">
        <v>46014</v>
      </c>
      <c r="K89" s="215" t="s">
        <v>763</v>
      </c>
      <c r="L89" s="202">
        <v>2675</v>
      </c>
      <c r="M89" s="216" t="s">
        <v>722</v>
      </c>
      <c r="N89" s="217">
        <v>-0.5</v>
      </c>
      <c r="O89" s="147">
        <f>+(D89*100/107)+G89-(L89*100/107)</f>
        <v>-1250</v>
      </c>
      <c r="P89" s="147">
        <f t="shared" si="22"/>
        <v>-87.5</v>
      </c>
      <c r="Q89" s="47">
        <f t="shared" si="23"/>
        <v>-1337.5</v>
      </c>
      <c r="R89" s="217"/>
      <c r="S89" s="218"/>
      <c r="T89" s="218"/>
      <c r="U89" s="219"/>
      <c r="V89" s="219"/>
    </row>
    <row r="90" spans="1:23" ht="27.75" customHeight="1" thickBot="1">
      <c r="A90" s="193"/>
      <c r="B90" s="194" t="s">
        <v>22</v>
      </c>
      <c r="C90" s="195"/>
      <c r="D90" s="196">
        <f>SUM(D85:D89)</f>
        <v>13000.5</v>
      </c>
      <c r="E90" s="221"/>
      <c r="F90" s="197"/>
      <c r="G90" s="198">
        <f>SUM(G85:G89)-G89</f>
        <v>1200</v>
      </c>
      <c r="H90" s="198">
        <f t="shared" ref="H90:I90" si="24">SUM(H85:H89)-H89</f>
        <v>84</v>
      </c>
      <c r="I90" s="198">
        <f t="shared" si="24"/>
        <v>1284</v>
      </c>
      <c r="J90" s="199"/>
      <c r="K90" s="199"/>
      <c r="L90" s="196">
        <f>SUM(L85:L89)</f>
        <v>12840</v>
      </c>
      <c r="M90" s="200"/>
      <c r="N90" s="196"/>
      <c r="O90" s="198">
        <f>SUM(O85:O88)</f>
        <v>1350</v>
      </c>
      <c r="P90" s="198">
        <f>SUM(P85:P88)</f>
        <v>94.5</v>
      </c>
      <c r="Q90" s="198">
        <f t="shared" ref="Q90" si="25">ROUND(SUM(Q85:Q89),2)-Q89</f>
        <v>1444.5</v>
      </c>
      <c r="R90" s="36"/>
      <c r="S90" s="37"/>
      <c r="T90" s="37"/>
      <c r="U90" s="38"/>
      <c r="V90" s="38"/>
      <c r="W90" s="38"/>
    </row>
    <row r="91" spans="1:23" ht="27.75" customHeight="1" thickTop="1">
      <c r="A91" s="22"/>
      <c r="B91" s="23" t="s">
        <v>191</v>
      </c>
      <c r="C91" s="24"/>
      <c r="D91" s="25"/>
      <c r="E91" s="26"/>
      <c r="F91" s="27"/>
      <c r="G91" s="28"/>
      <c r="H91" s="28"/>
      <c r="I91" s="28"/>
      <c r="J91" s="29"/>
      <c r="K91" s="30"/>
      <c r="L91" s="31"/>
      <c r="M91" s="32"/>
      <c r="N91" s="33"/>
      <c r="O91" s="34"/>
      <c r="P91" s="34"/>
      <c r="Q91" s="35"/>
      <c r="R91" s="36"/>
      <c r="S91" s="37"/>
      <c r="T91" s="37"/>
      <c r="U91" s="38"/>
      <c r="V91" s="38"/>
      <c r="W91" s="38"/>
    </row>
    <row r="92" spans="1:23" ht="27.75" customHeight="1">
      <c r="A92" s="94">
        <v>1</v>
      </c>
      <c r="B92" s="40" t="s">
        <v>192</v>
      </c>
      <c r="C92" s="41" t="s">
        <v>193</v>
      </c>
      <c r="D92" s="141">
        <v>2140</v>
      </c>
      <c r="E92" s="43"/>
      <c r="F92" s="44"/>
      <c r="G92" s="45">
        <v>0</v>
      </c>
      <c r="H92" s="61">
        <v>0</v>
      </c>
      <c r="I92" s="47">
        <v>0</v>
      </c>
      <c r="J92" s="175">
        <v>45996</v>
      </c>
      <c r="K92" s="176" t="s">
        <v>764</v>
      </c>
      <c r="L92" s="222">
        <v>2140</v>
      </c>
      <c r="M92" s="94"/>
      <c r="N92" s="116"/>
      <c r="O92" s="147">
        <v>0</v>
      </c>
      <c r="P92" s="147">
        <v>0</v>
      </c>
      <c r="Q92" s="47">
        <v>0</v>
      </c>
      <c r="R92" s="39" t="s">
        <v>195</v>
      </c>
      <c r="S92" s="55">
        <v>42491</v>
      </c>
      <c r="T92" s="55">
        <v>43585</v>
      </c>
      <c r="U92" s="56">
        <v>262800</v>
      </c>
      <c r="V92" s="56"/>
    </row>
    <row r="93" spans="1:23" ht="27.75" customHeight="1" thickBot="1">
      <c r="A93" s="193"/>
      <c r="B93" s="194" t="s">
        <v>22</v>
      </c>
      <c r="C93" s="195"/>
      <c r="D93" s="196">
        <v>2140</v>
      </c>
      <c r="E93" s="221"/>
      <c r="F93" s="197"/>
      <c r="G93" s="198">
        <v>0</v>
      </c>
      <c r="H93" s="198">
        <v>0</v>
      </c>
      <c r="I93" s="198">
        <v>0</v>
      </c>
      <c r="J93" s="199"/>
      <c r="K93" s="199"/>
      <c r="L93" s="196">
        <f>SUM(L92)</f>
        <v>2140</v>
      </c>
      <c r="M93" s="200"/>
      <c r="N93" s="196"/>
      <c r="O93" s="198">
        <v>0</v>
      </c>
      <c r="P93" s="198">
        <v>0</v>
      </c>
      <c r="Q93" s="198">
        <v>0</v>
      </c>
      <c r="R93" s="36"/>
      <c r="S93" s="37"/>
      <c r="T93" s="37"/>
      <c r="U93" s="38"/>
      <c r="V93" s="38"/>
      <c r="W93" s="38"/>
    </row>
    <row r="94" spans="1:23" ht="27.75" customHeight="1" thickTop="1">
      <c r="A94" s="22"/>
      <c r="B94" s="23" t="s">
        <v>196</v>
      </c>
      <c r="C94" s="24"/>
      <c r="D94" s="25"/>
      <c r="E94" s="26"/>
      <c r="F94" s="27"/>
      <c r="G94" s="28"/>
      <c r="H94" s="28"/>
      <c r="I94" s="28"/>
      <c r="J94" s="29"/>
      <c r="K94" s="30"/>
      <c r="L94" s="31"/>
      <c r="M94" s="32"/>
      <c r="N94" s="33"/>
      <c r="O94" s="34"/>
      <c r="P94" s="34"/>
      <c r="Q94" s="35"/>
      <c r="R94" s="36"/>
      <c r="S94" s="37"/>
      <c r="T94" s="37"/>
      <c r="U94" s="38"/>
      <c r="V94" s="38"/>
      <c r="W94" s="38"/>
    </row>
    <row r="95" spans="1:23" s="226" customFormat="1" ht="27.75" customHeight="1">
      <c r="A95" s="94"/>
      <c r="B95" s="223" t="s">
        <v>197</v>
      </c>
      <c r="C95" s="224"/>
      <c r="D95" s="225"/>
      <c r="E95" s="80"/>
      <c r="F95" s="44"/>
      <c r="G95" s="61"/>
      <c r="H95" s="61"/>
      <c r="I95" s="85"/>
      <c r="J95" s="178"/>
      <c r="K95" s="176"/>
      <c r="L95" s="222"/>
      <c r="M95" s="83"/>
      <c r="N95" s="116"/>
      <c r="O95" s="147"/>
      <c r="P95" s="147"/>
      <c r="Q95" s="47"/>
      <c r="R95" s="39"/>
      <c r="S95" s="55"/>
      <c r="T95" s="55"/>
      <c r="U95" s="56"/>
      <c r="V95" s="56"/>
    </row>
    <row r="96" spans="1:23" s="226" customFormat="1" ht="27.75" customHeight="1">
      <c r="A96" s="94">
        <v>1</v>
      </c>
      <c r="B96" s="181" t="s">
        <v>198</v>
      </c>
      <c r="C96" s="224" t="s">
        <v>199</v>
      </c>
      <c r="D96" s="225">
        <v>26750</v>
      </c>
      <c r="E96" s="80" t="s">
        <v>26</v>
      </c>
      <c r="F96" s="44">
        <v>0</v>
      </c>
      <c r="G96" s="61">
        <v>0</v>
      </c>
      <c r="H96" s="61">
        <v>0</v>
      </c>
      <c r="I96" s="85">
        <v>0</v>
      </c>
      <c r="J96" s="113">
        <v>45999</v>
      </c>
      <c r="K96" s="114" t="s">
        <v>765</v>
      </c>
      <c r="L96" s="144">
        <v>26750</v>
      </c>
      <c r="M96" s="83" t="s">
        <v>26</v>
      </c>
      <c r="N96" s="116">
        <v>0</v>
      </c>
      <c r="O96" s="147">
        <f t="shared" ref="O96:O108" si="26">+(D96*100/107)+G96-(L96*100/107)</f>
        <v>0</v>
      </c>
      <c r="P96" s="147">
        <f t="shared" ref="P96:P108" si="27">ROUND((O96*0.07),2)</f>
        <v>0</v>
      </c>
      <c r="Q96" s="47">
        <f t="shared" ref="Q96:Q108" si="28">+O96+P96</f>
        <v>0</v>
      </c>
      <c r="R96" s="39"/>
      <c r="S96" s="55"/>
      <c r="T96" s="55"/>
      <c r="U96" s="56"/>
      <c r="V96" s="56"/>
    </row>
    <row r="97" spans="1:22" s="226" customFormat="1" ht="27.75" customHeight="1">
      <c r="A97" s="94">
        <v>2</v>
      </c>
      <c r="B97" s="181" t="s">
        <v>201</v>
      </c>
      <c r="C97" s="224" t="s">
        <v>202</v>
      </c>
      <c r="D97" s="225">
        <v>0</v>
      </c>
      <c r="E97" s="80" t="s">
        <v>26</v>
      </c>
      <c r="F97" s="44">
        <v>0</v>
      </c>
      <c r="G97" s="61">
        <v>0</v>
      </c>
      <c r="H97" s="61">
        <v>0</v>
      </c>
      <c r="I97" s="85">
        <v>0</v>
      </c>
      <c r="J97" s="113"/>
      <c r="K97" s="114"/>
      <c r="L97" s="144"/>
      <c r="M97" s="83" t="s">
        <v>26</v>
      </c>
      <c r="N97" s="116">
        <v>0</v>
      </c>
      <c r="O97" s="147">
        <f t="shared" si="26"/>
        <v>0</v>
      </c>
      <c r="P97" s="147">
        <f t="shared" si="27"/>
        <v>0</v>
      </c>
      <c r="Q97" s="47">
        <f t="shared" si="28"/>
        <v>0</v>
      </c>
      <c r="R97" s="39"/>
      <c r="S97" s="55"/>
      <c r="T97" s="55"/>
      <c r="U97" s="56"/>
      <c r="V97" s="226" t="s">
        <v>203</v>
      </c>
    </row>
    <row r="98" spans="1:22" s="226" customFormat="1" ht="27.75" customHeight="1">
      <c r="A98" s="94">
        <v>3</v>
      </c>
      <c r="B98" s="181" t="s">
        <v>204</v>
      </c>
      <c r="C98" s="224" t="s">
        <v>205</v>
      </c>
      <c r="D98" s="225">
        <v>22470</v>
      </c>
      <c r="E98" s="80" t="s">
        <v>45</v>
      </c>
      <c r="F98" s="44">
        <v>0</v>
      </c>
      <c r="G98" s="61">
        <v>0</v>
      </c>
      <c r="H98" s="61">
        <v>0</v>
      </c>
      <c r="I98" s="85">
        <v>0</v>
      </c>
      <c r="J98" s="113">
        <v>46013</v>
      </c>
      <c r="K98" s="114" t="s">
        <v>766</v>
      </c>
      <c r="L98" s="144">
        <v>22470</v>
      </c>
      <c r="M98" s="83" t="s">
        <v>45</v>
      </c>
      <c r="N98" s="116">
        <v>0</v>
      </c>
      <c r="O98" s="147">
        <f t="shared" si="26"/>
        <v>0</v>
      </c>
      <c r="P98" s="147">
        <f t="shared" si="27"/>
        <v>0</v>
      </c>
      <c r="Q98" s="47">
        <f t="shared" si="28"/>
        <v>0</v>
      </c>
      <c r="R98" s="39"/>
      <c r="S98" s="55"/>
      <c r="T98" s="55"/>
      <c r="U98" s="56"/>
      <c r="V98" s="56"/>
    </row>
    <row r="99" spans="1:22" s="226" customFormat="1" ht="27.75" customHeight="1">
      <c r="A99" s="94">
        <v>4</v>
      </c>
      <c r="B99" s="181" t="s">
        <v>204</v>
      </c>
      <c r="C99" s="224" t="s">
        <v>207</v>
      </c>
      <c r="D99" s="225">
        <v>22470</v>
      </c>
      <c r="E99" s="80" t="s">
        <v>45</v>
      </c>
      <c r="F99" s="44">
        <v>0</v>
      </c>
      <c r="G99" s="61">
        <v>0</v>
      </c>
      <c r="H99" s="61">
        <v>0</v>
      </c>
      <c r="I99" s="85">
        <v>0</v>
      </c>
      <c r="J99" s="113">
        <v>46013</v>
      </c>
      <c r="K99" s="114" t="s">
        <v>766</v>
      </c>
      <c r="L99" s="144">
        <v>22470</v>
      </c>
      <c r="M99" s="83" t="s">
        <v>45</v>
      </c>
      <c r="N99" s="116">
        <v>0</v>
      </c>
      <c r="O99" s="147">
        <f t="shared" si="26"/>
        <v>0</v>
      </c>
      <c r="P99" s="147">
        <f t="shared" si="27"/>
        <v>0</v>
      </c>
      <c r="Q99" s="47">
        <f t="shared" si="28"/>
        <v>0</v>
      </c>
      <c r="R99" s="39"/>
      <c r="S99" s="55"/>
      <c r="T99" s="55"/>
      <c r="U99" s="56"/>
      <c r="V99" s="56"/>
    </row>
    <row r="100" spans="1:22" s="226" customFormat="1" ht="27.75" customHeight="1">
      <c r="A100" s="94">
        <v>5</v>
      </c>
      <c r="B100" s="181" t="s">
        <v>201</v>
      </c>
      <c r="C100" s="224" t="s">
        <v>208</v>
      </c>
      <c r="D100" s="225">
        <v>0</v>
      </c>
      <c r="E100" s="80" t="s">
        <v>26</v>
      </c>
      <c r="F100" s="44">
        <v>0</v>
      </c>
      <c r="G100" s="61">
        <v>0</v>
      </c>
      <c r="H100" s="61">
        <v>0</v>
      </c>
      <c r="I100" s="85">
        <v>0</v>
      </c>
      <c r="J100" s="113"/>
      <c r="K100" s="114"/>
      <c r="L100" s="144"/>
      <c r="M100" s="83" t="s">
        <v>26</v>
      </c>
      <c r="N100" s="116">
        <v>0</v>
      </c>
      <c r="O100" s="147">
        <f t="shared" si="26"/>
        <v>0</v>
      </c>
      <c r="P100" s="147">
        <f t="shared" si="27"/>
        <v>0</v>
      </c>
      <c r="Q100" s="47">
        <f t="shared" si="28"/>
        <v>0</v>
      </c>
      <c r="R100" s="39"/>
      <c r="S100" s="55"/>
      <c r="T100" s="55"/>
      <c r="U100" s="56"/>
      <c r="V100" s="56"/>
    </row>
    <row r="101" spans="1:22" s="226" customFormat="1" ht="27.75" customHeight="1">
      <c r="A101" s="94">
        <v>6</v>
      </c>
      <c r="B101" s="181" t="s">
        <v>201</v>
      </c>
      <c r="C101" s="224" t="s">
        <v>209</v>
      </c>
      <c r="D101" s="225">
        <v>0</v>
      </c>
      <c r="E101" s="80" t="s">
        <v>26</v>
      </c>
      <c r="F101" s="44">
        <v>0</v>
      </c>
      <c r="G101" s="61">
        <v>0</v>
      </c>
      <c r="H101" s="61">
        <v>0</v>
      </c>
      <c r="I101" s="85">
        <v>0</v>
      </c>
      <c r="J101" s="113"/>
      <c r="K101" s="114"/>
      <c r="L101" s="144"/>
      <c r="M101" s="83" t="s">
        <v>26</v>
      </c>
      <c r="N101" s="116">
        <v>0</v>
      </c>
      <c r="O101" s="147">
        <f t="shared" si="26"/>
        <v>0</v>
      </c>
      <c r="P101" s="147">
        <f t="shared" si="27"/>
        <v>0</v>
      </c>
      <c r="Q101" s="47">
        <f t="shared" si="28"/>
        <v>0</v>
      </c>
      <c r="R101" s="39"/>
      <c r="S101" s="55"/>
      <c r="T101" s="55"/>
      <c r="U101" s="56"/>
      <c r="V101" s="56"/>
    </row>
    <row r="102" spans="1:22" s="226" customFormat="1" ht="27.75" customHeight="1">
      <c r="A102" s="94">
        <v>7</v>
      </c>
      <c r="B102" s="181" t="s">
        <v>210</v>
      </c>
      <c r="C102" s="224" t="s">
        <v>211</v>
      </c>
      <c r="D102" s="225">
        <v>22470</v>
      </c>
      <c r="E102" s="80" t="s">
        <v>634</v>
      </c>
      <c r="F102" s="44">
        <v>-0.934579439252336</v>
      </c>
      <c r="G102" s="61">
        <v>-21000</v>
      </c>
      <c r="H102" s="61">
        <v>-1470</v>
      </c>
      <c r="I102" s="85">
        <v>-22470</v>
      </c>
      <c r="J102" s="113"/>
      <c r="K102" s="114"/>
      <c r="L102" s="144"/>
      <c r="M102" s="87" t="s">
        <v>26</v>
      </c>
      <c r="N102" s="116">
        <v>0</v>
      </c>
      <c r="O102" s="147">
        <f t="shared" si="26"/>
        <v>0</v>
      </c>
      <c r="P102" s="147">
        <f t="shared" si="27"/>
        <v>0</v>
      </c>
      <c r="Q102" s="47">
        <f t="shared" si="28"/>
        <v>0</v>
      </c>
      <c r="R102" s="39"/>
      <c r="S102" s="55"/>
      <c r="T102" s="55"/>
      <c r="U102" s="56"/>
      <c r="V102" s="56"/>
    </row>
    <row r="103" spans="1:22" s="226" customFormat="1" ht="27.75" customHeight="1">
      <c r="A103" s="94">
        <v>8</v>
      </c>
      <c r="B103" s="181" t="s">
        <v>201</v>
      </c>
      <c r="C103" s="224" t="s">
        <v>213</v>
      </c>
      <c r="D103" s="225">
        <v>0</v>
      </c>
      <c r="E103" s="80" t="s">
        <v>26</v>
      </c>
      <c r="F103" s="44">
        <v>0</v>
      </c>
      <c r="G103" s="61">
        <v>0</v>
      </c>
      <c r="H103" s="61">
        <v>0</v>
      </c>
      <c r="I103" s="85">
        <v>0</v>
      </c>
      <c r="J103" s="113"/>
      <c r="K103" s="114"/>
      <c r="L103" s="144"/>
      <c r="M103" s="83" t="s">
        <v>26</v>
      </c>
      <c r="N103" s="116">
        <v>0</v>
      </c>
      <c r="O103" s="147">
        <f t="shared" si="26"/>
        <v>0</v>
      </c>
      <c r="P103" s="147">
        <f t="shared" si="27"/>
        <v>0</v>
      </c>
      <c r="Q103" s="47">
        <f t="shared" si="28"/>
        <v>0</v>
      </c>
      <c r="R103" s="39"/>
      <c r="S103" s="55"/>
      <c r="T103" s="55"/>
      <c r="U103" s="56"/>
      <c r="V103" s="56"/>
    </row>
    <row r="104" spans="1:22" s="226" customFormat="1" ht="27.75" customHeight="1">
      <c r="A104" s="94">
        <v>9</v>
      </c>
      <c r="B104" s="181" t="s">
        <v>214</v>
      </c>
      <c r="C104" s="224" t="s">
        <v>215</v>
      </c>
      <c r="D104" s="225">
        <v>22470</v>
      </c>
      <c r="E104" s="80" t="s">
        <v>26</v>
      </c>
      <c r="F104" s="44">
        <v>0</v>
      </c>
      <c r="G104" s="61">
        <v>0</v>
      </c>
      <c r="H104" s="61">
        <v>0</v>
      </c>
      <c r="I104" s="85">
        <v>0</v>
      </c>
      <c r="J104" s="113">
        <v>45993</v>
      </c>
      <c r="K104" s="114" t="s">
        <v>767</v>
      </c>
      <c r="L104" s="144">
        <v>22470</v>
      </c>
      <c r="M104" s="83" t="s">
        <v>26</v>
      </c>
      <c r="N104" s="116">
        <v>0</v>
      </c>
      <c r="O104" s="147">
        <f t="shared" si="26"/>
        <v>0</v>
      </c>
      <c r="P104" s="147">
        <f t="shared" si="27"/>
        <v>0</v>
      </c>
      <c r="Q104" s="47">
        <f t="shared" si="28"/>
        <v>0</v>
      </c>
      <c r="R104" s="39"/>
      <c r="S104" s="55"/>
      <c r="T104" s="55"/>
      <c r="U104" s="56"/>
      <c r="V104" s="56"/>
    </row>
    <row r="105" spans="1:22" s="226" customFormat="1" ht="27.75" customHeight="1">
      <c r="A105" s="94">
        <v>10</v>
      </c>
      <c r="B105" s="181" t="s">
        <v>217</v>
      </c>
      <c r="C105" s="224" t="s">
        <v>218</v>
      </c>
      <c r="D105" s="225">
        <v>22470</v>
      </c>
      <c r="E105" s="80" t="s">
        <v>26</v>
      </c>
      <c r="F105" s="44">
        <v>0</v>
      </c>
      <c r="G105" s="61">
        <v>0</v>
      </c>
      <c r="H105" s="61">
        <v>0</v>
      </c>
      <c r="I105" s="85">
        <v>0</v>
      </c>
      <c r="J105" s="113">
        <v>46008</v>
      </c>
      <c r="K105" s="114" t="s">
        <v>768</v>
      </c>
      <c r="L105" s="144">
        <v>22470</v>
      </c>
      <c r="M105" s="83" t="s">
        <v>26</v>
      </c>
      <c r="N105" s="116">
        <v>0</v>
      </c>
      <c r="O105" s="147">
        <f t="shared" si="26"/>
        <v>0</v>
      </c>
      <c r="P105" s="147">
        <f t="shared" si="27"/>
        <v>0</v>
      </c>
      <c r="Q105" s="47">
        <f t="shared" si="28"/>
        <v>0</v>
      </c>
      <c r="R105" s="39"/>
      <c r="S105" s="55"/>
      <c r="T105" s="55"/>
      <c r="U105" s="56"/>
      <c r="V105" s="56"/>
    </row>
    <row r="106" spans="1:22" s="226" customFormat="1" ht="27.75" customHeight="1">
      <c r="A106" s="94">
        <v>11</v>
      </c>
      <c r="B106" s="181" t="s">
        <v>217</v>
      </c>
      <c r="C106" s="224" t="s">
        <v>220</v>
      </c>
      <c r="D106" s="225">
        <v>22470</v>
      </c>
      <c r="E106" s="80" t="s">
        <v>26</v>
      </c>
      <c r="F106" s="44">
        <v>0</v>
      </c>
      <c r="G106" s="61">
        <v>0</v>
      </c>
      <c r="H106" s="61">
        <v>0</v>
      </c>
      <c r="I106" s="85">
        <v>0</v>
      </c>
      <c r="J106" s="113">
        <v>46008</v>
      </c>
      <c r="K106" s="114" t="s">
        <v>768</v>
      </c>
      <c r="L106" s="144">
        <v>22470</v>
      </c>
      <c r="M106" s="83" t="s">
        <v>26</v>
      </c>
      <c r="N106" s="116">
        <v>0</v>
      </c>
      <c r="O106" s="147">
        <f t="shared" si="26"/>
        <v>0</v>
      </c>
      <c r="P106" s="147">
        <f t="shared" si="27"/>
        <v>0</v>
      </c>
      <c r="Q106" s="47">
        <f t="shared" si="28"/>
        <v>0</v>
      </c>
      <c r="R106" s="39"/>
      <c r="S106" s="55"/>
      <c r="T106" s="55"/>
      <c r="U106" s="56"/>
      <c r="V106" s="56"/>
    </row>
    <row r="107" spans="1:22" s="226" customFormat="1" ht="27.75" customHeight="1">
      <c r="A107" s="94">
        <v>12</v>
      </c>
      <c r="B107" s="181" t="s">
        <v>217</v>
      </c>
      <c r="C107" s="224" t="s">
        <v>221</v>
      </c>
      <c r="D107" s="225">
        <v>22470</v>
      </c>
      <c r="E107" s="80" t="s">
        <v>26</v>
      </c>
      <c r="F107" s="44">
        <v>0</v>
      </c>
      <c r="G107" s="61">
        <v>0</v>
      </c>
      <c r="H107" s="61">
        <v>0</v>
      </c>
      <c r="I107" s="85">
        <v>0</v>
      </c>
      <c r="J107" s="113">
        <v>46008</v>
      </c>
      <c r="K107" s="114" t="s">
        <v>768</v>
      </c>
      <c r="L107" s="144">
        <v>22470</v>
      </c>
      <c r="M107" s="83" t="s">
        <v>26</v>
      </c>
      <c r="N107" s="116">
        <v>0</v>
      </c>
      <c r="O107" s="147">
        <f t="shared" si="26"/>
        <v>0</v>
      </c>
      <c r="P107" s="147">
        <f t="shared" si="27"/>
        <v>0</v>
      </c>
      <c r="Q107" s="47">
        <f t="shared" si="28"/>
        <v>0</v>
      </c>
      <c r="R107" s="39"/>
      <c r="S107" s="55"/>
      <c r="T107" s="55"/>
      <c r="U107" s="56"/>
      <c r="V107" s="56"/>
    </row>
    <row r="108" spans="1:22" s="226" customFormat="1" ht="27.75" customHeight="1">
      <c r="A108" s="186">
        <v>13</v>
      </c>
      <c r="B108" s="181" t="s">
        <v>222</v>
      </c>
      <c r="C108" s="227" t="s">
        <v>223</v>
      </c>
      <c r="D108" s="228">
        <v>32100</v>
      </c>
      <c r="E108" s="123" t="s">
        <v>26</v>
      </c>
      <c r="F108" s="44">
        <v>0</v>
      </c>
      <c r="G108" s="45">
        <v>0</v>
      </c>
      <c r="H108" s="45">
        <v>0</v>
      </c>
      <c r="I108" s="229">
        <v>0</v>
      </c>
      <c r="J108" s="230">
        <v>45992</v>
      </c>
      <c r="K108" s="184" t="s">
        <v>769</v>
      </c>
      <c r="L108" s="231">
        <v>32100</v>
      </c>
      <c r="M108" s="232" t="s">
        <v>26</v>
      </c>
      <c r="N108" s="116">
        <v>0</v>
      </c>
      <c r="O108" s="233">
        <f t="shared" si="26"/>
        <v>0</v>
      </c>
      <c r="P108" s="233">
        <f t="shared" si="27"/>
        <v>0</v>
      </c>
      <c r="Q108" s="66">
        <f t="shared" si="28"/>
        <v>0</v>
      </c>
      <c r="R108" s="39"/>
      <c r="S108" s="55"/>
      <c r="T108" s="55"/>
      <c r="U108" s="56"/>
      <c r="V108" s="56" t="s">
        <v>225</v>
      </c>
    </row>
    <row r="109" spans="1:22" s="226" customFormat="1" ht="27.75" customHeight="1" thickBot="1">
      <c r="A109" s="234"/>
      <c r="B109" s="194" t="s">
        <v>22</v>
      </c>
      <c r="C109" s="235"/>
      <c r="D109" s="236">
        <f>SUM(D96:D108)</f>
        <v>216140</v>
      </c>
      <c r="E109" s="237"/>
      <c r="F109" s="238"/>
      <c r="G109" s="239"/>
      <c r="H109" s="239"/>
      <c r="I109" s="240"/>
      <c r="J109" s="241"/>
      <c r="K109" s="234"/>
      <c r="L109" s="236">
        <f>SUM(L96:L108)</f>
        <v>193670</v>
      </c>
      <c r="M109" s="234"/>
      <c r="N109" s="242"/>
      <c r="O109" s="243"/>
      <c r="P109" s="243"/>
      <c r="Q109" s="240"/>
      <c r="R109" s="39"/>
      <c r="S109" s="55"/>
      <c r="T109" s="55"/>
      <c r="U109" s="56"/>
      <c r="V109" s="56"/>
    </row>
    <row r="110" spans="1:22" s="226" customFormat="1" ht="27.75" customHeight="1" thickTop="1">
      <c r="A110" s="83"/>
      <c r="B110" s="244" t="s">
        <v>226</v>
      </c>
      <c r="C110" s="245"/>
      <c r="D110" s="246"/>
      <c r="E110" s="80"/>
      <c r="F110" s="126"/>
      <c r="G110" s="46"/>
      <c r="H110" s="46"/>
      <c r="I110" s="247"/>
      <c r="J110" s="248"/>
      <c r="K110" s="249"/>
      <c r="L110" s="250"/>
      <c r="M110" s="83"/>
      <c r="N110" s="251"/>
      <c r="O110" s="252"/>
      <c r="P110" s="252"/>
      <c r="Q110" s="85"/>
      <c r="R110" s="39"/>
      <c r="S110" s="55"/>
      <c r="T110" s="55"/>
      <c r="U110" s="56"/>
      <c r="V110" s="56"/>
    </row>
    <row r="111" spans="1:22" s="226" customFormat="1" ht="27.75" customHeight="1">
      <c r="A111" s="94">
        <v>1</v>
      </c>
      <c r="B111" s="41" t="s">
        <v>227</v>
      </c>
      <c r="C111" s="224" t="s">
        <v>228</v>
      </c>
      <c r="D111" s="225">
        <v>22470</v>
      </c>
      <c r="E111" s="80" t="s">
        <v>26</v>
      </c>
      <c r="F111" s="44">
        <v>0</v>
      </c>
      <c r="G111" s="61">
        <v>0</v>
      </c>
      <c r="H111" s="61">
        <v>0</v>
      </c>
      <c r="I111" s="85">
        <v>0</v>
      </c>
      <c r="J111" s="113">
        <v>46017</v>
      </c>
      <c r="K111" s="114" t="s">
        <v>770</v>
      </c>
      <c r="L111" s="253">
        <v>22470</v>
      </c>
      <c r="M111" s="83" t="s">
        <v>26</v>
      </c>
      <c r="N111" s="116">
        <v>0</v>
      </c>
      <c r="O111" s="147">
        <f>+(D111*100/107)+G111-(L111*100/107)</f>
        <v>0</v>
      </c>
      <c r="P111" s="147">
        <f t="shared" ref="P111:P122" si="29">ROUND((O111*0.07),2)</f>
        <v>0</v>
      </c>
      <c r="Q111" s="47">
        <f t="shared" ref="Q111:Q122" si="30">+O111+P111</f>
        <v>0</v>
      </c>
      <c r="R111" s="39"/>
      <c r="S111" s="55"/>
      <c r="T111" s="55"/>
      <c r="U111" s="56"/>
      <c r="V111" s="56"/>
    </row>
    <row r="112" spans="1:22" s="226" customFormat="1" ht="27.75" customHeight="1">
      <c r="A112" s="94">
        <v>2</v>
      </c>
      <c r="B112" s="41" t="s">
        <v>227</v>
      </c>
      <c r="C112" s="224" t="s">
        <v>230</v>
      </c>
      <c r="D112" s="246">
        <v>22470</v>
      </c>
      <c r="E112" s="80" t="s">
        <v>26</v>
      </c>
      <c r="F112" s="44">
        <v>0</v>
      </c>
      <c r="G112" s="61">
        <v>0</v>
      </c>
      <c r="H112" s="61">
        <v>0</v>
      </c>
      <c r="I112" s="85">
        <v>0</v>
      </c>
      <c r="J112" s="113">
        <v>46017</v>
      </c>
      <c r="K112" s="114" t="s">
        <v>770</v>
      </c>
      <c r="L112" s="253">
        <v>22470</v>
      </c>
      <c r="M112" s="83" t="s">
        <v>26</v>
      </c>
      <c r="N112" s="116">
        <v>0</v>
      </c>
      <c r="O112" s="147">
        <f>+(D112*100/107)+G112-(L112*100/107)</f>
        <v>0</v>
      </c>
      <c r="P112" s="147">
        <f t="shared" si="29"/>
        <v>0</v>
      </c>
      <c r="Q112" s="47">
        <f t="shared" si="30"/>
        <v>0</v>
      </c>
      <c r="R112" s="39"/>
      <c r="S112" s="55"/>
      <c r="T112" s="55"/>
      <c r="U112" s="56"/>
      <c r="V112" s="56"/>
    </row>
    <row r="113" spans="1:22" s="226" customFormat="1" ht="27.75" customHeight="1">
      <c r="A113" s="94">
        <v>3</v>
      </c>
      <c r="B113" s="41" t="s">
        <v>227</v>
      </c>
      <c r="C113" s="224" t="s">
        <v>231</v>
      </c>
      <c r="D113" s="246">
        <v>22470</v>
      </c>
      <c r="E113" s="80" t="s">
        <v>26</v>
      </c>
      <c r="F113" s="44">
        <v>0</v>
      </c>
      <c r="G113" s="61">
        <v>0</v>
      </c>
      <c r="H113" s="61">
        <v>0</v>
      </c>
      <c r="I113" s="85">
        <v>0</v>
      </c>
      <c r="J113" s="117">
        <v>46017</v>
      </c>
      <c r="K113" s="118" t="s">
        <v>770</v>
      </c>
      <c r="L113" s="557">
        <v>22470</v>
      </c>
      <c r="M113" s="83" t="s">
        <v>26</v>
      </c>
      <c r="N113" s="116">
        <v>0</v>
      </c>
      <c r="O113" s="147">
        <f t="shared" ref="O113:O120" si="31">+(D113*100/107)+G113-(L113*100/107)</f>
        <v>0</v>
      </c>
      <c r="P113" s="147">
        <f t="shared" si="29"/>
        <v>0</v>
      </c>
      <c r="Q113" s="47">
        <f t="shared" si="30"/>
        <v>0</v>
      </c>
      <c r="R113" s="39"/>
      <c r="S113" s="55"/>
      <c r="T113" s="55"/>
      <c r="U113" s="56"/>
      <c r="V113" s="56"/>
    </row>
    <row r="114" spans="1:22" s="226" customFormat="1" ht="27.75" customHeight="1">
      <c r="A114" s="94">
        <v>4</v>
      </c>
      <c r="B114" s="41" t="s">
        <v>227</v>
      </c>
      <c r="C114" s="224" t="s">
        <v>232</v>
      </c>
      <c r="D114" s="246">
        <v>22470</v>
      </c>
      <c r="E114" s="80" t="s">
        <v>26</v>
      </c>
      <c r="F114" s="44">
        <v>0</v>
      </c>
      <c r="G114" s="61">
        <v>0</v>
      </c>
      <c r="H114" s="61">
        <v>0</v>
      </c>
      <c r="I114" s="85">
        <v>0</v>
      </c>
      <c r="J114" s="117">
        <v>46017</v>
      </c>
      <c r="K114" s="118" t="s">
        <v>770</v>
      </c>
      <c r="L114" s="557">
        <v>22470</v>
      </c>
      <c r="M114" s="83" t="s">
        <v>26</v>
      </c>
      <c r="N114" s="116">
        <v>0</v>
      </c>
      <c r="O114" s="147">
        <f t="shared" si="31"/>
        <v>0</v>
      </c>
      <c r="P114" s="147">
        <f t="shared" si="29"/>
        <v>0</v>
      </c>
      <c r="Q114" s="47">
        <f t="shared" si="30"/>
        <v>0</v>
      </c>
      <c r="R114" s="39"/>
      <c r="S114" s="55"/>
      <c r="T114" s="55"/>
      <c r="U114" s="56"/>
      <c r="V114" s="56"/>
    </row>
    <row r="115" spans="1:22" s="226" customFormat="1" ht="27.75" customHeight="1">
      <c r="A115" s="94">
        <v>5</v>
      </c>
      <c r="B115" s="41" t="s">
        <v>227</v>
      </c>
      <c r="C115" s="224" t="s">
        <v>233</v>
      </c>
      <c r="D115" s="246">
        <v>22470</v>
      </c>
      <c r="E115" s="80" t="s">
        <v>26</v>
      </c>
      <c r="F115" s="44">
        <v>0</v>
      </c>
      <c r="G115" s="61">
        <v>0</v>
      </c>
      <c r="H115" s="61">
        <v>0</v>
      </c>
      <c r="I115" s="85">
        <v>0</v>
      </c>
      <c r="J115" s="117">
        <v>46017</v>
      </c>
      <c r="K115" s="118" t="s">
        <v>770</v>
      </c>
      <c r="L115" s="557">
        <v>22470</v>
      </c>
      <c r="M115" s="83" t="s">
        <v>26</v>
      </c>
      <c r="N115" s="116">
        <v>0</v>
      </c>
      <c r="O115" s="147">
        <f t="shared" si="31"/>
        <v>0</v>
      </c>
      <c r="P115" s="147">
        <f t="shared" si="29"/>
        <v>0</v>
      </c>
      <c r="Q115" s="47">
        <f t="shared" si="30"/>
        <v>0</v>
      </c>
      <c r="R115" s="39"/>
      <c r="S115" s="55"/>
      <c r="T115" s="55"/>
      <c r="U115" s="56"/>
      <c r="V115" s="56"/>
    </row>
    <row r="116" spans="1:22" s="226" customFormat="1" ht="27.75" customHeight="1">
      <c r="A116" s="94">
        <v>6</v>
      </c>
      <c r="B116" s="41" t="s">
        <v>234</v>
      </c>
      <c r="C116" s="224" t="s">
        <v>235</v>
      </c>
      <c r="D116" s="246">
        <v>22470</v>
      </c>
      <c r="E116" s="80" t="s">
        <v>26</v>
      </c>
      <c r="F116" s="44">
        <v>0</v>
      </c>
      <c r="G116" s="61">
        <v>0</v>
      </c>
      <c r="H116" s="61">
        <v>0</v>
      </c>
      <c r="I116" s="85">
        <v>0</v>
      </c>
      <c r="J116" s="117">
        <v>46017</v>
      </c>
      <c r="K116" s="118" t="s">
        <v>770</v>
      </c>
      <c r="L116" s="557">
        <v>22470</v>
      </c>
      <c r="M116" s="83" t="s">
        <v>26</v>
      </c>
      <c r="N116" s="116">
        <v>0</v>
      </c>
      <c r="O116" s="147">
        <f t="shared" si="31"/>
        <v>0</v>
      </c>
      <c r="P116" s="147">
        <f t="shared" si="29"/>
        <v>0</v>
      </c>
      <c r="Q116" s="47">
        <f t="shared" si="30"/>
        <v>0</v>
      </c>
      <c r="R116" s="39"/>
      <c r="S116" s="55"/>
      <c r="T116" s="55"/>
      <c r="U116" s="56"/>
      <c r="V116" s="56"/>
    </row>
    <row r="117" spans="1:22" s="226" customFormat="1" ht="27.75" customHeight="1">
      <c r="A117" s="94">
        <v>7</v>
      </c>
      <c r="B117" s="41" t="s">
        <v>236</v>
      </c>
      <c r="C117" s="224" t="s">
        <v>237</v>
      </c>
      <c r="D117" s="225">
        <v>0</v>
      </c>
      <c r="E117" s="80" t="s">
        <v>26</v>
      </c>
      <c r="F117" s="44">
        <v>0</v>
      </c>
      <c r="G117" s="61">
        <v>0</v>
      </c>
      <c r="H117" s="61">
        <v>0</v>
      </c>
      <c r="I117" s="85">
        <v>0</v>
      </c>
      <c r="J117" s="117"/>
      <c r="K117" s="118"/>
      <c r="L117" s="557">
        <v>0</v>
      </c>
      <c r="M117" s="83" t="s">
        <v>26</v>
      </c>
      <c r="N117" s="116">
        <v>0</v>
      </c>
      <c r="O117" s="147">
        <f t="shared" si="31"/>
        <v>0</v>
      </c>
      <c r="P117" s="147">
        <f t="shared" si="29"/>
        <v>0</v>
      </c>
      <c r="Q117" s="47">
        <f t="shared" si="30"/>
        <v>0</v>
      </c>
      <c r="R117" s="39"/>
      <c r="S117" s="55"/>
      <c r="T117" s="55"/>
      <c r="U117" s="56"/>
      <c r="V117" s="56"/>
    </row>
    <row r="118" spans="1:22" s="226" customFormat="1" ht="27.75" customHeight="1">
      <c r="A118" s="94">
        <v>8</v>
      </c>
      <c r="B118" s="41" t="s">
        <v>236</v>
      </c>
      <c r="C118" s="224" t="s">
        <v>239</v>
      </c>
      <c r="D118" s="225">
        <v>22470</v>
      </c>
      <c r="E118" s="80" t="s">
        <v>26</v>
      </c>
      <c r="F118" s="44">
        <v>0</v>
      </c>
      <c r="G118" s="61">
        <v>0</v>
      </c>
      <c r="H118" s="61">
        <v>0</v>
      </c>
      <c r="I118" s="85">
        <v>0</v>
      </c>
      <c r="J118" s="113">
        <v>46021</v>
      </c>
      <c r="K118" s="114" t="s">
        <v>771</v>
      </c>
      <c r="L118" s="257">
        <v>22470</v>
      </c>
      <c r="M118" s="83" t="s">
        <v>26</v>
      </c>
      <c r="N118" s="116">
        <v>0</v>
      </c>
      <c r="O118" s="147">
        <f t="shared" si="31"/>
        <v>0</v>
      </c>
      <c r="P118" s="147">
        <f t="shared" si="29"/>
        <v>0</v>
      </c>
      <c r="Q118" s="47">
        <f t="shared" si="30"/>
        <v>0</v>
      </c>
      <c r="R118" s="39"/>
      <c r="S118" s="55"/>
      <c r="T118" s="55"/>
      <c r="U118" s="56"/>
      <c r="V118" s="56"/>
    </row>
    <row r="119" spans="1:22" s="226" customFormat="1" ht="27.75" customHeight="1">
      <c r="A119" s="94">
        <v>9</v>
      </c>
      <c r="B119" s="41" t="s">
        <v>92</v>
      </c>
      <c r="C119" s="224" t="s">
        <v>240</v>
      </c>
      <c r="D119" s="225">
        <v>22470</v>
      </c>
      <c r="E119" s="80" t="s">
        <v>26</v>
      </c>
      <c r="F119" s="44">
        <v>0</v>
      </c>
      <c r="G119" s="61">
        <v>0</v>
      </c>
      <c r="H119" s="61">
        <v>0</v>
      </c>
      <c r="I119" s="85">
        <v>0</v>
      </c>
      <c r="J119" s="113">
        <v>46017</v>
      </c>
      <c r="K119" s="114" t="s">
        <v>772</v>
      </c>
      <c r="L119" s="258">
        <v>22470</v>
      </c>
      <c r="M119" s="83" t="s">
        <v>26</v>
      </c>
      <c r="N119" s="116">
        <v>0</v>
      </c>
      <c r="O119" s="147">
        <f t="shared" si="31"/>
        <v>0</v>
      </c>
      <c r="P119" s="147">
        <f t="shared" si="29"/>
        <v>0</v>
      </c>
      <c r="Q119" s="47">
        <f t="shared" si="30"/>
        <v>0</v>
      </c>
      <c r="R119" s="39"/>
      <c r="S119" s="55"/>
      <c r="T119" s="55"/>
      <c r="U119" s="56"/>
      <c r="V119" s="56"/>
    </row>
    <row r="120" spans="1:22" s="226" customFormat="1" ht="27.75" customHeight="1">
      <c r="A120" s="94">
        <v>10</v>
      </c>
      <c r="B120" s="41" t="s">
        <v>92</v>
      </c>
      <c r="C120" s="224" t="s">
        <v>242</v>
      </c>
      <c r="D120" s="225">
        <v>22470</v>
      </c>
      <c r="E120" s="80" t="s">
        <v>26</v>
      </c>
      <c r="F120" s="44">
        <v>0</v>
      </c>
      <c r="G120" s="61">
        <v>0</v>
      </c>
      <c r="H120" s="61">
        <v>0</v>
      </c>
      <c r="I120" s="85">
        <v>0</v>
      </c>
      <c r="J120" s="113">
        <v>46017</v>
      </c>
      <c r="K120" s="114" t="s">
        <v>772</v>
      </c>
      <c r="L120" s="253">
        <v>22470</v>
      </c>
      <c r="M120" s="83" t="s">
        <v>26</v>
      </c>
      <c r="N120" s="116">
        <v>0</v>
      </c>
      <c r="O120" s="147">
        <f t="shared" si="31"/>
        <v>0</v>
      </c>
      <c r="P120" s="147">
        <f t="shared" si="29"/>
        <v>0</v>
      </c>
      <c r="Q120" s="47">
        <f t="shared" si="30"/>
        <v>0</v>
      </c>
      <c r="R120" s="39"/>
      <c r="S120" s="55"/>
      <c r="T120" s="55"/>
      <c r="U120" s="56"/>
      <c r="V120" s="56"/>
    </row>
    <row r="121" spans="1:22" s="226" customFormat="1" ht="27.75" customHeight="1">
      <c r="A121" s="94">
        <v>11</v>
      </c>
      <c r="B121" s="41" t="s">
        <v>243</v>
      </c>
      <c r="C121" s="224" t="s">
        <v>244</v>
      </c>
      <c r="D121" s="225">
        <v>22470</v>
      </c>
      <c r="E121" s="80" t="s">
        <v>26</v>
      </c>
      <c r="F121" s="44">
        <v>0</v>
      </c>
      <c r="G121" s="61">
        <v>0</v>
      </c>
      <c r="H121" s="61">
        <v>0</v>
      </c>
      <c r="I121" s="85">
        <v>0</v>
      </c>
      <c r="J121" s="113">
        <v>46022</v>
      </c>
      <c r="K121" s="114" t="s">
        <v>773</v>
      </c>
      <c r="L121" s="253">
        <v>22470</v>
      </c>
      <c r="M121" s="83" t="s">
        <v>26</v>
      </c>
      <c r="N121" s="116">
        <v>0</v>
      </c>
      <c r="O121" s="147">
        <f>+(D121*100/107)+G121-(L121*100/107)</f>
        <v>0</v>
      </c>
      <c r="P121" s="147">
        <f t="shared" si="29"/>
        <v>0</v>
      </c>
      <c r="Q121" s="47">
        <f t="shared" si="30"/>
        <v>0</v>
      </c>
      <c r="R121" s="39"/>
      <c r="S121" s="55"/>
      <c r="T121" s="55"/>
      <c r="U121" s="56"/>
      <c r="V121" s="56"/>
    </row>
    <row r="122" spans="1:22" s="226" customFormat="1" ht="27.75" customHeight="1">
      <c r="A122" s="186">
        <v>12</v>
      </c>
      <c r="B122" s="206" t="s">
        <v>90</v>
      </c>
      <c r="C122" s="224" t="s">
        <v>246</v>
      </c>
      <c r="D122" s="228">
        <v>22470</v>
      </c>
      <c r="E122" s="123" t="s">
        <v>26</v>
      </c>
      <c r="F122" s="44">
        <v>0</v>
      </c>
      <c r="G122" s="45">
        <v>0</v>
      </c>
      <c r="H122" s="45">
        <v>0</v>
      </c>
      <c r="I122" s="229">
        <v>0</v>
      </c>
      <c r="J122" s="259">
        <v>46017</v>
      </c>
      <c r="K122" s="114" t="s">
        <v>774</v>
      </c>
      <c r="L122" s="253">
        <v>22470</v>
      </c>
      <c r="M122" s="232" t="s">
        <v>26</v>
      </c>
      <c r="N122" s="116">
        <v>0</v>
      </c>
      <c r="O122" s="147">
        <f>+(D122*100/107)+G122-(L122*100/107)</f>
        <v>0</v>
      </c>
      <c r="P122" s="147">
        <f t="shared" si="29"/>
        <v>0</v>
      </c>
      <c r="Q122" s="47">
        <f t="shared" si="30"/>
        <v>0</v>
      </c>
      <c r="R122" s="39"/>
      <c r="S122" s="55"/>
      <c r="T122" s="55"/>
      <c r="U122" s="56"/>
      <c r="V122" s="56"/>
    </row>
    <row r="123" spans="1:22" s="226" customFormat="1" ht="27.75" customHeight="1">
      <c r="A123" s="234"/>
      <c r="B123" s="260"/>
      <c r="C123" s="235"/>
      <c r="D123" s="236">
        <f>SUM(D111:D122)</f>
        <v>247170</v>
      </c>
      <c r="E123" s="237"/>
      <c r="F123" s="238"/>
      <c r="G123" s="239"/>
      <c r="H123" s="239"/>
      <c r="I123" s="240"/>
      <c r="J123" s="261"/>
      <c r="K123" s="262"/>
      <c r="L123" s="263">
        <f>SUM(L111:L122)</f>
        <v>247170</v>
      </c>
      <c r="M123" s="234"/>
      <c r="N123" s="242"/>
      <c r="O123" s="243"/>
      <c r="P123" s="243"/>
      <c r="Q123" s="240"/>
      <c r="R123" s="39"/>
      <c r="S123" s="55"/>
      <c r="T123" s="55"/>
      <c r="U123" s="56"/>
      <c r="V123" s="56"/>
    </row>
    <row r="124" spans="1:22" s="226" customFormat="1" ht="27.75" customHeight="1">
      <c r="A124" s="83"/>
      <c r="B124" s="244" t="s">
        <v>248</v>
      </c>
      <c r="C124" s="245"/>
      <c r="D124" s="246"/>
      <c r="E124" s="80"/>
      <c r="F124" s="126"/>
      <c r="G124" s="46"/>
      <c r="H124" s="46"/>
      <c r="I124" s="85"/>
      <c r="J124" s="178"/>
      <c r="K124" s="179"/>
      <c r="L124" s="264"/>
      <c r="M124" s="83"/>
      <c r="N124" s="251"/>
      <c r="O124" s="252"/>
      <c r="P124" s="252"/>
      <c r="Q124" s="85"/>
      <c r="R124" s="39"/>
      <c r="S124" s="55"/>
      <c r="T124" s="55"/>
      <c r="U124" s="56"/>
      <c r="V124" s="56"/>
    </row>
    <row r="125" spans="1:22" s="226" customFormat="1" ht="27.75" customHeight="1">
      <c r="A125" s="94">
        <v>1</v>
      </c>
      <c r="B125" s="41" t="s">
        <v>249</v>
      </c>
      <c r="C125" s="224" t="s">
        <v>250</v>
      </c>
      <c r="D125" s="225">
        <v>6420</v>
      </c>
      <c r="E125" s="80"/>
      <c r="F125" s="44"/>
      <c r="G125" s="61">
        <v>0</v>
      </c>
      <c r="H125" s="61">
        <v>0</v>
      </c>
      <c r="I125" s="85">
        <v>0</v>
      </c>
      <c r="J125" s="113">
        <v>46022</v>
      </c>
      <c r="K125" s="114" t="s">
        <v>775</v>
      </c>
      <c r="L125" s="144">
        <v>6420</v>
      </c>
      <c r="M125" s="83" t="s">
        <v>45</v>
      </c>
      <c r="N125" s="116">
        <v>0</v>
      </c>
      <c r="O125" s="147">
        <f t="shared" ref="O125:O135" si="32">+(D125*100/107)+G125-(L125*100/107)</f>
        <v>0</v>
      </c>
      <c r="P125" s="147">
        <f t="shared" ref="P125:P135" si="33">ROUND((O125*0.07),2)</f>
        <v>0</v>
      </c>
      <c r="Q125" s="47">
        <f t="shared" ref="Q125:Q136" si="34">+O125+P125</f>
        <v>0</v>
      </c>
      <c r="R125" s="39"/>
      <c r="S125" s="55"/>
      <c r="T125" s="55"/>
      <c r="U125" s="56"/>
      <c r="V125" s="56"/>
    </row>
    <row r="126" spans="1:22" s="226" customFormat="1" ht="27.75" customHeight="1">
      <c r="A126" s="94">
        <v>2</v>
      </c>
      <c r="B126" s="41" t="s">
        <v>252</v>
      </c>
      <c r="C126" s="224" t="s">
        <v>253</v>
      </c>
      <c r="D126" s="225">
        <v>6420</v>
      </c>
      <c r="E126" s="80"/>
      <c r="F126" s="44"/>
      <c r="G126" s="61">
        <v>0</v>
      </c>
      <c r="H126" s="61">
        <v>0</v>
      </c>
      <c r="I126" s="85">
        <v>0</v>
      </c>
      <c r="J126" s="113"/>
      <c r="K126" s="114"/>
      <c r="L126" s="144">
        <v>0</v>
      </c>
      <c r="M126" s="83" t="s">
        <v>634</v>
      </c>
      <c r="N126" s="116">
        <v>1</v>
      </c>
      <c r="O126" s="147">
        <f t="shared" si="32"/>
        <v>6000</v>
      </c>
      <c r="P126" s="147">
        <f t="shared" si="33"/>
        <v>420</v>
      </c>
      <c r="Q126" s="47">
        <f t="shared" si="34"/>
        <v>6420</v>
      </c>
      <c r="R126" s="39"/>
      <c r="S126" s="55"/>
      <c r="T126" s="55"/>
      <c r="U126" s="56"/>
      <c r="V126" s="56"/>
    </row>
    <row r="127" spans="1:22" s="226" customFormat="1" ht="27.75" customHeight="1">
      <c r="A127" s="94">
        <v>3</v>
      </c>
      <c r="B127" s="41" t="s">
        <v>254</v>
      </c>
      <c r="C127" s="224" t="s">
        <v>255</v>
      </c>
      <c r="D127" s="225">
        <v>9630</v>
      </c>
      <c r="E127" s="80"/>
      <c r="F127" s="44"/>
      <c r="G127" s="61">
        <v>0</v>
      </c>
      <c r="H127" s="61">
        <v>0</v>
      </c>
      <c r="I127" s="85">
        <v>0</v>
      </c>
      <c r="J127" s="113"/>
      <c r="K127" s="114"/>
      <c r="L127" s="144">
        <v>0</v>
      </c>
      <c r="M127" s="83" t="s">
        <v>634</v>
      </c>
      <c r="N127" s="116">
        <v>0.93457943925233611</v>
      </c>
      <c r="O127" s="147">
        <f t="shared" si="32"/>
        <v>9000</v>
      </c>
      <c r="P127" s="147">
        <f t="shared" si="33"/>
        <v>630</v>
      </c>
      <c r="Q127" s="47">
        <f t="shared" si="34"/>
        <v>9630</v>
      </c>
      <c r="R127" s="39"/>
      <c r="S127" s="55"/>
      <c r="T127" s="55"/>
      <c r="U127" s="56"/>
      <c r="V127" s="56"/>
    </row>
    <row r="128" spans="1:22" s="226" customFormat="1" ht="27.75" customHeight="1">
      <c r="A128" s="94">
        <v>4</v>
      </c>
      <c r="B128" s="41" t="s">
        <v>201</v>
      </c>
      <c r="C128" s="224" t="s">
        <v>256</v>
      </c>
      <c r="D128" s="225">
        <v>9630</v>
      </c>
      <c r="E128" s="80"/>
      <c r="F128" s="44"/>
      <c r="G128" s="61">
        <v>0</v>
      </c>
      <c r="H128" s="61">
        <v>0</v>
      </c>
      <c r="I128" s="85">
        <v>0</v>
      </c>
      <c r="J128" s="113">
        <v>46022</v>
      </c>
      <c r="K128" s="114" t="s">
        <v>814</v>
      </c>
      <c r="L128" s="144">
        <v>9630</v>
      </c>
      <c r="M128" s="83" t="s">
        <v>45</v>
      </c>
      <c r="N128" s="116">
        <v>0</v>
      </c>
      <c r="O128" s="147">
        <f t="shared" si="32"/>
        <v>0</v>
      </c>
      <c r="P128" s="147">
        <f t="shared" si="33"/>
        <v>0</v>
      </c>
      <c r="Q128" s="47">
        <f t="shared" si="34"/>
        <v>0</v>
      </c>
      <c r="R128" s="39"/>
      <c r="S128" s="55"/>
      <c r="T128" s="55"/>
      <c r="U128" s="56"/>
      <c r="V128" s="56"/>
    </row>
    <row r="129" spans="1:25" s="226" customFormat="1" ht="27.75" customHeight="1">
      <c r="A129" s="94">
        <v>5</v>
      </c>
      <c r="B129" s="41" t="s">
        <v>257</v>
      </c>
      <c r="C129" s="224" t="s">
        <v>258</v>
      </c>
      <c r="D129" s="225">
        <v>9630</v>
      </c>
      <c r="E129" s="80"/>
      <c r="F129" s="44"/>
      <c r="G129" s="61">
        <v>0</v>
      </c>
      <c r="H129" s="61">
        <v>0</v>
      </c>
      <c r="I129" s="85">
        <v>0</v>
      </c>
      <c r="J129" s="113">
        <v>46019</v>
      </c>
      <c r="K129" s="114" t="s">
        <v>776</v>
      </c>
      <c r="L129" s="144">
        <v>9630</v>
      </c>
      <c r="M129" s="83" t="s">
        <v>45</v>
      </c>
      <c r="N129" s="116">
        <v>0</v>
      </c>
      <c r="O129" s="147">
        <f t="shared" si="32"/>
        <v>0</v>
      </c>
      <c r="P129" s="147">
        <f t="shared" si="33"/>
        <v>0</v>
      </c>
      <c r="Q129" s="47">
        <f t="shared" si="34"/>
        <v>0</v>
      </c>
      <c r="R129" s="39"/>
      <c r="S129" s="55"/>
      <c r="T129" s="55"/>
      <c r="U129" s="56"/>
      <c r="V129" s="56"/>
    </row>
    <row r="130" spans="1:25" s="226" customFormat="1" ht="27.75" customHeight="1">
      <c r="A130" s="94">
        <v>6</v>
      </c>
      <c r="B130" s="206" t="s">
        <v>257</v>
      </c>
      <c r="C130" s="224" t="s">
        <v>260</v>
      </c>
      <c r="D130" s="225">
        <v>9630</v>
      </c>
      <c r="E130" s="80"/>
      <c r="F130" s="44"/>
      <c r="G130" s="61">
        <v>0</v>
      </c>
      <c r="H130" s="61">
        <v>0</v>
      </c>
      <c r="I130" s="85">
        <v>0</v>
      </c>
      <c r="J130" s="113">
        <v>46019</v>
      </c>
      <c r="K130" s="114" t="s">
        <v>776</v>
      </c>
      <c r="L130" s="144">
        <v>9630</v>
      </c>
      <c r="M130" s="83" t="s">
        <v>45</v>
      </c>
      <c r="N130" s="116">
        <v>0</v>
      </c>
      <c r="O130" s="147">
        <f t="shared" si="32"/>
        <v>0</v>
      </c>
      <c r="P130" s="147">
        <f t="shared" si="33"/>
        <v>0</v>
      </c>
      <c r="Q130" s="47">
        <f t="shared" si="34"/>
        <v>0</v>
      </c>
      <c r="R130" s="39"/>
      <c r="S130" s="55"/>
      <c r="T130" s="55"/>
      <c r="U130" s="56"/>
      <c r="V130" s="56"/>
    </row>
    <row r="131" spans="1:25" s="226" customFormat="1" ht="27.75" customHeight="1">
      <c r="A131" s="94">
        <v>7</v>
      </c>
      <c r="B131" s="265" t="s">
        <v>261</v>
      </c>
      <c r="C131" s="224" t="s">
        <v>262</v>
      </c>
      <c r="D131" s="225">
        <v>6420</v>
      </c>
      <c r="E131" s="80"/>
      <c r="F131" s="44"/>
      <c r="G131" s="61">
        <v>0</v>
      </c>
      <c r="H131" s="61">
        <v>0</v>
      </c>
      <c r="I131" s="85">
        <v>0</v>
      </c>
      <c r="J131" s="113">
        <v>45996</v>
      </c>
      <c r="K131" s="114" t="s">
        <v>777</v>
      </c>
      <c r="L131" s="144">
        <v>6420</v>
      </c>
      <c r="M131" s="83" t="s">
        <v>45</v>
      </c>
      <c r="N131" s="116">
        <v>0</v>
      </c>
      <c r="O131" s="147">
        <f t="shared" si="32"/>
        <v>0</v>
      </c>
      <c r="P131" s="147">
        <f t="shared" si="33"/>
        <v>0</v>
      </c>
      <c r="Q131" s="47">
        <f t="shared" si="34"/>
        <v>0</v>
      </c>
      <c r="R131" s="39"/>
      <c r="S131" s="55"/>
      <c r="T131" s="55"/>
      <c r="U131" s="56"/>
      <c r="V131" s="56"/>
    </row>
    <row r="132" spans="1:25" s="226" customFormat="1" ht="27.75" customHeight="1">
      <c r="A132" s="94">
        <v>8</v>
      </c>
      <c r="B132" s="266" t="s">
        <v>264</v>
      </c>
      <c r="C132" s="224" t="s">
        <v>199</v>
      </c>
      <c r="D132" s="225">
        <v>6420</v>
      </c>
      <c r="E132" s="80"/>
      <c r="F132" s="44"/>
      <c r="G132" s="61">
        <v>0</v>
      </c>
      <c r="H132" s="61">
        <v>0</v>
      </c>
      <c r="I132" s="85">
        <v>0</v>
      </c>
      <c r="J132" s="113"/>
      <c r="K132" s="114"/>
      <c r="L132" s="144">
        <v>0</v>
      </c>
      <c r="M132" s="83" t="s">
        <v>634</v>
      </c>
      <c r="N132" s="116">
        <v>0.934579439252336</v>
      </c>
      <c r="O132" s="147">
        <f t="shared" si="32"/>
        <v>6000</v>
      </c>
      <c r="P132" s="147">
        <f t="shared" si="33"/>
        <v>420</v>
      </c>
      <c r="Q132" s="47">
        <f t="shared" si="34"/>
        <v>6420</v>
      </c>
      <c r="R132" s="39"/>
      <c r="S132" s="55"/>
      <c r="T132" s="55"/>
      <c r="U132" s="56"/>
      <c r="V132" s="56"/>
      <c r="Y132" s="226" t="s">
        <v>266</v>
      </c>
    </row>
    <row r="133" spans="1:25" s="226" customFormat="1" ht="27.75" customHeight="1">
      <c r="A133" s="94">
        <v>9</v>
      </c>
      <c r="B133" s="81" t="s">
        <v>267</v>
      </c>
      <c r="C133" s="224" t="s">
        <v>268</v>
      </c>
      <c r="D133" s="267">
        <v>6420</v>
      </c>
      <c r="E133" s="81" t="s">
        <v>522</v>
      </c>
      <c r="F133" s="116">
        <v>0.93457943925233578</v>
      </c>
      <c r="G133" s="147">
        <v>6000</v>
      </c>
      <c r="H133" s="147">
        <v>420</v>
      </c>
      <c r="I133" s="47">
        <v>6420</v>
      </c>
      <c r="J133" s="113">
        <v>45992</v>
      </c>
      <c r="K133" s="114" t="s">
        <v>778</v>
      </c>
      <c r="L133" s="144">
        <v>6420</v>
      </c>
      <c r="M133" s="83" t="s">
        <v>634</v>
      </c>
      <c r="N133" s="116">
        <v>0.93457943925233578</v>
      </c>
      <c r="O133" s="147">
        <f t="shared" si="32"/>
        <v>6000</v>
      </c>
      <c r="P133" s="147">
        <f t="shared" si="33"/>
        <v>420</v>
      </c>
      <c r="Q133" s="47">
        <f t="shared" si="34"/>
        <v>6420</v>
      </c>
      <c r="R133" s="39"/>
      <c r="S133" s="55"/>
      <c r="T133" s="55"/>
      <c r="U133" s="56"/>
      <c r="V133" s="56"/>
      <c r="Y133" s="226" t="s">
        <v>269</v>
      </c>
    </row>
    <row r="134" spans="1:25" s="226" customFormat="1" ht="27.75" customHeight="1">
      <c r="A134" s="94">
        <v>10</v>
      </c>
      <c r="B134" s="81" t="s">
        <v>201</v>
      </c>
      <c r="C134" s="224" t="s">
        <v>205</v>
      </c>
      <c r="D134" s="225"/>
      <c r="E134" s="81"/>
      <c r="F134" s="116"/>
      <c r="G134" s="147">
        <v>0</v>
      </c>
      <c r="H134" s="147">
        <v>0</v>
      </c>
      <c r="I134" s="85">
        <v>0</v>
      </c>
      <c r="J134" s="113"/>
      <c r="K134" s="114"/>
      <c r="L134" s="144">
        <v>0</v>
      </c>
      <c r="M134" s="83" t="s">
        <v>45</v>
      </c>
      <c r="N134" s="116">
        <v>0</v>
      </c>
      <c r="O134" s="147">
        <f t="shared" si="32"/>
        <v>0</v>
      </c>
      <c r="P134" s="147">
        <f t="shared" si="33"/>
        <v>0</v>
      </c>
      <c r="Q134" s="47">
        <f t="shared" si="34"/>
        <v>0</v>
      </c>
      <c r="R134" s="39"/>
      <c r="S134" s="55"/>
      <c r="T134" s="55"/>
      <c r="U134" s="56"/>
      <c r="V134" s="56"/>
    </row>
    <row r="135" spans="1:25" s="226" customFormat="1" ht="27.75" customHeight="1">
      <c r="A135" s="94">
        <v>11</v>
      </c>
      <c r="B135" s="81" t="s">
        <v>156</v>
      </c>
      <c r="C135" s="224" t="s">
        <v>207</v>
      </c>
      <c r="D135" s="225">
        <v>6420</v>
      </c>
      <c r="E135" s="80"/>
      <c r="F135" s="44"/>
      <c r="G135" s="61">
        <v>0</v>
      </c>
      <c r="H135" s="61">
        <v>0</v>
      </c>
      <c r="I135" s="85">
        <v>0</v>
      </c>
      <c r="J135" s="113">
        <v>45992</v>
      </c>
      <c r="K135" s="114" t="s">
        <v>779</v>
      </c>
      <c r="L135" s="144">
        <v>6420</v>
      </c>
      <c r="M135" s="83" t="s">
        <v>45</v>
      </c>
      <c r="N135" s="116">
        <v>0</v>
      </c>
      <c r="O135" s="147">
        <f t="shared" si="32"/>
        <v>0</v>
      </c>
      <c r="P135" s="147">
        <f t="shared" si="33"/>
        <v>0</v>
      </c>
      <c r="Q135" s="47">
        <f t="shared" si="34"/>
        <v>0</v>
      </c>
      <c r="R135" s="39"/>
      <c r="S135" s="55"/>
      <c r="T135" s="55"/>
      <c r="U135" s="56"/>
      <c r="V135" s="56"/>
    </row>
    <row r="136" spans="1:25" s="226" customFormat="1" ht="27.75" customHeight="1">
      <c r="A136" s="94">
        <v>12</v>
      </c>
      <c r="B136" s="41" t="s">
        <v>271</v>
      </c>
      <c r="C136" s="224" t="s">
        <v>208</v>
      </c>
      <c r="D136" s="225">
        <v>6420</v>
      </c>
      <c r="E136" s="80"/>
      <c r="F136" s="44"/>
      <c r="G136" s="61">
        <v>0</v>
      </c>
      <c r="H136" s="61">
        <v>0</v>
      </c>
      <c r="I136" s="85">
        <v>0</v>
      </c>
      <c r="J136" s="113">
        <v>46022</v>
      </c>
      <c r="K136" s="268" t="s">
        <v>780</v>
      </c>
      <c r="L136" s="269">
        <v>6420</v>
      </c>
      <c r="M136" s="83" t="s">
        <v>45</v>
      </c>
      <c r="N136" s="116">
        <v>0</v>
      </c>
      <c r="O136" s="147">
        <f>+(D136*100/107)+G136-(L136*100/107)</f>
        <v>0</v>
      </c>
      <c r="P136" s="147">
        <f>ROUND((O136*0.07),2)</f>
        <v>0</v>
      </c>
      <c r="Q136" s="47">
        <f t="shared" si="34"/>
        <v>0</v>
      </c>
      <c r="R136" s="39"/>
      <c r="S136" s="55"/>
      <c r="T136" s="55"/>
      <c r="U136" s="56"/>
      <c r="V136" s="56"/>
    </row>
    <row r="137" spans="1:25" s="226" customFormat="1" ht="27.75" customHeight="1">
      <c r="A137" s="94">
        <v>13</v>
      </c>
      <c r="B137" s="41" t="s">
        <v>273</v>
      </c>
      <c r="C137" s="224" t="s">
        <v>209</v>
      </c>
      <c r="D137" s="225">
        <v>6420</v>
      </c>
      <c r="E137" s="80"/>
      <c r="F137" s="44"/>
      <c r="G137" s="61">
        <v>0</v>
      </c>
      <c r="H137" s="61">
        <v>0</v>
      </c>
      <c r="I137" s="85">
        <v>0</v>
      </c>
      <c r="J137" s="113">
        <v>46000</v>
      </c>
      <c r="K137" s="114" t="s">
        <v>781</v>
      </c>
      <c r="L137" s="144">
        <v>6420</v>
      </c>
      <c r="M137" s="83" t="s">
        <v>45</v>
      </c>
      <c r="N137" s="116">
        <v>0</v>
      </c>
      <c r="O137" s="147">
        <f>+(D137*100/107)+G137-(L137*100/107)</f>
        <v>0</v>
      </c>
      <c r="P137" s="147">
        <f>ROUND((O137*0.07),2)</f>
        <v>0</v>
      </c>
      <c r="Q137" s="47">
        <f>+O137+P137</f>
        <v>0</v>
      </c>
      <c r="R137" s="39"/>
      <c r="S137" s="55"/>
      <c r="T137" s="55"/>
      <c r="U137" s="56"/>
      <c r="V137" s="56"/>
    </row>
    <row r="138" spans="1:25" s="226" customFormat="1" ht="27.75" customHeight="1">
      <c r="A138" s="94">
        <v>14</v>
      </c>
      <c r="B138" s="41" t="s">
        <v>275</v>
      </c>
      <c r="C138" s="224" t="s">
        <v>276</v>
      </c>
      <c r="D138" s="225">
        <v>6420</v>
      </c>
      <c r="E138" s="80"/>
      <c r="F138" s="44"/>
      <c r="G138" s="61">
        <v>0</v>
      </c>
      <c r="H138" s="61">
        <v>0</v>
      </c>
      <c r="I138" s="85">
        <v>0</v>
      </c>
      <c r="J138" s="113">
        <v>46020</v>
      </c>
      <c r="K138" s="114" t="s">
        <v>782</v>
      </c>
      <c r="L138" s="144">
        <v>6420</v>
      </c>
      <c r="M138" s="87" t="s">
        <v>45</v>
      </c>
      <c r="N138" s="116">
        <v>0</v>
      </c>
      <c r="O138" s="147">
        <f>+(D138*100/107)+G138-(L138*100/107)</f>
        <v>0</v>
      </c>
      <c r="P138" s="147">
        <f>ROUND((O138*0.07),2)</f>
        <v>0</v>
      </c>
      <c r="Q138" s="47">
        <f>+O138+P138</f>
        <v>0</v>
      </c>
      <c r="R138" s="39"/>
      <c r="S138" s="55"/>
      <c r="T138" s="55"/>
      <c r="U138" s="56"/>
      <c r="V138" s="56"/>
    </row>
    <row r="139" spans="1:25" ht="27.75" customHeight="1" thickBot="1">
      <c r="A139" s="22"/>
      <c r="B139" s="194" t="s">
        <v>22</v>
      </c>
      <c r="C139" s="195"/>
      <c r="D139" s="196">
        <f>SUM(D125:D138)</f>
        <v>96300</v>
      </c>
      <c r="E139" s="196"/>
      <c r="F139" s="197"/>
      <c r="G139" s="196">
        <f>SUM(G125:G138)</f>
        <v>6000</v>
      </c>
      <c r="H139" s="196">
        <f>SUM(H125:H138)</f>
        <v>420</v>
      </c>
      <c r="I139" s="196">
        <f>SUM(I125:I138)</f>
        <v>6420</v>
      </c>
      <c r="J139" s="199"/>
      <c r="K139" s="199"/>
      <c r="L139" s="196">
        <f>SUM(L125:L138)</f>
        <v>73830</v>
      </c>
      <c r="M139" s="200"/>
      <c r="N139" s="196"/>
      <c r="O139" s="196">
        <f>SUM(O125:O138)</f>
        <v>27000</v>
      </c>
      <c r="P139" s="196">
        <f>SUM(P125:P138)</f>
        <v>1890</v>
      </c>
      <c r="Q139" s="196">
        <f t="shared" ref="Q139" si="35">SUM(Q125:Q138)</f>
        <v>28890</v>
      </c>
      <c r="R139" s="36"/>
      <c r="S139" s="37"/>
      <c r="T139" s="37"/>
      <c r="U139" s="38"/>
      <c r="V139" s="38"/>
      <c r="W139" s="38"/>
    </row>
    <row r="140" spans="1:25" ht="27.75" hidden="1" customHeight="1" thickBot="1">
      <c r="A140" s="22"/>
      <c r="B140" s="23" t="s">
        <v>278</v>
      </c>
      <c r="C140" s="24"/>
      <c r="D140" s="25"/>
      <c r="E140" s="26"/>
      <c r="F140" s="27"/>
      <c r="G140" s="28"/>
      <c r="H140" s="28"/>
      <c r="I140" s="28"/>
      <c r="J140" s="29"/>
      <c r="K140" s="30"/>
      <c r="L140" s="31"/>
      <c r="M140" s="32"/>
      <c r="N140" s="33"/>
      <c r="O140" s="34"/>
      <c r="P140" s="34"/>
      <c r="Q140" s="35"/>
      <c r="R140" s="36"/>
      <c r="S140" s="37"/>
      <c r="T140" s="37"/>
      <c r="U140" s="38"/>
      <c r="V140" s="38"/>
      <c r="W140" s="38"/>
    </row>
    <row r="141" spans="1:25" ht="27.75" hidden="1" customHeight="1" thickTop="1">
      <c r="A141" s="22">
        <v>1</v>
      </c>
      <c r="B141" s="270" t="s">
        <v>88</v>
      </c>
      <c r="C141" s="271" t="s">
        <v>279</v>
      </c>
      <c r="D141" s="272"/>
      <c r="E141" s="273"/>
      <c r="F141" s="274"/>
      <c r="G141" s="65">
        <v>0</v>
      </c>
      <c r="H141" s="45">
        <v>0</v>
      </c>
      <c r="I141" s="61">
        <v>0</v>
      </c>
      <c r="J141" s="275"/>
      <c r="K141" s="276"/>
      <c r="L141" s="277"/>
      <c r="M141" s="232"/>
      <c r="N141" s="251"/>
      <c r="O141" s="233">
        <f t="shared" ref="O141:O151" si="36">+(D141*100/107)+G141-(L141*100/107)</f>
        <v>0</v>
      </c>
      <c r="P141" s="233">
        <f t="shared" ref="P141:P151" si="37">ROUND((O141*0.07),2)</f>
        <v>0</v>
      </c>
      <c r="Q141" s="66">
        <f t="shared" ref="Q141:Q151" si="38">+O141+P141</f>
        <v>0</v>
      </c>
      <c r="R141" s="278"/>
      <c r="S141" s="279"/>
      <c r="T141" s="37"/>
      <c r="U141" s="38"/>
      <c r="V141" s="38"/>
      <c r="W141" s="38"/>
    </row>
    <row r="142" spans="1:25" ht="27.75" hidden="1" customHeight="1" thickTop="1">
      <c r="A142" s="22">
        <v>2</v>
      </c>
      <c r="B142" s="280" t="s">
        <v>89</v>
      </c>
      <c r="C142" s="271" t="s">
        <v>279</v>
      </c>
      <c r="D142" s="272"/>
      <c r="E142" s="201"/>
      <c r="F142" s="281"/>
      <c r="G142" s="61">
        <v>0</v>
      </c>
      <c r="H142" s="45">
        <v>0</v>
      </c>
      <c r="I142" s="61">
        <v>0</v>
      </c>
      <c r="J142" s="175"/>
      <c r="K142" s="282"/>
      <c r="L142" s="222"/>
      <c r="M142" s="94"/>
      <c r="N142" s="39"/>
      <c r="O142" s="233">
        <f t="shared" si="36"/>
        <v>0</v>
      </c>
      <c r="P142" s="233">
        <f t="shared" si="37"/>
        <v>0</v>
      </c>
      <c r="Q142" s="66">
        <f t="shared" si="38"/>
        <v>0</v>
      </c>
      <c r="R142" s="278"/>
      <c r="S142" s="279"/>
      <c r="T142" s="37"/>
      <c r="U142" s="38"/>
      <c r="V142" s="38"/>
      <c r="W142" s="38"/>
    </row>
    <row r="143" spans="1:25" ht="27.75" hidden="1" customHeight="1" thickTop="1">
      <c r="A143" s="22">
        <v>3</v>
      </c>
      <c r="B143" s="270" t="s">
        <v>280</v>
      </c>
      <c r="C143" s="271" t="s">
        <v>279</v>
      </c>
      <c r="D143" s="272"/>
      <c r="E143" s="201"/>
      <c r="F143" s="281"/>
      <c r="G143" s="61">
        <v>0</v>
      </c>
      <c r="H143" s="45">
        <v>0</v>
      </c>
      <c r="I143" s="61">
        <v>0</v>
      </c>
      <c r="J143" s="175"/>
      <c r="K143" s="282"/>
      <c r="L143" s="222"/>
      <c r="M143" s="94"/>
      <c r="N143" s="39"/>
      <c r="O143" s="233">
        <f t="shared" si="36"/>
        <v>0</v>
      </c>
      <c r="P143" s="233">
        <f t="shared" si="37"/>
        <v>0</v>
      </c>
      <c r="Q143" s="66">
        <f t="shared" si="38"/>
        <v>0</v>
      </c>
      <c r="R143" s="278"/>
      <c r="S143" s="279"/>
      <c r="T143" s="37"/>
      <c r="U143" s="38"/>
      <c r="V143" s="38"/>
      <c r="W143" s="38"/>
    </row>
    <row r="144" spans="1:25" ht="27.75" hidden="1" customHeight="1" thickTop="1">
      <c r="A144" s="22">
        <v>4</v>
      </c>
      <c r="B144" s="280" t="s">
        <v>96</v>
      </c>
      <c r="C144" s="271" t="s">
        <v>279</v>
      </c>
      <c r="D144" s="272"/>
      <c r="E144" s="201"/>
      <c r="F144" s="281"/>
      <c r="G144" s="61">
        <v>0</v>
      </c>
      <c r="H144" s="45">
        <v>0</v>
      </c>
      <c r="I144" s="61">
        <v>0</v>
      </c>
      <c r="J144" s="175"/>
      <c r="K144" s="282"/>
      <c r="L144" s="222"/>
      <c r="M144" s="94"/>
      <c r="N144" s="39"/>
      <c r="O144" s="233">
        <f t="shared" si="36"/>
        <v>0</v>
      </c>
      <c r="P144" s="233">
        <f t="shared" si="37"/>
        <v>0</v>
      </c>
      <c r="Q144" s="66">
        <f t="shared" si="38"/>
        <v>0</v>
      </c>
      <c r="R144" s="283"/>
      <c r="S144" s="55"/>
      <c r="T144" s="37"/>
      <c r="U144" s="38"/>
      <c r="V144" s="38"/>
      <c r="W144" s="38"/>
    </row>
    <row r="145" spans="1:24" ht="27.75" hidden="1" customHeight="1" thickTop="1">
      <c r="A145" s="22">
        <v>5</v>
      </c>
      <c r="B145" s="280" t="s">
        <v>281</v>
      </c>
      <c r="C145" s="271" t="s">
        <v>279</v>
      </c>
      <c r="D145" s="272">
        <v>0</v>
      </c>
      <c r="E145" s="201"/>
      <c r="F145" s="281"/>
      <c r="G145" s="61">
        <v>0</v>
      </c>
      <c r="H145" s="45">
        <v>0</v>
      </c>
      <c r="I145" s="61">
        <v>0</v>
      </c>
      <c r="J145" s="175"/>
      <c r="K145" s="282"/>
      <c r="L145" s="222"/>
      <c r="M145" s="94"/>
      <c r="N145" s="39"/>
      <c r="O145" s="233">
        <f t="shared" si="36"/>
        <v>0</v>
      </c>
      <c r="P145" s="233">
        <f t="shared" si="37"/>
        <v>0</v>
      </c>
      <c r="Q145" s="66">
        <f t="shared" si="38"/>
        <v>0</v>
      </c>
      <c r="R145" s="283"/>
      <c r="S145" s="55"/>
      <c r="T145" s="37"/>
      <c r="U145" s="38"/>
      <c r="V145" s="38"/>
      <c r="W145" s="38"/>
    </row>
    <row r="146" spans="1:24" ht="27.75" hidden="1" customHeight="1" thickTop="1">
      <c r="A146" s="22">
        <v>6</v>
      </c>
      <c r="B146" s="280" t="s">
        <v>282</v>
      </c>
      <c r="C146" s="271" t="s">
        <v>279</v>
      </c>
      <c r="D146" s="272"/>
      <c r="E146" s="201"/>
      <c r="F146" s="281"/>
      <c r="G146" s="61">
        <v>0</v>
      </c>
      <c r="H146" s="45">
        <v>0</v>
      </c>
      <c r="I146" s="61">
        <v>0</v>
      </c>
      <c r="J146" s="175"/>
      <c r="K146" s="282"/>
      <c r="L146" s="222"/>
      <c r="M146" s="94"/>
      <c r="N146" s="39"/>
      <c r="O146" s="233">
        <f t="shared" si="36"/>
        <v>0</v>
      </c>
      <c r="P146" s="233">
        <f t="shared" si="37"/>
        <v>0</v>
      </c>
      <c r="Q146" s="66">
        <f t="shared" si="38"/>
        <v>0</v>
      </c>
      <c r="R146" s="283"/>
      <c r="S146" s="37"/>
      <c r="T146" s="37"/>
      <c r="U146" s="38"/>
      <c r="V146" s="38"/>
      <c r="W146" s="38"/>
    </row>
    <row r="147" spans="1:24" ht="27.75" hidden="1" customHeight="1" thickTop="1">
      <c r="A147" s="22">
        <v>7</v>
      </c>
      <c r="B147" s="280" t="s">
        <v>92</v>
      </c>
      <c r="C147" s="271" t="s">
        <v>279</v>
      </c>
      <c r="D147" s="272"/>
      <c r="E147" s="201"/>
      <c r="F147" s="281"/>
      <c r="G147" s="61">
        <v>0</v>
      </c>
      <c r="H147" s="45">
        <v>0</v>
      </c>
      <c r="I147" s="61">
        <v>0</v>
      </c>
      <c r="J147" s="175"/>
      <c r="K147" s="282"/>
      <c r="L147" s="222"/>
      <c r="M147" s="94"/>
      <c r="N147" s="39"/>
      <c r="O147" s="233">
        <f t="shared" si="36"/>
        <v>0</v>
      </c>
      <c r="P147" s="233">
        <f t="shared" si="37"/>
        <v>0</v>
      </c>
      <c r="Q147" s="66">
        <f t="shared" si="38"/>
        <v>0</v>
      </c>
      <c r="R147" s="283"/>
      <c r="S147" s="37"/>
      <c r="T147" s="37"/>
      <c r="U147" s="38"/>
      <c r="V147" s="38"/>
      <c r="W147" s="38"/>
    </row>
    <row r="148" spans="1:24" ht="27.75" hidden="1" customHeight="1" thickTop="1">
      <c r="A148" s="22">
        <v>8</v>
      </c>
      <c r="B148" s="280" t="s">
        <v>91</v>
      </c>
      <c r="C148" s="271" t="s">
        <v>279</v>
      </c>
      <c r="D148" s="284"/>
      <c r="E148" s="201"/>
      <c r="F148" s="281"/>
      <c r="G148" s="61">
        <v>0</v>
      </c>
      <c r="H148" s="45">
        <v>0</v>
      </c>
      <c r="I148" s="61">
        <v>0</v>
      </c>
      <c r="J148" s="175"/>
      <c r="K148" s="282"/>
      <c r="L148" s="222"/>
      <c r="M148" s="94"/>
      <c r="N148" s="39"/>
      <c r="O148" s="233">
        <f t="shared" si="36"/>
        <v>0</v>
      </c>
      <c r="P148" s="233">
        <f t="shared" si="37"/>
        <v>0</v>
      </c>
      <c r="Q148" s="66">
        <f t="shared" si="38"/>
        <v>0</v>
      </c>
      <c r="R148" s="283"/>
      <c r="S148" s="37"/>
      <c r="T148" s="37"/>
      <c r="U148" s="38"/>
      <c r="V148" s="38"/>
      <c r="W148" s="38"/>
    </row>
    <row r="149" spans="1:24" ht="27.75" hidden="1" customHeight="1" thickTop="1">
      <c r="A149" s="22">
        <v>9</v>
      </c>
      <c r="B149" s="280" t="s">
        <v>236</v>
      </c>
      <c r="C149" s="271" t="s">
        <v>279</v>
      </c>
      <c r="D149" s="272">
        <v>0</v>
      </c>
      <c r="E149" s="201"/>
      <c r="F149" s="281"/>
      <c r="G149" s="61">
        <v>0</v>
      </c>
      <c r="H149" s="45">
        <v>0</v>
      </c>
      <c r="I149" s="61">
        <v>0</v>
      </c>
      <c r="J149" s="175"/>
      <c r="K149" s="282"/>
      <c r="L149" s="222"/>
      <c r="M149" s="94"/>
      <c r="N149" s="39"/>
      <c r="O149" s="233">
        <f t="shared" si="36"/>
        <v>0</v>
      </c>
      <c r="P149" s="233">
        <f t="shared" si="37"/>
        <v>0</v>
      </c>
      <c r="Q149" s="66">
        <f t="shared" si="38"/>
        <v>0</v>
      </c>
      <c r="R149" s="283"/>
      <c r="S149" s="37"/>
      <c r="T149" s="37"/>
      <c r="U149" s="38"/>
      <c r="V149" s="38"/>
      <c r="W149" s="38"/>
    </row>
    <row r="150" spans="1:24" ht="27.75" hidden="1" customHeight="1" thickTop="1">
      <c r="A150" s="22">
        <v>10</v>
      </c>
      <c r="B150" s="280" t="s">
        <v>94</v>
      </c>
      <c r="C150" s="280" t="s">
        <v>279</v>
      </c>
      <c r="D150" s="284"/>
      <c r="E150" s="201"/>
      <c r="F150" s="281"/>
      <c r="G150" s="61">
        <v>0</v>
      </c>
      <c r="H150" s="45">
        <v>0</v>
      </c>
      <c r="I150" s="61">
        <v>0</v>
      </c>
      <c r="J150" s="175"/>
      <c r="K150" s="282"/>
      <c r="L150" s="222"/>
      <c r="M150" s="94"/>
      <c r="N150" s="39"/>
      <c r="O150" s="233">
        <f t="shared" si="36"/>
        <v>0</v>
      </c>
      <c r="P150" s="233">
        <f t="shared" si="37"/>
        <v>0</v>
      </c>
      <c r="Q150" s="66">
        <f t="shared" si="38"/>
        <v>0</v>
      </c>
      <c r="R150" s="36"/>
      <c r="S150" s="37"/>
      <c r="T150" s="37"/>
      <c r="U150" s="38"/>
      <c r="V150" s="38"/>
      <c r="W150" s="38"/>
    </row>
    <row r="151" spans="1:24" ht="27.75" hidden="1" customHeight="1" thickTop="1">
      <c r="A151" s="22">
        <v>11</v>
      </c>
      <c r="B151" s="270"/>
      <c r="C151" s="285"/>
      <c r="D151" s="286"/>
      <c r="E151" s="273"/>
      <c r="F151" s="274"/>
      <c r="G151" s="65">
        <v>0</v>
      </c>
      <c r="H151" s="45">
        <v>0</v>
      </c>
      <c r="I151" s="61">
        <v>0</v>
      </c>
      <c r="J151" s="275"/>
      <c r="K151" s="276"/>
      <c r="L151" s="277"/>
      <c r="M151" s="232"/>
      <c r="N151" s="251"/>
      <c r="O151" s="233">
        <f t="shared" si="36"/>
        <v>0</v>
      </c>
      <c r="P151" s="233">
        <f t="shared" si="37"/>
        <v>0</v>
      </c>
      <c r="Q151" s="66">
        <f t="shared" si="38"/>
        <v>0</v>
      </c>
      <c r="R151" s="36"/>
      <c r="S151" s="37"/>
      <c r="T151" s="37"/>
      <c r="U151" s="38"/>
      <c r="V151" s="38"/>
      <c r="W151" s="38"/>
    </row>
    <row r="152" spans="1:24" ht="27.75" hidden="1" customHeight="1" thickTop="1">
      <c r="A152" s="22"/>
      <c r="B152" s="131" t="s">
        <v>22</v>
      </c>
      <c r="C152" s="132"/>
      <c r="D152" s="133">
        <f>SUM(D141:D151)</f>
        <v>0</v>
      </c>
      <c r="E152" s="134"/>
      <c r="F152" s="135"/>
      <c r="G152" s="136">
        <f>SUM(G141:G151)</f>
        <v>0</v>
      </c>
      <c r="H152" s="136">
        <f t="shared" ref="H152:I152" si="39">SUM(H141:H151)</f>
        <v>0</v>
      </c>
      <c r="I152" s="136">
        <f t="shared" si="39"/>
        <v>0</v>
      </c>
      <c r="J152" s="287"/>
      <c r="K152" s="137"/>
      <c r="L152" s="138">
        <f>SUM(L145:L151)</f>
        <v>0</v>
      </c>
      <c r="M152" s="139"/>
      <c r="N152" s="133"/>
      <c r="O152" s="136">
        <f>SUM(O141:O151)</f>
        <v>0</v>
      </c>
      <c r="P152" s="136">
        <f t="shared" ref="P152:Q152" si="40">SUM(P141:P151)</f>
        <v>0</v>
      </c>
      <c r="Q152" s="136">
        <f t="shared" si="40"/>
        <v>0</v>
      </c>
      <c r="R152" s="36"/>
      <c r="S152" s="37"/>
      <c r="T152" s="37"/>
      <c r="U152" s="38"/>
      <c r="V152" s="38"/>
      <c r="W152" s="38"/>
    </row>
    <row r="153" spans="1:24" ht="27.75" customHeight="1" thickTop="1">
      <c r="A153" s="22"/>
      <c r="B153" s="288" t="s">
        <v>283</v>
      </c>
      <c r="C153" s="289"/>
      <c r="D153" s="272"/>
      <c r="E153" s="201"/>
      <c r="F153" s="281"/>
      <c r="G153" s="290"/>
      <c r="H153" s="290"/>
      <c r="I153" s="290"/>
      <c r="J153" s="291"/>
      <c r="K153" s="292"/>
      <c r="L153" s="222"/>
      <c r="M153" s="94"/>
      <c r="N153" s="39"/>
      <c r="O153" s="293"/>
      <c r="P153" s="293"/>
      <c r="Q153" s="294"/>
      <c r="R153" s="36"/>
      <c r="S153" s="37"/>
      <c r="T153" s="37"/>
      <c r="U153" s="38"/>
      <c r="V153" s="38"/>
      <c r="W153" s="295"/>
    </row>
    <row r="154" spans="1:24" ht="27.75" customHeight="1">
      <c r="A154" s="94">
        <v>1</v>
      </c>
      <c r="B154" s="205" t="s">
        <v>192</v>
      </c>
      <c r="C154" s="206" t="s">
        <v>284</v>
      </c>
      <c r="D154" s="296">
        <v>66660</v>
      </c>
      <c r="E154" s="64"/>
      <c r="F154" s="44"/>
      <c r="G154" s="45">
        <v>0</v>
      </c>
      <c r="H154" s="45">
        <v>0</v>
      </c>
      <c r="I154" s="66">
        <v>0</v>
      </c>
      <c r="J154" s="183">
        <v>45996</v>
      </c>
      <c r="K154" s="184" t="s">
        <v>783</v>
      </c>
      <c r="L154" s="231">
        <v>66660</v>
      </c>
      <c r="M154" s="186"/>
      <c r="N154" s="116"/>
      <c r="O154" s="233">
        <f>SUM(D154+G154-L154)</f>
        <v>0</v>
      </c>
      <c r="P154" s="233">
        <v>0</v>
      </c>
      <c r="Q154" s="66">
        <f>SUM(D154+I154-L154)</f>
        <v>0</v>
      </c>
      <c r="R154" s="297" t="s">
        <v>287</v>
      </c>
      <c r="S154" s="298">
        <v>44682</v>
      </c>
      <c r="T154" s="299">
        <v>45565</v>
      </c>
      <c r="U154" s="56">
        <v>347760</v>
      </c>
      <c r="V154" s="56" t="s">
        <v>288</v>
      </c>
      <c r="W154" s="295" t="s">
        <v>289</v>
      </c>
      <c r="X154" s="4" t="s">
        <v>290</v>
      </c>
    </row>
    <row r="155" spans="1:24" ht="27.75" customHeight="1">
      <c r="A155" s="83"/>
      <c r="B155" s="208" t="s">
        <v>291</v>
      </c>
      <c r="C155" s="209"/>
      <c r="D155" s="300"/>
      <c r="E155" s="211"/>
      <c r="F155" s="212"/>
      <c r="G155" s="213"/>
      <c r="H155" s="213"/>
      <c r="I155" s="214"/>
      <c r="J155" s="301"/>
      <c r="K155" s="302"/>
      <c r="L155" s="303"/>
      <c r="M155" s="304"/>
      <c r="N155" s="217"/>
      <c r="O155" s="305"/>
      <c r="P155" s="305"/>
      <c r="Q155" s="214"/>
      <c r="R155" s="306"/>
      <c r="S155" s="307"/>
      <c r="T155" s="37"/>
      <c r="U155" s="38"/>
      <c r="V155" s="38"/>
    </row>
    <row r="156" spans="1:24" ht="27.75" customHeight="1" thickBot="1">
      <c r="A156" s="193"/>
      <c r="B156" s="308" t="s">
        <v>22</v>
      </c>
      <c r="C156" s="309"/>
      <c r="D156" s="310">
        <f>SUM(D154:D155)</f>
        <v>66660</v>
      </c>
      <c r="E156" s="311"/>
      <c r="F156" s="312"/>
      <c r="G156" s="313">
        <f>SUM(G154:G155)</f>
        <v>0</v>
      </c>
      <c r="H156" s="313">
        <v>0</v>
      </c>
      <c r="I156" s="313">
        <f>SUM(I154)</f>
        <v>0</v>
      </c>
      <c r="J156" s="314"/>
      <c r="K156" s="314"/>
      <c r="L156" s="310">
        <f>SUM(L154:L155)</f>
        <v>66660</v>
      </c>
      <c r="M156" s="315"/>
      <c r="N156" s="310"/>
      <c r="O156" s="198">
        <f>SUM(O154:O155)-O154</f>
        <v>0</v>
      </c>
      <c r="P156" s="198">
        <f t="shared" ref="P156:Q156" si="41">SUM(P154:P155)-P154</f>
        <v>0</v>
      </c>
      <c r="Q156" s="198">
        <f t="shared" si="41"/>
        <v>0</v>
      </c>
      <c r="R156" s="36"/>
      <c r="S156" s="37"/>
      <c r="T156" s="37"/>
      <c r="U156" s="38"/>
      <c r="V156" s="38"/>
      <c r="W156" s="38"/>
    </row>
    <row r="157" spans="1:24" ht="27.75" customHeight="1" thickTop="1">
      <c r="A157" s="22"/>
      <c r="B157" s="23" t="s">
        <v>292</v>
      </c>
      <c r="C157" s="24"/>
      <c r="D157" s="25"/>
      <c r="E157" s="26"/>
      <c r="F157" s="27"/>
      <c r="G157" s="28"/>
      <c r="H157" s="28"/>
      <c r="I157" s="28"/>
      <c r="J157" s="29"/>
      <c r="K157" s="30"/>
      <c r="L157" s="31"/>
      <c r="M157" s="32"/>
      <c r="N157" s="33"/>
      <c r="O157" s="34"/>
      <c r="P157" s="34"/>
      <c r="Q157" s="35"/>
      <c r="R157" s="36"/>
      <c r="S157" s="37"/>
      <c r="T157" s="37"/>
      <c r="U157" s="38"/>
      <c r="V157" s="38"/>
      <c r="W157" s="38"/>
    </row>
    <row r="158" spans="1:24" ht="27.75" customHeight="1">
      <c r="A158" s="316">
        <v>1</v>
      </c>
      <c r="B158" s="280" t="s">
        <v>249</v>
      </c>
      <c r="C158" s="280" t="s">
        <v>250</v>
      </c>
      <c r="D158" s="272">
        <v>288.89999999999998</v>
      </c>
      <c r="E158" s="201"/>
      <c r="F158" s="281"/>
      <c r="G158" s="61">
        <v>0</v>
      </c>
      <c r="H158" s="61">
        <v>0</v>
      </c>
      <c r="I158" s="61">
        <v>0</v>
      </c>
      <c r="J158" s="317">
        <v>46022</v>
      </c>
      <c r="K158" s="318" t="s">
        <v>784</v>
      </c>
      <c r="L158" s="319">
        <v>288.89999999999998</v>
      </c>
      <c r="M158" s="320" t="s">
        <v>45</v>
      </c>
      <c r="N158" s="39">
        <v>0</v>
      </c>
      <c r="O158" s="233">
        <f t="shared" ref="O158:O165" si="42">+(D158*100/107)+G158-(L158*100/107)</f>
        <v>0</v>
      </c>
      <c r="P158" s="233">
        <f t="shared" ref="P158:P165" si="43">ROUND((O158*0.07),2)</f>
        <v>0</v>
      </c>
      <c r="Q158" s="66">
        <f t="shared" ref="Q158:Q165" si="44">+O158+P158</f>
        <v>0</v>
      </c>
      <c r="R158" s="36"/>
      <c r="S158" s="37"/>
      <c r="T158" s="37"/>
      <c r="U158" s="38"/>
      <c r="V158" s="38"/>
      <c r="W158" s="38"/>
    </row>
    <row r="159" spans="1:24" ht="27.75" customHeight="1">
      <c r="A159" s="316">
        <v>2</v>
      </c>
      <c r="B159" s="280" t="s">
        <v>294</v>
      </c>
      <c r="C159" s="280" t="s">
        <v>255</v>
      </c>
      <c r="D159" s="272">
        <v>32.1</v>
      </c>
      <c r="E159" s="201"/>
      <c r="F159" s="281"/>
      <c r="G159" s="61">
        <v>0</v>
      </c>
      <c r="H159" s="61">
        <v>0</v>
      </c>
      <c r="I159" s="61">
        <v>0</v>
      </c>
      <c r="J159" s="321"/>
      <c r="K159" s="322"/>
      <c r="L159" s="323"/>
      <c r="M159" s="320" t="s">
        <v>634</v>
      </c>
      <c r="N159" s="39">
        <v>1</v>
      </c>
      <c r="O159" s="233">
        <f t="shared" si="42"/>
        <v>30</v>
      </c>
      <c r="P159" s="233">
        <f t="shared" si="43"/>
        <v>2.1</v>
      </c>
      <c r="Q159" s="66">
        <f t="shared" si="44"/>
        <v>32.1</v>
      </c>
      <c r="R159" s="36"/>
      <c r="S159" s="37"/>
      <c r="T159" s="37"/>
      <c r="U159" s="38"/>
      <c r="V159" s="38"/>
      <c r="W159" s="38"/>
    </row>
    <row r="160" spans="1:24" ht="27.75" customHeight="1">
      <c r="A160" s="316">
        <v>3</v>
      </c>
      <c r="B160" s="270" t="s">
        <v>295</v>
      </c>
      <c r="C160" s="285" t="s">
        <v>255</v>
      </c>
      <c r="D160" s="284">
        <v>0</v>
      </c>
      <c r="E160" s="273"/>
      <c r="F160" s="274"/>
      <c r="G160" s="61">
        <v>0</v>
      </c>
      <c r="H160" s="61">
        <v>0</v>
      </c>
      <c r="I160" s="61">
        <v>0</v>
      </c>
      <c r="J160" s="321"/>
      <c r="K160" s="322"/>
      <c r="L160" s="323"/>
      <c r="M160" s="320" t="s">
        <v>45</v>
      </c>
      <c r="N160" s="251">
        <v>0</v>
      </c>
      <c r="O160" s="233">
        <f t="shared" si="42"/>
        <v>0</v>
      </c>
      <c r="P160" s="233">
        <f t="shared" si="43"/>
        <v>0</v>
      </c>
      <c r="Q160" s="66">
        <f t="shared" si="44"/>
        <v>0</v>
      </c>
      <c r="R160" s="36"/>
      <c r="S160" s="37"/>
      <c r="T160" s="37"/>
      <c r="U160" s="38"/>
      <c r="V160" s="38"/>
      <c r="W160" s="38"/>
    </row>
    <row r="161" spans="1:24" ht="27.75" customHeight="1">
      <c r="A161" s="22">
        <v>4</v>
      </c>
      <c r="B161" s="270" t="s">
        <v>296</v>
      </c>
      <c r="C161" s="270" t="s">
        <v>262</v>
      </c>
      <c r="D161" s="284">
        <v>0</v>
      </c>
      <c r="E161" s="273"/>
      <c r="F161" s="274"/>
      <c r="G161" s="65"/>
      <c r="H161" s="65"/>
      <c r="I161" s="65"/>
      <c r="J161" s="324"/>
      <c r="K161" s="325"/>
      <c r="L161" s="326"/>
      <c r="M161" s="327" t="s">
        <v>45</v>
      </c>
      <c r="N161" s="251">
        <v>0</v>
      </c>
      <c r="O161" s="233"/>
      <c r="P161" s="233"/>
      <c r="Q161" s="66"/>
      <c r="R161" s="36"/>
      <c r="S161" s="37"/>
      <c r="T161" s="37"/>
      <c r="U161" s="38"/>
      <c r="V161" s="38"/>
      <c r="W161" s="38"/>
    </row>
    <row r="162" spans="1:24" ht="27.75" customHeight="1">
      <c r="A162" s="22">
        <v>5</v>
      </c>
      <c r="B162" s="270" t="s">
        <v>298</v>
      </c>
      <c r="C162" s="270" t="s">
        <v>199</v>
      </c>
      <c r="D162" s="284">
        <v>42.8</v>
      </c>
      <c r="E162" s="273"/>
      <c r="F162" s="274"/>
      <c r="G162" s="65">
        <v>0</v>
      </c>
      <c r="H162" s="65">
        <v>0</v>
      </c>
      <c r="I162" s="65">
        <v>0</v>
      </c>
      <c r="J162" s="328"/>
      <c r="K162" s="329"/>
      <c r="L162" s="330"/>
      <c r="M162" s="327" t="s">
        <v>634</v>
      </c>
      <c r="N162" s="251">
        <v>1</v>
      </c>
      <c r="O162" s="233">
        <f t="shared" si="42"/>
        <v>40</v>
      </c>
      <c r="P162" s="233">
        <f t="shared" si="43"/>
        <v>2.8</v>
      </c>
      <c r="Q162" s="66">
        <f t="shared" si="44"/>
        <v>42.8</v>
      </c>
      <c r="R162" s="36"/>
      <c r="S162" s="37"/>
      <c r="T162" s="37"/>
      <c r="U162" s="38"/>
      <c r="V162" s="38"/>
      <c r="W162" s="38"/>
    </row>
    <row r="163" spans="1:24" ht="27.75" customHeight="1">
      <c r="A163" s="22">
        <v>6</v>
      </c>
      <c r="B163" s="270" t="s">
        <v>156</v>
      </c>
      <c r="C163" s="270" t="s">
        <v>208</v>
      </c>
      <c r="D163" s="284">
        <v>107</v>
      </c>
      <c r="E163" s="273"/>
      <c r="F163" s="274"/>
      <c r="G163" s="65">
        <v>0</v>
      </c>
      <c r="H163" s="65">
        <v>0</v>
      </c>
      <c r="I163" s="65">
        <v>0</v>
      </c>
      <c r="J163" s="328">
        <v>45992</v>
      </c>
      <c r="K163" s="329" t="s">
        <v>785</v>
      </c>
      <c r="L163" s="330">
        <v>107</v>
      </c>
      <c r="M163" s="327" t="s">
        <v>45</v>
      </c>
      <c r="N163" s="251">
        <v>0</v>
      </c>
      <c r="O163" s="233">
        <f t="shared" si="42"/>
        <v>0</v>
      </c>
      <c r="P163" s="233">
        <f t="shared" si="43"/>
        <v>0</v>
      </c>
      <c r="Q163" s="66">
        <f t="shared" si="44"/>
        <v>0</v>
      </c>
      <c r="R163" s="36"/>
      <c r="S163" s="37"/>
      <c r="T163" s="37"/>
      <c r="U163" s="38"/>
      <c r="V163" s="38"/>
      <c r="W163" s="38"/>
    </row>
    <row r="164" spans="1:24" ht="27.75" customHeight="1">
      <c r="A164" s="22">
        <v>7</v>
      </c>
      <c r="B164" s="270" t="s">
        <v>273</v>
      </c>
      <c r="C164" s="270" t="s">
        <v>211</v>
      </c>
      <c r="D164" s="284">
        <v>53.5</v>
      </c>
      <c r="E164" s="273"/>
      <c r="F164" s="274"/>
      <c r="G164" s="65">
        <v>0</v>
      </c>
      <c r="H164" s="65">
        <v>0</v>
      </c>
      <c r="I164" s="65">
        <v>0</v>
      </c>
      <c r="J164" s="328">
        <v>46000</v>
      </c>
      <c r="K164" s="329" t="s">
        <v>786</v>
      </c>
      <c r="L164" s="330">
        <v>53.5</v>
      </c>
      <c r="M164" s="327" t="s">
        <v>45</v>
      </c>
      <c r="N164" s="251">
        <v>0</v>
      </c>
      <c r="O164" s="233">
        <f t="shared" si="42"/>
        <v>0</v>
      </c>
      <c r="P164" s="233">
        <f t="shared" si="43"/>
        <v>0</v>
      </c>
      <c r="Q164" s="66">
        <f t="shared" si="44"/>
        <v>0</v>
      </c>
      <c r="R164" s="36"/>
      <c r="S164" s="37"/>
      <c r="T164" s="37"/>
      <c r="U164" s="38"/>
      <c r="V164" s="38"/>
      <c r="W164" s="38"/>
    </row>
    <row r="165" spans="1:24" ht="27.75" customHeight="1">
      <c r="A165" s="22">
        <v>8</v>
      </c>
      <c r="B165" s="270" t="s">
        <v>92</v>
      </c>
      <c r="C165" s="270" t="s">
        <v>302</v>
      </c>
      <c r="D165" s="284">
        <v>214</v>
      </c>
      <c r="E165" s="273"/>
      <c r="F165" s="274"/>
      <c r="G165" s="65">
        <v>0</v>
      </c>
      <c r="H165" s="65">
        <v>0</v>
      </c>
      <c r="I165" s="65">
        <v>0</v>
      </c>
      <c r="J165" s="331">
        <v>46017</v>
      </c>
      <c r="K165" s="332" t="s">
        <v>787</v>
      </c>
      <c r="L165" s="333">
        <v>214</v>
      </c>
      <c r="M165" s="327" t="s">
        <v>45</v>
      </c>
      <c r="N165" s="251">
        <v>0</v>
      </c>
      <c r="O165" s="233">
        <f t="shared" si="42"/>
        <v>0</v>
      </c>
      <c r="P165" s="233">
        <f t="shared" si="43"/>
        <v>0</v>
      </c>
      <c r="Q165" s="66">
        <f t="shared" si="44"/>
        <v>0</v>
      </c>
      <c r="R165" s="36"/>
      <c r="S165" s="37"/>
      <c r="T165" s="37"/>
      <c r="U165" s="38"/>
      <c r="V165" s="38"/>
      <c r="W165" s="38"/>
    </row>
    <row r="166" spans="1:24" ht="27.75" customHeight="1">
      <c r="A166" s="22"/>
      <c r="B166" s="270"/>
      <c r="C166" s="270"/>
      <c r="D166" s="284"/>
      <c r="E166" s="273"/>
      <c r="F166" s="274"/>
      <c r="G166" s="65"/>
      <c r="H166" s="65"/>
      <c r="I166" s="65"/>
      <c r="J166" s="334"/>
      <c r="K166" s="335"/>
      <c r="L166" s="336"/>
      <c r="M166" s="327"/>
      <c r="N166" s="251"/>
      <c r="O166" s="337"/>
      <c r="P166" s="337"/>
      <c r="Q166" s="229"/>
      <c r="R166" s="36"/>
      <c r="S166" s="37"/>
      <c r="T166" s="37"/>
      <c r="U166" s="38"/>
      <c r="V166" s="38"/>
      <c r="W166" s="38"/>
    </row>
    <row r="167" spans="1:24" ht="27.75" customHeight="1" thickBot="1">
      <c r="A167" s="193"/>
      <c r="B167" s="194"/>
      <c r="C167" s="195"/>
      <c r="D167" s="196">
        <f>SUM(D158:D165)</f>
        <v>738.3</v>
      </c>
      <c r="E167" s="221"/>
      <c r="F167" s="197"/>
      <c r="G167" s="198">
        <f>SUM(G158:G166)</f>
        <v>0</v>
      </c>
      <c r="H167" s="198">
        <f t="shared" ref="H167:I167" si="45">SUM(H158:H166)</f>
        <v>0</v>
      </c>
      <c r="I167" s="198">
        <f t="shared" si="45"/>
        <v>0</v>
      </c>
      <c r="J167" s="338"/>
      <c r="K167" s="199"/>
      <c r="L167" s="196">
        <f>SUM(L158:L165)</f>
        <v>663.4</v>
      </c>
      <c r="M167" s="200"/>
      <c r="N167" s="196"/>
      <c r="O167" s="198">
        <f>SUM(O158:O165)</f>
        <v>70</v>
      </c>
      <c r="P167" s="198">
        <f t="shared" ref="P167:Q167" si="46">SUM(P158:P165)</f>
        <v>4.9000000000000004</v>
      </c>
      <c r="Q167" s="198">
        <f t="shared" si="46"/>
        <v>74.900000000000006</v>
      </c>
      <c r="R167" s="36"/>
      <c r="S167" s="37"/>
      <c r="T167" s="37"/>
      <c r="U167" s="38"/>
      <c r="V167" s="38"/>
      <c r="W167" s="38"/>
    </row>
    <row r="168" spans="1:24" ht="27.75" customHeight="1" thickTop="1">
      <c r="A168" s="22"/>
      <c r="B168" s="288" t="s">
        <v>304</v>
      </c>
      <c r="C168" s="289"/>
      <c r="D168" s="272"/>
      <c r="E168" s="201"/>
      <c r="F168" s="281"/>
      <c r="G168" s="290"/>
      <c r="H168" s="290"/>
      <c r="I168" s="290"/>
      <c r="J168" s="291"/>
      <c r="K168" s="292"/>
      <c r="L168" s="222"/>
      <c r="M168" s="94"/>
      <c r="N168" s="39"/>
      <c r="O168" s="293"/>
      <c r="P168" s="293"/>
      <c r="Q168" s="294"/>
      <c r="R168" s="36"/>
      <c r="S168" s="37"/>
      <c r="T168" s="37"/>
      <c r="U168" s="38"/>
      <c r="V168" s="38"/>
      <c r="W168" s="38"/>
    </row>
    <row r="169" spans="1:24" ht="27.75" customHeight="1">
      <c r="A169" s="339"/>
      <c r="B169" s="340" t="s">
        <v>305</v>
      </c>
      <c r="C169" s="289"/>
      <c r="D169" s="272"/>
      <c r="E169" s="201"/>
      <c r="F169" s="341"/>
      <c r="G169" s="187"/>
      <c r="H169" s="187"/>
      <c r="I169" s="290"/>
      <c r="J169" s="342"/>
      <c r="K169" s="343"/>
      <c r="L169" s="264"/>
      <c r="M169" s="94"/>
      <c r="N169" s="116"/>
      <c r="O169" s="344"/>
      <c r="P169" s="344"/>
      <c r="Q169" s="294"/>
      <c r="R169" s="36"/>
      <c r="S169" s="37"/>
      <c r="T169" s="37"/>
      <c r="U169" s="38"/>
      <c r="V169" s="38"/>
      <c r="W169" s="345"/>
    </row>
    <row r="170" spans="1:24" ht="27.75" customHeight="1">
      <c r="A170" s="186">
        <v>1</v>
      </c>
      <c r="B170" s="205" t="s">
        <v>24</v>
      </c>
      <c r="C170" s="346" t="s">
        <v>25</v>
      </c>
      <c r="D170" s="141">
        <v>1410</v>
      </c>
      <c r="E170" s="43" t="s">
        <v>45</v>
      </c>
      <c r="F170" s="44">
        <v>0</v>
      </c>
      <c r="G170" s="45">
        <v>0</v>
      </c>
      <c r="H170" s="45"/>
      <c r="I170" s="47">
        <v>0</v>
      </c>
      <c r="J170" s="113">
        <v>45992</v>
      </c>
      <c r="K170" s="114" t="s">
        <v>788</v>
      </c>
      <c r="L170" s="347">
        <v>1410</v>
      </c>
      <c r="M170" s="94" t="s">
        <v>45</v>
      </c>
      <c r="N170" s="116">
        <v>0</v>
      </c>
      <c r="O170" s="233">
        <f t="shared" ref="O170:O220" si="47">+I170+D170-L170</f>
        <v>0</v>
      </c>
      <c r="P170" s="233"/>
      <c r="Q170" s="47">
        <f t="shared" ref="Q170:Q220" si="48">+O170+P170</f>
        <v>0</v>
      </c>
      <c r="R170" s="348" t="s">
        <v>195</v>
      </c>
      <c r="S170" s="299" t="s">
        <v>307</v>
      </c>
      <c r="T170" s="299" t="s">
        <v>308</v>
      </c>
      <c r="U170" s="56">
        <v>3660</v>
      </c>
      <c r="V170" s="349" t="s">
        <v>309</v>
      </c>
      <c r="W170" s="295" t="s">
        <v>289</v>
      </c>
      <c r="X170" s="4" t="s">
        <v>310</v>
      </c>
    </row>
    <row r="171" spans="1:24" ht="27.75" customHeight="1">
      <c r="A171" s="186">
        <v>2</v>
      </c>
      <c r="B171" s="205" t="s">
        <v>28</v>
      </c>
      <c r="C171" s="346" t="s">
        <v>311</v>
      </c>
      <c r="D171" s="141">
        <v>1410</v>
      </c>
      <c r="E171" s="43" t="s">
        <v>45</v>
      </c>
      <c r="F171" s="44">
        <v>0</v>
      </c>
      <c r="G171" s="45">
        <v>0</v>
      </c>
      <c r="H171" s="45"/>
      <c r="I171" s="47">
        <v>0</v>
      </c>
      <c r="J171" s="113" t="s">
        <v>808</v>
      </c>
      <c r="K171" s="114" t="s">
        <v>815</v>
      </c>
      <c r="L171" s="347">
        <v>2820</v>
      </c>
      <c r="M171" s="94" t="s">
        <v>801</v>
      </c>
      <c r="N171" s="116">
        <v>-1</v>
      </c>
      <c r="O171" s="233">
        <f t="shared" si="47"/>
        <v>-1410</v>
      </c>
      <c r="P171" s="233"/>
      <c r="Q171" s="47">
        <f t="shared" si="48"/>
        <v>-1410</v>
      </c>
      <c r="R171" s="348" t="s">
        <v>195</v>
      </c>
      <c r="S171" s="299" t="s">
        <v>307</v>
      </c>
      <c r="T171" s="299" t="s">
        <v>308</v>
      </c>
      <c r="U171" s="56">
        <v>36600</v>
      </c>
      <c r="V171" s="349" t="s">
        <v>313</v>
      </c>
      <c r="W171" s="4" t="s">
        <v>314</v>
      </c>
      <c r="X171" s="295" t="s">
        <v>289</v>
      </c>
    </row>
    <row r="172" spans="1:24" ht="27.75" customHeight="1">
      <c r="A172" s="186">
        <v>3</v>
      </c>
      <c r="B172" s="205" t="s">
        <v>28</v>
      </c>
      <c r="C172" s="346" t="s">
        <v>315</v>
      </c>
      <c r="D172" s="141">
        <v>1410</v>
      </c>
      <c r="E172" s="43" t="s">
        <v>45</v>
      </c>
      <c r="F172" s="44">
        <v>0</v>
      </c>
      <c r="G172" s="45">
        <v>0</v>
      </c>
      <c r="H172" s="45"/>
      <c r="I172" s="47">
        <v>0</v>
      </c>
      <c r="J172" s="113" t="s">
        <v>808</v>
      </c>
      <c r="K172" s="114" t="s">
        <v>815</v>
      </c>
      <c r="L172" s="347">
        <v>2820</v>
      </c>
      <c r="M172" s="94" t="s">
        <v>801</v>
      </c>
      <c r="N172" s="116">
        <v>-1</v>
      </c>
      <c r="O172" s="233">
        <f t="shared" si="47"/>
        <v>-1410</v>
      </c>
      <c r="P172" s="233"/>
      <c r="Q172" s="47">
        <f t="shared" si="48"/>
        <v>-1410</v>
      </c>
      <c r="R172" s="348"/>
      <c r="S172" s="299"/>
      <c r="T172" s="299"/>
      <c r="U172" s="56"/>
      <c r="V172" s="349"/>
      <c r="X172" s="295"/>
    </row>
    <row r="173" spans="1:24" ht="27.75" customHeight="1">
      <c r="A173" s="186">
        <v>4</v>
      </c>
      <c r="B173" s="205" t="s">
        <v>24</v>
      </c>
      <c r="C173" s="346" t="s">
        <v>316</v>
      </c>
      <c r="D173" s="141">
        <v>1410</v>
      </c>
      <c r="E173" s="43" t="s">
        <v>45</v>
      </c>
      <c r="F173" s="44">
        <v>0</v>
      </c>
      <c r="G173" s="45">
        <v>0</v>
      </c>
      <c r="H173" s="45"/>
      <c r="I173" s="47">
        <v>0</v>
      </c>
      <c r="J173" s="113">
        <v>45992</v>
      </c>
      <c r="K173" s="114" t="s">
        <v>788</v>
      </c>
      <c r="L173" s="347">
        <v>1410</v>
      </c>
      <c r="M173" s="94" t="s">
        <v>45</v>
      </c>
      <c r="N173" s="116">
        <v>0</v>
      </c>
      <c r="O173" s="233">
        <f t="shared" si="47"/>
        <v>0</v>
      </c>
      <c r="P173" s="233"/>
      <c r="Q173" s="47">
        <f t="shared" si="48"/>
        <v>0</v>
      </c>
      <c r="R173" s="348" t="s">
        <v>195</v>
      </c>
      <c r="S173" s="299" t="s">
        <v>307</v>
      </c>
      <c r="T173" s="299" t="s">
        <v>308</v>
      </c>
      <c r="U173" s="56">
        <v>10980</v>
      </c>
      <c r="V173" s="349" t="s">
        <v>317</v>
      </c>
      <c r="W173" s="295" t="s">
        <v>289</v>
      </c>
      <c r="X173" s="4" t="s">
        <v>310</v>
      </c>
    </row>
    <row r="174" spans="1:24" ht="27.75" customHeight="1">
      <c r="A174" s="186">
        <v>5</v>
      </c>
      <c r="B174" s="205" t="s">
        <v>24</v>
      </c>
      <c r="C174" s="346" t="s">
        <v>318</v>
      </c>
      <c r="D174" s="141">
        <v>1410</v>
      </c>
      <c r="E174" s="43" t="s">
        <v>45</v>
      </c>
      <c r="F174" s="44">
        <v>0</v>
      </c>
      <c r="G174" s="45">
        <v>0</v>
      </c>
      <c r="H174" s="45"/>
      <c r="I174" s="47">
        <v>0</v>
      </c>
      <c r="J174" s="113">
        <v>45992</v>
      </c>
      <c r="K174" s="114" t="s">
        <v>788</v>
      </c>
      <c r="L174" s="347">
        <v>1410</v>
      </c>
      <c r="M174" s="94" t="s">
        <v>45</v>
      </c>
      <c r="N174" s="116">
        <v>0</v>
      </c>
      <c r="O174" s="233">
        <f t="shared" si="47"/>
        <v>0</v>
      </c>
      <c r="P174" s="233"/>
      <c r="Q174" s="47">
        <f t="shared" si="48"/>
        <v>0</v>
      </c>
      <c r="R174" s="348"/>
      <c r="S174" s="299"/>
      <c r="T174" s="299"/>
      <c r="U174" s="56"/>
      <c r="V174" s="349"/>
      <c r="W174" s="295"/>
    </row>
    <row r="175" spans="1:24" ht="27.75" customHeight="1">
      <c r="A175" s="186">
        <v>6</v>
      </c>
      <c r="B175" s="205" t="s">
        <v>24</v>
      </c>
      <c r="C175" s="346" t="s">
        <v>319</v>
      </c>
      <c r="D175" s="141">
        <v>1410</v>
      </c>
      <c r="E175" s="43" t="s">
        <v>45</v>
      </c>
      <c r="F175" s="44">
        <v>0</v>
      </c>
      <c r="G175" s="45">
        <v>0</v>
      </c>
      <c r="H175" s="45"/>
      <c r="I175" s="47">
        <v>0</v>
      </c>
      <c r="J175" s="113">
        <v>45992</v>
      </c>
      <c r="K175" s="114" t="s">
        <v>788</v>
      </c>
      <c r="L175" s="347">
        <v>1410</v>
      </c>
      <c r="M175" s="94" t="s">
        <v>45</v>
      </c>
      <c r="N175" s="116">
        <v>0</v>
      </c>
      <c r="O175" s="233">
        <f t="shared" si="47"/>
        <v>0</v>
      </c>
      <c r="P175" s="233"/>
      <c r="Q175" s="47">
        <f t="shared" si="48"/>
        <v>0</v>
      </c>
      <c r="R175" s="348"/>
      <c r="S175" s="299"/>
      <c r="T175" s="299"/>
      <c r="U175" s="56"/>
      <c r="V175" s="349"/>
      <c r="W175" s="295"/>
    </row>
    <row r="176" spans="1:24" ht="27.75" customHeight="1">
      <c r="A176" s="186">
        <v>7</v>
      </c>
      <c r="B176" s="205" t="s">
        <v>28</v>
      </c>
      <c r="C176" s="346" t="s">
        <v>320</v>
      </c>
      <c r="D176" s="141">
        <v>1410</v>
      </c>
      <c r="E176" s="43" t="s">
        <v>45</v>
      </c>
      <c r="F176" s="44">
        <v>0</v>
      </c>
      <c r="G176" s="45">
        <v>0</v>
      </c>
      <c r="H176" s="45"/>
      <c r="I176" s="47">
        <v>0</v>
      </c>
      <c r="J176" s="113" t="s">
        <v>808</v>
      </c>
      <c r="K176" s="114" t="s">
        <v>815</v>
      </c>
      <c r="L176" s="347">
        <v>2820</v>
      </c>
      <c r="M176" s="94" t="s">
        <v>801</v>
      </c>
      <c r="N176" s="116">
        <v>-1</v>
      </c>
      <c r="O176" s="233">
        <f t="shared" si="47"/>
        <v>-1410</v>
      </c>
      <c r="P176" s="233"/>
      <c r="Q176" s="47">
        <f t="shared" si="48"/>
        <v>-1410</v>
      </c>
      <c r="R176" s="348"/>
      <c r="S176" s="299"/>
      <c r="T176" s="299"/>
      <c r="U176" s="56"/>
      <c r="V176" s="349"/>
      <c r="W176" s="295"/>
    </row>
    <row r="177" spans="1:24" ht="27.75" customHeight="1">
      <c r="A177" s="186">
        <v>8</v>
      </c>
      <c r="B177" s="205" t="s">
        <v>28</v>
      </c>
      <c r="C177" s="346" t="s">
        <v>321</v>
      </c>
      <c r="D177" s="141">
        <v>1410</v>
      </c>
      <c r="E177" s="43" t="s">
        <v>45</v>
      </c>
      <c r="F177" s="44">
        <v>0</v>
      </c>
      <c r="G177" s="45">
        <v>0</v>
      </c>
      <c r="H177" s="45"/>
      <c r="I177" s="47">
        <v>0</v>
      </c>
      <c r="J177" s="113" t="s">
        <v>808</v>
      </c>
      <c r="K177" s="114" t="s">
        <v>815</v>
      </c>
      <c r="L177" s="347">
        <v>2820</v>
      </c>
      <c r="M177" s="94" t="s">
        <v>801</v>
      </c>
      <c r="N177" s="116">
        <v>-1</v>
      </c>
      <c r="O177" s="233">
        <f t="shared" si="47"/>
        <v>-1410</v>
      </c>
      <c r="P177" s="233"/>
      <c r="Q177" s="47">
        <f t="shared" si="48"/>
        <v>-1410</v>
      </c>
      <c r="R177" s="348"/>
      <c r="S177" s="299"/>
      <c r="T177" s="299"/>
      <c r="U177" s="56"/>
      <c r="V177" s="349"/>
      <c r="W177" s="295"/>
    </row>
    <row r="178" spans="1:24" ht="27.75" customHeight="1">
      <c r="A178" s="186">
        <v>9</v>
      </c>
      <c r="B178" s="205" t="s">
        <v>28</v>
      </c>
      <c r="C178" s="346" t="s">
        <v>322</v>
      </c>
      <c r="D178" s="141">
        <v>1410</v>
      </c>
      <c r="E178" s="43" t="s">
        <v>45</v>
      </c>
      <c r="F178" s="44">
        <v>0</v>
      </c>
      <c r="G178" s="45">
        <v>0</v>
      </c>
      <c r="H178" s="45"/>
      <c r="I178" s="47">
        <v>0</v>
      </c>
      <c r="J178" s="113" t="s">
        <v>808</v>
      </c>
      <c r="K178" s="114" t="s">
        <v>815</v>
      </c>
      <c r="L178" s="347">
        <v>2820</v>
      </c>
      <c r="M178" s="94" t="s">
        <v>801</v>
      </c>
      <c r="N178" s="116">
        <v>-1</v>
      </c>
      <c r="O178" s="233">
        <f t="shared" si="47"/>
        <v>-1410</v>
      </c>
      <c r="P178" s="233"/>
      <c r="Q178" s="47">
        <f t="shared" si="48"/>
        <v>-1410</v>
      </c>
      <c r="R178" s="348"/>
      <c r="S178" s="299"/>
      <c r="T178" s="299"/>
      <c r="U178" s="56"/>
      <c r="V178" s="349"/>
      <c r="W178" s="295"/>
    </row>
    <row r="179" spans="1:24" ht="27.75" customHeight="1">
      <c r="A179" s="186">
        <v>10</v>
      </c>
      <c r="B179" s="205" t="s">
        <v>28</v>
      </c>
      <c r="C179" s="346" t="s">
        <v>323</v>
      </c>
      <c r="D179" s="141">
        <v>1410</v>
      </c>
      <c r="E179" s="43" t="s">
        <v>45</v>
      </c>
      <c r="F179" s="44">
        <v>0</v>
      </c>
      <c r="G179" s="45">
        <v>0</v>
      </c>
      <c r="H179" s="45"/>
      <c r="I179" s="47">
        <v>0</v>
      </c>
      <c r="J179" s="113" t="s">
        <v>808</v>
      </c>
      <c r="K179" s="114" t="s">
        <v>815</v>
      </c>
      <c r="L179" s="347">
        <v>2820</v>
      </c>
      <c r="M179" s="94" t="s">
        <v>801</v>
      </c>
      <c r="N179" s="116">
        <v>-1</v>
      </c>
      <c r="O179" s="233">
        <f t="shared" si="47"/>
        <v>-1410</v>
      </c>
      <c r="P179" s="233"/>
      <c r="Q179" s="47">
        <f t="shared" si="48"/>
        <v>-1410</v>
      </c>
      <c r="R179" s="348"/>
      <c r="S179" s="299"/>
      <c r="T179" s="299"/>
      <c r="U179" s="56"/>
      <c r="V179" s="349"/>
      <c r="W179" s="295"/>
    </row>
    <row r="180" spans="1:24" ht="27.75" customHeight="1">
      <c r="A180" s="186">
        <v>11</v>
      </c>
      <c r="B180" s="205" t="s">
        <v>28</v>
      </c>
      <c r="C180" s="346" t="s">
        <v>324</v>
      </c>
      <c r="D180" s="141">
        <v>1410</v>
      </c>
      <c r="E180" s="43" t="s">
        <v>45</v>
      </c>
      <c r="F180" s="44">
        <v>0</v>
      </c>
      <c r="G180" s="45">
        <v>0</v>
      </c>
      <c r="H180" s="45"/>
      <c r="I180" s="47">
        <v>0</v>
      </c>
      <c r="J180" s="113" t="s">
        <v>808</v>
      </c>
      <c r="K180" s="114" t="s">
        <v>815</v>
      </c>
      <c r="L180" s="347">
        <v>2820</v>
      </c>
      <c r="M180" s="94" t="s">
        <v>801</v>
      </c>
      <c r="N180" s="116">
        <v>-1</v>
      </c>
      <c r="O180" s="233">
        <f t="shared" si="47"/>
        <v>-1410</v>
      </c>
      <c r="P180" s="233"/>
      <c r="Q180" s="47">
        <f t="shared" si="48"/>
        <v>-1410</v>
      </c>
      <c r="R180" s="348"/>
      <c r="S180" s="299"/>
      <c r="T180" s="299"/>
      <c r="U180" s="56"/>
      <c r="V180" s="349"/>
      <c r="W180" s="295"/>
    </row>
    <row r="181" spans="1:24" ht="27.75" customHeight="1">
      <c r="A181" s="186">
        <v>12</v>
      </c>
      <c r="B181" s="205" t="s">
        <v>325</v>
      </c>
      <c r="C181" s="346" t="s">
        <v>326</v>
      </c>
      <c r="D181" s="141">
        <v>1410</v>
      </c>
      <c r="E181" s="43" t="s">
        <v>45</v>
      </c>
      <c r="F181" s="44">
        <v>0</v>
      </c>
      <c r="G181" s="45">
        <v>0</v>
      </c>
      <c r="H181" s="45"/>
      <c r="I181" s="47">
        <v>0</v>
      </c>
      <c r="J181" s="113">
        <v>45996</v>
      </c>
      <c r="K181" s="114" t="s">
        <v>789</v>
      </c>
      <c r="L181" s="347">
        <v>1410</v>
      </c>
      <c r="M181" s="94" t="s">
        <v>45</v>
      </c>
      <c r="N181" s="116">
        <v>0</v>
      </c>
      <c r="O181" s="233">
        <f t="shared" si="47"/>
        <v>0</v>
      </c>
      <c r="P181" s="233"/>
      <c r="Q181" s="47">
        <f t="shared" si="48"/>
        <v>0</v>
      </c>
      <c r="R181" s="348" t="s">
        <v>195</v>
      </c>
      <c r="S181" s="299" t="s">
        <v>307</v>
      </c>
      <c r="T181" s="299" t="s">
        <v>308</v>
      </c>
      <c r="U181" s="56">
        <v>14640</v>
      </c>
      <c r="V181" s="349" t="s">
        <v>328</v>
      </c>
      <c r="W181" s="295" t="s">
        <v>289</v>
      </c>
      <c r="X181" s="4" t="s">
        <v>329</v>
      </c>
    </row>
    <row r="182" spans="1:24" ht="27.75" customHeight="1">
      <c r="A182" s="186">
        <v>13</v>
      </c>
      <c r="B182" s="205" t="s">
        <v>325</v>
      </c>
      <c r="C182" s="346" t="s">
        <v>330</v>
      </c>
      <c r="D182" s="141">
        <v>1410</v>
      </c>
      <c r="E182" s="43" t="s">
        <v>45</v>
      </c>
      <c r="F182" s="44">
        <v>0</v>
      </c>
      <c r="G182" s="45">
        <v>0</v>
      </c>
      <c r="H182" s="45"/>
      <c r="I182" s="47">
        <v>0</v>
      </c>
      <c r="J182" s="113">
        <v>45996</v>
      </c>
      <c r="K182" s="114" t="s">
        <v>789</v>
      </c>
      <c r="L182" s="347">
        <v>1410</v>
      </c>
      <c r="M182" s="94" t="s">
        <v>45</v>
      </c>
      <c r="N182" s="116">
        <v>0</v>
      </c>
      <c r="O182" s="233">
        <f t="shared" si="47"/>
        <v>0</v>
      </c>
      <c r="P182" s="233"/>
      <c r="Q182" s="47">
        <f t="shared" si="48"/>
        <v>0</v>
      </c>
      <c r="R182" s="348"/>
      <c r="S182" s="299"/>
      <c r="T182" s="299"/>
      <c r="U182" s="56"/>
      <c r="V182" s="349"/>
      <c r="W182" s="295"/>
    </row>
    <row r="183" spans="1:24" ht="27.75" customHeight="1">
      <c r="A183" s="186">
        <v>14</v>
      </c>
      <c r="B183" s="205" t="s">
        <v>325</v>
      </c>
      <c r="C183" s="346" t="s">
        <v>331</v>
      </c>
      <c r="D183" s="141">
        <v>1410</v>
      </c>
      <c r="E183" s="43" t="s">
        <v>45</v>
      </c>
      <c r="F183" s="44">
        <v>0</v>
      </c>
      <c r="G183" s="45">
        <v>0</v>
      </c>
      <c r="H183" s="45"/>
      <c r="I183" s="47">
        <v>0</v>
      </c>
      <c r="J183" s="113">
        <v>45996</v>
      </c>
      <c r="K183" s="114" t="s">
        <v>789</v>
      </c>
      <c r="L183" s="347">
        <v>1410</v>
      </c>
      <c r="M183" s="94" t="s">
        <v>45</v>
      </c>
      <c r="N183" s="116">
        <v>0</v>
      </c>
      <c r="O183" s="233">
        <f t="shared" si="47"/>
        <v>0</v>
      </c>
      <c r="P183" s="233"/>
      <c r="Q183" s="47">
        <f t="shared" si="48"/>
        <v>0</v>
      </c>
      <c r="R183" s="348"/>
      <c r="S183" s="299"/>
      <c r="T183" s="299"/>
      <c r="U183" s="56"/>
      <c r="V183" s="349"/>
      <c r="W183" s="295"/>
    </row>
    <row r="184" spans="1:24" ht="27.75" customHeight="1">
      <c r="A184" s="186">
        <v>15</v>
      </c>
      <c r="B184" s="205" t="s">
        <v>325</v>
      </c>
      <c r="C184" s="346" t="s">
        <v>332</v>
      </c>
      <c r="D184" s="141">
        <v>1410</v>
      </c>
      <c r="E184" s="43" t="s">
        <v>45</v>
      </c>
      <c r="F184" s="44">
        <v>0</v>
      </c>
      <c r="G184" s="45">
        <v>0</v>
      </c>
      <c r="H184" s="45"/>
      <c r="I184" s="47">
        <v>0</v>
      </c>
      <c r="J184" s="113">
        <v>45996</v>
      </c>
      <c r="K184" s="114" t="s">
        <v>789</v>
      </c>
      <c r="L184" s="347">
        <v>1410</v>
      </c>
      <c r="M184" s="94" t="s">
        <v>45</v>
      </c>
      <c r="N184" s="116">
        <v>0</v>
      </c>
      <c r="O184" s="233">
        <f t="shared" si="47"/>
        <v>0</v>
      </c>
      <c r="P184" s="233"/>
      <c r="Q184" s="47">
        <f t="shared" si="48"/>
        <v>0</v>
      </c>
      <c r="R184" s="348"/>
      <c r="S184" s="299"/>
      <c r="T184" s="299"/>
      <c r="U184" s="56"/>
      <c r="V184" s="349"/>
      <c r="W184" s="295"/>
    </row>
    <row r="185" spans="1:24" ht="27.75" customHeight="1">
      <c r="A185" s="186">
        <v>16</v>
      </c>
      <c r="B185" s="205" t="s">
        <v>28</v>
      </c>
      <c r="C185" s="346" t="s">
        <v>333</v>
      </c>
      <c r="D185" s="141">
        <v>1410</v>
      </c>
      <c r="E185" s="43" t="s">
        <v>45</v>
      </c>
      <c r="F185" s="44">
        <v>0</v>
      </c>
      <c r="G185" s="45">
        <v>0</v>
      </c>
      <c r="H185" s="45"/>
      <c r="I185" s="47">
        <v>0</v>
      </c>
      <c r="J185" s="113" t="s">
        <v>808</v>
      </c>
      <c r="K185" s="114" t="s">
        <v>815</v>
      </c>
      <c r="L185" s="347">
        <v>2820</v>
      </c>
      <c r="M185" s="94" t="s">
        <v>801</v>
      </c>
      <c r="N185" s="116">
        <v>-1</v>
      </c>
      <c r="O185" s="233">
        <f t="shared" si="47"/>
        <v>-1410</v>
      </c>
      <c r="P185" s="233"/>
      <c r="Q185" s="47">
        <f t="shared" si="48"/>
        <v>-1410</v>
      </c>
      <c r="R185" s="348"/>
      <c r="S185" s="299"/>
      <c r="T185" s="299"/>
      <c r="U185" s="56"/>
      <c r="V185" s="349"/>
      <c r="W185" s="295"/>
    </row>
    <row r="186" spans="1:24" ht="27.75" customHeight="1">
      <c r="A186" s="186">
        <v>17</v>
      </c>
      <c r="B186" s="205" t="s">
        <v>28</v>
      </c>
      <c r="C186" s="346" t="s">
        <v>334</v>
      </c>
      <c r="D186" s="141">
        <v>1410</v>
      </c>
      <c r="E186" s="43" t="s">
        <v>45</v>
      </c>
      <c r="F186" s="44">
        <v>0</v>
      </c>
      <c r="G186" s="45">
        <v>0</v>
      </c>
      <c r="H186" s="45"/>
      <c r="I186" s="47">
        <v>0</v>
      </c>
      <c r="J186" s="113" t="s">
        <v>808</v>
      </c>
      <c r="K186" s="114" t="s">
        <v>815</v>
      </c>
      <c r="L186" s="347">
        <v>2820</v>
      </c>
      <c r="M186" s="94" t="s">
        <v>801</v>
      </c>
      <c r="N186" s="116">
        <v>-1</v>
      </c>
      <c r="O186" s="233">
        <f t="shared" si="47"/>
        <v>-1410</v>
      </c>
      <c r="P186" s="233"/>
      <c r="Q186" s="47">
        <f t="shared" si="48"/>
        <v>-1410</v>
      </c>
      <c r="R186" s="348"/>
      <c r="S186" s="299"/>
      <c r="T186" s="299"/>
      <c r="U186" s="56"/>
      <c r="V186" s="349"/>
      <c r="W186" s="295"/>
    </row>
    <row r="187" spans="1:24" ht="27.75" customHeight="1">
      <c r="A187" s="186">
        <v>18</v>
      </c>
      <c r="B187" s="205" t="s">
        <v>28</v>
      </c>
      <c r="C187" s="346" t="s">
        <v>335</v>
      </c>
      <c r="D187" s="141">
        <v>1410</v>
      </c>
      <c r="E187" s="43" t="s">
        <v>45</v>
      </c>
      <c r="F187" s="44">
        <v>0</v>
      </c>
      <c r="G187" s="45">
        <v>0</v>
      </c>
      <c r="H187" s="45"/>
      <c r="I187" s="47">
        <v>0</v>
      </c>
      <c r="J187" s="113" t="s">
        <v>808</v>
      </c>
      <c r="K187" s="114" t="s">
        <v>815</v>
      </c>
      <c r="L187" s="347">
        <v>2820</v>
      </c>
      <c r="M187" s="94" t="s">
        <v>801</v>
      </c>
      <c r="N187" s="116">
        <v>-1</v>
      </c>
      <c r="O187" s="233">
        <f t="shared" si="47"/>
        <v>-1410</v>
      </c>
      <c r="P187" s="233"/>
      <c r="Q187" s="47">
        <f t="shared" si="48"/>
        <v>-1410</v>
      </c>
      <c r="R187" s="348"/>
      <c r="S187" s="299"/>
      <c r="T187" s="299"/>
      <c r="U187" s="56"/>
      <c r="V187" s="349"/>
      <c r="W187" s="295"/>
    </row>
    <row r="188" spans="1:24" ht="27.75" customHeight="1">
      <c r="A188" s="186">
        <v>19</v>
      </c>
      <c r="B188" s="205" t="s">
        <v>40</v>
      </c>
      <c r="C188" s="346" t="s">
        <v>336</v>
      </c>
      <c r="D188" s="141">
        <v>1220</v>
      </c>
      <c r="E188" s="43" t="s">
        <v>26</v>
      </c>
      <c r="F188" s="44">
        <v>0</v>
      </c>
      <c r="G188" s="45">
        <v>0</v>
      </c>
      <c r="H188" s="45"/>
      <c r="I188" s="47">
        <v>0</v>
      </c>
      <c r="J188" s="113">
        <v>45996</v>
      </c>
      <c r="K188" s="114" t="s">
        <v>790</v>
      </c>
      <c r="L188" s="347">
        <v>1220</v>
      </c>
      <c r="M188" s="94" t="s">
        <v>26</v>
      </c>
      <c r="N188" s="116">
        <v>0</v>
      </c>
      <c r="O188" s="233">
        <f t="shared" si="47"/>
        <v>0</v>
      </c>
      <c r="P188" s="233"/>
      <c r="Q188" s="47">
        <f t="shared" si="48"/>
        <v>0</v>
      </c>
      <c r="R188" s="39" t="s">
        <v>195</v>
      </c>
      <c r="S188" s="55">
        <v>43313</v>
      </c>
      <c r="T188" s="55">
        <v>44408</v>
      </c>
      <c r="U188" s="56">
        <v>9540</v>
      </c>
      <c r="V188" s="349"/>
    </row>
    <row r="189" spans="1:24" ht="27.75" customHeight="1">
      <c r="A189" s="186">
        <v>20</v>
      </c>
      <c r="B189" s="205" t="s">
        <v>40</v>
      </c>
      <c r="C189" s="346" t="s">
        <v>338</v>
      </c>
      <c r="D189" s="141">
        <v>1220</v>
      </c>
      <c r="E189" s="43" t="s">
        <v>26</v>
      </c>
      <c r="F189" s="44">
        <v>0</v>
      </c>
      <c r="G189" s="45">
        <v>0</v>
      </c>
      <c r="H189" s="45"/>
      <c r="I189" s="47">
        <v>0</v>
      </c>
      <c r="J189" s="113">
        <v>45996</v>
      </c>
      <c r="K189" s="114" t="s">
        <v>790</v>
      </c>
      <c r="L189" s="347">
        <v>1220</v>
      </c>
      <c r="M189" s="94" t="s">
        <v>26</v>
      </c>
      <c r="N189" s="116">
        <v>0</v>
      </c>
      <c r="O189" s="233">
        <f t="shared" si="47"/>
        <v>0</v>
      </c>
      <c r="P189" s="233"/>
      <c r="Q189" s="47">
        <f t="shared" si="48"/>
        <v>0</v>
      </c>
      <c r="R189" s="39"/>
      <c r="S189" s="55"/>
      <c r="T189" s="55"/>
      <c r="U189" s="56"/>
      <c r="V189" s="349"/>
    </row>
    <row r="190" spans="1:24" ht="27.75" customHeight="1">
      <c r="A190" s="186">
        <v>21</v>
      </c>
      <c r="B190" s="205" t="s">
        <v>40</v>
      </c>
      <c r="C190" s="346" t="s">
        <v>339</v>
      </c>
      <c r="D190" s="141">
        <v>1220</v>
      </c>
      <c r="E190" s="43" t="s">
        <v>26</v>
      </c>
      <c r="F190" s="44">
        <v>0</v>
      </c>
      <c r="G190" s="45">
        <v>0</v>
      </c>
      <c r="H190" s="45"/>
      <c r="I190" s="47">
        <v>0</v>
      </c>
      <c r="J190" s="113">
        <v>45996</v>
      </c>
      <c r="K190" s="114" t="s">
        <v>790</v>
      </c>
      <c r="L190" s="347">
        <v>1220</v>
      </c>
      <c r="M190" s="94" t="s">
        <v>26</v>
      </c>
      <c r="N190" s="116">
        <v>0</v>
      </c>
      <c r="O190" s="233">
        <f t="shared" si="47"/>
        <v>0</v>
      </c>
      <c r="P190" s="233"/>
      <c r="Q190" s="47">
        <f t="shared" si="48"/>
        <v>0</v>
      </c>
      <c r="R190" s="39"/>
      <c r="S190" s="55"/>
      <c r="T190" s="55"/>
      <c r="U190" s="56"/>
      <c r="V190" s="349"/>
    </row>
    <row r="191" spans="1:24" ht="27.75" customHeight="1">
      <c r="A191" s="186">
        <v>22</v>
      </c>
      <c r="B191" s="40" t="s">
        <v>43</v>
      </c>
      <c r="C191" s="346" t="s">
        <v>340</v>
      </c>
      <c r="D191" s="141">
        <v>1410</v>
      </c>
      <c r="E191" s="43" t="s">
        <v>45</v>
      </c>
      <c r="F191" s="44">
        <v>0</v>
      </c>
      <c r="G191" s="45">
        <v>0</v>
      </c>
      <c r="H191" s="45"/>
      <c r="I191" s="47">
        <v>0</v>
      </c>
      <c r="J191" s="113">
        <v>45992</v>
      </c>
      <c r="K191" s="114" t="s">
        <v>791</v>
      </c>
      <c r="L191" s="347">
        <v>1410</v>
      </c>
      <c r="M191" s="94" t="s">
        <v>45</v>
      </c>
      <c r="N191" s="116">
        <v>0</v>
      </c>
      <c r="O191" s="233">
        <f t="shared" si="47"/>
        <v>0</v>
      </c>
      <c r="P191" s="233"/>
      <c r="Q191" s="47">
        <f t="shared" si="48"/>
        <v>0</v>
      </c>
      <c r="R191" s="348" t="s">
        <v>195</v>
      </c>
      <c r="S191" s="299" t="s">
        <v>307</v>
      </c>
      <c r="T191" s="299" t="s">
        <v>308</v>
      </c>
      <c r="U191" s="56">
        <v>7320</v>
      </c>
      <c r="V191" s="349" t="s">
        <v>342</v>
      </c>
      <c r="W191" s="295" t="s">
        <v>289</v>
      </c>
      <c r="X191" s="4" t="s">
        <v>343</v>
      </c>
    </row>
    <row r="192" spans="1:24" ht="27.75" customHeight="1">
      <c r="A192" s="186">
        <v>23</v>
      </c>
      <c r="B192" s="40" t="s">
        <v>43</v>
      </c>
      <c r="C192" s="346" t="s">
        <v>344</v>
      </c>
      <c r="D192" s="141">
        <v>1410</v>
      </c>
      <c r="E192" s="43" t="s">
        <v>45</v>
      </c>
      <c r="F192" s="44">
        <v>0</v>
      </c>
      <c r="G192" s="45">
        <v>0</v>
      </c>
      <c r="H192" s="45"/>
      <c r="I192" s="47">
        <v>0</v>
      </c>
      <c r="J192" s="113">
        <v>45992</v>
      </c>
      <c r="K192" s="114" t="s">
        <v>791</v>
      </c>
      <c r="L192" s="347">
        <v>1410</v>
      </c>
      <c r="M192" s="94" t="s">
        <v>45</v>
      </c>
      <c r="N192" s="116">
        <v>0</v>
      </c>
      <c r="O192" s="233">
        <f t="shared" si="47"/>
        <v>0</v>
      </c>
      <c r="P192" s="233"/>
      <c r="Q192" s="47">
        <f t="shared" si="48"/>
        <v>0</v>
      </c>
      <c r="R192" s="348"/>
      <c r="S192" s="299"/>
      <c r="T192" s="299"/>
      <c r="U192" s="56"/>
      <c r="V192" s="349"/>
      <c r="W192" s="295"/>
    </row>
    <row r="193" spans="1:24" ht="27.75" customHeight="1">
      <c r="A193" s="186">
        <v>24</v>
      </c>
      <c r="B193" s="40" t="s">
        <v>345</v>
      </c>
      <c r="C193" s="346" t="s">
        <v>346</v>
      </c>
      <c r="D193" s="141">
        <v>1410</v>
      </c>
      <c r="E193" s="43" t="s">
        <v>45</v>
      </c>
      <c r="F193" s="44">
        <v>0</v>
      </c>
      <c r="G193" s="45">
        <v>0</v>
      </c>
      <c r="H193" s="45"/>
      <c r="I193" s="47">
        <v>0</v>
      </c>
      <c r="J193" s="113">
        <v>45995</v>
      </c>
      <c r="K193" s="114" t="s">
        <v>792</v>
      </c>
      <c r="L193" s="347">
        <v>1410</v>
      </c>
      <c r="M193" s="94" t="s">
        <v>45</v>
      </c>
      <c r="N193" s="116">
        <v>0</v>
      </c>
      <c r="O193" s="233">
        <f t="shared" si="47"/>
        <v>0</v>
      </c>
      <c r="P193" s="233"/>
      <c r="Q193" s="47">
        <f t="shared" si="48"/>
        <v>0</v>
      </c>
      <c r="R193" s="39" t="s">
        <v>195</v>
      </c>
      <c r="S193" s="55">
        <v>43313</v>
      </c>
      <c r="T193" s="55">
        <v>44408</v>
      </c>
      <c r="U193" s="56">
        <v>12720</v>
      </c>
      <c r="V193" s="349"/>
    </row>
    <row r="194" spans="1:24" ht="27.75" customHeight="1">
      <c r="A194" s="186">
        <v>25</v>
      </c>
      <c r="B194" s="40" t="s">
        <v>345</v>
      </c>
      <c r="C194" s="346" t="s">
        <v>348</v>
      </c>
      <c r="D194" s="141">
        <v>1410</v>
      </c>
      <c r="E194" s="43" t="s">
        <v>45</v>
      </c>
      <c r="F194" s="44">
        <v>0</v>
      </c>
      <c r="G194" s="45">
        <v>0</v>
      </c>
      <c r="H194" s="45"/>
      <c r="I194" s="47">
        <v>0</v>
      </c>
      <c r="J194" s="113">
        <v>45995</v>
      </c>
      <c r="K194" s="114" t="s">
        <v>792</v>
      </c>
      <c r="L194" s="347">
        <v>1410</v>
      </c>
      <c r="M194" s="94" t="s">
        <v>45</v>
      </c>
      <c r="N194" s="116">
        <v>0</v>
      </c>
      <c r="O194" s="233">
        <f t="shared" si="47"/>
        <v>0</v>
      </c>
      <c r="P194" s="233"/>
      <c r="Q194" s="47">
        <f t="shared" si="48"/>
        <v>0</v>
      </c>
      <c r="R194" s="39"/>
      <c r="S194" s="55"/>
      <c r="T194" s="55"/>
      <c r="U194" s="56"/>
      <c r="V194" s="349"/>
    </row>
    <row r="195" spans="1:24" ht="27.75" customHeight="1">
      <c r="A195" s="186">
        <v>26</v>
      </c>
      <c r="B195" s="40" t="s">
        <v>345</v>
      </c>
      <c r="C195" s="346" t="s">
        <v>349</v>
      </c>
      <c r="D195" s="141">
        <v>1410</v>
      </c>
      <c r="E195" s="43" t="s">
        <v>45</v>
      </c>
      <c r="F195" s="44">
        <v>0</v>
      </c>
      <c r="G195" s="45">
        <v>0</v>
      </c>
      <c r="H195" s="45"/>
      <c r="I195" s="47">
        <v>0</v>
      </c>
      <c r="J195" s="113">
        <v>45995</v>
      </c>
      <c r="K195" s="114" t="s">
        <v>792</v>
      </c>
      <c r="L195" s="347">
        <v>1410</v>
      </c>
      <c r="M195" s="94" t="s">
        <v>45</v>
      </c>
      <c r="N195" s="116">
        <v>0</v>
      </c>
      <c r="O195" s="233">
        <f t="shared" si="47"/>
        <v>0</v>
      </c>
      <c r="P195" s="233"/>
      <c r="Q195" s="47">
        <f t="shared" si="48"/>
        <v>0</v>
      </c>
      <c r="R195" s="39"/>
      <c r="S195" s="55"/>
      <c r="T195" s="55"/>
      <c r="U195" s="56"/>
      <c r="V195" s="349"/>
    </row>
    <row r="196" spans="1:24" ht="27.75" customHeight="1">
      <c r="A196" s="186">
        <v>27</v>
      </c>
      <c r="B196" s="40" t="s">
        <v>345</v>
      </c>
      <c r="C196" s="346" t="s">
        <v>350</v>
      </c>
      <c r="D196" s="141">
        <v>1410</v>
      </c>
      <c r="E196" s="43" t="s">
        <v>45</v>
      </c>
      <c r="F196" s="44">
        <v>0</v>
      </c>
      <c r="G196" s="45">
        <v>0</v>
      </c>
      <c r="H196" s="45"/>
      <c r="I196" s="47">
        <v>0</v>
      </c>
      <c r="J196" s="113">
        <v>45995</v>
      </c>
      <c r="K196" s="114" t="s">
        <v>792</v>
      </c>
      <c r="L196" s="347">
        <v>1410</v>
      </c>
      <c r="M196" s="94" t="s">
        <v>45</v>
      </c>
      <c r="N196" s="116">
        <v>0</v>
      </c>
      <c r="O196" s="233">
        <f t="shared" si="47"/>
        <v>0</v>
      </c>
      <c r="P196" s="233"/>
      <c r="Q196" s="47">
        <f t="shared" si="48"/>
        <v>0</v>
      </c>
      <c r="R196" s="39"/>
      <c r="S196" s="55"/>
      <c r="T196" s="55"/>
      <c r="U196" s="56"/>
      <c r="V196" s="349"/>
    </row>
    <row r="197" spans="1:24" ht="27.75" customHeight="1">
      <c r="A197" s="186">
        <v>28</v>
      </c>
      <c r="B197" s="40" t="s">
        <v>351</v>
      </c>
      <c r="C197" s="346" t="s">
        <v>352</v>
      </c>
      <c r="D197" s="141">
        <v>1410</v>
      </c>
      <c r="E197" s="43" t="s">
        <v>45</v>
      </c>
      <c r="F197" s="44">
        <v>0</v>
      </c>
      <c r="G197" s="45">
        <v>0</v>
      </c>
      <c r="H197" s="45"/>
      <c r="I197" s="47">
        <v>0</v>
      </c>
      <c r="J197" s="113">
        <v>45995</v>
      </c>
      <c r="K197" s="114" t="s">
        <v>793</v>
      </c>
      <c r="L197" s="347">
        <v>1410</v>
      </c>
      <c r="M197" s="94" t="s">
        <v>45</v>
      </c>
      <c r="N197" s="116">
        <v>0</v>
      </c>
      <c r="O197" s="233">
        <f t="shared" si="47"/>
        <v>0</v>
      </c>
      <c r="P197" s="233"/>
      <c r="Q197" s="47">
        <f t="shared" si="48"/>
        <v>0</v>
      </c>
      <c r="R197" s="39" t="s">
        <v>195</v>
      </c>
      <c r="S197" s="55">
        <v>43313</v>
      </c>
      <c r="T197" s="55">
        <v>44408</v>
      </c>
      <c r="U197" s="56">
        <v>9540</v>
      </c>
      <c r="V197" s="349"/>
    </row>
    <row r="198" spans="1:24" ht="27.75" customHeight="1">
      <c r="A198" s="186">
        <v>29</v>
      </c>
      <c r="B198" s="40" t="s">
        <v>351</v>
      </c>
      <c r="C198" s="346" t="s">
        <v>354</v>
      </c>
      <c r="D198" s="141">
        <v>1410</v>
      </c>
      <c r="E198" s="43" t="s">
        <v>45</v>
      </c>
      <c r="F198" s="44">
        <v>0</v>
      </c>
      <c r="G198" s="45">
        <v>0</v>
      </c>
      <c r="H198" s="45"/>
      <c r="I198" s="47">
        <v>0</v>
      </c>
      <c r="J198" s="113">
        <v>45995</v>
      </c>
      <c r="K198" s="114" t="s">
        <v>793</v>
      </c>
      <c r="L198" s="347">
        <v>1410</v>
      </c>
      <c r="M198" s="94" t="s">
        <v>45</v>
      </c>
      <c r="N198" s="116">
        <v>0</v>
      </c>
      <c r="O198" s="233">
        <f t="shared" si="47"/>
        <v>0</v>
      </c>
      <c r="P198" s="233"/>
      <c r="Q198" s="47">
        <f t="shared" si="48"/>
        <v>0</v>
      </c>
      <c r="R198" s="39"/>
      <c r="S198" s="55"/>
      <c r="T198" s="55"/>
      <c r="U198" s="56"/>
      <c r="V198" s="349"/>
    </row>
    <row r="199" spans="1:24" ht="27.75" customHeight="1">
      <c r="A199" s="186">
        <v>30</v>
      </c>
      <c r="B199" s="40" t="s">
        <v>351</v>
      </c>
      <c r="C199" s="346" t="s">
        <v>355</v>
      </c>
      <c r="D199" s="141">
        <v>1410</v>
      </c>
      <c r="E199" s="43" t="s">
        <v>45</v>
      </c>
      <c r="F199" s="44">
        <v>0</v>
      </c>
      <c r="G199" s="45">
        <v>0</v>
      </c>
      <c r="H199" s="45"/>
      <c r="I199" s="47">
        <v>0</v>
      </c>
      <c r="J199" s="113">
        <v>45995</v>
      </c>
      <c r="K199" s="114" t="s">
        <v>793</v>
      </c>
      <c r="L199" s="347">
        <v>1410</v>
      </c>
      <c r="M199" s="94" t="s">
        <v>45</v>
      </c>
      <c r="N199" s="116">
        <v>0</v>
      </c>
      <c r="O199" s="233">
        <f t="shared" si="47"/>
        <v>0</v>
      </c>
      <c r="P199" s="233"/>
      <c r="Q199" s="47">
        <f t="shared" si="48"/>
        <v>0</v>
      </c>
      <c r="R199" s="39"/>
      <c r="S199" s="55"/>
      <c r="T199" s="55"/>
      <c r="U199" s="56"/>
      <c r="V199" s="349"/>
    </row>
    <row r="200" spans="1:24" ht="27.75" customHeight="1">
      <c r="A200" s="186">
        <v>31</v>
      </c>
      <c r="B200" s="40" t="s">
        <v>356</v>
      </c>
      <c r="C200" s="346" t="s">
        <v>357</v>
      </c>
      <c r="D200" s="141">
        <v>1410</v>
      </c>
      <c r="E200" s="43" t="s">
        <v>45</v>
      </c>
      <c r="F200" s="44">
        <v>0</v>
      </c>
      <c r="G200" s="45">
        <v>0</v>
      </c>
      <c r="H200" s="45"/>
      <c r="I200" s="47">
        <v>0</v>
      </c>
      <c r="J200" s="113" t="s">
        <v>816</v>
      </c>
      <c r="K200" s="114" t="s">
        <v>817</v>
      </c>
      <c r="L200" s="347">
        <v>2820</v>
      </c>
      <c r="M200" s="94" t="s">
        <v>801</v>
      </c>
      <c r="N200" s="116">
        <v>-1</v>
      </c>
      <c r="O200" s="233">
        <f t="shared" si="47"/>
        <v>-1410</v>
      </c>
      <c r="P200" s="233"/>
      <c r="Q200" s="47">
        <f t="shared" si="48"/>
        <v>-1410</v>
      </c>
      <c r="R200" s="39" t="s">
        <v>195</v>
      </c>
      <c r="S200" s="55">
        <v>42217</v>
      </c>
      <c r="T200" s="55">
        <v>43312</v>
      </c>
      <c r="U200" s="56">
        <v>8280</v>
      </c>
      <c r="V200" s="349" t="s">
        <v>359</v>
      </c>
    </row>
    <row r="201" spans="1:24" ht="27.75" customHeight="1">
      <c r="A201" s="186">
        <v>32</v>
      </c>
      <c r="B201" s="40" t="s">
        <v>356</v>
      </c>
      <c r="C201" s="346" t="s">
        <v>360</v>
      </c>
      <c r="D201" s="141">
        <v>1410</v>
      </c>
      <c r="E201" s="43" t="s">
        <v>45</v>
      </c>
      <c r="F201" s="44">
        <v>0</v>
      </c>
      <c r="G201" s="45">
        <v>0</v>
      </c>
      <c r="H201" s="45"/>
      <c r="I201" s="47">
        <v>0</v>
      </c>
      <c r="J201" s="113" t="s">
        <v>816</v>
      </c>
      <c r="K201" s="114" t="s">
        <v>817</v>
      </c>
      <c r="L201" s="347">
        <v>2820</v>
      </c>
      <c r="M201" s="94" t="s">
        <v>801</v>
      </c>
      <c r="N201" s="116">
        <v>-1</v>
      </c>
      <c r="O201" s="233">
        <f t="shared" si="47"/>
        <v>-1410</v>
      </c>
      <c r="P201" s="233"/>
      <c r="Q201" s="47">
        <f t="shared" si="48"/>
        <v>-1410</v>
      </c>
      <c r="R201" s="39"/>
      <c r="S201" s="55"/>
      <c r="T201" s="55"/>
      <c r="U201" s="56"/>
      <c r="V201" s="349"/>
    </row>
    <row r="202" spans="1:24" ht="27.75" customHeight="1">
      <c r="A202" s="186">
        <v>33</v>
      </c>
      <c r="B202" s="40" t="s">
        <v>356</v>
      </c>
      <c r="C202" s="346" t="s">
        <v>361</v>
      </c>
      <c r="D202" s="141">
        <v>1410</v>
      </c>
      <c r="E202" s="43" t="s">
        <v>45</v>
      </c>
      <c r="F202" s="44">
        <v>0</v>
      </c>
      <c r="G202" s="45">
        <v>0</v>
      </c>
      <c r="H202" s="45"/>
      <c r="I202" s="47">
        <v>0</v>
      </c>
      <c r="J202" s="113">
        <v>45994</v>
      </c>
      <c r="K202" s="114" t="s">
        <v>794</v>
      </c>
      <c r="L202" s="347">
        <v>1410</v>
      </c>
      <c r="M202" s="94" t="s">
        <v>45</v>
      </c>
      <c r="N202" s="116">
        <v>0</v>
      </c>
      <c r="O202" s="233">
        <f t="shared" si="47"/>
        <v>0</v>
      </c>
      <c r="P202" s="233"/>
      <c r="Q202" s="47">
        <f t="shared" si="48"/>
        <v>0</v>
      </c>
      <c r="R202" s="39"/>
      <c r="S202" s="55"/>
      <c r="T202" s="55"/>
      <c r="U202" s="56"/>
      <c r="V202" s="349"/>
    </row>
    <row r="203" spans="1:24" ht="27.75" customHeight="1">
      <c r="A203" s="186">
        <v>34</v>
      </c>
      <c r="B203" s="40" t="s">
        <v>362</v>
      </c>
      <c r="C203" s="346" t="s">
        <v>363</v>
      </c>
      <c r="D203" s="141">
        <v>1410</v>
      </c>
      <c r="E203" s="43" t="s">
        <v>45</v>
      </c>
      <c r="F203" s="44">
        <v>0</v>
      </c>
      <c r="G203" s="45">
        <v>0</v>
      </c>
      <c r="H203" s="45"/>
      <c r="I203" s="47">
        <v>0</v>
      </c>
      <c r="J203" s="113">
        <v>45992</v>
      </c>
      <c r="K203" s="114" t="s">
        <v>795</v>
      </c>
      <c r="L203" s="347">
        <v>1410</v>
      </c>
      <c r="M203" s="94" t="s">
        <v>45</v>
      </c>
      <c r="N203" s="116">
        <v>0</v>
      </c>
      <c r="O203" s="233">
        <f t="shared" si="47"/>
        <v>0</v>
      </c>
      <c r="P203" s="233"/>
      <c r="Q203" s="47">
        <f t="shared" si="48"/>
        <v>0</v>
      </c>
      <c r="R203" s="348" t="s">
        <v>195</v>
      </c>
      <c r="S203" s="299" t="s">
        <v>307</v>
      </c>
      <c r="T203" s="299" t="s">
        <v>308</v>
      </c>
      <c r="U203" s="56">
        <v>21960</v>
      </c>
      <c r="V203" s="349" t="s">
        <v>365</v>
      </c>
      <c r="W203" s="295" t="s">
        <v>289</v>
      </c>
      <c r="X203" s="40" t="s">
        <v>366</v>
      </c>
    </row>
    <row r="204" spans="1:24" ht="27.75" customHeight="1">
      <c r="A204" s="186">
        <v>35</v>
      </c>
      <c r="B204" s="40" t="s">
        <v>362</v>
      </c>
      <c r="C204" s="346" t="s">
        <v>367</v>
      </c>
      <c r="D204" s="141">
        <v>1410</v>
      </c>
      <c r="E204" s="43" t="s">
        <v>45</v>
      </c>
      <c r="F204" s="44">
        <v>0</v>
      </c>
      <c r="G204" s="45">
        <v>0</v>
      </c>
      <c r="H204" s="45"/>
      <c r="I204" s="47">
        <v>0</v>
      </c>
      <c r="J204" s="113">
        <v>45992</v>
      </c>
      <c r="K204" s="114" t="s">
        <v>795</v>
      </c>
      <c r="L204" s="347">
        <v>1410</v>
      </c>
      <c r="M204" s="94" t="s">
        <v>45</v>
      </c>
      <c r="N204" s="116">
        <v>0</v>
      </c>
      <c r="O204" s="233">
        <f t="shared" si="47"/>
        <v>0</v>
      </c>
      <c r="P204" s="233"/>
      <c r="Q204" s="47">
        <f t="shared" si="48"/>
        <v>0</v>
      </c>
      <c r="R204" s="348"/>
      <c r="S204" s="299"/>
      <c r="T204" s="299"/>
      <c r="U204" s="56"/>
      <c r="V204" s="349"/>
      <c r="W204" s="295"/>
      <c r="X204" s="350"/>
    </row>
    <row r="205" spans="1:24" ht="27.75" customHeight="1">
      <c r="A205" s="186">
        <v>36</v>
      </c>
      <c r="B205" s="40" t="s">
        <v>362</v>
      </c>
      <c r="C205" s="346" t="s">
        <v>368</v>
      </c>
      <c r="D205" s="141">
        <v>1410</v>
      </c>
      <c r="E205" s="43" t="s">
        <v>45</v>
      </c>
      <c r="F205" s="44">
        <v>0</v>
      </c>
      <c r="G205" s="45">
        <v>0</v>
      </c>
      <c r="H205" s="45"/>
      <c r="I205" s="47">
        <v>0</v>
      </c>
      <c r="J205" s="113">
        <v>45992</v>
      </c>
      <c r="K205" s="114" t="s">
        <v>795</v>
      </c>
      <c r="L205" s="347">
        <v>1410</v>
      </c>
      <c r="M205" s="94" t="s">
        <v>45</v>
      </c>
      <c r="N205" s="116">
        <v>0</v>
      </c>
      <c r="O205" s="233">
        <f t="shared" si="47"/>
        <v>0</v>
      </c>
      <c r="P205" s="233"/>
      <c r="Q205" s="47">
        <f t="shared" si="48"/>
        <v>0</v>
      </c>
      <c r="R205" s="348"/>
      <c r="S205" s="299"/>
      <c r="T205" s="299"/>
      <c r="U205" s="56"/>
      <c r="V205" s="349"/>
      <c r="W205" s="295"/>
      <c r="X205" s="350"/>
    </row>
    <row r="206" spans="1:24" ht="27.75" customHeight="1">
      <c r="A206" s="186">
        <v>37</v>
      </c>
      <c r="B206" s="40" t="s">
        <v>362</v>
      </c>
      <c r="C206" s="346" t="s">
        <v>369</v>
      </c>
      <c r="D206" s="141">
        <v>1410</v>
      </c>
      <c r="E206" s="43" t="s">
        <v>45</v>
      </c>
      <c r="F206" s="44">
        <v>0</v>
      </c>
      <c r="G206" s="45">
        <v>0</v>
      </c>
      <c r="H206" s="45"/>
      <c r="I206" s="47">
        <v>0</v>
      </c>
      <c r="J206" s="113">
        <v>45992</v>
      </c>
      <c r="K206" s="114" t="s">
        <v>795</v>
      </c>
      <c r="L206" s="347">
        <v>1410</v>
      </c>
      <c r="M206" s="94" t="s">
        <v>45</v>
      </c>
      <c r="N206" s="116">
        <v>0</v>
      </c>
      <c r="O206" s="233">
        <f t="shared" si="47"/>
        <v>0</v>
      </c>
      <c r="P206" s="233"/>
      <c r="Q206" s="47">
        <f t="shared" si="48"/>
        <v>0</v>
      </c>
      <c r="R206" s="348"/>
      <c r="S206" s="299"/>
      <c r="T206" s="299"/>
      <c r="U206" s="56"/>
      <c r="V206" s="349"/>
      <c r="W206" s="295"/>
      <c r="X206" s="350"/>
    </row>
    <row r="207" spans="1:24" ht="27.75" customHeight="1">
      <c r="A207" s="186">
        <v>38</v>
      </c>
      <c r="B207" s="40" t="s">
        <v>362</v>
      </c>
      <c r="C207" s="346" t="s">
        <v>370</v>
      </c>
      <c r="D207" s="141">
        <v>1410</v>
      </c>
      <c r="E207" s="43" t="s">
        <v>45</v>
      </c>
      <c r="F207" s="44">
        <v>0</v>
      </c>
      <c r="G207" s="45">
        <v>0</v>
      </c>
      <c r="H207" s="45"/>
      <c r="I207" s="47">
        <v>0</v>
      </c>
      <c r="J207" s="113">
        <v>45992</v>
      </c>
      <c r="K207" s="114" t="s">
        <v>795</v>
      </c>
      <c r="L207" s="347">
        <v>1410</v>
      </c>
      <c r="M207" s="94" t="s">
        <v>45</v>
      </c>
      <c r="N207" s="116">
        <v>0</v>
      </c>
      <c r="O207" s="233">
        <f t="shared" si="47"/>
        <v>0</v>
      </c>
      <c r="P207" s="233"/>
      <c r="Q207" s="47">
        <f t="shared" si="48"/>
        <v>0</v>
      </c>
      <c r="R207" s="348"/>
      <c r="S207" s="299"/>
      <c r="T207" s="299"/>
      <c r="U207" s="56"/>
      <c r="V207" s="349"/>
      <c r="W207" s="295"/>
      <c r="X207" s="350"/>
    </row>
    <row r="208" spans="1:24" ht="27.75" customHeight="1">
      <c r="A208" s="186">
        <v>39</v>
      </c>
      <c r="B208" s="40" t="s">
        <v>362</v>
      </c>
      <c r="C208" s="346" t="s">
        <v>371</v>
      </c>
      <c r="D208" s="141">
        <v>1410</v>
      </c>
      <c r="E208" s="43" t="s">
        <v>45</v>
      </c>
      <c r="F208" s="44">
        <v>0</v>
      </c>
      <c r="G208" s="45">
        <v>0</v>
      </c>
      <c r="H208" s="45"/>
      <c r="I208" s="47">
        <v>0</v>
      </c>
      <c r="J208" s="113">
        <v>45992</v>
      </c>
      <c r="K208" s="114" t="s">
        <v>795</v>
      </c>
      <c r="L208" s="347">
        <v>1410</v>
      </c>
      <c r="M208" s="94" t="s">
        <v>45</v>
      </c>
      <c r="N208" s="116">
        <v>0</v>
      </c>
      <c r="O208" s="233">
        <f t="shared" si="47"/>
        <v>0</v>
      </c>
      <c r="P208" s="233"/>
      <c r="Q208" s="47">
        <f t="shared" si="48"/>
        <v>0</v>
      </c>
      <c r="R208" s="348"/>
      <c r="S208" s="299"/>
      <c r="T208" s="299"/>
      <c r="U208" s="56"/>
      <c r="V208" s="349"/>
      <c r="W208" s="295"/>
      <c r="X208" s="350"/>
    </row>
    <row r="209" spans="1:24" ht="27.75" customHeight="1">
      <c r="A209" s="186">
        <v>40</v>
      </c>
      <c r="B209" s="40" t="s">
        <v>372</v>
      </c>
      <c r="C209" s="346" t="s">
        <v>373</v>
      </c>
      <c r="D209" s="141">
        <v>1410</v>
      </c>
      <c r="E209" s="43" t="s">
        <v>45</v>
      </c>
      <c r="F209" s="44">
        <v>0</v>
      </c>
      <c r="G209" s="45">
        <v>0</v>
      </c>
      <c r="H209" s="45"/>
      <c r="I209" s="47">
        <v>0</v>
      </c>
      <c r="J209" s="113">
        <v>45995</v>
      </c>
      <c r="K209" s="114" t="s">
        <v>796</v>
      </c>
      <c r="L209" s="347">
        <v>1410</v>
      </c>
      <c r="M209" s="94" t="s">
        <v>45</v>
      </c>
      <c r="N209" s="116">
        <v>0</v>
      </c>
      <c r="O209" s="233">
        <f t="shared" si="47"/>
        <v>0</v>
      </c>
      <c r="P209" s="233"/>
      <c r="Q209" s="47">
        <f t="shared" si="48"/>
        <v>0</v>
      </c>
      <c r="R209" s="348" t="s">
        <v>195</v>
      </c>
      <c r="S209" s="299" t="s">
        <v>307</v>
      </c>
      <c r="T209" s="299" t="s">
        <v>308</v>
      </c>
      <c r="U209" s="56">
        <v>14640</v>
      </c>
      <c r="V209" s="349" t="s">
        <v>375</v>
      </c>
      <c r="W209" s="295" t="s">
        <v>289</v>
      </c>
      <c r="X209" s="4" t="s">
        <v>376</v>
      </c>
    </row>
    <row r="210" spans="1:24" ht="27.75" customHeight="1">
      <c r="A210" s="186">
        <v>41</v>
      </c>
      <c r="B210" s="40" t="s">
        <v>372</v>
      </c>
      <c r="C210" s="346" t="s">
        <v>377</v>
      </c>
      <c r="D210" s="141">
        <v>1410</v>
      </c>
      <c r="E210" s="43" t="s">
        <v>45</v>
      </c>
      <c r="F210" s="44">
        <v>0</v>
      </c>
      <c r="G210" s="45">
        <v>0</v>
      </c>
      <c r="H210" s="45"/>
      <c r="I210" s="47">
        <v>0</v>
      </c>
      <c r="J210" s="113">
        <v>45995</v>
      </c>
      <c r="K210" s="114" t="s">
        <v>796</v>
      </c>
      <c r="L210" s="347">
        <v>1410</v>
      </c>
      <c r="M210" s="94" t="s">
        <v>45</v>
      </c>
      <c r="N210" s="116">
        <v>0</v>
      </c>
      <c r="O210" s="233">
        <f t="shared" si="47"/>
        <v>0</v>
      </c>
      <c r="P210" s="233"/>
      <c r="Q210" s="47">
        <f t="shared" si="48"/>
        <v>0</v>
      </c>
      <c r="R210" s="348"/>
      <c r="S210" s="299"/>
      <c r="T210" s="299"/>
      <c r="U210" s="56"/>
      <c r="V210" s="349"/>
      <c r="W210" s="295"/>
    </row>
    <row r="211" spans="1:24" ht="27.75" customHeight="1">
      <c r="A211" s="186">
        <v>42</v>
      </c>
      <c r="B211" s="40" t="s">
        <v>372</v>
      </c>
      <c r="C211" s="346" t="s">
        <v>378</v>
      </c>
      <c r="D211" s="141">
        <v>1410</v>
      </c>
      <c r="E211" s="43" t="s">
        <v>45</v>
      </c>
      <c r="F211" s="44">
        <v>0</v>
      </c>
      <c r="G211" s="45">
        <v>0</v>
      </c>
      <c r="H211" s="45"/>
      <c r="I211" s="47">
        <v>0</v>
      </c>
      <c r="J211" s="113">
        <v>45995</v>
      </c>
      <c r="K211" s="114" t="s">
        <v>796</v>
      </c>
      <c r="L211" s="347">
        <v>1410</v>
      </c>
      <c r="M211" s="94" t="s">
        <v>45</v>
      </c>
      <c r="N211" s="116">
        <v>0</v>
      </c>
      <c r="O211" s="233">
        <f t="shared" si="47"/>
        <v>0</v>
      </c>
      <c r="P211" s="233"/>
      <c r="Q211" s="47">
        <f t="shared" si="48"/>
        <v>0</v>
      </c>
      <c r="R211" s="348"/>
      <c r="S211" s="299"/>
      <c r="T211" s="299"/>
      <c r="U211" s="56"/>
      <c r="V211" s="349"/>
      <c r="W211" s="295"/>
    </row>
    <row r="212" spans="1:24" ht="27.75" customHeight="1">
      <c r="A212" s="186">
        <v>43</v>
      </c>
      <c r="B212" s="40" t="s">
        <v>372</v>
      </c>
      <c r="C212" s="346" t="s">
        <v>379</v>
      </c>
      <c r="D212" s="141">
        <v>1410</v>
      </c>
      <c r="E212" s="43" t="s">
        <v>45</v>
      </c>
      <c r="F212" s="44">
        <v>0</v>
      </c>
      <c r="G212" s="45">
        <v>0</v>
      </c>
      <c r="H212" s="45"/>
      <c r="I212" s="47">
        <v>0</v>
      </c>
      <c r="J212" s="113">
        <v>45995</v>
      </c>
      <c r="K212" s="114" t="s">
        <v>796</v>
      </c>
      <c r="L212" s="347">
        <v>1410</v>
      </c>
      <c r="M212" s="94" t="s">
        <v>45</v>
      </c>
      <c r="N212" s="116">
        <v>0</v>
      </c>
      <c r="O212" s="233">
        <f t="shared" si="47"/>
        <v>0</v>
      </c>
      <c r="P212" s="233"/>
      <c r="Q212" s="47">
        <f t="shared" si="48"/>
        <v>0</v>
      </c>
      <c r="R212" s="348"/>
      <c r="S212" s="299"/>
      <c r="T212" s="299"/>
      <c r="U212" s="56"/>
      <c r="V212" s="349"/>
      <c r="W212" s="295"/>
    </row>
    <row r="213" spans="1:24" ht="27.75" customHeight="1">
      <c r="A213" s="186">
        <v>44</v>
      </c>
      <c r="B213" s="40" t="s">
        <v>380</v>
      </c>
      <c r="C213" s="346" t="s">
        <v>381</v>
      </c>
      <c r="D213" s="141">
        <v>1410</v>
      </c>
      <c r="E213" s="43" t="s">
        <v>45</v>
      </c>
      <c r="F213" s="44">
        <v>0</v>
      </c>
      <c r="G213" s="45">
        <v>0</v>
      </c>
      <c r="H213" s="45"/>
      <c r="I213" s="47">
        <v>0</v>
      </c>
      <c r="J213" s="175">
        <v>45995</v>
      </c>
      <c r="K213" s="176" t="s">
        <v>797</v>
      </c>
      <c r="L213" s="222">
        <v>1410</v>
      </c>
      <c r="M213" s="94" t="s">
        <v>45</v>
      </c>
      <c r="N213" s="116">
        <v>0</v>
      </c>
      <c r="O213" s="233">
        <f t="shared" si="47"/>
        <v>0</v>
      </c>
      <c r="P213" s="233"/>
      <c r="Q213" s="47">
        <f t="shared" si="48"/>
        <v>0</v>
      </c>
      <c r="R213" s="348" t="s">
        <v>195</v>
      </c>
      <c r="S213" s="299" t="s">
        <v>307</v>
      </c>
      <c r="T213" s="299" t="s">
        <v>308</v>
      </c>
      <c r="U213" s="56">
        <v>14640</v>
      </c>
      <c r="V213" s="349" t="s">
        <v>383</v>
      </c>
      <c r="W213" s="295" t="s">
        <v>289</v>
      </c>
      <c r="X213" s="4" t="s">
        <v>384</v>
      </c>
    </row>
    <row r="214" spans="1:24" ht="27.75" customHeight="1">
      <c r="A214" s="186">
        <v>45</v>
      </c>
      <c r="B214" s="40" t="s">
        <v>380</v>
      </c>
      <c r="C214" s="346" t="s">
        <v>385</v>
      </c>
      <c r="D214" s="141">
        <v>1410</v>
      </c>
      <c r="E214" s="43" t="s">
        <v>45</v>
      </c>
      <c r="F214" s="44">
        <v>0</v>
      </c>
      <c r="G214" s="45">
        <v>0</v>
      </c>
      <c r="H214" s="45"/>
      <c r="I214" s="47">
        <v>0</v>
      </c>
      <c r="J214" s="175">
        <v>45995</v>
      </c>
      <c r="K214" s="176" t="s">
        <v>797</v>
      </c>
      <c r="L214" s="222">
        <v>1410</v>
      </c>
      <c r="M214" s="94" t="s">
        <v>45</v>
      </c>
      <c r="N214" s="116">
        <v>0</v>
      </c>
      <c r="O214" s="233">
        <f t="shared" si="47"/>
        <v>0</v>
      </c>
      <c r="P214" s="233"/>
      <c r="Q214" s="47">
        <f t="shared" si="48"/>
        <v>0</v>
      </c>
      <c r="R214" s="348"/>
      <c r="S214" s="299"/>
      <c r="T214" s="299"/>
      <c r="U214" s="56"/>
      <c r="V214" s="349"/>
      <c r="W214" s="295"/>
    </row>
    <row r="215" spans="1:24" ht="27.75" customHeight="1">
      <c r="A215" s="186">
        <v>46</v>
      </c>
      <c r="B215" s="40" t="s">
        <v>380</v>
      </c>
      <c r="C215" s="346" t="s">
        <v>386</v>
      </c>
      <c r="D215" s="141">
        <v>1410</v>
      </c>
      <c r="E215" s="43" t="s">
        <v>45</v>
      </c>
      <c r="F215" s="44">
        <v>0</v>
      </c>
      <c r="G215" s="45">
        <v>0</v>
      </c>
      <c r="H215" s="45"/>
      <c r="I215" s="47">
        <v>0</v>
      </c>
      <c r="J215" s="175">
        <v>45995</v>
      </c>
      <c r="K215" s="176" t="s">
        <v>797</v>
      </c>
      <c r="L215" s="222">
        <v>1410</v>
      </c>
      <c r="M215" s="94" t="s">
        <v>45</v>
      </c>
      <c r="N215" s="116">
        <v>0</v>
      </c>
      <c r="O215" s="233">
        <f t="shared" si="47"/>
        <v>0</v>
      </c>
      <c r="P215" s="233"/>
      <c r="Q215" s="47">
        <f t="shared" si="48"/>
        <v>0</v>
      </c>
      <c r="R215" s="348"/>
      <c r="S215" s="299"/>
      <c r="T215" s="299"/>
      <c r="U215" s="56"/>
      <c r="V215" s="349"/>
      <c r="W215" s="295"/>
    </row>
    <row r="216" spans="1:24" ht="27.75" customHeight="1">
      <c r="A216" s="186">
        <v>47</v>
      </c>
      <c r="B216" s="40" t="s">
        <v>380</v>
      </c>
      <c r="C216" s="346" t="s">
        <v>387</v>
      </c>
      <c r="D216" s="141">
        <v>1410</v>
      </c>
      <c r="E216" s="43" t="s">
        <v>45</v>
      </c>
      <c r="F216" s="44">
        <v>0</v>
      </c>
      <c r="G216" s="45">
        <v>0</v>
      </c>
      <c r="H216" s="45"/>
      <c r="I216" s="47">
        <v>0</v>
      </c>
      <c r="J216" s="175">
        <v>45995</v>
      </c>
      <c r="K216" s="176" t="s">
        <v>797</v>
      </c>
      <c r="L216" s="222">
        <v>1410</v>
      </c>
      <c r="M216" s="94" t="s">
        <v>45</v>
      </c>
      <c r="N216" s="116">
        <v>0</v>
      </c>
      <c r="O216" s="233">
        <f t="shared" si="47"/>
        <v>0</v>
      </c>
      <c r="P216" s="233"/>
      <c r="Q216" s="47">
        <f t="shared" si="48"/>
        <v>0</v>
      </c>
      <c r="R216" s="348"/>
      <c r="S216" s="299"/>
      <c r="T216" s="299"/>
      <c r="U216" s="56"/>
      <c r="V216" s="349"/>
      <c r="W216" s="295"/>
    </row>
    <row r="217" spans="1:24" ht="27.75" customHeight="1">
      <c r="A217" s="186">
        <v>48</v>
      </c>
      <c r="B217" s="351" t="s">
        <v>66</v>
      </c>
      <c r="C217" s="346" t="s">
        <v>388</v>
      </c>
      <c r="D217" s="141">
        <v>1760</v>
      </c>
      <c r="E217" s="43" t="s">
        <v>45</v>
      </c>
      <c r="F217" s="44">
        <v>0</v>
      </c>
      <c r="G217" s="45">
        <v>0</v>
      </c>
      <c r="H217" s="45"/>
      <c r="I217" s="47">
        <v>0</v>
      </c>
      <c r="J217" s="175">
        <v>46020</v>
      </c>
      <c r="K217" s="176" t="s">
        <v>798</v>
      </c>
      <c r="L217" s="222">
        <v>1760</v>
      </c>
      <c r="M217" s="94" t="s">
        <v>45</v>
      </c>
      <c r="N217" s="116">
        <v>0</v>
      </c>
      <c r="O217" s="233">
        <f t="shared" si="47"/>
        <v>0</v>
      </c>
      <c r="P217" s="233"/>
      <c r="Q217" s="47">
        <f t="shared" si="48"/>
        <v>0</v>
      </c>
      <c r="R217" s="39" t="s">
        <v>195</v>
      </c>
      <c r="S217" s="55">
        <v>43313</v>
      </c>
      <c r="T217" s="55">
        <v>44408</v>
      </c>
      <c r="U217" s="56">
        <v>11925</v>
      </c>
      <c r="V217" s="349"/>
    </row>
    <row r="218" spans="1:24" ht="27.75" customHeight="1">
      <c r="A218" s="186">
        <v>49</v>
      </c>
      <c r="B218" s="351" t="s">
        <v>66</v>
      </c>
      <c r="C218" s="346" t="s">
        <v>390</v>
      </c>
      <c r="D218" s="141">
        <v>1760</v>
      </c>
      <c r="E218" s="43" t="s">
        <v>45</v>
      </c>
      <c r="F218" s="44">
        <v>0</v>
      </c>
      <c r="G218" s="45">
        <v>0</v>
      </c>
      <c r="H218" s="45"/>
      <c r="I218" s="47">
        <v>0</v>
      </c>
      <c r="J218" s="175">
        <v>46020</v>
      </c>
      <c r="K218" s="176" t="s">
        <v>798</v>
      </c>
      <c r="L218" s="222">
        <v>1760</v>
      </c>
      <c r="M218" s="94" t="s">
        <v>45</v>
      </c>
      <c r="N218" s="116">
        <v>0</v>
      </c>
      <c r="O218" s="233">
        <f t="shared" si="47"/>
        <v>0</v>
      </c>
      <c r="P218" s="233"/>
      <c r="Q218" s="47">
        <f t="shared" si="48"/>
        <v>0</v>
      </c>
      <c r="R218" s="39"/>
      <c r="S218" s="55"/>
      <c r="T218" s="55"/>
      <c r="U218" s="56"/>
      <c r="V218" s="349"/>
    </row>
    <row r="219" spans="1:24" ht="27.75" customHeight="1">
      <c r="A219" s="186">
        <v>50</v>
      </c>
      <c r="B219" s="351" t="s">
        <v>66</v>
      </c>
      <c r="C219" s="346" t="s">
        <v>391</v>
      </c>
      <c r="D219" s="141">
        <v>1760</v>
      </c>
      <c r="E219" s="43" t="s">
        <v>45</v>
      </c>
      <c r="F219" s="44">
        <v>0</v>
      </c>
      <c r="G219" s="45">
        <v>0</v>
      </c>
      <c r="H219" s="45"/>
      <c r="I219" s="47">
        <v>0</v>
      </c>
      <c r="J219" s="175">
        <v>46020</v>
      </c>
      <c r="K219" s="176" t="s">
        <v>798</v>
      </c>
      <c r="L219" s="222">
        <v>1760</v>
      </c>
      <c r="M219" s="94" t="s">
        <v>45</v>
      </c>
      <c r="N219" s="116">
        <v>0</v>
      </c>
      <c r="O219" s="233">
        <f t="shared" si="47"/>
        <v>0</v>
      </c>
      <c r="P219" s="233"/>
      <c r="Q219" s="47">
        <f t="shared" si="48"/>
        <v>0</v>
      </c>
      <c r="R219" s="39"/>
      <c r="S219" s="55"/>
      <c r="T219" s="55"/>
      <c r="U219" s="56"/>
      <c r="V219" s="349"/>
    </row>
    <row r="220" spans="1:24" ht="27.75" customHeight="1">
      <c r="A220" s="186">
        <v>51</v>
      </c>
      <c r="B220" s="351" t="s">
        <v>66</v>
      </c>
      <c r="C220" s="346" t="s">
        <v>69</v>
      </c>
      <c r="D220" s="141">
        <v>2720</v>
      </c>
      <c r="E220" s="43" t="s">
        <v>45</v>
      </c>
      <c r="F220" s="44">
        <v>0</v>
      </c>
      <c r="G220" s="45">
        <v>0</v>
      </c>
      <c r="H220" s="45"/>
      <c r="I220" s="47">
        <v>0</v>
      </c>
      <c r="J220" s="175">
        <v>46020</v>
      </c>
      <c r="K220" s="176" t="s">
        <v>799</v>
      </c>
      <c r="L220" s="222">
        <v>2720</v>
      </c>
      <c r="M220" s="94" t="s">
        <v>45</v>
      </c>
      <c r="N220" s="116">
        <v>0</v>
      </c>
      <c r="O220" s="233">
        <f t="shared" si="47"/>
        <v>0</v>
      </c>
      <c r="P220" s="233"/>
      <c r="Q220" s="47">
        <f t="shared" si="48"/>
        <v>0</v>
      </c>
      <c r="R220" s="39" t="s">
        <v>195</v>
      </c>
      <c r="S220" s="55">
        <v>43313</v>
      </c>
      <c r="T220" s="55">
        <v>44408</v>
      </c>
      <c r="U220" s="56">
        <v>9000</v>
      </c>
      <c r="V220" s="349"/>
    </row>
    <row r="221" spans="1:24" ht="27.75" customHeight="1">
      <c r="A221" s="94"/>
      <c r="B221" s="352" t="s">
        <v>393</v>
      </c>
      <c r="C221" s="353"/>
      <c r="D221" s="296"/>
      <c r="E221" s="64"/>
      <c r="F221" s="44"/>
      <c r="G221" s="45"/>
      <c r="H221" s="45"/>
      <c r="I221" s="354"/>
      <c r="J221" s="183"/>
      <c r="K221" s="355"/>
      <c r="L221" s="231"/>
      <c r="M221" s="186"/>
      <c r="N221" s="116"/>
      <c r="O221" s="233"/>
      <c r="P221" s="233"/>
      <c r="Q221" s="17"/>
      <c r="R221" s="356"/>
      <c r="S221" s="55"/>
      <c r="T221" s="55"/>
      <c r="U221" s="56"/>
      <c r="V221" s="349"/>
    </row>
    <row r="222" spans="1:24" ht="27.75" customHeight="1">
      <c r="A222" s="94"/>
      <c r="B222" s="352" t="s">
        <v>394</v>
      </c>
      <c r="C222" s="353"/>
      <c r="D222" s="296"/>
      <c r="E222" s="64"/>
      <c r="F222" s="44"/>
      <c r="G222" s="45"/>
      <c r="H222" s="45"/>
      <c r="I222" s="354"/>
      <c r="J222" s="175"/>
      <c r="K222" s="355"/>
      <c r="L222" s="222"/>
      <c r="M222" s="186"/>
      <c r="N222" s="116"/>
      <c r="O222" s="233"/>
      <c r="P222" s="233"/>
      <c r="Q222" s="17"/>
      <c r="R222" s="356"/>
      <c r="S222" s="55"/>
      <c r="T222" s="55"/>
      <c r="U222" s="56"/>
      <c r="V222" s="349"/>
    </row>
    <row r="223" spans="1:24" ht="27.75" customHeight="1" thickBot="1">
      <c r="A223" s="357"/>
      <c r="B223" s="358"/>
      <c r="C223" s="359"/>
      <c r="D223" s="360">
        <f>SUM(D170:D222)</f>
        <v>73700</v>
      </c>
      <c r="E223" s="100"/>
      <c r="F223" s="101"/>
      <c r="G223" s="102">
        <v>0</v>
      </c>
      <c r="H223" s="102">
        <v>0</v>
      </c>
      <c r="I223" s="102">
        <v>0</v>
      </c>
      <c r="J223" s="361"/>
      <c r="K223" s="361"/>
      <c r="L223" s="362">
        <f>SUM(L170:L222)</f>
        <v>90620</v>
      </c>
      <c r="M223" s="106"/>
      <c r="N223" s="107"/>
      <c r="O223" s="363">
        <f>SUM(O170:O222)-O171-O172-O176-O177-O178-O179-O180-O185-O186-O187-O200-O201</f>
        <v>0</v>
      </c>
      <c r="P223" s="363">
        <f t="shared" ref="P223:Q223" si="49">SUM(P170:P222)-P171-P172-P176-P177-P178-P179-P180-P185-P186-P187-P200-P201</f>
        <v>0</v>
      </c>
      <c r="Q223" s="363">
        <f t="shared" si="49"/>
        <v>0</v>
      </c>
      <c r="R223" s="356"/>
      <c r="S223" s="55"/>
      <c r="T223" s="55"/>
      <c r="U223" s="56"/>
      <c r="V223" s="349"/>
    </row>
    <row r="224" spans="1:24" ht="27.75" customHeight="1" thickTop="1">
      <c r="A224" s="94"/>
      <c r="B224" s="364" t="s">
        <v>395</v>
      </c>
      <c r="C224" s="81"/>
      <c r="D224" s="192"/>
      <c r="E224" s="365"/>
      <c r="F224" s="126"/>
      <c r="G224" s="65"/>
      <c r="H224" s="65"/>
      <c r="I224" s="85"/>
      <c r="J224" s="178"/>
      <c r="K224" s="179"/>
      <c r="L224" s="264"/>
      <c r="M224" s="83"/>
      <c r="N224" s="251"/>
      <c r="O224" s="337"/>
      <c r="P224" s="337"/>
      <c r="Q224" s="85"/>
      <c r="R224" s="39"/>
      <c r="S224" s="55"/>
      <c r="T224" s="55"/>
      <c r="U224" s="56"/>
      <c r="V224" s="56"/>
    </row>
    <row r="225" spans="1:24" ht="27.75" customHeight="1">
      <c r="A225" s="94">
        <v>1</v>
      </c>
      <c r="B225" s="366" t="s">
        <v>167</v>
      </c>
      <c r="C225" s="367" t="s">
        <v>396</v>
      </c>
      <c r="D225" s="141">
        <v>22690</v>
      </c>
      <c r="E225" s="43" t="s">
        <v>45</v>
      </c>
      <c r="F225" s="44">
        <v>0</v>
      </c>
      <c r="G225" s="45">
        <v>0</v>
      </c>
      <c r="H225" s="45"/>
      <c r="I225" s="47">
        <v>0</v>
      </c>
      <c r="J225" s="175">
        <v>45995</v>
      </c>
      <c r="K225" s="176" t="s">
        <v>800</v>
      </c>
      <c r="L225" s="222">
        <v>22690</v>
      </c>
      <c r="M225" s="94" t="s">
        <v>45</v>
      </c>
      <c r="N225" s="116">
        <v>0</v>
      </c>
      <c r="O225" s="233">
        <f t="shared" ref="O225" si="50">+I225+D225-L225</f>
        <v>0</v>
      </c>
      <c r="P225" s="233"/>
      <c r="Q225" s="368">
        <f t="shared" ref="Q225" si="51">+O225+P225</f>
        <v>0</v>
      </c>
      <c r="R225" s="348" t="s">
        <v>195</v>
      </c>
      <c r="S225" s="299">
        <v>44166</v>
      </c>
      <c r="T225" s="299">
        <v>45260</v>
      </c>
      <c r="U225" s="149">
        <v>51450</v>
      </c>
      <c r="V225" s="369" t="s">
        <v>398</v>
      </c>
      <c r="W225" s="4" t="s">
        <v>399</v>
      </c>
      <c r="X225" s="4" t="s">
        <v>400</v>
      </c>
    </row>
    <row r="226" spans="1:24" ht="27.75" customHeight="1">
      <c r="A226" s="94"/>
      <c r="B226" s="366" t="s">
        <v>401</v>
      </c>
      <c r="C226" s="367" t="s">
        <v>402</v>
      </c>
      <c r="D226" s="141"/>
      <c r="E226" s="43"/>
      <c r="F226" s="44"/>
      <c r="G226" s="45"/>
      <c r="H226" s="45"/>
      <c r="I226" s="47"/>
      <c r="J226" s="175"/>
      <c r="K226" s="176"/>
      <c r="L226" s="222"/>
      <c r="M226" s="94"/>
      <c r="N226" s="116"/>
      <c r="O226" s="233"/>
      <c r="P226" s="233"/>
      <c r="Q226" s="368"/>
      <c r="R226" s="348"/>
      <c r="S226" s="299"/>
      <c r="T226" s="299"/>
      <c r="U226" s="149"/>
      <c r="V226" s="369"/>
    </row>
    <row r="227" spans="1:24" ht="27.75" customHeight="1">
      <c r="A227" s="94">
        <v>2</v>
      </c>
      <c r="B227" s="366" t="s">
        <v>24</v>
      </c>
      <c r="C227" s="367" t="s">
        <v>403</v>
      </c>
      <c r="D227" s="141">
        <v>13300</v>
      </c>
      <c r="E227" s="43" t="s">
        <v>700</v>
      </c>
      <c r="F227" s="44">
        <v>-2.15</v>
      </c>
      <c r="G227" s="45">
        <v>-28595</v>
      </c>
      <c r="H227" s="45"/>
      <c r="I227" s="47">
        <v>-28595</v>
      </c>
      <c r="J227" s="175"/>
      <c r="K227" s="176"/>
      <c r="L227" s="222">
        <v>0</v>
      </c>
      <c r="M227" s="94" t="s">
        <v>801</v>
      </c>
      <c r="N227" s="116">
        <v>-1.1499999999999999</v>
      </c>
      <c r="O227" s="233">
        <f t="shared" ref="O227" si="52">+I227+D227-L227</f>
        <v>-15295</v>
      </c>
      <c r="P227" s="233"/>
      <c r="Q227" s="368">
        <f t="shared" ref="Q227" si="53">+O227+P227</f>
        <v>-15295</v>
      </c>
      <c r="R227" s="348" t="s">
        <v>405</v>
      </c>
      <c r="S227" s="299">
        <v>44562</v>
      </c>
      <c r="T227" s="299" t="s">
        <v>406</v>
      </c>
      <c r="U227" s="149">
        <v>34680</v>
      </c>
      <c r="V227" s="370" t="s">
        <v>407</v>
      </c>
      <c r="W227" s="295" t="s">
        <v>289</v>
      </c>
      <c r="X227" s="4" t="s">
        <v>408</v>
      </c>
    </row>
    <row r="228" spans="1:24" ht="27.75" customHeight="1">
      <c r="A228" s="94"/>
      <c r="B228" s="366" t="s">
        <v>409</v>
      </c>
      <c r="C228" s="367" t="s">
        <v>410</v>
      </c>
      <c r="D228" s="141"/>
      <c r="E228" s="43"/>
      <c r="F228" s="44"/>
      <c r="G228" s="45"/>
      <c r="H228" s="45"/>
      <c r="I228" s="47"/>
      <c r="J228" s="175"/>
      <c r="K228" s="176"/>
      <c r="L228" s="222"/>
      <c r="M228" s="94"/>
      <c r="N228" s="116"/>
      <c r="O228" s="233"/>
      <c r="P228" s="233"/>
      <c r="Q228" s="368"/>
      <c r="R228" s="348"/>
      <c r="S228" s="299"/>
      <c r="T228" s="299"/>
      <c r="U228" s="149"/>
      <c r="V228" s="370"/>
      <c r="W228" s="295"/>
    </row>
    <row r="229" spans="1:24" ht="27.75" customHeight="1">
      <c r="A229" s="94">
        <v>3</v>
      </c>
      <c r="B229" s="366" t="s">
        <v>411</v>
      </c>
      <c r="C229" s="367" t="s">
        <v>412</v>
      </c>
      <c r="D229" s="141">
        <v>5360</v>
      </c>
      <c r="E229" s="43" t="s">
        <v>45</v>
      </c>
      <c r="F229" s="44">
        <v>0</v>
      </c>
      <c r="G229" s="45">
        <v>0</v>
      </c>
      <c r="H229" s="45"/>
      <c r="I229" s="47">
        <v>0</v>
      </c>
      <c r="J229" s="175">
        <v>45996</v>
      </c>
      <c r="K229" s="176" t="s">
        <v>802</v>
      </c>
      <c r="L229" s="222">
        <v>5360</v>
      </c>
      <c r="M229" s="94" t="s">
        <v>45</v>
      </c>
      <c r="N229" s="116">
        <v>0</v>
      </c>
      <c r="O229" s="233">
        <f t="shared" ref="O229" si="54">+I229+D229-L229</f>
        <v>0</v>
      </c>
      <c r="P229" s="233"/>
      <c r="Q229" s="368">
        <f t="shared" ref="Q229" si="55">+O229+P229</f>
        <v>0</v>
      </c>
      <c r="R229" s="348" t="s">
        <v>405</v>
      </c>
      <c r="S229" s="299">
        <v>44562</v>
      </c>
      <c r="T229" s="299">
        <v>45503</v>
      </c>
      <c r="U229" s="149">
        <v>13980</v>
      </c>
      <c r="V229" s="371" t="s">
        <v>414</v>
      </c>
      <c r="W229" s="295" t="s">
        <v>289</v>
      </c>
      <c r="X229" s="4" t="s">
        <v>415</v>
      </c>
    </row>
    <row r="230" spans="1:24" ht="27.75" customHeight="1">
      <c r="A230" s="94"/>
      <c r="B230" s="366" t="s">
        <v>409</v>
      </c>
      <c r="C230" s="367" t="s">
        <v>416</v>
      </c>
      <c r="D230" s="141"/>
      <c r="E230" s="43"/>
      <c r="F230" s="44"/>
      <c r="G230" s="45"/>
      <c r="H230" s="45"/>
      <c r="I230" s="47"/>
      <c r="J230" s="175"/>
      <c r="K230" s="176"/>
      <c r="L230" s="222"/>
      <c r="N230" s="116"/>
      <c r="O230" s="233"/>
      <c r="P230" s="233"/>
      <c r="Q230" s="368"/>
      <c r="R230" s="348"/>
      <c r="S230" s="299"/>
      <c r="T230" s="299"/>
      <c r="U230" s="149"/>
      <c r="V230" s="371"/>
      <c r="W230" s="295"/>
    </row>
    <row r="231" spans="1:24" ht="27.75" customHeight="1">
      <c r="A231" s="94">
        <v>4</v>
      </c>
      <c r="B231" s="366" t="s">
        <v>417</v>
      </c>
      <c r="C231" s="367" t="s">
        <v>418</v>
      </c>
      <c r="D231" s="141">
        <v>68108.75</v>
      </c>
      <c r="E231" s="373" t="s">
        <v>613</v>
      </c>
      <c r="F231" s="374">
        <v>-0.49999992658799353</v>
      </c>
      <c r="G231" s="375">
        <v>-34054.370000000003</v>
      </c>
      <c r="H231" s="375"/>
      <c r="I231" s="376">
        <v>-34054.370000000003</v>
      </c>
      <c r="J231" s="175">
        <v>46014</v>
      </c>
      <c r="K231" s="176" t="s">
        <v>803</v>
      </c>
      <c r="L231" s="222">
        <v>68108.75</v>
      </c>
      <c r="M231" s="377" t="s">
        <v>722</v>
      </c>
      <c r="N231" s="116">
        <v>-0.49999992658799353</v>
      </c>
      <c r="O231" s="233">
        <f t="shared" ref="O231" si="56">+I231+D231-L231</f>
        <v>-34054.370000000003</v>
      </c>
      <c r="P231" s="233"/>
      <c r="Q231" s="368">
        <f t="shared" ref="Q231" si="57">+O231+P231</f>
        <v>-34054.370000000003</v>
      </c>
      <c r="R231" s="39" t="s">
        <v>195</v>
      </c>
      <c r="S231" s="55">
        <v>40072</v>
      </c>
      <c r="T231" s="55">
        <v>41167</v>
      </c>
      <c r="U231" s="56">
        <v>132250</v>
      </c>
      <c r="V231" s="378" t="s">
        <v>420</v>
      </c>
    </row>
    <row r="232" spans="1:24" ht="27.75" customHeight="1">
      <c r="A232" s="94"/>
      <c r="B232" s="366" t="s">
        <v>409</v>
      </c>
      <c r="C232" s="379"/>
      <c r="D232" s="141"/>
      <c r="E232" s="43"/>
      <c r="F232" s="44"/>
      <c r="G232" s="45">
        <v>0</v>
      </c>
      <c r="H232" s="45"/>
      <c r="I232" s="47">
        <v>0</v>
      </c>
      <c r="J232" s="175"/>
      <c r="K232" s="176"/>
      <c r="L232" s="222"/>
      <c r="M232" s="94"/>
      <c r="N232" s="116"/>
      <c r="O232" s="233">
        <f t="shared" ref="O232:O233" si="58">D232+I232-L232</f>
        <v>0</v>
      </c>
      <c r="P232" s="233"/>
      <c r="Q232" s="368">
        <f t="shared" ref="Q232:Q233" si="59">O232</f>
        <v>0</v>
      </c>
      <c r="R232" s="39"/>
      <c r="S232" s="55"/>
      <c r="T232" s="55"/>
      <c r="U232" s="56"/>
      <c r="V232" s="56"/>
    </row>
    <row r="233" spans="1:24" ht="27.75" customHeight="1">
      <c r="A233" s="94">
        <v>5</v>
      </c>
      <c r="B233" s="366" t="s">
        <v>417</v>
      </c>
      <c r="C233" s="367" t="s">
        <v>421</v>
      </c>
      <c r="D233" s="141">
        <v>4910</v>
      </c>
      <c r="E233" s="43" t="s">
        <v>45</v>
      </c>
      <c r="F233" s="44">
        <v>0</v>
      </c>
      <c r="G233" s="45">
        <v>0</v>
      </c>
      <c r="H233" s="45">
        <v>0</v>
      </c>
      <c r="I233" s="47">
        <v>0</v>
      </c>
      <c r="J233" s="175">
        <v>45992</v>
      </c>
      <c r="K233" s="176" t="s">
        <v>804</v>
      </c>
      <c r="L233" s="222">
        <v>4910</v>
      </c>
      <c r="M233" s="94" t="s">
        <v>45</v>
      </c>
      <c r="N233" s="116">
        <v>0</v>
      </c>
      <c r="O233" s="233">
        <f t="shared" si="58"/>
        <v>0</v>
      </c>
      <c r="P233" s="233">
        <v>0</v>
      </c>
      <c r="Q233" s="368">
        <f t="shared" si="59"/>
        <v>0</v>
      </c>
      <c r="R233" s="348" t="s">
        <v>195</v>
      </c>
      <c r="S233" s="299" t="s">
        <v>423</v>
      </c>
      <c r="T233" s="299" t="s">
        <v>406</v>
      </c>
      <c r="U233" s="56">
        <v>6420</v>
      </c>
      <c r="V233" s="56" t="s">
        <v>424</v>
      </c>
      <c r="W233" s="295" t="s">
        <v>289</v>
      </c>
      <c r="X233" s="4" t="s">
        <v>425</v>
      </c>
    </row>
    <row r="234" spans="1:24" ht="27.75" customHeight="1">
      <c r="A234" s="94"/>
      <c r="B234" s="366" t="s">
        <v>426</v>
      </c>
      <c r="C234" s="366" t="s">
        <v>427</v>
      </c>
      <c r="D234" s="141"/>
      <c r="E234" s="43"/>
      <c r="F234" s="44"/>
      <c r="G234" s="45"/>
      <c r="H234" s="45"/>
      <c r="I234" s="47"/>
      <c r="J234" s="175"/>
      <c r="K234" s="176"/>
      <c r="L234" s="222"/>
      <c r="M234" s="94"/>
      <c r="N234" s="116"/>
      <c r="O234" s="233"/>
      <c r="P234" s="233"/>
      <c r="Q234" s="368"/>
      <c r="R234" s="348"/>
      <c r="S234" s="299"/>
      <c r="T234" s="299"/>
      <c r="U234" s="56"/>
      <c r="V234" s="56"/>
      <c r="W234" s="295"/>
    </row>
    <row r="235" spans="1:24" ht="27.75" customHeight="1">
      <c r="A235" s="94">
        <v>6</v>
      </c>
      <c r="B235" s="366" t="s">
        <v>428</v>
      </c>
      <c r="C235" s="367" t="s">
        <v>429</v>
      </c>
      <c r="D235" s="141">
        <v>20000</v>
      </c>
      <c r="E235" s="43" t="s">
        <v>45</v>
      </c>
      <c r="F235" s="44">
        <v>0</v>
      </c>
      <c r="G235" s="45"/>
      <c r="H235" s="45"/>
      <c r="I235" s="47"/>
      <c r="J235" s="175">
        <v>45996</v>
      </c>
      <c r="K235" s="176" t="s">
        <v>805</v>
      </c>
      <c r="L235" s="222">
        <v>20000</v>
      </c>
      <c r="M235" s="94" t="s">
        <v>45</v>
      </c>
      <c r="N235" s="116">
        <v>0</v>
      </c>
      <c r="O235" s="233"/>
      <c r="P235" s="233"/>
      <c r="Q235" s="368"/>
      <c r="R235" s="348"/>
      <c r="S235" s="299"/>
      <c r="T235" s="299"/>
      <c r="U235" s="56"/>
      <c r="V235" s="56"/>
      <c r="W235" s="295"/>
    </row>
    <row r="236" spans="1:24" ht="27.75" customHeight="1">
      <c r="A236" s="94"/>
      <c r="B236" s="366" t="s">
        <v>431</v>
      </c>
      <c r="C236" s="366" t="s">
        <v>432</v>
      </c>
      <c r="D236" s="141"/>
      <c r="E236" s="43"/>
      <c r="F236" s="44"/>
      <c r="G236" s="45"/>
      <c r="H236" s="45"/>
      <c r="I236" s="47"/>
      <c r="J236" s="175"/>
      <c r="K236" s="176"/>
      <c r="L236" s="222"/>
      <c r="M236" s="94"/>
      <c r="N236" s="116"/>
      <c r="O236" s="233"/>
      <c r="P236" s="233"/>
      <c r="Q236" s="47"/>
      <c r="R236" s="39"/>
      <c r="S236" s="55"/>
      <c r="T236" s="55"/>
      <c r="U236" s="56"/>
      <c r="V236" s="56"/>
    </row>
    <row r="237" spans="1:24" ht="27.75" customHeight="1" thickBot="1">
      <c r="A237" s="193"/>
      <c r="B237" s="194" t="s">
        <v>22</v>
      </c>
      <c r="C237" s="195"/>
      <c r="D237" s="196">
        <f>SUM(D225:D236)</f>
        <v>134368.75</v>
      </c>
      <c r="E237" s="221"/>
      <c r="F237" s="197"/>
      <c r="G237" s="198">
        <v>0</v>
      </c>
      <c r="H237" s="198"/>
      <c r="I237" s="198">
        <v>0</v>
      </c>
      <c r="J237" s="199"/>
      <c r="K237" s="199"/>
      <c r="L237" s="196">
        <f>SUM(L225:L236)</f>
        <v>121068.75</v>
      </c>
      <c r="M237" s="200"/>
      <c r="N237" s="196"/>
      <c r="O237" s="198">
        <v>0</v>
      </c>
      <c r="P237" s="198"/>
      <c r="Q237" s="198">
        <v>0</v>
      </c>
      <c r="R237" s="36"/>
      <c r="S237" s="37"/>
      <c r="T237" s="37"/>
      <c r="U237" s="38"/>
      <c r="V237" s="38"/>
      <c r="W237" s="38"/>
    </row>
    <row r="238" spans="1:24" ht="27.75" customHeight="1" thickTop="1">
      <c r="A238" s="22"/>
      <c r="B238" s="288" t="s">
        <v>433</v>
      </c>
      <c r="C238" s="380"/>
      <c r="D238" s="284"/>
      <c r="E238" s="273"/>
      <c r="F238" s="274"/>
      <c r="G238" s="381"/>
      <c r="H238" s="381"/>
      <c r="I238" s="381"/>
      <c r="J238" s="382"/>
      <c r="K238" s="382"/>
      <c r="L238" s="383"/>
      <c r="M238" s="384"/>
      <c r="N238" s="284"/>
      <c r="O238" s="381"/>
      <c r="P238" s="381"/>
      <c r="Q238" s="381"/>
      <c r="R238" s="36"/>
      <c r="S238" s="37"/>
      <c r="T238" s="37"/>
      <c r="U238" s="38"/>
      <c r="V238" s="38"/>
      <c r="W238" s="38"/>
    </row>
    <row r="239" spans="1:24" ht="27.75" customHeight="1">
      <c r="A239" s="22">
        <v>1</v>
      </c>
      <c r="B239" s="270" t="s">
        <v>434</v>
      </c>
      <c r="C239" s="380" t="s">
        <v>435</v>
      </c>
      <c r="D239" s="284">
        <v>0</v>
      </c>
      <c r="E239" s="273"/>
      <c r="F239" s="274"/>
      <c r="G239" s="381">
        <v>-6.3664629124104977E-12</v>
      </c>
      <c r="H239" s="381"/>
      <c r="I239" s="381">
        <v>-6.3664629124104977E-12</v>
      </c>
      <c r="J239" s="385"/>
      <c r="K239" s="386"/>
      <c r="L239" s="383"/>
      <c r="M239" s="387"/>
      <c r="N239" s="116"/>
      <c r="O239" s="388">
        <f>D239+I239-L239</f>
        <v>-6.3664629124104977E-12</v>
      </c>
      <c r="P239" s="388"/>
      <c r="Q239" s="376">
        <f>O239</f>
        <v>-6.3664629124104977E-12</v>
      </c>
      <c r="R239" s="36"/>
      <c r="S239" s="37"/>
      <c r="T239" s="37"/>
      <c r="U239" s="38"/>
      <c r="V239" s="38"/>
      <c r="W239" s="38"/>
    </row>
    <row r="240" spans="1:24" ht="27.75" customHeight="1">
      <c r="A240" s="22"/>
      <c r="B240" s="270" t="s">
        <v>436</v>
      </c>
      <c r="C240" s="380" t="s">
        <v>437</v>
      </c>
      <c r="D240" s="284"/>
      <c r="E240" s="384"/>
      <c r="F240" s="274"/>
      <c r="G240" s="381"/>
      <c r="H240" s="381"/>
      <c r="I240" s="381"/>
      <c r="J240" s="382"/>
      <c r="K240" s="382"/>
      <c r="L240" s="383"/>
      <c r="M240" s="384"/>
      <c r="N240" s="284"/>
      <c r="O240" s="381"/>
      <c r="P240" s="381"/>
      <c r="Q240" s="381"/>
      <c r="R240" s="36"/>
      <c r="S240" s="37"/>
      <c r="T240" s="37"/>
      <c r="U240" s="38"/>
      <c r="V240" s="38"/>
      <c r="W240" s="38"/>
    </row>
    <row r="241" spans="1:25" ht="27.75" customHeight="1">
      <c r="A241" s="22">
        <v>2</v>
      </c>
      <c r="B241" s="270" t="s">
        <v>438</v>
      </c>
      <c r="C241" s="380" t="s">
        <v>439</v>
      </c>
      <c r="D241" s="284">
        <v>1500</v>
      </c>
      <c r="E241" s="384"/>
      <c r="F241" s="274"/>
      <c r="G241" s="381">
        <v>0</v>
      </c>
      <c r="H241" s="381">
        <v>0</v>
      </c>
      <c r="I241" s="381">
        <v>0</v>
      </c>
      <c r="J241" s="389">
        <v>45995</v>
      </c>
      <c r="K241" s="386" t="s">
        <v>807</v>
      </c>
      <c r="L241" s="383">
        <v>1500</v>
      </c>
      <c r="M241" s="390" t="s">
        <v>45</v>
      </c>
      <c r="N241" s="391">
        <v>0</v>
      </c>
      <c r="O241" s="381">
        <f>SUM(D241+G241-L241)</f>
        <v>0</v>
      </c>
      <c r="P241" s="381">
        <v>0</v>
      </c>
      <c r="Q241" s="381">
        <f>SUM(O241)</f>
        <v>0</v>
      </c>
      <c r="R241" s="36"/>
      <c r="S241" s="37"/>
      <c r="T241" s="37"/>
      <c r="U241" s="38"/>
      <c r="V241" s="38"/>
      <c r="W241" s="38"/>
    </row>
    <row r="242" spans="1:25" ht="27.75" customHeight="1" thickBot="1">
      <c r="A242" s="193"/>
      <c r="B242" s="194" t="s">
        <v>22</v>
      </c>
      <c r="C242" s="195"/>
      <c r="D242" s="196">
        <f>SUM(D239:D241)</f>
        <v>1500</v>
      </c>
      <c r="E242" s="221">
        <v>0</v>
      </c>
      <c r="F242" s="197"/>
      <c r="G242" s="392">
        <v>0</v>
      </c>
      <c r="H242" s="392">
        <v>0</v>
      </c>
      <c r="I242" s="392">
        <v>0</v>
      </c>
      <c r="J242" s="393">
        <v>0</v>
      </c>
      <c r="K242" s="393">
        <v>0</v>
      </c>
      <c r="L242" s="394">
        <f>SUM(L239:L241)</f>
        <v>1500</v>
      </c>
      <c r="M242" s="395"/>
      <c r="N242" s="392"/>
      <c r="O242" s="392">
        <f>SUM(O239:O241)</f>
        <v>-6.3664629124104977E-12</v>
      </c>
      <c r="P242" s="392">
        <f t="shared" ref="P242:Q242" si="60">SUM(P239:P241)</f>
        <v>0</v>
      </c>
      <c r="Q242" s="392">
        <f t="shared" si="60"/>
        <v>-6.3664629124104977E-12</v>
      </c>
      <c r="R242" s="36"/>
      <c r="S242" s="37"/>
      <c r="T242" s="37"/>
      <c r="U242" s="38"/>
      <c r="V242" s="38"/>
      <c r="W242" s="38"/>
    </row>
    <row r="243" spans="1:25" ht="27.75" customHeight="1" thickTop="1">
      <c r="A243" s="22"/>
      <c r="B243" s="288" t="s">
        <v>441</v>
      </c>
      <c r="C243" s="289"/>
      <c r="D243" s="272"/>
      <c r="E243" s="201"/>
      <c r="F243" s="281"/>
      <c r="G243" s="290"/>
      <c r="H243" s="290"/>
      <c r="I243" s="290"/>
      <c r="J243" s="291"/>
      <c r="K243" s="292"/>
      <c r="L243" s="222"/>
      <c r="M243" s="94"/>
      <c r="N243" s="39"/>
      <c r="O243" s="293"/>
      <c r="P243" s="293"/>
      <c r="Q243" s="294"/>
      <c r="R243" s="36"/>
      <c r="S243" s="37"/>
      <c r="T243" s="37"/>
      <c r="U243" s="38"/>
      <c r="V243" s="38"/>
      <c r="W243" s="38"/>
    </row>
    <row r="244" spans="1:25" ht="27.75" customHeight="1">
      <c r="A244" s="94">
        <v>1</v>
      </c>
      <c r="B244" s="40" t="s">
        <v>442</v>
      </c>
      <c r="C244" s="206" t="s">
        <v>443</v>
      </c>
      <c r="D244" s="296">
        <v>98948</v>
      </c>
      <c r="E244" s="43" t="s">
        <v>641</v>
      </c>
      <c r="F244" s="44">
        <v>-10</v>
      </c>
      <c r="G244" s="45">
        <v>-989480</v>
      </c>
      <c r="H244" s="45"/>
      <c r="I244" s="47">
        <v>-989480</v>
      </c>
      <c r="J244" s="175"/>
      <c r="K244" s="176"/>
      <c r="L244" s="222"/>
      <c r="M244" s="387" t="s">
        <v>749</v>
      </c>
      <c r="N244" s="116">
        <v>-9</v>
      </c>
      <c r="O244" s="233">
        <f t="shared" ref="O244" si="61">Q244</f>
        <v>-890532</v>
      </c>
      <c r="P244" s="233"/>
      <c r="Q244" s="376">
        <f>D244+I244-L244</f>
        <v>-890532</v>
      </c>
      <c r="R244" s="39" t="s">
        <v>446</v>
      </c>
      <c r="S244" s="55">
        <v>43952</v>
      </c>
      <c r="T244" s="55">
        <v>44561</v>
      </c>
      <c r="U244" s="56">
        <v>1032500</v>
      </c>
      <c r="V244" s="56" t="s">
        <v>447</v>
      </c>
    </row>
    <row r="245" spans="1:25" ht="27.75" customHeight="1">
      <c r="A245" s="94"/>
      <c r="B245" s="396" t="s">
        <v>448</v>
      </c>
      <c r="C245" s="206" t="s">
        <v>449</v>
      </c>
      <c r="D245" s="296"/>
      <c r="E245" s="64"/>
      <c r="F245" s="44"/>
      <c r="G245" s="45"/>
      <c r="H245" s="45"/>
      <c r="I245" s="47"/>
      <c r="J245" s="183"/>
      <c r="K245" s="184"/>
      <c r="L245" s="231"/>
      <c r="M245" s="186"/>
      <c r="N245" s="116"/>
      <c r="O245" s="233"/>
      <c r="P245" s="233"/>
      <c r="Q245" s="376"/>
      <c r="R245" s="297"/>
      <c r="S245" s="298"/>
      <c r="T245" s="298"/>
      <c r="U245" s="397"/>
      <c r="V245" s="397"/>
    </row>
    <row r="246" spans="1:25" ht="27.75" customHeight="1">
      <c r="A246" s="94"/>
      <c r="B246" s="396"/>
      <c r="C246" s="398" t="s">
        <v>450</v>
      </c>
      <c r="D246" s="296"/>
      <c r="E246" s="64"/>
      <c r="F246" s="44"/>
      <c r="G246" s="45"/>
      <c r="H246" s="45"/>
      <c r="I246" s="47"/>
      <c r="J246" s="183"/>
      <c r="K246" s="184"/>
      <c r="L246" s="231"/>
      <c r="M246" s="186"/>
      <c r="N246" s="116"/>
      <c r="O246" s="233"/>
      <c r="P246" s="233"/>
      <c r="Q246" s="376"/>
      <c r="R246" s="297"/>
      <c r="S246" s="298"/>
      <c r="T246" s="298"/>
      <c r="U246" s="397"/>
      <c r="V246" s="397"/>
    </row>
    <row r="247" spans="1:25" ht="27.75" customHeight="1">
      <c r="A247" s="94">
        <v>2</v>
      </c>
      <c r="B247" s="205" t="s">
        <v>451</v>
      </c>
      <c r="C247" s="206" t="s">
        <v>452</v>
      </c>
      <c r="D247" s="296">
        <v>48779</v>
      </c>
      <c r="E247" s="64" t="s">
        <v>706</v>
      </c>
      <c r="F247" s="44">
        <v>-12</v>
      </c>
      <c r="G247" s="45">
        <v>-572614</v>
      </c>
      <c r="H247" s="45"/>
      <c r="I247" s="47">
        <v>-572614</v>
      </c>
      <c r="J247" s="183"/>
      <c r="K247" s="184"/>
      <c r="L247" s="231"/>
      <c r="M247" s="399" t="s">
        <v>806</v>
      </c>
      <c r="N247" s="116">
        <v>-10.738945037823653</v>
      </c>
      <c r="O247" s="233">
        <f t="shared" ref="O247" si="62">Q247</f>
        <v>-523835</v>
      </c>
      <c r="P247" s="233"/>
      <c r="Q247" s="368">
        <f>D247+I247-L247</f>
        <v>-523835</v>
      </c>
      <c r="R247" s="172" t="s">
        <v>456</v>
      </c>
      <c r="S247" s="400" t="s">
        <v>457</v>
      </c>
      <c r="T247" s="400" t="s">
        <v>458</v>
      </c>
      <c r="U247" s="401">
        <v>442600</v>
      </c>
      <c r="V247" s="401" t="s">
        <v>459</v>
      </c>
    </row>
    <row r="248" spans="1:25" ht="27.75" customHeight="1">
      <c r="A248" s="232"/>
      <c r="B248" s="402" t="s">
        <v>460</v>
      </c>
      <c r="C248" s="206" t="s">
        <v>461</v>
      </c>
      <c r="D248" s="296"/>
      <c r="E248" s="64"/>
      <c r="F248" s="44"/>
      <c r="G248" s="45"/>
      <c r="H248" s="45"/>
      <c r="I248" s="47"/>
      <c r="J248" s="183"/>
      <c r="K248" s="184"/>
      <c r="L248" s="231"/>
      <c r="M248" s="186"/>
      <c r="N248" s="116"/>
      <c r="O248" s="233"/>
      <c r="P248" s="233"/>
      <c r="Q248" s="403"/>
      <c r="R248" s="172"/>
      <c r="S248" s="400"/>
      <c r="T248" s="400"/>
      <c r="U248" s="401"/>
      <c r="V248" s="401"/>
    </row>
    <row r="249" spans="1:25" ht="27.75" customHeight="1">
      <c r="A249" s="186"/>
      <c r="B249" s="404" t="s">
        <v>448</v>
      </c>
      <c r="C249" s="206" t="s">
        <v>462</v>
      </c>
      <c r="D249" s="296"/>
      <c r="E249" s="64"/>
      <c r="F249" s="44"/>
      <c r="G249" s="45"/>
      <c r="H249" s="45"/>
      <c r="I249" s="66"/>
      <c r="J249" s="183"/>
      <c r="K249" s="184"/>
      <c r="L249" s="231"/>
      <c r="M249" s="186"/>
      <c r="N249" s="116"/>
      <c r="O249" s="233"/>
      <c r="P249" s="233"/>
      <c r="Q249" s="403"/>
      <c r="R249" s="146" t="s">
        <v>463</v>
      </c>
      <c r="S249" s="148" t="s">
        <v>464</v>
      </c>
      <c r="T249" s="148" t="s">
        <v>465</v>
      </c>
      <c r="U249" s="149">
        <v>46000</v>
      </c>
      <c r="V249" s="149" t="s">
        <v>466</v>
      </c>
      <c r="W249" s="295" t="s">
        <v>289</v>
      </c>
      <c r="X249" s="4" t="s">
        <v>467</v>
      </c>
    </row>
    <row r="250" spans="1:25" ht="27.75" customHeight="1">
      <c r="A250" s="405"/>
      <c r="B250" s="406" t="s">
        <v>22</v>
      </c>
      <c r="C250" s="407"/>
      <c r="D250" s="408">
        <f>SUM(D244:D249)</f>
        <v>147727</v>
      </c>
      <c r="E250" s="409"/>
      <c r="F250" s="410"/>
      <c r="G250" s="239">
        <f>SUM(G244:G249)</f>
        <v>-1562094</v>
      </c>
      <c r="H250" s="239">
        <f t="shared" ref="H250:I250" si="63">SUM(H244:H249)</f>
        <v>0</v>
      </c>
      <c r="I250" s="239">
        <f t="shared" si="63"/>
        <v>-1562094</v>
      </c>
      <c r="J250" s="411"/>
      <c r="K250" s="411"/>
      <c r="L250" s="408">
        <f>SUM(L244:L247)</f>
        <v>0</v>
      </c>
      <c r="M250" s="412"/>
      <c r="N250" s="408"/>
      <c r="O250" s="239"/>
      <c r="P250" s="239">
        <f>SUM(P247:P249)</f>
        <v>0</v>
      </c>
      <c r="Q250" s="239"/>
      <c r="R250" s="278"/>
      <c r="S250" s="279"/>
      <c r="T250" s="279"/>
      <c r="U250" s="413"/>
      <c r="V250" s="413"/>
      <c r="W250" s="413"/>
    </row>
    <row r="251" spans="1:25" ht="27.75" customHeight="1" thickBot="1">
      <c r="A251" s="414"/>
      <c r="B251" s="415"/>
      <c r="C251" s="416" t="s">
        <v>468</v>
      </c>
      <c r="D251" s="417"/>
      <c r="E251" s="418"/>
      <c r="F251" s="419"/>
      <c r="G251" s="420">
        <f>SUM(G250+G242+G237+G223+G167+G156+G139+G123+G109+G93+G90+G83+G31+G27+G24)</f>
        <v>-1541771.9177570094</v>
      </c>
      <c r="H251" s="420">
        <f>SUM(H250+H242+H237+H223+H167+H156+H139+H123+H109+H93+H90+H83+H31+H27+H24)</f>
        <v>1422.55</v>
      </c>
      <c r="I251" s="420">
        <f>SUM(I250+I242+I237+I223+I167+I156+I139+I123+I109+I93+I90+I83+I31+I27+I24)</f>
        <v>-1540349.3677570093</v>
      </c>
      <c r="J251" s="421"/>
      <c r="K251" s="421"/>
      <c r="L251" s="422">
        <f>SUM(L250+L242+L237+L223+L167+L156+L139+L123+L109+L93+L90+L83+L31+L27+L24)</f>
        <v>951639.78</v>
      </c>
      <c r="M251" s="423"/>
      <c r="N251" s="422"/>
      <c r="O251" s="420">
        <f>SUM(O250+O242+O237+O223+O167+O156+O139+O123+O109+O93+O90+O83+O31+O27+O24)</f>
        <v>37305.998130841108</v>
      </c>
      <c r="P251" s="420">
        <f>SUM(P250+P242+P237+P223+P167+P156+P139+P123+P109+P93+P90+P83+P31+P27+P24)</f>
        <v>2611.42</v>
      </c>
      <c r="Q251" s="420">
        <f>SUM(Q250+Q242+Q237+Q223+Q167+Q156+Q139+Q123+Q109+Q93+Q90+Q83+Q31+Q27+Q24)</f>
        <v>39917.418130841113</v>
      </c>
      <c r="R251" s="424"/>
      <c r="S251" s="425"/>
      <c r="T251" s="425"/>
      <c r="U251" s="345"/>
      <c r="V251" s="345"/>
      <c r="W251" s="345"/>
    </row>
    <row r="252" spans="1:25" ht="27.75" customHeight="1" thickTop="1">
      <c r="A252" s="426"/>
      <c r="B252" s="4"/>
      <c r="C252" s="295"/>
      <c r="D252" s="427"/>
      <c r="E252" s="428"/>
      <c r="F252" s="429"/>
      <c r="G252" s="430"/>
      <c r="H252" s="430"/>
      <c r="I252" s="430"/>
      <c r="J252" s="431"/>
      <c r="K252" s="432"/>
      <c r="L252" s="427"/>
      <c r="M252" s="433"/>
      <c r="N252" s="427"/>
      <c r="O252" s="430"/>
      <c r="P252" s="430"/>
      <c r="Q252" s="430"/>
      <c r="R252" s="424"/>
      <c r="S252" s="425"/>
      <c r="T252" s="425"/>
      <c r="U252" s="345"/>
      <c r="V252" s="345"/>
      <c r="W252" s="345"/>
    </row>
    <row r="253" spans="1:25" ht="27.75" customHeight="1">
      <c r="A253" s="426"/>
      <c r="B253" s="434" t="s">
        <v>469</v>
      </c>
      <c r="C253" s="295"/>
      <c r="D253" s="427"/>
      <c r="E253" s="428"/>
      <c r="F253" s="429"/>
      <c r="G253" s="430"/>
      <c r="H253" s="430"/>
      <c r="I253" s="430"/>
      <c r="J253" s="431"/>
      <c r="K253" s="432"/>
      <c r="L253" s="427"/>
      <c r="M253" s="433"/>
      <c r="N253" s="427"/>
      <c r="O253" s="430"/>
      <c r="P253" s="430"/>
      <c r="Q253" s="430"/>
      <c r="R253" s="424"/>
      <c r="S253" s="425"/>
      <c r="T253" s="425"/>
      <c r="U253" s="345"/>
      <c r="V253" s="345"/>
      <c r="W253" s="345"/>
    </row>
    <row r="254" spans="1:25" ht="27.75" customHeight="1">
      <c r="A254" s="435">
        <v>1</v>
      </c>
      <c r="B254" s="436" t="s">
        <v>470</v>
      </c>
      <c r="C254" s="437" t="s">
        <v>471</v>
      </c>
      <c r="D254" s="438" t="s">
        <v>472</v>
      </c>
      <c r="E254" s="439" t="s">
        <v>473</v>
      </c>
      <c r="F254" s="440">
        <v>21</v>
      </c>
      <c r="G254" s="15">
        <v>361288.35</v>
      </c>
      <c r="H254" s="15"/>
      <c r="I254" s="17">
        <v>361288.35</v>
      </c>
      <c r="J254" s="441"/>
      <c r="K254" s="442"/>
      <c r="L254" s="443"/>
      <c r="M254" s="435" t="s">
        <v>473</v>
      </c>
      <c r="N254" s="444">
        <v>21</v>
      </c>
      <c r="O254" s="445">
        <f>SUM(G254-L254)</f>
        <v>361288.35</v>
      </c>
      <c r="P254" s="19"/>
      <c r="Q254" s="17">
        <f>SUM(O254)</f>
        <v>361288.35</v>
      </c>
      <c r="R254" s="251" t="s">
        <v>195</v>
      </c>
      <c r="S254" s="446">
        <v>41883</v>
      </c>
      <c r="T254" s="446">
        <v>42978</v>
      </c>
      <c r="U254" s="447">
        <v>90000</v>
      </c>
      <c r="V254" s="447" t="s">
        <v>474</v>
      </c>
      <c r="Y254" s="4" t="s">
        <v>475</v>
      </c>
    </row>
    <row r="255" spans="1:25" ht="27.75" customHeight="1">
      <c r="A255" s="435"/>
      <c r="B255" s="436" t="s">
        <v>476</v>
      </c>
      <c r="C255" s="437"/>
      <c r="D255" s="448"/>
      <c r="E255" s="439"/>
      <c r="F255" s="440"/>
      <c r="G255" s="15"/>
      <c r="H255" s="15"/>
      <c r="I255" s="17"/>
      <c r="J255" s="441"/>
      <c r="K255" s="442"/>
      <c r="L255" s="443"/>
      <c r="M255" s="435"/>
      <c r="N255" s="444"/>
      <c r="O255" s="445">
        <f t="shared" ref="O255:O261" si="64">SUM(G255-L255)</f>
        <v>0</v>
      </c>
      <c r="P255" s="19"/>
      <c r="Q255" s="17">
        <f t="shared" ref="Q255:Q261" si="65">SUM(O255)</f>
        <v>0</v>
      </c>
      <c r="R255" s="116"/>
      <c r="S255" s="203"/>
      <c r="T255" s="203"/>
      <c r="U255" s="204"/>
      <c r="V255" s="204"/>
    </row>
    <row r="256" spans="1:25" ht="27.75" customHeight="1">
      <c r="A256" s="435"/>
      <c r="B256" s="674" t="s">
        <v>477</v>
      </c>
      <c r="C256" s="675"/>
      <c r="D256" s="682"/>
      <c r="E256" s="439"/>
      <c r="F256" s="440"/>
      <c r="G256" s="15"/>
      <c r="H256" s="15"/>
      <c r="I256" s="17"/>
      <c r="J256" s="441"/>
      <c r="K256" s="442"/>
      <c r="L256" s="443"/>
      <c r="M256" s="435"/>
      <c r="N256" s="444"/>
      <c r="O256" s="445">
        <f t="shared" si="64"/>
        <v>0</v>
      </c>
      <c r="P256" s="19"/>
      <c r="Q256" s="17">
        <f t="shared" si="65"/>
        <v>0</v>
      </c>
      <c r="R256" s="116"/>
      <c r="S256" s="203"/>
      <c r="T256" s="203"/>
      <c r="U256" s="204"/>
      <c r="V256" s="204"/>
    </row>
    <row r="257" spans="1:25" ht="27.75" customHeight="1">
      <c r="A257" s="435">
        <v>2</v>
      </c>
      <c r="B257" s="450" t="s">
        <v>470</v>
      </c>
      <c r="C257" s="451" t="s">
        <v>478</v>
      </c>
      <c r="D257" s="449"/>
      <c r="E257" s="439" t="s">
        <v>479</v>
      </c>
      <c r="F257" s="440">
        <v>6</v>
      </c>
      <c r="G257" s="15">
        <v>96700.72</v>
      </c>
      <c r="H257" s="15"/>
      <c r="I257" s="17">
        <v>96700.72</v>
      </c>
      <c r="J257" s="441"/>
      <c r="K257" s="442"/>
      <c r="L257" s="443"/>
      <c r="M257" s="435" t="s">
        <v>479</v>
      </c>
      <c r="N257" s="444">
        <v>6</v>
      </c>
      <c r="O257" s="445">
        <f t="shared" si="64"/>
        <v>96700.72</v>
      </c>
      <c r="P257" s="19"/>
      <c r="Q257" s="17">
        <f t="shared" si="65"/>
        <v>96700.72</v>
      </c>
      <c r="R257" s="116"/>
      <c r="S257" s="203"/>
      <c r="T257" s="203"/>
      <c r="U257" s="204"/>
      <c r="V257" s="204"/>
      <c r="Y257" s="4" t="s">
        <v>475</v>
      </c>
    </row>
    <row r="258" spans="1:25" ht="27.75" customHeight="1">
      <c r="A258" s="435">
        <v>3</v>
      </c>
      <c r="B258" s="450" t="s">
        <v>470</v>
      </c>
      <c r="C258" s="451" t="s">
        <v>480</v>
      </c>
      <c r="D258" s="452"/>
      <c r="E258" s="439" t="s">
        <v>481</v>
      </c>
      <c r="F258" s="440">
        <v>16</v>
      </c>
      <c r="G258" s="15">
        <v>285799.45</v>
      </c>
      <c r="H258" s="15"/>
      <c r="I258" s="17">
        <v>285799.45</v>
      </c>
      <c r="J258" s="441"/>
      <c r="K258" s="442"/>
      <c r="L258" s="443"/>
      <c r="M258" s="435" t="s">
        <v>481</v>
      </c>
      <c r="N258" s="444">
        <v>16</v>
      </c>
      <c r="O258" s="445">
        <f t="shared" si="64"/>
        <v>285799.45</v>
      </c>
      <c r="P258" s="19"/>
      <c r="Q258" s="17">
        <f t="shared" si="65"/>
        <v>285799.45</v>
      </c>
      <c r="R258" s="116"/>
      <c r="S258" s="203"/>
      <c r="T258" s="203"/>
      <c r="U258" s="204"/>
      <c r="V258" s="204"/>
      <c r="Y258" s="4" t="s">
        <v>475</v>
      </c>
    </row>
    <row r="259" spans="1:25" s="226" customFormat="1" ht="27.75" customHeight="1">
      <c r="A259" s="440">
        <v>4</v>
      </c>
      <c r="B259" s="436" t="s">
        <v>470</v>
      </c>
      <c r="C259" s="453" t="s">
        <v>482</v>
      </c>
      <c r="D259" s="454" t="s">
        <v>472</v>
      </c>
      <c r="E259" s="455" t="s">
        <v>483</v>
      </c>
      <c r="F259" s="456" t="s">
        <v>195</v>
      </c>
      <c r="G259" s="17">
        <v>57055.05</v>
      </c>
      <c r="H259" s="17"/>
      <c r="I259" s="17">
        <v>57055.05</v>
      </c>
      <c r="J259" s="441"/>
      <c r="K259" s="457"/>
      <c r="L259" s="458"/>
      <c r="M259" s="435" t="s">
        <v>483</v>
      </c>
      <c r="N259" s="448" t="s">
        <v>195</v>
      </c>
      <c r="O259" s="445">
        <f t="shared" si="64"/>
        <v>57055.05</v>
      </c>
      <c r="P259" s="17"/>
      <c r="Q259" s="17">
        <f t="shared" si="65"/>
        <v>57055.05</v>
      </c>
      <c r="R259" s="39"/>
      <c r="S259" s="55"/>
      <c r="T259" s="55"/>
      <c r="U259" s="141"/>
      <c r="V259" s="141"/>
      <c r="Y259" s="4" t="s">
        <v>475</v>
      </c>
    </row>
    <row r="260" spans="1:25" s="226" customFormat="1" ht="27.75" customHeight="1">
      <c r="A260" s="440"/>
      <c r="B260" s="676" t="s">
        <v>484</v>
      </c>
      <c r="C260" s="677"/>
      <c r="D260" s="683"/>
      <c r="E260" s="455"/>
      <c r="F260" s="456"/>
      <c r="G260" s="17"/>
      <c r="H260" s="17"/>
      <c r="I260" s="17"/>
      <c r="J260" s="441"/>
      <c r="K260" s="457"/>
      <c r="L260" s="458"/>
      <c r="M260" s="435"/>
      <c r="N260" s="448"/>
      <c r="O260" s="445">
        <f t="shared" si="64"/>
        <v>0</v>
      </c>
      <c r="P260" s="17"/>
      <c r="Q260" s="17">
        <f t="shared" si="65"/>
        <v>0</v>
      </c>
      <c r="R260" s="122"/>
      <c r="S260" s="37"/>
      <c r="T260" s="37"/>
      <c r="U260" s="459"/>
      <c r="V260" s="459"/>
      <c r="Y260" s="4" t="s">
        <v>475</v>
      </c>
    </row>
    <row r="261" spans="1:25" ht="27.75" customHeight="1">
      <c r="A261" s="460">
        <v>5</v>
      </c>
      <c r="B261" s="436" t="s">
        <v>470</v>
      </c>
      <c r="C261" s="461" t="s">
        <v>485</v>
      </c>
      <c r="D261" s="454"/>
      <c r="E261" s="455" t="s">
        <v>486</v>
      </c>
      <c r="F261" s="462" t="s">
        <v>195</v>
      </c>
      <c r="G261" s="17">
        <v>28958.15</v>
      </c>
      <c r="H261" s="15"/>
      <c r="I261" s="17">
        <v>28958.15</v>
      </c>
      <c r="J261" s="441" t="s">
        <v>487</v>
      </c>
      <c r="K261" s="463"/>
      <c r="L261" s="443"/>
      <c r="M261" s="435" t="s">
        <v>486</v>
      </c>
      <c r="N261" s="464" t="s">
        <v>195</v>
      </c>
      <c r="O261" s="445">
        <f t="shared" si="64"/>
        <v>28958.15</v>
      </c>
      <c r="P261" s="21"/>
      <c r="Q261" s="17">
        <f t="shared" si="65"/>
        <v>28958.15</v>
      </c>
      <c r="R261" s="36"/>
      <c r="S261" s="37"/>
      <c r="T261" s="37"/>
      <c r="U261" s="38"/>
      <c r="V261" s="38"/>
      <c r="W261" s="38"/>
      <c r="Y261" s="4" t="s">
        <v>475</v>
      </c>
    </row>
    <row r="262" spans="1:25" ht="27.6" customHeight="1">
      <c r="A262" s="460"/>
      <c r="B262" s="436" t="s">
        <v>488</v>
      </c>
      <c r="C262" s="461"/>
      <c r="D262" s="454"/>
      <c r="E262" s="448"/>
      <c r="F262" s="462"/>
      <c r="G262" s="17"/>
      <c r="H262" s="15"/>
      <c r="I262" s="17"/>
      <c r="J262" s="441"/>
      <c r="K262" s="463"/>
      <c r="L262" s="443"/>
      <c r="M262" s="435"/>
      <c r="N262" s="444"/>
      <c r="O262" s="17"/>
      <c r="P262" s="21"/>
      <c r="Q262" s="17"/>
      <c r="R262" s="36"/>
      <c r="S262" s="37"/>
      <c r="T262" s="37"/>
      <c r="U262" s="38"/>
      <c r="V262" s="38"/>
      <c r="W262" s="38"/>
    </row>
    <row r="263" spans="1:25" ht="27.6" customHeight="1">
      <c r="A263" s="460"/>
      <c r="B263" s="674" t="s">
        <v>489</v>
      </c>
      <c r="C263" s="675"/>
      <c r="D263" s="682"/>
      <c r="E263" s="448"/>
      <c r="F263" s="462"/>
      <c r="G263" s="17"/>
      <c r="H263" s="15"/>
      <c r="I263" s="17"/>
      <c r="J263" s="441"/>
      <c r="K263" s="463"/>
      <c r="L263" s="443"/>
      <c r="M263" s="435"/>
      <c r="N263" s="444"/>
      <c r="O263" s="17"/>
      <c r="P263" s="21"/>
      <c r="Q263" s="17"/>
      <c r="R263" s="36"/>
      <c r="S263" s="37"/>
      <c r="T263" s="37"/>
      <c r="U263" s="38"/>
      <c r="V263" s="38"/>
      <c r="W263" s="38"/>
    </row>
    <row r="264" spans="1:25" ht="27.75" customHeight="1" thickBot="1">
      <c r="A264" s="465"/>
      <c r="B264" s="466" t="s">
        <v>22</v>
      </c>
      <c r="C264" s="195"/>
      <c r="D264" s="310">
        <v>0</v>
      </c>
      <c r="E264" s="311"/>
      <c r="F264" s="312"/>
      <c r="G264" s="313">
        <f>SUM(G254:G262)</f>
        <v>829801.72000000009</v>
      </c>
      <c r="H264" s="313"/>
      <c r="I264" s="313">
        <f>SUM(I254:I262)</f>
        <v>829801.72000000009</v>
      </c>
      <c r="J264" s="467"/>
      <c r="K264" s="314"/>
      <c r="L264" s="310">
        <v>0</v>
      </c>
      <c r="M264" s="315"/>
      <c r="N264" s="310"/>
      <c r="O264" s="313">
        <f>SUM(O254:O262)</f>
        <v>829801.72000000009</v>
      </c>
      <c r="P264" s="313">
        <v>0</v>
      </c>
      <c r="Q264" s="313">
        <f>SUM(Q254:Q263)</f>
        <v>829801.72000000009</v>
      </c>
      <c r="R264" s="36"/>
      <c r="S264" s="37"/>
      <c r="T264" s="37"/>
      <c r="U264" s="38"/>
      <c r="V264" s="38"/>
      <c r="W264" s="38"/>
    </row>
    <row r="265" spans="1:25" ht="27.75" customHeight="1" thickTop="1">
      <c r="A265" s="468"/>
      <c r="B265" s="469" t="s">
        <v>490</v>
      </c>
      <c r="C265" s="470"/>
      <c r="D265" s="471"/>
      <c r="E265" s="207"/>
      <c r="F265" s="341"/>
      <c r="G265" s="187"/>
      <c r="H265" s="187"/>
      <c r="I265" s="187"/>
      <c r="J265" s="472"/>
      <c r="K265" s="473"/>
      <c r="L265" s="231"/>
      <c r="M265" s="186"/>
      <c r="N265" s="116"/>
      <c r="O265" s="344"/>
      <c r="P265" s="344"/>
      <c r="Q265" s="474"/>
      <c r="R265" s="36"/>
      <c r="S265" s="37"/>
      <c r="T265" s="37"/>
      <c r="U265" s="38"/>
      <c r="V265" s="38"/>
      <c r="W265" s="38"/>
    </row>
    <row r="266" spans="1:25" ht="27.75" customHeight="1">
      <c r="A266" s="475">
        <v>1</v>
      </c>
      <c r="B266" s="436" t="s">
        <v>491</v>
      </c>
      <c r="C266" s="437" t="s">
        <v>492</v>
      </c>
      <c r="D266" s="476"/>
      <c r="E266" s="477"/>
      <c r="F266" s="478"/>
      <c r="G266" s="15"/>
      <c r="H266" s="15"/>
      <c r="I266" s="17"/>
      <c r="J266" s="441"/>
      <c r="K266" s="442"/>
      <c r="L266" s="479"/>
      <c r="M266" s="435"/>
      <c r="N266" s="477"/>
      <c r="O266" s="480"/>
      <c r="P266" s="480"/>
      <c r="Q266" s="481"/>
      <c r="R266" s="356"/>
      <c r="S266" s="482"/>
      <c r="T266" s="482"/>
      <c r="U266" s="483"/>
      <c r="V266" s="483"/>
      <c r="Y266" s="4" t="s">
        <v>493</v>
      </c>
    </row>
    <row r="267" spans="1:25" ht="27.75" customHeight="1">
      <c r="A267" s="475"/>
      <c r="B267" s="484" t="s">
        <v>494</v>
      </c>
      <c r="C267" s="437"/>
      <c r="D267" s="476"/>
      <c r="E267" s="477"/>
      <c r="F267" s="478"/>
      <c r="G267" s="15"/>
      <c r="H267" s="15"/>
      <c r="I267" s="17"/>
      <c r="J267" s="441"/>
      <c r="K267" s="442"/>
      <c r="L267" s="479"/>
      <c r="M267" s="435"/>
      <c r="N267" s="477"/>
      <c r="O267" s="480"/>
      <c r="P267" s="480"/>
      <c r="Q267" s="481"/>
      <c r="R267" s="485"/>
      <c r="S267" s="486"/>
      <c r="T267" s="486"/>
      <c r="U267" s="487"/>
      <c r="V267" s="487"/>
    </row>
    <row r="268" spans="1:25" ht="27.75" customHeight="1">
      <c r="A268" s="475">
        <v>2</v>
      </c>
      <c r="B268" s="436" t="s">
        <v>495</v>
      </c>
      <c r="C268" s="437" t="s">
        <v>496</v>
      </c>
      <c r="D268" s="476"/>
      <c r="E268" s="477"/>
      <c r="F268" s="478" t="s">
        <v>497</v>
      </c>
      <c r="G268" s="15">
        <v>8214529.25</v>
      </c>
      <c r="H268" s="15"/>
      <c r="I268" s="17">
        <v>8214529.25</v>
      </c>
      <c r="J268" s="441"/>
      <c r="K268" s="442"/>
      <c r="L268" s="479"/>
      <c r="M268" s="435"/>
      <c r="N268" s="477" t="s">
        <v>497</v>
      </c>
      <c r="O268" s="15">
        <v>8214529.25</v>
      </c>
      <c r="P268" s="480"/>
      <c r="Q268" s="17">
        <v>8214529.25</v>
      </c>
      <c r="R268" s="485"/>
      <c r="S268" s="486"/>
      <c r="T268" s="486"/>
      <c r="U268" s="487"/>
      <c r="V268" s="487"/>
    </row>
    <row r="269" spans="1:25" ht="27.75" customHeight="1">
      <c r="A269" s="405"/>
      <c r="B269" s="234" t="s">
        <v>22</v>
      </c>
      <c r="C269" s="407"/>
      <c r="D269" s="408">
        <v>0</v>
      </c>
      <c r="E269" s="409"/>
      <c r="F269" s="410"/>
      <c r="G269" s="239">
        <f>SUM(G266:G268)</f>
        <v>8214529.25</v>
      </c>
      <c r="H269" s="239">
        <v>0</v>
      </c>
      <c r="I269" s="239">
        <f>SUM(I266:I268)</f>
        <v>8214529.25</v>
      </c>
      <c r="J269" s="411"/>
      <c r="K269" s="411"/>
      <c r="L269" s="408">
        <v>0</v>
      </c>
      <c r="M269" s="412"/>
      <c r="N269" s="408"/>
      <c r="O269" s="239">
        <f>SUM(O266:O268)</f>
        <v>8214529.25</v>
      </c>
      <c r="P269" s="239">
        <v>0</v>
      </c>
      <c r="Q269" s="239">
        <f>SUM(Q266:Q268)</f>
        <v>8214529.25</v>
      </c>
      <c r="R269" s="278"/>
      <c r="S269" s="279"/>
      <c r="T269" s="279"/>
      <c r="U269" s="413"/>
      <c r="V269" s="413"/>
      <c r="W269" s="413"/>
    </row>
    <row r="270" spans="1:25" ht="27.75" customHeight="1">
      <c r="A270" s="426"/>
      <c r="B270" s="4"/>
      <c r="C270" s="295"/>
      <c r="D270" s="427"/>
      <c r="E270" s="428"/>
      <c r="F270" s="429"/>
      <c r="G270" s="430"/>
      <c r="H270" s="430"/>
      <c r="I270" s="430"/>
      <c r="J270" s="432"/>
      <c r="K270" s="432"/>
      <c r="L270" s="427"/>
      <c r="M270" s="433"/>
      <c r="N270" s="427"/>
      <c r="O270" s="430"/>
      <c r="P270" s="430"/>
      <c r="Q270" s="430"/>
      <c r="R270" s="424"/>
      <c r="S270" s="425"/>
      <c r="T270" s="425"/>
      <c r="U270" s="345"/>
      <c r="V270" s="345"/>
      <c r="W270" s="345"/>
    </row>
    <row r="271" spans="1:25" ht="27.75" customHeight="1" thickBot="1">
      <c r="A271" s="488"/>
      <c r="B271" s="489" t="s">
        <v>498</v>
      </c>
      <c r="C271" s="490"/>
      <c r="D271" s="491">
        <f>+D269+D264+D250+D242+D237+D223+D167+D156+D152+D139+D123+D109+D93+D90+D83+D45+D31+D27+D24</f>
        <v>1119376.57</v>
      </c>
      <c r="E271" s="491"/>
      <c r="F271" s="492"/>
      <c r="G271" s="493">
        <f>SUM(G269+G264+G251)</f>
        <v>7502559.0522429915</v>
      </c>
      <c r="H271" s="493">
        <f>SUM(H269+H264+H251)</f>
        <v>1422.55</v>
      </c>
      <c r="I271" s="493">
        <f>SUM(I269+I264+I251)</f>
        <v>7503981.6022429913</v>
      </c>
      <c r="J271" s="494"/>
      <c r="K271" s="494"/>
      <c r="L271" s="493">
        <f>SUM(L269+L264+L251)</f>
        <v>951639.78</v>
      </c>
      <c r="M271" s="495"/>
      <c r="N271" s="496"/>
      <c r="O271" s="493">
        <f>SUM(O269+O264+O251)</f>
        <v>9081636.9681308419</v>
      </c>
      <c r="P271" s="493">
        <f>SUM(P269+P264+P251)</f>
        <v>2611.42</v>
      </c>
      <c r="Q271" s="493">
        <f>SUM(Q269+Q264+Q251)</f>
        <v>9084248.3881308418</v>
      </c>
      <c r="R271" s="497">
        <v>0</v>
      </c>
      <c r="S271" s="497">
        <v>0</v>
      </c>
      <c r="T271" s="498"/>
      <c r="U271" s="499"/>
      <c r="V271" s="499"/>
      <c r="W271" s="499"/>
    </row>
    <row r="272" spans="1:25" s="226" customFormat="1" ht="27.75" customHeight="1" thickTop="1">
      <c r="A272" s="6"/>
      <c r="B272" s="500"/>
      <c r="D272" s="501"/>
      <c r="E272" s="502"/>
      <c r="F272" s="503"/>
      <c r="G272" s="430"/>
      <c r="H272" s="430"/>
      <c r="I272" s="504"/>
      <c r="J272" s="3"/>
      <c r="K272" s="372"/>
      <c r="L272" s="501"/>
      <c r="M272" s="372"/>
      <c r="N272" s="501"/>
      <c r="O272" s="430"/>
      <c r="P272" s="430"/>
      <c r="Q272" s="504"/>
      <c r="R272" s="2"/>
      <c r="S272" s="425"/>
      <c r="T272" s="425"/>
      <c r="U272" s="345"/>
      <c r="V272" s="345"/>
    </row>
    <row r="273" spans="1:22" s="226" customFormat="1" ht="27.75" customHeight="1">
      <c r="A273" s="6"/>
      <c r="B273" s="500"/>
      <c r="D273" s="501"/>
      <c r="E273" s="502"/>
      <c r="F273" s="503"/>
      <c r="G273" s="430"/>
      <c r="H273" s="430"/>
      <c r="I273" s="504"/>
      <c r="J273" s="3"/>
      <c r="K273" s="372"/>
      <c r="L273" s="501"/>
      <c r="M273" s="372"/>
      <c r="N273" s="501"/>
      <c r="O273" s="430"/>
      <c r="P273" s="430"/>
      <c r="Q273" s="504"/>
      <c r="R273" s="2"/>
      <c r="S273" s="425"/>
      <c r="T273" s="425"/>
      <c r="U273" s="345"/>
      <c r="V273" s="345"/>
    </row>
    <row r="274" spans="1:22" s="226" customFormat="1" ht="27.75" customHeight="1">
      <c r="A274" s="6"/>
      <c r="B274" s="500"/>
      <c r="D274" s="501"/>
      <c r="E274" s="502"/>
      <c r="F274" s="503"/>
      <c r="G274" s="430"/>
      <c r="H274" s="430"/>
      <c r="I274" s="504"/>
      <c r="J274" s="3"/>
      <c r="K274" s="372"/>
      <c r="L274" s="501"/>
      <c r="M274" s="372"/>
      <c r="N274" s="501"/>
      <c r="O274" s="430"/>
      <c r="P274" s="430"/>
      <c r="Q274" s="504"/>
      <c r="R274" s="2"/>
      <c r="S274" s="425"/>
      <c r="T274" s="425"/>
      <c r="U274" s="345"/>
      <c r="V274" s="345"/>
    </row>
    <row r="275" spans="1:22" s="226" customFormat="1" ht="27.75" customHeight="1">
      <c r="A275" s="6"/>
      <c r="B275" s="500"/>
      <c r="D275" s="501"/>
      <c r="E275" s="502"/>
      <c r="F275" s="503"/>
      <c r="G275" s="430">
        <v>361288.35</v>
      </c>
      <c r="H275" s="430"/>
      <c r="I275" s="430"/>
      <c r="J275" s="3"/>
      <c r="K275" s="372"/>
      <c r="L275" s="501"/>
      <c r="M275" s="372"/>
      <c r="N275" s="501"/>
      <c r="O275" s="430"/>
      <c r="P275" s="430"/>
      <c r="Q275" s="430"/>
      <c r="R275" s="2"/>
      <c r="S275" s="425"/>
      <c r="T275" s="425"/>
      <c r="U275" s="345"/>
      <c r="V275" s="345"/>
    </row>
    <row r="276" spans="1:22" s="226" customFormat="1" ht="27.75" customHeight="1">
      <c r="A276" s="6"/>
      <c r="B276" s="500"/>
      <c r="D276" s="501"/>
      <c r="E276" s="502"/>
      <c r="F276" s="503"/>
      <c r="G276" s="430">
        <v>96700.72</v>
      </c>
      <c r="H276" s="430"/>
      <c r="I276" s="504"/>
      <c r="J276" s="3"/>
      <c r="K276" s="372"/>
      <c r="L276" s="501"/>
      <c r="M276" s="372"/>
      <c r="N276" s="501"/>
      <c r="O276" s="430"/>
      <c r="P276" s="430"/>
      <c r="Q276" s="504"/>
      <c r="R276" s="2"/>
      <c r="S276" s="425"/>
      <c r="T276" s="425"/>
      <c r="U276" s="345"/>
      <c r="V276" s="345"/>
    </row>
    <row r="277" spans="1:22" s="226" customFormat="1" ht="27.75" customHeight="1">
      <c r="A277" s="6"/>
      <c r="B277" s="500"/>
      <c r="D277" s="501"/>
      <c r="E277" s="502"/>
      <c r="F277" s="503"/>
      <c r="G277" s="430">
        <v>285799.45</v>
      </c>
      <c r="H277" s="430"/>
      <c r="I277" s="504"/>
      <c r="J277" s="3"/>
      <c r="K277" s="372"/>
      <c r="L277" s="501"/>
      <c r="M277" s="372"/>
      <c r="N277" s="501"/>
      <c r="O277" s="430"/>
      <c r="P277" s="430"/>
      <c r="Q277" s="504"/>
      <c r="R277" s="2"/>
      <c r="S277" s="425"/>
      <c r="T277" s="425"/>
      <c r="U277" s="345"/>
      <c r="V277" s="345"/>
    </row>
    <row r="278" spans="1:22" s="226" customFormat="1" ht="27.75" customHeight="1">
      <c r="A278" s="6"/>
      <c r="B278" s="500"/>
      <c r="D278" s="501"/>
      <c r="E278" s="502"/>
      <c r="F278" s="503"/>
      <c r="G278" s="430">
        <v>57054.05</v>
      </c>
      <c r="H278" s="430"/>
      <c r="I278" s="504"/>
      <c r="J278" s="3"/>
      <c r="K278" s="372"/>
      <c r="L278" s="501"/>
      <c r="M278" s="372"/>
      <c r="N278" s="501"/>
      <c r="O278" s="430"/>
      <c r="P278" s="430"/>
      <c r="Q278" s="430"/>
      <c r="R278" s="2"/>
      <c r="S278" s="425"/>
      <c r="T278" s="425"/>
      <c r="U278" s="345"/>
      <c r="V278" s="345"/>
    </row>
    <row r="279" spans="1:22" s="226" customFormat="1" ht="27.75" customHeight="1">
      <c r="A279" s="6"/>
      <c r="B279" s="500"/>
      <c r="D279" s="501"/>
      <c r="E279" s="502"/>
      <c r="F279" s="503"/>
      <c r="G279" s="430">
        <v>28958.15</v>
      </c>
      <c r="H279" s="430"/>
      <c r="I279" s="504"/>
      <c r="J279" s="3"/>
      <c r="K279" s="372"/>
      <c r="L279" s="501"/>
      <c r="M279" s="372"/>
      <c r="N279" s="501"/>
      <c r="O279" s="430"/>
      <c r="P279" s="430"/>
      <c r="Q279" s="504"/>
      <c r="R279" s="2"/>
      <c r="S279" s="425"/>
      <c r="T279" s="425"/>
      <c r="U279" s="345"/>
      <c r="V279" s="345"/>
    </row>
    <row r="280" spans="1:22" s="226" customFormat="1" ht="27.75" customHeight="1">
      <c r="A280" s="6"/>
      <c r="B280" s="500"/>
      <c r="D280" s="501"/>
      <c r="E280" s="502"/>
      <c r="F280" s="503"/>
      <c r="G280" s="430">
        <f>SUM(G275:G279)</f>
        <v>829800.72000000009</v>
      </c>
      <c r="H280" s="430"/>
      <c r="I280" s="504">
        <f>SUM(G269+G280)</f>
        <v>9044329.9700000007</v>
      </c>
      <c r="J280" s="3"/>
      <c r="K280" s="372"/>
      <c r="L280" s="501"/>
      <c r="M280" s="372"/>
      <c r="N280" s="501"/>
      <c r="O280" s="430"/>
      <c r="P280" s="430"/>
      <c r="Q280" s="504"/>
      <c r="R280" s="2"/>
      <c r="S280" s="425"/>
      <c r="T280" s="425"/>
      <c r="U280" s="345"/>
      <c r="V280" s="345"/>
    </row>
    <row r="281" spans="1:22" s="226" customFormat="1" ht="27.75" customHeight="1">
      <c r="A281" s="6"/>
      <c r="B281" s="500"/>
      <c r="D281" s="501"/>
      <c r="E281" s="502"/>
      <c r="F281" s="503"/>
      <c r="G281" s="430"/>
      <c r="H281" s="430"/>
      <c r="I281" s="504"/>
      <c r="J281" s="3"/>
      <c r="K281" s="372"/>
      <c r="L281" s="501"/>
      <c r="M281" s="372"/>
      <c r="N281" s="501"/>
      <c r="O281" s="430"/>
      <c r="P281" s="430"/>
      <c r="Q281" s="504"/>
      <c r="R281" s="2"/>
      <c r="S281" s="425"/>
      <c r="T281" s="425"/>
      <c r="U281" s="345"/>
      <c r="V281" s="345"/>
    </row>
    <row r="282" spans="1:22" s="226" customFormat="1" ht="27.75" customHeight="1">
      <c r="A282" s="6"/>
      <c r="B282" s="500"/>
      <c r="D282" s="501"/>
      <c r="E282" s="502"/>
      <c r="F282" s="503"/>
      <c r="G282" s="430"/>
      <c r="H282" s="430"/>
      <c r="I282" s="504"/>
      <c r="J282" s="3"/>
      <c r="K282" s="372"/>
      <c r="L282" s="501"/>
      <c r="M282" s="372"/>
      <c r="N282" s="501"/>
      <c r="O282" s="430"/>
      <c r="P282" s="430"/>
      <c r="Q282" s="504"/>
      <c r="R282" s="2"/>
      <c r="S282" s="425"/>
      <c r="T282" s="425"/>
      <c r="U282" s="345"/>
      <c r="V282" s="345"/>
    </row>
    <row r="283" spans="1:22" s="226" customFormat="1" ht="27.75" customHeight="1">
      <c r="A283" s="6"/>
      <c r="B283" s="500"/>
      <c r="D283" s="501"/>
      <c r="E283" s="502"/>
      <c r="F283" s="503"/>
      <c r="G283" s="430"/>
      <c r="H283" s="430"/>
      <c r="J283" s="3"/>
      <c r="K283" s="372"/>
      <c r="L283" s="501"/>
      <c r="M283" s="372"/>
      <c r="N283" s="501"/>
      <c r="O283" s="430"/>
      <c r="P283" s="430"/>
      <c r="Q283" s="504"/>
      <c r="R283" s="2"/>
      <c r="S283" s="425"/>
      <c r="T283" s="425"/>
      <c r="U283" s="345"/>
      <c r="V283" s="345"/>
    </row>
    <row r="284" spans="1:22" s="226" customFormat="1" ht="27.75" customHeight="1">
      <c r="A284" s="6"/>
      <c r="B284" s="500"/>
      <c r="D284" s="501"/>
      <c r="E284" s="502"/>
      <c r="F284" s="503"/>
      <c r="G284" s="430"/>
      <c r="H284" s="430"/>
      <c r="I284" s="504"/>
      <c r="J284" s="3"/>
      <c r="K284" s="372"/>
      <c r="L284" s="501"/>
      <c r="M284" s="372"/>
      <c r="N284" s="501"/>
      <c r="O284" s="430"/>
      <c r="P284" s="430"/>
      <c r="Q284" s="504"/>
      <c r="R284" s="2"/>
      <c r="S284" s="425"/>
      <c r="T284" s="425"/>
      <c r="U284" s="345"/>
      <c r="V284" s="345"/>
    </row>
    <row r="285" spans="1:22" s="226" customFormat="1" ht="27.75" customHeight="1">
      <c r="A285" s="6"/>
      <c r="B285" s="500"/>
      <c r="D285" s="501"/>
      <c r="E285" s="502"/>
      <c r="F285" s="503"/>
      <c r="G285" s="430"/>
      <c r="H285" s="430"/>
      <c r="I285" s="504"/>
      <c r="J285" s="3"/>
      <c r="K285" s="372"/>
      <c r="L285" s="501"/>
      <c r="M285" s="372"/>
      <c r="N285" s="501"/>
      <c r="O285" s="430"/>
      <c r="P285" s="430"/>
      <c r="Q285" s="504"/>
      <c r="R285" s="2"/>
      <c r="S285" s="425"/>
      <c r="T285" s="425"/>
      <c r="U285" s="345"/>
      <c r="V285" s="345"/>
    </row>
    <row r="286" spans="1:22" s="226" customFormat="1" ht="27.75" customHeight="1">
      <c r="A286" s="6"/>
      <c r="B286" s="500"/>
      <c r="D286" s="501"/>
      <c r="E286" s="502"/>
      <c r="F286" s="503"/>
      <c r="G286" s="430"/>
      <c r="H286" s="430"/>
      <c r="I286" s="504"/>
      <c r="J286" s="3"/>
      <c r="K286" s="372"/>
      <c r="L286" s="501"/>
      <c r="M286" s="372"/>
      <c r="N286" s="501"/>
      <c r="O286" s="430"/>
      <c r="P286" s="430"/>
      <c r="Q286" s="504"/>
      <c r="R286" s="2"/>
      <c r="S286" s="425"/>
      <c r="T286" s="425"/>
      <c r="U286" s="345"/>
      <c r="V286" s="345"/>
    </row>
    <row r="287" spans="1:22" s="226" customFormat="1" ht="27.75" customHeight="1">
      <c r="A287" s="6"/>
      <c r="B287" s="500"/>
      <c r="D287" s="501"/>
      <c r="E287" s="502"/>
      <c r="F287" s="503"/>
      <c r="G287" s="430"/>
      <c r="H287" s="430"/>
      <c r="I287" s="504"/>
      <c r="J287" s="3"/>
      <c r="K287" s="372"/>
      <c r="L287" s="501"/>
      <c r="M287" s="372"/>
      <c r="N287" s="501"/>
      <c r="O287" s="430"/>
      <c r="P287" s="430"/>
      <c r="Q287" s="504"/>
      <c r="R287" s="2"/>
      <c r="S287" s="425"/>
      <c r="T287" s="425"/>
      <c r="U287" s="345"/>
      <c r="V287" s="345"/>
    </row>
    <row r="288" spans="1:22" s="226" customFormat="1" ht="27.75" customHeight="1">
      <c r="A288" s="6"/>
      <c r="D288" s="501"/>
      <c r="E288" s="502"/>
      <c r="F288" s="503"/>
      <c r="G288" s="430"/>
      <c r="H288" s="430"/>
      <c r="I288" s="504"/>
      <c r="J288" s="3"/>
      <c r="K288" s="372"/>
      <c r="L288" s="501"/>
      <c r="M288" s="372"/>
      <c r="N288" s="501"/>
      <c r="O288" s="430"/>
      <c r="P288" s="430"/>
      <c r="Q288" s="504"/>
      <c r="R288" s="2"/>
      <c r="S288" s="425"/>
      <c r="T288" s="425"/>
      <c r="U288" s="345"/>
      <c r="V288" s="345"/>
    </row>
    <row r="289" spans="2:22" ht="27.75" customHeight="1">
      <c r="B289" s="4"/>
      <c r="D289" s="4"/>
      <c r="E289" s="505"/>
      <c r="G289" s="504"/>
      <c r="H289" s="504"/>
      <c r="L289" s="4"/>
      <c r="N289" s="4"/>
      <c r="O289" s="507"/>
      <c r="P289" s="507"/>
      <c r="U289" s="4"/>
      <c r="V289" s="4"/>
    </row>
    <row r="290" spans="2:22" ht="27.75" customHeight="1">
      <c r="B290" s="4"/>
      <c r="D290" s="4"/>
      <c r="E290" s="505"/>
      <c r="G290" s="504"/>
      <c r="H290" s="504"/>
      <c r="L290" s="4"/>
      <c r="N290" s="4"/>
      <c r="O290" s="507"/>
      <c r="P290" s="507"/>
      <c r="U290" s="4"/>
      <c r="V290" s="4"/>
    </row>
    <row r="291" spans="2:22" ht="27.75" customHeight="1">
      <c r="B291" s="4"/>
      <c r="D291" s="4"/>
      <c r="E291" s="505"/>
      <c r="G291" s="504"/>
      <c r="H291" s="504"/>
      <c r="I291" s="509"/>
      <c r="L291" s="4"/>
      <c r="N291" s="4"/>
      <c r="O291" s="507"/>
      <c r="P291" s="507"/>
      <c r="U291" s="4"/>
      <c r="V291" s="4"/>
    </row>
    <row r="292" spans="2:22" ht="27.75" customHeight="1">
      <c r="B292" s="4"/>
      <c r="D292" s="4"/>
      <c r="E292" s="505"/>
      <c r="G292" s="504"/>
      <c r="H292" s="504"/>
      <c r="L292" s="4"/>
      <c r="N292" s="4"/>
      <c r="O292" s="507"/>
      <c r="P292" s="507"/>
      <c r="U292" s="4"/>
      <c r="V292" s="4"/>
    </row>
    <row r="293" spans="2:22" ht="27.75" customHeight="1">
      <c r="B293" s="4"/>
      <c r="D293" s="4"/>
      <c r="E293" s="505"/>
      <c r="G293" s="504"/>
      <c r="H293" s="504"/>
      <c r="L293" s="4"/>
      <c r="N293" s="4"/>
      <c r="O293" s="507"/>
      <c r="P293" s="507"/>
      <c r="U293" s="4"/>
      <c r="V293" s="4"/>
    </row>
    <row r="294" spans="2:22" ht="27.75" customHeight="1">
      <c r="B294" s="4"/>
      <c r="D294" s="4"/>
      <c r="E294" s="505"/>
      <c r="G294" s="504"/>
      <c r="H294" s="504"/>
      <c r="L294" s="4"/>
      <c r="N294" s="4"/>
      <c r="O294" s="507"/>
      <c r="P294" s="507"/>
      <c r="U294" s="4"/>
      <c r="V294" s="4"/>
    </row>
    <row r="295" spans="2:22" ht="27.75" customHeight="1">
      <c r="B295" s="4"/>
      <c r="D295" s="4"/>
      <c r="E295" s="505"/>
      <c r="G295" s="504"/>
      <c r="H295" s="504"/>
      <c r="L295" s="4"/>
      <c r="N295" s="4"/>
      <c r="O295" s="507"/>
      <c r="P295" s="507"/>
      <c r="U295" s="4"/>
      <c r="V295" s="4"/>
    </row>
    <row r="296" spans="2:22" ht="27.75" customHeight="1">
      <c r="B296" s="4"/>
      <c r="D296" s="4"/>
      <c r="E296" s="505"/>
      <c r="G296" s="504"/>
      <c r="H296" s="504"/>
      <c r="L296" s="4"/>
      <c r="N296" s="4"/>
      <c r="O296" s="507"/>
      <c r="P296" s="507"/>
      <c r="U296" s="4"/>
      <c r="V296" s="4"/>
    </row>
    <row r="297" spans="2:22" ht="27.75" customHeight="1">
      <c r="B297" s="4"/>
      <c r="D297" s="4"/>
      <c r="E297" s="505"/>
      <c r="G297" s="504"/>
      <c r="H297" s="504"/>
      <c r="L297" s="4"/>
      <c r="N297" s="4"/>
      <c r="O297" s="507"/>
      <c r="P297" s="507"/>
      <c r="U297" s="4"/>
      <c r="V297" s="4"/>
    </row>
    <row r="298" spans="2:22" ht="27.75" customHeight="1">
      <c r="B298" s="4"/>
      <c r="D298" s="4"/>
      <c r="E298" s="505"/>
      <c r="G298" s="504"/>
      <c r="H298" s="504"/>
      <c r="L298" s="4"/>
      <c r="N298" s="4"/>
      <c r="O298" s="507"/>
      <c r="P298" s="507"/>
      <c r="U298" s="4"/>
      <c r="V298" s="4"/>
    </row>
    <row r="299" spans="2:22" ht="27.75" customHeight="1">
      <c r="B299" s="4"/>
      <c r="D299" s="4"/>
      <c r="E299" s="505"/>
      <c r="G299" s="504"/>
      <c r="H299" s="504"/>
      <c r="L299" s="4"/>
      <c r="N299" s="4"/>
      <c r="O299" s="507"/>
      <c r="P299" s="507"/>
      <c r="U299" s="4"/>
      <c r="V299" s="4"/>
    </row>
    <row r="300" spans="2:22" ht="27.75" customHeight="1">
      <c r="B300" s="4"/>
      <c r="D300" s="4"/>
      <c r="E300" s="505"/>
      <c r="G300" s="504"/>
      <c r="H300" s="504"/>
      <c r="L300" s="4"/>
      <c r="N300" s="4"/>
      <c r="O300" s="507"/>
      <c r="P300" s="507"/>
      <c r="U300" s="4"/>
      <c r="V300" s="4"/>
    </row>
    <row r="301" spans="2:22" ht="27.75" customHeight="1">
      <c r="B301" s="4"/>
      <c r="D301" s="4"/>
      <c r="E301" s="505"/>
      <c r="G301" s="504"/>
      <c r="H301" s="504"/>
      <c r="L301" s="4"/>
      <c r="N301" s="4"/>
      <c r="O301" s="507"/>
      <c r="P301" s="507"/>
      <c r="U301" s="4"/>
      <c r="V301" s="4"/>
    </row>
    <row r="302" spans="2:22" ht="27.75" customHeight="1">
      <c r="B302" s="4"/>
      <c r="D302" s="4"/>
      <c r="E302" s="505"/>
      <c r="G302" s="504"/>
      <c r="H302" s="504"/>
      <c r="L302" s="4"/>
      <c r="N302" s="4"/>
      <c r="O302" s="507"/>
      <c r="P302" s="507"/>
      <c r="U302" s="4"/>
      <c r="V302" s="4"/>
    </row>
    <row r="303" spans="2:22" ht="27.75" customHeight="1">
      <c r="B303" s="4"/>
      <c r="D303" s="4"/>
      <c r="E303" s="505"/>
      <c r="G303" s="504"/>
      <c r="H303" s="504"/>
      <c r="L303" s="4"/>
      <c r="N303" s="4"/>
      <c r="O303" s="507"/>
      <c r="P303" s="507"/>
      <c r="U303" s="4"/>
      <c r="V303" s="4"/>
    </row>
    <row r="304" spans="2:22" ht="27.75" customHeight="1">
      <c r="B304" s="4"/>
      <c r="D304" s="4"/>
      <c r="E304" s="505"/>
      <c r="G304" s="504"/>
      <c r="H304" s="504"/>
      <c r="L304" s="4"/>
      <c r="N304" s="4"/>
      <c r="O304" s="507"/>
      <c r="P304" s="507"/>
      <c r="U304" s="4"/>
      <c r="V304" s="4"/>
    </row>
    <row r="316" spans="2:22" ht="27.75" customHeight="1">
      <c r="B316" s="4"/>
      <c r="D316" s="4"/>
      <c r="E316" s="505"/>
      <c r="G316" s="504"/>
      <c r="H316" s="504"/>
      <c r="L316" s="4"/>
      <c r="N316" s="4"/>
      <c r="O316" s="507"/>
      <c r="P316" s="507"/>
      <c r="R316" s="4"/>
      <c r="S316" s="4"/>
      <c r="T316" s="4"/>
      <c r="U316" s="4"/>
      <c r="V316" s="4"/>
    </row>
    <row r="317" spans="2:22" ht="27.75" customHeight="1">
      <c r="B317" s="4"/>
      <c r="D317" s="4"/>
      <c r="E317" s="505"/>
      <c r="G317" s="504"/>
      <c r="H317" s="504"/>
      <c r="L317" s="4"/>
      <c r="N317" s="4"/>
      <c r="O317" s="507"/>
      <c r="P317" s="507"/>
      <c r="R317" s="4"/>
      <c r="S317" s="4"/>
      <c r="T317" s="4"/>
      <c r="U317" s="4"/>
      <c r="V317" s="4"/>
    </row>
    <row r="318" spans="2:22" ht="27.75" customHeight="1">
      <c r="B318" s="4"/>
      <c r="D318" s="4"/>
      <c r="E318" s="505"/>
      <c r="G318" s="504"/>
      <c r="H318" s="504"/>
      <c r="L318" s="4"/>
      <c r="N318" s="4"/>
      <c r="O318" s="507"/>
      <c r="P318" s="507"/>
      <c r="R318" s="4"/>
      <c r="S318" s="4"/>
      <c r="T318" s="4"/>
      <c r="U318" s="4"/>
      <c r="V318" s="4"/>
    </row>
    <row r="319" spans="2:22" ht="27.75" customHeight="1">
      <c r="B319" s="4"/>
      <c r="D319" s="4"/>
      <c r="E319" s="505"/>
      <c r="G319" s="504"/>
      <c r="H319" s="504"/>
      <c r="L319" s="4"/>
      <c r="N319" s="4"/>
      <c r="O319" s="507"/>
      <c r="P319" s="507"/>
      <c r="R319" s="4"/>
      <c r="S319" s="4"/>
      <c r="T319" s="4"/>
      <c r="U319" s="4"/>
      <c r="V319" s="4"/>
    </row>
    <row r="320" spans="2:22" ht="27.75" customHeight="1">
      <c r="B320" s="4"/>
      <c r="D320" s="4"/>
      <c r="E320" s="505"/>
      <c r="G320" s="504"/>
      <c r="H320" s="504"/>
      <c r="L320" s="4"/>
      <c r="N320" s="4"/>
      <c r="O320" s="507"/>
      <c r="P320" s="507"/>
      <c r="R320" s="4"/>
      <c r="S320" s="4"/>
      <c r="T320" s="4"/>
      <c r="U320" s="4"/>
      <c r="V320" s="4"/>
    </row>
    <row r="321" spans="2:22" ht="27.75" customHeight="1">
      <c r="B321" s="4"/>
      <c r="D321" s="4"/>
      <c r="E321" s="505"/>
      <c r="G321" s="504"/>
      <c r="H321" s="504"/>
      <c r="L321" s="4"/>
      <c r="N321" s="4"/>
      <c r="O321" s="507"/>
      <c r="P321" s="507"/>
      <c r="R321" s="4"/>
      <c r="S321" s="4"/>
      <c r="T321" s="4"/>
      <c r="U321" s="4"/>
      <c r="V321" s="4"/>
    </row>
    <row r="322" spans="2:22" ht="27.75" customHeight="1">
      <c r="B322" s="4"/>
      <c r="D322" s="4"/>
      <c r="E322" s="505"/>
      <c r="G322" s="504"/>
      <c r="H322" s="504"/>
      <c r="L322" s="4"/>
      <c r="N322" s="4"/>
      <c r="O322" s="507"/>
      <c r="P322" s="507"/>
      <c r="R322" s="4"/>
      <c r="S322" s="4"/>
      <c r="T322" s="4"/>
      <c r="U322" s="4"/>
      <c r="V322" s="4"/>
    </row>
    <row r="323" spans="2:22" ht="27.75" customHeight="1">
      <c r="B323" s="4"/>
      <c r="D323" s="4"/>
      <c r="E323" s="505"/>
      <c r="G323" s="504"/>
      <c r="H323" s="504"/>
      <c r="L323" s="4"/>
      <c r="N323" s="4"/>
      <c r="O323" s="507"/>
      <c r="P323" s="507"/>
      <c r="R323" s="4"/>
      <c r="S323" s="4"/>
      <c r="T323" s="4"/>
      <c r="U323" s="4"/>
      <c r="V323" s="4"/>
    </row>
    <row r="324" spans="2:22" ht="27.75" customHeight="1">
      <c r="B324" s="4"/>
      <c r="D324" s="4"/>
      <c r="E324" s="505"/>
      <c r="G324" s="504"/>
      <c r="H324" s="504"/>
      <c r="L324" s="4"/>
      <c r="N324" s="4"/>
      <c r="O324" s="507"/>
      <c r="P324" s="507"/>
      <c r="R324" s="4"/>
      <c r="S324" s="4"/>
      <c r="T324" s="4"/>
      <c r="U324" s="4"/>
      <c r="V324" s="4"/>
    </row>
    <row r="325" spans="2:22" ht="27.75" customHeight="1">
      <c r="B325" s="4"/>
      <c r="D325" s="4"/>
      <c r="E325" s="505"/>
      <c r="G325" s="504"/>
      <c r="H325" s="504"/>
      <c r="L325" s="4"/>
      <c r="N325" s="4"/>
      <c r="O325" s="507"/>
      <c r="P325" s="507"/>
      <c r="R325" s="4"/>
      <c r="S325" s="4"/>
      <c r="T325" s="4"/>
      <c r="U325" s="4"/>
      <c r="V325" s="4"/>
    </row>
    <row r="326" spans="2:22" ht="27.75" customHeight="1">
      <c r="B326" s="4"/>
      <c r="D326" s="4"/>
      <c r="E326" s="505"/>
      <c r="G326" s="504"/>
      <c r="H326" s="504"/>
      <c r="L326" s="4"/>
      <c r="N326" s="4"/>
      <c r="O326" s="507"/>
      <c r="P326" s="507"/>
      <c r="R326" s="4"/>
      <c r="S326" s="4"/>
      <c r="T326" s="4"/>
      <c r="U326" s="4"/>
      <c r="V326" s="4"/>
    </row>
    <row r="327" spans="2:22" ht="27.75" customHeight="1">
      <c r="B327" s="4"/>
      <c r="D327" s="4"/>
      <c r="E327" s="505"/>
      <c r="G327" s="504"/>
      <c r="H327" s="504"/>
      <c r="L327" s="4"/>
      <c r="N327" s="4"/>
      <c r="O327" s="507"/>
      <c r="P327" s="507"/>
      <c r="R327" s="4"/>
      <c r="S327" s="4"/>
      <c r="T327" s="4"/>
      <c r="U327" s="4"/>
      <c r="V327" s="4"/>
    </row>
    <row r="328" spans="2:22" ht="27.75" customHeight="1">
      <c r="B328" s="4"/>
      <c r="D328" s="4"/>
      <c r="E328" s="505"/>
      <c r="G328" s="504"/>
      <c r="H328" s="504"/>
      <c r="L328" s="4"/>
      <c r="N328" s="4"/>
      <c r="O328" s="507"/>
      <c r="P328" s="507"/>
      <c r="R328" s="4"/>
      <c r="S328" s="4"/>
      <c r="T328" s="4"/>
      <c r="U328" s="4"/>
      <c r="V328" s="4"/>
    </row>
  </sheetData>
  <mergeCells count="25">
    <mergeCell ref="A1:Q1"/>
    <mergeCell ref="A2:Q2"/>
    <mergeCell ref="A3:Q3"/>
    <mergeCell ref="E4:I4"/>
    <mergeCell ref="M4:Q4"/>
    <mergeCell ref="U4:U6"/>
    <mergeCell ref="V4:V6"/>
    <mergeCell ref="A5:A6"/>
    <mergeCell ref="B5:B6"/>
    <mergeCell ref="C5:C6"/>
    <mergeCell ref="D5:D6"/>
    <mergeCell ref="E5:E6"/>
    <mergeCell ref="F5:F6"/>
    <mergeCell ref="R4:R6"/>
    <mergeCell ref="G5:I5"/>
    <mergeCell ref="K5:K6"/>
    <mergeCell ref="L5:L6"/>
    <mergeCell ref="M5:M6"/>
    <mergeCell ref="N5:N6"/>
    <mergeCell ref="O5:Q5"/>
    <mergeCell ref="B256:D256"/>
    <mergeCell ref="B260:D260"/>
    <mergeCell ref="B263:D263"/>
    <mergeCell ref="S4:S6"/>
    <mergeCell ref="T4:T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5451-0B48-441E-9A08-4CAA8FDE84D3}">
  <sheetPr>
    <tabColor rgb="FFFFFF00"/>
  </sheetPr>
  <dimension ref="A1:I283"/>
  <sheetViews>
    <sheetView zoomScale="60" zoomScaleNormal="60" workbookViewId="0">
      <pane ySplit="6" topLeftCell="A212" activePane="bottomLeft" state="frozen"/>
      <selection pane="bottomLeft" activeCell="H227" sqref="H227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1.6640625" style="3" customWidth="1"/>
    <col min="5" max="5" width="24.5546875" style="372" customWidth="1"/>
    <col min="6" max="6" width="22.109375" style="512" customWidth="1"/>
    <col min="7" max="7" width="8.88671875" style="4"/>
    <col min="8" max="8" width="21.77734375" style="4" customWidth="1"/>
    <col min="9" max="16384" width="8.88671875" style="4"/>
  </cols>
  <sheetData>
    <row r="1" spans="1:6" ht="28.5" customHeight="1">
      <c r="A1" s="653" t="s">
        <v>0</v>
      </c>
      <c r="B1" s="653"/>
      <c r="C1" s="653"/>
      <c r="D1" s="653"/>
      <c r="E1" s="653"/>
      <c r="F1" s="653"/>
    </row>
    <row r="2" spans="1:6" ht="23.25" customHeight="1">
      <c r="A2" s="653" t="s">
        <v>1</v>
      </c>
      <c r="B2" s="653"/>
      <c r="C2" s="653"/>
      <c r="D2" s="653"/>
      <c r="E2" s="653"/>
      <c r="F2" s="653"/>
    </row>
    <row r="3" spans="1:6" ht="28.5" customHeight="1">
      <c r="A3" s="654" t="s">
        <v>709</v>
      </c>
      <c r="B3" s="654"/>
      <c r="C3" s="654"/>
      <c r="D3" s="654"/>
      <c r="E3" s="654"/>
      <c r="F3" s="654"/>
    </row>
    <row r="4" spans="1:6" ht="27.75" customHeight="1">
      <c r="A4" s="7"/>
      <c r="B4" s="8"/>
      <c r="C4" s="9"/>
      <c r="D4" s="11"/>
      <c r="E4" s="12" t="s">
        <v>4</v>
      </c>
      <c r="F4" s="13"/>
    </row>
    <row r="5" spans="1:6" ht="27.75" customHeight="1">
      <c r="A5" s="664" t="s">
        <v>11</v>
      </c>
      <c r="B5" s="666" t="s">
        <v>12</v>
      </c>
      <c r="C5" s="666" t="s">
        <v>13</v>
      </c>
      <c r="D5" s="14" t="s">
        <v>18</v>
      </c>
      <c r="E5" s="691" t="s">
        <v>19</v>
      </c>
      <c r="F5" s="693" t="s">
        <v>20</v>
      </c>
    </row>
    <row r="6" spans="1:6" ht="27.75" customHeight="1" thickBot="1">
      <c r="A6" s="665"/>
      <c r="B6" s="667"/>
      <c r="C6" s="667"/>
      <c r="D6" s="18"/>
      <c r="E6" s="692"/>
      <c r="F6" s="694"/>
    </row>
    <row r="7" spans="1:6" ht="27.75" customHeight="1" thickTop="1">
      <c r="A7" s="22"/>
      <c r="B7" s="23" t="s">
        <v>23</v>
      </c>
      <c r="C7" s="24"/>
      <c r="D7" s="29"/>
      <c r="E7" s="30"/>
      <c r="F7" s="31"/>
    </row>
    <row r="8" spans="1:6" s="57" customFormat="1" ht="27.75" customHeight="1">
      <c r="A8" s="39">
        <v>1</v>
      </c>
      <c r="B8" s="40" t="s">
        <v>24</v>
      </c>
      <c r="C8" s="41" t="s">
        <v>25</v>
      </c>
      <c r="D8" s="48">
        <v>45992</v>
      </c>
      <c r="E8" s="49" t="s">
        <v>710</v>
      </c>
      <c r="F8" s="50">
        <v>4012.5</v>
      </c>
    </row>
    <row r="9" spans="1:6" s="57" customFormat="1" ht="27.75" customHeight="1">
      <c r="A9" s="39">
        <v>2</v>
      </c>
      <c r="B9" s="40" t="s">
        <v>28</v>
      </c>
      <c r="C9" s="41" t="s">
        <v>29</v>
      </c>
      <c r="D9" s="48" t="s">
        <v>808</v>
      </c>
      <c r="E9" s="49" t="s">
        <v>809</v>
      </c>
      <c r="F9" s="50">
        <v>8025</v>
      </c>
    </row>
    <row r="10" spans="1:6" s="57" customFormat="1" ht="27.75" customHeight="1">
      <c r="A10" s="39">
        <v>3</v>
      </c>
      <c r="B10" s="40" t="s">
        <v>24</v>
      </c>
      <c r="C10" s="41" t="s">
        <v>33</v>
      </c>
      <c r="D10" s="48">
        <v>45992</v>
      </c>
      <c r="E10" s="49" t="s">
        <v>710</v>
      </c>
      <c r="F10" s="50">
        <v>4012.5</v>
      </c>
    </row>
    <row r="11" spans="1:6" s="57" customFormat="1" ht="27.75" customHeight="1">
      <c r="A11" s="39">
        <v>4</v>
      </c>
      <c r="B11" s="40" t="s">
        <v>34</v>
      </c>
      <c r="C11" s="41" t="s">
        <v>35</v>
      </c>
      <c r="D11" s="48" t="s">
        <v>808</v>
      </c>
      <c r="E11" s="49" t="s">
        <v>809</v>
      </c>
      <c r="F11" s="50">
        <v>8025</v>
      </c>
    </row>
    <row r="12" spans="1:6" s="57" customFormat="1" ht="27.75" customHeight="1">
      <c r="A12" s="39">
        <v>5</v>
      </c>
      <c r="B12" s="40" t="s">
        <v>36</v>
      </c>
      <c r="C12" s="41" t="s">
        <v>37</v>
      </c>
      <c r="D12" s="48">
        <v>45996</v>
      </c>
      <c r="E12" s="49" t="s">
        <v>711</v>
      </c>
      <c r="F12" s="50">
        <v>4012.5</v>
      </c>
    </row>
    <row r="13" spans="1:6" s="57" customFormat="1" ht="27.75" customHeight="1">
      <c r="A13" s="39">
        <v>6</v>
      </c>
      <c r="B13" s="40" t="s">
        <v>34</v>
      </c>
      <c r="C13" s="41" t="s">
        <v>39</v>
      </c>
      <c r="D13" s="48" t="s">
        <v>808</v>
      </c>
      <c r="E13" s="49" t="s">
        <v>809</v>
      </c>
      <c r="F13" s="50">
        <v>8025</v>
      </c>
    </row>
    <row r="14" spans="1:6" s="57" customFormat="1" ht="27.75" customHeight="1">
      <c r="A14" s="39">
        <v>7</v>
      </c>
      <c r="B14" s="40" t="s">
        <v>40</v>
      </c>
      <c r="C14" s="41" t="s">
        <v>41</v>
      </c>
      <c r="D14" s="48">
        <v>45996</v>
      </c>
      <c r="E14" s="49" t="s">
        <v>712</v>
      </c>
      <c r="F14" s="50">
        <v>4012.5</v>
      </c>
    </row>
    <row r="15" spans="1:6" s="57" customFormat="1" ht="27.75" customHeight="1">
      <c r="A15" s="39">
        <v>8</v>
      </c>
      <c r="B15" s="40" t="s">
        <v>43</v>
      </c>
      <c r="C15" s="41" t="s">
        <v>44</v>
      </c>
      <c r="D15" s="48">
        <v>45992</v>
      </c>
      <c r="E15" s="49" t="s">
        <v>713</v>
      </c>
      <c r="F15" s="50">
        <v>4012.5</v>
      </c>
    </row>
    <row r="16" spans="1:6" s="57" customFormat="1" ht="27.75" customHeight="1">
      <c r="A16" s="39">
        <v>9</v>
      </c>
      <c r="B16" s="40" t="s">
        <v>47</v>
      </c>
      <c r="C16" s="41" t="s">
        <v>48</v>
      </c>
      <c r="D16" s="48">
        <v>45995</v>
      </c>
      <c r="E16" s="49" t="s">
        <v>714</v>
      </c>
      <c r="F16" s="50">
        <v>4012.5</v>
      </c>
    </row>
    <row r="17" spans="1:8" s="57" customFormat="1" ht="27.75" customHeight="1">
      <c r="A17" s="39">
        <v>10</v>
      </c>
      <c r="B17" s="40" t="s">
        <v>50</v>
      </c>
      <c r="C17" s="41" t="s">
        <v>51</v>
      </c>
      <c r="D17" s="48">
        <v>45995</v>
      </c>
      <c r="E17" s="49" t="s">
        <v>715</v>
      </c>
      <c r="F17" s="50">
        <v>4012.5</v>
      </c>
    </row>
    <row r="18" spans="1:8" s="57" customFormat="1" ht="27.75" customHeight="1">
      <c r="A18" s="39">
        <v>11</v>
      </c>
      <c r="B18" s="40" t="s">
        <v>53</v>
      </c>
      <c r="C18" s="41" t="s">
        <v>54</v>
      </c>
      <c r="D18" s="48" t="s">
        <v>810</v>
      </c>
      <c r="E18" s="59" t="s">
        <v>811</v>
      </c>
      <c r="F18" s="50">
        <v>8025</v>
      </c>
    </row>
    <row r="19" spans="1:8" s="57" customFormat="1" ht="27.75" customHeight="1">
      <c r="A19" s="39">
        <v>12</v>
      </c>
      <c r="B19" s="40" t="s">
        <v>57</v>
      </c>
      <c r="C19" s="41" t="s">
        <v>58</v>
      </c>
      <c r="D19" s="48">
        <v>45992</v>
      </c>
      <c r="E19" s="49" t="s">
        <v>716</v>
      </c>
      <c r="F19" s="50">
        <v>4012.5</v>
      </c>
    </row>
    <row r="20" spans="1:8" s="57" customFormat="1" ht="27.75" customHeight="1">
      <c r="A20" s="39">
        <v>13</v>
      </c>
      <c r="B20" s="40" t="s">
        <v>60</v>
      </c>
      <c r="C20" s="41" t="s">
        <v>61</v>
      </c>
      <c r="D20" s="48">
        <v>45995</v>
      </c>
      <c r="E20" s="49" t="s">
        <v>717</v>
      </c>
      <c r="F20" s="50">
        <v>4012.5</v>
      </c>
    </row>
    <row r="21" spans="1:8" s="57" customFormat="1" ht="27.75" customHeight="1">
      <c r="A21" s="39">
        <v>14</v>
      </c>
      <c r="B21" s="40" t="s">
        <v>63</v>
      </c>
      <c r="C21" s="41" t="s">
        <v>64</v>
      </c>
      <c r="D21" s="48">
        <v>45995</v>
      </c>
      <c r="E21" s="49" t="s">
        <v>718</v>
      </c>
      <c r="F21" s="50">
        <v>4012.5</v>
      </c>
    </row>
    <row r="22" spans="1:8" s="57" customFormat="1" ht="27.75" customHeight="1">
      <c r="A22" s="39">
        <v>15</v>
      </c>
      <c r="B22" s="40" t="s">
        <v>66</v>
      </c>
      <c r="C22" s="41" t="s">
        <v>67</v>
      </c>
      <c r="D22" s="62">
        <v>46020</v>
      </c>
      <c r="E22" s="49" t="s">
        <v>719</v>
      </c>
      <c r="F22" s="50">
        <v>12037.5</v>
      </c>
    </row>
    <row r="23" spans="1:8" s="57" customFormat="1" ht="27.75" customHeight="1">
      <c r="A23" s="39">
        <v>16</v>
      </c>
      <c r="B23" s="40" t="s">
        <v>66</v>
      </c>
      <c r="C23" s="41" t="s">
        <v>69</v>
      </c>
      <c r="D23" s="62">
        <v>46020</v>
      </c>
      <c r="E23" s="49" t="s">
        <v>720</v>
      </c>
      <c r="F23" s="50">
        <v>4012.5</v>
      </c>
    </row>
    <row r="24" spans="1:8" s="57" customFormat="1" ht="35.25" customHeight="1" thickBot="1">
      <c r="A24" s="67"/>
      <c r="B24" s="68" t="s">
        <v>22</v>
      </c>
      <c r="C24" s="69"/>
      <c r="D24" s="74"/>
      <c r="E24" s="75"/>
      <c r="F24" s="76">
        <v>88275</v>
      </c>
      <c r="H24" s="57">
        <f>SUM(F8:F23)</f>
        <v>88275</v>
      </c>
    </row>
    <row r="25" spans="1:8" s="91" customFormat="1" ht="27.75" customHeight="1" thickTop="1">
      <c r="A25" s="39">
        <v>1</v>
      </c>
      <c r="B25" s="80" t="s">
        <v>71</v>
      </c>
      <c r="C25" s="81" t="s">
        <v>72</v>
      </c>
      <c r="D25" s="48">
        <v>46014</v>
      </c>
      <c r="E25" s="49" t="s">
        <v>721</v>
      </c>
      <c r="F25" s="86">
        <v>13375</v>
      </c>
    </row>
    <row r="26" spans="1:8" s="57" customFormat="1" ht="27.75" customHeight="1">
      <c r="A26" s="39">
        <v>2</v>
      </c>
      <c r="B26" s="92" t="s">
        <v>76</v>
      </c>
      <c r="C26" s="41" t="s">
        <v>72</v>
      </c>
      <c r="D26" s="62">
        <v>45995</v>
      </c>
      <c r="E26" s="49" t="s">
        <v>723</v>
      </c>
      <c r="F26" s="93">
        <v>1605</v>
      </c>
    </row>
    <row r="27" spans="1:8" s="57" customFormat="1" ht="27.75" customHeight="1" thickBot="1">
      <c r="A27" s="96"/>
      <c r="B27" s="97" t="s">
        <v>22</v>
      </c>
      <c r="C27" s="98"/>
      <c r="D27" s="103"/>
      <c r="E27" s="104"/>
      <c r="F27" s="105">
        <v>14980</v>
      </c>
      <c r="H27" s="57">
        <f>SUM(F25:F26)</f>
        <v>14980</v>
      </c>
    </row>
    <row r="28" spans="1:8" ht="27.75" customHeight="1" thickTop="1">
      <c r="A28" s="39">
        <v>1</v>
      </c>
      <c r="B28" s="40" t="s">
        <v>78</v>
      </c>
      <c r="C28" s="81" t="s">
        <v>72</v>
      </c>
      <c r="D28" s="113">
        <v>46020</v>
      </c>
      <c r="E28" s="114" t="s">
        <v>724</v>
      </c>
      <c r="F28" s="115">
        <v>11006.11</v>
      </c>
    </row>
    <row r="29" spans="1:8" ht="27.75" customHeight="1">
      <c r="A29" s="39">
        <v>2</v>
      </c>
      <c r="B29" s="40" t="s">
        <v>82</v>
      </c>
      <c r="C29" s="41" t="s">
        <v>72</v>
      </c>
      <c r="D29" s="113">
        <v>45993</v>
      </c>
      <c r="E29" s="114" t="s">
        <v>725</v>
      </c>
      <c r="F29" s="115">
        <v>2713.52</v>
      </c>
    </row>
    <row r="30" spans="1:8" ht="27.75" customHeight="1">
      <c r="A30" s="39">
        <v>3</v>
      </c>
      <c r="B30" s="40" t="s">
        <v>85</v>
      </c>
      <c r="C30" s="41" t="s">
        <v>72</v>
      </c>
      <c r="D30" s="117">
        <v>45995</v>
      </c>
      <c r="E30" s="118" t="s">
        <v>726</v>
      </c>
      <c r="F30" s="119">
        <v>10700</v>
      </c>
    </row>
    <row r="31" spans="1:8" s="57" customFormat="1" ht="27.75" customHeight="1" thickBot="1">
      <c r="A31" s="96"/>
      <c r="B31" s="97" t="s">
        <v>22</v>
      </c>
      <c r="C31" s="98"/>
      <c r="D31" s="103"/>
      <c r="E31" s="104"/>
      <c r="F31" s="105">
        <v>24419.63</v>
      </c>
      <c r="H31" s="57">
        <f>SUM(F28:F30)</f>
        <v>24419.63</v>
      </c>
    </row>
    <row r="32" spans="1:8" ht="27.75" hidden="1" customHeight="1" thickBot="1">
      <c r="A32" s="39">
        <v>1</v>
      </c>
      <c r="B32" s="40" t="s">
        <v>88</v>
      </c>
      <c r="C32" s="41" t="s">
        <v>72</v>
      </c>
      <c r="D32" s="113"/>
      <c r="E32" s="118"/>
      <c r="F32" s="121">
        <v>0</v>
      </c>
    </row>
    <row r="33" spans="1:6" ht="27.75" hidden="1" customHeight="1" thickTop="1">
      <c r="A33" s="39">
        <v>2</v>
      </c>
      <c r="B33" s="40" t="s">
        <v>89</v>
      </c>
      <c r="C33" s="41" t="s">
        <v>72</v>
      </c>
      <c r="D33" s="113"/>
      <c r="E33" s="118"/>
      <c r="F33" s="121">
        <v>0</v>
      </c>
    </row>
    <row r="34" spans="1:6" ht="27.75" hidden="1" customHeight="1" thickTop="1">
      <c r="A34" s="39">
        <v>3</v>
      </c>
      <c r="B34" s="40" t="s">
        <v>90</v>
      </c>
      <c r="C34" s="41" t="s">
        <v>72</v>
      </c>
      <c r="D34" s="113"/>
      <c r="E34" s="118"/>
      <c r="F34" s="121"/>
    </row>
    <row r="35" spans="1:6" ht="27.75" hidden="1" customHeight="1" thickTop="1">
      <c r="A35" s="39">
        <v>4</v>
      </c>
      <c r="B35" s="40" t="s">
        <v>91</v>
      </c>
      <c r="C35" s="41" t="s">
        <v>72</v>
      </c>
      <c r="D35" s="113"/>
      <c r="E35" s="118"/>
      <c r="F35" s="121">
        <v>0</v>
      </c>
    </row>
    <row r="36" spans="1:6" ht="27.75" hidden="1" customHeight="1" thickTop="1">
      <c r="A36" s="39">
        <v>5</v>
      </c>
      <c r="B36" s="40" t="s">
        <v>92</v>
      </c>
      <c r="C36" s="41" t="s">
        <v>72</v>
      </c>
      <c r="D36" s="117"/>
      <c r="E36" s="118"/>
      <c r="F36" s="119">
        <v>0</v>
      </c>
    </row>
    <row r="37" spans="1:6" ht="27.75" hidden="1" customHeight="1" thickTop="1">
      <c r="A37" s="39">
        <v>6</v>
      </c>
      <c r="B37" s="123" t="s">
        <v>93</v>
      </c>
      <c r="C37" s="41" t="s">
        <v>72</v>
      </c>
      <c r="D37" s="127"/>
      <c r="E37" s="128"/>
      <c r="F37" s="129">
        <v>0</v>
      </c>
    </row>
    <row r="38" spans="1:6" ht="27.75" hidden="1" customHeight="1" thickTop="1">
      <c r="A38" s="39">
        <v>7</v>
      </c>
      <c r="B38" s="40" t="s">
        <v>94</v>
      </c>
      <c r="C38" s="41" t="s">
        <v>72</v>
      </c>
      <c r="D38" s="117"/>
      <c r="E38" s="118"/>
      <c r="F38" s="119">
        <v>0</v>
      </c>
    </row>
    <row r="39" spans="1:6" ht="27.75" hidden="1" customHeight="1" thickTop="1">
      <c r="A39" s="39">
        <v>8</v>
      </c>
      <c r="B39" s="40" t="s">
        <v>95</v>
      </c>
      <c r="C39" s="41" t="s">
        <v>72</v>
      </c>
      <c r="D39" s="117"/>
      <c r="E39" s="118"/>
      <c r="F39" s="119">
        <v>0</v>
      </c>
    </row>
    <row r="40" spans="1:6" ht="27.75" hidden="1" customHeight="1" thickTop="1">
      <c r="A40" s="39">
        <v>9</v>
      </c>
      <c r="B40" s="40" t="s">
        <v>96</v>
      </c>
      <c r="C40" s="41" t="s">
        <v>72</v>
      </c>
      <c r="D40" s="117"/>
      <c r="E40" s="118"/>
      <c r="F40" s="119">
        <v>0</v>
      </c>
    </row>
    <row r="41" spans="1:6" ht="27.75" hidden="1" customHeight="1" thickTop="1">
      <c r="A41" s="39">
        <v>10</v>
      </c>
      <c r="B41" s="40" t="s">
        <v>97</v>
      </c>
      <c r="C41" s="41" t="s">
        <v>72</v>
      </c>
      <c r="D41" s="117"/>
      <c r="E41" s="118"/>
      <c r="F41" s="119">
        <v>0</v>
      </c>
    </row>
    <row r="42" spans="1:6" ht="27.75" hidden="1" customHeight="1" thickTop="1">
      <c r="A42" s="39">
        <v>11</v>
      </c>
      <c r="B42" s="40" t="s">
        <v>98</v>
      </c>
      <c r="C42" s="41" t="s">
        <v>72</v>
      </c>
      <c r="D42" s="117"/>
      <c r="E42" s="118"/>
      <c r="F42" s="119">
        <v>0</v>
      </c>
    </row>
    <row r="43" spans="1:6" ht="27.75" hidden="1" customHeight="1" thickTop="1">
      <c r="A43" s="39">
        <v>12</v>
      </c>
      <c r="B43" s="40" t="s">
        <v>99</v>
      </c>
      <c r="C43" s="41" t="s">
        <v>72</v>
      </c>
      <c r="D43" s="117"/>
      <c r="E43" s="118"/>
      <c r="F43" s="119">
        <v>0</v>
      </c>
    </row>
    <row r="44" spans="1:6" ht="27.75" hidden="1" customHeight="1" thickTop="1">
      <c r="A44" s="39"/>
      <c r="B44" s="123"/>
      <c r="C44" s="41"/>
      <c r="D44" s="127"/>
      <c r="E44" s="128"/>
      <c r="F44" s="129"/>
    </row>
    <row r="45" spans="1:6" ht="27.75" hidden="1" customHeight="1" thickTop="1">
      <c r="A45" s="22"/>
      <c r="B45" s="131" t="s">
        <v>22</v>
      </c>
      <c r="C45" s="132"/>
      <c r="D45" s="137">
        <v>0</v>
      </c>
      <c r="E45" s="137">
        <v>0</v>
      </c>
      <c r="F45" s="138">
        <v>0</v>
      </c>
    </row>
    <row r="46" spans="1:6" ht="27.75" customHeight="1" thickTop="1">
      <c r="A46" s="22"/>
      <c r="B46" s="23" t="s">
        <v>100</v>
      </c>
      <c r="C46" s="24"/>
      <c r="D46" s="29"/>
      <c r="E46" s="30"/>
      <c r="F46" s="31"/>
    </row>
    <row r="47" spans="1:6" s="57" customFormat="1" ht="27.75" customHeight="1">
      <c r="A47" s="22">
        <v>1</v>
      </c>
      <c r="B47" s="40" t="s">
        <v>101</v>
      </c>
      <c r="C47" s="140" t="s">
        <v>102</v>
      </c>
      <c r="D47" s="113">
        <v>46013</v>
      </c>
      <c r="E47" s="114" t="s">
        <v>727</v>
      </c>
      <c r="F47" s="144">
        <v>160.5</v>
      </c>
    </row>
    <row r="48" spans="1:6" s="57" customFormat="1" ht="27.75" customHeight="1">
      <c r="A48" s="22">
        <v>2</v>
      </c>
      <c r="B48" s="150" t="s">
        <v>104</v>
      </c>
      <c r="C48" s="140" t="s">
        <v>102</v>
      </c>
      <c r="D48" s="117">
        <v>45992</v>
      </c>
      <c r="E48" s="118" t="s">
        <v>728</v>
      </c>
      <c r="F48" s="151">
        <v>963</v>
      </c>
    </row>
    <row r="49" spans="1:6" s="57" customFormat="1" ht="27.75" customHeight="1">
      <c r="A49" s="22">
        <v>3</v>
      </c>
      <c r="B49" s="170" t="s">
        <v>109</v>
      </c>
      <c r="C49" s="140" t="s">
        <v>102</v>
      </c>
      <c r="D49" s="117">
        <v>46017</v>
      </c>
      <c r="E49" s="118" t="s">
        <v>729</v>
      </c>
      <c r="F49" s="151">
        <v>321</v>
      </c>
    </row>
    <row r="50" spans="1:6" s="57" customFormat="1" ht="27.75" customHeight="1">
      <c r="A50" s="22">
        <v>4</v>
      </c>
      <c r="B50" s="170" t="s">
        <v>111</v>
      </c>
      <c r="C50" s="140" t="s">
        <v>102</v>
      </c>
      <c r="D50" s="117">
        <v>45995</v>
      </c>
      <c r="E50" s="118" t="s">
        <v>730</v>
      </c>
      <c r="F50" s="151">
        <v>321</v>
      </c>
    </row>
    <row r="51" spans="1:6" s="57" customFormat="1" ht="27.75" customHeight="1">
      <c r="A51" s="22">
        <v>5</v>
      </c>
      <c r="B51" s="170" t="s">
        <v>113</v>
      </c>
      <c r="C51" s="140" t="s">
        <v>102</v>
      </c>
      <c r="D51" s="113">
        <v>46004</v>
      </c>
      <c r="E51" s="114" t="s">
        <v>731</v>
      </c>
      <c r="F51" s="151">
        <v>160.5</v>
      </c>
    </row>
    <row r="52" spans="1:6" s="57" customFormat="1" ht="27.75" customHeight="1">
      <c r="A52" s="22">
        <v>6</v>
      </c>
      <c r="B52" s="170" t="s">
        <v>115</v>
      </c>
      <c r="C52" s="140" t="s">
        <v>102</v>
      </c>
      <c r="D52" s="113">
        <v>45992</v>
      </c>
      <c r="E52" s="114" t="s">
        <v>732</v>
      </c>
      <c r="F52" s="151">
        <v>321</v>
      </c>
    </row>
    <row r="53" spans="1:6" s="57" customFormat="1" ht="27.75" customHeight="1">
      <c r="A53" s="22">
        <v>7</v>
      </c>
      <c r="B53" s="170" t="s">
        <v>117</v>
      </c>
      <c r="C53" s="140" t="s">
        <v>102</v>
      </c>
      <c r="D53" s="113">
        <v>46006</v>
      </c>
      <c r="E53" s="114" t="s">
        <v>733</v>
      </c>
      <c r="F53" s="151">
        <v>535</v>
      </c>
    </row>
    <row r="54" spans="1:6" s="57" customFormat="1" ht="27.75" customHeight="1">
      <c r="A54" s="22">
        <v>8</v>
      </c>
      <c r="B54" s="170" t="s">
        <v>119</v>
      </c>
      <c r="C54" s="140" t="s">
        <v>102</v>
      </c>
      <c r="D54" s="113">
        <v>46019</v>
      </c>
      <c r="E54" s="114" t="s">
        <v>734</v>
      </c>
      <c r="F54" s="151">
        <v>321</v>
      </c>
    </row>
    <row r="55" spans="1:6" s="57" customFormat="1" ht="27.75" customHeight="1">
      <c r="A55" s="22">
        <v>9</v>
      </c>
      <c r="B55" s="170" t="s">
        <v>121</v>
      </c>
      <c r="C55" s="140" t="s">
        <v>102</v>
      </c>
      <c r="D55" s="113">
        <v>46014</v>
      </c>
      <c r="E55" s="114" t="s">
        <v>735</v>
      </c>
      <c r="F55" s="151">
        <v>321</v>
      </c>
    </row>
    <row r="56" spans="1:6" s="57" customFormat="1" ht="27.75" customHeight="1">
      <c r="A56" s="22">
        <v>10</v>
      </c>
      <c r="B56" s="40" t="s">
        <v>123</v>
      </c>
      <c r="C56" s="140" t="s">
        <v>102</v>
      </c>
      <c r="D56" s="113">
        <v>46015</v>
      </c>
      <c r="E56" s="114" t="s">
        <v>736</v>
      </c>
      <c r="F56" s="144">
        <v>963</v>
      </c>
    </row>
    <row r="57" spans="1:6" s="57" customFormat="1" ht="27.75" customHeight="1">
      <c r="A57" s="22">
        <v>11</v>
      </c>
      <c r="B57" s="40" t="s">
        <v>126</v>
      </c>
      <c r="C57" s="140" t="s">
        <v>102</v>
      </c>
      <c r="D57" s="113" t="s">
        <v>808</v>
      </c>
      <c r="E57" s="114" t="s">
        <v>813</v>
      </c>
      <c r="F57" s="144">
        <v>1284</v>
      </c>
    </row>
    <row r="58" spans="1:6" s="57" customFormat="1" ht="27.75" customHeight="1">
      <c r="A58" s="22">
        <v>12</v>
      </c>
      <c r="B58" s="40" t="s">
        <v>128</v>
      </c>
      <c r="C58" s="140" t="s">
        <v>102</v>
      </c>
      <c r="D58" s="113">
        <v>46014</v>
      </c>
      <c r="E58" s="114" t="s">
        <v>738</v>
      </c>
      <c r="F58" s="144">
        <v>642</v>
      </c>
    </row>
    <row r="59" spans="1:6" s="57" customFormat="1" ht="27.75" customHeight="1">
      <c r="A59" s="22">
        <v>13</v>
      </c>
      <c r="B59" s="170" t="s">
        <v>132</v>
      </c>
      <c r="C59" s="140" t="s">
        <v>102</v>
      </c>
      <c r="D59" s="178">
        <v>45992</v>
      </c>
      <c r="E59" s="179" t="s">
        <v>739</v>
      </c>
      <c r="F59" s="180">
        <v>321</v>
      </c>
    </row>
    <row r="60" spans="1:6" s="57" customFormat="1" ht="27.75" customHeight="1">
      <c r="A60" s="22">
        <v>14</v>
      </c>
      <c r="B60" s="40" t="s">
        <v>134</v>
      </c>
      <c r="C60" s="140" t="s">
        <v>102</v>
      </c>
      <c r="D60" s="175">
        <v>46019</v>
      </c>
      <c r="E60" s="176" t="s">
        <v>740</v>
      </c>
      <c r="F60" s="177">
        <v>160.5</v>
      </c>
    </row>
    <row r="61" spans="1:6" s="57" customFormat="1" ht="27.75" customHeight="1">
      <c r="A61" s="22">
        <v>15</v>
      </c>
      <c r="B61" s="170" t="s">
        <v>136</v>
      </c>
      <c r="C61" s="140" t="s">
        <v>102</v>
      </c>
      <c r="D61" s="113">
        <v>46014</v>
      </c>
      <c r="E61" s="114" t="s">
        <v>741</v>
      </c>
      <c r="F61" s="144">
        <v>321</v>
      </c>
    </row>
    <row r="62" spans="1:6" s="57" customFormat="1" ht="27.75" customHeight="1">
      <c r="A62" s="22">
        <v>16</v>
      </c>
      <c r="B62" s="181" t="s">
        <v>142</v>
      </c>
      <c r="C62" s="182" t="s">
        <v>143</v>
      </c>
      <c r="D62" s="183">
        <v>46020</v>
      </c>
      <c r="E62" s="184" t="s">
        <v>742</v>
      </c>
      <c r="F62" s="185">
        <v>160.5</v>
      </c>
    </row>
    <row r="63" spans="1:6" s="57" customFormat="1" ht="27.75" customHeight="1">
      <c r="A63" s="22">
        <v>17</v>
      </c>
      <c r="B63" s="40" t="s">
        <v>145</v>
      </c>
      <c r="C63" s="140" t="s">
        <v>102</v>
      </c>
      <c r="D63" s="175">
        <v>46017</v>
      </c>
      <c r="E63" s="176" t="s">
        <v>743</v>
      </c>
      <c r="F63" s="177">
        <v>321</v>
      </c>
    </row>
    <row r="64" spans="1:6" s="57" customFormat="1" ht="27.75" customHeight="1">
      <c r="A64" s="22">
        <v>18</v>
      </c>
      <c r="B64" s="40" t="s">
        <v>147</v>
      </c>
      <c r="C64" s="140" t="s">
        <v>102</v>
      </c>
      <c r="D64" s="175">
        <v>45997</v>
      </c>
      <c r="E64" s="176" t="s">
        <v>744</v>
      </c>
      <c r="F64" s="177">
        <v>160.5</v>
      </c>
    </row>
    <row r="65" spans="1:8" s="57" customFormat="1" ht="27.75" customHeight="1">
      <c r="A65" s="22">
        <v>19</v>
      </c>
      <c r="B65" s="80" t="s">
        <v>149</v>
      </c>
      <c r="C65" s="140" t="s">
        <v>102</v>
      </c>
      <c r="D65" s="175">
        <v>46013</v>
      </c>
      <c r="E65" s="176" t="s">
        <v>745</v>
      </c>
      <c r="F65" s="177">
        <v>1070</v>
      </c>
    </row>
    <row r="66" spans="1:8" s="57" customFormat="1" ht="27.75" customHeight="1">
      <c r="A66" s="22">
        <v>20</v>
      </c>
      <c r="B66" s="170" t="s">
        <v>151</v>
      </c>
      <c r="C66" s="140" t="s">
        <v>102</v>
      </c>
      <c r="D66" s="117">
        <v>45992</v>
      </c>
      <c r="E66" s="118" t="s">
        <v>746</v>
      </c>
      <c r="F66" s="151">
        <v>160.5</v>
      </c>
    </row>
    <row r="67" spans="1:8" s="57" customFormat="1" ht="27.75" customHeight="1">
      <c r="A67" s="22">
        <v>21</v>
      </c>
      <c r="B67" s="170" t="s">
        <v>154</v>
      </c>
      <c r="C67" s="140" t="s">
        <v>102</v>
      </c>
      <c r="D67" s="175">
        <v>45992</v>
      </c>
      <c r="E67" s="176" t="s">
        <v>747</v>
      </c>
      <c r="F67" s="177">
        <v>321</v>
      </c>
    </row>
    <row r="68" spans="1:8" s="57" customFormat="1" ht="27.75" customHeight="1">
      <c r="A68" s="22">
        <v>22</v>
      </c>
      <c r="B68" s="191" t="s">
        <v>156</v>
      </c>
      <c r="C68" s="140" t="s">
        <v>102</v>
      </c>
      <c r="D68" s="175">
        <v>45992</v>
      </c>
      <c r="E68" s="176" t="s">
        <v>748</v>
      </c>
      <c r="F68" s="177">
        <v>160.5</v>
      </c>
    </row>
    <row r="69" spans="1:8" s="57" customFormat="1" ht="27.75" customHeight="1">
      <c r="A69" s="22">
        <v>23</v>
      </c>
      <c r="B69" s="191" t="s">
        <v>161</v>
      </c>
      <c r="C69" s="140" t="s">
        <v>102</v>
      </c>
      <c r="D69" s="117">
        <v>46015</v>
      </c>
      <c r="E69" s="118" t="s">
        <v>750</v>
      </c>
      <c r="F69" s="151">
        <v>321</v>
      </c>
    </row>
    <row r="70" spans="1:8" s="57" customFormat="1" ht="27.75" customHeight="1">
      <c r="A70" s="22">
        <v>24</v>
      </c>
      <c r="B70" s="191" t="s">
        <v>163</v>
      </c>
      <c r="C70" s="140" t="s">
        <v>102</v>
      </c>
      <c r="D70" s="117">
        <v>46015</v>
      </c>
      <c r="E70" s="118" t="s">
        <v>751</v>
      </c>
      <c r="F70" s="151">
        <v>160.5</v>
      </c>
    </row>
    <row r="71" spans="1:8" s="57" customFormat="1" ht="27.75" customHeight="1">
      <c r="A71" s="22">
        <v>25</v>
      </c>
      <c r="B71" s="170" t="s">
        <v>165</v>
      </c>
      <c r="C71" s="140" t="s">
        <v>102</v>
      </c>
      <c r="D71" s="175">
        <v>45995</v>
      </c>
      <c r="E71" s="176" t="s">
        <v>752</v>
      </c>
      <c r="F71" s="177">
        <v>1070</v>
      </c>
    </row>
    <row r="72" spans="1:8" s="57" customFormat="1" ht="27.75" customHeight="1">
      <c r="A72" s="22">
        <v>26</v>
      </c>
      <c r="B72" s="191" t="s">
        <v>167</v>
      </c>
      <c r="C72" s="140" t="s">
        <v>102</v>
      </c>
      <c r="D72" s="117">
        <v>46017</v>
      </c>
      <c r="E72" s="118" t="s">
        <v>753</v>
      </c>
      <c r="F72" s="151">
        <v>535</v>
      </c>
    </row>
    <row r="73" spans="1:8" s="57" customFormat="1" ht="27.75" customHeight="1">
      <c r="A73" s="22">
        <v>27</v>
      </c>
      <c r="B73" s="170" t="s">
        <v>169</v>
      </c>
      <c r="C73" s="140" t="s">
        <v>102</v>
      </c>
      <c r="D73" s="175">
        <v>46004</v>
      </c>
      <c r="E73" s="176" t="s">
        <v>754</v>
      </c>
      <c r="F73" s="177">
        <v>321</v>
      </c>
    </row>
    <row r="74" spans="1:8" s="57" customFormat="1" ht="27.75" customHeight="1">
      <c r="A74" s="22">
        <v>28</v>
      </c>
      <c r="B74" s="191" t="s">
        <v>171</v>
      </c>
      <c r="C74" s="140" t="s">
        <v>102</v>
      </c>
      <c r="D74" s="175">
        <v>46017</v>
      </c>
      <c r="E74" s="176" t="s">
        <v>755</v>
      </c>
      <c r="F74" s="177">
        <v>963</v>
      </c>
    </row>
    <row r="75" spans="1:8" s="57" customFormat="1" ht="27.75" customHeight="1">
      <c r="A75" s="22">
        <v>29</v>
      </c>
      <c r="B75" s="191" t="s">
        <v>173</v>
      </c>
      <c r="C75" s="140" t="s">
        <v>102</v>
      </c>
      <c r="D75" s="175">
        <v>45992</v>
      </c>
      <c r="E75" s="176" t="s">
        <v>756</v>
      </c>
      <c r="F75" s="177">
        <v>321</v>
      </c>
    </row>
    <row r="76" spans="1:8" s="57" customFormat="1" ht="27.75" customHeight="1">
      <c r="A76" s="22">
        <v>30</v>
      </c>
      <c r="B76" s="191" t="s">
        <v>175</v>
      </c>
      <c r="C76" s="140" t="s">
        <v>102</v>
      </c>
      <c r="D76" s="175">
        <v>45993</v>
      </c>
      <c r="E76" s="176" t="s">
        <v>757</v>
      </c>
      <c r="F76" s="177">
        <v>321</v>
      </c>
    </row>
    <row r="77" spans="1:8" s="57" customFormat="1" ht="27.75" customHeight="1">
      <c r="A77" s="22">
        <v>31</v>
      </c>
      <c r="B77" s="191" t="s">
        <v>177</v>
      </c>
      <c r="C77" s="140" t="s">
        <v>102</v>
      </c>
      <c r="D77" s="117">
        <v>46015</v>
      </c>
      <c r="E77" s="118" t="s">
        <v>758</v>
      </c>
      <c r="F77" s="151">
        <v>321</v>
      </c>
    </row>
    <row r="78" spans="1:8" ht="27.75" customHeight="1" thickBot="1">
      <c r="A78" s="193"/>
      <c r="B78" s="194" t="s">
        <v>22</v>
      </c>
      <c r="C78" s="195"/>
      <c r="D78" s="199"/>
      <c r="E78" s="199"/>
      <c r="F78" s="196">
        <v>13803</v>
      </c>
      <c r="H78" s="512">
        <f>SUM(F47:F77)</f>
        <v>13803</v>
      </c>
    </row>
    <row r="79" spans="1:8" ht="27.75" customHeight="1" thickTop="1">
      <c r="A79" s="22"/>
      <c r="B79" s="23" t="s">
        <v>179</v>
      </c>
      <c r="C79" s="24"/>
      <c r="D79" s="29"/>
      <c r="E79" s="30"/>
      <c r="F79" s="31"/>
    </row>
    <row r="80" spans="1:8" ht="27.75" customHeight="1">
      <c r="A80" s="94">
        <v>1</v>
      </c>
      <c r="B80" s="40" t="s">
        <v>180</v>
      </c>
      <c r="C80" s="41" t="s">
        <v>181</v>
      </c>
      <c r="D80" s="48">
        <v>45995</v>
      </c>
      <c r="E80" s="49" t="s">
        <v>759</v>
      </c>
      <c r="F80" s="202">
        <v>1284</v>
      </c>
    </row>
    <row r="81" spans="1:8" ht="27.75" customHeight="1">
      <c r="A81" s="94">
        <v>2</v>
      </c>
      <c r="B81" s="40" t="s">
        <v>184</v>
      </c>
      <c r="C81" s="41" t="s">
        <v>181</v>
      </c>
      <c r="D81" s="48">
        <v>46003</v>
      </c>
      <c r="E81" s="49" t="s">
        <v>760</v>
      </c>
      <c r="F81" s="202">
        <v>3370.5</v>
      </c>
    </row>
    <row r="82" spans="1:8" ht="27.75" customHeight="1">
      <c r="A82" s="94">
        <v>3</v>
      </c>
      <c r="B82" s="205" t="s">
        <v>186</v>
      </c>
      <c r="C82" s="206" t="s">
        <v>181</v>
      </c>
      <c r="D82" s="48">
        <v>46017</v>
      </c>
      <c r="E82" s="49" t="s">
        <v>761</v>
      </c>
      <c r="F82" s="202">
        <v>3370.5</v>
      </c>
    </row>
    <row r="83" spans="1:8" ht="27.75" customHeight="1">
      <c r="A83" s="186">
        <v>4</v>
      </c>
      <c r="B83" s="205" t="s">
        <v>188</v>
      </c>
      <c r="C83" s="206" t="s">
        <v>181</v>
      </c>
      <c r="D83" s="48">
        <v>45995</v>
      </c>
      <c r="E83" s="49" t="s">
        <v>762</v>
      </c>
      <c r="F83" s="202">
        <v>2140</v>
      </c>
    </row>
    <row r="84" spans="1:8" s="220" customFormat="1" ht="27.75" customHeight="1">
      <c r="A84" s="186">
        <v>5</v>
      </c>
      <c r="B84" s="208" t="s">
        <v>71</v>
      </c>
      <c r="C84" s="209" t="s">
        <v>181</v>
      </c>
      <c r="D84" s="62">
        <v>46014</v>
      </c>
      <c r="E84" s="215" t="s">
        <v>763</v>
      </c>
      <c r="F84" s="202">
        <v>2675</v>
      </c>
    </row>
    <row r="85" spans="1:8" ht="27.75" customHeight="1" thickBot="1">
      <c r="A85" s="193"/>
      <c r="B85" s="194" t="s">
        <v>22</v>
      </c>
      <c r="C85" s="195"/>
      <c r="D85" s="199"/>
      <c r="E85" s="199"/>
      <c r="F85" s="196">
        <v>12840</v>
      </c>
      <c r="H85" s="512">
        <f>SUM(F80:F84)</f>
        <v>12840</v>
      </c>
    </row>
    <row r="86" spans="1:8" ht="27.75" customHeight="1" thickTop="1">
      <c r="A86" s="22"/>
      <c r="B86" s="23" t="s">
        <v>191</v>
      </c>
      <c r="C86" s="24"/>
      <c r="D86" s="29"/>
      <c r="E86" s="30"/>
      <c r="F86" s="31"/>
    </row>
    <row r="87" spans="1:8" ht="27.75" customHeight="1">
      <c r="A87" s="94">
        <v>1</v>
      </c>
      <c r="B87" s="40" t="s">
        <v>192</v>
      </c>
      <c r="C87" s="41" t="s">
        <v>193</v>
      </c>
      <c r="D87" s="175">
        <v>45996</v>
      </c>
      <c r="E87" s="176" t="s">
        <v>764</v>
      </c>
      <c r="F87" s="222">
        <v>2140</v>
      </c>
    </row>
    <row r="88" spans="1:8" ht="27.75" customHeight="1" thickBot="1">
      <c r="A88" s="193"/>
      <c r="B88" s="194" t="s">
        <v>22</v>
      </c>
      <c r="C88" s="195"/>
      <c r="D88" s="199"/>
      <c r="E88" s="199"/>
      <c r="F88" s="196">
        <v>2140</v>
      </c>
      <c r="H88" s="520">
        <f>SUM(F87)</f>
        <v>2140</v>
      </c>
    </row>
    <row r="89" spans="1:8" ht="27.75" customHeight="1" thickTop="1">
      <c r="A89" s="22"/>
      <c r="B89" s="23" t="s">
        <v>196</v>
      </c>
      <c r="C89" s="24"/>
      <c r="D89" s="29"/>
      <c r="E89" s="30"/>
      <c r="F89" s="31"/>
    </row>
    <row r="90" spans="1:8" s="226" customFormat="1" ht="27.75" customHeight="1">
      <c r="A90" s="94">
        <v>1</v>
      </c>
      <c r="B90" s="181" t="s">
        <v>198</v>
      </c>
      <c r="C90" s="224" t="s">
        <v>199</v>
      </c>
      <c r="D90" s="113">
        <v>45999</v>
      </c>
      <c r="E90" s="114" t="s">
        <v>765</v>
      </c>
      <c r="F90" s="144">
        <v>26750</v>
      </c>
    </row>
    <row r="91" spans="1:8" s="226" customFormat="1" ht="27.75" customHeight="1">
      <c r="A91" s="94">
        <v>2</v>
      </c>
      <c r="B91" s="181" t="s">
        <v>204</v>
      </c>
      <c r="C91" s="224" t="s">
        <v>205</v>
      </c>
      <c r="D91" s="113">
        <v>46013</v>
      </c>
      <c r="E91" s="114" t="s">
        <v>766</v>
      </c>
      <c r="F91" s="144">
        <v>22470</v>
      </c>
    </row>
    <row r="92" spans="1:8" s="226" customFormat="1" ht="27.75" customHeight="1">
      <c r="A92" s="94">
        <v>3</v>
      </c>
      <c r="B92" s="181" t="s">
        <v>204</v>
      </c>
      <c r="C92" s="224" t="s">
        <v>207</v>
      </c>
      <c r="D92" s="113">
        <v>46013</v>
      </c>
      <c r="E92" s="114" t="s">
        <v>766</v>
      </c>
      <c r="F92" s="144">
        <v>22470</v>
      </c>
    </row>
    <row r="93" spans="1:8" s="226" customFormat="1" ht="27.75" customHeight="1">
      <c r="A93" s="94">
        <v>4</v>
      </c>
      <c r="B93" s="181" t="s">
        <v>214</v>
      </c>
      <c r="C93" s="224" t="s">
        <v>215</v>
      </c>
      <c r="D93" s="113">
        <v>45993</v>
      </c>
      <c r="E93" s="114" t="s">
        <v>767</v>
      </c>
      <c r="F93" s="144">
        <v>22470</v>
      </c>
    </row>
    <row r="94" spans="1:8" s="226" customFormat="1" ht="27.75" customHeight="1">
      <c r="A94" s="94">
        <v>5</v>
      </c>
      <c r="B94" s="181" t="s">
        <v>217</v>
      </c>
      <c r="C94" s="224" t="s">
        <v>218</v>
      </c>
      <c r="D94" s="113">
        <v>46008</v>
      </c>
      <c r="E94" s="114" t="s">
        <v>768</v>
      </c>
      <c r="F94" s="144">
        <v>22470</v>
      </c>
    </row>
    <row r="95" spans="1:8" s="226" customFormat="1" ht="27.75" customHeight="1">
      <c r="A95" s="94">
        <v>6</v>
      </c>
      <c r="B95" s="181" t="s">
        <v>217</v>
      </c>
      <c r="C95" s="224" t="s">
        <v>220</v>
      </c>
      <c r="D95" s="113">
        <v>46008</v>
      </c>
      <c r="E95" s="114" t="s">
        <v>768</v>
      </c>
      <c r="F95" s="144">
        <v>22470</v>
      </c>
    </row>
    <row r="96" spans="1:8" s="226" customFormat="1" ht="27.75" customHeight="1">
      <c r="A96" s="94">
        <v>7</v>
      </c>
      <c r="B96" s="181" t="s">
        <v>217</v>
      </c>
      <c r="C96" s="224" t="s">
        <v>221</v>
      </c>
      <c r="D96" s="113">
        <v>46008</v>
      </c>
      <c r="E96" s="114" t="s">
        <v>768</v>
      </c>
      <c r="F96" s="144">
        <v>22470</v>
      </c>
    </row>
    <row r="97" spans="1:6" s="226" customFormat="1" ht="27.75" customHeight="1">
      <c r="A97" s="94">
        <v>8</v>
      </c>
      <c r="B97" s="181" t="s">
        <v>222</v>
      </c>
      <c r="C97" s="227" t="s">
        <v>223</v>
      </c>
      <c r="D97" s="230">
        <v>45992</v>
      </c>
      <c r="E97" s="184" t="s">
        <v>769</v>
      </c>
      <c r="F97" s="231">
        <v>32100</v>
      </c>
    </row>
    <row r="98" spans="1:6" s="226" customFormat="1" ht="27.75" customHeight="1">
      <c r="A98" s="94">
        <v>9</v>
      </c>
      <c r="B98" s="41" t="s">
        <v>227</v>
      </c>
      <c r="C98" s="224" t="s">
        <v>228</v>
      </c>
      <c r="D98" s="113">
        <v>46017</v>
      </c>
      <c r="E98" s="114" t="s">
        <v>770</v>
      </c>
      <c r="F98" s="253">
        <v>22470</v>
      </c>
    </row>
    <row r="99" spans="1:6" s="226" customFormat="1" ht="27.75" customHeight="1">
      <c r="A99" s="94">
        <v>10</v>
      </c>
      <c r="B99" s="41" t="s">
        <v>227</v>
      </c>
      <c r="C99" s="224" t="s">
        <v>230</v>
      </c>
      <c r="D99" s="113">
        <v>46017</v>
      </c>
      <c r="E99" s="114" t="s">
        <v>770</v>
      </c>
      <c r="F99" s="253">
        <v>22470</v>
      </c>
    </row>
    <row r="100" spans="1:6" s="226" customFormat="1" ht="27.75" customHeight="1">
      <c r="A100" s="94">
        <v>11</v>
      </c>
      <c r="B100" s="41" t="s">
        <v>227</v>
      </c>
      <c r="C100" s="224" t="s">
        <v>231</v>
      </c>
      <c r="D100" s="117">
        <v>46017</v>
      </c>
      <c r="E100" s="118" t="s">
        <v>770</v>
      </c>
      <c r="F100" s="557">
        <v>22470</v>
      </c>
    </row>
    <row r="101" spans="1:6" s="226" customFormat="1" ht="27.75" customHeight="1">
      <c r="A101" s="94">
        <v>12</v>
      </c>
      <c r="B101" s="41" t="s">
        <v>227</v>
      </c>
      <c r="C101" s="224" t="s">
        <v>232</v>
      </c>
      <c r="D101" s="117">
        <v>46017</v>
      </c>
      <c r="E101" s="118" t="s">
        <v>770</v>
      </c>
      <c r="F101" s="557">
        <v>22470</v>
      </c>
    </row>
    <row r="102" spans="1:6" s="226" customFormat="1" ht="27.75" customHeight="1">
      <c r="A102" s="94">
        <v>13</v>
      </c>
      <c r="B102" s="41" t="s">
        <v>227</v>
      </c>
      <c r="C102" s="224" t="s">
        <v>233</v>
      </c>
      <c r="D102" s="117">
        <v>46017</v>
      </c>
      <c r="E102" s="118" t="s">
        <v>770</v>
      </c>
      <c r="F102" s="557">
        <v>22470</v>
      </c>
    </row>
    <row r="103" spans="1:6" s="226" customFormat="1" ht="27.75" customHeight="1">
      <c r="A103" s="94">
        <v>14</v>
      </c>
      <c r="B103" s="41" t="s">
        <v>234</v>
      </c>
      <c r="C103" s="224" t="s">
        <v>235</v>
      </c>
      <c r="D103" s="117">
        <v>46017</v>
      </c>
      <c r="E103" s="118" t="s">
        <v>770</v>
      </c>
      <c r="F103" s="557">
        <v>22470</v>
      </c>
    </row>
    <row r="104" spans="1:6" s="226" customFormat="1" ht="27.75" customHeight="1">
      <c r="A104" s="94">
        <v>15</v>
      </c>
      <c r="B104" s="41" t="s">
        <v>236</v>
      </c>
      <c r="C104" s="224" t="s">
        <v>239</v>
      </c>
      <c r="D104" s="113">
        <v>46021</v>
      </c>
      <c r="E104" s="114" t="s">
        <v>771</v>
      </c>
      <c r="F104" s="257">
        <v>22470</v>
      </c>
    </row>
    <row r="105" spans="1:6" s="226" customFormat="1" ht="27.75" customHeight="1">
      <c r="A105" s="94">
        <v>16</v>
      </c>
      <c r="B105" s="41" t="s">
        <v>92</v>
      </c>
      <c r="C105" s="224" t="s">
        <v>240</v>
      </c>
      <c r="D105" s="113">
        <v>46017</v>
      </c>
      <c r="E105" s="114" t="s">
        <v>772</v>
      </c>
      <c r="F105" s="258">
        <v>22470</v>
      </c>
    </row>
    <row r="106" spans="1:6" s="226" customFormat="1" ht="27.75" customHeight="1">
      <c r="A106" s="94">
        <v>17</v>
      </c>
      <c r="B106" s="41" t="s">
        <v>92</v>
      </c>
      <c r="C106" s="224" t="s">
        <v>242</v>
      </c>
      <c r="D106" s="113">
        <v>46017</v>
      </c>
      <c r="E106" s="114" t="s">
        <v>772</v>
      </c>
      <c r="F106" s="253">
        <v>22470</v>
      </c>
    </row>
    <row r="107" spans="1:6" s="226" customFormat="1" ht="27.75" customHeight="1">
      <c r="A107" s="94">
        <v>18</v>
      </c>
      <c r="B107" s="41" t="s">
        <v>243</v>
      </c>
      <c r="C107" s="224" t="s">
        <v>244</v>
      </c>
      <c r="D107" s="113">
        <v>46022</v>
      </c>
      <c r="E107" s="114" t="s">
        <v>773</v>
      </c>
      <c r="F107" s="253">
        <v>22470</v>
      </c>
    </row>
    <row r="108" spans="1:6" s="226" customFormat="1" ht="27.75" customHeight="1">
      <c r="A108" s="94">
        <v>19</v>
      </c>
      <c r="B108" s="206" t="s">
        <v>90</v>
      </c>
      <c r="C108" s="224" t="s">
        <v>246</v>
      </c>
      <c r="D108" s="259">
        <v>46017</v>
      </c>
      <c r="E108" s="114" t="s">
        <v>774</v>
      </c>
      <c r="F108" s="253">
        <v>22470</v>
      </c>
    </row>
    <row r="109" spans="1:6" s="226" customFormat="1" ht="27.75" customHeight="1">
      <c r="A109" s="94">
        <v>20</v>
      </c>
      <c r="B109" s="41" t="s">
        <v>249</v>
      </c>
      <c r="C109" s="224" t="s">
        <v>250</v>
      </c>
      <c r="D109" s="113">
        <v>46022</v>
      </c>
      <c r="E109" s="114" t="s">
        <v>775</v>
      </c>
      <c r="F109" s="144">
        <v>6420</v>
      </c>
    </row>
    <row r="110" spans="1:6" s="226" customFormat="1" ht="27.75" customHeight="1">
      <c r="A110" s="94">
        <v>21</v>
      </c>
      <c r="B110" s="41" t="s">
        <v>201</v>
      </c>
      <c r="C110" s="224" t="s">
        <v>256</v>
      </c>
      <c r="D110" s="113">
        <v>46022</v>
      </c>
      <c r="E110" s="114" t="s">
        <v>814</v>
      </c>
      <c r="F110" s="144">
        <v>9630</v>
      </c>
    </row>
    <row r="111" spans="1:6" s="226" customFormat="1" ht="27.75" customHeight="1">
      <c r="A111" s="94">
        <v>22</v>
      </c>
      <c r="B111" s="41" t="s">
        <v>257</v>
      </c>
      <c r="C111" s="224" t="s">
        <v>258</v>
      </c>
      <c r="D111" s="113">
        <v>46019</v>
      </c>
      <c r="E111" s="114" t="s">
        <v>776</v>
      </c>
      <c r="F111" s="144">
        <v>9630</v>
      </c>
    </row>
    <row r="112" spans="1:6" s="226" customFormat="1" ht="27.75" customHeight="1">
      <c r="A112" s="94">
        <v>23</v>
      </c>
      <c r="B112" s="206" t="s">
        <v>257</v>
      </c>
      <c r="C112" s="224" t="s">
        <v>260</v>
      </c>
      <c r="D112" s="113">
        <v>46019</v>
      </c>
      <c r="E112" s="114" t="s">
        <v>776</v>
      </c>
      <c r="F112" s="144">
        <v>9630</v>
      </c>
    </row>
    <row r="113" spans="1:8" s="226" customFormat="1" ht="27.75" customHeight="1">
      <c r="A113" s="94">
        <v>24</v>
      </c>
      <c r="B113" s="265" t="s">
        <v>261</v>
      </c>
      <c r="C113" s="224" t="s">
        <v>262</v>
      </c>
      <c r="D113" s="113">
        <v>45996</v>
      </c>
      <c r="E113" s="114" t="s">
        <v>777</v>
      </c>
      <c r="F113" s="144">
        <v>6420</v>
      </c>
    </row>
    <row r="114" spans="1:8" s="226" customFormat="1" ht="27.75" customHeight="1">
      <c r="A114" s="94">
        <v>25</v>
      </c>
      <c r="B114" s="81" t="s">
        <v>267</v>
      </c>
      <c r="C114" s="224" t="s">
        <v>268</v>
      </c>
      <c r="D114" s="113">
        <v>45992</v>
      </c>
      <c r="E114" s="114" t="s">
        <v>778</v>
      </c>
      <c r="F114" s="144">
        <v>6420</v>
      </c>
    </row>
    <row r="115" spans="1:8" s="226" customFormat="1" ht="27.75" customHeight="1">
      <c r="A115" s="94">
        <v>26</v>
      </c>
      <c r="B115" s="81" t="s">
        <v>156</v>
      </c>
      <c r="C115" s="224" t="s">
        <v>207</v>
      </c>
      <c r="D115" s="113">
        <v>45992</v>
      </c>
      <c r="E115" s="114" t="s">
        <v>779</v>
      </c>
      <c r="F115" s="144">
        <v>6420</v>
      </c>
    </row>
    <row r="116" spans="1:8" s="226" customFormat="1" ht="27.75" customHeight="1">
      <c r="A116" s="94">
        <v>27</v>
      </c>
      <c r="B116" s="41" t="s">
        <v>271</v>
      </c>
      <c r="C116" s="224" t="s">
        <v>208</v>
      </c>
      <c r="D116" s="113">
        <v>46022</v>
      </c>
      <c r="E116" s="268" t="s">
        <v>780</v>
      </c>
      <c r="F116" s="269">
        <v>6420</v>
      </c>
    </row>
    <row r="117" spans="1:8" s="226" customFormat="1" ht="27.75" customHeight="1">
      <c r="A117" s="94">
        <v>28</v>
      </c>
      <c r="B117" s="41" t="s">
        <v>273</v>
      </c>
      <c r="C117" s="224" t="s">
        <v>209</v>
      </c>
      <c r="D117" s="113">
        <v>46000</v>
      </c>
      <c r="E117" s="114" t="s">
        <v>781</v>
      </c>
      <c r="F117" s="144">
        <v>6420</v>
      </c>
    </row>
    <row r="118" spans="1:8" s="226" customFormat="1" ht="27.75" customHeight="1">
      <c r="A118" s="94">
        <v>29</v>
      </c>
      <c r="B118" s="41" t="s">
        <v>275</v>
      </c>
      <c r="C118" s="224" t="s">
        <v>276</v>
      </c>
      <c r="D118" s="113">
        <v>46020</v>
      </c>
      <c r="E118" s="114" t="s">
        <v>782</v>
      </c>
      <c r="F118" s="144">
        <v>6420</v>
      </c>
    </row>
    <row r="119" spans="1:8" ht="27.75" customHeight="1" thickBot="1">
      <c r="A119" s="22"/>
      <c r="B119" s="194" t="s">
        <v>22</v>
      </c>
      <c r="C119" s="195"/>
      <c r="D119" s="199"/>
      <c r="E119" s="199"/>
      <c r="F119" s="196">
        <f>SUM(F90:F118)</f>
        <v>514670</v>
      </c>
      <c r="H119" s="512">
        <f>SUM(F90:F118)</f>
        <v>514670</v>
      </c>
    </row>
    <row r="120" spans="1:8" ht="27.75" hidden="1" customHeight="1" thickBot="1">
      <c r="A120" s="22"/>
      <c r="B120" s="23" t="s">
        <v>278</v>
      </c>
      <c r="C120" s="24"/>
      <c r="D120" s="29"/>
      <c r="E120" s="30"/>
      <c r="F120" s="31"/>
    </row>
    <row r="121" spans="1:8" ht="27.75" hidden="1" customHeight="1" thickTop="1">
      <c r="A121" s="22">
        <v>1</v>
      </c>
      <c r="B121" s="270" t="s">
        <v>88</v>
      </c>
      <c r="C121" s="271" t="s">
        <v>279</v>
      </c>
      <c r="D121" s="275"/>
      <c r="E121" s="276"/>
      <c r="F121" s="277"/>
    </row>
    <row r="122" spans="1:8" ht="27.75" hidden="1" customHeight="1" thickTop="1">
      <c r="A122" s="22">
        <v>2</v>
      </c>
      <c r="B122" s="280" t="s">
        <v>89</v>
      </c>
      <c r="C122" s="271" t="s">
        <v>279</v>
      </c>
      <c r="D122" s="175"/>
      <c r="E122" s="282"/>
      <c r="F122" s="222"/>
    </row>
    <row r="123" spans="1:8" ht="27.75" hidden="1" customHeight="1" thickTop="1">
      <c r="A123" s="22">
        <v>3</v>
      </c>
      <c r="B123" s="270" t="s">
        <v>280</v>
      </c>
      <c r="C123" s="271" t="s">
        <v>279</v>
      </c>
      <c r="D123" s="175"/>
      <c r="E123" s="282"/>
      <c r="F123" s="222"/>
    </row>
    <row r="124" spans="1:8" ht="27.75" hidden="1" customHeight="1" thickTop="1">
      <c r="A124" s="22">
        <v>4</v>
      </c>
      <c r="B124" s="280" t="s">
        <v>96</v>
      </c>
      <c r="C124" s="271" t="s">
        <v>279</v>
      </c>
      <c r="D124" s="175"/>
      <c r="E124" s="282"/>
      <c r="F124" s="222"/>
    </row>
    <row r="125" spans="1:8" ht="27.75" hidden="1" customHeight="1" thickTop="1">
      <c r="A125" s="22">
        <v>5</v>
      </c>
      <c r="B125" s="280" t="s">
        <v>281</v>
      </c>
      <c r="C125" s="271" t="s">
        <v>279</v>
      </c>
      <c r="D125" s="175"/>
      <c r="E125" s="282"/>
      <c r="F125" s="222"/>
    </row>
    <row r="126" spans="1:8" ht="27.75" hidden="1" customHeight="1" thickTop="1">
      <c r="A126" s="22">
        <v>6</v>
      </c>
      <c r="B126" s="280" t="s">
        <v>282</v>
      </c>
      <c r="C126" s="271" t="s">
        <v>279</v>
      </c>
      <c r="D126" s="175"/>
      <c r="E126" s="282"/>
      <c r="F126" s="222"/>
    </row>
    <row r="127" spans="1:8" ht="27.75" hidden="1" customHeight="1" thickTop="1">
      <c r="A127" s="22">
        <v>7</v>
      </c>
      <c r="B127" s="280" t="s">
        <v>92</v>
      </c>
      <c r="C127" s="271" t="s">
        <v>279</v>
      </c>
      <c r="D127" s="175"/>
      <c r="E127" s="282"/>
      <c r="F127" s="222"/>
    </row>
    <row r="128" spans="1:8" ht="27.75" hidden="1" customHeight="1" thickTop="1">
      <c r="A128" s="22">
        <v>8</v>
      </c>
      <c r="B128" s="280" t="s">
        <v>91</v>
      </c>
      <c r="C128" s="271" t="s">
        <v>279</v>
      </c>
      <c r="D128" s="175"/>
      <c r="E128" s="282"/>
      <c r="F128" s="222"/>
    </row>
    <row r="129" spans="1:8" ht="27.75" hidden="1" customHeight="1" thickTop="1">
      <c r="A129" s="22">
        <v>9</v>
      </c>
      <c r="B129" s="280" t="s">
        <v>236</v>
      </c>
      <c r="C129" s="271" t="s">
        <v>279</v>
      </c>
      <c r="D129" s="175"/>
      <c r="E129" s="282"/>
      <c r="F129" s="222"/>
    </row>
    <row r="130" spans="1:8" ht="27.75" hidden="1" customHeight="1" thickTop="1">
      <c r="A130" s="22">
        <v>10</v>
      </c>
      <c r="B130" s="280" t="s">
        <v>94</v>
      </c>
      <c r="C130" s="280" t="s">
        <v>279</v>
      </c>
      <c r="D130" s="175"/>
      <c r="E130" s="282"/>
      <c r="F130" s="222"/>
    </row>
    <row r="131" spans="1:8" ht="27.75" hidden="1" customHeight="1" thickTop="1">
      <c r="A131" s="22">
        <v>11</v>
      </c>
      <c r="B131" s="270"/>
      <c r="C131" s="285"/>
      <c r="D131" s="275"/>
      <c r="E131" s="276"/>
      <c r="F131" s="277"/>
    </row>
    <row r="132" spans="1:8" ht="27.75" hidden="1" customHeight="1" thickTop="1">
      <c r="A132" s="22"/>
      <c r="B132" s="131" t="s">
        <v>22</v>
      </c>
      <c r="C132" s="132"/>
      <c r="D132" s="287"/>
      <c r="E132" s="137"/>
      <c r="F132" s="138">
        <v>0</v>
      </c>
    </row>
    <row r="133" spans="1:8" ht="27.75" customHeight="1" thickTop="1">
      <c r="A133" s="22"/>
      <c r="B133" s="288" t="s">
        <v>283</v>
      </c>
      <c r="C133" s="289"/>
      <c r="D133" s="291"/>
      <c r="E133" s="292"/>
      <c r="F133" s="222"/>
    </row>
    <row r="134" spans="1:8" ht="27.75" customHeight="1">
      <c r="A134" s="94">
        <v>1</v>
      </c>
      <c r="B134" s="205" t="s">
        <v>192</v>
      </c>
      <c r="C134" s="206" t="s">
        <v>284</v>
      </c>
      <c r="D134" s="183">
        <v>45996</v>
      </c>
      <c r="E134" s="184" t="s">
        <v>783</v>
      </c>
      <c r="F134" s="231">
        <v>66660</v>
      </c>
    </row>
    <row r="135" spans="1:8" ht="27.75" customHeight="1">
      <c r="A135" s="83"/>
      <c r="B135" s="208" t="s">
        <v>291</v>
      </c>
      <c r="C135" s="209"/>
      <c r="D135" s="301"/>
      <c r="E135" s="302"/>
      <c r="F135" s="303"/>
    </row>
    <row r="136" spans="1:8" ht="27.75" customHeight="1" thickBot="1">
      <c r="A136" s="193"/>
      <c r="B136" s="308" t="s">
        <v>22</v>
      </c>
      <c r="C136" s="309"/>
      <c r="D136" s="314"/>
      <c r="E136" s="314"/>
      <c r="F136" s="310">
        <v>66660</v>
      </c>
      <c r="H136" s="520">
        <f>SUM(F134)</f>
        <v>66660</v>
      </c>
    </row>
    <row r="137" spans="1:8" ht="27.75" customHeight="1" thickTop="1">
      <c r="A137" s="22"/>
      <c r="B137" s="23" t="s">
        <v>292</v>
      </c>
      <c r="C137" s="24"/>
      <c r="D137" s="29"/>
      <c r="E137" s="30"/>
      <c r="F137" s="31"/>
    </row>
    <row r="138" spans="1:8" ht="27.75" customHeight="1">
      <c r="A138" s="316">
        <v>1</v>
      </c>
      <c r="B138" s="280" t="s">
        <v>249</v>
      </c>
      <c r="C138" s="280" t="s">
        <v>250</v>
      </c>
      <c r="D138" s="317">
        <v>46022</v>
      </c>
      <c r="E138" s="318" t="s">
        <v>784</v>
      </c>
      <c r="F138" s="319">
        <v>288.89999999999998</v>
      </c>
    </row>
    <row r="139" spans="1:8" ht="27.75" customHeight="1">
      <c r="A139" s="316">
        <v>2</v>
      </c>
      <c r="B139" s="270" t="s">
        <v>156</v>
      </c>
      <c r="C139" s="270" t="s">
        <v>208</v>
      </c>
      <c r="D139" s="328">
        <v>45992</v>
      </c>
      <c r="E139" s="329" t="s">
        <v>785</v>
      </c>
      <c r="F139" s="330">
        <v>107</v>
      </c>
    </row>
    <row r="140" spans="1:8" ht="27.75" customHeight="1">
      <c r="A140" s="316">
        <v>3</v>
      </c>
      <c r="B140" s="270" t="s">
        <v>273</v>
      </c>
      <c r="C140" s="270" t="s">
        <v>211</v>
      </c>
      <c r="D140" s="328">
        <v>46000</v>
      </c>
      <c r="E140" s="329" t="s">
        <v>786</v>
      </c>
      <c r="F140" s="330">
        <v>53.5</v>
      </c>
    </row>
    <row r="141" spans="1:8" ht="27.75" customHeight="1">
      <c r="A141" s="316">
        <v>4</v>
      </c>
      <c r="B141" s="270" t="s">
        <v>92</v>
      </c>
      <c r="C141" s="270" t="s">
        <v>302</v>
      </c>
      <c r="D141" s="331">
        <v>46017</v>
      </c>
      <c r="E141" s="332" t="s">
        <v>787</v>
      </c>
      <c r="F141" s="333">
        <v>214</v>
      </c>
    </row>
    <row r="142" spans="1:8" ht="27.75" customHeight="1" thickBot="1">
      <c r="A142" s="193"/>
      <c r="B142" s="194"/>
      <c r="C142" s="195"/>
      <c r="D142" s="338"/>
      <c r="E142" s="199"/>
      <c r="F142" s="196">
        <v>663.4</v>
      </c>
      <c r="H142" s="512">
        <f>SUM(F138:F141)</f>
        <v>663.4</v>
      </c>
    </row>
    <row r="143" spans="1:8" ht="27.75" customHeight="1" thickTop="1">
      <c r="A143" s="22"/>
      <c r="B143" s="288" t="s">
        <v>304</v>
      </c>
      <c r="C143" s="289"/>
      <c r="D143" s="291"/>
      <c r="E143" s="292"/>
      <c r="F143" s="222"/>
    </row>
    <row r="144" spans="1:8" ht="27.75" customHeight="1">
      <c r="A144" s="186">
        <v>1</v>
      </c>
      <c r="B144" s="205" t="s">
        <v>24</v>
      </c>
      <c r="C144" s="346" t="s">
        <v>25</v>
      </c>
      <c r="D144" s="113">
        <v>45992</v>
      </c>
      <c r="E144" s="114" t="s">
        <v>788</v>
      </c>
      <c r="F144" s="347">
        <v>1410</v>
      </c>
    </row>
    <row r="145" spans="1:6" ht="27.75" customHeight="1">
      <c r="A145" s="186">
        <v>2</v>
      </c>
      <c r="B145" s="205" t="s">
        <v>28</v>
      </c>
      <c r="C145" s="346" t="s">
        <v>311</v>
      </c>
      <c r="D145" s="113" t="s">
        <v>808</v>
      </c>
      <c r="E145" s="114" t="s">
        <v>815</v>
      </c>
      <c r="F145" s="347">
        <v>2820</v>
      </c>
    </row>
    <row r="146" spans="1:6" ht="27.75" customHeight="1">
      <c r="A146" s="186">
        <v>3</v>
      </c>
      <c r="B146" s="205" t="s">
        <v>28</v>
      </c>
      <c r="C146" s="346" t="s">
        <v>315</v>
      </c>
      <c r="D146" s="113" t="s">
        <v>808</v>
      </c>
      <c r="E146" s="114" t="s">
        <v>815</v>
      </c>
      <c r="F146" s="347">
        <v>2820</v>
      </c>
    </row>
    <row r="147" spans="1:6" ht="27.75" customHeight="1">
      <c r="A147" s="186">
        <v>4</v>
      </c>
      <c r="B147" s="205" t="s">
        <v>24</v>
      </c>
      <c r="C147" s="346" t="s">
        <v>316</v>
      </c>
      <c r="D147" s="113">
        <v>45992</v>
      </c>
      <c r="E147" s="114" t="s">
        <v>788</v>
      </c>
      <c r="F147" s="347">
        <v>1410</v>
      </c>
    </row>
    <row r="148" spans="1:6" ht="27.75" customHeight="1">
      <c r="A148" s="186">
        <v>5</v>
      </c>
      <c r="B148" s="205" t="s">
        <v>24</v>
      </c>
      <c r="C148" s="346" t="s">
        <v>318</v>
      </c>
      <c r="D148" s="113">
        <v>45992</v>
      </c>
      <c r="E148" s="114" t="s">
        <v>788</v>
      </c>
      <c r="F148" s="347">
        <v>1410</v>
      </c>
    </row>
    <row r="149" spans="1:6" ht="27.75" customHeight="1">
      <c r="A149" s="186">
        <v>6</v>
      </c>
      <c r="B149" s="205" t="s">
        <v>24</v>
      </c>
      <c r="C149" s="346" t="s">
        <v>319</v>
      </c>
      <c r="D149" s="113">
        <v>45992</v>
      </c>
      <c r="E149" s="114" t="s">
        <v>788</v>
      </c>
      <c r="F149" s="347">
        <v>1410</v>
      </c>
    </row>
    <row r="150" spans="1:6" ht="27.75" customHeight="1">
      <c r="A150" s="186">
        <v>7</v>
      </c>
      <c r="B150" s="205" t="s">
        <v>28</v>
      </c>
      <c r="C150" s="346" t="s">
        <v>320</v>
      </c>
      <c r="D150" s="113" t="s">
        <v>808</v>
      </c>
      <c r="E150" s="114" t="s">
        <v>815</v>
      </c>
      <c r="F150" s="347">
        <v>2820</v>
      </c>
    </row>
    <row r="151" spans="1:6" ht="27.75" customHeight="1">
      <c r="A151" s="186">
        <v>8</v>
      </c>
      <c r="B151" s="205" t="s">
        <v>28</v>
      </c>
      <c r="C151" s="346" t="s">
        <v>321</v>
      </c>
      <c r="D151" s="113" t="s">
        <v>808</v>
      </c>
      <c r="E151" s="114" t="s">
        <v>815</v>
      </c>
      <c r="F151" s="347">
        <v>2820</v>
      </c>
    </row>
    <row r="152" spans="1:6" ht="27.75" customHeight="1">
      <c r="A152" s="186">
        <v>9</v>
      </c>
      <c r="B152" s="205" t="s">
        <v>28</v>
      </c>
      <c r="C152" s="346" t="s">
        <v>322</v>
      </c>
      <c r="D152" s="113" t="s">
        <v>808</v>
      </c>
      <c r="E152" s="114" t="s">
        <v>815</v>
      </c>
      <c r="F152" s="347">
        <v>2820</v>
      </c>
    </row>
    <row r="153" spans="1:6" ht="27.75" customHeight="1">
      <c r="A153" s="186">
        <v>10</v>
      </c>
      <c r="B153" s="205" t="s">
        <v>28</v>
      </c>
      <c r="C153" s="346" t="s">
        <v>323</v>
      </c>
      <c r="D153" s="113" t="s">
        <v>808</v>
      </c>
      <c r="E153" s="114" t="s">
        <v>815</v>
      </c>
      <c r="F153" s="347">
        <v>2820</v>
      </c>
    </row>
    <row r="154" spans="1:6" ht="27.75" customHeight="1">
      <c r="A154" s="186">
        <v>11</v>
      </c>
      <c r="B154" s="205" t="s">
        <v>28</v>
      </c>
      <c r="C154" s="346" t="s">
        <v>324</v>
      </c>
      <c r="D154" s="113" t="s">
        <v>808</v>
      </c>
      <c r="E154" s="114" t="s">
        <v>815</v>
      </c>
      <c r="F154" s="347">
        <v>2820</v>
      </c>
    </row>
    <row r="155" spans="1:6" ht="27.75" customHeight="1">
      <c r="A155" s="186">
        <v>12</v>
      </c>
      <c r="B155" s="205" t="s">
        <v>325</v>
      </c>
      <c r="C155" s="346" t="s">
        <v>326</v>
      </c>
      <c r="D155" s="113">
        <v>45996</v>
      </c>
      <c r="E155" s="114" t="s">
        <v>789</v>
      </c>
      <c r="F155" s="347">
        <v>1410</v>
      </c>
    </row>
    <row r="156" spans="1:6" ht="27.75" customHeight="1">
      <c r="A156" s="186">
        <v>13</v>
      </c>
      <c r="B156" s="205" t="s">
        <v>325</v>
      </c>
      <c r="C156" s="346" t="s">
        <v>330</v>
      </c>
      <c r="D156" s="113">
        <v>45996</v>
      </c>
      <c r="E156" s="114" t="s">
        <v>789</v>
      </c>
      <c r="F156" s="347">
        <v>1410</v>
      </c>
    </row>
    <row r="157" spans="1:6" ht="27.75" customHeight="1">
      <c r="A157" s="186">
        <v>14</v>
      </c>
      <c r="B157" s="205" t="s">
        <v>325</v>
      </c>
      <c r="C157" s="346" t="s">
        <v>331</v>
      </c>
      <c r="D157" s="113">
        <v>45996</v>
      </c>
      <c r="E157" s="114" t="s">
        <v>789</v>
      </c>
      <c r="F157" s="347">
        <v>1410</v>
      </c>
    </row>
    <row r="158" spans="1:6" ht="27.75" customHeight="1">
      <c r="A158" s="186">
        <v>15</v>
      </c>
      <c r="B158" s="205" t="s">
        <v>325</v>
      </c>
      <c r="C158" s="346" t="s">
        <v>332</v>
      </c>
      <c r="D158" s="113">
        <v>45996</v>
      </c>
      <c r="E158" s="114" t="s">
        <v>789</v>
      </c>
      <c r="F158" s="347">
        <v>1410</v>
      </c>
    </row>
    <row r="159" spans="1:6" ht="27.75" customHeight="1">
      <c r="A159" s="186">
        <v>16</v>
      </c>
      <c r="B159" s="205" t="s">
        <v>28</v>
      </c>
      <c r="C159" s="346" t="s">
        <v>333</v>
      </c>
      <c r="D159" s="113" t="s">
        <v>808</v>
      </c>
      <c r="E159" s="114" t="s">
        <v>815</v>
      </c>
      <c r="F159" s="347">
        <v>2820</v>
      </c>
    </row>
    <row r="160" spans="1:6" ht="27.75" customHeight="1">
      <c r="A160" s="186">
        <v>17</v>
      </c>
      <c r="B160" s="205" t="s">
        <v>28</v>
      </c>
      <c r="C160" s="346" t="s">
        <v>334</v>
      </c>
      <c r="D160" s="113" t="s">
        <v>808</v>
      </c>
      <c r="E160" s="114" t="s">
        <v>815</v>
      </c>
      <c r="F160" s="347">
        <v>2820</v>
      </c>
    </row>
    <row r="161" spans="1:6" ht="27.75" customHeight="1">
      <c r="A161" s="186">
        <v>18</v>
      </c>
      <c r="B161" s="205" t="s">
        <v>28</v>
      </c>
      <c r="C161" s="346" t="s">
        <v>335</v>
      </c>
      <c r="D161" s="113" t="s">
        <v>808</v>
      </c>
      <c r="E161" s="114" t="s">
        <v>815</v>
      </c>
      <c r="F161" s="347">
        <v>2820</v>
      </c>
    </row>
    <row r="162" spans="1:6" ht="27.75" customHeight="1">
      <c r="A162" s="186">
        <v>19</v>
      </c>
      <c r="B162" s="205" t="s">
        <v>40</v>
      </c>
      <c r="C162" s="346" t="s">
        <v>336</v>
      </c>
      <c r="D162" s="113">
        <v>45996</v>
      </c>
      <c r="E162" s="114" t="s">
        <v>790</v>
      </c>
      <c r="F162" s="347">
        <v>1220</v>
      </c>
    </row>
    <row r="163" spans="1:6" ht="27.75" customHeight="1">
      <c r="A163" s="186">
        <v>20</v>
      </c>
      <c r="B163" s="205" t="s">
        <v>40</v>
      </c>
      <c r="C163" s="346" t="s">
        <v>338</v>
      </c>
      <c r="D163" s="113">
        <v>45996</v>
      </c>
      <c r="E163" s="114" t="s">
        <v>790</v>
      </c>
      <c r="F163" s="347">
        <v>1220</v>
      </c>
    </row>
    <row r="164" spans="1:6" ht="27.75" customHeight="1">
      <c r="A164" s="186">
        <v>21</v>
      </c>
      <c r="B164" s="205" t="s">
        <v>40</v>
      </c>
      <c r="C164" s="346" t="s">
        <v>339</v>
      </c>
      <c r="D164" s="113">
        <v>45996</v>
      </c>
      <c r="E164" s="114" t="s">
        <v>790</v>
      </c>
      <c r="F164" s="347">
        <v>1220</v>
      </c>
    </row>
    <row r="165" spans="1:6" ht="27.75" customHeight="1">
      <c r="A165" s="186">
        <v>22</v>
      </c>
      <c r="B165" s="40" t="s">
        <v>43</v>
      </c>
      <c r="C165" s="346" t="s">
        <v>340</v>
      </c>
      <c r="D165" s="113">
        <v>45992</v>
      </c>
      <c r="E165" s="114" t="s">
        <v>791</v>
      </c>
      <c r="F165" s="347">
        <v>1410</v>
      </c>
    </row>
    <row r="166" spans="1:6" ht="27.75" customHeight="1">
      <c r="A166" s="186">
        <v>23</v>
      </c>
      <c r="B166" s="40" t="s">
        <v>43</v>
      </c>
      <c r="C166" s="346" t="s">
        <v>344</v>
      </c>
      <c r="D166" s="113">
        <v>45992</v>
      </c>
      <c r="E166" s="114" t="s">
        <v>791</v>
      </c>
      <c r="F166" s="347">
        <v>1410</v>
      </c>
    </row>
    <row r="167" spans="1:6" ht="27.75" customHeight="1">
      <c r="A167" s="186">
        <v>24</v>
      </c>
      <c r="B167" s="40" t="s">
        <v>345</v>
      </c>
      <c r="C167" s="346" t="s">
        <v>346</v>
      </c>
      <c r="D167" s="113">
        <v>45995</v>
      </c>
      <c r="E167" s="114" t="s">
        <v>792</v>
      </c>
      <c r="F167" s="347">
        <v>1410</v>
      </c>
    </row>
    <row r="168" spans="1:6" ht="27.75" customHeight="1">
      <c r="A168" s="186">
        <v>25</v>
      </c>
      <c r="B168" s="40" t="s">
        <v>345</v>
      </c>
      <c r="C168" s="346" t="s">
        <v>348</v>
      </c>
      <c r="D168" s="113">
        <v>45995</v>
      </c>
      <c r="E168" s="114" t="s">
        <v>792</v>
      </c>
      <c r="F168" s="347">
        <v>1410</v>
      </c>
    </row>
    <row r="169" spans="1:6" ht="27.75" customHeight="1">
      <c r="A169" s="186">
        <v>26</v>
      </c>
      <c r="B169" s="40" t="s">
        <v>345</v>
      </c>
      <c r="C169" s="346" t="s">
        <v>349</v>
      </c>
      <c r="D169" s="113">
        <v>45995</v>
      </c>
      <c r="E169" s="114" t="s">
        <v>792</v>
      </c>
      <c r="F169" s="347">
        <v>1410</v>
      </c>
    </row>
    <row r="170" spans="1:6" ht="27.75" customHeight="1">
      <c r="A170" s="186">
        <v>27</v>
      </c>
      <c r="B170" s="40" t="s">
        <v>345</v>
      </c>
      <c r="C170" s="346" t="s">
        <v>350</v>
      </c>
      <c r="D170" s="113">
        <v>45995</v>
      </c>
      <c r="E170" s="114" t="s">
        <v>792</v>
      </c>
      <c r="F170" s="347">
        <v>1410</v>
      </c>
    </row>
    <row r="171" spans="1:6" ht="27.75" customHeight="1">
      <c r="A171" s="186">
        <v>28</v>
      </c>
      <c r="B171" s="40" t="s">
        <v>351</v>
      </c>
      <c r="C171" s="346" t="s">
        <v>352</v>
      </c>
      <c r="D171" s="113">
        <v>45995</v>
      </c>
      <c r="E171" s="114" t="s">
        <v>793</v>
      </c>
      <c r="F171" s="347">
        <v>1410</v>
      </c>
    </row>
    <row r="172" spans="1:6" ht="27.75" customHeight="1">
      <c r="A172" s="186">
        <v>29</v>
      </c>
      <c r="B172" s="40" t="s">
        <v>351</v>
      </c>
      <c r="C172" s="346" t="s">
        <v>354</v>
      </c>
      <c r="D172" s="113">
        <v>45995</v>
      </c>
      <c r="E172" s="114" t="s">
        <v>793</v>
      </c>
      <c r="F172" s="347">
        <v>1410</v>
      </c>
    </row>
    <row r="173" spans="1:6" ht="27.75" customHeight="1">
      <c r="A173" s="186">
        <v>30</v>
      </c>
      <c r="B173" s="40" t="s">
        <v>351</v>
      </c>
      <c r="C173" s="346" t="s">
        <v>355</v>
      </c>
      <c r="D173" s="113">
        <v>45995</v>
      </c>
      <c r="E173" s="114" t="s">
        <v>793</v>
      </c>
      <c r="F173" s="347">
        <v>1410</v>
      </c>
    </row>
    <row r="174" spans="1:6" ht="27.75" customHeight="1">
      <c r="A174" s="186">
        <v>31</v>
      </c>
      <c r="B174" s="40" t="s">
        <v>356</v>
      </c>
      <c r="C174" s="346" t="s">
        <v>357</v>
      </c>
      <c r="D174" s="113" t="s">
        <v>816</v>
      </c>
      <c r="E174" s="114" t="s">
        <v>817</v>
      </c>
      <c r="F174" s="347">
        <v>2820</v>
      </c>
    </row>
    <row r="175" spans="1:6" ht="27.75" customHeight="1">
      <c r="A175" s="186">
        <v>32</v>
      </c>
      <c r="B175" s="40" t="s">
        <v>356</v>
      </c>
      <c r="C175" s="346" t="s">
        <v>360</v>
      </c>
      <c r="D175" s="113" t="s">
        <v>816</v>
      </c>
      <c r="E175" s="114" t="s">
        <v>817</v>
      </c>
      <c r="F175" s="347">
        <v>2820</v>
      </c>
    </row>
    <row r="176" spans="1:6" ht="27.75" customHeight="1">
      <c r="A176" s="186">
        <v>33</v>
      </c>
      <c r="B176" s="40" t="s">
        <v>356</v>
      </c>
      <c r="C176" s="346" t="s">
        <v>361</v>
      </c>
      <c r="D176" s="113">
        <v>45994</v>
      </c>
      <c r="E176" s="114" t="s">
        <v>794</v>
      </c>
      <c r="F176" s="347">
        <v>1410</v>
      </c>
    </row>
    <row r="177" spans="1:6" ht="27.75" customHeight="1">
      <c r="A177" s="186">
        <v>34</v>
      </c>
      <c r="B177" s="40" t="s">
        <v>362</v>
      </c>
      <c r="C177" s="346" t="s">
        <v>363</v>
      </c>
      <c r="D177" s="113">
        <v>45992</v>
      </c>
      <c r="E177" s="114" t="s">
        <v>795</v>
      </c>
      <c r="F177" s="347">
        <v>1410</v>
      </c>
    </row>
    <row r="178" spans="1:6" ht="27.75" customHeight="1">
      <c r="A178" s="186">
        <v>35</v>
      </c>
      <c r="B178" s="40" t="s">
        <v>362</v>
      </c>
      <c r="C178" s="346" t="s">
        <v>367</v>
      </c>
      <c r="D178" s="113">
        <v>45992</v>
      </c>
      <c r="E178" s="114" t="s">
        <v>795</v>
      </c>
      <c r="F178" s="347">
        <v>1410</v>
      </c>
    </row>
    <row r="179" spans="1:6" ht="27.75" customHeight="1">
      <c r="A179" s="186">
        <v>36</v>
      </c>
      <c r="B179" s="40" t="s">
        <v>362</v>
      </c>
      <c r="C179" s="346" t="s">
        <v>368</v>
      </c>
      <c r="D179" s="113">
        <v>45992</v>
      </c>
      <c r="E179" s="114" t="s">
        <v>795</v>
      </c>
      <c r="F179" s="347">
        <v>1410</v>
      </c>
    </row>
    <row r="180" spans="1:6" ht="27.75" customHeight="1">
      <c r="A180" s="186">
        <v>37</v>
      </c>
      <c r="B180" s="40" t="s">
        <v>362</v>
      </c>
      <c r="C180" s="346" t="s">
        <v>369</v>
      </c>
      <c r="D180" s="113">
        <v>45992</v>
      </c>
      <c r="E180" s="114" t="s">
        <v>795</v>
      </c>
      <c r="F180" s="347">
        <v>1410</v>
      </c>
    </row>
    <row r="181" spans="1:6" ht="27.75" customHeight="1">
      <c r="A181" s="186">
        <v>38</v>
      </c>
      <c r="B181" s="40" t="s">
        <v>362</v>
      </c>
      <c r="C181" s="346" t="s">
        <v>370</v>
      </c>
      <c r="D181" s="113">
        <v>45992</v>
      </c>
      <c r="E181" s="114" t="s">
        <v>795</v>
      </c>
      <c r="F181" s="347">
        <v>1410</v>
      </c>
    </row>
    <row r="182" spans="1:6" ht="27.75" customHeight="1">
      <c r="A182" s="186">
        <v>39</v>
      </c>
      <c r="B182" s="40" t="s">
        <v>362</v>
      </c>
      <c r="C182" s="346" t="s">
        <v>371</v>
      </c>
      <c r="D182" s="113">
        <v>45992</v>
      </c>
      <c r="E182" s="114" t="s">
        <v>795</v>
      </c>
      <c r="F182" s="347">
        <v>1410</v>
      </c>
    </row>
    <row r="183" spans="1:6" ht="27.75" customHeight="1">
      <c r="A183" s="186">
        <v>40</v>
      </c>
      <c r="B183" s="40" t="s">
        <v>372</v>
      </c>
      <c r="C183" s="346" t="s">
        <v>373</v>
      </c>
      <c r="D183" s="113">
        <v>45995</v>
      </c>
      <c r="E183" s="114" t="s">
        <v>796</v>
      </c>
      <c r="F183" s="347">
        <v>1410</v>
      </c>
    </row>
    <row r="184" spans="1:6" ht="27.75" customHeight="1">
      <c r="A184" s="186">
        <v>41</v>
      </c>
      <c r="B184" s="40" t="s">
        <v>372</v>
      </c>
      <c r="C184" s="346" t="s">
        <v>377</v>
      </c>
      <c r="D184" s="113">
        <v>45995</v>
      </c>
      <c r="E184" s="114" t="s">
        <v>796</v>
      </c>
      <c r="F184" s="347">
        <v>1410</v>
      </c>
    </row>
    <row r="185" spans="1:6" ht="27.75" customHeight="1">
      <c r="A185" s="186">
        <v>42</v>
      </c>
      <c r="B185" s="40" t="s">
        <v>372</v>
      </c>
      <c r="C185" s="346" t="s">
        <v>378</v>
      </c>
      <c r="D185" s="113">
        <v>45995</v>
      </c>
      <c r="E185" s="114" t="s">
        <v>796</v>
      </c>
      <c r="F185" s="347">
        <v>1410</v>
      </c>
    </row>
    <row r="186" spans="1:6" ht="27.75" customHeight="1">
      <c r="A186" s="186">
        <v>43</v>
      </c>
      <c r="B186" s="40" t="s">
        <v>372</v>
      </c>
      <c r="C186" s="346" t="s">
        <v>379</v>
      </c>
      <c r="D186" s="113">
        <v>45995</v>
      </c>
      <c r="E186" s="114" t="s">
        <v>796</v>
      </c>
      <c r="F186" s="347">
        <v>1410</v>
      </c>
    </row>
    <row r="187" spans="1:6" ht="27.75" customHeight="1">
      <c r="A187" s="186">
        <v>44</v>
      </c>
      <c r="B187" s="40" t="s">
        <v>380</v>
      </c>
      <c r="C187" s="346" t="s">
        <v>381</v>
      </c>
      <c r="D187" s="175">
        <v>45995</v>
      </c>
      <c r="E187" s="176" t="s">
        <v>797</v>
      </c>
      <c r="F187" s="222">
        <v>1410</v>
      </c>
    </row>
    <row r="188" spans="1:6" ht="27.75" customHeight="1">
      <c r="A188" s="186">
        <v>45</v>
      </c>
      <c r="B188" s="40" t="s">
        <v>380</v>
      </c>
      <c r="C188" s="346" t="s">
        <v>385</v>
      </c>
      <c r="D188" s="175">
        <v>45995</v>
      </c>
      <c r="E188" s="176" t="s">
        <v>797</v>
      </c>
      <c r="F188" s="222">
        <v>1410</v>
      </c>
    </row>
    <row r="189" spans="1:6" ht="27.75" customHeight="1">
      <c r="A189" s="186">
        <v>46</v>
      </c>
      <c r="B189" s="40" t="s">
        <v>380</v>
      </c>
      <c r="C189" s="346" t="s">
        <v>386</v>
      </c>
      <c r="D189" s="175">
        <v>45995</v>
      </c>
      <c r="E189" s="176" t="s">
        <v>797</v>
      </c>
      <c r="F189" s="222">
        <v>1410</v>
      </c>
    </row>
    <row r="190" spans="1:6" ht="27.75" customHeight="1">
      <c r="A190" s="186">
        <v>47</v>
      </c>
      <c r="B190" s="40" t="s">
        <v>380</v>
      </c>
      <c r="C190" s="346" t="s">
        <v>387</v>
      </c>
      <c r="D190" s="175">
        <v>45995</v>
      </c>
      <c r="E190" s="176" t="s">
        <v>797</v>
      </c>
      <c r="F190" s="222">
        <v>1410</v>
      </c>
    </row>
    <row r="191" spans="1:6" ht="27.75" customHeight="1">
      <c r="A191" s="186">
        <v>48</v>
      </c>
      <c r="B191" s="351" t="s">
        <v>66</v>
      </c>
      <c r="C191" s="346" t="s">
        <v>388</v>
      </c>
      <c r="D191" s="175">
        <v>46020</v>
      </c>
      <c r="E191" s="176" t="s">
        <v>798</v>
      </c>
      <c r="F191" s="222">
        <v>1760</v>
      </c>
    </row>
    <row r="192" spans="1:6" ht="27.75" customHeight="1">
      <c r="A192" s="186">
        <v>49</v>
      </c>
      <c r="B192" s="351" t="s">
        <v>66</v>
      </c>
      <c r="C192" s="346" t="s">
        <v>390</v>
      </c>
      <c r="D192" s="175">
        <v>46020</v>
      </c>
      <c r="E192" s="176" t="s">
        <v>798</v>
      </c>
      <c r="F192" s="222">
        <v>1760</v>
      </c>
    </row>
    <row r="193" spans="1:9" ht="27.75" customHeight="1">
      <c r="A193" s="186">
        <v>50</v>
      </c>
      <c r="B193" s="351" t="s">
        <v>66</v>
      </c>
      <c r="C193" s="346" t="s">
        <v>391</v>
      </c>
      <c r="D193" s="175">
        <v>46020</v>
      </c>
      <c r="E193" s="176" t="s">
        <v>798</v>
      </c>
      <c r="F193" s="222">
        <v>1760</v>
      </c>
    </row>
    <row r="194" spans="1:9" ht="27.75" customHeight="1">
      <c r="A194" s="186">
        <v>51</v>
      </c>
      <c r="B194" s="351" t="s">
        <v>66</v>
      </c>
      <c r="C194" s="346" t="s">
        <v>69</v>
      </c>
      <c r="D194" s="175">
        <v>46020</v>
      </c>
      <c r="E194" s="176" t="s">
        <v>799</v>
      </c>
      <c r="F194" s="222">
        <v>2720</v>
      </c>
    </row>
    <row r="195" spans="1:9" ht="27.75" customHeight="1">
      <c r="A195" s="94"/>
      <c r="B195" s="352" t="s">
        <v>393</v>
      </c>
      <c r="C195" s="353"/>
      <c r="D195" s="183"/>
      <c r="E195" s="355"/>
      <c r="F195" s="231"/>
    </row>
    <row r="196" spans="1:9" ht="27.75" customHeight="1">
      <c r="A196" s="94"/>
      <c r="B196" s="352" t="s">
        <v>394</v>
      </c>
      <c r="C196" s="353"/>
      <c r="D196" s="175"/>
      <c r="E196" s="355"/>
      <c r="F196" s="222"/>
    </row>
    <row r="197" spans="1:9" ht="27.75" customHeight="1" thickBot="1">
      <c r="A197" s="357"/>
      <c r="B197" s="358"/>
      <c r="C197" s="359"/>
      <c r="D197" s="361"/>
      <c r="E197" s="361"/>
      <c r="F197" s="362">
        <v>90620</v>
      </c>
      <c r="H197" s="520">
        <f t="shared" ref="H197:I197" si="0">SUM(F197:G197)</f>
        <v>90620</v>
      </c>
      <c r="I197" s="520">
        <f t="shared" si="0"/>
        <v>90620</v>
      </c>
    </row>
    <row r="198" spans="1:9" ht="27.75" customHeight="1" thickTop="1">
      <c r="A198" s="94"/>
      <c r="B198" s="364" t="s">
        <v>395</v>
      </c>
      <c r="C198" s="81"/>
      <c r="D198" s="178"/>
      <c r="E198" s="179"/>
      <c r="F198" s="264"/>
    </row>
    <row r="199" spans="1:9" ht="27.75" customHeight="1">
      <c r="A199" s="94">
        <v>1</v>
      </c>
      <c r="B199" s="366" t="s">
        <v>167</v>
      </c>
      <c r="C199" s="367" t="s">
        <v>396</v>
      </c>
      <c r="D199" s="175">
        <v>45995</v>
      </c>
      <c r="E199" s="176" t="s">
        <v>800</v>
      </c>
      <c r="F199" s="222">
        <v>22690</v>
      </c>
    </row>
    <row r="200" spans="1:9" ht="27.75" customHeight="1">
      <c r="A200" s="94"/>
      <c r="B200" s="366" t="s">
        <v>401</v>
      </c>
      <c r="C200" s="367" t="s">
        <v>402</v>
      </c>
      <c r="D200" s="175"/>
      <c r="E200" s="176"/>
      <c r="F200" s="222"/>
    </row>
    <row r="201" spans="1:9" ht="27.75" customHeight="1">
      <c r="A201" s="94">
        <v>2</v>
      </c>
      <c r="B201" s="366" t="s">
        <v>24</v>
      </c>
      <c r="C201" s="367" t="s">
        <v>403</v>
      </c>
      <c r="D201" s="175"/>
      <c r="E201" s="176"/>
      <c r="F201" s="222">
        <v>0</v>
      </c>
    </row>
    <row r="202" spans="1:9" ht="27.75" customHeight="1">
      <c r="A202" s="94"/>
      <c r="B202" s="366" t="s">
        <v>409</v>
      </c>
      <c r="C202" s="367" t="s">
        <v>410</v>
      </c>
      <c r="D202" s="175"/>
      <c r="E202" s="176"/>
      <c r="F202" s="222"/>
    </row>
    <row r="203" spans="1:9" ht="27.75" customHeight="1">
      <c r="A203" s="94">
        <v>3</v>
      </c>
      <c r="B203" s="366" t="s">
        <v>411</v>
      </c>
      <c r="C203" s="367" t="s">
        <v>412</v>
      </c>
      <c r="D203" s="175">
        <v>45996</v>
      </c>
      <c r="E203" s="176" t="s">
        <v>802</v>
      </c>
      <c r="F203" s="222">
        <v>5360</v>
      </c>
    </row>
    <row r="204" spans="1:9" ht="27.75" customHeight="1">
      <c r="A204" s="94"/>
      <c r="B204" s="366" t="s">
        <v>409</v>
      </c>
      <c r="C204" s="367" t="s">
        <v>416</v>
      </c>
      <c r="D204" s="175"/>
      <c r="E204" s="176"/>
      <c r="F204" s="222"/>
    </row>
    <row r="205" spans="1:9" ht="27.75" customHeight="1">
      <c r="A205" s="94">
        <v>4</v>
      </c>
      <c r="B205" s="366" t="s">
        <v>417</v>
      </c>
      <c r="C205" s="367" t="s">
        <v>418</v>
      </c>
      <c r="D205" s="175">
        <v>46014</v>
      </c>
      <c r="E205" s="176" t="s">
        <v>803</v>
      </c>
      <c r="F205" s="222">
        <v>68108.75</v>
      </c>
    </row>
    <row r="206" spans="1:9" ht="27.75" customHeight="1">
      <c r="A206" s="94"/>
      <c r="B206" s="366" t="s">
        <v>409</v>
      </c>
      <c r="C206" s="379"/>
      <c r="D206" s="175"/>
      <c r="E206" s="176"/>
      <c r="F206" s="222"/>
    </row>
    <row r="207" spans="1:9" ht="27.75" customHeight="1">
      <c r="A207" s="94">
        <v>5</v>
      </c>
      <c r="B207" s="366" t="s">
        <v>417</v>
      </c>
      <c r="C207" s="367" t="s">
        <v>421</v>
      </c>
      <c r="D207" s="175">
        <v>45992</v>
      </c>
      <c r="E207" s="176" t="s">
        <v>804</v>
      </c>
      <c r="F207" s="222">
        <v>4910</v>
      </c>
    </row>
    <row r="208" spans="1:9" ht="27.75" customHeight="1">
      <c r="A208" s="94"/>
      <c r="B208" s="366" t="s">
        <v>426</v>
      </c>
      <c r="C208" s="366" t="s">
        <v>427</v>
      </c>
      <c r="D208" s="175"/>
      <c r="E208" s="176"/>
      <c r="F208" s="222"/>
    </row>
    <row r="209" spans="1:8" ht="27.75" customHeight="1">
      <c r="A209" s="94">
        <v>6</v>
      </c>
      <c r="B209" s="366" t="s">
        <v>428</v>
      </c>
      <c r="C209" s="367" t="s">
        <v>429</v>
      </c>
      <c r="D209" s="175">
        <v>45996</v>
      </c>
      <c r="E209" s="176" t="s">
        <v>805</v>
      </c>
      <c r="F209" s="222">
        <v>20000</v>
      </c>
    </row>
    <row r="210" spans="1:8" ht="27.75" customHeight="1">
      <c r="A210" s="94"/>
      <c r="B210" s="366" t="s">
        <v>431</v>
      </c>
      <c r="C210" s="366" t="s">
        <v>432</v>
      </c>
      <c r="D210" s="175"/>
      <c r="E210" s="176"/>
      <c r="F210" s="222"/>
    </row>
    <row r="211" spans="1:8" ht="27.75" customHeight="1" thickBot="1">
      <c r="A211" s="193"/>
      <c r="B211" s="194" t="s">
        <v>22</v>
      </c>
      <c r="C211" s="195"/>
      <c r="D211" s="199"/>
      <c r="E211" s="199"/>
      <c r="F211" s="196">
        <v>121068.75</v>
      </c>
      <c r="H211" s="520">
        <f>SUM(F199:F210)</f>
        <v>121068.75</v>
      </c>
    </row>
    <row r="212" spans="1:8" ht="27.75" customHeight="1" thickTop="1">
      <c r="A212" s="22"/>
      <c r="B212" s="288" t="s">
        <v>433</v>
      </c>
      <c r="C212" s="380"/>
      <c r="D212" s="382"/>
      <c r="E212" s="382"/>
      <c r="F212" s="383"/>
    </row>
    <row r="213" spans="1:8" ht="27.75" customHeight="1">
      <c r="A213" s="22">
        <v>1</v>
      </c>
      <c r="B213" s="270" t="s">
        <v>434</v>
      </c>
      <c r="C213" s="380" t="s">
        <v>435</v>
      </c>
      <c r="D213" s="385"/>
      <c r="E213" s="386"/>
      <c r="F213" s="383"/>
    </row>
    <row r="214" spans="1:8" ht="27.75" customHeight="1">
      <c r="A214" s="22"/>
      <c r="B214" s="270" t="s">
        <v>436</v>
      </c>
      <c r="C214" s="380" t="s">
        <v>437</v>
      </c>
      <c r="D214" s="382"/>
      <c r="E214" s="382"/>
      <c r="F214" s="383"/>
    </row>
    <row r="215" spans="1:8" ht="27.75" customHeight="1">
      <c r="A215" s="22">
        <v>2</v>
      </c>
      <c r="B215" s="270" t="s">
        <v>438</v>
      </c>
      <c r="C215" s="380" t="s">
        <v>439</v>
      </c>
      <c r="D215" s="389">
        <v>45995</v>
      </c>
      <c r="E215" s="386" t="s">
        <v>807</v>
      </c>
      <c r="F215" s="383">
        <v>1500</v>
      </c>
    </row>
    <row r="216" spans="1:8" ht="27.75" customHeight="1" thickBot="1">
      <c r="A216" s="193"/>
      <c r="B216" s="194" t="s">
        <v>22</v>
      </c>
      <c r="C216" s="195"/>
      <c r="D216" s="393">
        <v>0</v>
      </c>
      <c r="E216" s="393">
        <v>0</v>
      </c>
      <c r="F216" s="394">
        <v>1500</v>
      </c>
      <c r="H216" s="520">
        <f>SUM(F215)</f>
        <v>1500</v>
      </c>
    </row>
    <row r="217" spans="1:8" ht="27.75" customHeight="1" thickTop="1">
      <c r="A217" s="22"/>
      <c r="B217" s="288" t="s">
        <v>441</v>
      </c>
      <c r="C217" s="289"/>
      <c r="D217" s="291"/>
      <c r="E217" s="292"/>
      <c r="F217" s="222"/>
    </row>
    <row r="218" spans="1:8" ht="27.75" customHeight="1">
      <c r="A218" s="94">
        <v>1</v>
      </c>
      <c r="B218" s="40" t="s">
        <v>442</v>
      </c>
      <c r="C218" s="206" t="s">
        <v>443</v>
      </c>
      <c r="D218" s="175"/>
      <c r="E218" s="176"/>
      <c r="F218" s="222"/>
    </row>
    <row r="219" spans="1:8" ht="27.75" customHeight="1">
      <c r="A219" s="94"/>
      <c r="B219" s="396" t="s">
        <v>448</v>
      </c>
      <c r="C219" s="206" t="s">
        <v>449</v>
      </c>
      <c r="D219" s="183"/>
      <c r="E219" s="184"/>
      <c r="F219" s="231"/>
    </row>
    <row r="220" spans="1:8" ht="27.75" customHeight="1">
      <c r="A220" s="94"/>
      <c r="B220" s="396"/>
      <c r="C220" s="398" t="s">
        <v>450</v>
      </c>
      <c r="D220" s="183"/>
      <c r="E220" s="184"/>
      <c r="F220" s="231"/>
    </row>
    <row r="221" spans="1:8" ht="27.75" customHeight="1">
      <c r="A221" s="94">
        <v>2</v>
      </c>
      <c r="B221" s="205" t="s">
        <v>451</v>
      </c>
      <c r="C221" s="206" t="s">
        <v>452</v>
      </c>
      <c r="D221" s="183"/>
      <c r="E221" s="184"/>
      <c r="F221" s="231"/>
    </row>
    <row r="222" spans="1:8" ht="27.75" customHeight="1">
      <c r="A222" s="232"/>
      <c r="B222" s="402" t="s">
        <v>460</v>
      </c>
      <c r="C222" s="206" t="s">
        <v>461</v>
      </c>
      <c r="D222" s="183"/>
      <c r="E222" s="184"/>
      <c r="F222" s="231"/>
    </row>
    <row r="223" spans="1:8" ht="27.75" customHeight="1">
      <c r="A223" s="186"/>
      <c r="B223" s="404" t="s">
        <v>448</v>
      </c>
      <c r="C223" s="206" t="s">
        <v>462</v>
      </c>
      <c r="D223" s="183"/>
      <c r="E223" s="184"/>
      <c r="F223" s="231"/>
    </row>
    <row r="224" spans="1:8" ht="27.75" customHeight="1">
      <c r="A224" s="405"/>
      <c r="B224" s="406" t="s">
        <v>22</v>
      </c>
      <c r="C224" s="407"/>
      <c r="D224" s="411"/>
      <c r="E224" s="411"/>
      <c r="F224" s="408">
        <v>0</v>
      </c>
    </row>
    <row r="225" spans="1:8" ht="27.75" customHeight="1" thickBot="1">
      <c r="A225" s="414"/>
      <c r="B225" s="415"/>
      <c r="C225" s="416" t="s">
        <v>468</v>
      </c>
      <c r="D225" s="421"/>
      <c r="E225" s="421"/>
      <c r="F225" s="422">
        <v>951639.78</v>
      </c>
      <c r="H225" s="521">
        <f>SUM(H24:H216)</f>
        <v>951639.78</v>
      </c>
    </row>
    <row r="226" spans="1:8" ht="30" customHeight="1" thickTop="1">
      <c r="A226" s="426"/>
      <c r="B226" s="4"/>
      <c r="C226" s="295"/>
      <c r="D226" s="431"/>
      <c r="E226" s="432"/>
      <c r="F226" s="427"/>
    </row>
    <row r="227" spans="1:8" s="226" customFormat="1" ht="27.75" customHeight="1">
      <c r="A227" s="6"/>
      <c r="B227" s="500"/>
      <c r="D227" s="3"/>
      <c r="E227" s="372"/>
      <c r="F227" s="501"/>
    </row>
    <row r="228" spans="1:8" s="226" customFormat="1" ht="27.75" customHeight="1">
      <c r="A228" s="6"/>
      <c r="B228" s="500"/>
      <c r="D228" s="3"/>
      <c r="E228" s="372"/>
      <c r="F228" s="501"/>
    </row>
    <row r="229" spans="1:8" s="226" customFormat="1" ht="27.75" customHeight="1">
      <c r="A229" s="6"/>
      <c r="B229" s="500"/>
      <c r="D229" s="3"/>
      <c r="E229" s="372"/>
      <c r="F229" s="501"/>
    </row>
    <row r="230" spans="1:8" s="226" customFormat="1" ht="27.75" customHeight="1">
      <c r="A230" s="6"/>
      <c r="B230" s="500"/>
      <c r="D230" s="3"/>
      <c r="E230" s="372"/>
      <c r="F230" s="501"/>
    </row>
    <row r="231" spans="1:8" s="226" customFormat="1" ht="27.75" customHeight="1">
      <c r="A231" s="6"/>
      <c r="B231" s="500"/>
      <c r="D231" s="3"/>
      <c r="E231" s="372"/>
      <c r="F231" s="501"/>
    </row>
    <row r="232" spans="1:8" s="226" customFormat="1" ht="27.75" customHeight="1">
      <c r="A232" s="6"/>
      <c r="B232" s="500"/>
      <c r="D232" s="3"/>
      <c r="E232" s="372"/>
      <c r="F232" s="501"/>
    </row>
    <row r="233" spans="1:8" s="226" customFormat="1" ht="27.75" customHeight="1">
      <c r="A233" s="6"/>
      <c r="B233" s="500"/>
      <c r="D233" s="3"/>
      <c r="E233" s="372"/>
      <c r="F233" s="501"/>
    </row>
    <row r="234" spans="1:8" s="226" customFormat="1" ht="27.75" customHeight="1">
      <c r="A234" s="6"/>
      <c r="B234" s="500"/>
      <c r="D234" s="3"/>
      <c r="E234" s="372"/>
      <c r="F234" s="501"/>
    </row>
    <row r="235" spans="1:8" s="226" customFormat="1" ht="27.75" customHeight="1">
      <c r="A235" s="6"/>
      <c r="B235" s="500"/>
      <c r="D235" s="3"/>
      <c r="E235" s="372"/>
      <c r="F235" s="501"/>
    </row>
    <row r="236" spans="1:8" s="226" customFormat="1" ht="27.75" customHeight="1">
      <c r="A236" s="6"/>
      <c r="B236" s="500"/>
      <c r="D236" s="3"/>
      <c r="E236" s="372"/>
      <c r="F236" s="501"/>
    </row>
    <row r="237" spans="1:8" s="226" customFormat="1" ht="27.75" customHeight="1">
      <c r="A237" s="6"/>
      <c r="B237" s="500"/>
      <c r="D237" s="3"/>
      <c r="E237" s="372"/>
      <c r="F237" s="501"/>
    </row>
    <row r="238" spans="1:8" s="226" customFormat="1" ht="27.75" customHeight="1">
      <c r="A238" s="6"/>
      <c r="B238" s="500"/>
      <c r="D238" s="3"/>
      <c r="E238" s="372"/>
      <c r="F238" s="501"/>
    </row>
    <row r="239" spans="1:8" s="226" customFormat="1" ht="27.75" customHeight="1">
      <c r="A239" s="6"/>
      <c r="B239" s="500"/>
      <c r="D239" s="3"/>
      <c r="E239" s="372"/>
      <c r="F239" s="501"/>
    </row>
    <row r="240" spans="1:8" s="226" customFormat="1" ht="27.75" customHeight="1">
      <c r="A240" s="6"/>
      <c r="B240" s="500"/>
      <c r="D240" s="3"/>
      <c r="E240" s="372"/>
      <c r="F240" s="501"/>
    </row>
    <row r="241" spans="1:6" s="226" customFormat="1" ht="27.75" customHeight="1">
      <c r="A241" s="6"/>
      <c r="B241" s="500"/>
      <c r="D241" s="3"/>
      <c r="E241" s="372"/>
      <c r="F241" s="501"/>
    </row>
    <row r="242" spans="1:6" s="226" customFormat="1" ht="27.75" customHeight="1">
      <c r="A242" s="6"/>
      <c r="B242" s="500"/>
      <c r="D242" s="3"/>
      <c r="E242" s="372"/>
      <c r="F242" s="501"/>
    </row>
    <row r="243" spans="1:6" s="226" customFormat="1" ht="27.75" customHeight="1">
      <c r="A243" s="6"/>
      <c r="D243" s="3"/>
      <c r="E243" s="372"/>
      <c r="F243" s="501"/>
    </row>
    <row r="244" spans="1:6" ht="27.75" customHeight="1">
      <c r="B244" s="4"/>
      <c r="F244" s="4"/>
    </row>
    <row r="245" spans="1:6" ht="27.75" customHeight="1">
      <c r="B245" s="4"/>
      <c r="F245" s="4"/>
    </row>
    <row r="246" spans="1:6" ht="27.75" customHeight="1">
      <c r="B246" s="4"/>
      <c r="F246" s="4"/>
    </row>
    <row r="247" spans="1:6" ht="27.75" customHeight="1">
      <c r="B247" s="4"/>
      <c r="F247" s="4"/>
    </row>
    <row r="248" spans="1:6" ht="27.75" customHeight="1">
      <c r="B248" s="4"/>
      <c r="F248" s="4"/>
    </row>
    <row r="249" spans="1:6" ht="27.75" customHeight="1">
      <c r="B249" s="4"/>
      <c r="F249" s="4"/>
    </row>
    <row r="250" spans="1:6" ht="27.75" customHeight="1">
      <c r="B250" s="4"/>
      <c r="F250" s="4"/>
    </row>
    <row r="251" spans="1:6" ht="27.75" customHeight="1">
      <c r="B251" s="4"/>
      <c r="F251" s="4"/>
    </row>
    <row r="252" spans="1:6" ht="27.75" customHeight="1">
      <c r="B252" s="4"/>
      <c r="F252" s="4"/>
    </row>
    <row r="253" spans="1:6" ht="27.75" customHeight="1">
      <c r="B253" s="4"/>
      <c r="F253" s="4"/>
    </row>
    <row r="254" spans="1:6" ht="27.75" customHeight="1">
      <c r="B254" s="4"/>
      <c r="F254" s="4"/>
    </row>
    <row r="255" spans="1:6" ht="27.75" customHeight="1">
      <c r="B255" s="4"/>
      <c r="F255" s="4"/>
    </row>
    <row r="256" spans="1:6" ht="27.75" customHeight="1">
      <c r="B256" s="4"/>
      <c r="F256" s="4"/>
    </row>
    <row r="257" spans="2:6" ht="27.75" customHeight="1">
      <c r="B257" s="4"/>
      <c r="F257" s="4"/>
    </row>
    <row r="258" spans="2:6" ht="27.75" customHeight="1">
      <c r="B258" s="4"/>
      <c r="F258" s="4"/>
    </row>
    <row r="259" spans="2:6" ht="27.75" customHeight="1">
      <c r="B259" s="4"/>
      <c r="F259" s="4"/>
    </row>
    <row r="271" spans="2:6" ht="27.75" customHeight="1">
      <c r="B271" s="4"/>
      <c r="F271" s="4"/>
    </row>
    <row r="272" spans="2:6" ht="27.75" customHeight="1">
      <c r="B272" s="4"/>
      <c r="F272" s="4"/>
    </row>
    <row r="273" spans="2:6" ht="27.75" customHeight="1">
      <c r="B273" s="4"/>
      <c r="F273" s="4"/>
    </row>
    <row r="274" spans="2:6" ht="27.75" customHeight="1">
      <c r="B274" s="4"/>
      <c r="F274" s="4"/>
    </row>
    <row r="275" spans="2:6" ht="27.75" customHeight="1">
      <c r="B275" s="4"/>
      <c r="F275" s="4"/>
    </row>
    <row r="276" spans="2:6" ht="27.75" customHeight="1">
      <c r="B276" s="4"/>
      <c r="F276" s="4"/>
    </row>
    <row r="277" spans="2:6" ht="27.75" customHeight="1">
      <c r="B277" s="4"/>
      <c r="F277" s="4"/>
    </row>
    <row r="278" spans="2:6" ht="27.75" customHeight="1">
      <c r="B278" s="4"/>
      <c r="F278" s="4"/>
    </row>
    <row r="279" spans="2:6" ht="27.75" customHeight="1">
      <c r="B279" s="4"/>
      <c r="F279" s="4"/>
    </row>
    <row r="280" spans="2:6" ht="27.75" customHeight="1">
      <c r="B280" s="4"/>
      <c r="F280" s="4"/>
    </row>
    <row r="281" spans="2:6" ht="27.75" customHeight="1">
      <c r="B281" s="4"/>
      <c r="F281" s="4"/>
    </row>
    <row r="282" spans="2:6" ht="27.75" customHeight="1">
      <c r="B282" s="4"/>
      <c r="F282" s="4"/>
    </row>
    <row r="283" spans="2:6" ht="27.75" customHeight="1">
      <c r="B283" s="4"/>
      <c r="F283" s="4"/>
    </row>
  </sheetData>
  <mergeCells count="8">
    <mergeCell ref="A5:A6"/>
    <mergeCell ref="B5:B6"/>
    <mergeCell ref="C5:C6"/>
    <mergeCell ref="A1:F1"/>
    <mergeCell ref="A2:F2"/>
    <mergeCell ref="A3:F3"/>
    <mergeCell ref="E5:E6"/>
    <mergeCell ref="F5:F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3F0B4-71E9-4FBB-8BF7-9F166B094CEB}">
  <sheetPr>
    <tabColor rgb="FFFFFF00"/>
  </sheetPr>
  <dimension ref="A1:Q153"/>
  <sheetViews>
    <sheetView zoomScale="60" zoomScaleNormal="60" workbookViewId="0">
      <pane ySplit="6" topLeftCell="A48" activePane="bottomLeft" state="frozen"/>
      <selection pane="bottomLeft" activeCell="W91" sqref="W91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6.88671875" style="552" customWidth="1"/>
    <col min="5" max="5" width="20" style="372" customWidth="1"/>
    <col min="6" max="6" width="9.109375" style="2" customWidth="1"/>
    <col min="7" max="7" width="23.6640625" style="507" customWidth="1"/>
    <col min="8" max="8" width="5.33203125" style="2" hidden="1" customWidth="1"/>
    <col min="9" max="9" width="9" style="508" hidden="1" customWidth="1"/>
    <col min="10" max="10" width="9.6640625" style="508" hidden="1" customWidth="1"/>
    <col min="11" max="11" width="10.88671875" style="512" hidden="1" customWidth="1"/>
    <col min="12" max="12" width="24.5546875" style="512" hidden="1" customWidth="1"/>
    <col min="13" max="14" width="8.88671875" style="4" hidden="1" customWidth="1"/>
    <col min="15" max="15" width="8.88671875" style="4"/>
    <col min="16" max="16" width="23.77734375" style="552" customWidth="1"/>
    <col min="17" max="16384" width="8.88671875" style="4"/>
  </cols>
  <sheetData>
    <row r="1" spans="1:16" ht="28.5" customHeight="1">
      <c r="A1" s="653" t="s">
        <v>0</v>
      </c>
      <c r="B1" s="653"/>
      <c r="C1" s="653"/>
      <c r="D1" s="653"/>
      <c r="E1" s="653"/>
      <c r="F1" s="653"/>
      <c r="G1" s="653"/>
      <c r="I1" s="3"/>
      <c r="J1" s="3"/>
      <c r="K1" s="1"/>
      <c r="L1" s="1"/>
    </row>
    <row r="2" spans="1:16" ht="23.25" customHeight="1">
      <c r="A2" s="653" t="s">
        <v>1</v>
      </c>
      <c r="B2" s="653"/>
      <c r="C2" s="653"/>
      <c r="D2" s="653"/>
      <c r="E2" s="653"/>
      <c r="F2" s="653"/>
      <c r="G2" s="653"/>
      <c r="H2" s="5"/>
      <c r="I2" s="3"/>
      <c r="J2" s="3"/>
      <c r="K2" s="1"/>
      <c r="L2" s="1"/>
    </row>
    <row r="3" spans="1:16" ht="28.5" customHeight="1">
      <c r="A3" s="654" t="s">
        <v>709</v>
      </c>
      <c r="B3" s="654"/>
      <c r="C3" s="654"/>
      <c r="D3" s="654"/>
      <c r="E3" s="654"/>
      <c r="F3" s="654"/>
      <c r="G3" s="654"/>
      <c r="I3" s="3"/>
      <c r="J3" s="3"/>
      <c r="K3" s="6"/>
      <c r="L3" s="6"/>
    </row>
    <row r="4" spans="1:16" ht="27.75" customHeight="1">
      <c r="A4" s="7"/>
      <c r="B4" s="8"/>
      <c r="C4" s="9"/>
      <c r="D4" s="522"/>
      <c r="E4" s="655" t="s">
        <v>5</v>
      </c>
      <c r="F4" s="656"/>
      <c r="G4" s="657"/>
      <c r="H4" s="658" t="s">
        <v>6</v>
      </c>
      <c r="I4" s="671" t="s">
        <v>7</v>
      </c>
      <c r="J4" s="671" t="s">
        <v>8</v>
      </c>
      <c r="K4" s="661" t="s">
        <v>9</v>
      </c>
      <c r="L4" s="661" t="s">
        <v>10</v>
      </c>
    </row>
    <row r="5" spans="1:16" ht="27.75" customHeight="1">
      <c r="A5" s="664" t="s">
        <v>11</v>
      </c>
      <c r="B5" s="666" t="s">
        <v>12</v>
      </c>
      <c r="C5" s="666" t="s">
        <v>13</v>
      </c>
      <c r="D5" s="523" t="s">
        <v>557</v>
      </c>
      <c r="E5" s="664" t="s">
        <v>15</v>
      </c>
      <c r="F5" s="669" t="s">
        <v>16</v>
      </c>
      <c r="G5" s="514"/>
      <c r="H5" s="659"/>
      <c r="I5" s="672"/>
      <c r="J5" s="672"/>
      <c r="K5" s="662"/>
      <c r="L5" s="662"/>
    </row>
    <row r="6" spans="1:16" ht="27.75" customHeight="1" thickBot="1">
      <c r="A6" s="665"/>
      <c r="B6" s="667"/>
      <c r="C6" s="667"/>
      <c r="D6" s="524"/>
      <c r="E6" s="668"/>
      <c r="F6" s="670"/>
      <c r="G6" s="21" t="s">
        <v>22</v>
      </c>
      <c r="H6" s="660"/>
      <c r="I6" s="673"/>
      <c r="J6" s="673"/>
      <c r="K6" s="663"/>
      <c r="L6" s="663"/>
    </row>
    <row r="7" spans="1:16" ht="27.75" customHeight="1" thickTop="1">
      <c r="A7" s="22"/>
      <c r="B7" s="23" t="s">
        <v>23</v>
      </c>
      <c r="C7" s="24"/>
      <c r="D7" s="525"/>
      <c r="E7" s="32"/>
      <c r="F7" s="33"/>
      <c r="G7" s="35"/>
      <c r="H7" s="36"/>
      <c r="I7" s="37"/>
      <c r="J7" s="37"/>
      <c r="K7" s="38"/>
      <c r="L7" s="38"/>
      <c r="M7" s="38"/>
    </row>
    <row r="8" spans="1:16" s="57" customFormat="1" ht="27.75" customHeight="1">
      <c r="A8" s="39">
        <v>1</v>
      </c>
      <c r="B8" s="40" t="s">
        <v>28</v>
      </c>
      <c r="C8" s="41" t="s">
        <v>29</v>
      </c>
      <c r="D8" s="526">
        <v>4012.5</v>
      </c>
      <c r="E8" s="51"/>
      <c r="F8" s="52"/>
      <c r="G8" s="54"/>
      <c r="H8" s="39"/>
      <c r="I8" s="55"/>
      <c r="J8" s="55"/>
      <c r="K8" s="56"/>
      <c r="L8" s="56"/>
      <c r="P8" s="552"/>
    </row>
    <row r="9" spans="1:16" s="57" customFormat="1" ht="27.75" customHeight="1">
      <c r="A9" s="39">
        <v>2</v>
      </c>
      <c r="B9" s="40" t="s">
        <v>34</v>
      </c>
      <c r="C9" s="41" t="s">
        <v>35</v>
      </c>
      <c r="D9" s="526">
        <v>4012.5</v>
      </c>
      <c r="E9" s="51"/>
      <c r="F9" s="52"/>
      <c r="G9" s="54"/>
      <c r="H9" s="39"/>
      <c r="I9" s="55"/>
      <c r="J9" s="55"/>
      <c r="K9" s="56"/>
      <c r="L9" s="56"/>
      <c r="P9" s="552"/>
    </row>
    <row r="10" spans="1:16" s="57" customFormat="1" ht="27.75" customHeight="1">
      <c r="A10" s="39">
        <v>3</v>
      </c>
      <c r="B10" s="40" t="s">
        <v>34</v>
      </c>
      <c r="C10" s="41" t="s">
        <v>39</v>
      </c>
      <c r="D10" s="526">
        <v>4012.5</v>
      </c>
      <c r="E10" s="51"/>
      <c r="F10" s="52"/>
      <c r="G10" s="54"/>
      <c r="H10" s="39"/>
      <c r="I10" s="55"/>
      <c r="J10" s="55"/>
      <c r="K10" s="56"/>
      <c r="L10" s="56"/>
      <c r="P10" s="552"/>
    </row>
    <row r="11" spans="1:16" s="57" customFormat="1" ht="27.75" customHeight="1">
      <c r="A11" s="39">
        <v>4</v>
      </c>
      <c r="B11" s="40" t="s">
        <v>53</v>
      </c>
      <c r="C11" s="41" t="s">
        <v>54</v>
      </c>
      <c r="D11" s="526">
        <v>4012.5</v>
      </c>
      <c r="E11" s="51"/>
      <c r="F11" s="52"/>
      <c r="G11" s="54"/>
      <c r="H11" s="39"/>
      <c r="I11" s="55"/>
      <c r="J11" s="55"/>
      <c r="K11" s="56"/>
      <c r="L11" s="56"/>
      <c r="P11" s="552"/>
    </row>
    <row r="12" spans="1:16" s="57" customFormat="1" ht="35.25" customHeight="1" thickBot="1">
      <c r="A12" s="67"/>
      <c r="B12" s="68" t="s">
        <v>22</v>
      </c>
      <c r="C12" s="69"/>
      <c r="D12" s="527"/>
      <c r="E12" s="77"/>
      <c r="F12" s="78"/>
      <c r="G12" s="79">
        <v>0</v>
      </c>
      <c r="H12" s="39"/>
      <c r="I12" s="55"/>
      <c r="J12" s="55"/>
      <c r="K12" s="56"/>
      <c r="L12" s="56"/>
      <c r="P12" s="552"/>
    </row>
    <row r="13" spans="1:16" s="91" customFormat="1" ht="27.75" customHeight="1" thickTop="1">
      <c r="A13" s="39">
        <v>1</v>
      </c>
      <c r="B13" s="80" t="s">
        <v>71</v>
      </c>
      <c r="C13" s="81" t="s">
        <v>72</v>
      </c>
      <c r="D13" s="528">
        <v>6687.5</v>
      </c>
      <c r="E13" s="87"/>
      <c r="F13" s="88"/>
      <c r="G13" s="519"/>
      <c r="H13" s="39"/>
      <c r="I13" s="55"/>
      <c r="J13" s="55"/>
      <c r="K13" s="58"/>
      <c r="L13" s="58"/>
      <c r="P13" s="558"/>
    </row>
    <row r="14" spans="1:16" s="57" customFormat="1" ht="27.75" customHeight="1" thickBot="1">
      <c r="A14" s="96"/>
      <c r="B14" s="97" t="s">
        <v>22</v>
      </c>
      <c r="C14" s="98"/>
      <c r="D14" s="530"/>
      <c r="E14" s="106"/>
      <c r="F14" s="107"/>
      <c r="G14" s="109"/>
      <c r="H14" s="39"/>
      <c r="I14" s="55"/>
      <c r="J14" s="55"/>
      <c r="K14" s="56"/>
      <c r="L14" s="56"/>
      <c r="P14" s="552"/>
    </row>
    <row r="15" spans="1:16" ht="27.75" customHeight="1" thickTop="1">
      <c r="A15" s="39">
        <v>1</v>
      </c>
      <c r="B15" s="40" t="s">
        <v>78</v>
      </c>
      <c r="C15" s="81" t="s">
        <v>72</v>
      </c>
      <c r="D15" s="528"/>
      <c r="E15" s="94" t="s">
        <v>634</v>
      </c>
      <c r="F15" s="116">
        <v>1</v>
      </c>
      <c r="G15" s="54">
        <v>6890.7992523364492</v>
      </c>
      <c r="H15" s="39"/>
      <c r="I15" s="55"/>
      <c r="J15" s="55"/>
      <c r="K15" s="56"/>
      <c r="L15" s="56"/>
    </row>
    <row r="16" spans="1:16" ht="27.75" customHeight="1">
      <c r="A16" s="39">
        <v>2</v>
      </c>
      <c r="B16" s="40" t="s">
        <v>82</v>
      </c>
      <c r="C16" s="41" t="s">
        <v>72</v>
      </c>
      <c r="D16" s="529"/>
      <c r="E16" s="94" t="s">
        <v>634</v>
      </c>
      <c r="F16" s="116">
        <v>1</v>
      </c>
      <c r="G16" s="54">
        <v>2456.7181308411214</v>
      </c>
      <c r="H16" s="39"/>
      <c r="I16" s="55"/>
      <c r="J16" s="55"/>
      <c r="K16" s="56"/>
      <c r="L16" s="56"/>
    </row>
    <row r="17" spans="1:16" s="57" customFormat="1" ht="27.75" customHeight="1" thickBot="1">
      <c r="A17" s="96"/>
      <c r="B17" s="97" t="s">
        <v>22</v>
      </c>
      <c r="C17" s="98"/>
      <c r="D17" s="530"/>
      <c r="E17" s="106"/>
      <c r="F17" s="107"/>
      <c r="G17" s="108">
        <v>9347.5181308411193</v>
      </c>
      <c r="H17" s="39"/>
      <c r="I17" s="55"/>
      <c r="J17" s="55"/>
      <c r="K17" s="56"/>
      <c r="L17" s="56"/>
      <c r="P17" s="552">
        <f>SUM(G15:G16)</f>
        <v>9347.5173831775701</v>
      </c>
    </row>
    <row r="18" spans="1:16" ht="27.75" hidden="1" customHeight="1" thickBot="1">
      <c r="A18" s="39">
        <v>1</v>
      </c>
      <c r="B18" s="40" t="s">
        <v>88</v>
      </c>
      <c r="C18" s="41" t="s">
        <v>72</v>
      </c>
      <c r="D18" s="529"/>
      <c r="E18" s="94"/>
      <c r="F18" s="39"/>
      <c r="G18" s="54">
        <v>0</v>
      </c>
      <c r="H18" s="122"/>
      <c r="I18" s="37"/>
      <c r="J18" s="37"/>
      <c r="K18" s="38"/>
      <c r="L18" s="38"/>
    </row>
    <row r="19" spans="1:16" ht="27.75" hidden="1" customHeight="1" thickTop="1">
      <c r="A19" s="39">
        <v>2</v>
      </c>
      <c r="B19" s="40" t="s">
        <v>89</v>
      </c>
      <c r="C19" s="41" t="s">
        <v>72</v>
      </c>
      <c r="D19" s="529"/>
      <c r="E19" s="94"/>
      <c r="F19" s="39"/>
      <c r="G19" s="54">
        <v>0</v>
      </c>
      <c r="H19" s="122"/>
      <c r="I19" s="37"/>
      <c r="J19" s="37"/>
      <c r="K19" s="38"/>
      <c r="L19" s="38"/>
    </row>
    <row r="20" spans="1:16" ht="27.75" hidden="1" customHeight="1" thickTop="1">
      <c r="A20" s="39">
        <v>3</v>
      </c>
      <c r="B20" s="40" t="s">
        <v>90</v>
      </c>
      <c r="C20" s="41" t="s">
        <v>72</v>
      </c>
      <c r="D20" s="529"/>
      <c r="E20" s="94"/>
      <c r="F20" s="39"/>
      <c r="G20" s="54">
        <v>0</v>
      </c>
      <c r="H20" s="122"/>
      <c r="I20" s="37"/>
      <c r="J20" s="37"/>
      <c r="K20" s="38"/>
      <c r="L20" s="38"/>
    </row>
    <row r="21" spans="1:16" ht="27.75" hidden="1" customHeight="1" thickTop="1">
      <c r="A21" s="39">
        <v>4</v>
      </c>
      <c r="B21" s="40" t="s">
        <v>91</v>
      </c>
      <c r="C21" s="41" t="s">
        <v>72</v>
      </c>
      <c r="D21" s="529"/>
      <c r="E21" s="94"/>
      <c r="F21" s="39"/>
      <c r="G21" s="54">
        <v>0</v>
      </c>
      <c r="H21" s="122"/>
      <c r="I21" s="37"/>
      <c r="J21" s="37"/>
      <c r="K21" s="38"/>
      <c r="L21" s="38"/>
    </row>
    <row r="22" spans="1:16" ht="27.75" hidden="1" customHeight="1" thickTop="1">
      <c r="A22" s="39">
        <v>5</v>
      </c>
      <c r="B22" s="40" t="s">
        <v>92</v>
      </c>
      <c r="C22" s="41" t="s">
        <v>72</v>
      </c>
      <c r="D22" s="529"/>
      <c r="E22" s="94"/>
      <c r="F22" s="39"/>
      <c r="G22" s="54">
        <v>0</v>
      </c>
      <c r="H22" s="122"/>
      <c r="I22" s="37"/>
      <c r="J22" s="37"/>
      <c r="K22" s="38"/>
      <c r="L22" s="38"/>
    </row>
    <row r="23" spans="1:16" ht="27.75" hidden="1" customHeight="1" thickTop="1">
      <c r="A23" s="39">
        <v>6</v>
      </c>
      <c r="B23" s="123" t="s">
        <v>93</v>
      </c>
      <c r="C23" s="41" t="s">
        <v>72</v>
      </c>
      <c r="D23" s="529"/>
      <c r="E23" s="94"/>
      <c r="F23" s="39"/>
      <c r="G23" s="54">
        <v>0</v>
      </c>
      <c r="H23" s="122"/>
      <c r="I23" s="37"/>
      <c r="J23" s="37"/>
      <c r="K23" s="38"/>
      <c r="L23" s="38"/>
    </row>
    <row r="24" spans="1:16" ht="27.75" hidden="1" customHeight="1" thickTop="1">
      <c r="A24" s="39">
        <v>7</v>
      </c>
      <c r="B24" s="40" t="s">
        <v>94</v>
      </c>
      <c r="C24" s="41" t="s">
        <v>72</v>
      </c>
      <c r="D24" s="529"/>
      <c r="E24" s="94"/>
      <c r="F24" s="39"/>
      <c r="G24" s="54">
        <v>0</v>
      </c>
      <c r="H24" s="122"/>
      <c r="I24" s="37"/>
      <c r="J24" s="37"/>
      <c r="K24" s="38"/>
      <c r="L24" s="38"/>
    </row>
    <row r="25" spans="1:16" ht="27.75" hidden="1" customHeight="1" thickTop="1">
      <c r="A25" s="39">
        <v>8</v>
      </c>
      <c r="B25" s="40" t="s">
        <v>95</v>
      </c>
      <c r="C25" s="41" t="s">
        <v>72</v>
      </c>
      <c r="D25" s="529"/>
      <c r="E25" s="94"/>
      <c r="F25" s="39"/>
      <c r="G25" s="54">
        <v>0</v>
      </c>
      <c r="H25" s="122"/>
      <c r="I25" s="37"/>
      <c r="J25" s="37"/>
      <c r="K25" s="38"/>
      <c r="L25" s="38"/>
    </row>
    <row r="26" spans="1:16" ht="27.75" hidden="1" customHeight="1" thickTop="1">
      <c r="A26" s="39">
        <v>9</v>
      </c>
      <c r="B26" s="40" t="s">
        <v>96</v>
      </c>
      <c r="C26" s="41" t="s">
        <v>72</v>
      </c>
      <c r="D26" s="529"/>
      <c r="E26" s="94"/>
      <c r="F26" s="39"/>
      <c r="G26" s="54">
        <v>0</v>
      </c>
      <c r="H26" s="122"/>
      <c r="I26" s="37"/>
      <c r="J26" s="37"/>
      <c r="K26" s="38"/>
      <c r="L26" s="38"/>
    </row>
    <row r="27" spans="1:16" ht="27.75" hidden="1" customHeight="1" thickTop="1">
      <c r="A27" s="39">
        <v>10</v>
      </c>
      <c r="B27" s="40" t="s">
        <v>97</v>
      </c>
      <c r="C27" s="41" t="s">
        <v>72</v>
      </c>
      <c r="D27" s="529"/>
      <c r="E27" s="94"/>
      <c r="F27" s="39"/>
      <c r="G27" s="54">
        <v>0</v>
      </c>
      <c r="H27" s="122"/>
      <c r="I27" s="37"/>
      <c r="J27" s="37"/>
      <c r="K27" s="38"/>
      <c r="L27" s="38"/>
    </row>
    <row r="28" spans="1:16" ht="27.75" hidden="1" customHeight="1" thickTop="1">
      <c r="A28" s="39">
        <v>11</v>
      </c>
      <c r="B28" s="40" t="s">
        <v>98</v>
      </c>
      <c r="C28" s="41" t="s">
        <v>72</v>
      </c>
      <c r="D28" s="529"/>
      <c r="E28" s="94"/>
      <c r="F28" s="39"/>
      <c r="G28" s="54">
        <v>0</v>
      </c>
      <c r="H28" s="122"/>
      <c r="I28" s="37"/>
      <c r="J28" s="37"/>
      <c r="K28" s="38"/>
      <c r="L28" s="38"/>
    </row>
    <row r="29" spans="1:16" ht="27.75" hidden="1" customHeight="1" thickTop="1">
      <c r="A29" s="39">
        <v>12</v>
      </c>
      <c r="B29" s="40" t="s">
        <v>99</v>
      </c>
      <c r="C29" s="41" t="s">
        <v>72</v>
      </c>
      <c r="D29" s="529"/>
      <c r="E29" s="94"/>
      <c r="F29" s="39"/>
      <c r="G29" s="54">
        <v>0</v>
      </c>
      <c r="H29" s="122"/>
      <c r="I29" s="37"/>
      <c r="J29" s="37"/>
      <c r="K29" s="38"/>
      <c r="L29" s="38"/>
    </row>
    <row r="30" spans="1:16" ht="27.75" hidden="1" customHeight="1" thickTop="1">
      <c r="A30" s="39"/>
      <c r="B30" s="123"/>
      <c r="C30" s="41"/>
      <c r="D30" s="528"/>
      <c r="E30" s="83"/>
      <c r="F30" s="130"/>
      <c r="G30" s="54">
        <v>0</v>
      </c>
      <c r="H30" s="122"/>
      <c r="I30" s="37"/>
      <c r="J30" s="37"/>
      <c r="K30" s="38"/>
      <c r="L30" s="38"/>
    </row>
    <row r="31" spans="1:16" ht="27.75" hidden="1" customHeight="1" thickTop="1">
      <c r="A31" s="22"/>
      <c r="B31" s="131" t="s">
        <v>22</v>
      </c>
      <c r="C31" s="132"/>
      <c r="D31" s="531"/>
      <c r="E31" s="139"/>
      <c r="F31" s="133"/>
      <c r="G31" s="136">
        <v>0</v>
      </c>
      <c r="H31" s="36"/>
      <c r="I31" s="37"/>
      <c r="J31" s="37"/>
      <c r="K31" s="38"/>
      <c r="L31" s="38"/>
      <c r="M31" s="38"/>
    </row>
    <row r="32" spans="1:16" ht="27.75" customHeight="1" thickTop="1">
      <c r="A32" s="22"/>
      <c r="B32" s="23" t="s">
        <v>100</v>
      </c>
      <c r="C32" s="24"/>
      <c r="D32" s="525"/>
      <c r="E32" s="32"/>
      <c r="F32" s="33"/>
      <c r="G32" s="35"/>
      <c r="H32" s="36"/>
      <c r="I32" s="37"/>
      <c r="J32" s="37"/>
      <c r="K32" s="38"/>
      <c r="L32" s="38"/>
      <c r="M32" s="38"/>
    </row>
    <row r="33" spans="1:16" s="57" customFormat="1" ht="27.75" customHeight="1">
      <c r="A33" s="22">
        <v>1</v>
      </c>
      <c r="B33" s="150" t="s">
        <v>104</v>
      </c>
      <c r="C33" s="140" t="s">
        <v>102</v>
      </c>
      <c r="D33" s="529">
        <v>321</v>
      </c>
      <c r="E33" s="94"/>
      <c r="F33" s="39"/>
      <c r="G33" s="47"/>
      <c r="H33" s="146"/>
      <c r="I33" s="148"/>
      <c r="J33" s="148"/>
      <c r="K33" s="149"/>
      <c r="L33" s="149"/>
      <c r="P33" s="552"/>
    </row>
    <row r="34" spans="1:16" s="169" customFormat="1" ht="27.75" customHeight="1">
      <c r="A34" s="152">
        <v>2</v>
      </c>
      <c r="B34" s="153" t="s">
        <v>106</v>
      </c>
      <c r="C34" s="154" t="s">
        <v>102</v>
      </c>
      <c r="D34" s="532">
        <v>1123.5</v>
      </c>
      <c r="E34" s="163"/>
      <c r="F34" s="164"/>
      <c r="G34" s="159"/>
      <c r="H34" s="166"/>
      <c r="I34" s="167"/>
      <c r="J34" s="167"/>
      <c r="K34" s="168"/>
      <c r="L34" s="168"/>
      <c r="P34" s="559"/>
    </row>
    <row r="35" spans="1:16" s="57" customFormat="1" ht="27.75" customHeight="1">
      <c r="A35" s="22">
        <v>3</v>
      </c>
      <c r="B35" s="40" t="s">
        <v>123</v>
      </c>
      <c r="C35" s="140" t="s">
        <v>102</v>
      </c>
      <c r="D35" s="529">
        <v>802.5</v>
      </c>
      <c r="E35" s="145"/>
      <c r="F35" s="146"/>
      <c r="G35" s="47"/>
      <c r="H35" s="146"/>
      <c r="I35" s="148"/>
      <c r="J35" s="148"/>
      <c r="K35" s="149"/>
      <c r="L35" s="149"/>
      <c r="P35" s="552"/>
    </row>
    <row r="36" spans="1:16" s="57" customFormat="1" ht="27.75" customHeight="1">
      <c r="A36" s="22">
        <v>4</v>
      </c>
      <c r="B36" s="40" t="s">
        <v>126</v>
      </c>
      <c r="C36" s="140" t="s">
        <v>102</v>
      </c>
      <c r="D36" s="529">
        <v>642</v>
      </c>
      <c r="E36" s="145"/>
      <c r="F36" s="146"/>
      <c r="G36" s="47"/>
      <c r="H36" s="146"/>
      <c r="I36" s="148"/>
      <c r="J36" s="148"/>
      <c r="K36" s="149"/>
      <c r="L36" s="149"/>
      <c r="P36" s="552"/>
    </row>
    <row r="37" spans="1:16" s="57" customFormat="1" ht="27.75" customHeight="1">
      <c r="A37" s="22">
        <v>5</v>
      </c>
      <c r="B37" s="40" t="s">
        <v>130</v>
      </c>
      <c r="C37" s="140" t="s">
        <v>102</v>
      </c>
      <c r="D37" s="529"/>
      <c r="E37" s="145" t="s">
        <v>634</v>
      </c>
      <c r="F37" s="146">
        <v>1</v>
      </c>
      <c r="G37" s="47">
        <v>160.5</v>
      </c>
      <c r="H37" s="146"/>
      <c r="I37" s="148"/>
      <c r="J37" s="148"/>
      <c r="K37" s="149"/>
      <c r="L37" s="149"/>
      <c r="P37" s="552"/>
    </row>
    <row r="38" spans="1:16" s="57" customFormat="1" ht="27.75" customHeight="1">
      <c r="A38" s="22">
        <v>6</v>
      </c>
      <c r="B38" s="170" t="s">
        <v>158</v>
      </c>
      <c r="C38" s="140" t="s">
        <v>102</v>
      </c>
      <c r="D38" s="533">
        <v>2606</v>
      </c>
      <c r="E38" s="171"/>
      <c r="F38" s="172"/>
      <c r="G38" s="47"/>
      <c r="H38" s="146"/>
      <c r="I38" s="148"/>
      <c r="J38" s="148"/>
      <c r="K38" s="149"/>
      <c r="L38" s="149"/>
      <c r="P38" s="552"/>
    </row>
    <row r="39" spans="1:16" ht="27.75" customHeight="1" thickBot="1">
      <c r="A39" s="193"/>
      <c r="B39" s="194" t="s">
        <v>22</v>
      </c>
      <c r="C39" s="195"/>
      <c r="D39" s="535"/>
      <c r="E39" s="200"/>
      <c r="F39" s="196"/>
      <c r="G39" s="198">
        <v>160.5</v>
      </c>
      <c r="H39" s="36"/>
      <c r="I39" s="37"/>
      <c r="J39" s="37"/>
      <c r="K39" s="38"/>
      <c r="L39" s="38"/>
      <c r="M39" s="38"/>
      <c r="P39" s="552">
        <f>SUM(G37)</f>
        <v>160.5</v>
      </c>
    </row>
    <row r="40" spans="1:16" ht="27.75" customHeight="1" thickTop="1">
      <c r="A40" s="22"/>
      <c r="B40" s="23" t="s">
        <v>179</v>
      </c>
      <c r="C40" s="24"/>
      <c r="D40" s="525"/>
      <c r="E40" s="32"/>
      <c r="F40" s="33"/>
      <c r="G40" s="35"/>
      <c r="H40" s="36"/>
      <c r="I40" s="37"/>
      <c r="J40" s="37"/>
      <c r="K40" s="38"/>
      <c r="L40" s="38"/>
      <c r="M40" s="38"/>
    </row>
    <row r="41" spans="1:16" ht="27.75" customHeight="1">
      <c r="A41" s="94">
        <v>1</v>
      </c>
      <c r="B41" s="40" t="s">
        <v>180</v>
      </c>
      <c r="C41" s="41" t="s">
        <v>181</v>
      </c>
      <c r="D41" s="528"/>
      <c r="E41" s="83" t="s">
        <v>522</v>
      </c>
      <c r="F41" s="39">
        <v>1</v>
      </c>
      <c r="G41" s="47">
        <v>1444.5</v>
      </c>
      <c r="H41" s="116"/>
      <c r="I41" s="203"/>
      <c r="J41" s="203"/>
      <c r="K41" s="204"/>
      <c r="L41" s="204"/>
    </row>
    <row r="42" spans="1:16" s="220" customFormat="1" ht="27.75" customHeight="1">
      <c r="A42" s="186">
        <v>2</v>
      </c>
      <c r="B42" s="208" t="s">
        <v>71</v>
      </c>
      <c r="C42" s="209" t="s">
        <v>181</v>
      </c>
      <c r="D42" s="536">
        <v>1337.5</v>
      </c>
      <c r="E42" s="216"/>
      <c r="F42" s="217"/>
      <c r="G42" s="47"/>
      <c r="H42" s="217"/>
      <c r="I42" s="218"/>
      <c r="J42" s="218"/>
      <c r="K42" s="219"/>
      <c r="L42" s="219"/>
      <c r="P42" s="560"/>
    </row>
    <row r="43" spans="1:16" ht="27.75" customHeight="1" thickBot="1">
      <c r="A43" s="193"/>
      <c r="B43" s="194" t="s">
        <v>22</v>
      </c>
      <c r="C43" s="195"/>
      <c r="D43" s="535"/>
      <c r="E43" s="200"/>
      <c r="F43" s="196"/>
      <c r="G43" s="198">
        <v>1444.5</v>
      </c>
      <c r="H43" s="36"/>
      <c r="I43" s="37"/>
      <c r="J43" s="37"/>
      <c r="K43" s="38"/>
      <c r="L43" s="38"/>
      <c r="M43" s="38"/>
      <c r="P43" s="552">
        <f>SUM(G41)</f>
        <v>1444.5</v>
      </c>
    </row>
    <row r="44" spans="1:16" ht="27.75" customHeight="1" thickTop="1">
      <c r="A44" s="22"/>
      <c r="B44" s="23" t="s">
        <v>196</v>
      </c>
      <c r="C44" s="24"/>
      <c r="D44" s="525"/>
      <c r="E44" s="32"/>
      <c r="F44" s="33"/>
      <c r="G44" s="35"/>
      <c r="H44" s="36"/>
      <c r="I44" s="37"/>
      <c r="J44" s="37"/>
      <c r="K44" s="38"/>
      <c r="L44" s="38"/>
      <c r="M44" s="38"/>
    </row>
    <row r="45" spans="1:16" s="226" customFormat="1" ht="27.75" customHeight="1">
      <c r="A45" s="94">
        <v>1</v>
      </c>
      <c r="B45" s="41" t="s">
        <v>252</v>
      </c>
      <c r="C45" s="224" t="s">
        <v>253</v>
      </c>
      <c r="D45" s="528"/>
      <c r="E45" s="83" t="s">
        <v>634</v>
      </c>
      <c r="F45" s="116">
        <v>1</v>
      </c>
      <c r="G45" s="47">
        <v>6420</v>
      </c>
      <c r="H45" s="39"/>
      <c r="I45" s="55"/>
      <c r="J45" s="55"/>
      <c r="K45" s="56"/>
      <c r="L45" s="56"/>
      <c r="P45" s="552"/>
    </row>
    <row r="46" spans="1:16" s="226" customFormat="1" ht="27.75" customHeight="1">
      <c r="A46" s="94">
        <v>2</v>
      </c>
      <c r="B46" s="41" t="s">
        <v>254</v>
      </c>
      <c r="C46" s="224" t="s">
        <v>255</v>
      </c>
      <c r="D46" s="528"/>
      <c r="E46" s="83" t="s">
        <v>634</v>
      </c>
      <c r="F46" s="116">
        <v>0.93457943925233611</v>
      </c>
      <c r="G46" s="47">
        <v>9630</v>
      </c>
      <c r="H46" s="39"/>
      <c r="I46" s="55"/>
      <c r="J46" s="55"/>
      <c r="K46" s="56"/>
      <c r="L46" s="56"/>
      <c r="P46" s="552"/>
    </row>
    <row r="47" spans="1:16" s="226" customFormat="1" ht="27.75" customHeight="1">
      <c r="A47" s="94">
        <v>3</v>
      </c>
      <c r="B47" s="266" t="s">
        <v>264</v>
      </c>
      <c r="C47" s="224" t="s">
        <v>199</v>
      </c>
      <c r="D47" s="528"/>
      <c r="E47" s="83" t="s">
        <v>634</v>
      </c>
      <c r="F47" s="116">
        <v>0.934579439252336</v>
      </c>
      <c r="G47" s="47">
        <v>6420</v>
      </c>
      <c r="H47" s="39"/>
      <c r="I47" s="55"/>
      <c r="J47" s="55"/>
      <c r="K47" s="56"/>
      <c r="L47" s="56"/>
      <c r="P47" s="552"/>
    </row>
    <row r="48" spans="1:16" s="226" customFormat="1" ht="27.75" customHeight="1">
      <c r="A48" s="94">
        <v>4</v>
      </c>
      <c r="B48" s="81" t="s">
        <v>267</v>
      </c>
      <c r="C48" s="224" t="s">
        <v>268</v>
      </c>
      <c r="D48" s="528"/>
      <c r="E48" s="83" t="s">
        <v>634</v>
      </c>
      <c r="F48" s="116">
        <v>0.93457943925233578</v>
      </c>
      <c r="G48" s="47">
        <v>6420</v>
      </c>
      <c r="H48" s="39"/>
      <c r="I48" s="55"/>
      <c r="J48" s="55"/>
      <c r="K48" s="56"/>
      <c r="L48" s="56"/>
      <c r="P48" s="552"/>
    </row>
    <row r="49" spans="1:16" ht="27.75" customHeight="1" thickBot="1">
      <c r="A49" s="22"/>
      <c r="B49" s="194" t="s">
        <v>22</v>
      </c>
      <c r="C49" s="195"/>
      <c r="D49" s="535"/>
      <c r="E49" s="200"/>
      <c r="F49" s="196"/>
      <c r="G49" s="196">
        <v>28890</v>
      </c>
      <c r="H49" s="36"/>
      <c r="I49" s="37"/>
      <c r="J49" s="37"/>
      <c r="K49" s="38"/>
      <c r="L49" s="38"/>
      <c r="M49" s="38"/>
      <c r="P49" s="552">
        <f>SUM(G45:G48)</f>
        <v>28890</v>
      </c>
    </row>
    <row r="50" spans="1:16" ht="27.75" customHeight="1" thickTop="1">
      <c r="A50" s="22"/>
      <c r="B50" s="23" t="s">
        <v>292</v>
      </c>
      <c r="C50" s="24"/>
      <c r="D50" s="525"/>
      <c r="E50" s="32"/>
      <c r="F50" s="33"/>
      <c r="G50" s="35"/>
      <c r="H50" s="36"/>
      <c r="I50" s="37"/>
      <c r="J50" s="37"/>
      <c r="K50" s="38"/>
      <c r="L50" s="38"/>
      <c r="M50" s="38"/>
    </row>
    <row r="51" spans="1:16" ht="27.75" customHeight="1">
      <c r="A51" s="316">
        <v>1</v>
      </c>
      <c r="B51" s="280" t="s">
        <v>294</v>
      </c>
      <c r="C51" s="280" t="s">
        <v>255</v>
      </c>
      <c r="D51" s="526"/>
      <c r="E51" s="320" t="s">
        <v>634</v>
      </c>
      <c r="F51" s="39">
        <v>1</v>
      </c>
      <c r="G51" s="66">
        <v>32.1</v>
      </c>
      <c r="H51" s="36"/>
      <c r="I51" s="37"/>
      <c r="J51" s="37"/>
      <c r="K51" s="38"/>
      <c r="L51" s="38"/>
      <c r="M51" s="38"/>
    </row>
    <row r="52" spans="1:16" ht="27.75" customHeight="1">
      <c r="A52" s="22">
        <v>2</v>
      </c>
      <c r="B52" s="270" t="s">
        <v>298</v>
      </c>
      <c r="C52" s="270" t="s">
        <v>199</v>
      </c>
      <c r="D52" s="526"/>
      <c r="E52" s="327" t="s">
        <v>634</v>
      </c>
      <c r="F52" s="251">
        <v>1</v>
      </c>
      <c r="G52" s="66">
        <v>42.8</v>
      </c>
      <c r="H52" s="36"/>
      <c r="I52" s="37"/>
      <c r="J52" s="37"/>
      <c r="K52" s="38"/>
      <c r="L52" s="38"/>
      <c r="M52" s="38"/>
    </row>
    <row r="53" spans="1:16" ht="27.75" customHeight="1" thickBot="1">
      <c r="A53" s="193"/>
      <c r="B53" s="194"/>
      <c r="C53" s="195"/>
      <c r="D53" s="535"/>
      <c r="E53" s="200"/>
      <c r="F53" s="196"/>
      <c r="G53" s="198">
        <v>74.900000000000006</v>
      </c>
      <c r="H53" s="36"/>
      <c r="I53" s="37"/>
      <c r="J53" s="37"/>
      <c r="K53" s="38"/>
      <c r="L53" s="38"/>
      <c r="M53" s="38"/>
      <c r="P53" s="552">
        <f>SUM(G51:G52)</f>
        <v>74.900000000000006</v>
      </c>
    </row>
    <row r="54" spans="1:16" ht="27.75" customHeight="1" thickTop="1">
      <c r="A54" s="22"/>
      <c r="B54" s="288" t="s">
        <v>304</v>
      </c>
      <c r="C54" s="289"/>
      <c r="D54" s="538"/>
      <c r="E54" s="94"/>
      <c r="F54" s="39"/>
      <c r="G54" s="294"/>
      <c r="H54" s="36"/>
      <c r="I54" s="37"/>
      <c r="J54" s="37"/>
      <c r="K54" s="38"/>
      <c r="L54" s="38"/>
      <c r="M54" s="38"/>
    </row>
    <row r="55" spans="1:16" ht="27.75" customHeight="1">
      <c r="A55" s="186">
        <v>2</v>
      </c>
      <c r="B55" s="205" t="s">
        <v>28</v>
      </c>
      <c r="C55" s="346" t="s">
        <v>311</v>
      </c>
      <c r="D55" s="540">
        <v>1410</v>
      </c>
      <c r="E55" s="94"/>
      <c r="F55" s="116"/>
      <c r="G55" s="47"/>
      <c r="H55" s="348" t="s">
        <v>195</v>
      </c>
      <c r="I55" s="299" t="s">
        <v>307</v>
      </c>
      <c r="J55" s="299" t="s">
        <v>308</v>
      </c>
      <c r="K55" s="56">
        <v>36600</v>
      </c>
      <c r="L55" s="349" t="s">
        <v>313</v>
      </c>
      <c r="M55" s="4" t="s">
        <v>314</v>
      </c>
      <c r="N55" s="295" t="s">
        <v>289</v>
      </c>
    </row>
    <row r="56" spans="1:16" ht="27.75" customHeight="1">
      <c r="A56" s="186">
        <v>3</v>
      </c>
      <c r="B56" s="205" t="s">
        <v>28</v>
      </c>
      <c r="C56" s="346" t="s">
        <v>315</v>
      </c>
      <c r="D56" s="540">
        <v>1410</v>
      </c>
      <c r="E56" s="94"/>
      <c r="F56" s="116"/>
      <c r="G56" s="47"/>
      <c r="H56" s="348"/>
      <c r="I56" s="299"/>
      <c r="J56" s="299"/>
      <c r="K56" s="56"/>
      <c r="L56" s="349"/>
      <c r="N56" s="295"/>
    </row>
    <row r="57" spans="1:16" ht="27.75" customHeight="1">
      <c r="A57" s="186">
        <v>7</v>
      </c>
      <c r="B57" s="205" t="s">
        <v>28</v>
      </c>
      <c r="C57" s="346" t="s">
        <v>320</v>
      </c>
      <c r="D57" s="540">
        <v>1410</v>
      </c>
      <c r="E57" s="94"/>
      <c r="F57" s="116"/>
      <c r="G57" s="47"/>
      <c r="H57" s="348"/>
      <c r="I57" s="299"/>
      <c r="J57" s="299"/>
      <c r="K57" s="56"/>
      <c r="L57" s="349"/>
      <c r="M57" s="295"/>
    </row>
    <row r="58" spans="1:16" ht="27.75" customHeight="1">
      <c r="A58" s="186">
        <v>8</v>
      </c>
      <c r="B58" s="205" t="s">
        <v>28</v>
      </c>
      <c r="C58" s="346" t="s">
        <v>321</v>
      </c>
      <c r="D58" s="540">
        <v>1410</v>
      </c>
      <c r="E58" s="94"/>
      <c r="F58" s="116"/>
      <c r="G58" s="47"/>
      <c r="H58" s="348"/>
      <c r="I58" s="299"/>
      <c r="J58" s="299"/>
      <c r="K58" s="56"/>
      <c r="L58" s="349"/>
      <c r="M58" s="295"/>
    </row>
    <row r="59" spans="1:16" ht="27.75" customHeight="1">
      <c r="A59" s="186">
        <v>9</v>
      </c>
      <c r="B59" s="205" t="s">
        <v>28</v>
      </c>
      <c r="C59" s="346" t="s">
        <v>322</v>
      </c>
      <c r="D59" s="540">
        <v>1410</v>
      </c>
      <c r="E59" s="94"/>
      <c r="F59" s="116"/>
      <c r="G59" s="47"/>
      <c r="H59" s="348"/>
      <c r="I59" s="299"/>
      <c r="J59" s="299"/>
      <c r="K59" s="56"/>
      <c r="L59" s="349"/>
      <c r="M59" s="295"/>
    </row>
    <row r="60" spans="1:16" ht="27.75" customHeight="1">
      <c r="A60" s="186">
        <v>10</v>
      </c>
      <c r="B60" s="205" t="s">
        <v>28</v>
      </c>
      <c r="C60" s="346" t="s">
        <v>323</v>
      </c>
      <c r="D60" s="540">
        <v>1410</v>
      </c>
      <c r="E60" s="94"/>
      <c r="F60" s="116"/>
      <c r="G60" s="47"/>
      <c r="H60" s="348"/>
      <c r="I60" s="299"/>
      <c r="J60" s="299"/>
      <c r="K60" s="56"/>
      <c r="L60" s="349"/>
      <c r="M60" s="295"/>
    </row>
    <row r="61" spans="1:16" ht="27.75" customHeight="1">
      <c r="A61" s="186">
        <v>11</v>
      </c>
      <c r="B61" s="205" t="s">
        <v>28</v>
      </c>
      <c r="C61" s="346" t="s">
        <v>324</v>
      </c>
      <c r="D61" s="540">
        <v>1410</v>
      </c>
      <c r="E61" s="94"/>
      <c r="F61" s="116"/>
      <c r="G61" s="47"/>
      <c r="H61" s="348"/>
      <c r="I61" s="299"/>
      <c r="J61" s="299"/>
      <c r="K61" s="56"/>
      <c r="L61" s="349"/>
      <c r="M61" s="295"/>
    </row>
    <row r="62" spans="1:16" ht="27.75" customHeight="1">
      <c r="A62" s="186">
        <v>16</v>
      </c>
      <c r="B62" s="205" t="s">
        <v>28</v>
      </c>
      <c r="C62" s="346" t="s">
        <v>333</v>
      </c>
      <c r="D62" s="540">
        <v>1410</v>
      </c>
      <c r="E62" s="94"/>
      <c r="F62" s="116"/>
      <c r="G62" s="47"/>
      <c r="H62" s="348"/>
      <c r="I62" s="299"/>
      <c r="J62" s="299"/>
      <c r="K62" s="56"/>
      <c r="L62" s="349"/>
      <c r="M62" s="295"/>
    </row>
    <row r="63" spans="1:16" ht="27.75" customHeight="1">
      <c r="A63" s="186">
        <v>17</v>
      </c>
      <c r="B63" s="205" t="s">
        <v>28</v>
      </c>
      <c r="C63" s="346" t="s">
        <v>334</v>
      </c>
      <c r="D63" s="540">
        <v>1410</v>
      </c>
      <c r="E63" s="94"/>
      <c r="F63" s="116"/>
      <c r="G63" s="47"/>
      <c r="H63" s="348"/>
      <c r="I63" s="299"/>
      <c r="J63" s="299"/>
      <c r="K63" s="56"/>
      <c r="L63" s="349"/>
      <c r="M63" s="295"/>
    </row>
    <row r="64" spans="1:16" ht="27.75" customHeight="1">
      <c r="A64" s="186">
        <v>18</v>
      </c>
      <c r="B64" s="205" t="s">
        <v>28</v>
      </c>
      <c r="C64" s="346" t="s">
        <v>335</v>
      </c>
      <c r="D64" s="540">
        <v>1410</v>
      </c>
      <c r="E64" s="94"/>
      <c r="F64" s="116"/>
      <c r="G64" s="47"/>
      <c r="H64" s="348"/>
      <c r="I64" s="299"/>
      <c r="J64" s="299"/>
      <c r="K64" s="56"/>
      <c r="L64" s="349"/>
      <c r="M64" s="295"/>
    </row>
    <row r="65" spans="1:17" ht="27.75" customHeight="1">
      <c r="A65" s="186">
        <v>31</v>
      </c>
      <c r="B65" s="40" t="s">
        <v>356</v>
      </c>
      <c r="C65" s="346" t="s">
        <v>357</v>
      </c>
      <c r="D65" s="540">
        <v>1410</v>
      </c>
      <c r="E65" s="94"/>
      <c r="F65" s="116"/>
      <c r="G65" s="47"/>
      <c r="H65" s="39" t="s">
        <v>195</v>
      </c>
      <c r="I65" s="55">
        <v>42217</v>
      </c>
      <c r="J65" s="55">
        <v>43312</v>
      </c>
      <c r="K65" s="56">
        <v>8280</v>
      </c>
      <c r="L65" s="349" t="s">
        <v>359</v>
      </c>
    </row>
    <row r="66" spans="1:17" ht="27.75" customHeight="1">
      <c r="A66" s="186">
        <v>32</v>
      </c>
      <c r="B66" s="40" t="s">
        <v>356</v>
      </c>
      <c r="C66" s="346" t="s">
        <v>360</v>
      </c>
      <c r="D66" s="540">
        <v>1410</v>
      </c>
      <c r="E66" s="94"/>
      <c r="F66" s="116"/>
      <c r="G66" s="47"/>
      <c r="H66" s="39"/>
      <c r="I66" s="55"/>
      <c r="J66" s="55"/>
      <c r="K66" s="56"/>
      <c r="L66" s="349"/>
    </row>
    <row r="67" spans="1:17" ht="27.75" customHeight="1" thickBot="1">
      <c r="A67" s="357"/>
      <c r="B67" s="358"/>
      <c r="C67" s="359"/>
      <c r="D67" s="541"/>
      <c r="E67" s="106"/>
      <c r="F67" s="107"/>
      <c r="G67" s="363">
        <v>0</v>
      </c>
      <c r="H67" s="356"/>
      <c r="I67" s="55"/>
      <c r="J67" s="55"/>
      <c r="K67" s="56"/>
      <c r="L67" s="349"/>
    </row>
    <row r="68" spans="1:17" ht="27.75" customHeight="1" thickTop="1">
      <c r="A68" s="94"/>
      <c r="B68" s="364" t="s">
        <v>395</v>
      </c>
      <c r="C68" s="81"/>
      <c r="D68" s="528"/>
      <c r="E68" s="83"/>
      <c r="F68" s="251"/>
      <c r="G68" s="85"/>
      <c r="H68" s="39"/>
      <c r="I68" s="55"/>
      <c r="J68" s="55"/>
      <c r="K68" s="56"/>
      <c r="L68" s="56"/>
    </row>
    <row r="69" spans="1:17" ht="27.75" customHeight="1">
      <c r="A69" s="94">
        <v>1</v>
      </c>
      <c r="B69" s="366" t="s">
        <v>24</v>
      </c>
      <c r="C69" s="367" t="s">
        <v>403</v>
      </c>
      <c r="D69" s="555">
        <v>15295</v>
      </c>
      <c r="E69" s="94"/>
      <c r="F69" s="116"/>
      <c r="G69" s="368"/>
      <c r="H69" s="348" t="s">
        <v>405</v>
      </c>
      <c r="I69" s="299">
        <v>44562</v>
      </c>
      <c r="J69" s="299" t="s">
        <v>406</v>
      </c>
      <c r="K69" s="149">
        <v>34680</v>
      </c>
      <c r="L69" s="370" t="s">
        <v>407</v>
      </c>
      <c r="M69" s="295" t="s">
        <v>289</v>
      </c>
      <c r="N69" s="4" t="s">
        <v>408</v>
      </c>
    </row>
    <row r="70" spans="1:17" ht="27.75" customHeight="1">
      <c r="A70" s="94">
        <v>2</v>
      </c>
      <c r="B70" s="366" t="s">
        <v>417</v>
      </c>
      <c r="C70" s="367" t="s">
        <v>418</v>
      </c>
      <c r="D70" s="542">
        <v>34054.370000000003</v>
      </c>
      <c r="E70" s="377"/>
      <c r="F70" s="116"/>
      <c r="G70" s="368"/>
      <c r="H70" s="39" t="s">
        <v>195</v>
      </c>
      <c r="I70" s="55">
        <v>40072</v>
      </c>
      <c r="J70" s="55">
        <v>41167</v>
      </c>
      <c r="K70" s="56">
        <v>132250</v>
      </c>
      <c r="L70" s="378" t="s">
        <v>420</v>
      </c>
    </row>
    <row r="71" spans="1:17" ht="27.75" customHeight="1" thickBot="1">
      <c r="A71" s="193"/>
      <c r="B71" s="194" t="s">
        <v>22</v>
      </c>
      <c r="C71" s="195"/>
      <c r="D71" s="535"/>
      <c r="E71" s="200"/>
      <c r="F71" s="196"/>
      <c r="G71" s="198">
        <v>0</v>
      </c>
      <c r="H71" s="36"/>
      <c r="I71" s="37"/>
      <c r="J71" s="37"/>
      <c r="K71" s="38"/>
      <c r="L71" s="38"/>
      <c r="M71" s="38"/>
    </row>
    <row r="72" spans="1:17" ht="27.75" customHeight="1" thickTop="1">
      <c r="A72" s="22"/>
      <c r="B72" s="288" t="s">
        <v>441</v>
      </c>
      <c r="C72" s="289"/>
      <c r="D72" s="538"/>
      <c r="E72" s="94"/>
      <c r="F72" s="39"/>
      <c r="G72" s="294"/>
      <c r="H72" s="36"/>
      <c r="I72" s="37"/>
      <c r="J72" s="37"/>
      <c r="K72" s="38"/>
      <c r="L72" s="38"/>
      <c r="M72" s="38"/>
    </row>
    <row r="73" spans="1:17" ht="27.75" customHeight="1">
      <c r="A73" s="94">
        <v>1</v>
      </c>
      <c r="B73" s="40" t="s">
        <v>442</v>
      </c>
      <c r="C73" s="206" t="s">
        <v>443</v>
      </c>
      <c r="D73" s="533">
        <v>890532</v>
      </c>
      <c r="E73" s="387"/>
      <c r="F73" s="116"/>
      <c r="G73" s="376"/>
      <c r="H73" s="39" t="s">
        <v>446</v>
      </c>
      <c r="I73" s="55">
        <v>43952</v>
      </c>
      <c r="J73" s="55">
        <v>44561</v>
      </c>
      <c r="K73" s="56">
        <v>1032500</v>
      </c>
      <c r="L73" s="56" t="s">
        <v>447</v>
      </c>
    </row>
    <row r="74" spans="1:17" ht="27.75" customHeight="1">
      <c r="A74" s="94">
        <v>2</v>
      </c>
      <c r="B74" s="205" t="s">
        <v>451</v>
      </c>
      <c r="C74" s="206" t="s">
        <v>452</v>
      </c>
      <c r="D74" s="526">
        <v>523835</v>
      </c>
      <c r="E74" s="399"/>
      <c r="F74" s="116"/>
      <c r="G74" s="368"/>
      <c r="H74" s="172" t="s">
        <v>456</v>
      </c>
      <c r="I74" s="400" t="s">
        <v>457</v>
      </c>
      <c r="J74" s="400" t="s">
        <v>458</v>
      </c>
      <c r="K74" s="401">
        <v>442600</v>
      </c>
      <c r="L74" s="401" t="s">
        <v>459</v>
      </c>
    </row>
    <row r="75" spans="1:17" ht="27.75" customHeight="1">
      <c r="A75" s="405"/>
      <c r="B75" s="406" t="s">
        <v>22</v>
      </c>
      <c r="C75" s="407"/>
      <c r="D75" s="544"/>
      <c r="E75" s="412"/>
      <c r="F75" s="408"/>
      <c r="G75" s="239"/>
      <c r="H75" s="278"/>
      <c r="I75" s="279"/>
      <c r="J75" s="279"/>
      <c r="K75" s="413"/>
      <c r="L75" s="413"/>
      <c r="M75" s="413"/>
    </row>
    <row r="76" spans="1:17" ht="27.75" customHeight="1" thickBot="1">
      <c r="A76" s="414"/>
      <c r="B76" s="415"/>
      <c r="C76" s="416" t="s">
        <v>468</v>
      </c>
      <c r="D76" s="545"/>
      <c r="E76" s="423"/>
      <c r="F76" s="422"/>
      <c r="G76" s="420">
        <v>39917.418130841113</v>
      </c>
      <c r="H76" s="424"/>
      <c r="I76" s="425"/>
      <c r="J76" s="425"/>
      <c r="K76" s="345"/>
      <c r="L76" s="345"/>
      <c r="M76" s="345"/>
      <c r="P76" s="561">
        <f>SUM(P16:P68)</f>
        <v>39917.41738317757</v>
      </c>
      <c r="Q76" s="4" t="s">
        <v>818</v>
      </c>
    </row>
    <row r="77" spans="1:17" ht="27.75" customHeight="1" thickTop="1">
      <c r="A77" s="426"/>
      <c r="B77" s="4"/>
      <c r="C77" s="295"/>
      <c r="D77" s="546"/>
      <c r="E77" s="433"/>
      <c r="F77" s="427"/>
      <c r="G77" s="430"/>
      <c r="H77" s="424"/>
      <c r="I77" s="425"/>
      <c r="J77" s="425"/>
      <c r="K77" s="345"/>
      <c r="L77" s="345"/>
      <c r="M77" s="345"/>
    </row>
    <row r="78" spans="1:17" ht="27.75" customHeight="1">
      <c r="A78" s="426"/>
      <c r="B78" s="434" t="s">
        <v>469</v>
      </c>
      <c r="C78" s="295"/>
      <c r="D78" s="546"/>
      <c r="E78" s="433"/>
      <c r="F78" s="427"/>
      <c r="G78" s="430"/>
      <c r="H78" s="424"/>
      <c r="I78" s="425"/>
      <c r="J78" s="425"/>
      <c r="K78" s="345"/>
      <c r="L78" s="345"/>
      <c r="M78" s="345"/>
    </row>
    <row r="79" spans="1:17" ht="27.75" customHeight="1">
      <c r="A79" s="435">
        <v>1</v>
      </c>
      <c r="B79" s="436" t="s">
        <v>470</v>
      </c>
      <c r="C79" s="437" t="s">
        <v>471</v>
      </c>
      <c r="D79" s="547"/>
      <c r="E79" s="435" t="s">
        <v>473</v>
      </c>
      <c r="F79" s="444">
        <v>21</v>
      </c>
      <c r="G79" s="17">
        <v>361288.35</v>
      </c>
      <c r="H79" s="251" t="s">
        <v>195</v>
      </c>
      <c r="I79" s="446">
        <v>41883</v>
      </c>
      <c r="J79" s="446">
        <v>42978</v>
      </c>
      <c r="K79" s="447">
        <v>90000</v>
      </c>
      <c r="L79" s="447" t="s">
        <v>474</v>
      </c>
    </row>
    <row r="80" spans="1:17" ht="27.75" customHeight="1">
      <c r="A80" s="435"/>
      <c r="B80" s="436" t="s">
        <v>476</v>
      </c>
      <c r="C80" s="437"/>
      <c r="D80" s="547"/>
      <c r="E80" s="435"/>
      <c r="F80" s="444"/>
      <c r="G80" s="17">
        <v>0</v>
      </c>
      <c r="H80" s="116"/>
      <c r="I80" s="203"/>
      <c r="J80" s="203"/>
      <c r="K80" s="204"/>
      <c r="L80" s="204"/>
    </row>
    <row r="81" spans="1:17" ht="27.75" customHeight="1">
      <c r="A81" s="435"/>
      <c r="B81" s="674" t="s">
        <v>477</v>
      </c>
      <c r="C81" s="675"/>
      <c r="D81" s="548"/>
      <c r="E81" s="435"/>
      <c r="F81" s="444"/>
      <c r="G81" s="17">
        <v>0</v>
      </c>
      <c r="H81" s="116"/>
      <c r="I81" s="203"/>
      <c r="J81" s="203"/>
      <c r="K81" s="204"/>
      <c r="L81" s="204"/>
    </row>
    <row r="82" spans="1:17" ht="27.75" customHeight="1">
      <c r="A82" s="435">
        <v>2</v>
      </c>
      <c r="B82" s="450" t="s">
        <v>470</v>
      </c>
      <c r="C82" s="451" t="s">
        <v>478</v>
      </c>
      <c r="D82" s="549"/>
      <c r="E82" s="435" t="s">
        <v>479</v>
      </c>
      <c r="F82" s="444">
        <v>6</v>
      </c>
      <c r="G82" s="17">
        <v>96700.72</v>
      </c>
      <c r="H82" s="116"/>
      <c r="I82" s="203"/>
      <c r="J82" s="203"/>
      <c r="K82" s="204"/>
      <c r="L82" s="204"/>
    </row>
    <row r="83" spans="1:17" ht="27.75" customHeight="1">
      <c r="A83" s="435">
        <v>3</v>
      </c>
      <c r="B83" s="450" t="s">
        <v>470</v>
      </c>
      <c r="C83" s="451" t="s">
        <v>480</v>
      </c>
      <c r="D83" s="549"/>
      <c r="E83" s="435" t="s">
        <v>481</v>
      </c>
      <c r="F83" s="444">
        <v>16</v>
      </c>
      <c r="G83" s="17">
        <v>285799.45</v>
      </c>
      <c r="H83" s="116"/>
      <c r="I83" s="203"/>
      <c r="J83" s="203"/>
      <c r="K83" s="204"/>
      <c r="L83" s="204"/>
    </row>
    <row r="84" spans="1:17" s="226" customFormat="1" ht="27.75" customHeight="1">
      <c r="A84" s="440">
        <v>4</v>
      </c>
      <c r="B84" s="436" t="s">
        <v>470</v>
      </c>
      <c r="C84" s="453" t="s">
        <v>482</v>
      </c>
      <c r="D84" s="547"/>
      <c r="E84" s="435" t="s">
        <v>483</v>
      </c>
      <c r="F84" s="448" t="s">
        <v>195</v>
      </c>
      <c r="G84" s="17">
        <v>57055.05</v>
      </c>
      <c r="H84" s="39"/>
      <c r="I84" s="55"/>
      <c r="J84" s="55"/>
      <c r="K84" s="141"/>
      <c r="L84" s="141"/>
      <c r="O84" s="4"/>
      <c r="P84" s="552"/>
    </row>
    <row r="85" spans="1:17" s="226" customFormat="1" ht="27.75" customHeight="1">
      <c r="A85" s="440"/>
      <c r="B85" s="676" t="s">
        <v>484</v>
      </c>
      <c r="C85" s="677"/>
      <c r="D85" s="549"/>
      <c r="E85" s="435"/>
      <c r="F85" s="448"/>
      <c r="G85" s="17">
        <v>0</v>
      </c>
      <c r="H85" s="122"/>
      <c r="I85" s="37"/>
      <c r="J85" s="37"/>
      <c r="K85" s="459"/>
      <c r="L85" s="459"/>
      <c r="O85" s="4"/>
      <c r="P85" s="552"/>
    </row>
    <row r="86" spans="1:17" ht="27.75" customHeight="1">
      <c r="A86" s="460">
        <v>5</v>
      </c>
      <c r="B86" s="436" t="s">
        <v>470</v>
      </c>
      <c r="C86" s="461" t="s">
        <v>485</v>
      </c>
      <c r="D86" s="550"/>
      <c r="E86" s="435" t="s">
        <v>486</v>
      </c>
      <c r="F86" s="464" t="s">
        <v>195</v>
      </c>
      <c r="G86" s="17">
        <v>28958.15</v>
      </c>
      <c r="H86" s="36"/>
      <c r="I86" s="37"/>
      <c r="J86" s="37"/>
      <c r="K86" s="38"/>
      <c r="L86" s="38"/>
      <c r="M86" s="38"/>
    </row>
    <row r="87" spans="1:17" ht="27.6" customHeight="1">
      <c r="A87" s="460"/>
      <c r="B87" s="436" t="s">
        <v>488</v>
      </c>
      <c r="C87" s="461"/>
      <c r="D87" s="550"/>
      <c r="E87" s="435"/>
      <c r="F87" s="444"/>
      <c r="G87" s="17"/>
      <c r="H87" s="36"/>
      <c r="I87" s="37"/>
      <c r="J87" s="37"/>
      <c r="K87" s="38"/>
      <c r="L87" s="38"/>
      <c r="M87" s="38"/>
    </row>
    <row r="88" spans="1:17" ht="27.6" customHeight="1">
      <c r="A88" s="460"/>
      <c r="B88" s="674" t="s">
        <v>489</v>
      </c>
      <c r="C88" s="675"/>
      <c r="D88" s="548"/>
      <c r="E88" s="435"/>
      <c r="F88" s="444"/>
      <c r="G88" s="17"/>
      <c r="H88" s="36"/>
      <c r="I88" s="37"/>
      <c r="J88" s="37"/>
      <c r="K88" s="38"/>
      <c r="L88" s="38"/>
      <c r="M88" s="38"/>
    </row>
    <row r="89" spans="1:17" ht="27.75" customHeight="1" thickBot="1">
      <c r="A89" s="465"/>
      <c r="B89" s="466" t="s">
        <v>22</v>
      </c>
      <c r="C89" s="195"/>
      <c r="D89" s="539"/>
      <c r="E89" s="315"/>
      <c r="F89" s="310"/>
      <c r="G89" s="313">
        <v>829801.72000000009</v>
      </c>
      <c r="H89" s="36"/>
      <c r="I89" s="37"/>
      <c r="J89" s="37"/>
      <c r="K89" s="38"/>
      <c r="L89" s="38"/>
      <c r="M89" s="38"/>
      <c r="P89" s="552">
        <f>SUM(G79:G88)</f>
        <v>829801.72000000009</v>
      </c>
    </row>
    <row r="90" spans="1:17" ht="27.75" customHeight="1" thickTop="1">
      <c r="A90" s="468"/>
      <c r="B90" s="469" t="s">
        <v>490</v>
      </c>
      <c r="C90" s="470"/>
      <c r="D90" s="543"/>
      <c r="E90" s="186"/>
      <c r="F90" s="116"/>
      <c r="G90" s="474"/>
      <c r="H90" s="36"/>
      <c r="I90" s="37"/>
      <c r="J90" s="37"/>
      <c r="K90" s="38"/>
      <c r="L90" s="38"/>
      <c r="M90" s="38"/>
    </row>
    <row r="91" spans="1:17" ht="27.75" customHeight="1">
      <c r="A91" s="475">
        <v>1</v>
      </c>
      <c r="B91" s="436" t="s">
        <v>491</v>
      </c>
      <c r="C91" s="437" t="s">
        <v>492</v>
      </c>
      <c r="D91" s="547"/>
      <c r="E91" s="435"/>
      <c r="F91" s="477"/>
      <c r="G91" s="481"/>
      <c r="H91" s="356"/>
      <c r="I91" s="482"/>
      <c r="J91" s="482"/>
      <c r="K91" s="483"/>
      <c r="L91" s="483"/>
    </row>
    <row r="92" spans="1:17" ht="27.75" customHeight="1">
      <c r="A92" s="475"/>
      <c r="B92" s="484" t="s">
        <v>494</v>
      </c>
      <c r="C92" s="437"/>
      <c r="D92" s="547"/>
      <c r="E92" s="435"/>
      <c r="F92" s="477"/>
      <c r="G92" s="481"/>
      <c r="H92" s="485"/>
      <c r="I92" s="486"/>
      <c r="J92" s="486"/>
      <c r="K92" s="487"/>
      <c r="L92" s="487"/>
    </row>
    <row r="93" spans="1:17" ht="27.75" customHeight="1">
      <c r="A93" s="475">
        <v>2</v>
      </c>
      <c r="B93" s="436" t="s">
        <v>495</v>
      </c>
      <c r="C93" s="437" t="s">
        <v>496</v>
      </c>
      <c r="D93" s="547"/>
      <c r="E93" s="435"/>
      <c r="F93" s="477" t="s">
        <v>497</v>
      </c>
      <c r="G93" s="17">
        <v>8214529.25</v>
      </c>
      <c r="H93" s="485"/>
      <c r="I93" s="486"/>
      <c r="J93" s="486"/>
      <c r="K93" s="487"/>
      <c r="L93" s="487"/>
    </row>
    <row r="94" spans="1:17" ht="27.75" customHeight="1">
      <c r="A94" s="405"/>
      <c r="B94" s="234" t="s">
        <v>22</v>
      </c>
      <c r="C94" s="407"/>
      <c r="D94" s="544"/>
      <c r="E94" s="412"/>
      <c r="F94" s="408"/>
      <c r="G94" s="239">
        <v>8214529.25</v>
      </c>
      <c r="H94" s="278"/>
      <c r="I94" s="279"/>
      <c r="J94" s="279"/>
      <c r="K94" s="413"/>
      <c r="L94" s="413"/>
      <c r="M94" s="413"/>
      <c r="P94" s="552">
        <f>SUM(G93)</f>
        <v>8214529.25</v>
      </c>
    </row>
    <row r="95" spans="1:17" ht="27.75" customHeight="1">
      <c r="A95" s="426"/>
      <c r="B95" s="4"/>
      <c r="C95" s="295"/>
      <c r="D95" s="546"/>
      <c r="E95" s="433"/>
      <c r="F95" s="427"/>
      <c r="G95" s="430"/>
      <c r="H95" s="424"/>
      <c r="I95" s="425"/>
      <c r="J95" s="425"/>
      <c r="K95" s="345"/>
      <c r="L95" s="345"/>
      <c r="M95" s="345"/>
    </row>
    <row r="96" spans="1:17" ht="27.75" customHeight="1" thickBot="1">
      <c r="A96" s="488"/>
      <c r="B96" s="489" t="s">
        <v>498</v>
      </c>
      <c r="C96" s="490"/>
      <c r="D96" s="551"/>
      <c r="E96" s="495"/>
      <c r="F96" s="496"/>
      <c r="G96" s="493">
        <v>9084248.3881308418</v>
      </c>
      <c r="H96" s="497">
        <v>0</v>
      </c>
      <c r="I96" s="497">
        <v>0</v>
      </c>
      <c r="J96" s="498"/>
      <c r="K96" s="499"/>
      <c r="L96" s="499"/>
      <c r="M96" s="499"/>
      <c r="P96" s="561">
        <f>SUM(P76:P94)</f>
        <v>9084248.3873831779</v>
      </c>
      <c r="Q96" s="4" t="s">
        <v>819</v>
      </c>
    </row>
    <row r="97" spans="1:16" s="226" customFormat="1" ht="27.75" customHeight="1" thickTop="1">
      <c r="A97" s="6"/>
      <c r="B97" s="500"/>
      <c r="D97" s="552"/>
      <c r="E97" s="372"/>
      <c r="F97" s="501"/>
      <c r="G97" s="504"/>
      <c r="H97" s="2"/>
      <c r="I97" s="425"/>
      <c r="J97" s="425"/>
      <c r="K97" s="345"/>
      <c r="L97" s="345"/>
      <c r="P97" s="552"/>
    </row>
    <row r="98" spans="1:16" s="226" customFormat="1" ht="27.75" customHeight="1">
      <c r="A98" s="6"/>
      <c r="B98" s="500"/>
      <c r="D98" s="552"/>
      <c r="E98" s="372"/>
      <c r="F98" s="501"/>
      <c r="G98" s="504"/>
      <c r="H98" s="2"/>
      <c r="I98" s="425"/>
      <c r="J98" s="425"/>
      <c r="K98" s="345"/>
      <c r="L98" s="345"/>
      <c r="P98" s="552"/>
    </row>
    <row r="99" spans="1:16" s="226" customFormat="1" ht="27.75" customHeight="1">
      <c r="A99" s="6"/>
      <c r="B99" s="500"/>
      <c r="D99" s="552"/>
      <c r="E99" s="372"/>
      <c r="F99" s="501"/>
      <c r="G99" s="504"/>
      <c r="H99" s="2"/>
      <c r="I99" s="425"/>
      <c r="J99" s="425"/>
      <c r="K99" s="345"/>
      <c r="L99" s="345"/>
      <c r="P99" s="552"/>
    </row>
    <row r="100" spans="1:16" s="226" customFormat="1" ht="27.75" customHeight="1">
      <c r="A100" s="6"/>
      <c r="B100" s="500"/>
      <c r="D100" s="552"/>
      <c r="E100" s="372"/>
      <c r="F100" s="501"/>
      <c r="G100" s="430"/>
      <c r="H100" s="2"/>
      <c r="I100" s="425"/>
      <c r="J100" s="425"/>
      <c r="K100" s="345"/>
      <c r="L100" s="345"/>
      <c r="P100" s="552"/>
    </row>
    <row r="101" spans="1:16" s="226" customFormat="1" ht="27.75" customHeight="1">
      <c r="A101" s="6"/>
      <c r="B101" s="500"/>
      <c r="D101" s="552"/>
      <c r="E101" s="372"/>
      <c r="F101" s="501"/>
      <c r="G101" s="504"/>
      <c r="H101" s="2"/>
      <c r="I101" s="425"/>
      <c r="J101" s="425"/>
      <c r="K101" s="345"/>
      <c r="L101" s="345"/>
      <c r="P101" s="552"/>
    </row>
    <row r="102" spans="1:16" s="226" customFormat="1" ht="27.75" customHeight="1">
      <c r="A102" s="6"/>
      <c r="B102" s="500"/>
      <c r="D102" s="552"/>
      <c r="E102" s="372"/>
      <c r="F102" s="501"/>
      <c r="G102" s="504"/>
      <c r="H102" s="2"/>
      <c r="I102" s="425"/>
      <c r="J102" s="425"/>
      <c r="K102" s="345"/>
      <c r="L102" s="345"/>
      <c r="P102" s="552"/>
    </row>
    <row r="103" spans="1:16" s="226" customFormat="1" ht="27.75" customHeight="1">
      <c r="A103" s="6"/>
      <c r="B103" s="500"/>
      <c r="D103" s="552"/>
      <c r="E103" s="372"/>
      <c r="F103" s="501"/>
      <c r="G103" s="430"/>
      <c r="H103" s="2"/>
      <c r="I103" s="425"/>
      <c r="J103" s="425"/>
      <c r="K103" s="345"/>
      <c r="L103" s="345"/>
      <c r="P103" s="552"/>
    </row>
    <row r="104" spans="1:16" s="226" customFormat="1" ht="27.75" customHeight="1">
      <c r="A104" s="6"/>
      <c r="B104" s="500"/>
      <c r="D104" s="552"/>
      <c r="E104" s="372"/>
      <c r="F104" s="501"/>
      <c r="G104" s="504"/>
      <c r="H104" s="2"/>
      <c r="I104" s="425"/>
      <c r="J104" s="425"/>
      <c r="K104" s="345"/>
      <c r="L104" s="345"/>
      <c r="P104" s="552"/>
    </row>
    <row r="105" spans="1:16" s="226" customFormat="1" ht="27.75" customHeight="1">
      <c r="A105" s="6"/>
      <c r="B105" s="500"/>
      <c r="D105" s="552"/>
      <c r="E105" s="372"/>
      <c r="F105" s="501"/>
      <c r="G105" s="504"/>
      <c r="H105" s="2"/>
      <c r="I105" s="425"/>
      <c r="J105" s="425"/>
      <c r="K105" s="345"/>
      <c r="L105" s="345"/>
      <c r="P105" s="552"/>
    </row>
    <row r="106" spans="1:16" s="226" customFormat="1" ht="27.75" customHeight="1">
      <c r="A106" s="6"/>
      <c r="B106" s="500"/>
      <c r="D106" s="552"/>
      <c r="E106" s="372"/>
      <c r="F106" s="501"/>
      <c r="G106" s="504"/>
      <c r="H106" s="2"/>
      <c r="I106" s="425"/>
      <c r="J106" s="425"/>
      <c r="K106" s="345"/>
      <c r="L106" s="345"/>
      <c r="P106" s="552"/>
    </row>
    <row r="107" spans="1:16" s="226" customFormat="1" ht="27.75" customHeight="1">
      <c r="A107" s="6"/>
      <c r="B107" s="500"/>
      <c r="D107" s="552"/>
      <c r="E107" s="372"/>
      <c r="F107" s="501"/>
      <c r="G107" s="504"/>
      <c r="H107" s="2"/>
      <c r="I107" s="425"/>
      <c r="J107" s="425"/>
      <c r="K107" s="345"/>
      <c r="L107" s="345"/>
      <c r="P107" s="552"/>
    </row>
    <row r="108" spans="1:16" s="226" customFormat="1" ht="27.75" customHeight="1">
      <c r="A108" s="6"/>
      <c r="B108" s="500"/>
      <c r="D108" s="552"/>
      <c r="E108" s="372"/>
      <c r="F108" s="501"/>
      <c r="G108" s="504"/>
      <c r="H108" s="2"/>
      <c r="I108" s="425"/>
      <c r="J108" s="425"/>
      <c r="K108" s="345"/>
      <c r="L108" s="345"/>
      <c r="P108" s="552"/>
    </row>
    <row r="109" spans="1:16" s="226" customFormat="1" ht="27.75" customHeight="1">
      <c r="A109" s="6"/>
      <c r="B109" s="500"/>
      <c r="D109" s="552"/>
      <c r="E109" s="372"/>
      <c r="F109" s="501"/>
      <c r="G109" s="504"/>
      <c r="H109" s="2"/>
      <c r="I109" s="425"/>
      <c r="J109" s="425"/>
      <c r="K109" s="345"/>
      <c r="L109" s="345"/>
      <c r="P109" s="552"/>
    </row>
    <row r="110" spans="1:16" s="226" customFormat="1" ht="27.75" customHeight="1">
      <c r="A110" s="6"/>
      <c r="B110" s="500"/>
      <c r="D110" s="552"/>
      <c r="E110" s="372"/>
      <c r="F110" s="501"/>
      <c r="G110" s="504"/>
      <c r="H110" s="2"/>
      <c r="I110" s="425"/>
      <c r="J110" s="425"/>
      <c r="K110" s="345"/>
      <c r="L110" s="345"/>
      <c r="P110" s="552"/>
    </row>
    <row r="111" spans="1:16" s="226" customFormat="1" ht="27.75" customHeight="1">
      <c r="A111" s="6"/>
      <c r="B111" s="500"/>
      <c r="D111" s="552"/>
      <c r="E111" s="372"/>
      <c r="F111" s="501"/>
      <c r="G111" s="504"/>
      <c r="H111" s="2"/>
      <c r="I111" s="425"/>
      <c r="J111" s="425"/>
      <c r="K111" s="345"/>
      <c r="L111" s="345"/>
      <c r="P111" s="552"/>
    </row>
    <row r="112" spans="1:16" s="226" customFormat="1" ht="27.75" customHeight="1">
      <c r="A112" s="6"/>
      <c r="B112" s="500"/>
      <c r="D112" s="552"/>
      <c r="E112" s="372"/>
      <c r="F112" s="501"/>
      <c r="G112" s="504"/>
      <c r="H112" s="2"/>
      <c r="I112" s="425"/>
      <c r="J112" s="425"/>
      <c r="K112" s="345"/>
      <c r="L112" s="345"/>
      <c r="P112" s="552"/>
    </row>
    <row r="113" spans="1:16" s="226" customFormat="1" ht="27.75" customHeight="1">
      <c r="A113" s="6"/>
      <c r="D113" s="552"/>
      <c r="E113" s="372"/>
      <c r="F113" s="501"/>
      <c r="G113" s="504"/>
      <c r="H113" s="2"/>
      <c r="I113" s="425"/>
      <c r="J113" s="425"/>
      <c r="K113" s="345"/>
      <c r="L113" s="345"/>
      <c r="P113" s="552"/>
    </row>
    <row r="114" spans="1:16" ht="27.75" customHeight="1">
      <c r="B114" s="4"/>
      <c r="F114" s="4"/>
      <c r="K114" s="4"/>
      <c r="L114" s="4"/>
    </row>
    <row r="115" spans="1:16" ht="27.75" customHeight="1">
      <c r="B115" s="4"/>
      <c r="F115" s="4"/>
      <c r="K115" s="4"/>
      <c r="L115" s="4"/>
    </row>
    <row r="116" spans="1:16" ht="27.75" customHeight="1">
      <c r="B116" s="4"/>
      <c r="F116" s="4"/>
      <c r="K116" s="4"/>
      <c r="L116" s="4"/>
    </row>
    <row r="117" spans="1:16" ht="27.75" customHeight="1">
      <c r="B117" s="4"/>
      <c r="F117" s="4"/>
      <c r="K117" s="4"/>
      <c r="L117" s="4"/>
    </row>
    <row r="118" spans="1:16" ht="27.75" customHeight="1">
      <c r="B118" s="4"/>
      <c r="F118" s="4"/>
      <c r="K118" s="4"/>
      <c r="L118" s="4"/>
    </row>
    <row r="119" spans="1:16" ht="27.75" customHeight="1">
      <c r="B119" s="4"/>
      <c r="F119" s="4"/>
      <c r="K119" s="4"/>
      <c r="L119" s="4"/>
    </row>
    <row r="120" spans="1:16" ht="27.75" customHeight="1">
      <c r="B120" s="4"/>
      <c r="F120" s="4"/>
      <c r="K120" s="4"/>
      <c r="L120" s="4"/>
    </row>
    <row r="121" spans="1:16" ht="27.75" customHeight="1">
      <c r="B121" s="4"/>
      <c r="F121" s="4"/>
      <c r="K121" s="4"/>
      <c r="L121" s="4"/>
    </row>
    <row r="122" spans="1:16" ht="27.75" customHeight="1">
      <c r="B122" s="4"/>
      <c r="F122" s="4"/>
      <c r="K122" s="4"/>
      <c r="L122" s="4"/>
    </row>
    <row r="123" spans="1:16" ht="27.75" customHeight="1">
      <c r="B123" s="4"/>
      <c r="F123" s="4"/>
      <c r="K123" s="4"/>
      <c r="L123" s="4"/>
    </row>
    <row r="124" spans="1:16" ht="27.75" customHeight="1">
      <c r="B124" s="4"/>
      <c r="F124" s="4"/>
      <c r="K124" s="4"/>
      <c r="L124" s="4"/>
    </row>
    <row r="125" spans="1:16" ht="27.75" customHeight="1">
      <c r="B125" s="4"/>
      <c r="F125" s="4"/>
      <c r="K125" s="4"/>
      <c r="L125" s="4"/>
    </row>
    <row r="126" spans="1:16" ht="27.75" customHeight="1">
      <c r="B126" s="4"/>
      <c r="F126" s="4"/>
      <c r="K126" s="4"/>
      <c r="L126" s="4"/>
    </row>
    <row r="127" spans="1:16" ht="27.75" customHeight="1">
      <c r="B127" s="4"/>
      <c r="F127" s="4"/>
      <c r="K127" s="4"/>
      <c r="L127" s="4"/>
    </row>
    <row r="128" spans="1:16" ht="27.75" customHeight="1">
      <c r="B128" s="4"/>
      <c r="F128" s="4"/>
      <c r="K128" s="4"/>
      <c r="L128" s="4"/>
    </row>
    <row r="129" spans="2:12" ht="27.75" customHeight="1">
      <c r="B129" s="4"/>
      <c r="F129" s="4"/>
      <c r="K129" s="4"/>
      <c r="L129" s="4"/>
    </row>
    <row r="141" spans="2:12" ht="27.75" customHeight="1">
      <c r="B141" s="4"/>
      <c r="F141" s="4"/>
      <c r="H141" s="4"/>
      <c r="I141" s="4"/>
      <c r="J141" s="4"/>
      <c r="K141" s="4"/>
      <c r="L141" s="4"/>
    </row>
    <row r="142" spans="2:12" ht="27.75" customHeight="1">
      <c r="B142" s="4"/>
      <c r="F142" s="4"/>
      <c r="H142" s="4"/>
      <c r="I142" s="4"/>
      <c r="J142" s="4"/>
      <c r="K142" s="4"/>
      <c r="L142" s="4"/>
    </row>
    <row r="143" spans="2:12" ht="27.75" customHeight="1">
      <c r="B143" s="4"/>
      <c r="F143" s="4"/>
      <c r="H143" s="4"/>
      <c r="I143" s="4"/>
      <c r="J143" s="4"/>
      <c r="K143" s="4"/>
      <c r="L143" s="4"/>
    </row>
    <row r="144" spans="2:12" ht="27.75" customHeight="1">
      <c r="B144" s="4"/>
      <c r="F144" s="4"/>
      <c r="H144" s="4"/>
      <c r="I144" s="4"/>
      <c r="J144" s="4"/>
      <c r="K144" s="4"/>
      <c r="L144" s="4"/>
    </row>
    <row r="145" spans="2:12" ht="27.75" customHeight="1">
      <c r="B145" s="4"/>
      <c r="F145" s="4"/>
      <c r="H145" s="4"/>
      <c r="I145" s="4"/>
      <c r="J145" s="4"/>
      <c r="K145" s="4"/>
      <c r="L145" s="4"/>
    </row>
    <row r="146" spans="2:12" ht="27.75" customHeight="1">
      <c r="B146" s="4"/>
      <c r="F146" s="4"/>
      <c r="H146" s="4"/>
      <c r="I146" s="4"/>
      <c r="J146" s="4"/>
      <c r="K146" s="4"/>
      <c r="L146" s="4"/>
    </row>
    <row r="147" spans="2:12" ht="27.75" customHeight="1">
      <c r="B147" s="4"/>
      <c r="F147" s="4"/>
      <c r="H147" s="4"/>
      <c r="I147" s="4"/>
      <c r="J147" s="4"/>
      <c r="K147" s="4"/>
      <c r="L147" s="4"/>
    </row>
    <row r="148" spans="2:12" ht="27.75" customHeight="1">
      <c r="B148" s="4"/>
      <c r="F148" s="4"/>
      <c r="H148" s="4"/>
      <c r="I148" s="4"/>
      <c r="J148" s="4"/>
      <c r="K148" s="4"/>
      <c r="L148" s="4"/>
    </row>
    <row r="149" spans="2:12" ht="27.75" customHeight="1">
      <c r="B149" s="4"/>
      <c r="F149" s="4"/>
      <c r="H149" s="4"/>
      <c r="I149" s="4"/>
      <c r="J149" s="4"/>
      <c r="K149" s="4"/>
      <c r="L149" s="4"/>
    </row>
    <row r="150" spans="2:12" ht="27.75" customHeight="1">
      <c r="B150" s="4"/>
      <c r="F150" s="4"/>
      <c r="H150" s="4"/>
      <c r="I150" s="4"/>
      <c r="J150" s="4"/>
      <c r="K150" s="4"/>
      <c r="L150" s="4"/>
    </row>
    <row r="151" spans="2:12" ht="27.75" customHeight="1">
      <c r="B151" s="4"/>
      <c r="F151" s="4"/>
      <c r="H151" s="4"/>
      <c r="I151" s="4"/>
      <c r="J151" s="4"/>
      <c r="K151" s="4"/>
      <c r="L151" s="4"/>
    </row>
    <row r="152" spans="2:12" ht="27.75" customHeight="1">
      <c r="B152" s="4"/>
      <c r="F152" s="4"/>
      <c r="H152" s="4"/>
      <c r="I152" s="4"/>
      <c r="J152" s="4"/>
      <c r="K152" s="4"/>
      <c r="L152" s="4"/>
    </row>
    <row r="153" spans="2:12" ht="27.75" customHeight="1">
      <c r="B153" s="4"/>
      <c r="F153" s="4"/>
      <c r="H153" s="4"/>
      <c r="I153" s="4"/>
      <c r="J153" s="4"/>
      <c r="K153" s="4"/>
      <c r="L153" s="4"/>
    </row>
  </sheetData>
  <mergeCells count="17">
    <mergeCell ref="B81:C81"/>
    <mergeCell ref="B85:C85"/>
    <mergeCell ref="B88:C88"/>
    <mergeCell ref="I4:I6"/>
    <mergeCell ref="J4:J6"/>
    <mergeCell ref="K4:K6"/>
    <mergeCell ref="L4:L6"/>
    <mergeCell ref="A5:A6"/>
    <mergeCell ref="B5:B6"/>
    <mergeCell ref="C5:C6"/>
    <mergeCell ref="F5:F6"/>
    <mergeCell ref="A1:G1"/>
    <mergeCell ref="A2:G2"/>
    <mergeCell ref="A3:G3"/>
    <mergeCell ref="E4:G4"/>
    <mergeCell ref="H4:H6"/>
    <mergeCell ref="E5:E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8650-0DD7-4A32-88E5-F70FC7F79F06}">
  <sheetPr>
    <tabColor rgb="FFFFFF00"/>
  </sheetPr>
  <dimension ref="A1:P95"/>
  <sheetViews>
    <sheetView zoomScale="60" zoomScaleNormal="60" workbookViewId="0">
      <pane ySplit="6" topLeftCell="A7" activePane="bottomLeft" state="frozen"/>
      <selection pane="bottomLeft" activeCell="S20" sqref="S20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0" style="372" customWidth="1"/>
    <col min="5" max="5" width="9.109375" style="2" customWidth="1"/>
    <col min="6" max="6" width="23.6640625" style="507" customWidth="1"/>
    <col min="7" max="7" width="5.33203125" style="2" hidden="1" customWidth="1"/>
    <col min="8" max="8" width="9" style="508" hidden="1" customWidth="1"/>
    <col min="9" max="9" width="9.6640625" style="508" hidden="1" customWidth="1"/>
    <col min="10" max="10" width="10.88671875" style="512" hidden="1" customWidth="1"/>
    <col min="11" max="11" width="24.5546875" style="512" hidden="1" customWidth="1"/>
    <col min="12" max="13" width="8.88671875" style="4" hidden="1" customWidth="1"/>
    <col min="14" max="14" width="8.88671875" style="4"/>
    <col min="15" max="15" width="23.77734375" style="552" customWidth="1"/>
    <col min="16" max="16384" width="8.88671875" style="4"/>
  </cols>
  <sheetData>
    <row r="1" spans="1:15" ht="28.5" customHeight="1">
      <c r="A1" s="653" t="s">
        <v>0</v>
      </c>
      <c r="B1" s="653"/>
      <c r="C1" s="653"/>
      <c r="D1" s="653"/>
      <c r="E1" s="653"/>
      <c r="F1" s="653"/>
      <c r="H1" s="3"/>
      <c r="I1" s="3"/>
      <c r="J1" s="1"/>
      <c r="K1" s="1"/>
    </row>
    <row r="2" spans="1:15" ht="23.25" customHeight="1">
      <c r="A2" s="653" t="s">
        <v>1</v>
      </c>
      <c r="B2" s="653"/>
      <c r="C2" s="653"/>
      <c r="D2" s="653"/>
      <c r="E2" s="653"/>
      <c r="F2" s="653"/>
      <c r="G2" s="5"/>
      <c r="H2" s="3"/>
      <c r="I2" s="3"/>
      <c r="J2" s="1"/>
      <c r="K2" s="1"/>
    </row>
    <row r="3" spans="1:15" ht="28.5" customHeight="1">
      <c r="A3" s="654" t="s">
        <v>709</v>
      </c>
      <c r="B3" s="654"/>
      <c r="C3" s="654"/>
      <c r="D3" s="654"/>
      <c r="E3" s="654"/>
      <c r="F3" s="654"/>
      <c r="H3" s="3"/>
      <c r="I3" s="3"/>
      <c r="J3" s="6"/>
      <c r="K3" s="6"/>
    </row>
    <row r="4" spans="1:15" ht="27.75" customHeight="1">
      <c r="A4" s="7"/>
      <c r="B4" s="8"/>
      <c r="C4" s="9"/>
      <c r="D4" s="655" t="s">
        <v>5</v>
      </c>
      <c r="E4" s="656"/>
      <c r="F4" s="657"/>
      <c r="G4" s="658" t="s">
        <v>6</v>
      </c>
      <c r="H4" s="671" t="s">
        <v>7</v>
      </c>
      <c r="I4" s="671" t="s">
        <v>8</v>
      </c>
      <c r="J4" s="661" t="s">
        <v>9</v>
      </c>
      <c r="K4" s="661" t="s">
        <v>10</v>
      </c>
    </row>
    <row r="5" spans="1:15" ht="27.75" customHeight="1">
      <c r="A5" s="664" t="s">
        <v>11</v>
      </c>
      <c r="B5" s="666" t="s">
        <v>12</v>
      </c>
      <c r="C5" s="666" t="s">
        <v>13</v>
      </c>
      <c r="D5" s="664" t="s">
        <v>15</v>
      </c>
      <c r="E5" s="669" t="s">
        <v>16</v>
      </c>
      <c r="F5" s="514"/>
      <c r="G5" s="659"/>
      <c r="H5" s="672"/>
      <c r="I5" s="672"/>
      <c r="J5" s="662"/>
      <c r="K5" s="662"/>
    </row>
    <row r="6" spans="1:15" ht="27.75" customHeight="1" thickBot="1">
      <c r="A6" s="665"/>
      <c r="B6" s="667"/>
      <c r="C6" s="667"/>
      <c r="D6" s="668"/>
      <c r="E6" s="670"/>
      <c r="F6" s="21" t="s">
        <v>22</v>
      </c>
      <c r="G6" s="660"/>
      <c r="H6" s="673"/>
      <c r="I6" s="673"/>
      <c r="J6" s="663"/>
      <c r="K6" s="663"/>
    </row>
    <row r="7" spans="1:15" ht="27.75" customHeight="1" thickTop="1">
      <c r="A7" s="232"/>
      <c r="B7" s="553" t="s">
        <v>708</v>
      </c>
      <c r="C7" s="553"/>
      <c r="D7" s="232"/>
      <c r="E7" s="251"/>
      <c r="F7" s="554"/>
      <c r="G7" s="517"/>
      <c r="H7" s="515"/>
      <c r="I7" s="515"/>
      <c r="J7" s="516"/>
      <c r="K7" s="516"/>
    </row>
    <row r="8" spans="1:15" ht="27.75" customHeight="1">
      <c r="A8" s="39">
        <v>1</v>
      </c>
      <c r="B8" s="40" t="s">
        <v>78</v>
      </c>
      <c r="C8" s="81" t="s">
        <v>72</v>
      </c>
      <c r="D8" s="94" t="s">
        <v>634</v>
      </c>
      <c r="E8" s="116">
        <v>1</v>
      </c>
      <c r="F8" s="54">
        <v>6890.7992523364492</v>
      </c>
      <c r="G8" s="39"/>
      <c r="H8" s="55"/>
      <c r="I8" s="55"/>
      <c r="J8" s="56"/>
      <c r="K8" s="56"/>
    </row>
    <row r="9" spans="1:15" ht="27.75" customHeight="1">
      <c r="A9" s="39">
        <v>2</v>
      </c>
      <c r="B9" s="40" t="s">
        <v>82</v>
      </c>
      <c r="C9" s="41" t="s">
        <v>72</v>
      </c>
      <c r="D9" s="94" t="s">
        <v>634</v>
      </c>
      <c r="E9" s="116">
        <v>1</v>
      </c>
      <c r="F9" s="54">
        <v>2456.7181308411214</v>
      </c>
      <c r="G9" s="39"/>
      <c r="H9" s="55"/>
      <c r="I9" s="55"/>
      <c r="J9" s="56"/>
      <c r="K9" s="56"/>
    </row>
    <row r="10" spans="1:15" s="57" customFormat="1" ht="27.75" customHeight="1">
      <c r="A10" s="39">
        <v>3</v>
      </c>
      <c r="B10" s="40" t="s">
        <v>130</v>
      </c>
      <c r="C10" s="140" t="s">
        <v>102</v>
      </c>
      <c r="D10" s="145" t="s">
        <v>634</v>
      </c>
      <c r="E10" s="146">
        <v>1</v>
      </c>
      <c r="F10" s="47">
        <v>160.5</v>
      </c>
      <c r="G10" s="146"/>
      <c r="H10" s="148"/>
      <c r="I10" s="148"/>
      <c r="J10" s="149"/>
      <c r="K10" s="149"/>
      <c r="O10" s="552"/>
    </row>
    <row r="11" spans="1:15" ht="27.75" customHeight="1">
      <c r="A11" s="39">
        <v>4</v>
      </c>
      <c r="B11" s="40" t="s">
        <v>180</v>
      </c>
      <c r="C11" s="41" t="s">
        <v>181</v>
      </c>
      <c r="D11" s="83" t="s">
        <v>522</v>
      </c>
      <c r="E11" s="39">
        <v>1</v>
      </c>
      <c r="F11" s="47">
        <v>1444.5</v>
      </c>
      <c r="G11" s="116"/>
      <c r="H11" s="203"/>
      <c r="I11" s="203"/>
      <c r="J11" s="204"/>
      <c r="K11" s="204"/>
    </row>
    <row r="12" spans="1:15" s="226" customFormat="1" ht="27.75" customHeight="1">
      <c r="A12" s="39">
        <v>5</v>
      </c>
      <c r="B12" s="41" t="s">
        <v>252</v>
      </c>
      <c r="C12" s="224" t="s">
        <v>253</v>
      </c>
      <c r="D12" s="83" t="s">
        <v>634</v>
      </c>
      <c r="E12" s="116">
        <v>1</v>
      </c>
      <c r="F12" s="47">
        <v>6420</v>
      </c>
      <c r="G12" s="39"/>
      <c r="H12" s="55"/>
      <c r="I12" s="55"/>
      <c r="J12" s="56"/>
      <c r="K12" s="56"/>
      <c r="O12" s="552"/>
    </row>
    <row r="13" spans="1:15" s="226" customFormat="1" ht="27.75" customHeight="1">
      <c r="A13" s="39">
        <v>6</v>
      </c>
      <c r="B13" s="41" t="s">
        <v>254</v>
      </c>
      <c r="C13" s="224" t="s">
        <v>255</v>
      </c>
      <c r="D13" s="83" t="s">
        <v>634</v>
      </c>
      <c r="E13" s="116">
        <v>0.93457943925233611</v>
      </c>
      <c r="F13" s="47">
        <v>9630</v>
      </c>
      <c r="G13" s="39"/>
      <c r="H13" s="55"/>
      <c r="I13" s="55"/>
      <c r="J13" s="56"/>
      <c r="K13" s="56"/>
      <c r="O13" s="552"/>
    </row>
    <row r="14" spans="1:15" s="226" customFormat="1" ht="27.75" customHeight="1">
      <c r="A14" s="39">
        <v>7</v>
      </c>
      <c r="B14" s="266" t="s">
        <v>264</v>
      </c>
      <c r="C14" s="224" t="s">
        <v>199</v>
      </c>
      <c r="D14" s="83" t="s">
        <v>634</v>
      </c>
      <c r="E14" s="116">
        <v>0.934579439252336</v>
      </c>
      <c r="F14" s="47">
        <v>6420</v>
      </c>
      <c r="G14" s="39"/>
      <c r="H14" s="55"/>
      <c r="I14" s="55"/>
      <c r="J14" s="56"/>
      <c r="K14" s="56"/>
      <c r="O14" s="552"/>
    </row>
    <row r="15" spans="1:15" s="226" customFormat="1" ht="27.75" customHeight="1">
      <c r="A15" s="39">
        <v>8</v>
      </c>
      <c r="B15" s="81" t="s">
        <v>267</v>
      </c>
      <c r="C15" s="224" t="s">
        <v>268</v>
      </c>
      <c r="D15" s="83" t="s">
        <v>634</v>
      </c>
      <c r="E15" s="116">
        <v>0.93457943925233578</v>
      </c>
      <c r="F15" s="47">
        <v>6420</v>
      </c>
      <c r="G15" s="39"/>
      <c r="H15" s="55"/>
      <c r="I15" s="55"/>
      <c r="J15" s="56"/>
      <c r="K15" s="56"/>
      <c r="O15" s="552"/>
    </row>
    <row r="16" spans="1:15" ht="27.75" customHeight="1">
      <c r="A16" s="39">
        <v>9</v>
      </c>
      <c r="B16" s="280" t="s">
        <v>294</v>
      </c>
      <c r="C16" s="280" t="s">
        <v>255</v>
      </c>
      <c r="D16" s="320" t="s">
        <v>634</v>
      </c>
      <c r="E16" s="39">
        <v>1</v>
      </c>
      <c r="F16" s="66">
        <v>32.1</v>
      </c>
      <c r="G16" s="36"/>
      <c r="H16" s="37"/>
      <c r="I16" s="37"/>
      <c r="J16" s="38"/>
      <c r="K16" s="38"/>
      <c r="L16" s="38"/>
    </row>
    <row r="17" spans="1:16" ht="27.75" customHeight="1">
      <c r="A17" s="39">
        <v>10</v>
      </c>
      <c r="B17" s="270" t="s">
        <v>298</v>
      </c>
      <c r="C17" s="270" t="s">
        <v>199</v>
      </c>
      <c r="D17" s="327" t="s">
        <v>634</v>
      </c>
      <c r="E17" s="251">
        <v>1</v>
      </c>
      <c r="F17" s="66">
        <v>42.8</v>
      </c>
      <c r="G17" s="36"/>
      <c r="H17" s="37"/>
      <c r="I17" s="37"/>
      <c r="J17" s="38"/>
      <c r="K17" s="38"/>
      <c r="L17" s="38"/>
    </row>
    <row r="18" spans="1:16" ht="27.75" customHeight="1" thickBot="1">
      <c r="A18" s="414"/>
      <c r="B18" s="415"/>
      <c r="C18" s="416" t="s">
        <v>468</v>
      </c>
      <c r="D18" s="423"/>
      <c r="E18" s="422"/>
      <c r="F18" s="420">
        <v>39917.418130841113</v>
      </c>
      <c r="G18" s="424"/>
      <c r="H18" s="425"/>
      <c r="I18" s="425"/>
      <c r="J18" s="345"/>
      <c r="K18" s="345"/>
      <c r="L18" s="345"/>
      <c r="O18" s="561">
        <f>SUM(F8:F17)</f>
        <v>39917.41738317757</v>
      </c>
      <c r="P18" s="4" t="s">
        <v>818</v>
      </c>
    </row>
    <row r="19" spans="1:16" ht="27.75" customHeight="1" thickTop="1">
      <c r="A19" s="426"/>
      <c r="B19" s="4"/>
      <c r="C19" s="295"/>
      <c r="D19" s="433"/>
      <c r="E19" s="427"/>
      <c r="F19" s="430"/>
      <c r="G19" s="424"/>
      <c r="H19" s="425"/>
      <c r="I19" s="425"/>
      <c r="J19" s="345"/>
      <c r="K19" s="345"/>
      <c r="L19" s="345"/>
    </row>
    <row r="20" spans="1:16" ht="27.75" customHeight="1">
      <c r="A20" s="426"/>
      <c r="B20" s="434" t="s">
        <v>469</v>
      </c>
      <c r="C20" s="295"/>
      <c r="D20" s="433"/>
      <c r="E20" s="427"/>
      <c r="F20" s="430"/>
      <c r="G20" s="424"/>
      <c r="H20" s="425"/>
      <c r="I20" s="425"/>
      <c r="J20" s="345"/>
      <c r="K20" s="345"/>
      <c r="L20" s="345"/>
    </row>
    <row r="21" spans="1:16" ht="27.75" customHeight="1">
      <c r="A21" s="435">
        <v>1</v>
      </c>
      <c r="B21" s="436" t="s">
        <v>470</v>
      </c>
      <c r="C21" s="437" t="s">
        <v>471</v>
      </c>
      <c r="D21" s="435" t="s">
        <v>473</v>
      </c>
      <c r="E21" s="444">
        <v>21</v>
      </c>
      <c r="F21" s="17">
        <v>361288.35</v>
      </c>
      <c r="G21" s="251" t="s">
        <v>195</v>
      </c>
      <c r="H21" s="446">
        <v>41883</v>
      </c>
      <c r="I21" s="446">
        <v>42978</v>
      </c>
      <c r="J21" s="447">
        <v>90000</v>
      </c>
      <c r="K21" s="447" t="s">
        <v>474</v>
      </c>
    </row>
    <row r="22" spans="1:16" ht="27.75" customHeight="1">
      <c r="A22" s="435"/>
      <c r="B22" s="436" t="s">
        <v>476</v>
      </c>
      <c r="C22" s="437"/>
      <c r="D22" s="435"/>
      <c r="E22" s="444"/>
      <c r="F22" s="17">
        <v>0</v>
      </c>
      <c r="G22" s="116"/>
      <c r="H22" s="203"/>
      <c r="I22" s="203"/>
      <c r="J22" s="204"/>
      <c r="K22" s="204"/>
    </row>
    <row r="23" spans="1:16" ht="27.75" customHeight="1">
      <c r="A23" s="435"/>
      <c r="B23" s="674" t="s">
        <v>477</v>
      </c>
      <c r="C23" s="675"/>
      <c r="D23" s="435"/>
      <c r="E23" s="444"/>
      <c r="F23" s="17">
        <v>0</v>
      </c>
      <c r="G23" s="116"/>
      <c r="H23" s="203"/>
      <c r="I23" s="203"/>
      <c r="J23" s="204"/>
      <c r="K23" s="204"/>
    </row>
    <row r="24" spans="1:16" ht="27.75" customHeight="1">
      <c r="A24" s="435">
        <v>2</v>
      </c>
      <c r="B24" s="450" t="s">
        <v>470</v>
      </c>
      <c r="C24" s="451" t="s">
        <v>478</v>
      </c>
      <c r="D24" s="435" t="s">
        <v>479</v>
      </c>
      <c r="E24" s="444">
        <v>6</v>
      </c>
      <c r="F24" s="17">
        <v>96700.72</v>
      </c>
      <c r="G24" s="116"/>
      <c r="H24" s="203"/>
      <c r="I24" s="203"/>
      <c r="J24" s="204"/>
      <c r="K24" s="204"/>
    </row>
    <row r="25" spans="1:16" ht="27.75" customHeight="1">
      <c r="A25" s="435">
        <v>3</v>
      </c>
      <c r="B25" s="450" t="s">
        <v>470</v>
      </c>
      <c r="C25" s="451" t="s">
        <v>480</v>
      </c>
      <c r="D25" s="435" t="s">
        <v>481</v>
      </c>
      <c r="E25" s="444">
        <v>16</v>
      </c>
      <c r="F25" s="17">
        <v>285799.45</v>
      </c>
      <c r="G25" s="116"/>
      <c r="H25" s="203"/>
      <c r="I25" s="203"/>
      <c r="J25" s="204"/>
      <c r="K25" s="204"/>
    </row>
    <row r="26" spans="1:16" s="226" customFormat="1" ht="27.75" customHeight="1">
      <c r="A26" s="440">
        <v>4</v>
      </c>
      <c r="B26" s="436" t="s">
        <v>470</v>
      </c>
      <c r="C26" s="453" t="s">
        <v>482</v>
      </c>
      <c r="D26" s="435" t="s">
        <v>483</v>
      </c>
      <c r="E26" s="448" t="s">
        <v>195</v>
      </c>
      <c r="F26" s="17">
        <v>57055.05</v>
      </c>
      <c r="G26" s="39"/>
      <c r="H26" s="55"/>
      <c r="I26" s="55"/>
      <c r="J26" s="141"/>
      <c r="K26" s="141"/>
      <c r="N26" s="4"/>
      <c r="O26" s="552"/>
    </row>
    <row r="27" spans="1:16" s="226" customFormat="1" ht="27.75" customHeight="1">
      <c r="A27" s="440"/>
      <c r="B27" s="676" t="s">
        <v>484</v>
      </c>
      <c r="C27" s="677"/>
      <c r="D27" s="435"/>
      <c r="E27" s="448"/>
      <c r="F27" s="17">
        <v>0</v>
      </c>
      <c r="G27" s="122"/>
      <c r="H27" s="37"/>
      <c r="I27" s="37"/>
      <c r="J27" s="459"/>
      <c r="K27" s="459"/>
      <c r="N27" s="4"/>
      <c r="O27" s="552"/>
    </row>
    <row r="28" spans="1:16" ht="27.75" customHeight="1">
      <c r="A28" s="460">
        <v>5</v>
      </c>
      <c r="B28" s="436" t="s">
        <v>470</v>
      </c>
      <c r="C28" s="461" t="s">
        <v>485</v>
      </c>
      <c r="D28" s="435" t="s">
        <v>486</v>
      </c>
      <c r="E28" s="464" t="s">
        <v>195</v>
      </c>
      <c r="F28" s="17">
        <v>28958.15</v>
      </c>
      <c r="G28" s="36"/>
      <c r="H28" s="37"/>
      <c r="I28" s="37"/>
      <c r="J28" s="38"/>
      <c r="K28" s="38"/>
      <c r="L28" s="38"/>
    </row>
    <row r="29" spans="1:16" ht="27.6" customHeight="1">
      <c r="A29" s="460"/>
      <c r="B29" s="436" t="s">
        <v>488</v>
      </c>
      <c r="C29" s="461"/>
      <c r="D29" s="435"/>
      <c r="E29" s="444"/>
      <c r="F29" s="17"/>
      <c r="G29" s="36"/>
      <c r="H29" s="37"/>
      <c r="I29" s="37"/>
      <c r="J29" s="38"/>
      <c r="K29" s="38"/>
      <c r="L29" s="38"/>
    </row>
    <row r="30" spans="1:16" ht="27.6" customHeight="1">
      <c r="A30" s="460"/>
      <c r="B30" s="674" t="s">
        <v>489</v>
      </c>
      <c r="C30" s="675"/>
      <c r="D30" s="435"/>
      <c r="E30" s="444"/>
      <c r="F30" s="17"/>
      <c r="G30" s="36"/>
      <c r="H30" s="37"/>
      <c r="I30" s="37"/>
      <c r="J30" s="38"/>
      <c r="K30" s="38"/>
      <c r="L30" s="38"/>
    </row>
    <row r="31" spans="1:16" ht="27.75" customHeight="1" thickBot="1">
      <c r="A31" s="465"/>
      <c r="B31" s="466" t="s">
        <v>22</v>
      </c>
      <c r="C31" s="195"/>
      <c r="D31" s="315"/>
      <c r="E31" s="310"/>
      <c r="F31" s="313">
        <v>829801.72000000009</v>
      </c>
      <c r="G31" s="36"/>
      <c r="H31" s="37"/>
      <c r="I31" s="37"/>
      <c r="J31" s="38"/>
      <c r="K31" s="38"/>
      <c r="L31" s="38"/>
      <c r="O31" s="552">
        <v>829801.72000000009</v>
      </c>
    </row>
    <row r="32" spans="1:16" ht="27.75" customHeight="1" thickTop="1">
      <c r="A32" s="468"/>
      <c r="B32" s="469" t="s">
        <v>490</v>
      </c>
      <c r="C32" s="470"/>
      <c r="D32" s="186"/>
      <c r="E32" s="116"/>
      <c r="F32" s="474"/>
      <c r="G32" s="36"/>
      <c r="H32" s="37"/>
      <c r="I32" s="37"/>
      <c r="J32" s="38"/>
      <c r="K32" s="38"/>
      <c r="L32" s="38"/>
    </row>
    <row r="33" spans="1:16" ht="27.75" customHeight="1">
      <c r="A33" s="475">
        <v>1</v>
      </c>
      <c r="B33" s="436" t="s">
        <v>491</v>
      </c>
      <c r="C33" s="437" t="s">
        <v>492</v>
      </c>
      <c r="D33" s="435"/>
      <c r="E33" s="477"/>
      <c r="F33" s="481"/>
      <c r="G33" s="356"/>
      <c r="H33" s="482"/>
      <c r="I33" s="482"/>
      <c r="J33" s="483"/>
      <c r="K33" s="483"/>
    </row>
    <row r="34" spans="1:16" ht="27.75" customHeight="1">
      <c r="A34" s="475"/>
      <c r="B34" s="484" t="s">
        <v>494</v>
      </c>
      <c r="C34" s="437"/>
      <c r="D34" s="435"/>
      <c r="E34" s="477"/>
      <c r="F34" s="481"/>
      <c r="G34" s="485"/>
      <c r="H34" s="486"/>
      <c r="I34" s="486"/>
      <c r="J34" s="487"/>
      <c r="K34" s="487"/>
    </row>
    <row r="35" spans="1:16" ht="27.75" customHeight="1">
      <c r="A35" s="475">
        <v>2</v>
      </c>
      <c r="B35" s="436" t="s">
        <v>495</v>
      </c>
      <c r="C35" s="437" t="s">
        <v>496</v>
      </c>
      <c r="D35" s="435"/>
      <c r="E35" s="477" t="s">
        <v>497</v>
      </c>
      <c r="F35" s="17">
        <v>8214529.25</v>
      </c>
      <c r="G35" s="485"/>
      <c r="H35" s="486"/>
      <c r="I35" s="486"/>
      <c r="J35" s="487"/>
      <c r="K35" s="487"/>
    </row>
    <row r="36" spans="1:16" ht="27.75" customHeight="1">
      <c r="A36" s="405"/>
      <c r="B36" s="234" t="s">
        <v>22</v>
      </c>
      <c r="C36" s="407"/>
      <c r="D36" s="412"/>
      <c r="E36" s="408"/>
      <c r="F36" s="239">
        <v>8214529.25</v>
      </c>
      <c r="G36" s="278"/>
      <c r="H36" s="279"/>
      <c r="I36" s="279"/>
      <c r="J36" s="413"/>
      <c r="K36" s="413"/>
      <c r="L36" s="413"/>
      <c r="O36" s="552">
        <v>8214529.25</v>
      </c>
    </row>
    <row r="37" spans="1:16" ht="27.75" customHeight="1">
      <c r="A37" s="426"/>
      <c r="B37" s="4"/>
      <c r="C37" s="295"/>
      <c r="D37" s="433"/>
      <c r="E37" s="427"/>
      <c r="F37" s="430"/>
      <c r="G37" s="424"/>
      <c r="H37" s="425"/>
      <c r="I37" s="425"/>
      <c r="J37" s="345"/>
      <c r="K37" s="345"/>
      <c r="L37" s="345"/>
    </row>
    <row r="38" spans="1:16" ht="27.75" customHeight="1" thickBot="1">
      <c r="A38" s="488"/>
      <c r="B38" s="489" t="s">
        <v>498</v>
      </c>
      <c r="C38" s="490"/>
      <c r="D38" s="495"/>
      <c r="E38" s="496"/>
      <c r="F38" s="493">
        <v>9084248.3881308418</v>
      </c>
      <c r="G38" s="497">
        <v>0</v>
      </c>
      <c r="H38" s="497">
        <v>0</v>
      </c>
      <c r="I38" s="498"/>
      <c r="J38" s="499"/>
      <c r="K38" s="499"/>
      <c r="L38" s="499"/>
      <c r="O38" s="561">
        <v>9084248.3873831779</v>
      </c>
      <c r="P38" s="4" t="s">
        <v>819</v>
      </c>
    </row>
    <row r="39" spans="1:16" s="226" customFormat="1" ht="27.75" customHeight="1" thickTop="1">
      <c r="A39" s="6"/>
      <c r="B39" s="500"/>
      <c r="D39" s="372"/>
      <c r="E39" s="501"/>
      <c r="F39" s="504"/>
      <c r="G39" s="2"/>
      <c r="H39" s="425"/>
      <c r="I39" s="425"/>
      <c r="J39" s="345"/>
      <c r="K39" s="345"/>
      <c r="O39" s="552"/>
    </row>
    <row r="40" spans="1:16" s="226" customFormat="1" ht="27.75" customHeight="1">
      <c r="A40" s="6"/>
      <c r="B40" s="500"/>
      <c r="D40" s="372"/>
      <c r="E40" s="501"/>
      <c r="F40" s="504"/>
      <c r="G40" s="2"/>
      <c r="H40" s="425"/>
      <c r="I40" s="425"/>
      <c r="J40" s="345"/>
      <c r="K40" s="345"/>
      <c r="O40" s="552"/>
    </row>
    <row r="41" spans="1:16" s="226" customFormat="1" ht="27.75" customHeight="1">
      <c r="A41" s="6"/>
      <c r="B41" s="500"/>
      <c r="D41" s="372"/>
      <c r="E41" s="501"/>
      <c r="F41" s="504"/>
      <c r="G41" s="2"/>
      <c r="H41" s="425"/>
      <c r="I41" s="425"/>
      <c r="J41" s="345"/>
      <c r="K41" s="345"/>
      <c r="O41" s="552"/>
    </row>
    <row r="42" spans="1:16" s="226" customFormat="1" ht="27.75" customHeight="1">
      <c r="A42" s="6"/>
      <c r="B42" s="500"/>
      <c r="D42" s="372"/>
      <c r="E42" s="501"/>
      <c r="F42" s="430"/>
      <c r="G42" s="2"/>
      <c r="H42" s="425"/>
      <c r="I42" s="425"/>
      <c r="J42" s="345"/>
      <c r="K42" s="345"/>
      <c r="O42" s="552"/>
    </row>
    <row r="43" spans="1:16" s="226" customFormat="1" ht="27.75" customHeight="1">
      <c r="A43" s="6"/>
      <c r="B43" s="500"/>
      <c r="D43" s="372"/>
      <c r="E43" s="501"/>
      <c r="F43" s="504"/>
      <c r="G43" s="2"/>
      <c r="H43" s="425"/>
      <c r="I43" s="425"/>
      <c r="J43" s="345"/>
      <c r="K43" s="345"/>
      <c r="O43" s="552"/>
    </row>
    <row r="44" spans="1:16" s="226" customFormat="1" ht="27.75" customHeight="1">
      <c r="A44" s="6"/>
      <c r="B44" s="500"/>
      <c r="D44" s="372"/>
      <c r="E44" s="501"/>
      <c r="F44" s="504"/>
      <c r="G44" s="2"/>
      <c r="H44" s="425"/>
      <c r="I44" s="425"/>
      <c r="J44" s="345"/>
      <c r="K44" s="345"/>
      <c r="O44" s="552"/>
    </row>
    <row r="45" spans="1:16" s="226" customFormat="1" ht="27.75" customHeight="1">
      <c r="A45" s="6"/>
      <c r="B45" s="500"/>
      <c r="D45" s="372"/>
      <c r="E45" s="501"/>
      <c r="F45" s="430"/>
      <c r="G45" s="2"/>
      <c r="H45" s="425"/>
      <c r="I45" s="425"/>
      <c r="J45" s="345"/>
      <c r="K45" s="345"/>
      <c r="O45" s="552"/>
    </row>
    <row r="46" spans="1:16" s="226" customFormat="1" ht="27.75" customHeight="1">
      <c r="A46" s="6"/>
      <c r="B46" s="500"/>
      <c r="D46" s="372"/>
      <c r="E46" s="501"/>
      <c r="F46" s="504"/>
      <c r="G46" s="2"/>
      <c r="H46" s="425"/>
      <c r="I46" s="425"/>
      <c r="J46" s="345"/>
      <c r="K46" s="345"/>
      <c r="O46" s="552"/>
    </row>
    <row r="47" spans="1:16" s="226" customFormat="1" ht="27.75" customHeight="1">
      <c r="A47" s="6"/>
      <c r="B47" s="500"/>
      <c r="D47" s="372"/>
      <c r="E47" s="501"/>
      <c r="F47" s="504"/>
      <c r="G47" s="2"/>
      <c r="H47" s="425"/>
      <c r="I47" s="425"/>
      <c r="J47" s="345"/>
      <c r="K47" s="345"/>
      <c r="O47" s="552"/>
    </row>
    <row r="48" spans="1:16" s="226" customFormat="1" ht="27.75" customHeight="1">
      <c r="A48" s="6"/>
      <c r="B48" s="500"/>
      <c r="D48" s="372"/>
      <c r="E48" s="501"/>
      <c r="F48" s="504"/>
      <c r="G48" s="2"/>
      <c r="H48" s="425"/>
      <c r="I48" s="425"/>
      <c r="J48" s="345"/>
      <c r="K48" s="345"/>
      <c r="O48" s="552"/>
    </row>
    <row r="49" spans="1:15" s="226" customFormat="1" ht="27.75" customHeight="1">
      <c r="A49" s="6"/>
      <c r="B49" s="500"/>
      <c r="D49" s="372"/>
      <c r="E49" s="501"/>
      <c r="F49" s="504"/>
      <c r="G49" s="2"/>
      <c r="H49" s="425"/>
      <c r="I49" s="425"/>
      <c r="J49" s="345"/>
      <c r="K49" s="345"/>
      <c r="O49" s="552"/>
    </row>
    <row r="50" spans="1:15" s="226" customFormat="1" ht="27.75" customHeight="1">
      <c r="A50" s="6"/>
      <c r="B50" s="500"/>
      <c r="D50" s="372"/>
      <c r="E50" s="501"/>
      <c r="F50" s="504"/>
      <c r="G50" s="2"/>
      <c r="H50" s="425"/>
      <c r="I50" s="425"/>
      <c r="J50" s="345"/>
      <c r="K50" s="345"/>
      <c r="O50" s="552"/>
    </row>
    <row r="51" spans="1:15" s="226" customFormat="1" ht="27.75" customHeight="1">
      <c r="A51" s="6"/>
      <c r="B51" s="500"/>
      <c r="D51" s="372"/>
      <c r="E51" s="501"/>
      <c r="F51" s="504"/>
      <c r="G51" s="2"/>
      <c r="H51" s="425"/>
      <c r="I51" s="425"/>
      <c r="J51" s="345"/>
      <c r="K51" s="345"/>
      <c r="O51" s="552"/>
    </row>
    <row r="52" spans="1:15" s="226" customFormat="1" ht="27.75" customHeight="1">
      <c r="A52" s="6"/>
      <c r="B52" s="500"/>
      <c r="D52" s="372"/>
      <c r="E52" s="501"/>
      <c r="F52" s="504"/>
      <c r="G52" s="2"/>
      <c r="H52" s="425"/>
      <c r="I52" s="425"/>
      <c r="J52" s="345"/>
      <c r="K52" s="345"/>
      <c r="O52" s="552"/>
    </row>
    <row r="53" spans="1:15" s="226" customFormat="1" ht="27.75" customHeight="1">
      <c r="A53" s="6"/>
      <c r="B53" s="500"/>
      <c r="D53" s="372"/>
      <c r="E53" s="501"/>
      <c r="F53" s="504"/>
      <c r="G53" s="2"/>
      <c r="H53" s="425"/>
      <c r="I53" s="425"/>
      <c r="J53" s="345"/>
      <c r="K53" s="345"/>
      <c r="O53" s="552"/>
    </row>
    <row r="54" spans="1:15" s="226" customFormat="1" ht="27.75" customHeight="1">
      <c r="A54" s="6"/>
      <c r="B54" s="500"/>
      <c r="D54" s="372"/>
      <c r="E54" s="501"/>
      <c r="F54" s="504"/>
      <c r="G54" s="2"/>
      <c r="H54" s="425"/>
      <c r="I54" s="425"/>
      <c r="J54" s="345"/>
      <c r="K54" s="345"/>
      <c r="O54" s="552"/>
    </row>
    <row r="55" spans="1:15" s="226" customFormat="1" ht="27.75" customHeight="1">
      <c r="A55" s="6"/>
      <c r="D55" s="372"/>
      <c r="E55" s="501"/>
      <c r="F55" s="504"/>
      <c r="G55" s="2"/>
      <c r="H55" s="425"/>
      <c r="I55" s="425"/>
      <c r="J55" s="345"/>
      <c r="K55" s="345"/>
      <c r="O55" s="552"/>
    </row>
    <row r="56" spans="1:15" ht="27.75" customHeight="1">
      <c r="B56" s="4"/>
      <c r="E56" s="4"/>
      <c r="J56" s="4"/>
      <c r="K56" s="4"/>
    </row>
    <row r="57" spans="1:15" ht="27.75" customHeight="1">
      <c r="B57" s="4"/>
      <c r="E57" s="4"/>
      <c r="J57" s="4"/>
      <c r="K57" s="4"/>
    </row>
    <row r="58" spans="1:15" ht="27.75" customHeight="1">
      <c r="B58" s="4"/>
      <c r="E58" s="4"/>
      <c r="J58" s="4"/>
      <c r="K58" s="4"/>
    </row>
    <row r="59" spans="1:15" ht="27.75" customHeight="1">
      <c r="B59" s="4"/>
      <c r="E59" s="4"/>
      <c r="J59" s="4"/>
      <c r="K59" s="4"/>
    </row>
    <row r="60" spans="1:15" ht="27.75" customHeight="1">
      <c r="B60" s="4"/>
      <c r="E60" s="4"/>
      <c r="J60" s="4"/>
      <c r="K60" s="4"/>
    </row>
    <row r="61" spans="1:15" ht="27.75" customHeight="1">
      <c r="B61" s="4"/>
      <c r="E61" s="4"/>
      <c r="J61" s="4"/>
      <c r="K61" s="4"/>
    </row>
    <row r="62" spans="1:15" ht="27.75" customHeight="1">
      <c r="B62" s="4"/>
      <c r="E62" s="4"/>
      <c r="J62" s="4"/>
      <c r="K62" s="4"/>
    </row>
    <row r="63" spans="1:15" ht="27.75" customHeight="1">
      <c r="B63" s="4"/>
      <c r="E63" s="4"/>
      <c r="J63" s="4"/>
      <c r="K63" s="4"/>
    </row>
    <row r="64" spans="1:15" ht="27.75" customHeight="1">
      <c r="B64" s="4"/>
      <c r="E64" s="4"/>
      <c r="J64" s="4"/>
      <c r="K64" s="4"/>
    </row>
    <row r="65" spans="2:11" ht="27.75" customHeight="1">
      <c r="B65" s="4"/>
      <c r="E65" s="4"/>
      <c r="J65" s="4"/>
      <c r="K65" s="4"/>
    </row>
    <row r="66" spans="2:11" ht="27.75" customHeight="1">
      <c r="B66" s="4"/>
      <c r="E66" s="4"/>
      <c r="J66" s="4"/>
      <c r="K66" s="4"/>
    </row>
    <row r="67" spans="2:11" ht="27.75" customHeight="1">
      <c r="B67" s="4"/>
      <c r="E67" s="4"/>
      <c r="J67" s="4"/>
      <c r="K67" s="4"/>
    </row>
    <row r="68" spans="2:11" ht="27.75" customHeight="1">
      <c r="B68" s="4"/>
      <c r="E68" s="4"/>
      <c r="J68" s="4"/>
      <c r="K68" s="4"/>
    </row>
    <row r="69" spans="2:11" ht="27.75" customHeight="1">
      <c r="B69" s="4"/>
      <c r="E69" s="4"/>
      <c r="J69" s="4"/>
      <c r="K69" s="4"/>
    </row>
    <row r="70" spans="2:11" ht="27.75" customHeight="1">
      <c r="B70" s="4"/>
      <c r="E70" s="4"/>
      <c r="J70" s="4"/>
      <c r="K70" s="4"/>
    </row>
    <row r="71" spans="2:11" ht="27.75" customHeight="1">
      <c r="B71" s="4"/>
      <c r="E71" s="4"/>
      <c r="J71" s="4"/>
      <c r="K71" s="4"/>
    </row>
    <row r="83" spans="2:11" ht="27.75" customHeight="1">
      <c r="B83" s="4"/>
      <c r="E83" s="4"/>
      <c r="G83" s="4"/>
      <c r="H83" s="4"/>
      <c r="I83" s="4"/>
      <c r="J83" s="4"/>
      <c r="K83" s="4"/>
    </row>
    <row r="84" spans="2:11" ht="27.75" customHeight="1">
      <c r="B84" s="4"/>
      <c r="E84" s="4"/>
      <c r="G84" s="4"/>
      <c r="H84" s="4"/>
      <c r="I84" s="4"/>
      <c r="J84" s="4"/>
      <c r="K84" s="4"/>
    </row>
    <row r="85" spans="2:11" ht="27.75" customHeight="1">
      <c r="B85" s="4"/>
      <c r="E85" s="4"/>
      <c r="G85" s="4"/>
      <c r="H85" s="4"/>
      <c r="I85" s="4"/>
      <c r="J85" s="4"/>
      <c r="K85" s="4"/>
    </row>
    <row r="86" spans="2:11" ht="27.75" customHeight="1">
      <c r="B86" s="4"/>
      <c r="E86" s="4"/>
      <c r="G86" s="4"/>
      <c r="H86" s="4"/>
      <c r="I86" s="4"/>
      <c r="J86" s="4"/>
      <c r="K86" s="4"/>
    </row>
    <row r="87" spans="2:11" ht="27.75" customHeight="1">
      <c r="B87" s="4"/>
      <c r="E87" s="4"/>
      <c r="G87" s="4"/>
      <c r="H87" s="4"/>
      <c r="I87" s="4"/>
      <c r="J87" s="4"/>
      <c r="K87" s="4"/>
    </row>
    <row r="88" spans="2:11" ht="27.75" customHeight="1">
      <c r="B88" s="4"/>
      <c r="E88" s="4"/>
      <c r="G88" s="4"/>
      <c r="H88" s="4"/>
      <c r="I88" s="4"/>
      <c r="J88" s="4"/>
      <c r="K88" s="4"/>
    </row>
    <row r="89" spans="2:11" ht="27.75" customHeight="1">
      <c r="B89" s="4"/>
      <c r="E89" s="4"/>
      <c r="G89" s="4"/>
      <c r="H89" s="4"/>
      <c r="I89" s="4"/>
      <c r="J89" s="4"/>
      <c r="K89" s="4"/>
    </row>
    <row r="90" spans="2:11" ht="27.75" customHeight="1">
      <c r="B90" s="4"/>
      <c r="E90" s="4"/>
      <c r="G90" s="4"/>
      <c r="H90" s="4"/>
      <c r="I90" s="4"/>
      <c r="J90" s="4"/>
      <c r="K90" s="4"/>
    </row>
    <row r="91" spans="2:11" ht="27.75" customHeight="1">
      <c r="B91" s="4"/>
      <c r="E91" s="4"/>
      <c r="G91" s="4"/>
      <c r="H91" s="4"/>
      <c r="I91" s="4"/>
      <c r="J91" s="4"/>
      <c r="K91" s="4"/>
    </row>
    <row r="92" spans="2:11" ht="27.75" customHeight="1">
      <c r="B92" s="4"/>
      <c r="E92" s="4"/>
      <c r="G92" s="4"/>
      <c r="H92" s="4"/>
      <c r="I92" s="4"/>
      <c r="J92" s="4"/>
      <c r="K92" s="4"/>
    </row>
    <row r="93" spans="2:11" ht="27.75" customHeight="1">
      <c r="B93" s="4"/>
      <c r="E93" s="4"/>
      <c r="G93" s="4"/>
      <c r="H93" s="4"/>
      <c r="I93" s="4"/>
      <c r="J93" s="4"/>
      <c r="K93" s="4"/>
    </row>
    <row r="94" spans="2:11" ht="27.75" customHeight="1">
      <c r="B94" s="4"/>
      <c r="E94" s="4"/>
      <c r="G94" s="4"/>
      <c r="H94" s="4"/>
      <c r="I94" s="4"/>
      <c r="J94" s="4"/>
      <c r="K94" s="4"/>
    </row>
    <row r="95" spans="2:11" ht="27.75" customHeight="1">
      <c r="B95" s="4"/>
      <c r="E95" s="4"/>
      <c r="G95" s="4"/>
      <c r="H95" s="4"/>
      <c r="I95" s="4"/>
      <c r="J95" s="4"/>
      <c r="K95" s="4"/>
    </row>
  </sheetData>
  <mergeCells count="17">
    <mergeCell ref="B23:C23"/>
    <mergeCell ref="B27:C27"/>
    <mergeCell ref="B30:C30"/>
    <mergeCell ref="I4:I6"/>
    <mergeCell ref="J4:J6"/>
    <mergeCell ref="K4:K6"/>
    <mergeCell ref="A5:A6"/>
    <mergeCell ref="B5:B6"/>
    <mergeCell ref="C5:C6"/>
    <mergeCell ref="D5:D6"/>
    <mergeCell ref="E5:E6"/>
    <mergeCell ref="H4:H6"/>
    <mergeCell ref="A1:F1"/>
    <mergeCell ref="A2:F2"/>
    <mergeCell ref="A3:F3"/>
    <mergeCell ref="D4:F4"/>
    <mergeCell ref="G4:G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8FB5E-C7FD-486A-91FC-21453C479A4D}">
  <sheetPr>
    <tabColor rgb="FF92D050"/>
  </sheetPr>
  <dimension ref="A1:Y328"/>
  <sheetViews>
    <sheetView zoomScale="60" zoomScaleNormal="60" workbookViewId="0">
      <pane ySplit="6" topLeftCell="A253" activePane="bottomLeft" state="frozen"/>
      <selection pane="bottomLeft" activeCell="E269" sqref="E269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0.5546875" style="510" customWidth="1"/>
    <col min="5" max="5" width="18.88671875" style="511" customWidth="1"/>
    <col min="6" max="6" width="4.88671875" style="506" customWidth="1"/>
    <col min="7" max="7" width="20.109375" style="509" customWidth="1"/>
    <col min="8" max="8" width="18.33203125" style="509" customWidth="1"/>
    <col min="9" max="9" width="21.44140625" style="504" customWidth="1"/>
    <col min="10" max="10" width="21.6640625" style="3" customWidth="1"/>
    <col min="11" max="11" width="24.5546875" style="372" customWidth="1"/>
    <col min="12" max="12" width="22.109375" style="512" customWidth="1"/>
    <col min="13" max="13" width="20" style="372" customWidth="1"/>
    <col min="14" max="14" width="9.109375" style="2" customWidth="1"/>
    <col min="15" max="15" width="24" style="513" customWidth="1"/>
    <col min="16" max="16" width="16.6640625" style="513" customWidth="1"/>
    <col min="17" max="17" width="23.6640625" style="507" customWidth="1"/>
    <col min="18" max="18" width="5.33203125" style="2" hidden="1" customWidth="1"/>
    <col min="19" max="19" width="9" style="508" hidden="1" customWidth="1"/>
    <col min="20" max="20" width="9.6640625" style="508" hidden="1" customWidth="1"/>
    <col min="21" max="21" width="10.88671875" style="512" hidden="1" customWidth="1"/>
    <col min="22" max="22" width="24.5546875" style="512" hidden="1" customWidth="1"/>
    <col min="23" max="24" width="8.88671875" style="4" hidden="1" customWidth="1"/>
    <col min="25" max="16384" width="8.88671875" style="4"/>
  </cols>
  <sheetData>
    <row r="1" spans="1:23" ht="28.5" customHeight="1">
      <c r="A1" s="653" t="s">
        <v>0</v>
      </c>
      <c r="B1" s="653"/>
      <c r="C1" s="653"/>
      <c r="D1" s="653"/>
      <c r="E1" s="653"/>
      <c r="F1" s="653"/>
      <c r="G1" s="653"/>
      <c r="H1" s="653"/>
      <c r="I1" s="653"/>
      <c r="J1" s="653"/>
      <c r="K1" s="653"/>
      <c r="L1" s="653"/>
      <c r="M1" s="653"/>
      <c r="N1" s="653"/>
      <c r="O1" s="653"/>
      <c r="P1" s="653"/>
      <c r="Q1" s="653"/>
      <c r="S1" s="3"/>
      <c r="T1" s="3"/>
      <c r="U1" s="1"/>
      <c r="V1" s="1"/>
    </row>
    <row r="2" spans="1:23" ht="23.25" customHeight="1">
      <c r="A2" s="653" t="s">
        <v>1</v>
      </c>
      <c r="B2" s="653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3"/>
      <c r="R2" s="5"/>
      <c r="S2" s="3"/>
      <c r="T2" s="3"/>
      <c r="U2" s="1"/>
      <c r="V2" s="1"/>
    </row>
    <row r="3" spans="1:23" ht="28.5" customHeight="1">
      <c r="A3" s="654" t="s">
        <v>597</v>
      </c>
      <c r="B3" s="654"/>
      <c r="C3" s="654"/>
      <c r="D3" s="654"/>
      <c r="E3" s="654"/>
      <c r="F3" s="654"/>
      <c r="G3" s="654"/>
      <c r="H3" s="654"/>
      <c r="I3" s="654"/>
      <c r="J3" s="654"/>
      <c r="K3" s="654"/>
      <c r="L3" s="654"/>
      <c r="M3" s="654"/>
      <c r="N3" s="654"/>
      <c r="O3" s="654"/>
      <c r="P3" s="654"/>
      <c r="Q3" s="654"/>
      <c r="S3" s="3"/>
      <c r="T3" s="3"/>
      <c r="U3" s="6"/>
      <c r="V3" s="6"/>
    </row>
    <row r="4" spans="1:23" ht="27.75" customHeight="1">
      <c r="A4" s="7"/>
      <c r="B4" s="8"/>
      <c r="C4" s="9"/>
      <c r="D4" s="10"/>
      <c r="E4" s="655" t="s">
        <v>3</v>
      </c>
      <c r="F4" s="656"/>
      <c r="G4" s="656"/>
      <c r="H4" s="656"/>
      <c r="I4" s="657"/>
      <c r="J4" s="11"/>
      <c r="K4" s="12" t="s">
        <v>4</v>
      </c>
      <c r="L4" s="13"/>
      <c r="M4" s="655" t="s">
        <v>5</v>
      </c>
      <c r="N4" s="656"/>
      <c r="O4" s="656"/>
      <c r="P4" s="656"/>
      <c r="Q4" s="657"/>
      <c r="R4" s="658" t="s">
        <v>6</v>
      </c>
      <c r="S4" s="671" t="s">
        <v>7</v>
      </c>
      <c r="T4" s="671" t="s">
        <v>8</v>
      </c>
      <c r="U4" s="661" t="s">
        <v>9</v>
      </c>
      <c r="V4" s="661" t="s">
        <v>10</v>
      </c>
    </row>
    <row r="5" spans="1:23" ht="27.75" customHeight="1">
      <c r="A5" s="664" t="s">
        <v>11</v>
      </c>
      <c r="B5" s="666" t="s">
        <v>12</v>
      </c>
      <c r="C5" s="666" t="s">
        <v>13</v>
      </c>
      <c r="D5" s="685" t="s">
        <v>14</v>
      </c>
      <c r="E5" s="687" t="s">
        <v>15</v>
      </c>
      <c r="F5" s="689" t="s">
        <v>16</v>
      </c>
      <c r="G5" s="679" t="s">
        <v>17</v>
      </c>
      <c r="H5" s="680"/>
      <c r="I5" s="681"/>
      <c r="J5" s="14" t="s">
        <v>18</v>
      </c>
      <c r="K5" s="691" t="s">
        <v>19</v>
      </c>
      <c r="L5" s="693" t="s">
        <v>20</v>
      </c>
      <c r="M5" s="664" t="s">
        <v>15</v>
      </c>
      <c r="N5" s="669" t="s">
        <v>16</v>
      </c>
      <c r="O5" s="679" t="s">
        <v>17</v>
      </c>
      <c r="P5" s="680"/>
      <c r="Q5" s="681"/>
      <c r="R5" s="659"/>
      <c r="S5" s="672"/>
      <c r="T5" s="672"/>
      <c r="U5" s="662"/>
      <c r="V5" s="662"/>
    </row>
    <row r="6" spans="1:23" ht="27.75" customHeight="1" thickBot="1">
      <c r="A6" s="665"/>
      <c r="B6" s="667"/>
      <c r="C6" s="667"/>
      <c r="D6" s="686"/>
      <c r="E6" s="688"/>
      <c r="F6" s="690"/>
      <c r="G6" s="15" t="s">
        <v>20</v>
      </c>
      <c r="H6" s="16" t="s">
        <v>21</v>
      </c>
      <c r="I6" s="17" t="s">
        <v>22</v>
      </c>
      <c r="J6" s="18"/>
      <c r="K6" s="692"/>
      <c r="L6" s="694"/>
      <c r="M6" s="668"/>
      <c r="N6" s="670"/>
      <c r="O6" s="19" t="s">
        <v>20</v>
      </c>
      <c r="P6" s="20" t="s">
        <v>21</v>
      </c>
      <c r="Q6" s="21" t="s">
        <v>22</v>
      </c>
      <c r="R6" s="660"/>
      <c r="S6" s="673"/>
      <c r="T6" s="673"/>
      <c r="U6" s="663"/>
      <c r="V6" s="663"/>
    </row>
    <row r="7" spans="1:23" ht="27.75" customHeight="1" thickTop="1">
      <c r="A7" s="22"/>
      <c r="B7" s="23" t="s">
        <v>23</v>
      </c>
      <c r="C7" s="24"/>
      <c r="D7" s="25"/>
      <c r="E7" s="26"/>
      <c r="F7" s="27"/>
      <c r="G7" s="28"/>
      <c r="H7" s="28"/>
      <c r="I7" s="28"/>
      <c r="J7" s="29"/>
      <c r="K7" s="30"/>
      <c r="L7" s="31"/>
      <c r="M7" s="32"/>
      <c r="N7" s="33"/>
      <c r="O7" s="34"/>
      <c r="P7" s="34"/>
      <c r="Q7" s="35"/>
      <c r="R7" s="36"/>
      <c r="S7" s="37"/>
      <c r="T7" s="37"/>
      <c r="U7" s="38"/>
      <c r="V7" s="38"/>
      <c r="W7" s="38"/>
    </row>
    <row r="8" spans="1:23" s="57" customFormat="1" ht="27.75" customHeight="1">
      <c r="A8" s="39">
        <v>1</v>
      </c>
      <c r="B8" s="40" t="s">
        <v>24</v>
      </c>
      <c r="C8" s="41" t="s">
        <v>25</v>
      </c>
      <c r="D8" s="42">
        <v>4012.5</v>
      </c>
      <c r="E8" s="43" t="s">
        <v>26</v>
      </c>
      <c r="F8" s="44">
        <v>0</v>
      </c>
      <c r="G8" s="45">
        <v>0</v>
      </c>
      <c r="H8" s="46">
        <v>0</v>
      </c>
      <c r="I8" s="47">
        <v>0</v>
      </c>
      <c r="J8" s="48">
        <v>45965</v>
      </c>
      <c r="K8" s="49" t="s">
        <v>598</v>
      </c>
      <c r="L8" s="50">
        <v>4012.5</v>
      </c>
      <c r="M8" s="51"/>
      <c r="N8" s="52"/>
      <c r="O8" s="53">
        <v>0</v>
      </c>
      <c r="P8" s="53">
        <f t="shared" ref="P8:P44" si="0">ROUND((O8*0.07),2)</f>
        <v>0</v>
      </c>
      <c r="Q8" s="54">
        <f t="shared" ref="Q8:Q44" si="1">+O8+P8</f>
        <v>0</v>
      </c>
      <c r="R8" s="39"/>
      <c r="S8" s="55"/>
      <c r="T8" s="55"/>
      <c r="U8" s="56"/>
      <c r="V8" s="56"/>
    </row>
    <row r="9" spans="1:23" s="57" customFormat="1" ht="27.75" customHeight="1">
      <c r="A9" s="39">
        <v>2</v>
      </c>
      <c r="B9" s="40" t="s">
        <v>28</v>
      </c>
      <c r="C9" s="41" t="s">
        <v>29</v>
      </c>
      <c r="D9" s="58">
        <v>4012.5</v>
      </c>
      <c r="E9" s="43" t="s">
        <v>26</v>
      </c>
      <c r="F9" s="44">
        <v>0</v>
      </c>
      <c r="G9" s="45">
        <v>0</v>
      </c>
      <c r="H9" s="46">
        <v>0</v>
      </c>
      <c r="I9" s="47">
        <v>0</v>
      </c>
      <c r="J9" s="48">
        <v>45962</v>
      </c>
      <c r="K9" s="49" t="s">
        <v>599</v>
      </c>
      <c r="L9" s="50">
        <v>4012.5</v>
      </c>
      <c r="M9" s="51"/>
      <c r="N9" s="52"/>
      <c r="O9" s="53">
        <f>+(D9*100/107)+G9-(L9*100/107)</f>
        <v>0</v>
      </c>
      <c r="P9" s="53">
        <f t="shared" si="0"/>
        <v>0</v>
      </c>
      <c r="Q9" s="54">
        <f t="shared" si="1"/>
        <v>0</v>
      </c>
      <c r="R9" s="39"/>
      <c r="S9" s="55"/>
      <c r="T9" s="55"/>
      <c r="U9" s="56"/>
      <c r="V9" s="56"/>
    </row>
    <row r="10" spans="1:23" s="57" customFormat="1" ht="27.75" customHeight="1">
      <c r="A10" s="39">
        <v>3</v>
      </c>
      <c r="B10" s="40" t="s">
        <v>24</v>
      </c>
      <c r="C10" s="41" t="s">
        <v>33</v>
      </c>
      <c r="D10" s="58">
        <v>4012.5</v>
      </c>
      <c r="E10" s="43" t="s">
        <v>26</v>
      </c>
      <c r="F10" s="44">
        <v>0</v>
      </c>
      <c r="G10" s="45">
        <v>0</v>
      </c>
      <c r="H10" s="46">
        <v>0</v>
      </c>
      <c r="I10" s="47">
        <v>0</v>
      </c>
      <c r="J10" s="48">
        <v>45965</v>
      </c>
      <c r="K10" s="49" t="s">
        <v>598</v>
      </c>
      <c r="L10" s="50">
        <v>4012.5</v>
      </c>
      <c r="M10" s="51"/>
      <c r="N10" s="52"/>
      <c r="O10" s="53">
        <f t="shared" ref="O10:O23" si="2">+(D10*100/107)+G10-(L10*100/107)</f>
        <v>0</v>
      </c>
      <c r="P10" s="53">
        <f t="shared" si="0"/>
        <v>0</v>
      </c>
      <c r="Q10" s="54">
        <f t="shared" si="1"/>
        <v>0</v>
      </c>
      <c r="R10" s="39"/>
      <c r="S10" s="55"/>
      <c r="T10" s="55"/>
      <c r="U10" s="56"/>
      <c r="V10" s="56"/>
    </row>
    <row r="11" spans="1:23" s="57" customFormat="1" ht="27.75" customHeight="1">
      <c r="A11" s="39">
        <v>4</v>
      </c>
      <c r="B11" s="40" t="s">
        <v>34</v>
      </c>
      <c r="C11" s="41" t="s">
        <v>35</v>
      </c>
      <c r="D11" s="58">
        <v>4012.5</v>
      </c>
      <c r="E11" s="43" t="s">
        <v>26</v>
      </c>
      <c r="F11" s="44">
        <v>0</v>
      </c>
      <c r="G11" s="45">
        <v>0</v>
      </c>
      <c r="H11" s="46">
        <v>0</v>
      </c>
      <c r="I11" s="47">
        <v>0</v>
      </c>
      <c r="J11" s="48">
        <v>45962</v>
      </c>
      <c r="K11" s="49" t="s">
        <v>599</v>
      </c>
      <c r="L11" s="50">
        <v>4012.5</v>
      </c>
      <c r="M11" s="51"/>
      <c r="N11" s="52"/>
      <c r="O11" s="53">
        <f t="shared" si="2"/>
        <v>0</v>
      </c>
      <c r="P11" s="53">
        <f t="shared" si="0"/>
        <v>0</v>
      </c>
      <c r="Q11" s="54">
        <f t="shared" si="1"/>
        <v>0</v>
      </c>
      <c r="R11" s="39"/>
      <c r="S11" s="55"/>
      <c r="T11" s="55"/>
      <c r="U11" s="56"/>
      <c r="V11" s="56"/>
    </row>
    <row r="12" spans="1:23" s="57" customFormat="1" ht="27.75" customHeight="1">
      <c r="A12" s="39">
        <v>5</v>
      </c>
      <c r="B12" s="40" t="s">
        <v>36</v>
      </c>
      <c r="C12" s="41" t="s">
        <v>37</v>
      </c>
      <c r="D12" s="58">
        <v>4012.5</v>
      </c>
      <c r="E12" s="43" t="s">
        <v>26</v>
      </c>
      <c r="F12" s="44">
        <v>0</v>
      </c>
      <c r="G12" s="45">
        <v>0</v>
      </c>
      <c r="H12" s="46">
        <v>0</v>
      </c>
      <c r="I12" s="47">
        <v>0</v>
      </c>
      <c r="J12" s="48">
        <v>45966</v>
      </c>
      <c r="K12" s="49" t="s">
        <v>600</v>
      </c>
      <c r="L12" s="50">
        <v>4012.5</v>
      </c>
      <c r="M12" s="51"/>
      <c r="N12" s="52"/>
      <c r="O12" s="53">
        <f t="shared" si="2"/>
        <v>0</v>
      </c>
      <c r="P12" s="53">
        <f t="shared" si="0"/>
        <v>0</v>
      </c>
      <c r="Q12" s="54">
        <f t="shared" si="1"/>
        <v>0</v>
      </c>
      <c r="R12" s="39"/>
      <c r="S12" s="55"/>
      <c r="T12" s="55"/>
      <c r="U12" s="56"/>
      <c r="V12" s="56"/>
    </row>
    <row r="13" spans="1:23" s="57" customFormat="1" ht="27.75" customHeight="1">
      <c r="A13" s="39">
        <v>6</v>
      </c>
      <c r="B13" s="40" t="s">
        <v>34</v>
      </c>
      <c r="C13" s="41" t="s">
        <v>39</v>
      </c>
      <c r="D13" s="58">
        <v>4012.5</v>
      </c>
      <c r="E13" s="43" t="s">
        <v>26</v>
      </c>
      <c r="F13" s="44">
        <v>0</v>
      </c>
      <c r="G13" s="45">
        <v>0</v>
      </c>
      <c r="H13" s="46">
        <v>0</v>
      </c>
      <c r="I13" s="47">
        <v>0</v>
      </c>
      <c r="J13" s="48">
        <v>45962</v>
      </c>
      <c r="K13" s="49" t="s">
        <v>599</v>
      </c>
      <c r="L13" s="50">
        <v>4012.5</v>
      </c>
      <c r="M13" s="51"/>
      <c r="N13" s="52"/>
      <c r="O13" s="53">
        <f t="shared" si="2"/>
        <v>0</v>
      </c>
      <c r="P13" s="53">
        <f t="shared" si="0"/>
        <v>0</v>
      </c>
      <c r="Q13" s="54">
        <f t="shared" si="1"/>
        <v>0</v>
      </c>
      <c r="R13" s="39"/>
      <c r="S13" s="55"/>
      <c r="T13" s="55"/>
      <c r="U13" s="56"/>
      <c r="V13" s="56"/>
    </row>
    <row r="14" spans="1:23" s="57" customFormat="1" ht="27.75" customHeight="1">
      <c r="A14" s="39">
        <v>7</v>
      </c>
      <c r="B14" s="40" t="s">
        <v>40</v>
      </c>
      <c r="C14" s="41" t="s">
        <v>41</v>
      </c>
      <c r="D14" s="58">
        <v>4012.5</v>
      </c>
      <c r="E14" s="43" t="s">
        <v>26</v>
      </c>
      <c r="F14" s="44">
        <v>0</v>
      </c>
      <c r="G14" s="45">
        <v>0</v>
      </c>
      <c r="H14" s="46">
        <v>0</v>
      </c>
      <c r="I14" s="47">
        <v>0</v>
      </c>
      <c r="J14" s="48">
        <v>45966</v>
      </c>
      <c r="K14" s="49" t="s">
        <v>601</v>
      </c>
      <c r="L14" s="50">
        <v>4012.5</v>
      </c>
      <c r="M14" s="51"/>
      <c r="N14" s="52"/>
      <c r="O14" s="53">
        <f t="shared" si="2"/>
        <v>0</v>
      </c>
      <c r="P14" s="53">
        <f t="shared" si="0"/>
        <v>0</v>
      </c>
      <c r="Q14" s="54">
        <f t="shared" si="1"/>
        <v>0</v>
      </c>
      <c r="R14" s="39"/>
      <c r="S14" s="55"/>
      <c r="T14" s="55"/>
      <c r="U14" s="56"/>
      <c r="V14" s="56"/>
    </row>
    <row r="15" spans="1:23" s="57" customFormat="1" ht="27.75" customHeight="1">
      <c r="A15" s="39">
        <v>8</v>
      </c>
      <c r="B15" s="40" t="s">
        <v>43</v>
      </c>
      <c r="C15" s="41" t="s">
        <v>44</v>
      </c>
      <c r="D15" s="58">
        <v>4012.5</v>
      </c>
      <c r="E15" s="43" t="s">
        <v>45</v>
      </c>
      <c r="F15" s="44">
        <v>0</v>
      </c>
      <c r="G15" s="45">
        <v>0</v>
      </c>
      <c r="H15" s="46">
        <v>0</v>
      </c>
      <c r="I15" s="47">
        <v>0</v>
      </c>
      <c r="J15" s="48">
        <v>45963</v>
      </c>
      <c r="K15" s="49" t="s">
        <v>602</v>
      </c>
      <c r="L15" s="50">
        <v>4012.5</v>
      </c>
      <c r="M15" s="51"/>
      <c r="N15" s="52"/>
      <c r="O15" s="53">
        <f t="shared" si="2"/>
        <v>0</v>
      </c>
      <c r="P15" s="53">
        <f t="shared" si="0"/>
        <v>0</v>
      </c>
      <c r="Q15" s="54">
        <f t="shared" si="1"/>
        <v>0</v>
      </c>
      <c r="R15" s="39"/>
      <c r="S15" s="55"/>
      <c r="T15" s="55"/>
      <c r="U15" s="56"/>
      <c r="V15" s="56"/>
    </row>
    <row r="16" spans="1:23" s="57" customFormat="1" ht="27.75" customHeight="1">
      <c r="A16" s="39">
        <v>9</v>
      </c>
      <c r="B16" s="40" t="s">
        <v>47</v>
      </c>
      <c r="C16" s="41" t="s">
        <v>48</v>
      </c>
      <c r="D16" s="58">
        <v>4012.5</v>
      </c>
      <c r="E16" s="43" t="s">
        <v>26</v>
      </c>
      <c r="F16" s="44">
        <v>0</v>
      </c>
      <c r="G16" s="45">
        <v>0</v>
      </c>
      <c r="H16" s="46">
        <v>0</v>
      </c>
      <c r="I16" s="47">
        <v>0</v>
      </c>
      <c r="J16" s="48">
        <v>45964</v>
      </c>
      <c r="K16" s="49" t="s">
        <v>603</v>
      </c>
      <c r="L16" s="50">
        <v>4012.5</v>
      </c>
      <c r="M16" s="51"/>
      <c r="N16" s="52"/>
      <c r="O16" s="53">
        <f t="shared" si="2"/>
        <v>0</v>
      </c>
      <c r="P16" s="53">
        <f t="shared" si="0"/>
        <v>0</v>
      </c>
      <c r="Q16" s="54">
        <f t="shared" si="1"/>
        <v>0</v>
      </c>
      <c r="R16" s="39"/>
      <c r="S16" s="55"/>
      <c r="T16" s="55"/>
      <c r="U16" s="56"/>
      <c r="V16" s="56"/>
    </row>
    <row r="17" spans="1:25" s="57" customFormat="1" ht="27.75" customHeight="1">
      <c r="A17" s="39">
        <v>10</v>
      </c>
      <c r="B17" s="40" t="s">
        <v>50</v>
      </c>
      <c r="C17" s="41" t="s">
        <v>51</v>
      </c>
      <c r="D17" s="58">
        <v>4012.5</v>
      </c>
      <c r="E17" s="43" t="s">
        <v>45</v>
      </c>
      <c r="F17" s="44">
        <v>0</v>
      </c>
      <c r="G17" s="45">
        <v>0</v>
      </c>
      <c r="H17" s="46">
        <v>0</v>
      </c>
      <c r="I17" s="47">
        <v>0</v>
      </c>
      <c r="J17" s="48">
        <v>45965</v>
      </c>
      <c r="K17" s="49" t="s">
        <v>604</v>
      </c>
      <c r="L17" s="50">
        <v>4012.5</v>
      </c>
      <c r="M17" s="51"/>
      <c r="N17" s="52"/>
      <c r="O17" s="53">
        <f t="shared" si="2"/>
        <v>0</v>
      </c>
      <c r="P17" s="53">
        <f t="shared" si="0"/>
        <v>0</v>
      </c>
      <c r="Q17" s="54">
        <f t="shared" si="1"/>
        <v>0</v>
      </c>
      <c r="R17" s="39"/>
      <c r="S17" s="55"/>
      <c r="T17" s="55"/>
      <c r="U17" s="56"/>
      <c r="V17" s="56"/>
    </row>
    <row r="18" spans="1:25" s="57" customFormat="1" ht="27.75" customHeight="1">
      <c r="A18" s="39">
        <v>11</v>
      </c>
      <c r="B18" s="40" t="s">
        <v>53</v>
      </c>
      <c r="C18" s="41" t="s">
        <v>54</v>
      </c>
      <c r="D18" s="58">
        <v>4012.5</v>
      </c>
      <c r="E18" s="43" t="s">
        <v>45</v>
      </c>
      <c r="F18" s="44">
        <v>0</v>
      </c>
      <c r="G18" s="45">
        <v>0</v>
      </c>
      <c r="H18" s="46">
        <v>0</v>
      </c>
      <c r="I18" s="47">
        <v>0</v>
      </c>
      <c r="J18" s="48">
        <v>45966</v>
      </c>
      <c r="K18" s="59" t="s">
        <v>605</v>
      </c>
      <c r="L18" s="50">
        <v>4012.5</v>
      </c>
      <c r="M18" s="51"/>
      <c r="N18" s="52"/>
      <c r="O18" s="53">
        <f t="shared" si="2"/>
        <v>0</v>
      </c>
      <c r="P18" s="53">
        <f t="shared" si="0"/>
        <v>0</v>
      </c>
      <c r="Q18" s="54">
        <f t="shared" si="1"/>
        <v>0</v>
      </c>
      <c r="R18" s="39"/>
      <c r="S18" s="55"/>
      <c r="T18" s="55"/>
      <c r="U18" s="56"/>
      <c r="V18" s="56"/>
      <c r="Y18" s="57" t="s">
        <v>56</v>
      </c>
    </row>
    <row r="19" spans="1:25" s="57" customFormat="1" ht="27.75" customHeight="1">
      <c r="A19" s="39">
        <v>12</v>
      </c>
      <c r="B19" s="40" t="s">
        <v>57</v>
      </c>
      <c r="C19" s="41" t="s">
        <v>58</v>
      </c>
      <c r="D19" s="58">
        <v>4012.5</v>
      </c>
      <c r="E19" s="43" t="s">
        <v>26</v>
      </c>
      <c r="F19" s="44">
        <v>0</v>
      </c>
      <c r="G19" s="45">
        <v>0</v>
      </c>
      <c r="H19" s="46">
        <v>0</v>
      </c>
      <c r="I19" s="47">
        <v>0</v>
      </c>
      <c r="J19" s="48">
        <v>45962</v>
      </c>
      <c r="K19" s="49" t="s">
        <v>606</v>
      </c>
      <c r="L19" s="50">
        <v>4012.5</v>
      </c>
      <c r="M19" s="51"/>
      <c r="N19" s="52"/>
      <c r="O19" s="53">
        <f t="shared" si="2"/>
        <v>0</v>
      </c>
      <c r="P19" s="53">
        <f t="shared" si="0"/>
        <v>0</v>
      </c>
      <c r="Q19" s="54">
        <f t="shared" si="1"/>
        <v>0</v>
      </c>
      <c r="R19" s="39"/>
      <c r="S19" s="55"/>
      <c r="T19" s="55"/>
      <c r="U19" s="56"/>
      <c r="V19" s="56"/>
    </row>
    <row r="20" spans="1:25" s="57" customFormat="1" ht="27.75" customHeight="1">
      <c r="A20" s="39">
        <v>13</v>
      </c>
      <c r="B20" s="40" t="s">
        <v>60</v>
      </c>
      <c r="C20" s="41" t="s">
        <v>61</v>
      </c>
      <c r="D20" s="58">
        <v>4012.5</v>
      </c>
      <c r="E20" s="43" t="s">
        <v>26</v>
      </c>
      <c r="F20" s="44">
        <v>0</v>
      </c>
      <c r="G20" s="45">
        <v>0</v>
      </c>
      <c r="H20" s="46">
        <v>0</v>
      </c>
      <c r="I20" s="47">
        <v>0</v>
      </c>
      <c r="J20" s="48">
        <v>45962</v>
      </c>
      <c r="K20" s="49" t="s">
        <v>607</v>
      </c>
      <c r="L20" s="50">
        <v>4012.5</v>
      </c>
      <c r="M20" s="51"/>
      <c r="N20" s="52"/>
      <c r="O20" s="53">
        <f t="shared" si="2"/>
        <v>0</v>
      </c>
      <c r="P20" s="53">
        <f t="shared" si="0"/>
        <v>0</v>
      </c>
      <c r="Q20" s="54">
        <f t="shared" si="1"/>
        <v>0</v>
      </c>
      <c r="R20" s="39"/>
      <c r="S20" s="55"/>
      <c r="T20" s="55"/>
      <c r="U20" s="56"/>
      <c r="V20" s="56"/>
    </row>
    <row r="21" spans="1:25" s="57" customFormat="1" ht="27.75" customHeight="1">
      <c r="A21" s="39">
        <v>14</v>
      </c>
      <c r="B21" s="40" t="s">
        <v>63</v>
      </c>
      <c r="C21" s="41" t="s">
        <v>64</v>
      </c>
      <c r="D21" s="58">
        <v>4012.5</v>
      </c>
      <c r="E21" s="43" t="s">
        <v>26</v>
      </c>
      <c r="F21" s="44">
        <v>0</v>
      </c>
      <c r="G21" s="45">
        <v>0</v>
      </c>
      <c r="H21" s="46">
        <v>0</v>
      </c>
      <c r="I21" s="47">
        <v>0</v>
      </c>
      <c r="J21" s="48">
        <v>45966</v>
      </c>
      <c r="K21" s="49" t="s">
        <v>608</v>
      </c>
      <c r="L21" s="50">
        <v>4012.5</v>
      </c>
      <c r="M21" s="51"/>
      <c r="N21" s="52"/>
      <c r="O21" s="53">
        <f t="shared" si="2"/>
        <v>0</v>
      </c>
      <c r="P21" s="53">
        <f t="shared" si="0"/>
        <v>0</v>
      </c>
      <c r="Q21" s="54">
        <f t="shared" si="1"/>
        <v>0</v>
      </c>
      <c r="R21" s="39"/>
      <c r="S21" s="55"/>
      <c r="T21" s="55"/>
      <c r="U21" s="56"/>
      <c r="V21" s="56"/>
    </row>
    <row r="22" spans="1:25" s="57" customFormat="1" ht="27.75" customHeight="1">
      <c r="A22" s="39">
        <v>15</v>
      </c>
      <c r="B22" s="40" t="s">
        <v>66</v>
      </c>
      <c r="C22" s="41" t="s">
        <v>67</v>
      </c>
      <c r="D22" s="58">
        <v>12037.5</v>
      </c>
      <c r="E22" s="43" t="s">
        <v>32</v>
      </c>
      <c r="F22" s="60">
        <v>1</v>
      </c>
      <c r="G22" s="61">
        <v>11250</v>
      </c>
      <c r="H22" s="46">
        <v>787.5</v>
      </c>
      <c r="I22" s="47">
        <v>12037.5</v>
      </c>
      <c r="J22" s="62" t="s">
        <v>609</v>
      </c>
      <c r="K22" s="49" t="s">
        <v>610</v>
      </c>
      <c r="L22" s="50">
        <v>24075</v>
      </c>
      <c r="M22" s="51"/>
      <c r="N22" s="52"/>
      <c r="O22" s="53">
        <f t="shared" si="2"/>
        <v>0</v>
      </c>
      <c r="P22" s="53">
        <f t="shared" si="0"/>
        <v>0</v>
      </c>
      <c r="Q22" s="54">
        <f t="shared" si="1"/>
        <v>0</v>
      </c>
      <c r="R22" s="39"/>
      <c r="S22" s="55"/>
      <c r="T22" s="55"/>
      <c r="U22" s="56"/>
      <c r="V22" s="56"/>
    </row>
    <row r="23" spans="1:25" s="57" customFormat="1" ht="27.75" customHeight="1">
      <c r="A23" s="39">
        <v>16</v>
      </c>
      <c r="B23" s="40" t="s">
        <v>66</v>
      </c>
      <c r="C23" s="41" t="s">
        <v>69</v>
      </c>
      <c r="D23" s="63">
        <v>4012.5</v>
      </c>
      <c r="E23" s="64" t="s">
        <v>32</v>
      </c>
      <c r="F23" s="44">
        <v>1</v>
      </c>
      <c r="G23" s="45">
        <v>3750</v>
      </c>
      <c r="H23" s="65">
        <v>262.5</v>
      </c>
      <c r="I23" s="66">
        <v>4012.5</v>
      </c>
      <c r="J23" s="62" t="s">
        <v>609</v>
      </c>
      <c r="K23" s="49" t="s">
        <v>611</v>
      </c>
      <c r="L23" s="50">
        <v>8025</v>
      </c>
      <c r="M23" s="51"/>
      <c r="N23" s="52"/>
      <c r="O23" s="53">
        <f t="shared" si="2"/>
        <v>0</v>
      </c>
      <c r="P23" s="53">
        <f t="shared" si="0"/>
        <v>0</v>
      </c>
      <c r="Q23" s="54">
        <f t="shared" si="1"/>
        <v>0</v>
      </c>
      <c r="R23" s="39"/>
      <c r="S23" s="55"/>
      <c r="T23" s="55"/>
      <c r="U23" s="56"/>
      <c r="V23" s="56"/>
    </row>
    <row r="24" spans="1:25" s="57" customFormat="1" ht="35.25" customHeight="1" thickBot="1">
      <c r="A24" s="67"/>
      <c r="B24" s="68" t="s">
        <v>22</v>
      </c>
      <c r="C24" s="69"/>
      <c r="D24" s="70">
        <f>SUM(D8:D23)</f>
        <v>72225</v>
      </c>
      <c r="E24" s="71"/>
      <c r="F24" s="72"/>
      <c r="G24" s="73">
        <f>SUM(G8:G23)</f>
        <v>15000</v>
      </c>
      <c r="H24" s="73">
        <f>SUM(H8:H23)</f>
        <v>1050</v>
      </c>
      <c r="I24" s="73">
        <f>SUM(I8:I23)</f>
        <v>16050</v>
      </c>
      <c r="J24" s="74"/>
      <c r="K24" s="75"/>
      <c r="L24" s="76">
        <f>SUM(L8:L23)</f>
        <v>88275</v>
      </c>
      <c r="M24" s="77"/>
      <c r="N24" s="78"/>
      <c r="O24" s="79">
        <f>SUM(O8:O23)</f>
        <v>0</v>
      </c>
      <c r="P24" s="79">
        <f t="shared" ref="P24:Q24" si="3">SUM(P8:P23)</f>
        <v>0</v>
      </c>
      <c r="Q24" s="79">
        <f t="shared" si="3"/>
        <v>0</v>
      </c>
      <c r="R24" s="39"/>
      <c r="S24" s="55"/>
      <c r="T24" s="55"/>
      <c r="U24" s="56"/>
      <c r="V24" s="56"/>
    </row>
    <row r="25" spans="1:25" s="91" customFormat="1" ht="27.75" customHeight="1" thickTop="1">
      <c r="A25" s="39">
        <v>1</v>
      </c>
      <c r="B25" s="80" t="s">
        <v>71</v>
      </c>
      <c r="C25" s="81" t="s">
        <v>72</v>
      </c>
      <c r="D25" s="82">
        <v>13375</v>
      </c>
      <c r="E25" s="83" t="s">
        <v>510</v>
      </c>
      <c r="F25" s="84"/>
      <c r="G25" s="85">
        <v>-6250</v>
      </c>
      <c r="H25" s="46">
        <v>-437.5</v>
      </c>
      <c r="I25" s="85">
        <v>-6687.5</v>
      </c>
      <c r="J25" s="48">
        <v>45982</v>
      </c>
      <c r="K25" s="49" t="s">
        <v>612</v>
      </c>
      <c r="L25" s="86">
        <v>13375</v>
      </c>
      <c r="M25" s="87" t="s">
        <v>613</v>
      </c>
      <c r="N25" s="88">
        <v>-0.5</v>
      </c>
      <c r="O25" s="518">
        <f>+(D25*100/107)+G25-(L25*100/107)</f>
        <v>-6250</v>
      </c>
      <c r="P25" s="518">
        <f t="shared" ref="P25" si="4">ROUND((O25*0.07),2)</f>
        <v>-437.5</v>
      </c>
      <c r="Q25" s="519">
        <f t="shared" ref="Q25" si="5">+O25+P25</f>
        <v>-6687.5</v>
      </c>
      <c r="R25" s="39"/>
      <c r="S25" s="55"/>
      <c r="T25" s="55"/>
      <c r="U25" s="58"/>
      <c r="V25" s="58"/>
    </row>
    <row r="26" spans="1:25" s="57" customFormat="1" ht="27.75" customHeight="1">
      <c r="A26" s="39">
        <v>2</v>
      </c>
      <c r="B26" s="92" t="s">
        <v>76</v>
      </c>
      <c r="C26" s="41" t="s">
        <v>72</v>
      </c>
      <c r="D26" s="58">
        <v>1605</v>
      </c>
      <c r="E26" s="43" t="s">
        <v>45</v>
      </c>
      <c r="F26" s="60"/>
      <c r="G26" s="47">
        <v>0</v>
      </c>
      <c r="H26" s="46">
        <v>0</v>
      </c>
      <c r="I26" s="47">
        <v>0</v>
      </c>
      <c r="J26" s="62">
        <v>45966</v>
      </c>
      <c r="K26" s="49" t="s">
        <v>614</v>
      </c>
      <c r="L26" s="93">
        <v>1605</v>
      </c>
      <c r="M26" s="94" t="s">
        <v>45</v>
      </c>
      <c r="N26" s="95">
        <v>0</v>
      </c>
      <c r="O26" s="53">
        <f>+(D26*100/107)+G26-(L26*100/107)</f>
        <v>0</v>
      </c>
      <c r="P26" s="53">
        <f t="shared" si="0"/>
        <v>0</v>
      </c>
      <c r="Q26" s="54">
        <f t="shared" si="1"/>
        <v>0</v>
      </c>
      <c r="R26" s="39"/>
      <c r="S26" s="55"/>
      <c r="T26" s="55"/>
      <c r="U26" s="58"/>
      <c r="V26" s="58"/>
    </row>
    <row r="27" spans="1:25" s="57" customFormat="1" ht="27.75" customHeight="1" thickBot="1">
      <c r="A27" s="96"/>
      <c r="B27" s="97" t="s">
        <v>22</v>
      </c>
      <c r="C27" s="98"/>
      <c r="D27" s="99">
        <f>SUM(D25:D26)</f>
        <v>14980</v>
      </c>
      <c r="E27" s="100"/>
      <c r="F27" s="101"/>
      <c r="G27" s="102"/>
      <c r="H27" s="102"/>
      <c r="I27" s="102"/>
      <c r="J27" s="103"/>
      <c r="K27" s="104"/>
      <c r="L27" s="105">
        <f>SUM(L25:L26)</f>
        <v>14980</v>
      </c>
      <c r="M27" s="106"/>
      <c r="N27" s="107"/>
      <c r="O27" s="108"/>
      <c r="P27" s="108"/>
      <c r="Q27" s="109"/>
      <c r="R27" s="39"/>
      <c r="S27" s="55"/>
      <c r="T27" s="55"/>
      <c r="U27" s="56"/>
      <c r="V27" s="56"/>
    </row>
    <row r="28" spans="1:25" ht="27.75" customHeight="1" thickTop="1">
      <c r="A28" s="39">
        <v>1</v>
      </c>
      <c r="B28" s="40" t="s">
        <v>78</v>
      </c>
      <c r="C28" s="81" t="s">
        <v>72</v>
      </c>
      <c r="D28" s="110">
        <v>11006.11</v>
      </c>
      <c r="E28" s="111" t="s">
        <v>32</v>
      </c>
      <c r="F28" s="112">
        <v>1</v>
      </c>
      <c r="G28" s="61">
        <v>6773.7562616822433</v>
      </c>
      <c r="H28" s="46">
        <v>474.16</v>
      </c>
      <c r="I28" s="47">
        <v>7247.9162616822432</v>
      </c>
      <c r="J28" s="113">
        <v>45989</v>
      </c>
      <c r="K28" s="114" t="s">
        <v>615</v>
      </c>
      <c r="L28" s="115">
        <v>7247.92</v>
      </c>
      <c r="M28" s="94" t="s">
        <v>522</v>
      </c>
      <c r="N28" s="116">
        <v>1</v>
      </c>
      <c r="O28" s="53">
        <f>+(D28*100/107)+G28-(L28*100/107)</f>
        <v>10286.083364485981</v>
      </c>
      <c r="P28" s="53">
        <f t="shared" ref="P28:P30" si="6">ROUND((O28*0.07),2)</f>
        <v>720.03</v>
      </c>
      <c r="Q28" s="54">
        <f t="shared" ref="Q28:Q30" si="7">+O28+P28</f>
        <v>11006.113364485982</v>
      </c>
      <c r="R28" s="39"/>
      <c r="S28" s="55"/>
      <c r="T28" s="55"/>
      <c r="U28" s="56"/>
      <c r="V28" s="56"/>
    </row>
    <row r="29" spans="1:25" ht="27.75" customHeight="1">
      <c r="A29" s="39">
        <v>2</v>
      </c>
      <c r="B29" s="40" t="s">
        <v>82</v>
      </c>
      <c r="C29" s="41" t="s">
        <v>72</v>
      </c>
      <c r="D29" s="110">
        <v>2713.52</v>
      </c>
      <c r="E29" s="111" t="s">
        <v>32</v>
      </c>
      <c r="F29" s="112">
        <v>1</v>
      </c>
      <c r="G29" s="61">
        <v>846.40000000000055</v>
      </c>
      <c r="H29" s="46">
        <v>59.25</v>
      </c>
      <c r="I29" s="47">
        <v>905.65000000000055</v>
      </c>
      <c r="J29" s="113">
        <v>45968</v>
      </c>
      <c r="K29" s="114" t="s">
        <v>616</v>
      </c>
      <c r="L29" s="115">
        <v>905.65</v>
      </c>
      <c r="M29" s="94" t="s">
        <v>522</v>
      </c>
      <c r="N29" s="116">
        <v>1</v>
      </c>
      <c r="O29" s="53">
        <f>+(D29*100/107)+G29-(L29*100/107)</f>
        <v>2535.998130841122</v>
      </c>
      <c r="P29" s="53">
        <f t="shared" si="6"/>
        <v>177.52</v>
      </c>
      <c r="Q29" s="54">
        <f t="shared" si="7"/>
        <v>2713.518130841122</v>
      </c>
      <c r="R29" s="39"/>
      <c r="S29" s="55"/>
      <c r="T29" s="55"/>
      <c r="U29" s="56"/>
      <c r="V29" s="56"/>
    </row>
    <row r="30" spans="1:25" ht="27.75" customHeight="1">
      <c r="A30" s="39">
        <v>3</v>
      </c>
      <c r="B30" s="40" t="s">
        <v>85</v>
      </c>
      <c r="C30" s="41" t="s">
        <v>72</v>
      </c>
      <c r="D30" s="110">
        <v>10000</v>
      </c>
      <c r="E30" s="111"/>
      <c r="F30" s="112"/>
      <c r="G30" s="61">
        <v>7.4766354737221263E-4</v>
      </c>
      <c r="H30" s="46">
        <v>0</v>
      </c>
      <c r="I30" s="47">
        <v>7.4766354737221263E-4</v>
      </c>
      <c r="J30" s="117">
        <v>45968</v>
      </c>
      <c r="K30" s="118" t="s">
        <v>617</v>
      </c>
      <c r="L30" s="119">
        <v>10000</v>
      </c>
      <c r="M30" s="94"/>
      <c r="N30" s="116"/>
      <c r="O30" s="53">
        <f>+(D30*100/107)+G30-(L30*100/107)</f>
        <v>7.4766354737221263E-4</v>
      </c>
      <c r="P30" s="53">
        <f t="shared" si="6"/>
        <v>0</v>
      </c>
      <c r="Q30" s="54">
        <f t="shared" si="7"/>
        <v>7.4766354737221263E-4</v>
      </c>
      <c r="R30" s="39"/>
      <c r="S30" s="55"/>
      <c r="T30" s="55"/>
      <c r="U30" s="56"/>
      <c r="V30" s="56"/>
    </row>
    <row r="31" spans="1:25" s="57" customFormat="1" ht="27.75" customHeight="1" thickBot="1">
      <c r="A31" s="96"/>
      <c r="B31" s="97" t="s">
        <v>22</v>
      </c>
      <c r="C31" s="98"/>
      <c r="D31" s="99">
        <f>SUM(D28:D30)</f>
        <v>23719.63</v>
      </c>
      <c r="E31" s="100"/>
      <c r="F31" s="101"/>
      <c r="G31" s="102">
        <f>SUM(G28:G30)</f>
        <v>7620.1570093457913</v>
      </c>
      <c r="H31" s="102">
        <f t="shared" ref="H31:I31" si="8">SUM(H28:H30)</f>
        <v>533.41000000000008</v>
      </c>
      <c r="I31" s="102">
        <f t="shared" si="8"/>
        <v>8153.5670093457911</v>
      </c>
      <c r="J31" s="103"/>
      <c r="K31" s="104"/>
      <c r="L31" s="105">
        <f>SUM(L28+L29+L30)</f>
        <v>18153.57</v>
      </c>
      <c r="M31" s="106"/>
      <c r="N31" s="107"/>
      <c r="O31" s="108">
        <f>SUM(O28:O30)</f>
        <v>12822.082242990651</v>
      </c>
      <c r="P31" s="108">
        <f t="shared" si="0"/>
        <v>897.55</v>
      </c>
      <c r="Q31" s="108">
        <f t="shared" si="1"/>
        <v>13719.63224299065</v>
      </c>
      <c r="R31" s="39"/>
      <c r="S31" s="55"/>
      <c r="T31" s="55"/>
      <c r="U31" s="56"/>
      <c r="V31" s="56"/>
    </row>
    <row r="32" spans="1:25" ht="27.75" hidden="1" customHeight="1" thickBot="1">
      <c r="A32" s="39">
        <v>1</v>
      </c>
      <c r="B32" s="40" t="s">
        <v>88</v>
      </c>
      <c r="C32" s="41" t="s">
        <v>72</v>
      </c>
      <c r="D32" s="120">
        <v>0</v>
      </c>
      <c r="E32" s="43"/>
      <c r="F32" s="60"/>
      <c r="G32" s="61">
        <v>0</v>
      </c>
      <c r="H32" s="46">
        <v>0</v>
      </c>
      <c r="I32" s="47">
        <v>0</v>
      </c>
      <c r="J32" s="113"/>
      <c r="K32" s="118"/>
      <c r="L32" s="121">
        <v>0</v>
      </c>
      <c r="M32" s="94"/>
      <c r="N32" s="39"/>
      <c r="O32" s="53">
        <f t="shared" ref="O32:O44" si="9">+(D32*100/107)+G32-(L32*100/107)</f>
        <v>0</v>
      </c>
      <c r="P32" s="53">
        <f t="shared" si="0"/>
        <v>0</v>
      </c>
      <c r="Q32" s="54">
        <f t="shared" si="1"/>
        <v>0</v>
      </c>
      <c r="R32" s="122"/>
      <c r="S32" s="37"/>
      <c r="T32" s="37"/>
      <c r="U32" s="38"/>
      <c r="V32" s="38"/>
    </row>
    <row r="33" spans="1:23" ht="27.75" hidden="1" customHeight="1" thickTop="1">
      <c r="A33" s="39">
        <v>2</v>
      </c>
      <c r="B33" s="40" t="s">
        <v>89</v>
      </c>
      <c r="C33" s="41" t="s">
        <v>72</v>
      </c>
      <c r="D33" s="120">
        <v>0</v>
      </c>
      <c r="E33" s="43"/>
      <c r="F33" s="60"/>
      <c r="G33" s="61">
        <v>0</v>
      </c>
      <c r="H33" s="46">
        <v>0</v>
      </c>
      <c r="I33" s="47">
        <v>0</v>
      </c>
      <c r="J33" s="113"/>
      <c r="K33" s="118"/>
      <c r="L33" s="121">
        <v>0</v>
      </c>
      <c r="M33" s="94"/>
      <c r="N33" s="39"/>
      <c r="O33" s="53">
        <f t="shared" si="9"/>
        <v>0</v>
      </c>
      <c r="P33" s="53">
        <f t="shared" si="0"/>
        <v>0</v>
      </c>
      <c r="Q33" s="54">
        <f t="shared" si="1"/>
        <v>0</v>
      </c>
      <c r="R33" s="122"/>
      <c r="S33" s="37"/>
      <c r="T33" s="37"/>
      <c r="U33" s="38"/>
      <c r="V33" s="38"/>
    </row>
    <row r="34" spans="1:23" ht="27.75" hidden="1" customHeight="1" thickTop="1">
      <c r="A34" s="39">
        <v>3</v>
      </c>
      <c r="B34" s="40" t="s">
        <v>90</v>
      </c>
      <c r="C34" s="41" t="s">
        <v>72</v>
      </c>
      <c r="D34" s="120"/>
      <c r="E34" s="43"/>
      <c r="F34" s="60"/>
      <c r="G34" s="61">
        <v>0</v>
      </c>
      <c r="H34" s="46">
        <v>0</v>
      </c>
      <c r="I34" s="47">
        <v>0</v>
      </c>
      <c r="J34" s="113"/>
      <c r="K34" s="118"/>
      <c r="L34" s="121"/>
      <c r="M34" s="94"/>
      <c r="N34" s="39"/>
      <c r="O34" s="53">
        <f t="shared" si="9"/>
        <v>0</v>
      </c>
      <c r="P34" s="53">
        <f t="shared" si="0"/>
        <v>0</v>
      </c>
      <c r="Q34" s="54">
        <f t="shared" si="1"/>
        <v>0</v>
      </c>
      <c r="R34" s="122"/>
      <c r="S34" s="37"/>
      <c r="T34" s="37"/>
      <c r="U34" s="38"/>
      <c r="V34" s="38"/>
    </row>
    <row r="35" spans="1:23" ht="27.75" hidden="1" customHeight="1" thickTop="1">
      <c r="A35" s="39">
        <v>4</v>
      </c>
      <c r="B35" s="40" t="s">
        <v>91</v>
      </c>
      <c r="C35" s="41" t="s">
        <v>72</v>
      </c>
      <c r="D35" s="120"/>
      <c r="E35" s="43"/>
      <c r="F35" s="60"/>
      <c r="G35" s="61">
        <v>0</v>
      </c>
      <c r="H35" s="46">
        <v>0</v>
      </c>
      <c r="I35" s="47">
        <v>0</v>
      </c>
      <c r="J35" s="113"/>
      <c r="K35" s="118"/>
      <c r="L35" s="121">
        <v>0</v>
      </c>
      <c r="M35" s="94"/>
      <c r="N35" s="39"/>
      <c r="O35" s="53">
        <f t="shared" si="9"/>
        <v>0</v>
      </c>
      <c r="P35" s="53">
        <f t="shared" si="0"/>
        <v>0</v>
      </c>
      <c r="Q35" s="54">
        <f t="shared" si="1"/>
        <v>0</v>
      </c>
      <c r="R35" s="122"/>
      <c r="S35" s="37"/>
      <c r="T35" s="37"/>
      <c r="U35" s="38"/>
      <c r="V35" s="38"/>
    </row>
    <row r="36" spans="1:23" ht="27.75" hidden="1" customHeight="1" thickTop="1">
      <c r="A36" s="39">
        <v>5</v>
      </c>
      <c r="B36" s="40" t="s">
        <v>92</v>
      </c>
      <c r="C36" s="41" t="s">
        <v>72</v>
      </c>
      <c r="D36" s="120"/>
      <c r="E36" s="43"/>
      <c r="F36" s="60"/>
      <c r="G36" s="61">
        <v>0</v>
      </c>
      <c r="H36" s="46">
        <v>0</v>
      </c>
      <c r="I36" s="47">
        <v>0</v>
      </c>
      <c r="J36" s="117"/>
      <c r="K36" s="118"/>
      <c r="L36" s="119">
        <v>0</v>
      </c>
      <c r="M36" s="94"/>
      <c r="N36" s="39"/>
      <c r="O36" s="53">
        <f t="shared" si="9"/>
        <v>0</v>
      </c>
      <c r="P36" s="53">
        <f t="shared" si="0"/>
        <v>0</v>
      </c>
      <c r="Q36" s="54">
        <f t="shared" si="1"/>
        <v>0</v>
      </c>
      <c r="R36" s="122"/>
      <c r="S36" s="37"/>
      <c r="T36" s="37"/>
      <c r="U36" s="38"/>
      <c r="V36" s="38"/>
    </row>
    <row r="37" spans="1:23" ht="27.75" hidden="1" customHeight="1" thickTop="1">
      <c r="A37" s="39">
        <v>6</v>
      </c>
      <c r="B37" s="123" t="s">
        <v>93</v>
      </c>
      <c r="C37" s="41" t="s">
        <v>72</v>
      </c>
      <c r="D37" s="124">
        <v>0</v>
      </c>
      <c r="E37" s="125"/>
      <c r="F37" s="126"/>
      <c r="G37" s="65">
        <v>0</v>
      </c>
      <c r="H37" s="46">
        <v>0</v>
      </c>
      <c r="I37" s="47">
        <v>0</v>
      </c>
      <c r="J37" s="127"/>
      <c r="K37" s="128"/>
      <c r="L37" s="129">
        <v>0</v>
      </c>
      <c r="M37" s="94"/>
      <c r="N37" s="39"/>
      <c r="O37" s="53">
        <f t="shared" si="9"/>
        <v>0</v>
      </c>
      <c r="P37" s="53">
        <f t="shared" si="0"/>
        <v>0</v>
      </c>
      <c r="Q37" s="54">
        <f t="shared" si="1"/>
        <v>0</v>
      </c>
      <c r="R37" s="122"/>
      <c r="S37" s="37"/>
      <c r="T37" s="37"/>
      <c r="U37" s="38"/>
      <c r="V37" s="38"/>
    </row>
    <row r="38" spans="1:23" ht="27.75" hidden="1" customHeight="1" thickTop="1">
      <c r="A38" s="39">
        <v>7</v>
      </c>
      <c r="B38" s="40" t="s">
        <v>94</v>
      </c>
      <c r="C38" s="41" t="s">
        <v>72</v>
      </c>
      <c r="D38" s="120"/>
      <c r="E38" s="43"/>
      <c r="F38" s="60"/>
      <c r="G38" s="61">
        <v>0</v>
      </c>
      <c r="H38" s="46">
        <v>0</v>
      </c>
      <c r="I38" s="47">
        <v>0</v>
      </c>
      <c r="J38" s="117"/>
      <c r="K38" s="118"/>
      <c r="L38" s="119">
        <v>0</v>
      </c>
      <c r="M38" s="94"/>
      <c r="N38" s="39"/>
      <c r="O38" s="53">
        <f t="shared" si="9"/>
        <v>0</v>
      </c>
      <c r="P38" s="53">
        <f t="shared" si="0"/>
        <v>0</v>
      </c>
      <c r="Q38" s="54">
        <f t="shared" si="1"/>
        <v>0</v>
      </c>
      <c r="R38" s="122"/>
      <c r="S38" s="37"/>
      <c r="T38" s="37"/>
      <c r="U38" s="38"/>
      <c r="V38" s="38"/>
    </row>
    <row r="39" spans="1:23" ht="27.75" hidden="1" customHeight="1" thickTop="1">
      <c r="A39" s="39">
        <v>8</v>
      </c>
      <c r="B39" s="40" t="s">
        <v>95</v>
      </c>
      <c r="C39" s="41" t="s">
        <v>72</v>
      </c>
      <c r="D39" s="120"/>
      <c r="E39" s="43"/>
      <c r="F39" s="60"/>
      <c r="G39" s="61">
        <v>0</v>
      </c>
      <c r="H39" s="46">
        <v>0</v>
      </c>
      <c r="I39" s="47">
        <v>0</v>
      </c>
      <c r="J39" s="117"/>
      <c r="K39" s="118"/>
      <c r="L39" s="119">
        <v>0</v>
      </c>
      <c r="M39" s="94"/>
      <c r="N39" s="39"/>
      <c r="O39" s="53">
        <f t="shared" si="9"/>
        <v>0</v>
      </c>
      <c r="P39" s="53">
        <f t="shared" si="0"/>
        <v>0</v>
      </c>
      <c r="Q39" s="54">
        <f t="shared" si="1"/>
        <v>0</v>
      </c>
      <c r="R39" s="122"/>
      <c r="S39" s="37"/>
      <c r="T39" s="37"/>
      <c r="U39" s="38"/>
      <c r="V39" s="38"/>
    </row>
    <row r="40" spans="1:23" ht="27.75" hidden="1" customHeight="1" thickTop="1">
      <c r="A40" s="39">
        <v>9</v>
      </c>
      <c r="B40" s="40" t="s">
        <v>96</v>
      </c>
      <c r="C40" s="41" t="s">
        <v>72</v>
      </c>
      <c r="D40" s="120"/>
      <c r="E40" s="43"/>
      <c r="F40" s="60"/>
      <c r="G40" s="61">
        <v>0</v>
      </c>
      <c r="H40" s="46">
        <v>0</v>
      </c>
      <c r="I40" s="47">
        <v>0</v>
      </c>
      <c r="J40" s="117"/>
      <c r="K40" s="118"/>
      <c r="L40" s="119">
        <v>0</v>
      </c>
      <c r="M40" s="94"/>
      <c r="N40" s="39"/>
      <c r="O40" s="53">
        <f t="shared" si="9"/>
        <v>0</v>
      </c>
      <c r="P40" s="53">
        <f t="shared" si="0"/>
        <v>0</v>
      </c>
      <c r="Q40" s="54">
        <f t="shared" si="1"/>
        <v>0</v>
      </c>
      <c r="R40" s="122"/>
      <c r="S40" s="37"/>
      <c r="T40" s="37"/>
      <c r="U40" s="38"/>
      <c r="V40" s="38"/>
    </row>
    <row r="41" spans="1:23" ht="27.75" hidden="1" customHeight="1" thickTop="1">
      <c r="A41" s="39">
        <v>10</v>
      </c>
      <c r="B41" s="40" t="s">
        <v>97</v>
      </c>
      <c r="C41" s="41" t="s">
        <v>72</v>
      </c>
      <c r="D41" s="120">
        <v>0</v>
      </c>
      <c r="E41" s="43"/>
      <c r="F41" s="60"/>
      <c r="G41" s="61">
        <v>0</v>
      </c>
      <c r="H41" s="46">
        <v>0</v>
      </c>
      <c r="I41" s="47">
        <v>0</v>
      </c>
      <c r="J41" s="117"/>
      <c r="K41" s="118"/>
      <c r="L41" s="119">
        <v>0</v>
      </c>
      <c r="M41" s="94"/>
      <c r="N41" s="39"/>
      <c r="O41" s="53">
        <f t="shared" si="9"/>
        <v>0</v>
      </c>
      <c r="P41" s="53">
        <f t="shared" si="0"/>
        <v>0</v>
      </c>
      <c r="Q41" s="54">
        <f t="shared" si="1"/>
        <v>0</v>
      </c>
      <c r="R41" s="122"/>
      <c r="S41" s="37"/>
      <c r="T41" s="37"/>
      <c r="U41" s="38"/>
      <c r="V41" s="38"/>
    </row>
    <row r="42" spans="1:23" ht="27.75" hidden="1" customHeight="1" thickTop="1">
      <c r="A42" s="39">
        <v>11</v>
      </c>
      <c r="B42" s="40" t="s">
        <v>98</v>
      </c>
      <c r="C42" s="41" t="s">
        <v>72</v>
      </c>
      <c r="D42" s="120"/>
      <c r="E42" s="43"/>
      <c r="F42" s="60"/>
      <c r="G42" s="61">
        <v>0</v>
      </c>
      <c r="H42" s="46">
        <v>0</v>
      </c>
      <c r="I42" s="47">
        <v>0</v>
      </c>
      <c r="J42" s="117"/>
      <c r="K42" s="118"/>
      <c r="L42" s="119">
        <v>0</v>
      </c>
      <c r="M42" s="94"/>
      <c r="N42" s="39"/>
      <c r="O42" s="53">
        <f t="shared" si="9"/>
        <v>0</v>
      </c>
      <c r="P42" s="53">
        <f t="shared" si="0"/>
        <v>0</v>
      </c>
      <c r="Q42" s="54">
        <f t="shared" si="1"/>
        <v>0</v>
      </c>
      <c r="R42" s="122"/>
      <c r="S42" s="37"/>
      <c r="T42" s="37"/>
      <c r="U42" s="38"/>
      <c r="V42" s="38"/>
    </row>
    <row r="43" spans="1:23" ht="27.75" hidden="1" customHeight="1" thickTop="1">
      <c r="A43" s="39">
        <v>12</v>
      </c>
      <c r="B43" s="40" t="s">
        <v>99</v>
      </c>
      <c r="C43" s="41" t="s">
        <v>72</v>
      </c>
      <c r="D43" s="120">
        <v>0</v>
      </c>
      <c r="E43" s="43"/>
      <c r="F43" s="60"/>
      <c r="G43" s="61">
        <v>0</v>
      </c>
      <c r="H43" s="46">
        <v>0</v>
      </c>
      <c r="I43" s="47">
        <v>0</v>
      </c>
      <c r="J43" s="117"/>
      <c r="K43" s="118"/>
      <c r="L43" s="119">
        <v>0</v>
      </c>
      <c r="M43" s="94"/>
      <c r="N43" s="39"/>
      <c r="O43" s="53">
        <f t="shared" si="9"/>
        <v>0</v>
      </c>
      <c r="P43" s="53">
        <f t="shared" si="0"/>
        <v>0</v>
      </c>
      <c r="Q43" s="54">
        <f t="shared" si="1"/>
        <v>0</v>
      </c>
      <c r="R43" s="122"/>
      <c r="S43" s="37"/>
      <c r="T43" s="37"/>
      <c r="U43" s="38"/>
      <c r="V43" s="38"/>
    </row>
    <row r="44" spans="1:23" ht="27.75" hidden="1" customHeight="1" thickTop="1">
      <c r="A44" s="39"/>
      <c r="B44" s="123"/>
      <c r="C44" s="41"/>
      <c r="D44" s="124"/>
      <c r="E44" s="125"/>
      <c r="F44" s="126"/>
      <c r="G44" s="65">
        <v>0</v>
      </c>
      <c r="H44" s="46">
        <v>0</v>
      </c>
      <c r="I44" s="47">
        <v>0</v>
      </c>
      <c r="J44" s="127"/>
      <c r="K44" s="128"/>
      <c r="L44" s="129"/>
      <c r="M44" s="83"/>
      <c r="N44" s="130"/>
      <c r="O44" s="53">
        <f t="shared" si="9"/>
        <v>0</v>
      </c>
      <c r="P44" s="53">
        <f t="shared" si="0"/>
        <v>0</v>
      </c>
      <c r="Q44" s="54">
        <f t="shared" si="1"/>
        <v>0</v>
      </c>
      <c r="R44" s="122"/>
      <c r="S44" s="37"/>
      <c r="T44" s="37"/>
      <c r="U44" s="38"/>
      <c r="V44" s="38"/>
    </row>
    <row r="45" spans="1:23" ht="27.75" hidden="1" customHeight="1" thickTop="1">
      <c r="A45" s="22"/>
      <c r="B45" s="131" t="s">
        <v>22</v>
      </c>
      <c r="C45" s="132"/>
      <c r="D45" s="133">
        <f>SUM(D32:D43)</f>
        <v>0</v>
      </c>
      <c r="E45" s="134"/>
      <c r="F45" s="135"/>
      <c r="G45" s="136">
        <f>SUM(G32:G43)</f>
        <v>0</v>
      </c>
      <c r="H45" s="136">
        <f t="shared" ref="H45:I45" si="10">SUM(H32:H43)</f>
        <v>0</v>
      </c>
      <c r="I45" s="136">
        <f t="shared" si="10"/>
        <v>0</v>
      </c>
      <c r="J45" s="137">
        <v>0</v>
      </c>
      <c r="K45" s="137">
        <f>SUM(K8:K44)</f>
        <v>0</v>
      </c>
      <c r="L45" s="138">
        <f>SUM(L32:L44)</f>
        <v>0</v>
      </c>
      <c r="M45" s="139"/>
      <c r="N45" s="133"/>
      <c r="O45" s="136">
        <f>SUM(O32:O44)</f>
        <v>0</v>
      </c>
      <c r="P45" s="136">
        <f t="shared" ref="P45:Q45" si="11">SUM(P32:P44)</f>
        <v>0</v>
      </c>
      <c r="Q45" s="136">
        <f t="shared" si="11"/>
        <v>0</v>
      </c>
      <c r="R45" s="36"/>
      <c r="S45" s="37"/>
      <c r="T45" s="37"/>
      <c r="U45" s="38"/>
      <c r="V45" s="38"/>
      <c r="W45" s="38"/>
    </row>
    <row r="46" spans="1:23" ht="27.75" customHeight="1" thickTop="1">
      <c r="A46" s="22"/>
      <c r="B46" s="23" t="s">
        <v>100</v>
      </c>
      <c r="C46" s="24"/>
      <c r="D46" s="25"/>
      <c r="E46" s="26"/>
      <c r="F46" s="27"/>
      <c r="G46" s="28"/>
      <c r="H46" s="28"/>
      <c r="I46" s="28"/>
      <c r="J46" s="29"/>
      <c r="K46" s="30"/>
      <c r="L46" s="31"/>
      <c r="M46" s="32"/>
      <c r="N46" s="33"/>
      <c r="O46" s="34"/>
      <c r="P46" s="34"/>
      <c r="Q46" s="35"/>
      <c r="R46" s="36"/>
      <c r="S46" s="37"/>
      <c r="T46" s="37"/>
      <c r="U46" s="38"/>
      <c r="V46" s="38"/>
      <c r="W46" s="38"/>
    </row>
    <row r="47" spans="1:23" s="57" customFormat="1" ht="27.75" customHeight="1">
      <c r="A47" s="22">
        <v>1</v>
      </c>
      <c r="B47" s="40" t="s">
        <v>101</v>
      </c>
      <c r="C47" s="140" t="s">
        <v>102</v>
      </c>
      <c r="D47" s="141">
        <v>160.5</v>
      </c>
      <c r="E47" s="142" t="s">
        <v>45</v>
      </c>
      <c r="F47" s="143">
        <v>0</v>
      </c>
      <c r="G47" s="61">
        <v>0</v>
      </c>
      <c r="H47" s="61">
        <v>0</v>
      </c>
      <c r="I47" s="47">
        <v>0</v>
      </c>
      <c r="J47" s="113">
        <v>45986</v>
      </c>
      <c r="K47" s="114" t="s">
        <v>618</v>
      </c>
      <c r="L47" s="144">
        <v>160.5</v>
      </c>
      <c r="M47" s="145" t="s">
        <v>45</v>
      </c>
      <c r="N47" s="146">
        <v>0</v>
      </c>
      <c r="O47" s="147">
        <f t="shared" ref="O47:O82" si="12">+(D47*100/107)+G47-(L47*100/107)</f>
        <v>0</v>
      </c>
      <c r="P47" s="147">
        <f t="shared" ref="P47" si="13">ROUND((O47*0.07),2)</f>
        <v>0</v>
      </c>
      <c r="Q47" s="47">
        <f t="shared" ref="Q47" si="14">+O47+P47</f>
        <v>0</v>
      </c>
      <c r="R47" s="146"/>
      <c r="S47" s="148"/>
      <c r="T47" s="148"/>
      <c r="U47" s="149"/>
      <c r="V47" s="149"/>
    </row>
    <row r="48" spans="1:23" s="57" customFormat="1" ht="27.75" customHeight="1">
      <c r="A48" s="22">
        <v>2</v>
      </c>
      <c r="B48" s="150" t="s">
        <v>104</v>
      </c>
      <c r="C48" s="140" t="s">
        <v>102</v>
      </c>
      <c r="D48" s="141">
        <v>321</v>
      </c>
      <c r="E48" s="142" t="s">
        <v>32</v>
      </c>
      <c r="F48" s="143">
        <v>1</v>
      </c>
      <c r="G48" s="61">
        <v>300</v>
      </c>
      <c r="H48" s="61">
        <v>21</v>
      </c>
      <c r="I48" s="47">
        <v>321</v>
      </c>
      <c r="J48" s="117">
        <v>45964</v>
      </c>
      <c r="K48" s="118" t="s">
        <v>619</v>
      </c>
      <c r="L48" s="151">
        <v>321</v>
      </c>
      <c r="M48" s="94" t="s">
        <v>522</v>
      </c>
      <c r="N48" s="39">
        <v>1</v>
      </c>
      <c r="O48" s="147">
        <f t="shared" si="12"/>
        <v>300</v>
      </c>
      <c r="P48" s="147">
        <f>ROUND((O48*0.07),2)</f>
        <v>21</v>
      </c>
      <c r="Q48" s="47">
        <f>+O48+P48</f>
        <v>321</v>
      </c>
      <c r="R48" s="146"/>
      <c r="S48" s="148"/>
      <c r="T48" s="148"/>
      <c r="U48" s="149"/>
      <c r="V48" s="149"/>
    </row>
    <row r="49" spans="1:22" s="169" customFormat="1" ht="27.75" customHeight="1">
      <c r="A49" s="152">
        <v>3</v>
      </c>
      <c r="B49" s="153" t="s">
        <v>106</v>
      </c>
      <c r="C49" s="154" t="s">
        <v>102</v>
      </c>
      <c r="D49" s="155">
        <v>160.5</v>
      </c>
      <c r="E49" s="156" t="s">
        <v>514</v>
      </c>
      <c r="F49" s="157">
        <v>-9</v>
      </c>
      <c r="G49" s="158">
        <v>-1350</v>
      </c>
      <c r="H49" s="158">
        <v>-94.5</v>
      </c>
      <c r="I49" s="159">
        <v>-1444.5</v>
      </c>
      <c r="J49" s="160"/>
      <c r="K49" s="161"/>
      <c r="L49" s="162">
        <v>0</v>
      </c>
      <c r="M49" s="163" t="s">
        <v>514</v>
      </c>
      <c r="N49" s="164">
        <v>-8</v>
      </c>
      <c r="O49" s="165">
        <f t="shared" si="12"/>
        <v>-1200</v>
      </c>
      <c r="P49" s="165">
        <f t="shared" ref="P49:P68" si="15">ROUND((O49*0.07),2)</f>
        <v>-84</v>
      </c>
      <c r="Q49" s="159">
        <f t="shared" ref="Q49:Q68" si="16">+O49+P49</f>
        <v>-1284</v>
      </c>
      <c r="R49" s="166"/>
      <c r="S49" s="167"/>
      <c r="T49" s="167"/>
      <c r="U49" s="168"/>
      <c r="V49" s="168"/>
    </row>
    <row r="50" spans="1:22" s="57" customFormat="1" ht="27.75" customHeight="1">
      <c r="A50" s="22">
        <v>4</v>
      </c>
      <c r="B50" s="170" t="s">
        <v>109</v>
      </c>
      <c r="C50" s="140" t="s">
        <v>102</v>
      </c>
      <c r="D50" s="141">
        <v>321</v>
      </c>
      <c r="E50" s="142" t="s">
        <v>45</v>
      </c>
      <c r="F50" s="143">
        <v>0</v>
      </c>
      <c r="G50" s="61">
        <v>0</v>
      </c>
      <c r="H50" s="61">
        <v>0</v>
      </c>
      <c r="I50" s="47">
        <v>0</v>
      </c>
      <c r="J50" s="117">
        <v>45968</v>
      </c>
      <c r="K50" s="118" t="s">
        <v>620</v>
      </c>
      <c r="L50" s="151">
        <v>321</v>
      </c>
      <c r="M50" s="171" t="s">
        <v>45</v>
      </c>
      <c r="N50" s="172">
        <v>0</v>
      </c>
      <c r="O50" s="147">
        <f t="shared" si="12"/>
        <v>0</v>
      </c>
      <c r="P50" s="147">
        <f t="shared" si="15"/>
        <v>0</v>
      </c>
      <c r="Q50" s="47">
        <f t="shared" si="16"/>
        <v>0</v>
      </c>
      <c r="R50" s="146"/>
      <c r="S50" s="148"/>
      <c r="T50" s="148"/>
      <c r="U50" s="149"/>
      <c r="V50" s="149"/>
    </row>
    <row r="51" spans="1:22" s="57" customFormat="1" ht="27.75" customHeight="1">
      <c r="A51" s="22">
        <v>5</v>
      </c>
      <c r="B51" s="170" t="s">
        <v>111</v>
      </c>
      <c r="C51" s="140" t="s">
        <v>102</v>
      </c>
      <c r="D51" s="141">
        <v>321</v>
      </c>
      <c r="E51" s="142" t="s">
        <v>45</v>
      </c>
      <c r="F51" s="143">
        <v>0</v>
      </c>
      <c r="G51" s="61">
        <v>0</v>
      </c>
      <c r="H51" s="61">
        <v>0</v>
      </c>
      <c r="I51" s="47">
        <v>0</v>
      </c>
      <c r="J51" s="117">
        <v>45966</v>
      </c>
      <c r="K51" s="118" t="s">
        <v>621</v>
      </c>
      <c r="L51" s="151">
        <v>321</v>
      </c>
      <c r="M51" s="171" t="s">
        <v>45</v>
      </c>
      <c r="N51" s="172">
        <v>0</v>
      </c>
      <c r="O51" s="147">
        <f t="shared" si="12"/>
        <v>0</v>
      </c>
      <c r="P51" s="147">
        <f t="shared" si="15"/>
        <v>0</v>
      </c>
      <c r="Q51" s="47">
        <f t="shared" si="16"/>
        <v>0</v>
      </c>
      <c r="R51" s="146"/>
      <c r="S51" s="148"/>
      <c r="T51" s="148"/>
      <c r="U51" s="149"/>
      <c r="V51" s="149"/>
    </row>
    <row r="52" spans="1:22" s="57" customFormat="1" ht="27.75" customHeight="1">
      <c r="A52" s="22">
        <v>6</v>
      </c>
      <c r="B52" s="170" t="s">
        <v>113</v>
      </c>
      <c r="C52" s="140" t="s">
        <v>102</v>
      </c>
      <c r="D52" s="141">
        <v>160.5</v>
      </c>
      <c r="E52" s="142" t="s">
        <v>45</v>
      </c>
      <c r="F52" s="143">
        <v>0</v>
      </c>
      <c r="G52" s="61">
        <v>0</v>
      </c>
      <c r="H52" s="61">
        <v>0</v>
      </c>
      <c r="I52" s="47">
        <v>0</v>
      </c>
      <c r="J52" s="113">
        <v>45978</v>
      </c>
      <c r="K52" s="114" t="s">
        <v>622</v>
      </c>
      <c r="L52" s="151">
        <v>160.5</v>
      </c>
      <c r="M52" s="171" t="s">
        <v>45</v>
      </c>
      <c r="N52" s="172">
        <v>0</v>
      </c>
      <c r="O52" s="147">
        <f t="shared" si="12"/>
        <v>0</v>
      </c>
      <c r="P52" s="147">
        <f t="shared" si="15"/>
        <v>0</v>
      </c>
      <c r="Q52" s="47">
        <f t="shared" si="16"/>
        <v>0</v>
      </c>
      <c r="R52" s="146"/>
      <c r="S52" s="148"/>
      <c r="T52" s="148"/>
      <c r="U52" s="149"/>
      <c r="V52" s="149"/>
    </row>
    <row r="53" spans="1:22" s="57" customFormat="1" ht="27.75" customHeight="1">
      <c r="A53" s="22">
        <v>7</v>
      </c>
      <c r="B53" s="170" t="s">
        <v>115</v>
      </c>
      <c r="C53" s="140" t="s">
        <v>102</v>
      </c>
      <c r="D53" s="173">
        <v>321</v>
      </c>
      <c r="E53" s="142" t="s">
        <v>45</v>
      </c>
      <c r="F53" s="143">
        <v>0</v>
      </c>
      <c r="G53" s="61">
        <v>0</v>
      </c>
      <c r="H53" s="61">
        <v>0</v>
      </c>
      <c r="I53" s="47">
        <v>0</v>
      </c>
      <c r="J53" s="113">
        <v>45965</v>
      </c>
      <c r="K53" s="114" t="s">
        <v>623</v>
      </c>
      <c r="L53" s="151">
        <v>321</v>
      </c>
      <c r="M53" s="174" t="s">
        <v>45</v>
      </c>
      <c r="N53" s="172">
        <v>0</v>
      </c>
      <c r="O53" s="147">
        <f t="shared" si="12"/>
        <v>0</v>
      </c>
      <c r="P53" s="147">
        <f t="shared" si="15"/>
        <v>0</v>
      </c>
      <c r="Q53" s="47">
        <f t="shared" si="16"/>
        <v>0</v>
      </c>
      <c r="R53" s="146"/>
      <c r="S53" s="148"/>
      <c r="T53" s="148"/>
      <c r="U53" s="149"/>
      <c r="V53" s="149"/>
    </row>
    <row r="54" spans="1:22" s="57" customFormat="1" ht="27.75" customHeight="1">
      <c r="A54" s="22">
        <v>8</v>
      </c>
      <c r="B54" s="170" t="s">
        <v>117</v>
      </c>
      <c r="C54" s="140" t="s">
        <v>102</v>
      </c>
      <c r="D54" s="141">
        <v>535</v>
      </c>
      <c r="E54" s="142" t="s">
        <v>45</v>
      </c>
      <c r="F54" s="143">
        <v>0</v>
      </c>
      <c r="G54" s="45">
        <v>0</v>
      </c>
      <c r="H54" s="61">
        <v>0</v>
      </c>
      <c r="I54" s="47">
        <v>0</v>
      </c>
      <c r="J54" s="113">
        <v>45976</v>
      </c>
      <c r="K54" s="114" t="s">
        <v>624</v>
      </c>
      <c r="L54" s="151">
        <v>535</v>
      </c>
      <c r="M54" s="171" t="s">
        <v>45</v>
      </c>
      <c r="N54" s="172">
        <v>0</v>
      </c>
      <c r="O54" s="147">
        <f t="shared" si="12"/>
        <v>0</v>
      </c>
      <c r="P54" s="147">
        <f t="shared" si="15"/>
        <v>0</v>
      </c>
      <c r="Q54" s="47">
        <f t="shared" si="16"/>
        <v>0</v>
      </c>
      <c r="R54" s="146"/>
      <c r="S54" s="148"/>
      <c r="T54" s="148"/>
      <c r="U54" s="149"/>
      <c r="V54" s="149"/>
    </row>
    <row r="55" spans="1:22" s="57" customFormat="1" ht="27.75" customHeight="1">
      <c r="A55" s="22">
        <v>9</v>
      </c>
      <c r="B55" s="170" t="s">
        <v>119</v>
      </c>
      <c r="C55" s="140" t="s">
        <v>102</v>
      </c>
      <c r="D55" s="141">
        <v>321</v>
      </c>
      <c r="E55" s="142" t="s">
        <v>45</v>
      </c>
      <c r="F55" s="143">
        <v>0</v>
      </c>
      <c r="G55" s="45">
        <v>0</v>
      </c>
      <c r="H55" s="61">
        <v>0</v>
      </c>
      <c r="I55" s="47">
        <v>0</v>
      </c>
      <c r="J55" s="113">
        <v>45985</v>
      </c>
      <c r="K55" s="114" t="s">
        <v>625</v>
      </c>
      <c r="L55" s="151">
        <v>321</v>
      </c>
      <c r="M55" s="171" t="s">
        <v>45</v>
      </c>
      <c r="N55" s="172">
        <v>0</v>
      </c>
      <c r="O55" s="147">
        <f t="shared" si="12"/>
        <v>0</v>
      </c>
      <c r="P55" s="147">
        <f t="shared" si="15"/>
        <v>0</v>
      </c>
      <c r="Q55" s="47">
        <f t="shared" si="16"/>
        <v>0</v>
      </c>
      <c r="R55" s="146"/>
      <c r="S55" s="148"/>
      <c r="T55" s="148"/>
      <c r="U55" s="149"/>
      <c r="V55" s="149"/>
    </row>
    <row r="56" spans="1:22" s="57" customFormat="1" ht="27.75" customHeight="1">
      <c r="A56" s="22">
        <v>10</v>
      </c>
      <c r="B56" s="170" t="s">
        <v>121</v>
      </c>
      <c r="C56" s="140" t="s">
        <v>102</v>
      </c>
      <c r="D56" s="173">
        <v>321</v>
      </c>
      <c r="E56" s="142" t="s">
        <v>45</v>
      </c>
      <c r="F56" s="143">
        <v>0</v>
      </c>
      <c r="G56" s="45">
        <v>0</v>
      </c>
      <c r="H56" s="61">
        <v>0</v>
      </c>
      <c r="I56" s="47">
        <v>0</v>
      </c>
      <c r="J56" s="113">
        <v>45987</v>
      </c>
      <c r="K56" s="114" t="s">
        <v>626</v>
      </c>
      <c r="L56" s="151">
        <v>321</v>
      </c>
      <c r="M56" s="171" t="s">
        <v>45</v>
      </c>
      <c r="N56" s="172">
        <v>0</v>
      </c>
      <c r="O56" s="147">
        <f t="shared" si="12"/>
        <v>0</v>
      </c>
      <c r="P56" s="147">
        <f t="shared" si="15"/>
        <v>0</v>
      </c>
      <c r="Q56" s="47">
        <f t="shared" si="16"/>
        <v>0</v>
      </c>
      <c r="R56" s="146"/>
      <c r="S56" s="148"/>
      <c r="T56" s="148"/>
      <c r="U56" s="149"/>
      <c r="V56" s="149"/>
    </row>
    <row r="57" spans="1:22" s="57" customFormat="1" ht="27.75" customHeight="1">
      <c r="A57" s="22">
        <v>11</v>
      </c>
      <c r="B57" s="40" t="s">
        <v>123</v>
      </c>
      <c r="C57" s="140" t="s">
        <v>102</v>
      </c>
      <c r="D57" s="173">
        <v>160.5</v>
      </c>
      <c r="E57" s="142" t="s">
        <v>522</v>
      </c>
      <c r="F57" s="143">
        <v>-1</v>
      </c>
      <c r="G57" s="45">
        <v>-150</v>
      </c>
      <c r="H57" s="61">
        <v>-10.5</v>
      </c>
      <c r="I57" s="47">
        <v>-160.5</v>
      </c>
      <c r="J57" s="113"/>
      <c r="K57" s="114"/>
      <c r="L57" s="144">
        <v>0</v>
      </c>
      <c r="M57" s="145" t="s">
        <v>45</v>
      </c>
      <c r="N57" s="146">
        <v>0</v>
      </c>
      <c r="O57" s="147">
        <f t="shared" si="12"/>
        <v>0</v>
      </c>
      <c r="P57" s="147">
        <f t="shared" si="15"/>
        <v>0</v>
      </c>
      <c r="Q57" s="47">
        <f t="shared" si="16"/>
        <v>0</v>
      </c>
      <c r="R57" s="146"/>
      <c r="S57" s="148"/>
      <c r="T57" s="148"/>
      <c r="U57" s="149"/>
      <c r="V57" s="149"/>
    </row>
    <row r="58" spans="1:22" s="57" customFormat="1" ht="27.75" customHeight="1">
      <c r="A58" s="22">
        <v>12</v>
      </c>
      <c r="B58" s="40" t="s">
        <v>126</v>
      </c>
      <c r="C58" s="140" t="s">
        <v>102</v>
      </c>
      <c r="D58" s="173">
        <v>642</v>
      </c>
      <c r="E58" s="142" t="s">
        <v>45</v>
      </c>
      <c r="F58" s="143">
        <v>0</v>
      </c>
      <c r="G58" s="61">
        <v>0</v>
      </c>
      <c r="H58" s="61">
        <v>0</v>
      </c>
      <c r="I58" s="47">
        <v>0</v>
      </c>
      <c r="J58" s="113">
        <v>45962</v>
      </c>
      <c r="K58" s="114" t="s">
        <v>627</v>
      </c>
      <c r="L58" s="144">
        <v>642</v>
      </c>
      <c r="M58" s="145" t="s">
        <v>45</v>
      </c>
      <c r="N58" s="146">
        <v>0</v>
      </c>
      <c r="O58" s="147">
        <f t="shared" si="12"/>
        <v>0</v>
      </c>
      <c r="P58" s="147">
        <f t="shared" si="15"/>
        <v>0</v>
      </c>
      <c r="Q58" s="47">
        <f t="shared" si="16"/>
        <v>0</v>
      </c>
      <c r="R58" s="146"/>
      <c r="S58" s="148"/>
      <c r="T58" s="148"/>
      <c r="U58" s="149"/>
      <c r="V58" s="149"/>
    </row>
    <row r="59" spans="1:22" s="57" customFormat="1" ht="27.75" customHeight="1">
      <c r="A59" s="22">
        <v>13</v>
      </c>
      <c r="B59" s="40" t="s">
        <v>128</v>
      </c>
      <c r="C59" s="140" t="s">
        <v>102</v>
      </c>
      <c r="D59" s="141">
        <v>642</v>
      </c>
      <c r="E59" s="142" t="s">
        <v>45</v>
      </c>
      <c r="F59" s="143">
        <v>0</v>
      </c>
      <c r="G59" s="61">
        <v>0</v>
      </c>
      <c r="H59" s="61">
        <v>0</v>
      </c>
      <c r="I59" s="47">
        <v>0</v>
      </c>
      <c r="J59" s="113">
        <v>45989</v>
      </c>
      <c r="K59" s="114" t="s">
        <v>628</v>
      </c>
      <c r="L59" s="144">
        <v>642</v>
      </c>
      <c r="M59" s="145" t="s">
        <v>45</v>
      </c>
      <c r="N59" s="146">
        <v>0</v>
      </c>
      <c r="O59" s="147">
        <f t="shared" si="12"/>
        <v>0</v>
      </c>
      <c r="P59" s="147">
        <f t="shared" si="15"/>
        <v>0</v>
      </c>
      <c r="Q59" s="47">
        <f t="shared" si="16"/>
        <v>0</v>
      </c>
      <c r="R59" s="146"/>
      <c r="S59" s="148"/>
      <c r="T59" s="148"/>
      <c r="U59" s="149"/>
      <c r="V59" s="149"/>
    </row>
    <row r="60" spans="1:22" s="57" customFormat="1" ht="27.75" customHeight="1">
      <c r="A60" s="22">
        <v>14</v>
      </c>
      <c r="B60" s="40" t="s">
        <v>130</v>
      </c>
      <c r="C60" s="140" t="s">
        <v>102</v>
      </c>
      <c r="D60" s="141">
        <v>160.5</v>
      </c>
      <c r="E60" s="142" t="s">
        <v>32</v>
      </c>
      <c r="F60" s="143">
        <v>1</v>
      </c>
      <c r="G60" s="61">
        <v>150</v>
      </c>
      <c r="H60" s="61">
        <v>10.5</v>
      </c>
      <c r="I60" s="47">
        <v>160.5</v>
      </c>
      <c r="J60" s="175" t="s">
        <v>629</v>
      </c>
      <c r="K60" s="176" t="s">
        <v>630</v>
      </c>
      <c r="L60" s="177">
        <v>321</v>
      </c>
      <c r="M60" s="145" t="s">
        <v>45</v>
      </c>
      <c r="N60" s="146">
        <v>0</v>
      </c>
      <c r="O60" s="147">
        <f t="shared" si="12"/>
        <v>0</v>
      </c>
      <c r="P60" s="147">
        <f t="shared" si="15"/>
        <v>0</v>
      </c>
      <c r="Q60" s="47">
        <f t="shared" si="16"/>
        <v>0</v>
      </c>
      <c r="R60" s="146"/>
      <c r="S60" s="148"/>
      <c r="T60" s="148"/>
      <c r="U60" s="149"/>
      <c r="V60" s="149"/>
    </row>
    <row r="61" spans="1:22" s="57" customFormat="1" ht="27.75" customHeight="1">
      <c r="A61" s="22">
        <v>15</v>
      </c>
      <c r="B61" s="170" t="s">
        <v>132</v>
      </c>
      <c r="C61" s="140" t="s">
        <v>102</v>
      </c>
      <c r="D61" s="141">
        <v>321</v>
      </c>
      <c r="E61" s="142" t="s">
        <v>45</v>
      </c>
      <c r="F61" s="143">
        <v>0</v>
      </c>
      <c r="G61" s="45">
        <v>0</v>
      </c>
      <c r="H61" s="61">
        <v>0</v>
      </c>
      <c r="I61" s="47">
        <v>0</v>
      </c>
      <c r="J61" s="178">
        <v>45985</v>
      </c>
      <c r="K61" s="179" t="s">
        <v>631</v>
      </c>
      <c r="L61" s="180">
        <v>321</v>
      </c>
      <c r="M61" s="171" t="s">
        <v>45</v>
      </c>
      <c r="N61" s="172">
        <v>0</v>
      </c>
      <c r="O61" s="147">
        <f t="shared" si="12"/>
        <v>0</v>
      </c>
      <c r="P61" s="147">
        <f t="shared" si="15"/>
        <v>0</v>
      </c>
      <c r="Q61" s="47">
        <f t="shared" si="16"/>
        <v>0</v>
      </c>
      <c r="R61" s="146"/>
      <c r="S61" s="148"/>
      <c r="T61" s="148"/>
      <c r="U61" s="149"/>
      <c r="V61" s="149"/>
    </row>
    <row r="62" spans="1:22" s="57" customFormat="1" ht="27.75" customHeight="1">
      <c r="A62" s="22">
        <v>16</v>
      </c>
      <c r="B62" s="40" t="s">
        <v>134</v>
      </c>
      <c r="C62" s="140" t="s">
        <v>102</v>
      </c>
      <c r="D62" s="141">
        <v>160.5</v>
      </c>
      <c r="E62" s="142" t="s">
        <v>45</v>
      </c>
      <c r="F62" s="143">
        <v>0</v>
      </c>
      <c r="G62" s="61">
        <v>0</v>
      </c>
      <c r="H62" s="61">
        <v>0</v>
      </c>
      <c r="I62" s="47">
        <v>0</v>
      </c>
      <c r="J62" s="175">
        <v>45986</v>
      </c>
      <c r="K62" s="176" t="s">
        <v>632</v>
      </c>
      <c r="L62" s="177">
        <v>160.5</v>
      </c>
      <c r="M62" s="145" t="s">
        <v>45</v>
      </c>
      <c r="N62" s="146">
        <v>0</v>
      </c>
      <c r="O62" s="147">
        <f t="shared" si="12"/>
        <v>0</v>
      </c>
      <c r="P62" s="147">
        <f t="shared" si="15"/>
        <v>0</v>
      </c>
      <c r="Q62" s="47">
        <f t="shared" si="16"/>
        <v>0</v>
      </c>
      <c r="R62" s="146"/>
      <c r="S62" s="148"/>
      <c r="T62" s="148"/>
      <c r="U62" s="149"/>
      <c r="V62" s="149"/>
    </row>
    <row r="63" spans="1:22" s="57" customFormat="1" ht="27.75" customHeight="1">
      <c r="A63" s="22">
        <v>17</v>
      </c>
      <c r="B63" s="170" t="s">
        <v>136</v>
      </c>
      <c r="C63" s="140" t="s">
        <v>102</v>
      </c>
      <c r="D63" s="141">
        <v>321</v>
      </c>
      <c r="E63" s="142" t="s">
        <v>45</v>
      </c>
      <c r="F63" s="143">
        <v>0</v>
      </c>
      <c r="G63" s="45">
        <v>0</v>
      </c>
      <c r="H63" s="61">
        <v>0</v>
      </c>
      <c r="I63" s="47">
        <v>0</v>
      </c>
      <c r="J63" s="113">
        <v>45987</v>
      </c>
      <c r="K63" s="114" t="s">
        <v>633</v>
      </c>
      <c r="L63" s="144">
        <v>321</v>
      </c>
      <c r="M63" s="171" t="s">
        <v>45</v>
      </c>
      <c r="N63" s="172">
        <v>0</v>
      </c>
      <c r="O63" s="147">
        <f t="shared" si="12"/>
        <v>0</v>
      </c>
      <c r="P63" s="147">
        <f t="shared" si="15"/>
        <v>0</v>
      </c>
      <c r="Q63" s="47">
        <f t="shared" si="16"/>
        <v>0</v>
      </c>
      <c r="R63" s="146"/>
      <c r="S63" s="148"/>
      <c r="T63" s="148"/>
      <c r="U63" s="149"/>
      <c r="V63" s="149"/>
    </row>
    <row r="64" spans="1:22" s="57" customFormat="1" ht="27.75" customHeight="1">
      <c r="A64" s="22">
        <v>18</v>
      </c>
      <c r="B64" s="181" t="s">
        <v>138</v>
      </c>
      <c r="C64" s="182" t="s">
        <v>139</v>
      </c>
      <c r="D64" s="173">
        <v>160.5</v>
      </c>
      <c r="E64" s="142" t="s">
        <v>528</v>
      </c>
      <c r="F64" s="143">
        <v>-2</v>
      </c>
      <c r="G64" s="45">
        <v>-300</v>
      </c>
      <c r="H64" s="61">
        <v>-21</v>
      </c>
      <c r="I64" s="47">
        <v>-321</v>
      </c>
      <c r="J64" s="183"/>
      <c r="K64" s="184"/>
      <c r="L64" s="185">
        <v>0</v>
      </c>
      <c r="M64" s="186" t="s">
        <v>634</v>
      </c>
      <c r="N64" s="44">
        <v>-1</v>
      </c>
      <c r="O64" s="147">
        <f t="shared" si="12"/>
        <v>-150</v>
      </c>
      <c r="P64" s="147">
        <f t="shared" si="15"/>
        <v>-10.5</v>
      </c>
      <c r="Q64" s="47">
        <f t="shared" si="16"/>
        <v>-160.5</v>
      </c>
      <c r="R64" s="146"/>
      <c r="S64" s="148"/>
      <c r="T64" s="148"/>
      <c r="U64" s="149"/>
      <c r="V64" s="149"/>
    </row>
    <row r="65" spans="1:22" s="57" customFormat="1" ht="27.75" customHeight="1">
      <c r="A65" s="22">
        <v>19</v>
      </c>
      <c r="B65" s="181" t="s">
        <v>142</v>
      </c>
      <c r="C65" s="182" t="s">
        <v>143</v>
      </c>
      <c r="D65" s="173">
        <v>160.5</v>
      </c>
      <c r="E65" s="142" t="s">
        <v>45</v>
      </c>
      <c r="F65" s="143">
        <v>0</v>
      </c>
      <c r="G65" s="45">
        <v>0</v>
      </c>
      <c r="H65" s="61">
        <v>0</v>
      </c>
      <c r="I65" s="47">
        <v>0</v>
      </c>
      <c r="J65" s="183">
        <v>45989</v>
      </c>
      <c r="K65" s="184" t="s">
        <v>635</v>
      </c>
      <c r="L65" s="185">
        <v>160.5</v>
      </c>
      <c r="M65" s="186" t="s">
        <v>45</v>
      </c>
      <c r="N65" s="44">
        <v>0</v>
      </c>
      <c r="O65" s="147">
        <f t="shared" si="12"/>
        <v>0</v>
      </c>
      <c r="P65" s="147">
        <f t="shared" si="15"/>
        <v>0</v>
      </c>
      <c r="Q65" s="47">
        <f t="shared" si="16"/>
        <v>0</v>
      </c>
      <c r="R65" s="146"/>
      <c r="S65" s="148"/>
      <c r="T65" s="148"/>
      <c r="U65" s="149"/>
      <c r="V65" s="149"/>
    </row>
    <row r="66" spans="1:22" s="57" customFormat="1" ht="27.75" customHeight="1">
      <c r="A66" s="22">
        <v>20</v>
      </c>
      <c r="B66" s="40" t="s">
        <v>145</v>
      </c>
      <c r="C66" s="140" t="s">
        <v>102</v>
      </c>
      <c r="D66" s="173">
        <v>321</v>
      </c>
      <c r="E66" s="142" t="s">
        <v>522</v>
      </c>
      <c r="F66" s="143">
        <v>-1</v>
      </c>
      <c r="G66" s="45">
        <v>-300</v>
      </c>
      <c r="H66" s="61">
        <v>-21</v>
      </c>
      <c r="I66" s="47">
        <v>-321</v>
      </c>
      <c r="J66" s="175"/>
      <c r="K66" s="176"/>
      <c r="L66" s="177">
        <v>0</v>
      </c>
      <c r="M66" s="171" t="s">
        <v>45</v>
      </c>
      <c r="N66" s="172">
        <v>0</v>
      </c>
      <c r="O66" s="147">
        <f t="shared" si="12"/>
        <v>0</v>
      </c>
      <c r="P66" s="147">
        <f t="shared" si="15"/>
        <v>0</v>
      </c>
      <c r="Q66" s="47">
        <f t="shared" si="16"/>
        <v>0</v>
      </c>
      <c r="R66" s="146"/>
      <c r="S66" s="148"/>
      <c r="T66" s="148"/>
      <c r="U66" s="149"/>
      <c r="V66" s="149"/>
    </row>
    <row r="67" spans="1:22" s="57" customFormat="1" ht="27.75" customHeight="1">
      <c r="A67" s="22">
        <v>21</v>
      </c>
      <c r="B67" s="40" t="s">
        <v>147</v>
      </c>
      <c r="C67" s="140" t="s">
        <v>102</v>
      </c>
      <c r="D67" s="173">
        <v>160.5</v>
      </c>
      <c r="E67" s="142" t="s">
        <v>45</v>
      </c>
      <c r="F67" s="143">
        <v>0</v>
      </c>
      <c r="G67" s="45">
        <v>0</v>
      </c>
      <c r="H67" s="61">
        <v>0</v>
      </c>
      <c r="I67" s="47">
        <v>0</v>
      </c>
      <c r="J67" s="175">
        <v>45966</v>
      </c>
      <c r="K67" s="176" t="s">
        <v>636</v>
      </c>
      <c r="L67" s="177">
        <v>160.5</v>
      </c>
      <c r="M67" s="171" t="s">
        <v>45</v>
      </c>
      <c r="N67" s="172">
        <v>0</v>
      </c>
      <c r="O67" s="147">
        <f t="shared" si="12"/>
        <v>0</v>
      </c>
      <c r="P67" s="147">
        <f t="shared" si="15"/>
        <v>0</v>
      </c>
      <c r="Q67" s="47">
        <f t="shared" si="16"/>
        <v>0</v>
      </c>
      <c r="R67" s="146"/>
      <c r="S67" s="148"/>
      <c r="T67" s="148"/>
      <c r="U67" s="149"/>
      <c r="V67" s="149"/>
    </row>
    <row r="68" spans="1:22" s="57" customFormat="1" ht="27.75" customHeight="1">
      <c r="A68" s="22">
        <v>22</v>
      </c>
      <c r="B68" s="80" t="s">
        <v>149</v>
      </c>
      <c r="C68" s="140" t="s">
        <v>102</v>
      </c>
      <c r="D68" s="173">
        <v>1070</v>
      </c>
      <c r="E68" s="142" t="s">
        <v>45</v>
      </c>
      <c r="F68" s="143">
        <v>0</v>
      </c>
      <c r="G68" s="187">
        <v>0</v>
      </c>
      <c r="H68" s="61">
        <v>0</v>
      </c>
      <c r="I68" s="47">
        <v>0</v>
      </c>
      <c r="J68" s="175">
        <v>45983</v>
      </c>
      <c r="K68" s="176" t="s">
        <v>637</v>
      </c>
      <c r="L68" s="177">
        <v>1070</v>
      </c>
      <c r="M68" s="171" t="s">
        <v>45</v>
      </c>
      <c r="N68" s="172">
        <v>0</v>
      </c>
      <c r="O68" s="147">
        <f t="shared" si="12"/>
        <v>0</v>
      </c>
      <c r="P68" s="147">
        <f t="shared" si="15"/>
        <v>0</v>
      </c>
      <c r="Q68" s="47">
        <f t="shared" si="16"/>
        <v>0</v>
      </c>
      <c r="R68" s="188"/>
      <c r="S68" s="189"/>
      <c r="T68" s="189"/>
      <c r="U68" s="190"/>
      <c r="V68" s="190"/>
    </row>
    <row r="69" spans="1:22" s="57" customFormat="1" ht="27.75" customHeight="1">
      <c r="A69" s="22">
        <v>23</v>
      </c>
      <c r="B69" s="170" t="s">
        <v>151</v>
      </c>
      <c r="C69" s="140" t="s">
        <v>102</v>
      </c>
      <c r="D69" s="141">
        <v>160.5</v>
      </c>
      <c r="E69" s="142" t="s">
        <v>45</v>
      </c>
      <c r="F69" s="143">
        <v>0</v>
      </c>
      <c r="G69" s="45">
        <v>0</v>
      </c>
      <c r="H69" s="61">
        <v>0</v>
      </c>
      <c r="I69" s="47">
        <v>0</v>
      </c>
      <c r="J69" s="117">
        <v>45966</v>
      </c>
      <c r="K69" s="118" t="s">
        <v>638</v>
      </c>
      <c r="L69" s="151">
        <v>160.5</v>
      </c>
      <c r="M69" s="171" t="s">
        <v>45</v>
      </c>
      <c r="N69" s="172">
        <v>0</v>
      </c>
      <c r="O69" s="147">
        <f t="shared" si="12"/>
        <v>0</v>
      </c>
      <c r="P69" s="147">
        <f>ROUND((O69*0.07),2)</f>
        <v>0</v>
      </c>
      <c r="Q69" s="47">
        <f>+O69+P69</f>
        <v>0</v>
      </c>
      <c r="R69" s="146"/>
      <c r="S69" s="148"/>
      <c r="T69" s="148"/>
      <c r="U69" s="149"/>
      <c r="V69" s="149"/>
    </row>
    <row r="70" spans="1:22" s="57" customFormat="1" ht="27.75" customHeight="1">
      <c r="A70" s="22">
        <v>24</v>
      </c>
      <c r="B70" s="170" t="s">
        <v>153</v>
      </c>
      <c r="C70" s="140" t="s">
        <v>102</v>
      </c>
      <c r="D70" s="141">
        <v>160.5</v>
      </c>
      <c r="E70" s="142" t="s">
        <v>528</v>
      </c>
      <c r="F70" s="143">
        <v>-2</v>
      </c>
      <c r="G70" s="45">
        <v>-300</v>
      </c>
      <c r="H70" s="61">
        <v>-21</v>
      </c>
      <c r="I70" s="47">
        <v>-321</v>
      </c>
      <c r="J70" s="175"/>
      <c r="K70" s="176"/>
      <c r="L70" s="177">
        <v>0</v>
      </c>
      <c r="M70" s="171" t="s">
        <v>634</v>
      </c>
      <c r="N70" s="172">
        <v>-1</v>
      </c>
      <c r="O70" s="147">
        <f t="shared" si="12"/>
        <v>-150</v>
      </c>
      <c r="P70" s="147">
        <f>ROUND((O70*0.07),2)</f>
        <v>-10.5</v>
      </c>
      <c r="Q70" s="47">
        <f>+O70+P70</f>
        <v>-160.5</v>
      </c>
      <c r="R70" s="146"/>
      <c r="S70" s="148"/>
      <c r="T70" s="148"/>
      <c r="U70" s="149"/>
      <c r="V70" s="149"/>
    </row>
    <row r="71" spans="1:22" s="57" customFormat="1" ht="27.75" customHeight="1">
      <c r="A71" s="22">
        <v>25</v>
      </c>
      <c r="B71" s="170" t="s">
        <v>154</v>
      </c>
      <c r="C71" s="140" t="s">
        <v>102</v>
      </c>
      <c r="D71" s="141">
        <v>321</v>
      </c>
      <c r="E71" s="142" t="s">
        <v>45</v>
      </c>
      <c r="F71" s="143">
        <v>0</v>
      </c>
      <c r="G71" s="45">
        <v>0</v>
      </c>
      <c r="H71" s="61">
        <v>0</v>
      </c>
      <c r="I71" s="47">
        <v>0</v>
      </c>
      <c r="J71" s="175">
        <v>45987</v>
      </c>
      <c r="K71" s="176" t="s">
        <v>639</v>
      </c>
      <c r="L71" s="177">
        <v>321</v>
      </c>
      <c r="M71" s="186" t="s">
        <v>45</v>
      </c>
      <c r="N71" s="44">
        <v>0</v>
      </c>
      <c r="O71" s="147">
        <f t="shared" si="12"/>
        <v>0</v>
      </c>
      <c r="P71" s="147">
        <f>ROUND((O71*0.07),2)</f>
        <v>0</v>
      </c>
      <c r="Q71" s="47">
        <f>+O71+P71</f>
        <v>0</v>
      </c>
      <c r="R71" s="146"/>
      <c r="S71" s="148"/>
      <c r="T71" s="148"/>
      <c r="U71" s="149"/>
      <c r="V71" s="149"/>
    </row>
    <row r="72" spans="1:22" s="57" customFormat="1" ht="27.75" customHeight="1">
      <c r="A72" s="22">
        <v>26</v>
      </c>
      <c r="B72" s="191" t="s">
        <v>156</v>
      </c>
      <c r="C72" s="140" t="s">
        <v>102</v>
      </c>
      <c r="D72" s="192">
        <v>160.5</v>
      </c>
      <c r="E72" s="142" t="s">
        <v>45</v>
      </c>
      <c r="F72" s="143">
        <v>0</v>
      </c>
      <c r="G72" s="187">
        <v>0</v>
      </c>
      <c r="H72" s="61">
        <v>0</v>
      </c>
      <c r="I72" s="47">
        <v>0</v>
      </c>
      <c r="J72" s="175">
        <v>45963</v>
      </c>
      <c r="K72" s="176" t="s">
        <v>640</v>
      </c>
      <c r="L72" s="177">
        <v>160.5</v>
      </c>
      <c r="M72" s="186" t="s">
        <v>45</v>
      </c>
      <c r="N72" s="44">
        <v>0</v>
      </c>
      <c r="O72" s="147">
        <f t="shared" si="12"/>
        <v>0</v>
      </c>
      <c r="P72" s="147">
        <f t="shared" ref="P72:P77" si="17">ROUND((O72*0.07),2)</f>
        <v>0</v>
      </c>
      <c r="Q72" s="47">
        <f t="shared" ref="Q72:Q77" si="18">+O72+P72</f>
        <v>0</v>
      </c>
      <c r="R72" s="188"/>
      <c r="S72" s="189"/>
      <c r="T72" s="189"/>
      <c r="U72" s="190"/>
      <c r="V72" s="190"/>
    </row>
    <row r="73" spans="1:22" s="57" customFormat="1" ht="27.75" customHeight="1">
      <c r="A73" s="22">
        <v>27</v>
      </c>
      <c r="B73" s="170" t="s">
        <v>158</v>
      </c>
      <c r="C73" s="140" t="s">
        <v>102</v>
      </c>
      <c r="D73" s="141">
        <v>321</v>
      </c>
      <c r="E73" s="142" t="s">
        <v>535</v>
      </c>
      <c r="F73" s="143">
        <v>-10.118366666666669</v>
      </c>
      <c r="G73" s="45">
        <v>-3035.51</v>
      </c>
      <c r="H73" s="61">
        <v>-212.49</v>
      </c>
      <c r="I73" s="47">
        <v>-3248</v>
      </c>
      <c r="J73" s="117"/>
      <c r="K73" s="118"/>
      <c r="L73" s="151">
        <v>0</v>
      </c>
      <c r="M73" s="171" t="s">
        <v>641</v>
      </c>
      <c r="N73" s="172">
        <v>-9.1183666666666685</v>
      </c>
      <c r="O73" s="147">
        <f t="shared" si="12"/>
        <v>-2735.51</v>
      </c>
      <c r="P73" s="147">
        <f t="shared" si="17"/>
        <v>-191.49</v>
      </c>
      <c r="Q73" s="47">
        <f t="shared" si="18"/>
        <v>-2927</v>
      </c>
      <c r="R73" s="146"/>
      <c r="S73" s="148"/>
      <c r="T73" s="148"/>
      <c r="U73" s="149"/>
      <c r="V73" s="149"/>
    </row>
    <row r="74" spans="1:22" s="57" customFormat="1" ht="27.75" customHeight="1">
      <c r="A74" s="22">
        <v>28</v>
      </c>
      <c r="B74" s="191" t="s">
        <v>161</v>
      </c>
      <c r="C74" s="140" t="s">
        <v>102</v>
      </c>
      <c r="D74" s="192">
        <v>321</v>
      </c>
      <c r="E74" s="142" t="s">
        <v>45</v>
      </c>
      <c r="F74" s="143">
        <v>0</v>
      </c>
      <c r="G74" s="187">
        <v>0</v>
      </c>
      <c r="H74" s="61">
        <v>0</v>
      </c>
      <c r="I74" s="47">
        <v>0</v>
      </c>
      <c r="J74" s="117">
        <v>45987</v>
      </c>
      <c r="K74" s="118" t="s">
        <v>642</v>
      </c>
      <c r="L74" s="151">
        <v>321</v>
      </c>
      <c r="M74" s="171" t="s">
        <v>45</v>
      </c>
      <c r="N74" s="172">
        <v>0</v>
      </c>
      <c r="O74" s="147">
        <f t="shared" si="12"/>
        <v>0</v>
      </c>
      <c r="P74" s="147">
        <f t="shared" si="17"/>
        <v>0</v>
      </c>
      <c r="Q74" s="47">
        <f t="shared" si="18"/>
        <v>0</v>
      </c>
      <c r="R74" s="188"/>
      <c r="S74" s="189"/>
      <c r="T74" s="189"/>
      <c r="U74" s="190"/>
      <c r="V74" s="190"/>
    </row>
    <row r="75" spans="1:22" s="57" customFormat="1" ht="27.75" customHeight="1">
      <c r="A75" s="22">
        <v>29</v>
      </c>
      <c r="B75" s="191" t="s">
        <v>163</v>
      </c>
      <c r="C75" s="140" t="s">
        <v>102</v>
      </c>
      <c r="D75" s="192">
        <v>160.5</v>
      </c>
      <c r="E75" s="142" t="s">
        <v>45</v>
      </c>
      <c r="F75" s="143">
        <v>0</v>
      </c>
      <c r="G75" s="187">
        <v>0</v>
      </c>
      <c r="H75" s="61">
        <v>0</v>
      </c>
      <c r="I75" s="47">
        <v>0</v>
      </c>
      <c r="J75" s="117">
        <v>45987</v>
      </c>
      <c r="K75" s="118" t="s">
        <v>643</v>
      </c>
      <c r="L75" s="151">
        <v>160.5</v>
      </c>
      <c r="M75" s="171" t="s">
        <v>45</v>
      </c>
      <c r="N75" s="172">
        <v>0</v>
      </c>
      <c r="O75" s="147">
        <f t="shared" si="12"/>
        <v>0</v>
      </c>
      <c r="P75" s="147">
        <f t="shared" si="17"/>
        <v>0</v>
      </c>
      <c r="Q75" s="47">
        <f t="shared" si="18"/>
        <v>0</v>
      </c>
      <c r="R75" s="188"/>
      <c r="S75" s="189"/>
      <c r="T75" s="189"/>
      <c r="U75" s="190"/>
      <c r="V75" s="190"/>
    </row>
    <row r="76" spans="1:22" s="57" customFormat="1" ht="27.75" customHeight="1">
      <c r="A76" s="22">
        <v>30</v>
      </c>
      <c r="B76" s="170" t="s">
        <v>165</v>
      </c>
      <c r="C76" s="140" t="s">
        <v>102</v>
      </c>
      <c r="D76" s="141">
        <v>1070</v>
      </c>
      <c r="E76" s="142" t="s">
        <v>45</v>
      </c>
      <c r="F76" s="143">
        <v>0</v>
      </c>
      <c r="G76" s="45">
        <v>0</v>
      </c>
      <c r="H76" s="61">
        <v>0</v>
      </c>
      <c r="I76" s="47">
        <v>0</v>
      </c>
      <c r="J76" s="175">
        <v>45968</v>
      </c>
      <c r="K76" s="176" t="s">
        <v>644</v>
      </c>
      <c r="L76" s="177">
        <v>1070</v>
      </c>
      <c r="M76" s="171" t="s">
        <v>45</v>
      </c>
      <c r="N76" s="172">
        <v>0</v>
      </c>
      <c r="O76" s="147">
        <f t="shared" si="12"/>
        <v>0</v>
      </c>
      <c r="P76" s="147">
        <f t="shared" si="17"/>
        <v>0</v>
      </c>
      <c r="Q76" s="47">
        <f t="shared" si="18"/>
        <v>0</v>
      </c>
      <c r="R76" s="146"/>
      <c r="S76" s="148"/>
      <c r="T76" s="148"/>
      <c r="U76" s="149"/>
      <c r="V76" s="149"/>
    </row>
    <row r="77" spans="1:22" s="57" customFormat="1" ht="27.75" customHeight="1">
      <c r="A77" s="22">
        <v>31</v>
      </c>
      <c r="B77" s="191" t="s">
        <v>167</v>
      </c>
      <c r="C77" s="140" t="s">
        <v>102</v>
      </c>
      <c r="D77" s="192">
        <v>535</v>
      </c>
      <c r="E77" s="142" t="s">
        <v>45</v>
      </c>
      <c r="F77" s="143">
        <v>0</v>
      </c>
      <c r="G77" s="187">
        <v>0</v>
      </c>
      <c r="H77" s="61">
        <v>0</v>
      </c>
      <c r="I77" s="47">
        <v>0</v>
      </c>
      <c r="J77" s="117">
        <v>45988</v>
      </c>
      <c r="K77" s="118" t="s">
        <v>645</v>
      </c>
      <c r="L77" s="151">
        <v>535</v>
      </c>
      <c r="M77" s="171" t="s">
        <v>45</v>
      </c>
      <c r="N77" s="172">
        <v>0</v>
      </c>
      <c r="O77" s="147">
        <f t="shared" si="12"/>
        <v>0</v>
      </c>
      <c r="P77" s="147">
        <f t="shared" si="17"/>
        <v>0</v>
      </c>
      <c r="Q77" s="47">
        <f t="shared" si="18"/>
        <v>0</v>
      </c>
      <c r="R77" s="188"/>
      <c r="S77" s="189"/>
      <c r="T77" s="189"/>
      <c r="U77" s="190"/>
      <c r="V77" s="190"/>
    </row>
    <row r="78" spans="1:22" s="57" customFormat="1" ht="27.75" customHeight="1">
      <c r="A78" s="22">
        <v>32</v>
      </c>
      <c r="B78" s="170" t="s">
        <v>169</v>
      </c>
      <c r="C78" s="140" t="s">
        <v>102</v>
      </c>
      <c r="D78" s="173">
        <v>321</v>
      </c>
      <c r="E78" s="142" t="s">
        <v>45</v>
      </c>
      <c r="F78" s="143">
        <v>0</v>
      </c>
      <c r="G78" s="45">
        <v>0</v>
      </c>
      <c r="H78" s="61">
        <v>0</v>
      </c>
      <c r="I78" s="47">
        <v>0</v>
      </c>
      <c r="J78" s="175">
        <v>45989</v>
      </c>
      <c r="K78" s="176" t="s">
        <v>646</v>
      </c>
      <c r="L78" s="177">
        <v>321</v>
      </c>
      <c r="M78" s="171" t="s">
        <v>45</v>
      </c>
      <c r="N78" s="172">
        <v>0</v>
      </c>
      <c r="O78" s="147">
        <f t="shared" si="12"/>
        <v>0</v>
      </c>
      <c r="P78" s="147">
        <f>ROUND((O78*0.07),2)</f>
        <v>0</v>
      </c>
      <c r="Q78" s="47">
        <f>+O78+P78</f>
        <v>0</v>
      </c>
      <c r="R78" s="146"/>
      <c r="S78" s="148"/>
      <c r="T78" s="148"/>
      <c r="U78" s="149"/>
      <c r="V78" s="149"/>
    </row>
    <row r="79" spans="1:22" s="57" customFormat="1" ht="27.75" customHeight="1">
      <c r="A79" s="22">
        <v>33</v>
      </c>
      <c r="B79" s="191" t="s">
        <v>171</v>
      </c>
      <c r="C79" s="140" t="s">
        <v>102</v>
      </c>
      <c r="D79" s="173">
        <v>963</v>
      </c>
      <c r="E79" s="142" t="s">
        <v>45</v>
      </c>
      <c r="F79" s="143">
        <v>0</v>
      </c>
      <c r="G79" s="187">
        <v>0</v>
      </c>
      <c r="H79" s="61">
        <v>0</v>
      </c>
      <c r="I79" s="47">
        <v>0</v>
      </c>
      <c r="J79" s="175">
        <v>45991</v>
      </c>
      <c r="K79" s="176" t="s">
        <v>647</v>
      </c>
      <c r="L79" s="177">
        <v>963</v>
      </c>
      <c r="M79" s="171" t="s">
        <v>45</v>
      </c>
      <c r="N79" s="172">
        <v>0</v>
      </c>
      <c r="O79" s="147">
        <f t="shared" si="12"/>
        <v>0</v>
      </c>
      <c r="P79" s="147">
        <f t="shared" ref="P79:P83" si="19">ROUND((O79*0.07),2)</f>
        <v>0</v>
      </c>
      <c r="Q79" s="47">
        <f t="shared" ref="Q79:Q83" si="20">+O79+P79</f>
        <v>0</v>
      </c>
      <c r="R79" s="188"/>
      <c r="S79" s="189"/>
      <c r="T79" s="189"/>
      <c r="U79" s="190"/>
      <c r="V79" s="190"/>
    </row>
    <row r="80" spans="1:22" s="57" customFormat="1" ht="27.75" customHeight="1">
      <c r="A80" s="22">
        <v>34</v>
      </c>
      <c r="B80" s="191" t="s">
        <v>173</v>
      </c>
      <c r="C80" s="140" t="s">
        <v>102</v>
      </c>
      <c r="D80" s="173">
        <v>321</v>
      </c>
      <c r="E80" s="142" t="s">
        <v>45</v>
      </c>
      <c r="F80" s="143">
        <v>0</v>
      </c>
      <c r="G80" s="187">
        <v>0</v>
      </c>
      <c r="H80" s="61">
        <v>0</v>
      </c>
      <c r="I80" s="47">
        <v>0</v>
      </c>
      <c r="J80" s="175">
        <v>45966</v>
      </c>
      <c r="K80" s="176" t="s">
        <v>648</v>
      </c>
      <c r="L80" s="177">
        <v>321</v>
      </c>
      <c r="M80" s="171" t="s">
        <v>45</v>
      </c>
      <c r="N80" s="172">
        <v>0</v>
      </c>
      <c r="O80" s="147">
        <f t="shared" si="12"/>
        <v>0</v>
      </c>
      <c r="P80" s="147">
        <f t="shared" si="19"/>
        <v>0</v>
      </c>
      <c r="Q80" s="47">
        <f t="shared" si="20"/>
        <v>0</v>
      </c>
      <c r="R80" s="188"/>
      <c r="S80" s="189"/>
      <c r="T80" s="189"/>
      <c r="U80" s="190"/>
      <c r="V80" s="190"/>
    </row>
    <row r="81" spans="1:23" s="57" customFormat="1" ht="27.75" customHeight="1">
      <c r="A81" s="22">
        <v>35</v>
      </c>
      <c r="B81" s="191" t="s">
        <v>175</v>
      </c>
      <c r="C81" s="140" t="s">
        <v>102</v>
      </c>
      <c r="D81" s="173">
        <v>321</v>
      </c>
      <c r="E81" s="142" t="s">
        <v>26</v>
      </c>
      <c r="F81" s="143">
        <v>0</v>
      </c>
      <c r="G81" s="187">
        <v>0</v>
      </c>
      <c r="H81" s="61">
        <v>0</v>
      </c>
      <c r="I81" s="47">
        <v>0</v>
      </c>
      <c r="J81" s="175">
        <v>45962</v>
      </c>
      <c r="K81" s="176" t="s">
        <v>649</v>
      </c>
      <c r="L81" s="177">
        <v>321</v>
      </c>
      <c r="M81" s="171" t="s">
        <v>26</v>
      </c>
      <c r="N81" s="172">
        <v>0</v>
      </c>
      <c r="O81" s="147">
        <f t="shared" si="12"/>
        <v>0</v>
      </c>
      <c r="P81" s="147">
        <f t="shared" si="19"/>
        <v>0</v>
      </c>
      <c r="Q81" s="47">
        <f t="shared" si="20"/>
        <v>0</v>
      </c>
      <c r="R81" s="188"/>
      <c r="S81" s="189"/>
      <c r="T81" s="189"/>
      <c r="U81" s="190"/>
      <c r="V81" s="190"/>
    </row>
    <row r="82" spans="1:23" s="57" customFormat="1" ht="27.75" customHeight="1">
      <c r="A82" s="22">
        <v>36</v>
      </c>
      <c r="B82" s="191" t="s">
        <v>177</v>
      </c>
      <c r="C82" s="140" t="s">
        <v>102</v>
      </c>
      <c r="D82" s="192">
        <v>321</v>
      </c>
      <c r="E82" s="142" t="s">
        <v>45</v>
      </c>
      <c r="F82" s="143">
        <v>0</v>
      </c>
      <c r="G82" s="187">
        <v>0</v>
      </c>
      <c r="H82" s="61">
        <v>0</v>
      </c>
      <c r="I82" s="47">
        <v>0</v>
      </c>
      <c r="J82" s="117">
        <v>45987</v>
      </c>
      <c r="K82" s="118" t="s">
        <v>650</v>
      </c>
      <c r="L82" s="151">
        <v>321</v>
      </c>
      <c r="M82" s="171" t="s">
        <v>45</v>
      </c>
      <c r="N82" s="172">
        <v>0</v>
      </c>
      <c r="O82" s="147">
        <f t="shared" si="12"/>
        <v>0</v>
      </c>
      <c r="P82" s="147">
        <f t="shared" si="19"/>
        <v>0</v>
      </c>
      <c r="Q82" s="47">
        <f t="shared" si="20"/>
        <v>0</v>
      </c>
      <c r="R82" s="188"/>
      <c r="S82" s="189"/>
      <c r="T82" s="189"/>
      <c r="U82" s="190"/>
      <c r="V82" s="190"/>
    </row>
    <row r="83" spans="1:23" ht="27.75" customHeight="1" thickBot="1">
      <c r="A83" s="193"/>
      <c r="B83" s="194" t="s">
        <v>22</v>
      </c>
      <c r="C83" s="195"/>
      <c r="D83" s="196">
        <f>SUM(D47:D82)</f>
        <v>12679.5</v>
      </c>
      <c r="E83" s="196"/>
      <c r="F83" s="197"/>
      <c r="G83" s="198">
        <f>SUM(G60+G48)</f>
        <v>450</v>
      </c>
      <c r="H83" s="198">
        <f t="shared" ref="H83:I83" si="21">SUM(H60+H48)</f>
        <v>31.5</v>
      </c>
      <c r="I83" s="198">
        <f t="shared" si="21"/>
        <v>481.5</v>
      </c>
      <c r="J83" s="199"/>
      <c r="K83" s="199"/>
      <c r="L83" s="196">
        <f>SUM(L47:L82)</f>
        <v>11556</v>
      </c>
      <c r="M83" s="200"/>
      <c r="N83" s="196"/>
      <c r="O83" s="198">
        <f>+O48+O60</f>
        <v>300</v>
      </c>
      <c r="P83" s="198">
        <f t="shared" si="19"/>
        <v>21</v>
      </c>
      <c r="Q83" s="198">
        <f t="shared" si="20"/>
        <v>321</v>
      </c>
      <c r="R83" s="36"/>
      <c r="S83" s="37"/>
      <c r="T83" s="37"/>
      <c r="U83" s="38"/>
      <c r="V83" s="38"/>
      <c r="W83" s="38"/>
    </row>
    <row r="84" spans="1:23" ht="27.75" customHeight="1" thickTop="1">
      <c r="A84" s="22"/>
      <c r="B84" s="23" t="s">
        <v>179</v>
      </c>
      <c r="C84" s="24"/>
      <c r="D84" s="25"/>
      <c r="E84" s="26"/>
      <c r="F84" s="27"/>
      <c r="G84" s="28"/>
      <c r="H84" s="28"/>
      <c r="I84" s="28"/>
      <c r="J84" s="29"/>
      <c r="K84" s="30"/>
      <c r="L84" s="31"/>
      <c r="M84" s="32"/>
      <c r="N84" s="33"/>
      <c r="O84" s="34"/>
      <c r="P84" s="34"/>
      <c r="Q84" s="35"/>
      <c r="R84" s="36"/>
      <c r="S84" s="37"/>
      <c r="T84" s="37"/>
      <c r="U84" s="38"/>
      <c r="V84" s="38"/>
      <c r="W84" s="38"/>
    </row>
    <row r="85" spans="1:23" ht="27.75" customHeight="1">
      <c r="A85" s="94">
        <v>1</v>
      </c>
      <c r="B85" s="40" t="s">
        <v>180</v>
      </c>
      <c r="C85" s="41" t="s">
        <v>181</v>
      </c>
      <c r="D85" s="201">
        <v>1284</v>
      </c>
      <c r="E85" s="43" t="s">
        <v>32</v>
      </c>
      <c r="F85" s="44">
        <v>1</v>
      </c>
      <c r="G85" s="45">
        <v>1350</v>
      </c>
      <c r="H85" s="61">
        <v>94.5</v>
      </c>
      <c r="I85" s="47">
        <v>1444.5</v>
      </c>
      <c r="J85" s="48">
        <v>45967</v>
      </c>
      <c r="K85" s="49" t="s">
        <v>651</v>
      </c>
      <c r="L85" s="202">
        <v>1444.5</v>
      </c>
      <c r="M85" s="83" t="s">
        <v>522</v>
      </c>
      <c r="N85" s="39">
        <v>1</v>
      </c>
      <c r="O85" s="147">
        <f>+(D85*100/107)+G85-(L85*100/107)</f>
        <v>1200</v>
      </c>
      <c r="P85" s="147">
        <f t="shared" ref="P85:P89" si="22">ROUND((O85*0.07),2)</f>
        <v>84</v>
      </c>
      <c r="Q85" s="47">
        <f t="shared" ref="Q85:Q89" si="23">+O85+P85</f>
        <v>1284</v>
      </c>
      <c r="R85" s="116"/>
      <c r="S85" s="203"/>
      <c r="T85" s="203"/>
      <c r="U85" s="204"/>
      <c r="V85" s="204"/>
    </row>
    <row r="86" spans="1:23" ht="27.75" customHeight="1">
      <c r="A86" s="94">
        <v>2</v>
      </c>
      <c r="B86" s="40" t="s">
        <v>184</v>
      </c>
      <c r="C86" s="41" t="s">
        <v>181</v>
      </c>
      <c r="D86" s="201">
        <v>3370.5</v>
      </c>
      <c r="E86" s="43" t="s">
        <v>45</v>
      </c>
      <c r="F86" s="44"/>
      <c r="G86" s="45">
        <v>0</v>
      </c>
      <c r="H86" s="61">
        <v>0</v>
      </c>
      <c r="I86" s="47">
        <v>0</v>
      </c>
      <c r="J86" s="48">
        <v>45971</v>
      </c>
      <c r="K86" s="49" t="s">
        <v>652</v>
      </c>
      <c r="L86" s="202">
        <v>3370.5</v>
      </c>
      <c r="M86" s="94" t="s">
        <v>45</v>
      </c>
      <c r="N86" s="116">
        <v>0</v>
      </c>
      <c r="O86" s="147">
        <f>+(D86*100/107)+G86-(L86*100/107)</f>
        <v>0</v>
      </c>
      <c r="P86" s="147">
        <f t="shared" si="22"/>
        <v>0</v>
      </c>
      <c r="Q86" s="47">
        <f t="shared" si="23"/>
        <v>0</v>
      </c>
      <c r="R86" s="116"/>
      <c r="S86" s="203"/>
      <c r="T86" s="203"/>
      <c r="U86" s="204"/>
      <c r="V86" s="204"/>
    </row>
    <row r="87" spans="1:23" ht="27.75" customHeight="1">
      <c r="A87" s="94">
        <v>3</v>
      </c>
      <c r="B87" s="205" t="s">
        <v>186</v>
      </c>
      <c r="C87" s="206" t="s">
        <v>181</v>
      </c>
      <c r="D87" s="207">
        <v>3370.5</v>
      </c>
      <c r="E87" s="64" t="s">
        <v>45</v>
      </c>
      <c r="F87" s="44"/>
      <c r="G87" s="45">
        <v>0</v>
      </c>
      <c r="H87" s="61">
        <v>0</v>
      </c>
      <c r="I87" s="47">
        <v>0</v>
      </c>
      <c r="J87" s="48">
        <v>45988</v>
      </c>
      <c r="K87" s="49" t="s">
        <v>653</v>
      </c>
      <c r="L87" s="202">
        <v>3370.5</v>
      </c>
      <c r="M87" s="186" t="s">
        <v>45</v>
      </c>
      <c r="N87" s="116">
        <v>0</v>
      </c>
      <c r="O87" s="147">
        <f>+(D87*100/107)+G87-(L87*100/107)</f>
        <v>0</v>
      </c>
      <c r="P87" s="147">
        <f t="shared" si="22"/>
        <v>0</v>
      </c>
      <c r="Q87" s="47">
        <f t="shared" si="23"/>
        <v>0</v>
      </c>
      <c r="R87" s="116"/>
      <c r="S87" s="203"/>
      <c r="T87" s="203"/>
      <c r="U87" s="204"/>
      <c r="V87" s="204"/>
    </row>
    <row r="88" spans="1:23" ht="27.75" customHeight="1">
      <c r="A88" s="186">
        <v>4</v>
      </c>
      <c r="B88" s="205" t="s">
        <v>188</v>
      </c>
      <c r="C88" s="206" t="s">
        <v>181</v>
      </c>
      <c r="D88" s="207">
        <v>2140</v>
      </c>
      <c r="E88" s="64" t="s">
        <v>26</v>
      </c>
      <c r="F88" s="44"/>
      <c r="G88" s="45">
        <v>0</v>
      </c>
      <c r="H88" s="45">
        <v>0</v>
      </c>
      <c r="I88" s="66">
        <v>0</v>
      </c>
      <c r="J88" s="48">
        <v>45962</v>
      </c>
      <c r="K88" s="49" t="s">
        <v>654</v>
      </c>
      <c r="L88" s="202">
        <v>2140</v>
      </c>
      <c r="M88" s="186" t="s">
        <v>26</v>
      </c>
      <c r="N88" s="116">
        <v>0</v>
      </c>
      <c r="O88" s="147">
        <f>+(D88*100/107)+G88-(L88*100/107)</f>
        <v>0</v>
      </c>
      <c r="P88" s="147">
        <f t="shared" si="22"/>
        <v>0</v>
      </c>
      <c r="Q88" s="47">
        <f t="shared" si="23"/>
        <v>0</v>
      </c>
      <c r="R88" s="116"/>
      <c r="S88" s="203"/>
      <c r="T88" s="203"/>
      <c r="U88" s="204"/>
      <c r="V88" s="204"/>
    </row>
    <row r="89" spans="1:23" s="220" customFormat="1" ht="27.75" customHeight="1">
      <c r="A89" s="186">
        <v>5</v>
      </c>
      <c r="B89" s="208" t="s">
        <v>71</v>
      </c>
      <c r="C89" s="209" t="s">
        <v>181</v>
      </c>
      <c r="D89" s="210">
        <v>2675</v>
      </c>
      <c r="E89" s="211" t="s">
        <v>510</v>
      </c>
      <c r="F89" s="212"/>
      <c r="G89" s="213">
        <v>-1250</v>
      </c>
      <c r="H89" s="213">
        <v>-87.5</v>
      </c>
      <c r="I89" s="214">
        <v>-1337.5</v>
      </c>
      <c r="J89" s="62">
        <v>45982</v>
      </c>
      <c r="K89" s="215" t="s">
        <v>655</v>
      </c>
      <c r="L89" s="202">
        <v>2675</v>
      </c>
      <c r="M89" s="216" t="s">
        <v>613</v>
      </c>
      <c r="N89" s="217">
        <v>-0.5</v>
      </c>
      <c r="O89" s="147">
        <f>+(D89*100/107)+G89-(L89*100/107)</f>
        <v>-1250</v>
      </c>
      <c r="P89" s="147">
        <f t="shared" si="22"/>
        <v>-87.5</v>
      </c>
      <c r="Q89" s="47">
        <f t="shared" si="23"/>
        <v>-1337.5</v>
      </c>
      <c r="R89" s="217"/>
      <c r="S89" s="218"/>
      <c r="T89" s="218"/>
      <c r="U89" s="219"/>
      <c r="V89" s="219"/>
    </row>
    <row r="90" spans="1:23" ht="27.75" customHeight="1" thickBot="1">
      <c r="A90" s="193"/>
      <c r="B90" s="194" t="s">
        <v>22</v>
      </c>
      <c r="C90" s="195"/>
      <c r="D90" s="196">
        <f>SUM(D85:D89)</f>
        <v>12840</v>
      </c>
      <c r="E90" s="221"/>
      <c r="F90" s="197"/>
      <c r="G90" s="198">
        <f>SUM(G85:G89)-G89</f>
        <v>1350</v>
      </c>
      <c r="H90" s="198">
        <f t="shared" ref="H90:I90" si="24">SUM(H85:H89)-H89</f>
        <v>94.5</v>
      </c>
      <c r="I90" s="198">
        <f t="shared" si="24"/>
        <v>1444.5</v>
      </c>
      <c r="J90" s="199"/>
      <c r="K90" s="199"/>
      <c r="L90" s="196">
        <f>SUM(L85:L89)</f>
        <v>13000.5</v>
      </c>
      <c r="M90" s="200"/>
      <c r="N90" s="196"/>
      <c r="O90" s="198">
        <f>SUM(O85:O88)</f>
        <v>1200</v>
      </c>
      <c r="P90" s="198">
        <f>SUM(P85:P88)</f>
        <v>84</v>
      </c>
      <c r="Q90" s="198">
        <f t="shared" ref="Q90" si="25">ROUND(SUM(Q85:Q89),2)-Q89</f>
        <v>1284</v>
      </c>
      <c r="R90" s="36"/>
      <c r="S90" s="37"/>
      <c r="T90" s="37"/>
      <c r="U90" s="38"/>
      <c r="V90" s="38"/>
      <c r="W90" s="38"/>
    </row>
    <row r="91" spans="1:23" ht="27.75" customHeight="1" thickTop="1">
      <c r="A91" s="22"/>
      <c r="B91" s="23" t="s">
        <v>191</v>
      </c>
      <c r="C91" s="24"/>
      <c r="D91" s="25"/>
      <c r="E91" s="26"/>
      <c r="F91" s="27"/>
      <c r="G91" s="28"/>
      <c r="H91" s="28"/>
      <c r="I91" s="28"/>
      <c r="J91" s="29"/>
      <c r="K91" s="30"/>
      <c r="L91" s="31"/>
      <c r="M91" s="32"/>
      <c r="N91" s="33"/>
      <c r="O91" s="34"/>
      <c r="P91" s="34"/>
      <c r="Q91" s="35"/>
      <c r="R91" s="36"/>
      <c r="S91" s="37"/>
      <c r="T91" s="37"/>
      <c r="U91" s="38"/>
      <c r="V91" s="38"/>
      <c r="W91" s="38"/>
    </row>
    <row r="92" spans="1:23" ht="27.75" customHeight="1">
      <c r="A92" s="94">
        <v>1</v>
      </c>
      <c r="B92" s="40" t="s">
        <v>192</v>
      </c>
      <c r="C92" s="41" t="s">
        <v>193</v>
      </c>
      <c r="D92" s="141">
        <v>2140</v>
      </c>
      <c r="E92" s="43"/>
      <c r="F92" s="44"/>
      <c r="G92" s="45">
        <v>0</v>
      </c>
      <c r="H92" s="61">
        <v>0</v>
      </c>
      <c r="I92" s="47">
        <v>0</v>
      </c>
      <c r="J92" s="175">
        <v>45966</v>
      </c>
      <c r="K92" s="176" t="s">
        <v>656</v>
      </c>
      <c r="L92" s="222">
        <v>2140</v>
      </c>
      <c r="M92" s="94"/>
      <c r="N92" s="116"/>
      <c r="O92" s="147">
        <v>0</v>
      </c>
      <c r="P92" s="147">
        <v>0</v>
      </c>
      <c r="Q92" s="47">
        <v>0</v>
      </c>
      <c r="R92" s="39" t="s">
        <v>195</v>
      </c>
      <c r="S92" s="55">
        <v>42491</v>
      </c>
      <c r="T92" s="55">
        <v>43585</v>
      </c>
      <c r="U92" s="56">
        <v>262800</v>
      </c>
      <c r="V92" s="56"/>
    </row>
    <row r="93" spans="1:23" ht="27.75" customHeight="1" thickBot="1">
      <c r="A93" s="193"/>
      <c r="B93" s="194" t="s">
        <v>22</v>
      </c>
      <c r="C93" s="195"/>
      <c r="D93" s="196">
        <v>2140</v>
      </c>
      <c r="E93" s="221"/>
      <c r="F93" s="197"/>
      <c r="G93" s="198">
        <v>0</v>
      </c>
      <c r="H93" s="198">
        <v>0</v>
      </c>
      <c r="I93" s="198">
        <v>0</v>
      </c>
      <c r="J93" s="199"/>
      <c r="K93" s="199"/>
      <c r="L93" s="196">
        <f>SUM(L92)</f>
        <v>2140</v>
      </c>
      <c r="M93" s="200"/>
      <c r="N93" s="196"/>
      <c r="O93" s="198">
        <v>0</v>
      </c>
      <c r="P93" s="198">
        <v>0</v>
      </c>
      <c r="Q93" s="198">
        <v>0</v>
      </c>
      <c r="R93" s="36"/>
      <c r="S93" s="37"/>
      <c r="T93" s="37"/>
      <c r="U93" s="38"/>
      <c r="V93" s="38"/>
      <c r="W93" s="38"/>
    </row>
    <row r="94" spans="1:23" ht="27.75" customHeight="1" thickTop="1">
      <c r="A94" s="22"/>
      <c r="B94" s="23" t="s">
        <v>196</v>
      </c>
      <c r="C94" s="24"/>
      <c r="D94" s="25"/>
      <c r="E94" s="26"/>
      <c r="F94" s="27"/>
      <c r="G94" s="28"/>
      <c r="H94" s="28"/>
      <c r="I94" s="28"/>
      <c r="J94" s="29"/>
      <c r="K94" s="30"/>
      <c r="L94" s="31"/>
      <c r="M94" s="32"/>
      <c r="N94" s="33"/>
      <c r="O94" s="34"/>
      <c r="P94" s="34"/>
      <c r="Q94" s="35"/>
      <c r="R94" s="36"/>
      <c r="S94" s="37"/>
      <c r="T94" s="37"/>
      <c r="U94" s="38"/>
      <c r="V94" s="38"/>
      <c r="W94" s="38"/>
    </row>
    <row r="95" spans="1:23" s="226" customFormat="1" ht="27.75" customHeight="1">
      <c r="A95" s="94"/>
      <c r="B95" s="223" t="s">
        <v>197</v>
      </c>
      <c r="C95" s="224"/>
      <c r="D95" s="225"/>
      <c r="E95" s="80"/>
      <c r="F95" s="44"/>
      <c r="G95" s="61"/>
      <c r="H95" s="61"/>
      <c r="I95" s="85"/>
      <c r="J95" s="178"/>
      <c r="K95" s="176"/>
      <c r="L95" s="222"/>
      <c r="M95" s="83"/>
      <c r="N95" s="116"/>
      <c r="O95" s="147"/>
      <c r="P95" s="147"/>
      <c r="Q95" s="47"/>
      <c r="R95" s="39"/>
      <c r="S95" s="55"/>
      <c r="T95" s="55"/>
      <c r="U95" s="56"/>
      <c r="V95" s="56"/>
    </row>
    <row r="96" spans="1:23" s="226" customFormat="1" ht="27.75" customHeight="1">
      <c r="A96" s="94">
        <v>1</v>
      </c>
      <c r="B96" s="181" t="s">
        <v>198</v>
      </c>
      <c r="C96" s="224" t="s">
        <v>199</v>
      </c>
      <c r="D96" s="225">
        <v>26750</v>
      </c>
      <c r="E96" s="80"/>
      <c r="F96" s="44"/>
      <c r="G96" s="61">
        <v>0</v>
      </c>
      <c r="H96" s="61">
        <v>0</v>
      </c>
      <c r="I96" s="85">
        <v>0</v>
      </c>
      <c r="J96" s="113">
        <v>45971</v>
      </c>
      <c r="K96" s="114" t="s">
        <v>657</v>
      </c>
      <c r="L96" s="144">
        <v>26750</v>
      </c>
      <c r="M96" s="83" t="s">
        <v>26</v>
      </c>
      <c r="N96" s="116">
        <v>0</v>
      </c>
      <c r="O96" s="147">
        <f t="shared" ref="O96:O108" si="26">+(D96*100/107)+G96-(L96*100/107)</f>
        <v>0</v>
      </c>
      <c r="P96" s="147">
        <f t="shared" ref="P96:P108" si="27">ROUND((O96*0.07),2)</f>
        <v>0</v>
      </c>
      <c r="Q96" s="47">
        <f t="shared" ref="Q96:Q108" si="28">+O96+P96</f>
        <v>0</v>
      </c>
      <c r="R96" s="39"/>
      <c r="S96" s="55"/>
      <c r="T96" s="55"/>
      <c r="U96" s="56"/>
      <c r="V96" s="56"/>
    </row>
    <row r="97" spans="1:22" s="226" customFormat="1" ht="27.75" customHeight="1">
      <c r="A97" s="94">
        <v>2</v>
      </c>
      <c r="B97" s="181" t="s">
        <v>201</v>
      </c>
      <c r="C97" s="224" t="s">
        <v>202</v>
      </c>
      <c r="D97" s="225">
        <v>0</v>
      </c>
      <c r="E97" s="80"/>
      <c r="F97" s="44"/>
      <c r="G97" s="61">
        <v>0</v>
      </c>
      <c r="H97" s="61">
        <v>0</v>
      </c>
      <c r="I97" s="85">
        <v>0</v>
      </c>
      <c r="J97" s="113"/>
      <c r="K97" s="114"/>
      <c r="L97" s="144">
        <v>0</v>
      </c>
      <c r="M97" s="83" t="s">
        <v>26</v>
      </c>
      <c r="N97" s="116">
        <v>0</v>
      </c>
      <c r="O97" s="147">
        <f t="shared" si="26"/>
        <v>0</v>
      </c>
      <c r="P97" s="147">
        <f t="shared" si="27"/>
        <v>0</v>
      </c>
      <c r="Q97" s="47">
        <f t="shared" si="28"/>
        <v>0</v>
      </c>
      <c r="R97" s="39"/>
      <c r="S97" s="55"/>
      <c r="T97" s="55"/>
      <c r="U97" s="56"/>
      <c r="V97" s="226" t="s">
        <v>203</v>
      </c>
    </row>
    <row r="98" spans="1:22" s="226" customFormat="1" ht="27.75" customHeight="1">
      <c r="A98" s="94">
        <v>3</v>
      </c>
      <c r="B98" s="181" t="s">
        <v>204</v>
      </c>
      <c r="C98" s="224" t="s">
        <v>205</v>
      </c>
      <c r="D98" s="225">
        <v>22470</v>
      </c>
      <c r="E98" s="80"/>
      <c r="F98" s="44"/>
      <c r="G98" s="61">
        <v>0</v>
      </c>
      <c r="H98" s="61">
        <v>0</v>
      </c>
      <c r="I98" s="85">
        <v>0</v>
      </c>
      <c r="J98" s="113">
        <v>45983</v>
      </c>
      <c r="K98" s="114" t="s">
        <v>658</v>
      </c>
      <c r="L98" s="144">
        <v>22470</v>
      </c>
      <c r="M98" s="83" t="s">
        <v>45</v>
      </c>
      <c r="N98" s="116">
        <v>0</v>
      </c>
      <c r="O98" s="147">
        <f t="shared" si="26"/>
        <v>0</v>
      </c>
      <c r="P98" s="147">
        <f t="shared" si="27"/>
        <v>0</v>
      </c>
      <c r="Q98" s="47">
        <f t="shared" si="28"/>
        <v>0</v>
      </c>
      <c r="R98" s="39"/>
      <c r="S98" s="55"/>
      <c r="T98" s="55"/>
      <c r="U98" s="56"/>
      <c r="V98" s="56"/>
    </row>
    <row r="99" spans="1:22" s="226" customFormat="1" ht="27.75" customHeight="1">
      <c r="A99" s="94">
        <v>4</v>
      </c>
      <c r="B99" s="181" t="s">
        <v>204</v>
      </c>
      <c r="C99" s="224" t="s">
        <v>207</v>
      </c>
      <c r="D99" s="225">
        <v>22470</v>
      </c>
      <c r="E99" s="80"/>
      <c r="F99" s="44"/>
      <c r="G99" s="61">
        <v>0</v>
      </c>
      <c r="H99" s="61">
        <v>0</v>
      </c>
      <c r="I99" s="85">
        <v>0</v>
      </c>
      <c r="J99" s="113">
        <v>45983</v>
      </c>
      <c r="K99" s="114" t="s">
        <v>658</v>
      </c>
      <c r="L99" s="144">
        <v>22470</v>
      </c>
      <c r="M99" s="83" t="s">
        <v>45</v>
      </c>
      <c r="N99" s="116">
        <v>0</v>
      </c>
      <c r="O99" s="147">
        <f t="shared" si="26"/>
        <v>0</v>
      </c>
      <c r="P99" s="147">
        <f t="shared" si="27"/>
        <v>0</v>
      </c>
      <c r="Q99" s="47">
        <f t="shared" si="28"/>
        <v>0</v>
      </c>
      <c r="R99" s="39"/>
      <c r="S99" s="55"/>
      <c r="T99" s="55"/>
      <c r="U99" s="56"/>
      <c r="V99" s="56"/>
    </row>
    <row r="100" spans="1:22" s="226" customFormat="1" ht="27.75" customHeight="1">
      <c r="A100" s="94">
        <v>5</v>
      </c>
      <c r="B100" s="181" t="s">
        <v>201</v>
      </c>
      <c r="C100" s="224" t="s">
        <v>208</v>
      </c>
      <c r="D100" s="225">
        <v>0</v>
      </c>
      <c r="E100" s="80"/>
      <c r="F100" s="44"/>
      <c r="G100" s="61">
        <v>0</v>
      </c>
      <c r="H100" s="61">
        <v>0</v>
      </c>
      <c r="I100" s="85">
        <v>0</v>
      </c>
      <c r="J100" s="113"/>
      <c r="K100" s="114"/>
      <c r="L100" s="144">
        <v>0</v>
      </c>
      <c r="M100" s="83" t="s">
        <v>26</v>
      </c>
      <c r="N100" s="116">
        <v>0</v>
      </c>
      <c r="O100" s="147">
        <f t="shared" si="26"/>
        <v>0</v>
      </c>
      <c r="P100" s="147">
        <f t="shared" si="27"/>
        <v>0</v>
      </c>
      <c r="Q100" s="47">
        <f t="shared" si="28"/>
        <v>0</v>
      </c>
      <c r="R100" s="39"/>
      <c r="S100" s="55"/>
      <c r="T100" s="55"/>
      <c r="U100" s="56"/>
      <c r="V100" s="56"/>
    </row>
    <row r="101" spans="1:22" s="226" customFormat="1" ht="27.75" customHeight="1">
      <c r="A101" s="94">
        <v>6</v>
      </c>
      <c r="B101" s="181" t="s">
        <v>201</v>
      </c>
      <c r="C101" s="224" t="s">
        <v>209</v>
      </c>
      <c r="D101" s="225">
        <v>0</v>
      </c>
      <c r="E101" s="80"/>
      <c r="F101" s="44"/>
      <c r="G101" s="61">
        <v>0</v>
      </c>
      <c r="H101" s="61">
        <v>0</v>
      </c>
      <c r="I101" s="85">
        <v>0</v>
      </c>
      <c r="J101" s="113"/>
      <c r="K101" s="114"/>
      <c r="L101" s="144">
        <v>0</v>
      </c>
      <c r="M101" s="83" t="s">
        <v>26</v>
      </c>
      <c r="N101" s="116">
        <v>0</v>
      </c>
      <c r="O101" s="147">
        <f t="shared" si="26"/>
        <v>0</v>
      </c>
      <c r="P101" s="147">
        <f t="shared" si="27"/>
        <v>0</v>
      </c>
      <c r="Q101" s="47">
        <f t="shared" si="28"/>
        <v>0</v>
      </c>
      <c r="R101" s="39"/>
      <c r="S101" s="55"/>
      <c r="T101" s="55"/>
      <c r="U101" s="56"/>
      <c r="V101" s="56"/>
    </row>
    <row r="102" spans="1:22" s="226" customFormat="1" ht="27.75" customHeight="1">
      <c r="A102" s="94">
        <v>7</v>
      </c>
      <c r="B102" s="181" t="s">
        <v>210</v>
      </c>
      <c r="C102" s="224" t="s">
        <v>211</v>
      </c>
      <c r="D102" s="225">
        <v>22470</v>
      </c>
      <c r="E102" s="80" t="s">
        <v>557</v>
      </c>
      <c r="F102" s="44"/>
      <c r="G102" s="61">
        <v>-21000</v>
      </c>
      <c r="H102" s="61">
        <v>-1470</v>
      </c>
      <c r="I102" s="85">
        <v>-22470</v>
      </c>
      <c r="J102" s="113">
        <v>45977</v>
      </c>
      <c r="K102" s="114" t="s">
        <v>659</v>
      </c>
      <c r="L102" s="144">
        <v>22470</v>
      </c>
      <c r="M102" s="87" t="s">
        <v>634</v>
      </c>
      <c r="N102" s="116">
        <v>-0.934579439252336</v>
      </c>
      <c r="O102" s="147">
        <f t="shared" si="26"/>
        <v>-21000</v>
      </c>
      <c r="P102" s="147">
        <f t="shared" si="27"/>
        <v>-1470</v>
      </c>
      <c r="Q102" s="47">
        <f t="shared" si="28"/>
        <v>-22470</v>
      </c>
      <c r="R102" s="39"/>
      <c r="S102" s="55"/>
      <c r="T102" s="55"/>
      <c r="U102" s="56"/>
      <c r="V102" s="56"/>
    </row>
    <row r="103" spans="1:22" s="226" customFormat="1" ht="27.75" customHeight="1">
      <c r="A103" s="94">
        <v>8</v>
      </c>
      <c r="B103" s="181" t="s">
        <v>201</v>
      </c>
      <c r="C103" s="224" t="s">
        <v>213</v>
      </c>
      <c r="D103" s="225">
        <v>0</v>
      </c>
      <c r="E103" s="80"/>
      <c r="F103" s="44"/>
      <c r="G103" s="61">
        <v>0</v>
      </c>
      <c r="H103" s="61">
        <v>0</v>
      </c>
      <c r="I103" s="85">
        <v>0</v>
      </c>
      <c r="J103" s="113"/>
      <c r="K103" s="114"/>
      <c r="L103" s="144">
        <v>0</v>
      </c>
      <c r="M103" s="83" t="s">
        <v>26</v>
      </c>
      <c r="N103" s="116">
        <v>0</v>
      </c>
      <c r="O103" s="147">
        <f t="shared" si="26"/>
        <v>0</v>
      </c>
      <c r="P103" s="147">
        <f t="shared" si="27"/>
        <v>0</v>
      </c>
      <c r="Q103" s="47">
        <f t="shared" si="28"/>
        <v>0</v>
      </c>
      <c r="R103" s="39"/>
      <c r="S103" s="55"/>
      <c r="T103" s="55"/>
      <c r="U103" s="56"/>
      <c r="V103" s="56"/>
    </row>
    <row r="104" spans="1:22" s="226" customFormat="1" ht="27.75" customHeight="1">
      <c r="A104" s="94">
        <v>9</v>
      </c>
      <c r="B104" s="181" t="s">
        <v>214</v>
      </c>
      <c r="C104" s="224" t="s">
        <v>215</v>
      </c>
      <c r="D104" s="225">
        <v>22470</v>
      </c>
      <c r="E104" s="80"/>
      <c r="F104" s="44"/>
      <c r="G104" s="61">
        <v>0</v>
      </c>
      <c r="H104" s="61">
        <v>0</v>
      </c>
      <c r="I104" s="85">
        <v>0</v>
      </c>
      <c r="J104" s="113">
        <v>45962</v>
      </c>
      <c r="K104" s="114" t="s">
        <v>660</v>
      </c>
      <c r="L104" s="144">
        <v>22470</v>
      </c>
      <c r="M104" s="83" t="s">
        <v>26</v>
      </c>
      <c r="N104" s="116">
        <v>0</v>
      </c>
      <c r="O104" s="147">
        <f t="shared" si="26"/>
        <v>0</v>
      </c>
      <c r="P104" s="147">
        <f t="shared" si="27"/>
        <v>0</v>
      </c>
      <c r="Q104" s="47">
        <f t="shared" si="28"/>
        <v>0</v>
      </c>
      <c r="R104" s="39"/>
      <c r="S104" s="55"/>
      <c r="T104" s="55"/>
      <c r="U104" s="56"/>
      <c r="V104" s="56"/>
    </row>
    <row r="105" spans="1:22" s="226" customFormat="1" ht="27.75" customHeight="1">
      <c r="A105" s="94">
        <v>10</v>
      </c>
      <c r="B105" s="181" t="s">
        <v>217</v>
      </c>
      <c r="C105" s="224" t="s">
        <v>218</v>
      </c>
      <c r="D105" s="225">
        <v>22470</v>
      </c>
      <c r="E105" s="80"/>
      <c r="F105" s="44"/>
      <c r="G105" s="61">
        <v>0</v>
      </c>
      <c r="H105" s="61">
        <v>0</v>
      </c>
      <c r="I105" s="85">
        <v>0</v>
      </c>
      <c r="J105" s="113">
        <v>45979</v>
      </c>
      <c r="K105" s="114" t="s">
        <v>661</v>
      </c>
      <c r="L105" s="144">
        <v>22470</v>
      </c>
      <c r="M105" s="83" t="s">
        <v>26</v>
      </c>
      <c r="N105" s="116">
        <v>0</v>
      </c>
      <c r="O105" s="147">
        <f t="shared" si="26"/>
        <v>0</v>
      </c>
      <c r="P105" s="147">
        <f t="shared" si="27"/>
        <v>0</v>
      </c>
      <c r="Q105" s="47">
        <f t="shared" si="28"/>
        <v>0</v>
      </c>
      <c r="R105" s="39"/>
      <c r="S105" s="55"/>
      <c r="T105" s="55"/>
      <c r="U105" s="56"/>
      <c r="V105" s="56"/>
    </row>
    <row r="106" spans="1:22" s="226" customFormat="1" ht="27.75" customHeight="1">
      <c r="A106" s="94">
        <v>11</v>
      </c>
      <c r="B106" s="181" t="s">
        <v>217</v>
      </c>
      <c r="C106" s="224" t="s">
        <v>220</v>
      </c>
      <c r="D106" s="225">
        <v>22470</v>
      </c>
      <c r="E106" s="80"/>
      <c r="F106" s="44"/>
      <c r="G106" s="61">
        <v>0</v>
      </c>
      <c r="H106" s="61">
        <v>0</v>
      </c>
      <c r="I106" s="85">
        <v>0</v>
      </c>
      <c r="J106" s="113">
        <v>45979</v>
      </c>
      <c r="K106" s="114" t="s">
        <v>661</v>
      </c>
      <c r="L106" s="144">
        <v>22470</v>
      </c>
      <c r="M106" s="83" t="s">
        <v>26</v>
      </c>
      <c r="N106" s="116">
        <v>0</v>
      </c>
      <c r="O106" s="147">
        <f t="shared" si="26"/>
        <v>0</v>
      </c>
      <c r="P106" s="147">
        <f t="shared" si="27"/>
        <v>0</v>
      </c>
      <c r="Q106" s="47">
        <f t="shared" si="28"/>
        <v>0</v>
      </c>
      <c r="R106" s="39"/>
      <c r="S106" s="55"/>
      <c r="T106" s="55"/>
      <c r="U106" s="56"/>
      <c r="V106" s="56"/>
    </row>
    <row r="107" spans="1:22" s="226" customFormat="1" ht="27.75" customHeight="1">
      <c r="A107" s="94">
        <v>12</v>
      </c>
      <c r="B107" s="181" t="s">
        <v>217</v>
      </c>
      <c r="C107" s="224" t="s">
        <v>221</v>
      </c>
      <c r="D107" s="225">
        <v>22470</v>
      </c>
      <c r="E107" s="80"/>
      <c r="F107" s="44"/>
      <c r="G107" s="61">
        <v>0</v>
      </c>
      <c r="H107" s="61">
        <v>0</v>
      </c>
      <c r="I107" s="85">
        <v>0</v>
      </c>
      <c r="J107" s="113">
        <v>45979</v>
      </c>
      <c r="K107" s="114" t="s">
        <v>661</v>
      </c>
      <c r="L107" s="144">
        <v>22470</v>
      </c>
      <c r="M107" s="83" t="s">
        <v>26</v>
      </c>
      <c r="N107" s="116">
        <v>0</v>
      </c>
      <c r="O107" s="147">
        <f t="shared" si="26"/>
        <v>0</v>
      </c>
      <c r="P107" s="147">
        <f t="shared" si="27"/>
        <v>0</v>
      </c>
      <c r="Q107" s="47">
        <f t="shared" si="28"/>
        <v>0</v>
      </c>
      <c r="R107" s="39"/>
      <c r="S107" s="55"/>
      <c r="T107" s="55"/>
      <c r="U107" s="56"/>
      <c r="V107" s="56"/>
    </row>
    <row r="108" spans="1:22" s="226" customFormat="1" ht="27.75" customHeight="1">
      <c r="A108" s="186">
        <v>13</v>
      </c>
      <c r="B108" s="181" t="s">
        <v>222</v>
      </c>
      <c r="C108" s="227" t="s">
        <v>223</v>
      </c>
      <c r="D108" s="228">
        <v>32100</v>
      </c>
      <c r="E108" s="123"/>
      <c r="F108" s="44"/>
      <c r="G108" s="45">
        <v>0</v>
      </c>
      <c r="H108" s="45">
        <v>0</v>
      </c>
      <c r="I108" s="229">
        <v>0</v>
      </c>
      <c r="J108" s="230">
        <v>45965</v>
      </c>
      <c r="K108" s="184" t="s">
        <v>662</v>
      </c>
      <c r="L108" s="231">
        <v>32100</v>
      </c>
      <c r="M108" s="232" t="s">
        <v>26</v>
      </c>
      <c r="N108" s="116">
        <v>0</v>
      </c>
      <c r="O108" s="233">
        <f t="shared" si="26"/>
        <v>0</v>
      </c>
      <c r="P108" s="233">
        <f t="shared" si="27"/>
        <v>0</v>
      </c>
      <c r="Q108" s="66">
        <f t="shared" si="28"/>
        <v>0</v>
      </c>
      <c r="R108" s="39"/>
      <c r="S108" s="55"/>
      <c r="T108" s="55"/>
      <c r="U108" s="56"/>
      <c r="V108" s="56" t="s">
        <v>225</v>
      </c>
    </row>
    <row r="109" spans="1:22" s="226" customFormat="1" ht="27.75" customHeight="1" thickBot="1">
      <c r="A109" s="234"/>
      <c r="B109" s="194" t="s">
        <v>22</v>
      </c>
      <c r="C109" s="235"/>
      <c r="D109" s="236">
        <f>SUM(D96:D108)</f>
        <v>216140</v>
      </c>
      <c r="E109" s="237"/>
      <c r="F109" s="238"/>
      <c r="G109" s="239"/>
      <c r="H109" s="239"/>
      <c r="I109" s="240"/>
      <c r="J109" s="241"/>
      <c r="K109" s="234"/>
      <c r="L109" s="236">
        <f>SUM(L96:L108)</f>
        <v>216140</v>
      </c>
      <c r="M109" s="234"/>
      <c r="N109" s="242"/>
      <c r="O109" s="243"/>
      <c r="P109" s="243"/>
      <c r="Q109" s="240"/>
      <c r="R109" s="39"/>
      <c r="S109" s="55"/>
      <c r="T109" s="55"/>
      <c r="U109" s="56"/>
      <c r="V109" s="56"/>
    </row>
    <row r="110" spans="1:22" s="226" customFormat="1" ht="27.75" customHeight="1" thickTop="1">
      <c r="A110" s="83"/>
      <c r="B110" s="244" t="s">
        <v>226</v>
      </c>
      <c r="C110" s="245"/>
      <c r="D110" s="246"/>
      <c r="E110" s="80"/>
      <c r="F110" s="126"/>
      <c r="G110" s="46"/>
      <c r="H110" s="46"/>
      <c r="I110" s="247"/>
      <c r="J110" s="248"/>
      <c r="K110" s="249"/>
      <c r="L110" s="250"/>
      <c r="M110" s="83"/>
      <c r="N110" s="251"/>
      <c r="O110" s="252"/>
      <c r="P110" s="252"/>
      <c r="Q110" s="85"/>
      <c r="R110" s="39"/>
      <c r="S110" s="55"/>
      <c r="T110" s="55"/>
      <c r="U110" s="56"/>
      <c r="V110" s="56"/>
    </row>
    <row r="111" spans="1:22" s="226" customFormat="1" ht="27.75" customHeight="1">
      <c r="A111" s="94">
        <v>1</v>
      </c>
      <c r="B111" s="41" t="s">
        <v>227</v>
      </c>
      <c r="C111" s="224" t="s">
        <v>228</v>
      </c>
      <c r="D111" s="225">
        <v>22470</v>
      </c>
      <c r="E111" s="80" t="s">
        <v>26</v>
      </c>
      <c r="F111" s="44">
        <v>0</v>
      </c>
      <c r="G111" s="61">
        <v>0</v>
      </c>
      <c r="H111" s="61">
        <v>0</v>
      </c>
      <c r="I111" s="85">
        <v>0</v>
      </c>
      <c r="J111" s="113">
        <v>45989</v>
      </c>
      <c r="K111" s="114" t="s">
        <v>663</v>
      </c>
      <c r="L111" s="253">
        <v>22470</v>
      </c>
      <c r="M111" s="83" t="s">
        <v>26</v>
      </c>
      <c r="N111" s="116">
        <v>0</v>
      </c>
      <c r="O111" s="147">
        <f>+(D111*100/107)+G111-(L111*100/107)</f>
        <v>0</v>
      </c>
      <c r="P111" s="147">
        <f t="shared" ref="P111:P122" si="29">ROUND((O111*0.07),2)</f>
        <v>0</v>
      </c>
      <c r="Q111" s="47">
        <f t="shared" ref="Q111:Q122" si="30">+O111+P111</f>
        <v>0</v>
      </c>
      <c r="R111" s="39"/>
      <c r="S111" s="55"/>
      <c r="T111" s="55"/>
      <c r="U111" s="56"/>
      <c r="V111" s="56"/>
    </row>
    <row r="112" spans="1:22" s="226" customFormat="1" ht="27.75" customHeight="1">
      <c r="A112" s="94">
        <v>2</v>
      </c>
      <c r="B112" s="41" t="s">
        <v>227</v>
      </c>
      <c r="C112" s="224" t="s">
        <v>230</v>
      </c>
      <c r="D112" s="246">
        <v>22470</v>
      </c>
      <c r="E112" s="80" t="s">
        <v>26</v>
      </c>
      <c r="F112" s="44">
        <v>0</v>
      </c>
      <c r="G112" s="61">
        <v>0</v>
      </c>
      <c r="H112" s="61">
        <v>0</v>
      </c>
      <c r="I112" s="85">
        <v>0</v>
      </c>
      <c r="J112" s="113">
        <v>45989</v>
      </c>
      <c r="K112" s="114" t="s">
        <v>663</v>
      </c>
      <c r="L112" s="253">
        <v>22470</v>
      </c>
      <c r="M112" s="83" t="s">
        <v>26</v>
      </c>
      <c r="N112" s="116">
        <v>0</v>
      </c>
      <c r="O112" s="147">
        <f>+(D112*100/107)+G112-(L112*100/107)</f>
        <v>0</v>
      </c>
      <c r="P112" s="147">
        <f t="shared" si="29"/>
        <v>0</v>
      </c>
      <c r="Q112" s="47">
        <f t="shared" si="30"/>
        <v>0</v>
      </c>
      <c r="R112" s="39"/>
      <c r="S112" s="55"/>
      <c r="T112" s="55"/>
      <c r="U112" s="56"/>
      <c r="V112" s="56"/>
    </row>
    <row r="113" spans="1:22" s="226" customFormat="1" ht="27.75" customHeight="1">
      <c r="A113" s="94">
        <v>3</v>
      </c>
      <c r="B113" s="41" t="s">
        <v>227</v>
      </c>
      <c r="C113" s="224" t="s">
        <v>231</v>
      </c>
      <c r="D113" s="246">
        <v>22470</v>
      </c>
      <c r="E113" s="80" t="s">
        <v>26</v>
      </c>
      <c r="F113" s="44">
        <v>0</v>
      </c>
      <c r="G113" s="61">
        <v>0</v>
      </c>
      <c r="H113" s="61">
        <v>0</v>
      </c>
      <c r="I113" s="85">
        <v>0</v>
      </c>
      <c r="J113" s="254">
        <v>45989</v>
      </c>
      <c r="K113" s="255" t="s">
        <v>663</v>
      </c>
      <c r="L113" s="256">
        <v>22470</v>
      </c>
      <c r="M113" s="83" t="s">
        <v>26</v>
      </c>
      <c r="N113" s="116">
        <v>0</v>
      </c>
      <c r="O113" s="147">
        <f t="shared" ref="O113:O120" si="31">+(D113*100/107)+G113-(L113*100/107)</f>
        <v>0</v>
      </c>
      <c r="P113" s="147">
        <f t="shared" si="29"/>
        <v>0</v>
      </c>
      <c r="Q113" s="47">
        <f t="shared" si="30"/>
        <v>0</v>
      </c>
      <c r="R113" s="39"/>
      <c r="S113" s="55"/>
      <c r="T113" s="55"/>
      <c r="U113" s="56"/>
      <c r="V113" s="56"/>
    </row>
    <row r="114" spans="1:22" s="226" customFormat="1" ht="27.75" customHeight="1">
      <c r="A114" s="94">
        <v>4</v>
      </c>
      <c r="B114" s="41" t="s">
        <v>227</v>
      </c>
      <c r="C114" s="224" t="s">
        <v>232</v>
      </c>
      <c r="D114" s="246">
        <v>22470</v>
      </c>
      <c r="E114" s="80" t="s">
        <v>26</v>
      </c>
      <c r="F114" s="44">
        <v>0</v>
      </c>
      <c r="G114" s="61">
        <v>0</v>
      </c>
      <c r="H114" s="61">
        <v>0</v>
      </c>
      <c r="I114" s="85">
        <v>0</v>
      </c>
      <c r="J114" s="127">
        <v>45989</v>
      </c>
      <c r="K114" s="128" t="s">
        <v>663</v>
      </c>
      <c r="L114" s="257">
        <v>22470</v>
      </c>
      <c r="M114" s="83" t="s">
        <v>26</v>
      </c>
      <c r="N114" s="116">
        <v>0</v>
      </c>
      <c r="O114" s="147">
        <f t="shared" si="31"/>
        <v>0</v>
      </c>
      <c r="P114" s="147">
        <f t="shared" si="29"/>
        <v>0</v>
      </c>
      <c r="Q114" s="47">
        <f t="shared" si="30"/>
        <v>0</v>
      </c>
      <c r="R114" s="39"/>
      <c r="S114" s="55"/>
      <c r="T114" s="55"/>
      <c r="U114" s="56"/>
      <c r="V114" s="56"/>
    </row>
    <row r="115" spans="1:22" s="226" customFormat="1" ht="27.75" customHeight="1">
      <c r="A115" s="94">
        <v>5</v>
      </c>
      <c r="B115" s="41" t="s">
        <v>227</v>
      </c>
      <c r="C115" s="224" t="s">
        <v>233</v>
      </c>
      <c r="D115" s="246">
        <v>22470</v>
      </c>
      <c r="E115" s="80" t="s">
        <v>26</v>
      </c>
      <c r="F115" s="44">
        <v>0</v>
      </c>
      <c r="G115" s="61">
        <v>0</v>
      </c>
      <c r="H115" s="61">
        <v>0</v>
      </c>
      <c r="I115" s="85">
        <v>0</v>
      </c>
      <c r="J115" s="127">
        <v>45989</v>
      </c>
      <c r="K115" s="128" t="s">
        <v>663</v>
      </c>
      <c r="L115" s="257">
        <v>22470</v>
      </c>
      <c r="M115" s="83" t="s">
        <v>26</v>
      </c>
      <c r="N115" s="116">
        <v>0</v>
      </c>
      <c r="O115" s="147">
        <f t="shared" si="31"/>
        <v>0</v>
      </c>
      <c r="P115" s="147">
        <f t="shared" si="29"/>
        <v>0</v>
      </c>
      <c r="Q115" s="47">
        <f t="shared" si="30"/>
        <v>0</v>
      </c>
      <c r="R115" s="39"/>
      <c r="S115" s="55"/>
      <c r="T115" s="55"/>
      <c r="U115" s="56"/>
      <c r="V115" s="56"/>
    </row>
    <row r="116" spans="1:22" s="226" customFormat="1" ht="27.75" customHeight="1">
      <c r="A116" s="94">
        <v>6</v>
      </c>
      <c r="B116" s="41" t="s">
        <v>234</v>
      </c>
      <c r="C116" s="224" t="s">
        <v>235</v>
      </c>
      <c r="D116" s="246">
        <v>22470</v>
      </c>
      <c r="E116" s="80" t="s">
        <v>26</v>
      </c>
      <c r="F116" s="44">
        <v>0</v>
      </c>
      <c r="G116" s="61">
        <v>0</v>
      </c>
      <c r="H116" s="61">
        <v>0</v>
      </c>
      <c r="I116" s="85">
        <v>0</v>
      </c>
      <c r="J116" s="127">
        <v>45989</v>
      </c>
      <c r="K116" s="128" t="s">
        <v>663</v>
      </c>
      <c r="L116" s="257">
        <v>22470</v>
      </c>
      <c r="M116" s="83" t="s">
        <v>26</v>
      </c>
      <c r="N116" s="116">
        <v>0</v>
      </c>
      <c r="O116" s="147">
        <f t="shared" si="31"/>
        <v>0</v>
      </c>
      <c r="P116" s="147">
        <f t="shared" si="29"/>
        <v>0</v>
      </c>
      <c r="Q116" s="47">
        <f t="shared" si="30"/>
        <v>0</v>
      </c>
      <c r="R116" s="39"/>
      <c r="S116" s="55"/>
      <c r="T116" s="55"/>
      <c r="U116" s="56"/>
      <c r="V116" s="56"/>
    </row>
    <row r="117" spans="1:22" s="226" customFormat="1" ht="27.75" customHeight="1">
      <c r="A117" s="94">
        <v>7</v>
      </c>
      <c r="B117" s="41" t="s">
        <v>236</v>
      </c>
      <c r="C117" s="224" t="s">
        <v>237</v>
      </c>
      <c r="D117" s="225">
        <v>22470</v>
      </c>
      <c r="E117" s="80" t="s">
        <v>26</v>
      </c>
      <c r="F117" s="44">
        <v>0</v>
      </c>
      <c r="G117" s="61">
        <v>0</v>
      </c>
      <c r="H117" s="61">
        <v>0</v>
      </c>
      <c r="I117" s="85">
        <v>0</v>
      </c>
      <c r="J117" s="113">
        <v>45989</v>
      </c>
      <c r="K117" s="114" t="s">
        <v>664</v>
      </c>
      <c r="L117" s="257">
        <v>22470</v>
      </c>
      <c r="M117" s="83" t="s">
        <v>26</v>
      </c>
      <c r="N117" s="116">
        <v>0</v>
      </c>
      <c r="O117" s="147">
        <f t="shared" si="31"/>
        <v>0</v>
      </c>
      <c r="P117" s="147">
        <f t="shared" si="29"/>
        <v>0</v>
      </c>
      <c r="Q117" s="47">
        <f t="shared" si="30"/>
        <v>0</v>
      </c>
      <c r="R117" s="39"/>
      <c r="S117" s="55"/>
      <c r="T117" s="55"/>
      <c r="U117" s="56"/>
      <c r="V117" s="56"/>
    </row>
    <row r="118" spans="1:22" s="226" customFormat="1" ht="27.75" customHeight="1">
      <c r="A118" s="94">
        <v>8</v>
      </c>
      <c r="B118" s="41" t="s">
        <v>236</v>
      </c>
      <c r="C118" s="224" t="s">
        <v>239</v>
      </c>
      <c r="D118" s="225">
        <v>22470</v>
      </c>
      <c r="E118" s="80" t="s">
        <v>26</v>
      </c>
      <c r="F118" s="44">
        <v>0</v>
      </c>
      <c r="G118" s="61">
        <v>0</v>
      </c>
      <c r="H118" s="61">
        <v>0</v>
      </c>
      <c r="I118" s="85">
        <v>0</v>
      </c>
      <c r="J118" s="113">
        <v>45989</v>
      </c>
      <c r="K118" s="114" t="s">
        <v>664</v>
      </c>
      <c r="L118" s="257">
        <v>22470</v>
      </c>
      <c r="M118" s="83" t="s">
        <v>26</v>
      </c>
      <c r="N118" s="116">
        <v>0</v>
      </c>
      <c r="O118" s="147">
        <f t="shared" si="31"/>
        <v>0</v>
      </c>
      <c r="P118" s="147">
        <f t="shared" si="29"/>
        <v>0</v>
      </c>
      <c r="Q118" s="47">
        <f t="shared" si="30"/>
        <v>0</v>
      </c>
      <c r="R118" s="39"/>
      <c r="S118" s="55"/>
      <c r="T118" s="55"/>
      <c r="U118" s="56"/>
      <c r="V118" s="56"/>
    </row>
    <row r="119" spans="1:22" s="226" customFormat="1" ht="27.75" customHeight="1">
      <c r="A119" s="94">
        <v>9</v>
      </c>
      <c r="B119" s="41" t="s">
        <v>92</v>
      </c>
      <c r="C119" s="224" t="s">
        <v>240</v>
      </c>
      <c r="D119" s="225">
        <v>22470</v>
      </c>
      <c r="E119" s="80" t="s">
        <v>26</v>
      </c>
      <c r="F119" s="44">
        <v>0</v>
      </c>
      <c r="G119" s="61">
        <v>0</v>
      </c>
      <c r="H119" s="61">
        <v>0</v>
      </c>
      <c r="I119" s="85">
        <v>0</v>
      </c>
      <c r="J119" s="113">
        <v>45991</v>
      </c>
      <c r="K119" s="114" t="s">
        <v>665</v>
      </c>
      <c r="L119" s="258">
        <v>22470</v>
      </c>
      <c r="M119" s="83" t="s">
        <v>26</v>
      </c>
      <c r="N119" s="116">
        <v>0</v>
      </c>
      <c r="O119" s="147">
        <f t="shared" si="31"/>
        <v>0</v>
      </c>
      <c r="P119" s="147">
        <f t="shared" si="29"/>
        <v>0</v>
      </c>
      <c r="Q119" s="47">
        <f t="shared" si="30"/>
        <v>0</v>
      </c>
      <c r="R119" s="39"/>
      <c r="S119" s="55"/>
      <c r="T119" s="55"/>
      <c r="U119" s="56"/>
      <c r="V119" s="56"/>
    </row>
    <row r="120" spans="1:22" s="226" customFormat="1" ht="27.75" customHeight="1">
      <c r="A120" s="94">
        <v>10</v>
      </c>
      <c r="B120" s="41" t="s">
        <v>92</v>
      </c>
      <c r="C120" s="224" t="s">
        <v>242</v>
      </c>
      <c r="D120" s="225">
        <v>22470</v>
      </c>
      <c r="E120" s="80" t="s">
        <v>26</v>
      </c>
      <c r="F120" s="44">
        <v>0</v>
      </c>
      <c r="G120" s="61">
        <v>0</v>
      </c>
      <c r="H120" s="61">
        <v>0</v>
      </c>
      <c r="I120" s="85">
        <v>0</v>
      </c>
      <c r="J120" s="113">
        <v>45991</v>
      </c>
      <c r="K120" s="114" t="s">
        <v>665</v>
      </c>
      <c r="L120" s="253">
        <v>22470</v>
      </c>
      <c r="M120" s="83" t="s">
        <v>26</v>
      </c>
      <c r="N120" s="116">
        <v>0</v>
      </c>
      <c r="O120" s="147">
        <f t="shared" si="31"/>
        <v>0</v>
      </c>
      <c r="P120" s="147">
        <f t="shared" si="29"/>
        <v>0</v>
      </c>
      <c r="Q120" s="47">
        <f t="shared" si="30"/>
        <v>0</v>
      </c>
      <c r="R120" s="39"/>
      <c r="S120" s="55"/>
      <c r="T120" s="55"/>
      <c r="U120" s="56"/>
      <c r="V120" s="56"/>
    </row>
    <row r="121" spans="1:22" s="226" customFormat="1" ht="27.75" customHeight="1">
      <c r="A121" s="94">
        <v>11</v>
      </c>
      <c r="B121" s="41" t="s">
        <v>243</v>
      </c>
      <c r="C121" s="224" t="s">
        <v>244</v>
      </c>
      <c r="D121" s="225">
        <v>22470</v>
      </c>
      <c r="E121" s="80" t="s">
        <v>26</v>
      </c>
      <c r="F121" s="44">
        <v>0</v>
      </c>
      <c r="G121" s="61">
        <v>0</v>
      </c>
      <c r="H121" s="61">
        <v>0</v>
      </c>
      <c r="I121" s="85">
        <v>0</v>
      </c>
      <c r="J121" s="113">
        <v>45991</v>
      </c>
      <c r="K121" s="114" t="s">
        <v>666</v>
      </c>
      <c r="L121" s="253">
        <v>22470</v>
      </c>
      <c r="M121" s="83" t="s">
        <v>26</v>
      </c>
      <c r="N121" s="116">
        <v>0</v>
      </c>
      <c r="O121" s="147">
        <f>+(D121*100/107)+G121-(L121*100/107)</f>
        <v>0</v>
      </c>
      <c r="P121" s="147">
        <f t="shared" si="29"/>
        <v>0</v>
      </c>
      <c r="Q121" s="47">
        <f t="shared" si="30"/>
        <v>0</v>
      </c>
      <c r="R121" s="39"/>
      <c r="S121" s="55"/>
      <c r="T121" s="55"/>
      <c r="U121" s="56"/>
      <c r="V121" s="56"/>
    </row>
    <row r="122" spans="1:22" s="226" customFormat="1" ht="27.75" customHeight="1">
      <c r="A122" s="186">
        <v>12</v>
      </c>
      <c r="B122" s="206" t="s">
        <v>90</v>
      </c>
      <c r="C122" s="224" t="s">
        <v>246</v>
      </c>
      <c r="D122" s="228">
        <v>22470</v>
      </c>
      <c r="E122" s="123" t="s">
        <v>26</v>
      </c>
      <c r="F122" s="44">
        <v>0</v>
      </c>
      <c r="G122" s="45">
        <v>0</v>
      </c>
      <c r="H122" s="45">
        <v>0</v>
      </c>
      <c r="I122" s="229">
        <v>0</v>
      </c>
      <c r="J122" s="259">
        <v>45989</v>
      </c>
      <c r="K122" s="114" t="s">
        <v>653</v>
      </c>
      <c r="L122" s="253">
        <v>22470</v>
      </c>
      <c r="M122" s="232" t="s">
        <v>26</v>
      </c>
      <c r="N122" s="116">
        <v>0</v>
      </c>
      <c r="O122" s="147">
        <f>+(D122*100/107)+G122-(L122*100/107)</f>
        <v>0</v>
      </c>
      <c r="P122" s="147">
        <f t="shared" si="29"/>
        <v>0</v>
      </c>
      <c r="Q122" s="47">
        <f t="shared" si="30"/>
        <v>0</v>
      </c>
      <c r="R122" s="39"/>
      <c r="S122" s="55"/>
      <c r="T122" s="55"/>
      <c r="U122" s="56"/>
      <c r="V122" s="56"/>
    </row>
    <row r="123" spans="1:22" s="226" customFormat="1" ht="27.75" customHeight="1">
      <c r="A123" s="234"/>
      <c r="B123" s="260"/>
      <c r="C123" s="235"/>
      <c r="D123" s="236">
        <f>SUM(D111:D122)</f>
        <v>269640</v>
      </c>
      <c r="E123" s="237"/>
      <c r="F123" s="238"/>
      <c r="G123" s="239"/>
      <c r="H123" s="239"/>
      <c r="I123" s="240"/>
      <c r="J123" s="261"/>
      <c r="K123" s="262"/>
      <c r="L123" s="263">
        <f>SUM(L111:L122)</f>
        <v>269640</v>
      </c>
      <c r="M123" s="234"/>
      <c r="N123" s="242"/>
      <c r="O123" s="243"/>
      <c r="P123" s="243"/>
      <c r="Q123" s="240"/>
      <c r="R123" s="39"/>
      <c r="S123" s="55"/>
      <c r="T123" s="55"/>
      <c r="U123" s="56"/>
      <c r="V123" s="56"/>
    </row>
    <row r="124" spans="1:22" s="226" customFormat="1" ht="27.75" customHeight="1">
      <c r="A124" s="83"/>
      <c r="B124" s="244" t="s">
        <v>248</v>
      </c>
      <c r="C124" s="245"/>
      <c r="D124" s="246"/>
      <c r="E124" s="80"/>
      <c r="F124" s="126"/>
      <c r="G124" s="46"/>
      <c r="H124" s="46"/>
      <c r="I124" s="85"/>
      <c r="J124" s="178"/>
      <c r="K124" s="179"/>
      <c r="L124" s="264"/>
      <c r="M124" s="83"/>
      <c r="N124" s="251"/>
      <c r="O124" s="252"/>
      <c r="P124" s="252"/>
      <c r="Q124" s="85"/>
      <c r="R124" s="39"/>
      <c r="S124" s="55"/>
      <c r="T124" s="55"/>
      <c r="U124" s="56"/>
      <c r="V124" s="56"/>
    </row>
    <row r="125" spans="1:22" s="226" customFormat="1" ht="27.75" customHeight="1">
      <c r="A125" s="94">
        <v>1</v>
      </c>
      <c r="B125" s="41" t="s">
        <v>249</v>
      </c>
      <c r="C125" s="224" t="s">
        <v>250</v>
      </c>
      <c r="D125" s="225">
        <v>6420</v>
      </c>
      <c r="E125" s="80" t="s">
        <v>45</v>
      </c>
      <c r="F125" s="44">
        <v>0</v>
      </c>
      <c r="G125" s="61">
        <v>0</v>
      </c>
      <c r="H125" s="61">
        <v>0</v>
      </c>
      <c r="I125" s="85">
        <v>0</v>
      </c>
      <c r="J125" s="113">
        <v>45962</v>
      </c>
      <c r="K125" s="114" t="s">
        <v>667</v>
      </c>
      <c r="L125" s="144">
        <v>6420</v>
      </c>
      <c r="M125" s="83"/>
      <c r="N125" s="116"/>
      <c r="O125" s="147">
        <f t="shared" ref="O125:O135" si="32">+(D125*100/107)+G125-(L125*100/107)</f>
        <v>0</v>
      </c>
      <c r="P125" s="147">
        <f t="shared" ref="P125:P135" si="33">ROUND((O125*0.07),2)</f>
        <v>0</v>
      </c>
      <c r="Q125" s="47">
        <f t="shared" ref="Q125:Q136" si="34">+O125+P125</f>
        <v>0</v>
      </c>
      <c r="R125" s="39"/>
      <c r="S125" s="55"/>
      <c r="T125" s="55"/>
      <c r="U125" s="56"/>
      <c r="V125" s="56"/>
    </row>
    <row r="126" spans="1:22" s="226" customFormat="1" ht="27.75" customHeight="1">
      <c r="A126" s="94">
        <v>2</v>
      </c>
      <c r="B126" s="41" t="s">
        <v>252</v>
      </c>
      <c r="C126" s="224" t="s">
        <v>253</v>
      </c>
      <c r="D126" s="225">
        <v>3210</v>
      </c>
      <c r="E126" s="80" t="s">
        <v>45</v>
      </c>
      <c r="F126" s="44">
        <v>0</v>
      </c>
      <c r="G126" s="61">
        <v>0</v>
      </c>
      <c r="H126" s="61">
        <v>0</v>
      </c>
      <c r="I126" s="85">
        <v>0</v>
      </c>
      <c r="J126" s="113">
        <v>45975</v>
      </c>
      <c r="K126" s="114" t="s">
        <v>668</v>
      </c>
      <c r="L126" s="144">
        <v>3210</v>
      </c>
      <c r="M126" s="83"/>
      <c r="N126" s="116"/>
      <c r="O126" s="147">
        <f t="shared" si="32"/>
        <v>0</v>
      </c>
      <c r="P126" s="147">
        <f t="shared" si="33"/>
        <v>0</v>
      </c>
      <c r="Q126" s="47">
        <f t="shared" si="34"/>
        <v>0</v>
      </c>
      <c r="R126" s="39"/>
      <c r="S126" s="55"/>
      <c r="T126" s="55"/>
      <c r="U126" s="56"/>
      <c r="V126" s="56"/>
    </row>
    <row r="127" spans="1:22" s="226" customFormat="1" ht="27.75" customHeight="1">
      <c r="A127" s="94">
        <v>3</v>
      </c>
      <c r="B127" s="41" t="s">
        <v>254</v>
      </c>
      <c r="C127" s="224" t="s">
        <v>255</v>
      </c>
      <c r="D127" s="225">
        <v>9630</v>
      </c>
      <c r="E127" s="80" t="s">
        <v>32</v>
      </c>
      <c r="F127" s="44">
        <v>0.93457943925233611</v>
      </c>
      <c r="G127" s="61">
        <v>9000</v>
      </c>
      <c r="H127" s="61">
        <v>630</v>
      </c>
      <c r="I127" s="85">
        <v>9630</v>
      </c>
      <c r="J127" s="113" t="s">
        <v>629</v>
      </c>
      <c r="K127" s="114" t="s">
        <v>669</v>
      </c>
      <c r="L127" s="144">
        <v>19260</v>
      </c>
      <c r="M127" s="83"/>
      <c r="N127" s="116"/>
      <c r="O127" s="147">
        <f t="shared" si="32"/>
        <v>0</v>
      </c>
      <c r="P127" s="147">
        <f t="shared" si="33"/>
        <v>0</v>
      </c>
      <c r="Q127" s="47">
        <f t="shared" si="34"/>
        <v>0</v>
      </c>
      <c r="R127" s="39"/>
      <c r="S127" s="55"/>
      <c r="T127" s="55"/>
      <c r="U127" s="56"/>
      <c r="V127" s="56"/>
    </row>
    <row r="128" spans="1:22" s="226" customFormat="1" ht="27.75" customHeight="1">
      <c r="A128" s="94">
        <v>4</v>
      </c>
      <c r="B128" s="41" t="s">
        <v>201</v>
      </c>
      <c r="C128" s="224" t="s">
        <v>256</v>
      </c>
      <c r="D128" s="225">
        <v>0</v>
      </c>
      <c r="E128" s="80" t="s">
        <v>45</v>
      </c>
      <c r="F128" s="44">
        <v>0</v>
      </c>
      <c r="G128" s="61">
        <v>0</v>
      </c>
      <c r="H128" s="61">
        <v>0</v>
      </c>
      <c r="I128" s="85">
        <v>0</v>
      </c>
      <c r="J128" s="113"/>
      <c r="K128" s="114"/>
      <c r="L128" s="144">
        <v>0</v>
      </c>
      <c r="M128" s="83"/>
      <c r="N128" s="116"/>
      <c r="O128" s="147">
        <f t="shared" si="32"/>
        <v>0</v>
      </c>
      <c r="P128" s="147">
        <f t="shared" si="33"/>
        <v>0</v>
      </c>
      <c r="Q128" s="47">
        <f t="shared" si="34"/>
        <v>0</v>
      </c>
      <c r="R128" s="39"/>
      <c r="S128" s="55"/>
      <c r="T128" s="55"/>
      <c r="U128" s="56"/>
      <c r="V128" s="56"/>
    </row>
    <row r="129" spans="1:25" s="226" customFormat="1" ht="27.75" customHeight="1">
      <c r="A129" s="94">
        <v>5</v>
      </c>
      <c r="B129" s="41" t="s">
        <v>257</v>
      </c>
      <c r="C129" s="224" t="s">
        <v>258</v>
      </c>
      <c r="D129" s="225">
        <v>9630</v>
      </c>
      <c r="E129" s="80" t="s">
        <v>45</v>
      </c>
      <c r="F129" s="44">
        <v>0</v>
      </c>
      <c r="G129" s="61">
        <v>0</v>
      </c>
      <c r="H129" s="61">
        <v>0</v>
      </c>
      <c r="I129" s="85">
        <v>0</v>
      </c>
      <c r="J129" s="113">
        <v>45986</v>
      </c>
      <c r="K129" s="114" t="s">
        <v>670</v>
      </c>
      <c r="L129" s="144">
        <v>9630</v>
      </c>
      <c r="M129" s="83"/>
      <c r="N129" s="116"/>
      <c r="O129" s="147">
        <f t="shared" si="32"/>
        <v>0</v>
      </c>
      <c r="P129" s="147">
        <f t="shared" si="33"/>
        <v>0</v>
      </c>
      <c r="Q129" s="47">
        <f t="shared" si="34"/>
        <v>0</v>
      </c>
      <c r="R129" s="39"/>
      <c r="S129" s="55"/>
      <c r="T129" s="55"/>
      <c r="U129" s="56"/>
      <c r="V129" s="56"/>
    </row>
    <row r="130" spans="1:25" s="226" customFormat="1" ht="27.75" customHeight="1">
      <c r="A130" s="94">
        <v>6</v>
      </c>
      <c r="B130" s="206" t="s">
        <v>257</v>
      </c>
      <c r="C130" s="224" t="s">
        <v>260</v>
      </c>
      <c r="D130" s="225">
        <v>9630</v>
      </c>
      <c r="E130" s="80" t="s">
        <v>45</v>
      </c>
      <c r="F130" s="44">
        <v>0</v>
      </c>
      <c r="G130" s="61">
        <v>0</v>
      </c>
      <c r="H130" s="61">
        <v>0</v>
      </c>
      <c r="I130" s="85">
        <v>0</v>
      </c>
      <c r="J130" s="113">
        <v>45986</v>
      </c>
      <c r="K130" s="114" t="s">
        <v>670</v>
      </c>
      <c r="L130" s="144">
        <v>9630</v>
      </c>
      <c r="M130" s="83"/>
      <c r="N130" s="116"/>
      <c r="O130" s="147">
        <f t="shared" si="32"/>
        <v>0</v>
      </c>
      <c r="P130" s="147">
        <f t="shared" si="33"/>
        <v>0</v>
      </c>
      <c r="Q130" s="47">
        <f t="shared" si="34"/>
        <v>0</v>
      </c>
      <c r="R130" s="39"/>
      <c r="S130" s="55"/>
      <c r="T130" s="55"/>
      <c r="U130" s="56"/>
      <c r="V130" s="56"/>
    </row>
    <row r="131" spans="1:25" s="226" customFormat="1" ht="27.75" customHeight="1">
      <c r="A131" s="94">
        <v>7</v>
      </c>
      <c r="B131" s="265" t="s">
        <v>261</v>
      </c>
      <c r="C131" s="224" t="s">
        <v>262</v>
      </c>
      <c r="D131" s="225">
        <v>6420</v>
      </c>
      <c r="E131" s="80" t="s">
        <v>45</v>
      </c>
      <c r="F131" s="44">
        <v>0</v>
      </c>
      <c r="G131" s="61">
        <v>0</v>
      </c>
      <c r="H131" s="61">
        <v>0</v>
      </c>
      <c r="I131" s="85">
        <v>0</v>
      </c>
      <c r="J131" s="113">
        <v>45964</v>
      </c>
      <c r="K131" s="114" t="s">
        <v>671</v>
      </c>
      <c r="L131" s="144">
        <v>6420</v>
      </c>
      <c r="M131" s="83"/>
      <c r="N131" s="116"/>
      <c r="O131" s="147">
        <f t="shared" si="32"/>
        <v>0</v>
      </c>
      <c r="P131" s="147">
        <f t="shared" si="33"/>
        <v>0</v>
      </c>
      <c r="Q131" s="47">
        <f t="shared" si="34"/>
        <v>0</v>
      </c>
      <c r="R131" s="39"/>
      <c r="S131" s="55"/>
      <c r="T131" s="55"/>
      <c r="U131" s="56"/>
      <c r="V131" s="56"/>
    </row>
    <row r="132" spans="1:25" s="226" customFormat="1" ht="27.75" customHeight="1">
      <c r="A132" s="94">
        <v>8</v>
      </c>
      <c r="B132" s="266" t="s">
        <v>264</v>
      </c>
      <c r="C132" s="224" t="s">
        <v>199</v>
      </c>
      <c r="D132" s="225">
        <v>6420</v>
      </c>
      <c r="E132" s="80" t="s">
        <v>45</v>
      </c>
      <c r="F132" s="44">
        <v>0</v>
      </c>
      <c r="G132" s="61">
        <v>0</v>
      </c>
      <c r="H132" s="61">
        <v>0</v>
      </c>
      <c r="I132" s="85">
        <v>0</v>
      </c>
      <c r="J132" s="113">
        <v>45991</v>
      </c>
      <c r="K132" s="114" t="s">
        <v>672</v>
      </c>
      <c r="L132" s="144">
        <v>6420</v>
      </c>
      <c r="M132" s="83"/>
      <c r="N132" s="116"/>
      <c r="O132" s="147">
        <f t="shared" si="32"/>
        <v>0</v>
      </c>
      <c r="P132" s="147">
        <f t="shared" si="33"/>
        <v>0</v>
      </c>
      <c r="Q132" s="47">
        <f t="shared" si="34"/>
        <v>0</v>
      </c>
      <c r="R132" s="39"/>
      <c r="S132" s="55"/>
      <c r="T132" s="55"/>
      <c r="U132" s="56"/>
      <c r="V132" s="56"/>
      <c r="Y132" s="226" t="s">
        <v>266</v>
      </c>
    </row>
    <row r="133" spans="1:25" s="226" customFormat="1" ht="27.75" customHeight="1">
      <c r="A133" s="94">
        <v>9</v>
      </c>
      <c r="B133" s="81" t="s">
        <v>267</v>
      </c>
      <c r="C133" s="224" t="s">
        <v>268</v>
      </c>
      <c r="D133" s="267">
        <v>6420</v>
      </c>
      <c r="E133" s="81" t="s">
        <v>32</v>
      </c>
      <c r="F133" s="116">
        <v>0.93457943925233555</v>
      </c>
      <c r="G133" s="147">
        <v>6000</v>
      </c>
      <c r="H133" s="147">
        <v>420</v>
      </c>
      <c r="I133" s="47">
        <v>6420</v>
      </c>
      <c r="J133" s="113">
        <v>45962</v>
      </c>
      <c r="K133" s="114" t="s">
        <v>667</v>
      </c>
      <c r="L133" s="144">
        <v>6420</v>
      </c>
      <c r="M133" s="83" t="s">
        <v>522</v>
      </c>
      <c r="N133" s="116">
        <v>0.93457943925233578</v>
      </c>
      <c r="O133" s="147">
        <f t="shared" si="32"/>
        <v>6000</v>
      </c>
      <c r="P133" s="147">
        <f t="shared" si="33"/>
        <v>420</v>
      </c>
      <c r="Q133" s="47">
        <f t="shared" si="34"/>
        <v>6420</v>
      </c>
      <c r="R133" s="39"/>
      <c r="S133" s="55"/>
      <c r="T133" s="55"/>
      <c r="U133" s="56"/>
      <c r="V133" s="56"/>
      <c r="Y133" s="226" t="s">
        <v>269</v>
      </c>
    </row>
    <row r="134" spans="1:25" s="226" customFormat="1" ht="27.75" customHeight="1">
      <c r="A134" s="94">
        <v>10</v>
      </c>
      <c r="B134" s="81" t="s">
        <v>201</v>
      </c>
      <c r="C134" s="224" t="s">
        <v>205</v>
      </c>
      <c r="D134" s="225"/>
      <c r="E134" s="81" t="s">
        <v>45</v>
      </c>
      <c r="F134" s="116">
        <v>0</v>
      </c>
      <c r="G134" s="147">
        <v>0</v>
      </c>
      <c r="H134" s="147">
        <v>0</v>
      </c>
      <c r="I134" s="85">
        <v>0</v>
      </c>
      <c r="J134" s="113"/>
      <c r="K134" s="114"/>
      <c r="L134" s="144">
        <v>0</v>
      </c>
      <c r="M134" s="83"/>
      <c r="N134" s="116"/>
      <c r="O134" s="147">
        <f t="shared" si="32"/>
        <v>0</v>
      </c>
      <c r="P134" s="147">
        <f t="shared" si="33"/>
        <v>0</v>
      </c>
      <c r="Q134" s="47">
        <f t="shared" si="34"/>
        <v>0</v>
      </c>
      <c r="R134" s="39"/>
      <c r="S134" s="55"/>
      <c r="T134" s="55"/>
      <c r="U134" s="56"/>
      <c r="V134" s="56"/>
    </row>
    <row r="135" spans="1:25" s="226" customFormat="1" ht="27.75" customHeight="1">
      <c r="A135" s="94">
        <v>11</v>
      </c>
      <c r="B135" s="81" t="s">
        <v>156</v>
      </c>
      <c r="C135" s="224" t="s">
        <v>207</v>
      </c>
      <c r="D135" s="225">
        <v>6420</v>
      </c>
      <c r="E135" s="80" t="s">
        <v>45</v>
      </c>
      <c r="F135" s="44">
        <v>0</v>
      </c>
      <c r="G135" s="61">
        <v>0</v>
      </c>
      <c r="H135" s="61">
        <v>0</v>
      </c>
      <c r="I135" s="85">
        <v>0</v>
      </c>
      <c r="J135" s="113">
        <v>45963</v>
      </c>
      <c r="K135" s="114" t="s">
        <v>673</v>
      </c>
      <c r="L135" s="144">
        <v>6420</v>
      </c>
      <c r="M135" s="83"/>
      <c r="N135" s="116"/>
      <c r="O135" s="147">
        <f t="shared" si="32"/>
        <v>0</v>
      </c>
      <c r="P135" s="147">
        <f t="shared" si="33"/>
        <v>0</v>
      </c>
      <c r="Q135" s="47">
        <f t="shared" si="34"/>
        <v>0</v>
      </c>
      <c r="R135" s="39"/>
      <c r="S135" s="55"/>
      <c r="T135" s="55"/>
      <c r="U135" s="56"/>
      <c r="V135" s="56"/>
    </row>
    <row r="136" spans="1:25" s="226" customFormat="1" ht="27.75" customHeight="1">
      <c r="A136" s="94">
        <v>12</v>
      </c>
      <c r="B136" s="41" t="s">
        <v>271</v>
      </c>
      <c r="C136" s="224" t="s">
        <v>208</v>
      </c>
      <c r="D136" s="225">
        <v>6420</v>
      </c>
      <c r="E136" s="80" t="s">
        <v>45</v>
      </c>
      <c r="F136" s="44">
        <v>0</v>
      </c>
      <c r="G136" s="61">
        <v>0</v>
      </c>
      <c r="H136" s="61">
        <v>0</v>
      </c>
      <c r="I136" s="85">
        <v>0</v>
      </c>
      <c r="J136" s="113">
        <v>45991</v>
      </c>
      <c r="K136" s="268" t="s">
        <v>674</v>
      </c>
      <c r="L136" s="269">
        <v>6420</v>
      </c>
      <c r="M136" s="83"/>
      <c r="N136" s="116"/>
      <c r="O136" s="147">
        <f>+(D136*100/107)+G136-(L136*100/107)</f>
        <v>0</v>
      </c>
      <c r="P136" s="147">
        <f>ROUND((O136*0.07),2)</f>
        <v>0</v>
      </c>
      <c r="Q136" s="47">
        <f t="shared" si="34"/>
        <v>0</v>
      </c>
      <c r="R136" s="39"/>
      <c r="S136" s="55"/>
      <c r="T136" s="55"/>
      <c r="U136" s="56"/>
      <c r="V136" s="56"/>
    </row>
    <row r="137" spans="1:25" s="226" customFormat="1" ht="27.75" customHeight="1">
      <c r="A137" s="94">
        <v>13</v>
      </c>
      <c r="B137" s="41" t="s">
        <v>273</v>
      </c>
      <c r="C137" s="224" t="s">
        <v>209</v>
      </c>
      <c r="D137" s="225">
        <v>6420</v>
      </c>
      <c r="E137" s="80" t="s">
        <v>45</v>
      </c>
      <c r="F137" s="44">
        <v>0</v>
      </c>
      <c r="G137" s="61">
        <v>0</v>
      </c>
      <c r="H137" s="61">
        <v>0</v>
      </c>
      <c r="I137" s="85">
        <v>0</v>
      </c>
      <c r="J137" s="113">
        <v>45965</v>
      </c>
      <c r="K137" s="114" t="s">
        <v>675</v>
      </c>
      <c r="L137" s="144">
        <v>6420</v>
      </c>
      <c r="M137" s="83"/>
      <c r="N137" s="116"/>
      <c r="O137" s="147">
        <f>+(D137*100/107)+G137-(L137*100/107)</f>
        <v>0</v>
      </c>
      <c r="P137" s="147">
        <f>ROUND((O137*0.07),2)</f>
        <v>0</v>
      </c>
      <c r="Q137" s="47">
        <f>+O137+P137</f>
        <v>0</v>
      </c>
      <c r="R137" s="39"/>
      <c r="S137" s="55"/>
      <c r="T137" s="55"/>
      <c r="U137" s="56"/>
      <c r="V137" s="56"/>
    </row>
    <row r="138" spans="1:25" s="226" customFormat="1" ht="27.75" customHeight="1">
      <c r="A138" s="94">
        <v>14</v>
      </c>
      <c r="B138" s="41" t="s">
        <v>275</v>
      </c>
      <c r="C138" s="224" t="s">
        <v>276</v>
      </c>
      <c r="D138" s="225">
        <v>6420</v>
      </c>
      <c r="E138" s="80" t="s">
        <v>45</v>
      </c>
      <c r="F138" s="44">
        <v>0</v>
      </c>
      <c r="G138" s="61">
        <v>0</v>
      </c>
      <c r="H138" s="61">
        <v>0</v>
      </c>
      <c r="I138" s="85">
        <v>0</v>
      </c>
      <c r="J138" s="113">
        <v>45989</v>
      </c>
      <c r="K138" s="114" t="s">
        <v>676</v>
      </c>
      <c r="L138" s="144">
        <v>6420</v>
      </c>
      <c r="M138" s="87"/>
      <c r="N138" s="116"/>
      <c r="O138" s="147">
        <f>+(D138*100/107)+G138-(L138*100/107)</f>
        <v>0</v>
      </c>
      <c r="P138" s="147">
        <f>ROUND((O138*0.07),2)</f>
        <v>0</v>
      </c>
      <c r="Q138" s="47">
        <f>+O138+P138</f>
        <v>0</v>
      </c>
      <c r="R138" s="39"/>
      <c r="S138" s="55"/>
      <c r="T138" s="55"/>
      <c r="U138" s="56"/>
      <c r="V138" s="56"/>
    </row>
    <row r="139" spans="1:25" ht="27.75" customHeight="1" thickBot="1">
      <c r="A139" s="22"/>
      <c r="B139" s="194" t="s">
        <v>22</v>
      </c>
      <c r="C139" s="195"/>
      <c r="D139" s="196">
        <f>SUM(D125:D138)</f>
        <v>83460</v>
      </c>
      <c r="E139" s="196"/>
      <c r="F139" s="197"/>
      <c r="G139" s="196">
        <f>SUM(G125:G138)</f>
        <v>15000</v>
      </c>
      <c r="H139" s="196">
        <f>SUM(H125:H138)</f>
        <v>1050</v>
      </c>
      <c r="I139" s="196">
        <f>SUM(I125:I138)</f>
        <v>16050</v>
      </c>
      <c r="J139" s="199"/>
      <c r="K139" s="199"/>
      <c r="L139" s="196">
        <f>SUM(L125:L138)</f>
        <v>93090</v>
      </c>
      <c r="M139" s="200"/>
      <c r="N139" s="196"/>
      <c r="O139" s="196">
        <f>SUM(O125:O138)</f>
        <v>6000</v>
      </c>
      <c r="P139" s="196">
        <f t="shared" ref="P139:Q139" si="35">SUM(P125:P138)</f>
        <v>420</v>
      </c>
      <c r="Q139" s="196">
        <f t="shared" si="35"/>
        <v>6420</v>
      </c>
      <c r="R139" s="36"/>
      <c r="S139" s="37"/>
      <c r="T139" s="37"/>
      <c r="U139" s="38"/>
      <c r="V139" s="38"/>
      <c r="W139" s="38"/>
    </row>
    <row r="140" spans="1:25" ht="27.75" hidden="1" customHeight="1" thickBot="1">
      <c r="A140" s="22"/>
      <c r="B140" s="23" t="s">
        <v>278</v>
      </c>
      <c r="C140" s="24"/>
      <c r="D140" s="25"/>
      <c r="E140" s="26"/>
      <c r="F140" s="27"/>
      <c r="G140" s="28"/>
      <c r="H140" s="28"/>
      <c r="I140" s="28"/>
      <c r="J140" s="29"/>
      <c r="K140" s="30"/>
      <c r="L140" s="31"/>
      <c r="M140" s="32"/>
      <c r="N140" s="33"/>
      <c r="O140" s="34"/>
      <c r="P140" s="34"/>
      <c r="Q140" s="35"/>
      <c r="R140" s="36"/>
      <c r="S140" s="37"/>
      <c r="T140" s="37"/>
      <c r="U140" s="38"/>
      <c r="V140" s="38"/>
      <c r="W140" s="38"/>
    </row>
    <row r="141" spans="1:25" ht="27.75" hidden="1" customHeight="1" thickTop="1">
      <c r="A141" s="22">
        <v>1</v>
      </c>
      <c r="B141" s="270" t="s">
        <v>88</v>
      </c>
      <c r="C141" s="271" t="s">
        <v>279</v>
      </c>
      <c r="D141" s="272"/>
      <c r="E141" s="273"/>
      <c r="F141" s="274"/>
      <c r="G141" s="65">
        <v>0</v>
      </c>
      <c r="H141" s="45">
        <v>0</v>
      </c>
      <c r="I141" s="61">
        <v>0</v>
      </c>
      <c r="J141" s="275"/>
      <c r="K141" s="276"/>
      <c r="L141" s="277"/>
      <c r="M141" s="232"/>
      <c r="N141" s="251"/>
      <c r="O141" s="233">
        <f t="shared" ref="O141:O151" si="36">+(D141*100/107)+G141-(L141*100/107)</f>
        <v>0</v>
      </c>
      <c r="P141" s="233">
        <f t="shared" ref="P141:P151" si="37">ROUND((O141*0.07),2)</f>
        <v>0</v>
      </c>
      <c r="Q141" s="66">
        <f t="shared" ref="Q141:Q151" si="38">+O141+P141</f>
        <v>0</v>
      </c>
      <c r="R141" s="278"/>
      <c r="S141" s="279"/>
      <c r="T141" s="37"/>
      <c r="U141" s="38"/>
      <c r="V141" s="38"/>
      <c r="W141" s="38"/>
    </row>
    <row r="142" spans="1:25" ht="27.75" hidden="1" customHeight="1" thickTop="1">
      <c r="A142" s="22">
        <v>2</v>
      </c>
      <c r="B142" s="280" t="s">
        <v>89</v>
      </c>
      <c r="C142" s="271" t="s">
        <v>279</v>
      </c>
      <c r="D142" s="272"/>
      <c r="E142" s="201"/>
      <c r="F142" s="281"/>
      <c r="G142" s="61">
        <v>0</v>
      </c>
      <c r="H142" s="45">
        <v>0</v>
      </c>
      <c r="I142" s="61">
        <v>0</v>
      </c>
      <c r="J142" s="175"/>
      <c r="K142" s="282"/>
      <c r="L142" s="222"/>
      <c r="M142" s="94"/>
      <c r="N142" s="39"/>
      <c r="O142" s="233">
        <f t="shared" si="36"/>
        <v>0</v>
      </c>
      <c r="P142" s="233">
        <f t="shared" si="37"/>
        <v>0</v>
      </c>
      <c r="Q142" s="66">
        <f t="shared" si="38"/>
        <v>0</v>
      </c>
      <c r="R142" s="278"/>
      <c r="S142" s="279"/>
      <c r="T142" s="37"/>
      <c r="U142" s="38"/>
      <c r="V142" s="38"/>
      <c r="W142" s="38"/>
    </row>
    <row r="143" spans="1:25" ht="27.75" hidden="1" customHeight="1" thickTop="1">
      <c r="A143" s="22">
        <v>3</v>
      </c>
      <c r="B143" s="270" t="s">
        <v>280</v>
      </c>
      <c r="C143" s="271" t="s">
        <v>279</v>
      </c>
      <c r="D143" s="272"/>
      <c r="E143" s="201"/>
      <c r="F143" s="281"/>
      <c r="G143" s="61">
        <v>0</v>
      </c>
      <c r="H143" s="45">
        <v>0</v>
      </c>
      <c r="I143" s="61">
        <v>0</v>
      </c>
      <c r="J143" s="175"/>
      <c r="K143" s="282"/>
      <c r="L143" s="222"/>
      <c r="M143" s="94"/>
      <c r="N143" s="39"/>
      <c r="O143" s="233">
        <f t="shared" si="36"/>
        <v>0</v>
      </c>
      <c r="P143" s="233">
        <f t="shared" si="37"/>
        <v>0</v>
      </c>
      <c r="Q143" s="66">
        <f t="shared" si="38"/>
        <v>0</v>
      </c>
      <c r="R143" s="278"/>
      <c r="S143" s="279"/>
      <c r="T143" s="37"/>
      <c r="U143" s="38"/>
      <c r="V143" s="38"/>
      <c r="W143" s="38"/>
    </row>
    <row r="144" spans="1:25" ht="27.75" hidden="1" customHeight="1" thickTop="1">
      <c r="A144" s="22">
        <v>4</v>
      </c>
      <c r="B144" s="280" t="s">
        <v>96</v>
      </c>
      <c r="C144" s="271" t="s">
        <v>279</v>
      </c>
      <c r="D144" s="272"/>
      <c r="E144" s="201"/>
      <c r="F144" s="281"/>
      <c r="G144" s="61">
        <v>0</v>
      </c>
      <c r="H144" s="45">
        <v>0</v>
      </c>
      <c r="I144" s="61">
        <v>0</v>
      </c>
      <c r="J144" s="175"/>
      <c r="K144" s="282"/>
      <c r="L144" s="222"/>
      <c r="M144" s="94"/>
      <c r="N144" s="39"/>
      <c r="O144" s="233">
        <f t="shared" si="36"/>
        <v>0</v>
      </c>
      <c r="P144" s="233">
        <f t="shared" si="37"/>
        <v>0</v>
      </c>
      <c r="Q144" s="66">
        <f t="shared" si="38"/>
        <v>0</v>
      </c>
      <c r="R144" s="283"/>
      <c r="S144" s="55"/>
      <c r="T144" s="37"/>
      <c r="U144" s="38"/>
      <c r="V144" s="38"/>
      <c r="W144" s="38"/>
    </row>
    <row r="145" spans="1:24" ht="27.75" hidden="1" customHeight="1" thickTop="1">
      <c r="A145" s="22">
        <v>5</v>
      </c>
      <c r="B145" s="280" t="s">
        <v>281</v>
      </c>
      <c r="C145" s="271" t="s">
        <v>279</v>
      </c>
      <c r="D145" s="272">
        <v>0</v>
      </c>
      <c r="E145" s="201"/>
      <c r="F145" s="281"/>
      <c r="G145" s="61">
        <v>0</v>
      </c>
      <c r="H145" s="45">
        <v>0</v>
      </c>
      <c r="I145" s="61">
        <v>0</v>
      </c>
      <c r="J145" s="175"/>
      <c r="K145" s="282"/>
      <c r="L145" s="222"/>
      <c r="M145" s="94"/>
      <c r="N145" s="39"/>
      <c r="O145" s="233">
        <f t="shared" si="36"/>
        <v>0</v>
      </c>
      <c r="P145" s="233">
        <f t="shared" si="37"/>
        <v>0</v>
      </c>
      <c r="Q145" s="66">
        <f t="shared" si="38"/>
        <v>0</v>
      </c>
      <c r="R145" s="283"/>
      <c r="S145" s="55"/>
      <c r="T145" s="37"/>
      <c r="U145" s="38"/>
      <c r="V145" s="38"/>
      <c r="W145" s="38"/>
    </row>
    <row r="146" spans="1:24" ht="27.75" hidden="1" customHeight="1" thickTop="1">
      <c r="A146" s="22">
        <v>6</v>
      </c>
      <c r="B146" s="280" t="s">
        <v>282</v>
      </c>
      <c r="C146" s="271" t="s">
        <v>279</v>
      </c>
      <c r="D146" s="272"/>
      <c r="E146" s="201"/>
      <c r="F146" s="281"/>
      <c r="G146" s="61">
        <v>0</v>
      </c>
      <c r="H146" s="45">
        <v>0</v>
      </c>
      <c r="I146" s="61">
        <v>0</v>
      </c>
      <c r="J146" s="175"/>
      <c r="K146" s="282"/>
      <c r="L146" s="222"/>
      <c r="M146" s="94"/>
      <c r="N146" s="39"/>
      <c r="O146" s="233">
        <f t="shared" si="36"/>
        <v>0</v>
      </c>
      <c r="P146" s="233">
        <f t="shared" si="37"/>
        <v>0</v>
      </c>
      <c r="Q146" s="66">
        <f t="shared" si="38"/>
        <v>0</v>
      </c>
      <c r="R146" s="283"/>
      <c r="S146" s="37"/>
      <c r="T146" s="37"/>
      <c r="U146" s="38"/>
      <c r="V146" s="38"/>
      <c r="W146" s="38"/>
    </row>
    <row r="147" spans="1:24" ht="27.75" hidden="1" customHeight="1" thickTop="1">
      <c r="A147" s="22">
        <v>7</v>
      </c>
      <c r="B147" s="280" t="s">
        <v>92</v>
      </c>
      <c r="C147" s="271" t="s">
        <v>279</v>
      </c>
      <c r="D147" s="272"/>
      <c r="E147" s="201"/>
      <c r="F147" s="281"/>
      <c r="G147" s="61">
        <v>0</v>
      </c>
      <c r="H147" s="45">
        <v>0</v>
      </c>
      <c r="I147" s="61">
        <v>0</v>
      </c>
      <c r="J147" s="175"/>
      <c r="K147" s="282"/>
      <c r="L147" s="222"/>
      <c r="M147" s="94"/>
      <c r="N147" s="39"/>
      <c r="O147" s="233">
        <f t="shared" si="36"/>
        <v>0</v>
      </c>
      <c r="P147" s="233">
        <f t="shared" si="37"/>
        <v>0</v>
      </c>
      <c r="Q147" s="66">
        <f t="shared" si="38"/>
        <v>0</v>
      </c>
      <c r="R147" s="283"/>
      <c r="S147" s="37"/>
      <c r="T147" s="37"/>
      <c r="U147" s="38"/>
      <c r="V147" s="38"/>
      <c r="W147" s="38"/>
    </row>
    <row r="148" spans="1:24" ht="27.75" hidden="1" customHeight="1" thickTop="1">
      <c r="A148" s="22">
        <v>8</v>
      </c>
      <c r="B148" s="280" t="s">
        <v>91</v>
      </c>
      <c r="C148" s="271" t="s">
        <v>279</v>
      </c>
      <c r="D148" s="284"/>
      <c r="E148" s="201"/>
      <c r="F148" s="281"/>
      <c r="G148" s="61">
        <v>0</v>
      </c>
      <c r="H148" s="45">
        <v>0</v>
      </c>
      <c r="I148" s="61">
        <v>0</v>
      </c>
      <c r="J148" s="175"/>
      <c r="K148" s="282"/>
      <c r="L148" s="222"/>
      <c r="M148" s="94"/>
      <c r="N148" s="39"/>
      <c r="O148" s="233">
        <f t="shared" si="36"/>
        <v>0</v>
      </c>
      <c r="P148" s="233">
        <f t="shared" si="37"/>
        <v>0</v>
      </c>
      <c r="Q148" s="66">
        <f t="shared" si="38"/>
        <v>0</v>
      </c>
      <c r="R148" s="283"/>
      <c r="S148" s="37"/>
      <c r="T148" s="37"/>
      <c r="U148" s="38"/>
      <c r="V148" s="38"/>
      <c r="W148" s="38"/>
    </row>
    <row r="149" spans="1:24" ht="27.75" hidden="1" customHeight="1" thickTop="1">
      <c r="A149" s="22">
        <v>9</v>
      </c>
      <c r="B149" s="280" t="s">
        <v>236</v>
      </c>
      <c r="C149" s="271" t="s">
        <v>279</v>
      </c>
      <c r="D149" s="272">
        <v>0</v>
      </c>
      <c r="E149" s="201"/>
      <c r="F149" s="281"/>
      <c r="G149" s="61">
        <v>0</v>
      </c>
      <c r="H149" s="45">
        <v>0</v>
      </c>
      <c r="I149" s="61">
        <v>0</v>
      </c>
      <c r="J149" s="175"/>
      <c r="K149" s="282"/>
      <c r="L149" s="222"/>
      <c r="M149" s="94"/>
      <c r="N149" s="39"/>
      <c r="O149" s="233">
        <f t="shared" si="36"/>
        <v>0</v>
      </c>
      <c r="P149" s="233">
        <f t="shared" si="37"/>
        <v>0</v>
      </c>
      <c r="Q149" s="66">
        <f t="shared" si="38"/>
        <v>0</v>
      </c>
      <c r="R149" s="283"/>
      <c r="S149" s="37"/>
      <c r="T149" s="37"/>
      <c r="U149" s="38"/>
      <c r="V149" s="38"/>
      <c r="W149" s="38"/>
    </row>
    <row r="150" spans="1:24" ht="27.75" hidden="1" customHeight="1" thickTop="1">
      <c r="A150" s="22">
        <v>10</v>
      </c>
      <c r="B150" s="280" t="s">
        <v>94</v>
      </c>
      <c r="C150" s="280" t="s">
        <v>279</v>
      </c>
      <c r="D150" s="284"/>
      <c r="E150" s="201"/>
      <c r="F150" s="281"/>
      <c r="G150" s="61">
        <v>0</v>
      </c>
      <c r="H150" s="45">
        <v>0</v>
      </c>
      <c r="I150" s="61">
        <v>0</v>
      </c>
      <c r="J150" s="175"/>
      <c r="K150" s="282"/>
      <c r="L150" s="222"/>
      <c r="M150" s="94"/>
      <c r="N150" s="39"/>
      <c r="O150" s="233">
        <f t="shared" si="36"/>
        <v>0</v>
      </c>
      <c r="P150" s="233">
        <f t="shared" si="37"/>
        <v>0</v>
      </c>
      <c r="Q150" s="66">
        <f t="shared" si="38"/>
        <v>0</v>
      </c>
      <c r="R150" s="36"/>
      <c r="S150" s="37"/>
      <c r="T150" s="37"/>
      <c r="U150" s="38"/>
      <c r="V150" s="38"/>
      <c r="W150" s="38"/>
    </row>
    <row r="151" spans="1:24" ht="27.75" hidden="1" customHeight="1" thickTop="1">
      <c r="A151" s="22">
        <v>11</v>
      </c>
      <c r="B151" s="270"/>
      <c r="C151" s="285"/>
      <c r="D151" s="286"/>
      <c r="E151" s="273"/>
      <c r="F151" s="274"/>
      <c r="G151" s="65">
        <v>0</v>
      </c>
      <c r="H151" s="45">
        <v>0</v>
      </c>
      <c r="I151" s="61">
        <v>0</v>
      </c>
      <c r="J151" s="275"/>
      <c r="K151" s="276"/>
      <c r="L151" s="277"/>
      <c r="M151" s="232"/>
      <c r="N151" s="251"/>
      <c r="O151" s="233">
        <f t="shared" si="36"/>
        <v>0</v>
      </c>
      <c r="P151" s="233">
        <f t="shared" si="37"/>
        <v>0</v>
      </c>
      <c r="Q151" s="66">
        <f t="shared" si="38"/>
        <v>0</v>
      </c>
      <c r="R151" s="36"/>
      <c r="S151" s="37"/>
      <c r="T151" s="37"/>
      <c r="U151" s="38"/>
      <c r="V151" s="38"/>
      <c r="W151" s="38"/>
    </row>
    <row r="152" spans="1:24" ht="27.75" hidden="1" customHeight="1" thickTop="1">
      <c r="A152" s="22"/>
      <c r="B152" s="131" t="s">
        <v>22</v>
      </c>
      <c r="C152" s="132"/>
      <c r="D152" s="133">
        <f>SUM(D141:D151)</f>
        <v>0</v>
      </c>
      <c r="E152" s="134"/>
      <c r="F152" s="135"/>
      <c r="G152" s="136">
        <f>SUM(G141:G151)</f>
        <v>0</v>
      </c>
      <c r="H152" s="136">
        <f t="shared" ref="H152:I152" si="39">SUM(H141:H151)</f>
        <v>0</v>
      </c>
      <c r="I152" s="136">
        <f t="shared" si="39"/>
        <v>0</v>
      </c>
      <c r="J152" s="287"/>
      <c r="K152" s="137"/>
      <c r="L152" s="138">
        <f>SUM(L145:L151)</f>
        <v>0</v>
      </c>
      <c r="M152" s="139"/>
      <c r="N152" s="133"/>
      <c r="O152" s="136">
        <f>SUM(O141:O151)</f>
        <v>0</v>
      </c>
      <c r="P152" s="136">
        <f t="shared" ref="P152:Q152" si="40">SUM(P141:P151)</f>
        <v>0</v>
      </c>
      <c r="Q152" s="136">
        <f t="shared" si="40"/>
        <v>0</v>
      </c>
      <c r="R152" s="36"/>
      <c r="S152" s="37"/>
      <c r="T152" s="37"/>
      <c r="U152" s="38"/>
      <c r="V152" s="38"/>
      <c r="W152" s="38"/>
    </row>
    <row r="153" spans="1:24" ht="27.75" customHeight="1" thickTop="1">
      <c r="A153" s="22"/>
      <c r="B153" s="288" t="s">
        <v>283</v>
      </c>
      <c r="C153" s="289"/>
      <c r="D153" s="272"/>
      <c r="E153" s="201"/>
      <c r="F153" s="281"/>
      <c r="G153" s="290"/>
      <c r="H153" s="290"/>
      <c r="I153" s="290"/>
      <c r="J153" s="291"/>
      <c r="K153" s="292"/>
      <c r="L153" s="222"/>
      <c r="M153" s="94"/>
      <c r="N153" s="39"/>
      <c r="O153" s="293"/>
      <c r="P153" s="293"/>
      <c r="Q153" s="294"/>
      <c r="R153" s="36"/>
      <c r="S153" s="37"/>
      <c r="T153" s="37"/>
      <c r="U153" s="38"/>
      <c r="V153" s="38"/>
      <c r="W153" s="295"/>
    </row>
    <row r="154" spans="1:24" ht="27.75" customHeight="1">
      <c r="A154" s="94">
        <v>1</v>
      </c>
      <c r="B154" s="205" t="s">
        <v>192</v>
      </c>
      <c r="C154" s="206" t="s">
        <v>284</v>
      </c>
      <c r="D154" s="296">
        <v>66660</v>
      </c>
      <c r="E154" s="64"/>
      <c r="F154" s="44"/>
      <c r="G154" s="45">
        <v>0</v>
      </c>
      <c r="H154" s="45">
        <v>0</v>
      </c>
      <c r="I154" s="66">
        <v>0</v>
      </c>
      <c r="J154" s="183">
        <v>45966</v>
      </c>
      <c r="K154" s="184" t="s">
        <v>677</v>
      </c>
      <c r="L154" s="231">
        <v>66660</v>
      </c>
      <c r="M154" s="186"/>
      <c r="N154" s="116"/>
      <c r="O154" s="233">
        <f>SUM(D154+G154-L154)</f>
        <v>0</v>
      </c>
      <c r="P154" s="233">
        <v>0</v>
      </c>
      <c r="Q154" s="66">
        <f>SUM(D154+I154-L154)</f>
        <v>0</v>
      </c>
      <c r="R154" s="297" t="s">
        <v>287</v>
      </c>
      <c r="S154" s="298">
        <v>44682</v>
      </c>
      <c r="T154" s="299">
        <v>45565</v>
      </c>
      <c r="U154" s="56">
        <v>347760</v>
      </c>
      <c r="V154" s="56" t="s">
        <v>288</v>
      </c>
      <c r="W154" s="295" t="s">
        <v>289</v>
      </c>
      <c r="X154" s="4" t="s">
        <v>290</v>
      </c>
    </row>
    <row r="155" spans="1:24" ht="27.75" customHeight="1">
      <c r="A155" s="83"/>
      <c r="B155" s="208" t="s">
        <v>291</v>
      </c>
      <c r="C155" s="209"/>
      <c r="D155" s="300"/>
      <c r="E155" s="211"/>
      <c r="F155" s="212"/>
      <c r="G155" s="213"/>
      <c r="H155" s="213"/>
      <c r="I155" s="214"/>
      <c r="J155" s="301"/>
      <c r="K155" s="302"/>
      <c r="L155" s="303"/>
      <c r="M155" s="304"/>
      <c r="N155" s="217"/>
      <c r="O155" s="305"/>
      <c r="P155" s="305"/>
      <c r="Q155" s="214"/>
      <c r="R155" s="306"/>
      <c r="S155" s="307"/>
      <c r="T155" s="37"/>
      <c r="U155" s="38"/>
      <c r="V155" s="38"/>
    </row>
    <row r="156" spans="1:24" ht="27.75" customHeight="1" thickBot="1">
      <c r="A156" s="193"/>
      <c r="B156" s="308" t="s">
        <v>22</v>
      </c>
      <c r="C156" s="309"/>
      <c r="D156" s="310">
        <f>SUM(D154:D155)</f>
        <v>66660</v>
      </c>
      <c r="E156" s="311"/>
      <c r="F156" s="312"/>
      <c r="G156" s="313">
        <f>SUM(G154:G155)</f>
        <v>0</v>
      </c>
      <c r="H156" s="313">
        <v>0</v>
      </c>
      <c r="I156" s="313">
        <f>SUM(I154)</f>
        <v>0</v>
      </c>
      <c r="J156" s="314"/>
      <c r="K156" s="314"/>
      <c r="L156" s="310">
        <f>SUM(L154:L155)</f>
        <v>66660</v>
      </c>
      <c r="M156" s="315"/>
      <c r="N156" s="310"/>
      <c r="O156" s="198">
        <f>SUM(O154:O155)-O154</f>
        <v>0</v>
      </c>
      <c r="P156" s="198">
        <f t="shared" ref="P156:Q156" si="41">SUM(P154:P155)-P154</f>
        <v>0</v>
      </c>
      <c r="Q156" s="198">
        <f t="shared" si="41"/>
        <v>0</v>
      </c>
      <c r="R156" s="36"/>
      <c r="S156" s="37"/>
      <c r="T156" s="37"/>
      <c r="U156" s="38"/>
      <c r="V156" s="38"/>
      <c r="W156" s="38"/>
    </row>
    <row r="157" spans="1:24" ht="27.75" customHeight="1" thickTop="1">
      <c r="A157" s="22"/>
      <c r="B157" s="23" t="s">
        <v>292</v>
      </c>
      <c r="C157" s="24"/>
      <c r="D157" s="25"/>
      <c r="E157" s="26"/>
      <c r="F157" s="27"/>
      <c r="G157" s="28"/>
      <c r="H157" s="28"/>
      <c r="I157" s="28"/>
      <c r="J157" s="29"/>
      <c r="K157" s="30"/>
      <c r="L157" s="31"/>
      <c r="M157" s="32"/>
      <c r="N157" s="33"/>
      <c r="O157" s="34"/>
      <c r="P157" s="34"/>
      <c r="Q157" s="35"/>
      <c r="R157" s="36"/>
      <c r="S157" s="37"/>
      <c r="T157" s="37"/>
      <c r="U157" s="38"/>
      <c r="V157" s="38"/>
      <c r="W157" s="38"/>
    </row>
    <row r="158" spans="1:24" ht="27.75" customHeight="1">
      <c r="A158" s="316">
        <v>1</v>
      </c>
      <c r="B158" s="280" t="s">
        <v>249</v>
      </c>
      <c r="C158" s="280" t="s">
        <v>250</v>
      </c>
      <c r="D158" s="272">
        <v>267.5</v>
      </c>
      <c r="E158" s="201" t="s">
        <v>45</v>
      </c>
      <c r="F158" s="281">
        <v>0</v>
      </c>
      <c r="G158" s="61">
        <v>0</v>
      </c>
      <c r="H158" s="61">
        <v>0</v>
      </c>
      <c r="I158" s="61">
        <v>0</v>
      </c>
      <c r="J158" s="317">
        <v>45991</v>
      </c>
      <c r="K158" s="318" t="s">
        <v>678</v>
      </c>
      <c r="L158" s="319">
        <v>267.5</v>
      </c>
      <c r="M158" s="320"/>
      <c r="N158" s="39"/>
      <c r="O158" s="233">
        <f t="shared" ref="O158:O165" si="42">+(D158*100/107)+G158-(L158*100/107)</f>
        <v>0</v>
      </c>
      <c r="P158" s="233">
        <f t="shared" ref="P158:P165" si="43">ROUND((O158*0.07),2)</f>
        <v>0</v>
      </c>
      <c r="Q158" s="66">
        <f t="shared" ref="Q158:Q165" si="44">+O158+P158</f>
        <v>0</v>
      </c>
      <c r="R158" s="36"/>
      <c r="S158" s="37"/>
      <c r="T158" s="37"/>
      <c r="U158" s="38"/>
      <c r="V158" s="38"/>
      <c r="W158" s="38"/>
    </row>
    <row r="159" spans="1:24" ht="27.75" customHeight="1">
      <c r="A159" s="316">
        <v>2</v>
      </c>
      <c r="B159" s="280" t="s">
        <v>294</v>
      </c>
      <c r="C159" s="280" t="s">
        <v>255</v>
      </c>
      <c r="D159" s="272">
        <v>74.900000000000006</v>
      </c>
      <c r="E159" s="201" t="s">
        <v>32</v>
      </c>
      <c r="F159" s="281">
        <v>1</v>
      </c>
      <c r="G159" s="61">
        <v>50</v>
      </c>
      <c r="H159" s="61">
        <v>3.5</v>
      </c>
      <c r="I159" s="61">
        <v>53.5</v>
      </c>
      <c r="J159" s="321" t="s">
        <v>629</v>
      </c>
      <c r="K159" s="322" t="s">
        <v>679</v>
      </c>
      <c r="L159" s="323">
        <v>128.4</v>
      </c>
      <c r="M159" s="320"/>
      <c r="N159" s="39"/>
      <c r="O159" s="233">
        <f t="shared" si="42"/>
        <v>0</v>
      </c>
      <c r="P159" s="233">
        <f t="shared" si="43"/>
        <v>0</v>
      </c>
      <c r="Q159" s="66">
        <f t="shared" si="44"/>
        <v>0</v>
      </c>
      <c r="R159" s="36"/>
      <c r="S159" s="37"/>
      <c r="T159" s="37"/>
      <c r="U159" s="38"/>
      <c r="V159" s="38"/>
      <c r="W159" s="38"/>
    </row>
    <row r="160" spans="1:24" ht="27.75" customHeight="1">
      <c r="A160" s="316">
        <v>3</v>
      </c>
      <c r="B160" s="270" t="s">
        <v>295</v>
      </c>
      <c r="C160" s="285" t="s">
        <v>255</v>
      </c>
      <c r="D160" s="284">
        <v>0</v>
      </c>
      <c r="E160" s="273" t="s">
        <v>45</v>
      </c>
      <c r="F160" s="274">
        <v>0</v>
      </c>
      <c r="G160" s="61">
        <v>0</v>
      </c>
      <c r="H160" s="61">
        <v>0</v>
      </c>
      <c r="I160" s="61">
        <v>0</v>
      </c>
      <c r="J160" s="321"/>
      <c r="K160" s="322"/>
      <c r="L160" s="323">
        <v>0</v>
      </c>
      <c r="M160" s="320"/>
      <c r="N160" s="251"/>
      <c r="O160" s="233">
        <f t="shared" si="42"/>
        <v>0</v>
      </c>
      <c r="P160" s="233">
        <f t="shared" si="43"/>
        <v>0</v>
      </c>
      <c r="Q160" s="66">
        <f t="shared" si="44"/>
        <v>0</v>
      </c>
      <c r="R160" s="36"/>
      <c r="S160" s="37"/>
      <c r="T160" s="37"/>
      <c r="U160" s="38"/>
      <c r="V160" s="38"/>
      <c r="W160" s="38"/>
    </row>
    <row r="161" spans="1:24" ht="27.75" customHeight="1">
      <c r="A161" s="22">
        <v>4</v>
      </c>
      <c r="B161" s="270" t="s">
        <v>296</v>
      </c>
      <c r="C161" s="270" t="s">
        <v>262</v>
      </c>
      <c r="D161" s="284">
        <v>0</v>
      </c>
      <c r="E161" s="273" t="s">
        <v>45</v>
      </c>
      <c r="F161" s="274">
        <v>0</v>
      </c>
      <c r="G161" s="65"/>
      <c r="H161" s="65"/>
      <c r="I161" s="65"/>
      <c r="J161" s="324"/>
      <c r="K161" s="325"/>
      <c r="L161" s="326">
        <v>0</v>
      </c>
      <c r="M161" s="327"/>
      <c r="N161" s="251"/>
      <c r="O161" s="233"/>
      <c r="P161" s="233"/>
      <c r="Q161" s="66"/>
      <c r="R161" s="36"/>
      <c r="S161" s="37"/>
      <c r="T161" s="37"/>
      <c r="U161" s="38"/>
      <c r="V161" s="38"/>
      <c r="W161" s="38"/>
    </row>
    <row r="162" spans="1:24" ht="27.75" customHeight="1">
      <c r="A162" s="22">
        <v>5</v>
      </c>
      <c r="B162" s="270" t="s">
        <v>298</v>
      </c>
      <c r="C162" s="270" t="s">
        <v>199</v>
      </c>
      <c r="D162" s="284">
        <v>32.1</v>
      </c>
      <c r="E162" s="273" t="s">
        <v>45</v>
      </c>
      <c r="F162" s="274">
        <v>0</v>
      </c>
      <c r="G162" s="65">
        <v>0</v>
      </c>
      <c r="H162" s="65">
        <v>0</v>
      </c>
      <c r="I162" s="65">
        <v>0</v>
      </c>
      <c r="J162" s="328">
        <v>45991</v>
      </c>
      <c r="K162" s="329" t="s">
        <v>680</v>
      </c>
      <c r="L162" s="330">
        <v>32.1</v>
      </c>
      <c r="M162" s="327"/>
      <c r="N162" s="251"/>
      <c r="O162" s="233">
        <f t="shared" si="42"/>
        <v>0</v>
      </c>
      <c r="P162" s="233">
        <f t="shared" si="43"/>
        <v>0</v>
      </c>
      <c r="Q162" s="66">
        <f t="shared" si="44"/>
        <v>0</v>
      </c>
      <c r="R162" s="36"/>
      <c r="S162" s="37"/>
      <c r="T162" s="37"/>
      <c r="U162" s="38"/>
      <c r="V162" s="38"/>
      <c r="W162" s="38"/>
    </row>
    <row r="163" spans="1:24" ht="27.75" customHeight="1">
      <c r="A163" s="22">
        <v>6</v>
      </c>
      <c r="B163" s="270" t="s">
        <v>156</v>
      </c>
      <c r="C163" s="270" t="s">
        <v>208</v>
      </c>
      <c r="D163" s="284">
        <v>117.7</v>
      </c>
      <c r="E163" s="273" t="s">
        <v>45</v>
      </c>
      <c r="F163" s="274">
        <v>0</v>
      </c>
      <c r="G163" s="65">
        <v>0</v>
      </c>
      <c r="H163" s="65">
        <v>0</v>
      </c>
      <c r="I163" s="65">
        <v>0</v>
      </c>
      <c r="J163" s="328">
        <v>45963</v>
      </c>
      <c r="K163" s="329" t="s">
        <v>681</v>
      </c>
      <c r="L163" s="330">
        <v>117.7</v>
      </c>
      <c r="M163" s="327"/>
      <c r="N163" s="251"/>
      <c r="O163" s="233">
        <f t="shared" si="42"/>
        <v>0</v>
      </c>
      <c r="P163" s="233">
        <f t="shared" si="43"/>
        <v>0</v>
      </c>
      <c r="Q163" s="66">
        <f t="shared" si="44"/>
        <v>0</v>
      </c>
      <c r="R163" s="36"/>
      <c r="S163" s="37"/>
      <c r="T163" s="37"/>
      <c r="U163" s="38"/>
      <c r="V163" s="38"/>
      <c r="W163" s="38"/>
    </row>
    <row r="164" spans="1:24" ht="27.75" customHeight="1">
      <c r="A164" s="22">
        <v>7</v>
      </c>
      <c r="B164" s="270" t="s">
        <v>273</v>
      </c>
      <c r="C164" s="270" t="s">
        <v>211</v>
      </c>
      <c r="D164" s="284">
        <v>74.900000000000006</v>
      </c>
      <c r="E164" s="273" t="s">
        <v>45</v>
      </c>
      <c r="F164" s="274">
        <v>0</v>
      </c>
      <c r="G164" s="65">
        <v>0</v>
      </c>
      <c r="H164" s="65">
        <v>0</v>
      </c>
      <c r="I164" s="65">
        <v>0</v>
      </c>
      <c r="J164" s="328">
        <v>45965</v>
      </c>
      <c r="K164" s="329" t="s">
        <v>682</v>
      </c>
      <c r="L164" s="330">
        <v>74.900000000000006</v>
      </c>
      <c r="M164" s="327"/>
      <c r="N164" s="251"/>
      <c r="O164" s="233">
        <f t="shared" si="42"/>
        <v>0</v>
      </c>
      <c r="P164" s="233">
        <f t="shared" si="43"/>
        <v>0</v>
      </c>
      <c r="Q164" s="66">
        <f t="shared" si="44"/>
        <v>0</v>
      </c>
      <c r="R164" s="36"/>
      <c r="S164" s="37"/>
      <c r="T164" s="37"/>
      <c r="U164" s="38"/>
      <c r="V164" s="38"/>
      <c r="W164" s="38"/>
    </row>
    <row r="165" spans="1:24" ht="27.75" customHeight="1">
      <c r="A165" s="22">
        <v>8</v>
      </c>
      <c r="B165" s="270" t="s">
        <v>92</v>
      </c>
      <c r="C165" s="270" t="s">
        <v>302</v>
      </c>
      <c r="D165" s="284">
        <v>214</v>
      </c>
      <c r="E165" s="273" t="s">
        <v>45</v>
      </c>
      <c r="F165" s="274">
        <v>0</v>
      </c>
      <c r="G165" s="65">
        <v>0</v>
      </c>
      <c r="H165" s="65">
        <v>0</v>
      </c>
      <c r="I165" s="65">
        <v>0</v>
      </c>
      <c r="J165" s="331">
        <v>45991</v>
      </c>
      <c r="K165" s="332" t="s">
        <v>683</v>
      </c>
      <c r="L165" s="333">
        <v>214</v>
      </c>
      <c r="M165" s="327"/>
      <c r="N165" s="251"/>
      <c r="O165" s="233">
        <f t="shared" si="42"/>
        <v>0</v>
      </c>
      <c r="P165" s="233">
        <f t="shared" si="43"/>
        <v>0</v>
      </c>
      <c r="Q165" s="66">
        <f t="shared" si="44"/>
        <v>0</v>
      </c>
      <c r="R165" s="36"/>
      <c r="S165" s="37"/>
      <c r="T165" s="37"/>
      <c r="U165" s="38"/>
      <c r="V165" s="38"/>
      <c r="W165" s="38"/>
    </row>
    <row r="166" spans="1:24" ht="27.75" customHeight="1">
      <c r="A166" s="22"/>
      <c r="B166" s="270"/>
      <c r="C166" s="270"/>
      <c r="D166" s="284"/>
      <c r="E166" s="273"/>
      <c r="F166" s="274"/>
      <c r="G166" s="65"/>
      <c r="H166" s="65"/>
      <c r="I166" s="65"/>
      <c r="J166" s="334"/>
      <c r="K166" s="335"/>
      <c r="L166" s="336"/>
      <c r="M166" s="327"/>
      <c r="N166" s="251"/>
      <c r="O166" s="337"/>
      <c r="P166" s="337"/>
      <c r="Q166" s="229"/>
      <c r="R166" s="36"/>
      <c r="S166" s="37"/>
      <c r="T166" s="37"/>
      <c r="U166" s="38"/>
      <c r="V166" s="38"/>
      <c r="W166" s="38"/>
    </row>
    <row r="167" spans="1:24" ht="27.75" customHeight="1" thickBot="1">
      <c r="A167" s="193"/>
      <c r="B167" s="194"/>
      <c r="C167" s="195"/>
      <c r="D167" s="196">
        <f>SUM(D158:D165)</f>
        <v>781.1</v>
      </c>
      <c r="E167" s="221"/>
      <c r="F167" s="197"/>
      <c r="G167" s="198">
        <f>SUM(G158:G166)</f>
        <v>50</v>
      </c>
      <c r="H167" s="198">
        <f t="shared" ref="H167:I167" si="45">SUM(H158:H166)</f>
        <v>3.5</v>
      </c>
      <c r="I167" s="198">
        <f t="shared" si="45"/>
        <v>53.5</v>
      </c>
      <c r="J167" s="338"/>
      <c r="K167" s="199"/>
      <c r="L167" s="196">
        <f>SUM(L158:L165)</f>
        <v>834.6</v>
      </c>
      <c r="M167" s="200"/>
      <c r="N167" s="196"/>
      <c r="O167" s="198">
        <f>SUM(O158:O165)</f>
        <v>0</v>
      </c>
      <c r="P167" s="198">
        <f t="shared" ref="P167:Q167" si="46">SUM(P158:P165)</f>
        <v>0</v>
      </c>
      <c r="Q167" s="198">
        <f t="shared" si="46"/>
        <v>0</v>
      </c>
      <c r="R167" s="36"/>
      <c r="S167" s="37"/>
      <c r="T167" s="37"/>
      <c r="U167" s="38"/>
      <c r="V167" s="38"/>
      <c r="W167" s="38"/>
    </row>
    <row r="168" spans="1:24" ht="27.75" customHeight="1" thickTop="1">
      <c r="A168" s="22"/>
      <c r="B168" s="288" t="s">
        <v>304</v>
      </c>
      <c r="C168" s="289"/>
      <c r="D168" s="272"/>
      <c r="E168" s="201"/>
      <c r="F168" s="281"/>
      <c r="G168" s="290"/>
      <c r="H168" s="290"/>
      <c r="I168" s="290"/>
      <c r="J168" s="291"/>
      <c r="K168" s="292"/>
      <c r="L168" s="222"/>
      <c r="M168" s="94"/>
      <c r="N168" s="39"/>
      <c r="O168" s="293"/>
      <c r="P168" s="293"/>
      <c r="Q168" s="294"/>
      <c r="R168" s="36"/>
      <c r="S168" s="37"/>
      <c r="T168" s="37"/>
      <c r="U168" s="38"/>
      <c r="V168" s="38"/>
      <c r="W168" s="38"/>
    </row>
    <row r="169" spans="1:24" ht="27.75" customHeight="1">
      <c r="A169" s="339"/>
      <c r="B169" s="340" t="s">
        <v>305</v>
      </c>
      <c r="C169" s="289"/>
      <c r="D169" s="272"/>
      <c r="E169" s="201"/>
      <c r="F169" s="341"/>
      <c r="G169" s="187"/>
      <c r="H169" s="187"/>
      <c r="I169" s="290"/>
      <c r="J169" s="342"/>
      <c r="K169" s="343"/>
      <c r="L169" s="264"/>
      <c r="M169" s="94"/>
      <c r="N169" s="116"/>
      <c r="O169" s="344"/>
      <c r="P169" s="344"/>
      <c r="Q169" s="294"/>
      <c r="R169" s="36"/>
      <c r="S169" s="37"/>
      <c r="T169" s="37"/>
      <c r="U169" s="38"/>
      <c r="V169" s="38"/>
      <c r="W169" s="345"/>
    </row>
    <row r="170" spans="1:24" ht="27.75" customHeight="1">
      <c r="A170" s="186">
        <v>1</v>
      </c>
      <c r="B170" s="205" t="s">
        <v>24</v>
      </c>
      <c r="C170" s="346" t="s">
        <v>25</v>
      </c>
      <c r="D170" s="141">
        <v>1410</v>
      </c>
      <c r="E170" s="43" t="s">
        <v>45</v>
      </c>
      <c r="F170" s="44">
        <v>0</v>
      </c>
      <c r="G170" s="45">
        <v>0</v>
      </c>
      <c r="H170" s="45"/>
      <c r="I170" s="47">
        <v>0</v>
      </c>
      <c r="J170" s="113">
        <v>45962</v>
      </c>
      <c r="K170" s="114" t="s">
        <v>684</v>
      </c>
      <c r="L170" s="347">
        <v>1410</v>
      </c>
      <c r="M170" s="94" t="s">
        <v>45</v>
      </c>
      <c r="N170" s="116">
        <v>0</v>
      </c>
      <c r="O170" s="233">
        <f t="shared" ref="O170:O220" si="47">+I170+D170-L170</f>
        <v>0</v>
      </c>
      <c r="P170" s="233"/>
      <c r="Q170" s="47">
        <f t="shared" ref="Q170:Q220" si="48">+O170+P170</f>
        <v>0</v>
      </c>
      <c r="R170" s="348" t="s">
        <v>195</v>
      </c>
      <c r="S170" s="299" t="s">
        <v>307</v>
      </c>
      <c r="T170" s="299" t="s">
        <v>308</v>
      </c>
      <c r="U170" s="56">
        <v>3660</v>
      </c>
      <c r="V170" s="349" t="s">
        <v>309</v>
      </c>
      <c r="W170" s="295" t="s">
        <v>289</v>
      </c>
      <c r="X170" s="4" t="s">
        <v>310</v>
      </c>
    </row>
    <row r="171" spans="1:24" ht="27.75" customHeight="1">
      <c r="A171" s="186">
        <v>2</v>
      </c>
      <c r="B171" s="205" t="s">
        <v>28</v>
      </c>
      <c r="C171" s="346" t="s">
        <v>311</v>
      </c>
      <c r="D171" s="141">
        <v>1410</v>
      </c>
      <c r="E171" s="43" t="s">
        <v>45</v>
      </c>
      <c r="F171" s="44">
        <v>0</v>
      </c>
      <c r="G171" s="45">
        <v>0</v>
      </c>
      <c r="H171" s="45"/>
      <c r="I171" s="47">
        <v>0</v>
      </c>
      <c r="J171" s="113">
        <v>45965</v>
      </c>
      <c r="K171" s="114" t="s">
        <v>685</v>
      </c>
      <c r="L171" s="347">
        <v>1410</v>
      </c>
      <c r="M171" s="94" t="s">
        <v>45</v>
      </c>
      <c r="N171" s="116">
        <v>0</v>
      </c>
      <c r="O171" s="233">
        <f t="shared" si="47"/>
        <v>0</v>
      </c>
      <c r="P171" s="233"/>
      <c r="Q171" s="47">
        <f t="shared" si="48"/>
        <v>0</v>
      </c>
      <c r="R171" s="348" t="s">
        <v>195</v>
      </c>
      <c r="S171" s="299" t="s">
        <v>307</v>
      </c>
      <c r="T171" s="299" t="s">
        <v>308</v>
      </c>
      <c r="U171" s="56">
        <v>36600</v>
      </c>
      <c r="V171" s="349" t="s">
        <v>313</v>
      </c>
      <c r="W171" s="4" t="s">
        <v>314</v>
      </c>
      <c r="X171" s="295" t="s">
        <v>289</v>
      </c>
    </row>
    <row r="172" spans="1:24" ht="27.75" customHeight="1">
      <c r="A172" s="186">
        <v>3</v>
      </c>
      <c r="B172" s="205" t="s">
        <v>28</v>
      </c>
      <c r="C172" s="346" t="s">
        <v>315</v>
      </c>
      <c r="D172" s="141">
        <v>1410</v>
      </c>
      <c r="E172" s="43" t="s">
        <v>45</v>
      </c>
      <c r="F172" s="44">
        <v>0</v>
      </c>
      <c r="G172" s="45">
        <v>0</v>
      </c>
      <c r="H172" s="45"/>
      <c r="I172" s="47">
        <v>0</v>
      </c>
      <c r="J172" s="113">
        <v>45965</v>
      </c>
      <c r="K172" s="114" t="s">
        <v>685</v>
      </c>
      <c r="L172" s="347">
        <v>1410</v>
      </c>
      <c r="M172" s="94" t="s">
        <v>45</v>
      </c>
      <c r="N172" s="116">
        <v>0</v>
      </c>
      <c r="O172" s="233">
        <f t="shared" si="47"/>
        <v>0</v>
      </c>
      <c r="P172" s="233"/>
      <c r="Q172" s="47">
        <f t="shared" si="48"/>
        <v>0</v>
      </c>
      <c r="R172" s="348"/>
      <c r="S172" s="299"/>
      <c r="T172" s="299"/>
      <c r="U172" s="56"/>
      <c r="V172" s="349"/>
      <c r="X172" s="295"/>
    </row>
    <row r="173" spans="1:24" ht="27.75" customHeight="1">
      <c r="A173" s="186">
        <v>4</v>
      </c>
      <c r="B173" s="205" t="s">
        <v>24</v>
      </c>
      <c r="C173" s="346" t="s">
        <v>316</v>
      </c>
      <c r="D173" s="141">
        <v>1410</v>
      </c>
      <c r="E173" s="43" t="s">
        <v>45</v>
      </c>
      <c r="F173" s="44">
        <v>0</v>
      </c>
      <c r="G173" s="45">
        <v>0</v>
      </c>
      <c r="H173" s="45"/>
      <c r="I173" s="47">
        <v>0</v>
      </c>
      <c r="J173" s="113">
        <v>45962</v>
      </c>
      <c r="K173" s="114" t="s">
        <v>684</v>
      </c>
      <c r="L173" s="347">
        <v>1410</v>
      </c>
      <c r="M173" s="94" t="s">
        <v>45</v>
      </c>
      <c r="N173" s="116">
        <v>0</v>
      </c>
      <c r="O173" s="233">
        <f t="shared" si="47"/>
        <v>0</v>
      </c>
      <c r="P173" s="233"/>
      <c r="Q173" s="47">
        <f t="shared" si="48"/>
        <v>0</v>
      </c>
      <c r="R173" s="348" t="s">
        <v>195</v>
      </c>
      <c r="S173" s="299" t="s">
        <v>307</v>
      </c>
      <c r="T173" s="299" t="s">
        <v>308</v>
      </c>
      <c r="U173" s="56">
        <v>10980</v>
      </c>
      <c r="V173" s="349" t="s">
        <v>317</v>
      </c>
      <c r="W173" s="295" t="s">
        <v>289</v>
      </c>
      <c r="X173" s="4" t="s">
        <v>310</v>
      </c>
    </row>
    <row r="174" spans="1:24" ht="27.75" customHeight="1">
      <c r="A174" s="186">
        <v>5</v>
      </c>
      <c r="B174" s="205" t="s">
        <v>24</v>
      </c>
      <c r="C174" s="346" t="s">
        <v>318</v>
      </c>
      <c r="D174" s="141">
        <v>1410</v>
      </c>
      <c r="E174" s="43" t="s">
        <v>45</v>
      </c>
      <c r="F174" s="44">
        <v>0</v>
      </c>
      <c r="G174" s="45">
        <v>0</v>
      </c>
      <c r="H174" s="45"/>
      <c r="I174" s="47">
        <v>0</v>
      </c>
      <c r="J174" s="113">
        <v>45962</v>
      </c>
      <c r="K174" s="114" t="s">
        <v>684</v>
      </c>
      <c r="L174" s="347">
        <v>1410</v>
      </c>
      <c r="M174" s="94" t="s">
        <v>45</v>
      </c>
      <c r="N174" s="116">
        <v>0</v>
      </c>
      <c r="O174" s="233">
        <f t="shared" si="47"/>
        <v>0</v>
      </c>
      <c r="P174" s="233"/>
      <c r="Q174" s="47">
        <f t="shared" si="48"/>
        <v>0</v>
      </c>
      <c r="R174" s="348"/>
      <c r="S174" s="299"/>
      <c r="T174" s="299"/>
      <c r="U174" s="56"/>
      <c r="V174" s="349"/>
      <c r="W174" s="295"/>
    </row>
    <row r="175" spans="1:24" ht="27.75" customHeight="1">
      <c r="A175" s="186">
        <v>6</v>
      </c>
      <c r="B175" s="205" t="s">
        <v>24</v>
      </c>
      <c r="C175" s="346" t="s">
        <v>319</v>
      </c>
      <c r="D175" s="141">
        <v>1410</v>
      </c>
      <c r="E175" s="43" t="s">
        <v>45</v>
      </c>
      <c r="F175" s="44">
        <v>0</v>
      </c>
      <c r="G175" s="45">
        <v>0</v>
      </c>
      <c r="H175" s="45"/>
      <c r="I175" s="47">
        <v>0</v>
      </c>
      <c r="J175" s="113">
        <v>45962</v>
      </c>
      <c r="K175" s="114" t="s">
        <v>684</v>
      </c>
      <c r="L175" s="347">
        <v>1410</v>
      </c>
      <c r="M175" s="94" t="s">
        <v>45</v>
      </c>
      <c r="N175" s="116">
        <v>0</v>
      </c>
      <c r="O175" s="233">
        <f t="shared" si="47"/>
        <v>0</v>
      </c>
      <c r="P175" s="233"/>
      <c r="Q175" s="47">
        <f t="shared" si="48"/>
        <v>0</v>
      </c>
      <c r="R175" s="348"/>
      <c r="S175" s="299"/>
      <c r="T175" s="299"/>
      <c r="U175" s="56"/>
      <c r="V175" s="349"/>
      <c r="W175" s="295"/>
    </row>
    <row r="176" spans="1:24" ht="27.75" customHeight="1">
      <c r="A176" s="186">
        <v>7</v>
      </c>
      <c r="B176" s="205" t="s">
        <v>28</v>
      </c>
      <c r="C176" s="346" t="s">
        <v>320</v>
      </c>
      <c r="D176" s="141">
        <v>1410</v>
      </c>
      <c r="E176" s="43" t="s">
        <v>45</v>
      </c>
      <c r="F176" s="44">
        <v>0</v>
      </c>
      <c r="G176" s="45">
        <v>0</v>
      </c>
      <c r="H176" s="45"/>
      <c r="I176" s="47">
        <v>0</v>
      </c>
      <c r="J176" s="113">
        <v>45965</v>
      </c>
      <c r="K176" s="114" t="s">
        <v>685</v>
      </c>
      <c r="L176" s="347">
        <v>1410</v>
      </c>
      <c r="M176" s="94" t="s">
        <v>45</v>
      </c>
      <c r="N176" s="116">
        <v>0</v>
      </c>
      <c r="O176" s="233">
        <f t="shared" si="47"/>
        <v>0</v>
      </c>
      <c r="P176" s="233"/>
      <c r="Q176" s="47">
        <f t="shared" si="48"/>
        <v>0</v>
      </c>
      <c r="R176" s="348"/>
      <c r="S176" s="299"/>
      <c r="T176" s="299"/>
      <c r="U176" s="56"/>
      <c r="V176" s="349"/>
      <c r="W176" s="295"/>
    </row>
    <row r="177" spans="1:24" ht="27.75" customHeight="1">
      <c r="A177" s="186">
        <v>8</v>
      </c>
      <c r="B177" s="205" t="s">
        <v>28</v>
      </c>
      <c r="C177" s="346" t="s">
        <v>321</v>
      </c>
      <c r="D177" s="141">
        <v>1410</v>
      </c>
      <c r="E177" s="43" t="s">
        <v>45</v>
      </c>
      <c r="F177" s="44">
        <v>0</v>
      </c>
      <c r="G177" s="45">
        <v>0</v>
      </c>
      <c r="H177" s="45"/>
      <c r="I177" s="47">
        <v>0</v>
      </c>
      <c r="J177" s="113">
        <v>45965</v>
      </c>
      <c r="K177" s="114" t="s">
        <v>685</v>
      </c>
      <c r="L177" s="347">
        <v>1410</v>
      </c>
      <c r="M177" s="94" t="s">
        <v>45</v>
      </c>
      <c r="N177" s="116">
        <v>0</v>
      </c>
      <c r="O177" s="233">
        <f t="shared" si="47"/>
        <v>0</v>
      </c>
      <c r="P177" s="233"/>
      <c r="Q177" s="47">
        <f t="shared" si="48"/>
        <v>0</v>
      </c>
      <c r="R177" s="348"/>
      <c r="S177" s="299"/>
      <c r="T177" s="299"/>
      <c r="U177" s="56"/>
      <c r="V177" s="349"/>
      <c r="W177" s="295"/>
    </row>
    <row r="178" spans="1:24" ht="27.75" customHeight="1">
      <c r="A178" s="186">
        <v>9</v>
      </c>
      <c r="B178" s="205" t="s">
        <v>28</v>
      </c>
      <c r="C178" s="346" t="s">
        <v>322</v>
      </c>
      <c r="D178" s="141">
        <v>1410</v>
      </c>
      <c r="E178" s="43" t="s">
        <v>45</v>
      </c>
      <c r="F178" s="44">
        <v>0</v>
      </c>
      <c r="G178" s="45">
        <v>0</v>
      </c>
      <c r="H178" s="45"/>
      <c r="I178" s="47">
        <v>0</v>
      </c>
      <c r="J178" s="113">
        <v>45965</v>
      </c>
      <c r="K178" s="114" t="s">
        <v>685</v>
      </c>
      <c r="L178" s="347">
        <v>1410</v>
      </c>
      <c r="M178" s="94" t="s">
        <v>45</v>
      </c>
      <c r="N178" s="116">
        <v>0</v>
      </c>
      <c r="O178" s="233">
        <f t="shared" si="47"/>
        <v>0</v>
      </c>
      <c r="P178" s="233"/>
      <c r="Q178" s="47">
        <f t="shared" si="48"/>
        <v>0</v>
      </c>
      <c r="R178" s="348"/>
      <c r="S178" s="299"/>
      <c r="T178" s="299"/>
      <c r="U178" s="56"/>
      <c r="V178" s="349"/>
      <c r="W178" s="295"/>
    </row>
    <row r="179" spans="1:24" ht="27.75" customHeight="1">
      <c r="A179" s="186">
        <v>10</v>
      </c>
      <c r="B179" s="205" t="s">
        <v>28</v>
      </c>
      <c r="C179" s="346" t="s">
        <v>323</v>
      </c>
      <c r="D179" s="141">
        <v>1410</v>
      </c>
      <c r="E179" s="43" t="s">
        <v>45</v>
      </c>
      <c r="F179" s="44">
        <v>0</v>
      </c>
      <c r="G179" s="45">
        <v>0</v>
      </c>
      <c r="H179" s="45"/>
      <c r="I179" s="47">
        <v>0</v>
      </c>
      <c r="J179" s="113">
        <v>45965</v>
      </c>
      <c r="K179" s="114" t="s">
        <v>685</v>
      </c>
      <c r="L179" s="347">
        <v>1410</v>
      </c>
      <c r="M179" s="94" t="s">
        <v>45</v>
      </c>
      <c r="N179" s="116">
        <v>0</v>
      </c>
      <c r="O179" s="233">
        <f t="shared" si="47"/>
        <v>0</v>
      </c>
      <c r="P179" s="233"/>
      <c r="Q179" s="47">
        <f t="shared" si="48"/>
        <v>0</v>
      </c>
      <c r="R179" s="348"/>
      <c r="S179" s="299"/>
      <c r="T179" s="299"/>
      <c r="U179" s="56"/>
      <c r="V179" s="349"/>
      <c r="W179" s="295"/>
    </row>
    <row r="180" spans="1:24" ht="27.75" customHeight="1">
      <c r="A180" s="186">
        <v>11</v>
      </c>
      <c r="B180" s="205" t="s">
        <v>28</v>
      </c>
      <c r="C180" s="346" t="s">
        <v>324</v>
      </c>
      <c r="D180" s="141">
        <v>1410</v>
      </c>
      <c r="E180" s="43" t="s">
        <v>45</v>
      </c>
      <c r="F180" s="44">
        <v>0</v>
      </c>
      <c r="G180" s="45">
        <v>0</v>
      </c>
      <c r="H180" s="45"/>
      <c r="I180" s="47">
        <v>0</v>
      </c>
      <c r="J180" s="113">
        <v>45965</v>
      </c>
      <c r="K180" s="114" t="s">
        <v>685</v>
      </c>
      <c r="L180" s="347">
        <v>1410</v>
      </c>
      <c r="M180" s="94" t="s">
        <v>45</v>
      </c>
      <c r="N180" s="116">
        <v>0</v>
      </c>
      <c r="O180" s="233">
        <f t="shared" si="47"/>
        <v>0</v>
      </c>
      <c r="P180" s="233"/>
      <c r="Q180" s="47">
        <f t="shared" si="48"/>
        <v>0</v>
      </c>
      <c r="R180" s="348"/>
      <c r="S180" s="299"/>
      <c r="T180" s="299"/>
      <c r="U180" s="56"/>
      <c r="V180" s="349"/>
      <c r="W180" s="295"/>
    </row>
    <row r="181" spans="1:24" ht="27.75" customHeight="1">
      <c r="A181" s="186">
        <v>12</v>
      </c>
      <c r="B181" s="205" t="s">
        <v>325</v>
      </c>
      <c r="C181" s="346" t="s">
        <v>326</v>
      </c>
      <c r="D181" s="141">
        <v>1410</v>
      </c>
      <c r="E181" s="43" t="s">
        <v>45</v>
      </c>
      <c r="F181" s="44">
        <v>0</v>
      </c>
      <c r="G181" s="45">
        <v>0</v>
      </c>
      <c r="H181" s="45"/>
      <c r="I181" s="47">
        <v>0</v>
      </c>
      <c r="J181" s="113">
        <v>45966</v>
      </c>
      <c r="K181" s="114" t="s">
        <v>686</v>
      </c>
      <c r="L181" s="347">
        <v>1410</v>
      </c>
      <c r="M181" s="94" t="s">
        <v>45</v>
      </c>
      <c r="N181" s="116">
        <v>0</v>
      </c>
      <c r="O181" s="233">
        <f t="shared" si="47"/>
        <v>0</v>
      </c>
      <c r="P181" s="233"/>
      <c r="Q181" s="47">
        <f t="shared" si="48"/>
        <v>0</v>
      </c>
      <c r="R181" s="348" t="s">
        <v>195</v>
      </c>
      <c r="S181" s="299" t="s">
        <v>307</v>
      </c>
      <c r="T181" s="299" t="s">
        <v>308</v>
      </c>
      <c r="U181" s="56">
        <v>14640</v>
      </c>
      <c r="V181" s="349" t="s">
        <v>328</v>
      </c>
      <c r="W181" s="295" t="s">
        <v>289</v>
      </c>
      <c r="X181" s="4" t="s">
        <v>329</v>
      </c>
    </row>
    <row r="182" spans="1:24" ht="27.75" customHeight="1">
      <c r="A182" s="186">
        <v>13</v>
      </c>
      <c r="B182" s="205" t="s">
        <v>325</v>
      </c>
      <c r="C182" s="346" t="s">
        <v>330</v>
      </c>
      <c r="D182" s="141">
        <v>1410</v>
      </c>
      <c r="E182" s="43" t="s">
        <v>45</v>
      </c>
      <c r="F182" s="44">
        <v>0</v>
      </c>
      <c r="G182" s="45">
        <v>0</v>
      </c>
      <c r="H182" s="45"/>
      <c r="I182" s="47">
        <v>0</v>
      </c>
      <c r="J182" s="113">
        <v>45966</v>
      </c>
      <c r="K182" s="114" t="s">
        <v>686</v>
      </c>
      <c r="L182" s="347">
        <v>1410</v>
      </c>
      <c r="M182" s="94" t="s">
        <v>45</v>
      </c>
      <c r="N182" s="116">
        <v>0</v>
      </c>
      <c r="O182" s="233">
        <f t="shared" si="47"/>
        <v>0</v>
      </c>
      <c r="P182" s="233"/>
      <c r="Q182" s="47">
        <f t="shared" si="48"/>
        <v>0</v>
      </c>
      <c r="R182" s="348"/>
      <c r="S182" s="299"/>
      <c r="T182" s="299"/>
      <c r="U182" s="56"/>
      <c r="V182" s="349"/>
      <c r="W182" s="295"/>
    </row>
    <row r="183" spans="1:24" ht="27.75" customHeight="1">
      <c r="A183" s="186">
        <v>14</v>
      </c>
      <c r="B183" s="205" t="s">
        <v>325</v>
      </c>
      <c r="C183" s="346" t="s">
        <v>331</v>
      </c>
      <c r="D183" s="141">
        <v>1410</v>
      </c>
      <c r="E183" s="43" t="s">
        <v>45</v>
      </c>
      <c r="F183" s="44">
        <v>0</v>
      </c>
      <c r="G183" s="45">
        <v>0</v>
      </c>
      <c r="H183" s="45"/>
      <c r="I183" s="47">
        <v>0</v>
      </c>
      <c r="J183" s="113">
        <v>45966</v>
      </c>
      <c r="K183" s="114" t="s">
        <v>686</v>
      </c>
      <c r="L183" s="347">
        <v>1410</v>
      </c>
      <c r="M183" s="94" t="s">
        <v>45</v>
      </c>
      <c r="N183" s="116">
        <v>0</v>
      </c>
      <c r="O183" s="233">
        <f t="shared" si="47"/>
        <v>0</v>
      </c>
      <c r="P183" s="233"/>
      <c r="Q183" s="47">
        <f t="shared" si="48"/>
        <v>0</v>
      </c>
      <c r="R183" s="348"/>
      <c r="S183" s="299"/>
      <c r="T183" s="299"/>
      <c r="U183" s="56"/>
      <c r="V183" s="349"/>
      <c r="W183" s="295"/>
    </row>
    <row r="184" spans="1:24" ht="27.75" customHeight="1">
      <c r="A184" s="186">
        <v>15</v>
      </c>
      <c r="B184" s="205" t="s">
        <v>325</v>
      </c>
      <c r="C184" s="346" t="s">
        <v>332</v>
      </c>
      <c r="D184" s="141">
        <v>1410</v>
      </c>
      <c r="E184" s="43" t="s">
        <v>45</v>
      </c>
      <c r="F184" s="44">
        <v>0</v>
      </c>
      <c r="G184" s="45">
        <v>0</v>
      </c>
      <c r="H184" s="45"/>
      <c r="I184" s="47">
        <v>0</v>
      </c>
      <c r="J184" s="113">
        <v>45966</v>
      </c>
      <c r="K184" s="114" t="s">
        <v>686</v>
      </c>
      <c r="L184" s="347">
        <v>1410</v>
      </c>
      <c r="M184" s="94" t="s">
        <v>45</v>
      </c>
      <c r="N184" s="116">
        <v>0</v>
      </c>
      <c r="O184" s="233">
        <f t="shared" si="47"/>
        <v>0</v>
      </c>
      <c r="P184" s="233"/>
      <c r="Q184" s="47">
        <f t="shared" si="48"/>
        <v>0</v>
      </c>
      <c r="R184" s="348"/>
      <c r="S184" s="299"/>
      <c r="T184" s="299"/>
      <c r="U184" s="56"/>
      <c r="V184" s="349"/>
      <c r="W184" s="295"/>
    </row>
    <row r="185" spans="1:24" ht="27.75" customHeight="1">
      <c r="A185" s="186">
        <v>16</v>
      </c>
      <c r="B185" s="205" t="s">
        <v>28</v>
      </c>
      <c r="C185" s="346" t="s">
        <v>333</v>
      </c>
      <c r="D185" s="141">
        <v>1410</v>
      </c>
      <c r="E185" s="43" t="s">
        <v>45</v>
      </c>
      <c r="F185" s="44">
        <v>0</v>
      </c>
      <c r="G185" s="45">
        <v>0</v>
      </c>
      <c r="H185" s="45"/>
      <c r="I185" s="47">
        <v>0</v>
      </c>
      <c r="J185" s="113">
        <v>45965</v>
      </c>
      <c r="K185" s="114" t="s">
        <v>685</v>
      </c>
      <c r="L185" s="347">
        <v>1410</v>
      </c>
      <c r="M185" s="94" t="s">
        <v>45</v>
      </c>
      <c r="N185" s="116">
        <v>0</v>
      </c>
      <c r="O185" s="233">
        <f t="shared" si="47"/>
        <v>0</v>
      </c>
      <c r="P185" s="233"/>
      <c r="Q185" s="47">
        <f t="shared" si="48"/>
        <v>0</v>
      </c>
      <c r="R185" s="348"/>
      <c r="S185" s="299"/>
      <c r="T185" s="299"/>
      <c r="U185" s="56"/>
      <c r="V185" s="349"/>
      <c r="W185" s="295"/>
    </row>
    <row r="186" spans="1:24" ht="27.75" customHeight="1">
      <c r="A186" s="186">
        <v>17</v>
      </c>
      <c r="B186" s="205" t="s">
        <v>28</v>
      </c>
      <c r="C186" s="346" t="s">
        <v>334</v>
      </c>
      <c r="D186" s="141">
        <v>1410</v>
      </c>
      <c r="E186" s="43" t="s">
        <v>45</v>
      </c>
      <c r="F186" s="44">
        <v>0</v>
      </c>
      <c r="G186" s="45">
        <v>0</v>
      </c>
      <c r="H186" s="45"/>
      <c r="I186" s="47">
        <v>0</v>
      </c>
      <c r="J186" s="113">
        <v>45965</v>
      </c>
      <c r="K186" s="114" t="s">
        <v>685</v>
      </c>
      <c r="L186" s="347">
        <v>1410</v>
      </c>
      <c r="M186" s="94" t="s">
        <v>45</v>
      </c>
      <c r="N186" s="116">
        <v>0</v>
      </c>
      <c r="O186" s="233">
        <f t="shared" si="47"/>
        <v>0</v>
      </c>
      <c r="P186" s="233"/>
      <c r="Q186" s="47">
        <f t="shared" si="48"/>
        <v>0</v>
      </c>
      <c r="R186" s="348"/>
      <c r="S186" s="299"/>
      <c r="T186" s="299"/>
      <c r="U186" s="56"/>
      <c r="V186" s="349"/>
      <c r="W186" s="295"/>
    </row>
    <row r="187" spans="1:24" ht="27.75" customHeight="1">
      <c r="A187" s="186">
        <v>18</v>
      </c>
      <c r="B187" s="205" t="s">
        <v>28</v>
      </c>
      <c r="C187" s="346" t="s">
        <v>335</v>
      </c>
      <c r="D187" s="141">
        <v>1410</v>
      </c>
      <c r="E187" s="43" t="s">
        <v>45</v>
      </c>
      <c r="F187" s="44">
        <v>0</v>
      </c>
      <c r="G187" s="45">
        <v>0</v>
      </c>
      <c r="H187" s="45"/>
      <c r="I187" s="47">
        <v>0</v>
      </c>
      <c r="J187" s="113">
        <v>45965</v>
      </c>
      <c r="K187" s="114" t="s">
        <v>685</v>
      </c>
      <c r="L187" s="347">
        <v>1410</v>
      </c>
      <c r="M187" s="94" t="s">
        <v>45</v>
      </c>
      <c r="N187" s="116">
        <v>0</v>
      </c>
      <c r="O187" s="233">
        <f t="shared" si="47"/>
        <v>0</v>
      </c>
      <c r="P187" s="233"/>
      <c r="Q187" s="47">
        <f t="shared" si="48"/>
        <v>0</v>
      </c>
      <c r="R187" s="348"/>
      <c r="S187" s="299"/>
      <c r="T187" s="299"/>
      <c r="U187" s="56"/>
      <c r="V187" s="349"/>
      <c r="W187" s="295"/>
    </row>
    <row r="188" spans="1:24" ht="27.75" customHeight="1">
      <c r="A188" s="186">
        <v>19</v>
      </c>
      <c r="B188" s="205" t="s">
        <v>40</v>
      </c>
      <c r="C188" s="346" t="s">
        <v>336</v>
      </c>
      <c r="D188" s="141">
        <v>1220</v>
      </c>
      <c r="E188" s="43" t="s">
        <v>26</v>
      </c>
      <c r="F188" s="44">
        <v>0</v>
      </c>
      <c r="G188" s="45">
        <v>0</v>
      </c>
      <c r="H188" s="45"/>
      <c r="I188" s="47">
        <v>0</v>
      </c>
      <c r="J188" s="113">
        <v>45966</v>
      </c>
      <c r="K188" s="114" t="s">
        <v>687</v>
      </c>
      <c r="L188" s="347">
        <v>1220</v>
      </c>
      <c r="M188" s="94" t="s">
        <v>26</v>
      </c>
      <c r="N188" s="116">
        <v>0</v>
      </c>
      <c r="O188" s="233">
        <f t="shared" si="47"/>
        <v>0</v>
      </c>
      <c r="P188" s="233"/>
      <c r="Q188" s="47">
        <f t="shared" si="48"/>
        <v>0</v>
      </c>
      <c r="R188" s="39" t="s">
        <v>195</v>
      </c>
      <c r="S188" s="55">
        <v>43313</v>
      </c>
      <c r="T188" s="55">
        <v>44408</v>
      </c>
      <c r="U188" s="56">
        <v>9540</v>
      </c>
      <c r="V188" s="349"/>
    </row>
    <row r="189" spans="1:24" ht="27.75" customHeight="1">
      <c r="A189" s="186">
        <v>20</v>
      </c>
      <c r="B189" s="205" t="s">
        <v>40</v>
      </c>
      <c r="C189" s="346" t="s">
        <v>338</v>
      </c>
      <c r="D189" s="141">
        <v>1220</v>
      </c>
      <c r="E189" s="43" t="s">
        <v>26</v>
      </c>
      <c r="F189" s="44">
        <v>0</v>
      </c>
      <c r="G189" s="45">
        <v>0</v>
      </c>
      <c r="H189" s="45"/>
      <c r="I189" s="47">
        <v>0</v>
      </c>
      <c r="J189" s="113">
        <v>45966</v>
      </c>
      <c r="K189" s="114" t="s">
        <v>687</v>
      </c>
      <c r="L189" s="347">
        <v>1220</v>
      </c>
      <c r="M189" s="94" t="s">
        <v>26</v>
      </c>
      <c r="N189" s="116">
        <v>0</v>
      </c>
      <c r="O189" s="233">
        <f t="shared" si="47"/>
        <v>0</v>
      </c>
      <c r="P189" s="233"/>
      <c r="Q189" s="47">
        <f t="shared" si="48"/>
        <v>0</v>
      </c>
      <c r="R189" s="39"/>
      <c r="S189" s="55"/>
      <c r="T189" s="55"/>
      <c r="U189" s="56"/>
      <c r="V189" s="349"/>
    </row>
    <row r="190" spans="1:24" ht="27.75" customHeight="1">
      <c r="A190" s="186">
        <v>21</v>
      </c>
      <c r="B190" s="205" t="s">
        <v>40</v>
      </c>
      <c r="C190" s="346" t="s">
        <v>339</v>
      </c>
      <c r="D190" s="141">
        <v>1220</v>
      </c>
      <c r="E190" s="43" t="s">
        <v>26</v>
      </c>
      <c r="F190" s="44">
        <v>0</v>
      </c>
      <c r="G190" s="45">
        <v>0</v>
      </c>
      <c r="H190" s="45"/>
      <c r="I190" s="47">
        <v>0</v>
      </c>
      <c r="J190" s="113">
        <v>45966</v>
      </c>
      <c r="K190" s="114" t="s">
        <v>687</v>
      </c>
      <c r="L190" s="347">
        <v>1220</v>
      </c>
      <c r="M190" s="94" t="s">
        <v>26</v>
      </c>
      <c r="N190" s="116">
        <v>0</v>
      </c>
      <c r="O190" s="233">
        <f t="shared" si="47"/>
        <v>0</v>
      </c>
      <c r="P190" s="233"/>
      <c r="Q190" s="47">
        <f t="shared" si="48"/>
        <v>0</v>
      </c>
      <c r="R190" s="39"/>
      <c r="S190" s="55"/>
      <c r="T190" s="55"/>
      <c r="U190" s="56"/>
      <c r="V190" s="349"/>
    </row>
    <row r="191" spans="1:24" ht="27.75" customHeight="1">
      <c r="A191" s="186">
        <v>22</v>
      </c>
      <c r="B191" s="40" t="s">
        <v>43</v>
      </c>
      <c r="C191" s="346" t="s">
        <v>340</v>
      </c>
      <c r="D191" s="141">
        <v>1410</v>
      </c>
      <c r="E191" s="43" t="s">
        <v>45</v>
      </c>
      <c r="F191" s="44">
        <v>0</v>
      </c>
      <c r="G191" s="45">
        <v>0</v>
      </c>
      <c r="H191" s="45"/>
      <c r="I191" s="47">
        <v>0</v>
      </c>
      <c r="J191" s="113">
        <v>45963</v>
      </c>
      <c r="K191" s="114" t="s">
        <v>688</v>
      </c>
      <c r="L191" s="347">
        <v>1410</v>
      </c>
      <c r="M191" s="94" t="s">
        <v>45</v>
      </c>
      <c r="N191" s="116">
        <v>0</v>
      </c>
      <c r="O191" s="233">
        <f t="shared" si="47"/>
        <v>0</v>
      </c>
      <c r="P191" s="233"/>
      <c r="Q191" s="47">
        <f t="shared" si="48"/>
        <v>0</v>
      </c>
      <c r="R191" s="348" t="s">
        <v>195</v>
      </c>
      <c r="S191" s="299" t="s">
        <v>307</v>
      </c>
      <c r="T191" s="299" t="s">
        <v>308</v>
      </c>
      <c r="U191" s="56">
        <v>7320</v>
      </c>
      <c r="V191" s="349" t="s">
        <v>342</v>
      </c>
      <c r="W191" s="295" t="s">
        <v>289</v>
      </c>
      <c r="X191" s="4" t="s">
        <v>343</v>
      </c>
    </row>
    <row r="192" spans="1:24" ht="27.75" customHeight="1">
      <c r="A192" s="186">
        <v>23</v>
      </c>
      <c r="B192" s="40" t="s">
        <v>43</v>
      </c>
      <c r="C192" s="346" t="s">
        <v>344</v>
      </c>
      <c r="D192" s="141">
        <v>1410</v>
      </c>
      <c r="E192" s="43" t="s">
        <v>45</v>
      </c>
      <c r="F192" s="44">
        <v>0</v>
      </c>
      <c r="G192" s="45">
        <v>0</v>
      </c>
      <c r="H192" s="45"/>
      <c r="I192" s="47">
        <v>0</v>
      </c>
      <c r="J192" s="113">
        <v>45963</v>
      </c>
      <c r="K192" s="114" t="s">
        <v>688</v>
      </c>
      <c r="L192" s="347">
        <v>1410</v>
      </c>
      <c r="M192" s="94" t="s">
        <v>45</v>
      </c>
      <c r="N192" s="116">
        <v>0</v>
      </c>
      <c r="O192" s="233">
        <f t="shared" si="47"/>
        <v>0</v>
      </c>
      <c r="P192" s="233"/>
      <c r="Q192" s="47">
        <f t="shared" si="48"/>
        <v>0</v>
      </c>
      <c r="R192" s="348"/>
      <c r="S192" s="299"/>
      <c r="T192" s="299"/>
      <c r="U192" s="56"/>
      <c r="V192" s="349"/>
      <c r="W192" s="295"/>
    </row>
    <row r="193" spans="1:24" ht="27.75" customHeight="1">
      <c r="A193" s="186">
        <v>24</v>
      </c>
      <c r="B193" s="40" t="s">
        <v>345</v>
      </c>
      <c r="C193" s="346" t="s">
        <v>346</v>
      </c>
      <c r="D193" s="141">
        <v>1410</v>
      </c>
      <c r="E193" s="43" t="s">
        <v>45</v>
      </c>
      <c r="F193" s="44">
        <v>0</v>
      </c>
      <c r="G193" s="45">
        <v>0</v>
      </c>
      <c r="H193" s="45"/>
      <c r="I193" s="47">
        <v>0</v>
      </c>
      <c r="J193" s="113">
        <v>45964</v>
      </c>
      <c r="K193" s="114" t="s">
        <v>689</v>
      </c>
      <c r="L193" s="347">
        <v>1410</v>
      </c>
      <c r="M193" s="94" t="s">
        <v>45</v>
      </c>
      <c r="N193" s="116">
        <v>0</v>
      </c>
      <c r="O193" s="233">
        <f t="shared" si="47"/>
        <v>0</v>
      </c>
      <c r="P193" s="233"/>
      <c r="Q193" s="47">
        <f t="shared" si="48"/>
        <v>0</v>
      </c>
      <c r="R193" s="39" t="s">
        <v>195</v>
      </c>
      <c r="S193" s="55">
        <v>43313</v>
      </c>
      <c r="T193" s="55">
        <v>44408</v>
      </c>
      <c r="U193" s="56">
        <v>12720</v>
      </c>
      <c r="V193" s="349"/>
    </row>
    <row r="194" spans="1:24" ht="27.75" customHeight="1">
      <c r="A194" s="186">
        <v>25</v>
      </c>
      <c r="B194" s="40" t="s">
        <v>345</v>
      </c>
      <c r="C194" s="346" t="s">
        <v>348</v>
      </c>
      <c r="D194" s="141">
        <v>1410</v>
      </c>
      <c r="E194" s="43" t="s">
        <v>45</v>
      </c>
      <c r="F194" s="44">
        <v>0</v>
      </c>
      <c r="G194" s="45">
        <v>0</v>
      </c>
      <c r="H194" s="45"/>
      <c r="I194" s="47">
        <v>0</v>
      </c>
      <c r="J194" s="113">
        <v>45964</v>
      </c>
      <c r="K194" s="114" t="s">
        <v>689</v>
      </c>
      <c r="L194" s="347">
        <v>1410</v>
      </c>
      <c r="M194" s="94" t="s">
        <v>45</v>
      </c>
      <c r="N194" s="116">
        <v>0</v>
      </c>
      <c r="O194" s="233">
        <f t="shared" si="47"/>
        <v>0</v>
      </c>
      <c r="P194" s="233"/>
      <c r="Q194" s="47">
        <f t="shared" si="48"/>
        <v>0</v>
      </c>
      <c r="R194" s="39"/>
      <c r="S194" s="55"/>
      <c r="T194" s="55"/>
      <c r="U194" s="56"/>
      <c r="V194" s="349"/>
    </row>
    <row r="195" spans="1:24" ht="27.75" customHeight="1">
      <c r="A195" s="186">
        <v>26</v>
      </c>
      <c r="B195" s="40" t="s">
        <v>345</v>
      </c>
      <c r="C195" s="346" t="s">
        <v>349</v>
      </c>
      <c r="D195" s="141">
        <v>1410</v>
      </c>
      <c r="E195" s="43" t="s">
        <v>45</v>
      </c>
      <c r="F195" s="44">
        <v>0</v>
      </c>
      <c r="G195" s="45">
        <v>0</v>
      </c>
      <c r="H195" s="45"/>
      <c r="I195" s="47">
        <v>0</v>
      </c>
      <c r="J195" s="113">
        <v>45964</v>
      </c>
      <c r="K195" s="114" t="s">
        <v>689</v>
      </c>
      <c r="L195" s="347">
        <v>1410</v>
      </c>
      <c r="M195" s="94" t="s">
        <v>45</v>
      </c>
      <c r="N195" s="116">
        <v>0</v>
      </c>
      <c r="O195" s="233">
        <f t="shared" si="47"/>
        <v>0</v>
      </c>
      <c r="P195" s="233"/>
      <c r="Q195" s="47">
        <f t="shared" si="48"/>
        <v>0</v>
      </c>
      <c r="R195" s="39"/>
      <c r="S195" s="55"/>
      <c r="T195" s="55"/>
      <c r="U195" s="56"/>
      <c r="V195" s="349"/>
    </row>
    <row r="196" spans="1:24" ht="27.75" customHeight="1">
      <c r="A196" s="186">
        <v>27</v>
      </c>
      <c r="B196" s="40" t="s">
        <v>345</v>
      </c>
      <c r="C196" s="346" t="s">
        <v>350</v>
      </c>
      <c r="D196" s="141">
        <v>1410</v>
      </c>
      <c r="E196" s="43" t="s">
        <v>45</v>
      </c>
      <c r="F196" s="44">
        <v>0</v>
      </c>
      <c r="G196" s="45">
        <v>0</v>
      </c>
      <c r="H196" s="45"/>
      <c r="I196" s="47">
        <v>0</v>
      </c>
      <c r="J196" s="113">
        <v>45964</v>
      </c>
      <c r="K196" s="114" t="s">
        <v>689</v>
      </c>
      <c r="L196" s="347">
        <v>1410</v>
      </c>
      <c r="M196" s="94" t="s">
        <v>45</v>
      </c>
      <c r="N196" s="116">
        <v>0</v>
      </c>
      <c r="O196" s="233">
        <f t="shared" si="47"/>
        <v>0</v>
      </c>
      <c r="P196" s="233"/>
      <c r="Q196" s="47">
        <f t="shared" si="48"/>
        <v>0</v>
      </c>
      <c r="R196" s="39"/>
      <c r="S196" s="55"/>
      <c r="T196" s="55"/>
      <c r="U196" s="56"/>
      <c r="V196" s="349"/>
    </row>
    <row r="197" spans="1:24" ht="27.75" customHeight="1">
      <c r="A197" s="186">
        <v>28</v>
      </c>
      <c r="B197" s="40" t="s">
        <v>351</v>
      </c>
      <c r="C197" s="346" t="s">
        <v>352</v>
      </c>
      <c r="D197" s="141">
        <v>1410</v>
      </c>
      <c r="E197" s="43" t="s">
        <v>45</v>
      </c>
      <c r="F197" s="44">
        <v>0</v>
      </c>
      <c r="G197" s="45">
        <v>0</v>
      </c>
      <c r="H197" s="45"/>
      <c r="I197" s="47">
        <v>0</v>
      </c>
      <c r="J197" s="113">
        <v>45965</v>
      </c>
      <c r="K197" s="114" t="s">
        <v>690</v>
      </c>
      <c r="L197" s="347">
        <v>1410</v>
      </c>
      <c r="M197" s="94" t="s">
        <v>45</v>
      </c>
      <c r="N197" s="116">
        <v>0</v>
      </c>
      <c r="O197" s="233">
        <f t="shared" si="47"/>
        <v>0</v>
      </c>
      <c r="P197" s="233"/>
      <c r="Q197" s="47">
        <f t="shared" si="48"/>
        <v>0</v>
      </c>
      <c r="R197" s="39" t="s">
        <v>195</v>
      </c>
      <c r="S197" s="55">
        <v>43313</v>
      </c>
      <c r="T197" s="55">
        <v>44408</v>
      </c>
      <c r="U197" s="56">
        <v>9540</v>
      </c>
      <c r="V197" s="349"/>
    </row>
    <row r="198" spans="1:24" ht="27.75" customHeight="1">
      <c r="A198" s="186">
        <v>29</v>
      </c>
      <c r="B198" s="40" t="s">
        <v>351</v>
      </c>
      <c r="C198" s="346" t="s">
        <v>354</v>
      </c>
      <c r="D198" s="141">
        <v>1410</v>
      </c>
      <c r="E198" s="43" t="s">
        <v>45</v>
      </c>
      <c r="F198" s="44">
        <v>0</v>
      </c>
      <c r="G198" s="45">
        <v>0</v>
      </c>
      <c r="H198" s="45"/>
      <c r="I198" s="47">
        <v>0</v>
      </c>
      <c r="J198" s="113">
        <v>45965</v>
      </c>
      <c r="K198" s="114" t="s">
        <v>690</v>
      </c>
      <c r="L198" s="347">
        <v>1410</v>
      </c>
      <c r="M198" s="94" t="s">
        <v>45</v>
      </c>
      <c r="N198" s="116">
        <v>0</v>
      </c>
      <c r="O198" s="233">
        <f t="shared" si="47"/>
        <v>0</v>
      </c>
      <c r="P198" s="233"/>
      <c r="Q198" s="47">
        <f t="shared" si="48"/>
        <v>0</v>
      </c>
      <c r="R198" s="39"/>
      <c r="S198" s="55"/>
      <c r="T198" s="55"/>
      <c r="U198" s="56"/>
      <c r="V198" s="349"/>
    </row>
    <row r="199" spans="1:24" ht="27.75" customHeight="1">
      <c r="A199" s="186">
        <v>30</v>
      </c>
      <c r="B199" s="40" t="s">
        <v>351</v>
      </c>
      <c r="C199" s="346" t="s">
        <v>355</v>
      </c>
      <c r="D199" s="141">
        <v>1410</v>
      </c>
      <c r="E199" s="43" t="s">
        <v>45</v>
      </c>
      <c r="F199" s="44">
        <v>0</v>
      </c>
      <c r="G199" s="45">
        <v>0</v>
      </c>
      <c r="H199" s="45"/>
      <c r="I199" s="47">
        <v>0</v>
      </c>
      <c r="J199" s="113">
        <v>45965</v>
      </c>
      <c r="K199" s="114" t="s">
        <v>690</v>
      </c>
      <c r="L199" s="347">
        <v>1410</v>
      </c>
      <c r="M199" s="94" t="s">
        <v>45</v>
      </c>
      <c r="N199" s="116">
        <v>0</v>
      </c>
      <c r="O199" s="233">
        <f t="shared" si="47"/>
        <v>0</v>
      </c>
      <c r="P199" s="233"/>
      <c r="Q199" s="47">
        <f t="shared" si="48"/>
        <v>0</v>
      </c>
      <c r="R199" s="39"/>
      <c r="S199" s="55"/>
      <c r="T199" s="55"/>
      <c r="U199" s="56"/>
      <c r="V199" s="349"/>
    </row>
    <row r="200" spans="1:24" ht="27.75" customHeight="1">
      <c r="A200" s="186">
        <v>31</v>
      </c>
      <c r="B200" s="40" t="s">
        <v>356</v>
      </c>
      <c r="C200" s="346" t="s">
        <v>357</v>
      </c>
      <c r="D200" s="141">
        <v>1410</v>
      </c>
      <c r="E200" s="43" t="s">
        <v>45</v>
      </c>
      <c r="F200" s="44">
        <v>0</v>
      </c>
      <c r="G200" s="45">
        <v>0</v>
      </c>
      <c r="H200" s="45"/>
      <c r="I200" s="47">
        <v>0</v>
      </c>
      <c r="J200" s="113">
        <v>45966</v>
      </c>
      <c r="K200" s="114" t="s">
        <v>691</v>
      </c>
      <c r="L200" s="347">
        <v>1410</v>
      </c>
      <c r="M200" s="94" t="s">
        <v>45</v>
      </c>
      <c r="N200" s="116">
        <v>0</v>
      </c>
      <c r="O200" s="233">
        <f t="shared" si="47"/>
        <v>0</v>
      </c>
      <c r="P200" s="233"/>
      <c r="Q200" s="47">
        <f t="shared" si="48"/>
        <v>0</v>
      </c>
      <c r="R200" s="39" t="s">
        <v>195</v>
      </c>
      <c r="S200" s="55">
        <v>42217</v>
      </c>
      <c r="T200" s="55">
        <v>43312</v>
      </c>
      <c r="U200" s="56">
        <v>8280</v>
      </c>
      <c r="V200" s="349" t="s">
        <v>359</v>
      </c>
    </row>
    <row r="201" spans="1:24" ht="27.75" customHeight="1">
      <c r="A201" s="186">
        <v>32</v>
      </c>
      <c r="B201" s="40" t="s">
        <v>356</v>
      </c>
      <c r="C201" s="346" t="s">
        <v>360</v>
      </c>
      <c r="D201" s="141">
        <v>1410</v>
      </c>
      <c r="E201" s="43" t="s">
        <v>45</v>
      </c>
      <c r="F201" s="44">
        <v>0</v>
      </c>
      <c r="G201" s="45">
        <v>0</v>
      </c>
      <c r="H201" s="45"/>
      <c r="I201" s="47">
        <v>0</v>
      </c>
      <c r="J201" s="113">
        <v>45966</v>
      </c>
      <c r="K201" s="114" t="s">
        <v>691</v>
      </c>
      <c r="L201" s="347">
        <v>1410</v>
      </c>
      <c r="M201" s="94" t="s">
        <v>45</v>
      </c>
      <c r="N201" s="116">
        <v>0</v>
      </c>
      <c r="O201" s="233">
        <f t="shared" si="47"/>
        <v>0</v>
      </c>
      <c r="P201" s="233"/>
      <c r="Q201" s="47">
        <f t="shared" si="48"/>
        <v>0</v>
      </c>
      <c r="R201" s="39"/>
      <c r="S201" s="55"/>
      <c r="T201" s="55"/>
      <c r="U201" s="56"/>
      <c r="V201" s="349"/>
    </row>
    <row r="202" spans="1:24" ht="27.75" customHeight="1">
      <c r="A202" s="186">
        <v>33</v>
      </c>
      <c r="B202" s="40" t="s">
        <v>356</v>
      </c>
      <c r="C202" s="346" t="s">
        <v>361</v>
      </c>
      <c r="D202" s="141">
        <v>1410</v>
      </c>
      <c r="E202" s="43" t="s">
        <v>45</v>
      </c>
      <c r="F202" s="44">
        <v>0</v>
      </c>
      <c r="G202" s="45">
        <v>0</v>
      </c>
      <c r="H202" s="45"/>
      <c r="I202" s="47">
        <v>0</v>
      </c>
      <c r="J202" s="113">
        <v>45966</v>
      </c>
      <c r="K202" s="114" t="s">
        <v>691</v>
      </c>
      <c r="L202" s="347">
        <v>1410</v>
      </c>
      <c r="M202" s="94" t="s">
        <v>45</v>
      </c>
      <c r="N202" s="116">
        <v>0</v>
      </c>
      <c r="O202" s="233">
        <f t="shared" si="47"/>
        <v>0</v>
      </c>
      <c r="P202" s="233"/>
      <c r="Q202" s="47">
        <f t="shared" si="48"/>
        <v>0</v>
      </c>
      <c r="R202" s="39"/>
      <c r="S202" s="55"/>
      <c r="T202" s="55"/>
      <c r="U202" s="56"/>
      <c r="V202" s="349"/>
    </row>
    <row r="203" spans="1:24" ht="27.75" customHeight="1">
      <c r="A203" s="186">
        <v>34</v>
      </c>
      <c r="B203" s="40" t="s">
        <v>362</v>
      </c>
      <c r="C203" s="346" t="s">
        <v>363</v>
      </c>
      <c r="D203" s="141">
        <v>1410</v>
      </c>
      <c r="E203" s="43" t="s">
        <v>45</v>
      </c>
      <c r="F203" s="44">
        <v>0</v>
      </c>
      <c r="G203" s="45">
        <v>0</v>
      </c>
      <c r="H203" s="45"/>
      <c r="I203" s="47">
        <v>0</v>
      </c>
      <c r="J203" s="113">
        <v>45962</v>
      </c>
      <c r="K203" s="114" t="s">
        <v>692</v>
      </c>
      <c r="L203" s="347">
        <v>1410</v>
      </c>
      <c r="M203" s="94" t="s">
        <v>45</v>
      </c>
      <c r="N203" s="116">
        <v>0</v>
      </c>
      <c r="O203" s="233">
        <f t="shared" si="47"/>
        <v>0</v>
      </c>
      <c r="P203" s="233"/>
      <c r="Q203" s="47">
        <f t="shared" si="48"/>
        <v>0</v>
      </c>
      <c r="R203" s="348" t="s">
        <v>195</v>
      </c>
      <c r="S203" s="299" t="s">
        <v>307</v>
      </c>
      <c r="T203" s="299" t="s">
        <v>308</v>
      </c>
      <c r="U203" s="56">
        <v>21960</v>
      </c>
      <c r="V203" s="349" t="s">
        <v>365</v>
      </c>
      <c r="W203" s="295" t="s">
        <v>289</v>
      </c>
      <c r="X203" s="40" t="s">
        <v>366</v>
      </c>
    </row>
    <row r="204" spans="1:24" ht="27.75" customHeight="1">
      <c r="A204" s="186">
        <v>35</v>
      </c>
      <c r="B204" s="40" t="s">
        <v>362</v>
      </c>
      <c r="C204" s="346" t="s">
        <v>367</v>
      </c>
      <c r="D204" s="141">
        <v>1410</v>
      </c>
      <c r="E204" s="43" t="s">
        <v>45</v>
      </c>
      <c r="F204" s="44">
        <v>0</v>
      </c>
      <c r="G204" s="45">
        <v>0</v>
      </c>
      <c r="H204" s="45"/>
      <c r="I204" s="47">
        <v>0</v>
      </c>
      <c r="J204" s="113">
        <v>45962</v>
      </c>
      <c r="K204" s="114" t="s">
        <v>692</v>
      </c>
      <c r="L204" s="347">
        <v>1410</v>
      </c>
      <c r="M204" s="94" t="s">
        <v>45</v>
      </c>
      <c r="N204" s="116">
        <v>0</v>
      </c>
      <c r="O204" s="233">
        <f t="shared" si="47"/>
        <v>0</v>
      </c>
      <c r="P204" s="233"/>
      <c r="Q204" s="47">
        <f t="shared" si="48"/>
        <v>0</v>
      </c>
      <c r="R204" s="348"/>
      <c r="S204" s="299"/>
      <c r="T204" s="299"/>
      <c r="U204" s="56"/>
      <c r="V204" s="349"/>
      <c r="W204" s="295"/>
      <c r="X204" s="350"/>
    </row>
    <row r="205" spans="1:24" ht="27.75" customHeight="1">
      <c r="A205" s="186">
        <v>36</v>
      </c>
      <c r="B205" s="40" t="s">
        <v>362</v>
      </c>
      <c r="C205" s="346" t="s">
        <v>368</v>
      </c>
      <c r="D205" s="141">
        <v>1410</v>
      </c>
      <c r="E205" s="43" t="s">
        <v>45</v>
      </c>
      <c r="F205" s="44">
        <v>0</v>
      </c>
      <c r="G205" s="45">
        <v>0</v>
      </c>
      <c r="H205" s="45"/>
      <c r="I205" s="47">
        <v>0</v>
      </c>
      <c r="J205" s="113">
        <v>45962</v>
      </c>
      <c r="K205" s="114" t="s">
        <v>692</v>
      </c>
      <c r="L205" s="347">
        <v>1410</v>
      </c>
      <c r="M205" s="94" t="s">
        <v>45</v>
      </c>
      <c r="N205" s="116">
        <v>0</v>
      </c>
      <c r="O205" s="233">
        <f t="shared" si="47"/>
        <v>0</v>
      </c>
      <c r="P205" s="233"/>
      <c r="Q205" s="47">
        <f t="shared" si="48"/>
        <v>0</v>
      </c>
      <c r="R205" s="348"/>
      <c r="S205" s="299"/>
      <c r="T205" s="299"/>
      <c r="U205" s="56"/>
      <c r="V205" s="349"/>
      <c r="W205" s="295"/>
      <c r="X205" s="350"/>
    </row>
    <row r="206" spans="1:24" ht="27.75" customHeight="1">
      <c r="A206" s="186">
        <v>37</v>
      </c>
      <c r="B206" s="40" t="s">
        <v>362</v>
      </c>
      <c r="C206" s="346" t="s">
        <v>369</v>
      </c>
      <c r="D206" s="141">
        <v>1410</v>
      </c>
      <c r="E206" s="43" t="s">
        <v>45</v>
      </c>
      <c r="F206" s="44">
        <v>0</v>
      </c>
      <c r="G206" s="45">
        <v>0</v>
      </c>
      <c r="H206" s="45"/>
      <c r="I206" s="47">
        <v>0</v>
      </c>
      <c r="J206" s="113">
        <v>45962</v>
      </c>
      <c r="K206" s="114" t="s">
        <v>692</v>
      </c>
      <c r="L206" s="347">
        <v>1410</v>
      </c>
      <c r="M206" s="94" t="s">
        <v>45</v>
      </c>
      <c r="N206" s="116">
        <v>0</v>
      </c>
      <c r="O206" s="233">
        <f t="shared" si="47"/>
        <v>0</v>
      </c>
      <c r="P206" s="233"/>
      <c r="Q206" s="47">
        <f t="shared" si="48"/>
        <v>0</v>
      </c>
      <c r="R206" s="348"/>
      <c r="S206" s="299"/>
      <c r="T206" s="299"/>
      <c r="U206" s="56"/>
      <c r="V206" s="349"/>
      <c r="W206" s="295"/>
      <c r="X206" s="350"/>
    </row>
    <row r="207" spans="1:24" ht="27.75" customHeight="1">
      <c r="A207" s="186">
        <v>38</v>
      </c>
      <c r="B207" s="40" t="s">
        <v>362</v>
      </c>
      <c r="C207" s="346" t="s">
        <v>370</v>
      </c>
      <c r="D207" s="141">
        <v>1410</v>
      </c>
      <c r="E207" s="43" t="s">
        <v>45</v>
      </c>
      <c r="F207" s="44">
        <v>0</v>
      </c>
      <c r="G207" s="45">
        <v>0</v>
      </c>
      <c r="H207" s="45"/>
      <c r="I207" s="47">
        <v>0</v>
      </c>
      <c r="J207" s="113">
        <v>45962</v>
      </c>
      <c r="K207" s="114" t="s">
        <v>692</v>
      </c>
      <c r="L207" s="347">
        <v>1410</v>
      </c>
      <c r="M207" s="94" t="s">
        <v>45</v>
      </c>
      <c r="N207" s="116">
        <v>0</v>
      </c>
      <c r="O207" s="233">
        <f t="shared" si="47"/>
        <v>0</v>
      </c>
      <c r="P207" s="233"/>
      <c r="Q207" s="47">
        <f t="shared" si="48"/>
        <v>0</v>
      </c>
      <c r="R207" s="348"/>
      <c r="S207" s="299"/>
      <c r="T207" s="299"/>
      <c r="U207" s="56"/>
      <c r="V207" s="349"/>
      <c r="W207" s="295"/>
      <c r="X207" s="350"/>
    </row>
    <row r="208" spans="1:24" ht="27.75" customHeight="1">
      <c r="A208" s="186">
        <v>39</v>
      </c>
      <c r="B208" s="40" t="s">
        <v>362</v>
      </c>
      <c r="C208" s="346" t="s">
        <v>371</v>
      </c>
      <c r="D208" s="141">
        <v>1410</v>
      </c>
      <c r="E208" s="43" t="s">
        <v>45</v>
      </c>
      <c r="F208" s="44">
        <v>0</v>
      </c>
      <c r="G208" s="45">
        <v>0</v>
      </c>
      <c r="H208" s="45"/>
      <c r="I208" s="47">
        <v>0</v>
      </c>
      <c r="J208" s="113">
        <v>45962</v>
      </c>
      <c r="K208" s="114" t="s">
        <v>692</v>
      </c>
      <c r="L208" s="347">
        <v>1410</v>
      </c>
      <c r="M208" s="94" t="s">
        <v>45</v>
      </c>
      <c r="N208" s="116">
        <v>0</v>
      </c>
      <c r="O208" s="233">
        <f t="shared" si="47"/>
        <v>0</v>
      </c>
      <c r="P208" s="233"/>
      <c r="Q208" s="47">
        <f t="shared" si="48"/>
        <v>0</v>
      </c>
      <c r="R208" s="348"/>
      <c r="S208" s="299"/>
      <c r="T208" s="299"/>
      <c r="U208" s="56"/>
      <c r="V208" s="349"/>
      <c r="W208" s="295"/>
      <c r="X208" s="350"/>
    </row>
    <row r="209" spans="1:24" ht="27.75" customHeight="1">
      <c r="A209" s="186">
        <v>40</v>
      </c>
      <c r="B209" s="40" t="s">
        <v>372</v>
      </c>
      <c r="C209" s="346" t="s">
        <v>373</v>
      </c>
      <c r="D209" s="141">
        <v>1410</v>
      </c>
      <c r="E209" s="43" t="s">
        <v>45</v>
      </c>
      <c r="F209" s="44">
        <v>0</v>
      </c>
      <c r="G209" s="45">
        <v>0</v>
      </c>
      <c r="H209" s="45"/>
      <c r="I209" s="47">
        <v>0</v>
      </c>
      <c r="J209" s="113">
        <v>45962</v>
      </c>
      <c r="K209" s="114" t="s">
        <v>693</v>
      </c>
      <c r="L209" s="347">
        <v>1410</v>
      </c>
      <c r="M209" s="94" t="s">
        <v>45</v>
      </c>
      <c r="N209" s="116">
        <v>0</v>
      </c>
      <c r="O209" s="233">
        <f t="shared" si="47"/>
        <v>0</v>
      </c>
      <c r="P209" s="233"/>
      <c r="Q209" s="47">
        <f t="shared" si="48"/>
        <v>0</v>
      </c>
      <c r="R209" s="348" t="s">
        <v>195</v>
      </c>
      <c r="S209" s="299" t="s">
        <v>307</v>
      </c>
      <c r="T209" s="299" t="s">
        <v>308</v>
      </c>
      <c r="U209" s="56">
        <v>14640</v>
      </c>
      <c r="V209" s="349" t="s">
        <v>375</v>
      </c>
      <c r="W209" s="295" t="s">
        <v>289</v>
      </c>
      <c r="X209" s="4" t="s">
        <v>376</v>
      </c>
    </row>
    <row r="210" spans="1:24" ht="27.75" customHeight="1">
      <c r="A210" s="186">
        <v>41</v>
      </c>
      <c r="B210" s="40" t="s">
        <v>372</v>
      </c>
      <c r="C210" s="346" t="s">
        <v>377</v>
      </c>
      <c r="D210" s="141">
        <v>1410</v>
      </c>
      <c r="E210" s="43" t="s">
        <v>45</v>
      </c>
      <c r="F210" s="44">
        <v>0</v>
      </c>
      <c r="G210" s="45">
        <v>0</v>
      </c>
      <c r="H210" s="45"/>
      <c r="I210" s="47">
        <v>0</v>
      </c>
      <c r="J210" s="113">
        <v>45962</v>
      </c>
      <c r="K210" s="114" t="s">
        <v>693</v>
      </c>
      <c r="L210" s="347">
        <v>1410</v>
      </c>
      <c r="M210" s="94" t="s">
        <v>45</v>
      </c>
      <c r="N210" s="116">
        <v>0</v>
      </c>
      <c r="O210" s="233">
        <f t="shared" si="47"/>
        <v>0</v>
      </c>
      <c r="P210" s="233"/>
      <c r="Q210" s="47">
        <f t="shared" si="48"/>
        <v>0</v>
      </c>
      <c r="R210" s="348"/>
      <c r="S210" s="299"/>
      <c r="T210" s="299"/>
      <c r="U210" s="56"/>
      <c r="V210" s="349"/>
      <c r="W210" s="295"/>
    </row>
    <row r="211" spans="1:24" ht="27.75" customHeight="1">
      <c r="A211" s="186">
        <v>42</v>
      </c>
      <c r="B211" s="40" t="s">
        <v>372</v>
      </c>
      <c r="C211" s="346" t="s">
        <v>378</v>
      </c>
      <c r="D211" s="141">
        <v>1410</v>
      </c>
      <c r="E211" s="43" t="s">
        <v>45</v>
      </c>
      <c r="F211" s="44">
        <v>0</v>
      </c>
      <c r="G211" s="45">
        <v>0</v>
      </c>
      <c r="H211" s="45"/>
      <c r="I211" s="47">
        <v>0</v>
      </c>
      <c r="J211" s="113">
        <v>45962</v>
      </c>
      <c r="K211" s="114" t="s">
        <v>693</v>
      </c>
      <c r="L211" s="347">
        <v>1410</v>
      </c>
      <c r="M211" s="94" t="s">
        <v>45</v>
      </c>
      <c r="N211" s="116">
        <v>0</v>
      </c>
      <c r="O211" s="233">
        <f t="shared" si="47"/>
        <v>0</v>
      </c>
      <c r="P211" s="233"/>
      <c r="Q211" s="47">
        <f t="shared" si="48"/>
        <v>0</v>
      </c>
      <c r="R211" s="348"/>
      <c r="S211" s="299"/>
      <c r="T211" s="299"/>
      <c r="U211" s="56"/>
      <c r="V211" s="349"/>
      <c r="W211" s="295"/>
    </row>
    <row r="212" spans="1:24" ht="27.75" customHeight="1">
      <c r="A212" s="186">
        <v>43</v>
      </c>
      <c r="B212" s="40" t="s">
        <v>372</v>
      </c>
      <c r="C212" s="346" t="s">
        <v>379</v>
      </c>
      <c r="D212" s="141">
        <v>1410</v>
      </c>
      <c r="E212" s="43" t="s">
        <v>45</v>
      </c>
      <c r="F212" s="44">
        <v>0</v>
      </c>
      <c r="G212" s="45">
        <v>0</v>
      </c>
      <c r="H212" s="45"/>
      <c r="I212" s="47">
        <v>0</v>
      </c>
      <c r="J212" s="113">
        <v>45962</v>
      </c>
      <c r="K212" s="114" t="s">
        <v>693</v>
      </c>
      <c r="L212" s="347">
        <v>1410</v>
      </c>
      <c r="M212" s="94" t="s">
        <v>45</v>
      </c>
      <c r="N212" s="116">
        <v>0</v>
      </c>
      <c r="O212" s="233">
        <f t="shared" si="47"/>
        <v>0</v>
      </c>
      <c r="P212" s="233"/>
      <c r="Q212" s="47">
        <f t="shared" si="48"/>
        <v>0</v>
      </c>
      <c r="R212" s="348"/>
      <c r="S212" s="299"/>
      <c r="T212" s="299"/>
      <c r="U212" s="56"/>
      <c r="V212" s="349"/>
      <c r="W212" s="295"/>
    </row>
    <row r="213" spans="1:24" ht="27.75" customHeight="1">
      <c r="A213" s="186">
        <v>44</v>
      </c>
      <c r="B213" s="40" t="s">
        <v>380</v>
      </c>
      <c r="C213" s="346" t="s">
        <v>381</v>
      </c>
      <c r="D213" s="141">
        <v>1410</v>
      </c>
      <c r="E213" s="43" t="s">
        <v>45</v>
      </c>
      <c r="F213" s="44">
        <v>0</v>
      </c>
      <c r="G213" s="45">
        <v>0</v>
      </c>
      <c r="H213" s="45"/>
      <c r="I213" s="47">
        <v>0</v>
      </c>
      <c r="J213" s="175">
        <v>45966</v>
      </c>
      <c r="K213" s="176" t="s">
        <v>694</v>
      </c>
      <c r="L213" s="222">
        <v>1410</v>
      </c>
      <c r="M213" s="94" t="s">
        <v>45</v>
      </c>
      <c r="N213" s="116">
        <v>0</v>
      </c>
      <c r="O213" s="233">
        <f t="shared" si="47"/>
        <v>0</v>
      </c>
      <c r="P213" s="233"/>
      <c r="Q213" s="47">
        <f t="shared" si="48"/>
        <v>0</v>
      </c>
      <c r="R213" s="348" t="s">
        <v>195</v>
      </c>
      <c r="S213" s="299" t="s">
        <v>307</v>
      </c>
      <c r="T213" s="299" t="s">
        <v>308</v>
      </c>
      <c r="U213" s="56">
        <v>14640</v>
      </c>
      <c r="V213" s="349" t="s">
        <v>383</v>
      </c>
      <c r="W213" s="295" t="s">
        <v>289</v>
      </c>
      <c r="X213" s="4" t="s">
        <v>384</v>
      </c>
    </row>
    <row r="214" spans="1:24" ht="27.75" customHeight="1">
      <c r="A214" s="186">
        <v>45</v>
      </c>
      <c r="B214" s="40" t="s">
        <v>380</v>
      </c>
      <c r="C214" s="346" t="s">
        <v>385</v>
      </c>
      <c r="D214" s="141">
        <v>1410</v>
      </c>
      <c r="E214" s="43" t="s">
        <v>45</v>
      </c>
      <c r="F214" s="44">
        <v>0</v>
      </c>
      <c r="G214" s="45">
        <v>0</v>
      </c>
      <c r="H214" s="45"/>
      <c r="I214" s="47">
        <v>0</v>
      </c>
      <c r="J214" s="175">
        <v>45966</v>
      </c>
      <c r="K214" s="176" t="s">
        <v>694</v>
      </c>
      <c r="L214" s="222">
        <v>1410</v>
      </c>
      <c r="M214" s="94" t="s">
        <v>45</v>
      </c>
      <c r="N214" s="116">
        <v>0</v>
      </c>
      <c r="O214" s="233">
        <f t="shared" si="47"/>
        <v>0</v>
      </c>
      <c r="P214" s="233"/>
      <c r="Q214" s="47">
        <f t="shared" si="48"/>
        <v>0</v>
      </c>
      <c r="R214" s="348"/>
      <c r="S214" s="299"/>
      <c r="T214" s="299"/>
      <c r="U214" s="56"/>
      <c r="V214" s="349"/>
      <c r="W214" s="295"/>
    </row>
    <row r="215" spans="1:24" ht="27.75" customHeight="1">
      <c r="A215" s="186">
        <v>46</v>
      </c>
      <c r="B215" s="40" t="s">
        <v>380</v>
      </c>
      <c r="C215" s="346" t="s">
        <v>386</v>
      </c>
      <c r="D215" s="141">
        <v>1410</v>
      </c>
      <c r="E215" s="43" t="s">
        <v>45</v>
      </c>
      <c r="F215" s="44">
        <v>0</v>
      </c>
      <c r="G215" s="45">
        <v>0</v>
      </c>
      <c r="H215" s="45"/>
      <c r="I215" s="47">
        <v>0</v>
      </c>
      <c r="J215" s="175">
        <v>45966</v>
      </c>
      <c r="K215" s="176" t="s">
        <v>694</v>
      </c>
      <c r="L215" s="222">
        <v>1410</v>
      </c>
      <c r="M215" s="94" t="s">
        <v>45</v>
      </c>
      <c r="N215" s="116">
        <v>0</v>
      </c>
      <c r="O215" s="233">
        <f t="shared" si="47"/>
        <v>0</v>
      </c>
      <c r="P215" s="233"/>
      <c r="Q215" s="47">
        <f t="shared" si="48"/>
        <v>0</v>
      </c>
      <c r="R215" s="348"/>
      <c r="S215" s="299"/>
      <c r="T215" s="299"/>
      <c r="U215" s="56"/>
      <c r="V215" s="349"/>
      <c r="W215" s="295"/>
    </row>
    <row r="216" spans="1:24" ht="27.75" customHeight="1">
      <c r="A216" s="186">
        <v>47</v>
      </c>
      <c r="B216" s="40" t="s">
        <v>380</v>
      </c>
      <c r="C216" s="346" t="s">
        <v>387</v>
      </c>
      <c r="D216" s="141">
        <v>1410</v>
      </c>
      <c r="E216" s="43" t="s">
        <v>45</v>
      </c>
      <c r="F216" s="44">
        <v>0</v>
      </c>
      <c r="G216" s="45">
        <v>0</v>
      </c>
      <c r="H216" s="45"/>
      <c r="I216" s="47">
        <v>0</v>
      </c>
      <c r="J216" s="175">
        <v>45966</v>
      </c>
      <c r="K216" s="176" t="s">
        <v>694</v>
      </c>
      <c r="L216" s="222">
        <v>1410</v>
      </c>
      <c r="M216" s="94" t="s">
        <v>45</v>
      </c>
      <c r="N216" s="116">
        <v>0</v>
      </c>
      <c r="O216" s="233">
        <f t="shared" si="47"/>
        <v>0</v>
      </c>
      <c r="P216" s="233"/>
      <c r="Q216" s="47">
        <f t="shared" si="48"/>
        <v>0</v>
      </c>
      <c r="R216" s="348"/>
      <c r="S216" s="299"/>
      <c r="T216" s="299"/>
      <c r="U216" s="56"/>
      <c r="V216" s="349"/>
      <c r="W216" s="295"/>
    </row>
    <row r="217" spans="1:24" ht="27.75" customHeight="1">
      <c r="A217" s="186">
        <v>48</v>
      </c>
      <c r="B217" s="351" t="s">
        <v>66</v>
      </c>
      <c r="C217" s="346" t="s">
        <v>388</v>
      </c>
      <c r="D217" s="141">
        <v>1760</v>
      </c>
      <c r="E217" s="43" t="s">
        <v>32</v>
      </c>
      <c r="F217" s="44">
        <v>1</v>
      </c>
      <c r="G217" s="45">
        <v>1760</v>
      </c>
      <c r="H217" s="45"/>
      <c r="I217" s="47">
        <v>1760</v>
      </c>
      <c r="J217" s="175" t="s">
        <v>609</v>
      </c>
      <c r="K217" s="176" t="s">
        <v>695</v>
      </c>
      <c r="L217" s="222">
        <v>3520</v>
      </c>
      <c r="M217" s="94" t="s">
        <v>45</v>
      </c>
      <c r="N217" s="116">
        <v>0</v>
      </c>
      <c r="O217" s="233">
        <f t="shared" si="47"/>
        <v>0</v>
      </c>
      <c r="P217" s="233"/>
      <c r="Q217" s="47">
        <f t="shared" si="48"/>
        <v>0</v>
      </c>
      <c r="R217" s="39" t="s">
        <v>195</v>
      </c>
      <c r="S217" s="55">
        <v>43313</v>
      </c>
      <c r="T217" s="55">
        <v>44408</v>
      </c>
      <c r="U217" s="56">
        <v>11925</v>
      </c>
      <c r="V217" s="349"/>
    </row>
    <row r="218" spans="1:24" ht="27.75" customHeight="1">
      <c r="A218" s="186">
        <v>49</v>
      </c>
      <c r="B218" s="351" t="s">
        <v>66</v>
      </c>
      <c r="C218" s="346" t="s">
        <v>390</v>
      </c>
      <c r="D218" s="141">
        <v>1760</v>
      </c>
      <c r="E218" s="43" t="s">
        <v>32</v>
      </c>
      <c r="F218" s="44">
        <v>1</v>
      </c>
      <c r="G218" s="45">
        <v>1760</v>
      </c>
      <c r="H218" s="45"/>
      <c r="I218" s="47">
        <v>1760</v>
      </c>
      <c r="J218" s="175" t="s">
        <v>609</v>
      </c>
      <c r="K218" s="176" t="s">
        <v>695</v>
      </c>
      <c r="L218" s="222">
        <v>3520</v>
      </c>
      <c r="M218" s="94" t="s">
        <v>45</v>
      </c>
      <c r="N218" s="116">
        <v>0</v>
      </c>
      <c r="O218" s="233">
        <f t="shared" si="47"/>
        <v>0</v>
      </c>
      <c r="P218" s="233"/>
      <c r="Q218" s="47">
        <f t="shared" si="48"/>
        <v>0</v>
      </c>
      <c r="R218" s="39"/>
      <c r="S218" s="55"/>
      <c r="T218" s="55"/>
      <c r="U218" s="56"/>
      <c r="V218" s="349"/>
    </row>
    <row r="219" spans="1:24" ht="27.75" customHeight="1">
      <c r="A219" s="186">
        <v>50</v>
      </c>
      <c r="B219" s="351" t="s">
        <v>66</v>
      </c>
      <c r="C219" s="346" t="s">
        <v>391</v>
      </c>
      <c r="D219" s="141">
        <v>1760</v>
      </c>
      <c r="E219" s="43" t="s">
        <v>32</v>
      </c>
      <c r="F219" s="44">
        <v>1</v>
      </c>
      <c r="G219" s="45">
        <v>1760</v>
      </c>
      <c r="H219" s="45"/>
      <c r="I219" s="47">
        <v>1760</v>
      </c>
      <c r="J219" s="175" t="s">
        <v>609</v>
      </c>
      <c r="K219" s="176" t="s">
        <v>695</v>
      </c>
      <c r="L219" s="222">
        <v>3520</v>
      </c>
      <c r="M219" s="94" t="s">
        <v>45</v>
      </c>
      <c r="N219" s="116">
        <v>0</v>
      </c>
      <c r="O219" s="233">
        <f t="shared" si="47"/>
        <v>0</v>
      </c>
      <c r="P219" s="233"/>
      <c r="Q219" s="47">
        <f t="shared" si="48"/>
        <v>0</v>
      </c>
      <c r="R219" s="39"/>
      <c r="S219" s="55"/>
      <c r="T219" s="55"/>
      <c r="U219" s="56"/>
      <c r="V219" s="349"/>
    </row>
    <row r="220" spans="1:24" ht="27.75" customHeight="1">
      <c r="A220" s="186">
        <v>51</v>
      </c>
      <c r="B220" s="351" t="s">
        <v>66</v>
      </c>
      <c r="C220" s="346" t="s">
        <v>69</v>
      </c>
      <c r="D220" s="141">
        <v>2720</v>
      </c>
      <c r="E220" s="43" t="s">
        <v>32</v>
      </c>
      <c r="F220" s="44">
        <v>1</v>
      </c>
      <c r="G220" s="45">
        <v>2720</v>
      </c>
      <c r="H220" s="45"/>
      <c r="I220" s="47">
        <v>2720</v>
      </c>
      <c r="J220" s="175" t="s">
        <v>609</v>
      </c>
      <c r="K220" s="176" t="s">
        <v>696</v>
      </c>
      <c r="L220" s="222">
        <v>5440</v>
      </c>
      <c r="M220" s="94" t="s">
        <v>45</v>
      </c>
      <c r="N220" s="116">
        <v>0</v>
      </c>
      <c r="O220" s="233">
        <f t="shared" si="47"/>
        <v>0</v>
      </c>
      <c r="P220" s="233"/>
      <c r="Q220" s="47">
        <f t="shared" si="48"/>
        <v>0</v>
      </c>
      <c r="R220" s="39" t="s">
        <v>195</v>
      </c>
      <c r="S220" s="55">
        <v>43313</v>
      </c>
      <c r="T220" s="55">
        <v>44408</v>
      </c>
      <c r="U220" s="56">
        <v>9000</v>
      </c>
      <c r="V220" s="349"/>
    </row>
    <row r="221" spans="1:24" ht="27.75" customHeight="1">
      <c r="A221" s="94"/>
      <c r="B221" s="352" t="s">
        <v>393</v>
      </c>
      <c r="C221" s="353"/>
      <c r="D221" s="296"/>
      <c r="E221" s="64"/>
      <c r="F221" s="44"/>
      <c r="G221" s="45"/>
      <c r="H221" s="45"/>
      <c r="I221" s="354"/>
      <c r="J221" s="183"/>
      <c r="K221" s="355"/>
      <c r="L221" s="231"/>
      <c r="M221" s="186"/>
      <c r="N221" s="116"/>
      <c r="O221" s="233"/>
      <c r="P221" s="233"/>
      <c r="Q221" s="17"/>
      <c r="R221" s="356"/>
      <c r="S221" s="55"/>
      <c r="T221" s="55"/>
      <c r="U221" s="56"/>
      <c r="V221" s="349"/>
    </row>
    <row r="222" spans="1:24" ht="27.75" customHeight="1">
      <c r="A222" s="94"/>
      <c r="B222" s="352" t="s">
        <v>394</v>
      </c>
      <c r="C222" s="353"/>
      <c r="D222" s="296"/>
      <c r="E222" s="64"/>
      <c r="F222" s="44"/>
      <c r="G222" s="45"/>
      <c r="H222" s="45"/>
      <c r="I222" s="354"/>
      <c r="J222" s="175"/>
      <c r="K222" s="355"/>
      <c r="L222" s="222"/>
      <c r="M222" s="186"/>
      <c r="N222" s="116"/>
      <c r="O222" s="233"/>
      <c r="P222" s="233"/>
      <c r="Q222" s="17"/>
      <c r="R222" s="356"/>
      <c r="S222" s="55"/>
      <c r="T222" s="55"/>
      <c r="U222" s="56"/>
      <c r="V222" s="349"/>
    </row>
    <row r="223" spans="1:24" ht="27.75" customHeight="1" thickBot="1">
      <c r="A223" s="357"/>
      <c r="B223" s="358"/>
      <c r="C223" s="359"/>
      <c r="D223" s="360">
        <f>SUM(D170:D222)</f>
        <v>73700</v>
      </c>
      <c r="E223" s="100"/>
      <c r="F223" s="101"/>
      <c r="G223" s="102">
        <v>0</v>
      </c>
      <c r="H223" s="102">
        <v>0</v>
      </c>
      <c r="I223" s="102">
        <v>0</v>
      </c>
      <c r="J223" s="361"/>
      <c r="K223" s="361"/>
      <c r="L223" s="362">
        <f>SUM(L170:L222)</f>
        <v>81700</v>
      </c>
      <c r="M223" s="106"/>
      <c r="N223" s="107"/>
      <c r="O223" s="363">
        <f>SUM(O170:O222)</f>
        <v>0</v>
      </c>
      <c r="P223" s="363">
        <f t="shared" ref="P223:Q223" si="49">SUM(P170:P222)</f>
        <v>0</v>
      </c>
      <c r="Q223" s="363">
        <f t="shared" si="49"/>
        <v>0</v>
      </c>
      <c r="R223" s="356"/>
      <c r="S223" s="55"/>
      <c r="T223" s="55"/>
      <c r="U223" s="56"/>
      <c r="V223" s="349"/>
    </row>
    <row r="224" spans="1:24" ht="27.75" customHeight="1" thickTop="1">
      <c r="A224" s="94"/>
      <c r="B224" s="364" t="s">
        <v>395</v>
      </c>
      <c r="C224" s="81"/>
      <c r="D224" s="192"/>
      <c r="E224" s="365"/>
      <c r="F224" s="126"/>
      <c r="G224" s="65"/>
      <c r="H224" s="65"/>
      <c r="I224" s="85"/>
      <c r="J224" s="178"/>
      <c r="K224" s="179"/>
      <c r="L224" s="264"/>
      <c r="M224" s="83"/>
      <c r="N224" s="251"/>
      <c r="O224" s="337"/>
      <c r="P224" s="337"/>
      <c r="Q224" s="85"/>
      <c r="R224" s="39"/>
      <c r="S224" s="55"/>
      <c r="T224" s="55"/>
      <c r="U224" s="56"/>
      <c r="V224" s="56"/>
    </row>
    <row r="225" spans="1:24" ht="27.75" customHeight="1">
      <c r="A225" s="94">
        <v>1</v>
      </c>
      <c r="B225" s="366" t="s">
        <v>167</v>
      </c>
      <c r="C225" s="367" t="s">
        <v>396</v>
      </c>
      <c r="D225" s="141">
        <v>22690</v>
      </c>
      <c r="E225" s="43" t="s">
        <v>45</v>
      </c>
      <c r="F225" s="44">
        <v>0</v>
      </c>
      <c r="G225" s="45">
        <v>0</v>
      </c>
      <c r="H225" s="45"/>
      <c r="I225" s="47">
        <v>0</v>
      </c>
      <c r="J225" s="175">
        <v>45966</v>
      </c>
      <c r="K225" s="176" t="s">
        <v>697</v>
      </c>
      <c r="L225" s="222">
        <v>22690</v>
      </c>
      <c r="M225" s="94" t="s">
        <v>45</v>
      </c>
      <c r="N225" s="116">
        <v>0</v>
      </c>
      <c r="O225" s="233">
        <f t="shared" ref="O225" si="50">+I225+D225-L225</f>
        <v>0</v>
      </c>
      <c r="P225" s="233"/>
      <c r="Q225" s="368">
        <f t="shared" ref="Q225" si="51">+O225+P225</f>
        <v>0</v>
      </c>
      <c r="R225" s="348" t="s">
        <v>195</v>
      </c>
      <c r="S225" s="299">
        <v>44166</v>
      </c>
      <c r="T225" s="299">
        <v>45260</v>
      </c>
      <c r="U225" s="149">
        <v>51450</v>
      </c>
      <c r="V225" s="369" t="s">
        <v>398</v>
      </c>
      <c r="W225" s="4" t="s">
        <v>399</v>
      </c>
      <c r="X225" s="4" t="s">
        <v>400</v>
      </c>
    </row>
    <row r="226" spans="1:24" ht="27.75" customHeight="1">
      <c r="A226" s="94"/>
      <c r="B226" s="366" t="s">
        <v>401</v>
      </c>
      <c r="C226" s="367" t="s">
        <v>402</v>
      </c>
      <c r="D226" s="141"/>
      <c r="E226" s="43"/>
      <c r="F226" s="44"/>
      <c r="G226" s="45"/>
      <c r="H226" s="45"/>
      <c r="I226" s="47"/>
      <c r="J226" s="175"/>
      <c r="K226" s="176"/>
      <c r="L226" s="222"/>
      <c r="M226" s="94"/>
      <c r="N226" s="116"/>
      <c r="O226" s="233"/>
      <c r="P226" s="233"/>
      <c r="Q226" s="368"/>
      <c r="R226" s="348"/>
      <c r="S226" s="299"/>
      <c r="T226" s="299"/>
      <c r="U226" s="149"/>
      <c r="V226" s="369"/>
    </row>
    <row r="227" spans="1:24" ht="27.75" customHeight="1">
      <c r="A227" s="94">
        <v>2</v>
      </c>
      <c r="B227" s="366" t="s">
        <v>24</v>
      </c>
      <c r="C227" s="367" t="s">
        <v>403</v>
      </c>
      <c r="D227" s="141">
        <v>13300</v>
      </c>
      <c r="E227" s="43" t="s">
        <v>26</v>
      </c>
      <c r="F227" s="44">
        <v>0</v>
      </c>
      <c r="G227" s="45">
        <v>0</v>
      </c>
      <c r="H227" s="45"/>
      <c r="I227" s="47">
        <v>0</v>
      </c>
      <c r="J227" s="175" t="s">
        <v>698</v>
      </c>
      <c r="K227" s="176" t="s">
        <v>699</v>
      </c>
      <c r="L227" s="222">
        <v>41895</v>
      </c>
      <c r="M227" s="94" t="s">
        <v>700</v>
      </c>
      <c r="N227" s="116">
        <v>-2.15</v>
      </c>
      <c r="O227" s="233">
        <f t="shared" ref="O227" si="52">+I227+D227-L227</f>
        <v>-28595</v>
      </c>
      <c r="P227" s="233"/>
      <c r="Q227" s="368">
        <f t="shared" ref="Q227" si="53">+O227+P227</f>
        <v>-28595</v>
      </c>
      <c r="R227" s="348" t="s">
        <v>405</v>
      </c>
      <c r="S227" s="299">
        <v>44562</v>
      </c>
      <c r="T227" s="299" t="s">
        <v>406</v>
      </c>
      <c r="U227" s="149">
        <v>34680</v>
      </c>
      <c r="V227" s="370" t="s">
        <v>407</v>
      </c>
      <c r="W227" s="295" t="s">
        <v>289</v>
      </c>
      <c r="X227" s="4" t="s">
        <v>408</v>
      </c>
    </row>
    <row r="228" spans="1:24" ht="27.75" customHeight="1">
      <c r="A228" s="94"/>
      <c r="B228" s="366" t="s">
        <v>409</v>
      </c>
      <c r="C228" s="367" t="s">
        <v>410</v>
      </c>
      <c r="D228" s="141"/>
      <c r="E228" s="43"/>
      <c r="F228" s="44"/>
      <c r="G228" s="45"/>
      <c r="H228" s="45"/>
      <c r="I228" s="47"/>
      <c r="J228" s="175"/>
      <c r="K228" s="176"/>
      <c r="L228" s="222"/>
      <c r="M228" s="94"/>
      <c r="N228" s="116"/>
      <c r="O228" s="233"/>
      <c r="P228" s="233"/>
      <c r="Q228" s="368"/>
      <c r="R228" s="348"/>
      <c r="S228" s="299"/>
      <c r="T228" s="299"/>
      <c r="U228" s="149"/>
      <c r="V228" s="370"/>
      <c r="W228" s="295"/>
    </row>
    <row r="229" spans="1:24" ht="27.75" customHeight="1">
      <c r="A229" s="94">
        <v>3</v>
      </c>
      <c r="B229" s="366" t="s">
        <v>411</v>
      </c>
      <c r="C229" s="367" t="s">
        <v>412</v>
      </c>
      <c r="D229" s="141">
        <v>5360</v>
      </c>
      <c r="E229" s="43" t="s">
        <v>45</v>
      </c>
      <c r="F229" s="44">
        <v>0</v>
      </c>
      <c r="G229" s="45">
        <v>0</v>
      </c>
      <c r="H229" s="45"/>
      <c r="I229" s="47">
        <v>0</v>
      </c>
      <c r="J229" s="175">
        <v>45966</v>
      </c>
      <c r="K229" s="176" t="s">
        <v>701</v>
      </c>
      <c r="L229" s="222">
        <v>5360</v>
      </c>
      <c r="M229" s="94" t="s">
        <v>45</v>
      </c>
      <c r="N229" s="116">
        <v>0</v>
      </c>
      <c r="O229" s="233">
        <f t="shared" ref="O229" si="54">+I229+D229-L229</f>
        <v>0</v>
      </c>
      <c r="P229" s="233"/>
      <c r="Q229" s="368">
        <f t="shared" ref="Q229" si="55">+O229+P229</f>
        <v>0</v>
      </c>
      <c r="R229" s="348" t="s">
        <v>405</v>
      </c>
      <c r="S229" s="299">
        <v>44562</v>
      </c>
      <c r="T229" s="299">
        <v>45503</v>
      </c>
      <c r="U229" s="149">
        <v>13980</v>
      </c>
      <c r="V229" s="371" t="s">
        <v>414</v>
      </c>
      <c r="W229" s="295" t="s">
        <v>289</v>
      </c>
      <c r="X229" s="4" t="s">
        <v>415</v>
      </c>
    </row>
    <row r="230" spans="1:24" ht="27.75" customHeight="1">
      <c r="A230" s="94"/>
      <c r="B230" s="366" t="s">
        <v>409</v>
      </c>
      <c r="C230" s="367" t="s">
        <v>416</v>
      </c>
      <c r="D230" s="141"/>
      <c r="E230" s="43"/>
      <c r="F230" s="44"/>
      <c r="G230" s="45"/>
      <c r="H230" s="45"/>
      <c r="I230" s="47"/>
      <c r="J230" s="175"/>
      <c r="K230" s="176"/>
      <c r="L230" s="222"/>
      <c r="N230" s="116"/>
      <c r="O230" s="233"/>
      <c r="P230" s="233"/>
      <c r="Q230" s="368"/>
      <c r="R230" s="348"/>
      <c r="S230" s="299"/>
      <c r="T230" s="299"/>
      <c r="U230" s="149"/>
      <c r="V230" s="371"/>
      <c r="W230" s="295"/>
    </row>
    <row r="231" spans="1:24" ht="27.75" customHeight="1">
      <c r="A231" s="94">
        <v>4</v>
      </c>
      <c r="B231" s="366" t="s">
        <v>417</v>
      </c>
      <c r="C231" s="367" t="s">
        <v>418</v>
      </c>
      <c r="D231" s="141">
        <v>68108.75</v>
      </c>
      <c r="E231" s="373" t="s">
        <v>75</v>
      </c>
      <c r="F231" s="374">
        <v>-0.49999992658799353</v>
      </c>
      <c r="G231" s="375">
        <v>-34054.370000000003</v>
      </c>
      <c r="H231" s="375"/>
      <c r="I231" s="376">
        <v>-34054.370000000003</v>
      </c>
      <c r="J231" s="175">
        <v>45982</v>
      </c>
      <c r="K231" s="176" t="s">
        <v>702</v>
      </c>
      <c r="L231" s="222">
        <v>68108.75</v>
      </c>
      <c r="M231" s="377" t="s">
        <v>613</v>
      </c>
      <c r="N231" s="116">
        <v>-0.49999992658799353</v>
      </c>
      <c r="O231" s="233">
        <f t="shared" ref="O231" si="56">+I231+D231-L231</f>
        <v>-34054.370000000003</v>
      </c>
      <c r="P231" s="233"/>
      <c r="Q231" s="368">
        <f t="shared" ref="Q231" si="57">+O231+P231</f>
        <v>-34054.370000000003</v>
      </c>
      <c r="R231" s="39" t="s">
        <v>195</v>
      </c>
      <c r="S231" s="55">
        <v>40072</v>
      </c>
      <c r="T231" s="55">
        <v>41167</v>
      </c>
      <c r="U231" s="56">
        <v>132250</v>
      </c>
      <c r="V231" s="378" t="s">
        <v>420</v>
      </c>
    </row>
    <row r="232" spans="1:24" ht="27.75" customHeight="1">
      <c r="A232" s="94"/>
      <c r="B232" s="366" t="s">
        <v>409</v>
      </c>
      <c r="C232" s="379"/>
      <c r="D232" s="141"/>
      <c r="E232" s="43"/>
      <c r="F232" s="44"/>
      <c r="G232" s="45">
        <v>0</v>
      </c>
      <c r="H232" s="45"/>
      <c r="I232" s="47">
        <v>0</v>
      </c>
      <c r="J232" s="175"/>
      <c r="K232" s="176"/>
      <c r="L232" s="222"/>
      <c r="M232" s="94"/>
      <c r="N232" s="116"/>
      <c r="O232" s="233">
        <f t="shared" ref="O232:O233" si="58">D232+I232-L232</f>
        <v>0</v>
      </c>
      <c r="P232" s="233"/>
      <c r="Q232" s="368">
        <f t="shared" ref="Q232:Q233" si="59">O232</f>
        <v>0</v>
      </c>
      <c r="R232" s="39"/>
      <c r="S232" s="55"/>
      <c r="T232" s="55"/>
      <c r="U232" s="56"/>
      <c r="V232" s="56"/>
    </row>
    <row r="233" spans="1:24" ht="27.75" customHeight="1">
      <c r="A233" s="94">
        <v>5</v>
      </c>
      <c r="B233" s="366" t="s">
        <v>417</v>
      </c>
      <c r="C233" s="367" t="s">
        <v>421</v>
      </c>
      <c r="D233" s="141">
        <v>4910</v>
      </c>
      <c r="E233" s="43" t="s">
        <v>45</v>
      </c>
      <c r="F233" s="44">
        <v>0</v>
      </c>
      <c r="G233" s="45">
        <v>0</v>
      </c>
      <c r="H233" s="45">
        <v>0</v>
      </c>
      <c r="I233" s="47">
        <v>0</v>
      </c>
      <c r="J233" s="175">
        <v>45962</v>
      </c>
      <c r="K233" s="176" t="s">
        <v>703</v>
      </c>
      <c r="L233" s="222">
        <v>4910</v>
      </c>
      <c r="M233" s="94" t="s">
        <v>45</v>
      </c>
      <c r="N233" s="116">
        <v>0</v>
      </c>
      <c r="O233" s="233">
        <f t="shared" si="58"/>
        <v>0</v>
      </c>
      <c r="P233" s="233">
        <v>0</v>
      </c>
      <c r="Q233" s="368">
        <f t="shared" si="59"/>
        <v>0</v>
      </c>
      <c r="R233" s="348" t="s">
        <v>195</v>
      </c>
      <c r="S233" s="299" t="s">
        <v>423</v>
      </c>
      <c r="T233" s="299" t="s">
        <v>406</v>
      </c>
      <c r="U233" s="56">
        <v>6420</v>
      </c>
      <c r="V233" s="56" t="s">
        <v>424</v>
      </c>
      <c r="W233" s="295" t="s">
        <v>289</v>
      </c>
      <c r="X233" s="4" t="s">
        <v>425</v>
      </c>
    </row>
    <row r="234" spans="1:24" ht="27.75" customHeight="1">
      <c r="A234" s="94"/>
      <c r="B234" s="366" t="s">
        <v>426</v>
      </c>
      <c r="C234" s="366" t="s">
        <v>427</v>
      </c>
      <c r="D234" s="141"/>
      <c r="E234" s="43"/>
      <c r="F234" s="44"/>
      <c r="G234" s="45"/>
      <c r="H234" s="45"/>
      <c r="I234" s="47"/>
      <c r="J234" s="175"/>
      <c r="K234" s="176"/>
      <c r="L234" s="222"/>
      <c r="M234" s="94"/>
      <c r="N234" s="116"/>
      <c r="O234" s="233"/>
      <c r="P234" s="233"/>
      <c r="Q234" s="368"/>
      <c r="R234" s="348"/>
      <c r="S234" s="299"/>
      <c r="T234" s="299"/>
      <c r="U234" s="56"/>
      <c r="V234" s="56"/>
      <c r="W234" s="295"/>
    </row>
    <row r="235" spans="1:24" ht="27.75" customHeight="1">
      <c r="A235" s="94">
        <v>6</v>
      </c>
      <c r="B235" s="366" t="s">
        <v>428</v>
      </c>
      <c r="C235" s="367" t="s">
        <v>429</v>
      </c>
      <c r="D235" s="141">
        <v>20000</v>
      </c>
      <c r="E235" s="43" t="s">
        <v>45</v>
      </c>
      <c r="F235" s="44">
        <v>0</v>
      </c>
      <c r="G235" s="45"/>
      <c r="H235" s="45"/>
      <c r="I235" s="47"/>
      <c r="J235" s="175">
        <v>45966</v>
      </c>
      <c r="K235" s="176" t="s">
        <v>704</v>
      </c>
      <c r="L235" s="222">
        <v>20000</v>
      </c>
      <c r="M235" s="94" t="s">
        <v>45</v>
      </c>
      <c r="N235" s="116">
        <v>0</v>
      </c>
      <c r="O235" s="233"/>
      <c r="P235" s="233"/>
      <c r="Q235" s="368"/>
      <c r="R235" s="348"/>
      <c r="S235" s="299"/>
      <c r="T235" s="299"/>
      <c r="U235" s="56"/>
      <c r="V235" s="56"/>
      <c r="W235" s="295"/>
    </row>
    <row r="236" spans="1:24" ht="27.75" customHeight="1">
      <c r="A236" s="94"/>
      <c r="B236" s="366" t="s">
        <v>431</v>
      </c>
      <c r="C236" s="366" t="s">
        <v>432</v>
      </c>
      <c r="D236" s="141"/>
      <c r="E236" s="43"/>
      <c r="F236" s="44"/>
      <c r="G236" s="45"/>
      <c r="H236" s="45"/>
      <c r="I236" s="47"/>
      <c r="J236" s="175"/>
      <c r="K236" s="176"/>
      <c r="L236" s="222"/>
      <c r="M236" s="94"/>
      <c r="N236" s="116"/>
      <c r="O236" s="233"/>
      <c r="P236" s="233"/>
      <c r="Q236" s="47"/>
      <c r="R236" s="39"/>
      <c r="S236" s="55"/>
      <c r="T236" s="55"/>
      <c r="U236" s="56"/>
      <c r="V236" s="56"/>
    </row>
    <row r="237" spans="1:24" ht="27.75" customHeight="1" thickBot="1">
      <c r="A237" s="193"/>
      <c r="B237" s="194" t="s">
        <v>22</v>
      </c>
      <c r="C237" s="195"/>
      <c r="D237" s="196">
        <f>SUM(D225:D236)</f>
        <v>134368.75</v>
      </c>
      <c r="E237" s="221"/>
      <c r="F237" s="197"/>
      <c r="G237" s="198">
        <v>0</v>
      </c>
      <c r="H237" s="198"/>
      <c r="I237" s="198">
        <v>0</v>
      </c>
      <c r="J237" s="199"/>
      <c r="K237" s="199"/>
      <c r="L237" s="196">
        <f>SUM(L225:L236)</f>
        <v>162963.75</v>
      </c>
      <c r="M237" s="200"/>
      <c r="N237" s="196"/>
      <c r="O237" s="198">
        <v>0</v>
      </c>
      <c r="P237" s="198"/>
      <c r="Q237" s="198">
        <v>0</v>
      </c>
      <c r="R237" s="36"/>
      <c r="S237" s="37"/>
      <c r="T237" s="37"/>
      <c r="U237" s="38"/>
      <c r="V237" s="38"/>
      <c r="W237" s="38"/>
    </row>
    <row r="238" spans="1:24" ht="27.75" customHeight="1" thickTop="1">
      <c r="A238" s="22"/>
      <c r="B238" s="288" t="s">
        <v>433</v>
      </c>
      <c r="C238" s="380"/>
      <c r="D238" s="284"/>
      <c r="E238" s="273"/>
      <c r="F238" s="274"/>
      <c r="G238" s="381"/>
      <c r="H238" s="381"/>
      <c r="I238" s="381"/>
      <c r="J238" s="382"/>
      <c r="K238" s="382"/>
      <c r="L238" s="383"/>
      <c r="M238" s="384"/>
      <c r="N238" s="284"/>
      <c r="O238" s="381"/>
      <c r="P238" s="381"/>
      <c r="Q238" s="381"/>
      <c r="R238" s="36"/>
      <c r="S238" s="37"/>
      <c r="T238" s="37"/>
      <c r="U238" s="38"/>
      <c r="V238" s="38"/>
      <c r="W238" s="38"/>
    </row>
    <row r="239" spans="1:24" ht="27.75" customHeight="1">
      <c r="A239" s="22">
        <v>1</v>
      </c>
      <c r="B239" s="270" t="s">
        <v>434</v>
      </c>
      <c r="C239" s="380" t="s">
        <v>435</v>
      </c>
      <c r="D239" s="284">
        <v>0</v>
      </c>
      <c r="E239" s="273"/>
      <c r="F239" s="274"/>
      <c r="G239" s="381">
        <v>-6.3664629124104977E-12</v>
      </c>
      <c r="H239" s="381"/>
      <c r="I239" s="381">
        <v>-6.3664629124104977E-12</v>
      </c>
      <c r="J239" s="385"/>
      <c r="K239" s="386"/>
      <c r="L239" s="383"/>
      <c r="M239" s="387"/>
      <c r="N239" s="116"/>
      <c r="O239" s="388">
        <f>D239+I239-L239</f>
        <v>-6.3664629124104977E-12</v>
      </c>
      <c r="P239" s="388"/>
      <c r="Q239" s="376">
        <f>O239</f>
        <v>-6.3664629124104977E-12</v>
      </c>
      <c r="R239" s="36"/>
      <c r="S239" s="37"/>
      <c r="T239" s="37"/>
      <c r="U239" s="38"/>
      <c r="V239" s="38"/>
      <c r="W239" s="38"/>
    </row>
    <row r="240" spans="1:24" ht="27.75" customHeight="1">
      <c r="A240" s="22"/>
      <c r="B240" s="270" t="s">
        <v>436</v>
      </c>
      <c r="C240" s="380" t="s">
        <v>437</v>
      </c>
      <c r="D240" s="284"/>
      <c r="E240" s="384"/>
      <c r="F240" s="274"/>
      <c r="G240" s="381"/>
      <c r="H240" s="381"/>
      <c r="I240" s="381"/>
      <c r="J240" s="382"/>
      <c r="K240" s="382"/>
      <c r="L240" s="383"/>
      <c r="M240" s="384"/>
      <c r="N240" s="284"/>
      <c r="O240" s="381"/>
      <c r="P240" s="381"/>
      <c r="Q240" s="381"/>
      <c r="R240" s="36"/>
      <c r="S240" s="37"/>
      <c r="T240" s="37"/>
      <c r="U240" s="38"/>
      <c r="V240" s="38"/>
      <c r="W240" s="38"/>
    </row>
    <row r="241" spans="1:25" ht="27.75" customHeight="1">
      <c r="A241" s="22">
        <v>2</v>
      </c>
      <c r="B241" s="270" t="s">
        <v>438</v>
      </c>
      <c r="C241" s="380" t="s">
        <v>439</v>
      </c>
      <c r="D241" s="284">
        <v>1500</v>
      </c>
      <c r="E241" s="384"/>
      <c r="F241" s="274"/>
      <c r="G241" s="381">
        <v>0</v>
      </c>
      <c r="H241" s="381">
        <v>0</v>
      </c>
      <c r="I241" s="381">
        <v>0</v>
      </c>
      <c r="J241" s="389">
        <v>45966</v>
      </c>
      <c r="K241" s="386" t="s">
        <v>705</v>
      </c>
      <c r="L241" s="383">
        <v>1500</v>
      </c>
      <c r="M241" s="390"/>
      <c r="N241" s="391"/>
      <c r="O241" s="381">
        <f>SUM(D241+G241-L241)</f>
        <v>0</v>
      </c>
      <c r="P241" s="381">
        <v>0</v>
      </c>
      <c r="Q241" s="381">
        <f>SUM(O241)</f>
        <v>0</v>
      </c>
      <c r="R241" s="36"/>
      <c r="S241" s="37"/>
      <c r="T241" s="37"/>
      <c r="U241" s="38"/>
      <c r="V241" s="38"/>
      <c r="W241" s="38"/>
    </row>
    <row r="242" spans="1:25" ht="27.75" customHeight="1" thickBot="1">
      <c r="A242" s="193"/>
      <c r="B242" s="194" t="s">
        <v>22</v>
      </c>
      <c r="C242" s="195"/>
      <c r="D242" s="196">
        <f>SUM(D239:D241)</f>
        <v>1500</v>
      </c>
      <c r="E242" s="221">
        <v>0</v>
      </c>
      <c r="F242" s="197"/>
      <c r="G242" s="392">
        <v>0</v>
      </c>
      <c r="H242" s="392">
        <v>0</v>
      </c>
      <c r="I242" s="392">
        <v>0</v>
      </c>
      <c r="J242" s="393">
        <v>0</v>
      </c>
      <c r="K242" s="393">
        <v>0</v>
      </c>
      <c r="L242" s="394">
        <f>SUM(L239:L241)</f>
        <v>1500</v>
      </c>
      <c r="M242" s="395"/>
      <c r="N242" s="392"/>
      <c r="O242" s="392">
        <f>SUM(O239:O241)</f>
        <v>-6.3664629124104977E-12</v>
      </c>
      <c r="P242" s="392">
        <f t="shared" ref="P242:Q242" si="60">SUM(P239:P241)</f>
        <v>0</v>
      </c>
      <c r="Q242" s="392">
        <f t="shared" si="60"/>
        <v>-6.3664629124104977E-12</v>
      </c>
      <c r="R242" s="36"/>
      <c r="S242" s="37"/>
      <c r="T242" s="37"/>
      <c r="U242" s="38"/>
      <c r="V242" s="38"/>
      <c r="W242" s="38"/>
    </row>
    <row r="243" spans="1:25" ht="27.75" customHeight="1" thickTop="1">
      <c r="A243" s="22"/>
      <c r="B243" s="288" t="s">
        <v>441</v>
      </c>
      <c r="C243" s="289"/>
      <c r="D243" s="272"/>
      <c r="E243" s="201"/>
      <c r="F243" s="281"/>
      <c r="G243" s="290"/>
      <c r="H243" s="290"/>
      <c r="I243" s="290"/>
      <c r="J243" s="291"/>
      <c r="K243" s="292"/>
      <c r="L243" s="222"/>
      <c r="M243" s="94"/>
      <c r="N243" s="39"/>
      <c r="O243" s="293"/>
      <c r="P243" s="293"/>
      <c r="Q243" s="294"/>
      <c r="R243" s="36"/>
      <c r="S243" s="37"/>
      <c r="T243" s="37"/>
      <c r="U243" s="38"/>
      <c r="V243" s="38"/>
      <c r="W243" s="38"/>
    </row>
    <row r="244" spans="1:25" ht="27.75" customHeight="1">
      <c r="A244" s="94">
        <v>1</v>
      </c>
      <c r="B244" s="40" t="s">
        <v>442</v>
      </c>
      <c r="C244" s="206" t="s">
        <v>443</v>
      </c>
      <c r="D244" s="296">
        <v>98948</v>
      </c>
      <c r="E244" s="43" t="s">
        <v>535</v>
      </c>
      <c r="F244" s="44">
        <v>-11</v>
      </c>
      <c r="G244" s="45">
        <v>-1088428</v>
      </c>
      <c r="H244" s="45"/>
      <c r="I244" s="47">
        <v>-1088428</v>
      </c>
      <c r="J244" s="175"/>
      <c r="K244" s="176"/>
      <c r="L244" s="222"/>
      <c r="M244" s="387" t="s">
        <v>641</v>
      </c>
      <c r="N244" s="116">
        <v>-10</v>
      </c>
      <c r="O244" s="233">
        <f t="shared" ref="O244" si="61">Q244</f>
        <v>-989480</v>
      </c>
      <c r="P244" s="233"/>
      <c r="Q244" s="376">
        <f>D244+I244-L244</f>
        <v>-989480</v>
      </c>
      <c r="R244" s="39" t="s">
        <v>446</v>
      </c>
      <c r="S244" s="55">
        <v>43952</v>
      </c>
      <c r="T244" s="55">
        <v>44561</v>
      </c>
      <c r="U244" s="56">
        <v>1032500</v>
      </c>
      <c r="V244" s="56" t="s">
        <v>447</v>
      </c>
    </row>
    <row r="245" spans="1:25" ht="27.75" customHeight="1">
      <c r="A245" s="94"/>
      <c r="B245" s="396" t="s">
        <v>448</v>
      </c>
      <c r="C245" s="206" t="s">
        <v>449</v>
      </c>
      <c r="D245" s="296"/>
      <c r="E245" s="64"/>
      <c r="F245" s="44"/>
      <c r="G245" s="45"/>
      <c r="H245" s="45"/>
      <c r="I245" s="47"/>
      <c r="J245" s="183"/>
      <c r="K245" s="184"/>
      <c r="L245" s="231"/>
      <c r="M245" s="186"/>
      <c r="N245" s="116"/>
      <c r="O245" s="233"/>
      <c r="P245" s="233"/>
      <c r="Q245" s="376"/>
      <c r="R245" s="297"/>
      <c r="S245" s="298"/>
      <c r="T245" s="298"/>
      <c r="U245" s="397"/>
      <c r="V245" s="397"/>
    </row>
    <row r="246" spans="1:25" ht="27.75" customHeight="1">
      <c r="A246" s="94"/>
      <c r="B246" s="396"/>
      <c r="C246" s="398" t="s">
        <v>450</v>
      </c>
      <c r="D246" s="296"/>
      <c r="E246" s="64"/>
      <c r="F246" s="44"/>
      <c r="G246" s="45"/>
      <c r="H246" s="45"/>
      <c r="I246" s="47"/>
      <c r="J246" s="183"/>
      <c r="K246" s="184"/>
      <c r="L246" s="231"/>
      <c r="M246" s="186"/>
      <c r="N246" s="116"/>
      <c r="O246" s="233"/>
      <c r="P246" s="233"/>
      <c r="Q246" s="376"/>
      <c r="R246" s="297"/>
      <c r="S246" s="298"/>
      <c r="T246" s="298"/>
      <c r="U246" s="397"/>
      <c r="V246" s="397"/>
    </row>
    <row r="247" spans="1:25" ht="27.75" customHeight="1">
      <c r="A247" s="94">
        <v>2</v>
      </c>
      <c r="B247" s="205" t="s">
        <v>451</v>
      </c>
      <c r="C247" s="206" t="s">
        <v>452</v>
      </c>
      <c r="D247" s="296">
        <v>48779</v>
      </c>
      <c r="E247" s="64" t="s">
        <v>594</v>
      </c>
      <c r="F247" s="44">
        <v>-12.738945037823653</v>
      </c>
      <c r="G247" s="45">
        <v>-621393</v>
      </c>
      <c r="H247" s="45"/>
      <c r="I247" s="47">
        <v>-621393</v>
      </c>
      <c r="J247" s="183"/>
      <c r="K247" s="184"/>
      <c r="L247" s="231"/>
      <c r="M247" s="399" t="s">
        <v>706</v>
      </c>
      <c r="N247" s="116">
        <v>-12</v>
      </c>
      <c r="O247" s="233">
        <f t="shared" ref="O247" si="62">Q247</f>
        <v>-572614</v>
      </c>
      <c r="P247" s="233"/>
      <c r="Q247" s="368">
        <f>D247+I247-L247</f>
        <v>-572614</v>
      </c>
      <c r="R247" s="172" t="s">
        <v>456</v>
      </c>
      <c r="S247" s="400" t="s">
        <v>457</v>
      </c>
      <c r="T247" s="400" t="s">
        <v>458</v>
      </c>
      <c r="U247" s="401">
        <v>442600</v>
      </c>
      <c r="V247" s="401" t="s">
        <v>459</v>
      </c>
    </row>
    <row r="248" spans="1:25" ht="27.75" customHeight="1">
      <c r="A248" s="232"/>
      <c r="B248" s="402" t="s">
        <v>460</v>
      </c>
      <c r="C248" s="206" t="s">
        <v>461</v>
      </c>
      <c r="D248" s="296"/>
      <c r="E248" s="64"/>
      <c r="F248" s="44"/>
      <c r="G248" s="45"/>
      <c r="H248" s="45"/>
      <c r="I248" s="47"/>
      <c r="J248" s="183"/>
      <c r="K248" s="184"/>
      <c r="L248" s="231"/>
      <c r="M248" s="186"/>
      <c r="N248" s="116"/>
      <c r="O248" s="233"/>
      <c r="P248" s="233"/>
      <c r="Q248" s="403"/>
      <c r="R248" s="172"/>
      <c r="S248" s="400"/>
      <c r="T248" s="400"/>
      <c r="U248" s="401"/>
      <c r="V248" s="401"/>
    </row>
    <row r="249" spans="1:25" ht="27.75" customHeight="1">
      <c r="A249" s="186"/>
      <c r="B249" s="404" t="s">
        <v>448</v>
      </c>
      <c r="C249" s="206" t="s">
        <v>462</v>
      </c>
      <c r="D249" s="296"/>
      <c r="E249" s="64"/>
      <c r="F249" s="44"/>
      <c r="G249" s="45"/>
      <c r="H249" s="45"/>
      <c r="I249" s="66"/>
      <c r="J249" s="183"/>
      <c r="K249" s="184"/>
      <c r="L249" s="231"/>
      <c r="M249" s="186"/>
      <c r="N249" s="116"/>
      <c r="O249" s="233"/>
      <c r="P249" s="233"/>
      <c r="Q249" s="403"/>
      <c r="R249" s="146" t="s">
        <v>463</v>
      </c>
      <c r="S249" s="148" t="s">
        <v>464</v>
      </c>
      <c r="T249" s="148" t="s">
        <v>465</v>
      </c>
      <c r="U249" s="149">
        <v>46000</v>
      </c>
      <c r="V249" s="149" t="s">
        <v>466</v>
      </c>
      <c r="W249" s="295" t="s">
        <v>289</v>
      </c>
      <c r="X249" s="4" t="s">
        <v>467</v>
      </c>
    </row>
    <row r="250" spans="1:25" ht="27.75" customHeight="1">
      <c r="A250" s="405"/>
      <c r="B250" s="406" t="s">
        <v>22</v>
      </c>
      <c r="C250" s="407"/>
      <c r="D250" s="408">
        <f>SUM(D244:D249)</f>
        <v>147727</v>
      </c>
      <c r="E250" s="409"/>
      <c r="F250" s="410"/>
      <c r="G250" s="239">
        <f>SUM(G244:G249)</f>
        <v>-1709821</v>
      </c>
      <c r="H250" s="239">
        <f t="shared" ref="H250:I250" si="63">SUM(H244:H249)</f>
        <v>0</v>
      </c>
      <c r="I250" s="239">
        <f t="shared" si="63"/>
        <v>-1709821</v>
      </c>
      <c r="J250" s="411"/>
      <c r="K250" s="411"/>
      <c r="L250" s="408">
        <f>SUM(L244:L247)</f>
        <v>0</v>
      </c>
      <c r="M250" s="412"/>
      <c r="N250" s="408"/>
      <c r="O250" s="239"/>
      <c r="P250" s="239">
        <f>SUM(P247:P249)</f>
        <v>0</v>
      </c>
      <c r="Q250" s="239"/>
      <c r="R250" s="278"/>
      <c r="S250" s="279"/>
      <c r="T250" s="279"/>
      <c r="U250" s="413"/>
      <c r="V250" s="413"/>
      <c r="W250" s="413"/>
    </row>
    <row r="251" spans="1:25" ht="27.75" customHeight="1" thickBot="1">
      <c r="A251" s="414"/>
      <c r="B251" s="415"/>
      <c r="C251" s="416" t="s">
        <v>468</v>
      </c>
      <c r="D251" s="417"/>
      <c r="E251" s="418"/>
      <c r="F251" s="419"/>
      <c r="G251" s="420">
        <f>SUM(G250+G242+G237+G223+G167+G156+G139+G123+G109+G93+G90+G83+G31+G27+G24)</f>
        <v>-1670350.8429906543</v>
      </c>
      <c r="H251" s="420">
        <f>SUM(H250+H242+H237+H223+H167+H156+H139+H123+H109+H93+H90+H83+H31+H27+H24)</f>
        <v>2762.91</v>
      </c>
      <c r="I251" s="420">
        <f>SUM(I250+I242+I237+I223+I167+I156+I139+I123+I109+I93+I90+I83+I31+I27+I24)</f>
        <v>-1667587.9329906541</v>
      </c>
      <c r="J251" s="421"/>
      <c r="K251" s="421"/>
      <c r="L251" s="422">
        <f>SUM(L250+L242+L237+L223+L167+L156+L139+L123+L109+L93+L90+L83+L31+L27+L24)</f>
        <v>1040633.4199999999</v>
      </c>
      <c r="M251" s="423"/>
      <c r="N251" s="422"/>
      <c r="O251" s="420">
        <f>SUM(O250+O242+O237+O223+O167+O156+O139+O123+O109+O93+O90+O83+O31+O27+O24)</f>
        <v>20322.082242990644</v>
      </c>
      <c r="P251" s="420">
        <f>SUM(P250+P242+P237+P223+P167+P156+P139+P123+P109+P93+P90+P83+P31+P27+P24)</f>
        <v>1422.55</v>
      </c>
      <c r="Q251" s="420">
        <f>SUM(Q250+Q242+Q237+Q223+Q167+Q156+Q139+Q123+Q109+Q93+Q90+Q83+Q31+Q27+Q24)</f>
        <v>21744.632242990643</v>
      </c>
      <c r="R251" s="424"/>
      <c r="S251" s="425"/>
      <c r="T251" s="425"/>
      <c r="U251" s="345"/>
      <c r="V251" s="345"/>
      <c r="W251" s="345"/>
    </row>
    <row r="252" spans="1:25" ht="27.75" customHeight="1" thickTop="1">
      <c r="A252" s="426"/>
      <c r="B252" s="4"/>
      <c r="C252" s="295"/>
      <c r="D252" s="427"/>
      <c r="E252" s="428"/>
      <c r="F252" s="429"/>
      <c r="G252" s="430"/>
      <c r="H252" s="430"/>
      <c r="I252" s="430"/>
      <c r="J252" s="431"/>
      <c r="K252" s="432"/>
      <c r="L252" s="427"/>
      <c r="M252" s="433"/>
      <c r="N252" s="427"/>
      <c r="O252" s="430"/>
      <c r="P252" s="430"/>
      <c r="Q252" s="430"/>
      <c r="R252" s="424"/>
      <c r="S252" s="425"/>
      <c r="T252" s="425"/>
      <c r="U252" s="345"/>
      <c r="V252" s="345"/>
      <c r="W252" s="345"/>
    </row>
    <row r="253" spans="1:25" ht="27.75" customHeight="1">
      <c r="A253" s="426"/>
      <c r="B253" s="434" t="s">
        <v>469</v>
      </c>
      <c r="C253" s="295"/>
      <c r="D253" s="427"/>
      <c r="E253" s="428"/>
      <c r="F253" s="429"/>
      <c r="G253" s="430"/>
      <c r="H253" s="430"/>
      <c r="I253" s="430"/>
      <c r="J253" s="431"/>
      <c r="K253" s="432"/>
      <c r="L253" s="427"/>
      <c r="M253" s="433"/>
      <c r="N253" s="427"/>
      <c r="O253" s="430"/>
      <c r="P253" s="430"/>
      <c r="Q253" s="430"/>
      <c r="R253" s="424"/>
      <c r="S253" s="425"/>
      <c r="T253" s="425"/>
      <c r="U253" s="345"/>
      <c r="V253" s="345"/>
      <c r="W253" s="345"/>
    </row>
    <row r="254" spans="1:25" ht="27.75" customHeight="1">
      <c r="A254" s="435">
        <v>1</v>
      </c>
      <c r="B254" s="436" t="s">
        <v>470</v>
      </c>
      <c r="C254" s="437" t="s">
        <v>471</v>
      </c>
      <c r="D254" s="438" t="s">
        <v>472</v>
      </c>
      <c r="E254" s="439" t="s">
        <v>473</v>
      </c>
      <c r="F254" s="440">
        <v>21</v>
      </c>
      <c r="G254" s="15">
        <v>361288.35</v>
      </c>
      <c r="H254" s="15"/>
      <c r="I254" s="17">
        <v>361288.35</v>
      </c>
      <c r="J254" s="441"/>
      <c r="K254" s="442"/>
      <c r="L254" s="443"/>
      <c r="M254" s="435" t="s">
        <v>473</v>
      </c>
      <c r="N254" s="444">
        <v>21</v>
      </c>
      <c r="O254" s="445">
        <f>SUM(G254-L254)</f>
        <v>361288.35</v>
      </c>
      <c r="P254" s="19"/>
      <c r="Q254" s="17">
        <f>SUM(O254)</f>
        <v>361288.35</v>
      </c>
      <c r="R254" s="251" t="s">
        <v>195</v>
      </c>
      <c r="S254" s="446">
        <v>41883</v>
      </c>
      <c r="T254" s="446">
        <v>42978</v>
      </c>
      <c r="U254" s="447">
        <v>90000</v>
      </c>
      <c r="V254" s="447" t="s">
        <v>474</v>
      </c>
      <c r="Y254" s="4" t="s">
        <v>475</v>
      </c>
    </row>
    <row r="255" spans="1:25" ht="27.75" customHeight="1">
      <c r="A255" s="435"/>
      <c r="B255" s="436" t="s">
        <v>476</v>
      </c>
      <c r="C255" s="437"/>
      <c r="D255" s="448"/>
      <c r="E255" s="439"/>
      <c r="F255" s="440"/>
      <c r="G255" s="15"/>
      <c r="H255" s="15"/>
      <c r="I255" s="17"/>
      <c r="J255" s="441"/>
      <c r="K255" s="442"/>
      <c r="L255" s="443"/>
      <c r="M255" s="435"/>
      <c r="N255" s="444"/>
      <c r="O255" s="445">
        <f t="shared" ref="O255:O261" si="64">SUM(G255-L255)</f>
        <v>0</v>
      </c>
      <c r="P255" s="19"/>
      <c r="Q255" s="17">
        <f t="shared" ref="Q255:Q261" si="65">SUM(O255)</f>
        <v>0</v>
      </c>
      <c r="R255" s="116"/>
      <c r="S255" s="203"/>
      <c r="T255" s="203"/>
      <c r="U255" s="204"/>
      <c r="V255" s="204"/>
    </row>
    <row r="256" spans="1:25" ht="27.75" customHeight="1">
      <c r="A256" s="435"/>
      <c r="B256" s="674" t="s">
        <v>477</v>
      </c>
      <c r="C256" s="675"/>
      <c r="D256" s="682"/>
      <c r="E256" s="439"/>
      <c r="F256" s="440"/>
      <c r="G256" s="15"/>
      <c r="H256" s="15"/>
      <c r="I256" s="17"/>
      <c r="J256" s="441"/>
      <c r="K256" s="442"/>
      <c r="L256" s="443"/>
      <c r="M256" s="435"/>
      <c r="N256" s="444"/>
      <c r="O256" s="445">
        <f t="shared" si="64"/>
        <v>0</v>
      </c>
      <c r="P256" s="19"/>
      <c r="Q256" s="17">
        <f t="shared" si="65"/>
        <v>0</v>
      </c>
      <c r="R256" s="116"/>
      <c r="S256" s="203"/>
      <c r="T256" s="203"/>
      <c r="U256" s="204"/>
      <c r="V256" s="204"/>
    </row>
    <row r="257" spans="1:25" ht="27.75" customHeight="1">
      <c r="A257" s="435">
        <v>2</v>
      </c>
      <c r="B257" s="450" t="s">
        <v>470</v>
      </c>
      <c r="C257" s="451" t="s">
        <v>478</v>
      </c>
      <c r="D257" s="449"/>
      <c r="E257" s="439" t="s">
        <v>479</v>
      </c>
      <c r="F257" s="440">
        <v>6</v>
      </c>
      <c r="G257" s="15">
        <v>96700.72</v>
      </c>
      <c r="H257" s="15"/>
      <c r="I257" s="17">
        <v>96700.72</v>
      </c>
      <c r="J257" s="441"/>
      <c r="K257" s="442"/>
      <c r="L257" s="443"/>
      <c r="M257" s="435" t="s">
        <v>479</v>
      </c>
      <c r="N257" s="444">
        <v>6</v>
      </c>
      <c r="O257" s="445">
        <f t="shared" si="64"/>
        <v>96700.72</v>
      </c>
      <c r="P257" s="19"/>
      <c r="Q257" s="17">
        <f t="shared" si="65"/>
        <v>96700.72</v>
      </c>
      <c r="R257" s="116"/>
      <c r="S257" s="203"/>
      <c r="T257" s="203"/>
      <c r="U257" s="204"/>
      <c r="V257" s="204"/>
      <c r="Y257" s="4" t="s">
        <v>475</v>
      </c>
    </row>
    <row r="258" spans="1:25" ht="27.75" customHeight="1">
      <c r="A258" s="435">
        <v>3</v>
      </c>
      <c r="B258" s="450" t="s">
        <v>470</v>
      </c>
      <c r="C258" s="451" t="s">
        <v>480</v>
      </c>
      <c r="D258" s="452"/>
      <c r="E258" s="439" t="s">
        <v>481</v>
      </c>
      <c r="F258" s="440">
        <v>16</v>
      </c>
      <c r="G258" s="15">
        <v>285799.45</v>
      </c>
      <c r="H258" s="15"/>
      <c r="I258" s="17">
        <v>285799.45</v>
      </c>
      <c r="J258" s="441"/>
      <c r="K258" s="442"/>
      <c r="L258" s="443"/>
      <c r="M258" s="435" t="s">
        <v>481</v>
      </c>
      <c r="N258" s="444">
        <v>16</v>
      </c>
      <c r="O258" s="445">
        <f t="shared" si="64"/>
        <v>285799.45</v>
      </c>
      <c r="P258" s="19"/>
      <c r="Q258" s="17">
        <f t="shared" si="65"/>
        <v>285799.45</v>
      </c>
      <c r="R258" s="116"/>
      <c r="S258" s="203"/>
      <c r="T258" s="203"/>
      <c r="U258" s="204"/>
      <c r="V258" s="204"/>
      <c r="Y258" s="4" t="s">
        <v>475</v>
      </c>
    </row>
    <row r="259" spans="1:25" s="226" customFormat="1" ht="27.75" customHeight="1">
      <c r="A259" s="440">
        <v>4</v>
      </c>
      <c r="B259" s="436" t="s">
        <v>470</v>
      </c>
      <c r="C259" s="453" t="s">
        <v>482</v>
      </c>
      <c r="D259" s="454" t="s">
        <v>472</v>
      </c>
      <c r="E259" s="455" t="s">
        <v>483</v>
      </c>
      <c r="F259" s="456" t="s">
        <v>195</v>
      </c>
      <c r="G259" s="17">
        <v>57055.05</v>
      </c>
      <c r="H259" s="17"/>
      <c r="I259" s="17">
        <v>57055.05</v>
      </c>
      <c r="J259" s="441"/>
      <c r="K259" s="457"/>
      <c r="L259" s="458"/>
      <c r="M259" s="435" t="s">
        <v>483</v>
      </c>
      <c r="N259" s="448" t="s">
        <v>195</v>
      </c>
      <c r="O259" s="445">
        <f t="shared" si="64"/>
        <v>57055.05</v>
      </c>
      <c r="P259" s="17"/>
      <c r="Q259" s="17">
        <f t="shared" si="65"/>
        <v>57055.05</v>
      </c>
      <c r="R259" s="39"/>
      <c r="S259" s="55"/>
      <c r="T259" s="55"/>
      <c r="U259" s="141"/>
      <c r="V259" s="141"/>
      <c r="Y259" s="4" t="s">
        <v>475</v>
      </c>
    </row>
    <row r="260" spans="1:25" s="226" customFormat="1" ht="27.75" customHeight="1">
      <c r="A260" s="440"/>
      <c r="B260" s="676" t="s">
        <v>484</v>
      </c>
      <c r="C260" s="677"/>
      <c r="D260" s="683"/>
      <c r="E260" s="455"/>
      <c r="F260" s="456"/>
      <c r="G260" s="17"/>
      <c r="H260" s="17"/>
      <c r="I260" s="17"/>
      <c r="J260" s="441"/>
      <c r="K260" s="457"/>
      <c r="L260" s="458"/>
      <c r="M260" s="435"/>
      <c r="N260" s="448"/>
      <c r="O260" s="445">
        <f t="shared" si="64"/>
        <v>0</v>
      </c>
      <c r="P260" s="17"/>
      <c r="Q260" s="17">
        <f t="shared" si="65"/>
        <v>0</v>
      </c>
      <c r="R260" s="122"/>
      <c r="S260" s="37"/>
      <c r="T260" s="37"/>
      <c r="U260" s="459"/>
      <c r="V260" s="459"/>
      <c r="Y260" s="4" t="s">
        <v>475</v>
      </c>
    </row>
    <row r="261" spans="1:25" ht="27.75" customHeight="1">
      <c r="A261" s="460">
        <v>5</v>
      </c>
      <c r="B261" s="436" t="s">
        <v>470</v>
      </c>
      <c r="C261" s="461" t="s">
        <v>485</v>
      </c>
      <c r="D261" s="454"/>
      <c r="E261" s="455" t="s">
        <v>486</v>
      </c>
      <c r="F261" s="462" t="s">
        <v>195</v>
      </c>
      <c r="G261" s="17">
        <v>28958.15</v>
      </c>
      <c r="H261" s="15"/>
      <c r="I261" s="17">
        <v>28958.15</v>
      </c>
      <c r="J261" s="441" t="s">
        <v>487</v>
      </c>
      <c r="K261" s="463"/>
      <c r="L261" s="443"/>
      <c r="M261" s="435" t="s">
        <v>486</v>
      </c>
      <c r="N261" s="464" t="s">
        <v>195</v>
      </c>
      <c r="O261" s="445">
        <f t="shared" si="64"/>
        <v>28958.15</v>
      </c>
      <c r="P261" s="21"/>
      <c r="Q261" s="17">
        <f t="shared" si="65"/>
        <v>28958.15</v>
      </c>
      <c r="R261" s="36"/>
      <c r="S261" s="37"/>
      <c r="T261" s="37"/>
      <c r="U261" s="38"/>
      <c r="V261" s="38"/>
      <c r="W261" s="38"/>
      <c r="Y261" s="4" t="s">
        <v>475</v>
      </c>
    </row>
    <row r="262" spans="1:25" ht="27.6" customHeight="1">
      <c r="A262" s="460"/>
      <c r="B262" s="436" t="s">
        <v>488</v>
      </c>
      <c r="C262" s="461"/>
      <c r="D262" s="454"/>
      <c r="E262" s="448"/>
      <c r="F262" s="462"/>
      <c r="G262" s="17"/>
      <c r="H262" s="15"/>
      <c r="I262" s="17"/>
      <c r="J262" s="441"/>
      <c r="K262" s="463"/>
      <c r="L262" s="443"/>
      <c r="M262" s="435"/>
      <c r="N262" s="444"/>
      <c r="O262" s="17"/>
      <c r="P262" s="21"/>
      <c r="Q262" s="17"/>
      <c r="R262" s="36"/>
      <c r="S262" s="37"/>
      <c r="T262" s="37"/>
      <c r="U262" s="38"/>
      <c r="V262" s="38"/>
      <c r="W262" s="38"/>
    </row>
    <row r="263" spans="1:25" ht="27.6" customHeight="1">
      <c r="A263" s="460"/>
      <c r="B263" s="674" t="s">
        <v>489</v>
      </c>
      <c r="C263" s="675"/>
      <c r="D263" s="682"/>
      <c r="E263" s="448"/>
      <c r="F263" s="462"/>
      <c r="G263" s="17"/>
      <c r="H263" s="15"/>
      <c r="I263" s="17"/>
      <c r="J263" s="441"/>
      <c r="K263" s="463"/>
      <c r="L263" s="443"/>
      <c r="M263" s="435"/>
      <c r="N263" s="444"/>
      <c r="O263" s="17"/>
      <c r="P263" s="21"/>
      <c r="Q263" s="17"/>
      <c r="R263" s="36"/>
      <c r="S263" s="37"/>
      <c r="T263" s="37"/>
      <c r="U263" s="38"/>
      <c r="V263" s="38"/>
      <c r="W263" s="38"/>
    </row>
    <row r="264" spans="1:25" ht="27.75" customHeight="1" thickBot="1">
      <c r="A264" s="465"/>
      <c r="B264" s="466" t="s">
        <v>22</v>
      </c>
      <c r="C264" s="195"/>
      <c r="D264" s="310">
        <v>0</v>
      </c>
      <c r="E264" s="311"/>
      <c r="F264" s="312"/>
      <c r="G264" s="313">
        <f>SUM(G254:G262)</f>
        <v>829801.72000000009</v>
      </c>
      <c r="H264" s="313"/>
      <c r="I264" s="313">
        <f>SUM(I254:I262)</f>
        <v>829801.72000000009</v>
      </c>
      <c r="J264" s="467"/>
      <c r="K264" s="314"/>
      <c r="L264" s="310">
        <v>0</v>
      </c>
      <c r="M264" s="315"/>
      <c r="N264" s="310"/>
      <c r="O264" s="313">
        <f>SUM(O254:O262)</f>
        <v>829801.72000000009</v>
      </c>
      <c r="P264" s="313">
        <v>0</v>
      </c>
      <c r="Q264" s="313">
        <f>SUM(Q254:Q263)</f>
        <v>829801.72000000009</v>
      </c>
      <c r="R264" s="36"/>
      <c r="S264" s="37"/>
      <c r="T264" s="37"/>
      <c r="U264" s="38"/>
      <c r="V264" s="38"/>
      <c r="W264" s="38"/>
    </row>
    <row r="265" spans="1:25" ht="27.75" customHeight="1" thickTop="1">
      <c r="A265" s="468"/>
      <c r="B265" s="469" t="s">
        <v>490</v>
      </c>
      <c r="C265" s="470"/>
      <c r="D265" s="471"/>
      <c r="E265" s="207"/>
      <c r="F265" s="341"/>
      <c r="G265" s="187"/>
      <c r="H265" s="187"/>
      <c r="I265" s="187"/>
      <c r="J265" s="472"/>
      <c r="K265" s="473"/>
      <c r="L265" s="231"/>
      <c r="M265" s="186"/>
      <c r="N265" s="116"/>
      <c r="O265" s="344"/>
      <c r="P265" s="344"/>
      <c r="Q265" s="474"/>
      <c r="R265" s="36"/>
      <c r="S265" s="37"/>
      <c r="T265" s="37"/>
      <c r="U265" s="38"/>
      <c r="V265" s="38"/>
      <c r="W265" s="38"/>
    </row>
    <row r="266" spans="1:25" ht="27.75" customHeight="1">
      <c r="A266" s="475">
        <v>1</v>
      </c>
      <c r="B266" s="436" t="s">
        <v>491</v>
      </c>
      <c r="C266" s="437" t="s">
        <v>492</v>
      </c>
      <c r="D266" s="476"/>
      <c r="E266" s="477"/>
      <c r="F266" s="478"/>
      <c r="G266" s="15"/>
      <c r="H266" s="15"/>
      <c r="I266" s="17"/>
      <c r="J266" s="441"/>
      <c r="K266" s="442"/>
      <c r="L266" s="479"/>
      <c r="M266" s="435"/>
      <c r="N266" s="477"/>
      <c r="O266" s="480"/>
      <c r="P266" s="480"/>
      <c r="Q266" s="481"/>
      <c r="R266" s="356"/>
      <c r="S266" s="482"/>
      <c r="T266" s="482"/>
      <c r="U266" s="483"/>
      <c r="V266" s="483"/>
      <c r="Y266" s="4" t="s">
        <v>493</v>
      </c>
    </row>
    <row r="267" spans="1:25" ht="27.75" customHeight="1">
      <c r="A267" s="475"/>
      <c r="B267" s="484" t="s">
        <v>494</v>
      </c>
      <c r="C267" s="437"/>
      <c r="D267" s="476"/>
      <c r="E267" s="477"/>
      <c r="F267" s="478"/>
      <c r="G267" s="15"/>
      <c r="H267" s="15"/>
      <c r="I267" s="17"/>
      <c r="J267" s="441"/>
      <c r="K267" s="442"/>
      <c r="L267" s="479"/>
      <c r="M267" s="435"/>
      <c r="N267" s="477"/>
      <c r="O267" s="480"/>
      <c r="P267" s="480"/>
      <c r="Q267" s="481"/>
      <c r="R267" s="485"/>
      <c r="S267" s="486"/>
      <c r="T267" s="486"/>
      <c r="U267" s="487"/>
      <c r="V267" s="487"/>
    </row>
    <row r="268" spans="1:25" ht="27.75" customHeight="1">
      <c r="A268" s="475">
        <v>2</v>
      </c>
      <c r="B268" s="436" t="s">
        <v>495</v>
      </c>
      <c r="C268" s="437" t="s">
        <v>496</v>
      </c>
      <c r="D268" s="476"/>
      <c r="E268" s="477"/>
      <c r="F268" s="478" t="s">
        <v>497</v>
      </c>
      <c r="G268" s="15">
        <v>8214529.25</v>
      </c>
      <c r="H268" s="15"/>
      <c r="I268" s="17">
        <v>8214529.25</v>
      </c>
      <c r="J268" s="441"/>
      <c r="K268" s="442"/>
      <c r="L268" s="479"/>
      <c r="M268" s="435"/>
      <c r="N268" s="477" t="s">
        <v>497</v>
      </c>
      <c r="O268" s="15">
        <v>8214529.25</v>
      </c>
      <c r="P268" s="480"/>
      <c r="Q268" s="17">
        <v>8214529.25</v>
      </c>
      <c r="R268" s="485"/>
      <c r="S268" s="486"/>
      <c r="T268" s="486"/>
      <c r="U268" s="487"/>
      <c r="V268" s="487"/>
    </row>
    <row r="269" spans="1:25" ht="27.75" customHeight="1">
      <c r="A269" s="405"/>
      <c r="B269" s="234" t="s">
        <v>22</v>
      </c>
      <c r="C269" s="407"/>
      <c r="D269" s="408">
        <v>0</v>
      </c>
      <c r="E269" s="409"/>
      <c r="F269" s="410"/>
      <c r="G269" s="239">
        <f>SUM(G266:G268)</f>
        <v>8214529.25</v>
      </c>
      <c r="H269" s="239">
        <v>0</v>
      </c>
      <c r="I269" s="239">
        <f>SUM(I266:I268)</f>
        <v>8214529.25</v>
      </c>
      <c r="J269" s="411"/>
      <c r="K269" s="411"/>
      <c r="L269" s="408">
        <v>0</v>
      </c>
      <c r="M269" s="412"/>
      <c r="N269" s="408"/>
      <c r="O269" s="239">
        <f>SUM(O266:O268)</f>
        <v>8214529.25</v>
      </c>
      <c r="P269" s="239">
        <v>0</v>
      </c>
      <c r="Q269" s="239">
        <f>SUM(Q266:Q268)</f>
        <v>8214529.25</v>
      </c>
      <c r="R269" s="278"/>
      <c r="S269" s="279"/>
      <c r="T269" s="279"/>
      <c r="U269" s="413"/>
      <c r="V269" s="413"/>
      <c r="W269" s="413"/>
    </row>
    <row r="270" spans="1:25" ht="27.75" customHeight="1">
      <c r="A270" s="426"/>
      <c r="B270" s="4"/>
      <c r="C270" s="295"/>
      <c r="D270" s="427"/>
      <c r="E270" s="428"/>
      <c r="F270" s="429"/>
      <c r="G270" s="430"/>
      <c r="H270" s="430"/>
      <c r="I270" s="430"/>
      <c r="J270" s="432"/>
      <c r="K270" s="432"/>
      <c r="L270" s="427"/>
      <c r="M270" s="433"/>
      <c r="N270" s="427"/>
      <c r="O270" s="430"/>
      <c r="P270" s="430"/>
      <c r="Q270" s="430"/>
      <c r="R270" s="424"/>
      <c r="S270" s="425"/>
      <c r="T270" s="425"/>
      <c r="U270" s="345"/>
      <c r="V270" s="345"/>
      <c r="W270" s="345"/>
    </row>
    <row r="271" spans="1:25" ht="27.75" customHeight="1" thickBot="1">
      <c r="A271" s="488"/>
      <c r="B271" s="489" t="s">
        <v>498</v>
      </c>
      <c r="C271" s="490"/>
      <c r="D271" s="491">
        <f>+D269+D264+D250+D242+D237+D223+D167+D156+D152+D139+D123+D109+D93+D90+D83+D45+D31+D27+D24</f>
        <v>1132560.98</v>
      </c>
      <c r="E271" s="491"/>
      <c r="F271" s="492"/>
      <c r="G271" s="493">
        <f>SUM(G269+G264+G251)</f>
        <v>7373980.1270093461</v>
      </c>
      <c r="H271" s="493">
        <f>SUM(H269+H264+H251)</f>
        <v>2762.91</v>
      </c>
      <c r="I271" s="493">
        <f>SUM(I269+I264+I251)</f>
        <v>7376743.0370093463</v>
      </c>
      <c r="J271" s="494"/>
      <c r="K271" s="494"/>
      <c r="L271" s="493">
        <f>SUM(L269+L264+L251)</f>
        <v>1040633.4199999999</v>
      </c>
      <c r="M271" s="495"/>
      <c r="N271" s="496"/>
      <c r="O271" s="493">
        <f>SUM(O269+O264+O251)</f>
        <v>9064653.0522429906</v>
      </c>
      <c r="P271" s="493">
        <f>SUM(P269+P264+P251)</f>
        <v>1422.55</v>
      </c>
      <c r="Q271" s="493">
        <f>SUM(Q269+Q264+Q251)</f>
        <v>9066075.6022429913</v>
      </c>
      <c r="R271" s="497">
        <v>0</v>
      </c>
      <c r="S271" s="497">
        <v>0</v>
      </c>
      <c r="T271" s="498"/>
      <c r="U271" s="499"/>
      <c r="V271" s="499"/>
      <c r="W271" s="499"/>
    </row>
    <row r="272" spans="1:25" s="226" customFormat="1" ht="27.75" customHeight="1" thickTop="1">
      <c r="A272" s="6"/>
      <c r="B272" s="500"/>
      <c r="D272" s="501"/>
      <c r="E272" s="502"/>
      <c r="F272" s="503"/>
      <c r="G272" s="430"/>
      <c r="H272" s="430"/>
      <c r="I272" s="504"/>
      <c r="J272" s="3"/>
      <c r="K272" s="372"/>
      <c r="L272" s="501"/>
      <c r="M272" s="372"/>
      <c r="N272" s="501"/>
      <c r="O272" s="430"/>
      <c r="P272" s="430"/>
      <c r="Q272" s="504"/>
      <c r="R272" s="2"/>
      <c r="S272" s="425"/>
      <c r="T272" s="425"/>
      <c r="U272" s="345"/>
      <c r="V272" s="345"/>
    </row>
    <row r="273" spans="1:22" s="226" customFormat="1" ht="27.75" customHeight="1">
      <c r="A273" s="6"/>
      <c r="B273" s="500"/>
      <c r="D273" s="501"/>
      <c r="E273" s="502"/>
      <c r="F273" s="503"/>
      <c r="G273" s="430"/>
      <c r="H273" s="430"/>
      <c r="I273" s="504"/>
      <c r="J273" s="3"/>
      <c r="K273" s="372"/>
      <c r="L273" s="501"/>
      <c r="M273" s="372"/>
      <c r="N273" s="501"/>
      <c r="O273" s="430"/>
      <c r="P273" s="430"/>
      <c r="Q273" s="504"/>
      <c r="R273" s="2"/>
      <c r="S273" s="425"/>
      <c r="T273" s="425"/>
      <c r="U273" s="345"/>
      <c r="V273" s="345"/>
    </row>
    <row r="274" spans="1:22" s="226" customFormat="1" ht="27.75" customHeight="1">
      <c r="A274" s="6"/>
      <c r="B274" s="500"/>
      <c r="D274" s="501"/>
      <c r="E274" s="502"/>
      <c r="F274" s="503"/>
      <c r="G274" s="430"/>
      <c r="H274" s="430"/>
      <c r="I274" s="504"/>
      <c r="J274" s="3"/>
      <c r="K274" s="372"/>
      <c r="L274" s="501"/>
      <c r="M274" s="372"/>
      <c r="N274" s="501"/>
      <c r="O274" s="430"/>
      <c r="P274" s="430"/>
      <c r="Q274" s="504"/>
      <c r="R274" s="2"/>
      <c r="S274" s="425"/>
      <c r="T274" s="425"/>
      <c r="U274" s="345"/>
      <c r="V274" s="345"/>
    </row>
    <row r="275" spans="1:22" s="226" customFormat="1" ht="27.75" customHeight="1">
      <c r="A275" s="6"/>
      <c r="B275" s="500"/>
      <c r="D275" s="501"/>
      <c r="E275" s="502"/>
      <c r="F275" s="503"/>
      <c r="G275" s="430">
        <v>361288.35</v>
      </c>
      <c r="H275" s="430"/>
      <c r="I275" s="430"/>
      <c r="J275" s="3"/>
      <c r="K275" s="372"/>
      <c r="L275" s="501"/>
      <c r="M275" s="372"/>
      <c r="N275" s="501"/>
      <c r="O275" s="430"/>
      <c r="P275" s="430"/>
      <c r="Q275" s="430"/>
      <c r="R275" s="2"/>
      <c r="S275" s="425"/>
      <c r="T275" s="425"/>
      <c r="U275" s="345"/>
      <c r="V275" s="345"/>
    </row>
    <row r="276" spans="1:22" s="226" customFormat="1" ht="27.75" customHeight="1">
      <c r="A276" s="6"/>
      <c r="B276" s="500"/>
      <c r="D276" s="501"/>
      <c r="E276" s="502"/>
      <c r="F276" s="503"/>
      <c r="G276" s="430">
        <v>96700.72</v>
      </c>
      <c r="H276" s="430"/>
      <c r="I276" s="504"/>
      <c r="J276" s="3"/>
      <c r="K276" s="372"/>
      <c r="L276" s="501"/>
      <c r="M276" s="372"/>
      <c r="N276" s="501"/>
      <c r="O276" s="430"/>
      <c r="P276" s="430"/>
      <c r="Q276" s="504"/>
      <c r="R276" s="2"/>
      <c r="S276" s="425"/>
      <c r="T276" s="425"/>
      <c r="U276" s="345"/>
      <c r="V276" s="345"/>
    </row>
    <row r="277" spans="1:22" s="226" customFormat="1" ht="27.75" customHeight="1">
      <c r="A277" s="6"/>
      <c r="B277" s="500"/>
      <c r="D277" s="501"/>
      <c r="E277" s="502"/>
      <c r="F277" s="503"/>
      <c r="G277" s="430">
        <v>285799.45</v>
      </c>
      <c r="H277" s="430"/>
      <c r="I277" s="504"/>
      <c r="J277" s="3"/>
      <c r="K277" s="372"/>
      <c r="L277" s="501"/>
      <c r="M277" s="372"/>
      <c r="N277" s="501"/>
      <c r="O277" s="430"/>
      <c r="P277" s="430"/>
      <c r="Q277" s="504"/>
      <c r="R277" s="2"/>
      <c r="S277" s="425"/>
      <c r="T277" s="425"/>
      <c r="U277" s="345"/>
      <c r="V277" s="345"/>
    </row>
    <row r="278" spans="1:22" s="226" customFormat="1" ht="27.75" customHeight="1">
      <c r="A278" s="6"/>
      <c r="B278" s="500"/>
      <c r="D278" s="501"/>
      <c r="E278" s="502"/>
      <c r="F278" s="503"/>
      <c r="G278" s="430">
        <v>57054.05</v>
      </c>
      <c r="H278" s="430"/>
      <c r="I278" s="504"/>
      <c r="J278" s="3"/>
      <c r="K278" s="372"/>
      <c r="L278" s="501"/>
      <c r="M278" s="372"/>
      <c r="N278" s="501"/>
      <c r="O278" s="430"/>
      <c r="P278" s="430"/>
      <c r="Q278" s="430"/>
      <c r="R278" s="2"/>
      <c r="S278" s="425"/>
      <c r="T278" s="425"/>
      <c r="U278" s="345"/>
      <c r="V278" s="345"/>
    </row>
    <row r="279" spans="1:22" s="226" customFormat="1" ht="27.75" customHeight="1">
      <c r="A279" s="6"/>
      <c r="B279" s="500"/>
      <c r="D279" s="501"/>
      <c r="E279" s="502"/>
      <c r="F279" s="503"/>
      <c r="G279" s="430">
        <v>28958.15</v>
      </c>
      <c r="H279" s="430"/>
      <c r="I279" s="504"/>
      <c r="J279" s="3"/>
      <c r="K279" s="372"/>
      <c r="L279" s="501"/>
      <c r="M279" s="372"/>
      <c r="N279" s="501"/>
      <c r="O279" s="430"/>
      <c r="P279" s="430"/>
      <c r="Q279" s="504"/>
      <c r="R279" s="2"/>
      <c r="S279" s="425"/>
      <c r="T279" s="425"/>
      <c r="U279" s="345"/>
      <c r="V279" s="345"/>
    </row>
    <row r="280" spans="1:22" s="226" customFormat="1" ht="27.75" customHeight="1">
      <c r="A280" s="6"/>
      <c r="B280" s="500"/>
      <c r="D280" s="501"/>
      <c r="E280" s="502"/>
      <c r="F280" s="503"/>
      <c r="G280" s="430">
        <f>SUM(G275:G279)</f>
        <v>829800.72000000009</v>
      </c>
      <c r="H280" s="430"/>
      <c r="I280" s="504">
        <f>SUM(G269+G280)</f>
        <v>9044329.9700000007</v>
      </c>
      <c r="J280" s="3"/>
      <c r="K280" s="372"/>
      <c r="L280" s="501"/>
      <c r="M280" s="372"/>
      <c r="N280" s="501"/>
      <c r="O280" s="430"/>
      <c r="P280" s="430"/>
      <c r="Q280" s="504"/>
      <c r="R280" s="2"/>
      <c r="S280" s="425"/>
      <c r="T280" s="425"/>
      <c r="U280" s="345"/>
      <c r="V280" s="345"/>
    </row>
    <row r="281" spans="1:22" s="226" customFormat="1" ht="27.75" customHeight="1">
      <c r="A281" s="6"/>
      <c r="B281" s="500"/>
      <c r="D281" s="501"/>
      <c r="E281" s="502"/>
      <c r="F281" s="503"/>
      <c r="G281" s="430"/>
      <c r="H281" s="430"/>
      <c r="I281" s="504"/>
      <c r="J281" s="3"/>
      <c r="K281" s="372"/>
      <c r="L281" s="501"/>
      <c r="M281" s="372"/>
      <c r="N281" s="501"/>
      <c r="O281" s="430"/>
      <c r="P281" s="430"/>
      <c r="Q281" s="504"/>
      <c r="R281" s="2"/>
      <c r="S281" s="425"/>
      <c r="T281" s="425"/>
      <c r="U281" s="345"/>
      <c r="V281" s="345"/>
    </row>
    <row r="282" spans="1:22" s="226" customFormat="1" ht="27.75" customHeight="1">
      <c r="A282" s="6"/>
      <c r="B282" s="500"/>
      <c r="D282" s="501"/>
      <c r="E282" s="502"/>
      <c r="F282" s="503"/>
      <c r="G282" s="430"/>
      <c r="H282" s="430"/>
      <c r="I282" s="504"/>
      <c r="J282" s="3"/>
      <c r="K282" s="372"/>
      <c r="L282" s="501"/>
      <c r="M282" s="372"/>
      <c r="N282" s="501"/>
      <c r="O282" s="430"/>
      <c r="P282" s="430"/>
      <c r="Q282" s="504"/>
      <c r="R282" s="2"/>
      <c r="S282" s="425"/>
      <c r="T282" s="425"/>
      <c r="U282" s="345"/>
      <c r="V282" s="345"/>
    </row>
    <row r="283" spans="1:22" s="226" customFormat="1" ht="27.75" customHeight="1">
      <c r="A283" s="6"/>
      <c r="B283" s="500"/>
      <c r="D283" s="501"/>
      <c r="E283" s="502"/>
      <c r="F283" s="503"/>
      <c r="G283" s="430"/>
      <c r="H283" s="430"/>
      <c r="J283" s="3"/>
      <c r="K283" s="372"/>
      <c r="L283" s="501"/>
      <c r="M283" s="372"/>
      <c r="N283" s="501"/>
      <c r="O283" s="430"/>
      <c r="P283" s="430"/>
      <c r="Q283" s="504"/>
      <c r="R283" s="2"/>
      <c r="S283" s="425"/>
      <c r="T283" s="425"/>
      <c r="U283" s="345"/>
      <c r="V283" s="345"/>
    </row>
    <row r="284" spans="1:22" s="226" customFormat="1" ht="27.75" customHeight="1">
      <c r="A284" s="6"/>
      <c r="B284" s="500"/>
      <c r="D284" s="501"/>
      <c r="E284" s="502"/>
      <c r="F284" s="503"/>
      <c r="G284" s="430"/>
      <c r="H284" s="430"/>
      <c r="I284" s="504"/>
      <c r="J284" s="3"/>
      <c r="K284" s="372"/>
      <c r="L284" s="501"/>
      <c r="M284" s="372"/>
      <c r="N284" s="501"/>
      <c r="O284" s="430"/>
      <c r="P284" s="430"/>
      <c r="Q284" s="504"/>
      <c r="R284" s="2"/>
      <c r="S284" s="425"/>
      <c r="T284" s="425"/>
      <c r="U284" s="345"/>
      <c r="V284" s="345"/>
    </row>
    <row r="285" spans="1:22" s="226" customFormat="1" ht="27.75" customHeight="1">
      <c r="A285" s="6"/>
      <c r="B285" s="500"/>
      <c r="D285" s="501"/>
      <c r="E285" s="502"/>
      <c r="F285" s="503"/>
      <c r="G285" s="430"/>
      <c r="H285" s="430"/>
      <c r="I285" s="504"/>
      <c r="J285" s="3"/>
      <c r="K285" s="372"/>
      <c r="L285" s="501"/>
      <c r="M285" s="372"/>
      <c r="N285" s="501"/>
      <c r="O285" s="430"/>
      <c r="P285" s="430"/>
      <c r="Q285" s="504"/>
      <c r="R285" s="2"/>
      <c r="S285" s="425"/>
      <c r="T285" s="425"/>
      <c r="U285" s="345"/>
      <c r="V285" s="345"/>
    </row>
    <row r="286" spans="1:22" s="226" customFormat="1" ht="27.75" customHeight="1">
      <c r="A286" s="6"/>
      <c r="B286" s="500"/>
      <c r="D286" s="501"/>
      <c r="E286" s="502"/>
      <c r="F286" s="503"/>
      <c r="G286" s="430"/>
      <c r="H286" s="430"/>
      <c r="I286" s="504"/>
      <c r="J286" s="3"/>
      <c r="K286" s="372"/>
      <c r="L286" s="501"/>
      <c r="M286" s="372"/>
      <c r="N286" s="501"/>
      <c r="O286" s="430"/>
      <c r="P286" s="430"/>
      <c r="Q286" s="504"/>
      <c r="R286" s="2"/>
      <c r="S286" s="425"/>
      <c r="T286" s="425"/>
      <c r="U286" s="345"/>
      <c r="V286" s="345"/>
    </row>
    <row r="287" spans="1:22" s="226" customFormat="1" ht="27.75" customHeight="1">
      <c r="A287" s="6"/>
      <c r="B287" s="500"/>
      <c r="D287" s="501"/>
      <c r="E287" s="502"/>
      <c r="F287" s="503"/>
      <c r="G287" s="430"/>
      <c r="H287" s="430"/>
      <c r="I287" s="504"/>
      <c r="J287" s="3"/>
      <c r="K287" s="372"/>
      <c r="L287" s="501"/>
      <c r="M287" s="372"/>
      <c r="N287" s="501"/>
      <c r="O287" s="430"/>
      <c r="P287" s="430"/>
      <c r="Q287" s="504"/>
      <c r="R287" s="2"/>
      <c r="S287" s="425"/>
      <c r="T287" s="425"/>
      <c r="U287" s="345"/>
      <c r="V287" s="345"/>
    </row>
    <row r="288" spans="1:22" s="226" customFormat="1" ht="27.75" customHeight="1">
      <c r="A288" s="6"/>
      <c r="D288" s="501"/>
      <c r="E288" s="502"/>
      <c r="F288" s="503"/>
      <c r="G288" s="430"/>
      <c r="H288" s="430"/>
      <c r="I288" s="504"/>
      <c r="J288" s="3"/>
      <c r="K288" s="372"/>
      <c r="L288" s="501"/>
      <c r="M288" s="372"/>
      <c r="N288" s="501"/>
      <c r="O288" s="430"/>
      <c r="P288" s="430"/>
      <c r="Q288" s="504"/>
      <c r="R288" s="2"/>
      <c r="S288" s="425"/>
      <c r="T288" s="425"/>
      <c r="U288" s="345"/>
      <c r="V288" s="345"/>
    </row>
    <row r="289" spans="2:22" ht="27.75" customHeight="1">
      <c r="B289" s="4"/>
      <c r="D289" s="4"/>
      <c r="E289" s="505"/>
      <c r="G289" s="504"/>
      <c r="H289" s="504"/>
      <c r="L289" s="4"/>
      <c r="N289" s="4"/>
      <c r="O289" s="507"/>
      <c r="P289" s="507"/>
      <c r="U289" s="4"/>
      <c r="V289" s="4"/>
    </row>
    <row r="290" spans="2:22" ht="27.75" customHeight="1">
      <c r="B290" s="4"/>
      <c r="D290" s="4"/>
      <c r="E290" s="505"/>
      <c r="G290" s="504"/>
      <c r="H290" s="504"/>
      <c r="L290" s="4"/>
      <c r="N290" s="4"/>
      <c r="O290" s="507"/>
      <c r="P290" s="507"/>
      <c r="U290" s="4"/>
      <c r="V290" s="4"/>
    </row>
    <row r="291" spans="2:22" ht="27.75" customHeight="1">
      <c r="B291" s="4"/>
      <c r="D291" s="4"/>
      <c r="E291" s="505"/>
      <c r="G291" s="504"/>
      <c r="H291" s="504"/>
      <c r="I291" s="509"/>
      <c r="L291" s="4"/>
      <c r="N291" s="4"/>
      <c r="O291" s="507"/>
      <c r="P291" s="507"/>
      <c r="U291" s="4"/>
      <c r="V291" s="4"/>
    </row>
    <row r="292" spans="2:22" ht="27.75" customHeight="1">
      <c r="B292" s="4"/>
      <c r="D292" s="4"/>
      <c r="E292" s="505"/>
      <c r="G292" s="504"/>
      <c r="H292" s="504"/>
      <c r="L292" s="4"/>
      <c r="N292" s="4"/>
      <c r="O292" s="507"/>
      <c r="P292" s="507"/>
      <c r="U292" s="4"/>
      <c r="V292" s="4"/>
    </row>
    <row r="293" spans="2:22" ht="27.75" customHeight="1">
      <c r="B293" s="4"/>
      <c r="D293" s="4"/>
      <c r="E293" s="505"/>
      <c r="G293" s="504"/>
      <c r="H293" s="504"/>
      <c r="L293" s="4"/>
      <c r="N293" s="4"/>
      <c r="O293" s="507"/>
      <c r="P293" s="507"/>
      <c r="U293" s="4"/>
      <c r="V293" s="4"/>
    </row>
    <row r="294" spans="2:22" ht="27.75" customHeight="1">
      <c r="B294" s="4"/>
      <c r="D294" s="4"/>
      <c r="E294" s="505"/>
      <c r="G294" s="504"/>
      <c r="H294" s="504"/>
      <c r="L294" s="4"/>
      <c r="N294" s="4"/>
      <c r="O294" s="507"/>
      <c r="P294" s="507"/>
      <c r="U294" s="4"/>
      <c r="V294" s="4"/>
    </row>
    <row r="295" spans="2:22" ht="27.75" customHeight="1">
      <c r="B295" s="4"/>
      <c r="D295" s="4"/>
      <c r="E295" s="505"/>
      <c r="G295" s="504"/>
      <c r="H295" s="504"/>
      <c r="L295" s="4"/>
      <c r="N295" s="4"/>
      <c r="O295" s="507"/>
      <c r="P295" s="507"/>
      <c r="U295" s="4"/>
      <c r="V295" s="4"/>
    </row>
    <row r="296" spans="2:22" ht="27.75" customHeight="1">
      <c r="B296" s="4"/>
      <c r="D296" s="4"/>
      <c r="E296" s="505"/>
      <c r="G296" s="504"/>
      <c r="H296" s="504"/>
      <c r="L296" s="4"/>
      <c r="N296" s="4"/>
      <c r="O296" s="507"/>
      <c r="P296" s="507"/>
      <c r="U296" s="4"/>
      <c r="V296" s="4"/>
    </row>
    <row r="297" spans="2:22" ht="27.75" customHeight="1">
      <c r="B297" s="4"/>
      <c r="D297" s="4"/>
      <c r="E297" s="505"/>
      <c r="G297" s="504"/>
      <c r="H297" s="504"/>
      <c r="L297" s="4"/>
      <c r="N297" s="4"/>
      <c r="O297" s="507"/>
      <c r="P297" s="507"/>
      <c r="U297" s="4"/>
      <c r="V297" s="4"/>
    </row>
    <row r="298" spans="2:22" ht="27.75" customHeight="1">
      <c r="B298" s="4"/>
      <c r="D298" s="4"/>
      <c r="E298" s="505"/>
      <c r="G298" s="504"/>
      <c r="H298" s="504"/>
      <c r="L298" s="4"/>
      <c r="N298" s="4"/>
      <c r="O298" s="507"/>
      <c r="P298" s="507"/>
      <c r="U298" s="4"/>
      <c r="V298" s="4"/>
    </row>
    <row r="299" spans="2:22" ht="27.75" customHeight="1">
      <c r="B299" s="4"/>
      <c r="D299" s="4"/>
      <c r="E299" s="505"/>
      <c r="G299" s="504"/>
      <c r="H299" s="504"/>
      <c r="L299" s="4"/>
      <c r="N299" s="4"/>
      <c r="O299" s="507"/>
      <c r="P299" s="507"/>
      <c r="U299" s="4"/>
      <c r="V299" s="4"/>
    </row>
    <row r="300" spans="2:22" ht="27.75" customHeight="1">
      <c r="B300" s="4"/>
      <c r="D300" s="4"/>
      <c r="E300" s="505"/>
      <c r="G300" s="504"/>
      <c r="H300" s="504"/>
      <c r="L300" s="4"/>
      <c r="N300" s="4"/>
      <c r="O300" s="507"/>
      <c r="P300" s="507"/>
      <c r="U300" s="4"/>
      <c r="V300" s="4"/>
    </row>
    <row r="301" spans="2:22" ht="27.75" customHeight="1">
      <c r="B301" s="4"/>
      <c r="D301" s="4"/>
      <c r="E301" s="505"/>
      <c r="G301" s="504"/>
      <c r="H301" s="504"/>
      <c r="L301" s="4"/>
      <c r="N301" s="4"/>
      <c r="O301" s="507"/>
      <c r="P301" s="507"/>
      <c r="U301" s="4"/>
      <c r="V301" s="4"/>
    </row>
    <row r="302" spans="2:22" ht="27.75" customHeight="1">
      <c r="B302" s="4"/>
      <c r="D302" s="4"/>
      <c r="E302" s="505"/>
      <c r="G302" s="504"/>
      <c r="H302" s="504"/>
      <c r="L302" s="4"/>
      <c r="N302" s="4"/>
      <c r="O302" s="507"/>
      <c r="P302" s="507"/>
      <c r="U302" s="4"/>
      <c r="V302" s="4"/>
    </row>
    <row r="303" spans="2:22" ht="27.75" customHeight="1">
      <c r="B303" s="4"/>
      <c r="D303" s="4"/>
      <c r="E303" s="505"/>
      <c r="G303" s="504"/>
      <c r="H303" s="504"/>
      <c r="L303" s="4"/>
      <c r="N303" s="4"/>
      <c r="O303" s="507"/>
      <c r="P303" s="507"/>
      <c r="U303" s="4"/>
      <c r="V303" s="4"/>
    </row>
    <row r="304" spans="2:22" ht="27.75" customHeight="1">
      <c r="B304" s="4"/>
      <c r="D304" s="4"/>
      <c r="E304" s="505"/>
      <c r="G304" s="504"/>
      <c r="H304" s="504"/>
      <c r="L304" s="4"/>
      <c r="N304" s="4"/>
      <c r="O304" s="507"/>
      <c r="P304" s="507"/>
      <c r="U304" s="4"/>
      <c r="V304" s="4"/>
    </row>
    <row r="316" spans="2:22" ht="27.75" customHeight="1">
      <c r="B316" s="4"/>
      <c r="D316" s="4"/>
      <c r="E316" s="505"/>
      <c r="G316" s="504"/>
      <c r="H316" s="504"/>
      <c r="L316" s="4"/>
      <c r="N316" s="4"/>
      <c r="O316" s="507"/>
      <c r="P316" s="507"/>
      <c r="R316" s="4"/>
      <c r="S316" s="4"/>
      <c r="T316" s="4"/>
      <c r="U316" s="4"/>
      <c r="V316" s="4"/>
    </row>
    <row r="317" spans="2:22" ht="27.75" customHeight="1">
      <c r="B317" s="4"/>
      <c r="D317" s="4"/>
      <c r="E317" s="505"/>
      <c r="G317" s="504"/>
      <c r="H317" s="504"/>
      <c r="L317" s="4"/>
      <c r="N317" s="4"/>
      <c r="O317" s="507"/>
      <c r="P317" s="507"/>
      <c r="R317" s="4"/>
      <c r="S317" s="4"/>
      <c r="T317" s="4"/>
      <c r="U317" s="4"/>
      <c r="V317" s="4"/>
    </row>
    <row r="318" spans="2:22" ht="27.75" customHeight="1">
      <c r="B318" s="4"/>
      <c r="D318" s="4"/>
      <c r="E318" s="505"/>
      <c r="G318" s="504"/>
      <c r="H318" s="504"/>
      <c r="L318" s="4"/>
      <c r="N318" s="4"/>
      <c r="O318" s="507"/>
      <c r="P318" s="507"/>
      <c r="R318" s="4"/>
      <c r="S318" s="4"/>
      <c r="T318" s="4"/>
      <c r="U318" s="4"/>
      <c r="V318" s="4"/>
    </row>
    <row r="319" spans="2:22" ht="27.75" customHeight="1">
      <c r="B319" s="4"/>
      <c r="D319" s="4"/>
      <c r="E319" s="505"/>
      <c r="G319" s="504"/>
      <c r="H319" s="504"/>
      <c r="L319" s="4"/>
      <c r="N319" s="4"/>
      <c r="O319" s="507"/>
      <c r="P319" s="507"/>
      <c r="R319" s="4"/>
      <c r="S319" s="4"/>
      <c r="T319" s="4"/>
      <c r="U319" s="4"/>
      <c r="V319" s="4"/>
    </row>
    <row r="320" spans="2:22" ht="27.75" customHeight="1">
      <c r="B320" s="4"/>
      <c r="D320" s="4"/>
      <c r="E320" s="505"/>
      <c r="G320" s="504"/>
      <c r="H320" s="504"/>
      <c r="L320" s="4"/>
      <c r="N320" s="4"/>
      <c r="O320" s="507"/>
      <c r="P320" s="507"/>
      <c r="R320" s="4"/>
      <c r="S320" s="4"/>
      <c r="T320" s="4"/>
      <c r="U320" s="4"/>
      <c r="V320" s="4"/>
    </row>
    <row r="321" spans="2:22" ht="27.75" customHeight="1">
      <c r="B321" s="4"/>
      <c r="D321" s="4"/>
      <c r="E321" s="505"/>
      <c r="G321" s="504"/>
      <c r="H321" s="504"/>
      <c r="L321" s="4"/>
      <c r="N321" s="4"/>
      <c r="O321" s="507"/>
      <c r="P321" s="507"/>
      <c r="R321" s="4"/>
      <c r="S321" s="4"/>
      <c r="T321" s="4"/>
      <c r="U321" s="4"/>
      <c r="V321" s="4"/>
    </row>
    <row r="322" spans="2:22" ht="27.75" customHeight="1">
      <c r="B322" s="4"/>
      <c r="D322" s="4"/>
      <c r="E322" s="505"/>
      <c r="G322" s="504"/>
      <c r="H322" s="504"/>
      <c r="L322" s="4"/>
      <c r="N322" s="4"/>
      <c r="O322" s="507"/>
      <c r="P322" s="507"/>
      <c r="R322" s="4"/>
      <c r="S322" s="4"/>
      <c r="T322" s="4"/>
      <c r="U322" s="4"/>
      <c r="V322" s="4"/>
    </row>
    <row r="323" spans="2:22" ht="27.75" customHeight="1">
      <c r="B323" s="4"/>
      <c r="D323" s="4"/>
      <c r="E323" s="505"/>
      <c r="G323" s="504"/>
      <c r="H323" s="504"/>
      <c r="L323" s="4"/>
      <c r="N323" s="4"/>
      <c r="O323" s="507"/>
      <c r="P323" s="507"/>
      <c r="R323" s="4"/>
      <c r="S323" s="4"/>
      <c r="T323" s="4"/>
      <c r="U323" s="4"/>
      <c r="V323" s="4"/>
    </row>
    <row r="324" spans="2:22" ht="27.75" customHeight="1">
      <c r="B324" s="4"/>
      <c r="D324" s="4"/>
      <c r="E324" s="505"/>
      <c r="G324" s="504"/>
      <c r="H324" s="504"/>
      <c r="L324" s="4"/>
      <c r="N324" s="4"/>
      <c r="O324" s="507"/>
      <c r="P324" s="507"/>
      <c r="R324" s="4"/>
      <c r="S324" s="4"/>
      <c r="T324" s="4"/>
      <c r="U324" s="4"/>
      <c r="V324" s="4"/>
    </row>
    <row r="325" spans="2:22" ht="27.75" customHeight="1">
      <c r="B325" s="4"/>
      <c r="D325" s="4"/>
      <c r="E325" s="505"/>
      <c r="G325" s="504"/>
      <c r="H325" s="504"/>
      <c r="L325" s="4"/>
      <c r="N325" s="4"/>
      <c r="O325" s="507"/>
      <c r="P325" s="507"/>
      <c r="R325" s="4"/>
      <c r="S325" s="4"/>
      <c r="T325" s="4"/>
      <c r="U325" s="4"/>
      <c r="V325" s="4"/>
    </row>
    <row r="326" spans="2:22" ht="27.75" customHeight="1">
      <c r="B326" s="4"/>
      <c r="D326" s="4"/>
      <c r="E326" s="505"/>
      <c r="G326" s="504"/>
      <c r="H326" s="504"/>
      <c r="L326" s="4"/>
      <c r="N326" s="4"/>
      <c r="O326" s="507"/>
      <c r="P326" s="507"/>
      <c r="R326" s="4"/>
      <c r="S326" s="4"/>
      <c r="T326" s="4"/>
      <c r="U326" s="4"/>
      <c r="V326" s="4"/>
    </row>
    <row r="327" spans="2:22" ht="27.75" customHeight="1">
      <c r="B327" s="4"/>
      <c r="D327" s="4"/>
      <c r="E327" s="505"/>
      <c r="G327" s="504"/>
      <c r="H327" s="504"/>
      <c r="L327" s="4"/>
      <c r="N327" s="4"/>
      <c r="O327" s="507"/>
      <c r="P327" s="507"/>
      <c r="R327" s="4"/>
      <c r="S327" s="4"/>
      <c r="T327" s="4"/>
      <c r="U327" s="4"/>
      <c r="V327" s="4"/>
    </row>
    <row r="328" spans="2:22" ht="27.75" customHeight="1">
      <c r="B328" s="4"/>
      <c r="D328" s="4"/>
      <c r="E328" s="505"/>
      <c r="G328" s="504"/>
      <c r="H328" s="504"/>
      <c r="L328" s="4"/>
      <c r="N328" s="4"/>
      <c r="O328" s="507"/>
      <c r="P328" s="507"/>
      <c r="R328" s="4"/>
      <c r="S328" s="4"/>
      <c r="T328" s="4"/>
      <c r="U328" s="4"/>
      <c r="V328" s="4"/>
    </row>
  </sheetData>
  <mergeCells count="25">
    <mergeCell ref="A1:Q1"/>
    <mergeCell ref="A2:Q2"/>
    <mergeCell ref="A3:Q3"/>
    <mergeCell ref="E4:I4"/>
    <mergeCell ref="M4:Q4"/>
    <mergeCell ref="U4:U6"/>
    <mergeCell ref="V4:V6"/>
    <mergeCell ref="A5:A6"/>
    <mergeCell ref="B5:B6"/>
    <mergeCell ref="C5:C6"/>
    <mergeCell ref="D5:D6"/>
    <mergeCell ref="E5:E6"/>
    <mergeCell ref="F5:F6"/>
    <mergeCell ref="R4:R6"/>
    <mergeCell ref="G5:I5"/>
    <mergeCell ref="K5:K6"/>
    <mergeCell ref="L5:L6"/>
    <mergeCell ref="M5:M6"/>
    <mergeCell ref="N5:N6"/>
    <mergeCell ref="O5:Q5"/>
    <mergeCell ref="B256:D256"/>
    <mergeCell ref="B260:D260"/>
    <mergeCell ref="B263:D263"/>
    <mergeCell ref="S4:S6"/>
    <mergeCell ref="T4:T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110D-AB23-44B5-A9B0-D387E5FE98F4}">
  <sheetPr>
    <tabColor rgb="FF92D050"/>
  </sheetPr>
  <dimension ref="A1:O271"/>
  <sheetViews>
    <sheetView zoomScale="60" zoomScaleNormal="60" workbookViewId="0">
      <pane ySplit="6" topLeftCell="A7" activePane="bottomLeft" state="frozen"/>
      <selection pane="bottomLeft" activeCell="H217" sqref="H217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1.6640625" style="3" customWidth="1"/>
    <col min="5" max="5" width="24.5546875" style="372" customWidth="1"/>
    <col min="6" max="6" width="22.109375" style="512" customWidth="1"/>
    <col min="7" max="7" width="8.88671875" style="4"/>
    <col min="8" max="8" width="33.6640625" style="4" customWidth="1"/>
    <col min="9" max="16384" width="8.88671875" style="4"/>
  </cols>
  <sheetData>
    <row r="1" spans="1:6" ht="28.5" customHeight="1">
      <c r="A1" s="653" t="s">
        <v>0</v>
      </c>
      <c r="B1" s="653"/>
      <c r="C1" s="653"/>
      <c r="D1" s="653"/>
      <c r="E1" s="653"/>
      <c r="F1" s="653"/>
    </row>
    <row r="2" spans="1:6" ht="23.25" customHeight="1">
      <c r="A2" s="653" t="s">
        <v>1</v>
      </c>
      <c r="B2" s="653"/>
      <c r="C2" s="653"/>
      <c r="D2" s="653"/>
      <c r="E2" s="653"/>
      <c r="F2" s="653"/>
    </row>
    <row r="3" spans="1:6" ht="28.5" customHeight="1">
      <c r="A3" s="654" t="s">
        <v>597</v>
      </c>
      <c r="B3" s="654"/>
      <c r="C3" s="654"/>
      <c r="D3" s="654"/>
      <c r="E3" s="654"/>
      <c r="F3" s="654"/>
    </row>
    <row r="4" spans="1:6" ht="27.75" customHeight="1">
      <c r="A4" s="7"/>
      <c r="B4" s="8"/>
      <c r="C4" s="9"/>
      <c r="D4" s="11"/>
      <c r="E4" s="12" t="s">
        <v>4</v>
      </c>
      <c r="F4" s="13"/>
    </row>
    <row r="5" spans="1:6" ht="27.75" customHeight="1">
      <c r="A5" s="664" t="s">
        <v>11</v>
      </c>
      <c r="B5" s="666" t="s">
        <v>12</v>
      </c>
      <c r="C5" s="666" t="s">
        <v>13</v>
      </c>
      <c r="D5" s="14" t="s">
        <v>18</v>
      </c>
      <c r="E5" s="691" t="s">
        <v>19</v>
      </c>
      <c r="F5" s="693" t="s">
        <v>20</v>
      </c>
    </row>
    <row r="6" spans="1:6" ht="27.75" customHeight="1" thickBot="1">
      <c r="A6" s="665"/>
      <c r="B6" s="667"/>
      <c r="C6" s="667"/>
      <c r="D6" s="18"/>
      <c r="E6" s="692"/>
      <c r="F6" s="694"/>
    </row>
    <row r="7" spans="1:6" ht="27.75" customHeight="1" thickTop="1">
      <c r="A7" s="22"/>
      <c r="B7" s="23" t="s">
        <v>23</v>
      </c>
      <c r="C7" s="24"/>
      <c r="D7" s="29"/>
      <c r="E7" s="30"/>
      <c r="F7" s="31"/>
    </row>
    <row r="8" spans="1:6" s="57" customFormat="1" ht="27.75" customHeight="1">
      <c r="A8" s="39">
        <v>1</v>
      </c>
      <c r="B8" s="40" t="s">
        <v>24</v>
      </c>
      <c r="C8" s="41" t="s">
        <v>25</v>
      </c>
      <c r="D8" s="48">
        <v>45965</v>
      </c>
      <c r="E8" s="49" t="s">
        <v>598</v>
      </c>
      <c r="F8" s="50">
        <v>4012.5</v>
      </c>
    </row>
    <row r="9" spans="1:6" s="57" customFormat="1" ht="27.75" customHeight="1">
      <c r="A9" s="39">
        <v>2</v>
      </c>
      <c r="B9" s="40" t="s">
        <v>28</v>
      </c>
      <c r="C9" s="41" t="s">
        <v>29</v>
      </c>
      <c r="D9" s="48">
        <v>45962</v>
      </c>
      <c r="E9" s="49" t="s">
        <v>599</v>
      </c>
      <c r="F9" s="50">
        <v>4012.5</v>
      </c>
    </row>
    <row r="10" spans="1:6" s="57" customFormat="1" ht="27.75" customHeight="1">
      <c r="A10" s="39">
        <v>3</v>
      </c>
      <c r="B10" s="40" t="s">
        <v>24</v>
      </c>
      <c r="C10" s="41" t="s">
        <v>33</v>
      </c>
      <c r="D10" s="48">
        <v>45965</v>
      </c>
      <c r="E10" s="49" t="s">
        <v>598</v>
      </c>
      <c r="F10" s="50">
        <v>4012.5</v>
      </c>
    </row>
    <row r="11" spans="1:6" s="57" customFormat="1" ht="27.75" customHeight="1">
      <c r="A11" s="39">
        <v>4</v>
      </c>
      <c r="B11" s="40" t="s">
        <v>34</v>
      </c>
      <c r="C11" s="41" t="s">
        <v>35</v>
      </c>
      <c r="D11" s="48">
        <v>45962</v>
      </c>
      <c r="E11" s="49" t="s">
        <v>599</v>
      </c>
      <c r="F11" s="50">
        <v>4012.5</v>
      </c>
    </row>
    <row r="12" spans="1:6" s="57" customFormat="1" ht="27.75" customHeight="1">
      <c r="A12" s="39">
        <v>5</v>
      </c>
      <c r="B12" s="40" t="s">
        <v>36</v>
      </c>
      <c r="C12" s="41" t="s">
        <v>37</v>
      </c>
      <c r="D12" s="48">
        <v>45966</v>
      </c>
      <c r="E12" s="49" t="s">
        <v>600</v>
      </c>
      <c r="F12" s="50">
        <v>4012.5</v>
      </c>
    </row>
    <row r="13" spans="1:6" s="57" customFormat="1" ht="27.75" customHeight="1">
      <c r="A13" s="39">
        <v>6</v>
      </c>
      <c r="B13" s="40" t="s">
        <v>34</v>
      </c>
      <c r="C13" s="41" t="s">
        <v>39</v>
      </c>
      <c r="D13" s="48">
        <v>45962</v>
      </c>
      <c r="E13" s="49" t="s">
        <v>599</v>
      </c>
      <c r="F13" s="50">
        <v>4012.5</v>
      </c>
    </row>
    <row r="14" spans="1:6" s="57" customFormat="1" ht="27.75" customHeight="1">
      <c r="A14" s="39">
        <v>7</v>
      </c>
      <c r="B14" s="40" t="s">
        <v>40</v>
      </c>
      <c r="C14" s="41" t="s">
        <v>41</v>
      </c>
      <c r="D14" s="48">
        <v>45966</v>
      </c>
      <c r="E14" s="49" t="s">
        <v>601</v>
      </c>
      <c r="F14" s="50">
        <v>4012.5</v>
      </c>
    </row>
    <row r="15" spans="1:6" s="57" customFormat="1" ht="27.75" customHeight="1">
      <c r="A15" s="39">
        <v>8</v>
      </c>
      <c r="B15" s="40" t="s">
        <v>43</v>
      </c>
      <c r="C15" s="41" t="s">
        <v>44</v>
      </c>
      <c r="D15" s="48">
        <v>45963</v>
      </c>
      <c r="E15" s="49" t="s">
        <v>602</v>
      </c>
      <c r="F15" s="50">
        <v>4012.5</v>
      </c>
    </row>
    <row r="16" spans="1:6" s="57" customFormat="1" ht="27.75" customHeight="1">
      <c r="A16" s="39">
        <v>9</v>
      </c>
      <c r="B16" s="40" t="s">
        <v>47</v>
      </c>
      <c r="C16" s="41" t="s">
        <v>48</v>
      </c>
      <c r="D16" s="48">
        <v>45964</v>
      </c>
      <c r="E16" s="49" t="s">
        <v>603</v>
      </c>
      <c r="F16" s="50">
        <v>4012.5</v>
      </c>
    </row>
    <row r="17" spans="1:8" s="57" customFormat="1" ht="27.75" customHeight="1">
      <c r="A17" s="39">
        <v>10</v>
      </c>
      <c r="B17" s="40" t="s">
        <v>50</v>
      </c>
      <c r="C17" s="41" t="s">
        <v>51</v>
      </c>
      <c r="D17" s="48">
        <v>45965</v>
      </c>
      <c r="E17" s="49" t="s">
        <v>604</v>
      </c>
      <c r="F17" s="50">
        <v>4012.5</v>
      </c>
    </row>
    <row r="18" spans="1:8" s="57" customFormat="1" ht="27.75" customHeight="1">
      <c r="A18" s="39">
        <v>11</v>
      </c>
      <c r="B18" s="40" t="s">
        <v>53</v>
      </c>
      <c r="C18" s="41" t="s">
        <v>54</v>
      </c>
      <c r="D18" s="48">
        <v>45966</v>
      </c>
      <c r="E18" s="59" t="s">
        <v>605</v>
      </c>
      <c r="F18" s="50">
        <v>4012.5</v>
      </c>
    </row>
    <row r="19" spans="1:8" s="57" customFormat="1" ht="27.75" customHeight="1">
      <c r="A19" s="39">
        <v>12</v>
      </c>
      <c r="B19" s="40" t="s">
        <v>57</v>
      </c>
      <c r="C19" s="41" t="s">
        <v>58</v>
      </c>
      <c r="D19" s="48">
        <v>45962</v>
      </c>
      <c r="E19" s="49" t="s">
        <v>606</v>
      </c>
      <c r="F19" s="50">
        <v>4012.5</v>
      </c>
    </row>
    <row r="20" spans="1:8" s="57" customFormat="1" ht="27.75" customHeight="1">
      <c r="A20" s="39">
        <v>13</v>
      </c>
      <c r="B20" s="40" t="s">
        <v>60</v>
      </c>
      <c r="C20" s="41" t="s">
        <v>61</v>
      </c>
      <c r="D20" s="48">
        <v>45962</v>
      </c>
      <c r="E20" s="49" t="s">
        <v>607</v>
      </c>
      <c r="F20" s="50">
        <v>4012.5</v>
      </c>
    </row>
    <row r="21" spans="1:8" s="57" customFormat="1" ht="27.75" customHeight="1">
      <c r="A21" s="39">
        <v>14</v>
      </c>
      <c r="B21" s="40" t="s">
        <v>63</v>
      </c>
      <c r="C21" s="41" t="s">
        <v>64</v>
      </c>
      <c r="D21" s="48">
        <v>45966</v>
      </c>
      <c r="E21" s="49" t="s">
        <v>608</v>
      </c>
      <c r="F21" s="50">
        <v>4012.5</v>
      </c>
    </row>
    <row r="22" spans="1:8" s="57" customFormat="1" ht="27.75" customHeight="1">
      <c r="A22" s="39">
        <v>15</v>
      </c>
      <c r="B22" s="40" t="s">
        <v>66</v>
      </c>
      <c r="C22" s="41" t="s">
        <v>67</v>
      </c>
      <c r="D22" s="62" t="s">
        <v>609</v>
      </c>
      <c r="E22" s="49" t="s">
        <v>610</v>
      </c>
      <c r="F22" s="50">
        <v>24075</v>
      </c>
    </row>
    <row r="23" spans="1:8" s="57" customFormat="1" ht="27.75" customHeight="1">
      <c r="A23" s="39">
        <v>16</v>
      </c>
      <c r="B23" s="40" t="s">
        <v>66</v>
      </c>
      <c r="C23" s="41" t="s">
        <v>69</v>
      </c>
      <c r="D23" s="62" t="s">
        <v>609</v>
      </c>
      <c r="E23" s="49" t="s">
        <v>611</v>
      </c>
      <c r="F23" s="50">
        <v>8025</v>
      </c>
    </row>
    <row r="24" spans="1:8" s="57" customFormat="1" ht="35.25" customHeight="1" thickBot="1">
      <c r="A24" s="67"/>
      <c r="B24" s="68" t="s">
        <v>22</v>
      </c>
      <c r="C24" s="69"/>
      <c r="D24" s="74"/>
      <c r="E24" s="75"/>
      <c r="F24" s="76">
        <v>88275</v>
      </c>
      <c r="H24" s="57">
        <f>SUM(F8:F23)</f>
        <v>88275</v>
      </c>
    </row>
    <row r="25" spans="1:8" s="91" customFormat="1" ht="27.75" customHeight="1" thickTop="1">
      <c r="A25" s="39">
        <v>1</v>
      </c>
      <c r="B25" s="80" t="s">
        <v>71</v>
      </c>
      <c r="C25" s="81" t="s">
        <v>72</v>
      </c>
      <c r="D25" s="48">
        <v>45982</v>
      </c>
      <c r="E25" s="49" t="s">
        <v>612</v>
      </c>
      <c r="F25" s="86">
        <v>13375</v>
      </c>
    </row>
    <row r="26" spans="1:8" s="57" customFormat="1" ht="27.75" customHeight="1">
      <c r="A26" s="39">
        <v>2</v>
      </c>
      <c r="B26" s="92" t="s">
        <v>76</v>
      </c>
      <c r="C26" s="41" t="s">
        <v>72</v>
      </c>
      <c r="D26" s="62">
        <v>45966</v>
      </c>
      <c r="E26" s="49" t="s">
        <v>614</v>
      </c>
      <c r="F26" s="93">
        <v>1605</v>
      </c>
    </row>
    <row r="27" spans="1:8" s="57" customFormat="1" ht="27.75" customHeight="1" thickBot="1">
      <c r="A27" s="96"/>
      <c r="B27" s="97" t="s">
        <v>22</v>
      </c>
      <c r="C27" s="98"/>
      <c r="D27" s="103"/>
      <c r="E27" s="104"/>
      <c r="F27" s="105">
        <v>14980</v>
      </c>
      <c r="H27" s="57">
        <f>SUM(F25:F26)</f>
        <v>14980</v>
      </c>
    </row>
    <row r="28" spans="1:8" ht="27.75" customHeight="1" thickTop="1">
      <c r="A28" s="39">
        <v>1</v>
      </c>
      <c r="B28" s="40" t="s">
        <v>78</v>
      </c>
      <c r="C28" s="81" t="s">
        <v>72</v>
      </c>
      <c r="D28" s="113">
        <v>45989</v>
      </c>
      <c r="E28" s="114" t="s">
        <v>615</v>
      </c>
      <c r="F28" s="115">
        <v>7247.92</v>
      </c>
    </row>
    <row r="29" spans="1:8" ht="27.75" customHeight="1">
      <c r="A29" s="39">
        <v>2</v>
      </c>
      <c r="B29" s="40" t="s">
        <v>82</v>
      </c>
      <c r="C29" s="41" t="s">
        <v>72</v>
      </c>
      <c r="D29" s="113">
        <v>45968</v>
      </c>
      <c r="E29" s="114" t="s">
        <v>616</v>
      </c>
      <c r="F29" s="115">
        <v>905.65</v>
      </c>
    </row>
    <row r="30" spans="1:8" ht="27.75" customHeight="1">
      <c r="A30" s="39">
        <v>3</v>
      </c>
      <c r="B30" s="40" t="s">
        <v>85</v>
      </c>
      <c r="C30" s="41" t="s">
        <v>72</v>
      </c>
      <c r="D30" s="117">
        <v>45968</v>
      </c>
      <c r="E30" s="118" t="s">
        <v>617</v>
      </c>
      <c r="F30" s="119">
        <v>10000</v>
      </c>
    </row>
    <row r="31" spans="1:8" s="57" customFormat="1" ht="27.75" customHeight="1" thickBot="1">
      <c r="A31" s="96"/>
      <c r="B31" s="97" t="s">
        <v>22</v>
      </c>
      <c r="C31" s="98"/>
      <c r="D31" s="103"/>
      <c r="E31" s="104"/>
      <c r="F31" s="105">
        <v>18153.57</v>
      </c>
      <c r="H31" s="57">
        <f>SUM(F28:F30)</f>
        <v>18153.57</v>
      </c>
    </row>
    <row r="32" spans="1:8" ht="27.75" hidden="1" customHeight="1" thickBot="1">
      <c r="A32" s="39">
        <v>1</v>
      </c>
      <c r="B32" s="40" t="s">
        <v>88</v>
      </c>
      <c r="C32" s="41" t="s">
        <v>72</v>
      </c>
      <c r="D32" s="113"/>
      <c r="E32" s="118"/>
      <c r="F32" s="121">
        <v>0</v>
      </c>
    </row>
    <row r="33" spans="1:6" ht="27.75" hidden="1" customHeight="1" thickTop="1">
      <c r="A33" s="39">
        <v>2</v>
      </c>
      <c r="B33" s="40" t="s">
        <v>89</v>
      </c>
      <c r="C33" s="41" t="s">
        <v>72</v>
      </c>
      <c r="D33" s="113"/>
      <c r="E33" s="118"/>
      <c r="F33" s="121">
        <v>0</v>
      </c>
    </row>
    <row r="34" spans="1:6" ht="27.75" hidden="1" customHeight="1" thickTop="1">
      <c r="A34" s="39">
        <v>3</v>
      </c>
      <c r="B34" s="40" t="s">
        <v>90</v>
      </c>
      <c r="C34" s="41" t="s">
        <v>72</v>
      </c>
      <c r="D34" s="113"/>
      <c r="E34" s="118"/>
      <c r="F34" s="121"/>
    </row>
    <row r="35" spans="1:6" ht="27.75" hidden="1" customHeight="1" thickTop="1">
      <c r="A35" s="39">
        <v>4</v>
      </c>
      <c r="B35" s="40" t="s">
        <v>91</v>
      </c>
      <c r="C35" s="41" t="s">
        <v>72</v>
      </c>
      <c r="D35" s="113"/>
      <c r="E35" s="118"/>
      <c r="F35" s="121">
        <v>0</v>
      </c>
    </row>
    <row r="36" spans="1:6" ht="27.75" hidden="1" customHeight="1" thickTop="1">
      <c r="A36" s="39">
        <v>5</v>
      </c>
      <c r="B36" s="40" t="s">
        <v>92</v>
      </c>
      <c r="C36" s="41" t="s">
        <v>72</v>
      </c>
      <c r="D36" s="117"/>
      <c r="E36" s="118"/>
      <c r="F36" s="119">
        <v>0</v>
      </c>
    </row>
    <row r="37" spans="1:6" ht="27.75" hidden="1" customHeight="1" thickTop="1">
      <c r="A37" s="39">
        <v>6</v>
      </c>
      <c r="B37" s="123" t="s">
        <v>93</v>
      </c>
      <c r="C37" s="41" t="s">
        <v>72</v>
      </c>
      <c r="D37" s="127"/>
      <c r="E37" s="128"/>
      <c r="F37" s="129">
        <v>0</v>
      </c>
    </row>
    <row r="38" spans="1:6" ht="27.75" hidden="1" customHeight="1" thickTop="1">
      <c r="A38" s="39">
        <v>7</v>
      </c>
      <c r="B38" s="40" t="s">
        <v>94</v>
      </c>
      <c r="C38" s="41" t="s">
        <v>72</v>
      </c>
      <c r="D38" s="117"/>
      <c r="E38" s="118"/>
      <c r="F38" s="119">
        <v>0</v>
      </c>
    </row>
    <row r="39" spans="1:6" ht="27.75" hidden="1" customHeight="1" thickTop="1">
      <c r="A39" s="39">
        <v>8</v>
      </c>
      <c r="B39" s="40" t="s">
        <v>95</v>
      </c>
      <c r="C39" s="41" t="s">
        <v>72</v>
      </c>
      <c r="D39" s="117"/>
      <c r="E39" s="118"/>
      <c r="F39" s="119">
        <v>0</v>
      </c>
    </row>
    <row r="40" spans="1:6" ht="27.75" hidden="1" customHeight="1" thickTop="1">
      <c r="A40" s="39">
        <v>9</v>
      </c>
      <c r="B40" s="40" t="s">
        <v>96</v>
      </c>
      <c r="C40" s="41" t="s">
        <v>72</v>
      </c>
      <c r="D40" s="117"/>
      <c r="E40" s="118"/>
      <c r="F40" s="119">
        <v>0</v>
      </c>
    </row>
    <row r="41" spans="1:6" ht="27.75" hidden="1" customHeight="1" thickTop="1">
      <c r="A41" s="39">
        <v>10</v>
      </c>
      <c r="B41" s="40" t="s">
        <v>97</v>
      </c>
      <c r="C41" s="41" t="s">
        <v>72</v>
      </c>
      <c r="D41" s="117"/>
      <c r="E41" s="118"/>
      <c r="F41" s="119">
        <v>0</v>
      </c>
    </row>
    <row r="42" spans="1:6" ht="27.75" hidden="1" customHeight="1" thickTop="1">
      <c r="A42" s="39">
        <v>11</v>
      </c>
      <c r="B42" s="40" t="s">
        <v>98</v>
      </c>
      <c r="C42" s="41" t="s">
        <v>72</v>
      </c>
      <c r="D42" s="117"/>
      <c r="E42" s="118"/>
      <c r="F42" s="119">
        <v>0</v>
      </c>
    </row>
    <row r="43" spans="1:6" ht="27.75" hidden="1" customHeight="1" thickTop="1">
      <c r="A43" s="39">
        <v>12</v>
      </c>
      <c r="B43" s="40" t="s">
        <v>99</v>
      </c>
      <c r="C43" s="41" t="s">
        <v>72</v>
      </c>
      <c r="D43" s="117"/>
      <c r="E43" s="118"/>
      <c r="F43" s="119">
        <v>0</v>
      </c>
    </row>
    <row r="44" spans="1:6" ht="27.75" hidden="1" customHeight="1" thickTop="1">
      <c r="A44" s="39"/>
      <c r="B44" s="123"/>
      <c r="C44" s="41"/>
      <c r="D44" s="127"/>
      <c r="E44" s="128"/>
      <c r="F44" s="129"/>
    </row>
    <row r="45" spans="1:6" ht="27.75" hidden="1" customHeight="1" thickTop="1">
      <c r="A45" s="22"/>
      <c r="B45" s="131" t="s">
        <v>22</v>
      </c>
      <c r="C45" s="132"/>
      <c r="D45" s="137">
        <v>0</v>
      </c>
      <c r="E45" s="137">
        <v>0</v>
      </c>
      <c r="F45" s="138">
        <v>0</v>
      </c>
    </row>
    <row r="46" spans="1:6" ht="27.75" customHeight="1" thickTop="1">
      <c r="A46" s="22"/>
      <c r="B46" s="23" t="s">
        <v>100</v>
      </c>
      <c r="C46" s="24"/>
      <c r="D46" s="29"/>
      <c r="E46" s="30"/>
      <c r="F46" s="31"/>
    </row>
    <row r="47" spans="1:6" s="57" customFormat="1" ht="27.75" customHeight="1">
      <c r="A47" s="22">
        <v>1</v>
      </c>
      <c r="B47" s="40" t="s">
        <v>101</v>
      </c>
      <c r="C47" s="140" t="s">
        <v>102</v>
      </c>
      <c r="D47" s="113">
        <v>45986</v>
      </c>
      <c r="E47" s="114" t="s">
        <v>618</v>
      </c>
      <c r="F47" s="144">
        <v>160.5</v>
      </c>
    </row>
    <row r="48" spans="1:6" s="57" customFormat="1" ht="27.75" customHeight="1">
      <c r="A48" s="22">
        <v>2</v>
      </c>
      <c r="B48" s="150" t="s">
        <v>104</v>
      </c>
      <c r="C48" s="140" t="s">
        <v>102</v>
      </c>
      <c r="D48" s="117">
        <v>45964</v>
      </c>
      <c r="E48" s="118" t="s">
        <v>619</v>
      </c>
      <c r="F48" s="151">
        <v>321</v>
      </c>
    </row>
    <row r="49" spans="1:6" s="57" customFormat="1" ht="27.75" customHeight="1">
      <c r="A49" s="22">
        <v>3</v>
      </c>
      <c r="B49" s="170" t="s">
        <v>109</v>
      </c>
      <c r="C49" s="140" t="s">
        <v>102</v>
      </c>
      <c r="D49" s="117">
        <v>45968</v>
      </c>
      <c r="E49" s="118" t="s">
        <v>620</v>
      </c>
      <c r="F49" s="151">
        <v>321</v>
      </c>
    </row>
    <row r="50" spans="1:6" s="57" customFormat="1" ht="27.75" customHeight="1">
      <c r="A50" s="22">
        <v>4</v>
      </c>
      <c r="B50" s="170" t="s">
        <v>111</v>
      </c>
      <c r="C50" s="140" t="s">
        <v>102</v>
      </c>
      <c r="D50" s="117">
        <v>45966</v>
      </c>
      <c r="E50" s="118" t="s">
        <v>621</v>
      </c>
      <c r="F50" s="151">
        <v>321</v>
      </c>
    </row>
    <row r="51" spans="1:6" s="57" customFormat="1" ht="27.75" customHeight="1">
      <c r="A51" s="22">
        <v>5</v>
      </c>
      <c r="B51" s="170" t="s">
        <v>113</v>
      </c>
      <c r="C51" s="140" t="s">
        <v>102</v>
      </c>
      <c r="D51" s="113">
        <v>45978</v>
      </c>
      <c r="E51" s="114" t="s">
        <v>622</v>
      </c>
      <c r="F51" s="151">
        <v>160.5</v>
      </c>
    </row>
    <row r="52" spans="1:6" s="57" customFormat="1" ht="27.75" customHeight="1">
      <c r="A52" s="22">
        <v>6</v>
      </c>
      <c r="B52" s="170" t="s">
        <v>115</v>
      </c>
      <c r="C52" s="140" t="s">
        <v>102</v>
      </c>
      <c r="D52" s="113">
        <v>45965</v>
      </c>
      <c r="E52" s="114" t="s">
        <v>623</v>
      </c>
      <c r="F52" s="151">
        <v>321</v>
      </c>
    </row>
    <row r="53" spans="1:6" s="57" customFormat="1" ht="27.75" customHeight="1">
      <c r="A53" s="22">
        <v>7</v>
      </c>
      <c r="B53" s="170" t="s">
        <v>117</v>
      </c>
      <c r="C53" s="140" t="s">
        <v>102</v>
      </c>
      <c r="D53" s="113">
        <v>45976</v>
      </c>
      <c r="E53" s="114" t="s">
        <v>624</v>
      </c>
      <c r="F53" s="151">
        <v>535</v>
      </c>
    </row>
    <row r="54" spans="1:6" s="57" customFormat="1" ht="27.75" customHeight="1">
      <c r="A54" s="22">
        <v>8</v>
      </c>
      <c r="B54" s="170" t="s">
        <v>119</v>
      </c>
      <c r="C54" s="140" t="s">
        <v>102</v>
      </c>
      <c r="D54" s="113">
        <v>45985</v>
      </c>
      <c r="E54" s="114" t="s">
        <v>625</v>
      </c>
      <c r="F54" s="151">
        <v>321</v>
      </c>
    </row>
    <row r="55" spans="1:6" s="57" customFormat="1" ht="27.75" customHeight="1">
      <c r="A55" s="22">
        <v>9</v>
      </c>
      <c r="B55" s="170" t="s">
        <v>121</v>
      </c>
      <c r="C55" s="140" t="s">
        <v>102</v>
      </c>
      <c r="D55" s="113">
        <v>45987</v>
      </c>
      <c r="E55" s="114" t="s">
        <v>626</v>
      </c>
      <c r="F55" s="151">
        <v>321</v>
      </c>
    </row>
    <row r="56" spans="1:6" s="57" customFormat="1" ht="27.75" customHeight="1">
      <c r="A56" s="22">
        <v>10</v>
      </c>
      <c r="B56" s="40" t="s">
        <v>126</v>
      </c>
      <c r="C56" s="140" t="s">
        <v>102</v>
      </c>
      <c r="D56" s="113">
        <v>45962</v>
      </c>
      <c r="E56" s="114" t="s">
        <v>627</v>
      </c>
      <c r="F56" s="144">
        <v>642</v>
      </c>
    </row>
    <row r="57" spans="1:6" s="57" customFormat="1" ht="27.75" customHeight="1">
      <c r="A57" s="22">
        <v>11</v>
      </c>
      <c r="B57" s="40" t="s">
        <v>128</v>
      </c>
      <c r="C57" s="140" t="s">
        <v>102</v>
      </c>
      <c r="D57" s="113">
        <v>45989</v>
      </c>
      <c r="E57" s="114" t="s">
        <v>628</v>
      </c>
      <c r="F57" s="144">
        <v>642</v>
      </c>
    </row>
    <row r="58" spans="1:6" s="57" customFormat="1" ht="27.75" customHeight="1">
      <c r="A58" s="22">
        <v>12</v>
      </c>
      <c r="B58" s="40" t="s">
        <v>130</v>
      </c>
      <c r="C58" s="140" t="s">
        <v>102</v>
      </c>
      <c r="D58" s="175" t="s">
        <v>629</v>
      </c>
      <c r="E58" s="176" t="s">
        <v>630</v>
      </c>
      <c r="F58" s="177">
        <v>321</v>
      </c>
    </row>
    <row r="59" spans="1:6" s="57" customFormat="1" ht="27.75" customHeight="1">
      <c r="A59" s="22">
        <v>13</v>
      </c>
      <c r="B59" s="170" t="s">
        <v>132</v>
      </c>
      <c r="C59" s="140" t="s">
        <v>102</v>
      </c>
      <c r="D59" s="178">
        <v>45985</v>
      </c>
      <c r="E59" s="179" t="s">
        <v>631</v>
      </c>
      <c r="F59" s="180">
        <v>321</v>
      </c>
    </row>
    <row r="60" spans="1:6" s="57" customFormat="1" ht="27.75" customHeight="1">
      <c r="A60" s="22">
        <v>14</v>
      </c>
      <c r="B60" s="40" t="s">
        <v>134</v>
      </c>
      <c r="C60" s="140" t="s">
        <v>102</v>
      </c>
      <c r="D60" s="175">
        <v>45986</v>
      </c>
      <c r="E60" s="176" t="s">
        <v>632</v>
      </c>
      <c r="F60" s="177">
        <v>160.5</v>
      </c>
    </row>
    <row r="61" spans="1:6" s="57" customFormat="1" ht="27.75" customHeight="1">
      <c r="A61" s="22">
        <v>15</v>
      </c>
      <c r="B61" s="170" t="s">
        <v>136</v>
      </c>
      <c r="C61" s="140" t="s">
        <v>102</v>
      </c>
      <c r="D61" s="113">
        <v>45987</v>
      </c>
      <c r="E61" s="114" t="s">
        <v>633</v>
      </c>
      <c r="F61" s="144">
        <v>321</v>
      </c>
    </row>
    <row r="62" spans="1:6" s="57" customFormat="1" ht="27.75" customHeight="1">
      <c r="A62" s="22">
        <v>16</v>
      </c>
      <c r="B62" s="181" t="s">
        <v>142</v>
      </c>
      <c r="C62" s="182" t="s">
        <v>143</v>
      </c>
      <c r="D62" s="183">
        <v>45989</v>
      </c>
      <c r="E62" s="184" t="s">
        <v>635</v>
      </c>
      <c r="F62" s="185">
        <v>160.5</v>
      </c>
    </row>
    <row r="63" spans="1:6" s="57" customFormat="1" ht="27.75" customHeight="1">
      <c r="A63" s="22">
        <v>17</v>
      </c>
      <c r="B63" s="40" t="s">
        <v>147</v>
      </c>
      <c r="C63" s="140" t="s">
        <v>102</v>
      </c>
      <c r="D63" s="175">
        <v>45966</v>
      </c>
      <c r="E63" s="176" t="s">
        <v>636</v>
      </c>
      <c r="F63" s="177">
        <v>160.5</v>
      </c>
    </row>
    <row r="64" spans="1:6" s="57" customFormat="1" ht="27.75" customHeight="1">
      <c r="A64" s="22">
        <v>18</v>
      </c>
      <c r="B64" s="80" t="s">
        <v>149</v>
      </c>
      <c r="C64" s="140" t="s">
        <v>102</v>
      </c>
      <c r="D64" s="175">
        <v>45983</v>
      </c>
      <c r="E64" s="176" t="s">
        <v>637</v>
      </c>
      <c r="F64" s="177">
        <v>1070</v>
      </c>
    </row>
    <row r="65" spans="1:8" s="57" customFormat="1" ht="27.75" customHeight="1">
      <c r="A65" s="22">
        <v>19</v>
      </c>
      <c r="B65" s="170" t="s">
        <v>151</v>
      </c>
      <c r="C65" s="140" t="s">
        <v>102</v>
      </c>
      <c r="D65" s="117">
        <v>45966</v>
      </c>
      <c r="E65" s="118" t="s">
        <v>638</v>
      </c>
      <c r="F65" s="151">
        <v>160.5</v>
      </c>
    </row>
    <row r="66" spans="1:8" s="57" customFormat="1" ht="27.75" customHeight="1">
      <c r="A66" s="22">
        <v>20</v>
      </c>
      <c r="B66" s="170" t="s">
        <v>154</v>
      </c>
      <c r="C66" s="140" t="s">
        <v>102</v>
      </c>
      <c r="D66" s="175">
        <v>45987</v>
      </c>
      <c r="E66" s="176" t="s">
        <v>639</v>
      </c>
      <c r="F66" s="177">
        <v>321</v>
      </c>
    </row>
    <row r="67" spans="1:8" s="57" customFormat="1" ht="27.75" customHeight="1">
      <c r="A67" s="22">
        <v>21</v>
      </c>
      <c r="B67" s="191" t="s">
        <v>156</v>
      </c>
      <c r="C67" s="140" t="s">
        <v>102</v>
      </c>
      <c r="D67" s="175">
        <v>45963</v>
      </c>
      <c r="E67" s="176" t="s">
        <v>640</v>
      </c>
      <c r="F67" s="177">
        <v>160.5</v>
      </c>
    </row>
    <row r="68" spans="1:8" s="57" customFormat="1" ht="27.75" customHeight="1">
      <c r="A68" s="22">
        <v>22</v>
      </c>
      <c r="B68" s="191" t="s">
        <v>161</v>
      </c>
      <c r="C68" s="140" t="s">
        <v>102</v>
      </c>
      <c r="D68" s="117">
        <v>45987</v>
      </c>
      <c r="E68" s="118" t="s">
        <v>642</v>
      </c>
      <c r="F68" s="151">
        <v>321</v>
      </c>
    </row>
    <row r="69" spans="1:8" s="57" customFormat="1" ht="27.75" customHeight="1">
      <c r="A69" s="22">
        <v>23</v>
      </c>
      <c r="B69" s="191" t="s">
        <v>163</v>
      </c>
      <c r="C69" s="140" t="s">
        <v>102</v>
      </c>
      <c r="D69" s="117">
        <v>45987</v>
      </c>
      <c r="E69" s="118" t="s">
        <v>643</v>
      </c>
      <c r="F69" s="151">
        <v>160.5</v>
      </c>
    </row>
    <row r="70" spans="1:8" s="57" customFormat="1" ht="27.75" customHeight="1">
      <c r="A70" s="22">
        <v>24</v>
      </c>
      <c r="B70" s="170" t="s">
        <v>165</v>
      </c>
      <c r="C70" s="140" t="s">
        <v>102</v>
      </c>
      <c r="D70" s="175">
        <v>45968</v>
      </c>
      <c r="E70" s="176" t="s">
        <v>644</v>
      </c>
      <c r="F70" s="177">
        <v>1070</v>
      </c>
    </row>
    <row r="71" spans="1:8" s="57" customFormat="1" ht="27.75" customHeight="1">
      <c r="A71" s="22">
        <v>25</v>
      </c>
      <c r="B71" s="191" t="s">
        <v>167</v>
      </c>
      <c r="C71" s="140" t="s">
        <v>102</v>
      </c>
      <c r="D71" s="117">
        <v>45988</v>
      </c>
      <c r="E71" s="118" t="s">
        <v>645</v>
      </c>
      <c r="F71" s="151">
        <v>535</v>
      </c>
    </row>
    <row r="72" spans="1:8" s="57" customFormat="1" ht="27.75" customHeight="1">
      <c r="A72" s="22">
        <v>26</v>
      </c>
      <c r="B72" s="170" t="s">
        <v>169</v>
      </c>
      <c r="C72" s="140" t="s">
        <v>102</v>
      </c>
      <c r="D72" s="175">
        <v>45989</v>
      </c>
      <c r="E72" s="176" t="s">
        <v>646</v>
      </c>
      <c r="F72" s="177">
        <v>321</v>
      </c>
    </row>
    <row r="73" spans="1:8" s="57" customFormat="1" ht="27.75" customHeight="1">
      <c r="A73" s="22">
        <v>27</v>
      </c>
      <c r="B73" s="191" t="s">
        <v>171</v>
      </c>
      <c r="C73" s="140" t="s">
        <v>102</v>
      </c>
      <c r="D73" s="175">
        <v>45991</v>
      </c>
      <c r="E73" s="176" t="s">
        <v>647</v>
      </c>
      <c r="F73" s="177">
        <v>963</v>
      </c>
    </row>
    <row r="74" spans="1:8" s="57" customFormat="1" ht="27.75" customHeight="1">
      <c r="A74" s="22">
        <v>28</v>
      </c>
      <c r="B74" s="191" t="s">
        <v>173</v>
      </c>
      <c r="C74" s="140" t="s">
        <v>102</v>
      </c>
      <c r="D74" s="175">
        <v>45966</v>
      </c>
      <c r="E74" s="176" t="s">
        <v>648</v>
      </c>
      <c r="F74" s="177">
        <v>321</v>
      </c>
    </row>
    <row r="75" spans="1:8" s="57" customFormat="1" ht="27.75" customHeight="1">
      <c r="A75" s="22">
        <v>29</v>
      </c>
      <c r="B75" s="191" t="s">
        <v>175</v>
      </c>
      <c r="C75" s="140" t="s">
        <v>102</v>
      </c>
      <c r="D75" s="175">
        <v>45962</v>
      </c>
      <c r="E75" s="176" t="s">
        <v>649</v>
      </c>
      <c r="F75" s="177">
        <v>321</v>
      </c>
    </row>
    <row r="76" spans="1:8" s="57" customFormat="1" ht="27.75" customHeight="1">
      <c r="A76" s="22">
        <v>30</v>
      </c>
      <c r="B76" s="191" t="s">
        <v>177</v>
      </c>
      <c r="C76" s="140" t="s">
        <v>102</v>
      </c>
      <c r="D76" s="117">
        <v>45987</v>
      </c>
      <c r="E76" s="118" t="s">
        <v>650</v>
      </c>
      <c r="F76" s="151">
        <v>321</v>
      </c>
    </row>
    <row r="77" spans="1:8" ht="27.75" customHeight="1" thickBot="1">
      <c r="A77" s="193"/>
      <c r="B77" s="194" t="s">
        <v>22</v>
      </c>
      <c r="C77" s="195"/>
      <c r="D77" s="199"/>
      <c r="E77" s="199"/>
      <c r="F77" s="196">
        <v>11556</v>
      </c>
      <c r="H77" s="512">
        <f>SUM(F47:F76)</f>
        <v>11556</v>
      </c>
    </row>
    <row r="78" spans="1:8" ht="27.75" customHeight="1" thickTop="1">
      <c r="A78" s="22"/>
      <c r="B78" s="23" t="s">
        <v>179</v>
      </c>
      <c r="C78" s="24"/>
      <c r="D78" s="29"/>
      <c r="E78" s="30"/>
      <c r="F78" s="31"/>
    </row>
    <row r="79" spans="1:8" ht="27.75" customHeight="1">
      <c r="A79" s="94">
        <v>1</v>
      </c>
      <c r="B79" s="40" t="s">
        <v>180</v>
      </c>
      <c r="C79" s="41" t="s">
        <v>181</v>
      </c>
      <c r="D79" s="48">
        <v>45967</v>
      </c>
      <c r="E79" s="49" t="s">
        <v>651</v>
      </c>
      <c r="F79" s="202">
        <v>1444.5</v>
      </c>
    </row>
    <row r="80" spans="1:8" ht="27.75" customHeight="1">
      <c r="A80" s="94">
        <v>2</v>
      </c>
      <c r="B80" s="40" t="s">
        <v>184</v>
      </c>
      <c r="C80" s="41" t="s">
        <v>181</v>
      </c>
      <c r="D80" s="48">
        <v>45971</v>
      </c>
      <c r="E80" s="49" t="s">
        <v>652</v>
      </c>
      <c r="F80" s="202">
        <v>3370.5</v>
      </c>
    </row>
    <row r="81" spans="1:8" ht="27.75" customHeight="1">
      <c r="A81" s="94">
        <v>3</v>
      </c>
      <c r="B81" s="205" t="s">
        <v>186</v>
      </c>
      <c r="C81" s="206" t="s">
        <v>181</v>
      </c>
      <c r="D81" s="48">
        <v>45988</v>
      </c>
      <c r="E81" s="49" t="s">
        <v>653</v>
      </c>
      <c r="F81" s="202">
        <v>3370.5</v>
      </c>
    </row>
    <row r="82" spans="1:8" ht="27.75" customHeight="1">
      <c r="A82" s="186">
        <v>4</v>
      </c>
      <c r="B82" s="205" t="s">
        <v>188</v>
      </c>
      <c r="C82" s="206" t="s">
        <v>181</v>
      </c>
      <c r="D82" s="48">
        <v>45962</v>
      </c>
      <c r="E82" s="49" t="s">
        <v>654</v>
      </c>
      <c r="F82" s="202">
        <v>2140</v>
      </c>
    </row>
    <row r="83" spans="1:8" s="220" customFormat="1" ht="27.75" customHeight="1">
      <c r="A83" s="186">
        <v>5</v>
      </c>
      <c r="B83" s="208" t="s">
        <v>71</v>
      </c>
      <c r="C83" s="209" t="s">
        <v>181</v>
      </c>
      <c r="D83" s="62">
        <v>45982</v>
      </c>
      <c r="E83" s="215" t="s">
        <v>655</v>
      </c>
      <c r="F83" s="202">
        <v>2675</v>
      </c>
    </row>
    <row r="84" spans="1:8" ht="27.75" customHeight="1" thickBot="1">
      <c r="A84" s="193"/>
      <c r="B84" s="194" t="s">
        <v>22</v>
      </c>
      <c r="C84" s="195"/>
      <c r="D84" s="199"/>
      <c r="E84" s="199"/>
      <c r="F84" s="196">
        <v>13000.5</v>
      </c>
      <c r="H84" s="512">
        <f>SUM(F79:F83)</f>
        <v>13000.5</v>
      </c>
    </row>
    <row r="85" spans="1:8" ht="27.75" customHeight="1" thickTop="1">
      <c r="A85" s="22"/>
      <c r="B85" s="23" t="s">
        <v>191</v>
      </c>
      <c r="C85" s="24"/>
      <c r="D85" s="29"/>
      <c r="E85" s="30"/>
      <c r="F85" s="31"/>
    </row>
    <row r="86" spans="1:8" ht="27.75" customHeight="1">
      <c r="A86" s="94">
        <v>1</v>
      </c>
      <c r="B86" s="40" t="s">
        <v>192</v>
      </c>
      <c r="C86" s="41" t="s">
        <v>193</v>
      </c>
      <c r="D86" s="175">
        <v>45966</v>
      </c>
      <c r="E86" s="176" t="s">
        <v>656</v>
      </c>
      <c r="F86" s="222">
        <v>2140</v>
      </c>
    </row>
    <row r="87" spans="1:8" ht="27.75" customHeight="1" thickBot="1">
      <c r="A87" s="193"/>
      <c r="B87" s="194" t="s">
        <v>22</v>
      </c>
      <c r="C87" s="195"/>
      <c r="D87" s="199"/>
      <c r="E87" s="199"/>
      <c r="F87" s="196">
        <v>2140</v>
      </c>
      <c r="H87" s="520">
        <f>SUM(F86)</f>
        <v>2140</v>
      </c>
    </row>
    <row r="88" spans="1:8" ht="27.75" customHeight="1" thickTop="1">
      <c r="A88" s="22"/>
      <c r="B88" s="23" t="s">
        <v>196</v>
      </c>
      <c r="C88" s="24"/>
      <c r="D88" s="29"/>
      <c r="E88" s="30"/>
      <c r="F88" s="31"/>
    </row>
    <row r="89" spans="1:8" s="226" customFormat="1" ht="27.75" customHeight="1">
      <c r="A89" s="94"/>
      <c r="B89" s="223" t="s">
        <v>197</v>
      </c>
      <c r="C89" s="224"/>
      <c r="D89" s="178"/>
      <c r="E89" s="176"/>
      <c r="F89" s="222"/>
    </row>
    <row r="90" spans="1:8" s="226" customFormat="1" ht="27.75" customHeight="1">
      <c r="A90" s="94">
        <v>1</v>
      </c>
      <c r="B90" s="181" t="s">
        <v>198</v>
      </c>
      <c r="C90" s="224" t="s">
        <v>199</v>
      </c>
      <c r="D90" s="113">
        <v>45971</v>
      </c>
      <c r="E90" s="114" t="s">
        <v>657</v>
      </c>
      <c r="F90" s="144">
        <v>26750</v>
      </c>
    </row>
    <row r="91" spans="1:8" s="226" customFormat="1" ht="27.75" customHeight="1">
      <c r="A91" s="94">
        <v>2</v>
      </c>
      <c r="B91" s="181" t="s">
        <v>204</v>
      </c>
      <c r="C91" s="224" t="s">
        <v>205</v>
      </c>
      <c r="D91" s="113">
        <v>45983</v>
      </c>
      <c r="E91" s="114" t="s">
        <v>658</v>
      </c>
      <c r="F91" s="144">
        <v>22470</v>
      </c>
    </row>
    <row r="92" spans="1:8" s="226" customFormat="1" ht="27.75" customHeight="1">
      <c r="A92" s="94">
        <v>3</v>
      </c>
      <c r="B92" s="181" t="s">
        <v>204</v>
      </c>
      <c r="C92" s="224" t="s">
        <v>207</v>
      </c>
      <c r="D92" s="113">
        <v>45983</v>
      </c>
      <c r="E92" s="114" t="s">
        <v>658</v>
      </c>
      <c r="F92" s="144">
        <v>22470</v>
      </c>
    </row>
    <row r="93" spans="1:8" s="226" customFormat="1" ht="27.75" customHeight="1">
      <c r="A93" s="94">
        <v>4</v>
      </c>
      <c r="B93" s="181" t="s">
        <v>210</v>
      </c>
      <c r="C93" s="224" t="s">
        <v>211</v>
      </c>
      <c r="D93" s="113">
        <v>45977</v>
      </c>
      <c r="E93" s="114" t="s">
        <v>659</v>
      </c>
      <c r="F93" s="144">
        <v>22470</v>
      </c>
    </row>
    <row r="94" spans="1:8" s="226" customFormat="1" ht="27.75" customHeight="1">
      <c r="A94" s="94">
        <v>5</v>
      </c>
      <c r="B94" s="181" t="s">
        <v>214</v>
      </c>
      <c r="C94" s="224" t="s">
        <v>215</v>
      </c>
      <c r="D94" s="113">
        <v>45962</v>
      </c>
      <c r="E94" s="114" t="s">
        <v>660</v>
      </c>
      <c r="F94" s="144">
        <v>22470</v>
      </c>
    </row>
    <row r="95" spans="1:8" s="226" customFormat="1" ht="27.75" customHeight="1">
      <c r="A95" s="94">
        <v>6</v>
      </c>
      <c r="B95" s="181" t="s">
        <v>217</v>
      </c>
      <c r="C95" s="224" t="s">
        <v>218</v>
      </c>
      <c r="D95" s="113">
        <v>45979</v>
      </c>
      <c r="E95" s="114" t="s">
        <v>661</v>
      </c>
      <c r="F95" s="144">
        <v>22470</v>
      </c>
    </row>
    <row r="96" spans="1:8" s="226" customFormat="1" ht="27.75" customHeight="1">
      <c r="A96" s="94">
        <v>7</v>
      </c>
      <c r="B96" s="181" t="s">
        <v>217</v>
      </c>
      <c r="C96" s="224" t="s">
        <v>220</v>
      </c>
      <c r="D96" s="113">
        <v>45979</v>
      </c>
      <c r="E96" s="114" t="s">
        <v>661</v>
      </c>
      <c r="F96" s="144">
        <v>22470</v>
      </c>
    </row>
    <row r="97" spans="1:8" s="226" customFormat="1" ht="27.75" customHeight="1">
      <c r="A97" s="94">
        <v>8</v>
      </c>
      <c r="B97" s="181" t="s">
        <v>217</v>
      </c>
      <c r="C97" s="224" t="s">
        <v>221</v>
      </c>
      <c r="D97" s="113">
        <v>45979</v>
      </c>
      <c r="E97" s="114" t="s">
        <v>661</v>
      </c>
      <c r="F97" s="144">
        <v>22470</v>
      </c>
    </row>
    <row r="98" spans="1:8" s="226" customFormat="1" ht="27.75" customHeight="1">
      <c r="A98" s="94">
        <v>9</v>
      </c>
      <c r="B98" s="181" t="s">
        <v>222</v>
      </c>
      <c r="C98" s="227" t="s">
        <v>223</v>
      </c>
      <c r="D98" s="230">
        <v>45965</v>
      </c>
      <c r="E98" s="184" t="s">
        <v>662</v>
      </c>
      <c r="F98" s="231">
        <v>32100</v>
      </c>
    </row>
    <row r="99" spans="1:8" s="226" customFormat="1" ht="27.75" customHeight="1" thickBot="1">
      <c r="A99" s="234"/>
      <c r="B99" s="194" t="s">
        <v>22</v>
      </c>
      <c r="C99" s="235"/>
      <c r="D99" s="241"/>
      <c r="E99" s="234"/>
      <c r="F99" s="236">
        <v>216140</v>
      </c>
      <c r="H99" s="226">
        <f>SUM(F90:F98)</f>
        <v>216140</v>
      </c>
    </row>
    <row r="100" spans="1:8" s="226" customFormat="1" ht="27.75" customHeight="1" thickTop="1">
      <c r="A100" s="83"/>
      <c r="B100" s="244" t="s">
        <v>226</v>
      </c>
      <c r="C100" s="245"/>
      <c r="D100" s="248"/>
      <c r="E100" s="249"/>
      <c r="F100" s="250"/>
    </row>
    <row r="101" spans="1:8" s="226" customFormat="1" ht="27.75" customHeight="1">
      <c r="A101" s="94">
        <v>1</v>
      </c>
      <c r="B101" s="41" t="s">
        <v>227</v>
      </c>
      <c r="C101" s="224" t="s">
        <v>228</v>
      </c>
      <c r="D101" s="113">
        <v>45989</v>
      </c>
      <c r="E101" s="114" t="s">
        <v>663</v>
      </c>
      <c r="F101" s="253">
        <v>22470</v>
      </c>
    </row>
    <row r="102" spans="1:8" s="226" customFormat="1" ht="27.75" customHeight="1">
      <c r="A102" s="94">
        <v>2</v>
      </c>
      <c r="B102" s="41" t="s">
        <v>227</v>
      </c>
      <c r="C102" s="224" t="s">
        <v>230</v>
      </c>
      <c r="D102" s="113">
        <v>45989</v>
      </c>
      <c r="E102" s="114" t="s">
        <v>663</v>
      </c>
      <c r="F102" s="253">
        <v>22470</v>
      </c>
    </row>
    <row r="103" spans="1:8" s="226" customFormat="1" ht="27.75" customHeight="1">
      <c r="A103" s="94">
        <v>3</v>
      </c>
      <c r="B103" s="41" t="s">
        <v>227</v>
      </c>
      <c r="C103" s="224" t="s">
        <v>231</v>
      </c>
      <c r="D103" s="254">
        <v>45989</v>
      </c>
      <c r="E103" s="255" t="s">
        <v>663</v>
      </c>
      <c r="F103" s="256">
        <v>22470</v>
      </c>
    </row>
    <row r="104" spans="1:8" s="226" customFormat="1" ht="27.75" customHeight="1">
      <c r="A104" s="94">
        <v>4</v>
      </c>
      <c r="B104" s="41" t="s">
        <v>227</v>
      </c>
      <c r="C104" s="224" t="s">
        <v>232</v>
      </c>
      <c r="D104" s="127">
        <v>45989</v>
      </c>
      <c r="E104" s="128" t="s">
        <v>663</v>
      </c>
      <c r="F104" s="257">
        <v>22470</v>
      </c>
    </row>
    <row r="105" spans="1:8" s="226" customFormat="1" ht="27.75" customHeight="1">
      <c r="A105" s="94">
        <v>5</v>
      </c>
      <c r="B105" s="41" t="s">
        <v>227</v>
      </c>
      <c r="C105" s="224" t="s">
        <v>233</v>
      </c>
      <c r="D105" s="127">
        <v>45989</v>
      </c>
      <c r="E105" s="128" t="s">
        <v>663</v>
      </c>
      <c r="F105" s="257">
        <v>22470</v>
      </c>
    </row>
    <row r="106" spans="1:8" s="226" customFormat="1" ht="27.75" customHeight="1">
      <c r="A106" s="94">
        <v>6</v>
      </c>
      <c r="B106" s="41" t="s">
        <v>234</v>
      </c>
      <c r="C106" s="224" t="s">
        <v>235</v>
      </c>
      <c r="D106" s="127">
        <v>45989</v>
      </c>
      <c r="E106" s="128" t="s">
        <v>663</v>
      </c>
      <c r="F106" s="257">
        <v>22470</v>
      </c>
    </row>
    <row r="107" spans="1:8" s="226" customFormat="1" ht="27.75" customHeight="1">
      <c r="A107" s="94">
        <v>7</v>
      </c>
      <c r="B107" s="41" t="s">
        <v>236</v>
      </c>
      <c r="C107" s="224" t="s">
        <v>237</v>
      </c>
      <c r="D107" s="113">
        <v>45989</v>
      </c>
      <c r="E107" s="114" t="s">
        <v>664</v>
      </c>
      <c r="F107" s="257">
        <v>22470</v>
      </c>
    </row>
    <row r="108" spans="1:8" s="226" customFormat="1" ht="27.75" customHeight="1">
      <c r="A108" s="94">
        <v>8</v>
      </c>
      <c r="B108" s="41" t="s">
        <v>236</v>
      </c>
      <c r="C108" s="224" t="s">
        <v>239</v>
      </c>
      <c r="D108" s="113">
        <v>45989</v>
      </c>
      <c r="E108" s="114" t="s">
        <v>664</v>
      </c>
      <c r="F108" s="257">
        <v>22470</v>
      </c>
    </row>
    <row r="109" spans="1:8" s="226" customFormat="1" ht="27.75" customHeight="1">
      <c r="A109" s="94">
        <v>9</v>
      </c>
      <c r="B109" s="41" t="s">
        <v>92</v>
      </c>
      <c r="C109" s="224" t="s">
        <v>240</v>
      </c>
      <c r="D109" s="113">
        <v>45991</v>
      </c>
      <c r="E109" s="114" t="s">
        <v>665</v>
      </c>
      <c r="F109" s="258">
        <v>22470</v>
      </c>
    </row>
    <row r="110" spans="1:8" s="226" customFormat="1" ht="27.75" customHeight="1">
      <c r="A110" s="94">
        <v>10</v>
      </c>
      <c r="B110" s="41" t="s">
        <v>92</v>
      </c>
      <c r="C110" s="224" t="s">
        <v>242</v>
      </c>
      <c r="D110" s="113">
        <v>45991</v>
      </c>
      <c r="E110" s="114" t="s">
        <v>665</v>
      </c>
      <c r="F110" s="253">
        <v>22470</v>
      </c>
    </row>
    <row r="111" spans="1:8" s="226" customFormat="1" ht="27.75" customHeight="1">
      <c r="A111" s="94">
        <v>11</v>
      </c>
      <c r="B111" s="41" t="s">
        <v>243</v>
      </c>
      <c r="C111" s="224" t="s">
        <v>244</v>
      </c>
      <c r="D111" s="113">
        <v>45991</v>
      </c>
      <c r="E111" s="114" t="s">
        <v>666</v>
      </c>
      <c r="F111" s="253">
        <v>22470</v>
      </c>
    </row>
    <row r="112" spans="1:8" s="226" customFormat="1" ht="27.75" customHeight="1">
      <c r="A112" s="186">
        <v>12</v>
      </c>
      <c r="B112" s="206" t="s">
        <v>90</v>
      </c>
      <c r="C112" s="224" t="s">
        <v>246</v>
      </c>
      <c r="D112" s="259">
        <v>45989</v>
      </c>
      <c r="E112" s="114" t="s">
        <v>653</v>
      </c>
      <c r="F112" s="253">
        <v>22470</v>
      </c>
    </row>
    <row r="113" spans="1:8" s="226" customFormat="1" ht="27.75" customHeight="1">
      <c r="A113" s="234"/>
      <c r="B113" s="260"/>
      <c r="C113" s="235"/>
      <c r="D113" s="261"/>
      <c r="E113" s="262"/>
      <c r="F113" s="263">
        <v>269640</v>
      </c>
      <c r="H113" s="226">
        <f>SUM(F101:F112)</f>
        <v>269640</v>
      </c>
    </row>
    <row r="114" spans="1:8" s="226" customFormat="1" ht="27.75" customHeight="1">
      <c r="A114" s="83"/>
      <c r="B114" s="244" t="s">
        <v>248</v>
      </c>
      <c r="C114" s="245"/>
      <c r="D114" s="178"/>
      <c r="E114" s="179"/>
      <c r="F114" s="264"/>
    </row>
    <row r="115" spans="1:8" s="226" customFormat="1" ht="27.75" customHeight="1">
      <c r="A115" s="94">
        <v>1</v>
      </c>
      <c r="B115" s="41" t="s">
        <v>249</v>
      </c>
      <c r="C115" s="224" t="s">
        <v>250</v>
      </c>
      <c r="D115" s="113">
        <v>45962</v>
      </c>
      <c r="E115" s="114" t="s">
        <v>667</v>
      </c>
      <c r="F115" s="144">
        <v>6420</v>
      </c>
    </row>
    <row r="116" spans="1:8" s="226" customFormat="1" ht="27.75" customHeight="1">
      <c r="A116" s="94">
        <v>2</v>
      </c>
      <c r="B116" s="41" t="s">
        <v>252</v>
      </c>
      <c r="C116" s="224" t="s">
        <v>253</v>
      </c>
      <c r="D116" s="113">
        <v>45975</v>
      </c>
      <c r="E116" s="114" t="s">
        <v>668</v>
      </c>
      <c r="F116" s="144">
        <v>3210</v>
      </c>
    </row>
    <row r="117" spans="1:8" s="226" customFormat="1" ht="27.75" customHeight="1">
      <c r="A117" s="94">
        <v>3</v>
      </c>
      <c r="B117" s="41" t="s">
        <v>254</v>
      </c>
      <c r="C117" s="224" t="s">
        <v>255</v>
      </c>
      <c r="D117" s="113" t="s">
        <v>629</v>
      </c>
      <c r="E117" s="114" t="s">
        <v>669</v>
      </c>
      <c r="F117" s="144">
        <v>19260</v>
      </c>
    </row>
    <row r="118" spans="1:8" s="226" customFormat="1" ht="27.75" customHeight="1">
      <c r="A118" s="94">
        <v>4</v>
      </c>
      <c r="B118" s="41" t="s">
        <v>257</v>
      </c>
      <c r="C118" s="224" t="s">
        <v>258</v>
      </c>
      <c r="D118" s="113">
        <v>45986</v>
      </c>
      <c r="E118" s="114" t="s">
        <v>670</v>
      </c>
      <c r="F118" s="144">
        <v>9630</v>
      </c>
    </row>
    <row r="119" spans="1:8" s="226" customFormat="1" ht="27.75" customHeight="1">
      <c r="A119" s="94">
        <v>5</v>
      </c>
      <c r="B119" s="206" t="s">
        <v>257</v>
      </c>
      <c r="C119" s="224" t="s">
        <v>260</v>
      </c>
      <c r="D119" s="113">
        <v>45986</v>
      </c>
      <c r="E119" s="114" t="s">
        <v>670</v>
      </c>
      <c r="F119" s="144">
        <v>9630</v>
      </c>
    </row>
    <row r="120" spans="1:8" s="226" customFormat="1" ht="27.75" customHeight="1">
      <c r="A120" s="94">
        <v>6</v>
      </c>
      <c r="B120" s="265" t="s">
        <v>261</v>
      </c>
      <c r="C120" s="224" t="s">
        <v>262</v>
      </c>
      <c r="D120" s="113">
        <v>45964</v>
      </c>
      <c r="E120" s="114" t="s">
        <v>671</v>
      </c>
      <c r="F120" s="144">
        <v>6420</v>
      </c>
    </row>
    <row r="121" spans="1:8" s="226" customFormat="1" ht="27.75" customHeight="1">
      <c r="A121" s="94">
        <v>7</v>
      </c>
      <c r="B121" s="266" t="s">
        <v>264</v>
      </c>
      <c r="C121" s="224" t="s">
        <v>199</v>
      </c>
      <c r="D121" s="113">
        <v>45991</v>
      </c>
      <c r="E121" s="114" t="s">
        <v>672</v>
      </c>
      <c r="F121" s="144">
        <v>6420</v>
      </c>
    </row>
    <row r="122" spans="1:8" s="226" customFormat="1" ht="27.75" customHeight="1">
      <c r="A122" s="94">
        <v>8</v>
      </c>
      <c r="B122" s="81" t="s">
        <v>267</v>
      </c>
      <c r="C122" s="224" t="s">
        <v>268</v>
      </c>
      <c r="D122" s="113">
        <v>45962</v>
      </c>
      <c r="E122" s="114" t="s">
        <v>667</v>
      </c>
      <c r="F122" s="144">
        <v>6420</v>
      </c>
    </row>
    <row r="123" spans="1:8" s="226" customFormat="1" ht="27.75" customHeight="1">
      <c r="A123" s="94">
        <v>9</v>
      </c>
      <c r="B123" s="81" t="s">
        <v>156</v>
      </c>
      <c r="C123" s="224" t="s">
        <v>207</v>
      </c>
      <c r="D123" s="113">
        <v>45963</v>
      </c>
      <c r="E123" s="114" t="s">
        <v>673</v>
      </c>
      <c r="F123" s="144">
        <v>6420</v>
      </c>
    </row>
    <row r="124" spans="1:8" s="226" customFormat="1" ht="27.75" customHeight="1">
      <c r="A124" s="94">
        <v>10</v>
      </c>
      <c r="B124" s="41" t="s">
        <v>271</v>
      </c>
      <c r="C124" s="224" t="s">
        <v>208</v>
      </c>
      <c r="D124" s="113">
        <v>45991</v>
      </c>
      <c r="E124" s="268" t="s">
        <v>674</v>
      </c>
      <c r="F124" s="269">
        <v>6420</v>
      </c>
    </row>
    <row r="125" spans="1:8" s="226" customFormat="1" ht="27.75" customHeight="1">
      <c r="A125" s="94">
        <v>11</v>
      </c>
      <c r="B125" s="41" t="s">
        <v>273</v>
      </c>
      <c r="C125" s="224" t="s">
        <v>209</v>
      </c>
      <c r="D125" s="113">
        <v>45965</v>
      </c>
      <c r="E125" s="114" t="s">
        <v>675</v>
      </c>
      <c r="F125" s="144">
        <v>6420</v>
      </c>
    </row>
    <row r="126" spans="1:8" s="226" customFormat="1" ht="27.75" customHeight="1">
      <c r="A126" s="94">
        <v>12</v>
      </c>
      <c r="B126" s="41" t="s">
        <v>275</v>
      </c>
      <c r="C126" s="224" t="s">
        <v>276</v>
      </c>
      <c r="D126" s="113">
        <v>45989</v>
      </c>
      <c r="E126" s="114" t="s">
        <v>676</v>
      </c>
      <c r="F126" s="144">
        <v>6420</v>
      </c>
    </row>
    <row r="127" spans="1:8" ht="27.75" customHeight="1" thickBot="1">
      <c r="A127" s="22"/>
      <c r="B127" s="194" t="s">
        <v>22</v>
      </c>
      <c r="C127" s="195"/>
      <c r="D127" s="199"/>
      <c r="E127" s="199"/>
      <c r="F127" s="196">
        <v>93090</v>
      </c>
      <c r="H127" s="512">
        <f>SUM(F115:F126)</f>
        <v>93090</v>
      </c>
    </row>
    <row r="128" spans="1:8" ht="27.75" hidden="1" customHeight="1" thickBot="1">
      <c r="A128" s="22"/>
      <c r="B128" s="23" t="s">
        <v>278</v>
      </c>
      <c r="C128" s="24"/>
      <c r="D128" s="29"/>
      <c r="E128" s="30"/>
      <c r="F128" s="31"/>
    </row>
    <row r="129" spans="1:8" ht="27.75" hidden="1" customHeight="1" thickTop="1">
      <c r="A129" s="22">
        <v>1</v>
      </c>
      <c r="B129" s="270" t="s">
        <v>88</v>
      </c>
      <c r="C129" s="271" t="s">
        <v>279</v>
      </c>
      <c r="D129" s="275"/>
      <c r="E129" s="276"/>
      <c r="F129" s="277"/>
    </row>
    <row r="130" spans="1:8" ht="27.75" hidden="1" customHeight="1" thickTop="1">
      <c r="A130" s="22">
        <v>2</v>
      </c>
      <c r="B130" s="280" t="s">
        <v>89</v>
      </c>
      <c r="C130" s="271" t="s">
        <v>279</v>
      </c>
      <c r="D130" s="175"/>
      <c r="E130" s="282"/>
      <c r="F130" s="222"/>
    </row>
    <row r="131" spans="1:8" ht="27.75" hidden="1" customHeight="1" thickTop="1">
      <c r="A131" s="22">
        <v>3</v>
      </c>
      <c r="B131" s="270" t="s">
        <v>280</v>
      </c>
      <c r="C131" s="271" t="s">
        <v>279</v>
      </c>
      <c r="D131" s="175"/>
      <c r="E131" s="282"/>
      <c r="F131" s="222"/>
    </row>
    <row r="132" spans="1:8" ht="27.75" hidden="1" customHeight="1" thickTop="1">
      <c r="A132" s="22">
        <v>4</v>
      </c>
      <c r="B132" s="280" t="s">
        <v>96</v>
      </c>
      <c r="C132" s="271" t="s">
        <v>279</v>
      </c>
      <c r="D132" s="175"/>
      <c r="E132" s="282"/>
      <c r="F132" s="222"/>
    </row>
    <row r="133" spans="1:8" ht="27.75" hidden="1" customHeight="1" thickTop="1">
      <c r="A133" s="22">
        <v>5</v>
      </c>
      <c r="B133" s="280" t="s">
        <v>281</v>
      </c>
      <c r="C133" s="271" t="s">
        <v>279</v>
      </c>
      <c r="D133" s="175"/>
      <c r="E133" s="282"/>
      <c r="F133" s="222"/>
    </row>
    <row r="134" spans="1:8" ht="27.75" hidden="1" customHeight="1" thickTop="1">
      <c r="A134" s="22">
        <v>6</v>
      </c>
      <c r="B134" s="280" t="s">
        <v>282</v>
      </c>
      <c r="C134" s="271" t="s">
        <v>279</v>
      </c>
      <c r="D134" s="175"/>
      <c r="E134" s="282"/>
      <c r="F134" s="222"/>
    </row>
    <row r="135" spans="1:8" ht="27.75" hidden="1" customHeight="1" thickTop="1">
      <c r="A135" s="22">
        <v>7</v>
      </c>
      <c r="B135" s="280" t="s">
        <v>92</v>
      </c>
      <c r="C135" s="271" t="s">
        <v>279</v>
      </c>
      <c r="D135" s="175"/>
      <c r="E135" s="282"/>
      <c r="F135" s="222"/>
    </row>
    <row r="136" spans="1:8" ht="27.75" hidden="1" customHeight="1" thickTop="1">
      <c r="A136" s="22">
        <v>8</v>
      </c>
      <c r="B136" s="280" t="s">
        <v>91</v>
      </c>
      <c r="C136" s="271" t="s">
        <v>279</v>
      </c>
      <c r="D136" s="175"/>
      <c r="E136" s="282"/>
      <c r="F136" s="222"/>
    </row>
    <row r="137" spans="1:8" ht="27.75" hidden="1" customHeight="1" thickTop="1">
      <c r="A137" s="22">
        <v>9</v>
      </c>
      <c r="B137" s="280" t="s">
        <v>236</v>
      </c>
      <c r="C137" s="271" t="s">
        <v>279</v>
      </c>
      <c r="D137" s="175"/>
      <c r="E137" s="282"/>
      <c r="F137" s="222"/>
    </row>
    <row r="138" spans="1:8" ht="27.75" hidden="1" customHeight="1" thickTop="1">
      <c r="A138" s="22">
        <v>10</v>
      </c>
      <c r="B138" s="280" t="s">
        <v>94</v>
      </c>
      <c r="C138" s="280" t="s">
        <v>279</v>
      </c>
      <c r="D138" s="175"/>
      <c r="E138" s="282"/>
      <c r="F138" s="222"/>
    </row>
    <row r="139" spans="1:8" ht="27.75" hidden="1" customHeight="1" thickTop="1">
      <c r="A139" s="22">
        <v>11</v>
      </c>
      <c r="B139" s="270"/>
      <c r="C139" s="285"/>
      <c r="D139" s="275"/>
      <c r="E139" s="276"/>
      <c r="F139" s="277"/>
    </row>
    <row r="140" spans="1:8" ht="27.75" hidden="1" customHeight="1" thickTop="1">
      <c r="A140" s="22"/>
      <c r="B140" s="131" t="s">
        <v>22</v>
      </c>
      <c r="C140" s="132"/>
      <c r="D140" s="287"/>
      <c r="E140" s="137"/>
      <c r="F140" s="138">
        <v>0</v>
      </c>
    </row>
    <row r="141" spans="1:8" ht="27.75" customHeight="1" thickTop="1">
      <c r="A141" s="22"/>
      <c r="B141" s="288" t="s">
        <v>283</v>
      </c>
      <c r="C141" s="289"/>
      <c r="D141" s="291"/>
      <c r="E141" s="292"/>
      <c r="F141" s="222"/>
    </row>
    <row r="142" spans="1:8" ht="27.75" customHeight="1">
      <c r="A142" s="94">
        <v>1</v>
      </c>
      <c r="B142" s="205" t="s">
        <v>192</v>
      </c>
      <c r="C142" s="206" t="s">
        <v>284</v>
      </c>
      <c r="D142" s="183">
        <v>45966</v>
      </c>
      <c r="E142" s="184" t="s">
        <v>677</v>
      </c>
      <c r="F142" s="231">
        <v>66660</v>
      </c>
    </row>
    <row r="143" spans="1:8" ht="27.75" customHeight="1" thickBot="1">
      <c r="A143" s="193"/>
      <c r="B143" s="308" t="s">
        <v>22</v>
      </c>
      <c r="C143" s="309"/>
      <c r="D143" s="314"/>
      <c r="E143" s="314"/>
      <c r="F143" s="310">
        <v>66660</v>
      </c>
      <c r="H143" s="520">
        <f>SUM(F142)</f>
        <v>66660</v>
      </c>
    </row>
    <row r="144" spans="1:8" ht="27.75" customHeight="1" thickTop="1">
      <c r="A144" s="22"/>
      <c r="B144" s="23" t="s">
        <v>292</v>
      </c>
      <c r="C144" s="24"/>
      <c r="D144" s="29"/>
      <c r="E144" s="30"/>
      <c r="F144" s="31"/>
    </row>
    <row r="145" spans="1:15" ht="27.75" customHeight="1">
      <c r="A145" s="316">
        <v>1</v>
      </c>
      <c r="B145" s="280" t="s">
        <v>249</v>
      </c>
      <c r="C145" s="280" t="s">
        <v>250</v>
      </c>
      <c r="D145" s="317">
        <v>45991</v>
      </c>
      <c r="E145" s="318" t="s">
        <v>678</v>
      </c>
      <c r="F145" s="319">
        <v>267.5</v>
      </c>
      <c r="O145" s="4" t="s">
        <v>707</v>
      </c>
    </row>
    <row r="146" spans="1:15" ht="27.75" customHeight="1">
      <c r="A146" s="316">
        <v>2</v>
      </c>
      <c r="B146" s="280" t="s">
        <v>294</v>
      </c>
      <c r="C146" s="280" t="s">
        <v>255</v>
      </c>
      <c r="D146" s="321" t="s">
        <v>629</v>
      </c>
      <c r="E146" s="322" t="s">
        <v>679</v>
      </c>
      <c r="F146" s="323">
        <v>128.4</v>
      </c>
    </row>
    <row r="147" spans="1:15" ht="27.75" customHeight="1">
      <c r="A147" s="22">
        <v>5</v>
      </c>
      <c r="B147" s="270" t="s">
        <v>298</v>
      </c>
      <c r="C147" s="270" t="s">
        <v>199</v>
      </c>
      <c r="D147" s="328">
        <v>45991</v>
      </c>
      <c r="E147" s="329" t="s">
        <v>680</v>
      </c>
      <c r="F147" s="330">
        <v>32.1</v>
      </c>
    </row>
    <row r="148" spans="1:15" ht="27.75" customHeight="1">
      <c r="A148" s="22">
        <v>6</v>
      </c>
      <c r="B148" s="270" t="s">
        <v>156</v>
      </c>
      <c r="C148" s="270" t="s">
        <v>208</v>
      </c>
      <c r="D148" s="328">
        <v>45963</v>
      </c>
      <c r="E148" s="329" t="s">
        <v>681</v>
      </c>
      <c r="F148" s="330">
        <v>117.7</v>
      </c>
    </row>
    <row r="149" spans="1:15" ht="27.75" customHeight="1">
      <c r="A149" s="22">
        <v>7</v>
      </c>
      <c r="B149" s="270" t="s">
        <v>273</v>
      </c>
      <c r="C149" s="270" t="s">
        <v>211</v>
      </c>
      <c r="D149" s="328">
        <v>45965</v>
      </c>
      <c r="E149" s="329" t="s">
        <v>682</v>
      </c>
      <c r="F149" s="330">
        <v>74.900000000000006</v>
      </c>
    </row>
    <row r="150" spans="1:15" ht="27.75" customHeight="1">
      <c r="A150" s="22">
        <v>8</v>
      </c>
      <c r="B150" s="270" t="s">
        <v>92</v>
      </c>
      <c r="C150" s="270" t="s">
        <v>302</v>
      </c>
      <c r="D150" s="331">
        <v>45991</v>
      </c>
      <c r="E150" s="332" t="s">
        <v>683</v>
      </c>
      <c r="F150" s="333">
        <v>214</v>
      </c>
    </row>
    <row r="151" spans="1:15" ht="27.75" customHeight="1" thickBot="1">
      <c r="A151" s="193"/>
      <c r="B151" s="194"/>
      <c r="C151" s="195"/>
      <c r="D151" s="338"/>
      <c r="E151" s="199"/>
      <c r="F151" s="196">
        <v>834.6</v>
      </c>
      <c r="H151" s="512">
        <f>SUM(F145:F150)</f>
        <v>834.6</v>
      </c>
    </row>
    <row r="152" spans="1:15" ht="27.75" customHeight="1" thickTop="1">
      <c r="A152" s="22"/>
      <c r="B152" s="288" t="s">
        <v>304</v>
      </c>
      <c r="C152" s="289"/>
      <c r="D152" s="291"/>
      <c r="E152" s="292"/>
      <c r="F152" s="222"/>
    </row>
    <row r="153" spans="1:15" ht="27.75" customHeight="1">
      <c r="A153" s="186">
        <v>1</v>
      </c>
      <c r="B153" s="205" t="s">
        <v>24</v>
      </c>
      <c r="C153" s="346" t="s">
        <v>25</v>
      </c>
      <c r="D153" s="113">
        <v>45962</v>
      </c>
      <c r="E153" s="114" t="s">
        <v>684</v>
      </c>
      <c r="F153" s="347">
        <v>1410</v>
      </c>
    </row>
    <row r="154" spans="1:15" ht="27.75" customHeight="1">
      <c r="A154" s="186">
        <v>2</v>
      </c>
      <c r="B154" s="205" t="s">
        <v>28</v>
      </c>
      <c r="C154" s="346" t="s">
        <v>311</v>
      </c>
      <c r="D154" s="113">
        <v>45965</v>
      </c>
      <c r="E154" s="114" t="s">
        <v>685</v>
      </c>
      <c r="F154" s="347">
        <v>1410</v>
      </c>
    </row>
    <row r="155" spans="1:15" ht="27.75" customHeight="1">
      <c r="A155" s="186">
        <v>3</v>
      </c>
      <c r="B155" s="205" t="s">
        <v>28</v>
      </c>
      <c r="C155" s="346" t="s">
        <v>315</v>
      </c>
      <c r="D155" s="113">
        <v>45965</v>
      </c>
      <c r="E155" s="114" t="s">
        <v>685</v>
      </c>
      <c r="F155" s="347">
        <v>1410</v>
      </c>
    </row>
    <row r="156" spans="1:15" ht="27.75" customHeight="1">
      <c r="A156" s="186">
        <v>4</v>
      </c>
      <c r="B156" s="205" t="s">
        <v>24</v>
      </c>
      <c r="C156" s="346" t="s">
        <v>316</v>
      </c>
      <c r="D156" s="113">
        <v>45962</v>
      </c>
      <c r="E156" s="114" t="s">
        <v>684</v>
      </c>
      <c r="F156" s="347">
        <v>1410</v>
      </c>
    </row>
    <row r="157" spans="1:15" ht="27.75" customHeight="1">
      <c r="A157" s="186">
        <v>5</v>
      </c>
      <c r="B157" s="205" t="s">
        <v>24</v>
      </c>
      <c r="C157" s="346" t="s">
        <v>318</v>
      </c>
      <c r="D157" s="113">
        <v>45962</v>
      </c>
      <c r="E157" s="114" t="s">
        <v>684</v>
      </c>
      <c r="F157" s="347">
        <v>1410</v>
      </c>
    </row>
    <row r="158" spans="1:15" ht="27.75" customHeight="1">
      <c r="A158" s="186">
        <v>6</v>
      </c>
      <c r="B158" s="205" t="s">
        <v>24</v>
      </c>
      <c r="C158" s="346" t="s">
        <v>319</v>
      </c>
      <c r="D158" s="113">
        <v>45962</v>
      </c>
      <c r="E158" s="114" t="s">
        <v>684</v>
      </c>
      <c r="F158" s="347">
        <v>1410</v>
      </c>
    </row>
    <row r="159" spans="1:15" ht="27.75" customHeight="1">
      <c r="A159" s="186">
        <v>7</v>
      </c>
      <c r="B159" s="205" t="s">
        <v>28</v>
      </c>
      <c r="C159" s="346" t="s">
        <v>320</v>
      </c>
      <c r="D159" s="113">
        <v>45965</v>
      </c>
      <c r="E159" s="114" t="s">
        <v>685</v>
      </c>
      <c r="F159" s="347">
        <v>1410</v>
      </c>
    </row>
    <row r="160" spans="1:15" ht="27.75" customHeight="1">
      <c r="A160" s="186">
        <v>8</v>
      </c>
      <c r="B160" s="205" t="s">
        <v>28</v>
      </c>
      <c r="C160" s="346" t="s">
        <v>321</v>
      </c>
      <c r="D160" s="113">
        <v>45965</v>
      </c>
      <c r="E160" s="114" t="s">
        <v>685</v>
      </c>
      <c r="F160" s="347">
        <v>1410</v>
      </c>
    </row>
    <row r="161" spans="1:6" ht="27.75" customHeight="1">
      <c r="A161" s="186">
        <v>9</v>
      </c>
      <c r="B161" s="205" t="s">
        <v>28</v>
      </c>
      <c r="C161" s="346" t="s">
        <v>322</v>
      </c>
      <c r="D161" s="113">
        <v>45965</v>
      </c>
      <c r="E161" s="114" t="s">
        <v>685</v>
      </c>
      <c r="F161" s="347">
        <v>1410</v>
      </c>
    </row>
    <row r="162" spans="1:6" ht="27.75" customHeight="1">
      <c r="A162" s="186">
        <v>10</v>
      </c>
      <c r="B162" s="205" t="s">
        <v>28</v>
      </c>
      <c r="C162" s="346" t="s">
        <v>323</v>
      </c>
      <c r="D162" s="113">
        <v>45965</v>
      </c>
      <c r="E162" s="114" t="s">
        <v>685</v>
      </c>
      <c r="F162" s="347">
        <v>1410</v>
      </c>
    </row>
    <row r="163" spans="1:6" ht="27.75" customHeight="1">
      <c r="A163" s="186">
        <v>11</v>
      </c>
      <c r="B163" s="205" t="s">
        <v>28</v>
      </c>
      <c r="C163" s="346" t="s">
        <v>324</v>
      </c>
      <c r="D163" s="113">
        <v>45965</v>
      </c>
      <c r="E163" s="114" t="s">
        <v>685</v>
      </c>
      <c r="F163" s="347">
        <v>1410</v>
      </c>
    </row>
    <row r="164" spans="1:6" ht="27.75" customHeight="1">
      <c r="A164" s="186">
        <v>12</v>
      </c>
      <c r="B164" s="205" t="s">
        <v>325</v>
      </c>
      <c r="C164" s="346" t="s">
        <v>326</v>
      </c>
      <c r="D164" s="113">
        <v>45966</v>
      </c>
      <c r="E164" s="114" t="s">
        <v>686</v>
      </c>
      <c r="F164" s="347">
        <v>1410</v>
      </c>
    </row>
    <row r="165" spans="1:6" ht="27.75" customHeight="1">
      <c r="A165" s="186">
        <v>13</v>
      </c>
      <c r="B165" s="205" t="s">
        <v>325</v>
      </c>
      <c r="C165" s="346" t="s">
        <v>330</v>
      </c>
      <c r="D165" s="113">
        <v>45966</v>
      </c>
      <c r="E165" s="114" t="s">
        <v>686</v>
      </c>
      <c r="F165" s="347">
        <v>1410</v>
      </c>
    </row>
    <row r="166" spans="1:6" ht="27.75" customHeight="1">
      <c r="A166" s="186">
        <v>14</v>
      </c>
      <c r="B166" s="205" t="s">
        <v>325</v>
      </c>
      <c r="C166" s="346" t="s">
        <v>331</v>
      </c>
      <c r="D166" s="113">
        <v>45966</v>
      </c>
      <c r="E166" s="114" t="s">
        <v>686</v>
      </c>
      <c r="F166" s="347">
        <v>1410</v>
      </c>
    </row>
    <row r="167" spans="1:6" ht="27.75" customHeight="1">
      <c r="A167" s="186">
        <v>15</v>
      </c>
      <c r="B167" s="205" t="s">
        <v>325</v>
      </c>
      <c r="C167" s="346" t="s">
        <v>332</v>
      </c>
      <c r="D167" s="113">
        <v>45966</v>
      </c>
      <c r="E167" s="114" t="s">
        <v>686</v>
      </c>
      <c r="F167" s="347">
        <v>1410</v>
      </c>
    </row>
    <row r="168" spans="1:6" ht="27.75" customHeight="1">
      <c r="A168" s="186">
        <v>16</v>
      </c>
      <c r="B168" s="205" t="s">
        <v>28</v>
      </c>
      <c r="C168" s="346" t="s">
        <v>333</v>
      </c>
      <c r="D168" s="113">
        <v>45965</v>
      </c>
      <c r="E168" s="114" t="s">
        <v>685</v>
      </c>
      <c r="F168" s="347">
        <v>1410</v>
      </c>
    </row>
    <row r="169" spans="1:6" ht="27.75" customHeight="1">
      <c r="A169" s="186">
        <v>17</v>
      </c>
      <c r="B169" s="205" t="s">
        <v>28</v>
      </c>
      <c r="C169" s="346" t="s">
        <v>334</v>
      </c>
      <c r="D169" s="113">
        <v>45965</v>
      </c>
      <c r="E169" s="114" t="s">
        <v>685</v>
      </c>
      <c r="F169" s="347">
        <v>1410</v>
      </c>
    </row>
    <row r="170" spans="1:6" ht="27.75" customHeight="1">
      <c r="A170" s="186">
        <v>18</v>
      </c>
      <c r="B170" s="205" t="s">
        <v>28</v>
      </c>
      <c r="C170" s="346" t="s">
        <v>335</v>
      </c>
      <c r="D170" s="113">
        <v>45965</v>
      </c>
      <c r="E170" s="114" t="s">
        <v>685</v>
      </c>
      <c r="F170" s="347">
        <v>1410</v>
      </c>
    </row>
    <row r="171" spans="1:6" ht="27.75" customHeight="1">
      <c r="A171" s="186">
        <v>19</v>
      </c>
      <c r="B171" s="205" t="s">
        <v>40</v>
      </c>
      <c r="C171" s="346" t="s">
        <v>336</v>
      </c>
      <c r="D171" s="113">
        <v>45966</v>
      </c>
      <c r="E171" s="114" t="s">
        <v>687</v>
      </c>
      <c r="F171" s="347">
        <v>1220</v>
      </c>
    </row>
    <row r="172" spans="1:6" ht="27.75" customHeight="1">
      <c r="A172" s="186">
        <v>20</v>
      </c>
      <c r="B172" s="205" t="s">
        <v>40</v>
      </c>
      <c r="C172" s="346" t="s">
        <v>338</v>
      </c>
      <c r="D172" s="113">
        <v>45966</v>
      </c>
      <c r="E172" s="114" t="s">
        <v>687</v>
      </c>
      <c r="F172" s="347">
        <v>1220</v>
      </c>
    </row>
    <row r="173" spans="1:6" ht="27.75" customHeight="1">
      <c r="A173" s="186">
        <v>21</v>
      </c>
      <c r="B173" s="205" t="s">
        <v>40</v>
      </c>
      <c r="C173" s="346" t="s">
        <v>339</v>
      </c>
      <c r="D173" s="113">
        <v>45966</v>
      </c>
      <c r="E173" s="114" t="s">
        <v>687</v>
      </c>
      <c r="F173" s="347">
        <v>1220</v>
      </c>
    </row>
    <row r="174" spans="1:6" ht="27.75" customHeight="1">
      <c r="A174" s="186">
        <v>22</v>
      </c>
      <c r="B174" s="40" t="s">
        <v>43</v>
      </c>
      <c r="C174" s="346" t="s">
        <v>340</v>
      </c>
      <c r="D174" s="113">
        <v>45963</v>
      </c>
      <c r="E174" s="114" t="s">
        <v>688</v>
      </c>
      <c r="F174" s="347">
        <v>1410</v>
      </c>
    </row>
    <row r="175" spans="1:6" ht="27.75" customHeight="1">
      <c r="A175" s="186">
        <v>23</v>
      </c>
      <c r="B175" s="40" t="s">
        <v>43</v>
      </c>
      <c r="C175" s="346" t="s">
        <v>344</v>
      </c>
      <c r="D175" s="113">
        <v>45963</v>
      </c>
      <c r="E175" s="114" t="s">
        <v>688</v>
      </c>
      <c r="F175" s="347">
        <v>1410</v>
      </c>
    </row>
    <row r="176" spans="1:6" ht="27.75" customHeight="1">
      <c r="A176" s="186">
        <v>24</v>
      </c>
      <c r="B176" s="40" t="s">
        <v>345</v>
      </c>
      <c r="C176" s="346" t="s">
        <v>346</v>
      </c>
      <c r="D176" s="113">
        <v>45964</v>
      </c>
      <c r="E176" s="114" t="s">
        <v>689</v>
      </c>
      <c r="F176" s="347">
        <v>1410</v>
      </c>
    </row>
    <row r="177" spans="1:6" ht="27.75" customHeight="1">
      <c r="A177" s="186">
        <v>25</v>
      </c>
      <c r="B177" s="40" t="s">
        <v>345</v>
      </c>
      <c r="C177" s="346" t="s">
        <v>348</v>
      </c>
      <c r="D177" s="113">
        <v>45964</v>
      </c>
      <c r="E177" s="114" t="s">
        <v>689</v>
      </c>
      <c r="F177" s="347">
        <v>1410</v>
      </c>
    </row>
    <row r="178" spans="1:6" ht="27.75" customHeight="1">
      <c r="A178" s="186">
        <v>26</v>
      </c>
      <c r="B178" s="40" t="s">
        <v>345</v>
      </c>
      <c r="C178" s="346" t="s">
        <v>349</v>
      </c>
      <c r="D178" s="113">
        <v>45964</v>
      </c>
      <c r="E178" s="114" t="s">
        <v>689</v>
      </c>
      <c r="F178" s="347">
        <v>1410</v>
      </c>
    </row>
    <row r="179" spans="1:6" ht="27.75" customHeight="1">
      <c r="A179" s="186">
        <v>27</v>
      </c>
      <c r="B179" s="40" t="s">
        <v>345</v>
      </c>
      <c r="C179" s="346" t="s">
        <v>350</v>
      </c>
      <c r="D179" s="113">
        <v>45964</v>
      </c>
      <c r="E179" s="114" t="s">
        <v>689</v>
      </c>
      <c r="F179" s="347">
        <v>1410</v>
      </c>
    </row>
    <row r="180" spans="1:6" ht="27.75" customHeight="1">
      <c r="A180" s="186">
        <v>28</v>
      </c>
      <c r="B180" s="40" t="s">
        <v>351</v>
      </c>
      <c r="C180" s="346" t="s">
        <v>352</v>
      </c>
      <c r="D180" s="113">
        <v>45965</v>
      </c>
      <c r="E180" s="114" t="s">
        <v>690</v>
      </c>
      <c r="F180" s="347">
        <v>1410</v>
      </c>
    </row>
    <row r="181" spans="1:6" ht="27.75" customHeight="1">
      <c r="A181" s="186">
        <v>29</v>
      </c>
      <c r="B181" s="40" t="s">
        <v>351</v>
      </c>
      <c r="C181" s="346" t="s">
        <v>354</v>
      </c>
      <c r="D181" s="113">
        <v>45965</v>
      </c>
      <c r="E181" s="114" t="s">
        <v>690</v>
      </c>
      <c r="F181" s="347">
        <v>1410</v>
      </c>
    </row>
    <row r="182" spans="1:6" ht="27.75" customHeight="1">
      <c r="A182" s="186">
        <v>30</v>
      </c>
      <c r="B182" s="40" t="s">
        <v>351</v>
      </c>
      <c r="C182" s="346" t="s">
        <v>355</v>
      </c>
      <c r="D182" s="113">
        <v>45965</v>
      </c>
      <c r="E182" s="114" t="s">
        <v>690</v>
      </c>
      <c r="F182" s="347">
        <v>1410</v>
      </c>
    </row>
    <row r="183" spans="1:6" ht="27.75" customHeight="1">
      <c r="A183" s="186">
        <v>31</v>
      </c>
      <c r="B183" s="40" t="s">
        <v>356</v>
      </c>
      <c r="C183" s="346" t="s">
        <v>357</v>
      </c>
      <c r="D183" s="113">
        <v>45966</v>
      </c>
      <c r="E183" s="114" t="s">
        <v>691</v>
      </c>
      <c r="F183" s="347">
        <v>1410</v>
      </c>
    </row>
    <row r="184" spans="1:6" ht="27.75" customHeight="1">
      <c r="A184" s="186">
        <v>32</v>
      </c>
      <c r="B184" s="40" t="s">
        <v>356</v>
      </c>
      <c r="C184" s="346" t="s">
        <v>360</v>
      </c>
      <c r="D184" s="113">
        <v>45966</v>
      </c>
      <c r="E184" s="114" t="s">
        <v>691</v>
      </c>
      <c r="F184" s="347">
        <v>1410</v>
      </c>
    </row>
    <row r="185" spans="1:6" ht="27.75" customHeight="1">
      <c r="A185" s="186">
        <v>33</v>
      </c>
      <c r="B185" s="40" t="s">
        <v>356</v>
      </c>
      <c r="C185" s="346" t="s">
        <v>361</v>
      </c>
      <c r="D185" s="113">
        <v>45966</v>
      </c>
      <c r="E185" s="114" t="s">
        <v>691</v>
      </c>
      <c r="F185" s="347">
        <v>1410</v>
      </c>
    </row>
    <row r="186" spans="1:6" ht="27.75" customHeight="1">
      <c r="A186" s="186">
        <v>34</v>
      </c>
      <c r="B186" s="40" t="s">
        <v>362</v>
      </c>
      <c r="C186" s="346" t="s">
        <v>363</v>
      </c>
      <c r="D186" s="113">
        <v>45962</v>
      </c>
      <c r="E186" s="114" t="s">
        <v>692</v>
      </c>
      <c r="F186" s="347">
        <v>1410</v>
      </c>
    </row>
    <row r="187" spans="1:6" ht="27.75" customHeight="1">
      <c r="A187" s="186">
        <v>35</v>
      </c>
      <c r="B187" s="40" t="s">
        <v>362</v>
      </c>
      <c r="C187" s="346" t="s">
        <v>367</v>
      </c>
      <c r="D187" s="113">
        <v>45962</v>
      </c>
      <c r="E187" s="114" t="s">
        <v>692</v>
      </c>
      <c r="F187" s="347">
        <v>1410</v>
      </c>
    </row>
    <row r="188" spans="1:6" ht="27.75" customHeight="1">
      <c r="A188" s="186">
        <v>36</v>
      </c>
      <c r="B188" s="40" t="s">
        <v>362</v>
      </c>
      <c r="C188" s="346" t="s">
        <v>368</v>
      </c>
      <c r="D188" s="113">
        <v>45962</v>
      </c>
      <c r="E188" s="114" t="s">
        <v>692</v>
      </c>
      <c r="F188" s="347">
        <v>1410</v>
      </c>
    </row>
    <row r="189" spans="1:6" ht="27.75" customHeight="1">
      <c r="A189" s="186">
        <v>37</v>
      </c>
      <c r="B189" s="40" t="s">
        <v>362</v>
      </c>
      <c r="C189" s="346" t="s">
        <v>369</v>
      </c>
      <c r="D189" s="113">
        <v>45962</v>
      </c>
      <c r="E189" s="114" t="s">
        <v>692</v>
      </c>
      <c r="F189" s="347">
        <v>1410</v>
      </c>
    </row>
    <row r="190" spans="1:6" ht="27.75" customHeight="1">
      <c r="A190" s="186">
        <v>38</v>
      </c>
      <c r="B190" s="40" t="s">
        <v>362</v>
      </c>
      <c r="C190" s="346" t="s">
        <v>370</v>
      </c>
      <c r="D190" s="113">
        <v>45962</v>
      </c>
      <c r="E190" s="114" t="s">
        <v>692</v>
      </c>
      <c r="F190" s="347">
        <v>1410</v>
      </c>
    </row>
    <row r="191" spans="1:6" ht="27.75" customHeight="1">
      <c r="A191" s="186">
        <v>39</v>
      </c>
      <c r="B191" s="40" t="s">
        <v>362</v>
      </c>
      <c r="C191" s="346" t="s">
        <v>371</v>
      </c>
      <c r="D191" s="113">
        <v>45962</v>
      </c>
      <c r="E191" s="114" t="s">
        <v>692</v>
      </c>
      <c r="F191" s="347">
        <v>1410</v>
      </c>
    </row>
    <row r="192" spans="1:6" ht="27.75" customHeight="1">
      <c r="A192" s="186">
        <v>40</v>
      </c>
      <c r="B192" s="40" t="s">
        <v>372</v>
      </c>
      <c r="C192" s="346" t="s">
        <v>373</v>
      </c>
      <c r="D192" s="113">
        <v>45962</v>
      </c>
      <c r="E192" s="114" t="s">
        <v>693</v>
      </c>
      <c r="F192" s="347">
        <v>1410</v>
      </c>
    </row>
    <row r="193" spans="1:8" ht="27.75" customHeight="1">
      <c r="A193" s="186">
        <v>41</v>
      </c>
      <c r="B193" s="40" t="s">
        <v>372</v>
      </c>
      <c r="C193" s="346" t="s">
        <v>377</v>
      </c>
      <c r="D193" s="113">
        <v>45962</v>
      </c>
      <c r="E193" s="114" t="s">
        <v>693</v>
      </c>
      <c r="F193" s="347">
        <v>1410</v>
      </c>
    </row>
    <row r="194" spans="1:8" ht="27.75" customHeight="1">
      <c r="A194" s="186">
        <v>42</v>
      </c>
      <c r="B194" s="40" t="s">
        <v>372</v>
      </c>
      <c r="C194" s="346" t="s">
        <v>378</v>
      </c>
      <c r="D194" s="113">
        <v>45962</v>
      </c>
      <c r="E194" s="114" t="s">
        <v>693</v>
      </c>
      <c r="F194" s="347">
        <v>1410</v>
      </c>
    </row>
    <row r="195" spans="1:8" ht="27.75" customHeight="1">
      <c r="A195" s="186">
        <v>43</v>
      </c>
      <c r="B195" s="40" t="s">
        <v>372</v>
      </c>
      <c r="C195" s="346" t="s">
        <v>379</v>
      </c>
      <c r="D195" s="113">
        <v>45962</v>
      </c>
      <c r="E195" s="114" t="s">
        <v>693</v>
      </c>
      <c r="F195" s="347">
        <v>1410</v>
      </c>
    </row>
    <row r="196" spans="1:8" ht="27.75" customHeight="1">
      <c r="A196" s="186">
        <v>44</v>
      </c>
      <c r="B196" s="40" t="s">
        <v>380</v>
      </c>
      <c r="C196" s="346" t="s">
        <v>381</v>
      </c>
      <c r="D196" s="175">
        <v>45966</v>
      </c>
      <c r="E196" s="176" t="s">
        <v>694</v>
      </c>
      <c r="F196" s="222">
        <v>1410</v>
      </c>
    </row>
    <row r="197" spans="1:8" ht="27.75" customHeight="1">
      <c r="A197" s="186">
        <v>45</v>
      </c>
      <c r="B197" s="40" t="s">
        <v>380</v>
      </c>
      <c r="C197" s="346" t="s">
        <v>385</v>
      </c>
      <c r="D197" s="175">
        <v>45966</v>
      </c>
      <c r="E197" s="176" t="s">
        <v>694</v>
      </c>
      <c r="F197" s="222">
        <v>1410</v>
      </c>
    </row>
    <row r="198" spans="1:8" ht="27.75" customHeight="1">
      <c r="A198" s="186">
        <v>46</v>
      </c>
      <c r="B198" s="40" t="s">
        <v>380</v>
      </c>
      <c r="C198" s="346" t="s">
        <v>386</v>
      </c>
      <c r="D198" s="175">
        <v>45966</v>
      </c>
      <c r="E198" s="176" t="s">
        <v>694</v>
      </c>
      <c r="F198" s="222">
        <v>1410</v>
      </c>
    </row>
    <row r="199" spans="1:8" ht="27.75" customHeight="1">
      <c r="A199" s="186">
        <v>47</v>
      </c>
      <c r="B199" s="40" t="s">
        <v>380</v>
      </c>
      <c r="C199" s="346" t="s">
        <v>387</v>
      </c>
      <c r="D199" s="175">
        <v>45966</v>
      </c>
      <c r="E199" s="176" t="s">
        <v>694</v>
      </c>
      <c r="F199" s="222">
        <v>1410</v>
      </c>
    </row>
    <row r="200" spans="1:8" ht="27.75" customHeight="1">
      <c r="A200" s="186">
        <v>48</v>
      </c>
      <c r="B200" s="351" t="s">
        <v>66</v>
      </c>
      <c r="C200" s="346" t="s">
        <v>388</v>
      </c>
      <c r="D200" s="175" t="s">
        <v>609</v>
      </c>
      <c r="E200" s="176" t="s">
        <v>695</v>
      </c>
      <c r="F200" s="222">
        <v>3520</v>
      </c>
    </row>
    <row r="201" spans="1:8" ht="27.75" customHeight="1">
      <c r="A201" s="186">
        <v>49</v>
      </c>
      <c r="B201" s="351" t="s">
        <v>66</v>
      </c>
      <c r="C201" s="346" t="s">
        <v>390</v>
      </c>
      <c r="D201" s="175" t="s">
        <v>609</v>
      </c>
      <c r="E201" s="176" t="s">
        <v>695</v>
      </c>
      <c r="F201" s="222">
        <v>3520</v>
      </c>
    </row>
    <row r="202" spans="1:8" ht="27.75" customHeight="1">
      <c r="A202" s="186">
        <v>50</v>
      </c>
      <c r="B202" s="351" t="s">
        <v>66</v>
      </c>
      <c r="C202" s="346" t="s">
        <v>391</v>
      </c>
      <c r="D202" s="175" t="s">
        <v>609</v>
      </c>
      <c r="E202" s="176" t="s">
        <v>695</v>
      </c>
      <c r="F202" s="222">
        <v>3520</v>
      </c>
    </row>
    <row r="203" spans="1:8" ht="27.75" customHeight="1">
      <c r="A203" s="186">
        <v>51</v>
      </c>
      <c r="B203" s="351" t="s">
        <v>66</v>
      </c>
      <c r="C203" s="346" t="s">
        <v>69</v>
      </c>
      <c r="D203" s="175" t="s">
        <v>609</v>
      </c>
      <c r="E203" s="176" t="s">
        <v>696</v>
      </c>
      <c r="F203" s="222">
        <v>5440</v>
      </c>
    </row>
    <row r="204" spans="1:8" ht="27.75" customHeight="1" thickBot="1">
      <c r="A204" s="357"/>
      <c r="B204" s="358"/>
      <c r="C204" s="359"/>
      <c r="D204" s="361"/>
      <c r="E204" s="361"/>
      <c r="F204" s="362">
        <v>81700</v>
      </c>
      <c r="H204" s="520">
        <f>SUM(F153:F203)</f>
        <v>81700</v>
      </c>
    </row>
    <row r="205" spans="1:8" ht="27.75" customHeight="1" thickTop="1">
      <c r="A205" s="94"/>
      <c r="B205" s="364" t="s">
        <v>395</v>
      </c>
      <c r="C205" s="81"/>
      <c r="D205" s="178"/>
      <c r="E205" s="179"/>
      <c r="F205" s="264"/>
    </row>
    <row r="206" spans="1:8" ht="27.75" customHeight="1">
      <c r="A206" s="94">
        <v>1</v>
      </c>
      <c r="B206" s="366" t="s">
        <v>167</v>
      </c>
      <c r="C206" s="367" t="s">
        <v>396</v>
      </c>
      <c r="D206" s="175">
        <v>45966</v>
      </c>
      <c r="E206" s="176" t="s">
        <v>697</v>
      </c>
      <c r="F206" s="222">
        <v>22690</v>
      </c>
    </row>
    <row r="207" spans="1:8" ht="27.75" customHeight="1">
      <c r="A207" s="94">
        <v>2</v>
      </c>
      <c r="B207" s="366" t="s">
        <v>24</v>
      </c>
      <c r="C207" s="367" t="s">
        <v>403</v>
      </c>
      <c r="D207" s="175" t="s">
        <v>698</v>
      </c>
      <c r="E207" s="176" t="s">
        <v>699</v>
      </c>
      <c r="F207" s="222">
        <v>41895</v>
      </c>
    </row>
    <row r="208" spans="1:8" ht="27.75" customHeight="1">
      <c r="A208" s="94">
        <v>3</v>
      </c>
      <c r="B208" s="366" t="s">
        <v>411</v>
      </c>
      <c r="C208" s="367" t="s">
        <v>412</v>
      </c>
      <c r="D208" s="175">
        <v>45966</v>
      </c>
      <c r="E208" s="176" t="s">
        <v>701</v>
      </c>
      <c r="F208" s="222">
        <v>5360</v>
      </c>
    </row>
    <row r="209" spans="1:8" ht="27.75" customHeight="1">
      <c r="A209" s="94">
        <v>4</v>
      </c>
      <c r="B209" s="366" t="s">
        <v>417</v>
      </c>
      <c r="C209" s="367" t="s">
        <v>418</v>
      </c>
      <c r="D209" s="175">
        <v>45982</v>
      </c>
      <c r="E209" s="176" t="s">
        <v>702</v>
      </c>
      <c r="F209" s="222">
        <v>68108.75</v>
      </c>
    </row>
    <row r="210" spans="1:8" ht="27.75" customHeight="1">
      <c r="A210" s="94">
        <v>5</v>
      </c>
      <c r="B210" s="366" t="s">
        <v>417</v>
      </c>
      <c r="C210" s="367" t="s">
        <v>421</v>
      </c>
      <c r="D210" s="175">
        <v>45962</v>
      </c>
      <c r="E210" s="176" t="s">
        <v>703</v>
      </c>
      <c r="F210" s="222">
        <v>4910</v>
      </c>
    </row>
    <row r="211" spans="1:8" ht="27.75" customHeight="1">
      <c r="A211" s="94">
        <v>6</v>
      </c>
      <c r="B211" s="366" t="s">
        <v>428</v>
      </c>
      <c r="C211" s="367" t="s">
        <v>429</v>
      </c>
      <c r="D211" s="175">
        <v>45966</v>
      </c>
      <c r="E211" s="176" t="s">
        <v>704</v>
      </c>
      <c r="F211" s="222">
        <v>20000</v>
      </c>
    </row>
    <row r="212" spans="1:8" ht="27.75" customHeight="1" thickBot="1">
      <c r="A212" s="193"/>
      <c r="B212" s="194" t="s">
        <v>22</v>
      </c>
      <c r="C212" s="195"/>
      <c r="D212" s="199"/>
      <c r="E212" s="199"/>
      <c r="F212" s="196">
        <v>162963.75</v>
      </c>
      <c r="H212" s="520">
        <f>SUM(F206:F211)</f>
        <v>162963.75</v>
      </c>
    </row>
    <row r="213" spans="1:8" ht="27.75" customHeight="1" thickTop="1">
      <c r="A213" s="22"/>
      <c r="B213" s="288" t="s">
        <v>433</v>
      </c>
      <c r="C213" s="380"/>
      <c r="D213" s="382"/>
      <c r="E213" s="382"/>
      <c r="F213" s="383"/>
    </row>
    <row r="214" spans="1:8" ht="27.75" customHeight="1">
      <c r="A214" s="22">
        <v>1</v>
      </c>
      <c r="B214" s="270" t="s">
        <v>438</v>
      </c>
      <c r="C214" s="380" t="s">
        <v>439</v>
      </c>
      <c r="D214" s="389">
        <v>45966</v>
      </c>
      <c r="E214" s="386" t="s">
        <v>705</v>
      </c>
      <c r="F214" s="383">
        <v>1500</v>
      </c>
    </row>
    <row r="215" spans="1:8" ht="27.75" customHeight="1" thickBot="1">
      <c r="A215" s="193"/>
      <c r="B215" s="194" t="s">
        <v>22</v>
      </c>
      <c r="C215" s="195"/>
      <c r="D215" s="393">
        <v>0</v>
      </c>
      <c r="E215" s="393">
        <v>0</v>
      </c>
      <c r="F215" s="394">
        <v>1500</v>
      </c>
      <c r="H215" s="520">
        <f>SUM(F214)</f>
        <v>1500</v>
      </c>
    </row>
    <row r="216" spans="1:8" ht="27.75" customHeight="1" thickTop="1" thickBot="1">
      <c r="A216" s="414"/>
      <c r="B216" s="415"/>
      <c r="C216" s="416" t="s">
        <v>468</v>
      </c>
      <c r="D216" s="421"/>
      <c r="E216" s="421"/>
      <c r="F216" s="422">
        <v>1040633.4199999999</v>
      </c>
      <c r="H216" s="521">
        <f>SUM(H24:H215)</f>
        <v>1040633.42</v>
      </c>
    </row>
    <row r="217" spans="1:8" s="226" customFormat="1" ht="27.75" customHeight="1" thickTop="1">
      <c r="A217" s="6"/>
      <c r="B217" s="500"/>
      <c r="D217" s="3"/>
      <c r="E217" s="372"/>
      <c r="F217" s="501"/>
    </row>
    <row r="218" spans="1:8" s="226" customFormat="1" ht="27.75" customHeight="1">
      <c r="A218" s="6"/>
      <c r="B218" s="500"/>
      <c r="D218" s="3"/>
      <c r="E218" s="372"/>
      <c r="F218" s="501"/>
    </row>
    <row r="219" spans="1:8" s="226" customFormat="1" ht="27.75" customHeight="1">
      <c r="A219" s="6"/>
      <c r="B219" s="500"/>
      <c r="D219" s="3"/>
      <c r="E219" s="372"/>
      <c r="F219" s="501"/>
    </row>
    <row r="220" spans="1:8" s="226" customFormat="1" ht="27.75" customHeight="1">
      <c r="A220" s="6"/>
      <c r="B220" s="500"/>
      <c r="D220" s="3"/>
      <c r="E220" s="372"/>
      <c r="F220" s="501"/>
    </row>
    <row r="221" spans="1:8" s="226" customFormat="1" ht="27.75" customHeight="1">
      <c r="A221" s="6"/>
      <c r="B221" s="500"/>
      <c r="D221" s="3"/>
      <c r="E221" s="372"/>
      <c r="F221" s="501"/>
    </row>
    <row r="222" spans="1:8" s="226" customFormat="1" ht="27.75" customHeight="1">
      <c r="A222" s="6"/>
      <c r="B222" s="500"/>
      <c r="D222" s="3"/>
      <c r="E222" s="372"/>
      <c r="F222" s="501"/>
    </row>
    <row r="223" spans="1:8" s="226" customFormat="1" ht="27.75" customHeight="1">
      <c r="A223" s="6"/>
      <c r="B223" s="500"/>
      <c r="D223" s="3"/>
      <c r="E223" s="372"/>
      <c r="F223" s="501"/>
    </row>
    <row r="224" spans="1:8" s="226" customFormat="1" ht="27.75" customHeight="1">
      <c r="A224" s="6"/>
      <c r="B224" s="500"/>
      <c r="D224" s="3"/>
      <c r="E224" s="372"/>
      <c r="F224" s="501"/>
    </row>
    <row r="225" spans="1:6" s="226" customFormat="1" ht="27.75" customHeight="1">
      <c r="A225" s="6"/>
      <c r="B225" s="500"/>
      <c r="D225" s="3"/>
      <c r="E225" s="372"/>
      <c r="F225" s="501"/>
    </row>
    <row r="226" spans="1:6" s="226" customFormat="1" ht="27.75" customHeight="1">
      <c r="A226" s="6"/>
      <c r="B226" s="500"/>
      <c r="D226" s="3"/>
      <c r="E226" s="372"/>
      <c r="F226" s="501"/>
    </row>
    <row r="227" spans="1:6" s="226" customFormat="1" ht="27.75" customHeight="1">
      <c r="A227" s="6"/>
      <c r="B227" s="500"/>
      <c r="D227" s="3"/>
      <c r="E227" s="372"/>
      <c r="F227" s="501"/>
    </row>
    <row r="228" spans="1:6" s="226" customFormat="1" ht="27.75" customHeight="1">
      <c r="A228" s="6"/>
      <c r="B228" s="500"/>
      <c r="D228" s="3"/>
      <c r="E228" s="372"/>
      <c r="F228" s="501"/>
    </row>
    <row r="229" spans="1:6" s="226" customFormat="1" ht="27.75" customHeight="1">
      <c r="A229" s="6"/>
      <c r="B229" s="500"/>
      <c r="D229" s="3"/>
      <c r="E229" s="372"/>
      <c r="F229" s="501"/>
    </row>
    <row r="230" spans="1:6" s="226" customFormat="1" ht="27.75" customHeight="1">
      <c r="A230" s="6"/>
      <c r="B230" s="500"/>
      <c r="D230" s="3"/>
      <c r="E230" s="372"/>
      <c r="F230" s="501"/>
    </row>
    <row r="231" spans="1:6" s="226" customFormat="1" ht="27.75" customHeight="1">
      <c r="A231" s="6"/>
      <c r="D231" s="3"/>
      <c r="E231" s="372"/>
      <c r="F231" s="501"/>
    </row>
    <row r="232" spans="1:6" ht="27.75" customHeight="1">
      <c r="B232" s="4"/>
      <c r="F232" s="4"/>
    </row>
    <row r="233" spans="1:6" ht="27.75" customHeight="1">
      <c r="B233" s="4"/>
      <c r="F233" s="4"/>
    </row>
    <row r="234" spans="1:6" ht="27.75" customHeight="1">
      <c r="B234" s="4"/>
      <c r="F234" s="4"/>
    </row>
    <row r="235" spans="1:6" ht="27.75" customHeight="1">
      <c r="B235" s="4"/>
      <c r="F235" s="4"/>
    </row>
    <row r="236" spans="1:6" ht="27.75" customHeight="1">
      <c r="B236" s="4"/>
      <c r="F236" s="4"/>
    </row>
    <row r="237" spans="1:6" ht="27.75" customHeight="1">
      <c r="B237" s="4"/>
      <c r="F237" s="4"/>
    </row>
    <row r="238" spans="1:6" ht="27.75" customHeight="1">
      <c r="B238" s="4"/>
      <c r="F238" s="4"/>
    </row>
    <row r="239" spans="1:6" ht="27.75" customHeight="1">
      <c r="B239" s="4"/>
      <c r="F239" s="4"/>
    </row>
    <row r="240" spans="1:6" ht="27.75" customHeight="1">
      <c r="B240" s="4"/>
      <c r="F240" s="4"/>
    </row>
    <row r="241" spans="2:6" ht="27.75" customHeight="1">
      <c r="B241" s="4"/>
      <c r="F241" s="4"/>
    </row>
    <row r="242" spans="2:6" ht="27.75" customHeight="1">
      <c r="B242" s="4"/>
      <c r="F242" s="4"/>
    </row>
    <row r="243" spans="2:6" ht="27.75" customHeight="1">
      <c r="B243" s="4"/>
      <c r="F243" s="4"/>
    </row>
    <row r="244" spans="2:6" ht="27.75" customHeight="1">
      <c r="B244" s="4"/>
      <c r="F244" s="4"/>
    </row>
    <row r="245" spans="2:6" ht="27.75" customHeight="1">
      <c r="B245" s="4"/>
      <c r="F245" s="4"/>
    </row>
    <row r="246" spans="2:6" ht="27.75" customHeight="1">
      <c r="B246" s="4"/>
      <c r="F246" s="4"/>
    </row>
    <row r="247" spans="2:6" ht="27.75" customHeight="1">
      <c r="B247" s="4"/>
      <c r="F247" s="4"/>
    </row>
    <row r="259" spans="2:6" ht="27.75" customHeight="1">
      <c r="B259" s="4"/>
      <c r="F259" s="4"/>
    </row>
    <row r="260" spans="2:6" ht="27.75" customHeight="1">
      <c r="B260" s="4"/>
      <c r="F260" s="4"/>
    </row>
    <row r="261" spans="2:6" ht="27.75" customHeight="1">
      <c r="B261" s="4"/>
      <c r="F261" s="4"/>
    </row>
    <row r="262" spans="2:6" ht="27.75" customHeight="1">
      <c r="B262" s="4"/>
      <c r="F262" s="4"/>
    </row>
    <row r="263" spans="2:6" ht="27.75" customHeight="1">
      <c r="B263" s="4"/>
      <c r="F263" s="4"/>
    </row>
    <row r="264" spans="2:6" ht="27.75" customHeight="1">
      <c r="B264" s="4"/>
      <c r="F264" s="4"/>
    </row>
    <row r="265" spans="2:6" ht="27.75" customHeight="1">
      <c r="B265" s="4"/>
      <c r="F265" s="4"/>
    </row>
    <row r="266" spans="2:6" ht="27.75" customHeight="1">
      <c r="B266" s="4"/>
      <c r="F266" s="4"/>
    </row>
    <row r="267" spans="2:6" ht="27.75" customHeight="1">
      <c r="B267" s="4"/>
      <c r="F267" s="4"/>
    </row>
    <row r="268" spans="2:6" ht="27.75" customHeight="1">
      <c r="B268" s="4"/>
      <c r="F268" s="4"/>
    </row>
    <row r="269" spans="2:6" ht="27.75" customHeight="1">
      <c r="B269" s="4"/>
      <c r="F269" s="4"/>
    </row>
    <row r="270" spans="2:6" ht="27.75" customHeight="1">
      <c r="B270" s="4"/>
      <c r="F270" s="4"/>
    </row>
    <row r="271" spans="2:6" ht="27.75" customHeight="1">
      <c r="B271" s="4"/>
      <c r="F271" s="4"/>
    </row>
  </sheetData>
  <mergeCells count="8">
    <mergeCell ref="A5:A6"/>
    <mergeCell ref="B5:B6"/>
    <mergeCell ref="C5:C6"/>
    <mergeCell ref="A1:F1"/>
    <mergeCell ref="A2:F2"/>
    <mergeCell ref="A3:F3"/>
    <mergeCell ref="E5:E6"/>
    <mergeCell ref="F5:F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4E257-1456-4DB2-8D23-FD694F293C1C}">
  <sheetPr>
    <tabColor rgb="FF92D050"/>
  </sheetPr>
  <dimension ref="A1:Q139"/>
  <sheetViews>
    <sheetView zoomScale="60" zoomScaleNormal="60" workbookViewId="0">
      <pane ySplit="6" topLeftCell="A59" activePane="bottomLeft" state="frozen"/>
      <selection pane="bottomLeft" activeCell="P79" sqref="P79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6.88671875" style="552" customWidth="1"/>
    <col min="5" max="5" width="20" style="372" customWidth="1"/>
    <col min="6" max="6" width="9.109375" style="2" customWidth="1"/>
    <col min="7" max="7" width="23.6640625" style="507" customWidth="1"/>
    <col min="8" max="8" width="5.33203125" style="2" hidden="1" customWidth="1"/>
    <col min="9" max="9" width="9" style="508" hidden="1" customWidth="1"/>
    <col min="10" max="10" width="9.6640625" style="508" hidden="1" customWidth="1"/>
    <col min="11" max="11" width="10.88671875" style="512" hidden="1" customWidth="1"/>
    <col min="12" max="12" width="24.5546875" style="512" hidden="1" customWidth="1"/>
    <col min="13" max="14" width="8.88671875" style="4" hidden="1" customWidth="1"/>
    <col min="15" max="15" width="8.88671875" style="4"/>
    <col min="16" max="16" width="13.33203125" style="4" customWidth="1"/>
    <col min="17" max="17" width="9.5546875" style="4" bestFit="1" customWidth="1"/>
    <col min="18" max="16384" width="8.88671875" style="4"/>
  </cols>
  <sheetData>
    <row r="1" spans="1:16" ht="28.5" customHeight="1">
      <c r="A1" s="653" t="s">
        <v>0</v>
      </c>
      <c r="B1" s="653"/>
      <c r="C1" s="653"/>
      <c r="D1" s="653"/>
      <c r="E1" s="653"/>
      <c r="F1" s="653"/>
      <c r="G1" s="653"/>
      <c r="I1" s="3"/>
      <c r="J1" s="3"/>
      <c r="K1" s="1"/>
      <c r="L1" s="1"/>
    </row>
    <row r="2" spans="1:16" ht="23.25" customHeight="1">
      <c r="A2" s="653" t="s">
        <v>1</v>
      </c>
      <c r="B2" s="653"/>
      <c r="C2" s="653"/>
      <c r="D2" s="653"/>
      <c r="E2" s="653"/>
      <c r="F2" s="653"/>
      <c r="G2" s="653"/>
      <c r="H2" s="5"/>
      <c r="I2" s="3"/>
      <c r="J2" s="3"/>
      <c r="K2" s="1"/>
      <c r="L2" s="1"/>
    </row>
    <row r="3" spans="1:16" ht="28.5" customHeight="1">
      <c r="A3" s="654" t="s">
        <v>597</v>
      </c>
      <c r="B3" s="654"/>
      <c r="C3" s="654"/>
      <c r="D3" s="654"/>
      <c r="E3" s="654"/>
      <c r="F3" s="654"/>
      <c r="G3" s="654"/>
      <c r="I3" s="3"/>
      <c r="J3" s="3"/>
      <c r="K3" s="6"/>
      <c r="L3" s="6"/>
    </row>
    <row r="4" spans="1:16" ht="27.75" customHeight="1">
      <c r="A4" s="7"/>
      <c r="B4" s="8"/>
      <c r="C4" s="9"/>
      <c r="D4" s="522"/>
      <c r="E4" s="655" t="s">
        <v>5</v>
      </c>
      <c r="F4" s="656"/>
      <c r="G4" s="657"/>
      <c r="H4" s="658" t="s">
        <v>6</v>
      </c>
      <c r="I4" s="671" t="s">
        <v>7</v>
      </c>
      <c r="J4" s="671" t="s">
        <v>8</v>
      </c>
      <c r="K4" s="661" t="s">
        <v>9</v>
      </c>
      <c r="L4" s="661" t="s">
        <v>10</v>
      </c>
    </row>
    <row r="5" spans="1:16" ht="27.75" customHeight="1">
      <c r="A5" s="664" t="s">
        <v>11</v>
      </c>
      <c r="B5" s="666" t="s">
        <v>12</v>
      </c>
      <c r="C5" s="666" t="s">
        <v>13</v>
      </c>
      <c r="D5" s="523" t="s">
        <v>557</v>
      </c>
      <c r="E5" s="664" t="s">
        <v>15</v>
      </c>
      <c r="F5" s="669" t="s">
        <v>16</v>
      </c>
      <c r="G5" s="514"/>
      <c r="H5" s="659"/>
      <c r="I5" s="672"/>
      <c r="J5" s="672"/>
      <c r="K5" s="662"/>
      <c r="L5" s="662"/>
    </row>
    <row r="6" spans="1:16" ht="27.75" customHeight="1" thickBot="1">
      <c r="A6" s="665"/>
      <c r="B6" s="667"/>
      <c r="C6" s="667"/>
      <c r="D6" s="524"/>
      <c r="E6" s="668"/>
      <c r="F6" s="670"/>
      <c r="G6" s="21" t="s">
        <v>22</v>
      </c>
      <c r="H6" s="660"/>
      <c r="I6" s="673"/>
      <c r="J6" s="673"/>
      <c r="K6" s="663"/>
      <c r="L6" s="663"/>
    </row>
    <row r="7" spans="1:16" s="91" customFormat="1" ht="27.75" customHeight="1" thickTop="1">
      <c r="A7" s="39">
        <v>1</v>
      </c>
      <c r="B7" s="80" t="s">
        <v>71</v>
      </c>
      <c r="C7" s="81" t="s">
        <v>72</v>
      </c>
      <c r="D7" s="528">
        <v>6687.5</v>
      </c>
      <c r="E7" s="87"/>
      <c r="F7" s="88"/>
      <c r="G7" s="519"/>
      <c r="H7" s="39"/>
      <c r="I7" s="55"/>
      <c r="J7" s="55"/>
      <c r="K7" s="58"/>
      <c r="L7" s="58"/>
    </row>
    <row r="8" spans="1:16" s="57" customFormat="1" ht="27.75" customHeight="1" thickBot="1">
      <c r="A8" s="96"/>
      <c r="B8" s="97" t="s">
        <v>22</v>
      </c>
      <c r="C8" s="98"/>
      <c r="D8" s="530"/>
      <c r="E8" s="106"/>
      <c r="F8" s="107"/>
      <c r="G8" s="109"/>
      <c r="H8" s="39"/>
      <c r="I8" s="55"/>
      <c r="J8" s="55"/>
      <c r="K8" s="56"/>
      <c r="L8" s="56"/>
    </row>
    <row r="9" spans="1:16" ht="27.75" customHeight="1" thickTop="1">
      <c r="A9" s="39">
        <v>1</v>
      </c>
      <c r="B9" s="40" t="s">
        <v>78</v>
      </c>
      <c r="C9" s="81" t="s">
        <v>72</v>
      </c>
      <c r="D9" s="528"/>
      <c r="E9" s="94" t="s">
        <v>522</v>
      </c>
      <c r="F9" s="116">
        <v>1</v>
      </c>
      <c r="G9" s="54">
        <v>11006.113364485982</v>
      </c>
      <c r="H9" s="39"/>
      <c r="I9" s="55"/>
      <c r="J9" s="55"/>
      <c r="K9" s="56"/>
      <c r="L9" s="56"/>
    </row>
    <row r="10" spans="1:16" ht="27.75" customHeight="1">
      <c r="A10" s="39">
        <v>2</v>
      </c>
      <c r="B10" s="40" t="s">
        <v>82</v>
      </c>
      <c r="C10" s="41" t="s">
        <v>72</v>
      </c>
      <c r="D10" s="529"/>
      <c r="E10" s="94" t="s">
        <v>522</v>
      </c>
      <c r="F10" s="116">
        <v>1</v>
      </c>
      <c r="G10" s="54">
        <v>2713.518130841122</v>
      </c>
      <c r="H10" s="39"/>
      <c r="I10" s="55"/>
      <c r="J10" s="55"/>
      <c r="K10" s="56"/>
      <c r="L10" s="56"/>
    </row>
    <row r="11" spans="1:16" s="57" customFormat="1" ht="27.75" customHeight="1" thickBot="1">
      <c r="A11" s="96"/>
      <c r="B11" s="97" t="s">
        <v>22</v>
      </c>
      <c r="C11" s="98"/>
      <c r="D11" s="530"/>
      <c r="E11" s="106"/>
      <c r="F11" s="107"/>
      <c r="G11" s="108">
        <v>13719.63224299065</v>
      </c>
      <c r="H11" s="39"/>
      <c r="I11" s="55"/>
      <c r="J11" s="55"/>
      <c r="K11" s="56"/>
      <c r="L11" s="56"/>
      <c r="P11" s="57">
        <f>SUM(G9:G10)</f>
        <v>13719.631495327103</v>
      </c>
    </row>
    <row r="12" spans="1:16" ht="27.75" hidden="1" customHeight="1" thickBot="1">
      <c r="A12" s="39">
        <v>1</v>
      </c>
      <c r="B12" s="40" t="s">
        <v>88</v>
      </c>
      <c r="C12" s="41" t="s">
        <v>72</v>
      </c>
      <c r="D12" s="529"/>
      <c r="E12" s="94"/>
      <c r="F12" s="39"/>
      <c r="G12" s="54">
        <v>0</v>
      </c>
      <c r="H12" s="122"/>
      <c r="I12" s="37"/>
      <c r="J12" s="37"/>
      <c r="K12" s="38"/>
      <c r="L12" s="38"/>
    </row>
    <row r="13" spans="1:16" ht="27.75" hidden="1" customHeight="1" thickTop="1">
      <c r="A13" s="39">
        <v>2</v>
      </c>
      <c r="B13" s="40" t="s">
        <v>89</v>
      </c>
      <c r="C13" s="41" t="s">
        <v>72</v>
      </c>
      <c r="D13" s="529"/>
      <c r="E13" s="94"/>
      <c r="F13" s="39"/>
      <c r="G13" s="54">
        <v>0</v>
      </c>
      <c r="H13" s="122"/>
      <c r="I13" s="37"/>
      <c r="J13" s="37"/>
      <c r="K13" s="38"/>
      <c r="L13" s="38"/>
    </row>
    <row r="14" spans="1:16" ht="27.75" hidden="1" customHeight="1" thickTop="1">
      <c r="A14" s="39">
        <v>3</v>
      </c>
      <c r="B14" s="40" t="s">
        <v>90</v>
      </c>
      <c r="C14" s="41" t="s">
        <v>72</v>
      </c>
      <c r="D14" s="529"/>
      <c r="E14" s="94"/>
      <c r="F14" s="39"/>
      <c r="G14" s="54">
        <v>0</v>
      </c>
      <c r="H14" s="122"/>
      <c r="I14" s="37"/>
      <c r="J14" s="37"/>
      <c r="K14" s="38"/>
      <c r="L14" s="38"/>
    </row>
    <row r="15" spans="1:16" ht="27.75" hidden="1" customHeight="1" thickTop="1">
      <c r="A15" s="39">
        <v>4</v>
      </c>
      <c r="B15" s="40" t="s">
        <v>91</v>
      </c>
      <c r="C15" s="41" t="s">
        <v>72</v>
      </c>
      <c r="D15" s="529"/>
      <c r="E15" s="94"/>
      <c r="F15" s="39"/>
      <c r="G15" s="54">
        <v>0</v>
      </c>
      <c r="H15" s="122"/>
      <c r="I15" s="37"/>
      <c r="J15" s="37"/>
      <c r="K15" s="38"/>
      <c r="L15" s="38"/>
    </row>
    <row r="16" spans="1:16" ht="27.75" hidden="1" customHeight="1" thickTop="1">
      <c r="A16" s="39">
        <v>5</v>
      </c>
      <c r="B16" s="40" t="s">
        <v>92</v>
      </c>
      <c r="C16" s="41" t="s">
        <v>72</v>
      </c>
      <c r="D16" s="529"/>
      <c r="E16" s="94"/>
      <c r="F16" s="39"/>
      <c r="G16" s="54">
        <v>0</v>
      </c>
      <c r="H16" s="122"/>
      <c r="I16" s="37"/>
      <c r="J16" s="37"/>
      <c r="K16" s="38"/>
      <c r="L16" s="38"/>
    </row>
    <row r="17" spans="1:16" ht="27.75" hidden="1" customHeight="1" thickTop="1">
      <c r="A17" s="39">
        <v>6</v>
      </c>
      <c r="B17" s="123" t="s">
        <v>93</v>
      </c>
      <c r="C17" s="41" t="s">
        <v>72</v>
      </c>
      <c r="D17" s="529"/>
      <c r="E17" s="94"/>
      <c r="F17" s="39"/>
      <c r="G17" s="54">
        <v>0</v>
      </c>
      <c r="H17" s="122"/>
      <c r="I17" s="37"/>
      <c r="J17" s="37"/>
      <c r="K17" s="38"/>
      <c r="L17" s="38"/>
    </row>
    <row r="18" spans="1:16" ht="27.75" hidden="1" customHeight="1" thickTop="1">
      <c r="A18" s="39">
        <v>7</v>
      </c>
      <c r="B18" s="40" t="s">
        <v>94</v>
      </c>
      <c r="C18" s="41" t="s">
        <v>72</v>
      </c>
      <c r="D18" s="529"/>
      <c r="E18" s="94"/>
      <c r="F18" s="39"/>
      <c r="G18" s="54">
        <v>0</v>
      </c>
      <c r="H18" s="122"/>
      <c r="I18" s="37"/>
      <c r="J18" s="37"/>
      <c r="K18" s="38"/>
      <c r="L18" s="38"/>
    </row>
    <row r="19" spans="1:16" ht="27.75" hidden="1" customHeight="1" thickTop="1">
      <c r="A19" s="39">
        <v>8</v>
      </c>
      <c r="B19" s="40" t="s">
        <v>95</v>
      </c>
      <c r="C19" s="41" t="s">
        <v>72</v>
      </c>
      <c r="D19" s="529"/>
      <c r="E19" s="94"/>
      <c r="F19" s="39"/>
      <c r="G19" s="54">
        <v>0</v>
      </c>
      <c r="H19" s="122"/>
      <c r="I19" s="37"/>
      <c r="J19" s="37"/>
      <c r="K19" s="38"/>
      <c r="L19" s="38"/>
    </row>
    <row r="20" spans="1:16" ht="27.75" hidden="1" customHeight="1" thickTop="1">
      <c r="A20" s="39">
        <v>9</v>
      </c>
      <c r="B20" s="40" t="s">
        <v>96</v>
      </c>
      <c r="C20" s="41" t="s">
        <v>72</v>
      </c>
      <c r="D20" s="529"/>
      <c r="E20" s="94"/>
      <c r="F20" s="39"/>
      <c r="G20" s="54">
        <v>0</v>
      </c>
      <c r="H20" s="122"/>
      <c r="I20" s="37"/>
      <c r="J20" s="37"/>
      <c r="K20" s="38"/>
      <c r="L20" s="38"/>
    </row>
    <row r="21" spans="1:16" ht="27.75" hidden="1" customHeight="1" thickTop="1">
      <c r="A21" s="39">
        <v>10</v>
      </c>
      <c r="B21" s="40" t="s">
        <v>97</v>
      </c>
      <c r="C21" s="41" t="s">
        <v>72</v>
      </c>
      <c r="D21" s="529"/>
      <c r="E21" s="94"/>
      <c r="F21" s="39"/>
      <c r="G21" s="54">
        <v>0</v>
      </c>
      <c r="H21" s="122"/>
      <c r="I21" s="37"/>
      <c r="J21" s="37"/>
      <c r="K21" s="38"/>
      <c r="L21" s="38"/>
    </row>
    <row r="22" spans="1:16" ht="27.75" hidden="1" customHeight="1" thickTop="1">
      <c r="A22" s="39">
        <v>11</v>
      </c>
      <c r="B22" s="40" t="s">
        <v>98</v>
      </c>
      <c r="C22" s="41" t="s">
        <v>72</v>
      </c>
      <c r="D22" s="529"/>
      <c r="E22" s="94"/>
      <c r="F22" s="39"/>
      <c r="G22" s="54">
        <v>0</v>
      </c>
      <c r="H22" s="122"/>
      <c r="I22" s="37"/>
      <c r="J22" s="37"/>
      <c r="K22" s="38"/>
      <c r="L22" s="38"/>
    </row>
    <row r="23" spans="1:16" ht="27.75" hidden="1" customHeight="1" thickTop="1">
      <c r="A23" s="39">
        <v>12</v>
      </c>
      <c r="B23" s="40" t="s">
        <v>99</v>
      </c>
      <c r="C23" s="41" t="s">
        <v>72</v>
      </c>
      <c r="D23" s="529"/>
      <c r="E23" s="94"/>
      <c r="F23" s="39"/>
      <c r="G23" s="54">
        <v>0</v>
      </c>
      <c r="H23" s="122"/>
      <c r="I23" s="37"/>
      <c r="J23" s="37"/>
      <c r="K23" s="38"/>
      <c r="L23" s="38"/>
    </row>
    <row r="24" spans="1:16" ht="27.75" hidden="1" customHeight="1" thickTop="1">
      <c r="A24" s="39"/>
      <c r="B24" s="123"/>
      <c r="C24" s="41"/>
      <c r="D24" s="528"/>
      <c r="E24" s="83"/>
      <c r="F24" s="130"/>
      <c r="G24" s="54">
        <v>0</v>
      </c>
      <c r="H24" s="122"/>
      <c r="I24" s="37"/>
      <c r="J24" s="37"/>
      <c r="K24" s="38"/>
      <c r="L24" s="38"/>
    </row>
    <row r="25" spans="1:16" ht="27.75" hidden="1" customHeight="1" thickTop="1">
      <c r="A25" s="22"/>
      <c r="B25" s="131" t="s">
        <v>22</v>
      </c>
      <c r="C25" s="132"/>
      <c r="D25" s="531"/>
      <c r="E25" s="139"/>
      <c r="F25" s="133"/>
      <c r="G25" s="136">
        <v>0</v>
      </c>
      <c r="H25" s="36"/>
      <c r="I25" s="37"/>
      <c r="J25" s="37"/>
      <c r="K25" s="38"/>
      <c r="L25" s="38"/>
      <c r="M25" s="38"/>
    </row>
    <row r="26" spans="1:16" ht="27.75" customHeight="1" thickTop="1">
      <c r="A26" s="22"/>
      <c r="B26" s="23" t="s">
        <v>100</v>
      </c>
      <c r="C26" s="24"/>
      <c r="D26" s="525"/>
      <c r="E26" s="32"/>
      <c r="F26" s="33"/>
      <c r="G26" s="35"/>
      <c r="H26" s="36"/>
      <c r="I26" s="37"/>
      <c r="J26" s="37"/>
      <c r="K26" s="38"/>
      <c r="L26" s="38"/>
      <c r="M26" s="38"/>
    </row>
    <row r="27" spans="1:16" s="57" customFormat="1" ht="27.75" customHeight="1">
      <c r="A27" s="22">
        <v>1</v>
      </c>
      <c r="B27" s="150" t="s">
        <v>104</v>
      </c>
      <c r="C27" s="140" t="s">
        <v>102</v>
      </c>
      <c r="D27" s="529"/>
      <c r="E27" s="94" t="s">
        <v>522</v>
      </c>
      <c r="F27" s="39">
        <v>1</v>
      </c>
      <c r="G27" s="47">
        <v>321</v>
      </c>
      <c r="H27" s="146"/>
      <c r="I27" s="148"/>
      <c r="J27" s="148"/>
      <c r="K27" s="149"/>
      <c r="L27" s="149"/>
    </row>
    <row r="28" spans="1:16" s="169" customFormat="1" ht="27.75" customHeight="1">
      <c r="A28" s="152">
        <v>2</v>
      </c>
      <c r="B28" s="153" t="s">
        <v>106</v>
      </c>
      <c r="C28" s="154" t="s">
        <v>102</v>
      </c>
      <c r="D28" s="532">
        <v>1284</v>
      </c>
      <c r="E28" s="163"/>
      <c r="F28" s="164"/>
      <c r="G28" s="159"/>
      <c r="H28" s="166"/>
      <c r="I28" s="167"/>
      <c r="J28" s="167"/>
      <c r="K28" s="168"/>
      <c r="L28" s="168"/>
    </row>
    <row r="29" spans="1:16" s="57" customFormat="1" ht="27.75" customHeight="1">
      <c r="A29" s="22">
        <v>3</v>
      </c>
      <c r="B29" s="181" t="s">
        <v>138</v>
      </c>
      <c r="C29" s="182" t="s">
        <v>139</v>
      </c>
      <c r="D29" s="534">
        <v>160.5</v>
      </c>
      <c r="E29" s="186"/>
      <c r="F29" s="44"/>
      <c r="G29" s="47"/>
      <c r="H29" s="146"/>
      <c r="I29" s="148"/>
      <c r="J29" s="148"/>
      <c r="K29" s="149"/>
      <c r="L29" s="149"/>
    </row>
    <row r="30" spans="1:16" s="57" customFormat="1" ht="27.75" customHeight="1">
      <c r="A30" s="22">
        <v>4</v>
      </c>
      <c r="B30" s="170" t="s">
        <v>153</v>
      </c>
      <c r="C30" s="140" t="s">
        <v>102</v>
      </c>
      <c r="D30" s="533">
        <v>160.5</v>
      </c>
      <c r="E30" s="171"/>
      <c r="F30" s="172"/>
      <c r="G30" s="47"/>
      <c r="H30" s="146"/>
      <c r="I30" s="148"/>
      <c r="J30" s="148"/>
      <c r="K30" s="149"/>
      <c r="L30" s="149"/>
    </row>
    <row r="31" spans="1:16" s="57" customFormat="1" ht="27.75" customHeight="1">
      <c r="A31" s="22">
        <v>5</v>
      </c>
      <c r="B31" s="170" t="s">
        <v>158</v>
      </c>
      <c r="C31" s="140" t="s">
        <v>102</v>
      </c>
      <c r="D31" s="533">
        <v>2927</v>
      </c>
      <c r="E31" s="171"/>
      <c r="F31" s="172"/>
      <c r="G31" s="47"/>
      <c r="H31" s="146"/>
      <c r="I31" s="148"/>
      <c r="J31" s="148"/>
      <c r="K31" s="149"/>
      <c r="L31" s="149"/>
    </row>
    <row r="32" spans="1:16" ht="27.75" customHeight="1" thickBot="1">
      <c r="A32" s="193"/>
      <c r="B32" s="194" t="s">
        <v>22</v>
      </c>
      <c r="C32" s="195"/>
      <c r="D32" s="535"/>
      <c r="E32" s="200"/>
      <c r="F32" s="196"/>
      <c r="G32" s="198">
        <v>321</v>
      </c>
      <c r="H32" s="36"/>
      <c r="I32" s="37"/>
      <c r="J32" s="37"/>
      <c r="K32" s="38"/>
      <c r="L32" s="38"/>
      <c r="M32" s="38"/>
      <c r="P32" s="507">
        <f>SUM(G27)</f>
        <v>321</v>
      </c>
    </row>
    <row r="33" spans="1:16" ht="27.75" customHeight="1" thickTop="1">
      <c r="A33" s="22"/>
      <c r="B33" s="23" t="s">
        <v>179</v>
      </c>
      <c r="C33" s="24"/>
      <c r="D33" s="525"/>
      <c r="E33" s="32"/>
      <c r="F33" s="33"/>
      <c r="G33" s="35"/>
      <c r="H33" s="36"/>
      <c r="I33" s="37"/>
      <c r="J33" s="37"/>
      <c r="K33" s="38"/>
      <c r="L33" s="38"/>
      <c r="M33" s="38"/>
    </row>
    <row r="34" spans="1:16" ht="27.75" customHeight="1">
      <c r="A34" s="94">
        <v>1</v>
      </c>
      <c r="B34" s="40" t="s">
        <v>180</v>
      </c>
      <c r="C34" s="41" t="s">
        <v>181</v>
      </c>
      <c r="D34" s="528"/>
      <c r="E34" s="83" t="s">
        <v>522</v>
      </c>
      <c r="F34" s="39">
        <v>1</v>
      </c>
      <c r="G34" s="47">
        <v>1284</v>
      </c>
      <c r="H34" s="116"/>
      <c r="I34" s="203"/>
      <c r="J34" s="203"/>
      <c r="K34" s="204"/>
      <c r="L34" s="204"/>
    </row>
    <row r="35" spans="1:16" s="220" customFormat="1" ht="27.75" customHeight="1">
      <c r="A35" s="186">
        <v>2</v>
      </c>
      <c r="B35" s="208" t="s">
        <v>71</v>
      </c>
      <c r="C35" s="209" t="s">
        <v>181</v>
      </c>
      <c r="D35" s="536">
        <v>1337.5</v>
      </c>
      <c r="E35" s="216"/>
      <c r="F35" s="217"/>
      <c r="G35" s="47"/>
      <c r="H35" s="217"/>
      <c r="I35" s="218"/>
      <c r="J35" s="218"/>
      <c r="K35" s="219"/>
      <c r="L35" s="219"/>
    </row>
    <row r="36" spans="1:16" ht="27.75" customHeight="1" thickBot="1">
      <c r="A36" s="193"/>
      <c r="B36" s="194" t="s">
        <v>22</v>
      </c>
      <c r="C36" s="195"/>
      <c r="D36" s="535"/>
      <c r="E36" s="200"/>
      <c r="F36" s="196"/>
      <c r="G36" s="198">
        <v>1284</v>
      </c>
      <c r="H36" s="36"/>
      <c r="I36" s="37"/>
      <c r="J36" s="37"/>
      <c r="K36" s="38"/>
      <c r="L36" s="38"/>
      <c r="M36" s="38"/>
      <c r="P36" s="507">
        <f>SUM(G34:G35)</f>
        <v>1284</v>
      </c>
    </row>
    <row r="37" spans="1:16" ht="27.75" customHeight="1" thickTop="1">
      <c r="A37" s="22"/>
      <c r="B37" s="23" t="s">
        <v>196</v>
      </c>
      <c r="C37" s="24"/>
      <c r="D37" s="525"/>
      <c r="E37" s="32"/>
      <c r="F37" s="33"/>
      <c r="G37" s="35"/>
      <c r="H37" s="36"/>
      <c r="I37" s="37"/>
      <c r="J37" s="37"/>
      <c r="K37" s="38"/>
      <c r="L37" s="38"/>
      <c r="M37" s="38"/>
    </row>
    <row r="38" spans="1:16" s="226" customFormat="1" ht="27.75" customHeight="1">
      <c r="A38" s="94">
        <v>1</v>
      </c>
      <c r="B38" s="181" t="s">
        <v>210</v>
      </c>
      <c r="C38" s="224" t="s">
        <v>211</v>
      </c>
      <c r="D38" s="528">
        <v>22470</v>
      </c>
      <c r="E38" s="87"/>
      <c r="F38" s="116"/>
      <c r="G38" s="47"/>
      <c r="H38" s="39"/>
      <c r="I38" s="55"/>
      <c r="J38" s="55"/>
      <c r="K38" s="56"/>
      <c r="L38" s="56"/>
    </row>
    <row r="39" spans="1:16" s="226" customFormat="1" ht="27.75" customHeight="1">
      <c r="A39" s="94">
        <v>2</v>
      </c>
      <c r="B39" s="81" t="s">
        <v>267</v>
      </c>
      <c r="C39" s="224" t="s">
        <v>268</v>
      </c>
      <c r="D39" s="528"/>
      <c r="E39" s="83" t="s">
        <v>522</v>
      </c>
      <c r="F39" s="116">
        <v>0.93457943925233578</v>
      </c>
      <c r="G39" s="47">
        <v>6420</v>
      </c>
      <c r="H39" s="39"/>
      <c r="I39" s="55"/>
      <c r="J39" s="55"/>
      <c r="K39" s="56"/>
      <c r="L39" s="56"/>
    </row>
    <row r="40" spans="1:16" ht="27.75" customHeight="1" thickBot="1">
      <c r="A40" s="22"/>
      <c r="B40" s="194" t="s">
        <v>22</v>
      </c>
      <c r="C40" s="195"/>
      <c r="D40" s="535"/>
      <c r="E40" s="200"/>
      <c r="F40" s="196"/>
      <c r="G40" s="196">
        <v>6420</v>
      </c>
      <c r="H40" s="36"/>
      <c r="I40" s="37"/>
      <c r="J40" s="37"/>
      <c r="K40" s="38"/>
      <c r="L40" s="38"/>
      <c r="M40" s="38"/>
      <c r="P40" s="507">
        <f>SUM(G39)</f>
        <v>6420</v>
      </c>
    </row>
    <row r="41" spans="1:16" ht="27.75" hidden="1" customHeight="1" thickBot="1">
      <c r="A41" s="22"/>
      <c r="B41" s="23" t="s">
        <v>278</v>
      </c>
      <c r="C41" s="24"/>
      <c r="D41" s="525"/>
      <c r="E41" s="32"/>
      <c r="F41" s="33"/>
      <c r="G41" s="35"/>
      <c r="H41" s="36"/>
      <c r="I41" s="37"/>
      <c r="J41" s="37"/>
      <c r="K41" s="38"/>
      <c r="L41" s="38"/>
      <c r="M41" s="38"/>
    </row>
    <row r="42" spans="1:16" ht="27.75" hidden="1" customHeight="1" thickTop="1">
      <c r="A42" s="22">
        <v>1</v>
      </c>
      <c r="B42" s="270" t="s">
        <v>88</v>
      </c>
      <c r="C42" s="271" t="s">
        <v>279</v>
      </c>
      <c r="D42" s="537"/>
      <c r="E42" s="232"/>
      <c r="F42" s="251"/>
      <c r="G42" s="66">
        <v>0</v>
      </c>
      <c r="H42" s="278"/>
      <c r="I42" s="279"/>
      <c r="J42" s="37"/>
      <c r="K42" s="38"/>
      <c r="L42" s="38"/>
      <c r="M42" s="38"/>
    </row>
    <row r="43" spans="1:16" ht="27.75" hidden="1" customHeight="1" thickTop="1">
      <c r="A43" s="22">
        <v>2</v>
      </c>
      <c r="B43" s="280" t="s">
        <v>89</v>
      </c>
      <c r="C43" s="271" t="s">
        <v>279</v>
      </c>
      <c r="D43" s="533"/>
      <c r="E43" s="94"/>
      <c r="F43" s="39"/>
      <c r="G43" s="66">
        <v>0</v>
      </c>
      <c r="H43" s="278"/>
      <c r="I43" s="279"/>
      <c r="J43" s="37"/>
      <c r="K43" s="38"/>
      <c r="L43" s="38"/>
      <c r="M43" s="38"/>
    </row>
    <row r="44" spans="1:16" ht="27.75" hidden="1" customHeight="1" thickTop="1">
      <c r="A44" s="22">
        <v>3</v>
      </c>
      <c r="B44" s="270" t="s">
        <v>280</v>
      </c>
      <c r="C44" s="271" t="s">
        <v>279</v>
      </c>
      <c r="D44" s="533"/>
      <c r="E44" s="94"/>
      <c r="F44" s="39"/>
      <c r="G44" s="66">
        <v>0</v>
      </c>
      <c r="H44" s="278"/>
      <c r="I44" s="279"/>
      <c r="J44" s="37"/>
      <c r="K44" s="38"/>
      <c r="L44" s="38"/>
      <c r="M44" s="38"/>
    </row>
    <row r="45" spans="1:16" ht="27.75" hidden="1" customHeight="1" thickTop="1">
      <c r="A45" s="22">
        <v>4</v>
      </c>
      <c r="B45" s="280" t="s">
        <v>96</v>
      </c>
      <c r="C45" s="271" t="s">
        <v>279</v>
      </c>
      <c r="D45" s="533"/>
      <c r="E45" s="94"/>
      <c r="F45" s="39"/>
      <c r="G45" s="66">
        <v>0</v>
      </c>
      <c r="H45" s="283"/>
      <c r="I45" s="55"/>
      <c r="J45" s="37"/>
      <c r="K45" s="38"/>
      <c r="L45" s="38"/>
      <c r="M45" s="38"/>
    </row>
    <row r="46" spans="1:16" ht="27.75" hidden="1" customHeight="1" thickTop="1">
      <c r="A46" s="22">
        <v>5</v>
      </c>
      <c r="B46" s="280" t="s">
        <v>281</v>
      </c>
      <c r="C46" s="271" t="s">
        <v>279</v>
      </c>
      <c r="D46" s="533"/>
      <c r="E46" s="94"/>
      <c r="F46" s="39"/>
      <c r="G46" s="66">
        <v>0</v>
      </c>
      <c r="H46" s="283"/>
      <c r="I46" s="55"/>
      <c r="J46" s="37"/>
      <c r="K46" s="38"/>
      <c r="L46" s="38"/>
      <c r="M46" s="38"/>
    </row>
    <row r="47" spans="1:16" ht="27.75" hidden="1" customHeight="1" thickTop="1">
      <c r="A47" s="22">
        <v>6</v>
      </c>
      <c r="B47" s="280" t="s">
        <v>282</v>
      </c>
      <c r="C47" s="271" t="s">
        <v>279</v>
      </c>
      <c r="D47" s="533"/>
      <c r="E47" s="94"/>
      <c r="F47" s="39"/>
      <c r="G47" s="66">
        <v>0</v>
      </c>
      <c r="H47" s="283"/>
      <c r="I47" s="37"/>
      <c r="J47" s="37"/>
      <c r="K47" s="38"/>
      <c r="L47" s="38"/>
      <c r="M47" s="38"/>
    </row>
    <row r="48" spans="1:16" ht="27.75" hidden="1" customHeight="1" thickTop="1">
      <c r="A48" s="22">
        <v>7</v>
      </c>
      <c r="B48" s="280" t="s">
        <v>92</v>
      </c>
      <c r="C48" s="271" t="s">
        <v>279</v>
      </c>
      <c r="D48" s="533"/>
      <c r="E48" s="94"/>
      <c r="F48" s="39"/>
      <c r="G48" s="66">
        <v>0</v>
      </c>
      <c r="H48" s="283"/>
      <c r="I48" s="37"/>
      <c r="J48" s="37"/>
      <c r="K48" s="38"/>
      <c r="L48" s="38"/>
      <c r="M48" s="38"/>
    </row>
    <row r="49" spans="1:17" ht="27.75" hidden="1" customHeight="1" thickTop="1">
      <c r="A49" s="22">
        <v>8</v>
      </c>
      <c r="B49" s="280" t="s">
        <v>91</v>
      </c>
      <c r="C49" s="271" t="s">
        <v>279</v>
      </c>
      <c r="D49" s="533"/>
      <c r="E49" s="94"/>
      <c r="F49" s="39"/>
      <c r="G49" s="66">
        <v>0</v>
      </c>
      <c r="H49" s="283"/>
      <c r="I49" s="37"/>
      <c r="J49" s="37"/>
      <c r="K49" s="38"/>
      <c r="L49" s="38"/>
      <c r="M49" s="38"/>
    </row>
    <row r="50" spans="1:17" ht="27.75" hidden="1" customHeight="1" thickTop="1">
      <c r="A50" s="22">
        <v>9</v>
      </c>
      <c r="B50" s="280" t="s">
        <v>236</v>
      </c>
      <c r="C50" s="271" t="s">
        <v>279</v>
      </c>
      <c r="D50" s="533"/>
      <c r="E50" s="94"/>
      <c r="F50" s="39"/>
      <c r="G50" s="66">
        <v>0</v>
      </c>
      <c r="H50" s="283"/>
      <c r="I50" s="37"/>
      <c r="J50" s="37"/>
      <c r="K50" s="38"/>
      <c r="L50" s="38"/>
      <c r="M50" s="38"/>
    </row>
    <row r="51" spans="1:17" ht="27.75" hidden="1" customHeight="1" thickTop="1">
      <c r="A51" s="22">
        <v>10</v>
      </c>
      <c r="B51" s="280" t="s">
        <v>94</v>
      </c>
      <c r="C51" s="280" t="s">
        <v>279</v>
      </c>
      <c r="D51" s="529"/>
      <c r="E51" s="94"/>
      <c r="F51" s="39"/>
      <c r="G51" s="66">
        <v>0</v>
      </c>
      <c r="H51" s="36"/>
      <c r="I51" s="37"/>
      <c r="J51" s="37"/>
      <c r="K51" s="38"/>
      <c r="L51" s="38"/>
      <c r="M51" s="38"/>
    </row>
    <row r="52" spans="1:17" ht="27.75" hidden="1" customHeight="1" thickTop="1">
      <c r="A52" s="22">
        <v>11</v>
      </c>
      <c r="B52" s="270"/>
      <c r="C52" s="285"/>
      <c r="D52" s="537"/>
      <c r="E52" s="232"/>
      <c r="F52" s="251"/>
      <c r="G52" s="66">
        <v>0</v>
      </c>
      <c r="H52" s="36"/>
      <c r="I52" s="37"/>
      <c r="J52" s="37"/>
      <c r="K52" s="38"/>
      <c r="L52" s="38"/>
      <c r="M52" s="38"/>
    </row>
    <row r="53" spans="1:17" ht="27.75" hidden="1" customHeight="1" thickTop="1">
      <c r="A53" s="22"/>
      <c r="B53" s="131" t="s">
        <v>22</v>
      </c>
      <c r="C53" s="132"/>
      <c r="D53" s="531"/>
      <c r="E53" s="139"/>
      <c r="F53" s="133"/>
      <c r="G53" s="136">
        <v>0</v>
      </c>
      <c r="H53" s="36"/>
      <c r="I53" s="37"/>
      <c r="J53" s="37"/>
      <c r="K53" s="38"/>
      <c r="L53" s="38"/>
      <c r="M53" s="38"/>
    </row>
    <row r="54" spans="1:17" ht="27.75" customHeight="1" thickTop="1">
      <c r="A54" s="94"/>
      <c r="B54" s="364" t="s">
        <v>395</v>
      </c>
      <c r="C54" s="81"/>
      <c r="D54" s="528"/>
      <c r="E54" s="83"/>
      <c r="F54" s="251"/>
      <c r="G54" s="85"/>
      <c r="H54" s="39"/>
      <c r="I54" s="55"/>
      <c r="J54" s="55"/>
      <c r="K54" s="56"/>
      <c r="L54" s="56"/>
    </row>
    <row r="55" spans="1:17" ht="27.75" customHeight="1">
      <c r="A55" s="94">
        <v>1</v>
      </c>
      <c r="B55" s="366" t="s">
        <v>24</v>
      </c>
      <c r="C55" s="367" t="s">
        <v>403</v>
      </c>
      <c r="D55" s="555">
        <v>28595</v>
      </c>
      <c r="E55" s="94"/>
      <c r="F55" s="116"/>
      <c r="G55" s="368"/>
      <c r="H55" s="348" t="s">
        <v>405</v>
      </c>
      <c r="I55" s="299">
        <v>44562</v>
      </c>
      <c r="J55" s="299" t="s">
        <v>406</v>
      </c>
      <c r="K55" s="149">
        <v>34680</v>
      </c>
      <c r="L55" s="370" t="s">
        <v>407</v>
      </c>
      <c r="M55" s="295" t="s">
        <v>289</v>
      </c>
      <c r="N55" s="4" t="s">
        <v>408</v>
      </c>
    </row>
    <row r="56" spans="1:17" ht="27.75" customHeight="1">
      <c r="A56" s="94">
        <v>2</v>
      </c>
      <c r="B56" s="366" t="s">
        <v>417</v>
      </c>
      <c r="C56" s="367" t="s">
        <v>418</v>
      </c>
      <c r="D56" s="542">
        <v>34054.370000000003</v>
      </c>
      <c r="E56" s="377"/>
      <c r="F56" s="116"/>
      <c r="G56" s="368"/>
      <c r="H56" s="39" t="s">
        <v>195</v>
      </c>
      <c r="I56" s="55">
        <v>40072</v>
      </c>
      <c r="J56" s="55">
        <v>41167</v>
      </c>
      <c r="K56" s="56">
        <v>132250</v>
      </c>
      <c r="L56" s="378" t="s">
        <v>420</v>
      </c>
    </row>
    <row r="57" spans="1:17" ht="27.75" customHeight="1" thickBot="1">
      <c r="A57" s="193"/>
      <c r="B57" s="194" t="s">
        <v>22</v>
      </c>
      <c r="C57" s="195"/>
      <c r="D57" s="535"/>
      <c r="E57" s="200"/>
      <c r="F57" s="196"/>
      <c r="G57" s="198">
        <v>0</v>
      </c>
      <c r="H57" s="36"/>
      <c r="I57" s="37"/>
      <c r="J57" s="37"/>
      <c r="K57" s="38"/>
      <c r="L57" s="38"/>
      <c r="M57" s="38"/>
    </row>
    <row r="58" spans="1:17" ht="27.75" customHeight="1" thickTop="1">
      <c r="A58" s="22"/>
      <c r="B58" s="288" t="s">
        <v>441</v>
      </c>
      <c r="C58" s="289"/>
      <c r="D58" s="538"/>
      <c r="E58" s="94"/>
      <c r="F58" s="39"/>
      <c r="G58" s="294"/>
      <c r="H58" s="36"/>
      <c r="I58" s="37"/>
      <c r="J58" s="37"/>
      <c r="K58" s="38"/>
      <c r="L58" s="38"/>
      <c r="M58" s="38"/>
    </row>
    <row r="59" spans="1:17" ht="27.75" customHeight="1">
      <c r="A59" s="94">
        <v>1</v>
      </c>
      <c r="B59" s="40" t="s">
        <v>442</v>
      </c>
      <c r="C59" s="206" t="s">
        <v>443</v>
      </c>
      <c r="D59" s="533">
        <v>989480</v>
      </c>
      <c r="E59" s="387"/>
      <c r="F59" s="116"/>
      <c r="G59" s="376"/>
      <c r="H59" s="39" t="s">
        <v>446</v>
      </c>
      <c r="I59" s="55">
        <v>43952</v>
      </c>
      <c r="J59" s="55">
        <v>44561</v>
      </c>
      <c r="K59" s="56">
        <v>1032500</v>
      </c>
      <c r="L59" s="56" t="s">
        <v>447</v>
      </c>
    </row>
    <row r="60" spans="1:17" ht="27.75" customHeight="1">
      <c r="A60" s="94">
        <v>2</v>
      </c>
      <c r="B60" s="205" t="s">
        <v>451</v>
      </c>
      <c r="C60" s="206" t="s">
        <v>452</v>
      </c>
      <c r="D60" s="526">
        <v>572614</v>
      </c>
      <c r="E60" s="399"/>
      <c r="F60" s="116"/>
      <c r="G60" s="368"/>
      <c r="H60" s="172" t="s">
        <v>456</v>
      </c>
      <c r="I60" s="400" t="s">
        <v>457</v>
      </c>
      <c r="J60" s="400" t="s">
        <v>458</v>
      </c>
      <c r="K60" s="401">
        <v>442600</v>
      </c>
      <c r="L60" s="401" t="s">
        <v>459</v>
      </c>
    </row>
    <row r="61" spans="1:17" ht="27.75" customHeight="1">
      <c r="A61" s="405"/>
      <c r="B61" s="406" t="s">
        <v>22</v>
      </c>
      <c r="C61" s="407"/>
      <c r="D61" s="544"/>
      <c r="E61" s="412"/>
      <c r="F61" s="408"/>
      <c r="G61" s="239"/>
      <c r="H61" s="278"/>
      <c r="I61" s="279"/>
      <c r="J61" s="279"/>
      <c r="K61" s="413"/>
      <c r="L61" s="413"/>
      <c r="M61" s="413"/>
    </row>
    <row r="62" spans="1:17" ht="27.75" customHeight="1" thickBot="1">
      <c r="A62" s="414"/>
      <c r="B62" s="415"/>
      <c r="C62" s="416" t="s">
        <v>468</v>
      </c>
      <c r="D62" s="545"/>
      <c r="E62" s="423"/>
      <c r="F62" s="422"/>
      <c r="G62" s="420">
        <v>21744.632242990643</v>
      </c>
      <c r="H62" s="424"/>
      <c r="I62" s="425"/>
      <c r="J62" s="425"/>
      <c r="K62" s="345"/>
      <c r="L62" s="345"/>
      <c r="M62" s="345"/>
      <c r="Q62" s="521">
        <f>SUM(P11:P61)</f>
        <v>21744.631495327103</v>
      </c>
    </row>
    <row r="63" spans="1:17" ht="27.75" customHeight="1" thickTop="1">
      <c r="A63" s="426"/>
      <c r="B63" s="4"/>
      <c r="C63" s="295"/>
      <c r="D63" s="546"/>
      <c r="E63" s="433"/>
      <c r="F63" s="427"/>
      <c r="G63" s="430"/>
      <c r="H63" s="424"/>
      <c r="I63" s="425"/>
      <c r="J63" s="425"/>
      <c r="K63" s="345"/>
      <c r="L63" s="345"/>
      <c r="M63" s="345"/>
    </row>
    <row r="64" spans="1:17" ht="27.75" customHeight="1">
      <c r="A64" s="426"/>
      <c r="B64" s="434" t="s">
        <v>469</v>
      </c>
      <c r="C64" s="295"/>
      <c r="D64" s="546"/>
      <c r="E64" s="433"/>
      <c r="F64" s="427"/>
      <c r="G64" s="430"/>
      <c r="H64" s="424"/>
      <c r="I64" s="425"/>
      <c r="J64" s="425"/>
      <c r="K64" s="345"/>
      <c r="L64" s="345"/>
      <c r="M64" s="345"/>
    </row>
    <row r="65" spans="1:15" ht="27.75" customHeight="1">
      <c r="A65" s="435">
        <v>1</v>
      </c>
      <c r="B65" s="436" t="s">
        <v>470</v>
      </c>
      <c r="C65" s="437" t="s">
        <v>471</v>
      </c>
      <c r="D65" s="547"/>
      <c r="E65" s="435" t="s">
        <v>473</v>
      </c>
      <c r="F65" s="444">
        <v>21</v>
      </c>
      <c r="G65" s="17">
        <v>361288.35</v>
      </c>
      <c r="H65" s="251" t="s">
        <v>195</v>
      </c>
      <c r="I65" s="446">
        <v>41883</v>
      </c>
      <c r="J65" s="446">
        <v>42978</v>
      </c>
      <c r="K65" s="447">
        <v>90000</v>
      </c>
      <c r="L65" s="447" t="s">
        <v>474</v>
      </c>
      <c r="O65" s="4" t="s">
        <v>475</v>
      </c>
    </row>
    <row r="66" spans="1:15" ht="27.75" customHeight="1">
      <c r="A66" s="435"/>
      <c r="B66" s="436" t="s">
        <v>476</v>
      </c>
      <c r="C66" s="437"/>
      <c r="D66" s="547"/>
      <c r="E66" s="435"/>
      <c r="F66" s="444"/>
      <c r="G66" s="17">
        <v>0</v>
      </c>
      <c r="H66" s="116"/>
      <c r="I66" s="203"/>
      <c r="J66" s="203"/>
      <c r="K66" s="204"/>
      <c r="L66" s="204"/>
    </row>
    <row r="67" spans="1:15" ht="27.75" customHeight="1">
      <c r="A67" s="435"/>
      <c r="B67" s="674" t="s">
        <v>477</v>
      </c>
      <c r="C67" s="675"/>
      <c r="D67" s="548"/>
      <c r="E67" s="435"/>
      <c r="F67" s="444"/>
      <c r="G67" s="17">
        <v>0</v>
      </c>
      <c r="H67" s="116"/>
      <c r="I67" s="203"/>
      <c r="J67" s="203"/>
      <c r="K67" s="204"/>
      <c r="L67" s="204"/>
    </row>
    <row r="68" spans="1:15" ht="27.75" customHeight="1">
      <c r="A68" s="435">
        <v>2</v>
      </c>
      <c r="B68" s="450" t="s">
        <v>470</v>
      </c>
      <c r="C68" s="451" t="s">
        <v>478</v>
      </c>
      <c r="D68" s="549"/>
      <c r="E68" s="435" t="s">
        <v>479</v>
      </c>
      <c r="F68" s="444">
        <v>6</v>
      </c>
      <c r="G68" s="17">
        <v>96700.72</v>
      </c>
      <c r="H68" s="116"/>
      <c r="I68" s="203"/>
      <c r="J68" s="203"/>
      <c r="K68" s="204"/>
      <c r="L68" s="204"/>
      <c r="O68" s="4" t="s">
        <v>475</v>
      </c>
    </row>
    <row r="69" spans="1:15" ht="27.75" customHeight="1">
      <c r="A69" s="435">
        <v>3</v>
      </c>
      <c r="B69" s="450" t="s">
        <v>470</v>
      </c>
      <c r="C69" s="451" t="s">
        <v>480</v>
      </c>
      <c r="D69" s="549"/>
      <c r="E69" s="435" t="s">
        <v>481</v>
      </c>
      <c r="F69" s="444">
        <v>16</v>
      </c>
      <c r="G69" s="17">
        <v>285799.45</v>
      </c>
      <c r="H69" s="116"/>
      <c r="I69" s="203"/>
      <c r="J69" s="203"/>
      <c r="K69" s="204"/>
      <c r="L69" s="204"/>
      <c r="O69" s="4" t="s">
        <v>475</v>
      </c>
    </row>
    <row r="70" spans="1:15" s="226" customFormat="1" ht="27.75" customHeight="1">
      <c r="A70" s="440">
        <v>4</v>
      </c>
      <c r="B70" s="436" t="s">
        <v>470</v>
      </c>
      <c r="C70" s="453" t="s">
        <v>482</v>
      </c>
      <c r="D70" s="547"/>
      <c r="E70" s="435" t="s">
        <v>483</v>
      </c>
      <c r="F70" s="448" t="s">
        <v>195</v>
      </c>
      <c r="G70" s="17">
        <v>57055.05</v>
      </c>
      <c r="H70" s="39"/>
      <c r="I70" s="55"/>
      <c r="J70" s="55"/>
      <c r="K70" s="141"/>
      <c r="L70" s="141"/>
      <c r="O70" s="4" t="s">
        <v>475</v>
      </c>
    </row>
    <row r="71" spans="1:15" s="226" customFormat="1" ht="27.75" customHeight="1">
      <c r="A71" s="440"/>
      <c r="B71" s="676" t="s">
        <v>484</v>
      </c>
      <c r="C71" s="677"/>
      <c r="D71" s="549"/>
      <c r="E71" s="435"/>
      <c r="F71" s="448"/>
      <c r="G71" s="17">
        <v>0</v>
      </c>
      <c r="H71" s="122"/>
      <c r="I71" s="37"/>
      <c r="J71" s="37"/>
      <c r="K71" s="459"/>
      <c r="L71" s="459"/>
      <c r="O71" s="4" t="s">
        <v>475</v>
      </c>
    </row>
    <row r="72" spans="1:15" ht="27.75" customHeight="1">
      <c r="A72" s="460">
        <v>5</v>
      </c>
      <c r="B72" s="436" t="s">
        <v>470</v>
      </c>
      <c r="C72" s="461" t="s">
        <v>485</v>
      </c>
      <c r="D72" s="550"/>
      <c r="E72" s="435" t="s">
        <v>486</v>
      </c>
      <c r="F72" s="464" t="s">
        <v>195</v>
      </c>
      <c r="G72" s="17">
        <v>28958.15</v>
      </c>
      <c r="H72" s="36"/>
      <c r="I72" s="37"/>
      <c r="J72" s="37"/>
      <c r="K72" s="38"/>
      <c r="L72" s="38"/>
      <c r="M72" s="38"/>
      <c r="O72" s="4" t="s">
        <v>475</v>
      </c>
    </row>
    <row r="73" spans="1:15" ht="27.6" customHeight="1">
      <c r="A73" s="460"/>
      <c r="B73" s="436" t="s">
        <v>488</v>
      </c>
      <c r="C73" s="461"/>
      <c r="D73" s="550"/>
      <c r="E73" s="435"/>
      <c r="F73" s="444"/>
      <c r="G73" s="17"/>
      <c r="H73" s="36"/>
      <c r="I73" s="37"/>
      <c r="J73" s="37"/>
      <c r="K73" s="38"/>
      <c r="L73" s="38"/>
      <c r="M73" s="38"/>
    </row>
    <row r="74" spans="1:15" ht="27.6" customHeight="1">
      <c r="A74" s="460"/>
      <c r="B74" s="674" t="s">
        <v>489</v>
      </c>
      <c r="C74" s="675"/>
      <c r="D74" s="548"/>
      <c r="E74" s="435"/>
      <c r="F74" s="444"/>
      <c r="G74" s="17"/>
      <c r="H74" s="36"/>
      <c r="I74" s="37"/>
      <c r="J74" s="37"/>
      <c r="K74" s="38"/>
      <c r="L74" s="38"/>
      <c r="M74" s="38"/>
    </row>
    <row r="75" spans="1:15" ht="27.75" customHeight="1" thickBot="1">
      <c r="A75" s="465"/>
      <c r="B75" s="466" t="s">
        <v>22</v>
      </c>
      <c r="C75" s="195"/>
      <c r="D75" s="539"/>
      <c r="E75" s="315"/>
      <c r="F75" s="310"/>
      <c r="G75" s="313">
        <v>829801.72000000009</v>
      </c>
      <c r="H75" s="36"/>
      <c r="I75" s="37"/>
      <c r="J75" s="37"/>
      <c r="K75" s="38"/>
      <c r="L75" s="38"/>
      <c r="M75" s="38"/>
    </row>
    <row r="76" spans="1:15" ht="27.75" customHeight="1" thickTop="1">
      <c r="A76" s="468"/>
      <c r="B76" s="469" t="s">
        <v>490</v>
      </c>
      <c r="C76" s="470"/>
      <c r="D76" s="543"/>
      <c r="E76" s="186"/>
      <c r="F76" s="116"/>
      <c r="G76" s="474"/>
      <c r="H76" s="36"/>
      <c r="I76" s="37"/>
      <c r="J76" s="37"/>
      <c r="K76" s="38"/>
      <c r="L76" s="38"/>
      <c r="M76" s="38"/>
    </row>
    <row r="77" spans="1:15" ht="27.75" customHeight="1">
      <c r="A77" s="475">
        <v>1</v>
      </c>
      <c r="B77" s="436" t="s">
        <v>491</v>
      </c>
      <c r="C77" s="437" t="s">
        <v>492</v>
      </c>
      <c r="D77" s="547"/>
      <c r="E77" s="435"/>
      <c r="F77" s="477"/>
      <c r="G77" s="481"/>
      <c r="H77" s="356"/>
      <c r="I77" s="482"/>
      <c r="J77" s="482"/>
      <c r="K77" s="483"/>
      <c r="L77" s="483"/>
      <c r="O77" s="4" t="s">
        <v>493</v>
      </c>
    </row>
    <row r="78" spans="1:15" ht="27.75" customHeight="1">
      <c r="A78" s="475"/>
      <c r="B78" s="484" t="s">
        <v>494</v>
      </c>
      <c r="C78" s="437"/>
      <c r="D78" s="547"/>
      <c r="E78" s="435"/>
      <c r="F78" s="477"/>
      <c r="G78" s="481"/>
      <c r="H78" s="485"/>
      <c r="I78" s="486"/>
      <c r="J78" s="486"/>
      <c r="K78" s="487"/>
      <c r="L78" s="487"/>
    </row>
    <row r="79" spans="1:15" ht="27.75" customHeight="1">
      <c r="A79" s="475">
        <v>2</v>
      </c>
      <c r="B79" s="436" t="s">
        <v>495</v>
      </c>
      <c r="C79" s="437" t="s">
        <v>496</v>
      </c>
      <c r="D79" s="547"/>
      <c r="E79" s="435"/>
      <c r="F79" s="477" t="s">
        <v>497</v>
      </c>
      <c r="G79" s="17">
        <v>8214529.25</v>
      </c>
      <c r="H79" s="485"/>
      <c r="I79" s="486"/>
      <c r="J79" s="486"/>
      <c r="K79" s="487"/>
      <c r="L79" s="487"/>
    </row>
    <row r="80" spans="1:15" ht="27.75" customHeight="1">
      <c r="A80" s="405"/>
      <c r="B80" s="234" t="s">
        <v>22</v>
      </c>
      <c r="C80" s="407"/>
      <c r="D80" s="544"/>
      <c r="E80" s="412"/>
      <c r="F80" s="408"/>
      <c r="G80" s="239">
        <v>8214529.25</v>
      </c>
      <c r="H80" s="278"/>
      <c r="I80" s="279"/>
      <c r="J80" s="279"/>
      <c r="K80" s="413"/>
      <c r="L80" s="413"/>
      <c r="M80" s="413"/>
    </row>
    <row r="81" spans="1:13" ht="27.75" customHeight="1">
      <c r="A81" s="426"/>
      <c r="B81" s="4"/>
      <c r="C81" s="295"/>
      <c r="D81" s="546"/>
      <c r="E81" s="433"/>
      <c r="F81" s="427"/>
      <c r="G81" s="430"/>
      <c r="H81" s="424"/>
      <c r="I81" s="425"/>
      <c r="J81" s="425"/>
      <c r="K81" s="345"/>
      <c r="L81" s="345"/>
      <c r="M81" s="345"/>
    </row>
    <row r="82" spans="1:13" ht="27.75" customHeight="1" thickBot="1">
      <c r="A82" s="488"/>
      <c r="B82" s="489" t="s">
        <v>498</v>
      </c>
      <c r="C82" s="490"/>
      <c r="D82" s="551"/>
      <c r="E82" s="495"/>
      <c r="F82" s="496"/>
      <c r="G82" s="493">
        <v>9066075.6022429913</v>
      </c>
      <c r="H82" s="497">
        <v>0</v>
      </c>
      <c r="I82" s="497">
        <v>0</v>
      </c>
      <c r="J82" s="498"/>
      <c r="K82" s="499"/>
      <c r="L82" s="499"/>
      <c r="M82" s="499"/>
    </row>
    <row r="83" spans="1:13" s="226" customFormat="1" ht="27.75" customHeight="1" thickTop="1">
      <c r="A83" s="6"/>
      <c r="B83" s="500"/>
      <c r="D83" s="552"/>
      <c r="E83" s="372"/>
      <c r="F83" s="501"/>
      <c r="G83" s="504"/>
      <c r="H83" s="2"/>
      <c r="I83" s="425"/>
      <c r="J83" s="425"/>
      <c r="K83" s="345"/>
      <c r="L83" s="345"/>
    </row>
    <row r="84" spans="1:13" s="226" customFormat="1" ht="27.75" customHeight="1">
      <c r="A84" s="6"/>
      <c r="B84" s="500"/>
      <c r="D84" s="552"/>
      <c r="E84" s="372"/>
      <c r="F84" s="501"/>
      <c r="G84" s="504"/>
      <c r="H84" s="2"/>
      <c r="I84" s="425"/>
      <c r="J84" s="425"/>
      <c r="K84" s="345"/>
      <c r="L84" s="345"/>
    </row>
    <row r="85" spans="1:13" s="226" customFormat="1" ht="27.75" customHeight="1">
      <c r="A85" s="6"/>
      <c r="B85" s="500"/>
      <c r="D85" s="552"/>
      <c r="E85" s="372"/>
      <c r="F85" s="501"/>
      <c r="G85" s="504"/>
      <c r="H85" s="2"/>
      <c r="I85" s="425"/>
      <c r="J85" s="425"/>
      <c r="K85" s="345"/>
      <c r="L85" s="345"/>
    </row>
    <row r="86" spans="1:13" s="226" customFormat="1" ht="27.75" customHeight="1">
      <c r="A86" s="6"/>
      <c r="B86" s="500"/>
      <c r="D86" s="552"/>
      <c r="E86" s="372"/>
      <c r="F86" s="501"/>
      <c r="G86" s="430"/>
      <c r="H86" s="2"/>
      <c r="I86" s="425"/>
      <c r="J86" s="425"/>
      <c r="K86" s="345"/>
      <c r="L86" s="345"/>
    </row>
    <row r="87" spans="1:13" s="226" customFormat="1" ht="27.75" customHeight="1">
      <c r="A87" s="6"/>
      <c r="B87" s="500"/>
      <c r="D87" s="552"/>
      <c r="E87" s="372"/>
      <c r="F87" s="501"/>
      <c r="G87" s="504"/>
      <c r="H87" s="2"/>
      <c r="I87" s="425"/>
      <c r="J87" s="425"/>
      <c r="K87" s="345"/>
      <c r="L87" s="345"/>
    </row>
    <row r="88" spans="1:13" s="226" customFormat="1" ht="27.75" customHeight="1">
      <c r="A88" s="6"/>
      <c r="B88" s="500"/>
      <c r="D88" s="552"/>
      <c r="E88" s="372"/>
      <c r="F88" s="501"/>
      <c r="G88" s="504"/>
      <c r="H88" s="2"/>
      <c r="I88" s="425"/>
      <c r="J88" s="425"/>
      <c r="K88" s="345"/>
      <c r="L88" s="345"/>
    </row>
    <row r="89" spans="1:13" s="226" customFormat="1" ht="27.75" customHeight="1">
      <c r="A89" s="6"/>
      <c r="B89" s="500"/>
      <c r="D89" s="552"/>
      <c r="E89" s="372"/>
      <c r="F89" s="501"/>
      <c r="G89" s="430"/>
      <c r="H89" s="2"/>
      <c r="I89" s="425"/>
      <c r="J89" s="425"/>
      <c r="K89" s="345"/>
      <c r="L89" s="345"/>
    </row>
    <row r="90" spans="1:13" s="226" customFormat="1" ht="27.75" customHeight="1">
      <c r="A90" s="6"/>
      <c r="B90" s="500"/>
      <c r="D90" s="552"/>
      <c r="E90" s="372"/>
      <c r="F90" s="501"/>
      <c r="G90" s="504"/>
      <c r="H90" s="2"/>
      <c r="I90" s="425"/>
      <c r="J90" s="425"/>
      <c r="K90" s="345"/>
      <c r="L90" s="345"/>
    </row>
    <row r="91" spans="1:13" s="226" customFormat="1" ht="27.75" customHeight="1">
      <c r="A91" s="6"/>
      <c r="B91" s="500"/>
      <c r="D91" s="552"/>
      <c r="E91" s="372"/>
      <c r="F91" s="501"/>
      <c r="G91" s="504"/>
      <c r="H91" s="2"/>
      <c r="I91" s="425"/>
      <c r="J91" s="425"/>
      <c r="K91" s="345"/>
      <c r="L91" s="345"/>
    </row>
    <row r="92" spans="1:13" s="226" customFormat="1" ht="27.75" customHeight="1">
      <c r="A92" s="6"/>
      <c r="B92" s="500"/>
      <c r="D92" s="552"/>
      <c r="E92" s="372"/>
      <c r="F92" s="501"/>
      <c r="G92" s="504"/>
      <c r="H92" s="2"/>
      <c r="I92" s="425"/>
      <c r="J92" s="425"/>
      <c r="K92" s="345"/>
      <c r="L92" s="345"/>
    </row>
    <row r="93" spans="1:13" s="226" customFormat="1" ht="27.75" customHeight="1">
      <c r="A93" s="6"/>
      <c r="B93" s="500"/>
      <c r="D93" s="552"/>
      <c r="E93" s="372"/>
      <c r="F93" s="501"/>
      <c r="G93" s="504"/>
      <c r="H93" s="2"/>
      <c r="I93" s="425"/>
      <c r="J93" s="425"/>
      <c r="K93" s="345"/>
      <c r="L93" s="345"/>
    </row>
    <row r="94" spans="1:13" s="226" customFormat="1" ht="27.75" customHeight="1">
      <c r="A94" s="6"/>
      <c r="B94" s="500"/>
      <c r="D94" s="552"/>
      <c r="E94" s="372"/>
      <c r="F94" s="501"/>
      <c r="G94" s="504"/>
      <c r="H94" s="2"/>
      <c r="I94" s="425"/>
      <c r="J94" s="425"/>
      <c r="K94" s="345"/>
      <c r="L94" s="345"/>
    </row>
    <row r="95" spans="1:13" s="226" customFormat="1" ht="27.75" customHeight="1">
      <c r="A95" s="6"/>
      <c r="B95" s="500"/>
      <c r="D95" s="552"/>
      <c r="E95" s="372"/>
      <c r="F95" s="501"/>
      <c r="G95" s="504"/>
      <c r="H95" s="2"/>
      <c r="I95" s="425"/>
      <c r="J95" s="425"/>
      <c r="K95" s="345"/>
      <c r="L95" s="345"/>
    </row>
    <row r="96" spans="1:13" s="226" customFormat="1" ht="27.75" customHeight="1">
      <c r="A96" s="6"/>
      <c r="B96" s="500"/>
      <c r="D96" s="552"/>
      <c r="E96" s="372"/>
      <c r="F96" s="501"/>
      <c r="G96" s="504"/>
      <c r="H96" s="2"/>
      <c r="I96" s="425"/>
      <c r="J96" s="425"/>
      <c r="K96" s="345"/>
      <c r="L96" s="345"/>
    </row>
    <row r="97" spans="1:12" s="226" customFormat="1" ht="27.75" customHeight="1">
      <c r="A97" s="6"/>
      <c r="B97" s="500"/>
      <c r="D97" s="552"/>
      <c r="E97" s="372"/>
      <c r="F97" s="501"/>
      <c r="G97" s="504"/>
      <c r="H97" s="2"/>
      <c r="I97" s="425"/>
      <c r="J97" s="425"/>
      <c r="K97" s="345"/>
      <c r="L97" s="345"/>
    </row>
    <row r="98" spans="1:12" s="226" customFormat="1" ht="27.75" customHeight="1">
      <c r="A98" s="6"/>
      <c r="B98" s="500"/>
      <c r="D98" s="552"/>
      <c r="E98" s="372"/>
      <c r="F98" s="501"/>
      <c r="G98" s="504"/>
      <c r="H98" s="2"/>
      <c r="I98" s="425"/>
      <c r="J98" s="425"/>
      <c r="K98" s="345"/>
      <c r="L98" s="345"/>
    </row>
    <row r="99" spans="1:12" s="226" customFormat="1" ht="27.75" customHeight="1">
      <c r="A99" s="6"/>
      <c r="D99" s="552"/>
      <c r="E99" s="372"/>
      <c r="F99" s="501"/>
      <c r="G99" s="504"/>
      <c r="H99" s="2"/>
      <c r="I99" s="425"/>
      <c r="J99" s="425"/>
      <c r="K99" s="345"/>
      <c r="L99" s="345"/>
    </row>
    <row r="100" spans="1:12" ht="27.75" customHeight="1">
      <c r="B100" s="4"/>
      <c r="F100" s="4"/>
      <c r="K100" s="4"/>
      <c r="L100" s="4"/>
    </row>
    <row r="101" spans="1:12" ht="27.75" customHeight="1">
      <c r="B101" s="4"/>
      <c r="F101" s="4"/>
      <c r="K101" s="4"/>
      <c r="L101" s="4"/>
    </row>
    <row r="102" spans="1:12" ht="27.75" customHeight="1">
      <c r="B102" s="4"/>
      <c r="F102" s="4"/>
      <c r="K102" s="4"/>
      <c r="L102" s="4"/>
    </row>
    <row r="103" spans="1:12" ht="27.75" customHeight="1">
      <c r="B103" s="4"/>
      <c r="F103" s="4"/>
      <c r="K103" s="4"/>
      <c r="L103" s="4"/>
    </row>
    <row r="104" spans="1:12" ht="27.75" customHeight="1">
      <c r="B104" s="4"/>
      <c r="F104" s="4"/>
      <c r="K104" s="4"/>
      <c r="L104" s="4"/>
    </row>
    <row r="105" spans="1:12" ht="27.75" customHeight="1">
      <c r="B105" s="4"/>
      <c r="F105" s="4"/>
      <c r="K105" s="4"/>
      <c r="L105" s="4"/>
    </row>
    <row r="106" spans="1:12" ht="27.75" customHeight="1">
      <c r="B106" s="4"/>
      <c r="F106" s="4"/>
      <c r="K106" s="4"/>
      <c r="L106" s="4"/>
    </row>
    <row r="107" spans="1:12" ht="27.75" customHeight="1">
      <c r="B107" s="4"/>
      <c r="F107" s="4"/>
      <c r="K107" s="4"/>
      <c r="L107" s="4"/>
    </row>
    <row r="108" spans="1:12" ht="27.75" customHeight="1">
      <c r="B108" s="4"/>
      <c r="F108" s="4"/>
      <c r="K108" s="4"/>
      <c r="L108" s="4"/>
    </row>
    <row r="109" spans="1:12" ht="27.75" customHeight="1">
      <c r="B109" s="4"/>
      <c r="F109" s="4"/>
      <c r="K109" s="4"/>
      <c r="L109" s="4"/>
    </row>
    <row r="110" spans="1:12" ht="27.75" customHeight="1">
      <c r="B110" s="4"/>
      <c r="F110" s="4"/>
      <c r="K110" s="4"/>
      <c r="L110" s="4"/>
    </row>
    <row r="111" spans="1:12" ht="27.75" customHeight="1">
      <c r="B111" s="4"/>
      <c r="F111" s="4"/>
      <c r="K111" s="4"/>
      <c r="L111" s="4"/>
    </row>
    <row r="112" spans="1:12" ht="27.75" customHeight="1">
      <c r="B112" s="4"/>
      <c r="F112" s="4"/>
      <c r="K112" s="4"/>
      <c r="L112" s="4"/>
    </row>
    <row r="113" spans="2:12" ht="27.75" customHeight="1">
      <c r="B113" s="4"/>
      <c r="F113" s="4"/>
      <c r="K113" s="4"/>
      <c r="L113" s="4"/>
    </row>
    <row r="114" spans="2:12" ht="27.75" customHeight="1">
      <c r="B114" s="4"/>
      <c r="F114" s="4"/>
      <c r="K114" s="4"/>
      <c r="L114" s="4"/>
    </row>
    <row r="115" spans="2:12" ht="27.75" customHeight="1">
      <c r="B115" s="4"/>
      <c r="F115" s="4"/>
      <c r="K115" s="4"/>
      <c r="L115" s="4"/>
    </row>
    <row r="127" spans="2:12" s="4" customFormat="1" ht="27.75" customHeight="1">
      <c r="D127" s="552"/>
      <c r="E127" s="372"/>
      <c r="G127" s="507"/>
    </row>
    <row r="128" spans="2:12" s="4" customFormat="1" ht="27.75" customHeight="1">
      <c r="D128" s="552"/>
      <c r="E128" s="372"/>
      <c r="G128" s="507"/>
    </row>
    <row r="129" spans="4:7" s="4" customFormat="1" ht="27.75" customHeight="1">
      <c r="D129" s="552"/>
      <c r="E129" s="372"/>
      <c r="G129" s="507"/>
    </row>
    <row r="130" spans="4:7" s="4" customFormat="1" ht="27.75" customHeight="1">
      <c r="D130" s="552"/>
      <c r="E130" s="372"/>
      <c r="G130" s="507"/>
    </row>
    <row r="131" spans="4:7" s="4" customFormat="1" ht="27.75" customHeight="1">
      <c r="D131" s="552"/>
      <c r="E131" s="372"/>
      <c r="G131" s="507"/>
    </row>
    <row r="132" spans="4:7" s="4" customFormat="1" ht="27.75" customHeight="1">
      <c r="D132" s="552"/>
      <c r="E132" s="372"/>
      <c r="G132" s="507"/>
    </row>
    <row r="133" spans="4:7" s="4" customFormat="1" ht="27.75" customHeight="1">
      <c r="D133" s="552"/>
      <c r="E133" s="372"/>
      <c r="G133" s="507"/>
    </row>
    <row r="134" spans="4:7" s="4" customFormat="1" ht="27.75" customHeight="1">
      <c r="D134" s="552"/>
      <c r="E134" s="372"/>
      <c r="G134" s="507"/>
    </row>
    <row r="135" spans="4:7" s="4" customFormat="1" ht="27.75" customHeight="1">
      <c r="D135" s="552"/>
      <c r="E135" s="372"/>
      <c r="G135" s="507"/>
    </row>
    <row r="136" spans="4:7" s="4" customFormat="1" ht="27.75" customHeight="1">
      <c r="D136" s="552"/>
      <c r="E136" s="372"/>
      <c r="G136" s="507"/>
    </row>
    <row r="137" spans="4:7" s="4" customFormat="1" ht="27.75" customHeight="1">
      <c r="D137" s="552"/>
      <c r="E137" s="372"/>
      <c r="G137" s="507"/>
    </row>
    <row r="138" spans="4:7" s="4" customFormat="1" ht="27.75" customHeight="1">
      <c r="D138" s="552"/>
      <c r="E138" s="372"/>
      <c r="G138" s="507"/>
    </row>
    <row r="139" spans="4:7" s="4" customFormat="1" ht="27.75" customHeight="1">
      <c r="D139" s="552"/>
      <c r="E139" s="372"/>
      <c r="G139" s="507"/>
    </row>
  </sheetData>
  <mergeCells count="17">
    <mergeCell ref="A1:G1"/>
    <mergeCell ref="A2:G2"/>
    <mergeCell ref="A3:G3"/>
    <mergeCell ref="E4:G4"/>
    <mergeCell ref="H4:H6"/>
    <mergeCell ref="E5:E6"/>
    <mergeCell ref="K4:K6"/>
    <mergeCell ref="L4:L6"/>
    <mergeCell ref="A5:A6"/>
    <mergeCell ref="B5:B6"/>
    <mergeCell ref="C5:C6"/>
    <mergeCell ref="F5:F6"/>
    <mergeCell ref="B67:C67"/>
    <mergeCell ref="B71:C71"/>
    <mergeCell ref="B74:C74"/>
    <mergeCell ref="I4:I6"/>
    <mergeCell ref="J4:J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46EF3-720E-4AED-98FB-96F75CBB8A7F}">
  <sheetPr>
    <tabColor rgb="FF92D050"/>
  </sheetPr>
  <dimension ref="A1:P88"/>
  <sheetViews>
    <sheetView zoomScale="60" zoomScaleNormal="60" workbookViewId="0">
      <pane ySplit="6" topLeftCell="A7" activePane="bottomLeft" state="frozen"/>
      <selection pane="bottomLeft" activeCell="F30" sqref="F30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0" style="372" customWidth="1"/>
    <col min="5" max="5" width="9.109375" style="2" customWidth="1"/>
    <col min="6" max="6" width="23.6640625" style="507" customWidth="1"/>
    <col min="7" max="7" width="5.33203125" style="2" hidden="1" customWidth="1"/>
    <col min="8" max="8" width="9" style="508" hidden="1" customWidth="1"/>
    <col min="9" max="9" width="9.6640625" style="508" hidden="1" customWidth="1"/>
    <col min="10" max="10" width="10.88671875" style="512" hidden="1" customWidth="1"/>
    <col min="11" max="11" width="24.5546875" style="512" hidden="1" customWidth="1"/>
    <col min="12" max="13" width="8.88671875" style="4" hidden="1" customWidth="1"/>
    <col min="14" max="14" width="8.88671875" style="4"/>
    <col min="15" max="15" width="13.33203125" style="4" customWidth="1"/>
    <col min="16" max="16" width="20.88671875" style="4" bestFit="1" customWidth="1"/>
    <col min="17" max="16384" width="8.88671875" style="4"/>
  </cols>
  <sheetData>
    <row r="1" spans="1:16" ht="28.5" customHeight="1">
      <c r="A1" s="653" t="s">
        <v>0</v>
      </c>
      <c r="B1" s="653"/>
      <c r="C1" s="653"/>
      <c r="D1" s="653"/>
      <c r="E1" s="653"/>
      <c r="F1" s="653"/>
      <c r="H1" s="3"/>
      <c r="I1" s="3"/>
      <c r="J1" s="1"/>
      <c r="K1" s="1"/>
    </row>
    <row r="2" spans="1:16" ht="23.25" customHeight="1">
      <c r="A2" s="653" t="s">
        <v>1</v>
      </c>
      <c r="B2" s="653"/>
      <c r="C2" s="653"/>
      <c r="D2" s="653"/>
      <c r="E2" s="653"/>
      <c r="F2" s="653"/>
      <c r="G2" s="5"/>
      <c r="H2" s="3"/>
      <c r="I2" s="3"/>
      <c r="J2" s="1"/>
      <c r="K2" s="1"/>
    </row>
    <row r="3" spans="1:16" ht="28.5" customHeight="1">
      <c r="A3" s="654" t="s">
        <v>597</v>
      </c>
      <c r="B3" s="654"/>
      <c r="C3" s="654"/>
      <c r="D3" s="654"/>
      <c r="E3" s="654"/>
      <c r="F3" s="654"/>
      <c r="H3" s="3"/>
      <c r="I3" s="3"/>
      <c r="J3" s="6"/>
      <c r="K3" s="6"/>
    </row>
    <row r="4" spans="1:16" ht="27.75" customHeight="1">
      <c r="A4" s="7"/>
      <c r="B4" s="8"/>
      <c r="C4" s="9"/>
      <c r="D4" s="655" t="s">
        <v>5</v>
      </c>
      <c r="E4" s="656"/>
      <c r="F4" s="657"/>
      <c r="G4" s="658" t="s">
        <v>6</v>
      </c>
      <c r="H4" s="671" t="s">
        <v>7</v>
      </c>
      <c r="I4" s="671" t="s">
        <v>8</v>
      </c>
      <c r="J4" s="661" t="s">
        <v>9</v>
      </c>
      <c r="K4" s="661" t="s">
        <v>10</v>
      </c>
    </row>
    <row r="5" spans="1:16" ht="27.75" customHeight="1">
      <c r="A5" s="664" t="s">
        <v>11</v>
      </c>
      <c r="B5" s="666" t="s">
        <v>12</v>
      </c>
      <c r="C5" s="666" t="s">
        <v>13</v>
      </c>
      <c r="D5" s="664" t="s">
        <v>15</v>
      </c>
      <c r="E5" s="669" t="s">
        <v>16</v>
      </c>
      <c r="F5" s="514"/>
      <c r="G5" s="659"/>
      <c r="H5" s="672"/>
      <c r="I5" s="672"/>
      <c r="J5" s="662"/>
      <c r="K5" s="662"/>
    </row>
    <row r="6" spans="1:16" ht="27.75" customHeight="1" thickBot="1">
      <c r="A6" s="665"/>
      <c r="B6" s="667"/>
      <c r="C6" s="667"/>
      <c r="D6" s="668"/>
      <c r="E6" s="670"/>
      <c r="F6" s="21" t="s">
        <v>22</v>
      </c>
      <c r="G6" s="660"/>
      <c r="H6" s="673"/>
      <c r="I6" s="673"/>
      <c r="J6" s="663"/>
      <c r="K6" s="663"/>
    </row>
    <row r="7" spans="1:16" ht="27.75" customHeight="1" thickTop="1">
      <c r="A7" s="232"/>
      <c r="B7" s="553" t="s">
        <v>708</v>
      </c>
      <c r="C7" s="553"/>
      <c r="D7" s="232"/>
      <c r="E7" s="251"/>
      <c r="F7" s="554"/>
      <c r="G7" s="517"/>
      <c r="H7" s="515"/>
      <c r="I7" s="515"/>
      <c r="J7" s="516"/>
      <c r="K7" s="516"/>
    </row>
    <row r="8" spans="1:16" ht="27.75" customHeight="1">
      <c r="A8" s="39">
        <v>1</v>
      </c>
      <c r="B8" s="40" t="s">
        <v>78</v>
      </c>
      <c r="C8" s="81" t="s">
        <v>72</v>
      </c>
      <c r="D8" s="94" t="s">
        <v>522</v>
      </c>
      <c r="E8" s="116">
        <v>1</v>
      </c>
      <c r="F8" s="54">
        <v>11006.113364485982</v>
      </c>
      <c r="G8" s="39"/>
      <c r="H8" s="55"/>
      <c r="I8" s="55"/>
      <c r="J8" s="56"/>
      <c r="K8" s="56"/>
    </row>
    <row r="9" spans="1:16" ht="27.75" customHeight="1">
      <c r="A9" s="39">
        <v>2</v>
      </c>
      <c r="B9" s="40" t="s">
        <v>82</v>
      </c>
      <c r="C9" s="41" t="s">
        <v>72</v>
      </c>
      <c r="D9" s="94" t="s">
        <v>522</v>
      </c>
      <c r="E9" s="116">
        <v>1</v>
      </c>
      <c r="F9" s="54">
        <v>2713.518130841122</v>
      </c>
      <c r="G9" s="39"/>
      <c r="H9" s="55"/>
      <c r="I9" s="55"/>
      <c r="J9" s="56"/>
      <c r="K9" s="56"/>
    </row>
    <row r="10" spans="1:16" s="57" customFormat="1" ht="27.75" customHeight="1">
      <c r="A10" s="22">
        <v>3</v>
      </c>
      <c r="B10" s="150" t="s">
        <v>104</v>
      </c>
      <c r="C10" s="140" t="s">
        <v>102</v>
      </c>
      <c r="D10" s="94" t="s">
        <v>522</v>
      </c>
      <c r="E10" s="39">
        <v>1</v>
      </c>
      <c r="F10" s="47">
        <v>321</v>
      </c>
      <c r="G10" s="146"/>
      <c r="H10" s="148"/>
      <c r="I10" s="148"/>
      <c r="J10" s="149"/>
      <c r="K10" s="149"/>
    </row>
    <row r="11" spans="1:16" ht="27.75" customHeight="1">
      <c r="A11" s="94">
        <v>4</v>
      </c>
      <c r="B11" s="40" t="s">
        <v>180</v>
      </c>
      <c r="C11" s="41" t="s">
        <v>181</v>
      </c>
      <c r="D11" s="83" t="s">
        <v>522</v>
      </c>
      <c r="E11" s="39">
        <v>1</v>
      </c>
      <c r="F11" s="47">
        <v>1284</v>
      </c>
      <c r="G11" s="116"/>
      <c r="H11" s="203"/>
      <c r="I11" s="203"/>
      <c r="J11" s="204"/>
      <c r="K11" s="204"/>
    </row>
    <row r="12" spans="1:16" s="226" customFormat="1" ht="27.75" customHeight="1">
      <c r="A12" s="94">
        <v>5</v>
      </c>
      <c r="B12" s="81" t="s">
        <v>267</v>
      </c>
      <c r="C12" s="224" t="s">
        <v>268</v>
      </c>
      <c r="D12" s="83" t="s">
        <v>522</v>
      </c>
      <c r="E12" s="116">
        <v>0.93457943925233578</v>
      </c>
      <c r="F12" s="47">
        <v>6420</v>
      </c>
      <c r="G12" s="39"/>
      <c r="H12" s="55"/>
      <c r="I12" s="55"/>
      <c r="J12" s="56"/>
      <c r="K12" s="56"/>
    </row>
    <row r="13" spans="1:16" ht="27.75" customHeight="1" thickBot="1">
      <c r="A13" s="414"/>
      <c r="B13" s="415"/>
      <c r="C13" s="416" t="s">
        <v>468</v>
      </c>
      <c r="D13" s="423"/>
      <c r="E13" s="422"/>
      <c r="F13" s="420">
        <v>21744.632242990643</v>
      </c>
      <c r="G13" s="424"/>
      <c r="H13" s="425"/>
      <c r="I13" s="425"/>
      <c r="J13" s="345"/>
      <c r="K13" s="345"/>
      <c r="L13" s="345"/>
      <c r="P13" s="521">
        <f>SUM(F8:F12)</f>
        <v>21744.631495327103</v>
      </c>
    </row>
    <row r="14" spans="1:16" ht="27.75" customHeight="1" thickTop="1">
      <c r="A14" s="426"/>
      <c r="B14" s="4"/>
      <c r="C14" s="295"/>
      <c r="D14" s="433"/>
      <c r="E14" s="427"/>
      <c r="F14" s="430"/>
      <c r="G14" s="424"/>
      <c r="H14" s="425"/>
      <c r="I14" s="425"/>
      <c r="J14" s="345"/>
      <c r="K14" s="345"/>
      <c r="L14" s="345"/>
    </row>
    <row r="15" spans="1:16" ht="27.75" customHeight="1">
      <c r="A15" s="426"/>
      <c r="B15" s="434" t="s">
        <v>469</v>
      </c>
      <c r="C15" s="295"/>
      <c r="D15" s="433"/>
      <c r="E15" s="427"/>
      <c r="F15" s="430"/>
      <c r="G15" s="424"/>
      <c r="H15" s="425"/>
      <c r="I15" s="425"/>
      <c r="J15" s="345"/>
      <c r="K15" s="345"/>
      <c r="L15" s="345"/>
    </row>
    <row r="16" spans="1:16" ht="27.75" customHeight="1">
      <c r="A16" s="435">
        <v>1</v>
      </c>
      <c r="B16" s="436" t="s">
        <v>470</v>
      </c>
      <c r="C16" s="437" t="s">
        <v>471</v>
      </c>
      <c r="D16" s="435" t="s">
        <v>473</v>
      </c>
      <c r="E16" s="444">
        <v>21</v>
      </c>
      <c r="F16" s="17">
        <v>361288.35</v>
      </c>
      <c r="G16" s="251" t="s">
        <v>195</v>
      </c>
      <c r="H16" s="446">
        <v>41883</v>
      </c>
      <c r="I16" s="446">
        <v>42978</v>
      </c>
      <c r="J16" s="447">
        <v>90000</v>
      </c>
      <c r="K16" s="447" t="s">
        <v>474</v>
      </c>
      <c r="N16" s="4" t="s">
        <v>475</v>
      </c>
    </row>
    <row r="17" spans="1:16" ht="27.75" customHeight="1">
      <c r="A17" s="435"/>
      <c r="B17" s="436" t="s">
        <v>476</v>
      </c>
      <c r="C17" s="437"/>
      <c r="D17" s="435"/>
      <c r="E17" s="444"/>
      <c r="F17" s="17">
        <v>0</v>
      </c>
      <c r="G17" s="116"/>
      <c r="H17" s="203"/>
      <c r="I17" s="203"/>
      <c r="J17" s="204"/>
      <c r="K17" s="204"/>
    </row>
    <row r="18" spans="1:16" ht="27.75" customHeight="1">
      <c r="A18" s="435"/>
      <c r="B18" s="674" t="s">
        <v>477</v>
      </c>
      <c r="C18" s="675"/>
      <c r="D18" s="435"/>
      <c r="E18" s="444"/>
      <c r="F18" s="17">
        <v>0</v>
      </c>
      <c r="G18" s="116"/>
      <c r="H18" s="203"/>
      <c r="I18" s="203"/>
      <c r="J18" s="204"/>
      <c r="K18" s="204"/>
    </row>
    <row r="19" spans="1:16" ht="27.75" customHeight="1">
      <c r="A19" s="435">
        <v>2</v>
      </c>
      <c r="B19" s="450" t="s">
        <v>470</v>
      </c>
      <c r="C19" s="451" t="s">
        <v>478</v>
      </c>
      <c r="D19" s="435" t="s">
        <v>479</v>
      </c>
      <c r="E19" s="444">
        <v>6</v>
      </c>
      <c r="F19" s="17">
        <v>96700.72</v>
      </c>
      <c r="G19" s="116"/>
      <c r="H19" s="203"/>
      <c r="I19" s="203"/>
      <c r="J19" s="204"/>
      <c r="K19" s="204"/>
      <c r="N19" s="4" t="s">
        <v>475</v>
      </c>
    </row>
    <row r="20" spans="1:16" ht="27.75" customHeight="1">
      <c r="A20" s="435">
        <v>3</v>
      </c>
      <c r="B20" s="450" t="s">
        <v>470</v>
      </c>
      <c r="C20" s="451" t="s">
        <v>480</v>
      </c>
      <c r="D20" s="435" t="s">
        <v>481</v>
      </c>
      <c r="E20" s="444">
        <v>16</v>
      </c>
      <c r="F20" s="17">
        <v>285799.45</v>
      </c>
      <c r="G20" s="116"/>
      <c r="H20" s="203"/>
      <c r="I20" s="203"/>
      <c r="J20" s="204"/>
      <c r="K20" s="204"/>
      <c r="N20" s="4" t="s">
        <v>475</v>
      </c>
    </row>
    <row r="21" spans="1:16" s="226" customFormat="1" ht="27.75" customHeight="1">
      <c r="A21" s="440">
        <v>4</v>
      </c>
      <c r="B21" s="436" t="s">
        <v>470</v>
      </c>
      <c r="C21" s="453" t="s">
        <v>482</v>
      </c>
      <c r="D21" s="435" t="s">
        <v>483</v>
      </c>
      <c r="E21" s="448" t="s">
        <v>195</v>
      </c>
      <c r="F21" s="17">
        <v>57055.05</v>
      </c>
      <c r="G21" s="39"/>
      <c r="H21" s="55"/>
      <c r="I21" s="55"/>
      <c r="J21" s="141"/>
      <c r="K21" s="141"/>
      <c r="N21" s="4" t="s">
        <v>475</v>
      </c>
    </row>
    <row r="22" spans="1:16" s="226" customFormat="1" ht="27.75" customHeight="1">
      <c r="A22" s="440"/>
      <c r="B22" s="676" t="s">
        <v>484</v>
      </c>
      <c r="C22" s="677"/>
      <c r="D22" s="435"/>
      <c r="E22" s="448"/>
      <c r="F22" s="17">
        <v>0</v>
      </c>
      <c r="G22" s="122"/>
      <c r="H22" s="37"/>
      <c r="I22" s="37"/>
      <c r="J22" s="459"/>
      <c r="K22" s="459"/>
      <c r="N22" s="4" t="s">
        <v>475</v>
      </c>
    </row>
    <row r="23" spans="1:16" ht="27.75" customHeight="1">
      <c r="A23" s="460">
        <v>5</v>
      </c>
      <c r="B23" s="436" t="s">
        <v>470</v>
      </c>
      <c r="C23" s="461" t="s">
        <v>485</v>
      </c>
      <c r="D23" s="435" t="s">
        <v>486</v>
      </c>
      <c r="E23" s="464" t="s">
        <v>195</v>
      </c>
      <c r="F23" s="17">
        <v>28958.15</v>
      </c>
      <c r="G23" s="36"/>
      <c r="H23" s="37"/>
      <c r="I23" s="37"/>
      <c r="J23" s="38"/>
      <c r="K23" s="38"/>
      <c r="L23" s="38"/>
      <c r="N23" s="4" t="s">
        <v>475</v>
      </c>
    </row>
    <row r="24" spans="1:16" ht="27.6" customHeight="1">
      <c r="A24" s="460"/>
      <c r="B24" s="436" t="s">
        <v>488</v>
      </c>
      <c r="C24" s="461"/>
      <c r="D24" s="435"/>
      <c r="E24" s="444"/>
      <c r="F24" s="17"/>
      <c r="G24" s="36"/>
      <c r="H24" s="37"/>
      <c r="I24" s="37"/>
      <c r="J24" s="38"/>
      <c r="K24" s="38"/>
      <c r="L24" s="38"/>
    </row>
    <row r="25" spans="1:16" ht="27.6" customHeight="1">
      <c r="A25" s="460"/>
      <c r="B25" s="674" t="s">
        <v>489</v>
      </c>
      <c r="C25" s="675"/>
      <c r="D25" s="435"/>
      <c r="E25" s="444"/>
      <c r="F25" s="17"/>
      <c r="G25" s="36"/>
      <c r="H25" s="37"/>
      <c r="I25" s="37"/>
      <c r="J25" s="38"/>
      <c r="K25" s="38"/>
      <c r="L25" s="38"/>
    </row>
    <row r="26" spans="1:16" ht="27.75" customHeight="1">
      <c r="A26" s="475">
        <v>6</v>
      </c>
      <c r="B26" s="436" t="s">
        <v>491</v>
      </c>
      <c r="C26" s="437" t="s">
        <v>492</v>
      </c>
      <c r="D26" s="435"/>
      <c r="E26" s="477"/>
      <c r="F26" s="481"/>
      <c r="G26" s="356"/>
      <c r="H26" s="482"/>
      <c r="I26" s="482"/>
      <c r="J26" s="483"/>
      <c r="K26" s="483"/>
      <c r="N26" s="4" t="s">
        <v>493</v>
      </c>
    </row>
    <row r="27" spans="1:16" ht="27.75" customHeight="1">
      <c r="A27" s="475"/>
      <c r="B27" s="484" t="s">
        <v>494</v>
      </c>
      <c r="C27" s="437"/>
      <c r="D27" s="435"/>
      <c r="E27" s="477"/>
      <c r="F27" s="481"/>
      <c r="G27" s="485"/>
      <c r="H27" s="486"/>
      <c r="I27" s="486"/>
      <c r="J27" s="487"/>
      <c r="K27" s="487"/>
    </row>
    <row r="28" spans="1:16" ht="27.75" customHeight="1">
      <c r="A28" s="475">
        <v>7</v>
      </c>
      <c r="B28" s="436" t="s">
        <v>495</v>
      </c>
      <c r="C28" s="437" t="s">
        <v>496</v>
      </c>
      <c r="D28" s="435"/>
      <c r="E28" s="477" t="s">
        <v>497</v>
      </c>
      <c r="F28" s="17">
        <v>8214529.25</v>
      </c>
      <c r="G28" s="485"/>
      <c r="H28" s="486"/>
      <c r="I28" s="486"/>
      <c r="J28" s="487"/>
      <c r="K28" s="487"/>
    </row>
    <row r="29" spans="1:16" ht="27.75" customHeight="1">
      <c r="A29" s="405"/>
      <c r="B29" s="234" t="s">
        <v>22</v>
      </c>
      <c r="C29" s="407"/>
      <c r="D29" s="412"/>
      <c r="E29" s="408"/>
      <c r="F29" s="239">
        <f>SUM(F16:F28)</f>
        <v>9044330.9700000007</v>
      </c>
      <c r="G29" s="278"/>
      <c r="H29" s="279"/>
      <c r="I29" s="279"/>
      <c r="J29" s="413"/>
      <c r="K29" s="413"/>
      <c r="L29" s="413"/>
      <c r="O29" s="507">
        <f>SUM(F16:F28)</f>
        <v>9044330.9700000007</v>
      </c>
    </row>
    <row r="30" spans="1:16" ht="27.75" customHeight="1">
      <c r="A30" s="426"/>
      <c r="B30" s="4"/>
      <c r="C30" s="295"/>
      <c r="D30" s="433"/>
      <c r="E30" s="427"/>
      <c r="F30" s="430"/>
      <c r="G30" s="424"/>
      <c r="H30" s="425"/>
      <c r="I30" s="425"/>
      <c r="J30" s="345"/>
      <c r="K30" s="345"/>
      <c r="L30" s="345"/>
    </row>
    <row r="31" spans="1:16" ht="27.75" customHeight="1" thickBot="1">
      <c r="A31" s="488"/>
      <c r="B31" s="489" t="s">
        <v>498</v>
      </c>
      <c r="C31" s="490"/>
      <c r="D31" s="495"/>
      <c r="E31" s="496"/>
      <c r="F31" s="493">
        <v>9066075.6022429913</v>
      </c>
      <c r="G31" s="497">
        <v>0</v>
      </c>
      <c r="H31" s="497">
        <v>0</v>
      </c>
      <c r="I31" s="498"/>
      <c r="J31" s="499"/>
      <c r="K31" s="499"/>
      <c r="L31" s="499"/>
      <c r="P31" s="556">
        <f>SUM(P13+O29)</f>
        <v>9066075.6014953274</v>
      </c>
    </row>
    <row r="32" spans="1:16" s="226" customFormat="1" ht="27.75" customHeight="1" thickTop="1">
      <c r="A32" s="6"/>
      <c r="B32" s="500"/>
      <c r="D32" s="372"/>
      <c r="E32" s="501"/>
      <c r="F32" s="504"/>
      <c r="G32" s="2"/>
      <c r="H32" s="425"/>
      <c r="I32" s="425"/>
      <c r="J32" s="345"/>
      <c r="K32" s="345"/>
    </row>
    <row r="33" spans="1:11" s="226" customFormat="1" ht="27.75" customHeight="1">
      <c r="A33" s="6"/>
      <c r="B33" s="500"/>
      <c r="D33" s="372"/>
      <c r="E33" s="501"/>
      <c r="F33" s="504"/>
      <c r="G33" s="2"/>
      <c r="H33" s="425"/>
      <c r="I33" s="425"/>
      <c r="J33" s="345"/>
      <c r="K33" s="345"/>
    </row>
    <row r="34" spans="1:11" s="226" customFormat="1" ht="27.75" customHeight="1">
      <c r="A34" s="6"/>
      <c r="B34" s="500"/>
      <c r="D34" s="372"/>
      <c r="E34" s="501"/>
      <c r="F34" s="504"/>
      <c r="G34" s="2"/>
      <c r="H34" s="425"/>
      <c r="I34" s="425"/>
      <c r="J34" s="345"/>
      <c r="K34" s="345"/>
    </row>
    <row r="35" spans="1:11" s="226" customFormat="1" ht="27.75" customHeight="1">
      <c r="A35" s="6"/>
      <c r="B35" s="500"/>
      <c r="D35" s="372"/>
      <c r="E35" s="501"/>
      <c r="F35" s="430"/>
      <c r="G35" s="2"/>
      <c r="H35" s="425"/>
      <c r="I35" s="425"/>
      <c r="J35" s="345"/>
      <c r="K35" s="345"/>
    </row>
    <row r="36" spans="1:11" s="226" customFormat="1" ht="27.75" customHeight="1">
      <c r="A36" s="6"/>
      <c r="B36" s="500"/>
      <c r="D36" s="372"/>
      <c r="E36" s="501"/>
      <c r="F36" s="504"/>
      <c r="G36" s="2"/>
      <c r="H36" s="425"/>
      <c r="I36" s="425"/>
      <c r="J36" s="345"/>
      <c r="K36" s="345"/>
    </row>
    <row r="37" spans="1:11" s="226" customFormat="1" ht="27.75" customHeight="1">
      <c r="A37" s="6"/>
      <c r="B37" s="500"/>
      <c r="D37" s="372"/>
      <c r="E37" s="501"/>
      <c r="F37" s="504"/>
      <c r="G37" s="2"/>
      <c r="H37" s="425"/>
      <c r="I37" s="425"/>
      <c r="J37" s="345"/>
      <c r="K37" s="345"/>
    </row>
    <row r="38" spans="1:11" s="226" customFormat="1" ht="27.75" customHeight="1">
      <c r="A38" s="6"/>
      <c r="B38" s="500"/>
      <c r="D38" s="372"/>
      <c r="E38" s="501"/>
      <c r="F38" s="430"/>
      <c r="G38" s="2"/>
      <c r="H38" s="425"/>
      <c r="I38" s="425"/>
      <c r="J38" s="345"/>
      <c r="K38" s="345"/>
    </row>
    <row r="39" spans="1:11" s="226" customFormat="1" ht="27.75" customHeight="1">
      <c r="A39" s="6"/>
      <c r="B39" s="500"/>
      <c r="D39" s="372"/>
      <c r="E39" s="501"/>
      <c r="F39" s="504"/>
      <c r="G39" s="2"/>
      <c r="H39" s="425"/>
      <c r="I39" s="425"/>
      <c r="J39" s="345"/>
      <c r="K39" s="345"/>
    </row>
    <row r="40" spans="1:11" s="226" customFormat="1" ht="27.75" customHeight="1">
      <c r="A40" s="6"/>
      <c r="B40" s="500"/>
      <c r="D40" s="372"/>
      <c r="E40" s="501"/>
      <c r="F40" s="504"/>
      <c r="G40" s="2"/>
      <c r="H40" s="425"/>
      <c r="I40" s="425"/>
      <c r="J40" s="345"/>
      <c r="K40" s="345"/>
    </row>
    <row r="41" spans="1:11" s="226" customFormat="1" ht="27.75" customHeight="1">
      <c r="A41" s="6"/>
      <c r="B41" s="500"/>
      <c r="D41" s="372"/>
      <c r="E41" s="501"/>
      <c r="F41" s="504"/>
      <c r="G41" s="2"/>
      <c r="H41" s="425"/>
      <c r="I41" s="425"/>
      <c r="J41" s="345"/>
      <c r="K41" s="345"/>
    </row>
    <row r="42" spans="1:11" s="226" customFormat="1" ht="27.75" customHeight="1">
      <c r="A42" s="6"/>
      <c r="B42" s="500"/>
      <c r="D42" s="372"/>
      <c r="E42" s="501"/>
      <c r="F42" s="504"/>
      <c r="G42" s="2"/>
      <c r="H42" s="425"/>
      <c r="I42" s="425"/>
      <c r="J42" s="345"/>
      <c r="K42" s="345"/>
    </row>
    <row r="43" spans="1:11" s="226" customFormat="1" ht="27.75" customHeight="1">
      <c r="A43" s="6"/>
      <c r="B43" s="500"/>
      <c r="D43" s="372"/>
      <c r="E43" s="501"/>
      <c r="F43" s="504"/>
      <c r="G43" s="2"/>
      <c r="H43" s="425"/>
      <c r="I43" s="425"/>
      <c r="J43" s="345"/>
      <c r="K43" s="345"/>
    </row>
    <row r="44" spans="1:11" s="226" customFormat="1" ht="27.75" customHeight="1">
      <c r="A44" s="6"/>
      <c r="B44" s="500"/>
      <c r="D44" s="372"/>
      <c r="E44" s="501"/>
      <c r="F44" s="504"/>
      <c r="G44" s="2"/>
      <c r="H44" s="425"/>
      <c r="I44" s="425"/>
      <c r="J44" s="345"/>
      <c r="K44" s="345"/>
    </row>
    <row r="45" spans="1:11" s="226" customFormat="1" ht="27.75" customHeight="1">
      <c r="A45" s="6"/>
      <c r="B45" s="500"/>
      <c r="D45" s="372"/>
      <c r="E45" s="501"/>
      <c r="F45" s="504"/>
      <c r="G45" s="2"/>
      <c r="H45" s="425"/>
      <c r="I45" s="425"/>
      <c r="J45" s="345"/>
      <c r="K45" s="345"/>
    </row>
    <row r="46" spans="1:11" s="226" customFormat="1" ht="27.75" customHeight="1">
      <c r="A46" s="6"/>
      <c r="B46" s="500"/>
      <c r="D46" s="372"/>
      <c r="E46" s="501"/>
      <c r="F46" s="504"/>
      <c r="G46" s="2"/>
      <c r="H46" s="425"/>
      <c r="I46" s="425"/>
      <c r="J46" s="345"/>
      <c r="K46" s="345"/>
    </row>
    <row r="47" spans="1:11" s="226" customFormat="1" ht="27.75" customHeight="1">
      <c r="A47" s="6"/>
      <c r="B47" s="500"/>
      <c r="D47" s="372"/>
      <c r="E47" s="501"/>
      <c r="F47" s="504"/>
      <c r="G47" s="2"/>
      <c r="H47" s="425"/>
      <c r="I47" s="425"/>
      <c r="J47" s="345"/>
      <c r="K47" s="345"/>
    </row>
    <row r="48" spans="1:11" s="226" customFormat="1" ht="27.75" customHeight="1">
      <c r="A48" s="6"/>
      <c r="D48" s="372"/>
      <c r="E48" s="501"/>
      <c r="F48" s="504"/>
      <c r="G48" s="2"/>
      <c r="H48" s="425"/>
      <c r="I48" s="425"/>
      <c r="J48" s="345"/>
      <c r="K48" s="345"/>
    </row>
    <row r="49" spans="2:11" ht="27.75" customHeight="1">
      <c r="B49" s="4"/>
      <c r="E49" s="4"/>
      <c r="J49" s="4"/>
      <c r="K49" s="4"/>
    </row>
    <row r="50" spans="2:11" ht="27.75" customHeight="1">
      <c r="B50" s="4"/>
      <c r="E50" s="4"/>
      <c r="J50" s="4"/>
      <c r="K50" s="4"/>
    </row>
    <row r="51" spans="2:11" ht="27.75" customHeight="1">
      <c r="B51" s="4"/>
      <c r="E51" s="4"/>
      <c r="J51" s="4"/>
      <c r="K51" s="4"/>
    </row>
    <row r="52" spans="2:11" ht="27.75" customHeight="1">
      <c r="B52" s="4"/>
      <c r="E52" s="4"/>
      <c r="J52" s="4"/>
      <c r="K52" s="4"/>
    </row>
    <row r="53" spans="2:11" ht="27.75" customHeight="1">
      <c r="B53" s="4"/>
      <c r="E53" s="4"/>
      <c r="J53" s="4"/>
      <c r="K53" s="4"/>
    </row>
    <row r="54" spans="2:11" ht="27.75" customHeight="1">
      <c r="B54" s="4"/>
      <c r="E54" s="4"/>
      <c r="J54" s="4"/>
      <c r="K54" s="4"/>
    </row>
    <row r="55" spans="2:11" ht="27.75" customHeight="1">
      <c r="B55" s="4"/>
      <c r="E55" s="4"/>
      <c r="J55" s="4"/>
      <c r="K55" s="4"/>
    </row>
    <row r="56" spans="2:11" ht="27.75" customHeight="1">
      <c r="B56" s="4"/>
      <c r="E56" s="4"/>
      <c r="J56" s="4"/>
      <c r="K56" s="4"/>
    </row>
    <row r="57" spans="2:11" ht="27.75" customHeight="1">
      <c r="B57" s="4"/>
      <c r="E57" s="4"/>
      <c r="J57" s="4"/>
      <c r="K57" s="4"/>
    </row>
    <row r="58" spans="2:11" ht="27.75" customHeight="1">
      <c r="B58" s="4"/>
      <c r="E58" s="4"/>
      <c r="J58" s="4"/>
      <c r="K58" s="4"/>
    </row>
    <row r="59" spans="2:11" ht="27.75" customHeight="1">
      <c r="B59" s="4"/>
      <c r="E59" s="4"/>
      <c r="J59" s="4"/>
      <c r="K59" s="4"/>
    </row>
    <row r="60" spans="2:11" ht="27.75" customHeight="1">
      <c r="B60" s="4"/>
      <c r="E60" s="4"/>
      <c r="J60" s="4"/>
      <c r="K60" s="4"/>
    </row>
    <row r="61" spans="2:11" ht="27.75" customHeight="1">
      <c r="B61" s="4"/>
      <c r="E61" s="4"/>
      <c r="J61" s="4"/>
      <c r="K61" s="4"/>
    </row>
    <row r="62" spans="2:11" ht="27.75" customHeight="1">
      <c r="B62" s="4"/>
      <c r="E62" s="4"/>
      <c r="J62" s="4"/>
      <c r="K62" s="4"/>
    </row>
    <row r="63" spans="2:11" ht="27.75" customHeight="1">
      <c r="B63" s="4"/>
      <c r="E63" s="4"/>
      <c r="J63" s="4"/>
      <c r="K63" s="4"/>
    </row>
    <row r="64" spans="2:11" ht="27.75" customHeight="1">
      <c r="B64" s="4"/>
      <c r="E64" s="4"/>
      <c r="J64" s="4"/>
      <c r="K64" s="4"/>
    </row>
    <row r="76" spans="4:6" s="4" customFormat="1" ht="27.75" customHeight="1">
      <c r="D76" s="372"/>
      <c r="F76" s="507"/>
    </row>
    <row r="77" spans="4:6" s="4" customFormat="1" ht="27.75" customHeight="1">
      <c r="D77" s="372"/>
      <c r="F77" s="507"/>
    </row>
    <row r="78" spans="4:6" s="4" customFormat="1" ht="27.75" customHeight="1">
      <c r="D78" s="372"/>
      <c r="F78" s="507"/>
    </row>
    <row r="79" spans="4:6" s="4" customFormat="1" ht="27.75" customHeight="1">
      <c r="D79" s="372"/>
      <c r="F79" s="507"/>
    </row>
    <row r="80" spans="4:6" s="4" customFormat="1" ht="27.75" customHeight="1">
      <c r="D80" s="372"/>
      <c r="F80" s="507"/>
    </row>
    <row r="81" spans="4:6" s="4" customFormat="1" ht="27.75" customHeight="1">
      <c r="D81" s="372"/>
      <c r="F81" s="507"/>
    </row>
    <row r="82" spans="4:6" s="4" customFormat="1" ht="27.75" customHeight="1">
      <c r="D82" s="372"/>
      <c r="F82" s="507"/>
    </row>
    <row r="83" spans="4:6" s="4" customFormat="1" ht="27.75" customHeight="1">
      <c r="D83" s="372"/>
      <c r="F83" s="507"/>
    </row>
    <row r="84" spans="4:6" s="4" customFormat="1" ht="27.75" customHeight="1">
      <c r="D84" s="372"/>
      <c r="F84" s="507"/>
    </row>
    <row r="85" spans="4:6" s="4" customFormat="1" ht="27.75" customHeight="1">
      <c r="D85" s="372"/>
      <c r="F85" s="507"/>
    </row>
    <row r="86" spans="4:6" s="4" customFormat="1" ht="27.75" customHeight="1">
      <c r="D86" s="372"/>
      <c r="F86" s="507"/>
    </row>
    <row r="87" spans="4:6" s="4" customFormat="1" ht="27.75" customHeight="1">
      <c r="D87" s="372"/>
      <c r="F87" s="507"/>
    </row>
    <row r="88" spans="4:6" s="4" customFormat="1" ht="27.75" customHeight="1">
      <c r="D88" s="372"/>
      <c r="F88" s="507"/>
    </row>
  </sheetData>
  <mergeCells count="17">
    <mergeCell ref="A1:F1"/>
    <mergeCell ref="A2:F2"/>
    <mergeCell ref="A3:F3"/>
    <mergeCell ref="D4:F4"/>
    <mergeCell ref="G4:G6"/>
    <mergeCell ref="K4:K6"/>
    <mergeCell ref="A5:A6"/>
    <mergeCell ref="B5:B6"/>
    <mergeCell ref="C5:C6"/>
    <mergeCell ref="D5:D6"/>
    <mergeCell ref="E5:E6"/>
    <mergeCell ref="H4:H6"/>
    <mergeCell ref="B18:C18"/>
    <mergeCell ref="B22:C22"/>
    <mergeCell ref="B25:C25"/>
    <mergeCell ref="I4:I6"/>
    <mergeCell ref="J4:J6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D4620-F596-4A56-ABCB-26A9CDEFE299}">
  <sheetPr>
    <tabColor rgb="FF92D050"/>
  </sheetPr>
  <dimension ref="A1:Y328"/>
  <sheetViews>
    <sheetView zoomScale="60" zoomScaleNormal="60" workbookViewId="0">
      <pane ySplit="6" topLeftCell="A227" activePane="bottomLeft" state="frozen"/>
      <selection pane="bottomLeft" activeCell="K267" sqref="K267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0.5546875" style="510" customWidth="1"/>
    <col min="5" max="5" width="18.88671875" style="511" customWidth="1"/>
    <col min="6" max="6" width="4.88671875" style="506" customWidth="1"/>
    <col min="7" max="7" width="20.109375" style="509" customWidth="1"/>
    <col min="8" max="8" width="18.33203125" style="509" customWidth="1"/>
    <col min="9" max="9" width="21.44140625" style="504" customWidth="1"/>
    <col min="10" max="10" width="21.6640625" style="3" customWidth="1"/>
    <col min="11" max="11" width="24.5546875" style="372" customWidth="1"/>
    <col min="12" max="12" width="22.109375" style="512" customWidth="1"/>
    <col min="13" max="13" width="20" style="372" customWidth="1"/>
    <col min="14" max="14" width="9.109375" style="2" customWidth="1"/>
    <col min="15" max="15" width="24" style="513" customWidth="1"/>
    <col min="16" max="16" width="16.6640625" style="513" customWidth="1"/>
    <col min="17" max="17" width="23.6640625" style="507" customWidth="1"/>
    <col min="18" max="18" width="5.33203125" style="2" hidden="1" customWidth="1"/>
    <col min="19" max="19" width="9" style="508" hidden="1" customWidth="1"/>
    <col min="20" max="20" width="9.6640625" style="508" hidden="1" customWidth="1"/>
    <col min="21" max="21" width="10.88671875" style="512" hidden="1" customWidth="1"/>
    <col min="22" max="22" width="24.5546875" style="512" hidden="1" customWidth="1"/>
    <col min="23" max="24" width="8.88671875" style="4" hidden="1" customWidth="1"/>
    <col min="25" max="16384" width="8.88671875" style="4"/>
  </cols>
  <sheetData>
    <row r="1" spans="1:23" ht="28.5" customHeight="1">
      <c r="A1" s="653" t="s">
        <v>0</v>
      </c>
      <c r="B1" s="653"/>
      <c r="C1" s="653"/>
      <c r="D1" s="653"/>
      <c r="E1" s="653"/>
      <c r="F1" s="653"/>
      <c r="G1" s="653"/>
      <c r="H1" s="653"/>
      <c r="I1" s="653"/>
      <c r="J1" s="653"/>
      <c r="K1" s="653"/>
      <c r="L1" s="653"/>
      <c r="M1" s="653"/>
      <c r="N1" s="653"/>
      <c r="O1" s="653"/>
      <c r="P1" s="653"/>
      <c r="Q1" s="653"/>
      <c r="S1" s="3"/>
      <c r="T1" s="3"/>
      <c r="U1" s="1"/>
      <c r="V1" s="1"/>
    </row>
    <row r="2" spans="1:23" ht="23.25" customHeight="1">
      <c r="A2" s="653" t="s">
        <v>1</v>
      </c>
      <c r="B2" s="653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3"/>
      <c r="R2" s="5"/>
      <c r="S2" s="3"/>
      <c r="T2" s="3"/>
      <c r="U2" s="1"/>
      <c r="V2" s="1"/>
    </row>
    <row r="3" spans="1:23" ht="28.5" customHeight="1">
      <c r="A3" s="654" t="s">
        <v>2</v>
      </c>
      <c r="B3" s="654"/>
      <c r="C3" s="654"/>
      <c r="D3" s="654"/>
      <c r="E3" s="654"/>
      <c r="F3" s="654"/>
      <c r="G3" s="654"/>
      <c r="H3" s="654"/>
      <c r="I3" s="654"/>
      <c r="J3" s="654"/>
      <c r="K3" s="654"/>
      <c r="L3" s="654"/>
      <c r="M3" s="654"/>
      <c r="N3" s="654"/>
      <c r="O3" s="654"/>
      <c r="P3" s="654"/>
      <c r="Q3" s="654"/>
      <c r="S3" s="3"/>
      <c r="T3" s="3"/>
      <c r="U3" s="6"/>
      <c r="V3" s="6"/>
    </row>
    <row r="4" spans="1:23" ht="27.75" customHeight="1">
      <c r="A4" s="7"/>
      <c r="B4" s="8"/>
      <c r="C4" s="9"/>
      <c r="D4" s="10"/>
      <c r="E4" s="655" t="s">
        <v>3</v>
      </c>
      <c r="F4" s="656"/>
      <c r="G4" s="656"/>
      <c r="H4" s="656"/>
      <c r="I4" s="657"/>
      <c r="J4" s="11"/>
      <c r="K4" s="12" t="s">
        <v>4</v>
      </c>
      <c r="L4" s="13"/>
      <c r="M4" s="655" t="s">
        <v>5</v>
      </c>
      <c r="N4" s="656"/>
      <c r="O4" s="656"/>
      <c r="P4" s="656"/>
      <c r="Q4" s="657"/>
      <c r="R4" s="658" t="s">
        <v>6</v>
      </c>
      <c r="S4" s="671" t="s">
        <v>7</v>
      </c>
      <c r="T4" s="671" t="s">
        <v>8</v>
      </c>
      <c r="U4" s="661" t="s">
        <v>9</v>
      </c>
      <c r="V4" s="661" t="s">
        <v>10</v>
      </c>
    </row>
    <row r="5" spans="1:23" ht="27.75" customHeight="1">
      <c r="A5" s="664" t="s">
        <v>11</v>
      </c>
      <c r="B5" s="666" t="s">
        <v>12</v>
      </c>
      <c r="C5" s="666" t="s">
        <v>13</v>
      </c>
      <c r="D5" s="685" t="s">
        <v>14</v>
      </c>
      <c r="E5" s="687" t="s">
        <v>15</v>
      </c>
      <c r="F5" s="689" t="s">
        <v>16</v>
      </c>
      <c r="G5" s="679" t="s">
        <v>17</v>
      </c>
      <c r="H5" s="680"/>
      <c r="I5" s="681"/>
      <c r="J5" s="14" t="s">
        <v>18</v>
      </c>
      <c r="K5" s="691" t="s">
        <v>19</v>
      </c>
      <c r="L5" s="693" t="s">
        <v>20</v>
      </c>
      <c r="M5" s="664" t="s">
        <v>15</v>
      </c>
      <c r="N5" s="669" t="s">
        <v>16</v>
      </c>
      <c r="O5" s="679" t="s">
        <v>17</v>
      </c>
      <c r="P5" s="680"/>
      <c r="Q5" s="681"/>
      <c r="R5" s="659"/>
      <c r="S5" s="672"/>
      <c r="T5" s="672"/>
      <c r="U5" s="662"/>
      <c r="V5" s="662"/>
    </row>
    <row r="6" spans="1:23" ht="27.75" customHeight="1" thickBot="1">
      <c r="A6" s="665"/>
      <c r="B6" s="667"/>
      <c r="C6" s="667"/>
      <c r="D6" s="686"/>
      <c r="E6" s="688"/>
      <c r="F6" s="690"/>
      <c r="G6" s="15" t="s">
        <v>20</v>
      </c>
      <c r="H6" s="16" t="s">
        <v>21</v>
      </c>
      <c r="I6" s="17" t="s">
        <v>22</v>
      </c>
      <c r="J6" s="18"/>
      <c r="K6" s="692"/>
      <c r="L6" s="694"/>
      <c r="M6" s="668"/>
      <c r="N6" s="670"/>
      <c r="O6" s="19" t="s">
        <v>20</v>
      </c>
      <c r="P6" s="20" t="s">
        <v>21</v>
      </c>
      <c r="Q6" s="21" t="s">
        <v>22</v>
      </c>
      <c r="R6" s="660"/>
      <c r="S6" s="673"/>
      <c r="T6" s="673"/>
      <c r="U6" s="663"/>
      <c r="V6" s="663"/>
    </row>
    <row r="7" spans="1:23" ht="27.75" customHeight="1" thickTop="1">
      <c r="A7" s="22"/>
      <c r="B7" s="23" t="s">
        <v>23</v>
      </c>
      <c r="C7" s="24"/>
      <c r="D7" s="25"/>
      <c r="E7" s="26"/>
      <c r="F7" s="27"/>
      <c r="G7" s="28"/>
      <c r="H7" s="28"/>
      <c r="I7" s="28"/>
      <c r="J7" s="29"/>
      <c r="K7" s="30"/>
      <c r="L7" s="31"/>
      <c r="M7" s="32"/>
      <c r="N7" s="33"/>
      <c r="O7" s="34"/>
      <c r="P7" s="34"/>
      <c r="Q7" s="35"/>
      <c r="R7" s="36"/>
      <c r="S7" s="37"/>
      <c r="T7" s="37"/>
      <c r="U7" s="38"/>
      <c r="V7" s="38"/>
      <c r="W7" s="38"/>
    </row>
    <row r="8" spans="1:23" s="57" customFormat="1" ht="27.75" customHeight="1">
      <c r="A8" s="39">
        <v>1</v>
      </c>
      <c r="B8" s="40" t="s">
        <v>24</v>
      </c>
      <c r="C8" s="41" t="s">
        <v>25</v>
      </c>
      <c r="D8" s="42">
        <v>4012.5</v>
      </c>
      <c r="E8" s="43" t="s">
        <v>26</v>
      </c>
      <c r="F8" s="44">
        <v>0</v>
      </c>
      <c r="G8" s="45">
        <v>0</v>
      </c>
      <c r="H8" s="46">
        <v>0</v>
      </c>
      <c r="I8" s="47">
        <v>0</v>
      </c>
      <c r="J8" s="48">
        <v>45933</v>
      </c>
      <c r="K8" s="49" t="s">
        <v>499</v>
      </c>
      <c r="L8" s="50">
        <v>4012.5</v>
      </c>
      <c r="M8" s="51" t="s">
        <v>26</v>
      </c>
      <c r="N8" s="52">
        <v>0</v>
      </c>
      <c r="O8" s="53">
        <v>0</v>
      </c>
      <c r="P8" s="53">
        <f t="shared" ref="P8:P44" si="0">ROUND((O8*0.07),2)</f>
        <v>0</v>
      </c>
      <c r="Q8" s="54">
        <f t="shared" ref="Q8:Q44" si="1">+O8+P8</f>
        <v>0</v>
      </c>
      <c r="R8" s="39"/>
      <c r="S8" s="55"/>
      <c r="T8" s="55"/>
      <c r="U8" s="56"/>
      <c r="V8" s="56"/>
    </row>
    <row r="9" spans="1:23" s="57" customFormat="1" ht="27.75" customHeight="1">
      <c r="A9" s="39">
        <v>2</v>
      </c>
      <c r="B9" s="40" t="s">
        <v>28</v>
      </c>
      <c r="C9" s="41" t="s">
        <v>29</v>
      </c>
      <c r="D9" s="58">
        <v>4012.5</v>
      </c>
      <c r="E9" s="43" t="s">
        <v>32</v>
      </c>
      <c r="F9" s="44">
        <v>-1</v>
      </c>
      <c r="G9" s="45">
        <v>-3750</v>
      </c>
      <c r="H9" s="46">
        <v>-262.5</v>
      </c>
      <c r="I9" s="47">
        <v>-4012.5</v>
      </c>
      <c r="J9" s="48"/>
      <c r="K9" s="49"/>
      <c r="L9" s="50">
        <v>0</v>
      </c>
      <c r="M9" s="51" t="s">
        <v>26</v>
      </c>
      <c r="N9" s="52">
        <v>0</v>
      </c>
      <c r="O9" s="53">
        <f>+(D9*100/107)+G9-(L9*100/107)</f>
        <v>0</v>
      </c>
      <c r="P9" s="53">
        <f t="shared" si="0"/>
        <v>0</v>
      </c>
      <c r="Q9" s="54">
        <f t="shared" si="1"/>
        <v>0</v>
      </c>
      <c r="R9" s="39"/>
      <c r="S9" s="55"/>
      <c r="T9" s="55"/>
      <c r="U9" s="56"/>
      <c r="V9" s="56"/>
    </row>
    <row r="10" spans="1:23" s="57" customFormat="1" ht="27.75" customHeight="1">
      <c r="A10" s="39">
        <v>3</v>
      </c>
      <c r="B10" s="40" t="s">
        <v>24</v>
      </c>
      <c r="C10" s="41" t="s">
        <v>33</v>
      </c>
      <c r="D10" s="58">
        <v>4012.5</v>
      </c>
      <c r="E10" s="43" t="s">
        <v>26</v>
      </c>
      <c r="F10" s="44">
        <v>0</v>
      </c>
      <c r="G10" s="45">
        <v>0</v>
      </c>
      <c r="H10" s="46">
        <v>0</v>
      </c>
      <c r="I10" s="47">
        <v>0</v>
      </c>
      <c r="J10" s="48">
        <v>45933</v>
      </c>
      <c r="K10" s="49" t="s">
        <v>499</v>
      </c>
      <c r="L10" s="50">
        <v>4012.5</v>
      </c>
      <c r="M10" s="51" t="s">
        <v>26</v>
      </c>
      <c r="N10" s="52">
        <v>0</v>
      </c>
      <c r="O10" s="53">
        <f t="shared" ref="O10:O23" si="2">+(D10*100/107)+G10-(L10*100/107)</f>
        <v>0</v>
      </c>
      <c r="P10" s="53">
        <f t="shared" si="0"/>
        <v>0</v>
      </c>
      <c r="Q10" s="54">
        <f t="shared" si="1"/>
        <v>0</v>
      </c>
      <c r="R10" s="39"/>
      <c r="S10" s="55"/>
      <c r="T10" s="55"/>
      <c r="U10" s="56"/>
      <c r="V10" s="56"/>
    </row>
    <row r="11" spans="1:23" s="57" customFormat="1" ht="27.75" customHeight="1">
      <c r="A11" s="39">
        <v>4</v>
      </c>
      <c r="B11" s="40" t="s">
        <v>34</v>
      </c>
      <c r="C11" s="41" t="s">
        <v>35</v>
      </c>
      <c r="D11" s="58">
        <v>4012.5</v>
      </c>
      <c r="E11" s="43" t="s">
        <v>32</v>
      </c>
      <c r="F11" s="44">
        <v>-1</v>
      </c>
      <c r="G11" s="45">
        <v>-3750</v>
      </c>
      <c r="H11" s="46">
        <v>-262.5</v>
      </c>
      <c r="I11" s="47">
        <v>-4012.5</v>
      </c>
      <c r="J11" s="48"/>
      <c r="K11" s="49"/>
      <c r="L11" s="50">
        <v>0</v>
      </c>
      <c r="M11" s="51" t="s">
        <v>26</v>
      </c>
      <c r="N11" s="52">
        <v>0</v>
      </c>
      <c r="O11" s="53">
        <f t="shared" si="2"/>
        <v>0</v>
      </c>
      <c r="P11" s="53">
        <f t="shared" si="0"/>
        <v>0</v>
      </c>
      <c r="Q11" s="54">
        <f t="shared" si="1"/>
        <v>0</v>
      </c>
      <c r="R11" s="39"/>
      <c r="S11" s="55"/>
      <c r="T11" s="55"/>
      <c r="U11" s="56"/>
      <c r="V11" s="56"/>
    </row>
    <row r="12" spans="1:23" s="57" customFormat="1" ht="27.75" customHeight="1">
      <c r="A12" s="39">
        <v>5</v>
      </c>
      <c r="B12" s="40" t="s">
        <v>36</v>
      </c>
      <c r="C12" s="41" t="s">
        <v>37</v>
      </c>
      <c r="D12" s="58">
        <v>4012.5</v>
      </c>
      <c r="E12" s="43" t="s">
        <v>26</v>
      </c>
      <c r="F12" s="44">
        <v>0</v>
      </c>
      <c r="G12" s="45">
        <v>0</v>
      </c>
      <c r="H12" s="46">
        <v>0</v>
      </c>
      <c r="I12" s="47">
        <v>0</v>
      </c>
      <c r="J12" s="48">
        <v>45935</v>
      </c>
      <c r="K12" s="49" t="s">
        <v>500</v>
      </c>
      <c r="L12" s="50">
        <v>4012.5</v>
      </c>
      <c r="M12" s="51" t="s">
        <v>26</v>
      </c>
      <c r="N12" s="52">
        <v>0</v>
      </c>
      <c r="O12" s="53">
        <f t="shared" si="2"/>
        <v>0</v>
      </c>
      <c r="P12" s="53">
        <f t="shared" si="0"/>
        <v>0</v>
      </c>
      <c r="Q12" s="54">
        <f t="shared" si="1"/>
        <v>0</v>
      </c>
      <c r="R12" s="39"/>
      <c r="S12" s="55"/>
      <c r="T12" s="55"/>
      <c r="U12" s="56"/>
      <c r="V12" s="56"/>
    </row>
    <row r="13" spans="1:23" s="57" customFormat="1" ht="27.75" customHeight="1">
      <c r="A13" s="39">
        <v>6</v>
      </c>
      <c r="B13" s="40" t="s">
        <v>34</v>
      </c>
      <c r="C13" s="41" t="s">
        <v>39</v>
      </c>
      <c r="D13" s="58">
        <v>4012.5</v>
      </c>
      <c r="E13" s="43" t="s">
        <v>32</v>
      </c>
      <c r="F13" s="44">
        <v>-1</v>
      </c>
      <c r="G13" s="45">
        <v>-3750</v>
      </c>
      <c r="H13" s="46">
        <v>-262.5</v>
      </c>
      <c r="I13" s="47">
        <v>-4012.5</v>
      </c>
      <c r="J13" s="48"/>
      <c r="K13" s="49"/>
      <c r="L13" s="50">
        <v>0</v>
      </c>
      <c r="M13" s="51" t="s">
        <v>26</v>
      </c>
      <c r="N13" s="52">
        <v>0</v>
      </c>
      <c r="O13" s="53">
        <f t="shared" si="2"/>
        <v>0</v>
      </c>
      <c r="P13" s="53">
        <f t="shared" si="0"/>
        <v>0</v>
      </c>
      <c r="Q13" s="54">
        <f t="shared" si="1"/>
        <v>0</v>
      </c>
      <c r="R13" s="39"/>
      <c r="S13" s="55"/>
      <c r="T13" s="55"/>
      <c r="U13" s="56"/>
      <c r="V13" s="56"/>
    </row>
    <row r="14" spans="1:23" s="57" customFormat="1" ht="27.75" customHeight="1">
      <c r="A14" s="39">
        <v>7</v>
      </c>
      <c r="B14" s="40" t="s">
        <v>40</v>
      </c>
      <c r="C14" s="41" t="s">
        <v>41</v>
      </c>
      <c r="D14" s="58">
        <v>4012.5</v>
      </c>
      <c r="E14" s="43" t="s">
        <v>26</v>
      </c>
      <c r="F14" s="44">
        <v>0</v>
      </c>
      <c r="G14" s="45">
        <v>0</v>
      </c>
      <c r="H14" s="46">
        <v>0</v>
      </c>
      <c r="I14" s="47">
        <v>0</v>
      </c>
      <c r="J14" s="48">
        <v>45932</v>
      </c>
      <c r="K14" s="49" t="s">
        <v>501</v>
      </c>
      <c r="L14" s="50">
        <v>4012.5</v>
      </c>
      <c r="M14" s="51" t="s">
        <v>26</v>
      </c>
      <c r="N14" s="52">
        <v>0</v>
      </c>
      <c r="O14" s="53">
        <f t="shared" si="2"/>
        <v>0</v>
      </c>
      <c r="P14" s="53">
        <f t="shared" si="0"/>
        <v>0</v>
      </c>
      <c r="Q14" s="54">
        <f t="shared" si="1"/>
        <v>0</v>
      </c>
      <c r="R14" s="39"/>
      <c r="S14" s="55"/>
      <c r="T14" s="55"/>
      <c r="U14" s="56"/>
      <c r="V14" s="56"/>
    </row>
    <row r="15" spans="1:23" s="57" customFormat="1" ht="27.75" customHeight="1">
      <c r="A15" s="39">
        <v>8</v>
      </c>
      <c r="B15" s="40" t="s">
        <v>43</v>
      </c>
      <c r="C15" s="41" t="s">
        <v>44</v>
      </c>
      <c r="D15" s="58">
        <v>4012.5</v>
      </c>
      <c r="E15" s="43" t="s">
        <v>45</v>
      </c>
      <c r="F15" s="44">
        <v>0</v>
      </c>
      <c r="G15" s="45">
        <v>0</v>
      </c>
      <c r="H15" s="46">
        <v>0</v>
      </c>
      <c r="I15" s="47">
        <v>0</v>
      </c>
      <c r="J15" s="48">
        <v>45931</v>
      </c>
      <c r="K15" s="49" t="s">
        <v>502</v>
      </c>
      <c r="L15" s="50">
        <v>4012.5</v>
      </c>
      <c r="M15" s="51" t="s">
        <v>45</v>
      </c>
      <c r="N15" s="52">
        <v>0</v>
      </c>
      <c r="O15" s="53">
        <f t="shared" si="2"/>
        <v>0</v>
      </c>
      <c r="P15" s="53">
        <f t="shared" si="0"/>
        <v>0</v>
      </c>
      <c r="Q15" s="54">
        <f t="shared" si="1"/>
        <v>0</v>
      </c>
      <c r="R15" s="39"/>
      <c r="S15" s="55"/>
      <c r="T15" s="55"/>
      <c r="U15" s="56"/>
      <c r="V15" s="56"/>
    </row>
    <row r="16" spans="1:23" s="57" customFormat="1" ht="27.75" customHeight="1">
      <c r="A16" s="39">
        <v>9</v>
      </c>
      <c r="B16" s="40" t="s">
        <v>47</v>
      </c>
      <c r="C16" s="41" t="s">
        <v>48</v>
      </c>
      <c r="D16" s="58">
        <v>4012.5</v>
      </c>
      <c r="E16" s="43" t="s">
        <v>26</v>
      </c>
      <c r="F16" s="44">
        <v>0</v>
      </c>
      <c r="G16" s="45">
        <v>0</v>
      </c>
      <c r="H16" s="46">
        <v>0</v>
      </c>
      <c r="I16" s="47">
        <v>0</v>
      </c>
      <c r="J16" s="48">
        <v>45933</v>
      </c>
      <c r="K16" s="49" t="s">
        <v>503</v>
      </c>
      <c r="L16" s="50">
        <v>4012.5</v>
      </c>
      <c r="M16" s="51" t="s">
        <v>26</v>
      </c>
      <c r="N16" s="52">
        <v>0</v>
      </c>
      <c r="O16" s="53">
        <f t="shared" si="2"/>
        <v>0</v>
      </c>
      <c r="P16" s="53">
        <f t="shared" si="0"/>
        <v>0</v>
      </c>
      <c r="Q16" s="54">
        <f t="shared" si="1"/>
        <v>0</v>
      </c>
      <c r="R16" s="39"/>
      <c r="S16" s="55"/>
      <c r="T16" s="55"/>
      <c r="U16" s="56"/>
      <c r="V16" s="56"/>
    </row>
    <row r="17" spans="1:25" s="57" customFormat="1" ht="27.75" customHeight="1">
      <c r="A17" s="39">
        <v>10</v>
      </c>
      <c r="B17" s="40" t="s">
        <v>50</v>
      </c>
      <c r="C17" s="41" t="s">
        <v>51</v>
      </c>
      <c r="D17" s="58">
        <v>4012.5</v>
      </c>
      <c r="E17" s="43" t="s">
        <v>45</v>
      </c>
      <c r="F17" s="44">
        <v>0</v>
      </c>
      <c r="G17" s="45">
        <v>0</v>
      </c>
      <c r="H17" s="46">
        <v>0</v>
      </c>
      <c r="I17" s="47">
        <v>0</v>
      </c>
      <c r="J17" s="48">
        <v>45934</v>
      </c>
      <c r="K17" s="49" t="s">
        <v>504</v>
      </c>
      <c r="L17" s="50">
        <v>4012.5</v>
      </c>
      <c r="M17" s="51" t="s">
        <v>45</v>
      </c>
      <c r="N17" s="52">
        <v>0</v>
      </c>
      <c r="O17" s="53">
        <f t="shared" si="2"/>
        <v>0</v>
      </c>
      <c r="P17" s="53">
        <f t="shared" si="0"/>
        <v>0</v>
      </c>
      <c r="Q17" s="54">
        <f t="shared" si="1"/>
        <v>0</v>
      </c>
      <c r="R17" s="39"/>
      <c r="S17" s="55"/>
      <c r="T17" s="55"/>
      <c r="U17" s="56"/>
      <c r="V17" s="56"/>
    </row>
    <row r="18" spans="1:25" s="57" customFormat="1" ht="27.75" customHeight="1">
      <c r="A18" s="39">
        <v>11</v>
      </c>
      <c r="B18" s="40" t="s">
        <v>53</v>
      </c>
      <c r="C18" s="41" t="s">
        <v>54</v>
      </c>
      <c r="D18" s="58">
        <v>4012.5</v>
      </c>
      <c r="E18" s="43" t="s">
        <v>45</v>
      </c>
      <c r="F18" s="44">
        <v>0</v>
      </c>
      <c r="G18" s="45">
        <v>0</v>
      </c>
      <c r="H18" s="46">
        <v>0</v>
      </c>
      <c r="I18" s="47">
        <v>0</v>
      </c>
      <c r="J18" s="48">
        <v>45932</v>
      </c>
      <c r="K18" s="59" t="s">
        <v>505</v>
      </c>
      <c r="L18" s="50">
        <v>4012.5</v>
      </c>
      <c r="M18" s="51" t="s">
        <v>45</v>
      </c>
      <c r="N18" s="52">
        <v>0</v>
      </c>
      <c r="O18" s="53">
        <f t="shared" si="2"/>
        <v>0</v>
      </c>
      <c r="P18" s="53">
        <f t="shared" si="0"/>
        <v>0</v>
      </c>
      <c r="Q18" s="54">
        <f t="shared" si="1"/>
        <v>0</v>
      </c>
      <c r="R18" s="39"/>
      <c r="S18" s="55"/>
      <c r="T18" s="55"/>
      <c r="U18" s="56"/>
      <c r="V18" s="56"/>
      <c r="Y18" s="57" t="s">
        <v>56</v>
      </c>
    </row>
    <row r="19" spans="1:25" s="57" customFormat="1" ht="27.75" customHeight="1">
      <c r="A19" s="39">
        <v>12</v>
      </c>
      <c r="B19" s="40" t="s">
        <v>57</v>
      </c>
      <c r="C19" s="41" t="s">
        <v>58</v>
      </c>
      <c r="D19" s="58">
        <v>4012.5</v>
      </c>
      <c r="E19" s="43" t="s">
        <v>26</v>
      </c>
      <c r="F19" s="44">
        <v>0</v>
      </c>
      <c r="G19" s="45">
        <v>0</v>
      </c>
      <c r="H19" s="46">
        <v>0</v>
      </c>
      <c r="I19" s="47">
        <v>0</v>
      </c>
      <c r="J19" s="48">
        <v>45931</v>
      </c>
      <c r="K19" s="49" t="s">
        <v>506</v>
      </c>
      <c r="L19" s="50">
        <v>4012.5</v>
      </c>
      <c r="M19" s="51" t="s">
        <v>26</v>
      </c>
      <c r="N19" s="52">
        <v>0</v>
      </c>
      <c r="O19" s="53">
        <f t="shared" si="2"/>
        <v>0</v>
      </c>
      <c r="P19" s="53">
        <f t="shared" si="0"/>
        <v>0</v>
      </c>
      <c r="Q19" s="54">
        <f t="shared" si="1"/>
        <v>0</v>
      </c>
      <c r="R19" s="39"/>
      <c r="S19" s="55"/>
      <c r="T19" s="55"/>
      <c r="U19" s="56"/>
      <c r="V19" s="56"/>
    </row>
    <row r="20" spans="1:25" s="57" customFormat="1" ht="27.75" customHeight="1">
      <c r="A20" s="39">
        <v>13</v>
      </c>
      <c r="B20" s="40" t="s">
        <v>60</v>
      </c>
      <c r="C20" s="41" t="s">
        <v>61</v>
      </c>
      <c r="D20" s="58">
        <v>4012.5</v>
      </c>
      <c r="E20" s="43" t="s">
        <v>26</v>
      </c>
      <c r="F20" s="44">
        <v>0</v>
      </c>
      <c r="G20" s="45">
        <v>0</v>
      </c>
      <c r="H20" s="46">
        <v>0</v>
      </c>
      <c r="I20" s="47">
        <v>0</v>
      </c>
      <c r="J20" s="48">
        <v>45931</v>
      </c>
      <c r="K20" s="49" t="s">
        <v>507</v>
      </c>
      <c r="L20" s="50">
        <v>4012.5</v>
      </c>
      <c r="M20" s="51" t="s">
        <v>26</v>
      </c>
      <c r="N20" s="52">
        <v>0</v>
      </c>
      <c r="O20" s="53">
        <f t="shared" si="2"/>
        <v>0</v>
      </c>
      <c r="P20" s="53">
        <f t="shared" si="0"/>
        <v>0</v>
      </c>
      <c r="Q20" s="54">
        <f t="shared" si="1"/>
        <v>0</v>
      </c>
      <c r="R20" s="39"/>
      <c r="S20" s="55"/>
      <c r="T20" s="55"/>
      <c r="U20" s="56"/>
      <c r="V20" s="56"/>
    </row>
    <row r="21" spans="1:25" s="57" customFormat="1" ht="27.75" customHeight="1">
      <c r="A21" s="39">
        <v>14</v>
      </c>
      <c r="B21" s="40" t="s">
        <v>63</v>
      </c>
      <c r="C21" s="41" t="s">
        <v>64</v>
      </c>
      <c r="D21" s="58">
        <v>4012.5</v>
      </c>
      <c r="E21" s="43" t="s">
        <v>26</v>
      </c>
      <c r="F21" s="44">
        <v>0</v>
      </c>
      <c r="G21" s="45">
        <v>0</v>
      </c>
      <c r="H21" s="46">
        <v>0</v>
      </c>
      <c r="I21" s="47">
        <v>0</v>
      </c>
      <c r="J21" s="48">
        <v>45935</v>
      </c>
      <c r="K21" s="49" t="s">
        <v>508</v>
      </c>
      <c r="L21" s="50">
        <v>4012.5</v>
      </c>
      <c r="M21" s="51" t="s">
        <v>26</v>
      </c>
      <c r="N21" s="52">
        <v>0</v>
      </c>
      <c r="O21" s="53">
        <f t="shared" si="2"/>
        <v>0</v>
      </c>
      <c r="P21" s="53">
        <f t="shared" si="0"/>
        <v>0</v>
      </c>
      <c r="Q21" s="54">
        <f t="shared" si="1"/>
        <v>0</v>
      </c>
      <c r="R21" s="39"/>
      <c r="S21" s="55"/>
      <c r="T21" s="55"/>
      <c r="U21" s="56"/>
      <c r="V21" s="56"/>
    </row>
    <row r="22" spans="1:25" s="57" customFormat="1" ht="27.75" customHeight="1">
      <c r="A22" s="39">
        <v>15</v>
      </c>
      <c r="B22" s="40" t="s">
        <v>66</v>
      </c>
      <c r="C22" s="41" t="s">
        <v>67</v>
      </c>
      <c r="D22" s="58">
        <v>12037.5</v>
      </c>
      <c r="E22" s="43" t="s">
        <v>26</v>
      </c>
      <c r="F22" s="60">
        <v>0</v>
      </c>
      <c r="G22" s="61">
        <v>0</v>
      </c>
      <c r="H22" s="46">
        <v>0</v>
      </c>
      <c r="I22" s="47">
        <v>0</v>
      </c>
      <c r="J22" s="62"/>
      <c r="K22" s="49"/>
      <c r="L22" s="50">
        <v>0</v>
      </c>
      <c r="M22" s="51" t="s">
        <v>32</v>
      </c>
      <c r="N22" s="52">
        <v>1</v>
      </c>
      <c r="O22" s="53">
        <f t="shared" si="2"/>
        <v>11250</v>
      </c>
      <c r="P22" s="53">
        <f t="shared" si="0"/>
        <v>787.5</v>
      </c>
      <c r="Q22" s="54">
        <f t="shared" si="1"/>
        <v>12037.5</v>
      </c>
      <c r="R22" s="39"/>
      <c r="S22" s="55"/>
      <c r="T22" s="55"/>
      <c r="U22" s="56"/>
      <c r="V22" s="56"/>
    </row>
    <row r="23" spans="1:25" s="57" customFormat="1" ht="27.75" customHeight="1">
      <c r="A23" s="39">
        <v>16</v>
      </c>
      <c r="B23" s="40" t="s">
        <v>66</v>
      </c>
      <c r="C23" s="41" t="s">
        <v>69</v>
      </c>
      <c r="D23" s="63">
        <v>4012.5</v>
      </c>
      <c r="E23" s="64" t="s">
        <v>26</v>
      </c>
      <c r="F23" s="44">
        <v>0</v>
      </c>
      <c r="G23" s="45">
        <v>0</v>
      </c>
      <c r="H23" s="65">
        <v>0</v>
      </c>
      <c r="I23" s="66">
        <v>0</v>
      </c>
      <c r="J23" s="62"/>
      <c r="K23" s="49"/>
      <c r="L23" s="50">
        <v>0</v>
      </c>
      <c r="M23" s="51" t="s">
        <v>32</v>
      </c>
      <c r="N23" s="52">
        <v>1</v>
      </c>
      <c r="O23" s="53">
        <f t="shared" si="2"/>
        <v>3750</v>
      </c>
      <c r="P23" s="53">
        <f t="shared" si="0"/>
        <v>262.5</v>
      </c>
      <c r="Q23" s="54">
        <f t="shared" si="1"/>
        <v>4012.5</v>
      </c>
      <c r="R23" s="39"/>
      <c r="S23" s="55"/>
      <c r="T23" s="55"/>
      <c r="U23" s="56"/>
      <c r="V23" s="56"/>
    </row>
    <row r="24" spans="1:25" s="57" customFormat="1" ht="35.25" customHeight="1" thickBot="1">
      <c r="A24" s="67"/>
      <c r="B24" s="68" t="s">
        <v>22</v>
      </c>
      <c r="C24" s="69"/>
      <c r="D24" s="70">
        <f>SUM(D8:D23)</f>
        <v>72225</v>
      </c>
      <c r="E24" s="71"/>
      <c r="F24" s="72"/>
      <c r="G24" s="73">
        <v>0</v>
      </c>
      <c r="H24" s="73">
        <v>0</v>
      </c>
      <c r="I24" s="73">
        <v>0</v>
      </c>
      <c r="J24" s="74"/>
      <c r="K24" s="75"/>
      <c r="L24" s="76">
        <f>SUM(L8:L23)</f>
        <v>44137.5</v>
      </c>
      <c r="M24" s="77"/>
      <c r="N24" s="78"/>
      <c r="O24" s="79">
        <f>SUM(O8:O23)</f>
        <v>15000</v>
      </c>
      <c r="P24" s="79">
        <f t="shared" ref="P24:Q24" si="3">SUM(P8:P23)</f>
        <v>1050</v>
      </c>
      <c r="Q24" s="79">
        <f t="shared" si="3"/>
        <v>16050</v>
      </c>
      <c r="R24" s="39"/>
      <c r="S24" s="55"/>
      <c r="T24" s="55"/>
      <c r="U24" s="56"/>
      <c r="V24" s="56"/>
    </row>
    <row r="25" spans="1:25" s="91" customFormat="1" ht="27.75" customHeight="1" thickTop="1">
      <c r="A25" s="39">
        <v>1</v>
      </c>
      <c r="B25" s="80" t="s">
        <v>71</v>
      </c>
      <c r="C25" s="81" t="s">
        <v>72</v>
      </c>
      <c r="D25" s="82">
        <v>13375</v>
      </c>
      <c r="E25" s="83" t="s">
        <v>75</v>
      </c>
      <c r="F25" s="84">
        <v>-0.5</v>
      </c>
      <c r="G25" s="85">
        <v>-6250</v>
      </c>
      <c r="H25" s="46">
        <v>-437.5</v>
      </c>
      <c r="I25" s="85">
        <v>-6687.5</v>
      </c>
      <c r="J25" s="48">
        <v>45954</v>
      </c>
      <c r="K25" s="49" t="s">
        <v>509</v>
      </c>
      <c r="L25" s="86">
        <v>13375</v>
      </c>
      <c r="M25" s="87" t="s">
        <v>510</v>
      </c>
      <c r="N25" s="88"/>
      <c r="O25" s="518">
        <f>+(D25*100/107)+G25-(L25*100/107)</f>
        <v>-6250</v>
      </c>
      <c r="P25" s="518">
        <f t="shared" ref="P25" si="4">ROUND((O25*0.07),2)</f>
        <v>-437.5</v>
      </c>
      <c r="Q25" s="519">
        <f t="shared" ref="Q25" si="5">+O25+P25</f>
        <v>-6687.5</v>
      </c>
      <c r="R25" s="39"/>
      <c r="S25" s="55"/>
      <c r="T25" s="55"/>
      <c r="U25" s="58"/>
      <c r="V25" s="58"/>
    </row>
    <row r="26" spans="1:25" s="57" customFormat="1" ht="27.75" customHeight="1">
      <c r="A26" s="39">
        <v>2</v>
      </c>
      <c r="B26" s="92" t="s">
        <v>76</v>
      </c>
      <c r="C26" s="41" t="s">
        <v>72</v>
      </c>
      <c r="D26" s="58">
        <v>1605</v>
      </c>
      <c r="E26" s="43" t="s">
        <v>45</v>
      </c>
      <c r="F26" s="60">
        <v>0</v>
      </c>
      <c r="G26" s="47">
        <v>0</v>
      </c>
      <c r="H26" s="46">
        <v>0</v>
      </c>
      <c r="I26" s="47">
        <v>0</v>
      </c>
      <c r="J26" s="62">
        <v>45936</v>
      </c>
      <c r="K26" s="49" t="s">
        <v>511</v>
      </c>
      <c r="L26" s="93">
        <v>1605</v>
      </c>
      <c r="M26" s="94" t="s">
        <v>45</v>
      </c>
      <c r="N26" s="95"/>
      <c r="O26" s="53">
        <f>+(D26*100/107)+G26-(L26*100/107)</f>
        <v>0</v>
      </c>
      <c r="P26" s="53">
        <f t="shared" si="0"/>
        <v>0</v>
      </c>
      <c r="Q26" s="54">
        <f t="shared" si="1"/>
        <v>0</v>
      </c>
      <c r="R26" s="39"/>
      <c r="S26" s="55"/>
      <c r="T26" s="55"/>
      <c r="U26" s="58"/>
      <c r="V26" s="58"/>
    </row>
    <row r="27" spans="1:25" s="57" customFormat="1" ht="27.75" customHeight="1" thickBot="1">
      <c r="A27" s="96"/>
      <c r="B27" s="97" t="s">
        <v>22</v>
      </c>
      <c r="C27" s="98"/>
      <c r="D27" s="99">
        <f>SUM(D25:D26)</f>
        <v>14980</v>
      </c>
      <c r="E27" s="100"/>
      <c r="F27" s="101"/>
      <c r="G27" s="102"/>
      <c r="H27" s="102"/>
      <c r="I27" s="102"/>
      <c r="J27" s="103"/>
      <c r="K27" s="104"/>
      <c r="L27" s="105">
        <f>SUM(L25:L26)</f>
        <v>14980</v>
      </c>
      <c r="M27" s="106"/>
      <c r="N27" s="107"/>
      <c r="O27" s="108"/>
      <c r="P27" s="108"/>
      <c r="Q27" s="109"/>
      <c r="R27" s="39"/>
      <c r="S27" s="55"/>
      <c r="T27" s="55"/>
      <c r="U27" s="56"/>
      <c r="V27" s="56"/>
    </row>
    <row r="28" spans="1:25" ht="27.75" customHeight="1" thickTop="1">
      <c r="A28" s="39">
        <v>1</v>
      </c>
      <c r="B28" s="40" t="s">
        <v>78</v>
      </c>
      <c r="C28" s="81" t="s">
        <v>72</v>
      </c>
      <c r="D28" s="110">
        <v>7247.92</v>
      </c>
      <c r="E28" s="111"/>
      <c r="F28" s="112"/>
      <c r="G28" s="61">
        <v>-7.4766355101019144E-4</v>
      </c>
      <c r="H28" s="46">
        <v>0</v>
      </c>
      <c r="I28" s="47">
        <v>-7.4766355101019144E-4</v>
      </c>
      <c r="J28" s="113"/>
      <c r="K28" s="114"/>
      <c r="L28" s="115">
        <v>0</v>
      </c>
      <c r="M28" s="94" t="s">
        <v>32</v>
      </c>
      <c r="N28" s="116">
        <v>1</v>
      </c>
      <c r="O28" s="53">
        <f>+(D28*100/107)+G28-(L28*100/107)</f>
        <v>6773.7562616822433</v>
      </c>
      <c r="P28" s="53">
        <f t="shared" ref="P28:P30" si="6">ROUND((O28*0.07),2)</f>
        <v>474.16</v>
      </c>
      <c r="Q28" s="54">
        <f t="shared" ref="Q28:Q30" si="7">+O28+P28</f>
        <v>7247.9162616822432</v>
      </c>
      <c r="R28" s="39"/>
      <c r="S28" s="55"/>
      <c r="T28" s="55"/>
      <c r="U28" s="56"/>
      <c r="V28" s="56"/>
    </row>
    <row r="29" spans="1:25" ht="27.75" customHeight="1">
      <c r="A29" s="39">
        <v>2</v>
      </c>
      <c r="B29" s="40" t="s">
        <v>82</v>
      </c>
      <c r="C29" s="41" t="s">
        <v>72</v>
      </c>
      <c r="D29" s="110">
        <v>905.65</v>
      </c>
      <c r="E29" s="111"/>
      <c r="F29" s="112"/>
      <c r="G29" s="61">
        <v>-1.869158877980226E-3</v>
      </c>
      <c r="H29" s="46">
        <v>0</v>
      </c>
      <c r="I29" s="47">
        <v>-1.869158877980226E-3</v>
      </c>
      <c r="J29" s="113"/>
      <c r="K29" s="114"/>
      <c r="L29" s="115">
        <v>0</v>
      </c>
      <c r="M29" s="94" t="s">
        <v>32</v>
      </c>
      <c r="N29" s="116">
        <v>1</v>
      </c>
      <c r="O29" s="53">
        <f>+(D29*100/107)+G29-(L29*100/107)</f>
        <v>846.40000000000055</v>
      </c>
      <c r="P29" s="53">
        <f t="shared" si="6"/>
        <v>59.25</v>
      </c>
      <c r="Q29" s="54">
        <f t="shared" si="7"/>
        <v>905.65000000000055</v>
      </c>
      <c r="R29" s="39"/>
      <c r="S29" s="55"/>
      <c r="T29" s="55"/>
      <c r="U29" s="56"/>
      <c r="V29" s="56"/>
    </row>
    <row r="30" spans="1:25" ht="27.75" customHeight="1">
      <c r="A30" s="39">
        <v>3</v>
      </c>
      <c r="B30" s="40" t="s">
        <v>85</v>
      </c>
      <c r="C30" s="41" t="s">
        <v>72</v>
      </c>
      <c r="D30" s="110">
        <v>10000</v>
      </c>
      <c r="E30" s="111"/>
      <c r="F30" s="112"/>
      <c r="G30" s="61">
        <v>7.4766354737221263E-4</v>
      </c>
      <c r="H30" s="46">
        <v>0</v>
      </c>
      <c r="I30" s="47">
        <v>7.4766354737221263E-4</v>
      </c>
      <c r="J30" s="117">
        <v>45938</v>
      </c>
      <c r="K30" s="118" t="s">
        <v>512</v>
      </c>
      <c r="L30" s="119">
        <v>10000</v>
      </c>
      <c r="M30" s="94"/>
      <c r="N30" s="116"/>
      <c r="O30" s="53">
        <f>+(D30*100/107)+G30-(L30*100/107)</f>
        <v>7.4766354737221263E-4</v>
      </c>
      <c r="P30" s="53">
        <f t="shared" si="6"/>
        <v>0</v>
      </c>
      <c r="Q30" s="54">
        <f t="shared" si="7"/>
        <v>7.4766354737221263E-4</v>
      </c>
      <c r="R30" s="39"/>
      <c r="S30" s="55"/>
      <c r="T30" s="55"/>
      <c r="U30" s="56"/>
      <c r="V30" s="56"/>
    </row>
    <row r="31" spans="1:25" s="57" customFormat="1" ht="27.75" customHeight="1" thickBot="1">
      <c r="A31" s="96"/>
      <c r="B31" s="97" t="s">
        <v>22</v>
      </c>
      <c r="C31" s="98"/>
      <c r="D31" s="99">
        <f>SUM(D28:D30)</f>
        <v>18153.57</v>
      </c>
      <c r="E31" s="100"/>
      <c r="F31" s="101"/>
      <c r="G31" s="102">
        <f>SUM(G28:G30)</f>
        <v>-1.8691588816182048E-3</v>
      </c>
      <c r="H31" s="102">
        <f t="shared" ref="H31:I31" si="8">SUM(H28:H30)</f>
        <v>0</v>
      </c>
      <c r="I31" s="102">
        <f t="shared" si="8"/>
        <v>-1.8691588816182048E-3</v>
      </c>
      <c r="J31" s="103"/>
      <c r="K31" s="104"/>
      <c r="L31" s="105">
        <f>SUM(L28+L29+L30)</f>
        <v>10000</v>
      </c>
      <c r="M31" s="106"/>
      <c r="N31" s="107"/>
      <c r="O31" s="108">
        <f>SUM(O28:O30)</f>
        <v>7620.1570093457913</v>
      </c>
      <c r="P31" s="108">
        <f t="shared" si="0"/>
        <v>533.41</v>
      </c>
      <c r="Q31" s="108">
        <f t="shared" si="1"/>
        <v>8153.5670093457911</v>
      </c>
      <c r="R31" s="39"/>
      <c r="S31" s="55"/>
      <c r="T31" s="55"/>
      <c r="U31" s="56"/>
      <c r="V31" s="56"/>
    </row>
    <row r="32" spans="1:25" ht="27.75" hidden="1" customHeight="1" thickBot="1">
      <c r="A32" s="39">
        <v>1</v>
      </c>
      <c r="B32" s="40" t="s">
        <v>88</v>
      </c>
      <c r="C32" s="41" t="s">
        <v>72</v>
      </c>
      <c r="D32" s="120">
        <v>0</v>
      </c>
      <c r="E32" s="43"/>
      <c r="F32" s="60"/>
      <c r="G32" s="61">
        <v>0</v>
      </c>
      <c r="H32" s="46">
        <v>0</v>
      </c>
      <c r="I32" s="47">
        <v>0</v>
      </c>
      <c r="J32" s="113"/>
      <c r="K32" s="118"/>
      <c r="L32" s="121">
        <v>0</v>
      </c>
      <c r="M32" s="94"/>
      <c r="N32" s="39"/>
      <c r="O32" s="53">
        <f t="shared" ref="O32:O44" si="9">+(D32*100/107)+G32-(L32*100/107)</f>
        <v>0</v>
      </c>
      <c r="P32" s="53">
        <f t="shared" si="0"/>
        <v>0</v>
      </c>
      <c r="Q32" s="54">
        <f t="shared" si="1"/>
        <v>0</v>
      </c>
      <c r="R32" s="122"/>
      <c r="S32" s="37"/>
      <c r="T32" s="37"/>
      <c r="U32" s="38"/>
      <c r="V32" s="38"/>
    </row>
    <row r="33" spans="1:23" ht="27.75" hidden="1" customHeight="1" thickTop="1">
      <c r="A33" s="39">
        <v>2</v>
      </c>
      <c r="B33" s="40" t="s">
        <v>89</v>
      </c>
      <c r="C33" s="41" t="s">
        <v>72</v>
      </c>
      <c r="D33" s="120">
        <v>0</v>
      </c>
      <c r="E33" s="43"/>
      <c r="F33" s="60"/>
      <c r="G33" s="61">
        <v>0</v>
      </c>
      <c r="H33" s="46">
        <v>0</v>
      </c>
      <c r="I33" s="47">
        <v>0</v>
      </c>
      <c r="J33" s="113"/>
      <c r="K33" s="118"/>
      <c r="L33" s="121">
        <v>0</v>
      </c>
      <c r="M33" s="94"/>
      <c r="N33" s="39"/>
      <c r="O33" s="53">
        <f t="shared" si="9"/>
        <v>0</v>
      </c>
      <c r="P33" s="53">
        <f t="shared" si="0"/>
        <v>0</v>
      </c>
      <c r="Q33" s="54">
        <f t="shared" si="1"/>
        <v>0</v>
      </c>
      <c r="R33" s="122"/>
      <c r="S33" s="37"/>
      <c r="T33" s="37"/>
      <c r="U33" s="38"/>
      <c r="V33" s="38"/>
    </row>
    <row r="34" spans="1:23" ht="27.75" hidden="1" customHeight="1" thickTop="1">
      <c r="A34" s="39">
        <v>3</v>
      </c>
      <c r="B34" s="40" t="s">
        <v>90</v>
      </c>
      <c r="C34" s="41" t="s">
        <v>72</v>
      </c>
      <c r="D34" s="120"/>
      <c r="E34" s="43"/>
      <c r="F34" s="60"/>
      <c r="G34" s="61">
        <v>0</v>
      </c>
      <c r="H34" s="46">
        <v>0</v>
      </c>
      <c r="I34" s="47">
        <v>0</v>
      </c>
      <c r="J34" s="113"/>
      <c r="K34" s="118"/>
      <c r="L34" s="121"/>
      <c r="M34" s="94"/>
      <c r="N34" s="39"/>
      <c r="O34" s="53">
        <f t="shared" si="9"/>
        <v>0</v>
      </c>
      <c r="P34" s="53">
        <f t="shared" si="0"/>
        <v>0</v>
      </c>
      <c r="Q34" s="54">
        <f t="shared" si="1"/>
        <v>0</v>
      </c>
      <c r="R34" s="122"/>
      <c r="S34" s="37"/>
      <c r="T34" s="37"/>
      <c r="U34" s="38"/>
      <c r="V34" s="38"/>
    </row>
    <row r="35" spans="1:23" ht="27.75" hidden="1" customHeight="1" thickTop="1">
      <c r="A35" s="39">
        <v>4</v>
      </c>
      <c r="B35" s="40" t="s">
        <v>91</v>
      </c>
      <c r="C35" s="41" t="s">
        <v>72</v>
      </c>
      <c r="D35" s="120"/>
      <c r="E35" s="43"/>
      <c r="F35" s="60"/>
      <c r="G35" s="61">
        <v>0</v>
      </c>
      <c r="H35" s="46">
        <v>0</v>
      </c>
      <c r="I35" s="47">
        <v>0</v>
      </c>
      <c r="J35" s="113"/>
      <c r="K35" s="118"/>
      <c r="L35" s="121">
        <v>0</v>
      </c>
      <c r="M35" s="94"/>
      <c r="N35" s="39"/>
      <c r="O35" s="53">
        <f t="shared" si="9"/>
        <v>0</v>
      </c>
      <c r="P35" s="53">
        <f t="shared" si="0"/>
        <v>0</v>
      </c>
      <c r="Q35" s="54">
        <f t="shared" si="1"/>
        <v>0</v>
      </c>
      <c r="R35" s="122"/>
      <c r="S35" s="37"/>
      <c r="T35" s="37"/>
      <c r="U35" s="38"/>
      <c r="V35" s="38"/>
    </row>
    <row r="36" spans="1:23" ht="27.75" hidden="1" customHeight="1" thickTop="1">
      <c r="A36" s="39">
        <v>5</v>
      </c>
      <c r="B36" s="40" t="s">
        <v>92</v>
      </c>
      <c r="C36" s="41" t="s">
        <v>72</v>
      </c>
      <c r="D36" s="120"/>
      <c r="E36" s="43"/>
      <c r="F36" s="60"/>
      <c r="G36" s="61">
        <v>0</v>
      </c>
      <c r="H36" s="46">
        <v>0</v>
      </c>
      <c r="I36" s="47">
        <v>0</v>
      </c>
      <c r="J36" s="117"/>
      <c r="K36" s="118"/>
      <c r="L36" s="119">
        <v>0</v>
      </c>
      <c r="M36" s="94"/>
      <c r="N36" s="39"/>
      <c r="O36" s="53">
        <f t="shared" si="9"/>
        <v>0</v>
      </c>
      <c r="P36" s="53">
        <f t="shared" si="0"/>
        <v>0</v>
      </c>
      <c r="Q36" s="54">
        <f t="shared" si="1"/>
        <v>0</v>
      </c>
      <c r="R36" s="122"/>
      <c r="S36" s="37"/>
      <c r="T36" s="37"/>
      <c r="U36" s="38"/>
      <c r="V36" s="38"/>
    </row>
    <row r="37" spans="1:23" ht="27.75" hidden="1" customHeight="1" thickTop="1">
      <c r="A37" s="39">
        <v>6</v>
      </c>
      <c r="B37" s="123" t="s">
        <v>93</v>
      </c>
      <c r="C37" s="41" t="s">
        <v>72</v>
      </c>
      <c r="D37" s="124">
        <v>0</v>
      </c>
      <c r="E37" s="125"/>
      <c r="F37" s="126"/>
      <c r="G37" s="65">
        <v>0</v>
      </c>
      <c r="H37" s="46">
        <v>0</v>
      </c>
      <c r="I37" s="47">
        <v>0</v>
      </c>
      <c r="J37" s="127"/>
      <c r="K37" s="128"/>
      <c r="L37" s="129">
        <v>0</v>
      </c>
      <c r="M37" s="94"/>
      <c r="N37" s="39"/>
      <c r="O37" s="53">
        <f t="shared" si="9"/>
        <v>0</v>
      </c>
      <c r="P37" s="53">
        <f t="shared" si="0"/>
        <v>0</v>
      </c>
      <c r="Q37" s="54">
        <f t="shared" si="1"/>
        <v>0</v>
      </c>
      <c r="R37" s="122"/>
      <c r="S37" s="37"/>
      <c r="T37" s="37"/>
      <c r="U37" s="38"/>
      <c r="V37" s="38"/>
    </row>
    <row r="38" spans="1:23" ht="27.75" hidden="1" customHeight="1" thickTop="1">
      <c r="A38" s="39">
        <v>7</v>
      </c>
      <c r="B38" s="40" t="s">
        <v>94</v>
      </c>
      <c r="C38" s="41" t="s">
        <v>72</v>
      </c>
      <c r="D38" s="120"/>
      <c r="E38" s="43"/>
      <c r="F38" s="60"/>
      <c r="G38" s="61">
        <v>0</v>
      </c>
      <c r="H38" s="46">
        <v>0</v>
      </c>
      <c r="I38" s="47">
        <v>0</v>
      </c>
      <c r="J38" s="117"/>
      <c r="K38" s="118"/>
      <c r="L38" s="119">
        <v>0</v>
      </c>
      <c r="M38" s="94"/>
      <c r="N38" s="39"/>
      <c r="O38" s="53">
        <f t="shared" si="9"/>
        <v>0</v>
      </c>
      <c r="P38" s="53">
        <f t="shared" si="0"/>
        <v>0</v>
      </c>
      <c r="Q38" s="54">
        <f t="shared" si="1"/>
        <v>0</v>
      </c>
      <c r="R38" s="122"/>
      <c r="S38" s="37"/>
      <c r="T38" s="37"/>
      <c r="U38" s="38"/>
      <c r="V38" s="38"/>
    </row>
    <row r="39" spans="1:23" ht="27.75" hidden="1" customHeight="1" thickTop="1">
      <c r="A39" s="39">
        <v>8</v>
      </c>
      <c r="B39" s="40" t="s">
        <v>95</v>
      </c>
      <c r="C39" s="41" t="s">
        <v>72</v>
      </c>
      <c r="D39" s="120"/>
      <c r="E39" s="43"/>
      <c r="F39" s="60"/>
      <c r="G39" s="61">
        <v>0</v>
      </c>
      <c r="H39" s="46">
        <v>0</v>
      </c>
      <c r="I39" s="47">
        <v>0</v>
      </c>
      <c r="J39" s="117"/>
      <c r="K39" s="118"/>
      <c r="L39" s="119">
        <v>0</v>
      </c>
      <c r="M39" s="94"/>
      <c r="N39" s="39"/>
      <c r="O39" s="53">
        <f t="shared" si="9"/>
        <v>0</v>
      </c>
      <c r="P39" s="53">
        <f t="shared" si="0"/>
        <v>0</v>
      </c>
      <c r="Q39" s="54">
        <f t="shared" si="1"/>
        <v>0</v>
      </c>
      <c r="R39" s="122"/>
      <c r="S39" s="37"/>
      <c r="T39" s="37"/>
      <c r="U39" s="38"/>
      <c r="V39" s="38"/>
    </row>
    <row r="40" spans="1:23" ht="27.75" hidden="1" customHeight="1" thickTop="1">
      <c r="A40" s="39">
        <v>9</v>
      </c>
      <c r="B40" s="40" t="s">
        <v>96</v>
      </c>
      <c r="C40" s="41" t="s">
        <v>72</v>
      </c>
      <c r="D40" s="120"/>
      <c r="E40" s="43"/>
      <c r="F40" s="60"/>
      <c r="G40" s="61">
        <v>0</v>
      </c>
      <c r="H40" s="46">
        <v>0</v>
      </c>
      <c r="I40" s="47">
        <v>0</v>
      </c>
      <c r="J40" s="117"/>
      <c r="K40" s="118"/>
      <c r="L40" s="119">
        <v>0</v>
      </c>
      <c r="M40" s="94"/>
      <c r="N40" s="39"/>
      <c r="O40" s="53">
        <f t="shared" si="9"/>
        <v>0</v>
      </c>
      <c r="P40" s="53">
        <f t="shared" si="0"/>
        <v>0</v>
      </c>
      <c r="Q40" s="54">
        <f t="shared" si="1"/>
        <v>0</v>
      </c>
      <c r="R40" s="122"/>
      <c r="S40" s="37"/>
      <c r="T40" s="37"/>
      <c r="U40" s="38"/>
      <c r="V40" s="38"/>
    </row>
    <row r="41" spans="1:23" ht="27.75" hidden="1" customHeight="1" thickTop="1">
      <c r="A41" s="39">
        <v>10</v>
      </c>
      <c r="B41" s="40" t="s">
        <v>97</v>
      </c>
      <c r="C41" s="41" t="s">
        <v>72</v>
      </c>
      <c r="D41" s="120">
        <v>0</v>
      </c>
      <c r="E41" s="43"/>
      <c r="F41" s="60"/>
      <c r="G41" s="61">
        <v>0</v>
      </c>
      <c r="H41" s="46">
        <v>0</v>
      </c>
      <c r="I41" s="47">
        <v>0</v>
      </c>
      <c r="J41" s="117"/>
      <c r="K41" s="118"/>
      <c r="L41" s="119">
        <v>0</v>
      </c>
      <c r="M41" s="94"/>
      <c r="N41" s="39"/>
      <c r="O41" s="53">
        <f t="shared" si="9"/>
        <v>0</v>
      </c>
      <c r="P41" s="53">
        <f t="shared" si="0"/>
        <v>0</v>
      </c>
      <c r="Q41" s="54">
        <f t="shared" si="1"/>
        <v>0</v>
      </c>
      <c r="R41" s="122"/>
      <c r="S41" s="37"/>
      <c r="T41" s="37"/>
      <c r="U41" s="38"/>
      <c r="V41" s="38"/>
    </row>
    <row r="42" spans="1:23" ht="27.75" hidden="1" customHeight="1" thickTop="1">
      <c r="A42" s="39">
        <v>11</v>
      </c>
      <c r="B42" s="40" t="s">
        <v>98</v>
      </c>
      <c r="C42" s="41" t="s">
        <v>72</v>
      </c>
      <c r="D42" s="120"/>
      <c r="E42" s="43"/>
      <c r="F42" s="60"/>
      <c r="G42" s="61">
        <v>0</v>
      </c>
      <c r="H42" s="46">
        <v>0</v>
      </c>
      <c r="I42" s="47">
        <v>0</v>
      </c>
      <c r="J42" s="117"/>
      <c r="K42" s="118"/>
      <c r="L42" s="119">
        <v>0</v>
      </c>
      <c r="M42" s="94"/>
      <c r="N42" s="39"/>
      <c r="O42" s="53">
        <f t="shared" si="9"/>
        <v>0</v>
      </c>
      <c r="P42" s="53">
        <f t="shared" si="0"/>
        <v>0</v>
      </c>
      <c r="Q42" s="54">
        <f t="shared" si="1"/>
        <v>0</v>
      </c>
      <c r="R42" s="122"/>
      <c r="S42" s="37"/>
      <c r="T42" s="37"/>
      <c r="U42" s="38"/>
      <c r="V42" s="38"/>
    </row>
    <row r="43" spans="1:23" ht="27.75" hidden="1" customHeight="1" thickTop="1">
      <c r="A43" s="39">
        <v>12</v>
      </c>
      <c r="B43" s="40" t="s">
        <v>99</v>
      </c>
      <c r="C43" s="41" t="s">
        <v>72</v>
      </c>
      <c r="D43" s="120">
        <v>0</v>
      </c>
      <c r="E43" s="43"/>
      <c r="F43" s="60"/>
      <c r="G43" s="61">
        <v>0</v>
      </c>
      <c r="H43" s="46">
        <v>0</v>
      </c>
      <c r="I43" s="47">
        <v>0</v>
      </c>
      <c r="J43" s="117"/>
      <c r="K43" s="118"/>
      <c r="L43" s="119">
        <v>0</v>
      </c>
      <c r="M43" s="94"/>
      <c r="N43" s="39"/>
      <c r="O43" s="53">
        <f t="shared" si="9"/>
        <v>0</v>
      </c>
      <c r="P43" s="53">
        <f t="shared" si="0"/>
        <v>0</v>
      </c>
      <c r="Q43" s="54">
        <f t="shared" si="1"/>
        <v>0</v>
      </c>
      <c r="R43" s="122"/>
      <c r="S43" s="37"/>
      <c r="T43" s="37"/>
      <c r="U43" s="38"/>
      <c r="V43" s="38"/>
    </row>
    <row r="44" spans="1:23" ht="27.75" hidden="1" customHeight="1" thickTop="1">
      <c r="A44" s="39"/>
      <c r="B44" s="123"/>
      <c r="C44" s="41"/>
      <c r="D44" s="124"/>
      <c r="E44" s="125"/>
      <c r="F44" s="126"/>
      <c r="G44" s="65">
        <v>0</v>
      </c>
      <c r="H44" s="46">
        <v>0</v>
      </c>
      <c r="I44" s="47">
        <v>0</v>
      </c>
      <c r="J44" s="127"/>
      <c r="K44" s="128"/>
      <c r="L44" s="129"/>
      <c r="M44" s="83"/>
      <c r="N44" s="130"/>
      <c r="O44" s="53">
        <f t="shared" si="9"/>
        <v>0</v>
      </c>
      <c r="P44" s="53">
        <f t="shared" si="0"/>
        <v>0</v>
      </c>
      <c r="Q44" s="54">
        <f t="shared" si="1"/>
        <v>0</v>
      </c>
      <c r="R44" s="122"/>
      <c r="S44" s="37"/>
      <c r="T44" s="37"/>
      <c r="U44" s="38"/>
      <c r="V44" s="38"/>
    </row>
    <row r="45" spans="1:23" ht="27.75" hidden="1" customHeight="1" thickTop="1">
      <c r="A45" s="22"/>
      <c r="B45" s="131" t="s">
        <v>22</v>
      </c>
      <c r="C45" s="132"/>
      <c r="D45" s="133">
        <f>SUM(D32:D43)</f>
        <v>0</v>
      </c>
      <c r="E45" s="134"/>
      <c r="F45" s="135"/>
      <c r="G45" s="136">
        <f>SUM(G32:G43)</f>
        <v>0</v>
      </c>
      <c r="H45" s="136">
        <f t="shared" ref="H45:I45" si="10">SUM(H32:H43)</f>
        <v>0</v>
      </c>
      <c r="I45" s="136">
        <f t="shared" si="10"/>
        <v>0</v>
      </c>
      <c r="J45" s="137">
        <v>0</v>
      </c>
      <c r="K45" s="137">
        <f>SUM(K8:K44)</f>
        <v>0</v>
      </c>
      <c r="L45" s="138">
        <f>SUM(L32:L44)</f>
        <v>0</v>
      </c>
      <c r="M45" s="139"/>
      <c r="N45" s="133"/>
      <c r="O45" s="136">
        <f>SUM(O32:O44)</f>
        <v>0</v>
      </c>
      <c r="P45" s="136">
        <f t="shared" ref="P45:Q45" si="11">SUM(P32:P44)</f>
        <v>0</v>
      </c>
      <c r="Q45" s="136">
        <f t="shared" si="11"/>
        <v>0</v>
      </c>
      <c r="R45" s="36"/>
      <c r="S45" s="37"/>
      <c r="T45" s="37"/>
      <c r="U45" s="38"/>
      <c r="V45" s="38"/>
      <c r="W45" s="38"/>
    </row>
    <row r="46" spans="1:23" ht="27.75" customHeight="1" thickTop="1">
      <c r="A46" s="22"/>
      <c r="B46" s="23" t="s">
        <v>100</v>
      </c>
      <c r="C46" s="24"/>
      <c r="D46" s="25"/>
      <c r="E46" s="26"/>
      <c r="F46" s="27"/>
      <c r="G46" s="28"/>
      <c r="H46" s="28"/>
      <c r="I46" s="28"/>
      <c r="J46" s="29"/>
      <c r="K46" s="30"/>
      <c r="L46" s="31"/>
      <c r="M46" s="32"/>
      <c r="N46" s="33"/>
      <c r="O46" s="34"/>
      <c r="P46" s="34"/>
      <c r="Q46" s="35"/>
      <c r="R46" s="36"/>
      <c r="S46" s="37"/>
      <c r="T46" s="37"/>
      <c r="U46" s="38"/>
      <c r="V46" s="38"/>
      <c r="W46" s="38"/>
    </row>
    <row r="47" spans="1:23" s="57" customFormat="1" ht="27.75" customHeight="1">
      <c r="A47" s="22">
        <v>1</v>
      </c>
      <c r="B47" s="40" t="s">
        <v>101</v>
      </c>
      <c r="C47" s="140" t="s">
        <v>102</v>
      </c>
      <c r="D47" s="141">
        <v>160.5</v>
      </c>
      <c r="E47" s="142" t="s">
        <v>45</v>
      </c>
      <c r="F47" s="143">
        <v>0</v>
      </c>
      <c r="G47" s="61">
        <v>0</v>
      </c>
      <c r="H47" s="61">
        <v>0</v>
      </c>
      <c r="I47" s="47">
        <v>0</v>
      </c>
      <c r="J47" s="113">
        <v>45952</v>
      </c>
      <c r="K47" s="114" t="s">
        <v>513</v>
      </c>
      <c r="L47" s="144">
        <v>160.5</v>
      </c>
      <c r="M47" s="145" t="s">
        <v>45</v>
      </c>
      <c r="N47" s="146">
        <v>0</v>
      </c>
      <c r="O47" s="147">
        <f t="shared" ref="O47:O82" si="12">+(D47*100/107)+G47-(L47*100/107)</f>
        <v>0</v>
      </c>
      <c r="P47" s="147">
        <f t="shared" ref="P47" si="13">ROUND((O47*0.07),2)</f>
        <v>0</v>
      </c>
      <c r="Q47" s="47">
        <f t="shared" ref="Q47" si="14">+O47+P47</f>
        <v>0</v>
      </c>
      <c r="R47" s="146"/>
      <c r="S47" s="148"/>
      <c r="T47" s="148"/>
      <c r="U47" s="149"/>
      <c r="V47" s="149"/>
    </row>
    <row r="48" spans="1:23" s="57" customFormat="1" ht="27.75" customHeight="1">
      <c r="A48" s="22">
        <v>2</v>
      </c>
      <c r="B48" s="150" t="s">
        <v>104</v>
      </c>
      <c r="C48" s="140" t="s">
        <v>102</v>
      </c>
      <c r="D48" s="141">
        <v>321</v>
      </c>
      <c r="E48" s="142" t="s">
        <v>45</v>
      </c>
      <c r="F48" s="143">
        <v>0</v>
      </c>
      <c r="G48" s="61">
        <v>0</v>
      </c>
      <c r="H48" s="61">
        <v>0</v>
      </c>
      <c r="I48" s="47">
        <v>0</v>
      </c>
      <c r="J48" s="117"/>
      <c r="K48" s="118"/>
      <c r="L48" s="151">
        <v>0</v>
      </c>
      <c r="M48" s="94" t="s">
        <v>32</v>
      </c>
      <c r="N48" s="39">
        <v>1</v>
      </c>
      <c r="O48" s="147">
        <f t="shared" si="12"/>
        <v>300</v>
      </c>
      <c r="P48" s="147">
        <f>ROUND((O48*0.07),2)</f>
        <v>21</v>
      </c>
      <c r="Q48" s="47">
        <f>+O48+P48</f>
        <v>321</v>
      </c>
      <c r="R48" s="146"/>
      <c r="S48" s="148"/>
      <c r="T48" s="148"/>
      <c r="U48" s="149"/>
      <c r="V48" s="149"/>
    </row>
    <row r="49" spans="1:22" s="169" customFormat="1" ht="27.75" customHeight="1">
      <c r="A49" s="152">
        <v>3</v>
      </c>
      <c r="B49" s="153" t="s">
        <v>106</v>
      </c>
      <c r="C49" s="154" t="s">
        <v>102</v>
      </c>
      <c r="D49" s="155">
        <v>160.5</v>
      </c>
      <c r="E49" s="156" t="s">
        <v>108</v>
      </c>
      <c r="F49" s="157">
        <v>-10</v>
      </c>
      <c r="G49" s="158">
        <v>-1500</v>
      </c>
      <c r="H49" s="158">
        <v>-105</v>
      </c>
      <c r="I49" s="159">
        <v>-1605</v>
      </c>
      <c r="J49" s="160"/>
      <c r="K49" s="161"/>
      <c r="L49" s="162">
        <v>0</v>
      </c>
      <c r="M49" s="163" t="s">
        <v>514</v>
      </c>
      <c r="N49" s="164">
        <v>-9</v>
      </c>
      <c r="O49" s="165">
        <f t="shared" si="12"/>
        <v>-1350</v>
      </c>
      <c r="P49" s="165">
        <f t="shared" ref="P49:P68" si="15">ROUND((O49*0.07),2)</f>
        <v>-94.5</v>
      </c>
      <c r="Q49" s="159">
        <f t="shared" ref="Q49:Q68" si="16">+O49+P49</f>
        <v>-1444.5</v>
      </c>
      <c r="R49" s="166"/>
      <c r="S49" s="167"/>
      <c r="T49" s="167"/>
      <c r="U49" s="168"/>
      <c r="V49" s="168"/>
    </row>
    <row r="50" spans="1:22" s="57" customFormat="1" ht="27.75" customHeight="1">
      <c r="A50" s="22">
        <v>4</v>
      </c>
      <c r="B50" s="170" t="s">
        <v>109</v>
      </c>
      <c r="C50" s="140" t="s">
        <v>102</v>
      </c>
      <c r="D50" s="141">
        <v>321</v>
      </c>
      <c r="E50" s="142" t="s">
        <v>45</v>
      </c>
      <c r="F50" s="143">
        <v>0</v>
      </c>
      <c r="G50" s="61">
        <v>0</v>
      </c>
      <c r="H50" s="61">
        <v>0</v>
      </c>
      <c r="I50" s="47">
        <v>0</v>
      </c>
      <c r="J50" s="117">
        <v>45935</v>
      </c>
      <c r="K50" s="118" t="s">
        <v>515</v>
      </c>
      <c r="L50" s="151">
        <v>321</v>
      </c>
      <c r="M50" s="171" t="s">
        <v>45</v>
      </c>
      <c r="N50" s="172">
        <v>0</v>
      </c>
      <c r="O50" s="147">
        <f t="shared" si="12"/>
        <v>0</v>
      </c>
      <c r="P50" s="147">
        <f t="shared" si="15"/>
        <v>0</v>
      </c>
      <c r="Q50" s="47">
        <f t="shared" si="16"/>
        <v>0</v>
      </c>
      <c r="R50" s="146"/>
      <c r="S50" s="148"/>
      <c r="T50" s="148"/>
      <c r="U50" s="149"/>
      <c r="V50" s="149"/>
    </row>
    <row r="51" spans="1:22" s="57" customFormat="1" ht="27.75" customHeight="1">
      <c r="A51" s="22">
        <v>5</v>
      </c>
      <c r="B51" s="170" t="s">
        <v>111</v>
      </c>
      <c r="C51" s="140" t="s">
        <v>102</v>
      </c>
      <c r="D51" s="141">
        <v>321</v>
      </c>
      <c r="E51" s="142" t="s">
        <v>45</v>
      </c>
      <c r="F51" s="143">
        <v>0</v>
      </c>
      <c r="G51" s="61">
        <v>0</v>
      </c>
      <c r="H51" s="61">
        <v>0</v>
      </c>
      <c r="I51" s="47">
        <v>0</v>
      </c>
      <c r="J51" s="117">
        <v>45944</v>
      </c>
      <c r="K51" s="118" t="s">
        <v>516</v>
      </c>
      <c r="L51" s="151">
        <v>321</v>
      </c>
      <c r="M51" s="171" t="s">
        <v>45</v>
      </c>
      <c r="N51" s="172">
        <v>0</v>
      </c>
      <c r="O51" s="147">
        <f t="shared" si="12"/>
        <v>0</v>
      </c>
      <c r="P51" s="147">
        <f t="shared" si="15"/>
        <v>0</v>
      </c>
      <c r="Q51" s="47">
        <f t="shared" si="16"/>
        <v>0</v>
      </c>
      <c r="R51" s="146"/>
      <c r="S51" s="148"/>
      <c r="T51" s="148"/>
      <c r="U51" s="149"/>
      <c r="V51" s="149"/>
    </row>
    <row r="52" spans="1:22" s="57" customFormat="1" ht="27.75" customHeight="1">
      <c r="A52" s="22">
        <v>6</v>
      </c>
      <c r="B52" s="170" t="s">
        <v>113</v>
      </c>
      <c r="C52" s="140" t="s">
        <v>102</v>
      </c>
      <c r="D52" s="141">
        <v>160.5</v>
      </c>
      <c r="E52" s="142" t="s">
        <v>45</v>
      </c>
      <c r="F52" s="143">
        <v>0</v>
      </c>
      <c r="G52" s="61">
        <v>0</v>
      </c>
      <c r="H52" s="61">
        <v>0</v>
      </c>
      <c r="I52" s="47">
        <v>0</v>
      </c>
      <c r="J52" s="113">
        <v>45937</v>
      </c>
      <c r="K52" s="114" t="s">
        <v>517</v>
      </c>
      <c r="L52" s="151">
        <v>160.5</v>
      </c>
      <c r="M52" s="171" t="s">
        <v>45</v>
      </c>
      <c r="N52" s="172">
        <v>0</v>
      </c>
      <c r="O52" s="147">
        <f t="shared" si="12"/>
        <v>0</v>
      </c>
      <c r="P52" s="147">
        <f t="shared" si="15"/>
        <v>0</v>
      </c>
      <c r="Q52" s="47">
        <f t="shared" si="16"/>
        <v>0</v>
      </c>
      <c r="R52" s="146"/>
      <c r="S52" s="148"/>
      <c r="T52" s="148"/>
      <c r="U52" s="149"/>
      <c r="V52" s="149"/>
    </row>
    <row r="53" spans="1:22" s="57" customFormat="1" ht="27.75" customHeight="1">
      <c r="A53" s="22">
        <v>7</v>
      </c>
      <c r="B53" s="170" t="s">
        <v>115</v>
      </c>
      <c r="C53" s="140" t="s">
        <v>102</v>
      </c>
      <c r="D53" s="173">
        <v>321</v>
      </c>
      <c r="E53" s="142" t="s">
        <v>45</v>
      </c>
      <c r="F53" s="143">
        <v>0</v>
      </c>
      <c r="G53" s="61">
        <v>0</v>
      </c>
      <c r="H53" s="61">
        <v>0</v>
      </c>
      <c r="I53" s="47">
        <v>0</v>
      </c>
      <c r="J53" s="113">
        <v>45932</v>
      </c>
      <c r="K53" s="114" t="s">
        <v>518</v>
      </c>
      <c r="L53" s="151">
        <v>321</v>
      </c>
      <c r="M53" s="174" t="s">
        <v>45</v>
      </c>
      <c r="N53" s="172">
        <v>0</v>
      </c>
      <c r="O53" s="147">
        <f t="shared" si="12"/>
        <v>0</v>
      </c>
      <c r="P53" s="147">
        <f t="shared" si="15"/>
        <v>0</v>
      </c>
      <c r="Q53" s="47">
        <f t="shared" si="16"/>
        <v>0</v>
      </c>
      <c r="R53" s="146"/>
      <c r="S53" s="148"/>
      <c r="T53" s="148"/>
      <c r="U53" s="149"/>
      <c r="V53" s="149"/>
    </row>
    <row r="54" spans="1:22" s="57" customFormat="1" ht="27.75" customHeight="1">
      <c r="A54" s="22">
        <v>8</v>
      </c>
      <c r="B54" s="170" t="s">
        <v>117</v>
      </c>
      <c r="C54" s="140" t="s">
        <v>102</v>
      </c>
      <c r="D54" s="141">
        <v>535</v>
      </c>
      <c r="E54" s="142" t="s">
        <v>45</v>
      </c>
      <c r="F54" s="143">
        <v>0</v>
      </c>
      <c r="G54" s="45">
        <v>0</v>
      </c>
      <c r="H54" s="61">
        <v>0</v>
      </c>
      <c r="I54" s="47">
        <v>0</v>
      </c>
      <c r="J54" s="113">
        <v>45946</v>
      </c>
      <c r="K54" s="114" t="s">
        <v>519</v>
      </c>
      <c r="L54" s="151">
        <v>535</v>
      </c>
      <c r="M54" s="171" t="s">
        <v>45</v>
      </c>
      <c r="N54" s="172">
        <v>0</v>
      </c>
      <c r="O54" s="147">
        <f t="shared" si="12"/>
        <v>0</v>
      </c>
      <c r="P54" s="147">
        <f t="shared" si="15"/>
        <v>0</v>
      </c>
      <c r="Q54" s="47">
        <f t="shared" si="16"/>
        <v>0</v>
      </c>
      <c r="R54" s="146"/>
      <c r="S54" s="148"/>
      <c r="T54" s="148"/>
      <c r="U54" s="149"/>
      <c r="V54" s="149"/>
    </row>
    <row r="55" spans="1:22" s="57" customFormat="1" ht="27.75" customHeight="1">
      <c r="A55" s="22">
        <v>9</v>
      </c>
      <c r="B55" s="170" t="s">
        <v>119</v>
      </c>
      <c r="C55" s="140" t="s">
        <v>102</v>
      </c>
      <c r="D55" s="141">
        <v>321</v>
      </c>
      <c r="E55" s="142" t="s">
        <v>45</v>
      </c>
      <c r="F55" s="143">
        <v>0</v>
      </c>
      <c r="G55" s="45">
        <v>0</v>
      </c>
      <c r="H55" s="61">
        <v>0</v>
      </c>
      <c r="I55" s="47">
        <v>0</v>
      </c>
      <c r="J55" s="113">
        <v>45953</v>
      </c>
      <c r="K55" s="114" t="s">
        <v>520</v>
      </c>
      <c r="L55" s="151">
        <v>321</v>
      </c>
      <c r="M55" s="171" t="s">
        <v>45</v>
      </c>
      <c r="N55" s="172">
        <v>0</v>
      </c>
      <c r="O55" s="147">
        <f t="shared" si="12"/>
        <v>0</v>
      </c>
      <c r="P55" s="147">
        <f t="shared" si="15"/>
        <v>0</v>
      </c>
      <c r="Q55" s="47">
        <f t="shared" si="16"/>
        <v>0</v>
      </c>
      <c r="R55" s="146"/>
      <c r="S55" s="148"/>
      <c r="T55" s="148"/>
      <c r="U55" s="149"/>
      <c r="V55" s="149"/>
    </row>
    <row r="56" spans="1:22" s="57" customFormat="1" ht="27.75" customHeight="1">
      <c r="A56" s="22">
        <v>10</v>
      </c>
      <c r="B56" s="170" t="s">
        <v>121</v>
      </c>
      <c r="C56" s="140" t="s">
        <v>102</v>
      </c>
      <c r="D56" s="173">
        <v>321</v>
      </c>
      <c r="E56" s="142" t="s">
        <v>45</v>
      </c>
      <c r="F56" s="143">
        <v>0</v>
      </c>
      <c r="G56" s="45">
        <v>0</v>
      </c>
      <c r="H56" s="61">
        <v>0</v>
      </c>
      <c r="I56" s="47">
        <v>0</v>
      </c>
      <c r="J56" s="113">
        <v>45960</v>
      </c>
      <c r="K56" s="114" t="s">
        <v>521</v>
      </c>
      <c r="L56" s="151">
        <v>321</v>
      </c>
      <c r="M56" s="171" t="s">
        <v>45</v>
      </c>
      <c r="N56" s="172">
        <v>0</v>
      </c>
      <c r="O56" s="147">
        <f t="shared" si="12"/>
        <v>0</v>
      </c>
      <c r="P56" s="147">
        <f t="shared" si="15"/>
        <v>0</v>
      </c>
      <c r="Q56" s="47">
        <f t="shared" si="16"/>
        <v>0</v>
      </c>
      <c r="R56" s="146"/>
      <c r="S56" s="148"/>
      <c r="T56" s="148"/>
      <c r="U56" s="149"/>
      <c r="V56" s="149"/>
    </row>
    <row r="57" spans="1:22" s="57" customFormat="1" ht="27.75" customHeight="1">
      <c r="A57" s="22">
        <v>11</v>
      </c>
      <c r="B57" s="40" t="s">
        <v>123</v>
      </c>
      <c r="C57" s="140" t="s">
        <v>102</v>
      </c>
      <c r="D57" s="173">
        <v>160.5</v>
      </c>
      <c r="E57" s="142" t="s">
        <v>125</v>
      </c>
      <c r="F57" s="143">
        <v>-2</v>
      </c>
      <c r="G57" s="45">
        <v>-300</v>
      </c>
      <c r="H57" s="61">
        <v>-21</v>
      </c>
      <c r="I57" s="47">
        <v>-321</v>
      </c>
      <c r="J57" s="113"/>
      <c r="K57" s="114"/>
      <c r="L57" s="144">
        <v>0</v>
      </c>
      <c r="M57" s="145" t="s">
        <v>522</v>
      </c>
      <c r="N57" s="146">
        <v>-1</v>
      </c>
      <c r="O57" s="147">
        <f t="shared" si="12"/>
        <v>-150</v>
      </c>
      <c r="P57" s="147">
        <f t="shared" si="15"/>
        <v>-10.5</v>
      </c>
      <c r="Q57" s="47">
        <f t="shared" si="16"/>
        <v>-160.5</v>
      </c>
      <c r="R57" s="146"/>
      <c r="S57" s="148"/>
      <c r="T57" s="148"/>
      <c r="U57" s="149"/>
      <c r="V57" s="149"/>
    </row>
    <row r="58" spans="1:22" s="57" customFormat="1" ht="27.75" customHeight="1">
      <c r="A58" s="22">
        <v>12</v>
      </c>
      <c r="B58" s="40" t="s">
        <v>126</v>
      </c>
      <c r="C58" s="140" t="s">
        <v>102</v>
      </c>
      <c r="D58" s="173">
        <v>642</v>
      </c>
      <c r="E58" s="142" t="s">
        <v>32</v>
      </c>
      <c r="F58" s="143">
        <v>-1</v>
      </c>
      <c r="G58" s="61">
        <v>-600</v>
      </c>
      <c r="H58" s="61">
        <v>-42</v>
      </c>
      <c r="I58" s="47">
        <v>-642</v>
      </c>
      <c r="J58" s="113"/>
      <c r="K58" s="114"/>
      <c r="L58" s="144">
        <v>0</v>
      </c>
      <c r="M58" s="145" t="s">
        <v>45</v>
      </c>
      <c r="N58" s="146">
        <v>0</v>
      </c>
      <c r="O58" s="147">
        <f t="shared" si="12"/>
        <v>0</v>
      </c>
      <c r="P58" s="147">
        <f t="shared" si="15"/>
        <v>0</v>
      </c>
      <c r="Q58" s="47">
        <f t="shared" si="16"/>
        <v>0</v>
      </c>
      <c r="R58" s="146"/>
      <c r="S58" s="148"/>
      <c r="T58" s="148"/>
      <c r="U58" s="149"/>
      <c r="V58" s="149"/>
    </row>
    <row r="59" spans="1:22" s="57" customFormat="1" ht="27.75" customHeight="1">
      <c r="A59" s="22">
        <v>13</v>
      </c>
      <c r="B59" s="40" t="s">
        <v>128</v>
      </c>
      <c r="C59" s="140" t="s">
        <v>102</v>
      </c>
      <c r="D59" s="141">
        <v>642</v>
      </c>
      <c r="E59" s="142" t="s">
        <v>45</v>
      </c>
      <c r="F59" s="143">
        <v>0</v>
      </c>
      <c r="G59" s="61">
        <v>0</v>
      </c>
      <c r="H59" s="61">
        <v>0</v>
      </c>
      <c r="I59" s="47">
        <v>0</v>
      </c>
      <c r="J59" s="113">
        <v>45960</v>
      </c>
      <c r="K59" s="114" t="s">
        <v>523</v>
      </c>
      <c r="L59" s="144">
        <v>642</v>
      </c>
      <c r="M59" s="145" t="s">
        <v>45</v>
      </c>
      <c r="N59" s="146">
        <v>0</v>
      </c>
      <c r="O59" s="147">
        <f t="shared" si="12"/>
        <v>0</v>
      </c>
      <c r="P59" s="147">
        <f t="shared" si="15"/>
        <v>0</v>
      </c>
      <c r="Q59" s="47">
        <f t="shared" si="16"/>
        <v>0</v>
      </c>
      <c r="R59" s="146"/>
      <c r="S59" s="148"/>
      <c r="T59" s="148"/>
      <c r="U59" s="149"/>
      <c r="V59" s="149"/>
    </row>
    <row r="60" spans="1:22" s="57" customFormat="1" ht="27.75" customHeight="1">
      <c r="A60" s="22">
        <v>14</v>
      </c>
      <c r="B60" s="40" t="s">
        <v>130</v>
      </c>
      <c r="C60" s="140" t="s">
        <v>102</v>
      </c>
      <c r="D60" s="141">
        <v>160.5</v>
      </c>
      <c r="E60" s="142" t="s">
        <v>131</v>
      </c>
      <c r="F60" s="143">
        <v>1</v>
      </c>
      <c r="G60" s="61">
        <v>150</v>
      </c>
      <c r="H60" s="61">
        <v>10.5</v>
      </c>
      <c r="I60" s="47">
        <v>160.5</v>
      </c>
      <c r="J60" s="175">
        <v>45934</v>
      </c>
      <c r="K60" s="176" t="s">
        <v>524</v>
      </c>
      <c r="L60" s="177">
        <v>160.5</v>
      </c>
      <c r="M60" s="145" t="s">
        <v>32</v>
      </c>
      <c r="N60" s="146">
        <v>1</v>
      </c>
      <c r="O60" s="147">
        <f t="shared" si="12"/>
        <v>150</v>
      </c>
      <c r="P60" s="147">
        <f t="shared" si="15"/>
        <v>10.5</v>
      </c>
      <c r="Q60" s="47">
        <f t="shared" si="16"/>
        <v>160.5</v>
      </c>
      <c r="R60" s="146"/>
      <c r="S60" s="148"/>
      <c r="T60" s="148"/>
      <c r="U60" s="149"/>
      <c r="V60" s="149"/>
    </row>
    <row r="61" spans="1:22" s="57" customFormat="1" ht="27.75" customHeight="1">
      <c r="A61" s="22">
        <v>15</v>
      </c>
      <c r="B61" s="170" t="s">
        <v>132</v>
      </c>
      <c r="C61" s="140" t="s">
        <v>102</v>
      </c>
      <c r="D61" s="141">
        <v>321</v>
      </c>
      <c r="E61" s="142" t="s">
        <v>45</v>
      </c>
      <c r="F61" s="143">
        <v>0</v>
      </c>
      <c r="G61" s="45">
        <v>0</v>
      </c>
      <c r="H61" s="61">
        <v>0</v>
      </c>
      <c r="I61" s="47">
        <v>0</v>
      </c>
      <c r="J61" s="178">
        <v>45939</v>
      </c>
      <c r="K61" s="179" t="s">
        <v>525</v>
      </c>
      <c r="L61" s="180">
        <v>321</v>
      </c>
      <c r="M61" s="171" t="s">
        <v>45</v>
      </c>
      <c r="N61" s="172">
        <v>0</v>
      </c>
      <c r="O61" s="147">
        <f t="shared" si="12"/>
        <v>0</v>
      </c>
      <c r="P61" s="147">
        <f t="shared" si="15"/>
        <v>0</v>
      </c>
      <c r="Q61" s="47">
        <f t="shared" si="16"/>
        <v>0</v>
      </c>
      <c r="R61" s="146"/>
      <c r="S61" s="148"/>
      <c r="T61" s="148"/>
      <c r="U61" s="149"/>
      <c r="V61" s="149"/>
    </row>
    <row r="62" spans="1:22" s="57" customFormat="1" ht="27.75" customHeight="1">
      <c r="A62" s="22">
        <v>16</v>
      </c>
      <c r="B62" s="40" t="s">
        <v>134</v>
      </c>
      <c r="C62" s="140" t="s">
        <v>102</v>
      </c>
      <c r="D62" s="141">
        <v>160.5</v>
      </c>
      <c r="E62" s="142" t="s">
        <v>45</v>
      </c>
      <c r="F62" s="143">
        <v>0</v>
      </c>
      <c r="G62" s="61">
        <v>0</v>
      </c>
      <c r="H62" s="61">
        <v>0</v>
      </c>
      <c r="I62" s="47">
        <v>0</v>
      </c>
      <c r="J62" s="175">
        <v>45959</v>
      </c>
      <c r="K62" s="176" t="s">
        <v>526</v>
      </c>
      <c r="L62" s="177">
        <v>160.5</v>
      </c>
      <c r="M62" s="145" t="s">
        <v>45</v>
      </c>
      <c r="N62" s="146">
        <v>0</v>
      </c>
      <c r="O62" s="147">
        <f t="shared" si="12"/>
        <v>0</v>
      </c>
      <c r="P62" s="147">
        <f t="shared" si="15"/>
        <v>0</v>
      </c>
      <c r="Q62" s="47">
        <f t="shared" si="16"/>
        <v>0</v>
      </c>
      <c r="R62" s="146"/>
      <c r="S62" s="148"/>
      <c r="T62" s="148"/>
      <c r="U62" s="149"/>
      <c r="V62" s="149"/>
    </row>
    <row r="63" spans="1:22" s="57" customFormat="1" ht="27.75" customHeight="1">
      <c r="A63" s="22">
        <v>17</v>
      </c>
      <c r="B63" s="170" t="s">
        <v>136</v>
      </c>
      <c r="C63" s="140" t="s">
        <v>102</v>
      </c>
      <c r="D63" s="141">
        <v>321</v>
      </c>
      <c r="E63" s="142" t="s">
        <v>45</v>
      </c>
      <c r="F63" s="143">
        <v>0</v>
      </c>
      <c r="G63" s="45">
        <v>0</v>
      </c>
      <c r="H63" s="61">
        <v>0</v>
      </c>
      <c r="I63" s="47">
        <v>0</v>
      </c>
      <c r="J63" s="113">
        <v>45960</v>
      </c>
      <c r="K63" s="114" t="s">
        <v>527</v>
      </c>
      <c r="L63" s="144">
        <v>321</v>
      </c>
      <c r="M63" s="171" t="s">
        <v>45</v>
      </c>
      <c r="N63" s="172">
        <v>0</v>
      </c>
      <c r="O63" s="147">
        <f t="shared" si="12"/>
        <v>0</v>
      </c>
      <c r="P63" s="147">
        <f t="shared" si="15"/>
        <v>0</v>
      </c>
      <c r="Q63" s="47">
        <f t="shared" si="16"/>
        <v>0</v>
      </c>
      <c r="R63" s="146"/>
      <c r="S63" s="148"/>
      <c r="T63" s="148"/>
      <c r="U63" s="149"/>
      <c r="V63" s="149"/>
    </row>
    <row r="64" spans="1:22" s="57" customFormat="1" ht="27.75" customHeight="1">
      <c r="A64" s="22">
        <v>18</v>
      </c>
      <c r="B64" s="181" t="s">
        <v>138</v>
      </c>
      <c r="C64" s="182" t="s">
        <v>139</v>
      </c>
      <c r="D64" s="173">
        <v>160.5</v>
      </c>
      <c r="E64" s="142" t="s">
        <v>141</v>
      </c>
      <c r="F64" s="143">
        <v>-3</v>
      </c>
      <c r="G64" s="45">
        <v>-450</v>
      </c>
      <c r="H64" s="61">
        <v>-31.5</v>
      </c>
      <c r="I64" s="47">
        <v>-481.5</v>
      </c>
      <c r="J64" s="183"/>
      <c r="K64" s="184"/>
      <c r="L64" s="185">
        <v>0</v>
      </c>
      <c r="M64" s="186" t="s">
        <v>528</v>
      </c>
      <c r="N64" s="44">
        <v>-2</v>
      </c>
      <c r="O64" s="147">
        <f t="shared" si="12"/>
        <v>-300</v>
      </c>
      <c r="P64" s="147">
        <f t="shared" si="15"/>
        <v>-21</v>
      </c>
      <c r="Q64" s="47">
        <f t="shared" si="16"/>
        <v>-321</v>
      </c>
      <c r="R64" s="146"/>
      <c r="S64" s="148"/>
      <c r="T64" s="148"/>
      <c r="U64" s="149"/>
      <c r="V64" s="149"/>
    </row>
    <row r="65" spans="1:22" s="57" customFormat="1" ht="27.75" customHeight="1">
      <c r="A65" s="22">
        <v>19</v>
      </c>
      <c r="B65" s="181" t="s">
        <v>142</v>
      </c>
      <c r="C65" s="182" t="s">
        <v>143</v>
      </c>
      <c r="D65" s="173">
        <v>160.5</v>
      </c>
      <c r="E65" s="142" t="s">
        <v>45</v>
      </c>
      <c r="F65" s="143">
        <v>0</v>
      </c>
      <c r="G65" s="45">
        <v>0</v>
      </c>
      <c r="H65" s="61">
        <v>0</v>
      </c>
      <c r="I65" s="47">
        <v>0</v>
      </c>
      <c r="J65" s="183">
        <v>45960</v>
      </c>
      <c r="K65" s="184" t="s">
        <v>523</v>
      </c>
      <c r="L65" s="185">
        <v>160.5</v>
      </c>
      <c r="M65" s="186" t="s">
        <v>45</v>
      </c>
      <c r="N65" s="44">
        <v>0</v>
      </c>
      <c r="O65" s="147">
        <f t="shared" si="12"/>
        <v>0</v>
      </c>
      <c r="P65" s="147">
        <f t="shared" si="15"/>
        <v>0</v>
      </c>
      <c r="Q65" s="47">
        <f t="shared" si="16"/>
        <v>0</v>
      </c>
      <c r="R65" s="146"/>
      <c r="S65" s="148"/>
      <c r="T65" s="148"/>
      <c r="U65" s="149"/>
      <c r="V65" s="149"/>
    </row>
    <row r="66" spans="1:22" s="57" customFormat="1" ht="27.75" customHeight="1">
      <c r="A66" s="22">
        <v>20</v>
      </c>
      <c r="B66" s="40" t="s">
        <v>145</v>
      </c>
      <c r="C66" s="140" t="s">
        <v>102</v>
      </c>
      <c r="D66" s="173">
        <v>321</v>
      </c>
      <c r="E66" s="142" t="s">
        <v>45</v>
      </c>
      <c r="F66" s="143">
        <v>0</v>
      </c>
      <c r="G66" s="45">
        <v>0</v>
      </c>
      <c r="H66" s="61">
        <v>0</v>
      </c>
      <c r="I66" s="47">
        <v>0</v>
      </c>
      <c r="J66" s="175">
        <v>45961</v>
      </c>
      <c r="K66" s="176" t="s">
        <v>529</v>
      </c>
      <c r="L66" s="177">
        <v>642</v>
      </c>
      <c r="M66" s="171" t="s">
        <v>522</v>
      </c>
      <c r="N66" s="172">
        <v>-1</v>
      </c>
      <c r="O66" s="147">
        <f t="shared" si="12"/>
        <v>-300</v>
      </c>
      <c r="P66" s="147">
        <f t="shared" si="15"/>
        <v>-21</v>
      </c>
      <c r="Q66" s="47">
        <f t="shared" si="16"/>
        <v>-321</v>
      </c>
      <c r="R66" s="146"/>
      <c r="S66" s="148"/>
      <c r="T66" s="148"/>
      <c r="U66" s="149"/>
      <c r="V66" s="149"/>
    </row>
    <row r="67" spans="1:22" s="57" customFormat="1" ht="27.75" customHeight="1">
      <c r="A67" s="22">
        <v>21</v>
      </c>
      <c r="B67" s="40" t="s">
        <v>147</v>
      </c>
      <c r="C67" s="140" t="s">
        <v>102</v>
      </c>
      <c r="D67" s="173">
        <v>160.5</v>
      </c>
      <c r="E67" s="142" t="s">
        <v>45</v>
      </c>
      <c r="F67" s="143">
        <v>0</v>
      </c>
      <c r="G67" s="45">
        <v>0</v>
      </c>
      <c r="H67" s="61">
        <v>0</v>
      </c>
      <c r="I67" s="47">
        <v>0</v>
      </c>
      <c r="J67" s="175">
        <v>45935</v>
      </c>
      <c r="K67" s="176" t="s">
        <v>530</v>
      </c>
      <c r="L67" s="177">
        <v>160.5</v>
      </c>
      <c r="M67" s="171" t="s">
        <v>45</v>
      </c>
      <c r="N67" s="172">
        <v>0</v>
      </c>
      <c r="O67" s="147">
        <f t="shared" si="12"/>
        <v>0</v>
      </c>
      <c r="P67" s="147">
        <f t="shared" si="15"/>
        <v>0</v>
      </c>
      <c r="Q67" s="47">
        <f t="shared" si="16"/>
        <v>0</v>
      </c>
      <c r="R67" s="146"/>
      <c r="S67" s="148"/>
      <c r="T67" s="148"/>
      <c r="U67" s="149"/>
      <c r="V67" s="149"/>
    </row>
    <row r="68" spans="1:22" s="57" customFormat="1" ht="27.75" customHeight="1">
      <c r="A68" s="22">
        <v>22</v>
      </c>
      <c r="B68" s="80" t="s">
        <v>149</v>
      </c>
      <c r="C68" s="140" t="s">
        <v>102</v>
      </c>
      <c r="D68" s="173">
        <v>1070</v>
      </c>
      <c r="E68" s="142" t="s">
        <v>45</v>
      </c>
      <c r="F68" s="143">
        <v>0</v>
      </c>
      <c r="G68" s="187">
        <v>0</v>
      </c>
      <c r="H68" s="61">
        <v>0</v>
      </c>
      <c r="I68" s="47">
        <v>0</v>
      </c>
      <c r="J68" s="175">
        <v>45951</v>
      </c>
      <c r="K68" s="176" t="s">
        <v>531</v>
      </c>
      <c r="L68" s="177">
        <v>1070</v>
      </c>
      <c r="M68" s="171" t="s">
        <v>45</v>
      </c>
      <c r="N68" s="172">
        <v>0</v>
      </c>
      <c r="O68" s="147">
        <f t="shared" si="12"/>
        <v>0</v>
      </c>
      <c r="P68" s="147">
        <f t="shared" si="15"/>
        <v>0</v>
      </c>
      <c r="Q68" s="47">
        <f t="shared" si="16"/>
        <v>0</v>
      </c>
      <c r="R68" s="188"/>
      <c r="S68" s="189"/>
      <c r="T68" s="189"/>
      <c r="U68" s="190"/>
      <c r="V68" s="190"/>
    </row>
    <row r="69" spans="1:22" s="57" customFormat="1" ht="27.75" customHeight="1">
      <c r="A69" s="22">
        <v>23</v>
      </c>
      <c r="B69" s="170" t="s">
        <v>151</v>
      </c>
      <c r="C69" s="140" t="s">
        <v>102</v>
      </c>
      <c r="D69" s="141">
        <v>160.5</v>
      </c>
      <c r="E69" s="142" t="s">
        <v>45</v>
      </c>
      <c r="F69" s="143">
        <v>0</v>
      </c>
      <c r="G69" s="45">
        <v>0</v>
      </c>
      <c r="H69" s="61">
        <v>0</v>
      </c>
      <c r="I69" s="47">
        <v>0</v>
      </c>
      <c r="J69" s="117">
        <v>45932</v>
      </c>
      <c r="K69" s="118" t="s">
        <v>532</v>
      </c>
      <c r="L69" s="151">
        <v>160.5</v>
      </c>
      <c r="M69" s="171" t="s">
        <v>45</v>
      </c>
      <c r="N69" s="172">
        <v>0</v>
      </c>
      <c r="O69" s="147">
        <f t="shared" si="12"/>
        <v>0</v>
      </c>
      <c r="P69" s="147">
        <f>ROUND((O69*0.07),2)</f>
        <v>0</v>
      </c>
      <c r="Q69" s="47">
        <f>+O69+P69</f>
        <v>0</v>
      </c>
      <c r="R69" s="146"/>
      <c r="S69" s="148"/>
      <c r="T69" s="148"/>
      <c r="U69" s="149"/>
      <c r="V69" s="149"/>
    </row>
    <row r="70" spans="1:22" s="57" customFormat="1" ht="27.75" customHeight="1">
      <c r="A70" s="22">
        <v>24</v>
      </c>
      <c r="B70" s="170" t="s">
        <v>153</v>
      </c>
      <c r="C70" s="140" t="s">
        <v>102</v>
      </c>
      <c r="D70" s="141">
        <v>160.5</v>
      </c>
      <c r="E70" s="142" t="s">
        <v>141</v>
      </c>
      <c r="F70" s="143">
        <v>-3</v>
      </c>
      <c r="G70" s="45">
        <v>-450</v>
      </c>
      <c r="H70" s="61">
        <v>-31.5</v>
      </c>
      <c r="I70" s="47">
        <v>-481.5</v>
      </c>
      <c r="J70" s="175"/>
      <c r="K70" s="176"/>
      <c r="L70" s="177">
        <v>0</v>
      </c>
      <c r="M70" s="171" t="s">
        <v>528</v>
      </c>
      <c r="N70" s="172">
        <v>-2</v>
      </c>
      <c r="O70" s="147">
        <f t="shared" si="12"/>
        <v>-300</v>
      </c>
      <c r="P70" s="147">
        <f>ROUND((O70*0.07),2)</f>
        <v>-21</v>
      </c>
      <c r="Q70" s="47">
        <f>+O70+P70</f>
        <v>-321</v>
      </c>
      <c r="R70" s="146"/>
      <c r="S70" s="148"/>
      <c r="T70" s="148"/>
      <c r="U70" s="149"/>
      <c r="V70" s="149"/>
    </row>
    <row r="71" spans="1:22" s="57" customFormat="1" ht="27.75" customHeight="1">
      <c r="A71" s="22">
        <v>25</v>
      </c>
      <c r="B71" s="170" t="s">
        <v>154</v>
      </c>
      <c r="C71" s="140" t="s">
        <v>102</v>
      </c>
      <c r="D71" s="141">
        <v>321</v>
      </c>
      <c r="E71" s="142" t="s">
        <v>45</v>
      </c>
      <c r="F71" s="143">
        <v>0</v>
      </c>
      <c r="G71" s="45">
        <v>0</v>
      </c>
      <c r="H71" s="61">
        <v>0</v>
      </c>
      <c r="I71" s="47">
        <v>0</v>
      </c>
      <c r="J71" s="175">
        <v>45960</v>
      </c>
      <c r="K71" s="176" t="s">
        <v>533</v>
      </c>
      <c r="L71" s="177">
        <v>321</v>
      </c>
      <c r="M71" s="186" t="s">
        <v>45</v>
      </c>
      <c r="N71" s="44">
        <v>0</v>
      </c>
      <c r="O71" s="147">
        <f t="shared" si="12"/>
        <v>0</v>
      </c>
      <c r="P71" s="147">
        <f>ROUND((O71*0.07),2)</f>
        <v>0</v>
      </c>
      <c r="Q71" s="47">
        <f>+O71+P71</f>
        <v>0</v>
      </c>
      <c r="R71" s="146"/>
      <c r="S71" s="148"/>
      <c r="T71" s="148"/>
      <c r="U71" s="149"/>
      <c r="V71" s="149"/>
    </row>
    <row r="72" spans="1:22" s="57" customFormat="1" ht="27.75" customHeight="1">
      <c r="A72" s="22">
        <v>26</v>
      </c>
      <c r="B72" s="191" t="s">
        <v>156</v>
      </c>
      <c r="C72" s="140" t="s">
        <v>102</v>
      </c>
      <c r="D72" s="192">
        <v>160.5</v>
      </c>
      <c r="E72" s="142" t="s">
        <v>45</v>
      </c>
      <c r="F72" s="143">
        <v>0</v>
      </c>
      <c r="G72" s="187">
        <v>0</v>
      </c>
      <c r="H72" s="61">
        <v>0</v>
      </c>
      <c r="I72" s="47">
        <v>0</v>
      </c>
      <c r="J72" s="175">
        <v>45934</v>
      </c>
      <c r="K72" s="176" t="s">
        <v>534</v>
      </c>
      <c r="L72" s="177">
        <v>160.5</v>
      </c>
      <c r="M72" s="186" t="s">
        <v>45</v>
      </c>
      <c r="N72" s="44">
        <v>0</v>
      </c>
      <c r="O72" s="147">
        <f t="shared" si="12"/>
        <v>0</v>
      </c>
      <c r="P72" s="147">
        <f t="shared" ref="P72:P77" si="17">ROUND((O72*0.07),2)</f>
        <v>0</v>
      </c>
      <c r="Q72" s="47">
        <f t="shared" ref="Q72:Q77" si="18">+O72+P72</f>
        <v>0</v>
      </c>
      <c r="R72" s="188"/>
      <c r="S72" s="189"/>
      <c r="T72" s="189"/>
      <c r="U72" s="190"/>
      <c r="V72" s="190"/>
    </row>
    <row r="73" spans="1:22" s="57" customFormat="1" ht="27.75" customHeight="1">
      <c r="A73" s="22">
        <v>27</v>
      </c>
      <c r="B73" s="170" t="s">
        <v>158</v>
      </c>
      <c r="C73" s="140" t="s">
        <v>102</v>
      </c>
      <c r="D73" s="141">
        <v>321</v>
      </c>
      <c r="E73" s="142" t="s">
        <v>160</v>
      </c>
      <c r="F73" s="143">
        <v>-11.118366666666669</v>
      </c>
      <c r="G73" s="45">
        <v>-3335.51</v>
      </c>
      <c r="H73" s="61">
        <v>-233.49</v>
      </c>
      <c r="I73" s="47">
        <v>-3569</v>
      </c>
      <c r="J73" s="117"/>
      <c r="K73" s="118"/>
      <c r="L73" s="151">
        <v>0</v>
      </c>
      <c r="M73" s="171" t="s">
        <v>535</v>
      </c>
      <c r="N73" s="172">
        <v>-10.118366666666669</v>
      </c>
      <c r="O73" s="147">
        <f t="shared" si="12"/>
        <v>-3035.51</v>
      </c>
      <c r="P73" s="147">
        <f t="shared" si="17"/>
        <v>-212.49</v>
      </c>
      <c r="Q73" s="47">
        <f t="shared" si="18"/>
        <v>-3248</v>
      </c>
      <c r="R73" s="146"/>
      <c r="S73" s="148"/>
      <c r="T73" s="148"/>
      <c r="U73" s="149"/>
      <c r="V73" s="149"/>
    </row>
    <row r="74" spans="1:22" s="57" customFormat="1" ht="27.75" customHeight="1">
      <c r="A74" s="22">
        <v>28</v>
      </c>
      <c r="B74" s="191" t="s">
        <v>161</v>
      </c>
      <c r="C74" s="140" t="s">
        <v>102</v>
      </c>
      <c r="D74" s="192">
        <v>321</v>
      </c>
      <c r="E74" s="142" t="s">
        <v>45</v>
      </c>
      <c r="F74" s="143">
        <v>0</v>
      </c>
      <c r="G74" s="187">
        <v>0</v>
      </c>
      <c r="H74" s="61">
        <v>0</v>
      </c>
      <c r="I74" s="47">
        <v>0</v>
      </c>
      <c r="J74" s="117">
        <v>45960</v>
      </c>
      <c r="K74" s="118" t="s">
        <v>536</v>
      </c>
      <c r="L74" s="151">
        <v>321</v>
      </c>
      <c r="M74" s="171" t="s">
        <v>45</v>
      </c>
      <c r="N74" s="172">
        <v>0</v>
      </c>
      <c r="O74" s="147">
        <f t="shared" si="12"/>
        <v>0</v>
      </c>
      <c r="P74" s="147">
        <f t="shared" si="17"/>
        <v>0</v>
      </c>
      <c r="Q74" s="47">
        <f t="shared" si="18"/>
        <v>0</v>
      </c>
      <c r="R74" s="188"/>
      <c r="S74" s="189"/>
      <c r="T74" s="189"/>
      <c r="U74" s="190"/>
      <c r="V74" s="190"/>
    </row>
    <row r="75" spans="1:22" s="57" customFormat="1" ht="27.75" customHeight="1">
      <c r="A75" s="22">
        <v>29</v>
      </c>
      <c r="B75" s="191" t="s">
        <v>163</v>
      </c>
      <c r="C75" s="140" t="s">
        <v>102</v>
      </c>
      <c r="D75" s="192">
        <v>160.5</v>
      </c>
      <c r="E75" s="142" t="s">
        <v>45</v>
      </c>
      <c r="F75" s="143">
        <v>0</v>
      </c>
      <c r="G75" s="187">
        <v>0</v>
      </c>
      <c r="H75" s="61">
        <v>0</v>
      </c>
      <c r="I75" s="47">
        <v>0</v>
      </c>
      <c r="J75" s="117">
        <v>45961</v>
      </c>
      <c r="K75" s="118" t="s">
        <v>537</v>
      </c>
      <c r="L75" s="151">
        <v>160.5</v>
      </c>
      <c r="M75" s="171" t="s">
        <v>45</v>
      </c>
      <c r="N75" s="172">
        <v>0</v>
      </c>
      <c r="O75" s="147">
        <f t="shared" si="12"/>
        <v>0</v>
      </c>
      <c r="P75" s="147">
        <f t="shared" si="17"/>
        <v>0</v>
      </c>
      <c r="Q75" s="47">
        <f t="shared" si="18"/>
        <v>0</v>
      </c>
      <c r="R75" s="188"/>
      <c r="S75" s="189"/>
      <c r="T75" s="189"/>
      <c r="U75" s="190"/>
      <c r="V75" s="190"/>
    </row>
    <row r="76" spans="1:22" s="57" customFormat="1" ht="27.75" customHeight="1">
      <c r="A76" s="22">
        <v>30</v>
      </c>
      <c r="B76" s="170" t="s">
        <v>165</v>
      </c>
      <c r="C76" s="140" t="s">
        <v>102</v>
      </c>
      <c r="D76" s="141">
        <v>1070</v>
      </c>
      <c r="E76" s="142" t="s">
        <v>45</v>
      </c>
      <c r="F76" s="143">
        <v>0</v>
      </c>
      <c r="G76" s="45">
        <v>0</v>
      </c>
      <c r="H76" s="61">
        <v>0</v>
      </c>
      <c r="I76" s="47">
        <v>0</v>
      </c>
      <c r="J76" s="175">
        <v>45937</v>
      </c>
      <c r="K76" s="176" t="s">
        <v>538</v>
      </c>
      <c r="L76" s="177">
        <v>1070</v>
      </c>
      <c r="M76" s="171" t="s">
        <v>45</v>
      </c>
      <c r="N76" s="172">
        <v>0</v>
      </c>
      <c r="O76" s="147">
        <f t="shared" si="12"/>
        <v>0</v>
      </c>
      <c r="P76" s="147">
        <f t="shared" si="17"/>
        <v>0</v>
      </c>
      <c r="Q76" s="47">
        <f t="shared" si="18"/>
        <v>0</v>
      </c>
      <c r="R76" s="146"/>
      <c r="S76" s="148"/>
      <c r="T76" s="148"/>
      <c r="U76" s="149"/>
      <c r="V76" s="149"/>
    </row>
    <row r="77" spans="1:22" s="57" customFormat="1" ht="27.75" customHeight="1">
      <c r="A77" s="22">
        <v>31</v>
      </c>
      <c r="B77" s="191" t="s">
        <v>167</v>
      </c>
      <c r="C77" s="140" t="s">
        <v>102</v>
      </c>
      <c r="D77" s="192">
        <v>535</v>
      </c>
      <c r="E77" s="142" t="s">
        <v>45</v>
      </c>
      <c r="F77" s="143">
        <v>0</v>
      </c>
      <c r="G77" s="187">
        <v>0</v>
      </c>
      <c r="H77" s="61">
        <v>0</v>
      </c>
      <c r="I77" s="47">
        <v>0</v>
      </c>
      <c r="J77" s="117">
        <v>45960</v>
      </c>
      <c r="K77" s="118" t="s">
        <v>539</v>
      </c>
      <c r="L77" s="151">
        <v>535</v>
      </c>
      <c r="M77" s="171" t="s">
        <v>45</v>
      </c>
      <c r="N77" s="172">
        <v>0</v>
      </c>
      <c r="O77" s="147">
        <f t="shared" si="12"/>
        <v>0</v>
      </c>
      <c r="P77" s="147">
        <f t="shared" si="17"/>
        <v>0</v>
      </c>
      <c r="Q77" s="47">
        <f t="shared" si="18"/>
        <v>0</v>
      </c>
      <c r="R77" s="188"/>
      <c r="S77" s="189"/>
      <c r="T77" s="189"/>
      <c r="U77" s="190"/>
      <c r="V77" s="190"/>
    </row>
    <row r="78" spans="1:22" s="57" customFormat="1" ht="27.75" customHeight="1">
      <c r="A78" s="22">
        <v>32</v>
      </c>
      <c r="B78" s="170" t="s">
        <v>169</v>
      </c>
      <c r="C78" s="140" t="s">
        <v>102</v>
      </c>
      <c r="D78" s="173">
        <v>321</v>
      </c>
      <c r="E78" s="142" t="s">
        <v>45</v>
      </c>
      <c r="F78" s="143">
        <v>0</v>
      </c>
      <c r="G78" s="45">
        <v>0</v>
      </c>
      <c r="H78" s="61">
        <v>0</v>
      </c>
      <c r="I78" s="47">
        <v>0</v>
      </c>
      <c r="J78" s="175">
        <v>45961</v>
      </c>
      <c r="K78" s="176" t="s">
        <v>540</v>
      </c>
      <c r="L78" s="177">
        <v>321</v>
      </c>
      <c r="M78" s="171" t="s">
        <v>45</v>
      </c>
      <c r="N78" s="172">
        <v>0</v>
      </c>
      <c r="O78" s="147">
        <f t="shared" si="12"/>
        <v>0</v>
      </c>
      <c r="P78" s="147">
        <f>ROUND((O78*0.07),2)</f>
        <v>0</v>
      </c>
      <c r="Q78" s="47">
        <f>+O78+P78</f>
        <v>0</v>
      </c>
      <c r="R78" s="146"/>
      <c r="S78" s="148"/>
      <c r="T78" s="148"/>
      <c r="U78" s="149"/>
      <c r="V78" s="149"/>
    </row>
    <row r="79" spans="1:22" s="57" customFormat="1" ht="27.75" customHeight="1">
      <c r="A79" s="22">
        <v>33</v>
      </c>
      <c r="B79" s="191" t="s">
        <v>171</v>
      </c>
      <c r="C79" s="140" t="s">
        <v>102</v>
      </c>
      <c r="D79" s="173">
        <v>963</v>
      </c>
      <c r="E79" s="142" t="s">
        <v>45</v>
      </c>
      <c r="F79" s="143">
        <v>0</v>
      </c>
      <c r="G79" s="187">
        <v>0</v>
      </c>
      <c r="H79" s="61">
        <v>0</v>
      </c>
      <c r="I79" s="47">
        <v>0</v>
      </c>
      <c r="J79" s="175">
        <v>45961</v>
      </c>
      <c r="K79" s="176" t="s">
        <v>541</v>
      </c>
      <c r="L79" s="177">
        <v>963</v>
      </c>
      <c r="M79" s="171" t="s">
        <v>45</v>
      </c>
      <c r="N79" s="172">
        <v>0</v>
      </c>
      <c r="O79" s="147">
        <f t="shared" si="12"/>
        <v>0</v>
      </c>
      <c r="P79" s="147">
        <f t="shared" ref="P79:P83" si="19">ROUND((O79*0.07),2)</f>
        <v>0</v>
      </c>
      <c r="Q79" s="47">
        <f t="shared" ref="Q79:Q83" si="20">+O79+P79</f>
        <v>0</v>
      </c>
      <c r="R79" s="188"/>
      <c r="S79" s="189"/>
      <c r="T79" s="189"/>
      <c r="U79" s="190"/>
      <c r="V79" s="190"/>
    </row>
    <row r="80" spans="1:22" s="57" customFormat="1" ht="27.75" customHeight="1">
      <c r="A80" s="22">
        <v>34</v>
      </c>
      <c r="B80" s="191" t="s">
        <v>173</v>
      </c>
      <c r="C80" s="140" t="s">
        <v>102</v>
      </c>
      <c r="D80" s="173">
        <v>321</v>
      </c>
      <c r="E80" s="142" t="s">
        <v>45</v>
      </c>
      <c r="F80" s="143">
        <v>0</v>
      </c>
      <c r="G80" s="187">
        <v>0</v>
      </c>
      <c r="H80" s="61">
        <v>0</v>
      </c>
      <c r="I80" s="47">
        <v>0</v>
      </c>
      <c r="J80" s="175">
        <v>45931</v>
      </c>
      <c r="K80" s="176" t="s">
        <v>542</v>
      </c>
      <c r="L80" s="177">
        <v>321</v>
      </c>
      <c r="M80" s="171" t="s">
        <v>45</v>
      </c>
      <c r="N80" s="172">
        <v>0</v>
      </c>
      <c r="O80" s="147">
        <f t="shared" si="12"/>
        <v>0</v>
      </c>
      <c r="P80" s="147">
        <f t="shared" si="19"/>
        <v>0</v>
      </c>
      <c r="Q80" s="47">
        <f t="shared" si="20"/>
        <v>0</v>
      </c>
      <c r="R80" s="188"/>
      <c r="S80" s="189"/>
      <c r="T80" s="189"/>
      <c r="U80" s="190"/>
      <c r="V80" s="190"/>
    </row>
    <row r="81" spans="1:23" s="57" customFormat="1" ht="27.75" customHeight="1">
      <c r="A81" s="22">
        <v>35</v>
      </c>
      <c r="B81" s="191" t="s">
        <v>175</v>
      </c>
      <c r="C81" s="140" t="s">
        <v>102</v>
      </c>
      <c r="D81" s="173">
        <v>321</v>
      </c>
      <c r="E81" s="142" t="s">
        <v>26</v>
      </c>
      <c r="F81" s="143">
        <v>0</v>
      </c>
      <c r="G81" s="187">
        <v>0</v>
      </c>
      <c r="H81" s="61">
        <v>0</v>
      </c>
      <c r="I81" s="47">
        <v>0</v>
      </c>
      <c r="J81" s="175">
        <v>45932</v>
      </c>
      <c r="K81" s="176" t="s">
        <v>543</v>
      </c>
      <c r="L81" s="177">
        <v>321</v>
      </c>
      <c r="M81" s="171" t="s">
        <v>26</v>
      </c>
      <c r="N81" s="172">
        <v>0</v>
      </c>
      <c r="O81" s="147">
        <f t="shared" si="12"/>
        <v>0</v>
      </c>
      <c r="P81" s="147">
        <f t="shared" si="19"/>
        <v>0</v>
      </c>
      <c r="Q81" s="47">
        <f t="shared" si="20"/>
        <v>0</v>
      </c>
      <c r="R81" s="188"/>
      <c r="S81" s="189"/>
      <c r="T81" s="189"/>
      <c r="U81" s="190"/>
      <c r="V81" s="190"/>
    </row>
    <row r="82" spans="1:23" s="57" customFormat="1" ht="27.75" customHeight="1">
      <c r="A82" s="22">
        <v>36</v>
      </c>
      <c r="B82" s="191" t="s">
        <v>177</v>
      </c>
      <c r="C82" s="140" t="s">
        <v>102</v>
      </c>
      <c r="D82" s="192">
        <v>321</v>
      </c>
      <c r="E82" s="142" t="s">
        <v>45</v>
      </c>
      <c r="F82" s="143">
        <v>0</v>
      </c>
      <c r="G82" s="187">
        <v>0</v>
      </c>
      <c r="H82" s="61">
        <v>0</v>
      </c>
      <c r="I82" s="47">
        <v>0</v>
      </c>
      <c r="J82" s="117">
        <v>45960</v>
      </c>
      <c r="K82" s="118" t="s">
        <v>544</v>
      </c>
      <c r="L82" s="151">
        <v>321</v>
      </c>
      <c r="M82" s="171" t="s">
        <v>45</v>
      </c>
      <c r="N82" s="172">
        <v>0</v>
      </c>
      <c r="O82" s="147">
        <f t="shared" si="12"/>
        <v>0</v>
      </c>
      <c r="P82" s="147">
        <f t="shared" si="19"/>
        <v>0</v>
      </c>
      <c r="Q82" s="47">
        <f t="shared" si="20"/>
        <v>0</v>
      </c>
      <c r="R82" s="188"/>
      <c r="S82" s="189"/>
      <c r="T82" s="189"/>
      <c r="U82" s="190"/>
      <c r="V82" s="190"/>
    </row>
    <row r="83" spans="1:23" ht="27.75" customHeight="1" thickBot="1">
      <c r="A83" s="193"/>
      <c r="B83" s="194" t="s">
        <v>22</v>
      </c>
      <c r="C83" s="195"/>
      <c r="D83" s="196">
        <f>SUM(D47:D82)</f>
        <v>12679.5</v>
      </c>
      <c r="E83" s="196"/>
      <c r="F83" s="197"/>
      <c r="G83" s="198">
        <f>SUM(G60)</f>
        <v>150</v>
      </c>
      <c r="H83" s="198">
        <f t="shared" ref="H83:I83" si="21">SUM(H60)</f>
        <v>10.5</v>
      </c>
      <c r="I83" s="198">
        <f t="shared" si="21"/>
        <v>160.5</v>
      </c>
      <c r="J83" s="199"/>
      <c r="K83" s="199"/>
      <c r="L83" s="196">
        <f>SUM(L47:L82)</f>
        <v>11074.5</v>
      </c>
      <c r="M83" s="200"/>
      <c r="N83" s="196"/>
      <c r="O83" s="198">
        <f>+O48+O60</f>
        <v>450</v>
      </c>
      <c r="P83" s="198">
        <f t="shared" si="19"/>
        <v>31.5</v>
      </c>
      <c r="Q83" s="198">
        <f t="shared" si="20"/>
        <v>481.5</v>
      </c>
      <c r="R83" s="36"/>
      <c r="S83" s="37"/>
      <c r="T83" s="37"/>
      <c r="U83" s="38"/>
      <c r="V83" s="38"/>
      <c r="W83" s="38"/>
    </row>
    <row r="84" spans="1:23" ht="27.75" customHeight="1" thickTop="1">
      <c r="A84" s="22"/>
      <c r="B84" s="23" t="s">
        <v>179</v>
      </c>
      <c r="C84" s="24"/>
      <c r="D84" s="25"/>
      <c r="E84" s="26"/>
      <c r="F84" s="27"/>
      <c r="G84" s="28"/>
      <c r="H84" s="28"/>
      <c r="I84" s="28"/>
      <c r="J84" s="29"/>
      <c r="K84" s="30"/>
      <c r="L84" s="31"/>
      <c r="M84" s="32"/>
      <c r="N84" s="33"/>
      <c r="O84" s="34"/>
      <c r="P84" s="34"/>
      <c r="Q84" s="35"/>
      <c r="R84" s="36"/>
      <c r="S84" s="37"/>
      <c r="T84" s="37"/>
      <c r="U84" s="38"/>
      <c r="V84" s="38"/>
      <c r="W84" s="38"/>
    </row>
    <row r="85" spans="1:23" ht="27.75" customHeight="1">
      <c r="A85" s="94">
        <v>1</v>
      </c>
      <c r="B85" s="40" t="s">
        <v>180</v>
      </c>
      <c r="C85" s="41" t="s">
        <v>181</v>
      </c>
      <c r="D85" s="201">
        <v>1444.5</v>
      </c>
      <c r="E85" s="43" t="s">
        <v>131</v>
      </c>
      <c r="F85" s="44">
        <v>1</v>
      </c>
      <c r="G85" s="45">
        <v>150</v>
      </c>
      <c r="H85" s="61">
        <v>10.5</v>
      </c>
      <c r="I85" s="47">
        <v>160.5</v>
      </c>
      <c r="J85" s="48">
        <v>45936</v>
      </c>
      <c r="K85" s="49" t="s">
        <v>545</v>
      </c>
      <c r="L85" s="202">
        <v>160.5</v>
      </c>
      <c r="M85" s="83" t="s">
        <v>32</v>
      </c>
      <c r="N85" s="39">
        <v>1</v>
      </c>
      <c r="O85" s="147">
        <f>+(D85*100/107)+G85-(L85*100/107)</f>
        <v>1350</v>
      </c>
      <c r="P85" s="147">
        <f t="shared" ref="P85:P89" si="22">ROUND((O85*0.07),2)</f>
        <v>94.5</v>
      </c>
      <c r="Q85" s="47">
        <f t="shared" ref="Q85:Q89" si="23">+O85+P85</f>
        <v>1444.5</v>
      </c>
      <c r="R85" s="116"/>
      <c r="S85" s="203"/>
      <c r="T85" s="203"/>
      <c r="U85" s="204"/>
      <c r="V85" s="204"/>
    </row>
    <row r="86" spans="1:23" ht="27.75" customHeight="1">
      <c r="A86" s="94">
        <v>2</v>
      </c>
      <c r="B86" s="40" t="s">
        <v>184</v>
      </c>
      <c r="C86" s="41" t="s">
        <v>181</v>
      </c>
      <c r="D86" s="201">
        <v>3370.5</v>
      </c>
      <c r="E86" s="43" t="s">
        <v>45</v>
      </c>
      <c r="F86" s="44">
        <v>0</v>
      </c>
      <c r="G86" s="45">
        <v>0</v>
      </c>
      <c r="H86" s="61">
        <v>0</v>
      </c>
      <c r="I86" s="47">
        <v>0</v>
      </c>
      <c r="J86" s="48">
        <v>45937</v>
      </c>
      <c r="K86" s="49" t="s">
        <v>546</v>
      </c>
      <c r="L86" s="202">
        <v>3370.5</v>
      </c>
      <c r="M86" s="94" t="s">
        <v>45</v>
      </c>
      <c r="N86" s="116"/>
      <c r="O86" s="147">
        <f>+(D86*100/107)+G86-(L86*100/107)</f>
        <v>0</v>
      </c>
      <c r="P86" s="147">
        <f t="shared" si="22"/>
        <v>0</v>
      </c>
      <c r="Q86" s="47">
        <f t="shared" si="23"/>
        <v>0</v>
      </c>
      <c r="R86" s="116"/>
      <c r="S86" s="203"/>
      <c r="T86" s="203"/>
      <c r="U86" s="204"/>
      <c r="V86" s="204"/>
    </row>
    <row r="87" spans="1:23" ht="27.75" customHeight="1">
      <c r="A87" s="94">
        <v>3</v>
      </c>
      <c r="B87" s="205" t="s">
        <v>186</v>
      </c>
      <c r="C87" s="206" t="s">
        <v>181</v>
      </c>
      <c r="D87" s="207">
        <v>3370.5</v>
      </c>
      <c r="E87" s="64" t="s">
        <v>45</v>
      </c>
      <c r="F87" s="44">
        <v>0</v>
      </c>
      <c r="G87" s="45">
        <v>0</v>
      </c>
      <c r="H87" s="61">
        <v>0</v>
      </c>
      <c r="I87" s="47">
        <v>0</v>
      </c>
      <c r="J87" s="48">
        <v>45960</v>
      </c>
      <c r="K87" s="49" t="s">
        <v>547</v>
      </c>
      <c r="L87" s="202">
        <v>3370.5</v>
      </c>
      <c r="M87" s="186" t="s">
        <v>45</v>
      </c>
      <c r="N87" s="116"/>
      <c r="O87" s="147">
        <f>+(D87*100/107)+G87-(L87*100/107)</f>
        <v>0</v>
      </c>
      <c r="P87" s="147">
        <f t="shared" si="22"/>
        <v>0</v>
      </c>
      <c r="Q87" s="47">
        <f t="shared" si="23"/>
        <v>0</v>
      </c>
      <c r="R87" s="116"/>
      <c r="S87" s="203"/>
      <c r="T87" s="203"/>
      <c r="U87" s="204"/>
      <c r="V87" s="204"/>
    </row>
    <row r="88" spans="1:23" ht="27.75" customHeight="1">
      <c r="A88" s="186">
        <v>4</v>
      </c>
      <c r="B88" s="205" t="s">
        <v>188</v>
      </c>
      <c r="C88" s="206" t="s">
        <v>181</v>
      </c>
      <c r="D88" s="207">
        <v>2140</v>
      </c>
      <c r="E88" s="64" t="s">
        <v>26</v>
      </c>
      <c r="F88" s="44">
        <v>0</v>
      </c>
      <c r="G88" s="45">
        <v>0</v>
      </c>
      <c r="H88" s="45">
        <v>0</v>
      </c>
      <c r="I88" s="66">
        <v>0</v>
      </c>
      <c r="J88" s="48">
        <v>45931</v>
      </c>
      <c r="K88" s="49" t="s">
        <v>548</v>
      </c>
      <c r="L88" s="202">
        <v>2140</v>
      </c>
      <c r="M88" s="186" t="s">
        <v>26</v>
      </c>
      <c r="N88" s="116"/>
      <c r="O88" s="147">
        <f>+(D88*100/107)+G88-(L88*100/107)</f>
        <v>0</v>
      </c>
      <c r="P88" s="147">
        <f t="shared" si="22"/>
        <v>0</v>
      </c>
      <c r="Q88" s="47">
        <f t="shared" si="23"/>
        <v>0</v>
      </c>
      <c r="R88" s="116"/>
      <c r="S88" s="203"/>
      <c r="T88" s="203"/>
      <c r="U88" s="204"/>
      <c r="V88" s="204"/>
    </row>
    <row r="89" spans="1:23" s="220" customFormat="1" ht="27.75" customHeight="1">
      <c r="A89" s="186">
        <v>5</v>
      </c>
      <c r="B89" s="208" t="s">
        <v>71</v>
      </c>
      <c r="C89" s="209" t="s">
        <v>181</v>
      </c>
      <c r="D89" s="210">
        <v>2675</v>
      </c>
      <c r="E89" s="211" t="s">
        <v>75</v>
      </c>
      <c r="F89" s="212">
        <v>-0.5</v>
      </c>
      <c r="G89" s="213">
        <v>-1250</v>
      </c>
      <c r="H89" s="213">
        <v>-87.5</v>
      </c>
      <c r="I89" s="214">
        <v>-1337.5</v>
      </c>
      <c r="J89" s="62">
        <v>45954</v>
      </c>
      <c r="K89" s="215" t="s">
        <v>549</v>
      </c>
      <c r="L89" s="202">
        <v>2675</v>
      </c>
      <c r="M89" s="216" t="s">
        <v>510</v>
      </c>
      <c r="N89" s="217"/>
      <c r="O89" s="147">
        <f>+(D89*100/107)+G89-(L89*100/107)</f>
        <v>-1250</v>
      </c>
      <c r="P89" s="147">
        <f t="shared" si="22"/>
        <v>-87.5</v>
      </c>
      <c r="Q89" s="47">
        <f t="shared" si="23"/>
        <v>-1337.5</v>
      </c>
      <c r="R89" s="217"/>
      <c r="S89" s="218"/>
      <c r="T89" s="218"/>
      <c r="U89" s="219"/>
      <c r="V89" s="219"/>
    </row>
    <row r="90" spans="1:23" ht="27.75" customHeight="1" thickBot="1">
      <c r="A90" s="193"/>
      <c r="B90" s="194" t="s">
        <v>22</v>
      </c>
      <c r="C90" s="195"/>
      <c r="D90" s="196">
        <f>SUM(D85:D89)</f>
        <v>13000.5</v>
      </c>
      <c r="E90" s="221"/>
      <c r="F90" s="197"/>
      <c r="G90" s="198">
        <f>SUM(G85:G89)-G89</f>
        <v>150</v>
      </c>
      <c r="H90" s="198">
        <f t="shared" ref="H90:I90" si="24">SUM(H85:H89)-H89</f>
        <v>10.5</v>
      </c>
      <c r="I90" s="198">
        <f t="shared" si="24"/>
        <v>160.5</v>
      </c>
      <c r="J90" s="199"/>
      <c r="K90" s="199"/>
      <c r="L90" s="196">
        <f>SUM(L85:L89)</f>
        <v>11716.5</v>
      </c>
      <c r="M90" s="200"/>
      <c r="N90" s="196"/>
      <c r="O90" s="198">
        <f>SUM(O85:O88)</f>
        <v>1350</v>
      </c>
      <c r="P90" s="198">
        <f>SUM(P85:P88)</f>
        <v>94.5</v>
      </c>
      <c r="Q90" s="198">
        <f t="shared" ref="Q90" si="25">ROUND(SUM(Q85:Q89),2)-Q89</f>
        <v>1444.5</v>
      </c>
      <c r="R90" s="36"/>
      <c r="S90" s="37"/>
      <c r="T90" s="37"/>
      <c r="U90" s="38"/>
      <c r="V90" s="38"/>
      <c r="W90" s="38"/>
    </row>
    <row r="91" spans="1:23" ht="27.75" customHeight="1" thickTop="1">
      <c r="A91" s="22"/>
      <c r="B91" s="23" t="s">
        <v>191</v>
      </c>
      <c r="C91" s="24"/>
      <c r="D91" s="25"/>
      <c r="E91" s="26"/>
      <c r="F91" s="27"/>
      <c r="G91" s="28"/>
      <c r="H91" s="28"/>
      <c r="I91" s="28"/>
      <c r="J91" s="29"/>
      <c r="K91" s="30"/>
      <c r="L91" s="31"/>
      <c r="M91" s="32"/>
      <c r="N91" s="33"/>
      <c r="O91" s="34"/>
      <c r="P91" s="34"/>
      <c r="Q91" s="35"/>
      <c r="R91" s="36"/>
      <c r="S91" s="37"/>
      <c r="T91" s="37"/>
      <c r="U91" s="38"/>
      <c r="V91" s="38"/>
      <c r="W91" s="38"/>
    </row>
    <row r="92" spans="1:23" ht="27.75" customHeight="1">
      <c r="A92" s="94">
        <v>1</v>
      </c>
      <c r="B92" s="40" t="s">
        <v>192</v>
      </c>
      <c r="C92" s="41" t="s">
        <v>193</v>
      </c>
      <c r="D92" s="141">
        <v>2140</v>
      </c>
      <c r="E92" s="43"/>
      <c r="F92" s="44"/>
      <c r="G92" s="45">
        <v>0</v>
      </c>
      <c r="H92" s="61">
        <v>0</v>
      </c>
      <c r="I92" s="47">
        <v>0</v>
      </c>
      <c r="J92" s="175">
        <v>45935</v>
      </c>
      <c r="K92" s="176" t="s">
        <v>550</v>
      </c>
      <c r="L92" s="222">
        <v>2140</v>
      </c>
      <c r="M92" s="94"/>
      <c r="N92" s="116"/>
      <c r="O92" s="147">
        <v>0</v>
      </c>
      <c r="P92" s="147">
        <v>0</v>
      </c>
      <c r="Q92" s="47">
        <v>0</v>
      </c>
      <c r="R92" s="39" t="s">
        <v>195</v>
      </c>
      <c r="S92" s="55">
        <v>42491</v>
      </c>
      <c r="T92" s="55">
        <v>43585</v>
      </c>
      <c r="U92" s="56">
        <v>262800</v>
      </c>
      <c r="V92" s="56"/>
    </row>
    <row r="93" spans="1:23" ht="27.75" customHeight="1" thickBot="1">
      <c r="A93" s="193"/>
      <c r="B93" s="194" t="s">
        <v>22</v>
      </c>
      <c r="C93" s="195"/>
      <c r="D93" s="196">
        <v>2140</v>
      </c>
      <c r="E93" s="221"/>
      <c r="F93" s="197"/>
      <c r="G93" s="198">
        <v>0</v>
      </c>
      <c r="H93" s="198">
        <v>0</v>
      </c>
      <c r="I93" s="198">
        <v>0</v>
      </c>
      <c r="J93" s="199"/>
      <c r="K93" s="199"/>
      <c r="L93" s="196">
        <f>SUM(L92)</f>
        <v>2140</v>
      </c>
      <c r="M93" s="200"/>
      <c r="N93" s="196"/>
      <c r="O93" s="198">
        <v>0</v>
      </c>
      <c r="P93" s="198">
        <v>0</v>
      </c>
      <c r="Q93" s="198">
        <v>0</v>
      </c>
      <c r="R93" s="36"/>
      <c r="S93" s="37"/>
      <c r="T93" s="37"/>
      <c r="U93" s="38"/>
      <c r="V93" s="38"/>
      <c r="W93" s="38"/>
    </row>
    <row r="94" spans="1:23" ht="27.75" customHeight="1" thickTop="1">
      <c r="A94" s="22"/>
      <c r="B94" s="23" t="s">
        <v>196</v>
      </c>
      <c r="C94" s="24"/>
      <c r="D94" s="25"/>
      <c r="E94" s="26"/>
      <c r="F94" s="27"/>
      <c r="G94" s="28"/>
      <c r="H94" s="28"/>
      <c r="I94" s="28"/>
      <c r="J94" s="29"/>
      <c r="K94" s="30"/>
      <c r="L94" s="31"/>
      <c r="M94" s="32"/>
      <c r="N94" s="33"/>
      <c r="O94" s="34"/>
      <c r="P94" s="34"/>
      <c r="Q94" s="35"/>
      <c r="R94" s="36"/>
      <c r="S94" s="37"/>
      <c r="T94" s="37"/>
      <c r="U94" s="38"/>
      <c r="V94" s="38"/>
      <c r="W94" s="38"/>
    </row>
    <row r="95" spans="1:23" s="226" customFormat="1" ht="27.75" customHeight="1">
      <c r="A95" s="94"/>
      <c r="B95" s="223" t="s">
        <v>197</v>
      </c>
      <c r="C95" s="224"/>
      <c r="D95" s="225"/>
      <c r="E95" s="80"/>
      <c r="F95" s="44"/>
      <c r="G95" s="61"/>
      <c r="H95" s="61"/>
      <c r="I95" s="85"/>
      <c r="J95" s="178"/>
      <c r="K95" s="176"/>
      <c r="L95" s="222"/>
      <c r="M95" s="83"/>
      <c r="N95" s="116"/>
      <c r="O95" s="147"/>
      <c r="P95" s="147"/>
      <c r="Q95" s="47"/>
      <c r="R95" s="39"/>
      <c r="S95" s="55"/>
      <c r="T95" s="55"/>
      <c r="U95" s="56"/>
      <c r="V95" s="56"/>
    </row>
    <row r="96" spans="1:23" s="226" customFormat="1" ht="27.75" customHeight="1">
      <c r="A96" s="94">
        <v>1</v>
      </c>
      <c r="B96" s="181" t="s">
        <v>198</v>
      </c>
      <c r="C96" s="224" t="s">
        <v>199</v>
      </c>
      <c r="D96" s="225">
        <v>26750</v>
      </c>
      <c r="E96" s="80" t="s">
        <v>26</v>
      </c>
      <c r="F96" s="44">
        <v>0</v>
      </c>
      <c r="G96" s="61">
        <v>0</v>
      </c>
      <c r="H96" s="61">
        <v>0</v>
      </c>
      <c r="I96" s="85">
        <v>0</v>
      </c>
      <c r="J96" s="113">
        <v>45934</v>
      </c>
      <c r="K96" s="114" t="s">
        <v>551</v>
      </c>
      <c r="L96" s="144">
        <v>26750</v>
      </c>
      <c r="M96" s="83"/>
      <c r="N96" s="116"/>
      <c r="O96" s="147">
        <f t="shared" ref="O96:O108" si="26">+(D96*100/107)+G96-(L96*100/107)</f>
        <v>0</v>
      </c>
      <c r="P96" s="147">
        <f t="shared" ref="P96:P108" si="27">ROUND((O96*0.07),2)</f>
        <v>0</v>
      </c>
      <c r="Q96" s="47">
        <f t="shared" ref="Q96:Q108" si="28">+O96+P96</f>
        <v>0</v>
      </c>
      <c r="R96" s="39"/>
      <c r="S96" s="55"/>
      <c r="T96" s="55"/>
      <c r="U96" s="56"/>
      <c r="V96" s="56"/>
    </row>
    <row r="97" spans="1:22" s="226" customFormat="1" ht="27.75" customHeight="1">
      <c r="A97" s="94">
        <v>2</v>
      </c>
      <c r="B97" s="181" t="s">
        <v>201</v>
      </c>
      <c r="C97" s="224" t="s">
        <v>202</v>
      </c>
      <c r="D97" s="225">
        <v>0</v>
      </c>
      <c r="E97" s="80" t="s">
        <v>26</v>
      </c>
      <c r="F97" s="44">
        <v>0</v>
      </c>
      <c r="G97" s="61">
        <v>0</v>
      </c>
      <c r="H97" s="61">
        <v>0</v>
      </c>
      <c r="I97" s="85">
        <v>0</v>
      </c>
      <c r="J97" s="113"/>
      <c r="K97" s="114"/>
      <c r="L97" s="144">
        <v>0</v>
      </c>
      <c r="M97" s="83"/>
      <c r="N97" s="116"/>
      <c r="O97" s="147">
        <f t="shared" si="26"/>
        <v>0</v>
      </c>
      <c r="P97" s="147">
        <f t="shared" si="27"/>
        <v>0</v>
      </c>
      <c r="Q97" s="47">
        <f t="shared" si="28"/>
        <v>0</v>
      </c>
      <c r="R97" s="39"/>
      <c r="S97" s="55"/>
      <c r="T97" s="55"/>
      <c r="U97" s="56"/>
      <c r="V97" s="226" t="s">
        <v>203</v>
      </c>
    </row>
    <row r="98" spans="1:22" s="226" customFormat="1" ht="27.75" customHeight="1">
      <c r="A98" s="94">
        <v>3</v>
      </c>
      <c r="B98" s="181" t="s">
        <v>204</v>
      </c>
      <c r="C98" s="224" t="s">
        <v>205</v>
      </c>
      <c r="D98" s="225">
        <v>22470</v>
      </c>
      <c r="E98" s="80" t="s">
        <v>45</v>
      </c>
      <c r="F98" s="44">
        <v>0</v>
      </c>
      <c r="G98" s="61">
        <v>0</v>
      </c>
      <c r="H98" s="61">
        <v>0</v>
      </c>
      <c r="I98" s="85">
        <v>0</v>
      </c>
      <c r="J98" s="113">
        <v>45951</v>
      </c>
      <c r="K98" s="114" t="s">
        <v>552</v>
      </c>
      <c r="L98" s="144">
        <v>22470</v>
      </c>
      <c r="M98" s="83"/>
      <c r="N98" s="116"/>
      <c r="O98" s="147">
        <f t="shared" si="26"/>
        <v>0</v>
      </c>
      <c r="P98" s="147">
        <f t="shared" si="27"/>
        <v>0</v>
      </c>
      <c r="Q98" s="47">
        <f t="shared" si="28"/>
        <v>0</v>
      </c>
      <c r="R98" s="39"/>
      <c r="S98" s="55"/>
      <c r="T98" s="55"/>
      <c r="U98" s="56"/>
      <c r="V98" s="56"/>
    </row>
    <row r="99" spans="1:22" s="226" customFormat="1" ht="27.75" customHeight="1">
      <c r="A99" s="94">
        <v>4</v>
      </c>
      <c r="B99" s="181" t="s">
        <v>204</v>
      </c>
      <c r="C99" s="224" t="s">
        <v>207</v>
      </c>
      <c r="D99" s="225">
        <v>22470</v>
      </c>
      <c r="E99" s="80" t="s">
        <v>45</v>
      </c>
      <c r="F99" s="44">
        <v>0</v>
      </c>
      <c r="G99" s="61">
        <v>0</v>
      </c>
      <c r="H99" s="61">
        <v>0</v>
      </c>
      <c r="I99" s="85">
        <v>0</v>
      </c>
      <c r="J99" s="113">
        <v>45951</v>
      </c>
      <c r="K99" s="114" t="s">
        <v>552</v>
      </c>
      <c r="L99" s="144">
        <v>22470</v>
      </c>
      <c r="M99" s="83"/>
      <c r="N99" s="116"/>
      <c r="O99" s="147">
        <f t="shared" si="26"/>
        <v>0</v>
      </c>
      <c r="P99" s="147">
        <f t="shared" si="27"/>
        <v>0</v>
      </c>
      <c r="Q99" s="47">
        <f t="shared" si="28"/>
        <v>0</v>
      </c>
      <c r="R99" s="39"/>
      <c r="S99" s="55"/>
      <c r="T99" s="55"/>
      <c r="U99" s="56"/>
      <c r="V99" s="56"/>
    </row>
    <row r="100" spans="1:22" s="226" customFormat="1" ht="27.75" customHeight="1">
      <c r="A100" s="94">
        <v>5</v>
      </c>
      <c r="B100" s="181" t="s">
        <v>201</v>
      </c>
      <c r="C100" s="224" t="s">
        <v>208</v>
      </c>
      <c r="D100" s="225">
        <v>0</v>
      </c>
      <c r="E100" s="80" t="s">
        <v>26</v>
      </c>
      <c r="F100" s="44">
        <v>0</v>
      </c>
      <c r="G100" s="61">
        <v>0</v>
      </c>
      <c r="H100" s="61">
        <v>0</v>
      </c>
      <c r="I100" s="85">
        <v>0</v>
      </c>
      <c r="J100" s="113"/>
      <c r="K100" s="114"/>
      <c r="L100" s="144">
        <v>0</v>
      </c>
      <c r="M100" s="83"/>
      <c r="N100" s="116"/>
      <c r="O100" s="147">
        <f t="shared" si="26"/>
        <v>0</v>
      </c>
      <c r="P100" s="147">
        <f t="shared" si="27"/>
        <v>0</v>
      </c>
      <c r="Q100" s="47">
        <f t="shared" si="28"/>
        <v>0</v>
      </c>
      <c r="R100" s="39"/>
      <c r="S100" s="55"/>
      <c r="T100" s="55"/>
      <c r="U100" s="56"/>
      <c r="V100" s="56"/>
    </row>
    <row r="101" spans="1:22" s="226" customFormat="1" ht="27.75" customHeight="1">
      <c r="A101" s="94">
        <v>6</v>
      </c>
      <c r="B101" s="181" t="s">
        <v>201</v>
      </c>
      <c r="C101" s="224" t="s">
        <v>209</v>
      </c>
      <c r="D101" s="225">
        <v>0</v>
      </c>
      <c r="E101" s="80" t="s">
        <v>26</v>
      </c>
      <c r="F101" s="44">
        <v>0</v>
      </c>
      <c r="G101" s="61">
        <v>0</v>
      </c>
      <c r="H101" s="61">
        <v>0</v>
      </c>
      <c r="I101" s="85">
        <v>0</v>
      </c>
      <c r="J101" s="113"/>
      <c r="K101" s="114"/>
      <c r="L101" s="144">
        <v>0</v>
      </c>
      <c r="M101" s="83"/>
      <c r="N101" s="116"/>
      <c r="O101" s="147">
        <f t="shared" si="26"/>
        <v>0</v>
      </c>
      <c r="P101" s="147">
        <f t="shared" si="27"/>
        <v>0</v>
      </c>
      <c r="Q101" s="47">
        <f t="shared" si="28"/>
        <v>0</v>
      </c>
      <c r="R101" s="39"/>
      <c r="S101" s="55"/>
      <c r="T101" s="55"/>
      <c r="U101" s="56"/>
      <c r="V101" s="56"/>
    </row>
    <row r="102" spans="1:22" s="226" customFormat="1" ht="27.75" customHeight="1">
      <c r="A102" s="94">
        <v>7</v>
      </c>
      <c r="B102" s="181" t="s">
        <v>210</v>
      </c>
      <c r="C102" s="224" t="s">
        <v>211</v>
      </c>
      <c r="D102" s="225">
        <v>22470</v>
      </c>
      <c r="E102" s="80" t="s">
        <v>32</v>
      </c>
      <c r="F102" s="44">
        <v>-0.934579439252336</v>
      </c>
      <c r="G102" s="61">
        <v>-21000</v>
      </c>
      <c r="H102" s="61">
        <v>-1470</v>
      </c>
      <c r="I102" s="85">
        <v>-22470</v>
      </c>
      <c r="J102" s="113">
        <v>45959</v>
      </c>
      <c r="K102" s="114" t="s">
        <v>553</v>
      </c>
      <c r="L102" s="144">
        <v>22470</v>
      </c>
      <c r="M102" s="87" t="s">
        <v>557</v>
      </c>
      <c r="N102" s="116"/>
      <c r="O102" s="147">
        <f t="shared" si="26"/>
        <v>-21000</v>
      </c>
      <c r="P102" s="147">
        <f t="shared" si="27"/>
        <v>-1470</v>
      </c>
      <c r="Q102" s="47">
        <f t="shared" si="28"/>
        <v>-22470</v>
      </c>
      <c r="R102" s="39"/>
      <c r="S102" s="55"/>
      <c r="T102" s="55"/>
      <c r="U102" s="56"/>
      <c r="V102" s="56"/>
    </row>
    <row r="103" spans="1:22" s="226" customFormat="1" ht="27.75" customHeight="1">
      <c r="A103" s="94">
        <v>8</v>
      </c>
      <c r="B103" s="181" t="s">
        <v>201</v>
      </c>
      <c r="C103" s="224" t="s">
        <v>213</v>
      </c>
      <c r="D103" s="225">
        <v>0</v>
      </c>
      <c r="E103" s="80" t="s">
        <v>26</v>
      </c>
      <c r="F103" s="44">
        <v>0</v>
      </c>
      <c r="G103" s="61">
        <v>0</v>
      </c>
      <c r="H103" s="61">
        <v>0</v>
      </c>
      <c r="I103" s="85">
        <v>0</v>
      </c>
      <c r="J103" s="113"/>
      <c r="K103" s="114"/>
      <c r="L103" s="144">
        <v>0</v>
      </c>
      <c r="M103" s="83"/>
      <c r="N103" s="116"/>
      <c r="O103" s="147">
        <f t="shared" si="26"/>
        <v>0</v>
      </c>
      <c r="P103" s="147">
        <f t="shared" si="27"/>
        <v>0</v>
      </c>
      <c r="Q103" s="47">
        <f t="shared" si="28"/>
        <v>0</v>
      </c>
      <c r="R103" s="39"/>
      <c r="S103" s="55"/>
      <c r="T103" s="55"/>
      <c r="U103" s="56"/>
      <c r="V103" s="56"/>
    </row>
    <row r="104" spans="1:22" s="226" customFormat="1" ht="27.75" customHeight="1">
      <c r="A104" s="94">
        <v>9</v>
      </c>
      <c r="B104" s="181" t="s">
        <v>214</v>
      </c>
      <c r="C104" s="224" t="s">
        <v>215</v>
      </c>
      <c r="D104" s="225">
        <v>22470</v>
      </c>
      <c r="E104" s="80" t="s">
        <v>26</v>
      </c>
      <c r="F104" s="44">
        <v>0</v>
      </c>
      <c r="G104" s="61">
        <v>0</v>
      </c>
      <c r="H104" s="61">
        <v>0</v>
      </c>
      <c r="I104" s="85">
        <v>0</v>
      </c>
      <c r="J104" s="113">
        <v>45932</v>
      </c>
      <c r="K104" s="114" t="s">
        <v>554</v>
      </c>
      <c r="L104" s="144">
        <v>22470</v>
      </c>
      <c r="M104" s="83"/>
      <c r="N104" s="116"/>
      <c r="O104" s="147">
        <f t="shared" si="26"/>
        <v>0</v>
      </c>
      <c r="P104" s="147">
        <f t="shared" si="27"/>
        <v>0</v>
      </c>
      <c r="Q104" s="47">
        <f t="shared" si="28"/>
        <v>0</v>
      </c>
      <c r="R104" s="39"/>
      <c r="S104" s="55"/>
      <c r="T104" s="55"/>
      <c r="U104" s="56"/>
      <c r="V104" s="56"/>
    </row>
    <row r="105" spans="1:22" s="226" customFormat="1" ht="27.75" customHeight="1">
      <c r="A105" s="94">
        <v>10</v>
      </c>
      <c r="B105" s="181" t="s">
        <v>217</v>
      </c>
      <c r="C105" s="224" t="s">
        <v>218</v>
      </c>
      <c r="D105" s="225">
        <v>22470</v>
      </c>
      <c r="E105" s="80" t="s">
        <v>26</v>
      </c>
      <c r="F105" s="44">
        <v>0</v>
      </c>
      <c r="G105" s="61">
        <v>0</v>
      </c>
      <c r="H105" s="61">
        <v>0</v>
      </c>
      <c r="I105" s="85">
        <v>0</v>
      </c>
      <c r="J105" s="113">
        <v>45951</v>
      </c>
      <c r="K105" s="114" t="s">
        <v>555</v>
      </c>
      <c r="L105" s="144">
        <v>22470</v>
      </c>
      <c r="M105" s="83"/>
      <c r="N105" s="116"/>
      <c r="O105" s="147">
        <f t="shared" si="26"/>
        <v>0</v>
      </c>
      <c r="P105" s="147">
        <f t="shared" si="27"/>
        <v>0</v>
      </c>
      <c r="Q105" s="47">
        <f t="shared" si="28"/>
        <v>0</v>
      </c>
      <c r="R105" s="39"/>
      <c r="S105" s="55"/>
      <c r="T105" s="55"/>
      <c r="U105" s="56"/>
      <c r="V105" s="56"/>
    </row>
    <row r="106" spans="1:22" s="226" customFormat="1" ht="27.75" customHeight="1">
      <c r="A106" s="94">
        <v>11</v>
      </c>
      <c r="B106" s="181" t="s">
        <v>217</v>
      </c>
      <c r="C106" s="224" t="s">
        <v>220</v>
      </c>
      <c r="D106" s="225">
        <v>22470</v>
      </c>
      <c r="E106" s="80" t="s">
        <v>26</v>
      </c>
      <c r="F106" s="44">
        <v>0</v>
      </c>
      <c r="G106" s="61">
        <v>0</v>
      </c>
      <c r="H106" s="61">
        <v>0</v>
      </c>
      <c r="I106" s="85">
        <v>0</v>
      </c>
      <c r="J106" s="113">
        <v>45951</v>
      </c>
      <c r="K106" s="114" t="s">
        <v>555</v>
      </c>
      <c r="L106" s="144">
        <v>22470</v>
      </c>
      <c r="M106" s="83"/>
      <c r="N106" s="116"/>
      <c r="O106" s="147">
        <f t="shared" si="26"/>
        <v>0</v>
      </c>
      <c r="P106" s="147">
        <f t="shared" si="27"/>
        <v>0</v>
      </c>
      <c r="Q106" s="47">
        <f t="shared" si="28"/>
        <v>0</v>
      </c>
      <c r="R106" s="39"/>
      <c r="S106" s="55"/>
      <c r="T106" s="55"/>
      <c r="U106" s="56"/>
      <c r="V106" s="56"/>
    </row>
    <row r="107" spans="1:22" s="226" customFormat="1" ht="27.75" customHeight="1">
      <c r="A107" s="94">
        <v>12</v>
      </c>
      <c r="B107" s="181" t="s">
        <v>217</v>
      </c>
      <c r="C107" s="224" t="s">
        <v>221</v>
      </c>
      <c r="D107" s="225">
        <v>22470</v>
      </c>
      <c r="E107" s="80" t="s">
        <v>26</v>
      </c>
      <c r="F107" s="44">
        <v>0</v>
      </c>
      <c r="G107" s="61">
        <v>0</v>
      </c>
      <c r="H107" s="61">
        <v>0</v>
      </c>
      <c r="I107" s="85">
        <v>0</v>
      </c>
      <c r="J107" s="113">
        <v>45951</v>
      </c>
      <c r="K107" s="114" t="s">
        <v>555</v>
      </c>
      <c r="L107" s="144">
        <v>22470</v>
      </c>
      <c r="M107" s="83"/>
      <c r="N107" s="116"/>
      <c r="O107" s="147">
        <f t="shared" si="26"/>
        <v>0</v>
      </c>
      <c r="P107" s="147">
        <f t="shared" si="27"/>
        <v>0</v>
      </c>
      <c r="Q107" s="47">
        <f t="shared" si="28"/>
        <v>0</v>
      </c>
      <c r="R107" s="39"/>
      <c r="S107" s="55"/>
      <c r="T107" s="55"/>
      <c r="U107" s="56"/>
      <c r="V107" s="56"/>
    </row>
    <row r="108" spans="1:22" s="226" customFormat="1" ht="27.75" customHeight="1">
      <c r="A108" s="186">
        <v>13</v>
      </c>
      <c r="B108" s="181" t="s">
        <v>222</v>
      </c>
      <c r="C108" s="227" t="s">
        <v>223</v>
      </c>
      <c r="D108" s="228">
        <v>32100</v>
      </c>
      <c r="E108" s="123" t="s">
        <v>26</v>
      </c>
      <c r="F108" s="44">
        <v>0</v>
      </c>
      <c r="G108" s="45">
        <v>0</v>
      </c>
      <c r="H108" s="45">
        <v>0</v>
      </c>
      <c r="I108" s="229">
        <v>0</v>
      </c>
      <c r="J108" s="230">
        <v>45933</v>
      </c>
      <c r="K108" s="184" t="s">
        <v>556</v>
      </c>
      <c r="L108" s="231">
        <v>32100</v>
      </c>
      <c r="M108" s="232"/>
      <c r="N108" s="116"/>
      <c r="O108" s="233">
        <f t="shared" si="26"/>
        <v>0</v>
      </c>
      <c r="P108" s="233">
        <f t="shared" si="27"/>
        <v>0</v>
      </c>
      <c r="Q108" s="66">
        <f t="shared" si="28"/>
        <v>0</v>
      </c>
      <c r="R108" s="39"/>
      <c r="S108" s="55"/>
      <c r="T108" s="55"/>
      <c r="U108" s="56"/>
      <c r="V108" s="56" t="s">
        <v>225</v>
      </c>
    </row>
    <row r="109" spans="1:22" s="226" customFormat="1" ht="27.75" customHeight="1" thickBot="1">
      <c r="A109" s="234"/>
      <c r="B109" s="194" t="s">
        <v>22</v>
      </c>
      <c r="C109" s="235"/>
      <c r="D109" s="236">
        <f>SUM(D96:D108)</f>
        <v>216140</v>
      </c>
      <c r="E109" s="237"/>
      <c r="F109" s="238"/>
      <c r="G109" s="239"/>
      <c r="H109" s="239"/>
      <c r="I109" s="240"/>
      <c r="J109" s="241"/>
      <c r="K109" s="234"/>
      <c r="L109" s="236">
        <f>SUM(L96:L108)</f>
        <v>216140</v>
      </c>
      <c r="M109" s="234"/>
      <c r="N109" s="242"/>
      <c r="O109" s="243"/>
      <c r="P109" s="243"/>
      <c r="Q109" s="240"/>
      <c r="R109" s="39"/>
      <c r="S109" s="55"/>
      <c r="T109" s="55"/>
      <c r="U109" s="56"/>
      <c r="V109" s="56"/>
    </row>
    <row r="110" spans="1:22" s="226" customFormat="1" ht="27.75" customHeight="1" thickTop="1">
      <c r="A110" s="83"/>
      <c r="B110" s="244" t="s">
        <v>226</v>
      </c>
      <c r="C110" s="245"/>
      <c r="D110" s="246"/>
      <c r="E110" s="80"/>
      <c r="F110" s="126"/>
      <c r="G110" s="46"/>
      <c r="H110" s="46"/>
      <c r="I110" s="247"/>
      <c r="J110" s="248"/>
      <c r="K110" s="249"/>
      <c r="L110" s="250"/>
      <c r="M110" s="83"/>
      <c r="N110" s="251"/>
      <c r="O110" s="252"/>
      <c r="P110" s="252"/>
      <c r="Q110" s="85"/>
      <c r="R110" s="39"/>
      <c r="S110" s="55"/>
      <c r="T110" s="55"/>
      <c r="U110" s="56"/>
      <c r="V110" s="56"/>
    </row>
    <row r="111" spans="1:22" s="226" customFormat="1" ht="27.75" customHeight="1">
      <c r="A111" s="94">
        <v>1</v>
      </c>
      <c r="B111" s="41" t="s">
        <v>227</v>
      </c>
      <c r="C111" s="224" t="s">
        <v>228</v>
      </c>
      <c r="D111" s="225">
        <v>22470</v>
      </c>
      <c r="E111" s="80" t="s">
        <v>26</v>
      </c>
      <c r="F111" s="44">
        <v>0</v>
      </c>
      <c r="G111" s="61">
        <v>0</v>
      </c>
      <c r="H111" s="61">
        <v>0</v>
      </c>
      <c r="I111" s="85">
        <v>0</v>
      </c>
      <c r="J111" s="113">
        <v>45961</v>
      </c>
      <c r="K111" s="114" t="s">
        <v>558</v>
      </c>
      <c r="L111" s="253">
        <v>22470</v>
      </c>
      <c r="M111" s="83" t="s">
        <v>26</v>
      </c>
      <c r="N111" s="116">
        <v>0</v>
      </c>
      <c r="O111" s="147">
        <f>+(D111*100/107)+G111-(L111*100/107)</f>
        <v>0</v>
      </c>
      <c r="P111" s="147">
        <f t="shared" ref="P111:P122" si="29">ROUND((O111*0.07),2)</f>
        <v>0</v>
      </c>
      <c r="Q111" s="47">
        <f t="shared" ref="Q111:Q122" si="30">+O111+P111</f>
        <v>0</v>
      </c>
      <c r="R111" s="39"/>
      <c r="S111" s="55"/>
      <c r="T111" s="55"/>
      <c r="U111" s="56"/>
      <c r="V111" s="56"/>
    </row>
    <row r="112" spans="1:22" s="226" customFormat="1" ht="27.75" customHeight="1">
      <c r="A112" s="94">
        <v>2</v>
      </c>
      <c r="B112" s="41" t="s">
        <v>227</v>
      </c>
      <c r="C112" s="224" t="s">
        <v>230</v>
      </c>
      <c r="D112" s="246">
        <v>22470</v>
      </c>
      <c r="E112" s="80" t="s">
        <v>26</v>
      </c>
      <c r="F112" s="44">
        <v>0</v>
      </c>
      <c r="G112" s="61">
        <v>0</v>
      </c>
      <c r="H112" s="61">
        <v>0</v>
      </c>
      <c r="I112" s="85">
        <v>0</v>
      </c>
      <c r="J112" s="113">
        <v>45961</v>
      </c>
      <c r="K112" s="114" t="s">
        <v>558</v>
      </c>
      <c r="L112" s="253">
        <v>22470</v>
      </c>
      <c r="M112" s="83" t="s">
        <v>26</v>
      </c>
      <c r="N112" s="116">
        <v>0</v>
      </c>
      <c r="O112" s="147">
        <f>+(D112*100/107)+G112-(L112*100/107)</f>
        <v>0</v>
      </c>
      <c r="P112" s="147">
        <f t="shared" si="29"/>
        <v>0</v>
      </c>
      <c r="Q112" s="47">
        <f t="shared" si="30"/>
        <v>0</v>
      </c>
      <c r="R112" s="39"/>
      <c r="S112" s="55"/>
      <c r="T112" s="55"/>
      <c r="U112" s="56"/>
      <c r="V112" s="56"/>
    </row>
    <row r="113" spans="1:22" s="226" customFormat="1" ht="27.75" customHeight="1">
      <c r="A113" s="94">
        <v>3</v>
      </c>
      <c r="B113" s="41" t="s">
        <v>227</v>
      </c>
      <c r="C113" s="224" t="s">
        <v>231</v>
      </c>
      <c r="D113" s="246">
        <v>22470</v>
      </c>
      <c r="E113" s="80" t="s">
        <v>26</v>
      </c>
      <c r="F113" s="44">
        <v>0</v>
      </c>
      <c r="G113" s="61">
        <v>0</v>
      </c>
      <c r="H113" s="61">
        <v>0</v>
      </c>
      <c r="I113" s="85">
        <v>0</v>
      </c>
      <c r="J113" s="254">
        <v>45961</v>
      </c>
      <c r="K113" s="255" t="s">
        <v>558</v>
      </c>
      <c r="L113" s="256">
        <v>22470</v>
      </c>
      <c r="M113" s="83" t="s">
        <v>26</v>
      </c>
      <c r="N113" s="116">
        <v>0</v>
      </c>
      <c r="O113" s="147">
        <f t="shared" ref="O113:O120" si="31">+(D113*100/107)+G113-(L113*100/107)</f>
        <v>0</v>
      </c>
      <c r="P113" s="147">
        <f t="shared" si="29"/>
        <v>0</v>
      </c>
      <c r="Q113" s="47">
        <f t="shared" si="30"/>
        <v>0</v>
      </c>
      <c r="R113" s="39"/>
      <c r="S113" s="55"/>
      <c r="T113" s="55"/>
      <c r="U113" s="56"/>
      <c r="V113" s="56"/>
    </row>
    <row r="114" spans="1:22" s="226" customFormat="1" ht="27.75" customHeight="1">
      <c r="A114" s="94">
        <v>4</v>
      </c>
      <c r="B114" s="41" t="s">
        <v>227</v>
      </c>
      <c r="C114" s="224" t="s">
        <v>232</v>
      </c>
      <c r="D114" s="246">
        <v>22470</v>
      </c>
      <c r="E114" s="80" t="s">
        <v>26</v>
      </c>
      <c r="F114" s="44">
        <v>0</v>
      </c>
      <c r="G114" s="61">
        <v>0</v>
      </c>
      <c r="H114" s="61">
        <v>0</v>
      </c>
      <c r="I114" s="85">
        <v>0</v>
      </c>
      <c r="J114" s="127">
        <v>45961</v>
      </c>
      <c r="K114" s="128" t="s">
        <v>558</v>
      </c>
      <c r="L114" s="257">
        <v>22470</v>
      </c>
      <c r="M114" s="83" t="s">
        <v>26</v>
      </c>
      <c r="N114" s="116">
        <v>0</v>
      </c>
      <c r="O114" s="147">
        <f t="shared" si="31"/>
        <v>0</v>
      </c>
      <c r="P114" s="147">
        <f t="shared" si="29"/>
        <v>0</v>
      </c>
      <c r="Q114" s="47">
        <f t="shared" si="30"/>
        <v>0</v>
      </c>
      <c r="R114" s="39"/>
      <c r="S114" s="55"/>
      <c r="T114" s="55"/>
      <c r="U114" s="56"/>
      <c r="V114" s="56"/>
    </row>
    <row r="115" spans="1:22" s="226" customFormat="1" ht="27.75" customHeight="1">
      <c r="A115" s="94">
        <v>5</v>
      </c>
      <c r="B115" s="41" t="s">
        <v>227</v>
      </c>
      <c r="C115" s="224" t="s">
        <v>233</v>
      </c>
      <c r="D115" s="246">
        <v>22470</v>
      </c>
      <c r="E115" s="80" t="s">
        <v>26</v>
      </c>
      <c r="F115" s="44">
        <v>0</v>
      </c>
      <c r="G115" s="61">
        <v>0</v>
      </c>
      <c r="H115" s="61">
        <v>0</v>
      </c>
      <c r="I115" s="85">
        <v>0</v>
      </c>
      <c r="J115" s="127">
        <v>45961</v>
      </c>
      <c r="K115" s="128" t="s">
        <v>558</v>
      </c>
      <c r="L115" s="257">
        <v>22470</v>
      </c>
      <c r="M115" s="83" t="s">
        <v>26</v>
      </c>
      <c r="N115" s="116">
        <v>0</v>
      </c>
      <c r="O115" s="147">
        <f t="shared" si="31"/>
        <v>0</v>
      </c>
      <c r="P115" s="147">
        <f t="shared" si="29"/>
        <v>0</v>
      </c>
      <c r="Q115" s="47">
        <f t="shared" si="30"/>
        <v>0</v>
      </c>
      <c r="R115" s="39"/>
      <c r="S115" s="55"/>
      <c r="T115" s="55"/>
      <c r="U115" s="56"/>
      <c r="V115" s="56"/>
    </row>
    <row r="116" spans="1:22" s="226" customFormat="1" ht="27.75" customHeight="1">
      <c r="A116" s="94">
        <v>6</v>
      </c>
      <c r="B116" s="41" t="s">
        <v>234</v>
      </c>
      <c r="C116" s="224" t="s">
        <v>235</v>
      </c>
      <c r="D116" s="246">
        <v>22470</v>
      </c>
      <c r="E116" s="80" t="s">
        <v>26</v>
      </c>
      <c r="F116" s="44">
        <v>0</v>
      </c>
      <c r="G116" s="61">
        <v>0</v>
      </c>
      <c r="H116" s="61">
        <v>0</v>
      </c>
      <c r="I116" s="85">
        <v>0</v>
      </c>
      <c r="J116" s="127">
        <v>45961</v>
      </c>
      <c r="K116" s="128" t="s">
        <v>558</v>
      </c>
      <c r="L116" s="257">
        <v>22470</v>
      </c>
      <c r="M116" s="83" t="s">
        <v>26</v>
      </c>
      <c r="N116" s="116">
        <v>0</v>
      </c>
      <c r="O116" s="147">
        <f t="shared" si="31"/>
        <v>0</v>
      </c>
      <c r="P116" s="147">
        <f t="shared" si="29"/>
        <v>0</v>
      </c>
      <c r="Q116" s="47">
        <f t="shared" si="30"/>
        <v>0</v>
      </c>
      <c r="R116" s="39"/>
      <c r="S116" s="55"/>
      <c r="T116" s="55"/>
      <c r="U116" s="56"/>
      <c r="V116" s="56"/>
    </row>
    <row r="117" spans="1:22" s="226" customFormat="1" ht="27.75" customHeight="1">
      <c r="A117" s="94">
        <v>7</v>
      </c>
      <c r="B117" s="41" t="s">
        <v>236</v>
      </c>
      <c r="C117" s="224" t="s">
        <v>237</v>
      </c>
      <c r="D117" s="225">
        <v>22470</v>
      </c>
      <c r="E117" s="80" t="s">
        <v>26</v>
      </c>
      <c r="F117" s="44">
        <v>0</v>
      </c>
      <c r="G117" s="61">
        <v>0</v>
      </c>
      <c r="H117" s="61">
        <v>0</v>
      </c>
      <c r="I117" s="85">
        <v>0</v>
      </c>
      <c r="J117" s="113">
        <v>45958</v>
      </c>
      <c r="K117" s="114" t="s">
        <v>559</v>
      </c>
      <c r="L117" s="257">
        <v>22470</v>
      </c>
      <c r="M117" s="83" t="s">
        <v>26</v>
      </c>
      <c r="N117" s="116">
        <v>0</v>
      </c>
      <c r="O117" s="147">
        <f t="shared" si="31"/>
        <v>0</v>
      </c>
      <c r="P117" s="147">
        <f t="shared" si="29"/>
        <v>0</v>
      </c>
      <c r="Q117" s="47">
        <f t="shared" si="30"/>
        <v>0</v>
      </c>
      <c r="R117" s="39"/>
      <c r="S117" s="55"/>
      <c r="T117" s="55"/>
      <c r="U117" s="56"/>
      <c r="V117" s="56"/>
    </row>
    <row r="118" spans="1:22" s="226" customFormat="1" ht="27.75" customHeight="1">
      <c r="A118" s="94">
        <v>8</v>
      </c>
      <c r="B118" s="41" t="s">
        <v>236</v>
      </c>
      <c r="C118" s="224" t="s">
        <v>239</v>
      </c>
      <c r="D118" s="225">
        <v>22470</v>
      </c>
      <c r="E118" s="80" t="s">
        <v>26</v>
      </c>
      <c r="F118" s="44">
        <v>0</v>
      </c>
      <c r="G118" s="61">
        <v>0</v>
      </c>
      <c r="H118" s="61">
        <v>0</v>
      </c>
      <c r="I118" s="85">
        <v>0</v>
      </c>
      <c r="J118" s="113">
        <v>45958</v>
      </c>
      <c r="K118" s="114" t="s">
        <v>559</v>
      </c>
      <c r="L118" s="257">
        <v>22470</v>
      </c>
      <c r="M118" s="83" t="s">
        <v>26</v>
      </c>
      <c r="N118" s="116">
        <v>0</v>
      </c>
      <c r="O118" s="147">
        <f t="shared" si="31"/>
        <v>0</v>
      </c>
      <c r="P118" s="147">
        <f t="shared" si="29"/>
        <v>0</v>
      </c>
      <c r="Q118" s="47">
        <f t="shared" si="30"/>
        <v>0</v>
      </c>
      <c r="R118" s="39"/>
      <c r="S118" s="55"/>
      <c r="T118" s="55"/>
      <c r="U118" s="56"/>
      <c r="V118" s="56"/>
    </row>
    <row r="119" spans="1:22" s="226" customFormat="1" ht="27.75" customHeight="1">
      <c r="A119" s="94">
        <v>9</v>
      </c>
      <c r="B119" s="41" t="s">
        <v>92</v>
      </c>
      <c r="C119" s="224" t="s">
        <v>240</v>
      </c>
      <c r="D119" s="225">
        <v>22470</v>
      </c>
      <c r="E119" s="80" t="s">
        <v>26</v>
      </c>
      <c r="F119" s="44">
        <v>0</v>
      </c>
      <c r="G119" s="61">
        <v>0</v>
      </c>
      <c r="H119" s="61">
        <v>0</v>
      </c>
      <c r="I119" s="85">
        <v>0</v>
      </c>
      <c r="J119" s="113">
        <v>45960</v>
      </c>
      <c r="K119" s="114" t="s">
        <v>560</v>
      </c>
      <c r="L119" s="258">
        <v>22470</v>
      </c>
      <c r="M119" s="83" t="s">
        <v>26</v>
      </c>
      <c r="N119" s="116">
        <v>0</v>
      </c>
      <c r="O119" s="147">
        <f t="shared" si="31"/>
        <v>0</v>
      </c>
      <c r="P119" s="147">
        <f t="shared" si="29"/>
        <v>0</v>
      </c>
      <c r="Q119" s="47">
        <f t="shared" si="30"/>
        <v>0</v>
      </c>
      <c r="R119" s="39"/>
      <c r="S119" s="55"/>
      <c r="T119" s="55"/>
      <c r="U119" s="56"/>
      <c r="V119" s="56"/>
    </row>
    <row r="120" spans="1:22" s="226" customFormat="1" ht="27.75" customHeight="1">
      <c r="A120" s="94">
        <v>10</v>
      </c>
      <c r="B120" s="41" t="s">
        <v>92</v>
      </c>
      <c r="C120" s="224" t="s">
        <v>242</v>
      </c>
      <c r="D120" s="225">
        <v>22470</v>
      </c>
      <c r="E120" s="80" t="s">
        <v>26</v>
      </c>
      <c r="F120" s="44">
        <v>0</v>
      </c>
      <c r="G120" s="61">
        <v>0</v>
      </c>
      <c r="H120" s="61">
        <v>0</v>
      </c>
      <c r="I120" s="85">
        <v>0</v>
      </c>
      <c r="J120" s="113">
        <v>45960</v>
      </c>
      <c r="K120" s="114" t="s">
        <v>560</v>
      </c>
      <c r="L120" s="253">
        <v>22470</v>
      </c>
      <c r="M120" s="83" t="s">
        <v>26</v>
      </c>
      <c r="N120" s="116">
        <v>0</v>
      </c>
      <c r="O120" s="147">
        <f t="shared" si="31"/>
        <v>0</v>
      </c>
      <c r="P120" s="147">
        <f t="shared" si="29"/>
        <v>0</v>
      </c>
      <c r="Q120" s="47">
        <f t="shared" si="30"/>
        <v>0</v>
      </c>
      <c r="R120" s="39"/>
      <c r="S120" s="55"/>
      <c r="T120" s="55"/>
      <c r="U120" s="56"/>
      <c r="V120" s="56"/>
    </row>
    <row r="121" spans="1:22" s="226" customFormat="1" ht="27.75" customHeight="1">
      <c r="A121" s="94">
        <v>11</v>
      </c>
      <c r="B121" s="41" t="s">
        <v>243</v>
      </c>
      <c r="C121" s="224" t="s">
        <v>244</v>
      </c>
      <c r="D121" s="225">
        <v>22470</v>
      </c>
      <c r="E121" s="80" t="s">
        <v>26</v>
      </c>
      <c r="F121" s="44">
        <v>0</v>
      </c>
      <c r="G121" s="61">
        <v>0</v>
      </c>
      <c r="H121" s="61">
        <v>0</v>
      </c>
      <c r="I121" s="85">
        <v>0</v>
      </c>
      <c r="J121" s="113">
        <v>45961</v>
      </c>
      <c r="K121" s="114" t="s">
        <v>561</v>
      </c>
      <c r="L121" s="253">
        <v>22470</v>
      </c>
      <c r="M121" s="83" t="s">
        <v>26</v>
      </c>
      <c r="N121" s="116">
        <v>0</v>
      </c>
      <c r="O121" s="147">
        <f>+(D121*100/107)+G121-(L121*100/107)</f>
        <v>0</v>
      </c>
      <c r="P121" s="147">
        <f t="shared" si="29"/>
        <v>0</v>
      </c>
      <c r="Q121" s="47">
        <f t="shared" si="30"/>
        <v>0</v>
      </c>
      <c r="R121" s="39"/>
      <c r="S121" s="55"/>
      <c r="T121" s="55"/>
      <c r="U121" s="56"/>
      <c r="V121" s="56"/>
    </row>
    <row r="122" spans="1:22" s="226" customFormat="1" ht="27.75" customHeight="1">
      <c r="A122" s="186">
        <v>12</v>
      </c>
      <c r="B122" s="206" t="s">
        <v>90</v>
      </c>
      <c r="C122" s="224" t="s">
        <v>246</v>
      </c>
      <c r="D122" s="228">
        <v>22470</v>
      </c>
      <c r="E122" s="123" t="s">
        <v>26</v>
      </c>
      <c r="F122" s="44">
        <v>0</v>
      </c>
      <c r="G122" s="45">
        <v>0</v>
      </c>
      <c r="H122" s="45">
        <v>0</v>
      </c>
      <c r="I122" s="229">
        <v>0</v>
      </c>
      <c r="J122" s="259">
        <v>45960</v>
      </c>
      <c r="K122" s="114" t="s">
        <v>562</v>
      </c>
      <c r="L122" s="253">
        <v>22470</v>
      </c>
      <c r="M122" s="232" t="s">
        <v>26</v>
      </c>
      <c r="N122" s="116">
        <v>0</v>
      </c>
      <c r="O122" s="147">
        <f>+(D122*100/107)+G122-(L122*100/107)</f>
        <v>0</v>
      </c>
      <c r="P122" s="147">
        <f t="shared" si="29"/>
        <v>0</v>
      </c>
      <c r="Q122" s="47">
        <f t="shared" si="30"/>
        <v>0</v>
      </c>
      <c r="R122" s="39"/>
      <c r="S122" s="55"/>
      <c r="T122" s="55"/>
      <c r="U122" s="56"/>
      <c r="V122" s="56"/>
    </row>
    <row r="123" spans="1:22" s="226" customFormat="1" ht="27.75" customHeight="1">
      <c r="A123" s="234"/>
      <c r="B123" s="260"/>
      <c r="C123" s="235"/>
      <c r="D123" s="236">
        <f>SUM(D111:D122)</f>
        <v>269640</v>
      </c>
      <c r="E123" s="237"/>
      <c r="F123" s="238"/>
      <c r="G123" s="239"/>
      <c r="H123" s="239"/>
      <c r="I123" s="240"/>
      <c r="J123" s="261"/>
      <c r="K123" s="262"/>
      <c r="L123" s="263">
        <f>SUM(L111:L122)</f>
        <v>269640</v>
      </c>
      <c r="M123" s="234"/>
      <c r="N123" s="242"/>
      <c r="O123" s="243"/>
      <c r="P123" s="243"/>
      <c r="Q123" s="240"/>
      <c r="R123" s="39"/>
      <c r="S123" s="55"/>
      <c r="T123" s="55"/>
      <c r="U123" s="56"/>
      <c r="V123" s="56"/>
    </row>
    <row r="124" spans="1:22" s="226" customFormat="1" ht="27.75" customHeight="1">
      <c r="A124" s="83"/>
      <c r="B124" s="244" t="s">
        <v>248</v>
      </c>
      <c r="C124" s="245"/>
      <c r="D124" s="246"/>
      <c r="E124" s="80"/>
      <c r="F124" s="126"/>
      <c r="G124" s="46"/>
      <c r="H124" s="46"/>
      <c r="I124" s="85"/>
      <c r="J124" s="178"/>
      <c r="K124" s="179"/>
      <c r="L124" s="264"/>
      <c r="M124" s="83"/>
      <c r="N124" s="251"/>
      <c r="O124" s="252"/>
      <c r="P124" s="252"/>
      <c r="Q124" s="85"/>
      <c r="R124" s="39"/>
      <c r="S124" s="55"/>
      <c r="T124" s="55"/>
      <c r="U124" s="56"/>
      <c r="V124" s="56"/>
    </row>
    <row r="125" spans="1:22" s="226" customFormat="1" ht="27.75" customHeight="1">
      <c r="A125" s="94">
        <v>1</v>
      </c>
      <c r="B125" s="41" t="s">
        <v>249</v>
      </c>
      <c r="C125" s="224" t="s">
        <v>250</v>
      </c>
      <c r="D125" s="225">
        <v>6420</v>
      </c>
      <c r="E125" s="80" t="s">
        <v>45</v>
      </c>
      <c r="F125" s="44">
        <v>0</v>
      </c>
      <c r="G125" s="61">
        <v>0</v>
      </c>
      <c r="H125" s="61">
        <v>0</v>
      </c>
      <c r="I125" s="85">
        <v>0</v>
      </c>
      <c r="J125" s="113">
        <v>45960</v>
      </c>
      <c r="K125" s="114" t="s">
        <v>563</v>
      </c>
      <c r="L125" s="144">
        <v>6420</v>
      </c>
      <c r="M125" s="83" t="s">
        <v>45</v>
      </c>
      <c r="N125" s="116">
        <v>0</v>
      </c>
      <c r="O125" s="147">
        <f t="shared" ref="O125:O135" si="32">+(D125*100/107)+G125-(L125*100/107)</f>
        <v>0</v>
      </c>
      <c r="P125" s="147">
        <f t="shared" ref="P125:P135" si="33">ROUND((O125*0.07),2)</f>
        <v>0</v>
      </c>
      <c r="Q125" s="47">
        <f t="shared" ref="Q125:Q136" si="34">+O125+P125</f>
        <v>0</v>
      </c>
      <c r="R125" s="39"/>
      <c r="S125" s="55"/>
      <c r="T125" s="55"/>
      <c r="U125" s="56"/>
      <c r="V125" s="56"/>
    </row>
    <row r="126" spans="1:22" s="226" customFormat="1" ht="27.75" customHeight="1">
      <c r="A126" s="94">
        <v>2</v>
      </c>
      <c r="B126" s="41" t="s">
        <v>252</v>
      </c>
      <c r="C126" s="224" t="s">
        <v>253</v>
      </c>
      <c r="D126" s="225">
        <v>0</v>
      </c>
      <c r="E126" s="80" t="s">
        <v>45</v>
      </c>
      <c r="F126" s="44">
        <v>0</v>
      </c>
      <c r="G126" s="61">
        <v>0</v>
      </c>
      <c r="H126" s="61">
        <v>0</v>
      </c>
      <c r="I126" s="85">
        <v>0</v>
      </c>
      <c r="J126" s="113"/>
      <c r="K126" s="114"/>
      <c r="L126" s="144">
        <v>0</v>
      </c>
      <c r="M126" s="83" t="s">
        <v>45</v>
      </c>
      <c r="N126" s="116">
        <v>0</v>
      </c>
      <c r="O126" s="147">
        <f t="shared" si="32"/>
        <v>0</v>
      </c>
      <c r="P126" s="147">
        <f t="shared" si="33"/>
        <v>0</v>
      </c>
      <c r="Q126" s="47">
        <f t="shared" si="34"/>
        <v>0</v>
      </c>
      <c r="R126" s="39"/>
      <c r="S126" s="55"/>
      <c r="T126" s="55"/>
      <c r="U126" s="56"/>
      <c r="V126" s="56"/>
    </row>
    <row r="127" spans="1:22" s="226" customFormat="1" ht="27.75" customHeight="1">
      <c r="A127" s="94">
        <v>3</v>
      </c>
      <c r="B127" s="41" t="s">
        <v>254</v>
      </c>
      <c r="C127" s="224" t="s">
        <v>255</v>
      </c>
      <c r="D127" s="225">
        <v>9630</v>
      </c>
      <c r="E127" s="80" t="s">
        <v>131</v>
      </c>
      <c r="F127" s="44">
        <v>0.93457943925233611</v>
      </c>
      <c r="G127" s="61">
        <v>9000</v>
      </c>
      <c r="H127" s="61">
        <v>630</v>
      </c>
      <c r="I127" s="85">
        <v>9630</v>
      </c>
      <c r="J127" s="113">
        <v>45934</v>
      </c>
      <c r="K127" s="114" t="s">
        <v>564</v>
      </c>
      <c r="L127" s="144">
        <v>9630</v>
      </c>
      <c r="M127" s="83" t="s">
        <v>32</v>
      </c>
      <c r="N127" s="116">
        <v>0.93457943925233611</v>
      </c>
      <c r="O127" s="147">
        <f t="shared" si="32"/>
        <v>9000</v>
      </c>
      <c r="P127" s="147">
        <f t="shared" si="33"/>
        <v>630</v>
      </c>
      <c r="Q127" s="47">
        <f t="shared" si="34"/>
        <v>9630</v>
      </c>
      <c r="R127" s="39"/>
      <c r="S127" s="55"/>
      <c r="T127" s="55"/>
      <c r="U127" s="56"/>
      <c r="V127" s="56"/>
    </row>
    <row r="128" spans="1:22" s="226" customFormat="1" ht="27.75" customHeight="1">
      <c r="A128" s="94">
        <v>4</v>
      </c>
      <c r="B128" s="41" t="s">
        <v>201</v>
      </c>
      <c r="C128" s="224" t="s">
        <v>256</v>
      </c>
      <c r="D128" s="225">
        <v>0</v>
      </c>
      <c r="E128" s="80" t="s">
        <v>45</v>
      </c>
      <c r="F128" s="44">
        <v>0</v>
      </c>
      <c r="G128" s="61">
        <v>0</v>
      </c>
      <c r="H128" s="61">
        <v>0</v>
      </c>
      <c r="I128" s="85">
        <v>0</v>
      </c>
      <c r="J128" s="113"/>
      <c r="K128" s="114"/>
      <c r="L128" s="144">
        <v>0</v>
      </c>
      <c r="M128" s="83" t="s">
        <v>45</v>
      </c>
      <c r="N128" s="116">
        <v>0</v>
      </c>
      <c r="O128" s="147">
        <f t="shared" si="32"/>
        <v>0</v>
      </c>
      <c r="P128" s="147">
        <f t="shared" si="33"/>
        <v>0</v>
      </c>
      <c r="Q128" s="47">
        <f t="shared" si="34"/>
        <v>0</v>
      </c>
      <c r="R128" s="39"/>
      <c r="S128" s="55"/>
      <c r="T128" s="55"/>
      <c r="U128" s="56"/>
      <c r="V128" s="56"/>
    </row>
    <row r="129" spans="1:25" s="226" customFormat="1" ht="27.75" customHeight="1">
      <c r="A129" s="94">
        <v>5</v>
      </c>
      <c r="B129" s="41" t="s">
        <v>257</v>
      </c>
      <c r="C129" s="224" t="s">
        <v>258</v>
      </c>
      <c r="D129" s="225">
        <v>9630</v>
      </c>
      <c r="E129" s="80" t="s">
        <v>45</v>
      </c>
      <c r="F129" s="44">
        <v>0</v>
      </c>
      <c r="G129" s="61">
        <v>0</v>
      </c>
      <c r="H129" s="61">
        <v>0</v>
      </c>
      <c r="I129" s="85">
        <v>0</v>
      </c>
      <c r="J129" s="113">
        <v>45959</v>
      </c>
      <c r="K129" s="114" t="s">
        <v>565</v>
      </c>
      <c r="L129" s="144">
        <v>9630</v>
      </c>
      <c r="M129" s="83" t="s">
        <v>45</v>
      </c>
      <c r="N129" s="116">
        <v>0</v>
      </c>
      <c r="O129" s="147">
        <f t="shared" si="32"/>
        <v>0</v>
      </c>
      <c r="P129" s="147">
        <f t="shared" si="33"/>
        <v>0</v>
      </c>
      <c r="Q129" s="47">
        <f t="shared" si="34"/>
        <v>0</v>
      </c>
      <c r="R129" s="39"/>
      <c r="S129" s="55"/>
      <c r="T129" s="55"/>
      <c r="U129" s="56"/>
      <c r="V129" s="56"/>
    </row>
    <row r="130" spans="1:25" s="226" customFormat="1" ht="27.75" customHeight="1">
      <c r="A130" s="94">
        <v>6</v>
      </c>
      <c r="B130" s="206" t="s">
        <v>257</v>
      </c>
      <c r="C130" s="224" t="s">
        <v>260</v>
      </c>
      <c r="D130" s="225">
        <v>9630</v>
      </c>
      <c r="E130" s="80" t="s">
        <v>45</v>
      </c>
      <c r="F130" s="44">
        <v>0</v>
      </c>
      <c r="G130" s="61">
        <v>0</v>
      </c>
      <c r="H130" s="61">
        <v>0</v>
      </c>
      <c r="I130" s="85">
        <v>0</v>
      </c>
      <c r="J130" s="113">
        <v>45959</v>
      </c>
      <c r="K130" s="114" t="s">
        <v>565</v>
      </c>
      <c r="L130" s="144">
        <v>9630</v>
      </c>
      <c r="M130" s="83" t="s">
        <v>45</v>
      </c>
      <c r="N130" s="116">
        <v>0</v>
      </c>
      <c r="O130" s="147">
        <f t="shared" si="32"/>
        <v>0</v>
      </c>
      <c r="P130" s="147">
        <f t="shared" si="33"/>
        <v>0</v>
      </c>
      <c r="Q130" s="47">
        <f t="shared" si="34"/>
        <v>0</v>
      </c>
      <c r="R130" s="39"/>
      <c r="S130" s="55"/>
      <c r="T130" s="55"/>
      <c r="U130" s="56"/>
      <c r="V130" s="56"/>
    </row>
    <row r="131" spans="1:25" s="226" customFormat="1" ht="27.75" customHeight="1">
      <c r="A131" s="94">
        <v>7</v>
      </c>
      <c r="B131" s="265" t="s">
        <v>261</v>
      </c>
      <c r="C131" s="224" t="s">
        <v>262</v>
      </c>
      <c r="D131" s="225">
        <v>6420</v>
      </c>
      <c r="E131" s="80" t="s">
        <v>45</v>
      </c>
      <c r="F131" s="44">
        <v>0</v>
      </c>
      <c r="G131" s="61">
        <v>0</v>
      </c>
      <c r="H131" s="61">
        <v>0</v>
      </c>
      <c r="I131" s="85">
        <v>0</v>
      </c>
      <c r="J131" s="113">
        <v>45932</v>
      </c>
      <c r="K131" s="114" t="s">
        <v>566</v>
      </c>
      <c r="L131" s="144">
        <v>6420</v>
      </c>
      <c r="M131" s="83" t="s">
        <v>45</v>
      </c>
      <c r="N131" s="116">
        <v>0</v>
      </c>
      <c r="O131" s="147">
        <f t="shared" si="32"/>
        <v>0</v>
      </c>
      <c r="P131" s="147">
        <f t="shared" si="33"/>
        <v>0</v>
      </c>
      <c r="Q131" s="47">
        <f t="shared" si="34"/>
        <v>0</v>
      </c>
      <c r="R131" s="39"/>
      <c r="S131" s="55"/>
      <c r="T131" s="55"/>
      <c r="U131" s="56"/>
      <c r="V131" s="56"/>
    </row>
    <row r="132" spans="1:25" s="226" customFormat="1" ht="27.75" customHeight="1">
      <c r="A132" s="94">
        <v>8</v>
      </c>
      <c r="B132" s="266" t="s">
        <v>264</v>
      </c>
      <c r="C132" s="224" t="s">
        <v>199</v>
      </c>
      <c r="D132" s="225">
        <v>6420</v>
      </c>
      <c r="E132" s="80" t="s">
        <v>45</v>
      </c>
      <c r="F132" s="44">
        <v>0</v>
      </c>
      <c r="G132" s="61">
        <v>0</v>
      </c>
      <c r="H132" s="61">
        <v>0</v>
      </c>
      <c r="I132" s="85">
        <v>0</v>
      </c>
      <c r="J132" s="113">
        <v>45960</v>
      </c>
      <c r="K132" s="114" t="s">
        <v>567</v>
      </c>
      <c r="L132" s="144">
        <v>6420</v>
      </c>
      <c r="M132" s="83" t="s">
        <v>45</v>
      </c>
      <c r="N132" s="116">
        <v>0</v>
      </c>
      <c r="O132" s="147">
        <f t="shared" si="32"/>
        <v>0</v>
      </c>
      <c r="P132" s="147">
        <f t="shared" si="33"/>
        <v>0</v>
      </c>
      <c r="Q132" s="47">
        <f t="shared" si="34"/>
        <v>0</v>
      </c>
      <c r="R132" s="39"/>
      <c r="S132" s="55"/>
      <c r="T132" s="55"/>
      <c r="U132" s="56"/>
      <c r="V132" s="56"/>
      <c r="Y132" s="226" t="s">
        <v>266</v>
      </c>
    </row>
    <row r="133" spans="1:25" s="226" customFormat="1" ht="27.75" customHeight="1">
      <c r="A133" s="94">
        <v>9</v>
      </c>
      <c r="B133" s="81" t="s">
        <v>267</v>
      </c>
      <c r="C133" s="224" t="s">
        <v>268</v>
      </c>
      <c r="D133" s="267">
        <v>6420</v>
      </c>
      <c r="E133" s="81" t="s">
        <v>45</v>
      </c>
      <c r="F133" s="116">
        <v>-4.2499752419295714E-16</v>
      </c>
      <c r="G133" s="147">
        <v>0</v>
      </c>
      <c r="H133" s="147">
        <v>0</v>
      </c>
      <c r="I133" s="47">
        <v>0</v>
      </c>
      <c r="J133" s="113"/>
      <c r="K133" s="114"/>
      <c r="L133" s="144">
        <v>0</v>
      </c>
      <c r="M133" s="83" t="s">
        <v>32</v>
      </c>
      <c r="N133" s="116">
        <v>0.93457943925233555</v>
      </c>
      <c r="O133" s="147">
        <f t="shared" si="32"/>
        <v>6000</v>
      </c>
      <c r="P133" s="147">
        <f t="shared" si="33"/>
        <v>420</v>
      </c>
      <c r="Q133" s="47">
        <f t="shared" si="34"/>
        <v>6420</v>
      </c>
      <c r="R133" s="39"/>
      <c r="S133" s="55"/>
      <c r="T133" s="55"/>
      <c r="U133" s="56"/>
      <c r="V133" s="56"/>
      <c r="Y133" s="226" t="s">
        <v>269</v>
      </c>
    </row>
    <row r="134" spans="1:25" s="226" customFormat="1" ht="27.75" customHeight="1">
      <c r="A134" s="94">
        <v>10</v>
      </c>
      <c r="B134" s="81" t="s">
        <v>201</v>
      </c>
      <c r="C134" s="224" t="s">
        <v>205</v>
      </c>
      <c r="D134" s="225"/>
      <c r="E134" s="81" t="s">
        <v>45</v>
      </c>
      <c r="F134" s="116">
        <v>0</v>
      </c>
      <c r="G134" s="147">
        <v>0</v>
      </c>
      <c r="H134" s="147">
        <v>0</v>
      </c>
      <c r="I134" s="85">
        <v>0</v>
      </c>
      <c r="J134" s="113"/>
      <c r="K134" s="114"/>
      <c r="L134" s="144">
        <v>0</v>
      </c>
      <c r="M134" s="83" t="s">
        <v>45</v>
      </c>
      <c r="N134" s="116">
        <v>0</v>
      </c>
      <c r="O134" s="147">
        <f t="shared" si="32"/>
        <v>0</v>
      </c>
      <c r="P134" s="147">
        <f t="shared" si="33"/>
        <v>0</v>
      </c>
      <c r="Q134" s="47">
        <f t="shared" si="34"/>
        <v>0</v>
      </c>
      <c r="R134" s="39"/>
      <c r="S134" s="55"/>
      <c r="T134" s="55"/>
      <c r="U134" s="56"/>
      <c r="V134" s="56"/>
    </row>
    <row r="135" spans="1:25" s="226" customFormat="1" ht="27.75" customHeight="1">
      <c r="A135" s="94">
        <v>11</v>
      </c>
      <c r="B135" s="81" t="s">
        <v>156</v>
      </c>
      <c r="C135" s="224" t="s">
        <v>207</v>
      </c>
      <c r="D135" s="225">
        <v>6420</v>
      </c>
      <c r="E135" s="80" t="s">
        <v>45</v>
      </c>
      <c r="F135" s="44">
        <v>0</v>
      </c>
      <c r="G135" s="61">
        <v>0</v>
      </c>
      <c r="H135" s="61">
        <v>0</v>
      </c>
      <c r="I135" s="85">
        <v>0</v>
      </c>
      <c r="J135" s="113">
        <v>45934</v>
      </c>
      <c r="K135" s="114" t="s">
        <v>568</v>
      </c>
      <c r="L135" s="144">
        <v>6420</v>
      </c>
      <c r="M135" s="83" t="s">
        <v>45</v>
      </c>
      <c r="N135" s="116">
        <v>0</v>
      </c>
      <c r="O135" s="147">
        <f t="shared" si="32"/>
        <v>0</v>
      </c>
      <c r="P135" s="147">
        <f t="shared" si="33"/>
        <v>0</v>
      </c>
      <c r="Q135" s="47">
        <f t="shared" si="34"/>
        <v>0</v>
      </c>
      <c r="R135" s="39"/>
      <c r="S135" s="55"/>
      <c r="T135" s="55"/>
      <c r="U135" s="56"/>
      <c r="V135" s="56"/>
    </row>
    <row r="136" spans="1:25" s="226" customFormat="1" ht="27.75" customHeight="1">
      <c r="A136" s="94">
        <v>12</v>
      </c>
      <c r="B136" s="41" t="s">
        <v>271</v>
      </c>
      <c r="C136" s="224" t="s">
        <v>208</v>
      </c>
      <c r="D136" s="225">
        <v>6420</v>
      </c>
      <c r="E136" s="80" t="s">
        <v>45</v>
      </c>
      <c r="F136" s="44">
        <v>0</v>
      </c>
      <c r="G136" s="61">
        <v>0</v>
      </c>
      <c r="H136" s="61">
        <v>0</v>
      </c>
      <c r="I136" s="85">
        <v>0</v>
      </c>
      <c r="J136" s="113">
        <v>45961</v>
      </c>
      <c r="K136" s="268" t="s">
        <v>569</v>
      </c>
      <c r="L136" s="269">
        <v>6420</v>
      </c>
      <c r="M136" s="83" t="s">
        <v>45</v>
      </c>
      <c r="N136" s="116">
        <v>0</v>
      </c>
      <c r="O136" s="147">
        <f>+(D136*100/107)+G136-(L136*100/107)</f>
        <v>0</v>
      </c>
      <c r="P136" s="147">
        <f>ROUND((O136*0.07),2)</f>
        <v>0</v>
      </c>
      <c r="Q136" s="47">
        <f t="shared" si="34"/>
        <v>0</v>
      </c>
      <c r="R136" s="39"/>
      <c r="S136" s="55"/>
      <c r="T136" s="55"/>
      <c r="U136" s="56"/>
      <c r="V136" s="56"/>
    </row>
    <row r="137" spans="1:25" s="226" customFormat="1" ht="27.75" customHeight="1">
      <c r="A137" s="94">
        <v>13</v>
      </c>
      <c r="B137" s="41" t="s">
        <v>273</v>
      </c>
      <c r="C137" s="224" t="s">
        <v>209</v>
      </c>
      <c r="D137" s="225">
        <v>6420</v>
      </c>
      <c r="E137" s="80" t="s">
        <v>45</v>
      </c>
      <c r="F137" s="44">
        <v>0</v>
      </c>
      <c r="G137" s="61">
        <v>0</v>
      </c>
      <c r="H137" s="61">
        <v>0</v>
      </c>
      <c r="I137" s="85">
        <v>0</v>
      </c>
      <c r="J137" s="113">
        <v>45937</v>
      </c>
      <c r="K137" s="114" t="s">
        <v>570</v>
      </c>
      <c r="L137" s="144">
        <v>6420</v>
      </c>
      <c r="M137" s="83" t="s">
        <v>45</v>
      </c>
      <c r="N137" s="116">
        <v>0</v>
      </c>
      <c r="O137" s="147">
        <f>+(D137*100/107)+G137-(L137*100/107)</f>
        <v>0</v>
      </c>
      <c r="P137" s="147">
        <f>ROUND((O137*0.07),2)</f>
        <v>0</v>
      </c>
      <c r="Q137" s="47">
        <f>+O137+P137</f>
        <v>0</v>
      </c>
      <c r="R137" s="39"/>
      <c r="S137" s="55"/>
      <c r="T137" s="55"/>
      <c r="U137" s="56"/>
      <c r="V137" s="56"/>
    </row>
    <row r="138" spans="1:25" s="226" customFormat="1" ht="27.75" customHeight="1">
      <c r="A138" s="94">
        <v>14</v>
      </c>
      <c r="B138" s="41" t="s">
        <v>275</v>
      </c>
      <c r="C138" s="224" t="s">
        <v>276</v>
      </c>
      <c r="D138" s="225">
        <v>6420</v>
      </c>
      <c r="E138" s="80" t="s">
        <v>45</v>
      </c>
      <c r="F138" s="44">
        <v>0</v>
      </c>
      <c r="G138" s="61">
        <v>0</v>
      </c>
      <c r="H138" s="61">
        <v>0</v>
      </c>
      <c r="I138" s="85">
        <v>0</v>
      </c>
      <c r="J138" s="113">
        <v>45961</v>
      </c>
      <c r="K138" s="114" t="s">
        <v>571</v>
      </c>
      <c r="L138" s="144">
        <v>6420</v>
      </c>
      <c r="M138" s="87" t="s">
        <v>45</v>
      </c>
      <c r="N138" s="116">
        <v>0</v>
      </c>
      <c r="O138" s="147">
        <f>+(D138*100/107)+G138-(L138*100/107)</f>
        <v>0</v>
      </c>
      <c r="P138" s="147">
        <f>ROUND((O138*0.07),2)</f>
        <v>0</v>
      </c>
      <c r="Q138" s="47">
        <f>+O138+P138</f>
        <v>0</v>
      </c>
      <c r="R138" s="39"/>
      <c r="S138" s="55"/>
      <c r="T138" s="55"/>
      <c r="U138" s="56"/>
      <c r="V138" s="56"/>
    </row>
    <row r="139" spans="1:25" ht="27.75" customHeight="1" thickBot="1">
      <c r="A139" s="22"/>
      <c r="B139" s="194" t="s">
        <v>22</v>
      </c>
      <c r="C139" s="195"/>
      <c r="D139" s="196">
        <f>SUM(D125:D138)</f>
        <v>80250</v>
      </c>
      <c r="E139" s="196"/>
      <c r="F139" s="197"/>
      <c r="G139" s="196">
        <f>SUM(G125:G138)</f>
        <v>9000</v>
      </c>
      <c r="H139" s="196">
        <f>SUM(H125:H138)</f>
        <v>630</v>
      </c>
      <c r="I139" s="196">
        <f>SUM(I125:I138)</f>
        <v>9630</v>
      </c>
      <c r="J139" s="199"/>
      <c r="K139" s="199"/>
      <c r="L139" s="196">
        <f>SUM(L125:L138)</f>
        <v>73830</v>
      </c>
      <c r="M139" s="200"/>
      <c r="N139" s="196"/>
      <c r="O139" s="196">
        <f>SUM(O125:O138)</f>
        <v>15000</v>
      </c>
      <c r="P139" s="196">
        <f t="shared" ref="P139:Q139" si="35">SUM(P125:P138)</f>
        <v>1050</v>
      </c>
      <c r="Q139" s="196">
        <f t="shared" si="35"/>
        <v>16050</v>
      </c>
      <c r="R139" s="36"/>
      <c r="S139" s="37"/>
      <c r="T139" s="37"/>
      <c r="U139" s="38"/>
      <c r="V139" s="38"/>
      <c r="W139" s="38"/>
    </row>
    <row r="140" spans="1:25" ht="27.75" hidden="1" customHeight="1" thickBot="1">
      <c r="A140" s="22"/>
      <c r="B140" s="23" t="s">
        <v>278</v>
      </c>
      <c r="C140" s="24"/>
      <c r="D140" s="25"/>
      <c r="E140" s="26"/>
      <c r="F140" s="27"/>
      <c r="G140" s="28"/>
      <c r="H140" s="28"/>
      <c r="I140" s="28"/>
      <c r="J140" s="29"/>
      <c r="K140" s="30"/>
      <c r="L140" s="31"/>
      <c r="M140" s="32"/>
      <c r="N140" s="33"/>
      <c r="O140" s="34"/>
      <c r="P140" s="34"/>
      <c r="Q140" s="35"/>
      <c r="R140" s="36"/>
      <c r="S140" s="37"/>
      <c r="T140" s="37"/>
      <c r="U140" s="38"/>
      <c r="V140" s="38"/>
      <c r="W140" s="38"/>
    </row>
    <row r="141" spans="1:25" ht="27.75" hidden="1" customHeight="1" thickTop="1">
      <c r="A141" s="22">
        <v>1</v>
      </c>
      <c r="B141" s="270" t="s">
        <v>88</v>
      </c>
      <c r="C141" s="271" t="s">
        <v>279</v>
      </c>
      <c r="D141" s="272"/>
      <c r="E141" s="273"/>
      <c r="F141" s="274"/>
      <c r="G141" s="65">
        <v>0</v>
      </c>
      <c r="H141" s="45">
        <v>0</v>
      </c>
      <c r="I141" s="61">
        <v>0</v>
      </c>
      <c r="J141" s="275"/>
      <c r="K141" s="276"/>
      <c r="L141" s="277"/>
      <c r="M141" s="232"/>
      <c r="N141" s="251"/>
      <c r="O141" s="233">
        <f t="shared" ref="O141:O151" si="36">+(D141*100/107)+G141-(L141*100/107)</f>
        <v>0</v>
      </c>
      <c r="P141" s="233">
        <f t="shared" ref="P141:P151" si="37">ROUND((O141*0.07),2)</f>
        <v>0</v>
      </c>
      <c r="Q141" s="66">
        <f t="shared" ref="Q141:Q151" si="38">+O141+P141</f>
        <v>0</v>
      </c>
      <c r="R141" s="278"/>
      <c r="S141" s="279"/>
      <c r="T141" s="37"/>
      <c r="U141" s="38"/>
      <c r="V141" s="38"/>
      <c r="W141" s="38"/>
    </row>
    <row r="142" spans="1:25" ht="27.75" hidden="1" customHeight="1" thickTop="1">
      <c r="A142" s="22">
        <v>2</v>
      </c>
      <c r="B142" s="280" t="s">
        <v>89</v>
      </c>
      <c r="C142" s="271" t="s">
        <v>279</v>
      </c>
      <c r="D142" s="272"/>
      <c r="E142" s="201"/>
      <c r="F142" s="281"/>
      <c r="G142" s="61">
        <v>0</v>
      </c>
      <c r="H142" s="45">
        <v>0</v>
      </c>
      <c r="I142" s="61">
        <v>0</v>
      </c>
      <c r="J142" s="175"/>
      <c r="K142" s="282"/>
      <c r="L142" s="222"/>
      <c r="M142" s="94"/>
      <c r="N142" s="39"/>
      <c r="O142" s="233">
        <f t="shared" si="36"/>
        <v>0</v>
      </c>
      <c r="P142" s="233">
        <f t="shared" si="37"/>
        <v>0</v>
      </c>
      <c r="Q142" s="66">
        <f t="shared" si="38"/>
        <v>0</v>
      </c>
      <c r="R142" s="278"/>
      <c r="S142" s="279"/>
      <c r="T142" s="37"/>
      <c r="U142" s="38"/>
      <c r="V142" s="38"/>
      <c r="W142" s="38"/>
    </row>
    <row r="143" spans="1:25" ht="27.75" hidden="1" customHeight="1" thickTop="1">
      <c r="A143" s="22">
        <v>3</v>
      </c>
      <c r="B143" s="270" t="s">
        <v>280</v>
      </c>
      <c r="C143" s="271" t="s">
        <v>279</v>
      </c>
      <c r="D143" s="272"/>
      <c r="E143" s="201"/>
      <c r="F143" s="281"/>
      <c r="G143" s="61">
        <v>0</v>
      </c>
      <c r="H143" s="45">
        <v>0</v>
      </c>
      <c r="I143" s="61">
        <v>0</v>
      </c>
      <c r="J143" s="175"/>
      <c r="K143" s="282"/>
      <c r="L143" s="222"/>
      <c r="M143" s="94"/>
      <c r="N143" s="39"/>
      <c r="O143" s="233">
        <f t="shared" si="36"/>
        <v>0</v>
      </c>
      <c r="P143" s="233">
        <f t="shared" si="37"/>
        <v>0</v>
      </c>
      <c r="Q143" s="66">
        <f t="shared" si="38"/>
        <v>0</v>
      </c>
      <c r="R143" s="278"/>
      <c r="S143" s="279"/>
      <c r="T143" s="37"/>
      <c r="U143" s="38"/>
      <c r="V143" s="38"/>
      <c r="W143" s="38"/>
    </row>
    <row r="144" spans="1:25" ht="27.75" hidden="1" customHeight="1" thickTop="1">
      <c r="A144" s="22">
        <v>4</v>
      </c>
      <c r="B144" s="280" t="s">
        <v>96</v>
      </c>
      <c r="C144" s="271" t="s">
        <v>279</v>
      </c>
      <c r="D144" s="272"/>
      <c r="E144" s="201"/>
      <c r="F144" s="281"/>
      <c r="G144" s="61">
        <v>0</v>
      </c>
      <c r="H144" s="45">
        <v>0</v>
      </c>
      <c r="I144" s="61">
        <v>0</v>
      </c>
      <c r="J144" s="175"/>
      <c r="K144" s="282"/>
      <c r="L144" s="222"/>
      <c r="M144" s="94"/>
      <c r="N144" s="39"/>
      <c r="O144" s="233">
        <f t="shared" si="36"/>
        <v>0</v>
      </c>
      <c r="P144" s="233">
        <f t="shared" si="37"/>
        <v>0</v>
      </c>
      <c r="Q144" s="66">
        <f t="shared" si="38"/>
        <v>0</v>
      </c>
      <c r="R144" s="283"/>
      <c r="S144" s="55"/>
      <c r="T144" s="37"/>
      <c r="U144" s="38"/>
      <c r="V144" s="38"/>
      <c r="W144" s="38"/>
    </row>
    <row r="145" spans="1:24" ht="27.75" hidden="1" customHeight="1" thickTop="1">
      <c r="A145" s="22">
        <v>5</v>
      </c>
      <c r="B145" s="280" t="s">
        <v>281</v>
      </c>
      <c r="C145" s="271" t="s">
        <v>279</v>
      </c>
      <c r="D145" s="272">
        <v>0</v>
      </c>
      <c r="E145" s="201"/>
      <c r="F145" s="281"/>
      <c r="G145" s="61">
        <v>0</v>
      </c>
      <c r="H145" s="45">
        <v>0</v>
      </c>
      <c r="I145" s="61">
        <v>0</v>
      </c>
      <c r="J145" s="175"/>
      <c r="K145" s="282"/>
      <c r="L145" s="222"/>
      <c r="M145" s="94"/>
      <c r="N145" s="39"/>
      <c r="O145" s="233">
        <f t="shared" si="36"/>
        <v>0</v>
      </c>
      <c r="P145" s="233">
        <f t="shared" si="37"/>
        <v>0</v>
      </c>
      <c r="Q145" s="66">
        <f t="shared" si="38"/>
        <v>0</v>
      </c>
      <c r="R145" s="283"/>
      <c r="S145" s="55"/>
      <c r="T145" s="37"/>
      <c r="U145" s="38"/>
      <c r="V145" s="38"/>
      <c r="W145" s="38"/>
    </row>
    <row r="146" spans="1:24" ht="27.75" hidden="1" customHeight="1" thickTop="1">
      <c r="A146" s="22">
        <v>6</v>
      </c>
      <c r="B146" s="280" t="s">
        <v>282</v>
      </c>
      <c r="C146" s="271" t="s">
        <v>279</v>
      </c>
      <c r="D146" s="272"/>
      <c r="E146" s="201"/>
      <c r="F146" s="281"/>
      <c r="G146" s="61">
        <v>0</v>
      </c>
      <c r="H146" s="45">
        <v>0</v>
      </c>
      <c r="I146" s="61">
        <v>0</v>
      </c>
      <c r="J146" s="175"/>
      <c r="K146" s="282"/>
      <c r="L146" s="222"/>
      <c r="M146" s="94"/>
      <c r="N146" s="39"/>
      <c r="O146" s="233">
        <f t="shared" si="36"/>
        <v>0</v>
      </c>
      <c r="P146" s="233">
        <f t="shared" si="37"/>
        <v>0</v>
      </c>
      <c r="Q146" s="66">
        <f t="shared" si="38"/>
        <v>0</v>
      </c>
      <c r="R146" s="283"/>
      <c r="S146" s="37"/>
      <c r="T146" s="37"/>
      <c r="U146" s="38"/>
      <c r="V146" s="38"/>
      <c r="W146" s="38"/>
    </row>
    <row r="147" spans="1:24" ht="27.75" hidden="1" customHeight="1" thickTop="1">
      <c r="A147" s="22">
        <v>7</v>
      </c>
      <c r="B147" s="280" t="s">
        <v>92</v>
      </c>
      <c r="C147" s="271" t="s">
        <v>279</v>
      </c>
      <c r="D147" s="272"/>
      <c r="E147" s="201"/>
      <c r="F147" s="281"/>
      <c r="G147" s="61">
        <v>0</v>
      </c>
      <c r="H147" s="45">
        <v>0</v>
      </c>
      <c r="I147" s="61">
        <v>0</v>
      </c>
      <c r="J147" s="175"/>
      <c r="K147" s="282"/>
      <c r="L147" s="222"/>
      <c r="M147" s="94"/>
      <c r="N147" s="39"/>
      <c r="O147" s="233">
        <f t="shared" si="36"/>
        <v>0</v>
      </c>
      <c r="P147" s="233">
        <f t="shared" si="37"/>
        <v>0</v>
      </c>
      <c r="Q147" s="66">
        <f t="shared" si="38"/>
        <v>0</v>
      </c>
      <c r="R147" s="283"/>
      <c r="S147" s="37"/>
      <c r="T147" s="37"/>
      <c r="U147" s="38"/>
      <c r="V147" s="38"/>
      <c r="W147" s="38"/>
    </row>
    <row r="148" spans="1:24" ht="27.75" hidden="1" customHeight="1" thickTop="1">
      <c r="A148" s="22">
        <v>8</v>
      </c>
      <c r="B148" s="280" t="s">
        <v>91</v>
      </c>
      <c r="C148" s="271" t="s">
        <v>279</v>
      </c>
      <c r="D148" s="284"/>
      <c r="E148" s="201"/>
      <c r="F148" s="281"/>
      <c r="G148" s="61">
        <v>0</v>
      </c>
      <c r="H148" s="45">
        <v>0</v>
      </c>
      <c r="I148" s="61">
        <v>0</v>
      </c>
      <c r="J148" s="175"/>
      <c r="K148" s="282"/>
      <c r="L148" s="222"/>
      <c r="M148" s="94"/>
      <c r="N148" s="39"/>
      <c r="O148" s="233">
        <f t="shared" si="36"/>
        <v>0</v>
      </c>
      <c r="P148" s="233">
        <f t="shared" si="37"/>
        <v>0</v>
      </c>
      <c r="Q148" s="66">
        <f t="shared" si="38"/>
        <v>0</v>
      </c>
      <c r="R148" s="283"/>
      <c r="S148" s="37"/>
      <c r="T148" s="37"/>
      <c r="U148" s="38"/>
      <c r="V148" s="38"/>
      <c r="W148" s="38"/>
    </row>
    <row r="149" spans="1:24" ht="27.75" hidden="1" customHeight="1" thickTop="1">
      <c r="A149" s="22">
        <v>9</v>
      </c>
      <c r="B149" s="280" t="s">
        <v>236</v>
      </c>
      <c r="C149" s="271" t="s">
        <v>279</v>
      </c>
      <c r="D149" s="272">
        <v>0</v>
      </c>
      <c r="E149" s="201"/>
      <c r="F149" s="281"/>
      <c r="G149" s="61">
        <v>0</v>
      </c>
      <c r="H149" s="45">
        <v>0</v>
      </c>
      <c r="I149" s="61">
        <v>0</v>
      </c>
      <c r="J149" s="175"/>
      <c r="K149" s="282"/>
      <c r="L149" s="222"/>
      <c r="M149" s="94"/>
      <c r="N149" s="39"/>
      <c r="O149" s="233">
        <f t="shared" si="36"/>
        <v>0</v>
      </c>
      <c r="P149" s="233">
        <f t="shared" si="37"/>
        <v>0</v>
      </c>
      <c r="Q149" s="66">
        <f t="shared" si="38"/>
        <v>0</v>
      </c>
      <c r="R149" s="283"/>
      <c r="S149" s="37"/>
      <c r="T149" s="37"/>
      <c r="U149" s="38"/>
      <c r="V149" s="38"/>
      <c r="W149" s="38"/>
    </row>
    <row r="150" spans="1:24" ht="27.75" hidden="1" customHeight="1" thickTop="1">
      <c r="A150" s="22">
        <v>10</v>
      </c>
      <c r="B150" s="280" t="s">
        <v>94</v>
      </c>
      <c r="C150" s="280" t="s">
        <v>279</v>
      </c>
      <c r="D150" s="284"/>
      <c r="E150" s="201"/>
      <c r="F150" s="281"/>
      <c r="G150" s="61">
        <v>0</v>
      </c>
      <c r="H150" s="45">
        <v>0</v>
      </c>
      <c r="I150" s="61">
        <v>0</v>
      </c>
      <c r="J150" s="175"/>
      <c r="K150" s="282"/>
      <c r="L150" s="222"/>
      <c r="M150" s="94"/>
      <c r="N150" s="39"/>
      <c r="O150" s="233">
        <f t="shared" si="36"/>
        <v>0</v>
      </c>
      <c r="P150" s="233">
        <f t="shared" si="37"/>
        <v>0</v>
      </c>
      <c r="Q150" s="66">
        <f t="shared" si="38"/>
        <v>0</v>
      </c>
      <c r="R150" s="36"/>
      <c r="S150" s="37"/>
      <c r="T150" s="37"/>
      <c r="U150" s="38"/>
      <c r="V150" s="38"/>
      <c r="W150" s="38"/>
    </row>
    <row r="151" spans="1:24" ht="27.75" hidden="1" customHeight="1" thickTop="1">
      <c r="A151" s="22">
        <v>11</v>
      </c>
      <c r="B151" s="270"/>
      <c r="C151" s="285"/>
      <c r="D151" s="286"/>
      <c r="E151" s="273"/>
      <c r="F151" s="274"/>
      <c r="G151" s="65">
        <v>0</v>
      </c>
      <c r="H151" s="45">
        <v>0</v>
      </c>
      <c r="I151" s="61">
        <v>0</v>
      </c>
      <c r="J151" s="275"/>
      <c r="K151" s="276"/>
      <c r="L151" s="277"/>
      <c r="M151" s="232"/>
      <c r="N151" s="251"/>
      <c r="O151" s="233">
        <f t="shared" si="36"/>
        <v>0</v>
      </c>
      <c r="P151" s="233">
        <f t="shared" si="37"/>
        <v>0</v>
      </c>
      <c r="Q151" s="66">
        <f t="shared" si="38"/>
        <v>0</v>
      </c>
      <c r="R151" s="36"/>
      <c r="S151" s="37"/>
      <c r="T151" s="37"/>
      <c r="U151" s="38"/>
      <c r="V151" s="38"/>
      <c r="W151" s="38"/>
    </row>
    <row r="152" spans="1:24" ht="27.75" hidden="1" customHeight="1" thickTop="1">
      <c r="A152" s="22"/>
      <c r="B152" s="131" t="s">
        <v>22</v>
      </c>
      <c r="C152" s="132"/>
      <c r="D152" s="133">
        <f>SUM(D141:D151)</f>
        <v>0</v>
      </c>
      <c r="E152" s="134"/>
      <c r="F152" s="135"/>
      <c r="G152" s="136">
        <f>SUM(G141:G151)</f>
        <v>0</v>
      </c>
      <c r="H152" s="136">
        <f t="shared" ref="H152:I152" si="39">SUM(H141:H151)</f>
        <v>0</v>
      </c>
      <c r="I152" s="136">
        <f t="shared" si="39"/>
        <v>0</v>
      </c>
      <c r="J152" s="287"/>
      <c r="K152" s="137"/>
      <c r="L152" s="138">
        <f>SUM(L145:L151)</f>
        <v>0</v>
      </c>
      <c r="M152" s="139"/>
      <c r="N152" s="133"/>
      <c r="O152" s="136">
        <f>SUM(O141:O151)</f>
        <v>0</v>
      </c>
      <c r="P152" s="136">
        <f t="shared" ref="P152:Q152" si="40">SUM(P141:P151)</f>
        <v>0</v>
      </c>
      <c r="Q152" s="136">
        <f t="shared" si="40"/>
        <v>0</v>
      </c>
      <c r="R152" s="36"/>
      <c r="S152" s="37"/>
      <c r="T152" s="37"/>
      <c r="U152" s="38"/>
      <c r="V152" s="38"/>
      <c r="W152" s="38"/>
    </row>
    <row r="153" spans="1:24" ht="27.75" customHeight="1" thickTop="1">
      <c r="A153" s="22"/>
      <c r="B153" s="288" t="s">
        <v>283</v>
      </c>
      <c r="C153" s="289"/>
      <c r="D153" s="272"/>
      <c r="E153" s="201"/>
      <c r="F153" s="281"/>
      <c r="G153" s="290"/>
      <c r="H153" s="290"/>
      <c r="I153" s="290"/>
      <c r="J153" s="291"/>
      <c r="K153" s="292"/>
      <c r="L153" s="222"/>
      <c r="M153" s="94"/>
      <c r="N153" s="39"/>
      <c r="O153" s="293"/>
      <c r="P153" s="293"/>
      <c r="Q153" s="294"/>
      <c r="R153" s="36"/>
      <c r="S153" s="37"/>
      <c r="T153" s="37"/>
      <c r="U153" s="38"/>
      <c r="V153" s="38"/>
      <c r="W153" s="295"/>
    </row>
    <row r="154" spans="1:24" ht="27.75" customHeight="1">
      <c r="A154" s="94">
        <v>1</v>
      </c>
      <c r="B154" s="205" t="s">
        <v>192</v>
      </c>
      <c r="C154" s="206" t="s">
        <v>284</v>
      </c>
      <c r="D154" s="296">
        <v>66660</v>
      </c>
      <c r="E154" s="64" t="s">
        <v>32</v>
      </c>
      <c r="F154" s="44"/>
      <c r="G154" s="45">
        <v>-66660</v>
      </c>
      <c r="H154" s="45">
        <v>0</v>
      </c>
      <c r="I154" s="66">
        <v>-66660</v>
      </c>
      <c r="J154" s="183"/>
      <c r="K154" s="184"/>
      <c r="L154" s="231"/>
      <c r="M154" s="186"/>
      <c r="N154" s="116"/>
      <c r="O154" s="233">
        <f>SUM(D154+G154-L154)</f>
        <v>0</v>
      </c>
      <c r="P154" s="233">
        <v>0</v>
      </c>
      <c r="Q154" s="66">
        <f>SUM(D154+I154-L154)</f>
        <v>0</v>
      </c>
      <c r="R154" s="297" t="s">
        <v>287</v>
      </c>
      <c r="S154" s="298">
        <v>44682</v>
      </c>
      <c r="T154" s="299">
        <v>45565</v>
      </c>
      <c r="U154" s="56">
        <v>347760</v>
      </c>
      <c r="V154" s="56" t="s">
        <v>288</v>
      </c>
      <c r="W154" s="295" t="s">
        <v>289</v>
      </c>
      <c r="X154" s="4" t="s">
        <v>290</v>
      </c>
    </row>
    <row r="155" spans="1:24" ht="27.75" customHeight="1">
      <c r="A155" s="83"/>
      <c r="B155" s="208" t="s">
        <v>291</v>
      </c>
      <c r="C155" s="209"/>
      <c r="D155" s="300"/>
      <c r="E155" s="211"/>
      <c r="F155" s="212"/>
      <c r="G155" s="213"/>
      <c r="H155" s="213"/>
      <c r="I155" s="214"/>
      <c r="J155" s="301"/>
      <c r="K155" s="302"/>
      <c r="L155" s="303"/>
      <c r="M155" s="304"/>
      <c r="N155" s="217"/>
      <c r="O155" s="305"/>
      <c r="P155" s="305"/>
      <c r="Q155" s="214"/>
      <c r="R155" s="306"/>
      <c r="S155" s="307"/>
      <c r="T155" s="37"/>
      <c r="U155" s="38"/>
      <c r="V155" s="38"/>
    </row>
    <row r="156" spans="1:24" ht="27.75" customHeight="1" thickBot="1">
      <c r="A156" s="193"/>
      <c r="B156" s="308" t="s">
        <v>22</v>
      </c>
      <c r="C156" s="309"/>
      <c r="D156" s="310">
        <f>SUM(D154:D155)</f>
        <v>66660</v>
      </c>
      <c r="E156" s="311"/>
      <c r="F156" s="312"/>
      <c r="G156" s="313">
        <f>SUM(G154:G155)</f>
        <v>-66660</v>
      </c>
      <c r="H156" s="313">
        <v>0</v>
      </c>
      <c r="I156" s="313">
        <f>SUM(I154)</f>
        <v>-66660</v>
      </c>
      <c r="J156" s="314"/>
      <c r="K156" s="314"/>
      <c r="L156" s="310">
        <f>SUM(L154:L155)</f>
        <v>0</v>
      </c>
      <c r="M156" s="315"/>
      <c r="N156" s="310"/>
      <c r="O156" s="198">
        <f>SUM(O154:O155)-O154</f>
        <v>0</v>
      </c>
      <c r="P156" s="198">
        <f t="shared" ref="P156:Q156" si="41">SUM(P154:P155)-P154</f>
        <v>0</v>
      </c>
      <c r="Q156" s="198">
        <f t="shared" si="41"/>
        <v>0</v>
      </c>
      <c r="R156" s="36"/>
      <c r="S156" s="37"/>
      <c r="T156" s="37"/>
      <c r="U156" s="38"/>
      <c r="V156" s="38"/>
      <c r="W156" s="38"/>
    </row>
    <row r="157" spans="1:24" ht="27.75" customHeight="1" thickTop="1">
      <c r="A157" s="22"/>
      <c r="B157" s="23" t="s">
        <v>292</v>
      </c>
      <c r="C157" s="24"/>
      <c r="D157" s="25"/>
      <c r="E157" s="26"/>
      <c r="F157" s="27"/>
      <c r="G157" s="28"/>
      <c r="H157" s="28"/>
      <c r="I157" s="28"/>
      <c r="J157" s="29"/>
      <c r="K157" s="30"/>
      <c r="L157" s="31"/>
      <c r="M157" s="32"/>
      <c r="N157" s="33"/>
      <c r="O157" s="34"/>
      <c r="P157" s="34"/>
      <c r="Q157" s="35"/>
      <c r="R157" s="36"/>
      <c r="S157" s="37"/>
      <c r="T157" s="37"/>
      <c r="U157" s="38"/>
      <c r="V157" s="38"/>
      <c r="W157" s="38"/>
    </row>
    <row r="158" spans="1:24" ht="27.75" customHeight="1">
      <c r="A158" s="316">
        <v>1</v>
      </c>
      <c r="B158" s="280" t="s">
        <v>249</v>
      </c>
      <c r="C158" s="280" t="s">
        <v>250</v>
      </c>
      <c r="D158" s="272">
        <v>278.2</v>
      </c>
      <c r="E158" s="201" t="s">
        <v>45</v>
      </c>
      <c r="F158" s="281">
        <v>0</v>
      </c>
      <c r="G158" s="61">
        <v>0</v>
      </c>
      <c r="H158" s="61">
        <v>0</v>
      </c>
      <c r="I158" s="61">
        <v>0</v>
      </c>
      <c r="J158" s="317">
        <v>45960</v>
      </c>
      <c r="K158" s="318" t="s">
        <v>572</v>
      </c>
      <c r="L158" s="319">
        <v>278.2</v>
      </c>
      <c r="M158" s="320" t="s">
        <v>45</v>
      </c>
      <c r="N158" s="39">
        <v>0</v>
      </c>
      <c r="O158" s="233">
        <f t="shared" ref="O158:O165" si="42">+(D158*100/107)+G158-(L158*100/107)</f>
        <v>0</v>
      </c>
      <c r="P158" s="233">
        <f t="shared" ref="P158:P165" si="43">ROUND((O158*0.07),2)</f>
        <v>0</v>
      </c>
      <c r="Q158" s="66">
        <f t="shared" ref="Q158:Q165" si="44">+O158+P158</f>
        <v>0</v>
      </c>
      <c r="R158" s="36"/>
      <c r="S158" s="37"/>
      <c r="T158" s="37"/>
      <c r="U158" s="38"/>
      <c r="V158" s="38"/>
      <c r="W158" s="38"/>
    </row>
    <row r="159" spans="1:24" ht="27.75" customHeight="1">
      <c r="A159" s="316">
        <v>2</v>
      </c>
      <c r="B159" s="280" t="s">
        <v>294</v>
      </c>
      <c r="C159" s="280" t="s">
        <v>255</v>
      </c>
      <c r="D159" s="272">
        <v>53.5</v>
      </c>
      <c r="E159" s="201" t="s">
        <v>131</v>
      </c>
      <c r="F159" s="281">
        <v>1</v>
      </c>
      <c r="G159" s="61">
        <v>40</v>
      </c>
      <c r="H159" s="61">
        <v>2.8</v>
      </c>
      <c r="I159" s="61">
        <v>42.8</v>
      </c>
      <c r="J159" s="321">
        <v>45934</v>
      </c>
      <c r="K159" s="322" t="s">
        <v>573</v>
      </c>
      <c r="L159" s="323">
        <v>42.8</v>
      </c>
      <c r="M159" s="320" t="s">
        <v>32</v>
      </c>
      <c r="N159" s="39">
        <v>1</v>
      </c>
      <c r="O159" s="233">
        <f t="shared" si="42"/>
        <v>50</v>
      </c>
      <c r="P159" s="233">
        <f t="shared" si="43"/>
        <v>3.5</v>
      </c>
      <c r="Q159" s="66">
        <f t="shared" si="44"/>
        <v>53.5</v>
      </c>
      <c r="R159" s="36"/>
      <c r="S159" s="37"/>
      <c r="T159" s="37"/>
      <c r="U159" s="38"/>
      <c r="V159" s="38"/>
      <c r="W159" s="38"/>
    </row>
    <row r="160" spans="1:24" ht="27.75" customHeight="1">
      <c r="A160" s="316">
        <v>3</v>
      </c>
      <c r="B160" s="270" t="s">
        <v>295</v>
      </c>
      <c r="C160" s="285" t="s">
        <v>255</v>
      </c>
      <c r="D160" s="284">
        <v>0</v>
      </c>
      <c r="E160" s="273" t="s">
        <v>45</v>
      </c>
      <c r="F160" s="274">
        <v>0</v>
      </c>
      <c r="G160" s="61">
        <v>0</v>
      </c>
      <c r="H160" s="61">
        <v>0</v>
      </c>
      <c r="I160" s="61">
        <v>0</v>
      </c>
      <c r="J160" s="321"/>
      <c r="K160" s="322"/>
      <c r="L160" s="323">
        <v>0</v>
      </c>
      <c r="M160" s="320" t="s">
        <v>45</v>
      </c>
      <c r="N160" s="251">
        <v>0</v>
      </c>
      <c r="O160" s="233">
        <f t="shared" si="42"/>
        <v>0</v>
      </c>
      <c r="P160" s="233">
        <f t="shared" si="43"/>
        <v>0</v>
      </c>
      <c r="Q160" s="66">
        <f t="shared" si="44"/>
        <v>0</v>
      </c>
      <c r="R160" s="36"/>
      <c r="S160" s="37"/>
      <c r="T160" s="37"/>
      <c r="U160" s="38"/>
      <c r="V160" s="38"/>
      <c r="W160" s="38"/>
    </row>
    <row r="161" spans="1:24" ht="27.75" customHeight="1">
      <c r="A161" s="22">
        <v>4</v>
      </c>
      <c r="B161" s="270" t="s">
        <v>296</v>
      </c>
      <c r="C161" s="270" t="s">
        <v>262</v>
      </c>
      <c r="D161" s="284">
        <v>0</v>
      </c>
      <c r="E161" s="273" t="s">
        <v>45</v>
      </c>
      <c r="F161" s="274">
        <v>0</v>
      </c>
      <c r="G161" s="65"/>
      <c r="H161" s="65"/>
      <c r="I161" s="65"/>
      <c r="J161" s="324"/>
      <c r="K161" s="325"/>
      <c r="L161" s="326">
        <v>0</v>
      </c>
      <c r="M161" s="327" t="s">
        <v>45</v>
      </c>
      <c r="N161" s="251">
        <v>0</v>
      </c>
      <c r="O161" s="233"/>
      <c r="P161" s="233"/>
      <c r="Q161" s="66"/>
      <c r="R161" s="36"/>
      <c r="S161" s="37"/>
      <c r="T161" s="37"/>
      <c r="U161" s="38"/>
      <c r="V161" s="38"/>
      <c r="W161" s="38"/>
    </row>
    <row r="162" spans="1:24" ht="27.75" customHeight="1">
      <c r="A162" s="22">
        <v>5</v>
      </c>
      <c r="B162" s="270" t="s">
        <v>298</v>
      </c>
      <c r="C162" s="270" t="s">
        <v>199</v>
      </c>
      <c r="D162" s="284">
        <v>21.4</v>
      </c>
      <c r="E162" s="273" t="s">
        <v>45</v>
      </c>
      <c r="F162" s="274">
        <v>0</v>
      </c>
      <c r="G162" s="65">
        <v>0</v>
      </c>
      <c r="H162" s="65">
        <v>0</v>
      </c>
      <c r="I162" s="65">
        <v>0</v>
      </c>
      <c r="J162" s="328">
        <v>45960</v>
      </c>
      <c r="K162" s="329" t="s">
        <v>574</v>
      </c>
      <c r="L162" s="330">
        <v>21.4</v>
      </c>
      <c r="M162" s="327" t="s">
        <v>45</v>
      </c>
      <c r="N162" s="251">
        <v>0</v>
      </c>
      <c r="O162" s="233">
        <f t="shared" si="42"/>
        <v>0</v>
      </c>
      <c r="P162" s="233">
        <f t="shared" si="43"/>
        <v>0</v>
      </c>
      <c r="Q162" s="66">
        <f t="shared" si="44"/>
        <v>0</v>
      </c>
      <c r="R162" s="36"/>
      <c r="S162" s="37"/>
      <c r="T162" s="37"/>
      <c r="U162" s="38"/>
      <c r="V162" s="38"/>
      <c r="W162" s="38"/>
    </row>
    <row r="163" spans="1:24" ht="27.75" customHeight="1">
      <c r="A163" s="22">
        <v>6</v>
      </c>
      <c r="B163" s="270" t="s">
        <v>156</v>
      </c>
      <c r="C163" s="270" t="s">
        <v>208</v>
      </c>
      <c r="D163" s="284">
        <v>117.7</v>
      </c>
      <c r="E163" s="273" t="s">
        <v>45</v>
      </c>
      <c r="F163" s="274">
        <v>0</v>
      </c>
      <c r="G163" s="65">
        <v>0</v>
      </c>
      <c r="H163" s="65">
        <v>0</v>
      </c>
      <c r="I163" s="65">
        <v>0</v>
      </c>
      <c r="J163" s="328">
        <v>45934</v>
      </c>
      <c r="K163" s="329" t="s">
        <v>575</v>
      </c>
      <c r="L163" s="330">
        <v>117.7</v>
      </c>
      <c r="M163" s="327" t="s">
        <v>45</v>
      </c>
      <c r="N163" s="251">
        <v>0</v>
      </c>
      <c r="O163" s="233">
        <f t="shared" si="42"/>
        <v>0</v>
      </c>
      <c r="P163" s="233">
        <f t="shared" si="43"/>
        <v>0</v>
      </c>
      <c r="Q163" s="66">
        <f t="shared" si="44"/>
        <v>0</v>
      </c>
      <c r="R163" s="36"/>
      <c r="S163" s="37"/>
      <c r="T163" s="37"/>
      <c r="U163" s="38"/>
      <c r="V163" s="38"/>
      <c r="W163" s="38"/>
    </row>
    <row r="164" spans="1:24" ht="27.75" customHeight="1">
      <c r="A164" s="22">
        <v>7</v>
      </c>
      <c r="B164" s="270" t="s">
        <v>273</v>
      </c>
      <c r="C164" s="270" t="s">
        <v>211</v>
      </c>
      <c r="D164" s="284">
        <v>64.2</v>
      </c>
      <c r="E164" s="273" t="s">
        <v>45</v>
      </c>
      <c r="F164" s="274">
        <v>0</v>
      </c>
      <c r="G164" s="65">
        <v>0</v>
      </c>
      <c r="H164" s="65">
        <v>0</v>
      </c>
      <c r="I164" s="65">
        <v>0</v>
      </c>
      <c r="J164" s="328">
        <v>45937</v>
      </c>
      <c r="K164" s="329" t="s">
        <v>576</v>
      </c>
      <c r="L164" s="330">
        <v>64.2</v>
      </c>
      <c r="M164" s="327" t="s">
        <v>45</v>
      </c>
      <c r="N164" s="251">
        <v>0</v>
      </c>
      <c r="O164" s="233">
        <f t="shared" si="42"/>
        <v>0</v>
      </c>
      <c r="P164" s="233">
        <f t="shared" si="43"/>
        <v>0</v>
      </c>
      <c r="Q164" s="66">
        <f t="shared" si="44"/>
        <v>0</v>
      </c>
      <c r="R164" s="36"/>
      <c r="S164" s="37"/>
      <c r="T164" s="37"/>
      <c r="U164" s="38"/>
      <c r="V164" s="38"/>
      <c r="W164" s="38"/>
    </row>
    <row r="165" spans="1:24" ht="27.75" customHeight="1">
      <c r="A165" s="22">
        <v>8</v>
      </c>
      <c r="B165" s="270" t="s">
        <v>92</v>
      </c>
      <c r="C165" s="270" t="s">
        <v>302</v>
      </c>
      <c r="D165" s="284">
        <v>214</v>
      </c>
      <c r="E165" s="273" t="s">
        <v>45</v>
      </c>
      <c r="F165" s="274">
        <v>0</v>
      </c>
      <c r="G165" s="65">
        <v>0</v>
      </c>
      <c r="H165" s="65">
        <v>0</v>
      </c>
      <c r="I165" s="65">
        <v>0</v>
      </c>
      <c r="J165" s="331">
        <v>45960</v>
      </c>
      <c r="K165" s="332" t="s">
        <v>577</v>
      </c>
      <c r="L165" s="333">
        <v>214</v>
      </c>
      <c r="M165" s="327" t="s">
        <v>45</v>
      </c>
      <c r="N165" s="251">
        <v>0</v>
      </c>
      <c r="O165" s="233">
        <f t="shared" si="42"/>
        <v>0</v>
      </c>
      <c r="P165" s="233">
        <f t="shared" si="43"/>
        <v>0</v>
      </c>
      <c r="Q165" s="66">
        <f t="shared" si="44"/>
        <v>0</v>
      </c>
      <c r="R165" s="36"/>
      <c r="S165" s="37"/>
      <c r="T165" s="37"/>
      <c r="U165" s="38"/>
      <c r="V165" s="38"/>
      <c r="W165" s="38"/>
    </row>
    <row r="166" spans="1:24" ht="27.75" customHeight="1">
      <c r="A166" s="22"/>
      <c r="B166" s="270"/>
      <c r="C166" s="270"/>
      <c r="D166" s="284"/>
      <c r="E166" s="273"/>
      <c r="F166" s="274"/>
      <c r="G166" s="65"/>
      <c r="H166" s="65"/>
      <c r="I166" s="65"/>
      <c r="J166" s="334"/>
      <c r="K166" s="335"/>
      <c r="L166" s="336"/>
      <c r="M166" s="327"/>
      <c r="N166" s="251"/>
      <c r="O166" s="337"/>
      <c r="P166" s="337"/>
      <c r="Q166" s="229"/>
      <c r="R166" s="36"/>
      <c r="S166" s="37"/>
      <c r="T166" s="37"/>
      <c r="U166" s="38"/>
      <c r="V166" s="38"/>
      <c r="W166" s="38"/>
    </row>
    <row r="167" spans="1:24" ht="27.75" customHeight="1" thickBot="1">
      <c r="A167" s="193"/>
      <c r="B167" s="194"/>
      <c r="C167" s="195"/>
      <c r="D167" s="196">
        <f>SUM(D158:D165)</f>
        <v>749</v>
      </c>
      <c r="E167" s="221"/>
      <c r="F167" s="197"/>
      <c r="G167" s="198">
        <f>SUM(G158:G166)</f>
        <v>40</v>
      </c>
      <c r="H167" s="198">
        <f t="shared" ref="H167:I167" si="45">SUM(H158:H166)</f>
        <v>2.8</v>
      </c>
      <c r="I167" s="198">
        <f t="shared" si="45"/>
        <v>42.8</v>
      </c>
      <c r="J167" s="338"/>
      <c r="K167" s="199"/>
      <c r="L167" s="196">
        <f>SUM(L158:L165)</f>
        <v>738.3</v>
      </c>
      <c r="M167" s="200"/>
      <c r="N167" s="196"/>
      <c r="O167" s="198">
        <f>SUM(O158:O165)</f>
        <v>50</v>
      </c>
      <c r="P167" s="198">
        <f t="shared" ref="P167:Q167" si="46">SUM(P158:P165)</f>
        <v>3.5</v>
      </c>
      <c r="Q167" s="198">
        <f t="shared" si="46"/>
        <v>53.5</v>
      </c>
      <c r="R167" s="36"/>
      <c r="S167" s="37"/>
      <c r="T167" s="37"/>
      <c r="U167" s="38"/>
      <c r="V167" s="38"/>
      <c r="W167" s="38"/>
    </row>
    <row r="168" spans="1:24" ht="27.75" customHeight="1" thickTop="1">
      <c r="A168" s="22"/>
      <c r="B168" s="288" t="s">
        <v>304</v>
      </c>
      <c r="C168" s="289"/>
      <c r="D168" s="272"/>
      <c r="E168" s="201"/>
      <c r="F168" s="281"/>
      <c r="G168" s="290"/>
      <c r="H168" s="290"/>
      <c r="I168" s="290"/>
      <c r="J168" s="291"/>
      <c r="K168" s="292"/>
      <c r="L168" s="222"/>
      <c r="M168" s="94"/>
      <c r="N168" s="39"/>
      <c r="O168" s="293"/>
      <c r="P168" s="293"/>
      <c r="Q168" s="294"/>
      <c r="R168" s="36"/>
      <c r="S168" s="37"/>
      <c r="T168" s="37"/>
      <c r="U168" s="38"/>
      <c r="V168" s="38"/>
      <c r="W168" s="38"/>
    </row>
    <row r="169" spans="1:24" ht="27.75" customHeight="1">
      <c r="A169" s="339"/>
      <c r="B169" s="340" t="s">
        <v>305</v>
      </c>
      <c r="C169" s="289"/>
      <c r="D169" s="272"/>
      <c r="E169" s="201"/>
      <c r="F169" s="341"/>
      <c r="G169" s="187"/>
      <c r="H169" s="187"/>
      <c r="I169" s="290"/>
      <c r="J169" s="342"/>
      <c r="K169" s="343"/>
      <c r="L169" s="264"/>
      <c r="M169" s="94"/>
      <c r="N169" s="116"/>
      <c r="O169" s="344"/>
      <c r="P169" s="344"/>
      <c r="Q169" s="294"/>
      <c r="R169" s="36"/>
      <c r="S169" s="37"/>
      <c r="T169" s="37"/>
      <c r="U169" s="38"/>
      <c r="V169" s="38"/>
      <c r="W169" s="345"/>
    </row>
    <row r="170" spans="1:24" ht="27.75" customHeight="1">
      <c r="A170" s="186">
        <v>1</v>
      </c>
      <c r="B170" s="205" t="s">
        <v>24</v>
      </c>
      <c r="C170" s="346" t="s">
        <v>25</v>
      </c>
      <c r="D170" s="141">
        <v>1410</v>
      </c>
      <c r="E170" s="43" t="s">
        <v>45</v>
      </c>
      <c r="F170" s="44">
        <v>0</v>
      </c>
      <c r="G170" s="45">
        <v>0</v>
      </c>
      <c r="H170" s="45">
        <v>0</v>
      </c>
      <c r="I170" s="47">
        <v>0</v>
      </c>
      <c r="J170" s="113">
        <v>45933</v>
      </c>
      <c r="K170" s="114" t="s">
        <v>578</v>
      </c>
      <c r="L170" s="347">
        <v>1410</v>
      </c>
      <c r="M170" s="94" t="s">
        <v>45</v>
      </c>
      <c r="N170" s="116">
        <v>0</v>
      </c>
      <c r="O170" s="233">
        <f t="shared" ref="O170:O220" si="47">+I170+D170-L170</f>
        <v>0</v>
      </c>
      <c r="P170" s="233"/>
      <c r="Q170" s="47">
        <f t="shared" ref="Q170:Q220" si="48">+O170+P170</f>
        <v>0</v>
      </c>
      <c r="R170" s="348" t="s">
        <v>195</v>
      </c>
      <c r="S170" s="299" t="s">
        <v>307</v>
      </c>
      <c r="T170" s="299" t="s">
        <v>308</v>
      </c>
      <c r="U170" s="56">
        <v>3660</v>
      </c>
      <c r="V170" s="349" t="s">
        <v>309</v>
      </c>
      <c r="W170" s="295" t="s">
        <v>289</v>
      </c>
      <c r="X170" s="4" t="s">
        <v>310</v>
      </c>
    </row>
    <row r="171" spans="1:24" ht="27.75" customHeight="1">
      <c r="A171" s="186">
        <v>2</v>
      </c>
      <c r="B171" s="205" t="s">
        <v>28</v>
      </c>
      <c r="C171" s="346" t="s">
        <v>311</v>
      </c>
      <c r="D171" s="141">
        <v>1410</v>
      </c>
      <c r="E171" s="43" t="s">
        <v>32</v>
      </c>
      <c r="F171" s="44">
        <v>-1</v>
      </c>
      <c r="G171" s="45">
        <v>-1410</v>
      </c>
      <c r="H171" s="45">
        <v>0</v>
      </c>
      <c r="I171" s="47">
        <v>-1410</v>
      </c>
      <c r="J171" s="113"/>
      <c r="K171" s="114"/>
      <c r="L171" s="347">
        <v>0</v>
      </c>
      <c r="M171" s="94" t="s">
        <v>45</v>
      </c>
      <c r="N171" s="116">
        <v>0</v>
      </c>
      <c r="O171" s="233">
        <f t="shared" si="47"/>
        <v>0</v>
      </c>
      <c r="P171" s="233"/>
      <c r="Q171" s="47">
        <f t="shared" si="48"/>
        <v>0</v>
      </c>
      <c r="R171" s="348" t="s">
        <v>195</v>
      </c>
      <c r="S171" s="299" t="s">
        <v>307</v>
      </c>
      <c r="T171" s="299" t="s">
        <v>308</v>
      </c>
      <c r="U171" s="56">
        <v>36600</v>
      </c>
      <c r="V171" s="349" t="s">
        <v>313</v>
      </c>
      <c r="W171" s="4" t="s">
        <v>314</v>
      </c>
      <c r="X171" s="295" t="s">
        <v>289</v>
      </c>
    </row>
    <row r="172" spans="1:24" ht="27.75" customHeight="1">
      <c r="A172" s="186">
        <v>3</v>
      </c>
      <c r="B172" s="205" t="s">
        <v>28</v>
      </c>
      <c r="C172" s="346" t="s">
        <v>315</v>
      </c>
      <c r="D172" s="141">
        <v>1410</v>
      </c>
      <c r="E172" s="43" t="s">
        <v>32</v>
      </c>
      <c r="F172" s="44">
        <v>-1</v>
      </c>
      <c r="G172" s="45">
        <v>-1410</v>
      </c>
      <c r="H172" s="45">
        <v>0</v>
      </c>
      <c r="I172" s="47">
        <v>-1410</v>
      </c>
      <c r="J172" s="113"/>
      <c r="K172" s="114"/>
      <c r="L172" s="347">
        <v>0</v>
      </c>
      <c r="M172" s="94" t="s">
        <v>45</v>
      </c>
      <c r="N172" s="116">
        <v>0</v>
      </c>
      <c r="O172" s="233">
        <f t="shared" si="47"/>
        <v>0</v>
      </c>
      <c r="P172" s="233"/>
      <c r="Q172" s="47">
        <f t="shared" si="48"/>
        <v>0</v>
      </c>
      <c r="R172" s="348"/>
      <c r="S172" s="299"/>
      <c r="T172" s="299"/>
      <c r="U172" s="56"/>
      <c r="V172" s="349"/>
      <c r="X172" s="295"/>
    </row>
    <row r="173" spans="1:24" ht="27.75" customHeight="1">
      <c r="A173" s="186">
        <v>4</v>
      </c>
      <c r="B173" s="205" t="s">
        <v>24</v>
      </c>
      <c r="C173" s="346" t="s">
        <v>316</v>
      </c>
      <c r="D173" s="141">
        <v>1410</v>
      </c>
      <c r="E173" s="43" t="s">
        <v>45</v>
      </c>
      <c r="F173" s="44">
        <v>0</v>
      </c>
      <c r="G173" s="45">
        <v>0</v>
      </c>
      <c r="H173" s="45">
        <v>0</v>
      </c>
      <c r="I173" s="47">
        <v>0</v>
      </c>
      <c r="J173" s="113">
        <v>45933</v>
      </c>
      <c r="K173" s="114" t="s">
        <v>578</v>
      </c>
      <c r="L173" s="347">
        <v>1410</v>
      </c>
      <c r="M173" s="94" t="s">
        <v>45</v>
      </c>
      <c r="N173" s="116">
        <v>0</v>
      </c>
      <c r="O173" s="233">
        <f t="shared" si="47"/>
        <v>0</v>
      </c>
      <c r="P173" s="233"/>
      <c r="Q173" s="47">
        <f t="shared" si="48"/>
        <v>0</v>
      </c>
      <c r="R173" s="348" t="s">
        <v>195</v>
      </c>
      <c r="S173" s="299" t="s">
        <v>307</v>
      </c>
      <c r="T173" s="299" t="s">
        <v>308</v>
      </c>
      <c r="U173" s="56">
        <v>10980</v>
      </c>
      <c r="V173" s="349" t="s">
        <v>317</v>
      </c>
      <c r="W173" s="295" t="s">
        <v>289</v>
      </c>
      <c r="X173" s="4" t="s">
        <v>310</v>
      </c>
    </row>
    <row r="174" spans="1:24" ht="27.75" customHeight="1">
      <c r="A174" s="186">
        <v>5</v>
      </c>
      <c r="B174" s="205" t="s">
        <v>24</v>
      </c>
      <c r="C174" s="346" t="s">
        <v>318</v>
      </c>
      <c r="D174" s="141">
        <v>1410</v>
      </c>
      <c r="E174" s="43" t="s">
        <v>45</v>
      </c>
      <c r="F174" s="44">
        <v>0</v>
      </c>
      <c r="G174" s="45">
        <v>0</v>
      </c>
      <c r="H174" s="45">
        <v>0</v>
      </c>
      <c r="I174" s="47">
        <v>0</v>
      </c>
      <c r="J174" s="113">
        <v>45933</v>
      </c>
      <c r="K174" s="114" t="s">
        <v>578</v>
      </c>
      <c r="L174" s="347">
        <v>1410</v>
      </c>
      <c r="M174" s="94" t="s">
        <v>45</v>
      </c>
      <c r="N174" s="116">
        <v>0</v>
      </c>
      <c r="O174" s="233">
        <f t="shared" si="47"/>
        <v>0</v>
      </c>
      <c r="P174" s="233"/>
      <c r="Q174" s="47">
        <f t="shared" si="48"/>
        <v>0</v>
      </c>
      <c r="R174" s="348"/>
      <c r="S174" s="299"/>
      <c r="T174" s="299"/>
      <c r="U174" s="56"/>
      <c r="V174" s="349"/>
      <c r="W174" s="295"/>
    </row>
    <row r="175" spans="1:24" ht="27.75" customHeight="1">
      <c r="A175" s="186">
        <v>6</v>
      </c>
      <c r="B175" s="205" t="s">
        <v>24</v>
      </c>
      <c r="C175" s="346" t="s">
        <v>319</v>
      </c>
      <c r="D175" s="141">
        <v>1410</v>
      </c>
      <c r="E175" s="43" t="s">
        <v>45</v>
      </c>
      <c r="F175" s="44">
        <v>0</v>
      </c>
      <c r="G175" s="45">
        <v>0</v>
      </c>
      <c r="H175" s="45">
        <v>0</v>
      </c>
      <c r="I175" s="47">
        <v>0</v>
      </c>
      <c r="J175" s="113">
        <v>45933</v>
      </c>
      <c r="K175" s="114" t="s">
        <v>578</v>
      </c>
      <c r="L175" s="347">
        <v>1410</v>
      </c>
      <c r="M175" s="94" t="s">
        <v>45</v>
      </c>
      <c r="N175" s="116">
        <v>0</v>
      </c>
      <c r="O175" s="233">
        <f t="shared" si="47"/>
        <v>0</v>
      </c>
      <c r="P175" s="233"/>
      <c r="Q175" s="47">
        <f t="shared" si="48"/>
        <v>0</v>
      </c>
      <c r="R175" s="348"/>
      <c r="S175" s="299"/>
      <c r="T175" s="299"/>
      <c r="U175" s="56"/>
      <c r="V175" s="349"/>
      <c r="W175" s="295"/>
    </row>
    <row r="176" spans="1:24" ht="27.75" customHeight="1">
      <c r="A176" s="186">
        <v>7</v>
      </c>
      <c r="B176" s="205" t="s">
        <v>28</v>
      </c>
      <c r="C176" s="346" t="s">
        <v>320</v>
      </c>
      <c r="D176" s="141">
        <v>1410</v>
      </c>
      <c r="E176" s="43" t="s">
        <v>32</v>
      </c>
      <c r="F176" s="44">
        <v>-1</v>
      </c>
      <c r="G176" s="45">
        <v>-1410</v>
      </c>
      <c r="H176" s="45">
        <v>0</v>
      </c>
      <c r="I176" s="47">
        <v>-1410</v>
      </c>
      <c r="J176" s="113"/>
      <c r="K176" s="114"/>
      <c r="L176" s="347">
        <v>0</v>
      </c>
      <c r="M176" s="94" t="s">
        <v>45</v>
      </c>
      <c r="N176" s="116">
        <v>0</v>
      </c>
      <c r="O176" s="233">
        <f t="shared" si="47"/>
        <v>0</v>
      </c>
      <c r="P176" s="233"/>
      <c r="Q176" s="47">
        <f t="shared" si="48"/>
        <v>0</v>
      </c>
      <c r="R176" s="348"/>
      <c r="S176" s="299"/>
      <c r="T176" s="299"/>
      <c r="U176" s="56"/>
      <c r="V176" s="349"/>
      <c r="W176" s="295"/>
    </row>
    <row r="177" spans="1:24" ht="27.75" customHeight="1">
      <c r="A177" s="186">
        <v>8</v>
      </c>
      <c r="B177" s="205" t="s">
        <v>28</v>
      </c>
      <c r="C177" s="346" t="s">
        <v>321</v>
      </c>
      <c r="D177" s="141">
        <v>1410</v>
      </c>
      <c r="E177" s="43" t="s">
        <v>32</v>
      </c>
      <c r="F177" s="44">
        <v>-1</v>
      </c>
      <c r="G177" s="45">
        <v>-1410</v>
      </c>
      <c r="H177" s="45">
        <v>0</v>
      </c>
      <c r="I177" s="47">
        <v>-1410</v>
      </c>
      <c r="J177" s="113"/>
      <c r="K177" s="114"/>
      <c r="L177" s="347">
        <v>0</v>
      </c>
      <c r="M177" s="94" t="s">
        <v>45</v>
      </c>
      <c r="N177" s="116">
        <v>0</v>
      </c>
      <c r="O177" s="233">
        <f t="shared" si="47"/>
        <v>0</v>
      </c>
      <c r="P177" s="233"/>
      <c r="Q177" s="47">
        <f t="shared" si="48"/>
        <v>0</v>
      </c>
      <c r="R177" s="348"/>
      <c r="S177" s="299"/>
      <c r="T177" s="299"/>
      <c r="U177" s="56"/>
      <c r="V177" s="349"/>
      <c r="W177" s="295"/>
    </row>
    <row r="178" spans="1:24" ht="27.75" customHeight="1">
      <c r="A178" s="186">
        <v>9</v>
      </c>
      <c r="B178" s="205" t="s">
        <v>28</v>
      </c>
      <c r="C178" s="346" t="s">
        <v>322</v>
      </c>
      <c r="D178" s="141">
        <v>1410</v>
      </c>
      <c r="E178" s="43" t="s">
        <v>32</v>
      </c>
      <c r="F178" s="44">
        <v>-1</v>
      </c>
      <c r="G178" s="45">
        <v>-1410</v>
      </c>
      <c r="H178" s="45">
        <v>0</v>
      </c>
      <c r="I178" s="47">
        <v>-1410</v>
      </c>
      <c r="J178" s="113"/>
      <c r="K178" s="114"/>
      <c r="L178" s="347">
        <v>0</v>
      </c>
      <c r="M178" s="94" t="s">
        <v>45</v>
      </c>
      <c r="N178" s="116">
        <v>0</v>
      </c>
      <c r="O178" s="233">
        <f t="shared" si="47"/>
        <v>0</v>
      </c>
      <c r="P178" s="233"/>
      <c r="Q178" s="47">
        <f t="shared" si="48"/>
        <v>0</v>
      </c>
      <c r="R178" s="348"/>
      <c r="S178" s="299"/>
      <c r="T178" s="299"/>
      <c r="U178" s="56"/>
      <c r="V178" s="349"/>
      <c r="W178" s="295"/>
    </row>
    <row r="179" spans="1:24" ht="27.75" customHeight="1">
      <c r="A179" s="186">
        <v>10</v>
      </c>
      <c r="B179" s="205" t="s">
        <v>28</v>
      </c>
      <c r="C179" s="346" t="s">
        <v>323</v>
      </c>
      <c r="D179" s="141">
        <v>1410</v>
      </c>
      <c r="E179" s="43" t="s">
        <v>32</v>
      </c>
      <c r="F179" s="44">
        <v>-1</v>
      </c>
      <c r="G179" s="45">
        <v>-1410</v>
      </c>
      <c r="H179" s="45">
        <v>0</v>
      </c>
      <c r="I179" s="47">
        <v>-1410</v>
      </c>
      <c r="J179" s="113"/>
      <c r="K179" s="114"/>
      <c r="L179" s="347">
        <v>0</v>
      </c>
      <c r="M179" s="94" t="s">
        <v>45</v>
      </c>
      <c r="N179" s="116">
        <v>0</v>
      </c>
      <c r="O179" s="233">
        <f t="shared" si="47"/>
        <v>0</v>
      </c>
      <c r="P179" s="233"/>
      <c r="Q179" s="47">
        <f t="shared" si="48"/>
        <v>0</v>
      </c>
      <c r="R179" s="348"/>
      <c r="S179" s="299"/>
      <c r="T179" s="299"/>
      <c r="U179" s="56"/>
      <c r="V179" s="349"/>
      <c r="W179" s="295"/>
    </row>
    <row r="180" spans="1:24" ht="27.75" customHeight="1">
      <c r="A180" s="186">
        <v>11</v>
      </c>
      <c r="B180" s="205" t="s">
        <v>28</v>
      </c>
      <c r="C180" s="346" t="s">
        <v>324</v>
      </c>
      <c r="D180" s="141">
        <v>1410</v>
      </c>
      <c r="E180" s="43" t="s">
        <v>32</v>
      </c>
      <c r="F180" s="44">
        <v>-1</v>
      </c>
      <c r="G180" s="45">
        <v>-1410</v>
      </c>
      <c r="H180" s="45">
        <v>0</v>
      </c>
      <c r="I180" s="47">
        <v>-1410</v>
      </c>
      <c r="J180" s="113"/>
      <c r="K180" s="114"/>
      <c r="L180" s="347">
        <v>0</v>
      </c>
      <c r="M180" s="94" t="s">
        <v>45</v>
      </c>
      <c r="N180" s="116">
        <v>0</v>
      </c>
      <c r="O180" s="233">
        <f t="shared" si="47"/>
        <v>0</v>
      </c>
      <c r="P180" s="233"/>
      <c r="Q180" s="47">
        <f t="shared" si="48"/>
        <v>0</v>
      </c>
      <c r="R180" s="348"/>
      <c r="S180" s="299"/>
      <c r="T180" s="299"/>
      <c r="U180" s="56"/>
      <c r="V180" s="349"/>
      <c r="W180" s="295"/>
    </row>
    <row r="181" spans="1:24" ht="27.75" customHeight="1">
      <c r="A181" s="186">
        <v>12</v>
      </c>
      <c r="B181" s="205" t="s">
        <v>325</v>
      </c>
      <c r="C181" s="346" t="s">
        <v>326</v>
      </c>
      <c r="D181" s="141">
        <v>1410</v>
      </c>
      <c r="E181" s="43" t="s">
        <v>45</v>
      </c>
      <c r="F181" s="44">
        <v>0</v>
      </c>
      <c r="G181" s="45">
        <v>0</v>
      </c>
      <c r="H181" s="45">
        <v>0</v>
      </c>
      <c r="I181" s="47">
        <v>0</v>
      </c>
      <c r="J181" s="113">
        <v>45935</v>
      </c>
      <c r="K181" s="114" t="s">
        <v>579</v>
      </c>
      <c r="L181" s="347">
        <v>1410</v>
      </c>
      <c r="M181" s="94" t="s">
        <v>45</v>
      </c>
      <c r="N181" s="116">
        <v>0</v>
      </c>
      <c r="O181" s="233">
        <f t="shared" si="47"/>
        <v>0</v>
      </c>
      <c r="P181" s="233"/>
      <c r="Q181" s="47">
        <f t="shared" si="48"/>
        <v>0</v>
      </c>
      <c r="R181" s="348" t="s">
        <v>195</v>
      </c>
      <c r="S181" s="299" t="s">
        <v>307</v>
      </c>
      <c r="T181" s="299" t="s">
        <v>308</v>
      </c>
      <c r="U181" s="56">
        <v>14640</v>
      </c>
      <c r="V181" s="349" t="s">
        <v>328</v>
      </c>
      <c r="W181" s="295" t="s">
        <v>289</v>
      </c>
      <c r="X181" s="4" t="s">
        <v>329</v>
      </c>
    </row>
    <row r="182" spans="1:24" ht="27.75" customHeight="1">
      <c r="A182" s="186">
        <v>13</v>
      </c>
      <c r="B182" s="205" t="s">
        <v>325</v>
      </c>
      <c r="C182" s="346" t="s">
        <v>330</v>
      </c>
      <c r="D182" s="141">
        <v>1410</v>
      </c>
      <c r="E182" s="43" t="s">
        <v>45</v>
      </c>
      <c r="F182" s="44">
        <v>0</v>
      </c>
      <c r="G182" s="45">
        <v>0</v>
      </c>
      <c r="H182" s="45">
        <v>0</v>
      </c>
      <c r="I182" s="47">
        <v>0</v>
      </c>
      <c r="J182" s="113">
        <v>45935</v>
      </c>
      <c r="K182" s="114" t="s">
        <v>579</v>
      </c>
      <c r="L182" s="347">
        <v>1410</v>
      </c>
      <c r="M182" s="94" t="s">
        <v>45</v>
      </c>
      <c r="N182" s="116">
        <v>0</v>
      </c>
      <c r="O182" s="233">
        <f t="shared" si="47"/>
        <v>0</v>
      </c>
      <c r="P182" s="233"/>
      <c r="Q182" s="47">
        <f t="shared" si="48"/>
        <v>0</v>
      </c>
      <c r="R182" s="348"/>
      <c r="S182" s="299"/>
      <c r="T182" s="299"/>
      <c r="U182" s="56"/>
      <c r="V182" s="349"/>
      <c r="W182" s="295"/>
    </row>
    <row r="183" spans="1:24" ht="27.75" customHeight="1">
      <c r="A183" s="186">
        <v>14</v>
      </c>
      <c r="B183" s="205" t="s">
        <v>325</v>
      </c>
      <c r="C183" s="346" t="s">
        <v>331</v>
      </c>
      <c r="D183" s="141">
        <v>1410</v>
      </c>
      <c r="E183" s="43" t="s">
        <v>45</v>
      </c>
      <c r="F183" s="44">
        <v>0</v>
      </c>
      <c r="G183" s="45">
        <v>0</v>
      </c>
      <c r="H183" s="45">
        <v>0</v>
      </c>
      <c r="I183" s="47">
        <v>0</v>
      </c>
      <c r="J183" s="113">
        <v>45935</v>
      </c>
      <c r="K183" s="114" t="s">
        <v>579</v>
      </c>
      <c r="L183" s="347">
        <v>1410</v>
      </c>
      <c r="M183" s="94" t="s">
        <v>45</v>
      </c>
      <c r="N183" s="116">
        <v>0</v>
      </c>
      <c r="O183" s="233">
        <f t="shared" si="47"/>
        <v>0</v>
      </c>
      <c r="P183" s="233"/>
      <c r="Q183" s="47">
        <f t="shared" si="48"/>
        <v>0</v>
      </c>
      <c r="R183" s="348"/>
      <c r="S183" s="299"/>
      <c r="T183" s="299"/>
      <c r="U183" s="56"/>
      <c r="V183" s="349"/>
      <c r="W183" s="295"/>
    </row>
    <row r="184" spans="1:24" ht="27.75" customHeight="1">
      <c r="A184" s="186">
        <v>15</v>
      </c>
      <c r="B184" s="205" t="s">
        <v>325</v>
      </c>
      <c r="C184" s="346" t="s">
        <v>332</v>
      </c>
      <c r="D184" s="141">
        <v>1410</v>
      </c>
      <c r="E184" s="43" t="s">
        <v>45</v>
      </c>
      <c r="F184" s="44">
        <v>0</v>
      </c>
      <c r="G184" s="45">
        <v>0</v>
      </c>
      <c r="H184" s="45">
        <v>0</v>
      </c>
      <c r="I184" s="47">
        <v>0</v>
      </c>
      <c r="J184" s="113">
        <v>45935</v>
      </c>
      <c r="K184" s="114" t="s">
        <v>579</v>
      </c>
      <c r="L184" s="347">
        <v>1410</v>
      </c>
      <c r="M184" s="94" t="s">
        <v>45</v>
      </c>
      <c r="N184" s="116">
        <v>0</v>
      </c>
      <c r="O184" s="233">
        <f t="shared" si="47"/>
        <v>0</v>
      </c>
      <c r="P184" s="233"/>
      <c r="Q184" s="47">
        <f t="shared" si="48"/>
        <v>0</v>
      </c>
      <c r="R184" s="348"/>
      <c r="S184" s="299"/>
      <c r="T184" s="299"/>
      <c r="U184" s="56"/>
      <c r="V184" s="349"/>
      <c r="W184" s="295"/>
    </row>
    <row r="185" spans="1:24" ht="27.75" customHeight="1">
      <c r="A185" s="186">
        <v>16</v>
      </c>
      <c r="B185" s="205" t="s">
        <v>28</v>
      </c>
      <c r="C185" s="346" t="s">
        <v>333</v>
      </c>
      <c r="D185" s="141">
        <v>1410</v>
      </c>
      <c r="E185" s="43" t="s">
        <v>32</v>
      </c>
      <c r="F185" s="44">
        <v>-1</v>
      </c>
      <c r="G185" s="45">
        <v>-1410</v>
      </c>
      <c r="H185" s="45">
        <v>0</v>
      </c>
      <c r="I185" s="47">
        <v>-1410</v>
      </c>
      <c r="J185" s="113"/>
      <c r="K185" s="114"/>
      <c r="L185" s="347">
        <v>0</v>
      </c>
      <c r="M185" s="94" t="s">
        <v>45</v>
      </c>
      <c r="N185" s="116">
        <v>0</v>
      </c>
      <c r="O185" s="233">
        <f t="shared" si="47"/>
        <v>0</v>
      </c>
      <c r="P185" s="233"/>
      <c r="Q185" s="47">
        <f t="shared" si="48"/>
        <v>0</v>
      </c>
      <c r="R185" s="348"/>
      <c r="S185" s="299"/>
      <c r="T185" s="299"/>
      <c r="U185" s="56"/>
      <c r="V185" s="349"/>
      <c r="W185" s="295"/>
    </row>
    <row r="186" spans="1:24" ht="27.75" customHeight="1">
      <c r="A186" s="186">
        <v>17</v>
      </c>
      <c r="B186" s="205" t="s">
        <v>28</v>
      </c>
      <c r="C186" s="346" t="s">
        <v>334</v>
      </c>
      <c r="D186" s="141">
        <v>1410</v>
      </c>
      <c r="E186" s="43" t="s">
        <v>32</v>
      </c>
      <c r="F186" s="44">
        <v>-1</v>
      </c>
      <c r="G186" s="45">
        <v>-1410</v>
      </c>
      <c r="H186" s="45">
        <v>0</v>
      </c>
      <c r="I186" s="47">
        <v>-1410</v>
      </c>
      <c r="J186" s="113"/>
      <c r="K186" s="114"/>
      <c r="L186" s="347">
        <v>0</v>
      </c>
      <c r="M186" s="94" t="s">
        <v>45</v>
      </c>
      <c r="N186" s="116">
        <v>0</v>
      </c>
      <c r="O186" s="233">
        <f t="shared" si="47"/>
        <v>0</v>
      </c>
      <c r="P186" s="233"/>
      <c r="Q186" s="47">
        <f t="shared" si="48"/>
        <v>0</v>
      </c>
      <c r="R186" s="348"/>
      <c r="S186" s="299"/>
      <c r="T186" s="299"/>
      <c r="U186" s="56"/>
      <c r="V186" s="349"/>
      <c r="W186" s="295"/>
    </row>
    <row r="187" spans="1:24" ht="27.75" customHeight="1">
      <c r="A187" s="186">
        <v>18</v>
      </c>
      <c r="B187" s="205" t="s">
        <v>28</v>
      </c>
      <c r="C187" s="346" t="s">
        <v>335</v>
      </c>
      <c r="D187" s="141">
        <v>1410</v>
      </c>
      <c r="E187" s="43" t="s">
        <v>32</v>
      </c>
      <c r="F187" s="44">
        <v>-1</v>
      </c>
      <c r="G187" s="45">
        <v>-1410</v>
      </c>
      <c r="H187" s="45">
        <v>0</v>
      </c>
      <c r="I187" s="47">
        <v>-1410</v>
      </c>
      <c r="J187" s="113"/>
      <c r="K187" s="114"/>
      <c r="L187" s="347">
        <v>0</v>
      </c>
      <c r="M187" s="94" t="s">
        <v>45</v>
      </c>
      <c r="N187" s="116">
        <v>0</v>
      </c>
      <c r="O187" s="233">
        <f t="shared" si="47"/>
        <v>0</v>
      </c>
      <c r="P187" s="233"/>
      <c r="Q187" s="47">
        <f t="shared" si="48"/>
        <v>0</v>
      </c>
      <c r="R187" s="348"/>
      <c r="S187" s="299"/>
      <c r="T187" s="299"/>
      <c r="U187" s="56"/>
      <c r="V187" s="349"/>
      <c r="W187" s="295"/>
    </row>
    <row r="188" spans="1:24" ht="27.75" customHeight="1">
      <c r="A188" s="186">
        <v>19</v>
      </c>
      <c r="B188" s="205" t="s">
        <v>40</v>
      </c>
      <c r="C188" s="346" t="s">
        <v>336</v>
      </c>
      <c r="D188" s="141">
        <v>1220</v>
      </c>
      <c r="E188" s="43" t="s">
        <v>26</v>
      </c>
      <c r="F188" s="44">
        <v>0</v>
      </c>
      <c r="G188" s="45">
        <v>0</v>
      </c>
      <c r="H188" s="45">
        <v>0</v>
      </c>
      <c r="I188" s="47">
        <v>0</v>
      </c>
      <c r="J188" s="113">
        <v>45932</v>
      </c>
      <c r="K188" s="114" t="s">
        <v>580</v>
      </c>
      <c r="L188" s="347">
        <v>1220</v>
      </c>
      <c r="M188" s="94" t="s">
        <v>26</v>
      </c>
      <c r="N188" s="116">
        <v>0</v>
      </c>
      <c r="O188" s="233">
        <f t="shared" si="47"/>
        <v>0</v>
      </c>
      <c r="P188" s="233"/>
      <c r="Q188" s="47">
        <f t="shared" si="48"/>
        <v>0</v>
      </c>
      <c r="R188" s="39" t="s">
        <v>195</v>
      </c>
      <c r="S188" s="55">
        <v>43313</v>
      </c>
      <c r="T188" s="55">
        <v>44408</v>
      </c>
      <c r="U188" s="56">
        <v>9540</v>
      </c>
      <c r="V188" s="349"/>
    </row>
    <row r="189" spans="1:24" ht="27.75" customHeight="1">
      <c r="A189" s="186">
        <v>20</v>
      </c>
      <c r="B189" s="205" t="s">
        <v>40</v>
      </c>
      <c r="C189" s="346" t="s">
        <v>338</v>
      </c>
      <c r="D189" s="141">
        <v>1220</v>
      </c>
      <c r="E189" s="43" t="s">
        <v>26</v>
      </c>
      <c r="F189" s="44">
        <v>0</v>
      </c>
      <c r="G189" s="45">
        <v>0</v>
      </c>
      <c r="H189" s="45">
        <v>0</v>
      </c>
      <c r="I189" s="47">
        <v>0</v>
      </c>
      <c r="J189" s="113">
        <v>45932</v>
      </c>
      <c r="K189" s="114" t="s">
        <v>580</v>
      </c>
      <c r="L189" s="347">
        <v>1220</v>
      </c>
      <c r="M189" s="94" t="s">
        <v>26</v>
      </c>
      <c r="N189" s="116">
        <v>0</v>
      </c>
      <c r="O189" s="233">
        <f t="shared" si="47"/>
        <v>0</v>
      </c>
      <c r="P189" s="233"/>
      <c r="Q189" s="47">
        <f t="shared" si="48"/>
        <v>0</v>
      </c>
      <c r="R189" s="39"/>
      <c r="S189" s="55"/>
      <c r="T189" s="55"/>
      <c r="U189" s="56"/>
      <c r="V189" s="349"/>
    </row>
    <row r="190" spans="1:24" ht="27.75" customHeight="1">
      <c r="A190" s="186">
        <v>21</v>
      </c>
      <c r="B190" s="205" t="s">
        <v>40</v>
      </c>
      <c r="C190" s="346" t="s">
        <v>339</v>
      </c>
      <c r="D190" s="141">
        <v>1220</v>
      </c>
      <c r="E190" s="43" t="s">
        <v>26</v>
      </c>
      <c r="F190" s="44">
        <v>0</v>
      </c>
      <c r="G190" s="45">
        <v>0</v>
      </c>
      <c r="H190" s="45">
        <v>0</v>
      </c>
      <c r="I190" s="47">
        <v>0</v>
      </c>
      <c r="J190" s="113">
        <v>45932</v>
      </c>
      <c r="K190" s="114" t="s">
        <v>580</v>
      </c>
      <c r="L190" s="347">
        <v>1220</v>
      </c>
      <c r="M190" s="94" t="s">
        <v>26</v>
      </c>
      <c r="N190" s="116">
        <v>0</v>
      </c>
      <c r="O190" s="233">
        <f t="shared" si="47"/>
        <v>0</v>
      </c>
      <c r="P190" s="233"/>
      <c r="Q190" s="47">
        <f t="shared" si="48"/>
        <v>0</v>
      </c>
      <c r="R190" s="39"/>
      <c r="S190" s="55"/>
      <c r="T190" s="55"/>
      <c r="U190" s="56"/>
      <c r="V190" s="349"/>
    </row>
    <row r="191" spans="1:24" ht="27.75" customHeight="1">
      <c r="A191" s="186">
        <v>22</v>
      </c>
      <c r="B191" s="40" t="s">
        <v>43</v>
      </c>
      <c r="C191" s="346" t="s">
        <v>340</v>
      </c>
      <c r="D191" s="141">
        <v>1410</v>
      </c>
      <c r="E191" s="43" t="s">
        <v>45</v>
      </c>
      <c r="F191" s="44">
        <v>0</v>
      </c>
      <c r="G191" s="45">
        <v>0</v>
      </c>
      <c r="H191" s="45">
        <v>0</v>
      </c>
      <c r="I191" s="47">
        <v>0</v>
      </c>
      <c r="J191" s="113">
        <v>45931</v>
      </c>
      <c r="K191" s="114" t="s">
        <v>581</v>
      </c>
      <c r="L191" s="347">
        <v>1410</v>
      </c>
      <c r="M191" s="94" t="s">
        <v>45</v>
      </c>
      <c r="N191" s="116">
        <v>0</v>
      </c>
      <c r="O191" s="233">
        <f t="shared" si="47"/>
        <v>0</v>
      </c>
      <c r="P191" s="233"/>
      <c r="Q191" s="47">
        <f t="shared" si="48"/>
        <v>0</v>
      </c>
      <c r="R191" s="348" t="s">
        <v>195</v>
      </c>
      <c r="S191" s="299" t="s">
        <v>307</v>
      </c>
      <c r="T191" s="299" t="s">
        <v>308</v>
      </c>
      <c r="U191" s="56">
        <v>7320</v>
      </c>
      <c r="V191" s="349" t="s">
        <v>342</v>
      </c>
      <c r="W191" s="295" t="s">
        <v>289</v>
      </c>
      <c r="X191" s="4" t="s">
        <v>343</v>
      </c>
    </row>
    <row r="192" spans="1:24" ht="27.75" customHeight="1">
      <c r="A192" s="186">
        <v>23</v>
      </c>
      <c r="B192" s="40" t="s">
        <v>43</v>
      </c>
      <c r="C192" s="346" t="s">
        <v>344</v>
      </c>
      <c r="D192" s="141">
        <v>1410</v>
      </c>
      <c r="E192" s="43" t="s">
        <v>45</v>
      </c>
      <c r="F192" s="44">
        <v>0</v>
      </c>
      <c r="G192" s="45">
        <v>0</v>
      </c>
      <c r="H192" s="45">
        <v>0</v>
      </c>
      <c r="I192" s="47">
        <v>0</v>
      </c>
      <c r="J192" s="113">
        <v>45931</v>
      </c>
      <c r="K192" s="114" t="s">
        <v>581</v>
      </c>
      <c r="L192" s="347">
        <v>1410</v>
      </c>
      <c r="M192" s="94" t="s">
        <v>45</v>
      </c>
      <c r="N192" s="116">
        <v>0</v>
      </c>
      <c r="O192" s="233">
        <f t="shared" si="47"/>
        <v>0</v>
      </c>
      <c r="P192" s="233"/>
      <c r="Q192" s="47">
        <f t="shared" si="48"/>
        <v>0</v>
      </c>
      <c r="R192" s="348"/>
      <c r="S192" s="299"/>
      <c r="T192" s="299"/>
      <c r="U192" s="56"/>
      <c r="V192" s="349"/>
      <c r="W192" s="295"/>
    </row>
    <row r="193" spans="1:24" ht="27.75" customHeight="1">
      <c r="A193" s="186">
        <v>24</v>
      </c>
      <c r="B193" s="40" t="s">
        <v>345</v>
      </c>
      <c r="C193" s="346" t="s">
        <v>346</v>
      </c>
      <c r="D193" s="141">
        <v>1410</v>
      </c>
      <c r="E193" s="43" t="s">
        <v>45</v>
      </c>
      <c r="F193" s="44">
        <v>0</v>
      </c>
      <c r="G193" s="45">
        <v>0</v>
      </c>
      <c r="H193" s="45">
        <v>0</v>
      </c>
      <c r="I193" s="47">
        <v>0</v>
      </c>
      <c r="J193" s="113">
        <v>45933</v>
      </c>
      <c r="K193" s="114" t="s">
        <v>582</v>
      </c>
      <c r="L193" s="347">
        <v>1410</v>
      </c>
      <c r="M193" s="94" t="s">
        <v>45</v>
      </c>
      <c r="N193" s="116">
        <v>0</v>
      </c>
      <c r="O193" s="233">
        <f t="shared" si="47"/>
        <v>0</v>
      </c>
      <c r="P193" s="233"/>
      <c r="Q193" s="47">
        <f t="shared" si="48"/>
        <v>0</v>
      </c>
      <c r="R193" s="39" t="s">
        <v>195</v>
      </c>
      <c r="S193" s="55">
        <v>43313</v>
      </c>
      <c r="T193" s="55">
        <v>44408</v>
      </c>
      <c r="U193" s="56">
        <v>12720</v>
      </c>
      <c r="V193" s="349"/>
    </row>
    <row r="194" spans="1:24" ht="27.75" customHeight="1">
      <c r="A194" s="186">
        <v>25</v>
      </c>
      <c r="B194" s="40" t="s">
        <v>345</v>
      </c>
      <c r="C194" s="346" t="s">
        <v>348</v>
      </c>
      <c r="D194" s="141">
        <v>1410</v>
      </c>
      <c r="E194" s="43" t="s">
        <v>45</v>
      </c>
      <c r="F194" s="44">
        <v>0</v>
      </c>
      <c r="G194" s="45">
        <v>0</v>
      </c>
      <c r="H194" s="45">
        <v>0</v>
      </c>
      <c r="I194" s="47">
        <v>0</v>
      </c>
      <c r="J194" s="113">
        <v>45933</v>
      </c>
      <c r="K194" s="114" t="s">
        <v>582</v>
      </c>
      <c r="L194" s="347">
        <v>1410</v>
      </c>
      <c r="M194" s="94" t="s">
        <v>45</v>
      </c>
      <c r="N194" s="116">
        <v>0</v>
      </c>
      <c r="O194" s="233">
        <f t="shared" si="47"/>
        <v>0</v>
      </c>
      <c r="P194" s="233"/>
      <c r="Q194" s="47">
        <f t="shared" si="48"/>
        <v>0</v>
      </c>
      <c r="R194" s="39"/>
      <c r="S194" s="55"/>
      <c r="T194" s="55"/>
      <c r="U194" s="56"/>
      <c r="V194" s="349"/>
    </row>
    <row r="195" spans="1:24" ht="27.75" customHeight="1">
      <c r="A195" s="186">
        <v>26</v>
      </c>
      <c r="B195" s="40" t="s">
        <v>345</v>
      </c>
      <c r="C195" s="346" t="s">
        <v>349</v>
      </c>
      <c r="D195" s="141">
        <v>1410</v>
      </c>
      <c r="E195" s="43" t="s">
        <v>45</v>
      </c>
      <c r="F195" s="44">
        <v>0</v>
      </c>
      <c r="G195" s="45">
        <v>0</v>
      </c>
      <c r="H195" s="45">
        <v>0</v>
      </c>
      <c r="I195" s="47">
        <v>0</v>
      </c>
      <c r="J195" s="113">
        <v>45933</v>
      </c>
      <c r="K195" s="114" t="s">
        <v>582</v>
      </c>
      <c r="L195" s="347">
        <v>1410</v>
      </c>
      <c r="M195" s="94" t="s">
        <v>45</v>
      </c>
      <c r="N195" s="116">
        <v>0</v>
      </c>
      <c r="O195" s="233">
        <f t="shared" si="47"/>
        <v>0</v>
      </c>
      <c r="P195" s="233"/>
      <c r="Q195" s="47">
        <f t="shared" si="48"/>
        <v>0</v>
      </c>
      <c r="R195" s="39"/>
      <c r="S195" s="55"/>
      <c r="T195" s="55"/>
      <c r="U195" s="56"/>
      <c r="V195" s="349"/>
    </row>
    <row r="196" spans="1:24" ht="27.75" customHeight="1">
      <c r="A196" s="186">
        <v>27</v>
      </c>
      <c r="B196" s="40" t="s">
        <v>345</v>
      </c>
      <c r="C196" s="346" t="s">
        <v>350</v>
      </c>
      <c r="D196" s="141">
        <v>1410</v>
      </c>
      <c r="E196" s="43" t="s">
        <v>45</v>
      </c>
      <c r="F196" s="44">
        <v>0</v>
      </c>
      <c r="G196" s="45">
        <v>0</v>
      </c>
      <c r="H196" s="45">
        <v>0</v>
      </c>
      <c r="I196" s="47">
        <v>0</v>
      </c>
      <c r="J196" s="113">
        <v>45933</v>
      </c>
      <c r="K196" s="114" t="s">
        <v>582</v>
      </c>
      <c r="L196" s="347">
        <v>1410</v>
      </c>
      <c r="M196" s="94" t="s">
        <v>45</v>
      </c>
      <c r="N196" s="116">
        <v>0</v>
      </c>
      <c r="O196" s="233">
        <f t="shared" si="47"/>
        <v>0</v>
      </c>
      <c r="P196" s="233"/>
      <c r="Q196" s="47">
        <f t="shared" si="48"/>
        <v>0</v>
      </c>
      <c r="R196" s="39"/>
      <c r="S196" s="55"/>
      <c r="T196" s="55"/>
      <c r="U196" s="56"/>
      <c r="V196" s="349"/>
    </row>
    <row r="197" spans="1:24" ht="27.75" customHeight="1">
      <c r="A197" s="186">
        <v>28</v>
      </c>
      <c r="B197" s="40" t="s">
        <v>351</v>
      </c>
      <c r="C197" s="346" t="s">
        <v>352</v>
      </c>
      <c r="D197" s="141">
        <v>1410</v>
      </c>
      <c r="E197" s="43" t="s">
        <v>45</v>
      </c>
      <c r="F197" s="44">
        <v>0</v>
      </c>
      <c r="G197" s="45">
        <v>0</v>
      </c>
      <c r="H197" s="45">
        <v>0</v>
      </c>
      <c r="I197" s="47">
        <v>0</v>
      </c>
      <c r="J197" s="113">
        <v>45934</v>
      </c>
      <c r="K197" s="114" t="s">
        <v>583</v>
      </c>
      <c r="L197" s="347">
        <v>1410</v>
      </c>
      <c r="M197" s="94" t="s">
        <v>45</v>
      </c>
      <c r="N197" s="116">
        <v>0</v>
      </c>
      <c r="O197" s="233">
        <f t="shared" si="47"/>
        <v>0</v>
      </c>
      <c r="P197" s="233"/>
      <c r="Q197" s="47">
        <f t="shared" si="48"/>
        <v>0</v>
      </c>
      <c r="R197" s="39" t="s">
        <v>195</v>
      </c>
      <c r="S197" s="55">
        <v>43313</v>
      </c>
      <c r="T197" s="55">
        <v>44408</v>
      </c>
      <c r="U197" s="56">
        <v>9540</v>
      </c>
      <c r="V197" s="349"/>
    </row>
    <row r="198" spans="1:24" ht="27.75" customHeight="1">
      <c r="A198" s="186">
        <v>29</v>
      </c>
      <c r="B198" s="40" t="s">
        <v>351</v>
      </c>
      <c r="C198" s="346" t="s">
        <v>354</v>
      </c>
      <c r="D198" s="141">
        <v>1410</v>
      </c>
      <c r="E198" s="43" t="s">
        <v>45</v>
      </c>
      <c r="F198" s="44">
        <v>0</v>
      </c>
      <c r="G198" s="45">
        <v>0</v>
      </c>
      <c r="H198" s="45">
        <v>0</v>
      </c>
      <c r="I198" s="47">
        <v>0</v>
      </c>
      <c r="J198" s="113">
        <v>45934</v>
      </c>
      <c r="K198" s="114" t="s">
        <v>583</v>
      </c>
      <c r="L198" s="347">
        <v>1410</v>
      </c>
      <c r="M198" s="94" t="s">
        <v>45</v>
      </c>
      <c r="N198" s="116">
        <v>0</v>
      </c>
      <c r="O198" s="233">
        <f t="shared" si="47"/>
        <v>0</v>
      </c>
      <c r="P198" s="233"/>
      <c r="Q198" s="47">
        <f t="shared" si="48"/>
        <v>0</v>
      </c>
      <c r="R198" s="39"/>
      <c r="S198" s="55"/>
      <c r="T198" s="55"/>
      <c r="U198" s="56"/>
      <c r="V198" s="349"/>
    </row>
    <row r="199" spans="1:24" ht="27.75" customHeight="1">
      <c r="A199" s="186">
        <v>30</v>
      </c>
      <c r="B199" s="40" t="s">
        <v>351</v>
      </c>
      <c r="C199" s="346" t="s">
        <v>355</v>
      </c>
      <c r="D199" s="141">
        <v>1410</v>
      </c>
      <c r="E199" s="43" t="s">
        <v>45</v>
      </c>
      <c r="F199" s="44">
        <v>0</v>
      </c>
      <c r="G199" s="45">
        <v>0</v>
      </c>
      <c r="H199" s="45"/>
      <c r="I199" s="47">
        <v>0</v>
      </c>
      <c r="J199" s="113">
        <v>45934</v>
      </c>
      <c r="K199" s="114" t="s">
        <v>583</v>
      </c>
      <c r="L199" s="347">
        <v>1410</v>
      </c>
      <c r="M199" s="94" t="s">
        <v>45</v>
      </c>
      <c r="N199" s="116">
        <v>0</v>
      </c>
      <c r="O199" s="233">
        <f t="shared" si="47"/>
        <v>0</v>
      </c>
      <c r="P199" s="233"/>
      <c r="Q199" s="47">
        <f t="shared" si="48"/>
        <v>0</v>
      </c>
      <c r="R199" s="39"/>
      <c r="S199" s="55"/>
      <c r="T199" s="55"/>
      <c r="U199" s="56"/>
      <c r="V199" s="349"/>
    </row>
    <row r="200" spans="1:24" ht="27.75" customHeight="1">
      <c r="A200" s="186">
        <v>31</v>
      </c>
      <c r="B200" s="40" t="s">
        <v>356</v>
      </c>
      <c r="C200" s="346" t="s">
        <v>357</v>
      </c>
      <c r="D200" s="141">
        <v>1410</v>
      </c>
      <c r="E200" s="43"/>
      <c r="F200" s="44"/>
      <c r="G200" s="45">
        <v>0</v>
      </c>
      <c r="H200" s="45"/>
      <c r="I200" s="47">
        <v>0</v>
      </c>
      <c r="J200" s="113">
        <v>45932</v>
      </c>
      <c r="K200" s="114" t="s">
        <v>584</v>
      </c>
      <c r="L200" s="347">
        <v>1410</v>
      </c>
      <c r="M200" s="94" t="s">
        <v>45</v>
      </c>
      <c r="N200" s="116">
        <v>0</v>
      </c>
      <c r="O200" s="233">
        <f t="shared" si="47"/>
        <v>0</v>
      </c>
      <c r="P200" s="233"/>
      <c r="Q200" s="47">
        <f t="shared" si="48"/>
        <v>0</v>
      </c>
      <c r="R200" s="39" t="s">
        <v>195</v>
      </c>
      <c r="S200" s="55">
        <v>42217</v>
      </c>
      <c r="T200" s="55">
        <v>43312</v>
      </c>
      <c r="U200" s="56">
        <v>8280</v>
      </c>
      <c r="V200" s="349" t="s">
        <v>359</v>
      </c>
    </row>
    <row r="201" spans="1:24" ht="27.75" customHeight="1">
      <c r="A201" s="186">
        <v>32</v>
      </c>
      <c r="B201" s="40" t="s">
        <v>356</v>
      </c>
      <c r="C201" s="346" t="s">
        <v>360</v>
      </c>
      <c r="D201" s="141">
        <v>1410</v>
      </c>
      <c r="E201" s="43"/>
      <c r="F201" s="44"/>
      <c r="G201" s="45">
        <v>0</v>
      </c>
      <c r="H201" s="45"/>
      <c r="I201" s="47">
        <v>0</v>
      </c>
      <c r="J201" s="113">
        <v>45932</v>
      </c>
      <c r="K201" s="114" t="s">
        <v>584</v>
      </c>
      <c r="L201" s="347">
        <v>1410</v>
      </c>
      <c r="M201" s="94" t="s">
        <v>45</v>
      </c>
      <c r="N201" s="116">
        <v>0</v>
      </c>
      <c r="O201" s="233">
        <f t="shared" si="47"/>
        <v>0</v>
      </c>
      <c r="P201" s="233"/>
      <c r="Q201" s="47">
        <f t="shared" si="48"/>
        <v>0</v>
      </c>
      <c r="R201" s="39"/>
      <c r="S201" s="55"/>
      <c r="T201" s="55"/>
      <c r="U201" s="56"/>
      <c r="V201" s="349"/>
    </row>
    <row r="202" spans="1:24" ht="27.75" customHeight="1">
      <c r="A202" s="186">
        <v>33</v>
      </c>
      <c r="B202" s="40" t="s">
        <v>356</v>
      </c>
      <c r="C202" s="346" t="s">
        <v>361</v>
      </c>
      <c r="D202" s="141">
        <v>1410</v>
      </c>
      <c r="E202" s="43"/>
      <c r="F202" s="44"/>
      <c r="G202" s="45">
        <v>0</v>
      </c>
      <c r="H202" s="45"/>
      <c r="I202" s="47">
        <v>0</v>
      </c>
      <c r="J202" s="113">
        <v>45932</v>
      </c>
      <c r="K202" s="114" t="s">
        <v>584</v>
      </c>
      <c r="L202" s="347">
        <v>1410</v>
      </c>
      <c r="M202" s="94" t="s">
        <v>45</v>
      </c>
      <c r="N202" s="116">
        <v>0</v>
      </c>
      <c r="O202" s="233">
        <f t="shared" si="47"/>
        <v>0</v>
      </c>
      <c r="P202" s="233"/>
      <c r="Q202" s="47">
        <f t="shared" si="48"/>
        <v>0</v>
      </c>
      <c r="R202" s="39"/>
      <c r="S202" s="55"/>
      <c r="T202" s="55"/>
      <c r="U202" s="56"/>
      <c r="V202" s="349"/>
    </row>
    <row r="203" spans="1:24" ht="27.75" customHeight="1">
      <c r="A203" s="186">
        <v>34</v>
      </c>
      <c r="B203" s="40" t="s">
        <v>362</v>
      </c>
      <c r="C203" s="346" t="s">
        <v>363</v>
      </c>
      <c r="D203" s="141">
        <v>1410</v>
      </c>
      <c r="E203" s="43" t="s">
        <v>45</v>
      </c>
      <c r="F203" s="44">
        <v>0</v>
      </c>
      <c r="G203" s="45">
        <v>0</v>
      </c>
      <c r="H203" s="45"/>
      <c r="I203" s="47">
        <v>0</v>
      </c>
      <c r="J203" s="113">
        <v>45931</v>
      </c>
      <c r="K203" s="114" t="s">
        <v>585</v>
      </c>
      <c r="L203" s="347">
        <v>1410</v>
      </c>
      <c r="M203" s="94" t="s">
        <v>45</v>
      </c>
      <c r="N203" s="116">
        <v>0</v>
      </c>
      <c r="O203" s="233">
        <f t="shared" si="47"/>
        <v>0</v>
      </c>
      <c r="P203" s="233"/>
      <c r="Q203" s="47">
        <f t="shared" si="48"/>
        <v>0</v>
      </c>
      <c r="R203" s="348" t="s">
        <v>195</v>
      </c>
      <c r="S203" s="299" t="s">
        <v>307</v>
      </c>
      <c r="T203" s="299" t="s">
        <v>308</v>
      </c>
      <c r="U203" s="56">
        <v>21960</v>
      </c>
      <c r="V203" s="349" t="s">
        <v>365</v>
      </c>
      <c r="W203" s="295" t="s">
        <v>289</v>
      </c>
      <c r="X203" s="40" t="s">
        <v>366</v>
      </c>
    </row>
    <row r="204" spans="1:24" ht="27.75" customHeight="1">
      <c r="A204" s="186">
        <v>35</v>
      </c>
      <c r="B204" s="40" t="s">
        <v>362</v>
      </c>
      <c r="C204" s="346" t="s">
        <v>367</v>
      </c>
      <c r="D204" s="141">
        <v>1410</v>
      </c>
      <c r="E204" s="43" t="s">
        <v>45</v>
      </c>
      <c r="F204" s="44">
        <v>0</v>
      </c>
      <c r="G204" s="45">
        <v>0</v>
      </c>
      <c r="H204" s="45"/>
      <c r="I204" s="47">
        <v>0</v>
      </c>
      <c r="J204" s="113">
        <v>45931</v>
      </c>
      <c r="K204" s="114" t="s">
        <v>585</v>
      </c>
      <c r="L204" s="347">
        <v>1410</v>
      </c>
      <c r="M204" s="94" t="s">
        <v>45</v>
      </c>
      <c r="N204" s="116">
        <v>0</v>
      </c>
      <c r="O204" s="233">
        <f t="shared" si="47"/>
        <v>0</v>
      </c>
      <c r="P204" s="233"/>
      <c r="Q204" s="47">
        <f t="shared" si="48"/>
        <v>0</v>
      </c>
      <c r="R204" s="348"/>
      <c r="S204" s="299"/>
      <c r="T204" s="299"/>
      <c r="U204" s="56"/>
      <c r="V204" s="349"/>
      <c r="W204" s="295"/>
      <c r="X204" s="350"/>
    </row>
    <row r="205" spans="1:24" ht="27.75" customHeight="1">
      <c r="A205" s="186">
        <v>36</v>
      </c>
      <c r="B205" s="40" t="s">
        <v>362</v>
      </c>
      <c r="C205" s="346" t="s">
        <v>368</v>
      </c>
      <c r="D205" s="141">
        <v>1410</v>
      </c>
      <c r="E205" s="43" t="s">
        <v>45</v>
      </c>
      <c r="F205" s="44">
        <v>0</v>
      </c>
      <c r="G205" s="45">
        <v>0</v>
      </c>
      <c r="H205" s="45"/>
      <c r="I205" s="47">
        <v>0</v>
      </c>
      <c r="J205" s="113">
        <v>45931</v>
      </c>
      <c r="K205" s="114" t="s">
        <v>585</v>
      </c>
      <c r="L205" s="347">
        <v>1410</v>
      </c>
      <c r="M205" s="94" t="s">
        <v>45</v>
      </c>
      <c r="N205" s="116">
        <v>0</v>
      </c>
      <c r="O205" s="233">
        <f t="shared" si="47"/>
        <v>0</v>
      </c>
      <c r="P205" s="233"/>
      <c r="Q205" s="47">
        <f t="shared" si="48"/>
        <v>0</v>
      </c>
      <c r="R205" s="348"/>
      <c r="S205" s="299"/>
      <c r="T205" s="299"/>
      <c r="U205" s="56"/>
      <c r="V205" s="349"/>
      <c r="W205" s="295"/>
      <c r="X205" s="350"/>
    </row>
    <row r="206" spans="1:24" ht="27.75" customHeight="1">
      <c r="A206" s="186">
        <v>37</v>
      </c>
      <c r="B206" s="40" t="s">
        <v>362</v>
      </c>
      <c r="C206" s="346" t="s">
        <v>369</v>
      </c>
      <c r="D206" s="141">
        <v>1410</v>
      </c>
      <c r="E206" s="43" t="s">
        <v>45</v>
      </c>
      <c r="F206" s="44">
        <v>0</v>
      </c>
      <c r="G206" s="45">
        <v>0</v>
      </c>
      <c r="H206" s="45"/>
      <c r="I206" s="47">
        <v>0</v>
      </c>
      <c r="J206" s="113">
        <v>45931</v>
      </c>
      <c r="K206" s="114" t="s">
        <v>585</v>
      </c>
      <c r="L206" s="347">
        <v>1410</v>
      </c>
      <c r="M206" s="94" t="s">
        <v>45</v>
      </c>
      <c r="N206" s="116">
        <v>0</v>
      </c>
      <c r="O206" s="233">
        <f t="shared" si="47"/>
        <v>0</v>
      </c>
      <c r="P206" s="233"/>
      <c r="Q206" s="47">
        <f t="shared" si="48"/>
        <v>0</v>
      </c>
      <c r="R206" s="348"/>
      <c r="S206" s="299"/>
      <c r="T206" s="299"/>
      <c r="U206" s="56"/>
      <c r="V206" s="349"/>
      <c r="W206" s="295"/>
      <c r="X206" s="350"/>
    </row>
    <row r="207" spans="1:24" ht="27.75" customHeight="1">
      <c r="A207" s="186">
        <v>38</v>
      </c>
      <c r="B207" s="40" t="s">
        <v>362</v>
      </c>
      <c r="C207" s="346" t="s">
        <v>370</v>
      </c>
      <c r="D207" s="141">
        <v>1410</v>
      </c>
      <c r="E207" s="43" t="s">
        <v>45</v>
      </c>
      <c r="F207" s="44">
        <v>0</v>
      </c>
      <c r="G207" s="45">
        <v>0</v>
      </c>
      <c r="H207" s="45"/>
      <c r="I207" s="47">
        <v>0</v>
      </c>
      <c r="J207" s="113">
        <v>45931</v>
      </c>
      <c r="K207" s="114" t="s">
        <v>585</v>
      </c>
      <c r="L207" s="347">
        <v>1410</v>
      </c>
      <c r="M207" s="94" t="s">
        <v>45</v>
      </c>
      <c r="N207" s="116">
        <v>0</v>
      </c>
      <c r="O207" s="233">
        <f t="shared" si="47"/>
        <v>0</v>
      </c>
      <c r="P207" s="233"/>
      <c r="Q207" s="47">
        <f t="shared" si="48"/>
        <v>0</v>
      </c>
      <c r="R207" s="348"/>
      <c r="S207" s="299"/>
      <c r="T207" s="299"/>
      <c r="U207" s="56"/>
      <c r="V207" s="349"/>
      <c r="W207" s="295"/>
      <c r="X207" s="350"/>
    </row>
    <row r="208" spans="1:24" ht="27.75" customHeight="1">
      <c r="A208" s="186">
        <v>39</v>
      </c>
      <c r="B208" s="40" t="s">
        <v>362</v>
      </c>
      <c r="C208" s="346" t="s">
        <v>371</v>
      </c>
      <c r="D208" s="141">
        <v>1410</v>
      </c>
      <c r="E208" s="43" t="s">
        <v>45</v>
      </c>
      <c r="F208" s="44">
        <v>0</v>
      </c>
      <c r="G208" s="45">
        <v>0</v>
      </c>
      <c r="H208" s="45"/>
      <c r="I208" s="47">
        <v>0</v>
      </c>
      <c r="J208" s="113">
        <v>45931</v>
      </c>
      <c r="K208" s="114" t="s">
        <v>585</v>
      </c>
      <c r="L208" s="347">
        <v>1410</v>
      </c>
      <c r="M208" s="94" t="s">
        <v>45</v>
      </c>
      <c r="N208" s="116">
        <v>0</v>
      </c>
      <c r="O208" s="233">
        <f t="shared" si="47"/>
        <v>0</v>
      </c>
      <c r="P208" s="233"/>
      <c r="Q208" s="47">
        <f t="shared" si="48"/>
        <v>0</v>
      </c>
      <c r="R208" s="348"/>
      <c r="S208" s="299"/>
      <c r="T208" s="299"/>
      <c r="U208" s="56"/>
      <c r="V208" s="349"/>
      <c r="W208" s="295"/>
      <c r="X208" s="350"/>
    </row>
    <row r="209" spans="1:24" ht="27.75" customHeight="1">
      <c r="A209" s="186">
        <v>40</v>
      </c>
      <c r="B209" s="40" t="s">
        <v>372</v>
      </c>
      <c r="C209" s="346" t="s">
        <v>373</v>
      </c>
      <c r="D209" s="141">
        <v>1410</v>
      </c>
      <c r="E209" s="43" t="s">
        <v>45</v>
      </c>
      <c r="F209" s="44">
        <v>0</v>
      </c>
      <c r="G209" s="45">
        <v>0</v>
      </c>
      <c r="H209" s="45"/>
      <c r="I209" s="47">
        <v>0</v>
      </c>
      <c r="J209" s="113">
        <v>45931</v>
      </c>
      <c r="K209" s="114" t="s">
        <v>586</v>
      </c>
      <c r="L209" s="347">
        <v>1410</v>
      </c>
      <c r="M209" s="94" t="s">
        <v>45</v>
      </c>
      <c r="N209" s="116">
        <v>0</v>
      </c>
      <c r="O209" s="233">
        <f t="shared" si="47"/>
        <v>0</v>
      </c>
      <c r="P209" s="233"/>
      <c r="Q209" s="47">
        <f t="shared" si="48"/>
        <v>0</v>
      </c>
      <c r="R209" s="348" t="s">
        <v>195</v>
      </c>
      <c r="S209" s="299" t="s">
        <v>307</v>
      </c>
      <c r="T209" s="299" t="s">
        <v>308</v>
      </c>
      <c r="U209" s="56">
        <v>14640</v>
      </c>
      <c r="V209" s="349" t="s">
        <v>375</v>
      </c>
      <c r="W209" s="295" t="s">
        <v>289</v>
      </c>
      <c r="X209" s="4" t="s">
        <v>376</v>
      </c>
    </row>
    <row r="210" spans="1:24" ht="27.75" customHeight="1">
      <c r="A210" s="186">
        <v>41</v>
      </c>
      <c r="B210" s="40" t="s">
        <v>372</v>
      </c>
      <c r="C210" s="346" t="s">
        <v>377</v>
      </c>
      <c r="D210" s="141">
        <v>1410</v>
      </c>
      <c r="E210" s="43" t="s">
        <v>45</v>
      </c>
      <c r="F210" s="44">
        <v>0</v>
      </c>
      <c r="G210" s="45">
        <v>0</v>
      </c>
      <c r="H210" s="45"/>
      <c r="I210" s="47">
        <v>0</v>
      </c>
      <c r="J210" s="113">
        <v>45931</v>
      </c>
      <c r="K210" s="114" t="s">
        <v>586</v>
      </c>
      <c r="L210" s="347">
        <v>1410</v>
      </c>
      <c r="M210" s="94" t="s">
        <v>45</v>
      </c>
      <c r="N210" s="116">
        <v>0</v>
      </c>
      <c r="O210" s="233">
        <f t="shared" si="47"/>
        <v>0</v>
      </c>
      <c r="P210" s="233"/>
      <c r="Q210" s="47">
        <f t="shared" si="48"/>
        <v>0</v>
      </c>
      <c r="R210" s="348"/>
      <c r="S210" s="299"/>
      <c r="T210" s="299"/>
      <c r="U210" s="56"/>
      <c r="V210" s="349"/>
      <c r="W210" s="295"/>
    </row>
    <row r="211" spans="1:24" ht="27.75" customHeight="1">
      <c r="A211" s="186">
        <v>42</v>
      </c>
      <c r="B211" s="40" t="s">
        <v>372</v>
      </c>
      <c r="C211" s="346" t="s">
        <v>378</v>
      </c>
      <c r="D211" s="141">
        <v>1410</v>
      </c>
      <c r="E211" s="43" t="s">
        <v>45</v>
      </c>
      <c r="F211" s="44">
        <v>0</v>
      </c>
      <c r="G211" s="45">
        <v>0</v>
      </c>
      <c r="H211" s="45"/>
      <c r="I211" s="47">
        <v>0</v>
      </c>
      <c r="J211" s="113">
        <v>45931</v>
      </c>
      <c r="K211" s="114" t="s">
        <v>586</v>
      </c>
      <c r="L211" s="347">
        <v>1410</v>
      </c>
      <c r="M211" s="94" t="s">
        <v>45</v>
      </c>
      <c r="N211" s="116">
        <v>0</v>
      </c>
      <c r="O211" s="233">
        <f t="shared" si="47"/>
        <v>0</v>
      </c>
      <c r="P211" s="233"/>
      <c r="Q211" s="47">
        <f t="shared" si="48"/>
        <v>0</v>
      </c>
      <c r="R211" s="348"/>
      <c r="S211" s="299"/>
      <c r="T211" s="299"/>
      <c r="U211" s="56"/>
      <c r="V211" s="349"/>
      <c r="W211" s="295"/>
    </row>
    <row r="212" spans="1:24" ht="27.75" customHeight="1">
      <c r="A212" s="186">
        <v>43</v>
      </c>
      <c r="B212" s="40" t="s">
        <v>372</v>
      </c>
      <c r="C212" s="346" t="s">
        <v>379</v>
      </c>
      <c r="D212" s="141">
        <v>1410</v>
      </c>
      <c r="E212" s="43" t="s">
        <v>45</v>
      </c>
      <c r="F212" s="44">
        <v>0</v>
      </c>
      <c r="G212" s="45">
        <v>0</v>
      </c>
      <c r="H212" s="45"/>
      <c r="I212" s="47">
        <v>0</v>
      </c>
      <c r="J212" s="113">
        <v>45931</v>
      </c>
      <c r="K212" s="114" t="s">
        <v>586</v>
      </c>
      <c r="L212" s="347">
        <v>1410</v>
      </c>
      <c r="M212" s="94" t="s">
        <v>45</v>
      </c>
      <c r="N212" s="116">
        <v>0</v>
      </c>
      <c r="O212" s="233">
        <f t="shared" si="47"/>
        <v>0</v>
      </c>
      <c r="P212" s="233"/>
      <c r="Q212" s="47">
        <f t="shared" si="48"/>
        <v>0</v>
      </c>
      <c r="R212" s="348"/>
      <c r="S212" s="299"/>
      <c r="T212" s="299"/>
      <c r="U212" s="56"/>
      <c r="V212" s="349"/>
      <c r="W212" s="295"/>
    </row>
    <row r="213" spans="1:24" ht="27.75" customHeight="1">
      <c r="A213" s="186">
        <v>44</v>
      </c>
      <c r="B213" s="40" t="s">
        <v>380</v>
      </c>
      <c r="C213" s="346" t="s">
        <v>381</v>
      </c>
      <c r="D213" s="141">
        <v>1410</v>
      </c>
      <c r="E213" s="43" t="s">
        <v>45</v>
      </c>
      <c r="F213" s="44">
        <v>0</v>
      </c>
      <c r="G213" s="45">
        <v>0</v>
      </c>
      <c r="H213" s="45"/>
      <c r="I213" s="47">
        <v>0</v>
      </c>
      <c r="J213" s="175">
        <v>45935</v>
      </c>
      <c r="K213" s="176" t="s">
        <v>587</v>
      </c>
      <c r="L213" s="222">
        <v>1410</v>
      </c>
      <c r="M213" s="94" t="s">
        <v>45</v>
      </c>
      <c r="N213" s="116">
        <v>0</v>
      </c>
      <c r="O213" s="233">
        <f t="shared" si="47"/>
        <v>0</v>
      </c>
      <c r="P213" s="233"/>
      <c r="Q213" s="47">
        <f t="shared" si="48"/>
        <v>0</v>
      </c>
      <c r="R213" s="348" t="s">
        <v>195</v>
      </c>
      <c r="S213" s="299" t="s">
        <v>307</v>
      </c>
      <c r="T213" s="299" t="s">
        <v>308</v>
      </c>
      <c r="U213" s="56">
        <v>14640</v>
      </c>
      <c r="V213" s="349" t="s">
        <v>383</v>
      </c>
      <c r="W213" s="295" t="s">
        <v>289</v>
      </c>
      <c r="X213" s="4" t="s">
        <v>384</v>
      </c>
    </row>
    <row r="214" spans="1:24" ht="27.75" customHeight="1">
      <c r="A214" s="186">
        <v>45</v>
      </c>
      <c r="B214" s="40" t="s">
        <v>380</v>
      </c>
      <c r="C214" s="346" t="s">
        <v>385</v>
      </c>
      <c r="D214" s="141">
        <v>1410</v>
      </c>
      <c r="E214" s="43" t="s">
        <v>45</v>
      </c>
      <c r="F214" s="44">
        <v>0</v>
      </c>
      <c r="G214" s="45">
        <v>0</v>
      </c>
      <c r="H214" s="45"/>
      <c r="I214" s="47">
        <v>0</v>
      </c>
      <c r="J214" s="175">
        <v>45935</v>
      </c>
      <c r="K214" s="176" t="s">
        <v>587</v>
      </c>
      <c r="L214" s="222">
        <v>1410</v>
      </c>
      <c r="M214" s="94" t="s">
        <v>45</v>
      </c>
      <c r="N214" s="116">
        <v>0</v>
      </c>
      <c r="O214" s="233">
        <f t="shared" si="47"/>
        <v>0</v>
      </c>
      <c r="P214" s="233"/>
      <c r="Q214" s="47">
        <f t="shared" si="48"/>
        <v>0</v>
      </c>
      <c r="R214" s="348"/>
      <c r="S214" s="299"/>
      <c r="T214" s="299"/>
      <c r="U214" s="56"/>
      <c r="V214" s="349"/>
      <c r="W214" s="295"/>
    </row>
    <row r="215" spans="1:24" ht="27.75" customHeight="1">
      <c r="A215" s="186">
        <v>46</v>
      </c>
      <c r="B215" s="40" t="s">
        <v>380</v>
      </c>
      <c r="C215" s="346" t="s">
        <v>386</v>
      </c>
      <c r="D215" s="141">
        <v>1410</v>
      </c>
      <c r="E215" s="43" t="s">
        <v>45</v>
      </c>
      <c r="F215" s="44">
        <v>0</v>
      </c>
      <c r="G215" s="45">
        <v>0</v>
      </c>
      <c r="H215" s="45"/>
      <c r="I215" s="47">
        <v>0</v>
      </c>
      <c r="J215" s="175">
        <v>45935</v>
      </c>
      <c r="K215" s="176" t="s">
        <v>587</v>
      </c>
      <c r="L215" s="222">
        <v>1410</v>
      </c>
      <c r="M215" s="94" t="s">
        <v>45</v>
      </c>
      <c r="N215" s="116">
        <v>0</v>
      </c>
      <c r="O215" s="233">
        <f t="shared" si="47"/>
        <v>0</v>
      </c>
      <c r="P215" s="233"/>
      <c r="Q215" s="47">
        <f t="shared" si="48"/>
        <v>0</v>
      </c>
      <c r="R215" s="348"/>
      <c r="S215" s="299"/>
      <c r="T215" s="299"/>
      <c r="U215" s="56"/>
      <c r="V215" s="349"/>
      <c r="W215" s="295"/>
    </row>
    <row r="216" spans="1:24" ht="27.75" customHeight="1">
      <c r="A216" s="186">
        <v>47</v>
      </c>
      <c r="B216" s="40" t="s">
        <v>380</v>
      </c>
      <c r="C216" s="346" t="s">
        <v>387</v>
      </c>
      <c r="D216" s="141">
        <v>1410</v>
      </c>
      <c r="E216" s="43" t="s">
        <v>45</v>
      </c>
      <c r="F216" s="44">
        <v>0</v>
      </c>
      <c r="G216" s="45">
        <v>0</v>
      </c>
      <c r="H216" s="45"/>
      <c r="I216" s="47">
        <v>0</v>
      </c>
      <c r="J216" s="175">
        <v>45935</v>
      </c>
      <c r="K216" s="176" t="s">
        <v>587</v>
      </c>
      <c r="L216" s="222">
        <v>1410</v>
      </c>
      <c r="M216" s="94" t="s">
        <v>45</v>
      </c>
      <c r="N216" s="116">
        <v>0</v>
      </c>
      <c r="O216" s="233">
        <f t="shared" si="47"/>
        <v>0</v>
      </c>
      <c r="P216" s="233"/>
      <c r="Q216" s="47">
        <f t="shared" si="48"/>
        <v>0</v>
      </c>
      <c r="R216" s="348"/>
      <c r="S216" s="299"/>
      <c r="T216" s="299"/>
      <c r="U216" s="56"/>
      <c r="V216" s="349"/>
      <c r="W216" s="295"/>
    </row>
    <row r="217" spans="1:24" ht="27.75" customHeight="1">
      <c r="A217" s="186">
        <v>48</v>
      </c>
      <c r="B217" s="351" t="s">
        <v>66</v>
      </c>
      <c r="C217" s="346" t="s">
        <v>388</v>
      </c>
      <c r="D217" s="141">
        <v>1760</v>
      </c>
      <c r="E217" s="43" t="s">
        <v>45</v>
      </c>
      <c r="F217" s="44">
        <v>0</v>
      </c>
      <c r="G217" s="45">
        <v>0</v>
      </c>
      <c r="H217" s="45"/>
      <c r="I217" s="47">
        <v>0</v>
      </c>
      <c r="J217" s="175"/>
      <c r="K217" s="176"/>
      <c r="L217" s="222">
        <v>0</v>
      </c>
      <c r="M217" s="94" t="s">
        <v>32</v>
      </c>
      <c r="N217" s="116">
        <v>1</v>
      </c>
      <c r="O217" s="233">
        <f t="shared" si="47"/>
        <v>1760</v>
      </c>
      <c r="P217" s="233"/>
      <c r="Q217" s="47">
        <f t="shared" si="48"/>
        <v>1760</v>
      </c>
      <c r="R217" s="39" t="s">
        <v>195</v>
      </c>
      <c r="S217" s="55">
        <v>43313</v>
      </c>
      <c r="T217" s="55">
        <v>44408</v>
      </c>
      <c r="U217" s="56">
        <v>11925</v>
      </c>
      <c r="V217" s="349"/>
    </row>
    <row r="218" spans="1:24" ht="27.75" customHeight="1">
      <c r="A218" s="186">
        <v>49</v>
      </c>
      <c r="B218" s="351" t="s">
        <v>66</v>
      </c>
      <c r="C218" s="346" t="s">
        <v>390</v>
      </c>
      <c r="D218" s="141">
        <v>1760</v>
      </c>
      <c r="E218" s="43" t="s">
        <v>45</v>
      </c>
      <c r="F218" s="44">
        <v>0</v>
      </c>
      <c r="G218" s="45">
        <v>0</v>
      </c>
      <c r="H218" s="45"/>
      <c r="I218" s="47">
        <v>0</v>
      </c>
      <c r="J218" s="175"/>
      <c r="K218" s="176"/>
      <c r="L218" s="222">
        <v>0</v>
      </c>
      <c r="M218" s="94" t="s">
        <v>32</v>
      </c>
      <c r="N218" s="116">
        <v>1</v>
      </c>
      <c r="O218" s="233">
        <f t="shared" si="47"/>
        <v>1760</v>
      </c>
      <c r="P218" s="233"/>
      <c r="Q218" s="47">
        <f t="shared" si="48"/>
        <v>1760</v>
      </c>
      <c r="R218" s="39"/>
      <c r="S218" s="55"/>
      <c r="T218" s="55"/>
      <c r="U218" s="56"/>
      <c r="V218" s="349"/>
    </row>
    <row r="219" spans="1:24" ht="27.75" customHeight="1">
      <c r="A219" s="186">
        <v>50</v>
      </c>
      <c r="B219" s="351" t="s">
        <v>66</v>
      </c>
      <c r="C219" s="346" t="s">
        <v>391</v>
      </c>
      <c r="D219" s="141">
        <v>1760</v>
      </c>
      <c r="E219" s="43" t="s">
        <v>45</v>
      </c>
      <c r="F219" s="44">
        <v>0</v>
      </c>
      <c r="G219" s="45">
        <v>0</v>
      </c>
      <c r="H219" s="45"/>
      <c r="I219" s="47">
        <v>0</v>
      </c>
      <c r="J219" s="175"/>
      <c r="K219" s="176"/>
      <c r="L219" s="222">
        <v>0</v>
      </c>
      <c r="M219" s="94" t="s">
        <v>32</v>
      </c>
      <c r="N219" s="116">
        <v>1</v>
      </c>
      <c r="O219" s="233">
        <f t="shared" si="47"/>
        <v>1760</v>
      </c>
      <c r="P219" s="233"/>
      <c r="Q219" s="47">
        <f t="shared" si="48"/>
        <v>1760</v>
      </c>
      <c r="R219" s="39"/>
      <c r="S219" s="55"/>
      <c r="T219" s="55"/>
      <c r="U219" s="56"/>
      <c r="V219" s="349"/>
    </row>
    <row r="220" spans="1:24" ht="27.75" customHeight="1">
      <c r="A220" s="186">
        <v>51</v>
      </c>
      <c r="B220" s="351" t="s">
        <v>66</v>
      </c>
      <c r="C220" s="346" t="s">
        <v>69</v>
      </c>
      <c r="D220" s="141">
        <v>2720</v>
      </c>
      <c r="E220" s="43" t="s">
        <v>45</v>
      </c>
      <c r="F220" s="44">
        <v>0</v>
      </c>
      <c r="G220" s="45">
        <v>0</v>
      </c>
      <c r="H220" s="45"/>
      <c r="I220" s="47">
        <v>0</v>
      </c>
      <c r="J220" s="175"/>
      <c r="K220" s="176"/>
      <c r="L220" s="222">
        <v>0</v>
      </c>
      <c r="M220" s="94" t="s">
        <v>32</v>
      </c>
      <c r="N220" s="116">
        <v>1</v>
      </c>
      <c r="O220" s="233">
        <f t="shared" si="47"/>
        <v>2720</v>
      </c>
      <c r="P220" s="233"/>
      <c r="Q220" s="47">
        <f t="shared" si="48"/>
        <v>2720</v>
      </c>
      <c r="R220" s="39" t="s">
        <v>195</v>
      </c>
      <c r="S220" s="55">
        <v>43313</v>
      </c>
      <c r="T220" s="55">
        <v>44408</v>
      </c>
      <c r="U220" s="56">
        <v>9000</v>
      </c>
      <c r="V220" s="349"/>
    </row>
    <row r="221" spans="1:24" ht="27.75" customHeight="1">
      <c r="A221" s="94"/>
      <c r="B221" s="352" t="s">
        <v>393</v>
      </c>
      <c r="C221" s="353"/>
      <c r="D221" s="296"/>
      <c r="E221" s="64"/>
      <c r="F221" s="44"/>
      <c r="G221" s="45"/>
      <c r="H221" s="45"/>
      <c r="I221" s="354"/>
      <c r="J221" s="183"/>
      <c r="K221" s="355"/>
      <c r="L221" s="231"/>
      <c r="M221" s="186"/>
      <c r="N221" s="116"/>
      <c r="O221" s="233"/>
      <c r="P221" s="233"/>
      <c r="Q221" s="17"/>
      <c r="R221" s="356"/>
      <c r="S221" s="55"/>
      <c r="T221" s="55"/>
      <c r="U221" s="56"/>
      <c r="V221" s="349"/>
    </row>
    <row r="222" spans="1:24" ht="27.75" customHeight="1">
      <c r="A222" s="94"/>
      <c r="B222" s="352" t="s">
        <v>394</v>
      </c>
      <c r="C222" s="353"/>
      <c r="D222" s="296"/>
      <c r="E222" s="64"/>
      <c r="F222" s="44"/>
      <c r="G222" s="45"/>
      <c r="H222" s="45"/>
      <c r="I222" s="354"/>
      <c r="J222" s="175"/>
      <c r="K222" s="355"/>
      <c r="L222" s="222"/>
      <c r="M222" s="186"/>
      <c r="N222" s="116"/>
      <c r="O222" s="233"/>
      <c r="P222" s="233"/>
      <c r="Q222" s="17"/>
      <c r="R222" s="356"/>
      <c r="S222" s="55"/>
      <c r="T222" s="55"/>
      <c r="U222" s="56"/>
      <c r="V222" s="349"/>
    </row>
    <row r="223" spans="1:24" ht="27.75" customHeight="1" thickBot="1">
      <c r="A223" s="357"/>
      <c r="B223" s="358"/>
      <c r="C223" s="359"/>
      <c r="D223" s="360">
        <f>SUM(D170:D222)</f>
        <v>73700</v>
      </c>
      <c r="E223" s="100"/>
      <c r="F223" s="101"/>
      <c r="G223" s="102">
        <v>0</v>
      </c>
      <c r="H223" s="102">
        <v>0</v>
      </c>
      <c r="I223" s="102">
        <v>0</v>
      </c>
      <c r="J223" s="361"/>
      <c r="K223" s="361"/>
      <c r="L223" s="362">
        <f>SUM(L170:L222)</f>
        <v>51600</v>
      </c>
      <c r="M223" s="106"/>
      <c r="N223" s="107"/>
      <c r="O223" s="363">
        <f>SUM(O170:O222)</f>
        <v>8000</v>
      </c>
      <c r="P223" s="363">
        <f t="shared" ref="P223:Q223" si="49">SUM(P170:P222)</f>
        <v>0</v>
      </c>
      <c r="Q223" s="363">
        <f t="shared" si="49"/>
        <v>8000</v>
      </c>
      <c r="R223" s="356"/>
      <c r="S223" s="55"/>
      <c r="T223" s="55"/>
      <c r="U223" s="56"/>
      <c r="V223" s="349"/>
    </row>
    <row r="224" spans="1:24" ht="27.75" customHeight="1" thickTop="1">
      <c r="A224" s="94"/>
      <c r="B224" s="364" t="s">
        <v>395</v>
      </c>
      <c r="C224" s="81"/>
      <c r="D224" s="192"/>
      <c r="E224" s="365"/>
      <c r="F224" s="126"/>
      <c r="G224" s="65"/>
      <c r="H224" s="65"/>
      <c r="I224" s="85"/>
      <c r="J224" s="178"/>
      <c r="K224" s="179"/>
      <c r="L224" s="264"/>
      <c r="M224" s="83"/>
      <c r="N224" s="251"/>
      <c r="O224" s="337"/>
      <c r="P224" s="337"/>
      <c r="Q224" s="85"/>
      <c r="R224" s="39"/>
      <c r="S224" s="55"/>
      <c r="T224" s="55"/>
      <c r="U224" s="56"/>
      <c r="V224" s="56"/>
    </row>
    <row r="225" spans="1:24" ht="27.75" customHeight="1">
      <c r="A225" s="94">
        <v>1</v>
      </c>
      <c r="B225" s="366" t="s">
        <v>167</v>
      </c>
      <c r="C225" s="367" t="s">
        <v>396</v>
      </c>
      <c r="D225" s="141">
        <v>22690</v>
      </c>
      <c r="E225" s="43" t="s">
        <v>45</v>
      </c>
      <c r="F225" s="44">
        <v>0</v>
      </c>
      <c r="G225" s="45">
        <v>0</v>
      </c>
      <c r="H225" s="45"/>
      <c r="I225" s="47">
        <v>0</v>
      </c>
      <c r="J225" s="175">
        <v>45936</v>
      </c>
      <c r="K225" s="176" t="s">
        <v>588</v>
      </c>
      <c r="L225" s="222">
        <v>22690</v>
      </c>
      <c r="M225" s="94" t="s">
        <v>45</v>
      </c>
      <c r="N225" s="116">
        <v>0</v>
      </c>
      <c r="O225" s="233">
        <f t="shared" ref="O225" si="50">+I225+D225-L225</f>
        <v>0</v>
      </c>
      <c r="P225" s="233"/>
      <c r="Q225" s="368">
        <f t="shared" ref="Q225" si="51">+O225+P225</f>
        <v>0</v>
      </c>
      <c r="R225" s="348" t="s">
        <v>195</v>
      </c>
      <c r="S225" s="299">
        <v>44166</v>
      </c>
      <c r="T225" s="299">
        <v>45260</v>
      </c>
      <c r="U225" s="149">
        <v>51450</v>
      </c>
      <c r="V225" s="369" t="s">
        <v>398</v>
      </c>
      <c r="W225" s="4" t="s">
        <v>399</v>
      </c>
      <c r="X225" s="4" t="s">
        <v>400</v>
      </c>
    </row>
    <row r="226" spans="1:24" ht="27.75" customHeight="1">
      <c r="A226" s="94"/>
      <c r="B226" s="366" t="s">
        <v>401</v>
      </c>
      <c r="C226" s="367" t="s">
        <v>402</v>
      </c>
      <c r="D226" s="141"/>
      <c r="E226" s="43"/>
      <c r="F226" s="44"/>
      <c r="G226" s="45"/>
      <c r="H226" s="45"/>
      <c r="I226" s="47"/>
      <c r="J226" s="175"/>
      <c r="K226" s="176"/>
      <c r="L226" s="222"/>
      <c r="M226" s="94"/>
      <c r="N226" s="116"/>
      <c r="O226" s="233"/>
      <c r="P226" s="233"/>
      <c r="Q226" s="368"/>
      <c r="R226" s="348"/>
      <c r="S226" s="299"/>
      <c r="T226" s="299"/>
      <c r="U226" s="149"/>
      <c r="V226" s="369"/>
    </row>
    <row r="227" spans="1:24" ht="27.75" customHeight="1">
      <c r="A227" s="94">
        <v>2</v>
      </c>
      <c r="B227" s="366" t="s">
        <v>24</v>
      </c>
      <c r="C227" s="367" t="s">
        <v>403</v>
      </c>
      <c r="D227" s="141">
        <v>13300</v>
      </c>
      <c r="E227" s="43" t="s">
        <v>26</v>
      </c>
      <c r="F227" s="44">
        <v>0</v>
      </c>
      <c r="G227" s="45">
        <v>0</v>
      </c>
      <c r="H227" s="45"/>
      <c r="I227" s="47">
        <v>0</v>
      </c>
      <c r="J227" s="175">
        <v>45933</v>
      </c>
      <c r="K227" s="176" t="s">
        <v>589</v>
      </c>
      <c r="L227" s="222">
        <v>13300</v>
      </c>
      <c r="M227" s="94" t="s">
        <v>26</v>
      </c>
      <c r="N227" s="116">
        <v>0</v>
      </c>
      <c r="O227" s="233">
        <f t="shared" ref="O227" si="52">+I227+D227-L227</f>
        <v>0</v>
      </c>
      <c r="P227" s="233"/>
      <c r="Q227" s="368">
        <f t="shared" ref="Q227" si="53">+O227+P227</f>
        <v>0</v>
      </c>
      <c r="R227" s="348" t="s">
        <v>405</v>
      </c>
      <c r="S227" s="299">
        <v>44562</v>
      </c>
      <c r="T227" s="299" t="s">
        <v>406</v>
      </c>
      <c r="U227" s="149">
        <v>34680</v>
      </c>
      <c r="V227" s="370" t="s">
        <v>407</v>
      </c>
      <c r="W227" s="295" t="s">
        <v>289</v>
      </c>
      <c r="X227" s="4" t="s">
        <v>408</v>
      </c>
    </row>
    <row r="228" spans="1:24" ht="27.75" customHeight="1">
      <c r="A228" s="94"/>
      <c r="B228" s="366" t="s">
        <v>409</v>
      </c>
      <c r="C228" s="367" t="s">
        <v>410</v>
      </c>
      <c r="D228" s="141"/>
      <c r="E228" s="43"/>
      <c r="F228" s="44"/>
      <c r="G228" s="45"/>
      <c r="H228" s="45"/>
      <c r="I228" s="47"/>
      <c r="J228" s="175"/>
      <c r="K228" s="176"/>
      <c r="L228" s="222"/>
      <c r="M228" s="94"/>
      <c r="N228" s="116"/>
      <c r="O228" s="233"/>
      <c r="P228" s="233"/>
      <c r="Q228" s="368"/>
      <c r="R228" s="348"/>
      <c r="S228" s="299"/>
      <c r="T228" s="299"/>
      <c r="U228" s="149"/>
      <c r="V228" s="370"/>
      <c r="W228" s="295"/>
    </row>
    <row r="229" spans="1:24" ht="27.75" customHeight="1">
      <c r="A229" s="94">
        <v>3</v>
      </c>
      <c r="B229" s="366" t="s">
        <v>411</v>
      </c>
      <c r="C229" s="367" t="s">
        <v>412</v>
      </c>
      <c r="D229" s="141">
        <v>5360</v>
      </c>
      <c r="E229" s="43" t="s">
        <v>45</v>
      </c>
      <c r="F229" s="44">
        <v>0</v>
      </c>
      <c r="G229" s="45">
        <v>0</v>
      </c>
      <c r="H229" s="45"/>
      <c r="I229" s="47">
        <v>0</v>
      </c>
      <c r="J229" s="175">
        <v>45933</v>
      </c>
      <c r="K229" s="176" t="s">
        <v>590</v>
      </c>
      <c r="L229" s="222">
        <v>5360</v>
      </c>
      <c r="M229" s="94" t="s">
        <v>45</v>
      </c>
      <c r="N229" s="116">
        <v>0</v>
      </c>
      <c r="O229" s="233">
        <f t="shared" ref="O229" si="54">+I229+D229-L229</f>
        <v>0</v>
      </c>
      <c r="P229" s="233"/>
      <c r="Q229" s="368">
        <f t="shared" ref="Q229" si="55">+O229+P229</f>
        <v>0</v>
      </c>
      <c r="R229" s="348" t="s">
        <v>405</v>
      </c>
      <c r="S229" s="299">
        <v>44562</v>
      </c>
      <c r="T229" s="299">
        <v>45503</v>
      </c>
      <c r="U229" s="149">
        <v>13980</v>
      </c>
      <c r="V229" s="371" t="s">
        <v>414</v>
      </c>
      <c r="W229" s="295" t="s">
        <v>289</v>
      </c>
      <c r="X229" s="4" t="s">
        <v>415</v>
      </c>
    </row>
    <row r="230" spans="1:24" ht="27.75" customHeight="1">
      <c r="A230" s="94"/>
      <c r="B230" s="366" t="s">
        <v>409</v>
      </c>
      <c r="C230" s="367" t="s">
        <v>416</v>
      </c>
      <c r="D230" s="141"/>
      <c r="E230" s="43"/>
      <c r="F230" s="44"/>
      <c r="G230" s="45"/>
      <c r="H230" s="45"/>
      <c r="I230" s="47"/>
      <c r="J230" s="175"/>
      <c r="K230" s="176"/>
      <c r="L230" s="222"/>
      <c r="N230" s="116"/>
      <c r="O230" s="233"/>
      <c r="P230" s="233"/>
      <c r="Q230" s="368"/>
      <c r="R230" s="348"/>
      <c r="S230" s="299"/>
      <c r="T230" s="299"/>
      <c r="U230" s="149"/>
      <c r="V230" s="371"/>
      <c r="W230" s="295"/>
    </row>
    <row r="231" spans="1:24" ht="27.75" customHeight="1">
      <c r="A231" s="94">
        <v>4</v>
      </c>
      <c r="B231" s="366" t="s">
        <v>417</v>
      </c>
      <c r="C231" s="367" t="s">
        <v>418</v>
      </c>
      <c r="D231" s="141">
        <v>68108.75</v>
      </c>
      <c r="E231" s="373" t="s">
        <v>75</v>
      </c>
      <c r="F231" s="374">
        <v>-0.49999992658799353</v>
      </c>
      <c r="G231" s="375">
        <v>-34054.370000000003</v>
      </c>
      <c r="H231" s="375"/>
      <c r="I231" s="376">
        <v>-34054.370000000003</v>
      </c>
      <c r="J231" s="175">
        <v>45954</v>
      </c>
      <c r="K231" s="176" t="s">
        <v>591</v>
      </c>
      <c r="L231" s="222">
        <v>68108.75</v>
      </c>
      <c r="M231" s="377" t="s">
        <v>75</v>
      </c>
      <c r="N231" s="116">
        <v>-0.49999992658799353</v>
      </c>
      <c r="O231" s="233">
        <f t="shared" ref="O231" si="56">+I231+D231-L231</f>
        <v>-34054.370000000003</v>
      </c>
      <c r="P231" s="233"/>
      <c r="Q231" s="368">
        <f t="shared" ref="Q231" si="57">+O231+P231</f>
        <v>-34054.370000000003</v>
      </c>
      <c r="R231" s="39" t="s">
        <v>195</v>
      </c>
      <c r="S231" s="55">
        <v>40072</v>
      </c>
      <c r="T231" s="55">
        <v>41167</v>
      </c>
      <c r="U231" s="56">
        <v>132250</v>
      </c>
      <c r="V231" s="378" t="s">
        <v>420</v>
      </c>
    </row>
    <row r="232" spans="1:24" ht="27.75" customHeight="1">
      <c r="A232" s="94"/>
      <c r="B232" s="366" t="s">
        <v>409</v>
      </c>
      <c r="C232" s="379"/>
      <c r="D232" s="141"/>
      <c r="E232" s="43"/>
      <c r="F232" s="44"/>
      <c r="G232" s="45">
        <v>0</v>
      </c>
      <c r="H232" s="45"/>
      <c r="I232" s="47">
        <v>0</v>
      </c>
      <c r="J232" s="175"/>
      <c r="K232" s="176"/>
      <c r="L232" s="222"/>
      <c r="M232" s="94"/>
      <c r="N232" s="116"/>
      <c r="O232" s="233">
        <f t="shared" ref="O232:O233" si="58">D232+I232-L232</f>
        <v>0</v>
      </c>
      <c r="P232" s="233"/>
      <c r="Q232" s="368">
        <f t="shared" ref="Q232:Q233" si="59">O232</f>
        <v>0</v>
      </c>
      <c r="R232" s="39"/>
      <c r="S232" s="55"/>
      <c r="T232" s="55"/>
      <c r="U232" s="56"/>
      <c r="V232" s="56"/>
    </row>
    <row r="233" spans="1:24" ht="27.75" customHeight="1">
      <c r="A233" s="94">
        <v>5</v>
      </c>
      <c r="B233" s="366" t="s">
        <v>417</v>
      </c>
      <c r="C233" s="367" t="s">
        <v>421</v>
      </c>
      <c r="D233" s="141">
        <v>4910</v>
      </c>
      <c r="E233" s="43" t="s">
        <v>45</v>
      </c>
      <c r="F233" s="44">
        <v>0</v>
      </c>
      <c r="G233" s="45">
        <v>0</v>
      </c>
      <c r="H233" s="45">
        <v>0</v>
      </c>
      <c r="I233" s="47">
        <v>0</v>
      </c>
      <c r="J233" s="175">
        <v>45931</v>
      </c>
      <c r="K233" s="176" t="s">
        <v>592</v>
      </c>
      <c r="L233" s="222">
        <v>4910</v>
      </c>
      <c r="M233" s="94" t="s">
        <v>45</v>
      </c>
      <c r="N233" s="116">
        <v>0</v>
      </c>
      <c r="O233" s="233">
        <f t="shared" si="58"/>
        <v>0</v>
      </c>
      <c r="P233" s="233">
        <v>0</v>
      </c>
      <c r="Q233" s="368">
        <f t="shared" si="59"/>
        <v>0</v>
      </c>
      <c r="R233" s="348" t="s">
        <v>195</v>
      </c>
      <c r="S233" s="299" t="s">
        <v>423</v>
      </c>
      <c r="T233" s="299" t="s">
        <v>406</v>
      </c>
      <c r="U233" s="56">
        <v>6420</v>
      </c>
      <c r="V233" s="56" t="s">
        <v>424</v>
      </c>
      <c r="W233" s="295" t="s">
        <v>289</v>
      </c>
      <c r="X233" s="4" t="s">
        <v>425</v>
      </c>
    </row>
    <row r="234" spans="1:24" ht="27.75" customHeight="1">
      <c r="A234" s="94"/>
      <c r="B234" s="366" t="s">
        <v>426</v>
      </c>
      <c r="C234" s="366" t="s">
        <v>427</v>
      </c>
      <c r="D234" s="141"/>
      <c r="E234" s="43"/>
      <c r="F234" s="44"/>
      <c r="G234" s="45"/>
      <c r="H234" s="45"/>
      <c r="I234" s="47"/>
      <c r="J234" s="175"/>
      <c r="K234" s="176"/>
      <c r="L234" s="222"/>
      <c r="M234" s="94"/>
      <c r="N234" s="116"/>
      <c r="O234" s="233"/>
      <c r="P234" s="233"/>
      <c r="Q234" s="368"/>
      <c r="R234" s="348"/>
      <c r="S234" s="299"/>
      <c r="T234" s="299"/>
      <c r="U234" s="56"/>
      <c r="V234" s="56"/>
      <c r="W234" s="295"/>
    </row>
    <row r="235" spans="1:24" ht="27.75" customHeight="1">
      <c r="A235" s="94">
        <v>6</v>
      </c>
      <c r="B235" s="366" t="s">
        <v>428</v>
      </c>
      <c r="C235" s="367" t="s">
        <v>429</v>
      </c>
      <c r="D235" s="141">
        <v>20000</v>
      </c>
      <c r="E235" s="43" t="s">
        <v>45</v>
      </c>
      <c r="F235" s="44">
        <v>0</v>
      </c>
      <c r="G235" s="45"/>
      <c r="H235" s="45"/>
      <c r="I235" s="47"/>
      <c r="J235" s="175">
        <v>45935</v>
      </c>
      <c r="K235" s="176" t="s">
        <v>593</v>
      </c>
      <c r="L235" s="222">
        <v>20000</v>
      </c>
      <c r="M235" s="94" t="s">
        <v>45</v>
      </c>
      <c r="N235" s="116">
        <v>0</v>
      </c>
      <c r="O235" s="233"/>
      <c r="P235" s="233"/>
      <c r="Q235" s="368"/>
      <c r="R235" s="348"/>
      <c r="S235" s="299"/>
      <c r="T235" s="299"/>
      <c r="U235" s="56"/>
      <c r="V235" s="56"/>
      <c r="W235" s="295"/>
    </row>
    <row r="236" spans="1:24" ht="27.75" customHeight="1">
      <c r="A236" s="94"/>
      <c r="B236" s="366" t="s">
        <v>431</v>
      </c>
      <c r="C236" s="366" t="s">
        <v>432</v>
      </c>
      <c r="D236" s="141"/>
      <c r="E236" s="43"/>
      <c r="F236" s="44"/>
      <c r="G236" s="45"/>
      <c r="H236" s="45"/>
      <c r="I236" s="47"/>
      <c r="J236" s="175"/>
      <c r="K236" s="176"/>
      <c r="L236" s="222"/>
      <c r="M236" s="94"/>
      <c r="N236" s="116"/>
      <c r="O236" s="233"/>
      <c r="P236" s="233"/>
      <c r="Q236" s="47"/>
      <c r="R236" s="39"/>
      <c r="S236" s="55"/>
      <c r="T236" s="55"/>
      <c r="U236" s="56"/>
      <c r="V236" s="56"/>
    </row>
    <row r="237" spans="1:24" ht="27.75" customHeight="1" thickBot="1">
      <c r="A237" s="193"/>
      <c r="B237" s="194" t="s">
        <v>22</v>
      </c>
      <c r="C237" s="195"/>
      <c r="D237" s="196">
        <f>SUM(D225:D236)</f>
        <v>134368.75</v>
      </c>
      <c r="E237" s="221"/>
      <c r="F237" s="197"/>
      <c r="G237" s="198">
        <v>0</v>
      </c>
      <c r="H237" s="198"/>
      <c r="I237" s="198">
        <v>0</v>
      </c>
      <c r="J237" s="199"/>
      <c r="K237" s="199"/>
      <c r="L237" s="196">
        <f>SUM(L225:L236)</f>
        <v>134368.75</v>
      </c>
      <c r="M237" s="200"/>
      <c r="N237" s="196"/>
      <c r="O237" s="198">
        <v>0</v>
      </c>
      <c r="P237" s="198"/>
      <c r="Q237" s="198">
        <v>0</v>
      </c>
      <c r="R237" s="36"/>
      <c r="S237" s="37"/>
      <c r="T237" s="37"/>
      <c r="U237" s="38"/>
      <c r="V237" s="38"/>
      <c r="W237" s="38"/>
    </row>
    <row r="238" spans="1:24" ht="27.75" customHeight="1" thickTop="1">
      <c r="A238" s="22"/>
      <c r="B238" s="288" t="s">
        <v>433</v>
      </c>
      <c r="C238" s="380"/>
      <c r="D238" s="284"/>
      <c r="E238" s="273"/>
      <c r="F238" s="274"/>
      <c r="G238" s="381"/>
      <c r="H238" s="381"/>
      <c r="I238" s="381"/>
      <c r="J238" s="382"/>
      <c r="K238" s="382"/>
      <c r="L238" s="383"/>
      <c r="M238" s="384"/>
      <c r="N238" s="284"/>
      <c r="O238" s="381"/>
      <c r="P238" s="381"/>
      <c r="Q238" s="381"/>
      <c r="R238" s="36"/>
      <c r="S238" s="37"/>
      <c r="T238" s="37"/>
      <c r="U238" s="38"/>
      <c r="V238" s="38"/>
      <c r="W238" s="38"/>
    </row>
    <row r="239" spans="1:24" ht="27.75" customHeight="1">
      <c r="A239" s="22">
        <v>1</v>
      </c>
      <c r="B239" s="270" t="s">
        <v>434</v>
      </c>
      <c r="C239" s="380" t="s">
        <v>435</v>
      </c>
      <c r="D239" s="284">
        <v>0</v>
      </c>
      <c r="E239" s="273"/>
      <c r="F239" s="274"/>
      <c r="G239" s="381">
        <v>-6.3664629124104977E-12</v>
      </c>
      <c r="H239" s="381"/>
      <c r="I239" s="381">
        <v>-6.3664629124104977E-12</v>
      </c>
      <c r="J239" s="385"/>
      <c r="K239" s="386"/>
      <c r="L239" s="383"/>
      <c r="M239" s="387"/>
      <c r="N239" s="116"/>
      <c r="O239" s="388">
        <f>D239+I239-L239</f>
        <v>-6.3664629124104977E-12</v>
      </c>
      <c r="P239" s="388"/>
      <c r="Q239" s="376">
        <f>O239</f>
        <v>-6.3664629124104977E-12</v>
      </c>
      <c r="R239" s="36"/>
      <c r="S239" s="37"/>
      <c r="T239" s="37"/>
      <c r="U239" s="38"/>
      <c r="V239" s="38"/>
      <c r="W239" s="38"/>
    </row>
    <row r="240" spans="1:24" ht="27.75" customHeight="1">
      <c r="A240" s="22"/>
      <c r="B240" s="270" t="s">
        <v>436</v>
      </c>
      <c r="C240" s="380" t="s">
        <v>437</v>
      </c>
      <c r="D240" s="284"/>
      <c r="E240" s="384"/>
      <c r="F240" s="274"/>
      <c r="G240" s="381"/>
      <c r="H240" s="381"/>
      <c r="I240" s="381"/>
      <c r="J240" s="382"/>
      <c r="K240" s="382"/>
      <c r="L240" s="383"/>
      <c r="M240" s="384"/>
      <c r="N240" s="284"/>
      <c r="O240" s="381"/>
      <c r="P240" s="381"/>
      <c r="Q240" s="381"/>
      <c r="R240" s="36"/>
      <c r="S240" s="37"/>
      <c r="T240" s="37"/>
      <c r="U240" s="38"/>
      <c r="V240" s="38"/>
      <c r="W240" s="38"/>
    </row>
    <row r="241" spans="1:25" ht="27.75" customHeight="1">
      <c r="A241" s="22">
        <v>2</v>
      </c>
      <c r="B241" s="270" t="s">
        <v>438</v>
      </c>
      <c r="C241" s="380" t="s">
        <v>439</v>
      </c>
      <c r="D241" s="284">
        <v>1500</v>
      </c>
      <c r="E241" s="384"/>
      <c r="F241" s="274"/>
      <c r="G241" s="381">
        <v>0</v>
      </c>
      <c r="H241" s="381">
        <v>0</v>
      </c>
      <c r="I241" s="381">
        <v>0</v>
      </c>
      <c r="J241" s="389">
        <v>45935</v>
      </c>
      <c r="K241" s="386" t="s">
        <v>595</v>
      </c>
      <c r="L241" s="383">
        <v>1500</v>
      </c>
      <c r="M241" s="390"/>
      <c r="N241" s="391"/>
      <c r="O241" s="381">
        <f>SUM(D241+G241-L241)</f>
        <v>0</v>
      </c>
      <c r="P241" s="381">
        <v>0</v>
      </c>
      <c r="Q241" s="381">
        <f>SUM(O241)</f>
        <v>0</v>
      </c>
      <c r="R241" s="36"/>
      <c r="S241" s="37"/>
      <c r="T241" s="37"/>
      <c r="U241" s="38"/>
      <c r="V241" s="38"/>
      <c r="W241" s="38"/>
    </row>
    <row r="242" spans="1:25" ht="27.75" customHeight="1" thickBot="1">
      <c r="A242" s="193"/>
      <c r="B242" s="194" t="s">
        <v>22</v>
      </c>
      <c r="C242" s="195"/>
      <c r="D242" s="196">
        <f>SUM(D239:D241)</f>
        <v>1500</v>
      </c>
      <c r="E242" s="221">
        <v>0</v>
      </c>
      <c r="F242" s="197"/>
      <c r="G242" s="392">
        <v>0</v>
      </c>
      <c r="H242" s="392">
        <v>0</v>
      </c>
      <c r="I242" s="392">
        <v>0</v>
      </c>
      <c r="J242" s="393">
        <v>0</v>
      </c>
      <c r="K242" s="393">
        <v>0</v>
      </c>
      <c r="L242" s="394">
        <f>SUM(L239:L241)</f>
        <v>1500</v>
      </c>
      <c r="M242" s="395"/>
      <c r="N242" s="392"/>
      <c r="O242" s="392">
        <f>SUM(O239:O241)</f>
        <v>-6.3664629124104977E-12</v>
      </c>
      <c r="P242" s="392">
        <f t="shared" ref="P242:Q242" si="60">SUM(P239:P241)</f>
        <v>0</v>
      </c>
      <c r="Q242" s="392">
        <f t="shared" si="60"/>
        <v>-6.3664629124104977E-12</v>
      </c>
      <c r="R242" s="36"/>
      <c r="S242" s="37"/>
      <c r="T242" s="37"/>
      <c r="U242" s="38"/>
      <c r="V242" s="38"/>
      <c r="W242" s="38"/>
    </row>
    <row r="243" spans="1:25" ht="27.75" customHeight="1" thickTop="1">
      <c r="A243" s="22"/>
      <c r="B243" s="288" t="s">
        <v>441</v>
      </c>
      <c r="C243" s="289"/>
      <c r="D243" s="272"/>
      <c r="E243" s="201"/>
      <c r="F243" s="281"/>
      <c r="G243" s="290"/>
      <c r="H243" s="290"/>
      <c r="I243" s="290"/>
      <c r="J243" s="291"/>
      <c r="K243" s="292"/>
      <c r="L243" s="222"/>
      <c r="M243" s="94"/>
      <c r="N243" s="39"/>
      <c r="O243" s="293"/>
      <c r="P243" s="293"/>
      <c r="Q243" s="294"/>
      <c r="R243" s="36"/>
      <c r="S243" s="37"/>
      <c r="T243" s="37"/>
      <c r="U243" s="38"/>
      <c r="V243" s="38"/>
      <c r="W243" s="38"/>
    </row>
    <row r="244" spans="1:25" ht="27.75" customHeight="1">
      <c r="A244" s="94">
        <v>1</v>
      </c>
      <c r="B244" s="40" t="s">
        <v>442</v>
      </c>
      <c r="C244" s="206" t="s">
        <v>443</v>
      </c>
      <c r="D244" s="296">
        <v>98948</v>
      </c>
      <c r="E244" s="43" t="s">
        <v>160</v>
      </c>
      <c r="F244" s="44">
        <v>-12</v>
      </c>
      <c r="G244" s="45">
        <v>-1187376</v>
      </c>
      <c r="H244" s="45"/>
      <c r="I244" s="47">
        <v>-1187376</v>
      </c>
      <c r="J244" s="175"/>
      <c r="K244" s="176"/>
      <c r="L244" s="222"/>
      <c r="M244" s="387" t="s">
        <v>535</v>
      </c>
      <c r="N244" s="116">
        <v>-11</v>
      </c>
      <c r="O244" s="233">
        <f t="shared" ref="O244" si="61">Q244</f>
        <v>-1088428</v>
      </c>
      <c r="P244" s="233"/>
      <c r="Q244" s="376">
        <f>D244+I244-L244</f>
        <v>-1088428</v>
      </c>
      <c r="R244" s="39" t="s">
        <v>446</v>
      </c>
      <c r="S244" s="55">
        <v>43952</v>
      </c>
      <c r="T244" s="55">
        <v>44561</v>
      </c>
      <c r="U244" s="56">
        <v>1032500</v>
      </c>
      <c r="V244" s="56" t="s">
        <v>447</v>
      </c>
    </row>
    <row r="245" spans="1:25" ht="27.75" customHeight="1">
      <c r="A245" s="94"/>
      <c r="B245" s="396" t="s">
        <v>448</v>
      </c>
      <c r="C245" s="206" t="s">
        <v>449</v>
      </c>
      <c r="D245" s="296"/>
      <c r="E245" s="64"/>
      <c r="F245" s="44"/>
      <c r="G245" s="45"/>
      <c r="H245" s="45"/>
      <c r="I245" s="47"/>
      <c r="J245" s="183"/>
      <c r="K245" s="184"/>
      <c r="L245" s="231"/>
      <c r="M245" s="186"/>
      <c r="N245" s="116"/>
      <c r="O245" s="233"/>
      <c r="P245" s="233"/>
      <c r="Q245" s="376"/>
      <c r="R245" s="297"/>
      <c r="S245" s="298"/>
      <c r="T245" s="298"/>
      <c r="U245" s="397"/>
      <c r="V245" s="397"/>
    </row>
    <row r="246" spans="1:25" ht="27.75" customHeight="1">
      <c r="A246" s="94"/>
      <c r="B246" s="396"/>
      <c r="C246" s="398" t="s">
        <v>450</v>
      </c>
      <c r="D246" s="296"/>
      <c r="E246" s="64"/>
      <c r="F246" s="44"/>
      <c r="G246" s="45"/>
      <c r="H246" s="45"/>
      <c r="I246" s="47"/>
      <c r="J246" s="183"/>
      <c r="K246" s="184"/>
      <c r="L246" s="231"/>
      <c r="M246" s="186"/>
      <c r="N246" s="116"/>
      <c r="O246" s="233"/>
      <c r="P246" s="233"/>
      <c r="Q246" s="376"/>
      <c r="R246" s="297"/>
      <c r="S246" s="298"/>
      <c r="T246" s="298"/>
      <c r="U246" s="397"/>
      <c r="V246" s="397"/>
    </row>
    <row r="247" spans="1:25" ht="27.75" customHeight="1">
      <c r="A247" s="94">
        <v>2</v>
      </c>
      <c r="B247" s="205" t="s">
        <v>451</v>
      </c>
      <c r="C247" s="206" t="s">
        <v>452</v>
      </c>
      <c r="D247" s="296">
        <v>48779</v>
      </c>
      <c r="E247" s="64" t="s">
        <v>455</v>
      </c>
      <c r="F247" s="44">
        <v>-13</v>
      </c>
      <c r="G247" s="45">
        <v>-670172</v>
      </c>
      <c r="H247" s="45"/>
      <c r="I247" s="47">
        <v>-670172</v>
      </c>
      <c r="J247" s="183"/>
      <c r="K247" s="184"/>
      <c r="L247" s="231"/>
      <c r="M247" s="399" t="s">
        <v>594</v>
      </c>
      <c r="N247" s="116">
        <v>-12.738945037823653</v>
      </c>
      <c r="O247" s="233">
        <f t="shared" ref="O247" si="62">Q247</f>
        <v>-621393</v>
      </c>
      <c r="P247" s="233"/>
      <c r="Q247" s="368">
        <f>D247+I247-L247</f>
        <v>-621393</v>
      </c>
      <c r="R247" s="172" t="s">
        <v>456</v>
      </c>
      <c r="S247" s="400" t="s">
        <v>457</v>
      </c>
      <c r="T247" s="400" t="s">
        <v>458</v>
      </c>
      <c r="U247" s="401">
        <v>442600</v>
      </c>
      <c r="V247" s="401" t="s">
        <v>459</v>
      </c>
    </row>
    <row r="248" spans="1:25" ht="27.75" customHeight="1">
      <c r="A248" s="232"/>
      <c r="B248" s="402" t="s">
        <v>460</v>
      </c>
      <c r="C248" s="206" t="s">
        <v>461</v>
      </c>
      <c r="D248" s="296"/>
      <c r="E248" s="64"/>
      <c r="F248" s="44"/>
      <c r="G248" s="45"/>
      <c r="H248" s="45"/>
      <c r="I248" s="47"/>
      <c r="J248" s="183"/>
      <c r="K248" s="184"/>
      <c r="L248" s="231"/>
      <c r="M248" s="186"/>
      <c r="N248" s="116"/>
      <c r="O248" s="233"/>
      <c r="P248" s="233"/>
      <c r="Q248" s="403"/>
      <c r="R248" s="172"/>
      <c r="S248" s="400"/>
      <c r="T248" s="400"/>
      <c r="U248" s="401"/>
      <c r="V248" s="401"/>
    </row>
    <row r="249" spans="1:25" ht="27.75" customHeight="1">
      <c r="A249" s="186"/>
      <c r="B249" s="404" t="s">
        <v>448</v>
      </c>
      <c r="C249" s="206" t="s">
        <v>462</v>
      </c>
      <c r="D249" s="296"/>
      <c r="E249" s="64"/>
      <c r="F249" s="44"/>
      <c r="G249" s="45"/>
      <c r="H249" s="45"/>
      <c r="I249" s="66"/>
      <c r="J249" s="183"/>
      <c r="K249" s="184"/>
      <c r="L249" s="231"/>
      <c r="M249" s="186"/>
      <c r="N249" s="116"/>
      <c r="O249" s="233"/>
      <c r="P249" s="233"/>
      <c r="Q249" s="403"/>
      <c r="R249" s="146" t="s">
        <v>463</v>
      </c>
      <c r="S249" s="148" t="s">
        <v>464</v>
      </c>
      <c r="T249" s="148" t="s">
        <v>465</v>
      </c>
      <c r="U249" s="149">
        <v>46000</v>
      </c>
      <c r="V249" s="149" t="s">
        <v>466</v>
      </c>
      <c r="W249" s="295" t="s">
        <v>289</v>
      </c>
      <c r="X249" s="4" t="s">
        <v>467</v>
      </c>
    </row>
    <row r="250" spans="1:25" ht="27.75" customHeight="1">
      <c r="A250" s="405"/>
      <c r="B250" s="406" t="s">
        <v>22</v>
      </c>
      <c r="C250" s="407"/>
      <c r="D250" s="408">
        <f>SUM(D244:D249)</f>
        <v>147727</v>
      </c>
      <c r="E250" s="409"/>
      <c r="F250" s="410"/>
      <c r="G250" s="239">
        <f>SUM(G244:G249)</f>
        <v>-1857548</v>
      </c>
      <c r="H250" s="239">
        <f t="shared" ref="H250:I250" si="63">SUM(H244:H249)</f>
        <v>0</v>
      </c>
      <c r="I250" s="239">
        <f t="shared" si="63"/>
        <v>-1857548</v>
      </c>
      <c r="J250" s="411"/>
      <c r="K250" s="411"/>
      <c r="L250" s="408">
        <f>SUM(L244:L247)</f>
        <v>0</v>
      </c>
      <c r="M250" s="412"/>
      <c r="N250" s="408"/>
      <c r="O250" s="239"/>
      <c r="P250" s="239">
        <f>SUM(P247:P249)</f>
        <v>0</v>
      </c>
      <c r="Q250" s="239"/>
      <c r="R250" s="278"/>
      <c r="S250" s="279"/>
      <c r="T250" s="279"/>
      <c r="U250" s="413"/>
      <c r="V250" s="413"/>
      <c r="W250" s="413"/>
    </row>
    <row r="251" spans="1:25" ht="27.75" customHeight="1" thickBot="1">
      <c r="A251" s="414"/>
      <c r="B251" s="415"/>
      <c r="C251" s="416" t="s">
        <v>468</v>
      </c>
      <c r="D251" s="417"/>
      <c r="E251" s="418"/>
      <c r="F251" s="419"/>
      <c r="G251" s="420">
        <f>SUM(G250+G242+G237+G223+G167+G156+G139+G123+G109+G93+G90+G83+G31+G27+G24)</f>
        <v>-1914868.0018691588</v>
      </c>
      <c r="H251" s="420">
        <f>SUM(H250+H242+H237+H223+H167+H156+H139+H123+H109+H93+H90+H83+H31+H27+H24)</f>
        <v>653.79999999999995</v>
      </c>
      <c r="I251" s="420">
        <f>SUM(I250+I242+I237+I223+I167+I156+I139+I123+I109+I93+I90+I83+I31+I27+I24)</f>
        <v>-1914214.2018691588</v>
      </c>
      <c r="J251" s="421"/>
      <c r="K251" s="421"/>
      <c r="L251" s="422">
        <f>SUM(L250+L242+L237+L223+L167+L156+L139+L123+L109+L93+L90+L83+L31+L27+L24)</f>
        <v>841865.55</v>
      </c>
      <c r="M251" s="423"/>
      <c r="N251" s="422"/>
      <c r="O251" s="420">
        <f>SUM(O250+O242+O237+O223+O167+O156+O139+O123+O109+O93+O90+O83+O31+O27+O24)</f>
        <v>47470.157009345785</v>
      </c>
      <c r="P251" s="420">
        <f>SUM(P250+P242+P237+P223+P167+P156+P139+P123+P109+P93+P90+P83+P31+P27+P24)</f>
        <v>2762.91</v>
      </c>
      <c r="Q251" s="420">
        <f>SUM(Q250+Q242+Q237+Q223+Q167+Q156+Q139+Q123+Q109+Q93+Q90+Q83+Q31+Q27+Q24)</f>
        <v>50233.067009345781</v>
      </c>
      <c r="R251" s="424"/>
      <c r="S251" s="425"/>
      <c r="T251" s="425"/>
      <c r="U251" s="345"/>
      <c r="V251" s="345"/>
      <c r="W251" s="345"/>
    </row>
    <row r="252" spans="1:25" ht="27.75" customHeight="1" thickTop="1">
      <c r="A252" s="426"/>
      <c r="B252" s="4"/>
      <c r="C252" s="295"/>
      <c r="D252" s="427"/>
      <c r="E252" s="428"/>
      <c r="F252" s="429"/>
      <c r="G252" s="430"/>
      <c r="H252" s="430"/>
      <c r="I252" s="430"/>
      <c r="J252" s="431"/>
      <c r="K252" s="432"/>
      <c r="L252" s="427"/>
      <c r="M252" s="433"/>
      <c r="N252" s="427"/>
      <c r="O252" s="430"/>
      <c r="P252" s="430"/>
      <c r="Q252" s="430"/>
      <c r="R252" s="424"/>
      <c r="S252" s="425"/>
      <c r="T252" s="425"/>
      <c r="U252" s="345"/>
      <c r="V252" s="345"/>
      <c r="W252" s="345"/>
    </row>
    <row r="253" spans="1:25" ht="27.75" customHeight="1">
      <c r="A253" s="426"/>
      <c r="B253" s="434" t="s">
        <v>469</v>
      </c>
      <c r="C253" s="295"/>
      <c r="D253" s="427"/>
      <c r="E253" s="428"/>
      <c r="F253" s="429"/>
      <c r="G253" s="430"/>
      <c r="H253" s="430"/>
      <c r="I253" s="430"/>
      <c r="J253" s="431"/>
      <c r="K253" s="432"/>
      <c r="L253" s="427"/>
      <c r="M253" s="433"/>
      <c r="N253" s="427"/>
      <c r="O253" s="430"/>
      <c r="P253" s="430"/>
      <c r="Q253" s="430"/>
      <c r="R253" s="424"/>
      <c r="S253" s="425"/>
      <c r="T253" s="425"/>
      <c r="U253" s="345"/>
      <c r="V253" s="345"/>
      <c r="W253" s="345"/>
    </row>
    <row r="254" spans="1:25" ht="27.75" customHeight="1">
      <c r="A254" s="435">
        <v>1</v>
      </c>
      <c r="B254" s="436" t="s">
        <v>470</v>
      </c>
      <c r="C254" s="437" t="s">
        <v>471</v>
      </c>
      <c r="D254" s="438" t="s">
        <v>472</v>
      </c>
      <c r="E254" s="439" t="s">
        <v>473</v>
      </c>
      <c r="F254" s="440">
        <v>21</v>
      </c>
      <c r="G254" s="15">
        <v>361288.35</v>
      </c>
      <c r="H254" s="15"/>
      <c r="I254" s="17">
        <v>361288.35</v>
      </c>
      <c r="J254" s="441"/>
      <c r="K254" s="442"/>
      <c r="L254" s="443"/>
      <c r="M254" s="435" t="s">
        <v>473</v>
      </c>
      <c r="N254" s="444">
        <v>21</v>
      </c>
      <c r="O254" s="445">
        <f>SUM(G254-L254)</f>
        <v>361288.35</v>
      </c>
      <c r="P254" s="19"/>
      <c r="Q254" s="17">
        <f>SUM(O254)</f>
        <v>361288.35</v>
      </c>
      <c r="R254" s="251" t="s">
        <v>195</v>
      </c>
      <c r="S254" s="446">
        <v>41883</v>
      </c>
      <c r="T254" s="446">
        <v>42978</v>
      </c>
      <c r="U254" s="447">
        <v>90000</v>
      </c>
      <c r="V254" s="447" t="s">
        <v>474</v>
      </c>
      <c r="Y254" s="4" t="s">
        <v>475</v>
      </c>
    </row>
    <row r="255" spans="1:25" ht="27.75" customHeight="1">
      <c r="A255" s="435"/>
      <c r="B255" s="436" t="s">
        <v>476</v>
      </c>
      <c r="C255" s="437"/>
      <c r="D255" s="448"/>
      <c r="E255" s="439"/>
      <c r="F255" s="440"/>
      <c r="G255" s="15"/>
      <c r="H255" s="15"/>
      <c r="I255" s="17"/>
      <c r="J255" s="441"/>
      <c r="K255" s="442"/>
      <c r="L255" s="443"/>
      <c r="M255" s="435"/>
      <c r="N255" s="444"/>
      <c r="O255" s="445">
        <f t="shared" ref="O255:O261" si="64">SUM(G255-L255)</f>
        <v>0</v>
      </c>
      <c r="P255" s="19"/>
      <c r="Q255" s="17">
        <f t="shared" ref="Q255:Q261" si="65">SUM(O255)</f>
        <v>0</v>
      </c>
      <c r="R255" s="116"/>
      <c r="S255" s="203"/>
      <c r="T255" s="203"/>
      <c r="U255" s="204"/>
      <c r="V255" s="204"/>
    </row>
    <row r="256" spans="1:25" ht="27.75" customHeight="1">
      <c r="A256" s="435"/>
      <c r="B256" s="674" t="s">
        <v>477</v>
      </c>
      <c r="C256" s="675"/>
      <c r="D256" s="682"/>
      <c r="E256" s="439"/>
      <c r="F256" s="440"/>
      <c r="G256" s="15"/>
      <c r="H256" s="15"/>
      <c r="I256" s="17"/>
      <c r="J256" s="441"/>
      <c r="K256" s="442"/>
      <c r="L256" s="443"/>
      <c r="M256" s="435"/>
      <c r="N256" s="444"/>
      <c r="O256" s="445">
        <f t="shared" si="64"/>
        <v>0</v>
      </c>
      <c r="P256" s="19"/>
      <c r="Q256" s="17">
        <f t="shared" si="65"/>
        <v>0</v>
      </c>
      <c r="R256" s="116"/>
      <c r="S256" s="203"/>
      <c r="T256" s="203"/>
      <c r="U256" s="204"/>
      <c r="V256" s="204"/>
    </row>
    <row r="257" spans="1:25" ht="27.75" customHeight="1">
      <c r="A257" s="435">
        <v>2</v>
      </c>
      <c r="B257" s="450" t="s">
        <v>470</v>
      </c>
      <c r="C257" s="451" t="s">
        <v>478</v>
      </c>
      <c r="D257" s="449"/>
      <c r="E257" s="439" t="s">
        <v>479</v>
      </c>
      <c r="F257" s="440">
        <v>6</v>
      </c>
      <c r="G257" s="15">
        <v>96700.72</v>
      </c>
      <c r="H257" s="15"/>
      <c r="I257" s="17">
        <v>96700.72</v>
      </c>
      <c r="J257" s="441"/>
      <c r="K257" s="442"/>
      <c r="L257" s="443"/>
      <c r="M257" s="435" t="s">
        <v>479</v>
      </c>
      <c r="N257" s="444">
        <v>6</v>
      </c>
      <c r="O257" s="445">
        <f t="shared" si="64"/>
        <v>96700.72</v>
      </c>
      <c r="P257" s="19"/>
      <c r="Q257" s="17">
        <f t="shared" si="65"/>
        <v>96700.72</v>
      </c>
      <c r="R257" s="116"/>
      <c r="S257" s="203"/>
      <c r="T257" s="203"/>
      <c r="U257" s="204"/>
      <c r="V257" s="204"/>
      <c r="Y257" s="4" t="s">
        <v>475</v>
      </c>
    </row>
    <row r="258" spans="1:25" ht="27.75" customHeight="1">
      <c r="A258" s="435">
        <v>3</v>
      </c>
      <c r="B258" s="450" t="s">
        <v>470</v>
      </c>
      <c r="C258" s="451" t="s">
        <v>480</v>
      </c>
      <c r="D258" s="452"/>
      <c r="E258" s="439" t="s">
        <v>481</v>
      </c>
      <c r="F258" s="440">
        <v>16</v>
      </c>
      <c r="G258" s="15">
        <v>285799.45</v>
      </c>
      <c r="H258" s="15"/>
      <c r="I258" s="17">
        <v>285799.45</v>
      </c>
      <c r="J258" s="441"/>
      <c r="K258" s="442"/>
      <c r="L258" s="443"/>
      <c r="M258" s="435" t="s">
        <v>481</v>
      </c>
      <c r="N258" s="444">
        <v>16</v>
      </c>
      <c r="O258" s="445">
        <f t="shared" si="64"/>
        <v>285799.45</v>
      </c>
      <c r="P258" s="19"/>
      <c r="Q258" s="17">
        <f t="shared" si="65"/>
        <v>285799.45</v>
      </c>
      <c r="R258" s="116"/>
      <c r="S258" s="203"/>
      <c r="T258" s="203"/>
      <c r="U258" s="204"/>
      <c r="V258" s="204"/>
      <c r="Y258" s="4" t="s">
        <v>475</v>
      </c>
    </row>
    <row r="259" spans="1:25" s="226" customFormat="1" ht="27.75" customHeight="1">
      <c r="A259" s="440">
        <v>4</v>
      </c>
      <c r="B259" s="436" t="s">
        <v>470</v>
      </c>
      <c r="C259" s="453" t="s">
        <v>482</v>
      </c>
      <c r="D259" s="454" t="s">
        <v>472</v>
      </c>
      <c r="E259" s="455" t="s">
        <v>483</v>
      </c>
      <c r="F259" s="456" t="s">
        <v>195</v>
      </c>
      <c r="G259" s="17">
        <v>57055.05</v>
      </c>
      <c r="H259" s="17"/>
      <c r="I259" s="17">
        <v>57055.05</v>
      </c>
      <c r="J259" s="441"/>
      <c r="K259" s="457"/>
      <c r="L259" s="458"/>
      <c r="M259" s="435" t="s">
        <v>483</v>
      </c>
      <c r="N259" s="448" t="s">
        <v>195</v>
      </c>
      <c r="O259" s="445">
        <f t="shared" si="64"/>
        <v>57055.05</v>
      </c>
      <c r="P259" s="17"/>
      <c r="Q259" s="17">
        <f t="shared" si="65"/>
        <v>57055.05</v>
      </c>
      <c r="R259" s="39"/>
      <c r="S259" s="55"/>
      <c r="T259" s="55"/>
      <c r="U259" s="141"/>
      <c r="V259" s="141"/>
      <c r="Y259" s="4" t="s">
        <v>475</v>
      </c>
    </row>
    <row r="260" spans="1:25" s="226" customFormat="1" ht="27.75" customHeight="1">
      <c r="A260" s="440"/>
      <c r="B260" s="676" t="s">
        <v>484</v>
      </c>
      <c r="C260" s="677"/>
      <c r="D260" s="683"/>
      <c r="E260" s="455"/>
      <c r="F260" s="456"/>
      <c r="G260" s="17"/>
      <c r="H260" s="17"/>
      <c r="I260" s="17"/>
      <c r="J260" s="441"/>
      <c r="K260" s="457"/>
      <c r="L260" s="458"/>
      <c r="M260" s="435"/>
      <c r="N260" s="448"/>
      <c r="O260" s="445">
        <f t="shared" si="64"/>
        <v>0</v>
      </c>
      <c r="P260" s="17"/>
      <c r="Q260" s="17">
        <f t="shared" si="65"/>
        <v>0</v>
      </c>
      <c r="R260" s="122"/>
      <c r="S260" s="37"/>
      <c r="T260" s="37"/>
      <c r="U260" s="459"/>
      <c r="V260" s="459"/>
      <c r="Y260" s="4" t="s">
        <v>475</v>
      </c>
    </row>
    <row r="261" spans="1:25" ht="27.75" customHeight="1">
      <c r="A261" s="460">
        <v>5</v>
      </c>
      <c r="B261" s="436" t="s">
        <v>470</v>
      </c>
      <c r="C261" s="461" t="s">
        <v>485</v>
      </c>
      <c r="D261" s="454"/>
      <c r="E261" s="455" t="s">
        <v>486</v>
      </c>
      <c r="F261" s="462" t="s">
        <v>195</v>
      </c>
      <c r="G261" s="17">
        <v>28958.15</v>
      </c>
      <c r="H261" s="15"/>
      <c r="I261" s="17">
        <v>28958.15</v>
      </c>
      <c r="J261" s="441" t="s">
        <v>487</v>
      </c>
      <c r="K261" s="463"/>
      <c r="L261" s="443"/>
      <c r="M261" s="435" t="s">
        <v>486</v>
      </c>
      <c r="N261" s="464" t="s">
        <v>195</v>
      </c>
      <c r="O261" s="445">
        <f t="shared" si="64"/>
        <v>28958.15</v>
      </c>
      <c r="P261" s="21"/>
      <c r="Q261" s="17">
        <f t="shared" si="65"/>
        <v>28958.15</v>
      </c>
      <c r="R261" s="36"/>
      <c r="S261" s="37"/>
      <c r="T261" s="37"/>
      <c r="U261" s="38"/>
      <c r="V261" s="38"/>
      <c r="W261" s="38"/>
      <c r="Y261" s="4" t="s">
        <v>475</v>
      </c>
    </row>
    <row r="262" spans="1:25" ht="27.6" customHeight="1">
      <c r="A262" s="460"/>
      <c r="B262" s="436" t="s">
        <v>488</v>
      </c>
      <c r="C262" s="461"/>
      <c r="D262" s="454"/>
      <c r="E262" s="448"/>
      <c r="F262" s="462"/>
      <c r="G262" s="17"/>
      <c r="H262" s="15"/>
      <c r="I262" s="17"/>
      <c r="J262" s="441"/>
      <c r="K262" s="463"/>
      <c r="L262" s="443"/>
      <c r="M262" s="435"/>
      <c r="N262" s="444"/>
      <c r="O262" s="17"/>
      <c r="P262" s="21"/>
      <c r="Q262" s="17"/>
      <c r="R262" s="36"/>
      <c r="S262" s="37"/>
      <c r="T262" s="37"/>
      <c r="U262" s="38"/>
      <c r="V262" s="38"/>
      <c r="W262" s="38"/>
    </row>
    <row r="263" spans="1:25" ht="27.6" customHeight="1">
      <c r="A263" s="460"/>
      <c r="B263" s="674" t="s">
        <v>489</v>
      </c>
      <c r="C263" s="675"/>
      <c r="D263" s="682"/>
      <c r="E263" s="448"/>
      <c r="F263" s="462"/>
      <c r="G263" s="17"/>
      <c r="H263" s="15"/>
      <c r="I263" s="17"/>
      <c r="J263" s="441"/>
      <c r="K263" s="463"/>
      <c r="L263" s="443"/>
      <c r="M263" s="435"/>
      <c r="N263" s="444"/>
      <c r="O263" s="17"/>
      <c r="P263" s="21"/>
      <c r="Q263" s="17"/>
      <c r="R263" s="36"/>
      <c r="S263" s="37"/>
      <c r="T263" s="37"/>
      <c r="U263" s="38"/>
      <c r="V263" s="38"/>
      <c r="W263" s="38"/>
    </row>
    <row r="264" spans="1:25" ht="27.75" customHeight="1" thickBot="1">
      <c r="A264" s="465"/>
      <c r="B264" s="466" t="s">
        <v>22</v>
      </c>
      <c r="C264" s="195"/>
      <c r="D264" s="310">
        <v>0</v>
      </c>
      <c r="E264" s="311"/>
      <c r="F264" s="312"/>
      <c r="G264" s="313">
        <f>SUM(G254:G262)</f>
        <v>829801.72000000009</v>
      </c>
      <c r="H264" s="313"/>
      <c r="I264" s="313">
        <f>SUM(I254:I262)</f>
        <v>829801.72000000009</v>
      </c>
      <c r="J264" s="467"/>
      <c r="K264" s="314"/>
      <c r="L264" s="310">
        <v>0</v>
      </c>
      <c r="M264" s="315"/>
      <c r="N264" s="310"/>
      <c r="O264" s="313">
        <f>SUM(O254:O262)</f>
        <v>829801.72000000009</v>
      </c>
      <c r="P264" s="313">
        <v>0</v>
      </c>
      <c r="Q264" s="313">
        <f>SUM(Q254:Q263)</f>
        <v>829801.72000000009</v>
      </c>
      <c r="R264" s="36"/>
      <c r="S264" s="37"/>
      <c r="T264" s="37"/>
      <c r="U264" s="38"/>
      <c r="V264" s="38"/>
      <c r="W264" s="38"/>
    </row>
    <row r="265" spans="1:25" ht="27.75" customHeight="1" thickTop="1">
      <c r="A265" s="468"/>
      <c r="B265" s="469" t="s">
        <v>490</v>
      </c>
      <c r="C265" s="470"/>
      <c r="D265" s="471"/>
      <c r="E265" s="207"/>
      <c r="F265" s="341"/>
      <c r="G265" s="187"/>
      <c r="H265" s="187"/>
      <c r="I265" s="187"/>
      <c r="J265" s="472"/>
      <c r="K265" s="473"/>
      <c r="L265" s="231"/>
      <c r="M265" s="186"/>
      <c r="N265" s="116"/>
      <c r="O265" s="344"/>
      <c r="P265" s="344"/>
      <c r="Q265" s="474"/>
      <c r="R265" s="36"/>
      <c r="S265" s="37"/>
      <c r="T265" s="37"/>
      <c r="U265" s="38"/>
      <c r="V265" s="38"/>
      <c r="W265" s="38"/>
    </row>
    <row r="266" spans="1:25" ht="27.75" customHeight="1">
      <c r="A266" s="475">
        <v>1</v>
      </c>
      <c r="B266" s="436" t="s">
        <v>491</v>
      </c>
      <c r="C266" s="437" t="s">
        <v>492</v>
      </c>
      <c r="D266" s="476"/>
      <c r="E266" s="477"/>
      <c r="F266" s="478"/>
      <c r="G266" s="15"/>
      <c r="H266" s="15"/>
      <c r="I266" s="17"/>
      <c r="J266" s="441"/>
      <c r="K266" s="442"/>
      <c r="L266" s="479"/>
      <c r="M266" s="435"/>
      <c r="N266" s="477"/>
      <c r="O266" s="480"/>
      <c r="P266" s="480"/>
      <c r="Q266" s="481"/>
      <c r="R266" s="356"/>
      <c r="S266" s="482"/>
      <c r="T266" s="482"/>
      <c r="U266" s="483"/>
      <c r="V266" s="483"/>
      <c r="Y266" s="4" t="s">
        <v>493</v>
      </c>
    </row>
    <row r="267" spans="1:25" ht="27.75" customHeight="1">
      <c r="A267" s="475"/>
      <c r="B267" s="484" t="s">
        <v>494</v>
      </c>
      <c r="C267" s="437"/>
      <c r="D267" s="476"/>
      <c r="E267" s="477"/>
      <c r="F267" s="478"/>
      <c r="G267" s="15"/>
      <c r="H267" s="15"/>
      <c r="I267" s="17"/>
      <c r="J267" s="441"/>
      <c r="K267" s="442"/>
      <c r="L267" s="479"/>
      <c r="M267" s="435"/>
      <c r="N267" s="477"/>
      <c r="O267" s="480"/>
      <c r="P267" s="480"/>
      <c r="Q267" s="481"/>
      <c r="R267" s="485"/>
      <c r="S267" s="486"/>
      <c r="T267" s="486"/>
      <c r="U267" s="487"/>
      <c r="V267" s="487"/>
    </row>
    <row r="268" spans="1:25" ht="27.75" customHeight="1">
      <c r="A268" s="475">
        <v>2</v>
      </c>
      <c r="B268" s="436" t="s">
        <v>495</v>
      </c>
      <c r="C268" s="437" t="s">
        <v>496</v>
      </c>
      <c r="D268" s="476"/>
      <c r="E268" s="477"/>
      <c r="F268" s="478" t="s">
        <v>497</v>
      </c>
      <c r="G268" s="15">
        <v>8214529.25</v>
      </c>
      <c r="H268" s="15"/>
      <c r="I268" s="17">
        <v>8214529.25</v>
      </c>
      <c r="J268" s="441"/>
      <c r="K268" s="442"/>
      <c r="L268" s="479"/>
      <c r="M268" s="435"/>
      <c r="N268" s="477" t="s">
        <v>497</v>
      </c>
      <c r="O268" s="480">
        <v>8214529.25</v>
      </c>
      <c r="P268" s="480"/>
      <c r="Q268" s="17">
        <v>8214529.25</v>
      </c>
      <c r="R268" s="485"/>
      <c r="S268" s="486"/>
      <c r="T268" s="486"/>
      <c r="U268" s="487"/>
      <c r="V268" s="487"/>
    </row>
    <row r="269" spans="1:25" ht="27.75" customHeight="1">
      <c r="A269" s="405"/>
      <c r="B269" s="234" t="s">
        <v>22</v>
      </c>
      <c r="C269" s="407"/>
      <c r="D269" s="408">
        <v>0</v>
      </c>
      <c r="E269" s="409"/>
      <c r="F269" s="410"/>
      <c r="G269" s="239">
        <f>SUM(G266:G268)</f>
        <v>8214529.25</v>
      </c>
      <c r="H269" s="239">
        <v>0</v>
      </c>
      <c r="I269" s="239">
        <f>SUM(I266:I268)</f>
        <v>8214529.25</v>
      </c>
      <c r="J269" s="411"/>
      <c r="K269" s="411"/>
      <c r="L269" s="408">
        <v>0</v>
      </c>
      <c r="M269" s="412"/>
      <c r="N269" s="408"/>
      <c r="O269" s="239">
        <f>SUM(O266:O268)</f>
        <v>8214529.25</v>
      </c>
      <c r="P269" s="239">
        <v>0</v>
      </c>
      <c r="Q269" s="239">
        <f>SUM(Q266:Q268)</f>
        <v>8214529.25</v>
      </c>
      <c r="R269" s="278"/>
      <c r="S269" s="279"/>
      <c r="T269" s="279"/>
      <c r="U269" s="413"/>
      <c r="V269" s="413"/>
      <c r="W269" s="413"/>
    </row>
    <row r="270" spans="1:25" ht="27.75" customHeight="1">
      <c r="A270" s="426"/>
      <c r="B270" s="4"/>
      <c r="C270" s="295"/>
      <c r="D270" s="427"/>
      <c r="E270" s="428"/>
      <c r="F270" s="429"/>
      <c r="G270" s="430"/>
      <c r="H270" s="430"/>
      <c r="I270" s="430"/>
      <c r="J270" s="432"/>
      <c r="K270" s="432"/>
      <c r="L270" s="427"/>
      <c r="M270" s="433"/>
      <c r="N270" s="427"/>
      <c r="O270" s="430"/>
      <c r="P270" s="430"/>
      <c r="Q270" s="430"/>
      <c r="R270" s="424"/>
      <c r="S270" s="425"/>
      <c r="T270" s="425"/>
      <c r="U270" s="345"/>
      <c r="V270" s="345"/>
      <c r="W270" s="345"/>
    </row>
    <row r="271" spans="1:25" ht="27.75" customHeight="1" thickBot="1">
      <c r="A271" s="488"/>
      <c r="B271" s="489" t="s">
        <v>498</v>
      </c>
      <c r="C271" s="490"/>
      <c r="D271" s="491">
        <f>+D269+D264+D250+D242+D237+D223+D167+D156+D152+D139+D123+D109+D93+D90+D83+D45+D31+D27+D24</f>
        <v>1123913.3199999998</v>
      </c>
      <c r="E271" s="491"/>
      <c r="F271" s="492"/>
      <c r="G271" s="493">
        <f>SUM(G269+G264+G251)</f>
        <v>7129462.9681308419</v>
      </c>
      <c r="H271" s="493">
        <f>SUM(H269+H264+H251)</f>
        <v>653.79999999999995</v>
      </c>
      <c r="I271" s="493">
        <f>SUM(I269+I264+I251)</f>
        <v>7130116.7681308417</v>
      </c>
      <c r="J271" s="494"/>
      <c r="K271" s="494"/>
      <c r="L271" s="493">
        <f>SUM(L269+L264+L251)</f>
        <v>841865.55</v>
      </c>
      <c r="M271" s="495"/>
      <c r="N271" s="496"/>
      <c r="O271" s="493">
        <f>SUM(O269+O264+O251)</f>
        <v>9091801.1270093471</v>
      </c>
      <c r="P271" s="493">
        <f>SUM(P269+P264+P251)</f>
        <v>2762.91</v>
      </c>
      <c r="Q271" s="493">
        <f>SUM(Q269+Q264+Q251)</f>
        <v>9094564.0370093472</v>
      </c>
      <c r="R271" s="497">
        <v>0</v>
      </c>
      <c r="S271" s="497">
        <v>0</v>
      </c>
      <c r="T271" s="498"/>
      <c r="U271" s="499"/>
      <c r="V271" s="499"/>
      <c r="W271" s="499"/>
    </row>
    <row r="272" spans="1:25" s="226" customFormat="1" ht="27.75" customHeight="1" thickTop="1">
      <c r="A272" s="6"/>
      <c r="B272" s="500"/>
      <c r="D272" s="501"/>
      <c r="E272" s="502"/>
      <c r="F272" s="503"/>
      <c r="G272" s="430"/>
      <c r="H272" s="430"/>
      <c r="I272" s="504"/>
      <c r="J272" s="3"/>
      <c r="K272" s="372"/>
      <c r="L272" s="501"/>
      <c r="M272" s="372"/>
      <c r="N272" s="501"/>
      <c r="O272" s="430"/>
      <c r="P272" s="430"/>
      <c r="Q272" s="504"/>
      <c r="R272" s="2"/>
      <c r="S272" s="425"/>
      <c r="T272" s="425"/>
      <c r="U272" s="345"/>
      <c r="V272" s="345"/>
    </row>
    <row r="273" spans="1:22" s="226" customFormat="1" ht="27.75" customHeight="1">
      <c r="A273" s="6"/>
      <c r="B273" s="500"/>
      <c r="D273" s="501"/>
      <c r="E273" s="502"/>
      <c r="F273" s="503"/>
      <c r="G273" s="430"/>
      <c r="H273" s="430"/>
      <c r="I273" s="504"/>
      <c r="J273" s="3"/>
      <c r="K273" s="372"/>
      <c r="L273" s="501"/>
      <c r="M273" s="372"/>
      <c r="N273" s="501"/>
      <c r="O273" s="430"/>
      <c r="P273" s="430"/>
      <c r="Q273" s="504"/>
      <c r="R273" s="2"/>
      <c r="S273" s="425"/>
      <c r="T273" s="425"/>
      <c r="U273" s="345"/>
      <c r="V273" s="345"/>
    </row>
    <row r="274" spans="1:22" s="226" customFormat="1" ht="27.75" customHeight="1">
      <c r="A274" s="6"/>
      <c r="B274" s="500"/>
      <c r="D274" s="501"/>
      <c r="E274" s="502"/>
      <c r="F274" s="503"/>
      <c r="G274" s="430"/>
      <c r="H274" s="430"/>
      <c r="I274" s="504"/>
      <c r="J274" s="3"/>
      <c r="K274" s="372"/>
      <c r="L274" s="501"/>
      <c r="M274" s="372"/>
      <c r="N274" s="501"/>
      <c r="O274" s="430"/>
      <c r="P274" s="430"/>
      <c r="Q274" s="504"/>
      <c r="R274" s="2"/>
      <c r="S274" s="425"/>
      <c r="T274" s="425"/>
      <c r="U274" s="345"/>
      <c r="V274" s="345"/>
    </row>
    <row r="275" spans="1:22" s="226" customFormat="1" ht="27.75" customHeight="1">
      <c r="A275" s="6"/>
      <c r="B275" s="500"/>
      <c r="D275" s="501"/>
      <c r="E275" s="502"/>
      <c r="F275" s="503"/>
      <c r="G275" s="430">
        <v>361288.35</v>
      </c>
      <c r="H275" s="430"/>
      <c r="I275" s="430"/>
      <c r="J275" s="3"/>
      <c r="K275" s="372"/>
      <c r="L275" s="501"/>
      <c r="M275" s="372"/>
      <c r="N275" s="501"/>
      <c r="O275" s="430"/>
      <c r="P275" s="430"/>
      <c r="Q275" s="430"/>
      <c r="R275" s="2"/>
      <c r="S275" s="425"/>
      <c r="T275" s="425"/>
      <c r="U275" s="345"/>
      <c r="V275" s="345"/>
    </row>
    <row r="276" spans="1:22" s="226" customFormat="1" ht="27.75" customHeight="1">
      <c r="A276" s="6"/>
      <c r="B276" s="500"/>
      <c r="D276" s="501"/>
      <c r="E276" s="502"/>
      <c r="F276" s="503"/>
      <c r="G276" s="430">
        <v>96700.72</v>
      </c>
      <c r="H276" s="430"/>
      <c r="I276" s="504"/>
      <c r="J276" s="3"/>
      <c r="K276" s="372"/>
      <c r="L276" s="501"/>
      <c r="M276" s="372"/>
      <c r="N276" s="501"/>
      <c r="O276" s="430"/>
      <c r="P276" s="430"/>
      <c r="Q276" s="504"/>
      <c r="R276" s="2"/>
      <c r="S276" s="425"/>
      <c r="T276" s="425"/>
      <c r="U276" s="345"/>
      <c r="V276" s="345"/>
    </row>
    <row r="277" spans="1:22" s="226" customFormat="1" ht="27.75" customHeight="1">
      <c r="A277" s="6"/>
      <c r="B277" s="500"/>
      <c r="D277" s="501"/>
      <c r="E277" s="502"/>
      <c r="F277" s="503"/>
      <c r="G277" s="430">
        <v>285799.45</v>
      </c>
      <c r="H277" s="430"/>
      <c r="I277" s="504"/>
      <c r="J277" s="3"/>
      <c r="K277" s="372"/>
      <c r="L277" s="501"/>
      <c r="M277" s="372"/>
      <c r="N277" s="501"/>
      <c r="O277" s="430"/>
      <c r="P277" s="430"/>
      <c r="Q277" s="504"/>
      <c r="R277" s="2"/>
      <c r="S277" s="425"/>
      <c r="T277" s="425"/>
      <c r="U277" s="345"/>
      <c r="V277" s="345"/>
    </row>
    <row r="278" spans="1:22" s="226" customFormat="1" ht="27.75" customHeight="1">
      <c r="A278" s="6"/>
      <c r="B278" s="500"/>
      <c r="D278" s="501"/>
      <c r="E278" s="502"/>
      <c r="F278" s="503"/>
      <c r="G278" s="430">
        <v>57054.05</v>
      </c>
      <c r="H278" s="430"/>
      <c r="I278" s="504"/>
      <c r="J278" s="3"/>
      <c r="K278" s="372"/>
      <c r="L278" s="501"/>
      <c r="M278" s="372"/>
      <c r="N278" s="501"/>
      <c r="O278" s="430"/>
      <c r="P278" s="430"/>
      <c r="Q278" s="430"/>
      <c r="R278" s="2"/>
      <c r="S278" s="425"/>
      <c r="T278" s="425"/>
      <c r="U278" s="345"/>
      <c r="V278" s="345"/>
    </row>
    <row r="279" spans="1:22" s="226" customFormat="1" ht="27.75" customHeight="1">
      <c r="A279" s="6"/>
      <c r="B279" s="500"/>
      <c r="D279" s="501"/>
      <c r="E279" s="502"/>
      <c r="F279" s="503"/>
      <c r="G279" s="430">
        <v>28958.15</v>
      </c>
      <c r="H279" s="430"/>
      <c r="I279" s="504"/>
      <c r="J279" s="3"/>
      <c r="K279" s="372"/>
      <c r="L279" s="501"/>
      <c r="M279" s="372"/>
      <c r="N279" s="501"/>
      <c r="O279" s="430"/>
      <c r="P279" s="430"/>
      <c r="Q279" s="504"/>
      <c r="R279" s="2"/>
      <c r="S279" s="425"/>
      <c r="T279" s="425"/>
      <c r="U279" s="345"/>
      <c r="V279" s="345"/>
    </row>
    <row r="280" spans="1:22" s="226" customFormat="1" ht="27.75" customHeight="1">
      <c r="A280" s="6"/>
      <c r="B280" s="500"/>
      <c r="D280" s="501"/>
      <c r="E280" s="502"/>
      <c r="F280" s="503"/>
      <c r="G280" s="430">
        <f>SUM(G275:G279)</f>
        <v>829800.72000000009</v>
      </c>
      <c r="H280" s="430"/>
      <c r="I280" s="504">
        <f>SUM(G269+G280)</f>
        <v>9044329.9700000007</v>
      </c>
      <c r="J280" s="3"/>
      <c r="K280" s="372"/>
      <c r="L280" s="501"/>
      <c r="M280" s="372"/>
      <c r="N280" s="501"/>
      <c r="O280" s="430"/>
      <c r="P280" s="430"/>
      <c r="Q280" s="504"/>
      <c r="R280" s="2"/>
      <c r="S280" s="425"/>
      <c r="T280" s="425"/>
      <c r="U280" s="345"/>
      <c r="V280" s="345"/>
    </row>
    <row r="281" spans="1:22" s="226" customFormat="1" ht="27.75" customHeight="1">
      <c r="A281" s="6"/>
      <c r="B281" s="500"/>
      <c r="D281" s="501"/>
      <c r="E281" s="502"/>
      <c r="F281" s="503"/>
      <c r="G281" s="430"/>
      <c r="H281" s="430"/>
      <c r="I281" s="504"/>
      <c r="J281" s="3"/>
      <c r="K281" s="372"/>
      <c r="L281" s="501"/>
      <c r="M281" s="372"/>
      <c r="N281" s="501"/>
      <c r="O281" s="430"/>
      <c r="P281" s="430"/>
      <c r="Q281" s="504"/>
      <c r="R281" s="2"/>
      <c r="S281" s="425"/>
      <c r="T281" s="425"/>
      <c r="U281" s="345"/>
      <c r="V281" s="345"/>
    </row>
    <row r="282" spans="1:22" s="226" customFormat="1" ht="27.75" customHeight="1">
      <c r="A282" s="6"/>
      <c r="B282" s="500"/>
      <c r="D282" s="501"/>
      <c r="E282" s="502"/>
      <c r="F282" s="503"/>
      <c r="G282" s="430"/>
      <c r="H282" s="430"/>
      <c r="I282" s="504"/>
      <c r="J282" s="3"/>
      <c r="K282" s="372"/>
      <c r="L282" s="501"/>
      <c r="M282" s="372"/>
      <c r="N282" s="501"/>
      <c r="O282" s="430"/>
      <c r="P282" s="430"/>
      <c r="Q282" s="504"/>
      <c r="R282" s="2"/>
      <c r="S282" s="425"/>
      <c r="T282" s="425"/>
      <c r="U282" s="345"/>
      <c r="V282" s="345"/>
    </row>
    <row r="283" spans="1:22" s="226" customFormat="1" ht="27.75" customHeight="1">
      <c r="A283" s="6"/>
      <c r="B283" s="500"/>
      <c r="D283" s="501"/>
      <c r="E283" s="502"/>
      <c r="F283" s="503"/>
      <c r="G283" s="430"/>
      <c r="H283" s="430"/>
      <c r="J283" s="3"/>
      <c r="K283" s="372"/>
      <c r="L283" s="501"/>
      <c r="M283" s="372"/>
      <c r="N283" s="501"/>
      <c r="O283" s="430"/>
      <c r="P283" s="430"/>
      <c r="Q283" s="504"/>
      <c r="R283" s="2"/>
      <c r="S283" s="425"/>
      <c r="T283" s="425"/>
      <c r="U283" s="345"/>
      <c r="V283" s="345"/>
    </row>
    <row r="284" spans="1:22" s="226" customFormat="1" ht="27.75" customHeight="1">
      <c r="A284" s="6"/>
      <c r="B284" s="500"/>
      <c r="D284" s="501"/>
      <c r="E284" s="502"/>
      <c r="F284" s="503"/>
      <c r="G284" s="430"/>
      <c r="H284" s="430"/>
      <c r="I284" s="504"/>
      <c r="J284" s="3"/>
      <c r="K284" s="372"/>
      <c r="L284" s="501"/>
      <c r="M284" s="372"/>
      <c r="N284" s="501"/>
      <c r="O284" s="430"/>
      <c r="P284" s="430"/>
      <c r="Q284" s="504"/>
      <c r="R284" s="2"/>
      <c r="S284" s="425"/>
      <c r="T284" s="425"/>
      <c r="U284" s="345"/>
      <c r="V284" s="345"/>
    </row>
    <row r="285" spans="1:22" s="226" customFormat="1" ht="27.75" customHeight="1">
      <c r="A285" s="6"/>
      <c r="B285" s="500"/>
      <c r="D285" s="501"/>
      <c r="E285" s="502"/>
      <c r="F285" s="503"/>
      <c r="G285" s="430"/>
      <c r="H285" s="430"/>
      <c r="I285" s="504"/>
      <c r="J285" s="3"/>
      <c r="K285" s="372"/>
      <c r="L285" s="501"/>
      <c r="M285" s="372"/>
      <c r="N285" s="501"/>
      <c r="O285" s="430"/>
      <c r="P285" s="430"/>
      <c r="Q285" s="504"/>
      <c r="R285" s="2"/>
      <c r="S285" s="425"/>
      <c r="T285" s="425"/>
      <c r="U285" s="345"/>
      <c r="V285" s="345"/>
    </row>
    <row r="286" spans="1:22" s="226" customFormat="1" ht="27.75" customHeight="1">
      <c r="A286" s="6"/>
      <c r="B286" s="500"/>
      <c r="D286" s="501"/>
      <c r="E286" s="502"/>
      <c r="F286" s="503"/>
      <c r="G286" s="430"/>
      <c r="H286" s="430"/>
      <c r="I286" s="504"/>
      <c r="J286" s="3"/>
      <c r="K286" s="372"/>
      <c r="L286" s="501"/>
      <c r="M286" s="372"/>
      <c r="N286" s="501"/>
      <c r="O286" s="430"/>
      <c r="P286" s="430"/>
      <c r="Q286" s="504"/>
      <c r="R286" s="2"/>
      <c r="S286" s="425"/>
      <c r="T286" s="425"/>
      <c r="U286" s="345"/>
      <c r="V286" s="345"/>
    </row>
    <row r="287" spans="1:22" s="226" customFormat="1" ht="27.75" customHeight="1">
      <c r="A287" s="6"/>
      <c r="B287" s="500"/>
      <c r="D287" s="501"/>
      <c r="E287" s="502"/>
      <c r="F287" s="503"/>
      <c r="G287" s="430"/>
      <c r="H287" s="430"/>
      <c r="I287" s="504"/>
      <c r="J287" s="3"/>
      <c r="K287" s="372"/>
      <c r="L287" s="501"/>
      <c r="M287" s="372"/>
      <c r="N287" s="501"/>
      <c r="O287" s="430"/>
      <c r="P287" s="430"/>
      <c r="Q287" s="504"/>
      <c r="R287" s="2"/>
      <c r="S287" s="425"/>
      <c r="T287" s="425"/>
      <c r="U287" s="345"/>
      <c r="V287" s="345"/>
    </row>
    <row r="288" spans="1:22" s="226" customFormat="1" ht="27.75" customHeight="1">
      <c r="A288" s="6"/>
      <c r="D288" s="501"/>
      <c r="E288" s="502"/>
      <c r="F288" s="503"/>
      <c r="G288" s="430"/>
      <c r="H288" s="430"/>
      <c r="I288" s="504"/>
      <c r="J288" s="3"/>
      <c r="K288" s="372"/>
      <c r="L288" s="501"/>
      <c r="M288" s="372"/>
      <c r="N288" s="501"/>
      <c r="O288" s="430"/>
      <c r="P288" s="430"/>
      <c r="Q288" s="504"/>
      <c r="R288" s="2"/>
      <c r="S288" s="425"/>
      <c r="T288" s="425"/>
      <c r="U288" s="345"/>
      <c r="V288" s="345"/>
    </row>
    <row r="289" spans="2:22" ht="27.75" customHeight="1">
      <c r="B289" s="4"/>
      <c r="D289" s="4"/>
      <c r="E289" s="505"/>
      <c r="G289" s="504"/>
      <c r="H289" s="504"/>
      <c r="L289" s="4"/>
      <c r="N289" s="4"/>
      <c r="O289" s="507"/>
      <c r="P289" s="507"/>
      <c r="U289" s="4"/>
      <c r="V289" s="4"/>
    </row>
    <row r="290" spans="2:22" ht="27.75" customHeight="1">
      <c r="B290" s="4"/>
      <c r="D290" s="4"/>
      <c r="E290" s="505"/>
      <c r="G290" s="504"/>
      <c r="H290" s="504"/>
      <c r="L290" s="4"/>
      <c r="N290" s="4"/>
      <c r="O290" s="507"/>
      <c r="P290" s="507"/>
      <c r="U290" s="4"/>
      <c r="V290" s="4"/>
    </row>
    <row r="291" spans="2:22" ht="27.75" customHeight="1">
      <c r="B291" s="4"/>
      <c r="D291" s="4"/>
      <c r="E291" s="505"/>
      <c r="G291" s="504"/>
      <c r="H291" s="504"/>
      <c r="I291" s="509"/>
      <c r="L291" s="4"/>
      <c r="N291" s="4"/>
      <c r="O291" s="507"/>
      <c r="P291" s="507"/>
      <c r="U291" s="4"/>
      <c r="V291" s="4"/>
    </row>
    <row r="292" spans="2:22" ht="27.75" customHeight="1">
      <c r="B292" s="4"/>
      <c r="D292" s="4"/>
      <c r="E292" s="505"/>
      <c r="G292" s="504"/>
      <c r="H292" s="504"/>
      <c r="L292" s="4"/>
      <c r="N292" s="4"/>
      <c r="O292" s="507"/>
      <c r="P292" s="507"/>
      <c r="U292" s="4"/>
      <c r="V292" s="4"/>
    </row>
    <row r="293" spans="2:22" ht="27.75" customHeight="1">
      <c r="B293" s="4"/>
      <c r="D293" s="4"/>
      <c r="E293" s="505"/>
      <c r="G293" s="504"/>
      <c r="H293" s="504"/>
      <c r="L293" s="4"/>
      <c r="N293" s="4"/>
      <c r="O293" s="507"/>
      <c r="P293" s="507"/>
      <c r="U293" s="4"/>
      <c r="V293" s="4"/>
    </row>
    <row r="294" spans="2:22" ht="27.75" customHeight="1">
      <c r="B294" s="4"/>
      <c r="D294" s="4"/>
      <c r="E294" s="505"/>
      <c r="G294" s="504"/>
      <c r="H294" s="504"/>
      <c r="L294" s="4"/>
      <c r="N294" s="4"/>
      <c r="O294" s="507"/>
      <c r="P294" s="507"/>
      <c r="U294" s="4"/>
      <c r="V294" s="4"/>
    </row>
    <row r="295" spans="2:22" ht="27.75" customHeight="1">
      <c r="B295" s="4"/>
      <c r="D295" s="4"/>
      <c r="E295" s="505"/>
      <c r="G295" s="504"/>
      <c r="H295" s="504"/>
      <c r="L295" s="4"/>
      <c r="N295" s="4"/>
      <c r="O295" s="507"/>
      <c r="P295" s="507"/>
      <c r="U295" s="4"/>
      <c r="V295" s="4"/>
    </row>
    <row r="296" spans="2:22" ht="27.75" customHeight="1">
      <c r="B296" s="4"/>
      <c r="D296" s="4"/>
      <c r="E296" s="505"/>
      <c r="G296" s="504"/>
      <c r="H296" s="504"/>
      <c r="L296" s="4"/>
      <c r="N296" s="4"/>
      <c r="O296" s="507"/>
      <c r="P296" s="507"/>
      <c r="U296" s="4"/>
      <c r="V296" s="4"/>
    </row>
    <row r="297" spans="2:22" ht="27.75" customHeight="1">
      <c r="B297" s="4"/>
      <c r="D297" s="4"/>
      <c r="E297" s="505"/>
      <c r="G297" s="504"/>
      <c r="H297" s="504"/>
      <c r="L297" s="4"/>
      <c r="N297" s="4"/>
      <c r="O297" s="507"/>
      <c r="P297" s="507"/>
      <c r="U297" s="4"/>
      <c r="V297" s="4"/>
    </row>
    <row r="298" spans="2:22" ht="27.75" customHeight="1">
      <c r="B298" s="4"/>
      <c r="D298" s="4"/>
      <c r="E298" s="505"/>
      <c r="G298" s="504"/>
      <c r="H298" s="504"/>
      <c r="L298" s="4"/>
      <c r="N298" s="4"/>
      <c r="O298" s="507"/>
      <c r="P298" s="507"/>
      <c r="U298" s="4"/>
      <c r="V298" s="4"/>
    </row>
    <row r="299" spans="2:22" ht="27.75" customHeight="1">
      <c r="B299" s="4"/>
      <c r="D299" s="4"/>
      <c r="E299" s="505"/>
      <c r="G299" s="504"/>
      <c r="H299" s="504"/>
      <c r="L299" s="4"/>
      <c r="N299" s="4"/>
      <c r="O299" s="507"/>
      <c r="P299" s="507"/>
      <c r="U299" s="4"/>
      <c r="V299" s="4"/>
    </row>
    <row r="300" spans="2:22" ht="27.75" customHeight="1">
      <c r="B300" s="4"/>
      <c r="D300" s="4"/>
      <c r="E300" s="505"/>
      <c r="G300" s="504"/>
      <c r="H300" s="504"/>
      <c r="L300" s="4"/>
      <c r="N300" s="4"/>
      <c r="O300" s="507"/>
      <c r="P300" s="507"/>
      <c r="U300" s="4"/>
      <c r="V300" s="4"/>
    </row>
    <row r="301" spans="2:22" ht="27.75" customHeight="1">
      <c r="B301" s="4"/>
      <c r="D301" s="4"/>
      <c r="E301" s="505"/>
      <c r="G301" s="504"/>
      <c r="H301" s="504"/>
      <c r="L301" s="4"/>
      <c r="N301" s="4"/>
      <c r="O301" s="507"/>
      <c r="P301" s="507"/>
      <c r="U301" s="4"/>
      <c r="V301" s="4"/>
    </row>
    <row r="302" spans="2:22" ht="27.75" customHeight="1">
      <c r="B302" s="4"/>
      <c r="D302" s="4"/>
      <c r="E302" s="505"/>
      <c r="G302" s="504"/>
      <c r="H302" s="504"/>
      <c r="L302" s="4"/>
      <c r="N302" s="4"/>
      <c r="O302" s="507"/>
      <c r="P302" s="507"/>
      <c r="U302" s="4"/>
      <c r="V302" s="4"/>
    </row>
    <row r="303" spans="2:22" ht="27.75" customHeight="1">
      <c r="B303" s="4"/>
      <c r="D303" s="4"/>
      <c r="E303" s="505"/>
      <c r="G303" s="504"/>
      <c r="H303" s="504"/>
      <c r="L303" s="4"/>
      <c r="N303" s="4"/>
      <c r="O303" s="507"/>
      <c r="P303" s="507"/>
      <c r="U303" s="4"/>
      <c r="V303" s="4"/>
    </row>
    <row r="304" spans="2:22" ht="27.75" customHeight="1">
      <c r="B304" s="4"/>
      <c r="D304" s="4"/>
      <c r="E304" s="505"/>
      <c r="G304" s="504"/>
      <c r="H304" s="504"/>
      <c r="L304" s="4"/>
      <c r="N304" s="4"/>
      <c r="O304" s="507"/>
      <c r="P304" s="507"/>
      <c r="U304" s="4"/>
      <c r="V304" s="4"/>
    </row>
    <row r="316" spans="2:22" ht="27.75" customHeight="1">
      <c r="B316" s="4"/>
      <c r="D316" s="4"/>
      <c r="E316" s="505"/>
      <c r="G316" s="504"/>
      <c r="H316" s="504"/>
      <c r="L316" s="4"/>
      <c r="N316" s="4"/>
      <c r="O316" s="507"/>
      <c r="P316" s="507"/>
      <c r="R316" s="4"/>
      <c r="S316" s="4"/>
      <c r="T316" s="4"/>
      <c r="U316" s="4"/>
      <c r="V316" s="4"/>
    </row>
    <row r="317" spans="2:22" ht="27.75" customHeight="1">
      <c r="B317" s="4"/>
      <c r="D317" s="4"/>
      <c r="E317" s="505"/>
      <c r="G317" s="504"/>
      <c r="H317" s="504"/>
      <c r="L317" s="4"/>
      <c r="N317" s="4"/>
      <c r="O317" s="507"/>
      <c r="P317" s="507"/>
      <c r="R317" s="4"/>
      <c r="S317" s="4"/>
      <c r="T317" s="4"/>
      <c r="U317" s="4"/>
      <c r="V317" s="4"/>
    </row>
    <row r="318" spans="2:22" ht="27.75" customHeight="1">
      <c r="B318" s="4"/>
      <c r="D318" s="4"/>
      <c r="E318" s="505"/>
      <c r="G318" s="504"/>
      <c r="H318" s="504"/>
      <c r="L318" s="4"/>
      <c r="N318" s="4"/>
      <c r="O318" s="507"/>
      <c r="P318" s="507"/>
      <c r="R318" s="4"/>
      <c r="S318" s="4"/>
      <c r="T318" s="4"/>
      <c r="U318" s="4"/>
      <c r="V318" s="4"/>
    </row>
    <row r="319" spans="2:22" ht="27.75" customHeight="1">
      <c r="B319" s="4"/>
      <c r="D319" s="4"/>
      <c r="E319" s="505"/>
      <c r="G319" s="504"/>
      <c r="H319" s="504"/>
      <c r="L319" s="4"/>
      <c r="N319" s="4"/>
      <c r="O319" s="507"/>
      <c r="P319" s="507"/>
      <c r="R319" s="4"/>
      <c r="S319" s="4"/>
      <c r="T319" s="4"/>
      <c r="U319" s="4"/>
      <c r="V319" s="4"/>
    </row>
    <row r="320" spans="2:22" ht="27.75" customHeight="1">
      <c r="B320" s="4"/>
      <c r="D320" s="4"/>
      <c r="E320" s="505"/>
      <c r="G320" s="504"/>
      <c r="H320" s="504"/>
      <c r="L320" s="4"/>
      <c r="N320" s="4"/>
      <c r="O320" s="507"/>
      <c r="P320" s="507"/>
      <c r="R320" s="4"/>
      <c r="S320" s="4"/>
      <c r="T320" s="4"/>
      <c r="U320" s="4"/>
      <c r="V320" s="4"/>
    </row>
    <row r="321" spans="2:22" ht="27.75" customHeight="1">
      <c r="B321" s="4"/>
      <c r="D321" s="4"/>
      <c r="E321" s="505"/>
      <c r="G321" s="504"/>
      <c r="H321" s="504"/>
      <c r="L321" s="4"/>
      <c r="N321" s="4"/>
      <c r="O321" s="507"/>
      <c r="P321" s="507"/>
      <c r="R321" s="4"/>
      <c r="S321" s="4"/>
      <c r="T321" s="4"/>
      <c r="U321" s="4"/>
      <c r="V321" s="4"/>
    </row>
    <row r="322" spans="2:22" ht="27.75" customHeight="1">
      <c r="B322" s="4"/>
      <c r="D322" s="4"/>
      <c r="E322" s="505"/>
      <c r="G322" s="504"/>
      <c r="H322" s="504"/>
      <c r="L322" s="4"/>
      <c r="N322" s="4"/>
      <c r="O322" s="507"/>
      <c r="P322" s="507"/>
      <c r="R322" s="4"/>
      <c r="S322" s="4"/>
      <c r="T322" s="4"/>
      <c r="U322" s="4"/>
      <c r="V322" s="4"/>
    </row>
    <row r="323" spans="2:22" ht="27.75" customHeight="1">
      <c r="B323" s="4"/>
      <c r="D323" s="4"/>
      <c r="E323" s="505"/>
      <c r="G323" s="504"/>
      <c r="H323" s="504"/>
      <c r="L323" s="4"/>
      <c r="N323" s="4"/>
      <c r="O323" s="507"/>
      <c r="P323" s="507"/>
      <c r="R323" s="4"/>
      <c r="S323" s="4"/>
      <c r="T323" s="4"/>
      <c r="U323" s="4"/>
      <c r="V323" s="4"/>
    </row>
    <row r="324" spans="2:22" ht="27.75" customHeight="1">
      <c r="B324" s="4"/>
      <c r="D324" s="4"/>
      <c r="E324" s="505"/>
      <c r="G324" s="504"/>
      <c r="H324" s="504"/>
      <c r="L324" s="4"/>
      <c r="N324" s="4"/>
      <c r="O324" s="507"/>
      <c r="P324" s="507"/>
      <c r="R324" s="4"/>
      <c r="S324" s="4"/>
      <c r="T324" s="4"/>
      <c r="U324" s="4"/>
      <c r="V324" s="4"/>
    </row>
    <row r="325" spans="2:22" ht="27.75" customHeight="1">
      <c r="B325" s="4"/>
      <c r="D325" s="4"/>
      <c r="E325" s="505"/>
      <c r="G325" s="504"/>
      <c r="H325" s="504"/>
      <c r="L325" s="4"/>
      <c r="N325" s="4"/>
      <c r="O325" s="507"/>
      <c r="P325" s="507"/>
      <c r="R325" s="4"/>
      <c r="S325" s="4"/>
      <c r="T325" s="4"/>
      <c r="U325" s="4"/>
      <c r="V325" s="4"/>
    </row>
    <row r="326" spans="2:22" ht="27.75" customHeight="1">
      <c r="B326" s="4"/>
      <c r="D326" s="4"/>
      <c r="E326" s="505"/>
      <c r="G326" s="504"/>
      <c r="H326" s="504"/>
      <c r="L326" s="4"/>
      <c r="N326" s="4"/>
      <c r="O326" s="507"/>
      <c r="P326" s="507"/>
      <c r="R326" s="4"/>
      <c r="S326" s="4"/>
      <c r="T326" s="4"/>
      <c r="U326" s="4"/>
      <c r="V326" s="4"/>
    </row>
    <row r="327" spans="2:22" ht="27.75" customHeight="1">
      <c r="B327" s="4"/>
      <c r="D327" s="4"/>
      <c r="E327" s="505"/>
      <c r="G327" s="504"/>
      <c r="H327" s="504"/>
      <c r="L327" s="4"/>
      <c r="N327" s="4"/>
      <c r="O327" s="507"/>
      <c r="P327" s="507"/>
      <c r="R327" s="4"/>
      <c r="S327" s="4"/>
      <c r="T327" s="4"/>
      <c r="U327" s="4"/>
      <c r="V327" s="4"/>
    </row>
    <row r="328" spans="2:22" ht="27.75" customHeight="1">
      <c r="B328" s="4"/>
      <c r="D328" s="4"/>
      <c r="E328" s="505"/>
      <c r="G328" s="504"/>
      <c r="H328" s="504"/>
      <c r="L328" s="4"/>
      <c r="N328" s="4"/>
      <c r="O328" s="507"/>
      <c r="P328" s="507"/>
      <c r="R328" s="4"/>
      <c r="S328" s="4"/>
      <c r="T328" s="4"/>
      <c r="U328" s="4"/>
      <c r="V328" s="4"/>
    </row>
  </sheetData>
  <mergeCells count="25">
    <mergeCell ref="A1:Q1"/>
    <mergeCell ref="A2:Q2"/>
    <mergeCell ref="A3:Q3"/>
    <mergeCell ref="E4:I4"/>
    <mergeCell ref="M4:Q4"/>
    <mergeCell ref="U4:U6"/>
    <mergeCell ref="V4:V6"/>
    <mergeCell ref="A5:A6"/>
    <mergeCell ref="B5:B6"/>
    <mergeCell ref="C5:C6"/>
    <mergeCell ref="D5:D6"/>
    <mergeCell ref="E5:E6"/>
    <mergeCell ref="F5:F6"/>
    <mergeCell ref="R4:R6"/>
    <mergeCell ref="G5:I5"/>
    <mergeCell ref="K5:K6"/>
    <mergeCell ref="L5:L6"/>
    <mergeCell ref="M5:M6"/>
    <mergeCell ref="N5:N6"/>
    <mergeCell ref="O5:Q5"/>
    <mergeCell ref="B256:D256"/>
    <mergeCell ref="B260:D260"/>
    <mergeCell ref="B263:D263"/>
    <mergeCell ref="S4:S6"/>
    <mergeCell ref="T4:T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1862D-FF81-4177-B73F-5FB1B4640E6E}">
  <sheetPr>
    <tabColor rgb="FF92D050"/>
  </sheetPr>
  <dimension ref="A1:J242"/>
  <sheetViews>
    <sheetView zoomScale="60" zoomScaleNormal="60" workbookViewId="0">
      <pane ySplit="6" topLeftCell="A185" activePane="bottomLeft" state="frozen"/>
      <selection pane="bottomLeft" activeCell="E194" sqref="E194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1.6640625" style="3" customWidth="1"/>
    <col min="5" max="5" width="24.5546875" style="372" customWidth="1"/>
    <col min="6" max="6" width="22.109375" style="512" customWidth="1"/>
    <col min="7" max="7" width="8.88671875" style="4"/>
    <col min="8" max="8" width="29.77734375" style="4" customWidth="1"/>
    <col min="9" max="9" width="21" style="4" customWidth="1"/>
    <col min="10" max="10" width="24.21875" style="4" customWidth="1"/>
    <col min="11" max="16384" width="8.88671875" style="4"/>
  </cols>
  <sheetData>
    <row r="1" spans="1:6" ht="28.5" customHeight="1">
      <c r="A1" s="653" t="s">
        <v>0</v>
      </c>
      <c r="B1" s="653"/>
      <c r="C1" s="653"/>
      <c r="D1" s="653"/>
      <c r="E1" s="653"/>
      <c r="F1" s="653"/>
    </row>
    <row r="2" spans="1:6" ht="23.25" customHeight="1">
      <c r="A2" s="653" t="s">
        <v>1</v>
      </c>
      <c r="B2" s="653"/>
      <c r="C2" s="653"/>
      <c r="D2" s="653"/>
      <c r="E2" s="653"/>
      <c r="F2" s="653"/>
    </row>
    <row r="3" spans="1:6" ht="28.5" customHeight="1">
      <c r="A3" s="654" t="s">
        <v>2</v>
      </c>
      <c r="B3" s="654"/>
      <c r="C3" s="654"/>
      <c r="D3" s="654"/>
      <c r="E3" s="654"/>
      <c r="F3" s="654"/>
    </row>
    <row r="4" spans="1:6" ht="27.75" customHeight="1">
      <c r="A4" s="7"/>
      <c r="B4" s="8"/>
      <c r="C4" s="9"/>
      <c r="D4" s="11"/>
      <c r="E4" s="12" t="s">
        <v>4</v>
      </c>
      <c r="F4" s="13"/>
    </row>
    <row r="5" spans="1:6" ht="27.75" customHeight="1">
      <c r="A5" s="664" t="s">
        <v>11</v>
      </c>
      <c r="B5" s="666" t="s">
        <v>12</v>
      </c>
      <c r="C5" s="666" t="s">
        <v>13</v>
      </c>
      <c r="D5" s="14" t="s">
        <v>18</v>
      </c>
      <c r="E5" s="691" t="s">
        <v>19</v>
      </c>
      <c r="F5" s="693" t="s">
        <v>20</v>
      </c>
    </row>
    <row r="6" spans="1:6" ht="27.75" customHeight="1" thickBot="1">
      <c r="A6" s="665"/>
      <c r="B6" s="667"/>
      <c r="C6" s="667"/>
      <c r="D6" s="18"/>
      <c r="E6" s="692"/>
      <c r="F6" s="694"/>
    </row>
    <row r="7" spans="1:6" ht="27.75" customHeight="1" thickTop="1">
      <c r="A7" s="22"/>
      <c r="B7" s="23" t="s">
        <v>23</v>
      </c>
      <c r="C7" s="24"/>
      <c r="D7" s="29"/>
      <c r="E7" s="30"/>
      <c r="F7" s="31"/>
    </row>
    <row r="8" spans="1:6" s="57" customFormat="1" ht="27.75" customHeight="1">
      <c r="A8" s="39">
        <v>1</v>
      </c>
      <c r="B8" s="40" t="s">
        <v>24</v>
      </c>
      <c r="C8" s="41" t="s">
        <v>25</v>
      </c>
      <c r="D8" s="48">
        <v>45933</v>
      </c>
      <c r="E8" s="49" t="s">
        <v>499</v>
      </c>
      <c r="F8" s="50">
        <v>4012.5</v>
      </c>
    </row>
    <row r="9" spans="1:6" s="57" customFormat="1" ht="27.75" customHeight="1">
      <c r="A9" s="39">
        <v>2</v>
      </c>
      <c r="B9" s="40" t="s">
        <v>24</v>
      </c>
      <c r="C9" s="41" t="s">
        <v>33</v>
      </c>
      <c r="D9" s="48">
        <v>45933</v>
      </c>
      <c r="E9" s="49" t="s">
        <v>499</v>
      </c>
      <c r="F9" s="50">
        <v>4012.5</v>
      </c>
    </row>
    <row r="10" spans="1:6" s="57" customFormat="1" ht="27.75" customHeight="1">
      <c r="A10" s="39">
        <v>3</v>
      </c>
      <c r="B10" s="40" t="s">
        <v>36</v>
      </c>
      <c r="C10" s="41" t="s">
        <v>37</v>
      </c>
      <c r="D10" s="48">
        <v>45935</v>
      </c>
      <c r="E10" s="49" t="s">
        <v>500</v>
      </c>
      <c r="F10" s="50">
        <v>4012.5</v>
      </c>
    </row>
    <row r="11" spans="1:6" s="57" customFormat="1" ht="27.75" customHeight="1">
      <c r="A11" s="39">
        <v>4</v>
      </c>
      <c r="B11" s="40" t="s">
        <v>40</v>
      </c>
      <c r="C11" s="41" t="s">
        <v>41</v>
      </c>
      <c r="D11" s="48">
        <v>45932</v>
      </c>
      <c r="E11" s="49" t="s">
        <v>501</v>
      </c>
      <c r="F11" s="50">
        <v>4012.5</v>
      </c>
    </row>
    <row r="12" spans="1:6" s="57" customFormat="1" ht="27.75" customHeight="1">
      <c r="A12" s="39">
        <v>5</v>
      </c>
      <c r="B12" s="40" t="s">
        <v>43</v>
      </c>
      <c r="C12" s="41" t="s">
        <v>44</v>
      </c>
      <c r="D12" s="48">
        <v>45931</v>
      </c>
      <c r="E12" s="49" t="s">
        <v>502</v>
      </c>
      <c r="F12" s="50">
        <v>4012.5</v>
      </c>
    </row>
    <row r="13" spans="1:6" s="57" customFormat="1" ht="27.75" customHeight="1">
      <c r="A13" s="39">
        <v>6</v>
      </c>
      <c r="B13" s="40" t="s">
        <v>47</v>
      </c>
      <c r="C13" s="41" t="s">
        <v>48</v>
      </c>
      <c r="D13" s="48">
        <v>45933</v>
      </c>
      <c r="E13" s="49" t="s">
        <v>503</v>
      </c>
      <c r="F13" s="50">
        <v>4012.5</v>
      </c>
    </row>
    <row r="14" spans="1:6" s="57" customFormat="1" ht="27.75" customHeight="1">
      <c r="A14" s="39">
        <v>7</v>
      </c>
      <c r="B14" s="40" t="s">
        <v>50</v>
      </c>
      <c r="C14" s="41" t="s">
        <v>51</v>
      </c>
      <c r="D14" s="48">
        <v>45934</v>
      </c>
      <c r="E14" s="49" t="s">
        <v>504</v>
      </c>
      <c r="F14" s="50">
        <v>4012.5</v>
      </c>
    </row>
    <row r="15" spans="1:6" s="57" customFormat="1" ht="27.75" customHeight="1">
      <c r="A15" s="39">
        <v>8</v>
      </c>
      <c r="B15" s="40" t="s">
        <v>53</v>
      </c>
      <c r="C15" s="41" t="s">
        <v>54</v>
      </c>
      <c r="D15" s="48">
        <v>45932</v>
      </c>
      <c r="E15" s="59" t="s">
        <v>505</v>
      </c>
      <c r="F15" s="50">
        <v>4012.5</v>
      </c>
    </row>
    <row r="16" spans="1:6" s="57" customFormat="1" ht="27.75" customHeight="1">
      <c r="A16" s="39">
        <v>9</v>
      </c>
      <c r="B16" s="40" t="s">
        <v>57</v>
      </c>
      <c r="C16" s="41" t="s">
        <v>58</v>
      </c>
      <c r="D16" s="48">
        <v>45931</v>
      </c>
      <c r="E16" s="49" t="s">
        <v>506</v>
      </c>
      <c r="F16" s="50">
        <v>4012.5</v>
      </c>
    </row>
    <row r="17" spans="1:8" s="57" customFormat="1" ht="27.75" customHeight="1">
      <c r="A17" s="39">
        <v>10</v>
      </c>
      <c r="B17" s="40" t="s">
        <v>60</v>
      </c>
      <c r="C17" s="41" t="s">
        <v>61</v>
      </c>
      <c r="D17" s="48">
        <v>45931</v>
      </c>
      <c r="E17" s="49" t="s">
        <v>507</v>
      </c>
      <c r="F17" s="50">
        <v>4012.5</v>
      </c>
    </row>
    <row r="18" spans="1:8" s="57" customFormat="1" ht="27.75" customHeight="1">
      <c r="A18" s="39">
        <v>11</v>
      </c>
      <c r="B18" s="40" t="s">
        <v>63</v>
      </c>
      <c r="C18" s="41" t="s">
        <v>64</v>
      </c>
      <c r="D18" s="48">
        <v>45935</v>
      </c>
      <c r="E18" s="49" t="s">
        <v>508</v>
      </c>
      <c r="F18" s="50">
        <v>4012.5</v>
      </c>
    </row>
    <row r="19" spans="1:8" s="57" customFormat="1" ht="35.25" customHeight="1" thickBot="1">
      <c r="A19" s="67"/>
      <c r="B19" s="68" t="s">
        <v>22</v>
      </c>
      <c r="C19" s="69"/>
      <c r="D19" s="74"/>
      <c r="E19" s="75"/>
      <c r="F19" s="76">
        <v>44137.5</v>
      </c>
      <c r="H19" s="57">
        <f>SUM(F8:F18)</f>
        <v>44137.5</v>
      </c>
    </row>
    <row r="20" spans="1:8" s="91" customFormat="1" ht="27.75" customHeight="1" thickTop="1">
      <c r="A20" s="39">
        <v>1</v>
      </c>
      <c r="B20" s="80" t="s">
        <v>71</v>
      </c>
      <c r="C20" s="81" t="s">
        <v>72</v>
      </c>
      <c r="D20" s="48">
        <v>45954</v>
      </c>
      <c r="E20" s="49" t="s">
        <v>509</v>
      </c>
      <c r="F20" s="86">
        <v>13375</v>
      </c>
    </row>
    <row r="21" spans="1:8" s="57" customFormat="1" ht="27.75" customHeight="1">
      <c r="A21" s="39">
        <v>2</v>
      </c>
      <c r="B21" s="92" t="s">
        <v>76</v>
      </c>
      <c r="C21" s="41" t="s">
        <v>72</v>
      </c>
      <c r="D21" s="62">
        <v>45936</v>
      </c>
      <c r="E21" s="49" t="s">
        <v>511</v>
      </c>
      <c r="F21" s="93">
        <v>1605</v>
      </c>
    </row>
    <row r="22" spans="1:8" s="57" customFormat="1" ht="27.75" customHeight="1" thickBot="1">
      <c r="A22" s="96"/>
      <c r="B22" s="97" t="s">
        <v>22</v>
      </c>
      <c r="C22" s="98"/>
      <c r="D22" s="103"/>
      <c r="E22" s="104"/>
      <c r="F22" s="105">
        <v>14980</v>
      </c>
      <c r="H22" s="57">
        <f>SUM(F20:F21)</f>
        <v>14980</v>
      </c>
    </row>
    <row r="23" spans="1:8" ht="27.75" customHeight="1" thickTop="1">
      <c r="A23" s="39">
        <v>3</v>
      </c>
      <c r="B23" s="40" t="s">
        <v>85</v>
      </c>
      <c r="C23" s="41" t="s">
        <v>72</v>
      </c>
      <c r="D23" s="117">
        <v>45938</v>
      </c>
      <c r="E23" s="118" t="s">
        <v>512</v>
      </c>
      <c r="F23" s="119">
        <v>10000</v>
      </c>
    </row>
    <row r="24" spans="1:8" s="57" customFormat="1" ht="27.75" customHeight="1" thickBot="1">
      <c r="A24" s="96"/>
      <c r="B24" s="97" t="s">
        <v>22</v>
      </c>
      <c r="C24" s="98"/>
      <c r="D24" s="103"/>
      <c r="E24" s="104"/>
      <c r="F24" s="105">
        <v>10000</v>
      </c>
      <c r="H24" s="57">
        <f>SUM(F23)</f>
        <v>10000</v>
      </c>
    </row>
    <row r="25" spans="1:8" ht="27.75" hidden="1" customHeight="1" thickBot="1">
      <c r="A25" s="39">
        <v>1</v>
      </c>
      <c r="B25" s="40" t="s">
        <v>88</v>
      </c>
      <c r="C25" s="41" t="s">
        <v>72</v>
      </c>
      <c r="D25" s="113"/>
      <c r="E25" s="118"/>
      <c r="F25" s="121">
        <v>0</v>
      </c>
    </row>
    <row r="26" spans="1:8" ht="27.75" hidden="1" customHeight="1" thickTop="1">
      <c r="A26" s="39">
        <v>2</v>
      </c>
      <c r="B26" s="40" t="s">
        <v>89</v>
      </c>
      <c r="C26" s="41" t="s">
        <v>72</v>
      </c>
      <c r="D26" s="113"/>
      <c r="E26" s="118"/>
      <c r="F26" s="121">
        <v>0</v>
      </c>
    </row>
    <row r="27" spans="1:8" ht="27.75" hidden="1" customHeight="1" thickTop="1">
      <c r="A27" s="39">
        <v>3</v>
      </c>
      <c r="B27" s="40" t="s">
        <v>90</v>
      </c>
      <c r="C27" s="41" t="s">
        <v>72</v>
      </c>
      <c r="D27" s="113"/>
      <c r="E27" s="118"/>
      <c r="F27" s="121"/>
    </row>
    <row r="28" spans="1:8" ht="27.75" hidden="1" customHeight="1" thickTop="1">
      <c r="A28" s="39">
        <v>4</v>
      </c>
      <c r="B28" s="40" t="s">
        <v>91</v>
      </c>
      <c r="C28" s="41" t="s">
        <v>72</v>
      </c>
      <c r="D28" s="113"/>
      <c r="E28" s="118"/>
      <c r="F28" s="121">
        <v>0</v>
      </c>
    </row>
    <row r="29" spans="1:8" ht="27.75" hidden="1" customHeight="1" thickTop="1">
      <c r="A29" s="39">
        <v>5</v>
      </c>
      <c r="B29" s="40" t="s">
        <v>92</v>
      </c>
      <c r="C29" s="41" t="s">
        <v>72</v>
      </c>
      <c r="D29" s="117"/>
      <c r="E29" s="118"/>
      <c r="F29" s="119">
        <v>0</v>
      </c>
    </row>
    <row r="30" spans="1:8" ht="27.75" hidden="1" customHeight="1" thickTop="1">
      <c r="A30" s="39">
        <v>6</v>
      </c>
      <c r="B30" s="123" t="s">
        <v>93</v>
      </c>
      <c r="C30" s="41" t="s">
        <v>72</v>
      </c>
      <c r="D30" s="127"/>
      <c r="E30" s="128"/>
      <c r="F30" s="129">
        <v>0</v>
      </c>
    </row>
    <row r="31" spans="1:8" ht="27.75" hidden="1" customHeight="1" thickTop="1">
      <c r="A31" s="39">
        <v>7</v>
      </c>
      <c r="B31" s="40" t="s">
        <v>94</v>
      </c>
      <c r="C31" s="41" t="s">
        <v>72</v>
      </c>
      <c r="D31" s="117"/>
      <c r="E31" s="118"/>
      <c r="F31" s="119">
        <v>0</v>
      </c>
    </row>
    <row r="32" spans="1:8" ht="27.75" hidden="1" customHeight="1" thickTop="1">
      <c r="A32" s="39">
        <v>8</v>
      </c>
      <c r="B32" s="40" t="s">
        <v>95</v>
      </c>
      <c r="C32" s="41" t="s">
        <v>72</v>
      </c>
      <c r="D32" s="117"/>
      <c r="E32" s="118"/>
      <c r="F32" s="119">
        <v>0</v>
      </c>
    </row>
    <row r="33" spans="1:6" ht="27.75" hidden="1" customHeight="1" thickTop="1">
      <c r="A33" s="39">
        <v>9</v>
      </c>
      <c r="B33" s="40" t="s">
        <v>96</v>
      </c>
      <c r="C33" s="41" t="s">
        <v>72</v>
      </c>
      <c r="D33" s="117"/>
      <c r="E33" s="118"/>
      <c r="F33" s="119">
        <v>0</v>
      </c>
    </row>
    <row r="34" spans="1:6" ht="27.75" hidden="1" customHeight="1" thickTop="1">
      <c r="A34" s="39">
        <v>10</v>
      </c>
      <c r="B34" s="40" t="s">
        <v>97</v>
      </c>
      <c r="C34" s="41" t="s">
        <v>72</v>
      </c>
      <c r="D34" s="117"/>
      <c r="E34" s="118"/>
      <c r="F34" s="119">
        <v>0</v>
      </c>
    </row>
    <row r="35" spans="1:6" ht="27.75" hidden="1" customHeight="1" thickTop="1">
      <c r="A35" s="39">
        <v>11</v>
      </c>
      <c r="B35" s="40" t="s">
        <v>98</v>
      </c>
      <c r="C35" s="41" t="s">
        <v>72</v>
      </c>
      <c r="D35" s="117"/>
      <c r="E35" s="118"/>
      <c r="F35" s="119">
        <v>0</v>
      </c>
    </row>
    <row r="36" spans="1:6" ht="27.75" hidden="1" customHeight="1" thickTop="1">
      <c r="A36" s="39">
        <v>12</v>
      </c>
      <c r="B36" s="40" t="s">
        <v>99</v>
      </c>
      <c r="C36" s="41" t="s">
        <v>72</v>
      </c>
      <c r="D36" s="117"/>
      <c r="E36" s="118"/>
      <c r="F36" s="119">
        <v>0</v>
      </c>
    </row>
    <row r="37" spans="1:6" ht="27.75" hidden="1" customHeight="1" thickTop="1">
      <c r="A37" s="39"/>
      <c r="B37" s="123"/>
      <c r="C37" s="41"/>
      <c r="D37" s="127"/>
      <c r="E37" s="128"/>
      <c r="F37" s="129"/>
    </row>
    <row r="38" spans="1:6" ht="27.75" hidden="1" customHeight="1" thickTop="1">
      <c r="A38" s="22"/>
      <c r="B38" s="131" t="s">
        <v>22</v>
      </c>
      <c r="C38" s="132"/>
      <c r="D38" s="137">
        <v>0</v>
      </c>
      <c r="E38" s="137">
        <v>0</v>
      </c>
      <c r="F38" s="138">
        <v>0</v>
      </c>
    </row>
    <row r="39" spans="1:6" ht="27.75" customHeight="1" thickTop="1">
      <c r="A39" s="22"/>
      <c r="B39" s="23" t="s">
        <v>100</v>
      </c>
      <c r="C39" s="24"/>
      <c r="D39" s="29"/>
      <c r="E39" s="30"/>
      <c r="F39" s="31"/>
    </row>
    <row r="40" spans="1:6" s="57" customFormat="1" ht="27.75" customHeight="1">
      <c r="A40" s="22">
        <v>1</v>
      </c>
      <c r="B40" s="40" t="s">
        <v>101</v>
      </c>
      <c r="C40" s="140" t="s">
        <v>102</v>
      </c>
      <c r="D40" s="113">
        <v>45952</v>
      </c>
      <c r="E40" s="114" t="s">
        <v>513</v>
      </c>
      <c r="F40" s="144">
        <v>160.5</v>
      </c>
    </row>
    <row r="41" spans="1:6" s="57" customFormat="1" ht="27.75" customHeight="1">
      <c r="A41" s="22">
        <v>2</v>
      </c>
      <c r="B41" s="170" t="s">
        <v>109</v>
      </c>
      <c r="C41" s="140" t="s">
        <v>102</v>
      </c>
      <c r="D41" s="117">
        <v>45935</v>
      </c>
      <c r="E41" s="118" t="s">
        <v>515</v>
      </c>
      <c r="F41" s="151">
        <v>321</v>
      </c>
    </row>
    <row r="42" spans="1:6" s="57" customFormat="1" ht="27.75" customHeight="1">
      <c r="A42" s="22">
        <v>3</v>
      </c>
      <c r="B42" s="170" t="s">
        <v>111</v>
      </c>
      <c r="C42" s="140" t="s">
        <v>102</v>
      </c>
      <c r="D42" s="117">
        <v>45944</v>
      </c>
      <c r="E42" s="118" t="s">
        <v>516</v>
      </c>
      <c r="F42" s="151">
        <v>321</v>
      </c>
    </row>
    <row r="43" spans="1:6" s="57" customFormat="1" ht="27.75" customHeight="1">
      <c r="A43" s="22">
        <v>4</v>
      </c>
      <c r="B43" s="170" t="s">
        <v>113</v>
      </c>
      <c r="C43" s="140" t="s">
        <v>102</v>
      </c>
      <c r="D43" s="113">
        <v>45937</v>
      </c>
      <c r="E43" s="114" t="s">
        <v>517</v>
      </c>
      <c r="F43" s="151">
        <v>160.5</v>
      </c>
    </row>
    <row r="44" spans="1:6" s="57" customFormat="1" ht="27.75" customHeight="1">
      <c r="A44" s="22">
        <v>5</v>
      </c>
      <c r="B44" s="170" t="s">
        <v>115</v>
      </c>
      <c r="C44" s="140" t="s">
        <v>102</v>
      </c>
      <c r="D44" s="113">
        <v>45932</v>
      </c>
      <c r="E44" s="114" t="s">
        <v>518</v>
      </c>
      <c r="F44" s="151">
        <v>321</v>
      </c>
    </row>
    <row r="45" spans="1:6" s="57" customFormat="1" ht="27.75" customHeight="1">
      <c r="A45" s="22">
        <v>6</v>
      </c>
      <c r="B45" s="170" t="s">
        <v>117</v>
      </c>
      <c r="C45" s="140" t="s">
        <v>102</v>
      </c>
      <c r="D45" s="113">
        <v>45946</v>
      </c>
      <c r="E45" s="114" t="s">
        <v>519</v>
      </c>
      <c r="F45" s="151">
        <v>535</v>
      </c>
    </row>
    <row r="46" spans="1:6" s="57" customFormat="1" ht="27.75" customHeight="1">
      <c r="A46" s="22">
        <v>7</v>
      </c>
      <c r="B46" s="170" t="s">
        <v>119</v>
      </c>
      <c r="C46" s="140" t="s">
        <v>102</v>
      </c>
      <c r="D46" s="113">
        <v>45953</v>
      </c>
      <c r="E46" s="114" t="s">
        <v>520</v>
      </c>
      <c r="F46" s="151">
        <v>321</v>
      </c>
    </row>
    <row r="47" spans="1:6" s="57" customFormat="1" ht="27.75" customHeight="1">
      <c r="A47" s="22">
        <v>8</v>
      </c>
      <c r="B47" s="170" t="s">
        <v>121</v>
      </c>
      <c r="C47" s="140" t="s">
        <v>102</v>
      </c>
      <c r="D47" s="113">
        <v>45960</v>
      </c>
      <c r="E47" s="114" t="s">
        <v>521</v>
      </c>
      <c r="F47" s="151">
        <v>321</v>
      </c>
    </row>
    <row r="48" spans="1:6" s="57" customFormat="1" ht="27.75" customHeight="1">
      <c r="A48" s="22">
        <v>9</v>
      </c>
      <c r="B48" s="40" t="s">
        <v>128</v>
      </c>
      <c r="C48" s="140" t="s">
        <v>102</v>
      </c>
      <c r="D48" s="113">
        <v>45960</v>
      </c>
      <c r="E48" s="114" t="s">
        <v>523</v>
      </c>
      <c r="F48" s="144">
        <v>642</v>
      </c>
    </row>
    <row r="49" spans="1:6" s="57" customFormat="1" ht="27.75" customHeight="1">
      <c r="A49" s="22">
        <v>10</v>
      </c>
      <c r="B49" s="40" t="s">
        <v>130</v>
      </c>
      <c r="C49" s="140" t="s">
        <v>102</v>
      </c>
      <c r="D49" s="175">
        <v>45934</v>
      </c>
      <c r="E49" s="176" t="s">
        <v>524</v>
      </c>
      <c r="F49" s="177">
        <v>160.5</v>
      </c>
    </row>
    <row r="50" spans="1:6" s="57" customFormat="1" ht="27.75" customHeight="1">
      <c r="A50" s="22">
        <v>11</v>
      </c>
      <c r="B50" s="170" t="s">
        <v>132</v>
      </c>
      <c r="C50" s="140" t="s">
        <v>102</v>
      </c>
      <c r="D50" s="178">
        <v>45939</v>
      </c>
      <c r="E50" s="179" t="s">
        <v>525</v>
      </c>
      <c r="F50" s="180">
        <v>321</v>
      </c>
    </row>
    <row r="51" spans="1:6" s="57" customFormat="1" ht="27.75" customHeight="1">
      <c r="A51" s="22">
        <v>12</v>
      </c>
      <c r="B51" s="40" t="s">
        <v>134</v>
      </c>
      <c r="C51" s="140" t="s">
        <v>102</v>
      </c>
      <c r="D51" s="175">
        <v>45959</v>
      </c>
      <c r="E51" s="176" t="s">
        <v>526</v>
      </c>
      <c r="F51" s="177">
        <v>160.5</v>
      </c>
    </row>
    <row r="52" spans="1:6" s="57" customFormat="1" ht="27.75" customHeight="1">
      <c r="A52" s="22">
        <v>13</v>
      </c>
      <c r="B52" s="170" t="s">
        <v>136</v>
      </c>
      <c r="C52" s="140" t="s">
        <v>102</v>
      </c>
      <c r="D52" s="113">
        <v>45960</v>
      </c>
      <c r="E52" s="114" t="s">
        <v>527</v>
      </c>
      <c r="F52" s="144">
        <v>321</v>
      </c>
    </row>
    <row r="53" spans="1:6" s="57" customFormat="1" ht="27.75" customHeight="1">
      <c r="A53" s="22">
        <v>14</v>
      </c>
      <c r="B53" s="181" t="s">
        <v>142</v>
      </c>
      <c r="C53" s="182" t="s">
        <v>143</v>
      </c>
      <c r="D53" s="183">
        <v>45960</v>
      </c>
      <c r="E53" s="184" t="s">
        <v>523</v>
      </c>
      <c r="F53" s="185">
        <v>160.5</v>
      </c>
    </row>
    <row r="54" spans="1:6" s="57" customFormat="1" ht="27.75" customHeight="1">
      <c r="A54" s="22">
        <v>15</v>
      </c>
      <c r="B54" s="40" t="s">
        <v>145</v>
      </c>
      <c r="C54" s="140" t="s">
        <v>102</v>
      </c>
      <c r="D54" s="175">
        <v>45961</v>
      </c>
      <c r="E54" s="176" t="s">
        <v>529</v>
      </c>
      <c r="F54" s="177">
        <v>642</v>
      </c>
    </row>
    <row r="55" spans="1:6" s="57" customFormat="1" ht="27.75" customHeight="1">
      <c r="A55" s="22">
        <v>16</v>
      </c>
      <c r="B55" s="40" t="s">
        <v>147</v>
      </c>
      <c r="C55" s="140" t="s">
        <v>102</v>
      </c>
      <c r="D55" s="175">
        <v>45935</v>
      </c>
      <c r="E55" s="176" t="s">
        <v>530</v>
      </c>
      <c r="F55" s="177">
        <v>160.5</v>
      </c>
    </row>
    <row r="56" spans="1:6" s="57" customFormat="1" ht="27.75" customHeight="1">
      <c r="A56" s="22">
        <v>17</v>
      </c>
      <c r="B56" s="80" t="s">
        <v>149</v>
      </c>
      <c r="C56" s="140" t="s">
        <v>102</v>
      </c>
      <c r="D56" s="175">
        <v>45951</v>
      </c>
      <c r="E56" s="176" t="s">
        <v>531</v>
      </c>
      <c r="F56" s="177">
        <v>1070</v>
      </c>
    </row>
    <row r="57" spans="1:6" s="57" customFormat="1" ht="27.75" customHeight="1">
      <c r="A57" s="22">
        <v>18</v>
      </c>
      <c r="B57" s="170" t="s">
        <v>151</v>
      </c>
      <c r="C57" s="140" t="s">
        <v>102</v>
      </c>
      <c r="D57" s="117">
        <v>45932</v>
      </c>
      <c r="E57" s="118" t="s">
        <v>532</v>
      </c>
      <c r="F57" s="151">
        <v>160.5</v>
      </c>
    </row>
    <row r="58" spans="1:6" s="57" customFormat="1" ht="27.75" customHeight="1">
      <c r="A58" s="22">
        <v>19</v>
      </c>
      <c r="B58" s="170" t="s">
        <v>154</v>
      </c>
      <c r="C58" s="140" t="s">
        <v>102</v>
      </c>
      <c r="D58" s="175">
        <v>45960</v>
      </c>
      <c r="E58" s="176" t="s">
        <v>533</v>
      </c>
      <c r="F58" s="177">
        <v>321</v>
      </c>
    </row>
    <row r="59" spans="1:6" s="57" customFormat="1" ht="27.75" customHeight="1">
      <c r="A59" s="22">
        <v>20</v>
      </c>
      <c r="B59" s="191" t="s">
        <v>156</v>
      </c>
      <c r="C59" s="140" t="s">
        <v>102</v>
      </c>
      <c r="D59" s="175">
        <v>45934</v>
      </c>
      <c r="E59" s="176" t="s">
        <v>534</v>
      </c>
      <c r="F59" s="177">
        <v>160.5</v>
      </c>
    </row>
    <row r="60" spans="1:6" s="57" customFormat="1" ht="27.75" customHeight="1">
      <c r="A60" s="22">
        <v>21</v>
      </c>
      <c r="B60" s="191" t="s">
        <v>161</v>
      </c>
      <c r="C60" s="140" t="s">
        <v>102</v>
      </c>
      <c r="D60" s="117">
        <v>45960</v>
      </c>
      <c r="E60" s="118" t="s">
        <v>536</v>
      </c>
      <c r="F60" s="151">
        <v>321</v>
      </c>
    </row>
    <row r="61" spans="1:6" s="57" customFormat="1" ht="27.75" customHeight="1">
      <c r="A61" s="22">
        <v>22</v>
      </c>
      <c r="B61" s="191" t="s">
        <v>163</v>
      </c>
      <c r="C61" s="140" t="s">
        <v>102</v>
      </c>
      <c r="D61" s="117">
        <v>45961</v>
      </c>
      <c r="E61" s="118" t="s">
        <v>537</v>
      </c>
      <c r="F61" s="151">
        <v>160.5</v>
      </c>
    </row>
    <row r="62" spans="1:6" s="57" customFormat="1" ht="27.75" customHeight="1">
      <c r="A62" s="22">
        <v>23</v>
      </c>
      <c r="B62" s="170" t="s">
        <v>165</v>
      </c>
      <c r="C62" s="140" t="s">
        <v>102</v>
      </c>
      <c r="D62" s="175">
        <v>45937</v>
      </c>
      <c r="E62" s="176" t="s">
        <v>538</v>
      </c>
      <c r="F62" s="177">
        <v>1070</v>
      </c>
    </row>
    <row r="63" spans="1:6" s="57" customFormat="1" ht="27.75" customHeight="1">
      <c r="A63" s="22">
        <v>24</v>
      </c>
      <c r="B63" s="191" t="s">
        <v>167</v>
      </c>
      <c r="C63" s="140" t="s">
        <v>102</v>
      </c>
      <c r="D63" s="117">
        <v>45960</v>
      </c>
      <c r="E63" s="118" t="s">
        <v>539</v>
      </c>
      <c r="F63" s="151">
        <v>535</v>
      </c>
    </row>
    <row r="64" spans="1:6" s="57" customFormat="1" ht="27.75" customHeight="1">
      <c r="A64" s="22">
        <v>25</v>
      </c>
      <c r="B64" s="170" t="s">
        <v>169</v>
      </c>
      <c r="C64" s="140" t="s">
        <v>102</v>
      </c>
      <c r="D64" s="175">
        <v>45961</v>
      </c>
      <c r="E64" s="176" t="s">
        <v>540</v>
      </c>
      <c r="F64" s="177">
        <v>321</v>
      </c>
    </row>
    <row r="65" spans="1:8" s="57" customFormat="1" ht="27.75" customHeight="1">
      <c r="A65" s="22">
        <v>26</v>
      </c>
      <c r="B65" s="191" t="s">
        <v>171</v>
      </c>
      <c r="C65" s="140" t="s">
        <v>102</v>
      </c>
      <c r="D65" s="175">
        <v>45961</v>
      </c>
      <c r="E65" s="176" t="s">
        <v>541</v>
      </c>
      <c r="F65" s="177">
        <v>963</v>
      </c>
    </row>
    <row r="66" spans="1:8" s="57" customFormat="1" ht="27.75" customHeight="1">
      <c r="A66" s="22">
        <v>27</v>
      </c>
      <c r="B66" s="191" t="s">
        <v>173</v>
      </c>
      <c r="C66" s="140" t="s">
        <v>102</v>
      </c>
      <c r="D66" s="175">
        <v>45931</v>
      </c>
      <c r="E66" s="176" t="s">
        <v>542</v>
      </c>
      <c r="F66" s="177">
        <v>321</v>
      </c>
    </row>
    <row r="67" spans="1:8" s="57" customFormat="1" ht="27.75" customHeight="1">
      <c r="A67" s="22">
        <v>28</v>
      </c>
      <c r="B67" s="191" t="s">
        <v>175</v>
      </c>
      <c r="C67" s="140" t="s">
        <v>102</v>
      </c>
      <c r="D67" s="175">
        <v>45932</v>
      </c>
      <c r="E67" s="176" t="s">
        <v>543</v>
      </c>
      <c r="F67" s="177">
        <v>321</v>
      </c>
    </row>
    <row r="68" spans="1:8" s="57" customFormat="1" ht="27.75" customHeight="1">
      <c r="A68" s="22">
        <v>29</v>
      </c>
      <c r="B68" s="191" t="s">
        <v>177</v>
      </c>
      <c r="C68" s="140" t="s">
        <v>102</v>
      </c>
      <c r="D68" s="117">
        <v>45960</v>
      </c>
      <c r="E68" s="118" t="s">
        <v>544</v>
      </c>
      <c r="F68" s="151">
        <v>321</v>
      </c>
    </row>
    <row r="69" spans="1:8" ht="27.75" customHeight="1" thickBot="1">
      <c r="A69" s="193"/>
      <c r="B69" s="194" t="s">
        <v>22</v>
      </c>
      <c r="C69" s="195"/>
      <c r="D69" s="199"/>
      <c r="E69" s="199"/>
      <c r="F69" s="196">
        <v>11074.5</v>
      </c>
      <c r="H69" s="512">
        <f>SUM(F40:F68)</f>
        <v>11074.5</v>
      </c>
    </row>
    <row r="70" spans="1:8" ht="27.75" customHeight="1" thickTop="1">
      <c r="A70" s="22"/>
      <c r="B70" s="23" t="s">
        <v>179</v>
      </c>
      <c r="C70" s="24"/>
      <c r="D70" s="29"/>
      <c r="E70" s="30"/>
      <c r="F70" s="31"/>
    </row>
    <row r="71" spans="1:8" ht="27.75" customHeight="1">
      <c r="A71" s="94">
        <v>1</v>
      </c>
      <c r="B71" s="40" t="s">
        <v>180</v>
      </c>
      <c r="C71" s="41" t="s">
        <v>181</v>
      </c>
      <c r="D71" s="48">
        <v>45936</v>
      </c>
      <c r="E71" s="49" t="s">
        <v>545</v>
      </c>
      <c r="F71" s="202">
        <v>160.5</v>
      </c>
    </row>
    <row r="72" spans="1:8" ht="27.75" customHeight="1">
      <c r="A72" s="94">
        <v>2</v>
      </c>
      <c r="B72" s="40" t="s">
        <v>184</v>
      </c>
      <c r="C72" s="41" t="s">
        <v>181</v>
      </c>
      <c r="D72" s="48">
        <v>45937</v>
      </c>
      <c r="E72" s="49" t="s">
        <v>546</v>
      </c>
      <c r="F72" s="202">
        <v>3370.5</v>
      </c>
    </row>
    <row r="73" spans="1:8" ht="27.75" customHeight="1">
      <c r="A73" s="94">
        <v>3</v>
      </c>
      <c r="B73" s="205" t="s">
        <v>186</v>
      </c>
      <c r="C73" s="206" t="s">
        <v>181</v>
      </c>
      <c r="D73" s="48">
        <v>45960</v>
      </c>
      <c r="E73" s="49" t="s">
        <v>547</v>
      </c>
      <c r="F73" s="202">
        <v>3370.5</v>
      </c>
    </row>
    <row r="74" spans="1:8" ht="27.75" customHeight="1">
      <c r="A74" s="186">
        <v>4</v>
      </c>
      <c r="B74" s="205" t="s">
        <v>188</v>
      </c>
      <c r="C74" s="206" t="s">
        <v>181</v>
      </c>
      <c r="D74" s="48">
        <v>45931</v>
      </c>
      <c r="E74" s="49" t="s">
        <v>548</v>
      </c>
      <c r="F74" s="202">
        <v>2140</v>
      </c>
    </row>
    <row r="75" spans="1:8" s="220" customFormat="1" ht="27.75" customHeight="1">
      <c r="A75" s="186">
        <v>5</v>
      </c>
      <c r="B75" s="208" t="s">
        <v>71</v>
      </c>
      <c r="C75" s="209" t="s">
        <v>181</v>
      </c>
      <c r="D75" s="62">
        <v>45954</v>
      </c>
      <c r="E75" s="215" t="s">
        <v>549</v>
      </c>
      <c r="F75" s="202">
        <v>2675</v>
      </c>
    </row>
    <row r="76" spans="1:8" ht="27.75" customHeight="1" thickBot="1">
      <c r="A76" s="193"/>
      <c r="B76" s="194" t="s">
        <v>22</v>
      </c>
      <c r="C76" s="195"/>
      <c r="D76" s="199"/>
      <c r="E76" s="199"/>
      <c r="F76" s="196">
        <v>11716.5</v>
      </c>
      <c r="H76" s="512">
        <f>SUM(F71:F75)</f>
        <v>11716.5</v>
      </c>
    </row>
    <row r="77" spans="1:8" ht="27.75" customHeight="1" thickTop="1">
      <c r="A77" s="22"/>
      <c r="B77" s="23" t="s">
        <v>191</v>
      </c>
      <c r="C77" s="24"/>
      <c r="D77" s="29"/>
      <c r="E77" s="30"/>
      <c r="F77" s="31"/>
    </row>
    <row r="78" spans="1:8" ht="27.75" customHeight="1">
      <c r="A78" s="94">
        <v>1</v>
      </c>
      <c r="B78" s="40" t="s">
        <v>192</v>
      </c>
      <c r="C78" s="41" t="s">
        <v>193</v>
      </c>
      <c r="D78" s="175">
        <v>45935</v>
      </c>
      <c r="E78" s="176" t="s">
        <v>550</v>
      </c>
      <c r="F78" s="222">
        <v>2140</v>
      </c>
    </row>
    <row r="79" spans="1:8" ht="27.75" customHeight="1" thickBot="1">
      <c r="A79" s="193"/>
      <c r="B79" s="194" t="s">
        <v>22</v>
      </c>
      <c r="C79" s="195"/>
      <c r="D79" s="199"/>
      <c r="E79" s="199"/>
      <c r="F79" s="196">
        <v>2140</v>
      </c>
      <c r="H79" s="520">
        <f>SUM(F78)</f>
        <v>2140</v>
      </c>
    </row>
    <row r="80" spans="1:8" ht="27.75" customHeight="1" thickTop="1">
      <c r="A80" s="22"/>
      <c r="B80" s="23" t="s">
        <v>196</v>
      </c>
      <c r="C80" s="24"/>
      <c r="D80" s="29"/>
      <c r="E80" s="30"/>
      <c r="F80" s="31"/>
    </row>
    <row r="81" spans="1:6" s="226" customFormat="1" ht="27.75" customHeight="1">
      <c r="A81" s="94">
        <v>1</v>
      </c>
      <c r="B81" s="181" t="s">
        <v>198</v>
      </c>
      <c r="C81" s="224" t="s">
        <v>199</v>
      </c>
      <c r="D81" s="113">
        <v>45934</v>
      </c>
      <c r="E81" s="114" t="s">
        <v>551</v>
      </c>
      <c r="F81" s="144">
        <v>26750</v>
      </c>
    </row>
    <row r="82" spans="1:6" s="226" customFormat="1" ht="27.75" customHeight="1">
      <c r="A82" s="94">
        <v>2</v>
      </c>
      <c r="B82" s="181" t="s">
        <v>204</v>
      </c>
      <c r="C82" s="224" t="s">
        <v>205</v>
      </c>
      <c r="D82" s="113">
        <v>45951</v>
      </c>
      <c r="E82" s="114" t="s">
        <v>552</v>
      </c>
      <c r="F82" s="144">
        <v>22470</v>
      </c>
    </row>
    <row r="83" spans="1:6" s="226" customFormat="1" ht="27.75" customHeight="1">
      <c r="A83" s="94">
        <v>3</v>
      </c>
      <c r="B83" s="181" t="s">
        <v>204</v>
      </c>
      <c r="C83" s="224" t="s">
        <v>207</v>
      </c>
      <c r="D83" s="113">
        <v>45951</v>
      </c>
      <c r="E83" s="114" t="s">
        <v>552</v>
      </c>
      <c r="F83" s="144">
        <v>22470</v>
      </c>
    </row>
    <row r="84" spans="1:6" s="226" customFormat="1" ht="27.75" customHeight="1">
      <c r="A84" s="94">
        <v>4</v>
      </c>
      <c r="B84" s="181" t="s">
        <v>210</v>
      </c>
      <c r="C84" s="224" t="s">
        <v>211</v>
      </c>
      <c r="D84" s="113">
        <v>45959</v>
      </c>
      <c r="E84" s="114" t="s">
        <v>553</v>
      </c>
      <c r="F84" s="144">
        <v>22470</v>
      </c>
    </row>
    <row r="85" spans="1:6" s="226" customFormat="1" ht="27.75" customHeight="1">
      <c r="A85" s="94">
        <v>5</v>
      </c>
      <c r="B85" s="181" t="s">
        <v>214</v>
      </c>
      <c r="C85" s="224" t="s">
        <v>215</v>
      </c>
      <c r="D85" s="113">
        <v>45932</v>
      </c>
      <c r="E85" s="114" t="s">
        <v>554</v>
      </c>
      <c r="F85" s="144">
        <v>22470</v>
      </c>
    </row>
    <row r="86" spans="1:6" s="226" customFormat="1" ht="27.75" customHeight="1">
      <c r="A86" s="94">
        <v>6</v>
      </c>
      <c r="B86" s="181" t="s">
        <v>217</v>
      </c>
      <c r="C86" s="224" t="s">
        <v>218</v>
      </c>
      <c r="D86" s="113">
        <v>45951</v>
      </c>
      <c r="E86" s="114" t="s">
        <v>555</v>
      </c>
      <c r="F86" s="144">
        <v>22470</v>
      </c>
    </row>
    <row r="87" spans="1:6" s="226" customFormat="1" ht="27.75" customHeight="1">
      <c r="A87" s="94">
        <v>7</v>
      </c>
      <c r="B87" s="181" t="s">
        <v>217</v>
      </c>
      <c r="C87" s="224" t="s">
        <v>220</v>
      </c>
      <c r="D87" s="113">
        <v>45951</v>
      </c>
      <c r="E87" s="114" t="s">
        <v>555</v>
      </c>
      <c r="F87" s="144">
        <v>22470</v>
      </c>
    </row>
    <row r="88" spans="1:6" s="226" customFormat="1" ht="27.75" customHeight="1">
      <c r="A88" s="94">
        <v>8</v>
      </c>
      <c r="B88" s="181" t="s">
        <v>217</v>
      </c>
      <c r="C88" s="224" t="s">
        <v>221</v>
      </c>
      <c r="D88" s="113">
        <v>45951</v>
      </c>
      <c r="E88" s="114" t="s">
        <v>555</v>
      </c>
      <c r="F88" s="144">
        <v>22470</v>
      </c>
    </row>
    <row r="89" spans="1:6" s="226" customFormat="1" ht="27.75" customHeight="1">
      <c r="A89" s="94">
        <v>9</v>
      </c>
      <c r="B89" s="181" t="s">
        <v>222</v>
      </c>
      <c r="C89" s="227" t="s">
        <v>223</v>
      </c>
      <c r="D89" s="230">
        <v>45933</v>
      </c>
      <c r="E89" s="184" t="s">
        <v>556</v>
      </c>
      <c r="F89" s="231">
        <v>32100</v>
      </c>
    </row>
    <row r="90" spans="1:6" s="226" customFormat="1" ht="27.75" customHeight="1">
      <c r="A90" s="94">
        <v>1</v>
      </c>
      <c r="B90" s="41" t="s">
        <v>227</v>
      </c>
      <c r="C90" s="224" t="s">
        <v>228</v>
      </c>
      <c r="D90" s="113">
        <v>45961</v>
      </c>
      <c r="E90" s="114" t="s">
        <v>558</v>
      </c>
      <c r="F90" s="253">
        <v>22470</v>
      </c>
    </row>
    <row r="91" spans="1:6" s="226" customFormat="1" ht="27.75" customHeight="1">
      <c r="A91" s="94">
        <v>2</v>
      </c>
      <c r="B91" s="41" t="s">
        <v>227</v>
      </c>
      <c r="C91" s="224" t="s">
        <v>230</v>
      </c>
      <c r="D91" s="113">
        <v>45961</v>
      </c>
      <c r="E91" s="114" t="s">
        <v>558</v>
      </c>
      <c r="F91" s="253">
        <v>22470</v>
      </c>
    </row>
    <row r="92" spans="1:6" s="226" customFormat="1" ht="27.75" customHeight="1">
      <c r="A92" s="94">
        <v>3</v>
      </c>
      <c r="B92" s="41" t="s">
        <v>227</v>
      </c>
      <c r="C92" s="224" t="s">
        <v>231</v>
      </c>
      <c r="D92" s="254">
        <v>45961</v>
      </c>
      <c r="E92" s="255" t="s">
        <v>558</v>
      </c>
      <c r="F92" s="256">
        <v>22470</v>
      </c>
    </row>
    <row r="93" spans="1:6" s="226" customFormat="1" ht="27.75" customHeight="1">
      <c r="A93" s="94">
        <v>4</v>
      </c>
      <c r="B93" s="41" t="s">
        <v>227</v>
      </c>
      <c r="C93" s="224" t="s">
        <v>232</v>
      </c>
      <c r="D93" s="127">
        <v>45961</v>
      </c>
      <c r="E93" s="128" t="s">
        <v>558</v>
      </c>
      <c r="F93" s="257">
        <v>22470</v>
      </c>
    </row>
    <row r="94" spans="1:6" s="226" customFormat="1" ht="27.75" customHeight="1">
      <c r="A94" s="94">
        <v>5</v>
      </c>
      <c r="B94" s="41" t="s">
        <v>227</v>
      </c>
      <c r="C94" s="224" t="s">
        <v>233</v>
      </c>
      <c r="D94" s="127">
        <v>45961</v>
      </c>
      <c r="E94" s="128" t="s">
        <v>558</v>
      </c>
      <c r="F94" s="257">
        <v>22470</v>
      </c>
    </row>
    <row r="95" spans="1:6" s="226" customFormat="1" ht="27.75" customHeight="1">
      <c r="A95" s="94">
        <v>6</v>
      </c>
      <c r="B95" s="41" t="s">
        <v>234</v>
      </c>
      <c r="C95" s="224" t="s">
        <v>235</v>
      </c>
      <c r="D95" s="127">
        <v>45961</v>
      </c>
      <c r="E95" s="128" t="s">
        <v>558</v>
      </c>
      <c r="F95" s="257">
        <v>22470</v>
      </c>
    </row>
    <row r="96" spans="1:6" s="226" customFormat="1" ht="27.75" customHeight="1">
      <c r="A96" s="94">
        <v>7</v>
      </c>
      <c r="B96" s="41" t="s">
        <v>236</v>
      </c>
      <c r="C96" s="224" t="s">
        <v>237</v>
      </c>
      <c r="D96" s="113">
        <v>45958</v>
      </c>
      <c r="E96" s="114" t="s">
        <v>559</v>
      </c>
      <c r="F96" s="257">
        <v>22470</v>
      </c>
    </row>
    <row r="97" spans="1:8" s="226" customFormat="1" ht="27.75" customHeight="1">
      <c r="A97" s="94">
        <v>8</v>
      </c>
      <c r="B97" s="41" t="s">
        <v>236</v>
      </c>
      <c r="C97" s="224" t="s">
        <v>239</v>
      </c>
      <c r="D97" s="113">
        <v>45958</v>
      </c>
      <c r="E97" s="114" t="s">
        <v>559</v>
      </c>
      <c r="F97" s="257">
        <v>22470</v>
      </c>
    </row>
    <row r="98" spans="1:8" s="226" customFormat="1" ht="27.75" customHeight="1">
      <c r="A98" s="94">
        <v>9</v>
      </c>
      <c r="B98" s="41" t="s">
        <v>92</v>
      </c>
      <c r="C98" s="224" t="s">
        <v>240</v>
      </c>
      <c r="D98" s="113">
        <v>45960</v>
      </c>
      <c r="E98" s="114" t="s">
        <v>560</v>
      </c>
      <c r="F98" s="258">
        <v>22470</v>
      </c>
    </row>
    <row r="99" spans="1:8" s="226" customFormat="1" ht="27.75" customHeight="1">
      <c r="A99" s="94">
        <v>10</v>
      </c>
      <c r="B99" s="41" t="s">
        <v>92</v>
      </c>
      <c r="C99" s="224" t="s">
        <v>242</v>
      </c>
      <c r="D99" s="113">
        <v>45960</v>
      </c>
      <c r="E99" s="114" t="s">
        <v>560</v>
      </c>
      <c r="F99" s="253">
        <v>22470</v>
      </c>
    </row>
    <row r="100" spans="1:8" s="226" customFormat="1" ht="27.75" customHeight="1">
      <c r="A100" s="94">
        <v>11</v>
      </c>
      <c r="B100" s="41" t="s">
        <v>243</v>
      </c>
      <c r="C100" s="224" t="s">
        <v>244</v>
      </c>
      <c r="D100" s="113">
        <v>45961</v>
      </c>
      <c r="E100" s="114" t="s">
        <v>561</v>
      </c>
      <c r="F100" s="253">
        <v>22470</v>
      </c>
    </row>
    <row r="101" spans="1:8" s="226" customFormat="1" ht="27.75" customHeight="1">
      <c r="A101" s="186">
        <v>12</v>
      </c>
      <c r="B101" s="206" t="s">
        <v>90</v>
      </c>
      <c r="C101" s="224" t="s">
        <v>246</v>
      </c>
      <c r="D101" s="259">
        <v>45960</v>
      </c>
      <c r="E101" s="114" t="s">
        <v>562</v>
      </c>
      <c r="F101" s="253">
        <v>22470</v>
      </c>
    </row>
    <row r="102" spans="1:8" s="226" customFormat="1" ht="27.75" customHeight="1">
      <c r="A102" s="234"/>
      <c r="B102" s="260"/>
      <c r="C102" s="235"/>
      <c r="D102" s="261"/>
      <c r="E102" s="262"/>
      <c r="F102" s="263">
        <f>SUM(F81:F101)</f>
        <v>485780</v>
      </c>
      <c r="H102" s="226">
        <f>SUM(F81:F101)</f>
        <v>485780</v>
      </c>
    </row>
    <row r="103" spans="1:8" s="226" customFormat="1" ht="27.75" customHeight="1">
      <c r="A103" s="83"/>
      <c r="B103" s="244" t="s">
        <v>248</v>
      </c>
      <c r="C103" s="245"/>
      <c r="D103" s="178"/>
      <c r="E103" s="179"/>
      <c r="F103" s="264"/>
    </row>
    <row r="104" spans="1:8" s="226" customFormat="1" ht="27.75" customHeight="1">
      <c r="A104" s="94">
        <v>1</v>
      </c>
      <c r="B104" s="41" t="s">
        <v>249</v>
      </c>
      <c r="C104" s="224" t="s">
        <v>250</v>
      </c>
      <c r="D104" s="113">
        <v>45960</v>
      </c>
      <c r="E104" s="114" t="s">
        <v>563</v>
      </c>
      <c r="F104" s="144">
        <v>6420</v>
      </c>
    </row>
    <row r="105" spans="1:8" s="226" customFormat="1" ht="27.75" customHeight="1">
      <c r="A105" s="94">
        <v>2</v>
      </c>
      <c r="B105" s="41" t="s">
        <v>254</v>
      </c>
      <c r="C105" s="224" t="s">
        <v>255</v>
      </c>
      <c r="D105" s="113">
        <v>45934</v>
      </c>
      <c r="E105" s="114" t="s">
        <v>564</v>
      </c>
      <c r="F105" s="144">
        <v>9630</v>
      </c>
    </row>
    <row r="106" spans="1:8" s="226" customFormat="1" ht="27.75" customHeight="1">
      <c r="A106" s="94">
        <v>3</v>
      </c>
      <c r="B106" s="41" t="s">
        <v>257</v>
      </c>
      <c r="C106" s="224" t="s">
        <v>258</v>
      </c>
      <c r="D106" s="113">
        <v>45959</v>
      </c>
      <c r="E106" s="114" t="s">
        <v>565</v>
      </c>
      <c r="F106" s="144">
        <v>9630</v>
      </c>
    </row>
    <row r="107" spans="1:8" s="226" customFormat="1" ht="27.75" customHeight="1">
      <c r="A107" s="94">
        <v>4</v>
      </c>
      <c r="B107" s="206" t="s">
        <v>257</v>
      </c>
      <c r="C107" s="224" t="s">
        <v>260</v>
      </c>
      <c r="D107" s="113">
        <v>45959</v>
      </c>
      <c r="E107" s="114" t="s">
        <v>565</v>
      </c>
      <c r="F107" s="144">
        <v>9630</v>
      </c>
    </row>
    <row r="108" spans="1:8" s="226" customFormat="1" ht="27.75" customHeight="1">
      <c r="A108" s="94">
        <v>5</v>
      </c>
      <c r="B108" s="265" t="s">
        <v>261</v>
      </c>
      <c r="C108" s="224" t="s">
        <v>262</v>
      </c>
      <c r="D108" s="113">
        <v>45932</v>
      </c>
      <c r="E108" s="114" t="s">
        <v>566</v>
      </c>
      <c r="F108" s="144">
        <v>6420</v>
      </c>
    </row>
    <row r="109" spans="1:8" s="226" customFormat="1" ht="27.75" customHeight="1">
      <c r="A109" s="94">
        <v>6</v>
      </c>
      <c r="B109" s="266" t="s">
        <v>264</v>
      </c>
      <c r="C109" s="224" t="s">
        <v>199</v>
      </c>
      <c r="D109" s="113">
        <v>45960</v>
      </c>
      <c r="E109" s="114" t="s">
        <v>567</v>
      </c>
      <c r="F109" s="144">
        <v>6420</v>
      </c>
    </row>
    <row r="110" spans="1:8" s="226" customFormat="1" ht="27.75" customHeight="1">
      <c r="A110" s="94">
        <v>7</v>
      </c>
      <c r="B110" s="81" t="s">
        <v>156</v>
      </c>
      <c r="C110" s="224" t="s">
        <v>207</v>
      </c>
      <c r="D110" s="113">
        <v>45934</v>
      </c>
      <c r="E110" s="114" t="s">
        <v>568</v>
      </c>
      <c r="F110" s="144">
        <v>6420</v>
      </c>
    </row>
    <row r="111" spans="1:8" s="226" customFormat="1" ht="27.75" customHeight="1">
      <c r="A111" s="94">
        <v>8</v>
      </c>
      <c r="B111" s="41" t="s">
        <v>271</v>
      </c>
      <c r="C111" s="224" t="s">
        <v>208</v>
      </c>
      <c r="D111" s="113">
        <v>45961</v>
      </c>
      <c r="E111" s="268" t="s">
        <v>569</v>
      </c>
      <c r="F111" s="269">
        <v>6420</v>
      </c>
    </row>
    <row r="112" spans="1:8" s="226" customFormat="1" ht="27.75" customHeight="1">
      <c r="A112" s="94">
        <v>9</v>
      </c>
      <c r="B112" s="41" t="s">
        <v>273</v>
      </c>
      <c r="C112" s="224" t="s">
        <v>209</v>
      </c>
      <c r="D112" s="113">
        <v>45937</v>
      </c>
      <c r="E112" s="114" t="s">
        <v>570</v>
      </c>
      <c r="F112" s="144">
        <v>6420</v>
      </c>
    </row>
    <row r="113" spans="1:8" s="226" customFormat="1" ht="27.75" customHeight="1">
      <c r="A113" s="94">
        <v>10</v>
      </c>
      <c r="B113" s="41" t="s">
        <v>275</v>
      </c>
      <c r="C113" s="224" t="s">
        <v>276</v>
      </c>
      <c r="D113" s="113">
        <v>45961</v>
      </c>
      <c r="E113" s="114" t="s">
        <v>571</v>
      </c>
      <c r="F113" s="144">
        <v>6420</v>
      </c>
    </row>
    <row r="114" spans="1:8" ht="27.75" customHeight="1" thickBot="1">
      <c r="A114" s="22"/>
      <c r="B114" s="194" t="s">
        <v>22</v>
      </c>
      <c r="C114" s="195"/>
      <c r="D114" s="199"/>
      <c r="E114" s="199"/>
      <c r="F114" s="196">
        <v>73830</v>
      </c>
      <c r="H114" s="512">
        <f>SUM(F104:F113)</f>
        <v>73830</v>
      </c>
    </row>
    <row r="115" spans="1:8" ht="27.75" hidden="1" customHeight="1" thickBot="1">
      <c r="A115" s="22"/>
      <c r="B115" s="23" t="s">
        <v>278</v>
      </c>
      <c r="C115" s="24"/>
      <c r="D115" s="29"/>
      <c r="E115" s="30"/>
      <c r="F115" s="31"/>
    </row>
    <row r="116" spans="1:8" ht="27.75" hidden="1" customHeight="1" thickTop="1">
      <c r="A116" s="22">
        <v>1</v>
      </c>
      <c r="B116" s="270" t="s">
        <v>88</v>
      </c>
      <c r="C116" s="271" t="s">
        <v>279</v>
      </c>
      <c r="D116" s="275"/>
      <c r="E116" s="276"/>
      <c r="F116" s="277"/>
    </row>
    <row r="117" spans="1:8" ht="27.75" hidden="1" customHeight="1" thickTop="1">
      <c r="A117" s="22">
        <v>2</v>
      </c>
      <c r="B117" s="280" t="s">
        <v>89</v>
      </c>
      <c r="C117" s="271" t="s">
        <v>279</v>
      </c>
      <c r="D117" s="175"/>
      <c r="E117" s="282"/>
      <c r="F117" s="222"/>
    </row>
    <row r="118" spans="1:8" ht="27.75" hidden="1" customHeight="1" thickTop="1">
      <c r="A118" s="22">
        <v>3</v>
      </c>
      <c r="B118" s="270" t="s">
        <v>280</v>
      </c>
      <c r="C118" s="271" t="s">
        <v>279</v>
      </c>
      <c r="D118" s="175"/>
      <c r="E118" s="282"/>
      <c r="F118" s="222"/>
    </row>
    <row r="119" spans="1:8" ht="27.75" hidden="1" customHeight="1" thickTop="1">
      <c r="A119" s="22">
        <v>4</v>
      </c>
      <c r="B119" s="280" t="s">
        <v>96</v>
      </c>
      <c r="C119" s="271" t="s">
        <v>279</v>
      </c>
      <c r="D119" s="175"/>
      <c r="E119" s="282"/>
      <c r="F119" s="222"/>
    </row>
    <row r="120" spans="1:8" ht="27.75" hidden="1" customHeight="1" thickTop="1">
      <c r="A120" s="22">
        <v>5</v>
      </c>
      <c r="B120" s="280" t="s">
        <v>281</v>
      </c>
      <c r="C120" s="271" t="s">
        <v>279</v>
      </c>
      <c r="D120" s="175"/>
      <c r="E120" s="282"/>
      <c r="F120" s="222"/>
    </row>
    <row r="121" spans="1:8" ht="27.75" hidden="1" customHeight="1" thickTop="1">
      <c r="A121" s="22">
        <v>6</v>
      </c>
      <c r="B121" s="280" t="s">
        <v>282</v>
      </c>
      <c r="C121" s="271" t="s">
        <v>279</v>
      </c>
      <c r="D121" s="175"/>
      <c r="E121" s="282"/>
      <c r="F121" s="222"/>
    </row>
    <row r="122" spans="1:8" ht="27.75" hidden="1" customHeight="1" thickTop="1">
      <c r="A122" s="22">
        <v>7</v>
      </c>
      <c r="B122" s="280" t="s">
        <v>92</v>
      </c>
      <c r="C122" s="271" t="s">
        <v>279</v>
      </c>
      <c r="D122" s="175"/>
      <c r="E122" s="282"/>
      <c r="F122" s="222"/>
    </row>
    <row r="123" spans="1:8" ht="27.75" hidden="1" customHeight="1" thickTop="1">
      <c r="A123" s="22">
        <v>8</v>
      </c>
      <c r="B123" s="280" t="s">
        <v>91</v>
      </c>
      <c r="C123" s="271" t="s">
        <v>279</v>
      </c>
      <c r="D123" s="175"/>
      <c r="E123" s="282"/>
      <c r="F123" s="222"/>
    </row>
    <row r="124" spans="1:8" ht="27.75" hidden="1" customHeight="1" thickTop="1">
      <c r="A124" s="22">
        <v>9</v>
      </c>
      <c r="B124" s="280" t="s">
        <v>236</v>
      </c>
      <c r="C124" s="271" t="s">
        <v>279</v>
      </c>
      <c r="D124" s="175"/>
      <c r="E124" s="282"/>
      <c r="F124" s="222"/>
    </row>
    <row r="125" spans="1:8" ht="27.75" hidden="1" customHeight="1" thickTop="1">
      <c r="A125" s="22">
        <v>10</v>
      </c>
      <c r="B125" s="280" t="s">
        <v>94</v>
      </c>
      <c r="C125" s="280" t="s">
        <v>279</v>
      </c>
      <c r="D125" s="175"/>
      <c r="E125" s="282"/>
      <c r="F125" s="222"/>
    </row>
    <row r="126" spans="1:8" ht="27.75" hidden="1" customHeight="1" thickTop="1">
      <c r="A126" s="22">
        <v>11</v>
      </c>
      <c r="B126" s="270"/>
      <c r="C126" s="285"/>
      <c r="D126" s="275"/>
      <c r="E126" s="276"/>
      <c r="F126" s="277"/>
    </row>
    <row r="127" spans="1:8" ht="27.75" hidden="1" customHeight="1" thickTop="1">
      <c r="A127" s="22"/>
      <c r="B127" s="131" t="s">
        <v>22</v>
      </c>
      <c r="C127" s="132"/>
      <c r="D127" s="287"/>
      <c r="E127" s="137"/>
      <c r="F127" s="138">
        <v>0</v>
      </c>
    </row>
    <row r="128" spans="1:8" ht="27.75" customHeight="1" thickTop="1">
      <c r="A128" s="22"/>
      <c r="B128" s="23" t="s">
        <v>292</v>
      </c>
      <c r="C128" s="24"/>
      <c r="D128" s="29"/>
      <c r="E128" s="30"/>
      <c r="F128" s="31"/>
    </row>
    <row r="129" spans="1:8" ht="27.75" customHeight="1">
      <c r="A129" s="316">
        <v>1</v>
      </c>
      <c r="B129" s="280" t="s">
        <v>249</v>
      </c>
      <c r="C129" s="280" t="s">
        <v>250</v>
      </c>
      <c r="D129" s="317">
        <v>45960</v>
      </c>
      <c r="E129" s="318" t="s">
        <v>572</v>
      </c>
      <c r="F129" s="319">
        <v>278.2</v>
      </c>
    </row>
    <row r="130" spans="1:8" ht="27.75" customHeight="1">
      <c r="A130" s="316">
        <v>2</v>
      </c>
      <c r="B130" s="280" t="s">
        <v>294</v>
      </c>
      <c r="C130" s="280" t="s">
        <v>255</v>
      </c>
      <c r="D130" s="321">
        <v>45934</v>
      </c>
      <c r="E130" s="322" t="s">
        <v>573</v>
      </c>
      <c r="F130" s="323">
        <v>42.8</v>
      </c>
    </row>
    <row r="131" spans="1:8" ht="27.75" customHeight="1">
      <c r="A131" s="316">
        <v>3</v>
      </c>
      <c r="B131" s="270" t="s">
        <v>298</v>
      </c>
      <c r="C131" s="270" t="s">
        <v>199</v>
      </c>
      <c r="D131" s="328">
        <v>45960</v>
      </c>
      <c r="E131" s="329" t="s">
        <v>574</v>
      </c>
      <c r="F131" s="330">
        <v>21.4</v>
      </c>
    </row>
    <row r="132" spans="1:8" ht="27.75" customHeight="1">
      <c r="A132" s="316">
        <v>4</v>
      </c>
      <c r="B132" s="270" t="s">
        <v>156</v>
      </c>
      <c r="C132" s="270" t="s">
        <v>208</v>
      </c>
      <c r="D132" s="328">
        <v>45934</v>
      </c>
      <c r="E132" s="329" t="s">
        <v>575</v>
      </c>
      <c r="F132" s="330">
        <v>117.7</v>
      </c>
    </row>
    <row r="133" spans="1:8" ht="27.75" customHeight="1">
      <c r="A133" s="316">
        <v>5</v>
      </c>
      <c r="B133" s="270" t="s">
        <v>273</v>
      </c>
      <c r="C133" s="270" t="s">
        <v>211</v>
      </c>
      <c r="D133" s="328">
        <v>45937</v>
      </c>
      <c r="E133" s="329" t="s">
        <v>576</v>
      </c>
      <c r="F133" s="330">
        <v>64.2</v>
      </c>
    </row>
    <row r="134" spans="1:8" ht="27.75" customHeight="1">
      <c r="A134" s="316">
        <v>6</v>
      </c>
      <c r="B134" s="270" t="s">
        <v>92</v>
      </c>
      <c r="C134" s="270" t="s">
        <v>302</v>
      </c>
      <c r="D134" s="331">
        <v>45960</v>
      </c>
      <c r="E134" s="332" t="s">
        <v>577</v>
      </c>
      <c r="F134" s="333">
        <v>214</v>
      </c>
    </row>
    <row r="135" spans="1:8" ht="27.75" customHeight="1" thickBot="1">
      <c r="A135" s="193"/>
      <c r="B135" s="194"/>
      <c r="C135" s="195"/>
      <c r="D135" s="338"/>
      <c r="E135" s="199"/>
      <c r="F135" s="196">
        <v>738.3</v>
      </c>
      <c r="H135" s="512">
        <f>SUM(F129:F134)</f>
        <v>738.3</v>
      </c>
    </row>
    <row r="136" spans="1:8" ht="27.75" customHeight="1" thickTop="1">
      <c r="A136" s="22"/>
      <c r="B136" s="288" t="s">
        <v>304</v>
      </c>
      <c r="C136" s="289"/>
      <c r="D136" s="291"/>
      <c r="E136" s="292"/>
      <c r="F136" s="222"/>
    </row>
    <row r="137" spans="1:8" ht="27.75" customHeight="1">
      <c r="A137" s="186">
        <v>1</v>
      </c>
      <c r="B137" s="205" t="s">
        <v>24</v>
      </c>
      <c r="C137" s="346" t="s">
        <v>25</v>
      </c>
      <c r="D137" s="113">
        <v>45933</v>
      </c>
      <c r="E137" s="114" t="s">
        <v>578</v>
      </c>
      <c r="F137" s="347">
        <v>1410</v>
      </c>
    </row>
    <row r="138" spans="1:8" ht="27.75" customHeight="1">
      <c r="A138" s="186">
        <v>2</v>
      </c>
      <c r="B138" s="205" t="s">
        <v>24</v>
      </c>
      <c r="C138" s="346" t="s">
        <v>316</v>
      </c>
      <c r="D138" s="113">
        <v>45933</v>
      </c>
      <c r="E138" s="114" t="s">
        <v>578</v>
      </c>
      <c r="F138" s="347">
        <v>1410</v>
      </c>
    </row>
    <row r="139" spans="1:8" ht="27.75" customHeight="1">
      <c r="A139" s="186">
        <v>3</v>
      </c>
      <c r="B139" s="205" t="s">
        <v>24</v>
      </c>
      <c r="C139" s="346" t="s">
        <v>318</v>
      </c>
      <c r="D139" s="113">
        <v>45933</v>
      </c>
      <c r="E139" s="114" t="s">
        <v>578</v>
      </c>
      <c r="F139" s="347">
        <v>1410</v>
      </c>
    </row>
    <row r="140" spans="1:8" ht="27.75" customHeight="1">
      <c r="A140" s="186">
        <v>4</v>
      </c>
      <c r="B140" s="205" t="s">
        <v>24</v>
      </c>
      <c r="C140" s="346" t="s">
        <v>319</v>
      </c>
      <c r="D140" s="113">
        <v>45933</v>
      </c>
      <c r="E140" s="114" t="s">
        <v>578</v>
      </c>
      <c r="F140" s="347">
        <v>1410</v>
      </c>
    </row>
    <row r="141" spans="1:8" ht="27.75" customHeight="1">
      <c r="A141" s="186">
        <v>5</v>
      </c>
      <c r="B141" s="205" t="s">
        <v>325</v>
      </c>
      <c r="C141" s="346" t="s">
        <v>326</v>
      </c>
      <c r="D141" s="113">
        <v>45935</v>
      </c>
      <c r="E141" s="114" t="s">
        <v>579</v>
      </c>
      <c r="F141" s="347">
        <v>1410</v>
      </c>
    </row>
    <row r="142" spans="1:8" ht="27.75" customHeight="1">
      <c r="A142" s="186">
        <v>6</v>
      </c>
      <c r="B142" s="205" t="s">
        <v>325</v>
      </c>
      <c r="C142" s="346" t="s">
        <v>330</v>
      </c>
      <c r="D142" s="113">
        <v>45935</v>
      </c>
      <c r="E142" s="114" t="s">
        <v>579</v>
      </c>
      <c r="F142" s="347">
        <v>1410</v>
      </c>
    </row>
    <row r="143" spans="1:8" ht="27.75" customHeight="1">
      <c r="A143" s="186">
        <v>7</v>
      </c>
      <c r="B143" s="205" t="s">
        <v>325</v>
      </c>
      <c r="C143" s="346" t="s">
        <v>331</v>
      </c>
      <c r="D143" s="113">
        <v>45935</v>
      </c>
      <c r="E143" s="114" t="s">
        <v>579</v>
      </c>
      <c r="F143" s="347">
        <v>1410</v>
      </c>
    </row>
    <row r="144" spans="1:8" ht="27.75" customHeight="1">
      <c r="A144" s="186">
        <v>8</v>
      </c>
      <c r="B144" s="205" t="s">
        <v>325</v>
      </c>
      <c r="C144" s="346" t="s">
        <v>332</v>
      </c>
      <c r="D144" s="113">
        <v>45935</v>
      </c>
      <c r="E144" s="114" t="s">
        <v>579</v>
      </c>
      <c r="F144" s="347">
        <v>1410</v>
      </c>
    </row>
    <row r="145" spans="1:6" ht="27.75" customHeight="1">
      <c r="A145" s="186">
        <v>9</v>
      </c>
      <c r="B145" s="205" t="s">
        <v>40</v>
      </c>
      <c r="C145" s="346" t="s">
        <v>336</v>
      </c>
      <c r="D145" s="113">
        <v>45932</v>
      </c>
      <c r="E145" s="114" t="s">
        <v>580</v>
      </c>
      <c r="F145" s="347">
        <v>1220</v>
      </c>
    </row>
    <row r="146" spans="1:6" ht="27.75" customHeight="1">
      <c r="A146" s="186">
        <v>10</v>
      </c>
      <c r="B146" s="205" t="s">
        <v>40</v>
      </c>
      <c r="C146" s="346" t="s">
        <v>338</v>
      </c>
      <c r="D146" s="113">
        <v>45932</v>
      </c>
      <c r="E146" s="114" t="s">
        <v>580</v>
      </c>
      <c r="F146" s="347">
        <v>1220</v>
      </c>
    </row>
    <row r="147" spans="1:6" ht="27.75" customHeight="1">
      <c r="A147" s="186">
        <v>11</v>
      </c>
      <c r="B147" s="205" t="s">
        <v>40</v>
      </c>
      <c r="C147" s="346" t="s">
        <v>339</v>
      </c>
      <c r="D147" s="113">
        <v>45932</v>
      </c>
      <c r="E147" s="114" t="s">
        <v>580</v>
      </c>
      <c r="F147" s="347">
        <v>1220</v>
      </c>
    </row>
    <row r="148" spans="1:6" ht="27.75" customHeight="1">
      <c r="A148" s="186">
        <v>12</v>
      </c>
      <c r="B148" s="40" t="s">
        <v>43</v>
      </c>
      <c r="C148" s="346" t="s">
        <v>340</v>
      </c>
      <c r="D148" s="113">
        <v>45931</v>
      </c>
      <c r="E148" s="114" t="s">
        <v>581</v>
      </c>
      <c r="F148" s="347">
        <v>1410</v>
      </c>
    </row>
    <row r="149" spans="1:6" ht="27.75" customHeight="1">
      <c r="A149" s="186">
        <v>13</v>
      </c>
      <c r="B149" s="40" t="s">
        <v>43</v>
      </c>
      <c r="C149" s="346" t="s">
        <v>344</v>
      </c>
      <c r="D149" s="113">
        <v>45931</v>
      </c>
      <c r="E149" s="114" t="s">
        <v>581</v>
      </c>
      <c r="F149" s="347">
        <v>1410</v>
      </c>
    </row>
    <row r="150" spans="1:6" ht="27.75" customHeight="1">
      <c r="A150" s="186">
        <v>14</v>
      </c>
      <c r="B150" s="40" t="s">
        <v>345</v>
      </c>
      <c r="C150" s="346" t="s">
        <v>346</v>
      </c>
      <c r="D150" s="113">
        <v>45933</v>
      </c>
      <c r="E150" s="114" t="s">
        <v>582</v>
      </c>
      <c r="F150" s="347">
        <v>1410</v>
      </c>
    </row>
    <row r="151" spans="1:6" ht="27.75" customHeight="1">
      <c r="A151" s="186">
        <v>15</v>
      </c>
      <c r="B151" s="40" t="s">
        <v>345</v>
      </c>
      <c r="C151" s="346" t="s">
        <v>348</v>
      </c>
      <c r="D151" s="113">
        <v>45933</v>
      </c>
      <c r="E151" s="114" t="s">
        <v>582</v>
      </c>
      <c r="F151" s="347">
        <v>1410</v>
      </c>
    </row>
    <row r="152" spans="1:6" ht="27.75" customHeight="1">
      <c r="A152" s="186">
        <v>16</v>
      </c>
      <c r="B152" s="40" t="s">
        <v>345</v>
      </c>
      <c r="C152" s="346" t="s">
        <v>349</v>
      </c>
      <c r="D152" s="113">
        <v>45933</v>
      </c>
      <c r="E152" s="114" t="s">
        <v>582</v>
      </c>
      <c r="F152" s="347">
        <v>1410</v>
      </c>
    </row>
    <row r="153" spans="1:6" ht="27.75" customHeight="1">
      <c r="A153" s="186">
        <v>17</v>
      </c>
      <c r="B153" s="40" t="s">
        <v>345</v>
      </c>
      <c r="C153" s="346" t="s">
        <v>350</v>
      </c>
      <c r="D153" s="113">
        <v>45933</v>
      </c>
      <c r="E153" s="114" t="s">
        <v>582</v>
      </c>
      <c r="F153" s="347">
        <v>1410</v>
      </c>
    </row>
    <row r="154" spans="1:6" ht="27.75" customHeight="1">
      <c r="A154" s="186">
        <v>18</v>
      </c>
      <c r="B154" s="40" t="s">
        <v>351</v>
      </c>
      <c r="C154" s="346" t="s">
        <v>352</v>
      </c>
      <c r="D154" s="113">
        <v>45934</v>
      </c>
      <c r="E154" s="114" t="s">
        <v>583</v>
      </c>
      <c r="F154" s="347">
        <v>1410</v>
      </c>
    </row>
    <row r="155" spans="1:6" ht="27.75" customHeight="1">
      <c r="A155" s="186">
        <v>19</v>
      </c>
      <c r="B155" s="40" t="s">
        <v>351</v>
      </c>
      <c r="C155" s="346" t="s">
        <v>354</v>
      </c>
      <c r="D155" s="113">
        <v>45934</v>
      </c>
      <c r="E155" s="114" t="s">
        <v>583</v>
      </c>
      <c r="F155" s="347">
        <v>1410</v>
      </c>
    </row>
    <row r="156" spans="1:6" ht="27.75" customHeight="1">
      <c r="A156" s="186">
        <v>20</v>
      </c>
      <c r="B156" s="40" t="s">
        <v>351</v>
      </c>
      <c r="C156" s="346" t="s">
        <v>355</v>
      </c>
      <c r="D156" s="113">
        <v>45934</v>
      </c>
      <c r="E156" s="114" t="s">
        <v>583</v>
      </c>
      <c r="F156" s="347">
        <v>1410</v>
      </c>
    </row>
    <row r="157" spans="1:6" ht="27.75" customHeight="1">
      <c r="A157" s="186">
        <v>21</v>
      </c>
      <c r="B157" s="40" t="s">
        <v>356</v>
      </c>
      <c r="C157" s="346" t="s">
        <v>357</v>
      </c>
      <c r="D157" s="113">
        <v>45932</v>
      </c>
      <c r="E157" s="114" t="s">
        <v>584</v>
      </c>
      <c r="F157" s="347">
        <v>1410</v>
      </c>
    </row>
    <row r="158" spans="1:6" ht="27.75" customHeight="1">
      <c r="A158" s="186">
        <v>22</v>
      </c>
      <c r="B158" s="40" t="s">
        <v>356</v>
      </c>
      <c r="C158" s="346" t="s">
        <v>360</v>
      </c>
      <c r="D158" s="113">
        <v>45932</v>
      </c>
      <c r="E158" s="114" t="s">
        <v>584</v>
      </c>
      <c r="F158" s="347">
        <v>1410</v>
      </c>
    </row>
    <row r="159" spans="1:6" ht="27.75" customHeight="1">
      <c r="A159" s="186">
        <v>23</v>
      </c>
      <c r="B159" s="40" t="s">
        <v>356</v>
      </c>
      <c r="C159" s="346" t="s">
        <v>361</v>
      </c>
      <c r="D159" s="113">
        <v>45932</v>
      </c>
      <c r="E159" s="114" t="s">
        <v>584</v>
      </c>
      <c r="F159" s="347">
        <v>1410</v>
      </c>
    </row>
    <row r="160" spans="1:6" ht="27.75" customHeight="1">
      <c r="A160" s="186">
        <v>24</v>
      </c>
      <c r="B160" s="40" t="s">
        <v>362</v>
      </c>
      <c r="C160" s="346" t="s">
        <v>363</v>
      </c>
      <c r="D160" s="113">
        <v>45931</v>
      </c>
      <c r="E160" s="114" t="s">
        <v>585</v>
      </c>
      <c r="F160" s="347">
        <v>1410</v>
      </c>
    </row>
    <row r="161" spans="1:8" ht="27.75" customHeight="1">
      <c r="A161" s="186">
        <v>25</v>
      </c>
      <c r="B161" s="40" t="s">
        <v>362</v>
      </c>
      <c r="C161" s="346" t="s">
        <v>367</v>
      </c>
      <c r="D161" s="113">
        <v>45931</v>
      </c>
      <c r="E161" s="114" t="s">
        <v>585</v>
      </c>
      <c r="F161" s="347">
        <v>1410</v>
      </c>
    </row>
    <row r="162" spans="1:8" ht="27.75" customHeight="1">
      <c r="A162" s="186">
        <v>26</v>
      </c>
      <c r="B162" s="40" t="s">
        <v>362</v>
      </c>
      <c r="C162" s="346" t="s">
        <v>368</v>
      </c>
      <c r="D162" s="113">
        <v>45931</v>
      </c>
      <c r="E162" s="114" t="s">
        <v>585</v>
      </c>
      <c r="F162" s="347">
        <v>1410</v>
      </c>
    </row>
    <row r="163" spans="1:8" ht="27.75" customHeight="1">
      <c r="A163" s="186">
        <v>27</v>
      </c>
      <c r="B163" s="40" t="s">
        <v>362</v>
      </c>
      <c r="C163" s="346" t="s">
        <v>369</v>
      </c>
      <c r="D163" s="113">
        <v>45931</v>
      </c>
      <c r="E163" s="114" t="s">
        <v>585</v>
      </c>
      <c r="F163" s="347">
        <v>1410</v>
      </c>
    </row>
    <row r="164" spans="1:8" ht="27.75" customHeight="1">
      <c r="A164" s="186">
        <v>28</v>
      </c>
      <c r="B164" s="40" t="s">
        <v>362</v>
      </c>
      <c r="C164" s="346" t="s">
        <v>370</v>
      </c>
      <c r="D164" s="113">
        <v>45931</v>
      </c>
      <c r="E164" s="114" t="s">
        <v>585</v>
      </c>
      <c r="F164" s="347">
        <v>1410</v>
      </c>
    </row>
    <row r="165" spans="1:8" ht="27.75" customHeight="1">
      <c r="A165" s="186">
        <v>29</v>
      </c>
      <c r="B165" s="40" t="s">
        <v>362</v>
      </c>
      <c r="C165" s="346" t="s">
        <v>371</v>
      </c>
      <c r="D165" s="113">
        <v>45931</v>
      </c>
      <c r="E165" s="114" t="s">
        <v>585</v>
      </c>
      <c r="F165" s="347">
        <v>1410</v>
      </c>
    </row>
    <row r="166" spans="1:8" ht="27.75" customHeight="1">
      <c r="A166" s="186">
        <v>30</v>
      </c>
      <c r="B166" s="40" t="s">
        <v>372</v>
      </c>
      <c r="C166" s="346" t="s">
        <v>373</v>
      </c>
      <c r="D166" s="113">
        <v>45931</v>
      </c>
      <c r="E166" s="114" t="s">
        <v>586</v>
      </c>
      <c r="F166" s="347">
        <v>1410</v>
      </c>
    </row>
    <row r="167" spans="1:8" ht="27.75" customHeight="1">
      <c r="A167" s="186">
        <v>31</v>
      </c>
      <c r="B167" s="40" t="s">
        <v>372</v>
      </c>
      <c r="C167" s="346" t="s">
        <v>377</v>
      </c>
      <c r="D167" s="113">
        <v>45931</v>
      </c>
      <c r="E167" s="114" t="s">
        <v>586</v>
      </c>
      <c r="F167" s="347">
        <v>1410</v>
      </c>
    </row>
    <row r="168" spans="1:8" ht="27.75" customHeight="1">
      <c r="A168" s="186">
        <v>32</v>
      </c>
      <c r="B168" s="40" t="s">
        <v>372</v>
      </c>
      <c r="C168" s="346" t="s">
        <v>378</v>
      </c>
      <c r="D168" s="113">
        <v>45931</v>
      </c>
      <c r="E168" s="114" t="s">
        <v>586</v>
      </c>
      <c r="F168" s="347">
        <v>1410</v>
      </c>
    </row>
    <row r="169" spans="1:8" ht="27.75" customHeight="1">
      <c r="A169" s="186">
        <v>33</v>
      </c>
      <c r="B169" s="40" t="s">
        <v>372</v>
      </c>
      <c r="C169" s="346" t="s">
        <v>379</v>
      </c>
      <c r="D169" s="113">
        <v>45931</v>
      </c>
      <c r="E169" s="114" t="s">
        <v>586</v>
      </c>
      <c r="F169" s="347">
        <v>1410</v>
      </c>
    </row>
    <row r="170" spans="1:8" ht="27.75" customHeight="1">
      <c r="A170" s="186">
        <v>34</v>
      </c>
      <c r="B170" s="40" t="s">
        <v>380</v>
      </c>
      <c r="C170" s="346" t="s">
        <v>381</v>
      </c>
      <c r="D170" s="175">
        <v>45935</v>
      </c>
      <c r="E170" s="176" t="s">
        <v>587</v>
      </c>
      <c r="F170" s="222">
        <v>1410</v>
      </c>
    </row>
    <row r="171" spans="1:8" ht="27.75" customHeight="1">
      <c r="A171" s="186">
        <v>35</v>
      </c>
      <c r="B171" s="40" t="s">
        <v>380</v>
      </c>
      <c r="C171" s="346" t="s">
        <v>385</v>
      </c>
      <c r="D171" s="175">
        <v>45935</v>
      </c>
      <c r="E171" s="176" t="s">
        <v>587</v>
      </c>
      <c r="F171" s="222">
        <v>1410</v>
      </c>
    </row>
    <row r="172" spans="1:8" ht="27.75" customHeight="1">
      <c r="A172" s="186">
        <v>36</v>
      </c>
      <c r="B172" s="40" t="s">
        <v>380</v>
      </c>
      <c r="C172" s="346" t="s">
        <v>386</v>
      </c>
      <c r="D172" s="175">
        <v>45935</v>
      </c>
      <c r="E172" s="176" t="s">
        <v>587</v>
      </c>
      <c r="F172" s="222">
        <v>1410</v>
      </c>
    </row>
    <row r="173" spans="1:8" ht="27.75" customHeight="1">
      <c r="A173" s="186">
        <v>37</v>
      </c>
      <c r="B173" s="40" t="s">
        <v>380</v>
      </c>
      <c r="C173" s="346" t="s">
        <v>387</v>
      </c>
      <c r="D173" s="175">
        <v>45935</v>
      </c>
      <c r="E173" s="176" t="s">
        <v>587</v>
      </c>
      <c r="F173" s="222">
        <v>1410</v>
      </c>
    </row>
    <row r="174" spans="1:8" ht="27.75" customHeight="1" thickBot="1">
      <c r="A174" s="357"/>
      <c r="B174" s="358"/>
      <c r="C174" s="359"/>
      <c r="D174" s="361"/>
      <c r="E174" s="361"/>
      <c r="F174" s="362">
        <v>51600</v>
      </c>
      <c r="H174" s="520">
        <f>SUM(F137:F173)</f>
        <v>51600</v>
      </c>
    </row>
    <row r="175" spans="1:8" ht="27.75" customHeight="1" thickTop="1">
      <c r="A175" s="94"/>
      <c r="B175" s="364" t="s">
        <v>395</v>
      </c>
      <c r="C175" s="81"/>
      <c r="D175" s="178"/>
      <c r="E175" s="179"/>
      <c r="F175" s="264"/>
    </row>
    <row r="176" spans="1:8" ht="27.75" customHeight="1">
      <c r="A176" s="94">
        <v>1</v>
      </c>
      <c r="B176" s="366" t="s">
        <v>167</v>
      </c>
      <c r="C176" s="367" t="s">
        <v>396</v>
      </c>
      <c r="D176" s="175">
        <v>45936</v>
      </c>
      <c r="E176" s="176" t="s">
        <v>588</v>
      </c>
      <c r="F176" s="222">
        <v>22690</v>
      </c>
    </row>
    <row r="177" spans="1:10" ht="27.75" customHeight="1">
      <c r="A177" s="94">
        <v>2</v>
      </c>
      <c r="B177" s="366" t="s">
        <v>24</v>
      </c>
      <c r="C177" s="367" t="s">
        <v>403</v>
      </c>
      <c r="D177" s="175">
        <v>45933</v>
      </c>
      <c r="E177" s="176" t="s">
        <v>589</v>
      </c>
      <c r="F177" s="222">
        <v>13300</v>
      </c>
    </row>
    <row r="178" spans="1:10" ht="27.75" customHeight="1">
      <c r="A178" s="94">
        <v>3</v>
      </c>
      <c r="B178" s="366" t="s">
        <v>411</v>
      </c>
      <c r="C178" s="367" t="s">
        <v>412</v>
      </c>
      <c r="D178" s="175">
        <v>45933</v>
      </c>
      <c r="E178" s="176" t="s">
        <v>590</v>
      </c>
      <c r="F178" s="222">
        <v>5360</v>
      </c>
    </row>
    <row r="179" spans="1:10" ht="27.75" customHeight="1">
      <c r="A179" s="94">
        <v>4</v>
      </c>
      <c r="B179" s="366" t="s">
        <v>417</v>
      </c>
      <c r="C179" s="367" t="s">
        <v>418</v>
      </c>
      <c r="D179" s="175">
        <v>45954</v>
      </c>
      <c r="E179" s="176" t="s">
        <v>591</v>
      </c>
      <c r="F179" s="222">
        <v>68108.75</v>
      </c>
    </row>
    <row r="180" spans="1:10" ht="27.75" customHeight="1">
      <c r="A180" s="94">
        <v>5</v>
      </c>
      <c r="B180" s="366" t="s">
        <v>417</v>
      </c>
      <c r="C180" s="367" t="s">
        <v>421</v>
      </c>
      <c r="D180" s="175">
        <v>45931</v>
      </c>
      <c r="E180" s="176" t="s">
        <v>592</v>
      </c>
      <c r="F180" s="222">
        <v>4910</v>
      </c>
    </row>
    <row r="181" spans="1:10" ht="27.75" customHeight="1">
      <c r="A181" s="94">
        <v>6</v>
      </c>
      <c r="B181" s="366" t="s">
        <v>428</v>
      </c>
      <c r="C181" s="367" t="s">
        <v>429</v>
      </c>
      <c r="D181" s="175">
        <v>45935</v>
      </c>
      <c r="E181" s="176" t="s">
        <v>593</v>
      </c>
      <c r="F181" s="222">
        <v>20000</v>
      </c>
    </row>
    <row r="182" spans="1:10" ht="27.75" customHeight="1" thickBot="1">
      <c r="A182" s="193"/>
      <c r="B182" s="194" t="s">
        <v>22</v>
      </c>
      <c r="C182" s="195"/>
      <c r="D182" s="199"/>
      <c r="E182" s="199"/>
      <c r="F182" s="196">
        <v>134368.75</v>
      </c>
      <c r="H182" s="520">
        <f>SUM(F176:F181)</f>
        <v>134368.75</v>
      </c>
    </row>
    <row r="183" spans="1:10" ht="27.75" customHeight="1" thickTop="1">
      <c r="A183" s="22"/>
      <c r="B183" s="288" t="s">
        <v>433</v>
      </c>
      <c r="C183" s="380"/>
      <c r="D183" s="382"/>
      <c r="E183" s="382"/>
      <c r="F183" s="383"/>
    </row>
    <row r="184" spans="1:10" ht="27.75" customHeight="1">
      <c r="A184" s="22">
        <v>1</v>
      </c>
      <c r="B184" s="270" t="s">
        <v>438</v>
      </c>
      <c r="C184" s="380" t="s">
        <v>439</v>
      </c>
      <c r="D184" s="389">
        <v>45935</v>
      </c>
      <c r="E184" s="386" t="s">
        <v>595</v>
      </c>
      <c r="F184" s="383">
        <v>1500</v>
      </c>
    </row>
    <row r="185" spans="1:10" ht="27.75" customHeight="1" thickBot="1">
      <c r="A185" s="193"/>
      <c r="B185" s="194" t="s">
        <v>22</v>
      </c>
      <c r="C185" s="195"/>
      <c r="D185" s="393">
        <v>0</v>
      </c>
      <c r="E185" s="393">
        <v>0</v>
      </c>
      <c r="F185" s="394">
        <v>1500</v>
      </c>
      <c r="H185" s="520">
        <f>SUM(F184)</f>
        <v>1500</v>
      </c>
    </row>
    <row r="186" spans="1:10" ht="27.75" customHeight="1" thickTop="1" thickBot="1">
      <c r="A186" s="414"/>
      <c r="B186" s="415"/>
      <c r="C186" s="416" t="s">
        <v>468</v>
      </c>
      <c r="D186" s="421"/>
      <c r="E186" s="421"/>
      <c r="F186" s="422">
        <v>841865.55</v>
      </c>
      <c r="I186" s="521">
        <f>SUM(H19:H185)</f>
        <v>841865.55</v>
      </c>
      <c r="J186" s="4" t="s">
        <v>468</v>
      </c>
    </row>
    <row r="187" spans="1:10" ht="27.75" customHeight="1" thickTop="1">
      <c r="A187" s="426"/>
      <c r="B187" s="4"/>
      <c r="C187" s="295"/>
      <c r="D187" s="431"/>
      <c r="E187" s="432"/>
      <c r="F187" s="427"/>
    </row>
    <row r="188" spans="1:10" s="226" customFormat="1" ht="27.75" customHeight="1">
      <c r="A188" s="6"/>
      <c r="B188" s="500"/>
      <c r="D188" s="3"/>
      <c r="E188" s="372"/>
      <c r="F188" s="501"/>
    </row>
    <row r="189" spans="1:10" s="226" customFormat="1" ht="27.75" customHeight="1">
      <c r="A189" s="6"/>
      <c r="B189" s="500"/>
      <c r="D189" s="3"/>
      <c r="E189" s="372"/>
      <c r="F189" s="501"/>
    </row>
    <row r="190" spans="1:10" s="226" customFormat="1" ht="27.75" customHeight="1">
      <c r="A190" s="6"/>
      <c r="B190" s="500"/>
      <c r="D190" s="3"/>
      <c r="E190" s="372"/>
      <c r="F190" s="501"/>
    </row>
    <row r="191" spans="1:10" s="226" customFormat="1" ht="27.75" customHeight="1">
      <c r="A191" s="6"/>
      <c r="B191" s="500"/>
      <c r="D191" s="3"/>
      <c r="E191" s="372"/>
      <c r="F191" s="501"/>
    </row>
    <row r="192" spans="1:10" s="226" customFormat="1" ht="27.75" customHeight="1">
      <c r="A192" s="6"/>
      <c r="B192" s="500"/>
      <c r="D192" s="3"/>
      <c r="E192" s="372"/>
      <c r="F192" s="501"/>
    </row>
    <row r="193" spans="1:6" s="226" customFormat="1" ht="27.75" customHeight="1">
      <c r="A193" s="6"/>
      <c r="B193" s="500"/>
      <c r="D193" s="3"/>
      <c r="E193" s="372"/>
      <c r="F193" s="501"/>
    </row>
    <row r="194" spans="1:6" s="226" customFormat="1" ht="27.75" customHeight="1">
      <c r="A194" s="6"/>
      <c r="B194" s="500"/>
      <c r="D194" s="3"/>
      <c r="E194" s="372"/>
      <c r="F194" s="501"/>
    </row>
    <row r="195" spans="1:6" s="226" customFormat="1" ht="27.75" customHeight="1">
      <c r="A195" s="6"/>
      <c r="B195" s="500"/>
      <c r="D195" s="3"/>
      <c r="E195" s="372"/>
      <c r="F195" s="501"/>
    </row>
    <row r="196" spans="1:6" s="226" customFormat="1" ht="27.75" customHeight="1">
      <c r="A196" s="6"/>
      <c r="B196" s="500"/>
      <c r="D196" s="3"/>
      <c r="E196" s="372"/>
      <c r="F196" s="501"/>
    </row>
    <row r="197" spans="1:6" s="226" customFormat="1" ht="27.75" customHeight="1">
      <c r="A197" s="6"/>
      <c r="B197" s="500"/>
      <c r="D197" s="3"/>
      <c r="E197" s="372"/>
      <c r="F197" s="501"/>
    </row>
    <row r="198" spans="1:6" s="226" customFormat="1" ht="27.75" customHeight="1">
      <c r="A198" s="6"/>
      <c r="B198" s="500"/>
      <c r="D198" s="3"/>
      <c r="E198" s="372"/>
      <c r="F198" s="501"/>
    </row>
    <row r="199" spans="1:6" s="226" customFormat="1" ht="27.75" customHeight="1">
      <c r="A199" s="6"/>
      <c r="B199" s="500"/>
      <c r="D199" s="3"/>
      <c r="E199" s="372"/>
      <c r="F199" s="501"/>
    </row>
    <row r="200" spans="1:6" s="226" customFormat="1" ht="27.75" customHeight="1">
      <c r="A200" s="6"/>
      <c r="B200" s="500"/>
      <c r="D200" s="3"/>
      <c r="E200" s="372"/>
      <c r="F200" s="501"/>
    </row>
    <row r="201" spans="1:6" s="226" customFormat="1" ht="27.75" customHeight="1">
      <c r="A201" s="6"/>
      <c r="B201" s="500"/>
      <c r="D201" s="3"/>
      <c r="E201" s="372"/>
      <c r="F201" s="501"/>
    </row>
    <row r="202" spans="1:6" s="226" customFormat="1" ht="27.75" customHeight="1">
      <c r="A202" s="6"/>
      <c r="D202" s="3"/>
      <c r="E202" s="372"/>
      <c r="F202" s="501"/>
    </row>
    <row r="203" spans="1:6" ht="27.75" customHeight="1">
      <c r="B203" s="4"/>
      <c r="F203" s="4"/>
    </row>
    <row r="204" spans="1:6" ht="27.75" customHeight="1">
      <c r="B204" s="4"/>
      <c r="F204" s="4"/>
    </row>
    <row r="205" spans="1:6" ht="27.75" customHeight="1">
      <c r="B205" s="4"/>
      <c r="F205" s="4"/>
    </row>
    <row r="206" spans="1:6" ht="27.75" customHeight="1">
      <c r="B206" s="4"/>
      <c r="F206" s="4"/>
    </row>
    <row r="207" spans="1:6" ht="27.75" customHeight="1">
      <c r="B207" s="4"/>
      <c r="F207" s="4"/>
    </row>
    <row r="208" spans="1:6" ht="27.75" customHeight="1">
      <c r="B208" s="4"/>
      <c r="F208" s="4"/>
    </row>
    <row r="209" spans="2:6" ht="27.75" customHeight="1">
      <c r="B209" s="4"/>
      <c r="F209" s="4"/>
    </row>
    <row r="210" spans="2:6" ht="27.75" customHeight="1">
      <c r="B210" s="4"/>
      <c r="F210" s="4"/>
    </row>
    <row r="211" spans="2:6" ht="27.75" customHeight="1">
      <c r="B211" s="4"/>
      <c r="F211" s="4"/>
    </row>
    <row r="212" spans="2:6" ht="27.75" customHeight="1">
      <c r="B212" s="4"/>
      <c r="F212" s="4"/>
    </row>
    <row r="213" spans="2:6" ht="27.75" customHeight="1">
      <c r="B213" s="4"/>
      <c r="F213" s="4"/>
    </row>
    <row r="214" spans="2:6" ht="27.75" customHeight="1">
      <c r="B214" s="4"/>
      <c r="F214" s="4"/>
    </row>
    <row r="215" spans="2:6" ht="27.75" customHeight="1">
      <c r="B215" s="4"/>
      <c r="F215" s="4"/>
    </row>
    <row r="216" spans="2:6" ht="27.75" customHeight="1">
      <c r="B216" s="4"/>
      <c r="F216" s="4"/>
    </row>
    <row r="217" spans="2:6" ht="27.75" customHeight="1">
      <c r="B217" s="4"/>
      <c r="F217" s="4"/>
    </row>
    <row r="218" spans="2:6" ht="27.75" customHeight="1">
      <c r="B218" s="4"/>
      <c r="F218" s="4"/>
    </row>
    <row r="230" spans="2:6" ht="27.75" customHeight="1">
      <c r="B230" s="4"/>
      <c r="F230" s="4"/>
    </row>
    <row r="231" spans="2:6" ht="27.75" customHeight="1">
      <c r="B231" s="4"/>
      <c r="F231" s="4"/>
    </row>
    <row r="232" spans="2:6" ht="27.75" customHeight="1">
      <c r="B232" s="4"/>
      <c r="F232" s="4"/>
    </row>
    <row r="233" spans="2:6" ht="27.75" customHeight="1">
      <c r="B233" s="4"/>
      <c r="F233" s="4"/>
    </row>
    <row r="234" spans="2:6" ht="27.75" customHeight="1">
      <c r="B234" s="4"/>
      <c r="F234" s="4"/>
    </row>
    <row r="235" spans="2:6" ht="27.75" customHeight="1">
      <c r="B235" s="4"/>
      <c r="F235" s="4"/>
    </row>
    <row r="236" spans="2:6" ht="27.75" customHeight="1">
      <c r="B236" s="4"/>
      <c r="F236" s="4"/>
    </row>
    <row r="237" spans="2:6" ht="27.75" customHeight="1">
      <c r="B237" s="4"/>
      <c r="F237" s="4"/>
    </row>
    <row r="238" spans="2:6" ht="27.75" customHeight="1">
      <c r="B238" s="4"/>
      <c r="F238" s="4"/>
    </row>
    <row r="239" spans="2:6" ht="27.75" customHeight="1">
      <c r="B239" s="4"/>
      <c r="F239" s="4"/>
    </row>
    <row r="240" spans="2:6" ht="27.75" customHeight="1">
      <c r="B240" s="4"/>
      <c r="F240" s="4"/>
    </row>
    <row r="241" spans="2:6" ht="27.75" customHeight="1">
      <c r="B241" s="4"/>
      <c r="F241" s="4"/>
    </row>
    <row r="242" spans="2:6" ht="27.75" customHeight="1">
      <c r="B242" s="4"/>
      <c r="F242" s="4"/>
    </row>
  </sheetData>
  <mergeCells count="8">
    <mergeCell ref="A5:A6"/>
    <mergeCell ref="B5:B6"/>
    <mergeCell ref="C5:C6"/>
    <mergeCell ref="A1:F1"/>
    <mergeCell ref="A2:F2"/>
    <mergeCell ref="A3:F3"/>
    <mergeCell ref="E5:E6"/>
    <mergeCell ref="F5:F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1A635-E667-430A-810E-317160D0CC5D}">
  <sheetPr>
    <tabColor rgb="FF92D050"/>
  </sheetPr>
  <dimension ref="A1:R155"/>
  <sheetViews>
    <sheetView zoomScale="60" zoomScaleNormal="60" workbookViewId="0">
      <pane ySplit="6" topLeftCell="A79" activePane="bottomLeft" state="frozen"/>
      <selection pane="bottomLeft" activeCell="O85" sqref="O85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6.88671875" style="552" customWidth="1"/>
    <col min="5" max="5" width="20" style="372" customWidth="1"/>
    <col min="6" max="6" width="9.109375" style="2" customWidth="1"/>
    <col min="7" max="7" width="23.6640625" style="507" customWidth="1"/>
    <col min="8" max="8" width="5.33203125" style="2" hidden="1" customWidth="1"/>
    <col min="9" max="9" width="9" style="508" hidden="1" customWidth="1"/>
    <col min="10" max="10" width="9.6640625" style="508" hidden="1" customWidth="1"/>
    <col min="11" max="11" width="10.88671875" style="512" hidden="1" customWidth="1"/>
    <col min="12" max="12" width="24.5546875" style="512" hidden="1" customWidth="1"/>
    <col min="13" max="14" width="8.88671875" style="4" hidden="1" customWidth="1"/>
    <col min="15" max="15" width="8.88671875" style="4"/>
    <col min="16" max="16" width="19.33203125" style="4" customWidth="1"/>
    <col min="17" max="17" width="9.5546875" style="4" bestFit="1" customWidth="1"/>
    <col min="18" max="16384" width="8.88671875" style="4"/>
  </cols>
  <sheetData>
    <row r="1" spans="1:16" ht="28.5" customHeight="1">
      <c r="A1" s="653" t="s">
        <v>0</v>
      </c>
      <c r="B1" s="653"/>
      <c r="C1" s="653"/>
      <c r="D1" s="653"/>
      <c r="E1" s="653"/>
      <c r="F1" s="653"/>
      <c r="G1" s="653"/>
      <c r="I1" s="3"/>
      <c r="J1" s="3"/>
      <c r="K1" s="1"/>
      <c r="L1" s="1"/>
    </row>
    <row r="2" spans="1:16" ht="23.25" customHeight="1">
      <c r="A2" s="653" t="s">
        <v>1</v>
      </c>
      <c r="B2" s="653"/>
      <c r="C2" s="653"/>
      <c r="D2" s="653"/>
      <c r="E2" s="653"/>
      <c r="F2" s="653"/>
      <c r="G2" s="653"/>
      <c r="H2" s="5"/>
      <c r="I2" s="3"/>
      <c r="J2" s="3"/>
      <c r="K2" s="1"/>
      <c r="L2" s="1"/>
    </row>
    <row r="3" spans="1:16" ht="28.5" customHeight="1">
      <c r="A3" s="654" t="s">
        <v>2</v>
      </c>
      <c r="B3" s="654"/>
      <c r="C3" s="654"/>
      <c r="D3" s="654"/>
      <c r="E3" s="654"/>
      <c r="F3" s="654"/>
      <c r="G3" s="654"/>
      <c r="I3" s="3"/>
      <c r="J3" s="3"/>
      <c r="K3" s="6"/>
      <c r="L3" s="6"/>
    </row>
    <row r="4" spans="1:16" ht="27.75" customHeight="1">
      <c r="A4" s="7"/>
      <c r="B4" s="8"/>
      <c r="C4" s="9"/>
      <c r="D4" s="522"/>
      <c r="E4" s="655" t="s">
        <v>5</v>
      </c>
      <c r="F4" s="656"/>
      <c r="G4" s="657"/>
      <c r="H4" s="658" t="s">
        <v>6</v>
      </c>
      <c r="I4" s="671" t="s">
        <v>7</v>
      </c>
      <c r="J4" s="671" t="s">
        <v>8</v>
      </c>
      <c r="K4" s="661" t="s">
        <v>9</v>
      </c>
      <c r="L4" s="661" t="s">
        <v>10</v>
      </c>
    </row>
    <row r="5" spans="1:16" ht="27.75" customHeight="1">
      <c r="A5" s="664" t="s">
        <v>11</v>
      </c>
      <c r="B5" s="666" t="s">
        <v>12</v>
      </c>
      <c r="C5" s="666" t="s">
        <v>13</v>
      </c>
      <c r="D5" s="523" t="s">
        <v>557</v>
      </c>
      <c r="E5" s="664" t="s">
        <v>15</v>
      </c>
      <c r="F5" s="669" t="s">
        <v>16</v>
      </c>
      <c r="G5" s="514"/>
      <c r="H5" s="659"/>
      <c r="I5" s="672"/>
      <c r="J5" s="672"/>
      <c r="K5" s="662"/>
      <c r="L5" s="662"/>
    </row>
    <row r="6" spans="1:16" ht="27.75" customHeight="1" thickBot="1">
      <c r="A6" s="665"/>
      <c r="B6" s="667"/>
      <c r="C6" s="667"/>
      <c r="D6" s="524"/>
      <c r="E6" s="668"/>
      <c r="F6" s="670"/>
      <c r="G6" s="21" t="s">
        <v>22</v>
      </c>
      <c r="H6" s="660"/>
      <c r="I6" s="673"/>
      <c r="J6" s="673"/>
      <c r="K6" s="663"/>
      <c r="L6" s="663"/>
    </row>
    <row r="7" spans="1:16" ht="27.75" customHeight="1" thickTop="1">
      <c r="A7" s="22"/>
      <c r="B7" s="23" t="s">
        <v>23</v>
      </c>
      <c r="C7" s="24"/>
      <c r="D7" s="525"/>
      <c r="E7" s="32"/>
      <c r="F7" s="33"/>
      <c r="G7" s="35"/>
      <c r="H7" s="36"/>
      <c r="I7" s="37"/>
      <c r="J7" s="37"/>
      <c r="K7" s="38"/>
      <c r="L7" s="38"/>
      <c r="M7" s="38"/>
    </row>
    <row r="8" spans="1:16" s="57" customFormat="1" ht="27.75" customHeight="1">
      <c r="A8" s="39">
        <v>1</v>
      </c>
      <c r="B8" s="40" t="s">
        <v>66</v>
      </c>
      <c r="C8" s="41" t="s">
        <v>67</v>
      </c>
      <c r="D8" s="526"/>
      <c r="E8" s="51" t="s">
        <v>32</v>
      </c>
      <c r="F8" s="52">
        <v>1</v>
      </c>
      <c r="G8" s="54">
        <v>12037.5</v>
      </c>
      <c r="H8" s="39"/>
      <c r="I8" s="55"/>
      <c r="J8" s="55"/>
      <c r="K8" s="56"/>
      <c r="L8" s="56"/>
    </row>
    <row r="9" spans="1:16" s="57" customFormat="1" ht="27.75" customHeight="1">
      <c r="A9" s="39">
        <v>2</v>
      </c>
      <c r="B9" s="40" t="s">
        <v>66</v>
      </c>
      <c r="C9" s="41" t="s">
        <v>69</v>
      </c>
      <c r="D9" s="526"/>
      <c r="E9" s="51" t="s">
        <v>32</v>
      </c>
      <c r="F9" s="52">
        <v>1</v>
      </c>
      <c r="G9" s="54">
        <v>4012.5</v>
      </c>
      <c r="H9" s="39"/>
      <c r="I9" s="55"/>
      <c r="J9" s="55"/>
      <c r="K9" s="56"/>
      <c r="L9" s="56"/>
    </row>
    <row r="10" spans="1:16" s="57" customFormat="1" ht="35.25" customHeight="1" thickBot="1">
      <c r="A10" s="67"/>
      <c r="B10" s="68" t="s">
        <v>22</v>
      </c>
      <c r="C10" s="69"/>
      <c r="D10" s="527"/>
      <c r="E10" s="77"/>
      <c r="F10" s="78"/>
      <c r="G10" s="79">
        <v>16050</v>
      </c>
      <c r="H10" s="39"/>
      <c r="I10" s="55"/>
      <c r="J10" s="55"/>
      <c r="K10" s="56"/>
      <c r="L10" s="56"/>
      <c r="P10" s="57">
        <f>SUM(G8:G9)</f>
        <v>16050</v>
      </c>
    </row>
    <row r="11" spans="1:16" s="91" customFormat="1" ht="27.75" customHeight="1" thickTop="1">
      <c r="A11" s="39">
        <v>1</v>
      </c>
      <c r="B11" s="80" t="s">
        <v>71</v>
      </c>
      <c r="C11" s="81" t="s">
        <v>72</v>
      </c>
      <c r="D11" s="528">
        <v>6687.5</v>
      </c>
      <c r="E11" s="87"/>
      <c r="F11" s="88"/>
      <c r="G11" s="519"/>
      <c r="H11" s="39"/>
      <c r="I11" s="55"/>
      <c r="J11" s="55"/>
      <c r="K11" s="58"/>
      <c r="L11" s="58"/>
    </row>
    <row r="12" spans="1:16" s="57" customFormat="1" ht="27.75" customHeight="1" thickBot="1">
      <c r="A12" s="96"/>
      <c r="B12" s="97" t="s">
        <v>22</v>
      </c>
      <c r="C12" s="98"/>
      <c r="D12" s="530"/>
      <c r="E12" s="106"/>
      <c r="F12" s="107"/>
      <c r="G12" s="109"/>
      <c r="H12" s="39"/>
      <c r="I12" s="55"/>
      <c r="J12" s="55"/>
      <c r="K12" s="56"/>
      <c r="L12" s="56"/>
    </row>
    <row r="13" spans="1:16" ht="27.75" customHeight="1" thickTop="1">
      <c r="A13" s="39">
        <v>1</v>
      </c>
      <c r="B13" s="40" t="s">
        <v>78</v>
      </c>
      <c r="C13" s="81" t="s">
        <v>72</v>
      </c>
      <c r="D13" s="528"/>
      <c r="E13" s="94" t="s">
        <v>32</v>
      </c>
      <c r="F13" s="116">
        <v>1</v>
      </c>
      <c r="G13" s="54">
        <v>7247.9162616822432</v>
      </c>
      <c r="H13" s="39"/>
      <c r="I13" s="55"/>
      <c r="J13" s="55"/>
      <c r="K13" s="56"/>
      <c r="L13" s="56"/>
    </row>
    <row r="14" spans="1:16" ht="27.75" customHeight="1">
      <c r="A14" s="39">
        <v>2</v>
      </c>
      <c r="B14" s="40" t="s">
        <v>82</v>
      </c>
      <c r="C14" s="41" t="s">
        <v>72</v>
      </c>
      <c r="D14" s="529"/>
      <c r="E14" s="94" t="s">
        <v>32</v>
      </c>
      <c r="F14" s="116">
        <v>1</v>
      </c>
      <c r="G14" s="54">
        <v>905.65000000000055</v>
      </c>
      <c r="H14" s="39"/>
      <c r="I14" s="55"/>
      <c r="J14" s="55"/>
      <c r="K14" s="56"/>
      <c r="L14" s="56"/>
    </row>
    <row r="15" spans="1:16" s="57" customFormat="1" ht="27.75" customHeight="1" thickBot="1">
      <c r="A15" s="96"/>
      <c r="B15" s="97" t="s">
        <v>22</v>
      </c>
      <c r="C15" s="98"/>
      <c r="D15" s="530"/>
      <c r="E15" s="106"/>
      <c r="F15" s="107"/>
      <c r="G15" s="108">
        <v>8153.5670093457911</v>
      </c>
      <c r="H15" s="39"/>
      <c r="I15" s="55"/>
      <c r="J15" s="55"/>
      <c r="K15" s="56"/>
      <c r="L15" s="56"/>
      <c r="P15" s="57">
        <f>SUM(G13:G14)</f>
        <v>8153.5662616822437</v>
      </c>
    </row>
    <row r="16" spans="1:16" ht="27.75" hidden="1" customHeight="1" thickBot="1">
      <c r="A16" s="39">
        <v>1</v>
      </c>
      <c r="B16" s="40" t="s">
        <v>88</v>
      </c>
      <c r="C16" s="41" t="s">
        <v>72</v>
      </c>
      <c r="D16" s="529"/>
      <c r="E16" s="94"/>
      <c r="F16" s="39"/>
      <c r="G16" s="54">
        <v>0</v>
      </c>
      <c r="H16" s="122"/>
      <c r="I16" s="37"/>
      <c r="J16" s="37"/>
      <c r="K16" s="38"/>
      <c r="L16" s="38"/>
    </row>
    <row r="17" spans="1:13" ht="27.75" hidden="1" customHeight="1" thickTop="1">
      <c r="A17" s="39">
        <v>2</v>
      </c>
      <c r="B17" s="40" t="s">
        <v>89</v>
      </c>
      <c r="C17" s="41" t="s">
        <v>72</v>
      </c>
      <c r="D17" s="529"/>
      <c r="E17" s="94"/>
      <c r="F17" s="39"/>
      <c r="G17" s="54">
        <v>0</v>
      </c>
      <c r="H17" s="122"/>
      <c r="I17" s="37"/>
      <c r="J17" s="37"/>
      <c r="K17" s="38"/>
      <c r="L17" s="38"/>
    </row>
    <row r="18" spans="1:13" ht="27.75" hidden="1" customHeight="1" thickTop="1">
      <c r="A18" s="39">
        <v>3</v>
      </c>
      <c r="B18" s="40" t="s">
        <v>90</v>
      </c>
      <c r="C18" s="41" t="s">
        <v>72</v>
      </c>
      <c r="D18" s="529"/>
      <c r="E18" s="94"/>
      <c r="F18" s="39"/>
      <c r="G18" s="54">
        <v>0</v>
      </c>
      <c r="H18" s="122"/>
      <c r="I18" s="37"/>
      <c r="J18" s="37"/>
      <c r="K18" s="38"/>
      <c r="L18" s="38"/>
    </row>
    <row r="19" spans="1:13" ht="27.75" hidden="1" customHeight="1" thickTop="1">
      <c r="A19" s="39">
        <v>4</v>
      </c>
      <c r="B19" s="40" t="s">
        <v>91</v>
      </c>
      <c r="C19" s="41" t="s">
        <v>72</v>
      </c>
      <c r="D19" s="529"/>
      <c r="E19" s="94"/>
      <c r="F19" s="39"/>
      <c r="G19" s="54">
        <v>0</v>
      </c>
      <c r="H19" s="122"/>
      <c r="I19" s="37"/>
      <c r="J19" s="37"/>
      <c r="K19" s="38"/>
      <c r="L19" s="38"/>
    </row>
    <row r="20" spans="1:13" ht="27.75" hidden="1" customHeight="1" thickTop="1">
      <c r="A20" s="39">
        <v>5</v>
      </c>
      <c r="B20" s="40" t="s">
        <v>92</v>
      </c>
      <c r="C20" s="41" t="s">
        <v>72</v>
      </c>
      <c r="D20" s="529"/>
      <c r="E20" s="94"/>
      <c r="F20" s="39"/>
      <c r="G20" s="54">
        <v>0</v>
      </c>
      <c r="H20" s="122"/>
      <c r="I20" s="37"/>
      <c r="J20" s="37"/>
      <c r="K20" s="38"/>
      <c r="L20" s="38"/>
    </row>
    <row r="21" spans="1:13" ht="27.75" hidden="1" customHeight="1" thickTop="1">
      <c r="A21" s="39">
        <v>6</v>
      </c>
      <c r="B21" s="123" t="s">
        <v>93</v>
      </c>
      <c r="C21" s="41" t="s">
        <v>72</v>
      </c>
      <c r="D21" s="529"/>
      <c r="E21" s="94"/>
      <c r="F21" s="39"/>
      <c r="G21" s="54">
        <v>0</v>
      </c>
      <c r="H21" s="122"/>
      <c r="I21" s="37"/>
      <c r="J21" s="37"/>
      <c r="K21" s="38"/>
      <c r="L21" s="38"/>
    </row>
    <row r="22" spans="1:13" ht="27.75" hidden="1" customHeight="1" thickTop="1">
      <c r="A22" s="39">
        <v>7</v>
      </c>
      <c r="B22" s="40" t="s">
        <v>94</v>
      </c>
      <c r="C22" s="41" t="s">
        <v>72</v>
      </c>
      <c r="D22" s="529"/>
      <c r="E22" s="94"/>
      <c r="F22" s="39"/>
      <c r="G22" s="54">
        <v>0</v>
      </c>
      <c r="H22" s="122"/>
      <c r="I22" s="37"/>
      <c r="J22" s="37"/>
      <c r="K22" s="38"/>
      <c r="L22" s="38"/>
    </row>
    <row r="23" spans="1:13" ht="27.75" hidden="1" customHeight="1" thickTop="1">
      <c r="A23" s="39">
        <v>8</v>
      </c>
      <c r="B23" s="40" t="s">
        <v>95</v>
      </c>
      <c r="C23" s="41" t="s">
        <v>72</v>
      </c>
      <c r="D23" s="529"/>
      <c r="E23" s="94"/>
      <c r="F23" s="39"/>
      <c r="G23" s="54">
        <v>0</v>
      </c>
      <c r="H23" s="122"/>
      <c r="I23" s="37"/>
      <c r="J23" s="37"/>
      <c r="K23" s="38"/>
      <c r="L23" s="38"/>
    </row>
    <row r="24" spans="1:13" ht="27.75" hidden="1" customHeight="1" thickTop="1">
      <c r="A24" s="39">
        <v>9</v>
      </c>
      <c r="B24" s="40" t="s">
        <v>96</v>
      </c>
      <c r="C24" s="41" t="s">
        <v>72</v>
      </c>
      <c r="D24" s="529"/>
      <c r="E24" s="94"/>
      <c r="F24" s="39"/>
      <c r="G24" s="54">
        <v>0</v>
      </c>
      <c r="H24" s="122"/>
      <c r="I24" s="37"/>
      <c r="J24" s="37"/>
      <c r="K24" s="38"/>
      <c r="L24" s="38"/>
    </row>
    <row r="25" spans="1:13" ht="27.75" hidden="1" customHeight="1" thickTop="1">
      <c r="A25" s="39">
        <v>10</v>
      </c>
      <c r="B25" s="40" t="s">
        <v>97</v>
      </c>
      <c r="C25" s="41" t="s">
        <v>72</v>
      </c>
      <c r="D25" s="529"/>
      <c r="E25" s="94"/>
      <c r="F25" s="39"/>
      <c r="G25" s="54">
        <v>0</v>
      </c>
      <c r="H25" s="122"/>
      <c r="I25" s="37"/>
      <c r="J25" s="37"/>
      <c r="K25" s="38"/>
      <c r="L25" s="38"/>
    </row>
    <row r="26" spans="1:13" ht="27.75" hidden="1" customHeight="1" thickTop="1">
      <c r="A26" s="39">
        <v>11</v>
      </c>
      <c r="B26" s="40" t="s">
        <v>98</v>
      </c>
      <c r="C26" s="41" t="s">
        <v>72</v>
      </c>
      <c r="D26" s="529"/>
      <c r="E26" s="94"/>
      <c r="F26" s="39"/>
      <c r="G26" s="54">
        <v>0</v>
      </c>
      <c r="H26" s="122"/>
      <c r="I26" s="37"/>
      <c r="J26" s="37"/>
      <c r="K26" s="38"/>
      <c r="L26" s="38"/>
    </row>
    <row r="27" spans="1:13" ht="27.75" hidden="1" customHeight="1" thickTop="1">
      <c r="A27" s="39">
        <v>12</v>
      </c>
      <c r="B27" s="40" t="s">
        <v>99</v>
      </c>
      <c r="C27" s="41" t="s">
        <v>72</v>
      </c>
      <c r="D27" s="529"/>
      <c r="E27" s="94"/>
      <c r="F27" s="39"/>
      <c r="G27" s="54">
        <v>0</v>
      </c>
      <c r="H27" s="122"/>
      <c r="I27" s="37"/>
      <c r="J27" s="37"/>
      <c r="K27" s="38"/>
      <c r="L27" s="38"/>
    </row>
    <row r="28" spans="1:13" ht="27.75" hidden="1" customHeight="1" thickTop="1">
      <c r="A28" s="39"/>
      <c r="B28" s="123"/>
      <c r="C28" s="41"/>
      <c r="D28" s="528"/>
      <c r="E28" s="83"/>
      <c r="F28" s="130"/>
      <c r="G28" s="54">
        <v>0</v>
      </c>
      <c r="H28" s="122"/>
      <c r="I28" s="37"/>
      <c r="J28" s="37"/>
      <c r="K28" s="38"/>
      <c r="L28" s="38"/>
    </row>
    <row r="29" spans="1:13" ht="27.75" hidden="1" customHeight="1" thickTop="1">
      <c r="A29" s="22"/>
      <c r="B29" s="131" t="s">
        <v>22</v>
      </c>
      <c r="C29" s="132"/>
      <c r="D29" s="531"/>
      <c r="E29" s="139"/>
      <c r="F29" s="133"/>
      <c r="G29" s="136">
        <v>0</v>
      </c>
      <c r="H29" s="36"/>
      <c r="I29" s="37"/>
      <c r="J29" s="37"/>
      <c r="K29" s="38"/>
      <c r="L29" s="38"/>
      <c r="M29" s="38"/>
    </row>
    <row r="30" spans="1:13" ht="27.75" customHeight="1" thickTop="1">
      <c r="A30" s="22"/>
      <c r="B30" s="23" t="s">
        <v>100</v>
      </c>
      <c r="C30" s="24"/>
      <c r="D30" s="525"/>
      <c r="E30" s="32"/>
      <c r="F30" s="33"/>
      <c r="G30" s="35"/>
      <c r="H30" s="36"/>
      <c r="I30" s="37"/>
      <c r="J30" s="37"/>
      <c r="K30" s="38"/>
      <c r="L30" s="38"/>
      <c r="M30" s="38"/>
    </row>
    <row r="31" spans="1:13" s="57" customFormat="1" ht="27.75" customHeight="1">
      <c r="A31" s="22">
        <v>1</v>
      </c>
      <c r="B31" s="150" t="s">
        <v>104</v>
      </c>
      <c r="C31" s="140" t="s">
        <v>102</v>
      </c>
      <c r="D31" s="529"/>
      <c r="E31" s="94" t="s">
        <v>32</v>
      </c>
      <c r="F31" s="39">
        <v>1</v>
      </c>
      <c r="G31" s="47">
        <v>321</v>
      </c>
      <c r="H31" s="146"/>
      <c r="I31" s="148"/>
      <c r="J31" s="148"/>
      <c r="K31" s="149"/>
      <c r="L31" s="149"/>
    </row>
    <row r="32" spans="1:13" s="169" customFormat="1" ht="27.75" customHeight="1">
      <c r="A32" s="22">
        <v>2</v>
      </c>
      <c r="B32" s="153" t="s">
        <v>106</v>
      </c>
      <c r="C32" s="154" t="s">
        <v>102</v>
      </c>
      <c r="D32" s="532">
        <v>1444.5</v>
      </c>
      <c r="E32" s="163"/>
      <c r="F32" s="164"/>
      <c r="G32" s="159"/>
      <c r="H32" s="166"/>
      <c r="I32" s="167"/>
      <c r="J32" s="167"/>
      <c r="K32" s="168"/>
      <c r="L32" s="168"/>
    </row>
    <row r="33" spans="1:16" s="57" customFormat="1" ht="27.75" customHeight="1">
      <c r="A33" s="22">
        <v>3</v>
      </c>
      <c r="B33" s="40" t="s">
        <v>123</v>
      </c>
      <c r="C33" s="140" t="s">
        <v>102</v>
      </c>
      <c r="D33" s="529">
        <v>160.5</v>
      </c>
      <c r="E33" s="145"/>
      <c r="F33" s="146"/>
      <c r="G33" s="47"/>
      <c r="H33" s="146"/>
      <c r="I33" s="148"/>
      <c r="J33" s="148"/>
      <c r="K33" s="149"/>
      <c r="L33" s="149"/>
    </row>
    <row r="34" spans="1:16" s="57" customFormat="1" ht="27.75" customHeight="1">
      <c r="A34" s="22">
        <v>4</v>
      </c>
      <c r="B34" s="40" t="s">
        <v>130</v>
      </c>
      <c r="C34" s="140" t="s">
        <v>102</v>
      </c>
      <c r="D34" s="529"/>
      <c r="E34" s="145" t="s">
        <v>32</v>
      </c>
      <c r="F34" s="146">
        <v>1</v>
      </c>
      <c r="G34" s="47">
        <v>160.5</v>
      </c>
      <c r="H34" s="146"/>
      <c r="I34" s="148"/>
      <c r="J34" s="148"/>
      <c r="K34" s="149"/>
      <c r="L34" s="149"/>
    </row>
    <row r="35" spans="1:16" s="57" customFormat="1" ht="27.75" customHeight="1">
      <c r="A35" s="22">
        <v>5</v>
      </c>
      <c r="B35" s="181" t="s">
        <v>138</v>
      </c>
      <c r="C35" s="182" t="s">
        <v>139</v>
      </c>
      <c r="D35" s="534">
        <v>321</v>
      </c>
      <c r="E35" s="186"/>
      <c r="F35" s="44"/>
      <c r="G35" s="47"/>
      <c r="H35" s="146"/>
      <c r="I35" s="148"/>
      <c r="J35" s="148"/>
      <c r="K35" s="149"/>
      <c r="L35" s="149"/>
    </row>
    <row r="36" spans="1:16" s="57" customFormat="1" ht="27.75" customHeight="1">
      <c r="A36" s="22">
        <v>6</v>
      </c>
      <c r="B36" s="40" t="s">
        <v>145</v>
      </c>
      <c r="C36" s="140" t="s">
        <v>102</v>
      </c>
      <c r="D36" s="533">
        <v>321</v>
      </c>
      <c r="E36" s="171"/>
      <c r="F36" s="172"/>
      <c r="G36" s="47"/>
      <c r="H36" s="146"/>
      <c r="I36" s="148"/>
      <c r="J36" s="148"/>
      <c r="K36" s="149"/>
      <c r="L36" s="149"/>
    </row>
    <row r="37" spans="1:16" s="57" customFormat="1" ht="27.75" customHeight="1">
      <c r="A37" s="22">
        <v>7</v>
      </c>
      <c r="B37" s="170" t="s">
        <v>153</v>
      </c>
      <c r="C37" s="140" t="s">
        <v>102</v>
      </c>
      <c r="D37" s="533">
        <v>321</v>
      </c>
      <c r="E37" s="171"/>
      <c r="F37" s="172"/>
      <c r="G37" s="47"/>
      <c r="H37" s="146"/>
      <c r="I37" s="148"/>
      <c r="J37" s="148"/>
      <c r="K37" s="149"/>
      <c r="L37" s="149"/>
    </row>
    <row r="38" spans="1:16" s="57" customFormat="1" ht="27.75" customHeight="1">
      <c r="A38" s="22">
        <v>8</v>
      </c>
      <c r="B38" s="170" t="s">
        <v>158</v>
      </c>
      <c r="C38" s="140" t="s">
        <v>102</v>
      </c>
      <c r="D38" s="533">
        <v>3248</v>
      </c>
      <c r="E38" s="171"/>
      <c r="F38" s="172"/>
      <c r="G38" s="47"/>
      <c r="H38" s="146"/>
      <c r="I38" s="148"/>
      <c r="J38" s="148"/>
      <c r="K38" s="149"/>
      <c r="L38" s="149"/>
    </row>
    <row r="39" spans="1:16" ht="27.75" customHeight="1" thickBot="1">
      <c r="A39" s="193"/>
      <c r="B39" s="194" t="s">
        <v>22</v>
      </c>
      <c r="C39" s="195"/>
      <c r="D39" s="535"/>
      <c r="E39" s="200"/>
      <c r="F39" s="196"/>
      <c r="G39" s="198">
        <v>481.5</v>
      </c>
      <c r="H39" s="36"/>
      <c r="I39" s="37"/>
      <c r="J39" s="37"/>
      <c r="K39" s="38"/>
      <c r="L39" s="38"/>
      <c r="M39" s="38"/>
      <c r="P39" s="507">
        <f>SUM(G31:G38)</f>
        <v>481.5</v>
      </c>
    </row>
    <row r="40" spans="1:16" ht="27.75" customHeight="1" thickTop="1">
      <c r="A40" s="22"/>
      <c r="B40" s="23" t="s">
        <v>179</v>
      </c>
      <c r="C40" s="24"/>
      <c r="D40" s="525"/>
      <c r="E40" s="32"/>
      <c r="F40" s="33"/>
      <c r="G40" s="35"/>
      <c r="H40" s="36"/>
      <c r="I40" s="37"/>
      <c r="J40" s="37"/>
      <c r="K40" s="38"/>
      <c r="L40" s="38"/>
      <c r="M40" s="38"/>
    </row>
    <row r="41" spans="1:16" ht="27.75" customHeight="1">
      <c r="A41" s="94">
        <v>1</v>
      </c>
      <c r="B41" s="40" t="s">
        <v>180</v>
      </c>
      <c r="C41" s="41" t="s">
        <v>181</v>
      </c>
      <c r="D41" s="528"/>
      <c r="E41" s="83" t="s">
        <v>32</v>
      </c>
      <c r="F41" s="39">
        <v>1</v>
      </c>
      <c r="G41" s="47">
        <v>1444.5</v>
      </c>
      <c r="H41" s="116"/>
      <c r="I41" s="203"/>
      <c r="J41" s="203"/>
      <c r="K41" s="204"/>
      <c r="L41" s="204"/>
    </row>
    <row r="42" spans="1:16" s="220" customFormat="1" ht="27.75" customHeight="1">
      <c r="A42" s="186">
        <v>2</v>
      </c>
      <c r="B42" s="208" t="s">
        <v>71</v>
      </c>
      <c r="C42" s="209" t="s">
        <v>181</v>
      </c>
      <c r="D42" s="536">
        <v>1337.5</v>
      </c>
      <c r="E42" s="216"/>
      <c r="F42" s="217"/>
      <c r="G42" s="47"/>
      <c r="H42" s="217"/>
      <c r="I42" s="218"/>
      <c r="J42" s="218"/>
      <c r="K42" s="219"/>
      <c r="L42" s="219"/>
    </row>
    <row r="43" spans="1:16" ht="27.75" customHeight="1" thickBot="1">
      <c r="A43" s="193"/>
      <c r="B43" s="194" t="s">
        <v>22</v>
      </c>
      <c r="C43" s="195"/>
      <c r="D43" s="535"/>
      <c r="E43" s="200"/>
      <c r="F43" s="196"/>
      <c r="G43" s="198">
        <v>1444.5</v>
      </c>
      <c r="H43" s="36"/>
      <c r="I43" s="37"/>
      <c r="J43" s="37"/>
      <c r="K43" s="38"/>
      <c r="L43" s="38"/>
      <c r="M43" s="38"/>
      <c r="P43" s="507">
        <f>SUM(G41)</f>
        <v>1444.5</v>
      </c>
    </row>
    <row r="44" spans="1:16" ht="27.75" customHeight="1" thickTop="1">
      <c r="A44" s="22"/>
      <c r="B44" s="23" t="s">
        <v>196</v>
      </c>
      <c r="C44" s="24"/>
      <c r="D44" s="525"/>
      <c r="E44" s="32"/>
      <c r="F44" s="33"/>
      <c r="G44" s="35"/>
      <c r="H44" s="36"/>
      <c r="I44" s="37"/>
      <c r="J44" s="37"/>
      <c r="K44" s="38"/>
      <c r="L44" s="38"/>
      <c r="M44" s="38"/>
    </row>
    <row r="45" spans="1:16" s="226" customFormat="1" ht="27.75" customHeight="1">
      <c r="A45" s="94">
        <v>1</v>
      </c>
      <c r="B45" s="181" t="s">
        <v>210</v>
      </c>
      <c r="C45" s="224" t="s">
        <v>211</v>
      </c>
      <c r="D45" s="528">
        <v>22470</v>
      </c>
      <c r="E45" s="87"/>
      <c r="F45" s="116"/>
      <c r="G45" s="47"/>
      <c r="H45" s="39"/>
      <c r="I45" s="55"/>
      <c r="J45" s="55"/>
      <c r="K45" s="56"/>
      <c r="L45" s="56"/>
    </row>
    <row r="46" spans="1:16" s="226" customFormat="1" ht="27.75" customHeight="1">
      <c r="A46" s="94">
        <v>2</v>
      </c>
      <c r="B46" s="41" t="s">
        <v>254</v>
      </c>
      <c r="C46" s="224" t="s">
        <v>255</v>
      </c>
      <c r="D46" s="528"/>
      <c r="E46" s="83" t="s">
        <v>32</v>
      </c>
      <c r="F46" s="116">
        <v>0.93457943925233611</v>
      </c>
      <c r="G46" s="47">
        <v>9630</v>
      </c>
      <c r="H46" s="39"/>
      <c r="I46" s="55"/>
      <c r="J46" s="55"/>
      <c r="K46" s="56"/>
      <c r="L46" s="56"/>
    </row>
    <row r="47" spans="1:16" s="226" customFormat="1" ht="27.75" customHeight="1">
      <c r="A47" s="94">
        <v>3</v>
      </c>
      <c r="B47" s="81" t="s">
        <v>267</v>
      </c>
      <c r="C47" s="224" t="s">
        <v>268</v>
      </c>
      <c r="D47" s="528"/>
      <c r="E47" s="83" t="s">
        <v>32</v>
      </c>
      <c r="F47" s="116">
        <v>0.93457943925233555</v>
      </c>
      <c r="G47" s="47">
        <v>6420</v>
      </c>
      <c r="H47" s="39"/>
      <c r="I47" s="55"/>
      <c r="J47" s="55"/>
      <c r="K47" s="56"/>
      <c r="L47" s="56"/>
    </row>
    <row r="48" spans="1:16" ht="27.75" customHeight="1" thickBot="1">
      <c r="A48" s="22"/>
      <c r="B48" s="194" t="s">
        <v>22</v>
      </c>
      <c r="C48" s="195"/>
      <c r="D48" s="535"/>
      <c r="E48" s="200"/>
      <c r="F48" s="196"/>
      <c r="G48" s="196">
        <v>16050</v>
      </c>
      <c r="H48" s="36"/>
      <c r="I48" s="37"/>
      <c r="J48" s="37"/>
      <c r="K48" s="38"/>
      <c r="L48" s="38"/>
      <c r="M48" s="38"/>
      <c r="P48" s="507">
        <f>SUM(G46:G47)</f>
        <v>16050</v>
      </c>
    </row>
    <row r="49" spans="1:16" ht="27.75" hidden="1" customHeight="1" thickBot="1">
      <c r="A49" s="22"/>
      <c r="B49" s="23" t="s">
        <v>278</v>
      </c>
      <c r="C49" s="24"/>
      <c r="D49" s="525"/>
      <c r="E49" s="32"/>
      <c r="F49" s="33"/>
      <c r="G49" s="35"/>
      <c r="H49" s="36"/>
      <c r="I49" s="37"/>
      <c r="J49" s="37"/>
      <c r="K49" s="38"/>
      <c r="L49" s="38"/>
      <c r="M49" s="38"/>
    </row>
    <row r="50" spans="1:16" ht="27.75" hidden="1" customHeight="1" thickTop="1">
      <c r="A50" s="22">
        <v>1</v>
      </c>
      <c r="B50" s="270" t="s">
        <v>88</v>
      </c>
      <c r="C50" s="271" t="s">
        <v>279</v>
      </c>
      <c r="D50" s="537"/>
      <c r="E50" s="232"/>
      <c r="F50" s="251"/>
      <c r="G50" s="66">
        <v>0</v>
      </c>
      <c r="H50" s="278"/>
      <c r="I50" s="279"/>
      <c r="J50" s="37"/>
      <c r="K50" s="38"/>
      <c r="L50" s="38"/>
      <c r="M50" s="38"/>
    </row>
    <row r="51" spans="1:16" ht="27.75" hidden="1" customHeight="1" thickTop="1">
      <c r="A51" s="22">
        <v>2</v>
      </c>
      <c r="B51" s="280" t="s">
        <v>89</v>
      </c>
      <c r="C51" s="271" t="s">
        <v>279</v>
      </c>
      <c r="D51" s="533"/>
      <c r="E51" s="94"/>
      <c r="F51" s="39"/>
      <c r="G51" s="66">
        <v>0</v>
      </c>
      <c r="H51" s="278"/>
      <c r="I51" s="279"/>
      <c r="J51" s="37"/>
      <c r="K51" s="38"/>
      <c r="L51" s="38"/>
      <c r="M51" s="38"/>
    </row>
    <row r="52" spans="1:16" ht="27.75" hidden="1" customHeight="1" thickTop="1">
      <c r="A52" s="22">
        <v>3</v>
      </c>
      <c r="B52" s="270" t="s">
        <v>280</v>
      </c>
      <c r="C52" s="271" t="s">
        <v>279</v>
      </c>
      <c r="D52" s="533"/>
      <c r="E52" s="94"/>
      <c r="F52" s="39"/>
      <c r="G52" s="66">
        <v>0</v>
      </c>
      <c r="H52" s="278"/>
      <c r="I52" s="279"/>
      <c r="J52" s="37"/>
      <c r="K52" s="38"/>
      <c r="L52" s="38"/>
      <c r="M52" s="38"/>
    </row>
    <row r="53" spans="1:16" ht="27.75" hidden="1" customHeight="1" thickTop="1">
      <c r="A53" s="22">
        <v>4</v>
      </c>
      <c r="B53" s="280" t="s">
        <v>96</v>
      </c>
      <c r="C53" s="271" t="s">
        <v>279</v>
      </c>
      <c r="D53" s="533"/>
      <c r="E53" s="94"/>
      <c r="F53" s="39"/>
      <c r="G53" s="66">
        <v>0</v>
      </c>
      <c r="H53" s="283"/>
      <c r="I53" s="55"/>
      <c r="J53" s="37"/>
      <c r="K53" s="38"/>
      <c r="L53" s="38"/>
      <c r="M53" s="38"/>
    </row>
    <row r="54" spans="1:16" ht="27.75" hidden="1" customHeight="1" thickTop="1">
      <c r="A54" s="22">
        <v>5</v>
      </c>
      <c r="B54" s="280" t="s">
        <v>281</v>
      </c>
      <c r="C54" s="271" t="s">
        <v>279</v>
      </c>
      <c r="D54" s="533"/>
      <c r="E54" s="94"/>
      <c r="F54" s="39"/>
      <c r="G54" s="66">
        <v>0</v>
      </c>
      <c r="H54" s="283"/>
      <c r="I54" s="55"/>
      <c r="J54" s="37"/>
      <c r="K54" s="38"/>
      <c r="L54" s="38"/>
      <c r="M54" s="38"/>
    </row>
    <row r="55" spans="1:16" ht="27.75" hidden="1" customHeight="1" thickTop="1">
      <c r="A55" s="22">
        <v>6</v>
      </c>
      <c r="B55" s="280" t="s">
        <v>282</v>
      </c>
      <c r="C55" s="271" t="s">
        <v>279</v>
      </c>
      <c r="D55" s="533"/>
      <c r="E55" s="94"/>
      <c r="F55" s="39"/>
      <c r="G55" s="66">
        <v>0</v>
      </c>
      <c r="H55" s="283"/>
      <c r="I55" s="37"/>
      <c r="J55" s="37"/>
      <c r="K55" s="38"/>
      <c r="L55" s="38"/>
      <c r="M55" s="38"/>
    </row>
    <row r="56" spans="1:16" ht="27.75" hidden="1" customHeight="1" thickTop="1">
      <c r="A56" s="22">
        <v>7</v>
      </c>
      <c r="B56" s="280" t="s">
        <v>92</v>
      </c>
      <c r="C56" s="271" t="s">
        <v>279</v>
      </c>
      <c r="D56" s="533"/>
      <c r="E56" s="94"/>
      <c r="F56" s="39"/>
      <c r="G56" s="66">
        <v>0</v>
      </c>
      <c r="H56" s="283"/>
      <c r="I56" s="37"/>
      <c r="J56" s="37"/>
      <c r="K56" s="38"/>
      <c r="L56" s="38"/>
      <c r="M56" s="38"/>
    </row>
    <row r="57" spans="1:16" ht="27.75" hidden="1" customHeight="1" thickTop="1">
      <c r="A57" s="22">
        <v>8</v>
      </c>
      <c r="B57" s="280" t="s">
        <v>91</v>
      </c>
      <c r="C57" s="271" t="s">
        <v>279</v>
      </c>
      <c r="D57" s="533"/>
      <c r="E57" s="94"/>
      <c r="F57" s="39"/>
      <c r="G57" s="66">
        <v>0</v>
      </c>
      <c r="H57" s="283"/>
      <c r="I57" s="37"/>
      <c r="J57" s="37"/>
      <c r="K57" s="38"/>
      <c r="L57" s="38"/>
      <c r="M57" s="38"/>
    </row>
    <row r="58" spans="1:16" ht="27.75" hidden="1" customHeight="1" thickTop="1">
      <c r="A58" s="22">
        <v>9</v>
      </c>
      <c r="B58" s="280" t="s">
        <v>236</v>
      </c>
      <c r="C58" s="271" t="s">
        <v>279</v>
      </c>
      <c r="D58" s="533"/>
      <c r="E58" s="94"/>
      <c r="F58" s="39"/>
      <c r="G58" s="66">
        <v>0</v>
      </c>
      <c r="H58" s="283"/>
      <c r="I58" s="37"/>
      <c r="J58" s="37"/>
      <c r="K58" s="38"/>
      <c r="L58" s="38"/>
      <c r="M58" s="38"/>
    </row>
    <row r="59" spans="1:16" ht="27.75" hidden="1" customHeight="1" thickTop="1">
      <c r="A59" s="22">
        <v>10</v>
      </c>
      <c r="B59" s="280" t="s">
        <v>94</v>
      </c>
      <c r="C59" s="280" t="s">
        <v>279</v>
      </c>
      <c r="D59" s="529"/>
      <c r="E59" s="94"/>
      <c r="F59" s="39"/>
      <c r="G59" s="66">
        <v>0</v>
      </c>
      <c r="H59" s="36"/>
      <c r="I59" s="37"/>
      <c r="J59" s="37"/>
      <c r="K59" s="38"/>
      <c r="L59" s="38"/>
      <c r="M59" s="38"/>
    </row>
    <row r="60" spans="1:16" ht="27.75" hidden="1" customHeight="1" thickTop="1">
      <c r="A60" s="22">
        <v>11</v>
      </c>
      <c r="B60" s="270"/>
      <c r="C60" s="285"/>
      <c r="D60" s="537"/>
      <c r="E60" s="232"/>
      <c r="F60" s="251"/>
      <c r="G60" s="66">
        <v>0</v>
      </c>
      <c r="H60" s="36"/>
      <c r="I60" s="37"/>
      <c r="J60" s="37"/>
      <c r="K60" s="38"/>
      <c r="L60" s="38"/>
      <c r="M60" s="38"/>
    </row>
    <row r="61" spans="1:16" ht="27.75" hidden="1" customHeight="1" thickTop="1">
      <c r="A61" s="22"/>
      <c r="B61" s="131" t="s">
        <v>22</v>
      </c>
      <c r="C61" s="132"/>
      <c r="D61" s="531"/>
      <c r="E61" s="139"/>
      <c r="F61" s="133"/>
      <c r="G61" s="136">
        <v>0</v>
      </c>
      <c r="H61" s="36"/>
      <c r="I61" s="37"/>
      <c r="J61" s="37"/>
      <c r="K61" s="38"/>
      <c r="L61" s="38"/>
      <c r="M61" s="38"/>
    </row>
    <row r="62" spans="1:16" ht="27.75" customHeight="1" thickTop="1">
      <c r="A62" s="22"/>
      <c r="B62" s="23" t="s">
        <v>292</v>
      </c>
      <c r="C62" s="24"/>
      <c r="D62" s="525"/>
      <c r="E62" s="32"/>
      <c r="F62" s="33"/>
      <c r="G62" s="35"/>
      <c r="H62" s="36"/>
      <c r="I62" s="37"/>
      <c r="J62" s="37"/>
      <c r="K62" s="38"/>
      <c r="L62" s="38"/>
      <c r="M62" s="38"/>
    </row>
    <row r="63" spans="1:16" ht="27.75" customHeight="1">
      <c r="A63" s="316">
        <v>1</v>
      </c>
      <c r="B63" s="280" t="s">
        <v>294</v>
      </c>
      <c r="C63" s="280" t="s">
        <v>255</v>
      </c>
      <c r="D63" s="526"/>
      <c r="E63" s="320" t="s">
        <v>32</v>
      </c>
      <c r="F63" s="39">
        <v>1</v>
      </c>
      <c r="G63" s="66">
        <v>53.5</v>
      </c>
      <c r="H63" s="36"/>
      <c r="I63" s="37"/>
      <c r="J63" s="37"/>
      <c r="K63" s="38"/>
      <c r="L63" s="38"/>
      <c r="M63" s="38"/>
    </row>
    <row r="64" spans="1:16" ht="27.75" customHeight="1" thickBot="1">
      <c r="A64" s="193"/>
      <c r="B64" s="194"/>
      <c r="C64" s="195"/>
      <c r="D64" s="535"/>
      <c r="E64" s="200"/>
      <c r="F64" s="196"/>
      <c r="G64" s="198">
        <v>53.5</v>
      </c>
      <c r="H64" s="36"/>
      <c r="I64" s="37"/>
      <c r="J64" s="37"/>
      <c r="K64" s="38"/>
      <c r="L64" s="38"/>
      <c r="M64" s="38"/>
      <c r="P64" s="507">
        <f>SUM(G63)</f>
        <v>53.5</v>
      </c>
    </row>
    <row r="65" spans="1:18" ht="27.75" customHeight="1" thickTop="1">
      <c r="A65" s="22"/>
      <c r="B65" s="288" t="s">
        <v>304</v>
      </c>
      <c r="C65" s="289"/>
      <c r="D65" s="538"/>
      <c r="E65" s="94"/>
      <c r="F65" s="39"/>
      <c r="G65" s="294"/>
      <c r="H65" s="36"/>
      <c r="I65" s="37"/>
      <c r="J65" s="37"/>
      <c r="K65" s="38"/>
      <c r="L65" s="38"/>
      <c r="M65" s="38"/>
    </row>
    <row r="66" spans="1:18" ht="27.75" customHeight="1">
      <c r="A66" s="186">
        <v>1</v>
      </c>
      <c r="B66" s="351" t="s">
        <v>66</v>
      </c>
      <c r="C66" s="346" t="s">
        <v>388</v>
      </c>
      <c r="D66" s="540"/>
      <c r="E66" s="94" t="s">
        <v>32</v>
      </c>
      <c r="F66" s="116">
        <v>1</v>
      </c>
      <c r="G66" s="47">
        <v>1760</v>
      </c>
      <c r="H66" s="39" t="s">
        <v>195</v>
      </c>
      <c r="I66" s="55">
        <v>43313</v>
      </c>
      <c r="J66" s="55">
        <v>44408</v>
      </c>
      <c r="K66" s="56">
        <v>11925</v>
      </c>
      <c r="L66" s="349"/>
    </row>
    <row r="67" spans="1:18" ht="27.75" customHeight="1">
      <c r="A67" s="186">
        <v>2</v>
      </c>
      <c r="B67" s="351" t="s">
        <v>66</v>
      </c>
      <c r="C67" s="346" t="s">
        <v>390</v>
      </c>
      <c r="D67" s="540"/>
      <c r="E67" s="94" t="s">
        <v>32</v>
      </c>
      <c r="F67" s="116">
        <v>1</v>
      </c>
      <c r="G67" s="47">
        <v>1760</v>
      </c>
      <c r="H67" s="39"/>
      <c r="I67" s="55"/>
      <c r="J67" s="55"/>
      <c r="K67" s="56"/>
      <c r="L67" s="349"/>
    </row>
    <row r="68" spans="1:18" ht="27.75" customHeight="1">
      <c r="A68" s="186">
        <v>3</v>
      </c>
      <c r="B68" s="351" t="s">
        <v>66</v>
      </c>
      <c r="C68" s="346" t="s">
        <v>391</v>
      </c>
      <c r="D68" s="540"/>
      <c r="E68" s="94" t="s">
        <v>32</v>
      </c>
      <c r="F68" s="116">
        <v>1</v>
      </c>
      <c r="G68" s="47">
        <v>1760</v>
      </c>
      <c r="H68" s="39"/>
      <c r="I68" s="55"/>
      <c r="J68" s="55"/>
      <c r="K68" s="56"/>
      <c r="L68" s="349"/>
    </row>
    <row r="69" spans="1:18" ht="27.75" customHeight="1">
      <c r="A69" s="186">
        <v>4</v>
      </c>
      <c r="B69" s="351" t="s">
        <v>66</v>
      </c>
      <c r="C69" s="346" t="s">
        <v>69</v>
      </c>
      <c r="D69" s="540"/>
      <c r="E69" s="94" t="s">
        <v>32</v>
      </c>
      <c r="F69" s="116">
        <v>1</v>
      </c>
      <c r="G69" s="47">
        <v>2720</v>
      </c>
      <c r="H69" s="39" t="s">
        <v>195</v>
      </c>
      <c r="I69" s="55">
        <v>43313</v>
      </c>
      <c r="J69" s="55">
        <v>44408</v>
      </c>
      <c r="K69" s="56">
        <v>9000</v>
      </c>
      <c r="L69" s="349"/>
    </row>
    <row r="70" spans="1:18" ht="27.75" customHeight="1" thickBot="1">
      <c r="A70" s="357"/>
      <c r="B70" s="358"/>
      <c r="C70" s="359"/>
      <c r="D70" s="541"/>
      <c r="E70" s="106"/>
      <c r="F70" s="107"/>
      <c r="G70" s="363">
        <v>8000</v>
      </c>
      <c r="H70" s="356"/>
      <c r="I70" s="55"/>
      <c r="J70" s="55"/>
      <c r="K70" s="56"/>
      <c r="L70" s="349"/>
      <c r="P70" s="507">
        <f>SUM(G66:G69)</f>
        <v>8000</v>
      </c>
    </row>
    <row r="71" spans="1:18" ht="27.75" customHeight="1" thickTop="1">
      <c r="A71" s="94"/>
      <c r="B71" s="364" t="s">
        <v>395</v>
      </c>
      <c r="C71" s="81"/>
      <c r="D71" s="528"/>
      <c r="E71" s="83"/>
      <c r="F71" s="251"/>
      <c r="G71" s="85"/>
      <c r="H71" s="39"/>
      <c r="I71" s="55"/>
      <c r="J71" s="55"/>
      <c r="K71" s="56"/>
      <c r="L71" s="56"/>
    </row>
    <row r="72" spans="1:18" ht="27.75" customHeight="1">
      <c r="A72" s="94">
        <v>1</v>
      </c>
      <c r="B72" s="366" t="s">
        <v>417</v>
      </c>
      <c r="C72" s="367" t="s">
        <v>418</v>
      </c>
      <c r="D72" s="542">
        <v>34054.370000000003</v>
      </c>
      <c r="E72" s="377"/>
      <c r="F72" s="116"/>
      <c r="G72" s="368"/>
      <c r="H72" s="39" t="s">
        <v>195</v>
      </c>
      <c r="I72" s="55">
        <v>40072</v>
      </c>
      <c r="J72" s="55">
        <v>41167</v>
      </c>
      <c r="K72" s="56">
        <v>132250</v>
      </c>
      <c r="L72" s="378" t="s">
        <v>420</v>
      </c>
    </row>
    <row r="73" spans="1:18" ht="27.75" customHeight="1" thickBot="1">
      <c r="A73" s="193"/>
      <c r="B73" s="194" t="s">
        <v>22</v>
      </c>
      <c r="C73" s="195"/>
      <c r="D73" s="535"/>
      <c r="E73" s="200"/>
      <c r="F73" s="196"/>
      <c r="G73" s="198">
        <v>0</v>
      </c>
      <c r="H73" s="36"/>
      <c r="I73" s="37"/>
      <c r="J73" s="37"/>
      <c r="K73" s="38"/>
      <c r="L73" s="38"/>
      <c r="M73" s="38"/>
    </row>
    <row r="74" spans="1:18" ht="27.75" customHeight="1" thickTop="1">
      <c r="A74" s="22"/>
      <c r="B74" s="288" t="s">
        <v>441</v>
      </c>
      <c r="C74" s="289"/>
      <c r="D74" s="538"/>
      <c r="E74" s="94"/>
      <c r="F74" s="39"/>
      <c r="G74" s="294"/>
      <c r="H74" s="36"/>
      <c r="I74" s="37"/>
      <c r="J74" s="37"/>
      <c r="K74" s="38"/>
      <c r="L74" s="38"/>
      <c r="M74" s="38"/>
    </row>
    <row r="75" spans="1:18" ht="27.75" customHeight="1">
      <c r="A75" s="94">
        <v>1</v>
      </c>
      <c r="B75" s="40" t="s">
        <v>442</v>
      </c>
      <c r="C75" s="206" t="s">
        <v>443</v>
      </c>
      <c r="D75" s="533">
        <v>1088428</v>
      </c>
      <c r="E75" s="387"/>
      <c r="F75" s="116"/>
      <c r="G75" s="376"/>
      <c r="H75" s="39" t="s">
        <v>446</v>
      </c>
      <c r="I75" s="55">
        <v>43952</v>
      </c>
      <c r="J75" s="55">
        <v>44561</v>
      </c>
      <c r="K75" s="56">
        <v>1032500</v>
      </c>
      <c r="L75" s="56" t="s">
        <v>447</v>
      </c>
    </row>
    <row r="76" spans="1:18" ht="27.75" customHeight="1">
      <c r="A76" s="94">
        <v>2</v>
      </c>
      <c r="B76" s="205" t="s">
        <v>451</v>
      </c>
      <c r="C76" s="206" t="s">
        <v>452</v>
      </c>
      <c r="D76" s="526">
        <v>621393</v>
      </c>
      <c r="E76" s="399"/>
      <c r="F76" s="116"/>
      <c r="G76" s="368"/>
      <c r="H76" s="172" t="s">
        <v>456</v>
      </c>
      <c r="I76" s="400" t="s">
        <v>457</v>
      </c>
      <c r="J76" s="400" t="s">
        <v>458</v>
      </c>
      <c r="K76" s="401">
        <v>442600</v>
      </c>
      <c r="L76" s="401" t="s">
        <v>459</v>
      </c>
    </row>
    <row r="77" spans="1:18" ht="27.75" customHeight="1">
      <c r="A77" s="405"/>
      <c r="B77" s="406" t="s">
        <v>22</v>
      </c>
      <c r="C77" s="407"/>
      <c r="D77" s="544"/>
      <c r="E77" s="412"/>
      <c r="F77" s="408"/>
      <c r="G77" s="239"/>
      <c r="H77" s="278"/>
      <c r="I77" s="279"/>
      <c r="J77" s="279"/>
      <c r="K77" s="413"/>
      <c r="L77" s="413"/>
      <c r="M77" s="413"/>
    </row>
    <row r="78" spans="1:18" ht="27.75" customHeight="1" thickBot="1">
      <c r="A78" s="414"/>
      <c r="B78" s="415"/>
      <c r="C78" s="416" t="s">
        <v>468</v>
      </c>
      <c r="D78" s="545"/>
      <c r="E78" s="423"/>
      <c r="F78" s="422"/>
      <c r="G78" s="420">
        <v>50233.067009345781</v>
      </c>
      <c r="H78" s="424"/>
      <c r="I78" s="425"/>
      <c r="J78" s="425"/>
      <c r="K78" s="345"/>
      <c r="L78" s="345"/>
      <c r="M78" s="345"/>
      <c r="Q78" s="521">
        <f>SUM(P9:P77)</f>
        <v>50233.066261682245</v>
      </c>
      <c r="R78" s="4" t="s">
        <v>468</v>
      </c>
    </row>
    <row r="79" spans="1:18" ht="27.75" customHeight="1" thickTop="1">
      <c r="A79" s="426"/>
      <c r="B79" s="4"/>
      <c r="C79" s="295"/>
      <c r="D79" s="546"/>
      <c r="E79" s="433"/>
      <c r="F79" s="427"/>
      <c r="G79" s="430"/>
      <c r="H79" s="424"/>
      <c r="I79" s="425"/>
      <c r="J79" s="425"/>
      <c r="K79" s="345"/>
      <c r="L79" s="345"/>
      <c r="M79" s="345"/>
    </row>
    <row r="80" spans="1:18" ht="27.75" customHeight="1">
      <c r="A80" s="426"/>
      <c r="B80" s="434" t="s">
        <v>469</v>
      </c>
      <c r="C80" s="295"/>
      <c r="D80" s="546"/>
      <c r="E80" s="433"/>
      <c r="F80" s="427"/>
      <c r="G80" s="430"/>
      <c r="H80" s="424"/>
      <c r="I80" s="425"/>
      <c r="J80" s="425"/>
      <c r="K80" s="345"/>
      <c r="L80" s="345"/>
      <c r="M80" s="345"/>
    </row>
    <row r="81" spans="1:15" ht="27.75" customHeight="1">
      <c r="A81" s="435">
        <v>1</v>
      </c>
      <c r="B81" s="436" t="s">
        <v>470</v>
      </c>
      <c r="C81" s="437" t="s">
        <v>471</v>
      </c>
      <c r="D81" s="547"/>
      <c r="E81" s="435" t="s">
        <v>473</v>
      </c>
      <c r="F81" s="444">
        <v>21</v>
      </c>
      <c r="G81" s="17">
        <v>361288.35</v>
      </c>
      <c r="H81" s="251" t="s">
        <v>195</v>
      </c>
      <c r="I81" s="446">
        <v>41883</v>
      </c>
      <c r="J81" s="446">
        <v>42978</v>
      </c>
      <c r="K81" s="447">
        <v>90000</v>
      </c>
      <c r="L81" s="447" t="s">
        <v>474</v>
      </c>
    </row>
    <row r="82" spans="1:15" ht="27.75" customHeight="1">
      <c r="A82" s="435"/>
      <c r="B82" s="436" t="s">
        <v>476</v>
      </c>
      <c r="C82" s="437"/>
      <c r="D82" s="547"/>
      <c r="E82" s="435"/>
      <c r="F82" s="444"/>
      <c r="G82" s="17">
        <v>0</v>
      </c>
      <c r="H82" s="116"/>
      <c r="I82" s="203"/>
      <c r="J82" s="203"/>
      <c r="K82" s="204"/>
      <c r="L82" s="204"/>
    </row>
    <row r="83" spans="1:15" ht="27.75" customHeight="1">
      <c r="A83" s="435"/>
      <c r="B83" s="674" t="s">
        <v>477</v>
      </c>
      <c r="C83" s="675"/>
      <c r="D83" s="548"/>
      <c r="E83" s="435"/>
      <c r="F83" s="444"/>
      <c r="G83" s="17">
        <v>0</v>
      </c>
      <c r="H83" s="116"/>
      <c r="I83" s="203"/>
      <c r="J83" s="203"/>
      <c r="K83" s="204"/>
      <c r="L83" s="204"/>
    </row>
    <row r="84" spans="1:15" ht="27.75" customHeight="1">
      <c r="A84" s="435">
        <v>2</v>
      </c>
      <c r="B84" s="450" t="s">
        <v>470</v>
      </c>
      <c r="C84" s="451" t="s">
        <v>478</v>
      </c>
      <c r="D84" s="549"/>
      <c r="E84" s="435" t="s">
        <v>479</v>
      </c>
      <c r="F84" s="444">
        <v>6</v>
      </c>
      <c r="G84" s="17">
        <v>96700.72</v>
      </c>
      <c r="H84" s="116"/>
      <c r="I84" s="203"/>
      <c r="J84" s="203"/>
      <c r="K84" s="204"/>
      <c r="L84" s="204"/>
    </row>
    <row r="85" spans="1:15" ht="27.75" customHeight="1">
      <c r="A85" s="435">
        <v>3</v>
      </c>
      <c r="B85" s="450" t="s">
        <v>470</v>
      </c>
      <c r="C85" s="451" t="s">
        <v>480</v>
      </c>
      <c r="D85" s="549"/>
      <c r="E85" s="435" t="s">
        <v>481</v>
      </c>
      <c r="F85" s="444">
        <v>16</v>
      </c>
      <c r="G85" s="17">
        <v>285799.45</v>
      </c>
      <c r="H85" s="116"/>
      <c r="I85" s="203"/>
      <c r="J85" s="203"/>
      <c r="K85" s="204"/>
      <c r="L85" s="204"/>
    </row>
    <row r="86" spans="1:15" s="226" customFormat="1" ht="27.75" customHeight="1">
      <c r="A86" s="440">
        <v>4</v>
      </c>
      <c r="B86" s="436" t="s">
        <v>470</v>
      </c>
      <c r="C86" s="453" t="s">
        <v>482</v>
      </c>
      <c r="D86" s="547"/>
      <c r="E86" s="435" t="s">
        <v>483</v>
      </c>
      <c r="F86" s="448" t="s">
        <v>195</v>
      </c>
      <c r="G86" s="17">
        <v>57055.05</v>
      </c>
      <c r="H86" s="39"/>
      <c r="I86" s="55"/>
      <c r="J86" s="55"/>
      <c r="K86" s="141"/>
      <c r="L86" s="141"/>
      <c r="O86" s="4"/>
    </row>
    <row r="87" spans="1:15" s="226" customFormat="1" ht="27.75" customHeight="1">
      <c r="A87" s="440"/>
      <c r="B87" s="676" t="s">
        <v>484</v>
      </c>
      <c r="C87" s="677"/>
      <c r="D87" s="549"/>
      <c r="E87" s="435"/>
      <c r="F87" s="448"/>
      <c r="G87" s="17">
        <v>0</v>
      </c>
      <c r="H87" s="122"/>
      <c r="I87" s="37"/>
      <c r="J87" s="37"/>
      <c r="K87" s="459"/>
      <c r="L87" s="459"/>
      <c r="O87" s="4"/>
    </row>
    <row r="88" spans="1:15" ht="27.75" customHeight="1">
      <c r="A88" s="460">
        <v>5</v>
      </c>
      <c r="B88" s="436" t="s">
        <v>470</v>
      </c>
      <c r="C88" s="461" t="s">
        <v>485</v>
      </c>
      <c r="D88" s="550"/>
      <c r="E88" s="435" t="s">
        <v>486</v>
      </c>
      <c r="F88" s="464" t="s">
        <v>195</v>
      </c>
      <c r="G88" s="17">
        <v>28958.15</v>
      </c>
      <c r="H88" s="36"/>
      <c r="I88" s="37"/>
      <c r="J88" s="37"/>
      <c r="K88" s="38"/>
      <c r="L88" s="38"/>
      <c r="M88" s="38"/>
    </row>
    <row r="89" spans="1:15" ht="27.6" customHeight="1">
      <c r="A89" s="460"/>
      <c r="B89" s="436" t="s">
        <v>488</v>
      </c>
      <c r="C89" s="461"/>
      <c r="D89" s="550"/>
      <c r="E89" s="435"/>
      <c r="F89" s="444"/>
      <c r="G89" s="17"/>
      <c r="H89" s="36"/>
      <c r="I89" s="37"/>
      <c r="J89" s="37"/>
      <c r="K89" s="38"/>
      <c r="L89" s="38"/>
      <c r="M89" s="38"/>
    </row>
    <row r="90" spans="1:15" ht="27.6" customHeight="1">
      <c r="A90" s="460"/>
      <c r="B90" s="674" t="s">
        <v>489</v>
      </c>
      <c r="C90" s="675"/>
      <c r="D90" s="548"/>
      <c r="E90" s="435"/>
      <c r="F90" s="444"/>
      <c r="G90" s="17"/>
      <c r="H90" s="36"/>
      <c r="I90" s="37"/>
      <c r="J90" s="37"/>
      <c r="K90" s="38"/>
      <c r="L90" s="38"/>
      <c r="M90" s="38"/>
    </row>
    <row r="91" spans="1:15" ht="27.75" customHeight="1" thickBot="1">
      <c r="A91" s="465"/>
      <c r="B91" s="466" t="s">
        <v>22</v>
      </c>
      <c r="C91" s="195"/>
      <c r="D91" s="539"/>
      <c r="E91" s="315"/>
      <c r="F91" s="310"/>
      <c r="G91" s="313">
        <v>829801.72000000009</v>
      </c>
      <c r="H91" s="36"/>
      <c r="I91" s="37"/>
      <c r="J91" s="37"/>
      <c r="K91" s="38"/>
      <c r="L91" s="38"/>
      <c r="M91" s="38"/>
    </row>
    <row r="92" spans="1:15" ht="27.75" customHeight="1" thickTop="1">
      <c r="A92" s="468"/>
      <c r="B92" s="469" t="s">
        <v>490</v>
      </c>
      <c r="C92" s="470"/>
      <c r="D92" s="543"/>
      <c r="E92" s="186"/>
      <c r="F92" s="116"/>
      <c r="G92" s="474"/>
      <c r="H92" s="36"/>
      <c r="I92" s="37"/>
      <c r="J92" s="37"/>
      <c r="K92" s="38"/>
      <c r="L92" s="38"/>
      <c r="M92" s="38"/>
    </row>
    <row r="93" spans="1:15" ht="27.75" customHeight="1">
      <c r="A93" s="475">
        <v>1</v>
      </c>
      <c r="B93" s="436" t="s">
        <v>491</v>
      </c>
      <c r="C93" s="437" t="s">
        <v>492</v>
      </c>
      <c r="D93" s="547"/>
      <c r="E93" s="435"/>
      <c r="F93" s="477"/>
      <c r="G93" s="481"/>
      <c r="H93" s="356"/>
      <c r="I93" s="482"/>
      <c r="J93" s="482"/>
      <c r="K93" s="483"/>
      <c r="L93" s="483"/>
    </row>
    <row r="94" spans="1:15" ht="27.75" customHeight="1">
      <c r="A94" s="475"/>
      <c r="B94" s="484" t="s">
        <v>494</v>
      </c>
      <c r="C94" s="437"/>
      <c r="D94" s="547"/>
      <c r="E94" s="435"/>
      <c r="F94" s="477"/>
      <c r="G94" s="481"/>
      <c r="H94" s="485"/>
      <c r="I94" s="486"/>
      <c r="J94" s="486"/>
      <c r="K94" s="487"/>
      <c r="L94" s="487"/>
    </row>
    <row r="95" spans="1:15" ht="27.75" customHeight="1">
      <c r="A95" s="475">
        <v>2</v>
      </c>
      <c r="B95" s="436" t="s">
        <v>495</v>
      </c>
      <c r="C95" s="437" t="s">
        <v>496</v>
      </c>
      <c r="D95" s="547"/>
      <c r="E95" s="435"/>
      <c r="F95" s="477" t="s">
        <v>497</v>
      </c>
      <c r="G95" s="17">
        <v>8214529.25</v>
      </c>
      <c r="H95" s="485"/>
      <c r="I95" s="486"/>
      <c r="J95" s="486"/>
      <c r="K95" s="487"/>
      <c r="L95" s="487"/>
    </row>
    <row r="96" spans="1:15" ht="27.75" customHeight="1">
      <c r="A96" s="405"/>
      <c r="B96" s="234" t="s">
        <v>22</v>
      </c>
      <c r="C96" s="407"/>
      <c r="D96" s="544"/>
      <c r="E96" s="412"/>
      <c r="F96" s="408"/>
      <c r="G96" s="239">
        <v>8214529.25</v>
      </c>
      <c r="H96" s="278"/>
      <c r="I96" s="279"/>
      <c r="J96" s="279"/>
      <c r="K96" s="413"/>
      <c r="L96" s="413"/>
      <c r="M96" s="413"/>
    </row>
    <row r="97" spans="1:13" ht="27.75" customHeight="1">
      <c r="A97" s="426"/>
      <c r="B97" s="4"/>
      <c r="C97" s="295"/>
      <c r="D97" s="546"/>
      <c r="E97" s="433"/>
      <c r="F97" s="427"/>
      <c r="G97" s="430"/>
      <c r="H97" s="424"/>
      <c r="I97" s="425"/>
      <c r="J97" s="425"/>
      <c r="K97" s="345"/>
      <c r="L97" s="345"/>
      <c r="M97" s="345"/>
    </row>
    <row r="98" spans="1:13" ht="27.75" customHeight="1" thickBot="1">
      <c r="A98" s="488"/>
      <c r="B98" s="489" t="s">
        <v>498</v>
      </c>
      <c r="C98" s="490"/>
      <c r="D98" s="551"/>
      <c r="E98" s="495"/>
      <c r="F98" s="496"/>
      <c r="G98" s="493">
        <v>9094564.0370093472</v>
      </c>
      <c r="H98" s="497">
        <v>0</v>
      </c>
      <c r="I98" s="497">
        <v>0</v>
      </c>
      <c r="J98" s="498"/>
      <c r="K98" s="499"/>
      <c r="L98" s="499"/>
      <c r="M98" s="499"/>
    </row>
    <row r="99" spans="1:13" s="226" customFormat="1" ht="27.75" customHeight="1" thickTop="1">
      <c r="A99" s="6"/>
      <c r="B99" s="500"/>
      <c r="D99" s="552"/>
      <c r="E99" s="372"/>
      <c r="F99" s="501"/>
      <c r="G99" s="504"/>
      <c r="H99" s="2"/>
      <c r="I99" s="425"/>
      <c r="J99" s="425"/>
      <c r="K99" s="345"/>
      <c r="L99" s="345"/>
    </row>
    <row r="100" spans="1:13" s="226" customFormat="1" ht="27.75" customHeight="1">
      <c r="A100" s="6"/>
      <c r="B100" s="500"/>
      <c r="D100" s="552"/>
      <c r="E100" s="372"/>
      <c r="F100" s="501"/>
      <c r="G100" s="504"/>
      <c r="H100" s="2"/>
      <c r="I100" s="425"/>
      <c r="J100" s="425"/>
      <c r="K100" s="345"/>
      <c r="L100" s="345"/>
    </row>
    <row r="101" spans="1:13" s="226" customFormat="1" ht="27.75" customHeight="1">
      <c r="A101" s="6"/>
      <c r="B101" s="500"/>
      <c r="D101" s="552"/>
      <c r="E101" s="372"/>
      <c r="F101" s="501"/>
      <c r="G101" s="504"/>
      <c r="H101" s="2"/>
      <c r="I101" s="425"/>
      <c r="J101" s="425"/>
      <c r="K101" s="345"/>
      <c r="L101" s="345"/>
    </row>
    <row r="102" spans="1:13" s="226" customFormat="1" ht="27.75" customHeight="1">
      <c r="A102" s="6"/>
      <c r="B102" s="500"/>
      <c r="D102" s="552"/>
      <c r="E102" s="372"/>
      <c r="F102" s="501"/>
      <c r="G102" s="430"/>
      <c r="H102" s="2"/>
      <c r="I102" s="425"/>
      <c r="J102" s="425"/>
      <c r="K102" s="345"/>
      <c r="L102" s="345"/>
    </row>
    <row r="103" spans="1:13" s="226" customFormat="1" ht="27.75" customHeight="1">
      <c r="A103" s="6"/>
      <c r="B103" s="500"/>
      <c r="D103" s="552"/>
      <c r="E103" s="372"/>
      <c r="F103" s="501"/>
      <c r="G103" s="504"/>
      <c r="H103" s="2"/>
      <c r="I103" s="425"/>
      <c r="J103" s="425"/>
      <c r="K103" s="345"/>
      <c r="L103" s="345"/>
    </row>
    <row r="104" spans="1:13" s="226" customFormat="1" ht="27.75" customHeight="1">
      <c r="A104" s="6"/>
      <c r="B104" s="500"/>
      <c r="D104" s="552"/>
      <c r="E104" s="372"/>
      <c r="F104" s="501"/>
      <c r="G104" s="504"/>
      <c r="H104" s="2"/>
      <c r="I104" s="425"/>
      <c r="J104" s="425"/>
      <c r="K104" s="345"/>
      <c r="L104" s="345"/>
    </row>
    <row r="105" spans="1:13" s="226" customFormat="1" ht="27.75" customHeight="1">
      <c r="A105" s="6"/>
      <c r="B105" s="500"/>
      <c r="D105" s="552"/>
      <c r="E105" s="372"/>
      <c r="F105" s="501"/>
      <c r="G105" s="430"/>
      <c r="H105" s="2"/>
      <c r="I105" s="425"/>
      <c r="J105" s="425"/>
      <c r="K105" s="345"/>
      <c r="L105" s="345"/>
    </row>
    <row r="106" spans="1:13" s="226" customFormat="1" ht="27.75" customHeight="1">
      <c r="A106" s="6"/>
      <c r="B106" s="500"/>
      <c r="D106" s="552"/>
      <c r="E106" s="372"/>
      <c r="F106" s="501"/>
      <c r="G106" s="504"/>
      <c r="H106" s="2"/>
      <c r="I106" s="425"/>
      <c r="J106" s="425"/>
      <c r="K106" s="345"/>
      <c r="L106" s="345"/>
    </row>
    <row r="107" spans="1:13" s="226" customFormat="1" ht="27.75" customHeight="1">
      <c r="A107" s="6"/>
      <c r="B107" s="500"/>
      <c r="D107" s="552"/>
      <c r="E107" s="372"/>
      <c r="F107" s="501"/>
      <c r="G107" s="504"/>
      <c r="H107" s="2"/>
      <c r="I107" s="425"/>
      <c r="J107" s="425"/>
      <c r="K107" s="345"/>
      <c r="L107" s="345"/>
    </row>
    <row r="108" spans="1:13" s="226" customFormat="1" ht="27.75" customHeight="1">
      <c r="A108" s="6"/>
      <c r="B108" s="500"/>
      <c r="D108" s="552"/>
      <c r="E108" s="372"/>
      <c r="F108" s="501"/>
      <c r="G108" s="504"/>
      <c r="H108" s="2"/>
      <c r="I108" s="425"/>
      <c r="J108" s="425"/>
      <c r="K108" s="345"/>
      <c r="L108" s="345"/>
    </row>
    <row r="109" spans="1:13" s="226" customFormat="1" ht="27.75" customHeight="1">
      <c r="A109" s="6"/>
      <c r="B109" s="500"/>
      <c r="D109" s="552"/>
      <c r="E109" s="372"/>
      <c r="F109" s="501"/>
      <c r="G109" s="504"/>
      <c r="H109" s="2"/>
      <c r="I109" s="425"/>
      <c r="J109" s="425"/>
      <c r="K109" s="345"/>
      <c r="L109" s="345"/>
    </row>
    <row r="110" spans="1:13" s="226" customFormat="1" ht="27.75" customHeight="1">
      <c r="A110" s="6"/>
      <c r="B110" s="500"/>
      <c r="D110" s="552"/>
      <c r="E110" s="372"/>
      <c r="F110" s="501"/>
      <c r="G110" s="504"/>
      <c r="H110" s="2"/>
      <c r="I110" s="425"/>
      <c r="J110" s="425"/>
      <c r="K110" s="345"/>
      <c r="L110" s="345"/>
    </row>
    <row r="111" spans="1:13" s="226" customFormat="1" ht="27.75" customHeight="1">
      <c r="A111" s="6"/>
      <c r="B111" s="500"/>
      <c r="D111" s="552"/>
      <c r="E111" s="372"/>
      <c r="F111" s="501"/>
      <c r="G111" s="504"/>
      <c r="H111" s="2"/>
      <c r="I111" s="425"/>
      <c r="J111" s="425"/>
      <c r="K111" s="345"/>
      <c r="L111" s="345"/>
    </row>
    <row r="112" spans="1:13" s="226" customFormat="1" ht="27.75" customHeight="1">
      <c r="A112" s="6"/>
      <c r="B112" s="500"/>
      <c r="D112" s="552"/>
      <c r="E112" s="372"/>
      <c r="F112" s="501"/>
      <c r="G112" s="504"/>
      <c r="H112" s="2"/>
      <c r="I112" s="425"/>
      <c r="J112" s="425"/>
      <c r="K112" s="345"/>
      <c r="L112" s="345"/>
    </row>
    <row r="113" spans="1:12" s="226" customFormat="1" ht="27.75" customHeight="1">
      <c r="A113" s="6"/>
      <c r="B113" s="500"/>
      <c r="D113" s="552"/>
      <c r="E113" s="372"/>
      <c r="F113" s="501"/>
      <c r="G113" s="504"/>
      <c r="H113" s="2"/>
      <c r="I113" s="425"/>
      <c r="J113" s="425"/>
      <c r="K113" s="345"/>
      <c r="L113" s="345"/>
    </row>
    <row r="114" spans="1:12" s="226" customFormat="1" ht="27.75" customHeight="1">
      <c r="A114" s="6"/>
      <c r="B114" s="500"/>
      <c r="D114" s="552"/>
      <c r="E114" s="372"/>
      <c r="F114" s="501"/>
      <c r="G114" s="504"/>
      <c r="H114" s="2"/>
      <c r="I114" s="425"/>
      <c r="J114" s="425"/>
      <c r="K114" s="345"/>
      <c r="L114" s="345"/>
    </row>
    <row r="115" spans="1:12" s="226" customFormat="1" ht="27.75" customHeight="1">
      <c r="A115" s="6"/>
      <c r="D115" s="552"/>
      <c r="E115" s="372"/>
      <c r="F115" s="501"/>
      <c r="G115" s="504"/>
      <c r="H115" s="2"/>
      <c r="I115" s="425"/>
      <c r="J115" s="425"/>
      <c r="K115" s="345"/>
      <c r="L115" s="345"/>
    </row>
    <row r="116" spans="1:12" ht="27.75" customHeight="1">
      <c r="B116" s="4"/>
      <c r="F116" s="4"/>
      <c r="K116" s="4"/>
      <c r="L116" s="4"/>
    </row>
    <row r="117" spans="1:12" ht="27.75" customHeight="1">
      <c r="B117" s="4"/>
      <c r="F117" s="4"/>
      <c r="K117" s="4"/>
      <c r="L117" s="4"/>
    </row>
    <row r="118" spans="1:12" ht="27.75" customHeight="1">
      <c r="B118" s="4"/>
      <c r="F118" s="4"/>
      <c r="K118" s="4"/>
      <c r="L118" s="4"/>
    </row>
    <row r="119" spans="1:12" ht="27.75" customHeight="1">
      <c r="B119" s="4"/>
      <c r="F119" s="4"/>
      <c r="K119" s="4"/>
      <c r="L119" s="4"/>
    </row>
    <row r="120" spans="1:12" ht="27.75" customHeight="1">
      <c r="B120" s="4"/>
      <c r="F120" s="4"/>
      <c r="K120" s="4"/>
      <c r="L120" s="4"/>
    </row>
    <row r="121" spans="1:12" ht="27.75" customHeight="1">
      <c r="B121" s="4"/>
      <c r="F121" s="4"/>
      <c r="K121" s="4"/>
      <c r="L121" s="4"/>
    </row>
    <row r="122" spans="1:12" ht="27.75" customHeight="1">
      <c r="B122" s="4"/>
      <c r="F122" s="4"/>
      <c r="K122" s="4"/>
      <c r="L122" s="4"/>
    </row>
    <row r="123" spans="1:12" ht="27.75" customHeight="1">
      <c r="B123" s="4"/>
      <c r="F123" s="4"/>
      <c r="K123" s="4"/>
      <c r="L123" s="4"/>
    </row>
    <row r="124" spans="1:12" ht="27.75" customHeight="1">
      <c r="B124" s="4"/>
      <c r="F124" s="4"/>
      <c r="K124" s="4"/>
      <c r="L124" s="4"/>
    </row>
    <row r="125" spans="1:12" ht="27.75" customHeight="1">
      <c r="B125" s="4"/>
      <c r="F125" s="4"/>
      <c r="K125" s="4"/>
      <c r="L125" s="4"/>
    </row>
    <row r="126" spans="1:12" ht="27.75" customHeight="1">
      <c r="B126" s="4"/>
      <c r="F126" s="4"/>
      <c r="K126" s="4"/>
      <c r="L126" s="4"/>
    </row>
    <row r="127" spans="1:12" ht="27.75" customHeight="1">
      <c r="B127" s="4"/>
      <c r="F127" s="4"/>
      <c r="K127" s="4"/>
      <c r="L127" s="4"/>
    </row>
    <row r="128" spans="1:12" ht="27.75" customHeight="1">
      <c r="B128" s="4"/>
      <c r="F128" s="4"/>
      <c r="K128" s="4"/>
      <c r="L128" s="4"/>
    </row>
    <row r="129" spans="2:12" ht="27.75" customHeight="1">
      <c r="B129" s="4"/>
      <c r="F129" s="4"/>
      <c r="K129" s="4"/>
      <c r="L129" s="4"/>
    </row>
    <row r="130" spans="2:12" ht="27.75" customHeight="1">
      <c r="B130" s="4"/>
      <c r="F130" s="4"/>
      <c r="K130" s="4"/>
      <c r="L130" s="4"/>
    </row>
    <row r="131" spans="2:12" ht="27.75" customHeight="1">
      <c r="B131" s="4"/>
      <c r="F131" s="4"/>
      <c r="K131" s="4"/>
      <c r="L131" s="4"/>
    </row>
    <row r="143" spans="2:12" s="4" customFormat="1" ht="27.75" customHeight="1">
      <c r="D143" s="552"/>
      <c r="E143" s="372"/>
      <c r="G143" s="507"/>
    </row>
    <row r="144" spans="2:12" s="4" customFormat="1" ht="27.75" customHeight="1">
      <c r="D144" s="552"/>
      <c r="E144" s="372"/>
      <c r="G144" s="507"/>
    </row>
    <row r="145" spans="4:7" s="4" customFormat="1" ht="27.75" customHeight="1">
      <c r="D145" s="552"/>
      <c r="E145" s="372"/>
      <c r="G145" s="507"/>
    </row>
    <row r="146" spans="4:7" s="4" customFormat="1" ht="27.75" customHeight="1">
      <c r="D146" s="552"/>
      <c r="E146" s="372"/>
      <c r="G146" s="507"/>
    </row>
    <row r="147" spans="4:7" s="4" customFormat="1" ht="27.75" customHeight="1">
      <c r="D147" s="552"/>
      <c r="E147" s="372"/>
      <c r="G147" s="507"/>
    </row>
    <row r="148" spans="4:7" s="4" customFormat="1" ht="27.75" customHeight="1">
      <c r="D148" s="552"/>
      <c r="E148" s="372"/>
      <c r="G148" s="507"/>
    </row>
    <row r="149" spans="4:7" s="4" customFormat="1" ht="27.75" customHeight="1">
      <c r="D149" s="552"/>
      <c r="E149" s="372"/>
      <c r="G149" s="507"/>
    </row>
    <row r="150" spans="4:7" s="4" customFormat="1" ht="27.75" customHeight="1">
      <c r="D150" s="552"/>
      <c r="E150" s="372"/>
      <c r="G150" s="507"/>
    </row>
    <row r="151" spans="4:7" s="4" customFormat="1" ht="27.75" customHeight="1">
      <c r="D151" s="552"/>
      <c r="E151" s="372"/>
      <c r="G151" s="507"/>
    </row>
    <row r="152" spans="4:7" s="4" customFormat="1" ht="27.75" customHeight="1">
      <c r="D152" s="552"/>
      <c r="E152" s="372"/>
      <c r="G152" s="507"/>
    </row>
    <row r="153" spans="4:7" s="4" customFormat="1" ht="27.75" customHeight="1">
      <c r="D153" s="552"/>
      <c r="E153" s="372"/>
      <c r="G153" s="507"/>
    </row>
    <row r="154" spans="4:7" s="4" customFormat="1" ht="27.75" customHeight="1">
      <c r="D154" s="552"/>
      <c r="E154" s="372"/>
      <c r="G154" s="507"/>
    </row>
    <row r="155" spans="4:7" s="4" customFormat="1" ht="27.75" customHeight="1">
      <c r="D155" s="552"/>
      <c r="E155" s="372"/>
      <c r="G155" s="507"/>
    </row>
  </sheetData>
  <mergeCells count="17">
    <mergeCell ref="B83:C83"/>
    <mergeCell ref="B87:C87"/>
    <mergeCell ref="B90:C90"/>
    <mergeCell ref="I4:I6"/>
    <mergeCell ref="J4:J6"/>
    <mergeCell ref="K4:K6"/>
    <mergeCell ref="L4:L6"/>
    <mergeCell ref="A5:A6"/>
    <mergeCell ref="B5:B6"/>
    <mergeCell ref="C5:C6"/>
    <mergeCell ref="F5:F6"/>
    <mergeCell ref="A1:G1"/>
    <mergeCell ref="A2:G2"/>
    <mergeCell ref="A3:G3"/>
    <mergeCell ref="E4:G4"/>
    <mergeCell ref="H4:H6"/>
    <mergeCell ref="E5:E6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317F4-7EE2-46BC-BFCE-746B116CE718}">
  <sheetPr>
    <tabColor rgb="FF92D050"/>
  </sheetPr>
  <dimension ref="A1:Q99"/>
  <sheetViews>
    <sheetView zoomScale="60" zoomScaleNormal="60" workbookViewId="0">
      <pane ySplit="6" topLeftCell="A25" activePane="bottomLeft" state="frozen"/>
      <selection pane="bottomLeft" activeCell="F47" sqref="F47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0" style="372" customWidth="1"/>
    <col min="5" max="5" width="9.109375" style="2" customWidth="1"/>
    <col min="6" max="6" width="23.6640625" style="507" customWidth="1"/>
    <col min="7" max="7" width="5.33203125" style="2" hidden="1" customWidth="1"/>
    <col min="8" max="8" width="9" style="508" hidden="1" customWidth="1"/>
    <col min="9" max="9" width="9.6640625" style="508" hidden="1" customWidth="1"/>
    <col min="10" max="10" width="10.88671875" style="512" hidden="1" customWidth="1"/>
    <col min="11" max="11" width="24.5546875" style="512" hidden="1" customWidth="1"/>
    <col min="12" max="13" width="8.88671875" style="4" hidden="1" customWidth="1"/>
    <col min="14" max="14" width="8.88671875" style="4"/>
    <col min="15" max="15" width="19.33203125" style="4" customWidth="1"/>
    <col min="16" max="16" width="9.5546875" style="4" bestFit="1" customWidth="1"/>
    <col min="17" max="16384" width="8.88671875" style="4"/>
  </cols>
  <sheetData>
    <row r="1" spans="1:11" ht="28.5" customHeight="1">
      <c r="A1" s="653" t="s">
        <v>0</v>
      </c>
      <c r="B1" s="653"/>
      <c r="C1" s="653"/>
      <c r="D1" s="653"/>
      <c r="E1" s="653"/>
      <c r="F1" s="653"/>
      <c r="H1" s="3"/>
      <c r="I1" s="3"/>
      <c r="J1" s="1"/>
      <c r="K1" s="1"/>
    </row>
    <row r="2" spans="1:11" ht="23.25" customHeight="1">
      <c r="A2" s="653" t="s">
        <v>1</v>
      </c>
      <c r="B2" s="653"/>
      <c r="C2" s="653"/>
      <c r="D2" s="653"/>
      <c r="E2" s="653"/>
      <c r="F2" s="653"/>
      <c r="G2" s="5"/>
      <c r="H2" s="3"/>
      <c r="I2" s="3"/>
      <c r="J2" s="1"/>
      <c r="K2" s="1"/>
    </row>
    <row r="3" spans="1:11" ht="28.5" customHeight="1">
      <c r="A3" s="654" t="s">
        <v>2</v>
      </c>
      <c r="B3" s="654"/>
      <c r="C3" s="654"/>
      <c r="D3" s="654"/>
      <c r="E3" s="654"/>
      <c r="F3" s="654"/>
      <c r="H3" s="3"/>
      <c r="I3" s="3"/>
      <c r="J3" s="6"/>
      <c r="K3" s="6"/>
    </row>
    <row r="4" spans="1:11" ht="27.75" customHeight="1">
      <c r="A4" s="7"/>
      <c r="B4" s="8"/>
      <c r="C4" s="9"/>
      <c r="D4" s="655" t="s">
        <v>5</v>
      </c>
      <c r="E4" s="656"/>
      <c r="F4" s="657"/>
      <c r="G4" s="658" t="s">
        <v>6</v>
      </c>
      <c r="H4" s="671" t="s">
        <v>7</v>
      </c>
      <c r="I4" s="671" t="s">
        <v>8</v>
      </c>
      <c r="J4" s="661" t="s">
        <v>9</v>
      </c>
      <c r="K4" s="661" t="s">
        <v>10</v>
      </c>
    </row>
    <row r="5" spans="1:11" ht="27.75" customHeight="1">
      <c r="A5" s="664" t="s">
        <v>11</v>
      </c>
      <c r="B5" s="666" t="s">
        <v>12</v>
      </c>
      <c r="C5" s="666" t="s">
        <v>13</v>
      </c>
      <c r="D5" s="664" t="s">
        <v>15</v>
      </c>
      <c r="E5" s="669" t="s">
        <v>16</v>
      </c>
      <c r="F5" s="514"/>
      <c r="G5" s="659"/>
      <c r="H5" s="672"/>
      <c r="I5" s="672"/>
      <c r="J5" s="662"/>
      <c r="K5" s="662"/>
    </row>
    <row r="6" spans="1:11" ht="27.75" customHeight="1" thickBot="1">
      <c r="A6" s="665"/>
      <c r="B6" s="667"/>
      <c r="C6" s="667"/>
      <c r="D6" s="668"/>
      <c r="E6" s="670"/>
      <c r="F6" s="21" t="s">
        <v>22</v>
      </c>
      <c r="G6" s="660"/>
      <c r="H6" s="673"/>
      <c r="I6" s="673"/>
      <c r="J6" s="663"/>
      <c r="K6" s="663"/>
    </row>
    <row r="7" spans="1:11" ht="27.75" customHeight="1" thickTop="1">
      <c r="A7" s="232"/>
      <c r="B7" s="553" t="s">
        <v>596</v>
      </c>
      <c r="C7" s="553"/>
      <c r="F7" s="554"/>
      <c r="G7" s="517"/>
      <c r="H7" s="515"/>
      <c r="I7" s="515"/>
      <c r="J7" s="516"/>
      <c r="K7" s="516"/>
    </row>
    <row r="8" spans="1:11" s="57" customFormat="1" ht="27.75" customHeight="1">
      <c r="A8" s="39">
        <v>1</v>
      </c>
      <c r="B8" s="40" t="s">
        <v>66</v>
      </c>
      <c r="C8" s="41" t="s">
        <v>67</v>
      </c>
      <c r="D8" s="51" t="s">
        <v>32</v>
      </c>
      <c r="E8" s="52">
        <v>1</v>
      </c>
      <c r="F8" s="54">
        <v>12037.5</v>
      </c>
      <c r="G8" s="39"/>
      <c r="H8" s="55"/>
      <c r="I8" s="55"/>
      <c r="J8" s="56"/>
      <c r="K8" s="56"/>
    </row>
    <row r="9" spans="1:11" s="57" customFormat="1" ht="27.75" customHeight="1">
      <c r="A9" s="39">
        <v>2</v>
      </c>
      <c r="B9" s="40" t="s">
        <v>66</v>
      </c>
      <c r="C9" s="41" t="s">
        <v>69</v>
      </c>
      <c r="D9" s="51" t="s">
        <v>32</v>
      </c>
      <c r="E9" s="52">
        <v>1</v>
      </c>
      <c r="F9" s="54">
        <v>4012.5</v>
      </c>
      <c r="G9" s="39"/>
      <c r="H9" s="55"/>
      <c r="I9" s="55"/>
      <c r="J9" s="56"/>
      <c r="K9" s="56"/>
    </row>
    <row r="10" spans="1:11" ht="27.75" customHeight="1">
      <c r="A10" s="39">
        <v>3</v>
      </c>
      <c r="B10" s="40" t="s">
        <v>78</v>
      </c>
      <c r="C10" s="81" t="s">
        <v>72</v>
      </c>
      <c r="D10" s="94" t="s">
        <v>32</v>
      </c>
      <c r="E10" s="116">
        <v>1</v>
      </c>
      <c r="F10" s="54">
        <v>7247.9162616822432</v>
      </c>
      <c r="G10" s="39"/>
      <c r="H10" s="55"/>
      <c r="I10" s="55"/>
      <c r="J10" s="56"/>
      <c r="K10" s="56"/>
    </row>
    <row r="11" spans="1:11" ht="27.75" customHeight="1">
      <c r="A11" s="39">
        <v>4</v>
      </c>
      <c r="B11" s="40" t="s">
        <v>82</v>
      </c>
      <c r="C11" s="41" t="s">
        <v>72</v>
      </c>
      <c r="D11" s="94" t="s">
        <v>32</v>
      </c>
      <c r="E11" s="116">
        <v>1</v>
      </c>
      <c r="F11" s="54">
        <v>905.65000000000055</v>
      </c>
      <c r="G11" s="39"/>
      <c r="H11" s="55"/>
      <c r="I11" s="55"/>
      <c r="J11" s="56"/>
      <c r="K11" s="56"/>
    </row>
    <row r="12" spans="1:11" s="57" customFormat="1" ht="27.75" customHeight="1">
      <c r="A12" s="39">
        <v>5</v>
      </c>
      <c r="B12" s="150" t="s">
        <v>104</v>
      </c>
      <c r="C12" s="140" t="s">
        <v>102</v>
      </c>
      <c r="D12" s="94" t="s">
        <v>32</v>
      </c>
      <c r="E12" s="39">
        <v>1</v>
      </c>
      <c r="F12" s="47">
        <v>321</v>
      </c>
      <c r="G12" s="146"/>
      <c r="H12" s="148"/>
      <c r="I12" s="148"/>
      <c r="J12" s="149"/>
      <c r="K12" s="149"/>
    </row>
    <row r="13" spans="1:11" s="57" customFormat="1" ht="27.75" customHeight="1">
      <c r="A13" s="39">
        <v>6</v>
      </c>
      <c r="B13" s="40" t="s">
        <v>130</v>
      </c>
      <c r="C13" s="140" t="s">
        <v>102</v>
      </c>
      <c r="D13" s="145" t="s">
        <v>32</v>
      </c>
      <c r="E13" s="146">
        <v>1</v>
      </c>
      <c r="F13" s="47">
        <v>160.5</v>
      </c>
      <c r="G13" s="146"/>
      <c r="H13" s="148"/>
      <c r="I13" s="148"/>
      <c r="J13" s="149"/>
      <c r="K13" s="149"/>
    </row>
    <row r="14" spans="1:11" ht="27.75" customHeight="1">
      <c r="A14" s="39">
        <v>7</v>
      </c>
      <c r="B14" s="40" t="s">
        <v>180</v>
      </c>
      <c r="C14" s="41" t="s">
        <v>181</v>
      </c>
      <c r="D14" s="83" t="s">
        <v>32</v>
      </c>
      <c r="E14" s="39">
        <v>1</v>
      </c>
      <c r="F14" s="47">
        <v>1444.5</v>
      </c>
      <c r="G14" s="116"/>
      <c r="H14" s="203"/>
      <c r="I14" s="203"/>
      <c r="J14" s="204"/>
      <c r="K14" s="204"/>
    </row>
    <row r="15" spans="1:11" s="226" customFormat="1" ht="27.75" customHeight="1">
      <c r="A15" s="39">
        <v>8</v>
      </c>
      <c r="B15" s="41" t="s">
        <v>254</v>
      </c>
      <c r="C15" s="224" t="s">
        <v>255</v>
      </c>
      <c r="D15" s="83" t="s">
        <v>32</v>
      </c>
      <c r="E15" s="116">
        <v>0.93457943925233611</v>
      </c>
      <c r="F15" s="47">
        <v>9630</v>
      </c>
      <c r="G15" s="39"/>
      <c r="H15" s="55"/>
      <c r="I15" s="55"/>
      <c r="J15" s="56"/>
      <c r="K15" s="56"/>
    </row>
    <row r="16" spans="1:11" s="226" customFormat="1" ht="27.75" customHeight="1">
      <c r="A16" s="39">
        <v>9</v>
      </c>
      <c r="B16" s="81" t="s">
        <v>267</v>
      </c>
      <c r="C16" s="224" t="s">
        <v>268</v>
      </c>
      <c r="D16" s="83" t="s">
        <v>32</v>
      </c>
      <c r="E16" s="116">
        <v>0.93457943925233555</v>
      </c>
      <c r="F16" s="47">
        <v>6420</v>
      </c>
      <c r="G16" s="39"/>
      <c r="H16" s="55"/>
      <c r="I16" s="55"/>
      <c r="J16" s="56"/>
      <c r="K16" s="56"/>
    </row>
    <row r="17" spans="1:17" ht="27.75" customHeight="1">
      <c r="A17" s="39">
        <v>10</v>
      </c>
      <c r="B17" s="280" t="s">
        <v>294</v>
      </c>
      <c r="C17" s="280" t="s">
        <v>255</v>
      </c>
      <c r="D17" s="320" t="s">
        <v>32</v>
      </c>
      <c r="E17" s="39">
        <v>1</v>
      </c>
      <c r="F17" s="66">
        <v>53.5</v>
      </c>
      <c r="G17" s="36"/>
      <c r="H17" s="37"/>
      <c r="I17" s="37"/>
      <c r="J17" s="38"/>
      <c r="K17" s="38"/>
      <c r="L17" s="38"/>
    </row>
    <row r="18" spans="1:17" ht="27.75" customHeight="1">
      <c r="A18" s="39">
        <v>11</v>
      </c>
      <c r="B18" s="351" t="s">
        <v>66</v>
      </c>
      <c r="C18" s="346" t="s">
        <v>388</v>
      </c>
      <c r="D18" s="94" t="s">
        <v>32</v>
      </c>
      <c r="E18" s="116">
        <v>1</v>
      </c>
      <c r="F18" s="47">
        <v>1760</v>
      </c>
      <c r="G18" s="39" t="s">
        <v>195</v>
      </c>
      <c r="H18" s="55">
        <v>43313</v>
      </c>
      <c r="I18" s="55">
        <v>44408</v>
      </c>
      <c r="J18" s="56">
        <v>11925</v>
      </c>
      <c r="K18" s="349"/>
    </row>
    <row r="19" spans="1:17" ht="27.75" customHeight="1">
      <c r="A19" s="39">
        <v>12</v>
      </c>
      <c r="B19" s="351" t="s">
        <v>66</v>
      </c>
      <c r="C19" s="346" t="s">
        <v>390</v>
      </c>
      <c r="D19" s="94" t="s">
        <v>32</v>
      </c>
      <c r="E19" s="116">
        <v>1</v>
      </c>
      <c r="F19" s="47">
        <v>1760</v>
      </c>
      <c r="G19" s="39"/>
      <c r="H19" s="55"/>
      <c r="I19" s="55"/>
      <c r="J19" s="56"/>
      <c r="K19" s="349"/>
    </row>
    <row r="20" spans="1:17" ht="27.75" customHeight="1">
      <c r="A20" s="39">
        <v>13</v>
      </c>
      <c r="B20" s="351" t="s">
        <v>66</v>
      </c>
      <c r="C20" s="346" t="s">
        <v>391</v>
      </c>
      <c r="D20" s="94" t="s">
        <v>32</v>
      </c>
      <c r="E20" s="116">
        <v>1</v>
      </c>
      <c r="F20" s="47">
        <v>1760</v>
      </c>
      <c r="G20" s="39"/>
      <c r="H20" s="55"/>
      <c r="I20" s="55"/>
      <c r="J20" s="56"/>
      <c r="K20" s="349"/>
    </row>
    <row r="21" spans="1:17" ht="27.75" customHeight="1">
      <c r="A21" s="39">
        <v>14</v>
      </c>
      <c r="B21" s="351" t="s">
        <v>66</v>
      </c>
      <c r="C21" s="346" t="s">
        <v>69</v>
      </c>
      <c r="D21" s="94" t="s">
        <v>32</v>
      </c>
      <c r="E21" s="116">
        <v>1</v>
      </c>
      <c r="F21" s="47">
        <v>2720</v>
      </c>
      <c r="G21" s="39" t="s">
        <v>195</v>
      </c>
      <c r="H21" s="55">
        <v>43313</v>
      </c>
      <c r="I21" s="55">
        <v>44408</v>
      </c>
      <c r="J21" s="56">
        <v>9000</v>
      </c>
      <c r="K21" s="349"/>
    </row>
    <row r="22" spans="1:17" ht="27.75" customHeight="1" thickBot="1">
      <c r="A22" s="414"/>
      <c r="B22" s="415"/>
      <c r="C22" s="416" t="s">
        <v>468</v>
      </c>
      <c r="D22" s="423"/>
      <c r="E22" s="422"/>
      <c r="F22" s="420">
        <f>SUM(F8:F21)</f>
        <v>50233.066261682245</v>
      </c>
      <c r="G22" s="424"/>
      <c r="H22" s="425"/>
      <c r="I22" s="425"/>
      <c r="J22" s="345"/>
      <c r="K22" s="345"/>
      <c r="L22" s="345"/>
      <c r="P22" s="521">
        <v>50233.066261682245</v>
      </c>
      <c r="Q22" s="4" t="s">
        <v>468</v>
      </c>
    </row>
    <row r="23" spans="1:17" ht="27.75" customHeight="1" thickTop="1">
      <c r="A23" s="426"/>
      <c r="B23" s="4"/>
      <c r="C23" s="295"/>
      <c r="D23" s="433"/>
      <c r="E23" s="427"/>
      <c r="F23" s="430"/>
      <c r="G23" s="424"/>
      <c r="H23" s="425"/>
      <c r="I23" s="425"/>
      <c r="J23" s="345"/>
      <c r="K23" s="345"/>
      <c r="L23" s="345"/>
    </row>
    <row r="24" spans="1:17" ht="27.75" customHeight="1">
      <c r="A24" s="426"/>
      <c r="B24" s="434" t="s">
        <v>469</v>
      </c>
      <c r="C24" s="295"/>
      <c r="D24" s="433"/>
      <c r="E24" s="427"/>
      <c r="F24" s="430"/>
      <c r="G24" s="424"/>
      <c r="H24" s="425"/>
      <c r="I24" s="425"/>
      <c r="J24" s="345"/>
      <c r="K24" s="345"/>
      <c r="L24" s="345"/>
    </row>
    <row r="25" spans="1:17" ht="27.75" customHeight="1">
      <c r="A25" s="435">
        <v>1</v>
      </c>
      <c r="B25" s="436" t="s">
        <v>470</v>
      </c>
      <c r="C25" s="437" t="s">
        <v>471</v>
      </c>
      <c r="D25" s="435" t="s">
        <v>473</v>
      </c>
      <c r="E25" s="444">
        <v>21</v>
      </c>
      <c r="F25" s="17">
        <v>361288.35</v>
      </c>
      <c r="G25" s="251" t="s">
        <v>195</v>
      </c>
      <c r="H25" s="446">
        <v>41883</v>
      </c>
      <c r="I25" s="446">
        <v>42978</v>
      </c>
      <c r="J25" s="447">
        <v>90000</v>
      </c>
      <c r="K25" s="447" t="s">
        <v>474</v>
      </c>
    </row>
    <row r="26" spans="1:17" ht="27.75" customHeight="1">
      <c r="A26" s="435"/>
      <c r="B26" s="436" t="s">
        <v>476</v>
      </c>
      <c r="C26" s="437"/>
      <c r="D26" s="435"/>
      <c r="E26" s="444"/>
      <c r="F26" s="17">
        <v>0</v>
      </c>
      <c r="G26" s="116"/>
      <c r="H26" s="203"/>
      <c r="I26" s="203"/>
      <c r="J26" s="204"/>
      <c r="K26" s="204"/>
    </row>
    <row r="27" spans="1:17" ht="27.75" customHeight="1">
      <c r="A27" s="435"/>
      <c r="B27" s="674" t="s">
        <v>477</v>
      </c>
      <c r="C27" s="675"/>
      <c r="D27" s="435"/>
      <c r="E27" s="444"/>
      <c r="F27" s="17">
        <v>0</v>
      </c>
      <c r="G27" s="116"/>
      <c r="H27" s="203"/>
      <c r="I27" s="203"/>
      <c r="J27" s="204"/>
      <c r="K27" s="204"/>
    </row>
    <row r="28" spans="1:17" ht="27.75" customHeight="1">
      <c r="A28" s="435">
        <v>2</v>
      </c>
      <c r="B28" s="450" t="s">
        <v>470</v>
      </c>
      <c r="C28" s="451" t="s">
        <v>478</v>
      </c>
      <c r="D28" s="435" t="s">
        <v>479</v>
      </c>
      <c r="E28" s="444">
        <v>6</v>
      </c>
      <c r="F28" s="17">
        <v>96700.72</v>
      </c>
      <c r="G28" s="116"/>
      <c r="H28" s="203"/>
      <c r="I28" s="203"/>
      <c r="J28" s="204"/>
      <c r="K28" s="204"/>
    </row>
    <row r="29" spans="1:17" ht="27.75" customHeight="1">
      <c r="A29" s="435">
        <v>3</v>
      </c>
      <c r="B29" s="450" t="s">
        <v>470</v>
      </c>
      <c r="C29" s="451" t="s">
        <v>480</v>
      </c>
      <c r="D29" s="435" t="s">
        <v>481</v>
      </c>
      <c r="E29" s="444">
        <v>16</v>
      </c>
      <c r="F29" s="17">
        <v>285799.45</v>
      </c>
      <c r="G29" s="116"/>
      <c r="H29" s="203"/>
      <c r="I29" s="203"/>
      <c r="J29" s="204"/>
      <c r="K29" s="204"/>
    </row>
    <row r="30" spans="1:17" s="226" customFormat="1" ht="27.75" customHeight="1">
      <c r="A30" s="440">
        <v>4</v>
      </c>
      <c r="B30" s="436" t="s">
        <v>470</v>
      </c>
      <c r="C30" s="453" t="s">
        <v>482</v>
      </c>
      <c r="D30" s="435" t="s">
        <v>483</v>
      </c>
      <c r="E30" s="448" t="s">
        <v>195</v>
      </c>
      <c r="F30" s="17">
        <v>57055.05</v>
      </c>
      <c r="G30" s="39"/>
      <c r="H30" s="55"/>
      <c r="I30" s="55"/>
      <c r="J30" s="141"/>
      <c r="K30" s="141"/>
      <c r="N30" s="4"/>
    </row>
    <row r="31" spans="1:17" s="226" customFormat="1" ht="27.75" customHeight="1">
      <c r="A31" s="440"/>
      <c r="B31" s="676" t="s">
        <v>484</v>
      </c>
      <c r="C31" s="677"/>
      <c r="D31" s="435"/>
      <c r="E31" s="448"/>
      <c r="F31" s="17">
        <v>0</v>
      </c>
      <c r="G31" s="122"/>
      <c r="H31" s="37"/>
      <c r="I31" s="37"/>
      <c r="J31" s="459"/>
      <c r="K31" s="459"/>
      <c r="N31" s="4"/>
    </row>
    <row r="32" spans="1:17" ht="27.75" customHeight="1">
      <c r="A32" s="460">
        <v>5</v>
      </c>
      <c r="B32" s="436" t="s">
        <v>470</v>
      </c>
      <c r="C32" s="461" t="s">
        <v>485</v>
      </c>
      <c r="D32" s="435" t="s">
        <v>486</v>
      </c>
      <c r="E32" s="464" t="s">
        <v>195</v>
      </c>
      <c r="F32" s="17">
        <v>28958.15</v>
      </c>
      <c r="G32" s="36"/>
      <c r="H32" s="37"/>
      <c r="I32" s="37"/>
      <c r="J32" s="38"/>
      <c r="K32" s="38"/>
      <c r="L32" s="38"/>
    </row>
    <row r="33" spans="1:12" ht="27.6" customHeight="1">
      <c r="A33" s="460"/>
      <c r="B33" s="436" t="s">
        <v>488</v>
      </c>
      <c r="C33" s="461"/>
      <c r="D33" s="435"/>
      <c r="E33" s="444"/>
      <c r="F33" s="17"/>
      <c r="G33" s="36"/>
      <c r="H33" s="37"/>
      <c r="I33" s="37"/>
      <c r="J33" s="38"/>
      <c r="K33" s="38"/>
      <c r="L33" s="38"/>
    </row>
    <row r="34" spans="1:12" ht="27.6" customHeight="1">
      <c r="A34" s="460"/>
      <c r="B34" s="674" t="s">
        <v>489</v>
      </c>
      <c r="C34" s="675"/>
      <c r="D34" s="435"/>
      <c r="E34" s="444"/>
      <c r="F34" s="17"/>
      <c r="G34" s="36"/>
      <c r="H34" s="37"/>
      <c r="I34" s="37"/>
      <c r="J34" s="38"/>
      <c r="K34" s="38"/>
      <c r="L34" s="38"/>
    </row>
    <row r="35" spans="1:12" ht="27.75" customHeight="1" thickBot="1">
      <c r="A35" s="465"/>
      <c r="B35" s="466" t="s">
        <v>22</v>
      </c>
      <c r="C35" s="195"/>
      <c r="D35" s="315"/>
      <c r="E35" s="310"/>
      <c r="F35" s="313">
        <v>829801.72000000009</v>
      </c>
      <c r="G35" s="36"/>
      <c r="H35" s="37"/>
      <c r="I35" s="37"/>
      <c r="J35" s="38"/>
      <c r="K35" s="38"/>
      <c r="L35" s="38"/>
    </row>
    <row r="36" spans="1:12" ht="27.75" customHeight="1" thickTop="1">
      <c r="A36" s="468"/>
      <c r="B36" s="469" t="s">
        <v>490</v>
      </c>
      <c r="C36" s="470"/>
      <c r="D36" s="186"/>
      <c r="E36" s="116"/>
      <c r="F36" s="474"/>
      <c r="G36" s="36"/>
      <c r="H36" s="37"/>
      <c r="I36" s="37"/>
      <c r="J36" s="38"/>
      <c r="K36" s="38"/>
      <c r="L36" s="38"/>
    </row>
    <row r="37" spans="1:12" ht="27.75" customHeight="1">
      <c r="A37" s="475">
        <v>1</v>
      </c>
      <c r="B37" s="436" t="s">
        <v>491</v>
      </c>
      <c r="C37" s="437" t="s">
        <v>492</v>
      </c>
      <c r="D37" s="435"/>
      <c r="E37" s="477"/>
      <c r="F37" s="481"/>
      <c r="G37" s="356"/>
      <c r="H37" s="482"/>
      <c r="I37" s="482"/>
      <c r="J37" s="483"/>
      <c r="K37" s="483"/>
    </row>
    <row r="38" spans="1:12" ht="27.75" customHeight="1">
      <c r="A38" s="475"/>
      <c r="B38" s="484" t="s">
        <v>494</v>
      </c>
      <c r="C38" s="437"/>
      <c r="D38" s="435"/>
      <c r="E38" s="477"/>
      <c r="F38" s="481"/>
      <c r="G38" s="485"/>
      <c r="H38" s="486"/>
      <c r="I38" s="486"/>
      <c r="J38" s="487"/>
      <c r="K38" s="487"/>
    </row>
    <row r="39" spans="1:12" ht="27.75" customHeight="1">
      <c r="A39" s="475">
        <v>2</v>
      </c>
      <c r="B39" s="436" t="s">
        <v>495</v>
      </c>
      <c r="C39" s="437" t="s">
        <v>496</v>
      </c>
      <c r="D39" s="435"/>
      <c r="E39" s="477" t="s">
        <v>497</v>
      </c>
      <c r="F39" s="17">
        <v>8214529.25</v>
      </c>
      <c r="G39" s="485"/>
      <c r="H39" s="486"/>
      <c r="I39" s="486"/>
      <c r="J39" s="487"/>
      <c r="K39" s="487"/>
    </row>
    <row r="40" spans="1:12" ht="27.75" customHeight="1">
      <c r="A40" s="405"/>
      <c r="B40" s="234" t="s">
        <v>22</v>
      </c>
      <c r="C40" s="407"/>
      <c r="D40" s="412"/>
      <c r="E40" s="408"/>
      <c r="F40" s="239">
        <v>8214529.25</v>
      </c>
      <c r="G40" s="278"/>
      <c r="H40" s="279"/>
      <c r="I40" s="279"/>
      <c r="J40" s="413"/>
      <c r="K40" s="413"/>
      <c r="L40" s="413"/>
    </row>
    <row r="41" spans="1:12" ht="27.75" customHeight="1">
      <c r="A41" s="426"/>
      <c r="B41" s="4"/>
      <c r="C41" s="295"/>
      <c r="D41" s="433"/>
      <c r="E41" s="427"/>
      <c r="F41" s="430"/>
      <c r="G41" s="424"/>
      <c r="H41" s="425"/>
      <c r="I41" s="425"/>
      <c r="J41" s="345"/>
      <c r="K41" s="345"/>
      <c r="L41" s="345"/>
    </row>
    <row r="42" spans="1:12" ht="27.75" customHeight="1" thickBot="1">
      <c r="A42" s="488"/>
      <c r="B42" s="489" t="s">
        <v>498</v>
      </c>
      <c r="C42" s="490"/>
      <c r="D42" s="495"/>
      <c r="E42" s="496"/>
      <c r="F42" s="493">
        <v>9094564.0370093472</v>
      </c>
      <c r="G42" s="497">
        <v>0</v>
      </c>
      <c r="H42" s="497">
        <v>0</v>
      </c>
      <c r="I42" s="498"/>
      <c r="J42" s="499"/>
      <c r="K42" s="499"/>
      <c r="L42" s="499"/>
    </row>
    <row r="43" spans="1:12" s="226" customFormat="1" ht="27.75" customHeight="1" thickTop="1">
      <c r="A43" s="6"/>
      <c r="B43" s="500"/>
      <c r="D43" s="372"/>
      <c r="E43" s="501"/>
      <c r="F43" s="504"/>
      <c r="G43" s="2"/>
      <c r="H43" s="425"/>
      <c r="I43" s="425"/>
      <c r="J43" s="345"/>
      <c r="K43" s="345"/>
    </row>
    <row r="44" spans="1:12" s="226" customFormat="1" ht="27.75" customHeight="1">
      <c r="A44" s="6"/>
      <c r="B44" s="500"/>
      <c r="D44" s="372"/>
      <c r="E44" s="501"/>
      <c r="F44" s="504"/>
      <c r="G44" s="2"/>
      <c r="H44" s="425"/>
      <c r="I44" s="425"/>
      <c r="J44" s="345"/>
      <c r="K44" s="345"/>
    </row>
    <row r="45" spans="1:12" s="226" customFormat="1" ht="27.75" customHeight="1">
      <c r="A45" s="6"/>
      <c r="B45" s="500"/>
      <c r="D45" s="372"/>
      <c r="E45" s="501"/>
      <c r="F45" s="504"/>
      <c r="G45" s="2"/>
      <c r="H45" s="425"/>
      <c r="I45" s="425"/>
      <c r="J45" s="345"/>
      <c r="K45" s="345"/>
    </row>
    <row r="46" spans="1:12" s="226" customFormat="1" ht="27.75" customHeight="1">
      <c r="A46" s="6"/>
      <c r="B46" s="500"/>
      <c r="D46" s="372"/>
      <c r="E46" s="501"/>
      <c r="F46" s="430"/>
      <c r="G46" s="2"/>
      <c r="H46" s="425"/>
      <c r="I46" s="425"/>
      <c r="J46" s="345"/>
      <c r="K46" s="345"/>
    </row>
    <row r="47" spans="1:12" s="226" customFormat="1" ht="27.75" customHeight="1">
      <c r="A47" s="6"/>
      <c r="B47" s="500"/>
      <c r="D47" s="372"/>
      <c r="E47" s="501"/>
      <c r="F47" s="504"/>
      <c r="G47" s="2"/>
      <c r="H47" s="425"/>
      <c r="I47" s="425"/>
      <c r="J47" s="345"/>
      <c r="K47" s="345"/>
    </row>
    <row r="48" spans="1:12" s="226" customFormat="1" ht="27.75" customHeight="1">
      <c r="A48" s="6"/>
      <c r="B48" s="500"/>
      <c r="D48" s="372"/>
      <c r="E48" s="501"/>
      <c r="F48" s="504"/>
      <c r="G48" s="2"/>
      <c r="H48" s="425"/>
      <c r="I48" s="425"/>
      <c r="J48" s="345"/>
      <c r="K48" s="345"/>
    </row>
    <row r="49" spans="1:11" s="226" customFormat="1" ht="27.75" customHeight="1">
      <c r="A49" s="6"/>
      <c r="B49" s="500"/>
      <c r="D49" s="372"/>
      <c r="E49" s="501"/>
      <c r="F49" s="430"/>
      <c r="G49" s="2"/>
      <c r="H49" s="425"/>
      <c r="I49" s="425"/>
      <c r="J49" s="345"/>
      <c r="K49" s="345"/>
    </row>
    <row r="50" spans="1:11" s="226" customFormat="1" ht="27.75" customHeight="1">
      <c r="A50" s="6"/>
      <c r="B50" s="500"/>
      <c r="D50" s="372"/>
      <c r="E50" s="501"/>
      <c r="F50" s="504"/>
      <c r="G50" s="2"/>
      <c r="H50" s="425"/>
      <c r="I50" s="425"/>
      <c r="J50" s="345"/>
      <c r="K50" s="345"/>
    </row>
    <row r="51" spans="1:11" s="226" customFormat="1" ht="27.75" customHeight="1">
      <c r="A51" s="6"/>
      <c r="B51" s="500"/>
      <c r="D51" s="372"/>
      <c r="E51" s="501"/>
      <c r="F51" s="504"/>
      <c r="G51" s="2"/>
      <c r="H51" s="425"/>
      <c r="I51" s="425"/>
      <c r="J51" s="345"/>
      <c r="K51" s="345"/>
    </row>
    <row r="52" spans="1:11" s="226" customFormat="1" ht="27.75" customHeight="1">
      <c r="A52" s="6"/>
      <c r="B52" s="500"/>
      <c r="D52" s="372"/>
      <c r="E52" s="501"/>
      <c r="F52" s="504"/>
      <c r="G52" s="2"/>
      <c r="H52" s="425"/>
      <c r="I52" s="425"/>
      <c r="J52" s="345"/>
      <c r="K52" s="345"/>
    </row>
    <row r="53" spans="1:11" s="226" customFormat="1" ht="27.75" customHeight="1">
      <c r="A53" s="6"/>
      <c r="B53" s="500"/>
      <c r="D53" s="372"/>
      <c r="E53" s="501"/>
      <c r="F53" s="504"/>
      <c r="G53" s="2"/>
      <c r="H53" s="425"/>
      <c r="I53" s="425"/>
      <c r="J53" s="345"/>
      <c r="K53" s="345"/>
    </row>
    <row r="54" spans="1:11" s="226" customFormat="1" ht="27.75" customHeight="1">
      <c r="A54" s="6"/>
      <c r="B54" s="500"/>
      <c r="D54" s="372"/>
      <c r="E54" s="501"/>
      <c r="F54" s="504"/>
      <c r="G54" s="2"/>
      <c r="H54" s="425"/>
      <c r="I54" s="425"/>
      <c r="J54" s="345"/>
      <c r="K54" s="345"/>
    </row>
    <row r="55" spans="1:11" s="226" customFormat="1" ht="27.75" customHeight="1">
      <c r="A55" s="6"/>
      <c r="B55" s="500"/>
      <c r="D55" s="372"/>
      <c r="E55" s="501"/>
      <c r="F55" s="504"/>
      <c r="G55" s="2"/>
      <c r="H55" s="425"/>
      <c r="I55" s="425"/>
      <c r="J55" s="345"/>
      <c r="K55" s="345"/>
    </row>
    <row r="56" spans="1:11" s="226" customFormat="1" ht="27.75" customHeight="1">
      <c r="A56" s="6"/>
      <c r="B56" s="500"/>
      <c r="D56" s="372"/>
      <c r="E56" s="501"/>
      <c r="F56" s="504"/>
      <c r="G56" s="2"/>
      <c r="H56" s="425"/>
      <c r="I56" s="425"/>
      <c r="J56" s="345"/>
      <c r="K56" s="345"/>
    </row>
    <row r="57" spans="1:11" s="226" customFormat="1" ht="27.75" customHeight="1">
      <c r="A57" s="6"/>
      <c r="B57" s="500"/>
      <c r="D57" s="372"/>
      <c r="E57" s="501"/>
      <c r="F57" s="504"/>
      <c r="G57" s="2"/>
      <c r="H57" s="425"/>
      <c r="I57" s="425"/>
      <c r="J57" s="345"/>
      <c r="K57" s="345"/>
    </row>
    <row r="58" spans="1:11" s="226" customFormat="1" ht="27.75" customHeight="1">
      <c r="A58" s="6"/>
      <c r="B58" s="500"/>
      <c r="D58" s="372"/>
      <c r="E58" s="501"/>
      <c r="F58" s="504"/>
      <c r="G58" s="2"/>
      <c r="H58" s="425"/>
      <c r="I58" s="425"/>
      <c r="J58" s="345"/>
      <c r="K58" s="345"/>
    </row>
    <row r="59" spans="1:11" s="226" customFormat="1" ht="27.75" customHeight="1">
      <c r="A59" s="6"/>
      <c r="D59" s="372"/>
      <c r="E59" s="501"/>
      <c r="F59" s="504"/>
      <c r="G59" s="2"/>
      <c r="H59" s="425"/>
      <c r="I59" s="425"/>
      <c r="J59" s="345"/>
      <c r="K59" s="345"/>
    </row>
    <row r="60" spans="1:11" ht="27.75" customHeight="1">
      <c r="B60" s="4"/>
      <c r="E60" s="4"/>
      <c r="J60" s="4"/>
      <c r="K60" s="4"/>
    </row>
    <row r="61" spans="1:11" ht="27.75" customHeight="1">
      <c r="B61" s="4"/>
      <c r="E61" s="4"/>
      <c r="J61" s="4"/>
      <c r="K61" s="4"/>
    </row>
    <row r="62" spans="1:11" ht="27.75" customHeight="1">
      <c r="B62" s="4"/>
      <c r="E62" s="4"/>
      <c r="J62" s="4"/>
      <c r="K62" s="4"/>
    </row>
    <row r="63" spans="1:11" ht="27.75" customHeight="1">
      <c r="B63" s="4"/>
      <c r="E63" s="4"/>
      <c r="J63" s="4"/>
      <c r="K63" s="4"/>
    </row>
    <row r="64" spans="1:11" ht="27.75" customHeight="1">
      <c r="B64" s="4"/>
      <c r="E64" s="4"/>
      <c r="J64" s="4"/>
      <c r="K64" s="4"/>
    </row>
    <row r="65" spans="2:11" ht="27.75" customHeight="1">
      <c r="B65" s="4"/>
      <c r="E65" s="4"/>
      <c r="J65" s="4"/>
      <c r="K65" s="4"/>
    </row>
    <row r="66" spans="2:11" ht="27.75" customHeight="1">
      <c r="B66" s="4"/>
      <c r="E66" s="4"/>
      <c r="J66" s="4"/>
      <c r="K66" s="4"/>
    </row>
    <row r="67" spans="2:11" ht="27.75" customHeight="1">
      <c r="B67" s="4"/>
      <c r="E67" s="4"/>
      <c r="J67" s="4"/>
      <c r="K67" s="4"/>
    </row>
    <row r="68" spans="2:11" ht="27.75" customHeight="1">
      <c r="B68" s="4"/>
      <c r="E68" s="4"/>
      <c r="J68" s="4"/>
      <c r="K68" s="4"/>
    </row>
    <row r="69" spans="2:11" ht="27.75" customHeight="1">
      <c r="B69" s="4"/>
      <c r="E69" s="4"/>
      <c r="J69" s="4"/>
      <c r="K69" s="4"/>
    </row>
    <row r="70" spans="2:11" ht="27.75" customHeight="1">
      <c r="B70" s="4"/>
      <c r="E70" s="4"/>
      <c r="J70" s="4"/>
      <c r="K70" s="4"/>
    </row>
    <row r="71" spans="2:11" ht="27.75" customHeight="1">
      <c r="B71" s="4"/>
      <c r="E71" s="4"/>
      <c r="J71" s="4"/>
      <c r="K71" s="4"/>
    </row>
    <row r="72" spans="2:11" ht="27.75" customHeight="1">
      <c r="B72" s="4"/>
      <c r="E72" s="4"/>
      <c r="J72" s="4"/>
      <c r="K72" s="4"/>
    </row>
    <row r="73" spans="2:11" ht="27.75" customHeight="1">
      <c r="B73" s="4"/>
      <c r="E73" s="4"/>
      <c r="J73" s="4"/>
      <c r="K73" s="4"/>
    </row>
    <row r="74" spans="2:11" ht="27.75" customHeight="1">
      <c r="B74" s="4"/>
      <c r="E74" s="4"/>
      <c r="J74" s="4"/>
      <c r="K74" s="4"/>
    </row>
    <row r="75" spans="2:11" ht="27.75" customHeight="1">
      <c r="B75" s="4"/>
      <c r="E75" s="4"/>
      <c r="J75" s="4"/>
      <c r="K75" s="4"/>
    </row>
    <row r="87" spans="4:6" s="4" customFormat="1" ht="27.75" customHeight="1">
      <c r="D87" s="372"/>
      <c r="F87" s="507"/>
    </row>
    <row r="88" spans="4:6" s="4" customFormat="1" ht="27.75" customHeight="1">
      <c r="D88" s="372"/>
      <c r="F88" s="507"/>
    </row>
    <row r="89" spans="4:6" s="4" customFormat="1" ht="27.75" customHeight="1">
      <c r="D89" s="372"/>
      <c r="F89" s="507"/>
    </row>
    <row r="90" spans="4:6" s="4" customFormat="1" ht="27.75" customHeight="1">
      <c r="D90" s="372"/>
      <c r="F90" s="507"/>
    </row>
    <row r="91" spans="4:6" s="4" customFormat="1" ht="27.75" customHeight="1">
      <c r="D91" s="372"/>
      <c r="F91" s="507"/>
    </row>
    <row r="92" spans="4:6" s="4" customFormat="1" ht="27.75" customHeight="1">
      <c r="D92" s="372"/>
      <c r="F92" s="507"/>
    </row>
    <row r="93" spans="4:6" s="4" customFormat="1" ht="27.75" customHeight="1">
      <c r="D93" s="372"/>
      <c r="F93" s="507"/>
    </row>
    <row r="94" spans="4:6" s="4" customFormat="1" ht="27.75" customHeight="1">
      <c r="D94" s="372"/>
      <c r="F94" s="507"/>
    </row>
    <row r="95" spans="4:6" s="4" customFormat="1" ht="27.75" customHeight="1">
      <c r="D95" s="372"/>
      <c r="F95" s="507"/>
    </row>
    <row r="96" spans="4:6" s="4" customFormat="1" ht="27.75" customHeight="1">
      <c r="D96" s="372"/>
      <c r="F96" s="507"/>
    </row>
    <row r="97" spans="4:6" s="4" customFormat="1" ht="27.75" customHeight="1">
      <c r="D97" s="372"/>
      <c r="F97" s="507"/>
    </row>
    <row r="98" spans="4:6" s="4" customFormat="1" ht="27.75" customHeight="1">
      <c r="D98" s="372"/>
      <c r="F98" s="507"/>
    </row>
    <row r="99" spans="4:6" s="4" customFormat="1" ht="27.75" customHeight="1">
      <c r="D99" s="372"/>
      <c r="F99" s="507"/>
    </row>
  </sheetData>
  <mergeCells count="17">
    <mergeCell ref="B27:C27"/>
    <mergeCell ref="B31:C31"/>
    <mergeCell ref="B34:C34"/>
    <mergeCell ref="I4:I6"/>
    <mergeCell ref="J4:J6"/>
    <mergeCell ref="K4:K6"/>
    <mergeCell ref="A5:A6"/>
    <mergeCell ref="B5:B6"/>
    <mergeCell ref="C5:C6"/>
    <mergeCell ref="D5:D6"/>
    <mergeCell ref="E5:E6"/>
    <mergeCell ref="H4:H6"/>
    <mergeCell ref="A1:F1"/>
    <mergeCell ref="A2:F2"/>
    <mergeCell ref="A3:F3"/>
    <mergeCell ref="D4:F4"/>
    <mergeCell ref="G4:G6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1FDFF-E4EC-43E8-AA3E-320823D0A3F9}">
  <dimension ref="A1:Y328"/>
  <sheetViews>
    <sheetView zoomScale="60" zoomScaleNormal="60" workbookViewId="0">
      <pane ySplit="6" topLeftCell="A255" activePane="bottomLeft" state="frozen"/>
      <selection pane="bottomLeft" activeCell="H124" sqref="H124"/>
    </sheetView>
  </sheetViews>
  <sheetFormatPr defaultColWidth="8.88671875" defaultRowHeight="27"/>
  <cols>
    <col min="1" max="1" width="6.5546875" style="4" customWidth="1"/>
    <col min="2" max="2" width="39" style="350" customWidth="1"/>
    <col min="3" max="3" width="26.88671875" style="4" customWidth="1"/>
    <col min="4" max="4" width="20.5546875" style="510" customWidth="1"/>
    <col min="5" max="5" width="18.88671875" style="511" customWidth="1"/>
    <col min="6" max="6" width="4.88671875" style="506" customWidth="1"/>
    <col min="7" max="7" width="20.109375" style="509" customWidth="1"/>
    <col min="8" max="8" width="18.33203125" style="509" customWidth="1"/>
    <col min="9" max="9" width="21.44140625" style="504" customWidth="1"/>
    <col min="10" max="10" width="21.6640625" style="3" customWidth="1"/>
    <col min="11" max="11" width="24.5546875" style="372" customWidth="1"/>
    <col min="12" max="12" width="22.109375" style="512" customWidth="1"/>
    <col min="13" max="13" width="20" style="372" customWidth="1"/>
    <col min="14" max="14" width="9.109375" style="2" customWidth="1"/>
    <col min="15" max="15" width="24" style="513" customWidth="1"/>
    <col min="16" max="16" width="16.6640625" style="513" customWidth="1"/>
    <col min="17" max="17" width="23.6640625" style="507" customWidth="1"/>
    <col min="18" max="18" width="5.33203125" style="2" hidden="1" customWidth="1"/>
    <col min="19" max="19" width="9" style="508" hidden="1" customWidth="1"/>
    <col min="20" max="20" width="9.6640625" style="508" hidden="1" customWidth="1"/>
    <col min="21" max="21" width="10.88671875" style="512" hidden="1" customWidth="1"/>
    <col min="22" max="22" width="24.5546875" style="512" hidden="1" customWidth="1"/>
    <col min="23" max="24" width="8.88671875" style="4" hidden="1" customWidth="1"/>
    <col min="25" max="16384" width="8.88671875" style="4"/>
  </cols>
  <sheetData>
    <row r="1" spans="1:23" ht="28.5" customHeight="1">
      <c r="A1" s="653" t="s">
        <v>0</v>
      </c>
      <c r="B1" s="653"/>
      <c r="C1" s="653"/>
      <c r="D1" s="653"/>
      <c r="E1" s="653"/>
      <c r="F1" s="653"/>
      <c r="G1" s="653"/>
      <c r="H1" s="653"/>
      <c r="I1" s="653"/>
      <c r="J1" s="653"/>
      <c r="K1" s="653"/>
      <c r="L1" s="653"/>
      <c r="M1" s="653"/>
      <c r="N1" s="653"/>
      <c r="O1" s="653"/>
      <c r="P1" s="653"/>
      <c r="Q1" s="653"/>
      <c r="S1" s="3"/>
      <c r="T1" s="3"/>
      <c r="U1" s="1"/>
      <c r="V1" s="1"/>
    </row>
    <row r="2" spans="1:23" ht="23.25" customHeight="1">
      <c r="A2" s="653" t="s">
        <v>1</v>
      </c>
      <c r="B2" s="653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3"/>
      <c r="R2" s="5"/>
      <c r="S2" s="3"/>
      <c r="T2" s="3"/>
      <c r="U2" s="1"/>
      <c r="V2" s="1"/>
    </row>
    <row r="3" spans="1:23" ht="28.5" customHeight="1">
      <c r="A3" s="654" t="s">
        <v>2</v>
      </c>
      <c r="B3" s="654"/>
      <c r="C3" s="654"/>
      <c r="D3" s="654"/>
      <c r="E3" s="654"/>
      <c r="F3" s="654"/>
      <c r="G3" s="654"/>
      <c r="H3" s="654"/>
      <c r="I3" s="654"/>
      <c r="J3" s="654"/>
      <c r="K3" s="654"/>
      <c r="L3" s="654"/>
      <c r="M3" s="654"/>
      <c r="N3" s="654"/>
      <c r="O3" s="654"/>
      <c r="P3" s="654"/>
      <c r="Q3" s="654"/>
      <c r="S3" s="3"/>
      <c r="T3" s="3"/>
      <c r="U3" s="6"/>
      <c r="V3" s="6"/>
    </row>
    <row r="4" spans="1:23" ht="27.75" customHeight="1">
      <c r="A4" s="7"/>
      <c r="B4" s="8"/>
      <c r="C4" s="9"/>
      <c r="D4" s="10"/>
      <c r="E4" s="655" t="s">
        <v>3</v>
      </c>
      <c r="F4" s="656"/>
      <c r="G4" s="656"/>
      <c r="H4" s="656"/>
      <c r="I4" s="657"/>
      <c r="J4" s="11"/>
      <c r="K4" s="12" t="s">
        <v>4</v>
      </c>
      <c r="L4" s="13"/>
      <c r="M4" s="655" t="s">
        <v>5</v>
      </c>
      <c r="N4" s="656"/>
      <c r="O4" s="656"/>
      <c r="P4" s="656"/>
      <c r="Q4" s="657"/>
      <c r="R4" s="658" t="s">
        <v>6</v>
      </c>
      <c r="S4" s="671" t="s">
        <v>7</v>
      </c>
      <c r="T4" s="671" t="s">
        <v>8</v>
      </c>
      <c r="U4" s="661" t="s">
        <v>9</v>
      </c>
      <c r="V4" s="661" t="s">
        <v>10</v>
      </c>
    </row>
    <row r="5" spans="1:23" ht="27.75" customHeight="1">
      <c r="A5" s="664" t="s">
        <v>11</v>
      </c>
      <c r="B5" s="666" t="s">
        <v>12</v>
      </c>
      <c r="C5" s="666" t="s">
        <v>13</v>
      </c>
      <c r="D5" s="685" t="s">
        <v>14</v>
      </c>
      <c r="E5" s="687" t="s">
        <v>15</v>
      </c>
      <c r="F5" s="689" t="s">
        <v>16</v>
      </c>
      <c r="G5" s="679" t="s">
        <v>17</v>
      </c>
      <c r="H5" s="680"/>
      <c r="I5" s="681"/>
      <c r="J5" s="14" t="s">
        <v>18</v>
      </c>
      <c r="K5" s="691" t="s">
        <v>19</v>
      </c>
      <c r="L5" s="693" t="s">
        <v>20</v>
      </c>
      <c r="M5" s="664" t="s">
        <v>15</v>
      </c>
      <c r="N5" s="669" t="s">
        <v>16</v>
      </c>
      <c r="O5" s="679" t="s">
        <v>17</v>
      </c>
      <c r="P5" s="680"/>
      <c r="Q5" s="681"/>
      <c r="R5" s="659"/>
      <c r="S5" s="672"/>
      <c r="T5" s="672"/>
      <c r="U5" s="662"/>
      <c r="V5" s="662"/>
    </row>
    <row r="6" spans="1:23" ht="27.75" customHeight="1" thickBot="1">
      <c r="A6" s="665"/>
      <c r="B6" s="667"/>
      <c r="C6" s="667"/>
      <c r="D6" s="686"/>
      <c r="E6" s="688"/>
      <c r="F6" s="690"/>
      <c r="G6" s="15" t="s">
        <v>20</v>
      </c>
      <c r="H6" s="16" t="s">
        <v>21</v>
      </c>
      <c r="I6" s="17" t="s">
        <v>22</v>
      </c>
      <c r="J6" s="18"/>
      <c r="K6" s="692"/>
      <c r="L6" s="694"/>
      <c r="M6" s="668"/>
      <c r="N6" s="670"/>
      <c r="O6" s="19" t="s">
        <v>20</v>
      </c>
      <c r="P6" s="20" t="s">
        <v>21</v>
      </c>
      <c r="Q6" s="21" t="s">
        <v>22</v>
      </c>
      <c r="R6" s="660"/>
      <c r="S6" s="673"/>
      <c r="T6" s="673"/>
      <c r="U6" s="663"/>
      <c r="V6" s="663"/>
    </row>
    <row r="7" spans="1:23" ht="27.75" customHeight="1" thickTop="1">
      <c r="A7" s="22"/>
      <c r="B7" s="23" t="s">
        <v>23</v>
      </c>
      <c r="C7" s="24"/>
      <c r="D7" s="25"/>
      <c r="E7" s="26"/>
      <c r="F7" s="27"/>
      <c r="G7" s="28"/>
      <c r="H7" s="28"/>
      <c r="I7" s="28"/>
      <c r="J7" s="29"/>
      <c r="K7" s="30"/>
      <c r="L7" s="31"/>
      <c r="M7" s="32"/>
      <c r="N7" s="33"/>
      <c r="O7" s="34"/>
      <c r="P7" s="34"/>
      <c r="Q7" s="35"/>
      <c r="R7" s="36"/>
      <c r="S7" s="37"/>
      <c r="T7" s="37"/>
      <c r="U7" s="38"/>
      <c r="V7" s="38"/>
      <c r="W7" s="38"/>
    </row>
    <row r="8" spans="1:23" s="57" customFormat="1" ht="27.75" customHeight="1">
      <c r="A8" s="39">
        <v>1</v>
      </c>
      <c r="B8" s="40" t="s">
        <v>24</v>
      </c>
      <c r="C8" s="41" t="s">
        <v>25</v>
      </c>
      <c r="D8" s="42">
        <v>4012.5</v>
      </c>
      <c r="E8" s="43" t="s">
        <v>26</v>
      </c>
      <c r="F8" s="44">
        <v>0</v>
      </c>
      <c r="G8" s="45">
        <v>0</v>
      </c>
      <c r="H8" s="46">
        <v>0</v>
      </c>
      <c r="I8" s="47">
        <v>0</v>
      </c>
      <c r="J8" s="48">
        <v>25082</v>
      </c>
      <c r="K8" s="49" t="s">
        <v>27</v>
      </c>
      <c r="L8" s="50">
        <v>4012.5</v>
      </c>
      <c r="M8" s="51" t="s">
        <v>26</v>
      </c>
      <c r="N8" s="52">
        <v>0</v>
      </c>
      <c r="O8" s="53">
        <v>0</v>
      </c>
      <c r="P8" s="53">
        <f t="shared" ref="P8:P44" si="0">ROUND((O8*0.07),2)</f>
        <v>0</v>
      </c>
      <c r="Q8" s="54">
        <f t="shared" ref="Q8:Q44" si="1">+O8+P8</f>
        <v>0</v>
      </c>
      <c r="R8" s="39"/>
      <c r="S8" s="55"/>
      <c r="T8" s="55"/>
      <c r="U8" s="56"/>
      <c r="V8" s="56"/>
    </row>
    <row r="9" spans="1:23" s="57" customFormat="1" ht="27.75" customHeight="1">
      <c r="A9" s="39">
        <v>2</v>
      </c>
      <c r="B9" s="40" t="s">
        <v>28</v>
      </c>
      <c r="C9" s="41" t="s">
        <v>29</v>
      </c>
      <c r="D9" s="58">
        <v>4012.5</v>
      </c>
      <c r="E9" s="43" t="s">
        <v>26</v>
      </c>
      <c r="F9" s="44">
        <v>0</v>
      </c>
      <c r="G9" s="45">
        <v>0</v>
      </c>
      <c r="H9" s="46">
        <v>0</v>
      </c>
      <c r="I9" s="47">
        <v>0</v>
      </c>
      <c r="J9" s="48" t="s">
        <v>30</v>
      </c>
      <c r="K9" s="49" t="s">
        <v>31</v>
      </c>
      <c r="L9" s="50">
        <v>8025</v>
      </c>
      <c r="M9" s="51" t="s">
        <v>32</v>
      </c>
      <c r="N9" s="52">
        <v>-1</v>
      </c>
      <c r="O9" s="53">
        <f>+(D9*100/107)+G9-(L9*100/107)</f>
        <v>-3750</v>
      </c>
      <c r="P9" s="53">
        <f t="shared" si="0"/>
        <v>-262.5</v>
      </c>
      <c r="Q9" s="54">
        <f t="shared" si="1"/>
        <v>-4012.5</v>
      </c>
      <c r="R9" s="39"/>
      <c r="S9" s="55"/>
      <c r="T9" s="55"/>
      <c r="U9" s="56"/>
      <c r="V9" s="56"/>
    </row>
    <row r="10" spans="1:23" s="57" customFormat="1" ht="27.75" customHeight="1">
      <c r="A10" s="39">
        <v>3</v>
      </c>
      <c r="B10" s="40" t="s">
        <v>24</v>
      </c>
      <c r="C10" s="41" t="s">
        <v>33</v>
      </c>
      <c r="D10" s="58">
        <v>4012.5</v>
      </c>
      <c r="E10" s="43" t="s">
        <v>26</v>
      </c>
      <c r="F10" s="44">
        <v>0</v>
      </c>
      <c r="G10" s="45">
        <v>0</v>
      </c>
      <c r="H10" s="46">
        <v>0</v>
      </c>
      <c r="I10" s="47">
        <v>0</v>
      </c>
      <c r="J10" s="48">
        <v>25082</v>
      </c>
      <c r="K10" s="49" t="s">
        <v>27</v>
      </c>
      <c r="L10" s="50">
        <v>4012.5</v>
      </c>
      <c r="M10" s="51" t="s">
        <v>26</v>
      </c>
      <c r="N10" s="52">
        <v>0</v>
      </c>
      <c r="O10" s="53">
        <f t="shared" ref="O10:O23" si="2">+(D10*100/107)+G10-(L10*100/107)</f>
        <v>0</v>
      </c>
      <c r="P10" s="53">
        <f t="shared" si="0"/>
        <v>0</v>
      </c>
      <c r="Q10" s="54">
        <f t="shared" si="1"/>
        <v>0</v>
      </c>
      <c r="R10" s="39"/>
      <c r="S10" s="55"/>
      <c r="T10" s="55"/>
      <c r="U10" s="56"/>
      <c r="V10" s="56"/>
    </row>
    <row r="11" spans="1:23" s="57" customFormat="1" ht="27.75" customHeight="1">
      <c r="A11" s="39">
        <v>4</v>
      </c>
      <c r="B11" s="40" t="s">
        <v>34</v>
      </c>
      <c r="C11" s="41" t="s">
        <v>35</v>
      </c>
      <c r="D11" s="58">
        <v>4012.5</v>
      </c>
      <c r="E11" s="43" t="s">
        <v>26</v>
      </c>
      <c r="F11" s="44">
        <v>0</v>
      </c>
      <c r="G11" s="45">
        <v>0</v>
      </c>
      <c r="H11" s="46">
        <v>0</v>
      </c>
      <c r="I11" s="47">
        <v>0</v>
      </c>
      <c r="J11" s="48" t="s">
        <v>30</v>
      </c>
      <c r="K11" s="49" t="s">
        <v>31</v>
      </c>
      <c r="L11" s="50">
        <v>8025</v>
      </c>
      <c r="M11" s="51" t="s">
        <v>32</v>
      </c>
      <c r="N11" s="52">
        <v>-1</v>
      </c>
      <c r="O11" s="53">
        <f t="shared" si="2"/>
        <v>-3750</v>
      </c>
      <c r="P11" s="53">
        <f t="shared" si="0"/>
        <v>-262.5</v>
      </c>
      <c r="Q11" s="54">
        <f t="shared" si="1"/>
        <v>-4012.5</v>
      </c>
      <c r="R11" s="39"/>
      <c r="S11" s="55"/>
      <c r="T11" s="55"/>
      <c r="U11" s="56"/>
      <c r="V11" s="56"/>
    </row>
    <row r="12" spans="1:23" s="57" customFormat="1" ht="27.75" customHeight="1">
      <c r="A12" s="39">
        <v>5</v>
      </c>
      <c r="B12" s="40" t="s">
        <v>36</v>
      </c>
      <c r="C12" s="41" t="s">
        <v>37</v>
      </c>
      <c r="D12" s="58">
        <v>4012.5</v>
      </c>
      <c r="E12" s="43" t="s">
        <v>26</v>
      </c>
      <c r="F12" s="44">
        <v>0</v>
      </c>
      <c r="G12" s="45">
        <v>0</v>
      </c>
      <c r="H12" s="46">
        <v>0</v>
      </c>
      <c r="I12" s="47">
        <v>0</v>
      </c>
      <c r="J12" s="48">
        <v>25086</v>
      </c>
      <c r="K12" s="49" t="s">
        <v>38</v>
      </c>
      <c r="L12" s="50">
        <v>4012.5</v>
      </c>
      <c r="M12" s="51" t="s">
        <v>26</v>
      </c>
      <c r="N12" s="52">
        <v>0</v>
      </c>
      <c r="O12" s="53">
        <f t="shared" si="2"/>
        <v>0</v>
      </c>
      <c r="P12" s="53">
        <f t="shared" si="0"/>
        <v>0</v>
      </c>
      <c r="Q12" s="54">
        <f t="shared" si="1"/>
        <v>0</v>
      </c>
      <c r="R12" s="39"/>
      <c r="S12" s="55"/>
      <c r="T12" s="55"/>
      <c r="U12" s="56"/>
      <c r="V12" s="56"/>
    </row>
    <row r="13" spans="1:23" s="57" customFormat="1" ht="27.75" customHeight="1">
      <c r="A13" s="39">
        <v>6</v>
      </c>
      <c r="B13" s="40" t="s">
        <v>34</v>
      </c>
      <c r="C13" s="41" t="s">
        <v>39</v>
      </c>
      <c r="D13" s="58">
        <v>4012.5</v>
      </c>
      <c r="E13" s="43" t="s">
        <v>26</v>
      </c>
      <c r="F13" s="44">
        <v>0</v>
      </c>
      <c r="G13" s="45">
        <v>0</v>
      </c>
      <c r="H13" s="46">
        <v>0</v>
      </c>
      <c r="I13" s="47">
        <v>0</v>
      </c>
      <c r="J13" s="48" t="s">
        <v>30</v>
      </c>
      <c r="K13" s="49" t="s">
        <v>31</v>
      </c>
      <c r="L13" s="50">
        <v>8025</v>
      </c>
      <c r="M13" s="51" t="s">
        <v>32</v>
      </c>
      <c r="N13" s="52">
        <v>-1</v>
      </c>
      <c r="O13" s="53">
        <f t="shared" si="2"/>
        <v>-3750</v>
      </c>
      <c r="P13" s="53">
        <f t="shared" si="0"/>
        <v>-262.5</v>
      </c>
      <c r="Q13" s="54">
        <f t="shared" si="1"/>
        <v>-4012.5</v>
      </c>
      <c r="R13" s="39"/>
      <c r="S13" s="55"/>
      <c r="T13" s="55"/>
      <c r="U13" s="56"/>
      <c r="V13" s="56"/>
    </row>
    <row r="14" spans="1:23" s="57" customFormat="1" ht="27.75" customHeight="1">
      <c r="A14" s="39">
        <v>7</v>
      </c>
      <c r="B14" s="40" t="s">
        <v>40</v>
      </c>
      <c r="C14" s="41" t="s">
        <v>41</v>
      </c>
      <c r="D14" s="58">
        <v>4012.5</v>
      </c>
      <c r="E14" s="43" t="s">
        <v>26</v>
      </c>
      <c r="F14" s="44">
        <v>0</v>
      </c>
      <c r="G14" s="45">
        <v>0</v>
      </c>
      <c r="H14" s="46">
        <v>0</v>
      </c>
      <c r="I14" s="47">
        <v>0</v>
      </c>
      <c r="J14" s="48">
        <v>25083</v>
      </c>
      <c r="K14" s="49" t="s">
        <v>42</v>
      </c>
      <c r="L14" s="50">
        <v>4012.5</v>
      </c>
      <c r="M14" s="51" t="s">
        <v>26</v>
      </c>
      <c r="N14" s="52">
        <v>0</v>
      </c>
      <c r="O14" s="53">
        <f t="shared" si="2"/>
        <v>0</v>
      </c>
      <c r="P14" s="53">
        <f t="shared" si="0"/>
        <v>0</v>
      </c>
      <c r="Q14" s="54">
        <f t="shared" si="1"/>
        <v>0</v>
      </c>
      <c r="R14" s="39"/>
      <c r="S14" s="55"/>
      <c r="T14" s="55"/>
      <c r="U14" s="56"/>
      <c r="V14" s="56"/>
    </row>
    <row r="15" spans="1:23" s="57" customFormat="1" ht="27.75" customHeight="1">
      <c r="A15" s="39">
        <v>8</v>
      </c>
      <c r="B15" s="40" t="s">
        <v>43</v>
      </c>
      <c r="C15" s="41" t="s">
        <v>44</v>
      </c>
      <c r="D15" s="58">
        <v>4012.5</v>
      </c>
      <c r="E15" s="43" t="s">
        <v>45</v>
      </c>
      <c r="F15" s="44">
        <v>0</v>
      </c>
      <c r="G15" s="45">
        <v>0</v>
      </c>
      <c r="H15" s="46">
        <v>0</v>
      </c>
      <c r="I15" s="47">
        <v>0</v>
      </c>
      <c r="J15" s="48">
        <v>25083</v>
      </c>
      <c r="K15" s="49" t="s">
        <v>46</v>
      </c>
      <c r="L15" s="50">
        <v>4012.5</v>
      </c>
      <c r="M15" s="51" t="s">
        <v>45</v>
      </c>
      <c r="N15" s="52">
        <v>0</v>
      </c>
      <c r="O15" s="53">
        <f t="shared" si="2"/>
        <v>0</v>
      </c>
      <c r="P15" s="53">
        <f t="shared" si="0"/>
        <v>0</v>
      </c>
      <c r="Q15" s="54">
        <f t="shared" si="1"/>
        <v>0</v>
      </c>
      <c r="R15" s="39"/>
      <c r="S15" s="55"/>
      <c r="T15" s="55"/>
      <c r="U15" s="56"/>
      <c r="V15" s="56"/>
    </row>
    <row r="16" spans="1:23" s="57" customFormat="1" ht="27.75" customHeight="1">
      <c r="A16" s="39">
        <v>9</v>
      </c>
      <c r="B16" s="40" t="s">
        <v>47</v>
      </c>
      <c r="C16" s="41" t="s">
        <v>48</v>
      </c>
      <c r="D16" s="58">
        <v>4012.5</v>
      </c>
      <c r="E16" s="43" t="s">
        <v>26</v>
      </c>
      <c r="F16" s="44">
        <v>0</v>
      </c>
      <c r="G16" s="45">
        <v>0</v>
      </c>
      <c r="H16" s="46">
        <v>0</v>
      </c>
      <c r="I16" s="47">
        <v>0</v>
      </c>
      <c r="J16" s="48">
        <v>25085</v>
      </c>
      <c r="K16" s="49" t="s">
        <v>49</v>
      </c>
      <c r="L16" s="50">
        <v>4012.5</v>
      </c>
      <c r="M16" s="51" t="s">
        <v>26</v>
      </c>
      <c r="N16" s="52">
        <v>0</v>
      </c>
      <c r="O16" s="53">
        <f t="shared" si="2"/>
        <v>0</v>
      </c>
      <c r="P16" s="53">
        <f t="shared" si="0"/>
        <v>0</v>
      </c>
      <c r="Q16" s="54">
        <f t="shared" si="1"/>
        <v>0</v>
      </c>
      <c r="R16" s="39"/>
      <c r="S16" s="55"/>
      <c r="T16" s="55"/>
      <c r="U16" s="56"/>
      <c r="V16" s="56"/>
    </row>
    <row r="17" spans="1:25" s="57" customFormat="1" ht="27.75" customHeight="1">
      <c r="A17" s="39">
        <v>10</v>
      </c>
      <c r="B17" s="40" t="s">
        <v>50</v>
      </c>
      <c r="C17" s="41" t="s">
        <v>51</v>
      </c>
      <c r="D17" s="58">
        <v>4012.5</v>
      </c>
      <c r="E17" s="43" t="s">
        <v>45</v>
      </c>
      <c r="F17" s="44">
        <v>0</v>
      </c>
      <c r="G17" s="45">
        <v>0</v>
      </c>
      <c r="H17" s="46">
        <v>0</v>
      </c>
      <c r="I17" s="47">
        <v>0</v>
      </c>
      <c r="J17" s="48">
        <v>25086</v>
      </c>
      <c r="K17" s="49" t="s">
        <v>52</v>
      </c>
      <c r="L17" s="50">
        <v>4012.5</v>
      </c>
      <c r="M17" s="51" t="s">
        <v>45</v>
      </c>
      <c r="N17" s="52">
        <v>0</v>
      </c>
      <c r="O17" s="53">
        <f t="shared" si="2"/>
        <v>0</v>
      </c>
      <c r="P17" s="53">
        <f t="shared" si="0"/>
        <v>0</v>
      </c>
      <c r="Q17" s="54">
        <f t="shared" si="1"/>
        <v>0</v>
      </c>
      <c r="R17" s="39"/>
      <c r="S17" s="55"/>
      <c r="T17" s="55"/>
      <c r="U17" s="56"/>
      <c r="V17" s="56"/>
    </row>
    <row r="18" spans="1:25" s="57" customFormat="1" ht="27.75" customHeight="1">
      <c r="A18" s="39">
        <v>11</v>
      </c>
      <c r="B18" s="40" t="s">
        <v>53</v>
      </c>
      <c r="C18" s="41" t="s">
        <v>54</v>
      </c>
      <c r="D18" s="58">
        <v>4012.5</v>
      </c>
      <c r="E18" s="43" t="s">
        <v>45</v>
      </c>
      <c r="F18" s="44">
        <v>0</v>
      </c>
      <c r="G18" s="45">
        <v>0</v>
      </c>
      <c r="H18" s="46">
        <v>0</v>
      </c>
      <c r="I18" s="47">
        <v>0</v>
      </c>
      <c r="J18" s="48">
        <v>25086</v>
      </c>
      <c r="K18" s="59" t="s">
        <v>55</v>
      </c>
      <c r="L18" s="50">
        <v>4012.5</v>
      </c>
      <c r="M18" s="51" t="s">
        <v>45</v>
      </c>
      <c r="N18" s="52">
        <v>0</v>
      </c>
      <c r="O18" s="53">
        <f t="shared" si="2"/>
        <v>0</v>
      </c>
      <c r="P18" s="53">
        <f t="shared" si="0"/>
        <v>0</v>
      </c>
      <c r="Q18" s="54">
        <f t="shared" si="1"/>
        <v>0</v>
      </c>
      <c r="R18" s="39"/>
      <c r="S18" s="55"/>
      <c r="T18" s="55"/>
      <c r="U18" s="56"/>
      <c r="V18" s="56"/>
      <c r="Y18" s="57" t="s">
        <v>56</v>
      </c>
    </row>
    <row r="19" spans="1:25" s="57" customFormat="1" ht="27.75" customHeight="1">
      <c r="A19" s="39">
        <v>12</v>
      </c>
      <c r="B19" s="40" t="s">
        <v>57</v>
      </c>
      <c r="C19" s="41" t="s">
        <v>58</v>
      </c>
      <c r="D19" s="58">
        <v>4012.5</v>
      </c>
      <c r="E19" s="43" t="s">
        <v>26</v>
      </c>
      <c r="F19" s="44">
        <v>0</v>
      </c>
      <c r="G19" s="45">
        <v>0</v>
      </c>
      <c r="H19" s="46">
        <v>0</v>
      </c>
      <c r="I19" s="47">
        <v>0</v>
      </c>
      <c r="J19" s="48">
        <v>25082</v>
      </c>
      <c r="K19" s="49" t="s">
        <v>59</v>
      </c>
      <c r="L19" s="50">
        <v>4012.5</v>
      </c>
      <c r="M19" s="51" t="s">
        <v>26</v>
      </c>
      <c r="N19" s="52">
        <v>0</v>
      </c>
      <c r="O19" s="53">
        <f t="shared" si="2"/>
        <v>0</v>
      </c>
      <c r="P19" s="53">
        <f t="shared" si="0"/>
        <v>0</v>
      </c>
      <c r="Q19" s="54">
        <f t="shared" si="1"/>
        <v>0</v>
      </c>
      <c r="R19" s="39"/>
      <c r="S19" s="55"/>
      <c r="T19" s="55"/>
      <c r="U19" s="56"/>
      <c r="V19" s="56"/>
    </row>
    <row r="20" spans="1:25" s="57" customFormat="1" ht="27.75" customHeight="1">
      <c r="A20" s="39">
        <v>13</v>
      </c>
      <c r="B20" s="40" t="s">
        <v>60</v>
      </c>
      <c r="C20" s="41" t="s">
        <v>61</v>
      </c>
      <c r="D20" s="58">
        <v>4012.5</v>
      </c>
      <c r="E20" s="43" t="s">
        <v>26</v>
      </c>
      <c r="F20" s="44">
        <v>0</v>
      </c>
      <c r="G20" s="45">
        <v>0</v>
      </c>
      <c r="H20" s="46">
        <v>0</v>
      </c>
      <c r="I20" s="47">
        <v>0</v>
      </c>
      <c r="J20" s="48">
        <v>25082</v>
      </c>
      <c r="K20" s="49" t="s">
        <v>62</v>
      </c>
      <c r="L20" s="50">
        <v>4012.5</v>
      </c>
      <c r="M20" s="51" t="s">
        <v>26</v>
      </c>
      <c r="N20" s="52">
        <v>0</v>
      </c>
      <c r="O20" s="53">
        <f t="shared" si="2"/>
        <v>0</v>
      </c>
      <c r="P20" s="53">
        <f t="shared" si="0"/>
        <v>0</v>
      </c>
      <c r="Q20" s="54">
        <f t="shared" si="1"/>
        <v>0</v>
      </c>
      <c r="R20" s="39"/>
      <c r="S20" s="55"/>
      <c r="T20" s="55"/>
      <c r="U20" s="56"/>
      <c r="V20" s="56"/>
    </row>
    <row r="21" spans="1:25" s="57" customFormat="1" ht="27.75" customHeight="1">
      <c r="A21" s="39">
        <v>14</v>
      </c>
      <c r="B21" s="40" t="s">
        <v>63</v>
      </c>
      <c r="C21" s="41" t="s">
        <v>64</v>
      </c>
      <c r="D21" s="58">
        <v>4012.5</v>
      </c>
      <c r="E21" s="43" t="s">
        <v>26</v>
      </c>
      <c r="F21" s="44">
        <v>0</v>
      </c>
      <c r="G21" s="45">
        <v>0</v>
      </c>
      <c r="H21" s="46">
        <v>0</v>
      </c>
      <c r="I21" s="47">
        <v>0</v>
      </c>
      <c r="J21" s="48">
        <v>25086</v>
      </c>
      <c r="K21" s="49" t="s">
        <v>65</v>
      </c>
      <c r="L21" s="50">
        <v>4012.5</v>
      </c>
      <c r="M21" s="51" t="s">
        <v>26</v>
      </c>
      <c r="N21" s="52">
        <v>0</v>
      </c>
      <c r="O21" s="53">
        <f t="shared" si="2"/>
        <v>0</v>
      </c>
      <c r="P21" s="53">
        <f t="shared" si="0"/>
        <v>0</v>
      </c>
      <c r="Q21" s="54">
        <f t="shared" si="1"/>
        <v>0</v>
      </c>
      <c r="R21" s="39"/>
      <c r="S21" s="55"/>
      <c r="T21" s="55"/>
      <c r="U21" s="56"/>
      <c r="V21" s="56"/>
    </row>
    <row r="22" spans="1:25" s="57" customFormat="1" ht="27.75" customHeight="1">
      <c r="A22" s="39">
        <v>15</v>
      </c>
      <c r="B22" s="40" t="s">
        <v>66</v>
      </c>
      <c r="C22" s="41" t="s">
        <v>67</v>
      </c>
      <c r="D22" s="58">
        <v>12037.5</v>
      </c>
      <c r="E22" s="43" t="s">
        <v>26</v>
      </c>
      <c r="F22" s="60">
        <v>0</v>
      </c>
      <c r="G22" s="61">
        <v>0</v>
      </c>
      <c r="H22" s="46">
        <v>0</v>
      </c>
      <c r="I22" s="47">
        <v>0</v>
      </c>
      <c r="J22" s="62">
        <v>25105</v>
      </c>
      <c r="K22" s="49" t="s">
        <v>68</v>
      </c>
      <c r="L22" s="50">
        <v>12037.5</v>
      </c>
      <c r="M22" s="51" t="s">
        <v>26</v>
      </c>
      <c r="N22" s="52">
        <v>0</v>
      </c>
      <c r="O22" s="53">
        <f t="shared" si="2"/>
        <v>0</v>
      </c>
      <c r="P22" s="53">
        <f t="shared" si="0"/>
        <v>0</v>
      </c>
      <c r="Q22" s="54">
        <f t="shared" si="1"/>
        <v>0</v>
      </c>
      <c r="R22" s="39"/>
      <c r="S22" s="55"/>
      <c r="T22" s="55"/>
      <c r="U22" s="56"/>
      <c r="V22" s="56"/>
    </row>
    <row r="23" spans="1:25" s="57" customFormat="1" ht="27.75" customHeight="1">
      <c r="A23" s="39">
        <v>16</v>
      </c>
      <c r="B23" s="40" t="s">
        <v>66</v>
      </c>
      <c r="C23" s="41" t="s">
        <v>69</v>
      </c>
      <c r="D23" s="63">
        <v>4012.5</v>
      </c>
      <c r="E23" s="64" t="s">
        <v>26</v>
      </c>
      <c r="F23" s="44">
        <v>0</v>
      </c>
      <c r="G23" s="45">
        <v>0</v>
      </c>
      <c r="H23" s="65">
        <v>0</v>
      </c>
      <c r="I23" s="66">
        <v>0</v>
      </c>
      <c r="J23" s="62"/>
      <c r="K23" s="49" t="s">
        <v>70</v>
      </c>
      <c r="L23" s="50">
        <v>4012.5</v>
      </c>
      <c r="M23" s="51" t="s">
        <v>26</v>
      </c>
      <c r="N23" s="52">
        <v>0</v>
      </c>
      <c r="O23" s="53">
        <f t="shared" si="2"/>
        <v>0</v>
      </c>
      <c r="P23" s="53">
        <f t="shared" si="0"/>
        <v>0</v>
      </c>
      <c r="Q23" s="54">
        <f t="shared" si="1"/>
        <v>0</v>
      </c>
      <c r="R23" s="39"/>
      <c r="S23" s="55"/>
      <c r="T23" s="55"/>
      <c r="U23" s="56"/>
      <c r="V23" s="56"/>
    </row>
    <row r="24" spans="1:25" s="57" customFormat="1" ht="35.25" customHeight="1" thickBot="1">
      <c r="A24" s="67"/>
      <c r="B24" s="68" t="s">
        <v>22</v>
      </c>
      <c r="C24" s="69"/>
      <c r="D24" s="70">
        <f>SUM(D8:D23)</f>
        <v>72225</v>
      </c>
      <c r="E24" s="71"/>
      <c r="F24" s="72"/>
      <c r="G24" s="73">
        <v>0</v>
      </c>
      <c r="H24" s="73">
        <v>0</v>
      </c>
      <c r="I24" s="73">
        <v>0</v>
      </c>
      <c r="J24" s="74"/>
      <c r="K24" s="75"/>
      <c r="L24" s="76">
        <f>SUM(L8:L23)</f>
        <v>84262.5</v>
      </c>
      <c r="M24" s="77"/>
      <c r="N24" s="78"/>
      <c r="O24" s="79">
        <v>0</v>
      </c>
      <c r="P24" s="79">
        <v>0</v>
      </c>
      <c r="Q24" s="79">
        <v>0</v>
      </c>
      <c r="R24" s="39"/>
      <c r="S24" s="55"/>
      <c r="T24" s="55"/>
      <c r="U24" s="56"/>
      <c r="V24" s="56"/>
    </row>
    <row r="25" spans="1:25" s="91" customFormat="1" ht="27.75" customHeight="1" thickTop="1">
      <c r="A25" s="39">
        <v>1</v>
      </c>
      <c r="B25" s="80" t="s">
        <v>71</v>
      </c>
      <c r="C25" s="81" t="s">
        <v>72</v>
      </c>
      <c r="D25" s="82">
        <v>13375</v>
      </c>
      <c r="E25" s="83" t="s">
        <v>73</v>
      </c>
      <c r="F25" s="84">
        <v>-0.5</v>
      </c>
      <c r="G25" s="85">
        <v>-6250</v>
      </c>
      <c r="H25" s="46">
        <v>-437.5</v>
      </c>
      <c r="I25" s="85">
        <v>-6687.5</v>
      </c>
      <c r="J25" s="48">
        <v>45923</v>
      </c>
      <c r="K25" s="49" t="s">
        <v>74</v>
      </c>
      <c r="L25" s="86">
        <v>13375</v>
      </c>
      <c r="M25" s="87" t="s">
        <v>75</v>
      </c>
      <c r="N25" s="88">
        <v>-0.5</v>
      </c>
      <c r="O25" s="89">
        <f>+(D25*100/107)+G25-(L25*100/107)</f>
        <v>-6250</v>
      </c>
      <c r="P25" s="89">
        <f t="shared" ref="P25" si="3">ROUND((O25*0.07),2)</f>
        <v>-437.5</v>
      </c>
      <c r="Q25" s="90">
        <f t="shared" ref="Q25" si="4">+O25+P25</f>
        <v>-6687.5</v>
      </c>
      <c r="R25" s="39"/>
      <c r="S25" s="55"/>
      <c r="T25" s="55"/>
      <c r="U25" s="58"/>
      <c r="V25" s="58"/>
    </row>
    <row r="26" spans="1:25" s="57" customFormat="1" ht="27.75" customHeight="1">
      <c r="A26" s="39">
        <v>2</v>
      </c>
      <c r="B26" s="92" t="s">
        <v>76</v>
      </c>
      <c r="C26" s="41" t="s">
        <v>72</v>
      </c>
      <c r="D26" s="58">
        <v>1605</v>
      </c>
      <c r="E26" s="43" t="s">
        <v>45</v>
      </c>
      <c r="F26" s="60">
        <v>0</v>
      </c>
      <c r="G26" s="47">
        <v>0</v>
      </c>
      <c r="H26" s="46">
        <v>0</v>
      </c>
      <c r="I26" s="47">
        <v>0</v>
      </c>
      <c r="J26" s="62">
        <v>45905</v>
      </c>
      <c r="K26" s="49" t="s">
        <v>77</v>
      </c>
      <c r="L26" s="93">
        <v>1605</v>
      </c>
      <c r="M26" s="94" t="s">
        <v>45</v>
      </c>
      <c r="N26" s="95">
        <v>0</v>
      </c>
      <c r="O26" s="53">
        <f>+(D26*100/107)+G26-(L26*100/107)</f>
        <v>0</v>
      </c>
      <c r="P26" s="53">
        <f t="shared" si="0"/>
        <v>0</v>
      </c>
      <c r="Q26" s="54">
        <f t="shared" si="1"/>
        <v>0</v>
      </c>
      <c r="R26" s="39"/>
      <c r="S26" s="55"/>
      <c r="T26" s="55"/>
      <c r="U26" s="58"/>
      <c r="V26" s="58"/>
    </row>
    <row r="27" spans="1:25" s="57" customFormat="1" ht="27.75" customHeight="1" thickBot="1">
      <c r="A27" s="96"/>
      <c r="B27" s="97" t="s">
        <v>22</v>
      </c>
      <c r="C27" s="98"/>
      <c r="D27" s="99">
        <f>SUM(D25:D26)</f>
        <v>14980</v>
      </c>
      <c r="E27" s="100"/>
      <c r="F27" s="101"/>
      <c r="G27" s="102"/>
      <c r="H27" s="102"/>
      <c r="I27" s="102"/>
      <c r="J27" s="103"/>
      <c r="K27" s="104"/>
      <c r="L27" s="105">
        <f>SUM(L25:L26)</f>
        <v>14980</v>
      </c>
      <c r="M27" s="106"/>
      <c r="N27" s="107"/>
      <c r="O27" s="108"/>
      <c r="P27" s="108"/>
      <c r="Q27" s="109"/>
      <c r="R27" s="39"/>
      <c r="S27" s="55"/>
      <c r="T27" s="55"/>
      <c r="U27" s="56"/>
      <c r="V27" s="56"/>
    </row>
    <row r="28" spans="1:25" ht="27.75" customHeight="1" thickTop="1">
      <c r="A28" s="39">
        <v>1</v>
      </c>
      <c r="B28" s="40" t="s">
        <v>78</v>
      </c>
      <c r="C28" s="81" t="s">
        <v>72</v>
      </c>
      <c r="D28" s="110">
        <v>2564.58</v>
      </c>
      <c r="E28" s="111" t="s">
        <v>79</v>
      </c>
      <c r="F28" s="112">
        <v>1</v>
      </c>
      <c r="G28" s="61">
        <v>5756.802990654206</v>
      </c>
      <c r="H28" s="46">
        <v>402.98</v>
      </c>
      <c r="I28" s="47">
        <v>6159.7829906542065</v>
      </c>
      <c r="J28" s="113" t="s">
        <v>80</v>
      </c>
      <c r="K28" s="114" t="s">
        <v>81</v>
      </c>
      <c r="L28" s="115">
        <v>8724.36</v>
      </c>
      <c r="M28" s="94"/>
      <c r="N28" s="116"/>
      <c r="O28" s="53">
        <f>+(D28*100/107)+G28-(L28*100/107)</f>
        <v>-7.4766355101019144E-4</v>
      </c>
      <c r="P28" s="53">
        <f t="shared" ref="P28:P30" si="5">ROUND((O28*0.07),2)</f>
        <v>0</v>
      </c>
      <c r="Q28" s="54">
        <f t="shared" ref="Q28:Q30" si="6">+O28+P28</f>
        <v>-7.4766355101019144E-4</v>
      </c>
      <c r="R28" s="39"/>
      <c r="S28" s="55"/>
      <c r="T28" s="55"/>
      <c r="U28" s="56"/>
      <c r="V28" s="56"/>
    </row>
    <row r="29" spans="1:25" ht="27.75" customHeight="1">
      <c r="A29" s="39">
        <v>2</v>
      </c>
      <c r="B29" s="40" t="s">
        <v>82</v>
      </c>
      <c r="C29" s="41" t="s">
        <v>72</v>
      </c>
      <c r="D29" s="110">
        <v>308.16000000000003</v>
      </c>
      <c r="E29" s="111" t="s">
        <v>79</v>
      </c>
      <c r="F29" s="112">
        <v>1</v>
      </c>
      <c r="G29" s="61">
        <v>1094.4000000000005</v>
      </c>
      <c r="H29" s="46">
        <v>76.61</v>
      </c>
      <c r="I29" s="47">
        <v>1171.0100000000004</v>
      </c>
      <c r="J29" s="113" t="s">
        <v>83</v>
      </c>
      <c r="K29" s="114" t="s">
        <v>84</v>
      </c>
      <c r="L29" s="115">
        <v>1479.17</v>
      </c>
      <c r="M29" s="94"/>
      <c r="N29" s="116"/>
      <c r="O29" s="53">
        <f>+(D29*100/107)+G29-(L29*100/107)</f>
        <v>-1.869158877980226E-3</v>
      </c>
      <c r="P29" s="53">
        <f t="shared" si="5"/>
        <v>0</v>
      </c>
      <c r="Q29" s="54">
        <f t="shared" si="6"/>
        <v>-1.869158877980226E-3</v>
      </c>
      <c r="R29" s="39"/>
      <c r="S29" s="55"/>
      <c r="T29" s="55"/>
      <c r="U29" s="56"/>
      <c r="V29" s="56"/>
    </row>
    <row r="30" spans="1:25" ht="27.75" customHeight="1">
      <c r="A30" s="39">
        <v>3</v>
      </c>
      <c r="B30" s="40" t="s">
        <v>85</v>
      </c>
      <c r="C30" s="41" t="s">
        <v>72</v>
      </c>
      <c r="D30" s="110">
        <v>10000</v>
      </c>
      <c r="E30" s="111" t="s">
        <v>79</v>
      </c>
      <c r="F30" s="112">
        <v>1</v>
      </c>
      <c r="G30" s="61">
        <v>9345.7951401869141</v>
      </c>
      <c r="H30" s="46">
        <v>654.21</v>
      </c>
      <c r="I30" s="47">
        <v>10000.005140186913</v>
      </c>
      <c r="J30" s="117" t="s">
        <v>86</v>
      </c>
      <c r="K30" s="118" t="s">
        <v>87</v>
      </c>
      <c r="L30" s="119">
        <v>20000</v>
      </c>
      <c r="M30" s="94"/>
      <c r="N30" s="116"/>
      <c r="O30" s="53">
        <f>+(D30*100/107)+G30-(L30*100/107)</f>
        <v>7.4766354737221263E-4</v>
      </c>
      <c r="P30" s="53">
        <f t="shared" si="5"/>
        <v>0</v>
      </c>
      <c r="Q30" s="54">
        <f t="shared" si="6"/>
        <v>7.4766354737221263E-4</v>
      </c>
      <c r="R30" s="39"/>
      <c r="S30" s="55"/>
      <c r="T30" s="55"/>
      <c r="U30" s="56"/>
      <c r="V30" s="56"/>
    </row>
    <row r="31" spans="1:25" s="57" customFormat="1" ht="27.75" customHeight="1" thickBot="1">
      <c r="A31" s="96"/>
      <c r="B31" s="97" t="s">
        <v>22</v>
      </c>
      <c r="C31" s="98"/>
      <c r="D31" s="99">
        <f>SUM(D28:D30)</f>
        <v>12872.74</v>
      </c>
      <c r="E31" s="100"/>
      <c r="F31" s="101"/>
      <c r="G31" s="102">
        <f>SUM(G28:G30)</f>
        <v>16196.998130841121</v>
      </c>
      <c r="H31" s="102">
        <f t="shared" ref="H31:I31" si="7">SUM(H28:H30)</f>
        <v>1133.8000000000002</v>
      </c>
      <c r="I31" s="102">
        <f t="shared" si="7"/>
        <v>17330.798130841118</v>
      </c>
      <c r="J31" s="103"/>
      <c r="K31" s="104"/>
      <c r="L31" s="105">
        <f>SUM(L28+L29+L30)</f>
        <v>30203.53</v>
      </c>
      <c r="M31" s="106"/>
      <c r="N31" s="107"/>
      <c r="O31" s="108">
        <f>SUM(O28:O30)</f>
        <v>-1.8691588816182048E-3</v>
      </c>
      <c r="P31" s="108">
        <f t="shared" si="0"/>
        <v>0</v>
      </c>
      <c r="Q31" s="108">
        <f t="shared" si="1"/>
        <v>-1.8691588816182048E-3</v>
      </c>
      <c r="R31" s="39"/>
      <c r="S31" s="55"/>
      <c r="T31" s="55"/>
      <c r="U31" s="56"/>
      <c r="V31" s="56"/>
    </row>
    <row r="32" spans="1:25" ht="27.75" hidden="1" customHeight="1" thickBot="1">
      <c r="A32" s="39">
        <v>1</v>
      </c>
      <c r="B32" s="40" t="s">
        <v>88</v>
      </c>
      <c r="C32" s="41" t="s">
        <v>72</v>
      </c>
      <c r="D32" s="120">
        <v>0</v>
      </c>
      <c r="E32" s="43"/>
      <c r="F32" s="60"/>
      <c r="G32" s="61">
        <v>0</v>
      </c>
      <c r="H32" s="46">
        <v>0</v>
      </c>
      <c r="I32" s="47">
        <v>0</v>
      </c>
      <c r="J32" s="113"/>
      <c r="K32" s="118"/>
      <c r="L32" s="121">
        <v>0</v>
      </c>
      <c r="M32" s="94"/>
      <c r="N32" s="39"/>
      <c r="O32" s="53">
        <f t="shared" ref="O32:O44" si="8">+(D32*100/107)+G32-(L32*100/107)</f>
        <v>0</v>
      </c>
      <c r="P32" s="53">
        <f t="shared" si="0"/>
        <v>0</v>
      </c>
      <c r="Q32" s="54">
        <f t="shared" si="1"/>
        <v>0</v>
      </c>
      <c r="R32" s="122"/>
      <c r="S32" s="37"/>
      <c r="T32" s="37"/>
      <c r="U32" s="38"/>
      <c r="V32" s="38"/>
    </row>
    <row r="33" spans="1:23" ht="27.75" hidden="1" customHeight="1" thickTop="1">
      <c r="A33" s="39">
        <v>2</v>
      </c>
      <c r="B33" s="40" t="s">
        <v>89</v>
      </c>
      <c r="C33" s="41" t="s">
        <v>72</v>
      </c>
      <c r="D33" s="120">
        <v>0</v>
      </c>
      <c r="E33" s="43"/>
      <c r="F33" s="60"/>
      <c r="G33" s="61">
        <v>0</v>
      </c>
      <c r="H33" s="46">
        <v>0</v>
      </c>
      <c r="I33" s="47">
        <v>0</v>
      </c>
      <c r="J33" s="113"/>
      <c r="K33" s="118"/>
      <c r="L33" s="121">
        <v>0</v>
      </c>
      <c r="M33" s="94"/>
      <c r="N33" s="39"/>
      <c r="O33" s="53">
        <f t="shared" si="8"/>
        <v>0</v>
      </c>
      <c r="P33" s="53">
        <f t="shared" si="0"/>
        <v>0</v>
      </c>
      <c r="Q33" s="54">
        <f t="shared" si="1"/>
        <v>0</v>
      </c>
      <c r="R33" s="122"/>
      <c r="S33" s="37"/>
      <c r="T33" s="37"/>
      <c r="U33" s="38"/>
      <c r="V33" s="38"/>
    </row>
    <row r="34" spans="1:23" ht="27.75" hidden="1" customHeight="1" thickTop="1">
      <c r="A34" s="39">
        <v>3</v>
      </c>
      <c r="B34" s="40" t="s">
        <v>90</v>
      </c>
      <c r="C34" s="41" t="s">
        <v>72</v>
      </c>
      <c r="D34" s="120"/>
      <c r="E34" s="43"/>
      <c r="F34" s="60"/>
      <c r="G34" s="61">
        <v>0</v>
      </c>
      <c r="H34" s="46">
        <v>0</v>
      </c>
      <c r="I34" s="47">
        <v>0</v>
      </c>
      <c r="J34" s="113"/>
      <c r="K34" s="118"/>
      <c r="L34" s="121"/>
      <c r="M34" s="94"/>
      <c r="N34" s="39"/>
      <c r="O34" s="53">
        <f t="shared" si="8"/>
        <v>0</v>
      </c>
      <c r="P34" s="53">
        <f t="shared" si="0"/>
        <v>0</v>
      </c>
      <c r="Q34" s="54">
        <f t="shared" si="1"/>
        <v>0</v>
      </c>
      <c r="R34" s="122"/>
      <c r="S34" s="37"/>
      <c r="T34" s="37"/>
      <c r="U34" s="38"/>
      <c r="V34" s="38"/>
    </row>
    <row r="35" spans="1:23" ht="27.75" hidden="1" customHeight="1" thickTop="1">
      <c r="A35" s="39">
        <v>4</v>
      </c>
      <c r="B35" s="40" t="s">
        <v>91</v>
      </c>
      <c r="C35" s="41" t="s">
        <v>72</v>
      </c>
      <c r="D35" s="120"/>
      <c r="E35" s="43"/>
      <c r="F35" s="60"/>
      <c r="G35" s="61">
        <v>0</v>
      </c>
      <c r="H35" s="46">
        <v>0</v>
      </c>
      <c r="I35" s="47">
        <v>0</v>
      </c>
      <c r="J35" s="113"/>
      <c r="K35" s="118"/>
      <c r="L35" s="121">
        <v>0</v>
      </c>
      <c r="M35" s="94"/>
      <c r="N35" s="39"/>
      <c r="O35" s="53">
        <f t="shared" si="8"/>
        <v>0</v>
      </c>
      <c r="P35" s="53">
        <f t="shared" si="0"/>
        <v>0</v>
      </c>
      <c r="Q35" s="54">
        <f t="shared" si="1"/>
        <v>0</v>
      </c>
      <c r="R35" s="122"/>
      <c r="S35" s="37"/>
      <c r="T35" s="37"/>
      <c r="U35" s="38"/>
      <c r="V35" s="38"/>
    </row>
    <row r="36" spans="1:23" ht="27.75" hidden="1" customHeight="1" thickTop="1">
      <c r="A36" s="39">
        <v>5</v>
      </c>
      <c r="B36" s="40" t="s">
        <v>92</v>
      </c>
      <c r="C36" s="41" t="s">
        <v>72</v>
      </c>
      <c r="D36" s="120"/>
      <c r="E36" s="43"/>
      <c r="F36" s="60"/>
      <c r="G36" s="61">
        <v>0</v>
      </c>
      <c r="H36" s="46">
        <v>0</v>
      </c>
      <c r="I36" s="47">
        <v>0</v>
      </c>
      <c r="J36" s="117"/>
      <c r="K36" s="118"/>
      <c r="L36" s="119">
        <v>0</v>
      </c>
      <c r="M36" s="94"/>
      <c r="N36" s="39"/>
      <c r="O36" s="53">
        <f t="shared" si="8"/>
        <v>0</v>
      </c>
      <c r="P36" s="53">
        <f t="shared" si="0"/>
        <v>0</v>
      </c>
      <c r="Q36" s="54">
        <f t="shared" si="1"/>
        <v>0</v>
      </c>
      <c r="R36" s="122"/>
      <c r="S36" s="37"/>
      <c r="T36" s="37"/>
      <c r="U36" s="38"/>
      <c r="V36" s="38"/>
    </row>
    <row r="37" spans="1:23" ht="27.75" hidden="1" customHeight="1" thickTop="1">
      <c r="A37" s="39">
        <v>6</v>
      </c>
      <c r="B37" s="123" t="s">
        <v>93</v>
      </c>
      <c r="C37" s="41" t="s">
        <v>72</v>
      </c>
      <c r="D37" s="124">
        <v>0</v>
      </c>
      <c r="E37" s="125"/>
      <c r="F37" s="126"/>
      <c r="G37" s="65">
        <v>0</v>
      </c>
      <c r="H37" s="46">
        <v>0</v>
      </c>
      <c r="I37" s="47">
        <v>0</v>
      </c>
      <c r="J37" s="127"/>
      <c r="K37" s="128"/>
      <c r="L37" s="129">
        <v>0</v>
      </c>
      <c r="M37" s="94"/>
      <c r="N37" s="39"/>
      <c r="O37" s="53">
        <f t="shared" si="8"/>
        <v>0</v>
      </c>
      <c r="P37" s="53">
        <f t="shared" si="0"/>
        <v>0</v>
      </c>
      <c r="Q37" s="54">
        <f t="shared" si="1"/>
        <v>0</v>
      </c>
      <c r="R37" s="122"/>
      <c r="S37" s="37"/>
      <c r="T37" s="37"/>
      <c r="U37" s="38"/>
      <c r="V37" s="38"/>
    </row>
    <row r="38" spans="1:23" ht="27.75" hidden="1" customHeight="1" thickTop="1">
      <c r="A38" s="39">
        <v>7</v>
      </c>
      <c r="B38" s="40" t="s">
        <v>94</v>
      </c>
      <c r="C38" s="41" t="s">
        <v>72</v>
      </c>
      <c r="D38" s="120"/>
      <c r="E38" s="43"/>
      <c r="F38" s="60"/>
      <c r="G38" s="61">
        <v>0</v>
      </c>
      <c r="H38" s="46">
        <v>0</v>
      </c>
      <c r="I38" s="47">
        <v>0</v>
      </c>
      <c r="J38" s="117"/>
      <c r="K38" s="118"/>
      <c r="L38" s="119">
        <v>0</v>
      </c>
      <c r="M38" s="94"/>
      <c r="N38" s="39"/>
      <c r="O38" s="53">
        <f t="shared" si="8"/>
        <v>0</v>
      </c>
      <c r="P38" s="53">
        <f t="shared" si="0"/>
        <v>0</v>
      </c>
      <c r="Q38" s="54">
        <f t="shared" si="1"/>
        <v>0</v>
      </c>
      <c r="R38" s="122"/>
      <c r="S38" s="37"/>
      <c r="T38" s="37"/>
      <c r="U38" s="38"/>
      <c r="V38" s="38"/>
    </row>
    <row r="39" spans="1:23" ht="27.75" hidden="1" customHeight="1" thickTop="1">
      <c r="A39" s="39">
        <v>8</v>
      </c>
      <c r="B39" s="40" t="s">
        <v>95</v>
      </c>
      <c r="C39" s="41" t="s">
        <v>72</v>
      </c>
      <c r="D39" s="120"/>
      <c r="E39" s="43"/>
      <c r="F39" s="60"/>
      <c r="G39" s="61">
        <v>0</v>
      </c>
      <c r="H39" s="46">
        <v>0</v>
      </c>
      <c r="I39" s="47">
        <v>0</v>
      </c>
      <c r="J39" s="117"/>
      <c r="K39" s="118"/>
      <c r="L39" s="119">
        <v>0</v>
      </c>
      <c r="M39" s="94"/>
      <c r="N39" s="39"/>
      <c r="O39" s="53">
        <f t="shared" si="8"/>
        <v>0</v>
      </c>
      <c r="P39" s="53">
        <f t="shared" si="0"/>
        <v>0</v>
      </c>
      <c r="Q39" s="54">
        <f t="shared" si="1"/>
        <v>0</v>
      </c>
      <c r="R39" s="122"/>
      <c r="S39" s="37"/>
      <c r="T39" s="37"/>
      <c r="U39" s="38"/>
      <c r="V39" s="38"/>
    </row>
    <row r="40" spans="1:23" ht="27.75" hidden="1" customHeight="1" thickTop="1">
      <c r="A40" s="39">
        <v>9</v>
      </c>
      <c r="B40" s="40" t="s">
        <v>96</v>
      </c>
      <c r="C40" s="41" t="s">
        <v>72</v>
      </c>
      <c r="D40" s="120"/>
      <c r="E40" s="43"/>
      <c r="F40" s="60"/>
      <c r="G40" s="61">
        <v>0</v>
      </c>
      <c r="H40" s="46">
        <v>0</v>
      </c>
      <c r="I40" s="47">
        <v>0</v>
      </c>
      <c r="J40" s="117"/>
      <c r="K40" s="118"/>
      <c r="L40" s="119">
        <v>0</v>
      </c>
      <c r="M40" s="94"/>
      <c r="N40" s="39"/>
      <c r="O40" s="53">
        <f t="shared" si="8"/>
        <v>0</v>
      </c>
      <c r="P40" s="53">
        <f t="shared" si="0"/>
        <v>0</v>
      </c>
      <c r="Q40" s="54">
        <f t="shared" si="1"/>
        <v>0</v>
      </c>
      <c r="R40" s="122"/>
      <c r="S40" s="37"/>
      <c r="T40" s="37"/>
      <c r="U40" s="38"/>
      <c r="V40" s="38"/>
    </row>
    <row r="41" spans="1:23" ht="27.75" hidden="1" customHeight="1" thickTop="1">
      <c r="A41" s="39">
        <v>10</v>
      </c>
      <c r="B41" s="40" t="s">
        <v>97</v>
      </c>
      <c r="C41" s="41" t="s">
        <v>72</v>
      </c>
      <c r="D41" s="120">
        <v>0</v>
      </c>
      <c r="E41" s="43"/>
      <c r="F41" s="60"/>
      <c r="G41" s="61">
        <v>0</v>
      </c>
      <c r="H41" s="46">
        <v>0</v>
      </c>
      <c r="I41" s="47">
        <v>0</v>
      </c>
      <c r="J41" s="117"/>
      <c r="K41" s="118"/>
      <c r="L41" s="119">
        <v>0</v>
      </c>
      <c r="M41" s="94"/>
      <c r="N41" s="39"/>
      <c r="O41" s="53">
        <f t="shared" si="8"/>
        <v>0</v>
      </c>
      <c r="P41" s="53">
        <f t="shared" si="0"/>
        <v>0</v>
      </c>
      <c r="Q41" s="54">
        <f t="shared" si="1"/>
        <v>0</v>
      </c>
      <c r="R41" s="122"/>
      <c r="S41" s="37"/>
      <c r="T41" s="37"/>
      <c r="U41" s="38"/>
      <c r="V41" s="38"/>
    </row>
    <row r="42" spans="1:23" ht="27.75" hidden="1" customHeight="1" thickTop="1">
      <c r="A42" s="39">
        <v>11</v>
      </c>
      <c r="B42" s="40" t="s">
        <v>98</v>
      </c>
      <c r="C42" s="41" t="s">
        <v>72</v>
      </c>
      <c r="D42" s="120"/>
      <c r="E42" s="43"/>
      <c r="F42" s="60"/>
      <c r="G42" s="61">
        <v>0</v>
      </c>
      <c r="H42" s="46">
        <v>0</v>
      </c>
      <c r="I42" s="47">
        <v>0</v>
      </c>
      <c r="J42" s="117"/>
      <c r="K42" s="118"/>
      <c r="L42" s="119">
        <v>0</v>
      </c>
      <c r="M42" s="94"/>
      <c r="N42" s="39"/>
      <c r="O42" s="53">
        <f t="shared" si="8"/>
        <v>0</v>
      </c>
      <c r="P42" s="53">
        <f t="shared" si="0"/>
        <v>0</v>
      </c>
      <c r="Q42" s="54">
        <f t="shared" si="1"/>
        <v>0</v>
      </c>
      <c r="R42" s="122"/>
      <c r="S42" s="37"/>
      <c r="T42" s="37"/>
      <c r="U42" s="38"/>
      <c r="V42" s="38"/>
    </row>
    <row r="43" spans="1:23" ht="27.75" hidden="1" customHeight="1" thickTop="1">
      <c r="A43" s="39">
        <v>12</v>
      </c>
      <c r="B43" s="40" t="s">
        <v>99</v>
      </c>
      <c r="C43" s="41" t="s">
        <v>72</v>
      </c>
      <c r="D43" s="120">
        <v>0</v>
      </c>
      <c r="E43" s="43"/>
      <c r="F43" s="60"/>
      <c r="G43" s="61">
        <v>0</v>
      </c>
      <c r="H43" s="46">
        <v>0</v>
      </c>
      <c r="I43" s="47">
        <v>0</v>
      </c>
      <c r="J43" s="117"/>
      <c r="K43" s="118"/>
      <c r="L43" s="119">
        <v>0</v>
      </c>
      <c r="M43" s="94"/>
      <c r="N43" s="39"/>
      <c r="O43" s="53">
        <f t="shared" si="8"/>
        <v>0</v>
      </c>
      <c r="P43" s="53">
        <f t="shared" si="0"/>
        <v>0</v>
      </c>
      <c r="Q43" s="54">
        <f t="shared" si="1"/>
        <v>0</v>
      </c>
      <c r="R43" s="122"/>
      <c r="S43" s="37"/>
      <c r="T43" s="37"/>
      <c r="U43" s="38"/>
      <c r="V43" s="38"/>
    </row>
    <row r="44" spans="1:23" ht="27.75" hidden="1" customHeight="1" thickTop="1">
      <c r="A44" s="39"/>
      <c r="B44" s="123"/>
      <c r="C44" s="41"/>
      <c r="D44" s="124"/>
      <c r="E44" s="125"/>
      <c r="F44" s="126"/>
      <c r="G44" s="65">
        <v>0</v>
      </c>
      <c r="H44" s="46">
        <v>0</v>
      </c>
      <c r="I44" s="47">
        <v>0</v>
      </c>
      <c r="J44" s="127"/>
      <c r="K44" s="128"/>
      <c r="L44" s="129"/>
      <c r="M44" s="83"/>
      <c r="N44" s="130"/>
      <c r="O44" s="53">
        <f t="shared" si="8"/>
        <v>0</v>
      </c>
      <c r="P44" s="53">
        <f t="shared" si="0"/>
        <v>0</v>
      </c>
      <c r="Q44" s="54">
        <f t="shared" si="1"/>
        <v>0</v>
      </c>
      <c r="R44" s="122"/>
      <c r="S44" s="37"/>
      <c r="T44" s="37"/>
      <c r="U44" s="38"/>
      <c r="V44" s="38"/>
    </row>
    <row r="45" spans="1:23" ht="27.75" hidden="1" customHeight="1" thickTop="1">
      <c r="A45" s="22"/>
      <c r="B45" s="131" t="s">
        <v>22</v>
      </c>
      <c r="C45" s="132"/>
      <c r="D45" s="133">
        <f>SUM(D32:D43)</f>
        <v>0</v>
      </c>
      <c r="E45" s="134"/>
      <c r="F45" s="135"/>
      <c r="G45" s="136">
        <f>SUM(G32:G43)</f>
        <v>0</v>
      </c>
      <c r="H45" s="136">
        <f t="shared" ref="H45:I45" si="9">SUM(H32:H43)</f>
        <v>0</v>
      </c>
      <c r="I45" s="136">
        <f t="shared" si="9"/>
        <v>0</v>
      </c>
      <c r="J45" s="137">
        <v>0</v>
      </c>
      <c r="K45" s="137">
        <f>SUM(K8:K44)</f>
        <v>0</v>
      </c>
      <c r="L45" s="138">
        <f>SUM(L32:L44)</f>
        <v>0</v>
      </c>
      <c r="M45" s="139"/>
      <c r="N45" s="133"/>
      <c r="O45" s="136">
        <f>SUM(O32:O44)</f>
        <v>0</v>
      </c>
      <c r="P45" s="136">
        <f t="shared" ref="P45:Q45" si="10">SUM(P32:P44)</f>
        <v>0</v>
      </c>
      <c r="Q45" s="136">
        <f t="shared" si="10"/>
        <v>0</v>
      </c>
      <c r="R45" s="36"/>
      <c r="S45" s="37"/>
      <c r="T45" s="37"/>
      <c r="U45" s="38"/>
      <c r="V45" s="38"/>
      <c r="W45" s="38"/>
    </row>
    <row r="46" spans="1:23" ht="27.75" customHeight="1" thickTop="1">
      <c r="A46" s="22"/>
      <c r="B46" s="23" t="s">
        <v>100</v>
      </c>
      <c r="C46" s="24"/>
      <c r="D46" s="25"/>
      <c r="E46" s="26"/>
      <c r="F46" s="27"/>
      <c r="G46" s="28"/>
      <c r="H46" s="28"/>
      <c r="I46" s="28"/>
      <c r="J46" s="29"/>
      <c r="K46" s="30"/>
      <c r="L46" s="31"/>
      <c r="M46" s="32"/>
      <c r="N46" s="33"/>
      <c r="O46" s="34"/>
      <c r="P46" s="34"/>
      <c r="Q46" s="35"/>
      <c r="R46" s="36"/>
      <c r="S46" s="37"/>
      <c r="T46" s="37"/>
      <c r="U46" s="38"/>
      <c r="V46" s="38"/>
      <c r="W46" s="38"/>
    </row>
    <row r="47" spans="1:23" s="57" customFormat="1" ht="27.75" customHeight="1">
      <c r="A47" s="22">
        <v>1</v>
      </c>
      <c r="B47" s="40" t="s">
        <v>101</v>
      </c>
      <c r="C47" s="140" t="s">
        <v>102</v>
      </c>
      <c r="D47" s="141">
        <v>160.5</v>
      </c>
      <c r="E47" s="142" t="s">
        <v>45</v>
      </c>
      <c r="F47" s="143">
        <v>0</v>
      </c>
      <c r="G47" s="61">
        <v>0</v>
      </c>
      <c r="H47" s="61">
        <v>0</v>
      </c>
      <c r="I47" s="47">
        <v>0</v>
      </c>
      <c r="J47" s="113">
        <v>45921</v>
      </c>
      <c r="K47" s="114" t="s">
        <v>103</v>
      </c>
      <c r="L47" s="144">
        <v>160.5</v>
      </c>
      <c r="M47" s="145" t="s">
        <v>45</v>
      </c>
      <c r="N47" s="146">
        <v>0</v>
      </c>
      <c r="O47" s="147">
        <f t="shared" ref="O47:O82" si="11">+(D47*100/107)+G47-(L47*100/107)</f>
        <v>0</v>
      </c>
      <c r="P47" s="147">
        <f t="shared" ref="P47" si="12">ROUND((O47*0.07),2)</f>
        <v>0</v>
      </c>
      <c r="Q47" s="47">
        <f t="shared" ref="Q47" si="13">+O47+P47</f>
        <v>0</v>
      </c>
      <c r="R47" s="146"/>
      <c r="S47" s="148"/>
      <c r="T47" s="148"/>
      <c r="U47" s="149"/>
      <c r="V47" s="149"/>
    </row>
    <row r="48" spans="1:23" s="57" customFormat="1" ht="27.75" customHeight="1">
      <c r="A48" s="22">
        <v>2</v>
      </c>
      <c r="B48" s="150" t="s">
        <v>104</v>
      </c>
      <c r="C48" s="140" t="s">
        <v>102</v>
      </c>
      <c r="D48" s="141">
        <v>321</v>
      </c>
      <c r="E48" s="142" t="s">
        <v>45</v>
      </c>
      <c r="F48" s="143">
        <v>0</v>
      </c>
      <c r="G48" s="61">
        <v>0</v>
      </c>
      <c r="H48" s="61">
        <v>0</v>
      </c>
      <c r="I48" s="47">
        <v>0</v>
      </c>
      <c r="J48" s="117">
        <v>45929</v>
      </c>
      <c r="K48" s="118" t="s">
        <v>105</v>
      </c>
      <c r="L48" s="151">
        <v>321</v>
      </c>
      <c r="M48" s="94" t="s">
        <v>45</v>
      </c>
      <c r="N48" s="39">
        <v>0</v>
      </c>
      <c r="O48" s="147">
        <f t="shared" si="11"/>
        <v>0</v>
      </c>
      <c r="P48" s="147">
        <f>ROUND((O48*0.07),2)</f>
        <v>0</v>
      </c>
      <c r="Q48" s="47">
        <f>+O48+P48</f>
        <v>0</v>
      </c>
      <c r="R48" s="146"/>
      <c r="S48" s="148"/>
      <c r="T48" s="148"/>
      <c r="U48" s="149"/>
      <c r="V48" s="149"/>
    </row>
    <row r="49" spans="1:22" s="169" customFormat="1" ht="27.75" customHeight="1">
      <c r="A49" s="152">
        <v>3</v>
      </c>
      <c r="B49" s="153" t="s">
        <v>106</v>
      </c>
      <c r="C49" s="154" t="s">
        <v>102</v>
      </c>
      <c r="D49" s="155">
        <v>160.5</v>
      </c>
      <c r="E49" s="156" t="s">
        <v>107</v>
      </c>
      <c r="F49" s="157">
        <v>-11</v>
      </c>
      <c r="G49" s="158">
        <v>-1650</v>
      </c>
      <c r="H49" s="158">
        <v>-115.5</v>
      </c>
      <c r="I49" s="159">
        <v>-1765.5</v>
      </c>
      <c r="J49" s="160"/>
      <c r="K49" s="161"/>
      <c r="L49" s="162">
        <v>0</v>
      </c>
      <c r="M49" s="163" t="s">
        <v>108</v>
      </c>
      <c r="N49" s="164">
        <v>-10</v>
      </c>
      <c r="O49" s="165">
        <f t="shared" si="11"/>
        <v>-1500</v>
      </c>
      <c r="P49" s="165">
        <f t="shared" ref="P49:P68" si="14">ROUND((O49*0.07),2)</f>
        <v>-105</v>
      </c>
      <c r="Q49" s="159">
        <f t="shared" ref="Q49:Q68" si="15">+O49+P49</f>
        <v>-1605</v>
      </c>
      <c r="R49" s="166"/>
      <c r="S49" s="167"/>
      <c r="T49" s="167"/>
      <c r="U49" s="168"/>
      <c r="V49" s="168"/>
    </row>
    <row r="50" spans="1:22" s="57" customFormat="1" ht="27.75" customHeight="1">
      <c r="A50" s="22">
        <v>4</v>
      </c>
      <c r="B50" s="170" t="s">
        <v>109</v>
      </c>
      <c r="C50" s="140" t="s">
        <v>102</v>
      </c>
      <c r="D50" s="141">
        <v>321</v>
      </c>
      <c r="E50" s="142" t="s">
        <v>45</v>
      </c>
      <c r="F50" s="143">
        <v>0</v>
      </c>
      <c r="G50" s="61">
        <v>0</v>
      </c>
      <c r="H50" s="61">
        <v>0</v>
      </c>
      <c r="I50" s="47">
        <v>0</v>
      </c>
      <c r="J50" s="117">
        <v>45905</v>
      </c>
      <c r="K50" s="118" t="s">
        <v>110</v>
      </c>
      <c r="L50" s="151">
        <v>321</v>
      </c>
      <c r="M50" s="171" t="s">
        <v>45</v>
      </c>
      <c r="N50" s="172">
        <v>0</v>
      </c>
      <c r="O50" s="147">
        <f t="shared" si="11"/>
        <v>0</v>
      </c>
      <c r="P50" s="147">
        <f t="shared" si="14"/>
        <v>0</v>
      </c>
      <c r="Q50" s="47">
        <f t="shared" si="15"/>
        <v>0</v>
      </c>
      <c r="R50" s="146"/>
      <c r="S50" s="148"/>
      <c r="T50" s="148"/>
      <c r="U50" s="149"/>
      <c r="V50" s="149"/>
    </row>
    <row r="51" spans="1:22" s="57" customFormat="1" ht="27.75" customHeight="1">
      <c r="A51" s="22">
        <v>5</v>
      </c>
      <c r="B51" s="170" t="s">
        <v>111</v>
      </c>
      <c r="C51" s="140" t="s">
        <v>102</v>
      </c>
      <c r="D51" s="141">
        <v>321</v>
      </c>
      <c r="E51" s="142" t="s">
        <v>45</v>
      </c>
      <c r="F51" s="143">
        <v>0</v>
      </c>
      <c r="G51" s="61">
        <v>0</v>
      </c>
      <c r="H51" s="61">
        <v>0</v>
      </c>
      <c r="I51" s="47">
        <v>0</v>
      </c>
      <c r="J51" s="117">
        <v>45919</v>
      </c>
      <c r="K51" s="118" t="s">
        <v>112</v>
      </c>
      <c r="L51" s="151">
        <v>321</v>
      </c>
      <c r="M51" s="171" t="s">
        <v>45</v>
      </c>
      <c r="N51" s="172">
        <v>0</v>
      </c>
      <c r="O51" s="147">
        <f t="shared" si="11"/>
        <v>0</v>
      </c>
      <c r="P51" s="147">
        <f t="shared" si="14"/>
        <v>0</v>
      </c>
      <c r="Q51" s="47">
        <f t="shared" si="15"/>
        <v>0</v>
      </c>
      <c r="R51" s="146"/>
      <c r="S51" s="148"/>
      <c r="T51" s="148"/>
      <c r="U51" s="149"/>
      <c r="V51" s="149"/>
    </row>
    <row r="52" spans="1:22" s="57" customFormat="1" ht="27.75" customHeight="1">
      <c r="A52" s="22">
        <v>6</v>
      </c>
      <c r="B52" s="170" t="s">
        <v>113</v>
      </c>
      <c r="C52" s="140" t="s">
        <v>102</v>
      </c>
      <c r="D52" s="141">
        <v>160.5</v>
      </c>
      <c r="E52" s="142" t="s">
        <v>45</v>
      </c>
      <c r="F52" s="143">
        <v>0</v>
      </c>
      <c r="G52" s="61">
        <v>0</v>
      </c>
      <c r="H52" s="61">
        <v>0</v>
      </c>
      <c r="I52" s="47">
        <v>0</v>
      </c>
      <c r="J52" s="113">
        <v>45913</v>
      </c>
      <c r="K52" s="114" t="s">
        <v>114</v>
      </c>
      <c r="L52" s="151">
        <v>160.5</v>
      </c>
      <c r="M52" s="171" t="s">
        <v>45</v>
      </c>
      <c r="N52" s="172">
        <v>0</v>
      </c>
      <c r="O52" s="147">
        <f t="shared" si="11"/>
        <v>0</v>
      </c>
      <c r="P52" s="147">
        <f t="shared" si="14"/>
        <v>0</v>
      </c>
      <c r="Q52" s="47">
        <f t="shared" si="15"/>
        <v>0</v>
      </c>
      <c r="R52" s="146"/>
      <c r="S52" s="148"/>
      <c r="T52" s="148"/>
      <c r="U52" s="149"/>
      <c r="V52" s="149"/>
    </row>
    <row r="53" spans="1:22" s="57" customFormat="1" ht="27.75" customHeight="1">
      <c r="A53" s="22">
        <v>7</v>
      </c>
      <c r="B53" s="170" t="s">
        <v>115</v>
      </c>
      <c r="C53" s="140" t="s">
        <v>102</v>
      </c>
      <c r="D53" s="173">
        <v>321</v>
      </c>
      <c r="E53" s="142" t="s">
        <v>45</v>
      </c>
      <c r="F53" s="143">
        <v>0</v>
      </c>
      <c r="G53" s="61">
        <v>0</v>
      </c>
      <c r="H53" s="61">
        <v>0</v>
      </c>
      <c r="I53" s="47">
        <v>0</v>
      </c>
      <c r="J53" s="113">
        <v>45903</v>
      </c>
      <c r="K53" s="114" t="s">
        <v>116</v>
      </c>
      <c r="L53" s="151">
        <v>321</v>
      </c>
      <c r="M53" s="174" t="s">
        <v>45</v>
      </c>
      <c r="N53" s="172">
        <v>0</v>
      </c>
      <c r="O53" s="147">
        <f t="shared" si="11"/>
        <v>0</v>
      </c>
      <c r="P53" s="147">
        <f t="shared" si="14"/>
        <v>0</v>
      </c>
      <c r="Q53" s="47">
        <f t="shared" si="15"/>
        <v>0</v>
      </c>
      <c r="R53" s="146"/>
      <c r="S53" s="148"/>
      <c r="T53" s="148"/>
      <c r="U53" s="149"/>
      <c r="V53" s="149"/>
    </row>
    <row r="54" spans="1:22" s="57" customFormat="1" ht="27.75" customHeight="1">
      <c r="A54" s="22">
        <v>8</v>
      </c>
      <c r="B54" s="170" t="s">
        <v>117</v>
      </c>
      <c r="C54" s="140" t="s">
        <v>102</v>
      </c>
      <c r="D54" s="141">
        <v>535</v>
      </c>
      <c r="E54" s="142" t="s">
        <v>45</v>
      </c>
      <c r="F54" s="143">
        <v>0</v>
      </c>
      <c r="G54" s="45">
        <v>0</v>
      </c>
      <c r="H54" s="61">
        <v>0</v>
      </c>
      <c r="I54" s="47">
        <v>0</v>
      </c>
      <c r="J54" s="113">
        <v>45915</v>
      </c>
      <c r="K54" s="114" t="s">
        <v>118</v>
      </c>
      <c r="L54" s="151">
        <v>535</v>
      </c>
      <c r="M54" s="171" t="s">
        <v>45</v>
      </c>
      <c r="N54" s="172">
        <v>0</v>
      </c>
      <c r="O54" s="147">
        <f t="shared" si="11"/>
        <v>0</v>
      </c>
      <c r="P54" s="147">
        <f t="shared" si="14"/>
        <v>0</v>
      </c>
      <c r="Q54" s="47">
        <f t="shared" si="15"/>
        <v>0</v>
      </c>
      <c r="R54" s="146"/>
      <c r="S54" s="148"/>
      <c r="T54" s="148"/>
      <c r="U54" s="149"/>
      <c r="V54" s="149"/>
    </row>
    <row r="55" spans="1:22" s="57" customFormat="1" ht="27.75" customHeight="1">
      <c r="A55" s="22">
        <v>9</v>
      </c>
      <c r="B55" s="170" t="s">
        <v>119</v>
      </c>
      <c r="C55" s="140" t="s">
        <v>102</v>
      </c>
      <c r="D55" s="141">
        <v>321</v>
      </c>
      <c r="E55" s="142" t="s">
        <v>45</v>
      </c>
      <c r="F55" s="143">
        <v>0</v>
      </c>
      <c r="G55" s="45">
        <v>0</v>
      </c>
      <c r="H55" s="61">
        <v>0</v>
      </c>
      <c r="I55" s="47">
        <v>0</v>
      </c>
      <c r="J55" s="113">
        <v>45924</v>
      </c>
      <c r="K55" s="114" t="s">
        <v>120</v>
      </c>
      <c r="L55" s="151">
        <v>321</v>
      </c>
      <c r="M55" s="171" t="s">
        <v>45</v>
      </c>
      <c r="N55" s="172">
        <v>0</v>
      </c>
      <c r="O55" s="147">
        <f t="shared" si="11"/>
        <v>0</v>
      </c>
      <c r="P55" s="147">
        <f t="shared" si="14"/>
        <v>0</v>
      </c>
      <c r="Q55" s="47">
        <f t="shared" si="15"/>
        <v>0</v>
      </c>
      <c r="R55" s="146"/>
      <c r="S55" s="148"/>
      <c r="T55" s="148"/>
      <c r="U55" s="149"/>
      <c r="V55" s="149"/>
    </row>
    <row r="56" spans="1:22" s="57" customFormat="1" ht="27.75" customHeight="1">
      <c r="A56" s="22">
        <v>10</v>
      </c>
      <c r="B56" s="170" t="s">
        <v>121</v>
      </c>
      <c r="C56" s="140" t="s">
        <v>102</v>
      </c>
      <c r="D56" s="173">
        <v>321</v>
      </c>
      <c r="E56" s="142" t="s">
        <v>45</v>
      </c>
      <c r="F56" s="143">
        <v>0</v>
      </c>
      <c r="G56" s="45">
        <v>0</v>
      </c>
      <c r="H56" s="61">
        <v>0</v>
      </c>
      <c r="I56" s="47">
        <v>0</v>
      </c>
      <c r="J56" s="113">
        <v>45923</v>
      </c>
      <c r="K56" s="114" t="s">
        <v>122</v>
      </c>
      <c r="L56" s="151">
        <v>321</v>
      </c>
      <c r="M56" s="171" t="s">
        <v>45</v>
      </c>
      <c r="N56" s="172">
        <v>0</v>
      </c>
      <c r="O56" s="147">
        <f t="shared" si="11"/>
        <v>0</v>
      </c>
      <c r="P56" s="147">
        <f t="shared" si="14"/>
        <v>0</v>
      </c>
      <c r="Q56" s="47">
        <f t="shared" si="15"/>
        <v>0</v>
      </c>
      <c r="R56" s="146"/>
      <c r="S56" s="148"/>
      <c r="T56" s="148"/>
      <c r="U56" s="149"/>
      <c r="V56" s="149"/>
    </row>
    <row r="57" spans="1:22" s="57" customFormat="1" ht="27.75" customHeight="1">
      <c r="A57" s="22">
        <v>11</v>
      </c>
      <c r="B57" s="40" t="s">
        <v>123</v>
      </c>
      <c r="C57" s="140" t="s">
        <v>102</v>
      </c>
      <c r="D57" s="173">
        <v>160.5</v>
      </c>
      <c r="E57" s="142" t="s">
        <v>124</v>
      </c>
      <c r="F57" s="143">
        <v>-3</v>
      </c>
      <c r="G57" s="45">
        <v>-450</v>
      </c>
      <c r="H57" s="61">
        <v>-31.5</v>
      </c>
      <c r="I57" s="47">
        <v>-481.5</v>
      </c>
      <c r="J57" s="113"/>
      <c r="K57" s="114"/>
      <c r="L57" s="144">
        <v>0</v>
      </c>
      <c r="M57" s="145" t="s">
        <v>125</v>
      </c>
      <c r="N57" s="146">
        <v>-2</v>
      </c>
      <c r="O57" s="147">
        <f t="shared" si="11"/>
        <v>-300</v>
      </c>
      <c r="P57" s="147">
        <f t="shared" si="14"/>
        <v>-21</v>
      </c>
      <c r="Q57" s="47">
        <f t="shared" si="15"/>
        <v>-321</v>
      </c>
      <c r="R57" s="146"/>
      <c r="S57" s="148"/>
      <c r="T57" s="148"/>
      <c r="U57" s="149"/>
      <c r="V57" s="149"/>
    </row>
    <row r="58" spans="1:22" s="57" customFormat="1" ht="27.75" customHeight="1">
      <c r="A58" s="22">
        <v>12</v>
      </c>
      <c r="B58" s="40" t="s">
        <v>126</v>
      </c>
      <c r="C58" s="140" t="s">
        <v>102</v>
      </c>
      <c r="D58" s="173">
        <v>642</v>
      </c>
      <c r="E58" s="142" t="s">
        <v>45</v>
      </c>
      <c r="F58" s="143">
        <v>0</v>
      </c>
      <c r="G58" s="61">
        <v>0</v>
      </c>
      <c r="H58" s="61">
        <v>0</v>
      </c>
      <c r="I58" s="47">
        <v>0</v>
      </c>
      <c r="J58" s="113" t="s">
        <v>30</v>
      </c>
      <c r="K58" s="114" t="s">
        <v>127</v>
      </c>
      <c r="L58" s="144">
        <v>1284</v>
      </c>
      <c r="M58" s="145" t="s">
        <v>32</v>
      </c>
      <c r="N58" s="146">
        <v>-1</v>
      </c>
      <c r="O58" s="147">
        <f t="shared" si="11"/>
        <v>-600</v>
      </c>
      <c r="P58" s="147">
        <f t="shared" si="14"/>
        <v>-42</v>
      </c>
      <c r="Q58" s="47">
        <f t="shared" si="15"/>
        <v>-642</v>
      </c>
      <c r="R58" s="146"/>
      <c r="S58" s="148"/>
      <c r="T58" s="148"/>
      <c r="U58" s="149"/>
      <c r="V58" s="149"/>
    </row>
    <row r="59" spans="1:22" s="57" customFormat="1" ht="27.75" customHeight="1">
      <c r="A59" s="22">
        <v>13</v>
      </c>
      <c r="B59" s="40" t="s">
        <v>128</v>
      </c>
      <c r="C59" s="140" t="s">
        <v>102</v>
      </c>
      <c r="D59" s="141">
        <v>642</v>
      </c>
      <c r="E59" s="142" t="s">
        <v>45</v>
      </c>
      <c r="F59" s="143">
        <v>0</v>
      </c>
      <c r="G59" s="61">
        <v>0</v>
      </c>
      <c r="H59" s="61">
        <v>0</v>
      </c>
      <c r="I59" s="47">
        <v>0</v>
      </c>
      <c r="J59" s="113">
        <v>45923</v>
      </c>
      <c r="K59" s="114" t="s">
        <v>129</v>
      </c>
      <c r="L59" s="144">
        <v>642</v>
      </c>
      <c r="M59" s="145" t="s">
        <v>45</v>
      </c>
      <c r="N59" s="146">
        <v>0</v>
      </c>
      <c r="O59" s="147">
        <f t="shared" si="11"/>
        <v>0</v>
      </c>
      <c r="P59" s="147">
        <f t="shared" si="14"/>
        <v>0</v>
      </c>
      <c r="Q59" s="47">
        <f t="shared" si="15"/>
        <v>0</v>
      </c>
      <c r="R59" s="146"/>
      <c r="S59" s="148"/>
      <c r="T59" s="148"/>
      <c r="U59" s="149"/>
      <c r="V59" s="149"/>
    </row>
    <row r="60" spans="1:22" s="57" customFormat="1" ht="27.75" customHeight="1">
      <c r="A60" s="22">
        <v>14</v>
      </c>
      <c r="B60" s="40" t="s">
        <v>130</v>
      </c>
      <c r="C60" s="140" t="s">
        <v>102</v>
      </c>
      <c r="D60" s="141">
        <v>160.5</v>
      </c>
      <c r="E60" s="142" t="s">
        <v>45</v>
      </c>
      <c r="F60" s="143">
        <v>0</v>
      </c>
      <c r="G60" s="61">
        <v>0</v>
      </c>
      <c r="H60" s="61">
        <v>0</v>
      </c>
      <c r="I60" s="47">
        <v>0</v>
      </c>
      <c r="J60" s="175"/>
      <c r="K60" s="176"/>
      <c r="L60" s="177">
        <v>0</v>
      </c>
      <c r="M60" s="145" t="s">
        <v>131</v>
      </c>
      <c r="N60" s="146">
        <v>1</v>
      </c>
      <c r="O60" s="147">
        <f t="shared" si="11"/>
        <v>150</v>
      </c>
      <c r="P60" s="147">
        <f t="shared" si="14"/>
        <v>10.5</v>
      </c>
      <c r="Q60" s="47">
        <f t="shared" si="15"/>
        <v>160.5</v>
      </c>
      <c r="R60" s="146"/>
      <c r="S60" s="148"/>
      <c r="T60" s="148"/>
      <c r="U60" s="149"/>
      <c r="V60" s="149"/>
    </row>
    <row r="61" spans="1:22" s="57" customFormat="1" ht="27.75" customHeight="1">
      <c r="A61" s="22">
        <v>15</v>
      </c>
      <c r="B61" s="170" t="s">
        <v>132</v>
      </c>
      <c r="C61" s="140" t="s">
        <v>102</v>
      </c>
      <c r="D61" s="141">
        <v>321</v>
      </c>
      <c r="E61" s="142" t="s">
        <v>45</v>
      </c>
      <c r="F61" s="143">
        <v>0</v>
      </c>
      <c r="G61" s="45">
        <v>0</v>
      </c>
      <c r="H61" s="61">
        <v>0</v>
      </c>
      <c r="I61" s="47">
        <v>0</v>
      </c>
      <c r="J61" s="178">
        <v>45925</v>
      </c>
      <c r="K61" s="179" t="s">
        <v>133</v>
      </c>
      <c r="L61" s="180">
        <v>321</v>
      </c>
      <c r="M61" s="171" t="s">
        <v>45</v>
      </c>
      <c r="N61" s="172">
        <v>0</v>
      </c>
      <c r="O61" s="147">
        <f t="shared" si="11"/>
        <v>0</v>
      </c>
      <c r="P61" s="147">
        <f t="shared" si="14"/>
        <v>0</v>
      </c>
      <c r="Q61" s="47">
        <f t="shared" si="15"/>
        <v>0</v>
      </c>
      <c r="R61" s="146"/>
      <c r="S61" s="148"/>
      <c r="T61" s="148"/>
      <c r="U61" s="149"/>
      <c r="V61" s="149"/>
    </row>
    <row r="62" spans="1:22" s="57" customFormat="1" ht="27.75" customHeight="1">
      <c r="A62" s="22">
        <v>16</v>
      </c>
      <c r="B62" s="40" t="s">
        <v>134</v>
      </c>
      <c r="C62" s="140" t="s">
        <v>102</v>
      </c>
      <c r="D62" s="141">
        <v>160.5</v>
      </c>
      <c r="E62" s="142" t="s">
        <v>45</v>
      </c>
      <c r="F62" s="143">
        <v>0</v>
      </c>
      <c r="G62" s="61">
        <v>0</v>
      </c>
      <c r="H62" s="61">
        <v>0</v>
      </c>
      <c r="I62" s="47">
        <v>0</v>
      </c>
      <c r="J62" s="175">
        <v>45924</v>
      </c>
      <c r="K62" s="176" t="s">
        <v>135</v>
      </c>
      <c r="L62" s="177">
        <v>160.5</v>
      </c>
      <c r="M62" s="145" t="s">
        <v>45</v>
      </c>
      <c r="N62" s="146">
        <v>0</v>
      </c>
      <c r="O62" s="147">
        <f t="shared" si="11"/>
        <v>0</v>
      </c>
      <c r="P62" s="147">
        <f t="shared" si="14"/>
        <v>0</v>
      </c>
      <c r="Q62" s="47">
        <f t="shared" si="15"/>
        <v>0</v>
      </c>
      <c r="R62" s="146"/>
      <c r="S62" s="148"/>
      <c r="T62" s="148"/>
      <c r="U62" s="149"/>
      <c r="V62" s="149"/>
    </row>
    <row r="63" spans="1:22" s="57" customFormat="1" ht="27.75" customHeight="1">
      <c r="A63" s="22">
        <v>17</v>
      </c>
      <c r="B63" s="170" t="s">
        <v>136</v>
      </c>
      <c r="C63" s="140" t="s">
        <v>102</v>
      </c>
      <c r="D63" s="141">
        <v>321</v>
      </c>
      <c r="E63" s="142" t="s">
        <v>45</v>
      </c>
      <c r="F63" s="143">
        <v>0</v>
      </c>
      <c r="G63" s="45">
        <v>0</v>
      </c>
      <c r="H63" s="61">
        <v>0</v>
      </c>
      <c r="I63" s="47">
        <v>0</v>
      </c>
      <c r="J63" s="113">
        <v>45923</v>
      </c>
      <c r="K63" s="114" t="s">
        <v>137</v>
      </c>
      <c r="L63" s="144">
        <v>321</v>
      </c>
      <c r="M63" s="171" t="s">
        <v>45</v>
      </c>
      <c r="N63" s="172">
        <v>0</v>
      </c>
      <c r="O63" s="147">
        <f t="shared" si="11"/>
        <v>0</v>
      </c>
      <c r="P63" s="147">
        <f t="shared" si="14"/>
        <v>0</v>
      </c>
      <c r="Q63" s="47">
        <f t="shared" si="15"/>
        <v>0</v>
      </c>
      <c r="R63" s="146"/>
      <c r="S63" s="148"/>
      <c r="T63" s="148"/>
      <c r="U63" s="149"/>
      <c r="V63" s="149"/>
    </row>
    <row r="64" spans="1:22" s="57" customFormat="1" ht="27.75" customHeight="1">
      <c r="A64" s="22">
        <v>18</v>
      </c>
      <c r="B64" s="181" t="s">
        <v>138</v>
      </c>
      <c r="C64" s="182" t="s">
        <v>139</v>
      </c>
      <c r="D64" s="173">
        <v>160.5</v>
      </c>
      <c r="E64" s="142" t="s">
        <v>140</v>
      </c>
      <c r="F64" s="143">
        <v>-4</v>
      </c>
      <c r="G64" s="45">
        <v>-600</v>
      </c>
      <c r="H64" s="61">
        <v>-42</v>
      </c>
      <c r="I64" s="47">
        <v>-642</v>
      </c>
      <c r="J64" s="183"/>
      <c r="K64" s="184"/>
      <c r="L64" s="185">
        <v>0</v>
      </c>
      <c r="M64" s="186" t="s">
        <v>141</v>
      </c>
      <c r="N64" s="44">
        <v>-3</v>
      </c>
      <c r="O64" s="147">
        <f t="shared" si="11"/>
        <v>-450</v>
      </c>
      <c r="P64" s="147">
        <f t="shared" si="14"/>
        <v>-31.5</v>
      </c>
      <c r="Q64" s="47">
        <f t="shared" si="15"/>
        <v>-481.5</v>
      </c>
      <c r="R64" s="146"/>
      <c r="S64" s="148"/>
      <c r="T64" s="148"/>
      <c r="U64" s="149"/>
      <c r="V64" s="149"/>
    </row>
    <row r="65" spans="1:22" s="57" customFormat="1" ht="27.75" customHeight="1">
      <c r="A65" s="22">
        <v>19</v>
      </c>
      <c r="B65" s="181" t="s">
        <v>142</v>
      </c>
      <c r="C65" s="182" t="s">
        <v>143</v>
      </c>
      <c r="D65" s="173">
        <v>160.5</v>
      </c>
      <c r="E65" s="142" t="s">
        <v>45</v>
      </c>
      <c r="F65" s="143">
        <v>0</v>
      </c>
      <c r="G65" s="45">
        <v>0</v>
      </c>
      <c r="H65" s="61">
        <v>0</v>
      </c>
      <c r="I65" s="47">
        <v>0</v>
      </c>
      <c r="J65" s="183">
        <v>45930</v>
      </c>
      <c r="K65" s="184" t="s">
        <v>144</v>
      </c>
      <c r="L65" s="185">
        <v>160.5</v>
      </c>
      <c r="M65" s="186" t="s">
        <v>45</v>
      </c>
      <c r="N65" s="44">
        <v>0</v>
      </c>
      <c r="O65" s="147">
        <f t="shared" si="11"/>
        <v>0</v>
      </c>
      <c r="P65" s="147">
        <f t="shared" si="14"/>
        <v>0</v>
      </c>
      <c r="Q65" s="47">
        <f t="shared" si="15"/>
        <v>0</v>
      </c>
      <c r="R65" s="146"/>
      <c r="S65" s="148"/>
      <c r="T65" s="148"/>
      <c r="U65" s="149"/>
      <c r="V65" s="149"/>
    </row>
    <row r="66" spans="1:22" s="57" customFormat="1" ht="27.75" customHeight="1">
      <c r="A66" s="22">
        <v>20</v>
      </c>
      <c r="B66" s="40" t="s">
        <v>145</v>
      </c>
      <c r="C66" s="140" t="s">
        <v>102</v>
      </c>
      <c r="D66" s="173">
        <v>321</v>
      </c>
      <c r="E66" s="142" t="s">
        <v>45</v>
      </c>
      <c r="F66" s="143">
        <v>0</v>
      </c>
      <c r="G66" s="45">
        <v>0</v>
      </c>
      <c r="H66" s="61">
        <v>0</v>
      </c>
      <c r="I66" s="47">
        <v>0</v>
      </c>
      <c r="J66" s="175">
        <v>45922</v>
      </c>
      <c r="K66" s="176" t="s">
        <v>146</v>
      </c>
      <c r="L66" s="177">
        <v>321</v>
      </c>
      <c r="M66" s="171" t="s">
        <v>45</v>
      </c>
      <c r="N66" s="172">
        <v>0</v>
      </c>
      <c r="O66" s="147">
        <f t="shared" si="11"/>
        <v>0</v>
      </c>
      <c r="P66" s="147">
        <f t="shared" si="14"/>
        <v>0</v>
      </c>
      <c r="Q66" s="47">
        <f t="shared" si="15"/>
        <v>0</v>
      </c>
      <c r="R66" s="146"/>
      <c r="S66" s="148"/>
      <c r="T66" s="148"/>
      <c r="U66" s="149"/>
      <c r="V66" s="149"/>
    </row>
    <row r="67" spans="1:22" s="57" customFormat="1" ht="27.75" customHeight="1">
      <c r="A67" s="22">
        <v>21</v>
      </c>
      <c r="B67" s="40" t="s">
        <v>147</v>
      </c>
      <c r="C67" s="140" t="s">
        <v>102</v>
      </c>
      <c r="D67" s="173">
        <v>160.5</v>
      </c>
      <c r="E67" s="142" t="s">
        <v>45</v>
      </c>
      <c r="F67" s="143">
        <v>0</v>
      </c>
      <c r="G67" s="45">
        <v>0</v>
      </c>
      <c r="H67" s="61">
        <v>0</v>
      </c>
      <c r="I67" s="47">
        <v>0</v>
      </c>
      <c r="J67" s="175">
        <v>45908</v>
      </c>
      <c r="K67" s="176" t="s">
        <v>148</v>
      </c>
      <c r="L67" s="177">
        <v>160.5</v>
      </c>
      <c r="M67" s="171" t="s">
        <v>45</v>
      </c>
      <c r="N67" s="172">
        <v>0</v>
      </c>
      <c r="O67" s="147">
        <f t="shared" si="11"/>
        <v>0</v>
      </c>
      <c r="P67" s="147">
        <f t="shared" si="14"/>
        <v>0</v>
      </c>
      <c r="Q67" s="47">
        <f t="shared" si="15"/>
        <v>0</v>
      </c>
      <c r="R67" s="146"/>
      <c r="S67" s="148"/>
      <c r="T67" s="148"/>
      <c r="U67" s="149"/>
      <c r="V67" s="149"/>
    </row>
    <row r="68" spans="1:22" s="57" customFormat="1" ht="27.75" customHeight="1">
      <c r="A68" s="22">
        <v>22</v>
      </c>
      <c r="B68" s="80" t="s">
        <v>149</v>
      </c>
      <c r="C68" s="140" t="s">
        <v>102</v>
      </c>
      <c r="D68" s="173">
        <v>1070</v>
      </c>
      <c r="E68" s="142" t="s">
        <v>45</v>
      </c>
      <c r="F68" s="143">
        <v>0</v>
      </c>
      <c r="G68" s="187">
        <v>0</v>
      </c>
      <c r="H68" s="61">
        <v>0</v>
      </c>
      <c r="I68" s="47">
        <v>0</v>
      </c>
      <c r="J68" s="175">
        <v>45922</v>
      </c>
      <c r="K68" s="176" t="s">
        <v>150</v>
      </c>
      <c r="L68" s="177">
        <v>1070</v>
      </c>
      <c r="M68" s="171" t="s">
        <v>45</v>
      </c>
      <c r="N68" s="172">
        <v>0</v>
      </c>
      <c r="O68" s="147">
        <f t="shared" si="11"/>
        <v>0</v>
      </c>
      <c r="P68" s="147">
        <f t="shared" si="14"/>
        <v>0</v>
      </c>
      <c r="Q68" s="47">
        <f t="shared" si="15"/>
        <v>0</v>
      </c>
      <c r="R68" s="188"/>
      <c r="S68" s="189"/>
      <c r="T68" s="189"/>
      <c r="U68" s="190"/>
      <c r="V68" s="190"/>
    </row>
    <row r="69" spans="1:22" s="57" customFormat="1" ht="27.75" customHeight="1">
      <c r="A69" s="22">
        <v>23</v>
      </c>
      <c r="B69" s="170" t="s">
        <v>151</v>
      </c>
      <c r="C69" s="140" t="s">
        <v>102</v>
      </c>
      <c r="D69" s="141">
        <v>160.5</v>
      </c>
      <c r="E69" s="142" t="s">
        <v>45</v>
      </c>
      <c r="F69" s="143">
        <v>0</v>
      </c>
      <c r="G69" s="45">
        <v>0</v>
      </c>
      <c r="H69" s="61">
        <v>0</v>
      </c>
      <c r="I69" s="47">
        <v>0</v>
      </c>
      <c r="J69" s="117">
        <v>45901</v>
      </c>
      <c r="K69" s="118" t="s">
        <v>152</v>
      </c>
      <c r="L69" s="151">
        <v>160.5</v>
      </c>
      <c r="M69" s="171" t="s">
        <v>45</v>
      </c>
      <c r="N69" s="172">
        <v>0</v>
      </c>
      <c r="O69" s="147">
        <f t="shared" si="11"/>
        <v>0</v>
      </c>
      <c r="P69" s="147">
        <f>ROUND((O69*0.07),2)</f>
        <v>0</v>
      </c>
      <c r="Q69" s="47">
        <f>+O69+P69</f>
        <v>0</v>
      </c>
      <c r="R69" s="146"/>
      <c r="S69" s="148"/>
      <c r="T69" s="148"/>
      <c r="U69" s="149"/>
      <c r="V69" s="149"/>
    </row>
    <row r="70" spans="1:22" s="57" customFormat="1" ht="27.75" customHeight="1">
      <c r="A70" s="22">
        <v>24</v>
      </c>
      <c r="B70" s="170" t="s">
        <v>153</v>
      </c>
      <c r="C70" s="140" t="s">
        <v>102</v>
      </c>
      <c r="D70" s="141">
        <v>160.5</v>
      </c>
      <c r="E70" s="142" t="s">
        <v>140</v>
      </c>
      <c r="F70" s="143">
        <v>-4</v>
      </c>
      <c r="G70" s="45">
        <v>-600</v>
      </c>
      <c r="H70" s="61">
        <v>-42</v>
      </c>
      <c r="I70" s="47">
        <v>-642</v>
      </c>
      <c r="J70" s="175"/>
      <c r="K70" s="176"/>
      <c r="L70" s="177">
        <v>0</v>
      </c>
      <c r="M70" s="171" t="s">
        <v>141</v>
      </c>
      <c r="N70" s="172">
        <v>-3</v>
      </c>
      <c r="O70" s="147">
        <f t="shared" si="11"/>
        <v>-450</v>
      </c>
      <c r="P70" s="147">
        <f>ROUND((O70*0.07),2)</f>
        <v>-31.5</v>
      </c>
      <c r="Q70" s="47">
        <f>+O70+P70</f>
        <v>-481.5</v>
      </c>
      <c r="R70" s="146"/>
      <c r="S70" s="148"/>
      <c r="T70" s="148"/>
      <c r="U70" s="149"/>
      <c r="V70" s="149"/>
    </row>
    <row r="71" spans="1:22" s="57" customFormat="1" ht="27.75" customHeight="1">
      <c r="A71" s="22">
        <v>25</v>
      </c>
      <c r="B71" s="170" t="s">
        <v>154</v>
      </c>
      <c r="C71" s="140" t="s">
        <v>102</v>
      </c>
      <c r="D71" s="141">
        <v>321</v>
      </c>
      <c r="E71" s="142" t="s">
        <v>45</v>
      </c>
      <c r="F71" s="143">
        <v>0</v>
      </c>
      <c r="G71" s="45">
        <v>0</v>
      </c>
      <c r="H71" s="61">
        <v>0</v>
      </c>
      <c r="I71" s="47">
        <v>0</v>
      </c>
      <c r="J71" s="175">
        <v>45924</v>
      </c>
      <c r="K71" s="176" t="s">
        <v>155</v>
      </c>
      <c r="L71" s="177">
        <v>321</v>
      </c>
      <c r="M71" s="186" t="s">
        <v>45</v>
      </c>
      <c r="N71" s="44">
        <v>0</v>
      </c>
      <c r="O71" s="147">
        <f t="shared" si="11"/>
        <v>0</v>
      </c>
      <c r="P71" s="147">
        <f>ROUND((O71*0.07),2)</f>
        <v>0</v>
      </c>
      <c r="Q71" s="47">
        <f>+O71+P71</f>
        <v>0</v>
      </c>
      <c r="R71" s="146"/>
      <c r="S71" s="148"/>
      <c r="T71" s="148"/>
      <c r="U71" s="149"/>
      <c r="V71" s="149"/>
    </row>
    <row r="72" spans="1:22" s="57" customFormat="1" ht="27.75" customHeight="1">
      <c r="A72" s="22">
        <v>26</v>
      </c>
      <c r="B72" s="191" t="s">
        <v>156</v>
      </c>
      <c r="C72" s="140" t="s">
        <v>102</v>
      </c>
      <c r="D72" s="192">
        <v>160.5</v>
      </c>
      <c r="E72" s="142" t="s">
        <v>45</v>
      </c>
      <c r="F72" s="143">
        <v>0</v>
      </c>
      <c r="G72" s="187">
        <v>0</v>
      </c>
      <c r="H72" s="61">
        <v>0</v>
      </c>
      <c r="I72" s="47">
        <v>0</v>
      </c>
      <c r="J72" s="175">
        <v>45905</v>
      </c>
      <c r="K72" s="176" t="s">
        <v>157</v>
      </c>
      <c r="L72" s="177">
        <v>160.5</v>
      </c>
      <c r="M72" s="186" t="s">
        <v>45</v>
      </c>
      <c r="N72" s="44">
        <v>0</v>
      </c>
      <c r="O72" s="147">
        <f t="shared" si="11"/>
        <v>0</v>
      </c>
      <c r="P72" s="147">
        <f t="shared" ref="P72:P77" si="16">ROUND((O72*0.07),2)</f>
        <v>0</v>
      </c>
      <c r="Q72" s="47">
        <f t="shared" ref="Q72:Q77" si="17">+O72+P72</f>
        <v>0</v>
      </c>
      <c r="R72" s="188"/>
      <c r="S72" s="189"/>
      <c r="T72" s="189"/>
      <c r="U72" s="190"/>
      <c r="V72" s="190"/>
    </row>
    <row r="73" spans="1:22" s="57" customFormat="1" ht="27.75" customHeight="1">
      <c r="A73" s="22">
        <v>27</v>
      </c>
      <c r="B73" s="170" t="s">
        <v>158</v>
      </c>
      <c r="C73" s="140" t="s">
        <v>102</v>
      </c>
      <c r="D73" s="141">
        <v>321</v>
      </c>
      <c r="E73" s="142" t="s">
        <v>159</v>
      </c>
      <c r="F73" s="143">
        <v>-12.118366666666669</v>
      </c>
      <c r="G73" s="45">
        <v>-3635.51</v>
      </c>
      <c r="H73" s="61">
        <v>-254.49</v>
      </c>
      <c r="I73" s="47">
        <v>-3890</v>
      </c>
      <c r="J73" s="117"/>
      <c r="K73" s="118"/>
      <c r="L73" s="151">
        <v>0</v>
      </c>
      <c r="M73" s="171" t="s">
        <v>160</v>
      </c>
      <c r="N73" s="172">
        <v>-11.118366666666669</v>
      </c>
      <c r="O73" s="147">
        <f t="shared" si="11"/>
        <v>-3335.51</v>
      </c>
      <c r="P73" s="147">
        <f t="shared" si="16"/>
        <v>-233.49</v>
      </c>
      <c r="Q73" s="47">
        <f t="shared" si="17"/>
        <v>-3569</v>
      </c>
      <c r="R73" s="146"/>
      <c r="S73" s="148"/>
      <c r="T73" s="148"/>
      <c r="U73" s="149"/>
      <c r="V73" s="149"/>
    </row>
    <row r="74" spans="1:22" s="57" customFormat="1" ht="27.75" customHeight="1">
      <c r="A74" s="22">
        <v>28</v>
      </c>
      <c r="B74" s="191" t="s">
        <v>161</v>
      </c>
      <c r="C74" s="140" t="s">
        <v>102</v>
      </c>
      <c r="D74" s="192">
        <v>321</v>
      </c>
      <c r="E74" s="142" t="s">
        <v>45</v>
      </c>
      <c r="F74" s="143">
        <v>0</v>
      </c>
      <c r="G74" s="187">
        <v>0</v>
      </c>
      <c r="H74" s="61">
        <v>0</v>
      </c>
      <c r="I74" s="47">
        <v>0</v>
      </c>
      <c r="J74" s="117">
        <v>45923</v>
      </c>
      <c r="K74" s="118" t="s">
        <v>162</v>
      </c>
      <c r="L74" s="151">
        <v>321</v>
      </c>
      <c r="M74" s="171" t="s">
        <v>45</v>
      </c>
      <c r="N74" s="172">
        <v>0</v>
      </c>
      <c r="O74" s="147">
        <f t="shared" si="11"/>
        <v>0</v>
      </c>
      <c r="P74" s="147">
        <f t="shared" si="16"/>
        <v>0</v>
      </c>
      <c r="Q74" s="47">
        <f t="shared" si="17"/>
        <v>0</v>
      </c>
      <c r="R74" s="188"/>
      <c r="S74" s="189"/>
      <c r="T74" s="189"/>
      <c r="U74" s="190"/>
      <c r="V74" s="190"/>
    </row>
    <row r="75" spans="1:22" s="57" customFormat="1" ht="27.75" customHeight="1">
      <c r="A75" s="22">
        <v>29</v>
      </c>
      <c r="B75" s="191" t="s">
        <v>163</v>
      </c>
      <c r="C75" s="140" t="s">
        <v>102</v>
      </c>
      <c r="D75" s="192">
        <v>160.5</v>
      </c>
      <c r="E75" s="142" t="s">
        <v>45</v>
      </c>
      <c r="F75" s="143">
        <v>0</v>
      </c>
      <c r="G75" s="187">
        <v>0</v>
      </c>
      <c r="H75" s="61">
        <v>0</v>
      </c>
      <c r="I75" s="47">
        <v>0</v>
      </c>
      <c r="J75" s="117">
        <v>45924</v>
      </c>
      <c r="K75" s="118" t="s">
        <v>164</v>
      </c>
      <c r="L75" s="151">
        <v>160.5</v>
      </c>
      <c r="M75" s="171" t="s">
        <v>45</v>
      </c>
      <c r="N75" s="172">
        <v>0</v>
      </c>
      <c r="O75" s="147">
        <f t="shared" si="11"/>
        <v>0</v>
      </c>
      <c r="P75" s="147">
        <f t="shared" si="16"/>
        <v>0</v>
      </c>
      <c r="Q75" s="47">
        <f t="shared" si="17"/>
        <v>0</v>
      </c>
      <c r="R75" s="188"/>
      <c r="S75" s="189"/>
      <c r="T75" s="189"/>
      <c r="U75" s="190"/>
      <c r="V75" s="190"/>
    </row>
    <row r="76" spans="1:22" s="57" customFormat="1" ht="27.75" customHeight="1">
      <c r="A76" s="22">
        <v>30</v>
      </c>
      <c r="B76" s="170" t="s">
        <v>165</v>
      </c>
      <c r="C76" s="140" t="s">
        <v>102</v>
      </c>
      <c r="D76" s="141">
        <v>1070</v>
      </c>
      <c r="E76" s="142" t="s">
        <v>45</v>
      </c>
      <c r="F76" s="143">
        <v>0</v>
      </c>
      <c r="G76" s="45">
        <v>0</v>
      </c>
      <c r="H76" s="61">
        <v>0</v>
      </c>
      <c r="I76" s="47">
        <v>0</v>
      </c>
      <c r="J76" s="175">
        <v>45904</v>
      </c>
      <c r="K76" s="176" t="s">
        <v>166</v>
      </c>
      <c r="L76" s="177">
        <v>1070</v>
      </c>
      <c r="M76" s="171" t="s">
        <v>45</v>
      </c>
      <c r="N76" s="172">
        <v>0</v>
      </c>
      <c r="O76" s="147">
        <f t="shared" si="11"/>
        <v>0</v>
      </c>
      <c r="P76" s="147">
        <f t="shared" si="16"/>
        <v>0</v>
      </c>
      <c r="Q76" s="47">
        <f t="shared" si="17"/>
        <v>0</v>
      </c>
      <c r="R76" s="146"/>
      <c r="S76" s="148"/>
      <c r="T76" s="148"/>
      <c r="U76" s="149"/>
      <c r="V76" s="149"/>
    </row>
    <row r="77" spans="1:22" s="57" customFormat="1" ht="27.75" customHeight="1">
      <c r="A77" s="22">
        <v>31</v>
      </c>
      <c r="B77" s="191" t="s">
        <v>167</v>
      </c>
      <c r="C77" s="140" t="s">
        <v>102</v>
      </c>
      <c r="D77" s="192">
        <v>535</v>
      </c>
      <c r="E77" s="142" t="s">
        <v>45</v>
      </c>
      <c r="F77" s="143">
        <v>0</v>
      </c>
      <c r="G77" s="187">
        <v>0</v>
      </c>
      <c r="H77" s="61">
        <v>0</v>
      </c>
      <c r="I77" s="47">
        <v>0</v>
      </c>
      <c r="J77" s="117">
        <v>45929</v>
      </c>
      <c r="K77" s="118" t="s">
        <v>168</v>
      </c>
      <c r="L77" s="151">
        <v>535</v>
      </c>
      <c r="M77" s="171" t="s">
        <v>45</v>
      </c>
      <c r="N77" s="172">
        <v>0</v>
      </c>
      <c r="O77" s="147">
        <f t="shared" si="11"/>
        <v>0</v>
      </c>
      <c r="P77" s="147">
        <f t="shared" si="16"/>
        <v>0</v>
      </c>
      <c r="Q77" s="47">
        <f t="shared" si="17"/>
        <v>0</v>
      </c>
      <c r="R77" s="188"/>
      <c r="S77" s="189"/>
      <c r="T77" s="189"/>
      <c r="U77" s="190"/>
      <c r="V77" s="190"/>
    </row>
    <row r="78" spans="1:22" s="57" customFormat="1" ht="27.75" customHeight="1">
      <c r="A78" s="22">
        <v>32</v>
      </c>
      <c r="B78" s="170" t="s">
        <v>169</v>
      </c>
      <c r="C78" s="140" t="s">
        <v>102</v>
      </c>
      <c r="D78" s="173">
        <v>963</v>
      </c>
      <c r="E78" s="142" t="s">
        <v>45</v>
      </c>
      <c r="F78" s="143">
        <v>0</v>
      </c>
      <c r="G78" s="45">
        <v>0</v>
      </c>
      <c r="H78" s="61">
        <v>0</v>
      </c>
      <c r="I78" s="47">
        <v>0</v>
      </c>
      <c r="J78" s="175">
        <v>45923</v>
      </c>
      <c r="K78" s="176" t="s">
        <v>170</v>
      </c>
      <c r="L78" s="177">
        <v>963</v>
      </c>
      <c r="M78" s="171" t="s">
        <v>45</v>
      </c>
      <c r="N78" s="172">
        <v>0</v>
      </c>
      <c r="O78" s="147">
        <f t="shared" si="11"/>
        <v>0</v>
      </c>
      <c r="P78" s="147">
        <f>ROUND((O78*0.07),2)</f>
        <v>0</v>
      </c>
      <c r="Q78" s="47">
        <f>+O78+P78</f>
        <v>0</v>
      </c>
      <c r="R78" s="146"/>
      <c r="S78" s="148"/>
      <c r="T78" s="148"/>
      <c r="U78" s="149"/>
      <c r="V78" s="149"/>
    </row>
    <row r="79" spans="1:22" s="57" customFormat="1" ht="27.75" customHeight="1">
      <c r="A79" s="22">
        <v>33</v>
      </c>
      <c r="B79" s="191" t="s">
        <v>171</v>
      </c>
      <c r="C79" s="140" t="s">
        <v>102</v>
      </c>
      <c r="D79" s="173">
        <v>963</v>
      </c>
      <c r="E79" s="142" t="s">
        <v>45</v>
      </c>
      <c r="F79" s="143">
        <v>0</v>
      </c>
      <c r="G79" s="187">
        <v>0</v>
      </c>
      <c r="H79" s="61">
        <v>0</v>
      </c>
      <c r="I79" s="47">
        <v>0</v>
      </c>
      <c r="J79" s="175">
        <v>45930</v>
      </c>
      <c r="K79" s="176" t="s">
        <v>172</v>
      </c>
      <c r="L79" s="177">
        <v>963</v>
      </c>
      <c r="M79" s="171" t="s">
        <v>45</v>
      </c>
      <c r="N79" s="172">
        <v>0</v>
      </c>
      <c r="O79" s="147">
        <f t="shared" si="11"/>
        <v>0</v>
      </c>
      <c r="P79" s="147">
        <f t="shared" ref="P79:P83" si="18">ROUND((O79*0.07),2)</f>
        <v>0</v>
      </c>
      <c r="Q79" s="47">
        <f t="shared" ref="Q79:Q83" si="19">+O79+P79</f>
        <v>0</v>
      </c>
      <c r="R79" s="188"/>
      <c r="S79" s="189"/>
      <c r="T79" s="189"/>
      <c r="U79" s="190"/>
      <c r="V79" s="190"/>
    </row>
    <row r="80" spans="1:22" s="57" customFormat="1" ht="27.75" customHeight="1">
      <c r="A80" s="22">
        <v>34</v>
      </c>
      <c r="B80" s="191" t="s">
        <v>173</v>
      </c>
      <c r="C80" s="140" t="s">
        <v>102</v>
      </c>
      <c r="D80" s="173">
        <v>321</v>
      </c>
      <c r="E80" s="142" t="s">
        <v>45</v>
      </c>
      <c r="F80" s="143">
        <v>0</v>
      </c>
      <c r="G80" s="187">
        <v>0</v>
      </c>
      <c r="H80" s="61">
        <v>0</v>
      </c>
      <c r="I80" s="47">
        <v>0</v>
      </c>
      <c r="J80" s="175">
        <v>45901</v>
      </c>
      <c r="K80" s="176" t="s">
        <v>174</v>
      </c>
      <c r="L80" s="177">
        <v>321</v>
      </c>
      <c r="M80" s="171" t="s">
        <v>45</v>
      </c>
      <c r="N80" s="172">
        <v>0</v>
      </c>
      <c r="O80" s="147">
        <f t="shared" si="11"/>
        <v>0</v>
      </c>
      <c r="P80" s="147">
        <f t="shared" si="18"/>
        <v>0</v>
      </c>
      <c r="Q80" s="47">
        <f t="shared" si="19"/>
        <v>0</v>
      </c>
      <c r="R80" s="188"/>
      <c r="S80" s="189"/>
      <c r="T80" s="189"/>
      <c r="U80" s="190"/>
      <c r="V80" s="190"/>
    </row>
    <row r="81" spans="1:23" s="57" customFormat="1" ht="27.75" customHeight="1">
      <c r="A81" s="22">
        <v>35</v>
      </c>
      <c r="B81" s="191" t="s">
        <v>175</v>
      </c>
      <c r="C81" s="140" t="s">
        <v>102</v>
      </c>
      <c r="D81" s="173">
        <v>321</v>
      </c>
      <c r="E81" s="142" t="s">
        <v>26</v>
      </c>
      <c r="F81" s="143">
        <v>0</v>
      </c>
      <c r="G81" s="187">
        <v>0</v>
      </c>
      <c r="H81" s="61">
        <v>0</v>
      </c>
      <c r="I81" s="47">
        <v>0</v>
      </c>
      <c r="J81" s="175">
        <v>45901</v>
      </c>
      <c r="K81" s="176" t="s">
        <v>176</v>
      </c>
      <c r="L81" s="177">
        <v>321</v>
      </c>
      <c r="M81" s="171" t="s">
        <v>26</v>
      </c>
      <c r="N81" s="172">
        <v>0</v>
      </c>
      <c r="O81" s="147">
        <f t="shared" si="11"/>
        <v>0</v>
      </c>
      <c r="P81" s="147">
        <f t="shared" si="18"/>
        <v>0</v>
      </c>
      <c r="Q81" s="47">
        <f t="shared" si="19"/>
        <v>0</v>
      </c>
      <c r="R81" s="188"/>
      <c r="S81" s="189"/>
      <c r="T81" s="189"/>
      <c r="U81" s="190"/>
      <c r="V81" s="190"/>
    </row>
    <row r="82" spans="1:23" s="57" customFormat="1" ht="27.75" customHeight="1">
      <c r="A82" s="22">
        <v>36</v>
      </c>
      <c r="B82" s="191" t="s">
        <v>177</v>
      </c>
      <c r="C82" s="140" t="s">
        <v>102</v>
      </c>
      <c r="D82" s="192">
        <v>321</v>
      </c>
      <c r="E82" s="142" t="s">
        <v>45</v>
      </c>
      <c r="F82" s="143">
        <v>0</v>
      </c>
      <c r="G82" s="187">
        <v>0</v>
      </c>
      <c r="H82" s="61">
        <v>0</v>
      </c>
      <c r="I82" s="47">
        <v>0</v>
      </c>
      <c r="J82" s="117">
        <v>45923</v>
      </c>
      <c r="K82" s="118" t="s">
        <v>178</v>
      </c>
      <c r="L82" s="151">
        <v>321</v>
      </c>
      <c r="M82" s="171" t="s">
        <v>45</v>
      </c>
      <c r="N82" s="172">
        <v>0</v>
      </c>
      <c r="O82" s="147">
        <f t="shared" si="11"/>
        <v>0</v>
      </c>
      <c r="P82" s="147">
        <f t="shared" si="18"/>
        <v>0</v>
      </c>
      <c r="Q82" s="47">
        <f t="shared" si="19"/>
        <v>0</v>
      </c>
      <c r="R82" s="188"/>
      <c r="S82" s="189"/>
      <c r="T82" s="189"/>
      <c r="U82" s="190"/>
      <c r="V82" s="190"/>
    </row>
    <row r="83" spans="1:23" ht="27.75" customHeight="1" thickBot="1">
      <c r="A83" s="193"/>
      <c r="B83" s="194" t="s">
        <v>22</v>
      </c>
      <c r="C83" s="195"/>
      <c r="D83" s="196">
        <f>SUM(D47:D82)</f>
        <v>13321.5</v>
      </c>
      <c r="E83" s="196"/>
      <c r="F83" s="197"/>
      <c r="G83" s="198"/>
      <c r="H83" s="198"/>
      <c r="I83" s="198"/>
      <c r="J83" s="199"/>
      <c r="K83" s="199"/>
      <c r="L83" s="196">
        <f>SUM(L47:L82)</f>
        <v>12840</v>
      </c>
      <c r="M83" s="200"/>
      <c r="N83" s="196"/>
      <c r="O83" s="198">
        <f>SUM(O60)</f>
        <v>150</v>
      </c>
      <c r="P83" s="198">
        <f t="shared" si="18"/>
        <v>10.5</v>
      </c>
      <c r="Q83" s="198">
        <f t="shared" si="19"/>
        <v>160.5</v>
      </c>
      <c r="R83" s="36"/>
      <c r="S83" s="37"/>
      <c r="T83" s="37"/>
      <c r="U83" s="38"/>
      <c r="V83" s="38"/>
      <c r="W83" s="38"/>
    </row>
    <row r="84" spans="1:23" ht="27.75" customHeight="1" thickTop="1">
      <c r="A84" s="22"/>
      <c r="B84" s="23" t="s">
        <v>179</v>
      </c>
      <c r="C84" s="24"/>
      <c r="D84" s="25"/>
      <c r="E84" s="26"/>
      <c r="F84" s="27"/>
      <c r="G84" s="28"/>
      <c r="H84" s="28"/>
      <c r="I84" s="28"/>
      <c r="J84" s="29"/>
      <c r="K84" s="30"/>
      <c r="L84" s="31"/>
      <c r="M84" s="32"/>
      <c r="N84" s="33"/>
      <c r="O84" s="34"/>
      <c r="P84" s="34"/>
      <c r="Q84" s="35"/>
      <c r="R84" s="36"/>
      <c r="S84" s="37"/>
      <c r="T84" s="37"/>
      <c r="U84" s="38"/>
      <c r="V84" s="38"/>
      <c r="W84" s="38"/>
    </row>
    <row r="85" spans="1:23" ht="27.75" customHeight="1">
      <c r="A85" s="94">
        <v>1</v>
      </c>
      <c r="B85" s="40" t="s">
        <v>180</v>
      </c>
      <c r="C85" s="41" t="s">
        <v>181</v>
      </c>
      <c r="D85" s="201">
        <v>1364.25</v>
      </c>
      <c r="E85" s="43" t="s">
        <v>182</v>
      </c>
      <c r="F85" s="44">
        <v>1</v>
      </c>
      <c r="G85" s="45">
        <v>1950</v>
      </c>
      <c r="H85" s="61">
        <v>136.5</v>
      </c>
      <c r="I85" s="47">
        <v>2086.5</v>
      </c>
      <c r="J85" s="48" t="s">
        <v>86</v>
      </c>
      <c r="K85" s="49" t="s">
        <v>183</v>
      </c>
      <c r="L85" s="202">
        <v>3290.25</v>
      </c>
      <c r="M85" s="83" t="s">
        <v>131</v>
      </c>
      <c r="N85" s="39">
        <v>1</v>
      </c>
      <c r="O85" s="147">
        <f>+(D85*100/107)+G85-(L85*100/107)</f>
        <v>150</v>
      </c>
      <c r="P85" s="147">
        <f t="shared" ref="P85:P89" si="20">ROUND((O85*0.07),2)</f>
        <v>10.5</v>
      </c>
      <c r="Q85" s="47">
        <f t="shared" ref="Q85:Q89" si="21">+O85+P85</f>
        <v>160.5</v>
      </c>
      <c r="R85" s="116"/>
      <c r="S85" s="203"/>
      <c r="T85" s="203"/>
      <c r="U85" s="204"/>
      <c r="V85" s="204"/>
    </row>
    <row r="86" spans="1:23" ht="27.75" customHeight="1">
      <c r="A86" s="94">
        <v>2</v>
      </c>
      <c r="B86" s="40" t="s">
        <v>184</v>
      </c>
      <c r="C86" s="41" t="s">
        <v>181</v>
      </c>
      <c r="D86" s="201">
        <v>3370.5</v>
      </c>
      <c r="E86" s="43" t="s">
        <v>45</v>
      </c>
      <c r="F86" s="44">
        <v>0</v>
      </c>
      <c r="G86" s="45">
        <v>0</v>
      </c>
      <c r="H86" s="61">
        <v>0</v>
      </c>
      <c r="I86" s="47">
        <v>0</v>
      </c>
      <c r="J86" s="48">
        <v>45908</v>
      </c>
      <c r="K86" s="49" t="s">
        <v>185</v>
      </c>
      <c r="L86" s="202">
        <v>3370.5</v>
      </c>
      <c r="M86" s="94" t="s">
        <v>45</v>
      </c>
      <c r="N86" s="116">
        <v>0</v>
      </c>
      <c r="O86" s="147">
        <f>+(D86*100/107)+G86-(L86*100/107)</f>
        <v>0</v>
      </c>
      <c r="P86" s="147">
        <f t="shared" si="20"/>
        <v>0</v>
      </c>
      <c r="Q86" s="47">
        <f t="shared" si="21"/>
        <v>0</v>
      </c>
      <c r="R86" s="116"/>
      <c r="S86" s="203"/>
      <c r="T86" s="203"/>
      <c r="U86" s="204"/>
      <c r="V86" s="204"/>
    </row>
    <row r="87" spans="1:23" ht="27.75" customHeight="1">
      <c r="A87" s="94">
        <v>3</v>
      </c>
      <c r="B87" s="205" t="s">
        <v>186</v>
      </c>
      <c r="C87" s="206" t="s">
        <v>181</v>
      </c>
      <c r="D87" s="207">
        <v>3370.5</v>
      </c>
      <c r="E87" s="64" t="s">
        <v>45</v>
      </c>
      <c r="F87" s="44">
        <v>0</v>
      </c>
      <c r="G87" s="45">
        <v>0</v>
      </c>
      <c r="H87" s="61">
        <v>0</v>
      </c>
      <c r="I87" s="47">
        <v>0</v>
      </c>
      <c r="J87" s="48">
        <v>45929</v>
      </c>
      <c r="K87" s="49" t="s">
        <v>187</v>
      </c>
      <c r="L87" s="202">
        <v>3370.5</v>
      </c>
      <c r="M87" s="186" t="s">
        <v>45</v>
      </c>
      <c r="N87" s="116">
        <v>0</v>
      </c>
      <c r="O87" s="147">
        <f>+(D87*100/107)+G87-(L87*100/107)</f>
        <v>0</v>
      </c>
      <c r="P87" s="147">
        <f t="shared" si="20"/>
        <v>0</v>
      </c>
      <c r="Q87" s="47">
        <f t="shared" si="21"/>
        <v>0</v>
      </c>
      <c r="R87" s="116"/>
      <c r="S87" s="203"/>
      <c r="T87" s="203"/>
      <c r="U87" s="204"/>
      <c r="V87" s="204"/>
    </row>
    <row r="88" spans="1:23" ht="27.75" customHeight="1">
      <c r="A88" s="186">
        <v>4</v>
      </c>
      <c r="B88" s="205" t="s">
        <v>188</v>
      </c>
      <c r="C88" s="206" t="s">
        <v>181</v>
      </c>
      <c r="D88" s="207">
        <v>2140</v>
      </c>
      <c r="E88" s="64" t="s">
        <v>26</v>
      </c>
      <c r="F88" s="44">
        <v>0</v>
      </c>
      <c r="G88" s="45">
        <v>0</v>
      </c>
      <c r="H88" s="45">
        <v>0</v>
      </c>
      <c r="I88" s="66">
        <v>0</v>
      </c>
      <c r="J88" s="48">
        <v>45901</v>
      </c>
      <c r="K88" s="49" t="s">
        <v>189</v>
      </c>
      <c r="L88" s="202">
        <v>2140</v>
      </c>
      <c r="M88" s="186" t="s">
        <v>26</v>
      </c>
      <c r="N88" s="116">
        <v>0</v>
      </c>
      <c r="O88" s="147">
        <f>+(D88*100/107)+G88-(L88*100/107)</f>
        <v>0</v>
      </c>
      <c r="P88" s="147">
        <f t="shared" si="20"/>
        <v>0</v>
      </c>
      <c r="Q88" s="47">
        <f t="shared" si="21"/>
        <v>0</v>
      </c>
      <c r="R88" s="116"/>
      <c r="S88" s="203"/>
      <c r="T88" s="203"/>
      <c r="U88" s="204"/>
      <c r="V88" s="204"/>
    </row>
    <row r="89" spans="1:23" s="220" customFormat="1" ht="27.75" customHeight="1">
      <c r="A89" s="186">
        <v>5</v>
      </c>
      <c r="B89" s="208" t="s">
        <v>71</v>
      </c>
      <c r="C89" s="209" t="s">
        <v>181</v>
      </c>
      <c r="D89" s="210">
        <v>2675</v>
      </c>
      <c r="E89" s="211" t="s">
        <v>73</v>
      </c>
      <c r="F89" s="212">
        <v>-0.5</v>
      </c>
      <c r="G89" s="213">
        <v>-1250</v>
      </c>
      <c r="H89" s="213">
        <v>-87.5</v>
      </c>
      <c r="I89" s="214">
        <v>-1337.5</v>
      </c>
      <c r="J89" s="62">
        <v>45923</v>
      </c>
      <c r="K89" s="215" t="s">
        <v>190</v>
      </c>
      <c r="L89" s="202">
        <v>2675</v>
      </c>
      <c r="M89" s="216" t="s">
        <v>75</v>
      </c>
      <c r="N89" s="217">
        <v>-0.5</v>
      </c>
      <c r="O89" s="147">
        <f>+(D89*100/107)+G89-(L89*100/107)</f>
        <v>-1250</v>
      </c>
      <c r="P89" s="147">
        <f t="shared" si="20"/>
        <v>-87.5</v>
      </c>
      <c r="Q89" s="47">
        <f t="shared" si="21"/>
        <v>-1337.5</v>
      </c>
      <c r="R89" s="217"/>
      <c r="S89" s="218"/>
      <c r="T89" s="218"/>
      <c r="U89" s="219"/>
      <c r="V89" s="219"/>
    </row>
    <row r="90" spans="1:23" ht="27.75" customHeight="1" thickBot="1">
      <c r="A90" s="193"/>
      <c r="B90" s="194" t="s">
        <v>22</v>
      </c>
      <c r="C90" s="195"/>
      <c r="D90" s="196">
        <f>SUM(D85:D89)</f>
        <v>12920.25</v>
      </c>
      <c r="E90" s="221"/>
      <c r="F90" s="197"/>
      <c r="G90" s="198">
        <f>SUM(G85:G89)-G89</f>
        <v>1950</v>
      </c>
      <c r="H90" s="198">
        <f t="shared" ref="H90:I90" si="22">SUM(H85:H89)-H89</f>
        <v>136.5</v>
      </c>
      <c r="I90" s="198">
        <f t="shared" si="22"/>
        <v>2086.5</v>
      </c>
      <c r="J90" s="199"/>
      <c r="K90" s="199"/>
      <c r="L90" s="196">
        <f>SUM(L85:L89)</f>
        <v>14846.25</v>
      </c>
      <c r="M90" s="200"/>
      <c r="N90" s="196"/>
      <c r="O90" s="198">
        <f>SUM(O85:O88)</f>
        <v>150</v>
      </c>
      <c r="P90" s="198">
        <f>SUM(P85:P88)</f>
        <v>10.5</v>
      </c>
      <c r="Q90" s="198">
        <f t="shared" ref="Q90" si="23">ROUND(SUM(Q85:Q89),2)-Q89</f>
        <v>160.5</v>
      </c>
      <c r="R90" s="36"/>
      <c r="S90" s="37"/>
      <c r="T90" s="37"/>
      <c r="U90" s="38"/>
      <c r="V90" s="38"/>
      <c r="W90" s="38"/>
    </row>
    <row r="91" spans="1:23" ht="27.75" customHeight="1" thickTop="1">
      <c r="A91" s="22"/>
      <c r="B91" s="23" t="s">
        <v>191</v>
      </c>
      <c r="C91" s="24"/>
      <c r="D91" s="25"/>
      <c r="E91" s="26"/>
      <c r="F91" s="27"/>
      <c r="G91" s="28"/>
      <c r="H91" s="28"/>
      <c r="I91" s="28"/>
      <c r="J91" s="29"/>
      <c r="K91" s="30"/>
      <c r="L91" s="31"/>
      <c r="M91" s="32"/>
      <c r="N91" s="33"/>
      <c r="O91" s="34"/>
      <c r="P91" s="34"/>
      <c r="Q91" s="35"/>
      <c r="R91" s="36"/>
      <c r="S91" s="37"/>
      <c r="T91" s="37"/>
      <c r="U91" s="38"/>
      <c r="V91" s="38"/>
      <c r="W91" s="38"/>
    </row>
    <row r="92" spans="1:23" ht="27.75" customHeight="1">
      <c r="A92" s="94">
        <v>1</v>
      </c>
      <c r="B92" s="40" t="s">
        <v>192</v>
      </c>
      <c r="C92" s="41" t="s">
        <v>193</v>
      </c>
      <c r="D92" s="141">
        <v>2140</v>
      </c>
      <c r="E92" s="43"/>
      <c r="F92" s="44"/>
      <c r="G92" s="45">
        <v>0</v>
      </c>
      <c r="H92" s="61">
        <v>0</v>
      </c>
      <c r="I92" s="47">
        <v>0</v>
      </c>
      <c r="J92" s="175">
        <v>45905</v>
      </c>
      <c r="K92" s="176" t="s">
        <v>194</v>
      </c>
      <c r="L92" s="222">
        <v>2140</v>
      </c>
      <c r="M92" s="94"/>
      <c r="N92" s="116"/>
      <c r="O92" s="147">
        <v>0</v>
      </c>
      <c r="P92" s="147">
        <v>0</v>
      </c>
      <c r="Q92" s="47">
        <v>0</v>
      </c>
      <c r="R92" s="39" t="s">
        <v>195</v>
      </c>
      <c r="S92" s="55">
        <v>42491</v>
      </c>
      <c r="T92" s="55">
        <v>43585</v>
      </c>
      <c r="U92" s="56">
        <v>262800</v>
      </c>
      <c r="V92" s="56"/>
    </row>
    <row r="93" spans="1:23" ht="27.75" customHeight="1" thickBot="1">
      <c r="A93" s="193"/>
      <c r="B93" s="194" t="s">
        <v>22</v>
      </c>
      <c r="C93" s="195"/>
      <c r="D93" s="196">
        <v>2140</v>
      </c>
      <c r="E93" s="221"/>
      <c r="F93" s="197"/>
      <c r="G93" s="198">
        <v>0</v>
      </c>
      <c r="H93" s="198">
        <v>0</v>
      </c>
      <c r="I93" s="198">
        <v>0</v>
      </c>
      <c r="J93" s="199"/>
      <c r="K93" s="199"/>
      <c r="L93" s="196">
        <f>SUM(L92)</f>
        <v>2140</v>
      </c>
      <c r="M93" s="200"/>
      <c r="N93" s="196"/>
      <c r="O93" s="198">
        <v>0</v>
      </c>
      <c r="P93" s="198">
        <v>0</v>
      </c>
      <c r="Q93" s="198">
        <v>0</v>
      </c>
      <c r="R93" s="36"/>
      <c r="S93" s="37"/>
      <c r="T93" s="37"/>
      <c r="U93" s="38"/>
      <c r="V93" s="38"/>
      <c r="W93" s="38"/>
    </row>
    <row r="94" spans="1:23" ht="27.75" customHeight="1" thickTop="1">
      <c r="A94" s="22"/>
      <c r="B94" s="23" t="s">
        <v>196</v>
      </c>
      <c r="C94" s="24"/>
      <c r="D94" s="25"/>
      <c r="E94" s="26"/>
      <c r="F94" s="27"/>
      <c r="G94" s="28"/>
      <c r="H94" s="28"/>
      <c r="I94" s="28"/>
      <c r="J94" s="29"/>
      <c r="K94" s="30"/>
      <c r="L94" s="31"/>
      <c r="M94" s="32"/>
      <c r="N94" s="33"/>
      <c r="O94" s="34"/>
      <c r="P94" s="34"/>
      <c r="Q94" s="35"/>
      <c r="R94" s="36"/>
      <c r="S94" s="37"/>
      <c r="T94" s="37"/>
      <c r="U94" s="38"/>
      <c r="V94" s="38"/>
      <c r="W94" s="38"/>
    </row>
    <row r="95" spans="1:23" s="226" customFormat="1" ht="27.75" customHeight="1">
      <c r="A95" s="94"/>
      <c r="B95" s="223" t="s">
        <v>197</v>
      </c>
      <c r="C95" s="224"/>
      <c r="D95" s="225"/>
      <c r="E95" s="80"/>
      <c r="F95" s="44"/>
      <c r="G95" s="61"/>
      <c r="H95" s="61"/>
      <c r="I95" s="85"/>
      <c r="J95" s="178"/>
      <c r="K95" s="176"/>
      <c r="L95" s="222"/>
      <c r="M95" s="83"/>
      <c r="N95" s="116"/>
      <c r="O95" s="147"/>
      <c r="P95" s="147"/>
      <c r="Q95" s="47"/>
      <c r="R95" s="39"/>
      <c r="S95" s="55"/>
      <c r="T95" s="55"/>
      <c r="U95" s="56"/>
      <c r="V95" s="56"/>
    </row>
    <row r="96" spans="1:23" s="226" customFormat="1" ht="27.75" customHeight="1">
      <c r="A96" s="94">
        <v>1</v>
      </c>
      <c r="B96" s="181" t="s">
        <v>198</v>
      </c>
      <c r="C96" s="224" t="s">
        <v>199</v>
      </c>
      <c r="D96" s="225">
        <v>26750</v>
      </c>
      <c r="E96" s="80" t="s">
        <v>26</v>
      </c>
      <c r="F96" s="44">
        <v>0</v>
      </c>
      <c r="G96" s="61">
        <v>0</v>
      </c>
      <c r="H96" s="61">
        <v>0</v>
      </c>
      <c r="I96" s="85">
        <v>0</v>
      </c>
      <c r="J96" s="113">
        <v>45902</v>
      </c>
      <c r="K96" s="114" t="s">
        <v>200</v>
      </c>
      <c r="L96" s="144">
        <v>26750</v>
      </c>
      <c r="M96" s="83" t="s">
        <v>26</v>
      </c>
      <c r="N96" s="116">
        <v>0</v>
      </c>
      <c r="O96" s="147">
        <f t="shared" ref="O96:O108" si="24">+(D96*100/107)+G96-(L96*100/107)</f>
        <v>0</v>
      </c>
      <c r="P96" s="147">
        <f t="shared" ref="P96:P108" si="25">ROUND((O96*0.07),2)</f>
        <v>0</v>
      </c>
      <c r="Q96" s="47">
        <f t="shared" ref="Q96:Q108" si="26">+O96+P96</f>
        <v>0</v>
      </c>
      <c r="R96" s="39"/>
      <c r="S96" s="55"/>
      <c r="T96" s="55"/>
      <c r="U96" s="56"/>
      <c r="V96" s="56"/>
    </row>
    <row r="97" spans="1:22" s="226" customFormat="1" ht="27.75" customHeight="1">
      <c r="A97" s="94">
        <v>2</v>
      </c>
      <c r="B97" s="181" t="s">
        <v>201</v>
      </c>
      <c r="C97" s="224" t="s">
        <v>202</v>
      </c>
      <c r="D97" s="225">
        <v>0</v>
      </c>
      <c r="E97" s="80" t="s">
        <v>26</v>
      </c>
      <c r="F97" s="44">
        <v>0</v>
      </c>
      <c r="G97" s="61">
        <v>0</v>
      </c>
      <c r="H97" s="61">
        <v>0</v>
      </c>
      <c r="I97" s="85">
        <v>0</v>
      </c>
      <c r="J97" s="113"/>
      <c r="K97" s="114"/>
      <c r="L97" s="144"/>
      <c r="M97" s="83" t="s">
        <v>26</v>
      </c>
      <c r="N97" s="116">
        <v>0</v>
      </c>
      <c r="O97" s="147">
        <f t="shared" si="24"/>
        <v>0</v>
      </c>
      <c r="P97" s="147">
        <f t="shared" si="25"/>
        <v>0</v>
      </c>
      <c r="Q97" s="47">
        <f t="shared" si="26"/>
        <v>0</v>
      </c>
      <c r="R97" s="39"/>
      <c r="S97" s="55"/>
      <c r="T97" s="55"/>
      <c r="U97" s="56"/>
      <c r="V97" s="226" t="s">
        <v>203</v>
      </c>
    </row>
    <row r="98" spans="1:22" s="226" customFormat="1" ht="27.75" customHeight="1">
      <c r="A98" s="94">
        <v>3</v>
      </c>
      <c r="B98" s="181" t="s">
        <v>204</v>
      </c>
      <c r="C98" s="224" t="s">
        <v>205</v>
      </c>
      <c r="D98" s="225">
        <v>22470</v>
      </c>
      <c r="E98" s="80" t="s">
        <v>45</v>
      </c>
      <c r="F98" s="44">
        <v>0</v>
      </c>
      <c r="G98" s="61">
        <v>0</v>
      </c>
      <c r="H98" s="61">
        <v>0</v>
      </c>
      <c r="I98" s="85">
        <v>0</v>
      </c>
      <c r="J98" s="113">
        <v>45922</v>
      </c>
      <c r="K98" s="114" t="s">
        <v>206</v>
      </c>
      <c r="L98" s="144">
        <v>22470</v>
      </c>
      <c r="M98" s="83" t="s">
        <v>45</v>
      </c>
      <c r="N98" s="116">
        <v>0</v>
      </c>
      <c r="O98" s="147">
        <f t="shared" si="24"/>
        <v>0</v>
      </c>
      <c r="P98" s="147">
        <f t="shared" si="25"/>
        <v>0</v>
      </c>
      <c r="Q98" s="47">
        <f t="shared" si="26"/>
        <v>0</v>
      </c>
      <c r="R98" s="39"/>
      <c r="S98" s="55"/>
      <c r="T98" s="55"/>
      <c r="U98" s="56"/>
      <c r="V98" s="56"/>
    </row>
    <row r="99" spans="1:22" s="226" customFormat="1" ht="27.75" customHeight="1">
      <c r="A99" s="94">
        <v>4</v>
      </c>
      <c r="B99" s="181" t="s">
        <v>204</v>
      </c>
      <c r="C99" s="224" t="s">
        <v>207</v>
      </c>
      <c r="D99" s="225">
        <v>22470</v>
      </c>
      <c r="E99" s="80" t="s">
        <v>45</v>
      </c>
      <c r="F99" s="44">
        <v>0</v>
      </c>
      <c r="G99" s="61">
        <v>0</v>
      </c>
      <c r="H99" s="61">
        <v>0</v>
      </c>
      <c r="I99" s="85">
        <v>0</v>
      </c>
      <c r="J99" s="113">
        <v>45922</v>
      </c>
      <c r="K99" s="114" t="s">
        <v>206</v>
      </c>
      <c r="L99" s="144">
        <v>22470</v>
      </c>
      <c r="M99" s="83" t="s">
        <v>45</v>
      </c>
      <c r="N99" s="116">
        <v>0</v>
      </c>
      <c r="O99" s="147">
        <f t="shared" si="24"/>
        <v>0</v>
      </c>
      <c r="P99" s="147">
        <f t="shared" si="25"/>
        <v>0</v>
      </c>
      <c r="Q99" s="47">
        <f t="shared" si="26"/>
        <v>0</v>
      </c>
      <c r="R99" s="39"/>
      <c r="S99" s="55"/>
      <c r="T99" s="55"/>
      <c r="U99" s="56"/>
      <c r="V99" s="56"/>
    </row>
    <row r="100" spans="1:22" s="226" customFormat="1" ht="27.75" customHeight="1">
      <c r="A100" s="94">
        <v>5</v>
      </c>
      <c r="B100" s="181" t="s">
        <v>201</v>
      </c>
      <c r="C100" s="224" t="s">
        <v>208</v>
      </c>
      <c r="D100" s="225">
        <v>0</v>
      </c>
      <c r="E100" s="80" t="s">
        <v>26</v>
      </c>
      <c r="F100" s="44">
        <v>0</v>
      </c>
      <c r="G100" s="61">
        <v>0</v>
      </c>
      <c r="H100" s="61">
        <v>0</v>
      </c>
      <c r="I100" s="85">
        <v>0</v>
      </c>
      <c r="J100" s="113"/>
      <c r="K100" s="114"/>
      <c r="L100" s="144"/>
      <c r="M100" s="83" t="s">
        <v>26</v>
      </c>
      <c r="N100" s="116">
        <v>0</v>
      </c>
      <c r="O100" s="147">
        <f t="shared" si="24"/>
        <v>0</v>
      </c>
      <c r="P100" s="147">
        <f t="shared" si="25"/>
        <v>0</v>
      </c>
      <c r="Q100" s="47">
        <f t="shared" si="26"/>
        <v>0</v>
      </c>
      <c r="R100" s="39"/>
      <c r="S100" s="55"/>
      <c r="T100" s="55"/>
      <c r="U100" s="56"/>
      <c r="V100" s="56"/>
    </row>
    <row r="101" spans="1:22" s="226" customFormat="1" ht="27.75" customHeight="1">
      <c r="A101" s="94">
        <v>6</v>
      </c>
      <c r="B101" s="181" t="s">
        <v>201</v>
      </c>
      <c r="C101" s="224" t="s">
        <v>209</v>
      </c>
      <c r="D101" s="225">
        <v>0</v>
      </c>
      <c r="E101" s="80" t="s">
        <v>26</v>
      </c>
      <c r="F101" s="44">
        <v>0</v>
      </c>
      <c r="G101" s="61">
        <v>0</v>
      </c>
      <c r="H101" s="61">
        <v>0</v>
      </c>
      <c r="I101" s="85">
        <v>0</v>
      </c>
      <c r="J101" s="113"/>
      <c r="K101" s="114"/>
      <c r="L101" s="144"/>
      <c r="M101" s="83" t="s">
        <v>26</v>
      </c>
      <c r="N101" s="116">
        <v>0</v>
      </c>
      <c r="O101" s="147">
        <f t="shared" si="24"/>
        <v>0</v>
      </c>
      <c r="P101" s="147">
        <f t="shared" si="25"/>
        <v>0</v>
      </c>
      <c r="Q101" s="47">
        <f t="shared" si="26"/>
        <v>0</v>
      </c>
      <c r="R101" s="39"/>
      <c r="S101" s="55"/>
      <c r="T101" s="55"/>
      <c r="U101" s="56"/>
      <c r="V101" s="56"/>
    </row>
    <row r="102" spans="1:22" s="226" customFormat="1" ht="27.75" customHeight="1">
      <c r="A102" s="94">
        <v>7</v>
      </c>
      <c r="B102" s="181" t="s">
        <v>210</v>
      </c>
      <c r="C102" s="224" t="s">
        <v>211</v>
      </c>
      <c r="D102" s="225">
        <v>22470</v>
      </c>
      <c r="E102" s="80" t="s">
        <v>131</v>
      </c>
      <c r="F102" s="44">
        <v>-0.934579439252336</v>
      </c>
      <c r="G102" s="61">
        <v>-21000</v>
      </c>
      <c r="H102" s="61">
        <v>-1470</v>
      </c>
      <c r="I102" s="85">
        <v>-22470</v>
      </c>
      <c r="J102" s="113">
        <v>45928</v>
      </c>
      <c r="K102" s="114" t="s">
        <v>212</v>
      </c>
      <c r="L102" s="144">
        <v>22470</v>
      </c>
      <c r="M102" s="87" t="s">
        <v>32</v>
      </c>
      <c r="N102" s="116">
        <v>-0.934579439252336</v>
      </c>
      <c r="O102" s="147">
        <f t="shared" si="24"/>
        <v>-21000</v>
      </c>
      <c r="P102" s="147">
        <f t="shared" si="25"/>
        <v>-1470</v>
      </c>
      <c r="Q102" s="47">
        <f t="shared" si="26"/>
        <v>-22470</v>
      </c>
      <c r="R102" s="39"/>
      <c r="S102" s="55"/>
      <c r="T102" s="55"/>
      <c r="U102" s="56"/>
      <c r="V102" s="56"/>
    </row>
    <row r="103" spans="1:22" s="226" customFormat="1" ht="27.75" customHeight="1">
      <c r="A103" s="94">
        <v>8</v>
      </c>
      <c r="B103" s="181" t="s">
        <v>201</v>
      </c>
      <c r="C103" s="224" t="s">
        <v>213</v>
      </c>
      <c r="D103" s="225">
        <v>0</v>
      </c>
      <c r="E103" s="80" t="s">
        <v>26</v>
      </c>
      <c r="F103" s="44">
        <v>0</v>
      </c>
      <c r="G103" s="61">
        <v>0</v>
      </c>
      <c r="H103" s="61">
        <v>0</v>
      </c>
      <c r="I103" s="85">
        <v>0</v>
      </c>
      <c r="J103" s="113"/>
      <c r="K103" s="114"/>
      <c r="L103" s="144"/>
      <c r="M103" s="83" t="s">
        <v>26</v>
      </c>
      <c r="N103" s="116">
        <v>0</v>
      </c>
      <c r="O103" s="147">
        <f t="shared" si="24"/>
        <v>0</v>
      </c>
      <c r="P103" s="147">
        <f t="shared" si="25"/>
        <v>0</v>
      </c>
      <c r="Q103" s="47">
        <f t="shared" si="26"/>
        <v>0</v>
      </c>
      <c r="R103" s="39"/>
      <c r="S103" s="55"/>
      <c r="T103" s="55"/>
      <c r="U103" s="56"/>
      <c r="V103" s="56"/>
    </row>
    <row r="104" spans="1:22" s="226" customFormat="1" ht="27.75" customHeight="1">
      <c r="A104" s="94">
        <v>9</v>
      </c>
      <c r="B104" s="181" t="s">
        <v>214</v>
      </c>
      <c r="C104" s="224" t="s">
        <v>215</v>
      </c>
      <c r="D104" s="225">
        <v>22470</v>
      </c>
      <c r="E104" s="80" t="s">
        <v>26</v>
      </c>
      <c r="F104" s="44">
        <v>0</v>
      </c>
      <c r="G104" s="61">
        <v>0</v>
      </c>
      <c r="H104" s="61">
        <v>0</v>
      </c>
      <c r="I104" s="85">
        <v>0</v>
      </c>
      <c r="J104" s="113">
        <v>45901</v>
      </c>
      <c r="K104" s="114" t="s">
        <v>216</v>
      </c>
      <c r="L104" s="144">
        <v>22470</v>
      </c>
      <c r="M104" s="83" t="s">
        <v>26</v>
      </c>
      <c r="N104" s="116">
        <v>0</v>
      </c>
      <c r="O104" s="147">
        <f t="shared" si="24"/>
        <v>0</v>
      </c>
      <c r="P104" s="147">
        <f t="shared" si="25"/>
        <v>0</v>
      </c>
      <c r="Q104" s="47">
        <f t="shared" si="26"/>
        <v>0</v>
      </c>
      <c r="R104" s="39"/>
      <c r="S104" s="55"/>
      <c r="T104" s="55"/>
      <c r="U104" s="56"/>
      <c r="V104" s="56"/>
    </row>
    <row r="105" spans="1:22" s="226" customFormat="1" ht="27.75" customHeight="1">
      <c r="A105" s="94">
        <v>10</v>
      </c>
      <c r="B105" s="181" t="s">
        <v>217</v>
      </c>
      <c r="C105" s="224" t="s">
        <v>218</v>
      </c>
      <c r="D105" s="225">
        <v>22470</v>
      </c>
      <c r="E105" s="80" t="s">
        <v>26</v>
      </c>
      <c r="F105" s="44">
        <v>0</v>
      </c>
      <c r="G105" s="61">
        <v>0</v>
      </c>
      <c r="H105" s="61">
        <v>0</v>
      </c>
      <c r="I105" s="85">
        <v>0</v>
      </c>
      <c r="J105" s="113">
        <v>45919</v>
      </c>
      <c r="K105" s="114" t="s">
        <v>219</v>
      </c>
      <c r="L105" s="144">
        <v>22470</v>
      </c>
      <c r="M105" s="83" t="s">
        <v>26</v>
      </c>
      <c r="N105" s="116">
        <v>0</v>
      </c>
      <c r="O105" s="147">
        <f t="shared" si="24"/>
        <v>0</v>
      </c>
      <c r="P105" s="147">
        <f t="shared" si="25"/>
        <v>0</v>
      </c>
      <c r="Q105" s="47">
        <f t="shared" si="26"/>
        <v>0</v>
      </c>
      <c r="R105" s="39"/>
      <c r="S105" s="55"/>
      <c r="T105" s="55"/>
      <c r="U105" s="56"/>
      <c r="V105" s="56"/>
    </row>
    <row r="106" spans="1:22" s="226" customFormat="1" ht="27.75" customHeight="1">
      <c r="A106" s="94">
        <v>11</v>
      </c>
      <c r="B106" s="181" t="s">
        <v>217</v>
      </c>
      <c r="C106" s="224" t="s">
        <v>220</v>
      </c>
      <c r="D106" s="225">
        <v>22470</v>
      </c>
      <c r="E106" s="80" t="s">
        <v>26</v>
      </c>
      <c r="F106" s="44">
        <v>0</v>
      </c>
      <c r="G106" s="61">
        <v>0</v>
      </c>
      <c r="H106" s="61">
        <v>0</v>
      </c>
      <c r="I106" s="85">
        <v>0</v>
      </c>
      <c r="J106" s="113">
        <v>45919</v>
      </c>
      <c r="K106" s="114" t="s">
        <v>219</v>
      </c>
      <c r="L106" s="144">
        <v>22470</v>
      </c>
      <c r="M106" s="83" t="s">
        <v>26</v>
      </c>
      <c r="N106" s="116">
        <v>0</v>
      </c>
      <c r="O106" s="147">
        <f t="shared" si="24"/>
        <v>0</v>
      </c>
      <c r="P106" s="147">
        <f t="shared" si="25"/>
        <v>0</v>
      </c>
      <c r="Q106" s="47">
        <f t="shared" si="26"/>
        <v>0</v>
      </c>
      <c r="R106" s="39"/>
      <c r="S106" s="55"/>
      <c r="T106" s="55"/>
      <c r="U106" s="56"/>
      <c r="V106" s="56"/>
    </row>
    <row r="107" spans="1:22" s="226" customFormat="1" ht="27.75" customHeight="1">
      <c r="A107" s="94">
        <v>12</v>
      </c>
      <c r="B107" s="181" t="s">
        <v>217</v>
      </c>
      <c r="C107" s="224" t="s">
        <v>221</v>
      </c>
      <c r="D107" s="225">
        <v>22470</v>
      </c>
      <c r="E107" s="80" t="s">
        <v>26</v>
      </c>
      <c r="F107" s="44">
        <v>0</v>
      </c>
      <c r="G107" s="61">
        <v>0</v>
      </c>
      <c r="H107" s="61">
        <v>0</v>
      </c>
      <c r="I107" s="85">
        <v>0</v>
      </c>
      <c r="J107" s="113">
        <v>45919</v>
      </c>
      <c r="K107" s="114" t="s">
        <v>219</v>
      </c>
      <c r="L107" s="144">
        <v>22470</v>
      </c>
      <c r="M107" s="83" t="s">
        <v>26</v>
      </c>
      <c r="N107" s="116">
        <v>0</v>
      </c>
      <c r="O107" s="147">
        <f t="shared" si="24"/>
        <v>0</v>
      </c>
      <c r="P107" s="147">
        <f t="shared" si="25"/>
        <v>0</v>
      </c>
      <c r="Q107" s="47">
        <f t="shared" si="26"/>
        <v>0</v>
      </c>
      <c r="R107" s="39"/>
      <c r="S107" s="55"/>
      <c r="T107" s="55"/>
      <c r="U107" s="56"/>
      <c r="V107" s="56"/>
    </row>
    <row r="108" spans="1:22" s="226" customFormat="1" ht="27.75" customHeight="1">
      <c r="A108" s="186">
        <v>13</v>
      </c>
      <c r="B108" s="181" t="s">
        <v>222</v>
      </c>
      <c r="C108" s="227" t="s">
        <v>223</v>
      </c>
      <c r="D108" s="228">
        <v>32100</v>
      </c>
      <c r="E108" s="123" t="s">
        <v>26</v>
      </c>
      <c r="F108" s="44">
        <v>0</v>
      </c>
      <c r="G108" s="45">
        <v>0</v>
      </c>
      <c r="H108" s="45">
        <v>0</v>
      </c>
      <c r="I108" s="229">
        <v>0</v>
      </c>
      <c r="J108" s="230">
        <v>45901</v>
      </c>
      <c r="K108" s="184" t="s">
        <v>224</v>
      </c>
      <c r="L108" s="231">
        <v>32100</v>
      </c>
      <c r="M108" s="232" t="s">
        <v>26</v>
      </c>
      <c r="N108" s="116">
        <v>0</v>
      </c>
      <c r="O108" s="233">
        <f t="shared" si="24"/>
        <v>0</v>
      </c>
      <c r="P108" s="233">
        <f t="shared" si="25"/>
        <v>0</v>
      </c>
      <c r="Q108" s="66">
        <f t="shared" si="26"/>
        <v>0</v>
      </c>
      <c r="R108" s="39"/>
      <c r="S108" s="55"/>
      <c r="T108" s="55"/>
      <c r="U108" s="56"/>
      <c r="V108" s="56" t="s">
        <v>225</v>
      </c>
    </row>
    <row r="109" spans="1:22" s="226" customFormat="1" ht="27.75" customHeight="1" thickBot="1">
      <c r="A109" s="234"/>
      <c r="B109" s="194" t="s">
        <v>22</v>
      </c>
      <c r="C109" s="235"/>
      <c r="D109" s="236">
        <f>SUM(D96:D108)</f>
        <v>216140</v>
      </c>
      <c r="E109" s="237"/>
      <c r="F109" s="238"/>
      <c r="G109" s="239"/>
      <c r="H109" s="239"/>
      <c r="I109" s="240"/>
      <c r="J109" s="241"/>
      <c r="K109" s="234"/>
      <c r="L109" s="236">
        <f>SUM(L96:L108)</f>
        <v>216140</v>
      </c>
      <c r="M109" s="234"/>
      <c r="N109" s="242"/>
      <c r="O109" s="243"/>
      <c r="P109" s="243"/>
      <c r="Q109" s="240"/>
      <c r="R109" s="39"/>
      <c r="S109" s="55"/>
      <c r="T109" s="55"/>
      <c r="U109" s="56"/>
      <c r="V109" s="56"/>
    </row>
    <row r="110" spans="1:22" s="226" customFormat="1" ht="27.75" customHeight="1" thickTop="1">
      <c r="A110" s="83"/>
      <c r="B110" s="244" t="s">
        <v>226</v>
      </c>
      <c r="C110" s="245"/>
      <c r="D110" s="246"/>
      <c r="E110" s="80"/>
      <c r="F110" s="126"/>
      <c r="G110" s="46"/>
      <c r="H110" s="46"/>
      <c r="I110" s="247"/>
      <c r="J110" s="248"/>
      <c r="K110" s="249"/>
      <c r="L110" s="250"/>
      <c r="M110" s="83"/>
      <c r="N110" s="251"/>
      <c r="O110" s="252"/>
      <c r="P110" s="252"/>
      <c r="Q110" s="85"/>
      <c r="R110" s="39"/>
      <c r="S110" s="55"/>
      <c r="T110" s="55"/>
      <c r="U110" s="56"/>
      <c r="V110" s="56"/>
    </row>
    <row r="111" spans="1:22" s="226" customFormat="1" ht="27.75" customHeight="1">
      <c r="A111" s="94">
        <v>1</v>
      </c>
      <c r="B111" s="41" t="s">
        <v>227</v>
      </c>
      <c r="C111" s="224" t="s">
        <v>228</v>
      </c>
      <c r="D111" s="225">
        <v>22470</v>
      </c>
      <c r="E111" s="80" t="s">
        <v>26</v>
      </c>
      <c r="F111" s="44"/>
      <c r="G111" s="61">
        <v>0</v>
      </c>
      <c r="H111" s="61">
        <v>0</v>
      </c>
      <c r="I111" s="85">
        <v>0</v>
      </c>
      <c r="J111" s="113">
        <v>45930</v>
      </c>
      <c r="K111" s="114" t="s">
        <v>229</v>
      </c>
      <c r="L111" s="253">
        <v>22470</v>
      </c>
      <c r="M111" s="83" t="s">
        <v>26</v>
      </c>
      <c r="N111" s="116">
        <v>0</v>
      </c>
      <c r="O111" s="147">
        <f>+(D111*100/107)+G111-(L111*100/107)</f>
        <v>0</v>
      </c>
      <c r="P111" s="147">
        <f t="shared" ref="P111:P122" si="27">ROUND((O111*0.07),2)</f>
        <v>0</v>
      </c>
      <c r="Q111" s="47">
        <f t="shared" ref="Q111:Q122" si="28">+O111+P111</f>
        <v>0</v>
      </c>
      <c r="R111" s="39"/>
      <c r="S111" s="55"/>
      <c r="T111" s="55"/>
      <c r="U111" s="56"/>
      <c r="V111" s="56"/>
    </row>
    <row r="112" spans="1:22" s="226" customFormat="1" ht="27.75" customHeight="1">
      <c r="A112" s="94">
        <v>2</v>
      </c>
      <c r="B112" s="41" t="s">
        <v>227</v>
      </c>
      <c r="C112" s="224" t="s">
        <v>230</v>
      </c>
      <c r="D112" s="246">
        <v>22470</v>
      </c>
      <c r="E112" s="80" t="s">
        <v>26</v>
      </c>
      <c r="F112" s="44"/>
      <c r="G112" s="61">
        <v>0</v>
      </c>
      <c r="H112" s="61">
        <v>0</v>
      </c>
      <c r="I112" s="85">
        <v>0</v>
      </c>
      <c r="J112" s="113">
        <v>45930</v>
      </c>
      <c r="K112" s="114" t="s">
        <v>229</v>
      </c>
      <c r="L112" s="253">
        <v>22470</v>
      </c>
      <c r="M112" s="83" t="s">
        <v>26</v>
      </c>
      <c r="N112" s="116">
        <v>0</v>
      </c>
      <c r="O112" s="147">
        <f>+(D112*100/107)+G112-(L112*100/107)</f>
        <v>0</v>
      </c>
      <c r="P112" s="147">
        <f t="shared" si="27"/>
        <v>0</v>
      </c>
      <c r="Q112" s="47">
        <f t="shared" si="28"/>
        <v>0</v>
      </c>
      <c r="R112" s="39"/>
      <c r="S112" s="55"/>
      <c r="T112" s="55"/>
      <c r="U112" s="56"/>
      <c r="V112" s="56"/>
    </row>
    <row r="113" spans="1:22" s="226" customFormat="1" ht="27.75" customHeight="1">
      <c r="A113" s="94">
        <v>3</v>
      </c>
      <c r="B113" s="41" t="s">
        <v>227</v>
      </c>
      <c r="C113" s="224" t="s">
        <v>231</v>
      </c>
      <c r="D113" s="246">
        <v>22470</v>
      </c>
      <c r="E113" s="80" t="s">
        <v>26</v>
      </c>
      <c r="F113" s="44"/>
      <c r="G113" s="61">
        <v>0</v>
      </c>
      <c r="H113" s="61">
        <v>0</v>
      </c>
      <c r="I113" s="85">
        <v>0</v>
      </c>
      <c r="J113" s="254">
        <v>45930</v>
      </c>
      <c r="K113" s="255" t="s">
        <v>229</v>
      </c>
      <c r="L113" s="256">
        <v>22470</v>
      </c>
      <c r="M113" s="83" t="s">
        <v>26</v>
      </c>
      <c r="N113" s="116">
        <v>0</v>
      </c>
      <c r="O113" s="147">
        <f t="shared" ref="O113:O120" si="29">+(D113*100/107)+G113-(L113*100/107)</f>
        <v>0</v>
      </c>
      <c r="P113" s="147">
        <f t="shared" si="27"/>
        <v>0</v>
      </c>
      <c r="Q113" s="47">
        <f t="shared" si="28"/>
        <v>0</v>
      </c>
      <c r="R113" s="39"/>
      <c r="S113" s="55"/>
      <c r="T113" s="55"/>
      <c r="U113" s="56"/>
      <c r="V113" s="56"/>
    </row>
    <row r="114" spans="1:22" s="226" customFormat="1" ht="27.75" customHeight="1">
      <c r="A114" s="94">
        <v>4</v>
      </c>
      <c r="B114" s="41" t="s">
        <v>227</v>
      </c>
      <c r="C114" s="224" t="s">
        <v>232</v>
      </c>
      <c r="D114" s="246">
        <v>22470</v>
      </c>
      <c r="E114" s="80" t="s">
        <v>26</v>
      </c>
      <c r="F114" s="44"/>
      <c r="G114" s="61">
        <v>0</v>
      </c>
      <c r="H114" s="61">
        <v>0</v>
      </c>
      <c r="I114" s="85">
        <v>0</v>
      </c>
      <c r="J114" s="127">
        <v>45930</v>
      </c>
      <c r="K114" s="128" t="s">
        <v>229</v>
      </c>
      <c r="L114" s="257">
        <v>22470</v>
      </c>
      <c r="M114" s="83" t="s">
        <v>26</v>
      </c>
      <c r="N114" s="116">
        <v>0</v>
      </c>
      <c r="O114" s="147">
        <f t="shared" si="29"/>
        <v>0</v>
      </c>
      <c r="P114" s="147">
        <f t="shared" si="27"/>
        <v>0</v>
      </c>
      <c r="Q114" s="47">
        <f t="shared" si="28"/>
        <v>0</v>
      </c>
      <c r="R114" s="39"/>
      <c r="S114" s="55"/>
      <c r="T114" s="55"/>
      <c r="U114" s="56"/>
      <c r="V114" s="56"/>
    </row>
    <row r="115" spans="1:22" s="226" customFormat="1" ht="27.75" customHeight="1">
      <c r="A115" s="94">
        <v>5</v>
      </c>
      <c r="B115" s="41" t="s">
        <v>227</v>
      </c>
      <c r="C115" s="224" t="s">
        <v>233</v>
      </c>
      <c r="D115" s="246">
        <v>22470</v>
      </c>
      <c r="E115" s="80" t="s">
        <v>26</v>
      </c>
      <c r="F115" s="44"/>
      <c r="G115" s="61">
        <v>0</v>
      </c>
      <c r="H115" s="61">
        <v>0</v>
      </c>
      <c r="I115" s="85">
        <v>0</v>
      </c>
      <c r="J115" s="127">
        <v>45930</v>
      </c>
      <c r="K115" s="128" t="s">
        <v>229</v>
      </c>
      <c r="L115" s="257">
        <v>22470</v>
      </c>
      <c r="M115" s="83" t="s">
        <v>26</v>
      </c>
      <c r="N115" s="116">
        <v>0</v>
      </c>
      <c r="O115" s="147">
        <f t="shared" si="29"/>
        <v>0</v>
      </c>
      <c r="P115" s="147">
        <f t="shared" si="27"/>
        <v>0</v>
      </c>
      <c r="Q115" s="47">
        <f t="shared" si="28"/>
        <v>0</v>
      </c>
      <c r="R115" s="39"/>
      <c r="S115" s="55"/>
      <c r="T115" s="55"/>
      <c r="U115" s="56"/>
      <c r="V115" s="56"/>
    </row>
    <row r="116" spans="1:22" s="226" customFormat="1" ht="27.75" customHeight="1">
      <c r="A116" s="94">
        <v>6</v>
      </c>
      <c r="B116" s="41" t="s">
        <v>234</v>
      </c>
      <c r="C116" s="224" t="s">
        <v>235</v>
      </c>
      <c r="D116" s="246">
        <v>22470</v>
      </c>
      <c r="E116" s="80" t="s">
        <v>26</v>
      </c>
      <c r="F116" s="44"/>
      <c r="G116" s="61">
        <v>0</v>
      </c>
      <c r="H116" s="61">
        <v>0</v>
      </c>
      <c r="I116" s="85">
        <v>0</v>
      </c>
      <c r="J116" s="127">
        <v>45930</v>
      </c>
      <c r="K116" s="128" t="s">
        <v>229</v>
      </c>
      <c r="L116" s="257">
        <v>22470</v>
      </c>
      <c r="M116" s="83" t="s">
        <v>26</v>
      </c>
      <c r="N116" s="116">
        <v>0</v>
      </c>
      <c r="O116" s="147">
        <f t="shared" si="29"/>
        <v>0</v>
      </c>
      <c r="P116" s="147">
        <f t="shared" si="27"/>
        <v>0</v>
      </c>
      <c r="Q116" s="47">
        <f t="shared" si="28"/>
        <v>0</v>
      </c>
      <c r="R116" s="39"/>
      <c r="S116" s="55"/>
      <c r="T116" s="55"/>
      <c r="U116" s="56"/>
      <c r="V116" s="56"/>
    </row>
    <row r="117" spans="1:22" s="226" customFormat="1" ht="27.75" customHeight="1">
      <c r="A117" s="94">
        <v>7</v>
      </c>
      <c r="B117" s="41" t="s">
        <v>236</v>
      </c>
      <c r="C117" s="224" t="s">
        <v>237</v>
      </c>
      <c r="D117" s="225">
        <v>22470</v>
      </c>
      <c r="E117" s="80" t="s">
        <v>26</v>
      </c>
      <c r="F117" s="44"/>
      <c r="G117" s="61">
        <v>0</v>
      </c>
      <c r="H117" s="61">
        <v>0</v>
      </c>
      <c r="I117" s="85">
        <v>0</v>
      </c>
      <c r="J117" s="113">
        <v>45929</v>
      </c>
      <c r="K117" s="114" t="s">
        <v>238</v>
      </c>
      <c r="L117" s="257">
        <v>22470</v>
      </c>
      <c r="M117" s="83" t="s">
        <v>26</v>
      </c>
      <c r="N117" s="116">
        <v>0</v>
      </c>
      <c r="O117" s="147">
        <f t="shared" si="29"/>
        <v>0</v>
      </c>
      <c r="P117" s="147">
        <f t="shared" si="27"/>
        <v>0</v>
      </c>
      <c r="Q117" s="47">
        <f t="shared" si="28"/>
        <v>0</v>
      </c>
      <c r="R117" s="39"/>
      <c r="S117" s="55"/>
      <c r="T117" s="55"/>
      <c r="U117" s="56"/>
      <c r="V117" s="56"/>
    </row>
    <row r="118" spans="1:22" s="226" customFormat="1" ht="27.75" customHeight="1">
      <c r="A118" s="94">
        <v>8</v>
      </c>
      <c r="B118" s="41" t="s">
        <v>236</v>
      </c>
      <c r="C118" s="224" t="s">
        <v>239</v>
      </c>
      <c r="D118" s="225">
        <v>22470</v>
      </c>
      <c r="E118" s="80" t="s">
        <v>26</v>
      </c>
      <c r="F118" s="44"/>
      <c r="G118" s="61">
        <v>0</v>
      </c>
      <c r="H118" s="61">
        <v>0</v>
      </c>
      <c r="I118" s="85">
        <v>0</v>
      </c>
      <c r="J118" s="113">
        <v>45929</v>
      </c>
      <c r="K118" s="114" t="s">
        <v>238</v>
      </c>
      <c r="L118" s="257">
        <v>22470</v>
      </c>
      <c r="M118" s="83" t="s">
        <v>26</v>
      </c>
      <c r="N118" s="116">
        <v>0</v>
      </c>
      <c r="O118" s="147">
        <f t="shared" si="29"/>
        <v>0</v>
      </c>
      <c r="P118" s="147">
        <f t="shared" si="27"/>
        <v>0</v>
      </c>
      <c r="Q118" s="47">
        <f t="shared" si="28"/>
        <v>0</v>
      </c>
      <c r="R118" s="39"/>
      <c r="S118" s="55"/>
      <c r="T118" s="55"/>
      <c r="U118" s="56"/>
      <c r="V118" s="56"/>
    </row>
    <row r="119" spans="1:22" s="226" customFormat="1" ht="27.75" customHeight="1">
      <c r="A119" s="94">
        <v>9</v>
      </c>
      <c r="B119" s="41" t="s">
        <v>92</v>
      </c>
      <c r="C119" s="224" t="s">
        <v>240</v>
      </c>
      <c r="D119" s="225">
        <v>22470</v>
      </c>
      <c r="E119" s="80" t="s">
        <v>26</v>
      </c>
      <c r="F119" s="44"/>
      <c r="G119" s="61">
        <v>0</v>
      </c>
      <c r="H119" s="61">
        <v>0</v>
      </c>
      <c r="I119" s="85">
        <v>0</v>
      </c>
      <c r="J119" s="113">
        <v>45929</v>
      </c>
      <c r="K119" s="114" t="s">
        <v>241</v>
      </c>
      <c r="L119" s="258">
        <v>22470</v>
      </c>
      <c r="M119" s="83" t="s">
        <v>26</v>
      </c>
      <c r="N119" s="116">
        <v>0</v>
      </c>
      <c r="O119" s="147">
        <f t="shared" si="29"/>
        <v>0</v>
      </c>
      <c r="P119" s="147">
        <f t="shared" si="27"/>
        <v>0</v>
      </c>
      <c r="Q119" s="47">
        <f t="shared" si="28"/>
        <v>0</v>
      </c>
      <c r="R119" s="39"/>
      <c r="S119" s="55"/>
      <c r="T119" s="55"/>
      <c r="U119" s="56"/>
      <c r="V119" s="56"/>
    </row>
    <row r="120" spans="1:22" s="226" customFormat="1" ht="27.75" customHeight="1">
      <c r="A120" s="94">
        <v>10</v>
      </c>
      <c r="B120" s="41" t="s">
        <v>92</v>
      </c>
      <c r="C120" s="224" t="s">
        <v>242</v>
      </c>
      <c r="D120" s="225">
        <v>22470</v>
      </c>
      <c r="E120" s="80" t="s">
        <v>26</v>
      </c>
      <c r="F120" s="44"/>
      <c r="G120" s="61">
        <v>0</v>
      </c>
      <c r="H120" s="61">
        <v>0</v>
      </c>
      <c r="I120" s="85">
        <v>0</v>
      </c>
      <c r="J120" s="113">
        <v>45929</v>
      </c>
      <c r="K120" s="114" t="s">
        <v>241</v>
      </c>
      <c r="L120" s="253">
        <v>22470</v>
      </c>
      <c r="M120" s="83" t="s">
        <v>26</v>
      </c>
      <c r="N120" s="116">
        <v>0</v>
      </c>
      <c r="O120" s="147">
        <f t="shared" si="29"/>
        <v>0</v>
      </c>
      <c r="P120" s="147">
        <f t="shared" si="27"/>
        <v>0</v>
      </c>
      <c r="Q120" s="47">
        <f t="shared" si="28"/>
        <v>0</v>
      </c>
      <c r="R120" s="39"/>
      <c r="S120" s="55"/>
      <c r="T120" s="55"/>
      <c r="U120" s="56"/>
      <c r="V120" s="56"/>
    </row>
    <row r="121" spans="1:22" s="226" customFormat="1" ht="27.75" customHeight="1">
      <c r="A121" s="94">
        <v>11</v>
      </c>
      <c r="B121" s="41" t="s">
        <v>243</v>
      </c>
      <c r="C121" s="224" t="s">
        <v>244</v>
      </c>
      <c r="D121" s="225">
        <v>22470</v>
      </c>
      <c r="E121" s="80" t="s">
        <v>26</v>
      </c>
      <c r="F121" s="44"/>
      <c r="G121" s="61">
        <v>0</v>
      </c>
      <c r="H121" s="61">
        <v>0</v>
      </c>
      <c r="I121" s="85">
        <v>0</v>
      </c>
      <c r="J121" s="113">
        <v>45930</v>
      </c>
      <c r="K121" s="114" t="s">
        <v>245</v>
      </c>
      <c r="L121" s="253">
        <v>22470</v>
      </c>
      <c r="M121" s="83" t="s">
        <v>26</v>
      </c>
      <c r="N121" s="116">
        <v>0</v>
      </c>
      <c r="O121" s="147">
        <f>+(D121*100/107)+G121-(L121*100/107)</f>
        <v>0</v>
      </c>
      <c r="P121" s="147">
        <f t="shared" si="27"/>
        <v>0</v>
      </c>
      <c r="Q121" s="47">
        <f t="shared" si="28"/>
        <v>0</v>
      </c>
      <c r="R121" s="39"/>
      <c r="S121" s="55"/>
      <c r="T121" s="55"/>
      <c r="U121" s="56"/>
      <c r="V121" s="56"/>
    </row>
    <row r="122" spans="1:22" s="226" customFormat="1" ht="27.75" customHeight="1">
      <c r="A122" s="186">
        <v>12</v>
      </c>
      <c r="B122" s="206" t="s">
        <v>90</v>
      </c>
      <c r="C122" s="224" t="s">
        <v>246</v>
      </c>
      <c r="D122" s="228">
        <v>22470</v>
      </c>
      <c r="E122" s="123"/>
      <c r="F122" s="44"/>
      <c r="G122" s="45">
        <v>0</v>
      </c>
      <c r="H122" s="45">
        <v>0</v>
      </c>
      <c r="I122" s="229">
        <v>0</v>
      </c>
      <c r="J122" s="259">
        <v>45929</v>
      </c>
      <c r="K122" s="114" t="s">
        <v>247</v>
      </c>
      <c r="L122" s="253">
        <v>22470</v>
      </c>
      <c r="M122" s="232" t="s">
        <v>26</v>
      </c>
      <c r="N122" s="116">
        <v>0</v>
      </c>
      <c r="O122" s="147">
        <f>+(D122*100/107)+G122-(L122*100/107)</f>
        <v>0</v>
      </c>
      <c r="P122" s="147">
        <f t="shared" si="27"/>
        <v>0</v>
      </c>
      <c r="Q122" s="47">
        <f t="shared" si="28"/>
        <v>0</v>
      </c>
      <c r="R122" s="39"/>
      <c r="S122" s="55"/>
      <c r="T122" s="55"/>
      <c r="U122" s="56"/>
      <c r="V122" s="56"/>
    </row>
    <row r="123" spans="1:22" s="226" customFormat="1" ht="27.75" customHeight="1">
      <c r="A123" s="234"/>
      <c r="B123" s="260"/>
      <c r="C123" s="235"/>
      <c r="D123" s="236">
        <f>SUM(D111:D122)</f>
        <v>269640</v>
      </c>
      <c r="E123" s="237"/>
      <c r="F123" s="238"/>
      <c r="G123" s="239"/>
      <c r="H123" s="239"/>
      <c r="I123" s="240"/>
      <c r="J123" s="261"/>
      <c r="K123" s="262"/>
      <c r="L123" s="263">
        <f>SUM(L111:L122)</f>
        <v>269640</v>
      </c>
      <c r="M123" s="234"/>
      <c r="N123" s="242"/>
      <c r="O123" s="243"/>
      <c r="P123" s="243"/>
      <c r="Q123" s="240"/>
      <c r="R123" s="39"/>
      <c r="S123" s="55"/>
      <c r="T123" s="55"/>
      <c r="U123" s="56"/>
      <c r="V123" s="56"/>
    </row>
    <row r="124" spans="1:22" s="226" customFormat="1" ht="27.75" customHeight="1">
      <c r="A124" s="83"/>
      <c r="B124" s="244" t="s">
        <v>248</v>
      </c>
      <c r="C124" s="245"/>
      <c r="D124" s="246"/>
      <c r="E124" s="80"/>
      <c r="F124" s="126"/>
      <c r="G124" s="46"/>
      <c r="H124" s="46"/>
      <c r="I124" s="85"/>
      <c r="J124" s="178"/>
      <c r="K124" s="179"/>
      <c r="L124" s="264"/>
      <c r="M124" s="83"/>
      <c r="N124" s="251"/>
      <c r="O124" s="252"/>
      <c r="P124" s="252"/>
      <c r="Q124" s="85"/>
      <c r="R124" s="39"/>
      <c r="S124" s="55"/>
      <c r="T124" s="55"/>
      <c r="U124" s="56"/>
      <c r="V124" s="56"/>
    </row>
    <row r="125" spans="1:22" s="226" customFormat="1" ht="27.75" customHeight="1">
      <c r="A125" s="94">
        <v>1</v>
      </c>
      <c r="B125" s="41" t="s">
        <v>249</v>
      </c>
      <c r="C125" s="224" t="s">
        <v>250</v>
      </c>
      <c r="D125" s="225">
        <v>6420</v>
      </c>
      <c r="E125" s="80" t="s">
        <v>45</v>
      </c>
      <c r="F125" s="44">
        <v>0</v>
      </c>
      <c r="G125" s="61">
        <v>0</v>
      </c>
      <c r="H125" s="61">
        <v>0</v>
      </c>
      <c r="I125" s="85">
        <v>0</v>
      </c>
      <c r="J125" s="113">
        <v>45930</v>
      </c>
      <c r="K125" s="114" t="s">
        <v>251</v>
      </c>
      <c r="L125" s="144">
        <v>6420</v>
      </c>
      <c r="M125" s="83" t="s">
        <v>45</v>
      </c>
      <c r="N125" s="116">
        <v>0</v>
      </c>
      <c r="O125" s="147">
        <f t="shared" ref="O125:O135" si="30">+(D125*100/107)+G125-(L125*100/107)</f>
        <v>0</v>
      </c>
      <c r="P125" s="147">
        <f t="shared" ref="P125:P135" si="31">ROUND((O125*0.07),2)</f>
        <v>0</v>
      </c>
      <c r="Q125" s="47">
        <f t="shared" ref="Q125:Q136" si="32">+O125+P125</f>
        <v>0</v>
      </c>
      <c r="R125" s="39"/>
      <c r="S125" s="55"/>
      <c r="T125" s="55"/>
      <c r="U125" s="56"/>
      <c r="V125" s="56"/>
    </row>
    <row r="126" spans="1:22" s="226" customFormat="1" ht="27.75" customHeight="1">
      <c r="A126" s="94">
        <v>2</v>
      </c>
      <c r="B126" s="41" t="s">
        <v>252</v>
      </c>
      <c r="C126" s="224" t="s">
        <v>253</v>
      </c>
      <c r="D126" s="225">
        <v>9630</v>
      </c>
      <c r="E126" s="80" t="s">
        <v>131</v>
      </c>
      <c r="F126" s="44">
        <v>-1</v>
      </c>
      <c r="G126" s="61">
        <v>-9000</v>
      </c>
      <c r="H126" s="61">
        <v>-630</v>
      </c>
      <c r="I126" s="85">
        <v>-9630</v>
      </c>
      <c r="J126" s="113"/>
      <c r="K126" s="114"/>
      <c r="L126" s="144"/>
      <c r="M126" s="83" t="s">
        <v>45</v>
      </c>
      <c r="N126" s="116">
        <v>0</v>
      </c>
      <c r="O126" s="147">
        <f t="shared" si="30"/>
        <v>0</v>
      </c>
      <c r="P126" s="147">
        <f t="shared" si="31"/>
        <v>0</v>
      </c>
      <c r="Q126" s="47">
        <f t="shared" si="32"/>
        <v>0</v>
      </c>
      <c r="R126" s="39"/>
      <c r="S126" s="55"/>
      <c r="T126" s="55"/>
      <c r="U126" s="56"/>
      <c r="V126" s="56"/>
    </row>
    <row r="127" spans="1:22" s="226" customFormat="1" ht="27.75" customHeight="1">
      <c r="A127" s="94">
        <v>3</v>
      </c>
      <c r="B127" s="41" t="s">
        <v>254</v>
      </c>
      <c r="C127" s="224" t="s">
        <v>255</v>
      </c>
      <c r="D127" s="225">
        <v>9630</v>
      </c>
      <c r="E127" s="80" t="s">
        <v>45</v>
      </c>
      <c r="F127" s="44">
        <v>0</v>
      </c>
      <c r="G127" s="61">
        <v>0</v>
      </c>
      <c r="H127" s="61">
        <v>0</v>
      </c>
      <c r="I127" s="85">
        <v>0</v>
      </c>
      <c r="J127" s="113"/>
      <c r="K127" s="114"/>
      <c r="L127" s="144"/>
      <c r="M127" s="83" t="s">
        <v>131</v>
      </c>
      <c r="N127" s="116">
        <v>0.93457943925233611</v>
      </c>
      <c r="O127" s="147">
        <f t="shared" si="30"/>
        <v>9000</v>
      </c>
      <c r="P127" s="147">
        <f t="shared" si="31"/>
        <v>630</v>
      </c>
      <c r="Q127" s="47">
        <f t="shared" si="32"/>
        <v>9630</v>
      </c>
      <c r="R127" s="39"/>
      <c r="S127" s="55"/>
      <c r="T127" s="55"/>
      <c r="U127" s="56"/>
      <c r="V127" s="56"/>
    </row>
    <row r="128" spans="1:22" s="226" customFormat="1" ht="27.75" customHeight="1">
      <c r="A128" s="94">
        <v>4</v>
      </c>
      <c r="B128" s="41" t="s">
        <v>201</v>
      </c>
      <c r="C128" s="224" t="s">
        <v>256</v>
      </c>
      <c r="D128" s="225">
        <v>0</v>
      </c>
      <c r="E128" s="80" t="s">
        <v>45</v>
      </c>
      <c r="F128" s="44">
        <v>0</v>
      </c>
      <c r="G128" s="61">
        <v>0</v>
      </c>
      <c r="H128" s="61">
        <v>0</v>
      </c>
      <c r="I128" s="85">
        <v>0</v>
      </c>
      <c r="J128" s="113"/>
      <c r="K128" s="114"/>
      <c r="L128" s="144"/>
      <c r="M128" s="83" t="s">
        <v>45</v>
      </c>
      <c r="N128" s="116">
        <v>0</v>
      </c>
      <c r="O128" s="147">
        <f t="shared" si="30"/>
        <v>0</v>
      </c>
      <c r="P128" s="147">
        <f t="shared" si="31"/>
        <v>0</v>
      </c>
      <c r="Q128" s="47">
        <f t="shared" si="32"/>
        <v>0</v>
      </c>
      <c r="R128" s="39"/>
      <c r="S128" s="55"/>
      <c r="T128" s="55"/>
      <c r="U128" s="56"/>
      <c r="V128" s="56"/>
    </row>
    <row r="129" spans="1:25" s="226" customFormat="1" ht="27.75" customHeight="1">
      <c r="A129" s="94">
        <v>5</v>
      </c>
      <c r="B129" s="41" t="s">
        <v>257</v>
      </c>
      <c r="C129" s="224" t="s">
        <v>258</v>
      </c>
      <c r="D129" s="225">
        <v>9630</v>
      </c>
      <c r="E129" s="80" t="s">
        <v>45</v>
      </c>
      <c r="F129" s="44">
        <v>0</v>
      </c>
      <c r="G129" s="61">
        <v>0</v>
      </c>
      <c r="H129" s="61">
        <v>0</v>
      </c>
      <c r="I129" s="85">
        <v>0</v>
      </c>
      <c r="J129" s="113">
        <v>45924</v>
      </c>
      <c r="K129" s="114" t="s">
        <v>259</v>
      </c>
      <c r="L129" s="144">
        <v>9630</v>
      </c>
      <c r="M129" s="83" t="s">
        <v>45</v>
      </c>
      <c r="N129" s="116">
        <v>0</v>
      </c>
      <c r="O129" s="147">
        <f t="shared" si="30"/>
        <v>0</v>
      </c>
      <c r="P129" s="147">
        <f t="shared" si="31"/>
        <v>0</v>
      </c>
      <c r="Q129" s="47">
        <f t="shared" si="32"/>
        <v>0</v>
      </c>
      <c r="R129" s="39"/>
      <c r="S129" s="55"/>
      <c r="T129" s="55"/>
      <c r="U129" s="56"/>
      <c r="V129" s="56"/>
    </row>
    <row r="130" spans="1:25" s="226" customFormat="1" ht="27.75" customHeight="1">
      <c r="A130" s="94">
        <v>6</v>
      </c>
      <c r="B130" s="206" t="s">
        <v>257</v>
      </c>
      <c r="C130" s="224" t="s">
        <v>260</v>
      </c>
      <c r="D130" s="225">
        <v>9630</v>
      </c>
      <c r="E130" s="80" t="s">
        <v>45</v>
      </c>
      <c r="F130" s="44">
        <v>0</v>
      </c>
      <c r="G130" s="61">
        <v>0</v>
      </c>
      <c r="H130" s="61">
        <v>0</v>
      </c>
      <c r="I130" s="85">
        <v>0</v>
      </c>
      <c r="J130" s="113">
        <v>45924</v>
      </c>
      <c r="K130" s="114" t="s">
        <v>259</v>
      </c>
      <c r="L130" s="144">
        <v>9630</v>
      </c>
      <c r="M130" s="83" t="s">
        <v>45</v>
      </c>
      <c r="N130" s="116">
        <v>0</v>
      </c>
      <c r="O130" s="147">
        <f t="shared" si="30"/>
        <v>0</v>
      </c>
      <c r="P130" s="147">
        <f t="shared" si="31"/>
        <v>0</v>
      </c>
      <c r="Q130" s="47">
        <f t="shared" si="32"/>
        <v>0</v>
      </c>
      <c r="R130" s="39"/>
      <c r="S130" s="55"/>
      <c r="T130" s="55"/>
      <c r="U130" s="56"/>
      <c r="V130" s="56"/>
    </row>
    <row r="131" spans="1:25" s="226" customFormat="1" ht="27.75" customHeight="1">
      <c r="A131" s="94">
        <v>7</v>
      </c>
      <c r="B131" s="265" t="s">
        <v>261</v>
      </c>
      <c r="C131" s="224" t="s">
        <v>262</v>
      </c>
      <c r="D131" s="225">
        <v>6420</v>
      </c>
      <c r="E131" s="80" t="s">
        <v>45</v>
      </c>
      <c r="F131" s="44">
        <v>1</v>
      </c>
      <c r="G131" s="61">
        <v>0</v>
      </c>
      <c r="H131" s="61">
        <v>0</v>
      </c>
      <c r="I131" s="85">
        <v>0</v>
      </c>
      <c r="J131" s="113">
        <v>45903</v>
      </c>
      <c r="K131" s="114" t="s">
        <v>263</v>
      </c>
      <c r="L131" s="144">
        <v>6420</v>
      </c>
      <c r="M131" s="83" t="s">
        <v>45</v>
      </c>
      <c r="N131" s="116">
        <v>0</v>
      </c>
      <c r="O131" s="147">
        <f t="shared" si="30"/>
        <v>0</v>
      </c>
      <c r="P131" s="147">
        <f t="shared" si="31"/>
        <v>0</v>
      </c>
      <c r="Q131" s="47">
        <f t="shared" si="32"/>
        <v>0</v>
      </c>
      <c r="R131" s="39"/>
      <c r="S131" s="55"/>
      <c r="T131" s="55"/>
      <c r="U131" s="56"/>
      <c r="V131" s="56"/>
    </row>
    <row r="132" spans="1:25" s="226" customFormat="1" ht="27.75" customHeight="1">
      <c r="A132" s="94">
        <v>8</v>
      </c>
      <c r="B132" s="266" t="s">
        <v>264</v>
      </c>
      <c r="C132" s="224" t="s">
        <v>199</v>
      </c>
      <c r="D132" s="225">
        <v>6420</v>
      </c>
      <c r="E132" s="80" t="s">
        <v>45</v>
      </c>
      <c r="F132" s="44">
        <v>0</v>
      </c>
      <c r="G132" s="61"/>
      <c r="H132" s="61"/>
      <c r="I132" s="85"/>
      <c r="J132" s="113">
        <v>45930</v>
      </c>
      <c r="K132" s="114" t="s">
        <v>265</v>
      </c>
      <c r="L132" s="144">
        <v>6420</v>
      </c>
      <c r="M132" s="83" t="s">
        <v>45</v>
      </c>
      <c r="N132" s="116">
        <v>0</v>
      </c>
      <c r="O132" s="147">
        <f t="shared" si="30"/>
        <v>0</v>
      </c>
      <c r="P132" s="147">
        <f t="shared" si="31"/>
        <v>0</v>
      </c>
      <c r="Q132" s="47">
        <f t="shared" si="32"/>
        <v>0</v>
      </c>
      <c r="R132" s="39"/>
      <c r="S132" s="55"/>
      <c r="T132" s="55"/>
      <c r="U132" s="56"/>
      <c r="V132" s="56"/>
      <c r="Y132" s="226" t="s">
        <v>266</v>
      </c>
    </row>
    <row r="133" spans="1:25" s="226" customFormat="1" ht="27.75" customHeight="1">
      <c r="A133" s="94">
        <v>9</v>
      </c>
      <c r="B133" s="81" t="s">
        <v>267</v>
      </c>
      <c r="C133" s="224" t="s">
        <v>268</v>
      </c>
      <c r="D133" s="267">
        <v>6420</v>
      </c>
      <c r="E133" s="81" t="s">
        <v>131</v>
      </c>
      <c r="F133" s="116">
        <v>-1</v>
      </c>
      <c r="G133" s="147">
        <v>-6000</v>
      </c>
      <c r="H133" s="147">
        <v>-420</v>
      </c>
      <c r="I133" s="47">
        <v>-6420</v>
      </c>
      <c r="J133" s="113"/>
      <c r="K133" s="114"/>
      <c r="L133" s="144"/>
      <c r="M133" s="83" t="s">
        <v>45</v>
      </c>
      <c r="N133" s="116">
        <v>-4.2499752419295714E-16</v>
      </c>
      <c r="O133" s="147">
        <f t="shared" si="30"/>
        <v>0</v>
      </c>
      <c r="P133" s="147">
        <f t="shared" si="31"/>
        <v>0</v>
      </c>
      <c r="Q133" s="47">
        <f t="shared" si="32"/>
        <v>0</v>
      </c>
      <c r="R133" s="39"/>
      <c r="S133" s="55"/>
      <c r="T133" s="55"/>
      <c r="U133" s="56"/>
      <c r="V133" s="56"/>
      <c r="Y133" s="226" t="s">
        <v>269</v>
      </c>
    </row>
    <row r="134" spans="1:25" s="226" customFormat="1" ht="27.75" customHeight="1">
      <c r="A134" s="94">
        <v>10</v>
      </c>
      <c r="B134" s="81" t="s">
        <v>201</v>
      </c>
      <c r="C134" s="224" t="s">
        <v>205</v>
      </c>
      <c r="D134" s="225"/>
      <c r="E134" s="81" t="s">
        <v>45</v>
      </c>
      <c r="F134" s="116">
        <v>0</v>
      </c>
      <c r="G134" s="147"/>
      <c r="H134" s="147"/>
      <c r="I134" s="85"/>
      <c r="J134" s="113"/>
      <c r="K134" s="114"/>
      <c r="L134" s="144"/>
      <c r="M134" s="83" t="s">
        <v>45</v>
      </c>
      <c r="N134" s="116">
        <v>0</v>
      </c>
      <c r="O134" s="147">
        <f t="shared" si="30"/>
        <v>0</v>
      </c>
      <c r="P134" s="147">
        <f t="shared" si="31"/>
        <v>0</v>
      </c>
      <c r="Q134" s="47">
        <f t="shared" si="32"/>
        <v>0</v>
      </c>
      <c r="R134" s="39"/>
      <c r="S134" s="55"/>
      <c r="T134" s="55"/>
      <c r="U134" s="56"/>
      <c r="V134" s="56"/>
    </row>
    <row r="135" spans="1:25" s="226" customFormat="1" ht="27.75" customHeight="1">
      <c r="A135" s="94">
        <v>11</v>
      </c>
      <c r="B135" s="81" t="s">
        <v>156</v>
      </c>
      <c r="C135" s="224" t="s">
        <v>207</v>
      </c>
      <c r="D135" s="225">
        <v>6420</v>
      </c>
      <c r="E135" s="80" t="s">
        <v>45</v>
      </c>
      <c r="F135" s="44">
        <v>0</v>
      </c>
      <c r="G135" s="61">
        <v>0</v>
      </c>
      <c r="H135" s="61">
        <v>0</v>
      </c>
      <c r="I135" s="85">
        <v>0</v>
      </c>
      <c r="J135" s="113">
        <v>45905</v>
      </c>
      <c r="K135" s="114" t="s">
        <v>270</v>
      </c>
      <c r="L135" s="144">
        <v>6420</v>
      </c>
      <c r="M135" s="83" t="s">
        <v>45</v>
      </c>
      <c r="N135" s="116">
        <v>0</v>
      </c>
      <c r="O135" s="147">
        <f t="shared" si="30"/>
        <v>0</v>
      </c>
      <c r="P135" s="147">
        <f t="shared" si="31"/>
        <v>0</v>
      </c>
      <c r="Q135" s="47">
        <f t="shared" si="32"/>
        <v>0</v>
      </c>
      <c r="R135" s="39"/>
      <c r="S135" s="55"/>
      <c r="T135" s="55"/>
      <c r="U135" s="56"/>
      <c r="V135" s="56"/>
    </row>
    <row r="136" spans="1:25" s="226" customFormat="1" ht="27.75" customHeight="1">
      <c r="A136" s="94">
        <v>12</v>
      </c>
      <c r="B136" s="41" t="s">
        <v>271</v>
      </c>
      <c r="C136" s="224" t="s">
        <v>208</v>
      </c>
      <c r="D136" s="225">
        <v>6420</v>
      </c>
      <c r="E136" s="80" t="s">
        <v>45</v>
      </c>
      <c r="F136" s="44">
        <v>0</v>
      </c>
      <c r="G136" s="61">
        <v>0</v>
      </c>
      <c r="H136" s="61">
        <v>0</v>
      </c>
      <c r="I136" s="85">
        <v>0</v>
      </c>
      <c r="J136" s="113">
        <v>45930</v>
      </c>
      <c r="K136" s="268" t="s">
        <v>272</v>
      </c>
      <c r="L136" s="269">
        <v>6420</v>
      </c>
      <c r="M136" s="83" t="s">
        <v>45</v>
      </c>
      <c r="N136" s="116">
        <v>0</v>
      </c>
      <c r="O136" s="147">
        <f>+(D136*100/107)+G136-(L136*100/107)</f>
        <v>0</v>
      </c>
      <c r="P136" s="147">
        <f>ROUND((O136*0.07),2)</f>
        <v>0</v>
      </c>
      <c r="Q136" s="47">
        <f t="shared" si="32"/>
        <v>0</v>
      </c>
      <c r="R136" s="39"/>
      <c r="S136" s="55"/>
      <c r="T136" s="55"/>
      <c r="U136" s="56"/>
      <c r="V136" s="56"/>
    </row>
    <row r="137" spans="1:25" s="226" customFormat="1" ht="27.75" customHeight="1">
      <c r="A137" s="94">
        <v>13</v>
      </c>
      <c r="B137" s="41" t="s">
        <v>273</v>
      </c>
      <c r="C137" s="224" t="s">
        <v>209</v>
      </c>
      <c r="D137" s="225">
        <v>6420</v>
      </c>
      <c r="E137" s="80" t="s">
        <v>45</v>
      </c>
      <c r="F137" s="44">
        <v>0</v>
      </c>
      <c r="G137" s="61">
        <v>0</v>
      </c>
      <c r="H137" s="61">
        <v>0</v>
      </c>
      <c r="I137" s="85">
        <v>0</v>
      </c>
      <c r="J137" s="113">
        <v>45908</v>
      </c>
      <c r="K137" s="114" t="s">
        <v>274</v>
      </c>
      <c r="L137" s="144">
        <v>6420</v>
      </c>
      <c r="M137" s="83" t="s">
        <v>45</v>
      </c>
      <c r="N137" s="116">
        <v>0</v>
      </c>
      <c r="O137" s="147">
        <f>+(D137*100/107)+G137-(L137*100/107)</f>
        <v>0</v>
      </c>
      <c r="P137" s="147">
        <f>ROUND((O137*0.07),2)</f>
        <v>0</v>
      </c>
      <c r="Q137" s="47">
        <f>+O137+P137</f>
        <v>0</v>
      </c>
      <c r="R137" s="39"/>
      <c r="S137" s="55"/>
      <c r="T137" s="55"/>
      <c r="U137" s="56"/>
      <c r="V137" s="56"/>
    </row>
    <row r="138" spans="1:25" s="226" customFormat="1" ht="27.75" customHeight="1">
      <c r="A138" s="94">
        <v>14</v>
      </c>
      <c r="B138" s="41" t="s">
        <v>275</v>
      </c>
      <c r="C138" s="224" t="s">
        <v>276</v>
      </c>
      <c r="D138" s="225">
        <v>6420</v>
      </c>
      <c r="E138" s="80" t="s">
        <v>45</v>
      </c>
      <c r="F138" s="44">
        <v>0</v>
      </c>
      <c r="G138" s="61">
        <v>0</v>
      </c>
      <c r="H138" s="61">
        <v>0</v>
      </c>
      <c r="I138" s="85">
        <v>0</v>
      </c>
      <c r="J138" s="113">
        <v>45930</v>
      </c>
      <c r="K138" s="114" t="s">
        <v>277</v>
      </c>
      <c r="L138" s="144">
        <v>6420</v>
      </c>
      <c r="M138" s="87" t="s">
        <v>45</v>
      </c>
      <c r="N138" s="116">
        <v>0</v>
      </c>
      <c r="O138" s="147">
        <f>+(D138*100/107)+G138-(L138*100/107)</f>
        <v>0</v>
      </c>
      <c r="P138" s="147">
        <f>ROUND((O138*0.07),2)</f>
        <v>0</v>
      </c>
      <c r="Q138" s="47">
        <f>+O138+P138</f>
        <v>0</v>
      </c>
      <c r="R138" s="39"/>
      <c r="S138" s="55"/>
      <c r="T138" s="55"/>
      <c r="U138" s="56"/>
      <c r="V138" s="56"/>
    </row>
    <row r="139" spans="1:25" ht="27.75" customHeight="1" thickBot="1">
      <c r="A139" s="22"/>
      <c r="B139" s="194" t="s">
        <v>22</v>
      </c>
      <c r="C139" s="195"/>
      <c r="D139" s="196">
        <f>SUM(D125:D138)</f>
        <v>89880</v>
      </c>
      <c r="E139" s="196"/>
      <c r="F139" s="197"/>
      <c r="G139" s="196">
        <f>SUM(G125:G138)</f>
        <v>-15000</v>
      </c>
      <c r="H139" s="196">
        <f>SUM(H125:H138)</f>
        <v>-1050</v>
      </c>
      <c r="I139" s="196">
        <f>SUM(I125:I138)</f>
        <v>-16050</v>
      </c>
      <c r="J139" s="199"/>
      <c r="K139" s="199"/>
      <c r="L139" s="196">
        <f>SUM(L125:L138)</f>
        <v>64200</v>
      </c>
      <c r="M139" s="200"/>
      <c r="N139" s="196"/>
      <c r="O139" s="196">
        <f>SUM(O125:O138)-O126-O133</f>
        <v>9000</v>
      </c>
      <c r="P139" s="196">
        <f t="shared" ref="P139:Q139" si="33">SUM(P125:P138)-P126-P133</f>
        <v>630</v>
      </c>
      <c r="Q139" s="196">
        <f t="shared" si="33"/>
        <v>9630</v>
      </c>
      <c r="R139" s="36"/>
      <c r="S139" s="37"/>
      <c r="T139" s="37"/>
      <c r="U139" s="38"/>
      <c r="V139" s="38"/>
      <c r="W139" s="38"/>
    </row>
    <row r="140" spans="1:25" ht="27.75" hidden="1" customHeight="1" thickBot="1">
      <c r="A140" s="22"/>
      <c r="B140" s="23" t="s">
        <v>278</v>
      </c>
      <c r="C140" s="24"/>
      <c r="D140" s="25"/>
      <c r="E140" s="26"/>
      <c r="F140" s="27"/>
      <c r="G140" s="28"/>
      <c r="H140" s="28"/>
      <c r="I140" s="28"/>
      <c r="J140" s="29"/>
      <c r="K140" s="30"/>
      <c r="L140" s="31"/>
      <c r="M140" s="32"/>
      <c r="N140" s="33"/>
      <c r="O140" s="34"/>
      <c r="P140" s="34"/>
      <c r="Q140" s="35"/>
      <c r="R140" s="36"/>
      <c r="S140" s="37"/>
      <c r="T140" s="37"/>
      <c r="U140" s="38"/>
      <c r="V140" s="38"/>
      <c r="W140" s="38"/>
    </row>
    <row r="141" spans="1:25" ht="27.75" hidden="1" customHeight="1" thickTop="1">
      <c r="A141" s="22">
        <v>1</v>
      </c>
      <c r="B141" s="270" t="s">
        <v>88</v>
      </c>
      <c r="C141" s="271" t="s">
        <v>279</v>
      </c>
      <c r="D141" s="272"/>
      <c r="E141" s="273"/>
      <c r="F141" s="274"/>
      <c r="G141" s="65">
        <v>0</v>
      </c>
      <c r="H141" s="45">
        <v>0</v>
      </c>
      <c r="I141" s="61">
        <v>0</v>
      </c>
      <c r="J141" s="275"/>
      <c r="K141" s="276"/>
      <c r="L141" s="277"/>
      <c r="M141" s="232"/>
      <c r="N141" s="251"/>
      <c r="O141" s="233">
        <f t="shared" ref="O141:O151" si="34">+(D141*100/107)+G141-(L141*100/107)</f>
        <v>0</v>
      </c>
      <c r="P141" s="233">
        <f t="shared" ref="P141:P151" si="35">ROUND((O141*0.07),2)</f>
        <v>0</v>
      </c>
      <c r="Q141" s="66">
        <f t="shared" ref="Q141:Q151" si="36">+O141+P141</f>
        <v>0</v>
      </c>
      <c r="R141" s="278"/>
      <c r="S141" s="279"/>
      <c r="T141" s="37"/>
      <c r="U141" s="38"/>
      <c r="V141" s="38"/>
      <c r="W141" s="38"/>
    </row>
    <row r="142" spans="1:25" ht="27.75" hidden="1" customHeight="1" thickTop="1">
      <c r="A142" s="22">
        <v>2</v>
      </c>
      <c r="B142" s="280" t="s">
        <v>89</v>
      </c>
      <c r="C142" s="271" t="s">
        <v>279</v>
      </c>
      <c r="D142" s="272"/>
      <c r="E142" s="201"/>
      <c r="F142" s="281"/>
      <c r="G142" s="61">
        <v>0</v>
      </c>
      <c r="H142" s="45">
        <v>0</v>
      </c>
      <c r="I142" s="61">
        <v>0</v>
      </c>
      <c r="J142" s="175"/>
      <c r="K142" s="282"/>
      <c r="L142" s="222"/>
      <c r="M142" s="94"/>
      <c r="N142" s="39"/>
      <c r="O142" s="233">
        <f t="shared" si="34"/>
        <v>0</v>
      </c>
      <c r="P142" s="233">
        <f t="shared" si="35"/>
        <v>0</v>
      </c>
      <c r="Q142" s="66">
        <f t="shared" si="36"/>
        <v>0</v>
      </c>
      <c r="R142" s="278"/>
      <c r="S142" s="279"/>
      <c r="T142" s="37"/>
      <c r="U142" s="38"/>
      <c r="V142" s="38"/>
      <c r="W142" s="38"/>
    </row>
    <row r="143" spans="1:25" ht="27.75" hidden="1" customHeight="1" thickTop="1">
      <c r="A143" s="22">
        <v>3</v>
      </c>
      <c r="B143" s="270" t="s">
        <v>280</v>
      </c>
      <c r="C143" s="271" t="s">
        <v>279</v>
      </c>
      <c r="D143" s="272"/>
      <c r="E143" s="201"/>
      <c r="F143" s="281"/>
      <c r="G143" s="61">
        <v>0</v>
      </c>
      <c r="H143" s="45">
        <v>0</v>
      </c>
      <c r="I143" s="61">
        <v>0</v>
      </c>
      <c r="J143" s="175"/>
      <c r="K143" s="282"/>
      <c r="L143" s="222"/>
      <c r="M143" s="94"/>
      <c r="N143" s="39"/>
      <c r="O143" s="233">
        <f t="shared" si="34"/>
        <v>0</v>
      </c>
      <c r="P143" s="233">
        <f t="shared" si="35"/>
        <v>0</v>
      </c>
      <c r="Q143" s="66">
        <f t="shared" si="36"/>
        <v>0</v>
      </c>
      <c r="R143" s="278"/>
      <c r="S143" s="279"/>
      <c r="T143" s="37"/>
      <c r="U143" s="38"/>
      <c r="V143" s="38"/>
      <c r="W143" s="38"/>
    </row>
    <row r="144" spans="1:25" ht="27.75" hidden="1" customHeight="1" thickTop="1">
      <c r="A144" s="22">
        <v>4</v>
      </c>
      <c r="B144" s="280" t="s">
        <v>96</v>
      </c>
      <c r="C144" s="271" t="s">
        <v>279</v>
      </c>
      <c r="D144" s="272"/>
      <c r="E144" s="201"/>
      <c r="F144" s="281"/>
      <c r="G144" s="61">
        <v>0</v>
      </c>
      <c r="H144" s="45">
        <v>0</v>
      </c>
      <c r="I144" s="61">
        <v>0</v>
      </c>
      <c r="J144" s="175"/>
      <c r="K144" s="282"/>
      <c r="L144" s="222"/>
      <c r="M144" s="94"/>
      <c r="N144" s="39"/>
      <c r="O144" s="233">
        <f t="shared" si="34"/>
        <v>0</v>
      </c>
      <c r="P144" s="233">
        <f t="shared" si="35"/>
        <v>0</v>
      </c>
      <c r="Q144" s="66">
        <f t="shared" si="36"/>
        <v>0</v>
      </c>
      <c r="R144" s="283"/>
      <c r="S144" s="55"/>
      <c r="T144" s="37"/>
      <c r="U144" s="38"/>
      <c r="V144" s="38"/>
      <c r="W144" s="38"/>
    </row>
    <row r="145" spans="1:24" ht="27.75" hidden="1" customHeight="1" thickTop="1">
      <c r="A145" s="22">
        <v>5</v>
      </c>
      <c r="B145" s="280" t="s">
        <v>281</v>
      </c>
      <c r="C145" s="271" t="s">
        <v>279</v>
      </c>
      <c r="D145" s="272">
        <v>0</v>
      </c>
      <c r="E145" s="201"/>
      <c r="F145" s="281"/>
      <c r="G145" s="61">
        <v>0</v>
      </c>
      <c r="H145" s="45">
        <v>0</v>
      </c>
      <c r="I145" s="61">
        <v>0</v>
      </c>
      <c r="J145" s="175"/>
      <c r="K145" s="282"/>
      <c r="L145" s="222"/>
      <c r="M145" s="94"/>
      <c r="N145" s="39"/>
      <c r="O145" s="233">
        <f t="shared" si="34"/>
        <v>0</v>
      </c>
      <c r="P145" s="233">
        <f t="shared" si="35"/>
        <v>0</v>
      </c>
      <c r="Q145" s="66">
        <f t="shared" si="36"/>
        <v>0</v>
      </c>
      <c r="R145" s="283"/>
      <c r="S145" s="55"/>
      <c r="T145" s="37"/>
      <c r="U145" s="38"/>
      <c r="V145" s="38"/>
      <c r="W145" s="38"/>
    </row>
    <row r="146" spans="1:24" ht="27.75" hidden="1" customHeight="1" thickTop="1">
      <c r="A146" s="22">
        <v>6</v>
      </c>
      <c r="B146" s="280" t="s">
        <v>282</v>
      </c>
      <c r="C146" s="271" t="s">
        <v>279</v>
      </c>
      <c r="D146" s="272"/>
      <c r="E146" s="201"/>
      <c r="F146" s="281"/>
      <c r="G146" s="61">
        <v>0</v>
      </c>
      <c r="H146" s="45">
        <v>0</v>
      </c>
      <c r="I146" s="61">
        <v>0</v>
      </c>
      <c r="J146" s="175"/>
      <c r="K146" s="282"/>
      <c r="L146" s="222"/>
      <c r="M146" s="94"/>
      <c r="N146" s="39"/>
      <c r="O146" s="233">
        <f t="shared" si="34"/>
        <v>0</v>
      </c>
      <c r="P146" s="233">
        <f t="shared" si="35"/>
        <v>0</v>
      </c>
      <c r="Q146" s="66">
        <f t="shared" si="36"/>
        <v>0</v>
      </c>
      <c r="R146" s="283"/>
      <c r="S146" s="37"/>
      <c r="T146" s="37"/>
      <c r="U146" s="38"/>
      <c r="V146" s="38"/>
      <c r="W146" s="38"/>
    </row>
    <row r="147" spans="1:24" ht="27.75" hidden="1" customHeight="1" thickTop="1">
      <c r="A147" s="22">
        <v>7</v>
      </c>
      <c r="B147" s="280" t="s">
        <v>92</v>
      </c>
      <c r="C147" s="271" t="s">
        <v>279</v>
      </c>
      <c r="D147" s="272"/>
      <c r="E147" s="201"/>
      <c r="F147" s="281"/>
      <c r="G147" s="61">
        <v>0</v>
      </c>
      <c r="H147" s="45">
        <v>0</v>
      </c>
      <c r="I147" s="61">
        <v>0</v>
      </c>
      <c r="J147" s="175"/>
      <c r="K147" s="282"/>
      <c r="L147" s="222"/>
      <c r="M147" s="94"/>
      <c r="N147" s="39"/>
      <c r="O147" s="233">
        <f t="shared" si="34"/>
        <v>0</v>
      </c>
      <c r="P147" s="233">
        <f t="shared" si="35"/>
        <v>0</v>
      </c>
      <c r="Q147" s="66">
        <f t="shared" si="36"/>
        <v>0</v>
      </c>
      <c r="R147" s="283"/>
      <c r="S147" s="37"/>
      <c r="T147" s="37"/>
      <c r="U147" s="38"/>
      <c r="V147" s="38"/>
      <c r="W147" s="38"/>
    </row>
    <row r="148" spans="1:24" ht="27.75" hidden="1" customHeight="1" thickTop="1">
      <c r="A148" s="22">
        <v>8</v>
      </c>
      <c r="B148" s="280" t="s">
        <v>91</v>
      </c>
      <c r="C148" s="271" t="s">
        <v>279</v>
      </c>
      <c r="D148" s="284"/>
      <c r="E148" s="201"/>
      <c r="F148" s="281"/>
      <c r="G148" s="61">
        <v>0</v>
      </c>
      <c r="H148" s="45">
        <v>0</v>
      </c>
      <c r="I148" s="61">
        <v>0</v>
      </c>
      <c r="J148" s="175"/>
      <c r="K148" s="282"/>
      <c r="L148" s="222"/>
      <c r="M148" s="94"/>
      <c r="N148" s="39"/>
      <c r="O148" s="233">
        <f t="shared" si="34"/>
        <v>0</v>
      </c>
      <c r="P148" s="233">
        <f t="shared" si="35"/>
        <v>0</v>
      </c>
      <c r="Q148" s="66">
        <f t="shared" si="36"/>
        <v>0</v>
      </c>
      <c r="R148" s="283"/>
      <c r="S148" s="37"/>
      <c r="T148" s="37"/>
      <c r="U148" s="38"/>
      <c r="V148" s="38"/>
      <c r="W148" s="38"/>
    </row>
    <row r="149" spans="1:24" ht="27.75" hidden="1" customHeight="1" thickTop="1">
      <c r="A149" s="22">
        <v>9</v>
      </c>
      <c r="B149" s="280" t="s">
        <v>236</v>
      </c>
      <c r="C149" s="271" t="s">
        <v>279</v>
      </c>
      <c r="D149" s="272">
        <v>0</v>
      </c>
      <c r="E149" s="201"/>
      <c r="F149" s="281"/>
      <c r="G149" s="61">
        <v>0</v>
      </c>
      <c r="H149" s="45">
        <v>0</v>
      </c>
      <c r="I149" s="61">
        <v>0</v>
      </c>
      <c r="J149" s="175"/>
      <c r="K149" s="282"/>
      <c r="L149" s="222"/>
      <c r="M149" s="94"/>
      <c r="N149" s="39"/>
      <c r="O149" s="233">
        <f t="shared" si="34"/>
        <v>0</v>
      </c>
      <c r="P149" s="233">
        <f t="shared" si="35"/>
        <v>0</v>
      </c>
      <c r="Q149" s="66">
        <f t="shared" si="36"/>
        <v>0</v>
      </c>
      <c r="R149" s="283"/>
      <c r="S149" s="37"/>
      <c r="T149" s="37"/>
      <c r="U149" s="38"/>
      <c r="V149" s="38"/>
      <c r="W149" s="38"/>
    </row>
    <row r="150" spans="1:24" ht="27.75" hidden="1" customHeight="1" thickTop="1">
      <c r="A150" s="22">
        <v>10</v>
      </c>
      <c r="B150" s="280" t="s">
        <v>94</v>
      </c>
      <c r="C150" s="280" t="s">
        <v>279</v>
      </c>
      <c r="D150" s="284"/>
      <c r="E150" s="201"/>
      <c r="F150" s="281"/>
      <c r="G150" s="61">
        <v>0</v>
      </c>
      <c r="H150" s="45">
        <v>0</v>
      </c>
      <c r="I150" s="61">
        <v>0</v>
      </c>
      <c r="J150" s="175"/>
      <c r="K150" s="282"/>
      <c r="L150" s="222"/>
      <c r="M150" s="94"/>
      <c r="N150" s="39"/>
      <c r="O150" s="233">
        <f t="shared" si="34"/>
        <v>0</v>
      </c>
      <c r="P150" s="233">
        <f t="shared" si="35"/>
        <v>0</v>
      </c>
      <c r="Q150" s="66">
        <f t="shared" si="36"/>
        <v>0</v>
      </c>
      <c r="R150" s="36"/>
      <c r="S150" s="37"/>
      <c r="T150" s="37"/>
      <c r="U150" s="38"/>
      <c r="V150" s="38"/>
      <c r="W150" s="38"/>
    </row>
    <row r="151" spans="1:24" ht="27.75" hidden="1" customHeight="1" thickTop="1">
      <c r="A151" s="22">
        <v>11</v>
      </c>
      <c r="B151" s="270"/>
      <c r="C151" s="285"/>
      <c r="D151" s="286"/>
      <c r="E151" s="273"/>
      <c r="F151" s="274"/>
      <c r="G151" s="65">
        <v>0</v>
      </c>
      <c r="H151" s="45">
        <v>0</v>
      </c>
      <c r="I151" s="61">
        <v>0</v>
      </c>
      <c r="J151" s="275"/>
      <c r="K151" s="276"/>
      <c r="L151" s="277"/>
      <c r="M151" s="232"/>
      <c r="N151" s="251"/>
      <c r="O151" s="233">
        <f t="shared" si="34"/>
        <v>0</v>
      </c>
      <c r="P151" s="233">
        <f t="shared" si="35"/>
        <v>0</v>
      </c>
      <c r="Q151" s="66">
        <f t="shared" si="36"/>
        <v>0</v>
      </c>
      <c r="R151" s="36"/>
      <c r="S151" s="37"/>
      <c r="T151" s="37"/>
      <c r="U151" s="38"/>
      <c r="V151" s="38"/>
      <c r="W151" s="38"/>
    </row>
    <row r="152" spans="1:24" ht="27.75" hidden="1" customHeight="1" thickTop="1">
      <c r="A152" s="22"/>
      <c r="B152" s="131" t="s">
        <v>22</v>
      </c>
      <c r="C152" s="132"/>
      <c r="D152" s="133">
        <f>SUM(D141:D151)</f>
        <v>0</v>
      </c>
      <c r="E152" s="134"/>
      <c r="F152" s="135"/>
      <c r="G152" s="136">
        <f>SUM(G141:G151)</f>
        <v>0</v>
      </c>
      <c r="H152" s="136">
        <f t="shared" ref="H152:I152" si="37">SUM(H141:H151)</f>
        <v>0</v>
      </c>
      <c r="I152" s="136">
        <f t="shared" si="37"/>
        <v>0</v>
      </c>
      <c r="J152" s="287"/>
      <c r="K152" s="137"/>
      <c r="L152" s="138">
        <f>SUM(L145:L151)</f>
        <v>0</v>
      </c>
      <c r="M152" s="139"/>
      <c r="N152" s="133"/>
      <c r="O152" s="136">
        <f>SUM(O141:O151)</f>
        <v>0</v>
      </c>
      <c r="P152" s="136">
        <f t="shared" ref="P152:Q152" si="38">SUM(P141:P151)</f>
        <v>0</v>
      </c>
      <c r="Q152" s="136">
        <f t="shared" si="38"/>
        <v>0</v>
      </c>
      <c r="R152" s="36"/>
      <c r="S152" s="37"/>
      <c r="T152" s="37"/>
      <c r="U152" s="38"/>
      <c r="V152" s="38"/>
      <c r="W152" s="38"/>
    </row>
    <row r="153" spans="1:24" ht="27.75" customHeight="1" thickTop="1">
      <c r="A153" s="22"/>
      <c r="B153" s="288" t="s">
        <v>283</v>
      </c>
      <c r="C153" s="289"/>
      <c r="D153" s="272"/>
      <c r="E153" s="201"/>
      <c r="F153" s="281"/>
      <c r="G153" s="290"/>
      <c r="H153" s="290"/>
      <c r="I153" s="290"/>
      <c r="J153" s="291"/>
      <c r="K153" s="292"/>
      <c r="L153" s="222"/>
      <c r="M153" s="94"/>
      <c r="N153" s="39"/>
      <c r="O153" s="293"/>
      <c r="P153" s="293"/>
      <c r="Q153" s="294"/>
      <c r="R153" s="36"/>
      <c r="S153" s="37"/>
      <c r="T153" s="37"/>
      <c r="U153" s="38"/>
      <c r="V153" s="38"/>
      <c r="W153" s="295"/>
    </row>
    <row r="154" spans="1:24" ht="27.75" customHeight="1">
      <c r="A154" s="94">
        <v>1</v>
      </c>
      <c r="B154" s="205" t="s">
        <v>192</v>
      </c>
      <c r="C154" s="206" t="s">
        <v>284</v>
      </c>
      <c r="D154" s="296">
        <v>66660</v>
      </c>
      <c r="E154" s="64"/>
      <c r="F154" s="44"/>
      <c r="G154" s="45">
        <v>0</v>
      </c>
      <c r="H154" s="45">
        <v>0</v>
      </c>
      <c r="I154" s="66">
        <v>0</v>
      </c>
      <c r="J154" s="183" t="s">
        <v>285</v>
      </c>
      <c r="K154" s="184" t="s">
        <v>286</v>
      </c>
      <c r="L154" s="231">
        <v>133320</v>
      </c>
      <c r="M154" s="186" t="s">
        <v>32</v>
      </c>
      <c r="N154" s="116"/>
      <c r="O154" s="233">
        <f>SUM(D154+G154-L154)</f>
        <v>-66660</v>
      </c>
      <c r="P154" s="233">
        <v>0</v>
      </c>
      <c r="Q154" s="66">
        <f>SUM(D154+I154-L154)</f>
        <v>-66660</v>
      </c>
      <c r="R154" s="297" t="s">
        <v>287</v>
      </c>
      <c r="S154" s="298">
        <v>44682</v>
      </c>
      <c r="T154" s="299">
        <v>45565</v>
      </c>
      <c r="U154" s="56">
        <v>347760</v>
      </c>
      <c r="V154" s="56" t="s">
        <v>288</v>
      </c>
      <c r="W154" s="295" t="s">
        <v>289</v>
      </c>
      <c r="X154" s="4" t="s">
        <v>290</v>
      </c>
    </row>
    <row r="155" spans="1:24" ht="27.75" customHeight="1">
      <c r="A155" s="83"/>
      <c r="B155" s="208" t="s">
        <v>291</v>
      </c>
      <c r="C155" s="209"/>
      <c r="D155" s="300"/>
      <c r="E155" s="211"/>
      <c r="F155" s="212"/>
      <c r="G155" s="213"/>
      <c r="H155" s="213"/>
      <c r="I155" s="214"/>
      <c r="J155" s="301"/>
      <c r="K155" s="302"/>
      <c r="L155" s="303"/>
      <c r="M155" s="304"/>
      <c r="N155" s="217"/>
      <c r="O155" s="305"/>
      <c r="P155" s="305"/>
      <c r="Q155" s="214"/>
      <c r="R155" s="306"/>
      <c r="S155" s="307"/>
      <c r="T155" s="37"/>
      <c r="U155" s="38"/>
      <c r="V155" s="38"/>
    </row>
    <row r="156" spans="1:24" ht="27.75" customHeight="1" thickBot="1">
      <c r="A156" s="193"/>
      <c r="B156" s="308" t="s">
        <v>22</v>
      </c>
      <c r="C156" s="309"/>
      <c r="D156" s="310">
        <f>SUM(D154:D155)</f>
        <v>66660</v>
      </c>
      <c r="E156" s="311"/>
      <c r="F156" s="312"/>
      <c r="G156" s="313">
        <f>SUM(G154:G155)</f>
        <v>0</v>
      </c>
      <c r="H156" s="313">
        <v>0</v>
      </c>
      <c r="I156" s="313">
        <f>SUM(I154)</f>
        <v>0</v>
      </c>
      <c r="J156" s="314"/>
      <c r="K156" s="314"/>
      <c r="L156" s="310">
        <f>SUM(L154:L155)</f>
        <v>133320</v>
      </c>
      <c r="M156" s="315"/>
      <c r="N156" s="310"/>
      <c r="O156" s="198">
        <f>SUM(O154:O155)-O154</f>
        <v>0</v>
      </c>
      <c r="P156" s="198">
        <f t="shared" ref="P156:Q156" si="39">SUM(P154:P155)-P154</f>
        <v>0</v>
      </c>
      <c r="Q156" s="198">
        <f t="shared" si="39"/>
        <v>0</v>
      </c>
      <c r="R156" s="36"/>
      <c r="S156" s="37"/>
      <c r="T156" s="37"/>
      <c r="U156" s="38"/>
      <c r="V156" s="38"/>
      <c r="W156" s="38"/>
    </row>
    <row r="157" spans="1:24" ht="27.75" customHeight="1" thickTop="1">
      <c r="A157" s="22"/>
      <c r="B157" s="23" t="s">
        <v>292</v>
      </c>
      <c r="C157" s="24"/>
      <c r="D157" s="25"/>
      <c r="E157" s="26"/>
      <c r="F157" s="27"/>
      <c r="G157" s="28"/>
      <c r="H157" s="28"/>
      <c r="I157" s="28"/>
      <c r="J157" s="29"/>
      <c r="K157" s="30"/>
      <c r="L157" s="31"/>
      <c r="M157" s="32"/>
      <c r="N157" s="33"/>
      <c r="O157" s="34"/>
      <c r="P157" s="34"/>
      <c r="Q157" s="35"/>
      <c r="R157" s="36"/>
      <c r="S157" s="37"/>
      <c r="T157" s="37"/>
      <c r="U157" s="38"/>
      <c r="V157" s="38"/>
      <c r="W157" s="38"/>
    </row>
    <row r="158" spans="1:24" ht="27.75" customHeight="1">
      <c r="A158" s="316">
        <v>1</v>
      </c>
      <c r="B158" s="280" t="s">
        <v>249</v>
      </c>
      <c r="C158" s="280" t="s">
        <v>250</v>
      </c>
      <c r="D158" s="272">
        <v>107</v>
      </c>
      <c r="E158" s="201"/>
      <c r="F158" s="281"/>
      <c r="G158" s="61">
        <v>0</v>
      </c>
      <c r="H158" s="61">
        <v>0</v>
      </c>
      <c r="I158" s="61">
        <v>0</v>
      </c>
      <c r="J158" s="317">
        <v>45930</v>
      </c>
      <c r="K158" s="318" t="s">
        <v>293</v>
      </c>
      <c r="L158" s="319">
        <v>107</v>
      </c>
      <c r="M158" s="320" t="s">
        <v>45</v>
      </c>
      <c r="N158" s="39">
        <v>0</v>
      </c>
      <c r="O158" s="233">
        <f t="shared" ref="O158:O165" si="40">+(D158*100/107)+G158-(L158*100/107)</f>
        <v>0</v>
      </c>
      <c r="P158" s="233">
        <f t="shared" ref="P158:P165" si="41">ROUND((O158*0.07),2)</f>
        <v>0</v>
      </c>
      <c r="Q158" s="66">
        <f t="shared" ref="Q158:Q165" si="42">+O158+P158</f>
        <v>0</v>
      </c>
      <c r="R158" s="36"/>
      <c r="S158" s="37"/>
      <c r="T158" s="37"/>
      <c r="U158" s="38"/>
      <c r="V158" s="38"/>
      <c r="W158" s="38"/>
    </row>
    <row r="159" spans="1:24" ht="27.75" customHeight="1">
      <c r="A159" s="316">
        <v>2</v>
      </c>
      <c r="B159" s="280" t="s">
        <v>294</v>
      </c>
      <c r="C159" s="280" t="s">
        <v>255</v>
      </c>
      <c r="D159" s="272">
        <v>42.8</v>
      </c>
      <c r="E159" s="201"/>
      <c r="F159" s="281"/>
      <c r="G159" s="61">
        <v>0</v>
      </c>
      <c r="H159" s="61">
        <v>0</v>
      </c>
      <c r="I159" s="61">
        <v>0</v>
      </c>
      <c r="J159" s="321"/>
      <c r="K159" s="322"/>
      <c r="L159" s="323"/>
      <c r="M159" s="320" t="s">
        <v>131</v>
      </c>
      <c r="N159" s="39">
        <v>1</v>
      </c>
      <c r="O159" s="233">
        <f t="shared" si="40"/>
        <v>40</v>
      </c>
      <c r="P159" s="233">
        <f t="shared" si="41"/>
        <v>2.8</v>
      </c>
      <c r="Q159" s="66">
        <f t="shared" si="42"/>
        <v>42.8</v>
      </c>
      <c r="R159" s="36"/>
      <c r="S159" s="37"/>
      <c r="T159" s="37"/>
      <c r="U159" s="38"/>
      <c r="V159" s="38"/>
      <c r="W159" s="38"/>
    </row>
    <row r="160" spans="1:24" ht="27.75" customHeight="1">
      <c r="A160" s="316">
        <v>3</v>
      </c>
      <c r="B160" s="270" t="s">
        <v>295</v>
      </c>
      <c r="C160" s="285" t="s">
        <v>255</v>
      </c>
      <c r="D160" s="284">
        <v>0</v>
      </c>
      <c r="E160" s="273"/>
      <c r="F160" s="274"/>
      <c r="G160" s="61">
        <v>0</v>
      </c>
      <c r="H160" s="61">
        <v>0</v>
      </c>
      <c r="I160" s="61">
        <v>0</v>
      </c>
      <c r="J160" s="321"/>
      <c r="K160" s="322"/>
      <c r="L160" s="323">
        <v>0</v>
      </c>
      <c r="M160" s="320" t="s">
        <v>45</v>
      </c>
      <c r="N160" s="251">
        <v>0</v>
      </c>
      <c r="O160" s="233">
        <f t="shared" si="40"/>
        <v>0</v>
      </c>
      <c r="P160" s="233">
        <f t="shared" si="41"/>
        <v>0</v>
      </c>
      <c r="Q160" s="66">
        <f t="shared" si="42"/>
        <v>0</v>
      </c>
      <c r="R160" s="36"/>
      <c r="S160" s="37"/>
      <c r="T160" s="37"/>
      <c r="U160" s="38"/>
      <c r="V160" s="38"/>
      <c r="W160" s="38"/>
    </row>
    <row r="161" spans="1:24" ht="27.75" customHeight="1">
      <c r="A161" s="22">
        <v>4</v>
      </c>
      <c r="B161" s="270" t="s">
        <v>296</v>
      </c>
      <c r="C161" s="270" t="s">
        <v>262</v>
      </c>
      <c r="D161" s="284">
        <v>10.7</v>
      </c>
      <c r="E161" s="273"/>
      <c r="F161" s="274"/>
      <c r="G161" s="65"/>
      <c r="H161" s="65"/>
      <c r="I161" s="65"/>
      <c r="J161" s="324">
        <v>45903</v>
      </c>
      <c r="K161" s="325" t="s">
        <v>297</v>
      </c>
      <c r="L161" s="326">
        <v>10.7</v>
      </c>
      <c r="M161" s="327" t="s">
        <v>45</v>
      </c>
      <c r="N161" s="251">
        <f t="shared" ref="N161" si="43">+O161/D161</f>
        <v>0</v>
      </c>
      <c r="O161" s="233"/>
      <c r="P161" s="233"/>
      <c r="Q161" s="66"/>
      <c r="R161" s="36"/>
      <c r="S161" s="37"/>
      <c r="T161" s="37"/>
      <c r="U161" s="38"/>
      <c r="V161" s="38"/>
      <c r="W161" s="38"/>
    </row>
    <row r="162" spans="1:24" ht="27.75" customHeight="1">
      <c r="A162" s="22">
        <v>5</v>
      </c>
      <c r="B162" s="270" t="s">
        <v>298</v>
      </c>
      <c r="C162" s="270" t="s">
        <v>199</v>
      </c>
      <c r="D162" s="284">
        <v>53.5</v>
      </c>
      <c r="E162" s="273"/>
      <c r="F162" s="274"/>
      <c r="G162" s="65">
        <v>0</v>
      </c>
      <c r="H162" s="65">
        <v>0</v>
      </c>
      <c r="I162" s="65">
        <v>0</v>
      </c>
      <c r="J162" s="328">
        <v>45930</v>
      </c>
      <c r="K162" s="329" t="s">
        <v>299</v>
      </c>
      <c r="L162" s="330">
        <v>53.5</v>
      </c>
      <c r="M162" s="327" t="s">
        <v>45</v>
      </c>
      <c r="N162" s="251">
        <v>0</v>
      </c>
      <c r="O162" s="233">
        <f t="shared" si="40"/>
        <v>0</v>
      </c>
      <c r="P162" s="233">
        <f t="shared" si="41"/>
        <v>0</v>
      </c>
      <c r="Q162" s="66">
        <f t="shared" si="42"/>
        <v>0</v>
      </c>
      <c r="R162" s="36"/>
      <c r="S162" s="37"/>
      <c r="T162" s="37"/>
      <c r="U162" s="38"/>
      <c r="V162" s="38"/>
      <c r="W162" s="38"/>
    </row>
    <row r="163" spans="1:24" ht="27.75" customHeight="1">
      <c r="A163" s="22">
        <v>6</v>
      </c>
      <c r="B163" s="270" t="s">
        <v>156</v>
      </c>
      <c r="C163" s="270" t="s">
        <v>208</v>
      </c>
      <c r="D163" s="284">
        <v>85.6</v>
      </c>
      <c r="E163" s="273"/>
      <c r="F163" s="274"/>
      <c r="G163" s="65">
        <v>0</v>
      </c>
      <c r="H163" s="65">
        <v>0</v>
      </c>
      <c r="I163" s="65">
        <v>0</v>
      </c>
      <c r="J163" s="328">
        <v>45905</v>
      </c>
      <c r="K163" s="329" t="s">
        <v>300</v>
      </c>
      <c r="L163" s="330">
        <v>85.6</v>
      </c>
      <c r="M163" s="327" t="s">
        <v>45</v>
      </c>
      <c r="N163" s="251">
        <v>0</v>
      </c>
      <c r="O163" s="233">
        <f t="shared" si="40"/>
        <v>0</v>
      </c>
      <c r="P163" s="233">
        <f t="shared" si="41"/>
        <v>0</v>
      </c>
      <c r="Q163" s="66">
        <f t="shared" si="42"/>
        <v>0</v>
      </c>
      <c r="R163" s="36"/>
      <c r="S163" s="37"/>
      <c r="T163" s="37"/>
      <c r="U163" s="38"/>
      <c r="V163" s="38"/>
      <c r="W163" s="38"/>
    </row>
    <row r="164" spans="1:24" ht="27.75" customHeight="1">
      <c r="A164" s="22">
        <v>7</v>
      </c>
      <c r="B164" s="270" t="s">
        <v>273</v>
      </c>
      <c r="C164" s="270" t="s">
        <v>211</v>
      </c>
      <c r="D164" s="284">
        <v>42.8</v>
      </c>
      <c r="E164" s="273"/>
      <c r="F164" s="274"/>
      <c r="G164" s="65">
        <v>0</v>
      </c>
      <c r="H164" s="65">
        <v>0</v>
      </c>
      <c r="I164" s="65">
        <v>0</v>
      </c>
      <c r="J164" s="328">
        <v>45908</v>
      </c>
      <c r="K164" s="329" t="s">
        <v>301</v>
      </c>
      <c r="L164" s="330">
        <v>42.8</v>
      </c>
      <c r="M164" s="327" t="s">
        <v>45</v>
      </c>
      <c r="N164" s="251">
        <v>0</v>
      </c>
      <c r="O164" s="233">
        <f t="shared" si="40"/>
        <v>0</v>
      </c>
      <c r="P164" s="233">
        <f t="shared" si="41"/>
        <v>0</v>
      </c>
      <c r="Q164" s="66">
        <f t="shared" si="42"/>
        <v>0</v>
      </c>
      <c r="R164" s="36"/>
      <c r="S164" s="37"/>
      <c r="T164" s="37"/>
      <c r="U164" s="38"/>
      <c r="V164" s="38"/>
      <c r="W164" s="38"/>
    </row>
    <row r="165" spans="1:24" ht="27.75" customHeight="1">
      <c r="A165" s="22">
        <v>8</v>
      </c>
      <c r="B165" s="270" t="s">
        <v>92</v>
      </c>
      <c r="C165" s="270" t="s">
        <v>302</v>
      </c>
      <c r="D165" s="284">
        <v>214</v>
      </c>
      <c r="E165" s="273"/>
      <c r="F165" s="274"/>
      <c r="G165" s="65">
        <v>0</v>
      </c>
      <c r="H165" s="65">
        <v>0</v>
      </c>
      <c r="I165" s="65">
        <v>0</v>
      </c>
      <c r="J165" s="331">
        <v>45929</v>
      </c>
      <c r="K165" s="332" t="s">
        <v>303</v>
      </c>
      <c r="L165" s="333">
        <v>214</v>
      </c>
      <c r="M165" s="327" t="s">
        <v>45</v>
      </c>
      <c r="N165" s="251">
        <v>0</v>
      </c>
      <c r="O165" s="233">
        <f t="shared" si="40"/>
        <v>0</v>
      </c>
      <c r="P165" s="233">
        <f t="shared" si="41"/>
        <v>0</v>
      </c>
      <c r="Q165" s="66">
        <f t="shared" si="42"/>
        <v>0</v>
      </c>
      <c r="R165" s="36"/>
      <c r="S165" s="37"/>
      <c r="T165" s="37"/>
      <c r="U165" s="38"/>
      <c r="V165" s="38"/>
      <c r="W165" s="38"/>
    </row>
    <row r="166" spans="1:24" ht="27.75" customHeight="1">
      <c r="A166" s="22"/>
      <c r="B166" s="270"/>
      <c r="C166" s="270"/>
      <c r="D166" s="284"/>
      <c r="E166" s="273"/>
      <c r="F166" s="274"/>
      <c r="G166" s="65"/>
      <c r="H166" s="65"/>
      <c r="I166" s="65"/>
      <c r="J166" s="334"/>
      <c r="K166" s="335"/>
      <c r="L166" s="336"/>
      <c r="M166" s="327"/>
      <c r="N166" s="251"/>
      <c r="O166" s="337"/>
      <c r="P166" s="337"/>
      <c r="Q166" s="229"/>
      <c r="R166" s="36"/>
      <c r="S166" s="37"/>
      <c r="T166" s="37"/>
      <c r="U166" s="38"/>
      <c r="V166" s="38"/>
      <c r="W166" s="38"/>
    </row>
    <row r="167" spans="1:24" ht="27.75" customHeight="1" thickBot="1">
      <c r="A167" s="193"/>
      <c r="B167" s="194"/>
      <c r="C167" s="195"/>
      <c r="D167" s="196">
        <f>SUM(D158:D165)</f>
        <v>556.40000000000009</v>
      </c>
      <c r="E167" s="221"/>
      <c r="F167" s="197"/>
      <c r="G167" s="198">
        <v>0</v>
      </c>
      <c r="H167" s="198">
        <v>0</v>
      </c>
      <c r="I167" s="198">
        <v>0</v>
      </c>
      <c r="J167" s="338"/>
      <c r="K167" s="199"/>
      <c r="L167" s="196">
        <f>SUM(L158:L165)</f>
        <v>513.59999999999991</v>
      </c>
      <c r="M167" s="200"/>
      <c r="N167" s="196"/>
      <c r="O167" s="198">
        <f>SUM(O158:O165)</f>
        <v>40</v>
      </c>
      <c r="P167" s="198">
        <f t="shared" ref="P167:Q167" si="44">SUM(P158:P165)</f>
        <v>2.8</v>
      </c>
      <c r="Q167" s="198">
        <f t="shared" si="44"/>
        <v>42.8</v>
      </c>
      <c r="R167" s="36"/>
      <c r="S167" s="37"/>
      <c r="T167" s="37"/>
      <c r="U167" s="38"/>
      <c r="V167" s="38"/>
      <c r="W167" s="38"/>
    </row>
    <row r="168" spans="1:24" ht="27.75" customHeight="1" thickTop="1">
      <c r="A168" s="22"/>
      <c r="B168" s="288" t="s">
        <v>304</v>
      </c>
      <c r="C168" s="289"/>
      <c r="D168" s="272"/>
      <c r="E168" s="201"/>
      <c r="F168" s="281"/>
      <c r="G168" s="290"/>
      <c r="H168" s="290"/>
      <c r="I168" s="290"/>
      <c r="J168" s="291"/>
      <c r="K168" s="292"/>
      <c r="L168" s="222"/>
      <c r="M168" s="94"/>
      <c r="N168" s="39"/>
      <c r="O168" s="293"/>
      <c r="P168" s="293"/>
      <c r="Q168" s="294"/>
      <c r="R168" s="36"/>
      <c r="S168" s="37"/>
      <c r="T168" s="37"/>
      <c r="U168" s="38"/>
      <c r="V168" s="38"/>
      <c r="W168" s="38"/>
    </row>
    <row r="169" spans="1:24" ht="27.75" customHeight="1">
      <c r="A169" s="339"/>
      <c r="B169" s="340" t="s">
        <v>305</v>
      </c>
      <c r="C169" s="289"/>
      <c r="D169" s="272"/>
      <c r="E169" s="201"/>
      <c r="F169" s="341"/>
      <c r="G169" s="187"/>
      <c r="H169" s="187"/>
      <c r="I169" s="290"/>
      <c r="J169" s="342"/>
      <c r="K169" s="343"/>
      <c r="L169" s="264"/>
      <c r="M169" s="94"/>
      <c r="N169" s="116"/>
      <c r="O169" s="344"/>
      <c r="P169" s="344"/>
      <c r="Q169" s="294"/>
      <c r="R169" s="36"/>
      <c r="S169" s="37"/>
      <c r="T169" s="37"/>
      <c r="U169" s="38"/>
      <c r="V169" s="38"/>
      <c r="W169" s="345"/>
    </row>
    <row r="170" spans="1:24" ht="27.75" customHeight="1">
      <c r="A170" s="186">
        <v>1</v>
      </c>
      <c r="B170" s="205" t="s">
        <v>24</v>
      </c>
      <c r="C170" s="346" t="s">
        <v>25</v>
      </c>
      <c r="D170" s="141">
        <v>1410</v>
      </c>
      <c r="E170" s="43" t="s">
        <v>45</v>
      </c>
      <c r="F170" s="44">
        <v>0</v>
      </c>
      <c r="G170" s="45">
        <v>0</v>
      </c>
      <c r="H170" s="45"/>
      <c r="I170" s="47">
        <v>0</v>
      </c>
      <c r="J170" s="113">
        <v>45901</v>
      </c>
      <c r="K170" s="114" t="s">
        <v>306</v>
      </c>
      <c r="L170" s="347">
        <v>1410</v>
      </c>
      <c r="M170" s="94" t="s">
        <v>45</v>
      </c>
      <c r="N170" s="116">
        <f>+O170/D170</f>
        <v>0</v>
      </c>
      <c r="O170" s="233">
        <f t="shared" ref="O170:O220" si="45">+I170+D170-L170</f>
        <v>0</v>
      </c>
      <c r="P170" s="233"/>
      <c r="Q170" s="47">
        <f t="shared" ref="Q170:Q220" si="46">+O170+P170</f>
        <v>0</v>
      </c>
      <c r="R170" s="348" t="s">
        <v>195</v>
      </c>
      <c r="S170" s="299" t="s">
        <v>307</v>
      </c>
      <c r="T170" s="299" t="s">
        <v>308</v>
      </c>
      <c r="U170" s="56">
        <v>3660</v>
      </c>
      <c r="V170" s="349" t="s">
        <v>309</v>
      </c>
      <c r="W170" s="295" t="s">
        <v>289</v>
      </c>
      <c r="X170" s="4" t="s">
        <v>310</v>
      </c>
    </row>
    <row r="171" spans="1:24" ht="27.75" customHeight="1">
      <c r="A171" s="186">
        <v>2</v>
      </c>
      <c r="B171" s="205" t="s">
        <v>28</v>
      </c>
      <c r="C171" s="346" t="s">
        <v>311</v>
      </c>
      <c r="D171" s="141">
        <v>1410</v>
      </c>
      <c r="E171" s="43" t="s">
        <v>45</v>
      </c>
      <c r="F171" s="44">
        <v>0</v>
      </c>
      <c r="G171" s="45">
        <v>0</v>
      </c>
      <c r="H171" s="45"/>
      <c r="I171" s="47">
        <v>0</v>
      </c>
      <c r="J171" s="113">
        <v>45901</v>
      </c>
      <c r="K171" s="114" t="s">
        <v>312</v>
      </c>
      <c r="L171" s="347">
        <v>1410</v>
      </c>
      <c r="M171" s="94" t="s">
        <v>45</v>
      </c>
      <c r="N171" s="116">
        <f t="shared" ref="N171:N220" si="47">+O171/D171</f>
        <v>0</v>
      </c>
      <c r="O171" s="233">
        <f t="shared" si="45"/>
        <v>0</v>
      </c>
      <c r="P171" s="233"/>
      <c r="Q171" s="47">
        <f t="shared" si="46"/>
        <v>0</v>
      </c>
      <c r="R171" s="348" t="s">
        <v>195</v>
      </c>
      <c r="S171" s="299" t="s">
        <v>307</v>
      </c>
      <c r="T171" s="299" t="s">
        <v>308</v>
      </c>
      <c r="U171" s="56">
        <v>36600</v>
      </c>
      <c r="V171" s="349" t="s">
        <v>313</v>
      </c>
      <c r="W171" s="4" t="s">
        <v>314</v>
      </c>
      <c r="X171" s="295" t="s">
        <v>289</v>
      </c>
    </row>
    <row r="172" spans="1:24" ht="27.75" customHeight="1">
      <c r="A172" s="186">
        <v>3</v>
      </c>
      <c r="B172" s="205" t="s">
        <v>28</v>
      </c>
      <c r="C172" s="346" t="s">
        <v>315</v>
      </c>
      <c r="D172" s="141">
        <v>1410</v>
      </c>
      <c r="E172" s="43" t="s">
        <v>45</v>
      </c>
      <c r="F172" s="44">
        <v>0</v>
      </c>
      <c r="G172" s="45">
        <v>0</v>
      </c>
      <c r="H172" s="45"/>
      <c r="I172" s="47">
        <v>0</v>
      </c>
      <c r="J172" s="113">
        <v>45901</v>
      </c>
      <c r="K172" s="114" t="s">
        <v>312</v>
      </c>
      <c r="L172" s="347">
        <v>1410</v>
      </c>
      <c r="M172" s="94" t="s">
        <v>45</v>
      </c>
      <c r="N172" s="116">
        <f t="shared" si="47"/>
        <v>0</v>
      </c>
      <c r="O172" s="233">
        <f t="shared" si="45"/>
        <v>0</v>
      </c>
      <c r="P172" s="233"/>
      <c r="Q172" s="47">
        <f t="shared" si="46"/>
        <v>0</v>
      </c>
      <c r="R172" s="348"/>
      <c r="S172" s="299"/>
      <c r="T172" s="299"/>
      <c r="U172" s="56"/>
      <c r="V172" s="349"/>
      <c r="X172" s="295"/>
    </row>
    <row r="173" spans="1:24" ht="27.75" customHeight="1">
      <c r="A173" s="186">
        <v>4</v>
      </c>
      <c r="B173" s="205" t="s">
        <v>24</v>
      </c>
      <c r="C173" s="346" t="s">
        <v>316</v>
      </c>
      <c r="D173" s="141">
        <v>1410</v>
      </c>
      <c r="E173" s="43" t="s">
        <v>45</v>
      </c>
      <c r="F173" s="44">
        <v>0</v>
      </c>
      <c r="G173" s="45">
        <v>0</v>
      </c>
      <c r="H173" s="45"/>
      <c r="I173" s="47">
        <v>0</v>
      </c>
      <c r="J173" s="113">
        <v>45901</v>
      </c>
      <c r="K173" s="114" t="s">
        <v>306</v>
      </c>
      <c r="L173" s="347">
        <v>1410</v>
      </c>
      <c r="M173" s="94" t="s">
        <v>45</v>
      </c>
      <c r="N173" s="116">
        <f t="shared" si="47"/>
        <v>0</v>
      </c>
      <c r="O173" s="233">
        <f t="shared" si="45"/>
        <v>0</v>
      </c>
      <c r="P173" s="233"/>
      <c r="Q173" s="47">
        <f t="shared" si="46"/>
        <v>0</v>
      </c>
      <c r="R173" s="348" t="s">
        <v>195</v>
      </c>
      <c r="S173" s="299" t="s">
        <v>307</v>
      </c>
      <c r="T173" s="299" t="s">
        <v>308</v>
      </c>
      <c r="U173" s="56">
        <v>10980</v>
      </c>
      <c r="V173" s="349" t="s">
        <v>317</v>
      </c>
      <c r="W173" s="295" t="s">
        <v>289</v>
      </c>
      <c r="X173" s="4" t="s">
        <v>310</v>
      </c>
    </row>
    <row r="174" spans="1:24" ht="27.75" customHeight="1">
      <c r="A174" s="186">
        <v>5</v>
      </c>
      <c r="B174" s="205" t="s">
        <v>24</v>
      </c>
      <c r="C174" s="346" t="s">
        <v>318</v>
      </c>
      <c r="D174" s="141">
        <v>1410</v>
      </c>
      <c r="E174" s="43" t="s">
        <v>45</v>
      </c>
      <c r="F174" s="44">
        <v>0</v>
      </c>
      <c r="G174" s="45">
        <v>0</v>
      </c>
      <c r="H174" s="45"/>
      <c r="I174" s="47">
        <v>0</v>
      </c>
      <c r="J174" s="113">
        <v>45901</v>
      </c>
      <c r="K174" s="114" t="s">
        <v>306</v>
      </c>
      <c r="L174" s="347">
        <v>1410</v>
      </c>
      <c r="M174" s="94" t="s">
        <v>45</v>
      </c>
      <c r="N174" s="116">
        <f t="shared" si="47"/>
        <v>0</v>
      </c>
      <c r="O174" s="233">
        <f t="shared" si="45"/>
        <v>0</v>
      </c>
      <c r="P174" s="233"/>
      <c r="Q174" s="47">
        <f t="shared" si="46"/>
        <v>0</v>
      </c>
      <c r="R174" s="348"/>
      <c r="S174" s="299"/>
      <c r="T174" s="299"/>
      <c r="U174" s="56"/>
      <c r="V174" s="349"/>
      <c r="W174" s="295"/>
    </row>
    <row r="175" spans="1:24" ht="27.75" customHeight="1">
      <c r="A175" s="186">
        <v>6</v>
      </c>
      <c r="B175" s="205" t="s">
        <v>24</v>
      </c>
      <c r="C175" s="346" t="s">
        <v>319</v>
      </c>
      <c r="D175" s="141">
        <v>1410</v>
      </c>
      <c r="E175" s="43" t="s">
        <v>45</v>
      </c>
      <c r="F175" s="44">
        <v>0</v>
      </c>
      <c r="G175" s="45">
        <v>0</v>
      </c>
      <c r="H175" s="45"/>
      <c r="I175" s="47">
        <v>0</v>
      </c>
      <c r="J175" s="113">
        <v>45901</v>
      </c>
      <c r="K175" s="114" t="s">
        <v>306</v>
      </c>
      <c r="L175" s="347">
        <v>1410</v>
      </c>
      <c r="M175" s="94" t="s">
        <v>45</v>
      </c>
      <c r="N175" s="116">
        <f t="shared" si="47"/>
        <v>0</v>
      </c>
      <c r="O175" s="233">
        <f t="shared" si="45"/>
        <v>0</v>
      </c>
      <c r="P175" s="233"/>
      <c r="Q175" s="47">
        <f t="shared" si="46"/>
        <v>0</v>
      </c>
      <c r="R175" s="348"/>
      <c r="S175" s="299"/>
      <c r="T175" s="299"/>
      <c r="U175" s="56"/>
      <c r="V175" s="349"/>
      <c r="W175" s="295"/>
    </row>
    <row r="176" spans="1:24" ht="27.75" customHeight="1">
      <c r="A176" s="186">
        <v>7</v>
      </c>
      <c r="B176" s="205" t="s">
        <v>28</v>
      </c>
      <c r="C176" s="346" t="s">
        <v>320</v>
      </c>
      <c r="D176" s="141">
        <v>1410</v>
      </c>
      <c r="E176" s="43" t="s">
        <v>45</v>
      </c>
      <c r="F176" s="44">
        <v>0</v>
      </c>
      <c r="G176" s="45">
        <v>0</v>
      </c>
      <c r="H176" s="45"/>
      <c r="I176" s="47">
        <v>0</v>
      </c>
      <c r="J176" s="113">
        <v>45901</v>
      </c>
      <c r="K176" s="114" t="s">
        <v>312</v>
      </c>
      <c r="L176" s="347">
        <v>1410</v>
      </c>
      <c r="M176" s="94" t="s">
        <v>45</v>
      </c>
      <c r="N176" s="116">
        <f t="shared" si="47"/>
        <v>0</v>
      </c>
      <c r="O176" s="233">
        <f t="shared" si="45"/>
        <v>0</v>
      </c>
      <c r="P176" s="233"/>
      <c r="Q176" s="47">
        <f t="shared" si="46"/>
        <v>0</v>
      </c>
      <c r="R176" s="348"/>
      <c r="S176" s="299"/>
      <c r="T176" s="299"/>
      <c r="U176" s="56"/>
      <c r="V176" s="349"/>
      <c r="W176" s="295"/>
    </row>
    <row r="177" spans="1:24" ht="27.75" customHeight="1">
      <c r="A177" s="186">
        <v>8</v>
      </c>
      <c r="B177" s="205" t="s">
        <v>28</v>
      </c>
      <c r="C177" s="346" t="s">
        <v>321</v>
      </c>
      <c r="D177" s="141">
        <v>1410</v>
      </c>
      <c r="E177" s="43" t="s">
        <v>45</v>
      </c>
      <c r="F177" s="44">
        <v>0</v>
      </c>
      <c r="G177" s="45">
        <v>0</v>
      </c>
      <c r="H177" s="45"/>
      <c r="I177" s="47">
        <v>0</v>
      </c>
      <c r="J177" s="113">
        <v>45901</v>
      </c>
      <c r="K177" s="114" t="s">
        <v>312</v>
      </c>
      <c r="L177" s="347">
        <v>1410</v>
      </c>
      <c r="M177" s="94" t="s">
        <v>45</v>
      </c>
      <c r="N177" s="116">
        <f t="shared" si="47"/>
        <v>0</v>
      </c>
      <c r="O177" s="233">
        <f t="shared" si="45"/>
        <v>0</v>
      </c>
      <c r="P177" s="233"/>
      <c r="Q177" s="47">
        <f t="shared" si="46"/>
        <v>0</v>
      </c>
      <c r="R177" s="348"/>
      <c r="S177" s="299"/>
      <c r="T177" s="299"/>
      <c r="U177" s="56"/>
      <c r="V177" s="349"/>
      <c r="W177" s="295"/>
    </row>
    <row r="178" spans="1:24" ht="27.75" customHeight="1">
      <c r="A178" s="186">
        <v>9</v>
      </c>
      <c r="B178" s="205" t="s">
        <v>28</v>
      </c>
      <c r="C178" s="346" t="s">
        <v>322</v>
      </c>
      <c r="D178" s="141">
        <v>1410</v>
      </c>
      <c r="E178" s="43" t="s">
        <v>45</v>
      </c>
      <c r="F178" s="44">
        <v>0</v>
      </c>
      <c r="G178" s="45">
        <v>0</v>
      </c>
      <c r="H178" s="45"/>
      <c r="I178" s="47">
        <v>0</v>
      </c>
      <c r="J178" s="113">
        <v>45901</v>
      </c>
      <c r="K178" s="114" t="s">
        <v>312</v>
      </c>
      <c r="L178" s="347">
        <v>1410</v>
      </c>
      <c r="M178" s="94" t="s">
        <v>45</v>
      </c>
      <c r="N178" s="116">
        <f t="shared" si="47"/>
        <v>0</v>
      </c>
      <c r="O178" s="233">
        <f t="shared" si="45"/>
        <v>0</v>
      </c>
      <c r="P178" s="233"/>
      <c r="Q178" s="47">
        <f t="shared" si="46"/>
        <v>0</v>
      </c>
      <c r="R178" s="348"/>
      <c r="S178" s="299"/>
      <c r="T178" s="299"/>
      <c r="U178" s="56"/>
      <c r="V178" s="349"/>
      <c r="W178" s="295"/>
    </row>
    <row r="179" spans="1:24" ht="27.75" customHeight="1">
      <c r="A179" s="186">
        <v>10</v>
      </c>
      <c r="B179" s="205" t="s">
        <v>28</v>
      </c>
      <c r="C179" s="346" t="s">
        <v>323</v>
      </c>
      <c r="D179" s="141">
        <v>1410</v>
      </c>
      <c r="E179" s="43" t="s">
        <v>45</v>
      </c>
      <c r="F179" s="44">
        <v>0</v>
      </c>
      <c r="G179" s="45">
        <v>0</v>
      </c>
      <c r="H179" s="45"/>
      <c r="I179" s="47">
        <v>0</v>
      </c>
      <c r="J179" s="113">
        <v>45901</v>
      </c>
      <c r="K179" s="114" t="s">
        <v>312</v>
      </c>
      <c r="L179" s="347">
        <v>1410</v>
      </c>
      <c r="M179" s="94" t="s">
        <v>45</v>
      </c>
      <c r="N179" s="116">
        <f t="shared" si="47"/>
        <v>0</v>
      </c>
      <c r="O179" s="233">
        <f t="shared" si="45"/>
        <v>0</v>
      </c>
      <c r="P179" s="233"/>
      <c r="Q179" s="47">
        <f t="shared" si="46"/>
        <v>0</v>
      </c>
      <c r="R179" s="348"/>
      <c r="S179" s="299"/>
      <c r="T179" s="299"/>
      <c r="U179" s="56"/>
      <c r="V179" s="349"/>
      <c r="W179" s="295"/>
    </row>
    <row r="180" spans="1:24" ht="27.75" customHeight="1">
      <c r="A180" s="186">
        <v>11</v>
      </c>
      <c r="B180" s="205" t="s">
        <v>28</v>
      </c>
      <c r="C180" s="346" t="s">
        <v>324</v>
      </c>
      <c r="D180" s="141">
        <v>1410</v>
      </c>
      <c r="E180" s="43" t="s">
        <v>45</v>
      </c>
      <c r="F180" s="44">
        <v>0</v>
      </c>
      <c r="G180" s="45">
        <v>0</v>
      </c>
      <c r="H180" s="45"/>
      <c r="I180" s="47">
        <v>0</v>
      </c>
      <c r="J180" s="113">
        <v>45901</v>
      </c>
      <c r="K180" s="114" t="s">
        <v>312</v>
      </c>
      <c r="L180" s="347">
        <v>1410</v>
      </c>
      <c r="M180" s="94" t="s">
        <v>45</v>
      </c>
      <c r="N180" s="116">
        <f t="shared" si="47"/>
        <v>0</v>
      </c>
      <c r="O180" s="233">
        <f t="shared" si="45"/>
        <v>0</v>
      </c>
      <c r="P180" s="233"/>
      <c r="Q180" s="47">
        <f t="shared" si="46"/>
        <v>0</v>
      </c>
      <c r="R180" s="348"/>
      <c r="S180" s="299"/>
      <c r="T180" s="299"/>
      <c r="U180" s="56"/>
      <c r="V180" s="349"/>
      <c r="W180" s="295"/>
    </row>
    <row r="181" spans="1:24" ht="27.75" customHeight="1">
      <c r="A181" s="186">
        <v>12</v>
      </c>
      <c r="B181" s="205" t="s">
        <v>325</v>
      </c>
      <c r="C181" s="346" t="s">
        <v>326</v>
      </c>
      <c r="D181" s="141">
        <v>1410</v>
      </c>
      <c r="E181" s="43" t="s">
        <v>45</v>
      </c>
      <c r="F181" s="44">
        <v>0</v>
      </c>
      <c r="G181" s="45">
        <v>0</v>
      </c>
      <c r="H181" s="45"/>
      <c r="I181" s="47">
        <v>0</v>
      </c>
      <c r="J181" s="113">
        <v>45905</v>
      </c>
      <c r="K181" s="114" t="s">
        <v>327</v>
      </c>
      <c r="L181" s="347">
        <v>1410</v>
      </c>
      <c r="M181" s="94" t="s">
        <v>45</v>
      </c>
      <c r="N181" s="116">
        <f t="shared" si="47"/>
        <v>0</v>
      </c>
      <c r="O181" s="233">
        <f t="shared" si="45"/>
        <v>0</v>
      </c>
      <c r="P181" s="233"/>
      <c r="Q181" s="47">
        <f t="shared" si="46"/>
        <v>0</v>
      </c>
      <c r="R181" s="348" t="s">
        <v>195</v>
      </c>
      <c r="S181" s="299" t="s">
        <v>307</v>
      </c>
      <c r="T181" s="299" t="s">
        <v>308</v>
      </c>
      <c r="U181" s="56">
        <v>14640</v>
      </c>
      <c r="V181" s="349" t="s">
        <v>328</v>
      </c>
      <c r="W181" s="295" t="s">
        <v>289</v>
      </c>
      <c r="X181" s="4" t="s">
        <v>329</v>
      </c>
    </row>
    <row r="182" spans="1:24" ht="27.75" customHeight="1">
      <c r="A182" s="186">
        <v>13</v>
      </c>
      <c r="B182" s="205" t="s">
        <v>325</v>
      </c>
      <c r="C182" s="346" t="s">
        <v>330</v>
      </c>
      <c r="D182" s="141">
        <v>1410</v>
      </c>
      <c r="E182" s="43" t="s">
        <v>45</v>
      </c>
      <c r="F182" s="44">
        <v>0</v>
      </c>
      <c r="G182" s="45">
        <v>0</v>
      </c>
      <c r="H182" s="45"/>
      <c r="I182" s="47">
        <v>0</v>
      </c>
      <c r="J182" s="113">
        <v>45905</v>
      </c>
      <c r="K182" s="114" t="s">
        <v>327</v>
      </c>
      <c r="L182" s="347">
        <v>1410</v>
      </c>
      <c r="M182" s="94" t="s">
        <v>45</v>
      </c>
      <c r="N182" s="116">
        <f t="shared" si="47"/>
        <v>0</v>
      </c>
      <c r="O182" s="233">
        <f t="shared" si="45"/>
        <v>0</v>
      </c>
      <c r="P182" s="233"/>
      <c r="Q182" s="47">
        <f t="shared" si="46"/>
        <v>0</v>
      </c>
      <c r="R182" s="348"/>
      <c r="S182" s="299"/>
      <c r="T182" s="299"/>
      <c r="U182" s="56"/>
      <c r="V182" s="349"/>
      <c r="W182" s="295"/>
    </row>
    <row r="183" spans="1:24" ht="27.75" customHeight="1">
      <c r="A183" s="186">
        <v>14</v>
      </c>
      <c r="B183" s="205" t="s">
        <v>325</v>
      </c>
      <c r="C183" s="346" t="s">
        <v>331</v>
      </c>
      <c r="D183" s="141">
        <v>1410</v>
      </c>
      <c r="E183" s="43" t="s">
        <v>45</v>
      </c>
      <c r="F183" s="44">
        <v>0</v>
      </c>
      <c r="G183" s="45">
        <v>0</v>
      </c>
      <c r="H183" s="45"/>
      <c r="I183" s="47">
        <v>0</v>
      </c>
      <c r="J183" s="113">
        <v>45905</v>
      </c>
      <c r="K183" s="114" t="s">
        <v>327</v>
      </c>
      <c r="L183" s="347">
        <v>1410</v>
      </c>
      <c r="M183" s="94" t="s">
        <v>45</v>
      </c>
      <c r="N183" s="116">
        <f t="shared" si="47"/>
        <v>0</v>
      </c>
      <c r="O183" s="233">
        <f t="shared" si="45"/>
        <v>0</v>
      </c>
      <c r="P183" s="233"/>
      <c r="Q183" s="47">
        <f t="shared" si="46"/>
        <v>0</v>
      </c>
      <c r="R183" s="348"/>
      <c r="S183" s="299"/>
      <c r="T183" s="299"/>
      <c r="U183" s="56"/>
      <c r="V183" s="349"/>
      <c r="W183" s="295"/>
    </row>
    <row r="184" spans="1:24" ht="27.75" customHeight="1">
      <c r="A184" s="186">
        <v>15</v>
      </c>
      <c r="B184" s="205" t="s">
        <v>325</v>
      </c>
      <c r="C184" s="346" t="s">
        <v>332</v>
      </c>
      <c r="D184" s="141">
        <v>1410</v>
      </c>
      <c r="E184" s="43" t="s">
        <v>45</v>
      </c>
      <c r="F184" s="44">
        <v>0</v>
      </c>
      <c r="G184" s="45">
        <v>0</v>
      </c>
      <c r="H184" s="45"/>
      <c r="I184" s="47">
        <v>0</v>
      </c>
      <c r="J184" s="113">
        <v>45905</v>
      </c>
      <c r="K184" s="114" t="s">
        <v>327</v>
      </c>
      <c r="L184" s="347">
        <v>1410</v>
      </c>
      <c r="M184" s="94" t="s">
        <v>45</v>
      </c>
      <c r="N184" s="116">
        <f t="shared" si="47"/>
        <v>0</v>
      </c>
      <c r="O184" s="233">
        <f t="shared" si="45"/>
        <v>0</v>
      </c>
      <c r="P184" s="233"/>
      <c r="Q184" s="47">
        <f t="shared" si="46"/>
        <v>0</v>
      </c>
      <c r="R184" s="348"/>
      <c r="S184" s="299"/>
      <c r="T184" s="299"/>
      <c r="U184" s="56"/>
      <c r="V184" s="349"/>
      <c r="W184" s="295"/>
    </row>
    <row r="185" spans="1:24" ht="27.75" customHeight="1">
      <c r="A185" s="186">
        <v>16</v>
      </c>
      <c r="B185" s="205" t="s">
        <v>28</v>
      </c>
      <c r="C185" s="346" t="s">
        <v>333</v>
      </c>
      <c r="D185" s="141">
        <v>1410</v>
      </c>
      <c r="E185" s="43" t="s">
        <v>45</v>
      </c>
      <c r="F185" s="44">
        <v>0</v>
      </c>
      <c r="G185" s="45">
        <v>0</v>
      </c>
      <c r="H185" s="45"/>
      <c r="I185" s="47">
        <v>0</v>
      </c>
      <c r="J185" s="113">
        <v>45901</v>
      </c>
      <c r="K185" s="114" t="s">
        <v>312</v>
      </c>
      <c r="L185" s="347">
        <v>1410</v>
      </c>
      <c r="M185" s="94" t="s">
        <v>45</v>
      </c>
      <c r="N185" s="116">
        <f t="shared" si="47"/>
        <v>0</v>
      </c>
      <c r="O185" s="233">
        <f t="shared" si="45"/>
        <v>0</v>
      </c>
      <c r="P185" s="233"/>
      <c r="Q185" s="47">
        <f t="shared" si="46"/>
        <v>0</v>
      </c>
      <c r="R185" s="348"/>
      <c r="S185" s="299"/>
      <c r="T185" s="299"/>
      <c r="U185" s="56"/>
      <c r="V185" s="349"/>
      <c r="W185" s="295"/>
    </row>
    <row r="186" spans="1:24" ht="27.75" customHeight="1">
      <c r="A186" s="186">
        <v>17</v>
      </c>
      <c r="B186" s="205" t="s">
        <v>28</v>
      </c>
      <c r="C186" s="346" t="s">
        <v>334</v>
      </c>
      <c r="D186" s="141">
        <v>1410</v>
      </c>
      <c r="E186" s="43" t="s">
        <v>45</v>
      </c>
      <c r="F186" s="44">
        <v>0</v>
      </c>
      <c r="G186" s="45">
        <v>0</v>
      </c>
      <c r="H186" s="45"/>
      <c r="I186" s="47">
        <v>0</v>
      </c>
      <c r="J186" s="113">
        <v>45901</v>
      </c>
      <c r="K186" s="114" t="s">
        <v>312</v>
      </c>
      <c r="L186" s="347">
        <v>1410</v>
      </c>
      <c r="M186" s="94" t="s">
        <v>45</v>
      </c>
      <c r="N186" s="116">
        <f t="shared" si="47"/>
        <v>0</v>
      </c>
      <c r="O186" s="233">
        <f t="shared" si="45"/>
        <v>0</v>
      </c>
      <c r="P186" s="233"/>
      <c r="Q186" s="47">
        <f t="shared" si="46"/>
        <v>0</v>
      </c>
      <c r="R186" s="348"/>
      <c r="S186" s="299"/>
      <c r="T186" s="299"/>
      <c r="U186" s="56"/>
      <c r="V186" s="349"/>
      <c r="W186" s="295"/>
    </row>
    <row r="187" spans="1:24" ht="27.75" customHeight="1">
      <c r="A187" s="186">
        <v>18</v>
      </c>
      <c r="B187" s="205" t="s">
        <v>28</v>
      </c>
      <c r="C187" s="346" t="s">
        <v>335</v>
      </c>
      <c r="D187" s="141">
        <v>1410</v>
      </c>
      <c r="E187" s="43" t="s">
        <v>45</v>
      </c>
      <c r="F187" s="44">
        <v>0</v>
      </c>
      <c r="G187" s="45">
        <v>0</v>
      </c>
      <c r="H187" s="45"/>
      <c r="I187" s="47">
        <v>0</v>
      </c>
      <c r="J187" s="113">
        <v>45901</v>
      </c>
      <c r="K187" s="114" t="s">
        <v>312</v>
      </c>
      <c r="L187" s="347">
        <v>1410</v>
      </c>
      <c r="M187" s="94" t="s">
        <v>45</v>
      </c>
      <c r="N187" s="116">
        <f t="shared" si="47"/>
        <v>0</v>
      </c>
      <c r="O187" s="233">
        <f t="shared" si="45"/>
        <v>0</v>
      </c>
      <c r="P187" s="233"/>
      <c r="Q187" s="47">
        <f t="shared" si="46"/>
        <v>0</v>
      </c>
      <c r="R187" s="348"/>
      <c r="S187" s="299"/>
      <c r="T187" s="299"/>
      <c r="U187" s="56"/>
      <c r="V187" s="349"/>
      <c r="W187" s="295"/>
    </row>
    <row r="188" spans="1:24" ht="27.75" customHeight="1">
      <c r="A188" s="186">
        <v>19</v>
      </c>
      <c r="B188" s="205" t="s">
        <v>40</v>
      </c>
      <c r="C188" s="346" t="s">
        <v>336</v>
      </c>
      <c r="D188" s="141">
        <v>1220</v>
      </c>
      <c r="E188" s="43" t="s">
        <v>26</v>
      </c>
      <c r="F188" s="44">
        <v>0</v>
      </c>
      <c r="G188" s="45">
        <v>0</v>
      </c>
      <c r="H188" s="45"/>
      <c r="I188" s="47">
        <v>0</v>
      </c>
      <c r="J188" s="113">
        <v>45902</v>
      </c>
      <c r="K188" s="114" t="s">
        <v>337</v>
      </c>
      <c r="L188" s="347">
        <v>1220</v>
      </c>
      <c r="M188" s="94" t="str">
        <f t="shared" ref="M188:M190" si="48">IF(G188&gt;0,DATE(YEAR($A$1),MONTH($A$1)-((G188-L188)/D188),DAY($A$1))," - ")</f>
        <v xml:space="preserve"> - </v>
      </c>
      <c r="N188" s="116">
        <f t="shared" si="47"/>
        <v>0</v>
      </c>
      <c r="O188" s="233">
        <f t="shared" si="45"/>
        <v>0</v>
      </c>
      <c r="P188" s="233"/>
      <c r="Q188" s="47">
        <f t="shared" si="46"/>
        <v>0</v>
      </c>
      <c r="R188" s="39" t="s">
        <v>195</v>
      </c>
      <c r="S188" s="55">
        <v>43313</v>
      </c>
      <c r="T188" s="55">
        <v>44408</v>
      </c>
      <c r="U188" s="56">
        <v>9540</v>
      </c>
      <c r="V188" s="349"/>
    </row>
    <row r="189" spans="1:24" ht="27.75" customHeight="1">
      <c r="A189" s="186">
        <v>20</v>
      </c>
      <c r="B189" s="205" t="s">
        <v>40</v>
      </c>
      <c r="C189" s="346" t="s">
        <v>338</v>
      </c>
      <c r="D189" s="141">
        <v>1220</v>
      </c>
      <c r="E189" s="43" t="s">
        <v>26</v>
      </c>
      <c r="F189" s="44">
        <v>0</v>
      </c>
      <c r="G189" s="45">
        <v>0</v>
      </c>
      <c r="H189" s="45"/>
      <c r="I189" s="47">
        <v>0</v>
      </c>
      <c r="J189" s="113">
        <v>45902</v>
      </c>
      <c r="K189" s="114" t="s">
        <v>337</v>
      </c>
      <c r="L189" s="347">
        <v>1220</v>
      </c>
      <c r="M189" s="94" t="str">
        <f t="shared" si="48"/>
        <v xml:space="preserve"> - </v>
      </c>
      <c r="N189" s="116">
        <f t="shared" si="47"/>
        <v>0</v>
      </c>
      <c r="O189" s="233">
        <f t="shared" si="45"/>
        <v>0</v>
      </c>
      <c r="P189" s="233"/>
      <c r="Q189" s="47">
        <f t="shared" si="46"/>
        <v>0</v>
      </c>
      <c r="R189" s="39"/>
      <c r="S189" s="55"/>
      <c r="T189" s="55"/>
      <c r="U189" s="56"/>
      <c r="V189" s="349"/>
    </row>
    <row r="190" spans="1:24" ht="27.75" customHeight="1">
      <c r="A190" s="186">
        <v>21</v>
      </c>
      <c r="B190" s="205" t="s">
        <v>40</v>
      </c>
      <c r="C190" s="346" t="s">
        <v>339</v>
      </c>
      <c r="D190" s="141">
        <v>1220</v>
      </c>
      <c r="E190" s="43" t="s">
        <v>26</v>
      </c>
      <c r="F190" s="44">
        <v>0</v>
      </c>
      <c r="G190" s="45">
        <v>0</v>
      </c>
      <c r="H190" s="45"/>
      <c r="I190" s="47">
        <v>0</v>
      </c>
      <c r="J190" s="113">
        <v>45902</v>
      </c>
      <c r="K190" s="114" t="s">
        <v>337</v>
      </c>
      <c r="L190" s="347">
        <v>1220</v>
      </c>
      <c r="M190" s="94" t="str">
        <f t="shared" si="48"/>
        <v xml:space="preserve"> - </v>
      </c>
      <c r="N190" s="116">
        <f t="shared" si="47"/>
        <v>0</v>
      </c>
      <c r="O190" s="233">
        <f t="shared" si="45"/>
        <v>0</v>
      </c>
      <c r="P190" s="233"/>
      <c r="Q190" s="47">
        <f t="shared" si="46"/>
        <v>0</v>
      </c>
      <c r="R190" s="39"/>
      <c r="S190" s="55"/>
      <c r="T190" s="55"/>
      <c r="U190" s="56"/>
      <c r="V190" s="349"/>
    </row>
    <row r="191" spans="1:24" ht="27.75" customHeight="1">
      <c r="A191" s="186">
        <v>22</v>
      </c>
      <c r="B191" s="40" t="s">
        <v>43</v>
      </c>
      <c r="C191" s="346" t="s">
        <v>340</v>
      </c>
      <c r="D191" s="141">
        <v>1410</v>
      </c>
      <c r="E191" s="43" t="s">
        <v>45</v>
      </c>
      <c r="F191" s="44">
        <v>0</v>
      </c>
      <c r="G191" s="45">
        <v>0</v>
      </c>
      <c r="H191" s="45"/>
      <c r="I191" s="47">
        <v>0</v>
      </c>
      <c r="J191" s="113">
        <v>45902</v>
      </c>
      <c r="K191" s="114" t="s">
        <v>341</v>
      </c>
      <c r="L191" s="347">
        <v>1410</v>
      </c>
      <c r="M191" s="94" t="s">
        <v>45</v>
      </c>
      <c r="N191" s="116">
        <f t="shared" si="47"/>
        <v>0</v>
      </c>
      <c r="O191" s="233">
        <f t="shared" si="45"/>
        <v>0</v>
      </c>
      <c r="P191" s="233"/>
      <c r="Q191" s="47">
        <f t="shared" si="46"/>
        <v>0</v>
      </c>
      <c r="R191" s="348" t="s">
        <v>195</v>
      </c>
      <c r="S191" s="299" t="s">
        <v>307</v>
      </c>
      <c r="T191" s="299" t="s">
        <v>308</v>
      </c>
      <c r="U191" s="56">
        <v>7320</v>
      </c>
      <c r="V191" s="349" t="s">
        <v>342</v>
      </c>
      <c r="W191" s="295" t="s">
        <v>289</v>
      </c>
      <c r="X191" s="4" t="s">
        <v>343</v>
      </c>
    </row>
    <row r="192" spans="1:24" ht="27.75" customHeight="1">
      <c r="A192" s="186">
        <v>23</v>
      </c>
      <c r="B192" s="40" t="s">
        <v>43</v>
      </c>
      <c r="C192" s="346" t="s">
        <v>344</v>
      </c>
      <c r="D192" s="141">
        <v>1410</v>
      </c>
      <c r="E192" s="43" t="s">
        <v>45</v>
      </c>
      <c r="F192" s="44">
        <v>0</v>
      </c>
      <c r="G192" s="45">
        <v>0</v>
      </c>
      <c r="H192" s="45"/>
      <c r="I192" s="47">
        <v>0</v>
      </c>
      <c r="J192" s="113">
        <v>45902</v>
      </c>
      <c r="K192" s="114" t="s">
        <v>341</v>
      </c>
      <c r="L192" s="347">
        <v>1410</v>
      </c>
      <c r="M192" s="94" t="s">
        <v>45</v>
      </c>
      <c r="N192" s="116">
        <f t="shared" si="47"/>
        <v>0</v>
      </c>
      <c r="O192" s="233">
        <f t="shared" si="45"/>
        <v>0</v>
      </c>
      <c r="P192" s="233"/>
      <c r="Q192" s="47">
        <f t="shared" si="46"/>
        <v>0</v>
      </c>
      <c r="R192" s="348"/>
      <c r="S192" s="299"/>
      <c r="T192" s="299"/>
      <c r="U192" s="56"/>
      <c r="V192" s="349"/>
      <c r="W192" s="295"/>
    </row>
    <row r="193" spans="1:24" ht="27.75" customHeight="1">
      <c r="A193" s="186">
        <v>24</v>
      </c>
      <c r="B193" s="40" t="s">
        <v>345</v>
      </c>
      <c r="C193" s="346" t="s">
        <v>346</v>
      </c>
      <c r="D193" s="141">
        <v>1410</v>
      </c>
      <c r="E193" s="43" t="s">
        <v>45</v>
      </c>
      <c r="F193" s="44">
        <v>0</v>
      </c>
      <c r="G193" s="45">
        <v>0</v>
      </c>
      <c r="H193" s="45"/>
      <c r="I193" s="47">
        <v>0</v>
      </c>
      <c r="J193" s="113">
        <v>45904</v>
      </c>
      <c r="K193" s="114" t="s">
        <v>347</v>
      </c>
      <c r="L193" s="347">
        <v>1410</v>
      </c>
      <c r="M193" s="94" t="s">
        <v>45</v>
      </c>
      <c r="N193" s="116">
        <f t="shared" si="47"/>
        <v>0</v>
      </c>
      <c r="O193" s="233">
        <f t="shared" si="45"/>
        <v>0</v>
      </c>
      <c r="P193" s="233"/>
      <c r="Q193" s="47">
        <f t="shared" si="46"/>
        <v>0</v>
      </c>
      <c r="R193" s="39" t="s">
        <v>195</v>
      </c>
      <c r="S193" s="55">
        <v>43313</v>
      </c>
      <c r="T193" s="55">
        <v>44408</v>
      </c>
      <c r="U193" s="56">
        <v>12720</v>
      </c>
      <c r="V193" s="349"/>
    </row>
    <row r="194" spans="1:24" ht="27.75" customHeight="1">
      <c r="A194" s="186">
        <v>25</v>
      </c>
      <c r="B194" s="40" t="s">
        <v>345</v>
      </c>
      <c r="C194" s="346" t="s">
        <v>348</v>
      </c>
      <c r="D194" s="141">
        <v>1410</v>
      </c>
      <c r="E194" s="43" t="s">
        <v>45</v>
      </c>
      <c r="F194" s="44">
        <v>0</v>
      </c>
      <c r="G194" s="45">
        <v>0</v>
      </c>
      <c r="H194" s="45"/>
      <c r="I194" s="47">
        <v>0</v>
      </c>
      <c r="J194" s="113">
        <v>45904</v>
      </c>
      <c r="K194" s="114" t="s">
        <v>347</v>
      </c>
      <c r="L194" s="347">
        <v>1410</v>
      </c>
      <c r="M194" s="94" t="s">
        <v>45</v>
      </c>
      <c r="N194" s="116">
        <f t="shared" si="47"/>
        <v>0</v>
      </c>
      <c r="O194" s="233">
        <f t="shared" si="45"/>
        <v>0</v>
      </c>
      <c r="P194" s="233"/>
      <c r="Q194" s="47">
        <f t="shared" si="46"/>
        <v>0</v>
      </c>
      <c r="R194" s="39"/>
      <c r="S194" s="55"/>
      <c r="T194" s="55"/>
      <c r="U194" s="56"/>
      <c r="V194" s="349"/>
    </row>
    <row r="195" spans="1:24" ht="27.75" customHeight="1">
      <c r="A195" s="186">
        <v>26</v>
      </c>
      <c r="B195" s="40" t="s">
        <v>345</v>
      </c>
      <c r="C195" s="346" t="s">
        <v>349</v>
      </c>
      <c r="D195" s="141">
        <v>1410</v>
      </c>
      <c r="E195" s="43" t="s">
        <v>45</v>
      </c>
      <c r="F195" s="44">
        <v>0</v>
      </c>
      <c r="G195" s="45">
        <v>0</v>
      </c>
      <c r="H195" s="45"/>
      <c r="I195" s="47">
        <v>0</v>
      </c>
      <c r="J195" s="113">
        <v>45904</v>
      </c>
      <c r="K195" s="114" t="s">
        <v>347</v>
      </c>
      <c r="L195" s="347">
        <v>1410</v>
      </c>
      <c r="M195" s="94" t="s">
        <v>45</v>
      </c>
      <c r="N195" s="116">
        <f t="shared" si="47"/>
        <v>0</v>
      </c>
      <c r="O195" s="233">
        <f t="shared" si="45"/>
        <v>0</v>
      </c>
      <c r="P195" s="233"/>
      <c r="Q195" s="47">
        <f t="shared" si="46"/>
        <v>0</v>
      </c>
      <c r="R195" s="39"/>
      <c r="S195" s="55"/>
      <c r="T195" s="55"/>
      <c r="U195" s="56"/>
      <c r="V195" s="349"/>
    </row>
    <row r="196" spans="1:24" ht="27.75" customHeight="1">
      <c r="A196" s="186">
        <v>27</v>
      </c>
      <c r="B196" s="40" t="s">
        <v>345</v>
      </c>
      <c r="C196" s="346" t="s">
        <v>350</v>
      </c>
      <c r="D196" s="141">
        <v>1410</v>
      </c>
      <c r="E196" s="43" t="s">
        <v>45</v>
      </c>
      <c r="F196" s="44">
        <v>0</v>
      </c>
      <c r="G196" s="45">
        <v>0</v>
      </c>
      <c r="H196" s="45"/>
      <c r="I196" s="47">
        <v>0</v>
      </c>
      <c r="J196" s="113">
        <v>45904</v>
      </c>
      <c r="K196" s="114" t="s">
        <v>347</v>
      </c>
      <c r="L196" s="347">
        <v>1410</v>
      </c>
      <c r="M196" s="94" t="s">
        <v>45</v>
      </c>
      <c r="N196" s="116">
        <f t="shared" si="47"/>
        <v>0</v>
      </c>
      <c r="O196" s="233">
        <f t="shared" si="45"/>
        <v>0</v>
      </c>
      <c r="P196" s="233"/>
      <c r="Q196" s="47">
        <f t="shared" si="46"/>
        <v>0</v>
      </c>
      <c r="R196" s="39"/>
      <c r="S196" s="55"/>
      <c r="T196" s="55"/>
      <c r="U196" s="56"/>
      <c r="V196" s="349"/>
    </row>
    <row r="197" spans="1:24" ht="27.75" customHeight="1">
      <c r="A197" s="186">
        <v>28</v>
      </c>
      <c r="B197" s="40" t="s">
        <v>351</v>
      </c>
      <c r="C197" s="346" t="s">
        <v>352</v>
      </c>
      <c r="D197" s="141">
        <v>1410</v>
      </c>
      <c r="E197" s="43" t="s">
        <v>45</v>
      </c>
      <c r="F197" s="44">
        <v>0</v>
      </c>
      <c r="G197" s="45">
        <v>0</v>
      </c>
      <c r="H197" s="45"/>
      <c r="I197" s="47">
        <v>0</v>
      </c>
      <c r="J197" s="113">
        <v>45905</v>
      </c>
      <c r="K197" s="114" t="s">
        <v>353</v>
      </c>
      <c r="L197" s="347">
        <v>1410</v>
      </c>
      <c r="M197" s="94" t="s">
        <v>45</v>
      </c>
      <c r="N197" s="116">
        <f t="shared" si="47"/>
        <v>0</v>
      </c>
      <c r="O197" s="233">
        <f t="shared" si="45"/>
        <v>0</v>
      </c>
      <c r="P197" s="233"/>
      <c r="Q197" s="47">
        <f t="shared" si="46"/>
        <v>0</v>
      </c>
      <c r="R197" s="39" t="s">
        <v>195</v>
      </c>
      <c r="S197" s="55">
        <v>43313</v>
      </c>
      <c r="T197" s="55">
        <v>44408</v>
      </c>
      <c r="U197" s="56">
        <v>9540</v>
      </c>
      <c r="V197" s="349"/>
    </row>
    <row r="198" spans="1:24" ht="27.75" customHeight="1">
      <c r="A198" s="186">
        <v>29</v>
      </c>
      <c r="B198" s="40" t="s">
        <v>351</v>
      </c>
      <c r="C198" s="346" t="s">
        <v>354</v>
      </c>
      <c r="D198" s="141">
        <v>1410</v>
      </c>
      <c r="E198" s="43" t="s">
        <v>45</v>
      </c>
      <c r="F198" s="44">
        <v>0</v>
      </c>
      <c r="G198" s="45">
        <v>0</v>
      </c>
      <c r="H198" s="45"/>
      <c r="I198" s="47">
        <v>0</v>
      </c>
      <c r="J198" s="113">
        <v>45905</v>
      </c>
      <c r="K198" s="114" t="s">
        <v>353</v>
      </c>
      <c r="L198" s="347">
        <v>1410</v>
      </c>
      <c r="M198" s="94" t="s">
        <v>45</v>
      </c>
      <c r="N198" s="116">
        <f t="shared" si="47"/>
        <v>0</v>
      </c>
      <c r="O198" s="233">
        <f t="shared" si="45"/>
        <v>0</v>
      </c>
      <c r="P198" s="233"/>
      <c r="Q198" s="47">
        <f t="shared" si="46"/>
        <v>0</v>
      </c>
      <c r="R198" s="39"/>
      <c r="S198" s="55"/>
      <c r="T198" s="55"/>
      <c r="U198" s="56"/>
      <c r="V198" s="349"/>
    </row>
    <row r="199" spans="1:24" ht="27.75" customHeight="1">
      <c r="A199" s="186">
        <v>30</v>
      </c>
      <c r="B199" s="40" t="s">
        <v>351</v>
      </c>
      <c r="C199" s="346" t="s">
        <v>355</v>
      </c>
      <c r="D199" s="141">
        <v>1410</v>
      </c>
      <c r="E199" s="43" t="s">
        <v>45</v>
      </c>
      <c r="F199" s="44">
        <v>0</v>
      </c>
      <c r="G199" s="45">
        <v>0</v>
      </c>
      <c r="H199" s="45"/>
      <c r="I199" s="47">
        <v>0</v>
      </c>
      <c r="J199" s="113">
        <v>45905</v>
      </c>
      <c r="K199" s="114" t="s">
        <v>353</v>
      </c>
      <c r="L199" s="347">
        <v>1410</v>
      </c>
      <c r="M199" s="94" t="s">
        <v>45</v>
      </c>
      <c r="N199" s="116">
        <f t="shared" si="47"/>
        <v>0</v>
      </c>
      <c r="O199" s="233">
        <f t="shared" si="45"/>
        <v>0</v>
      </c>
      <c r="P199" s="233"/>
      <c r="Q199" s="47">
        <f t="shared" si="46"/>
        <v>0</v>
      </c>
      <c r="R199" s="39"/>
      <c r="S199" s="55"/>
      <c r="T199" s="55"/>
      <c r="U199" s="56"/>
      <c r="V199" s="349"/>
    </row>
    <row r="200" spans="1:24" ht="27.75" customHeight="1">
      <c r="A200" s="186">
        <v>31</v>
      </c>
      <c r="B200" s="40" t="s">
        <v>356</v>
      </c>
      <c r="C200" s="346" t="s">
        <v>357</v>
      </c>
      <c r="D200" s="141">
        <v>1410</v>
      </c>
      <c r="E200" s="43"/>
      <c r="F200" s="44"/>
      <c r="G200" s="45">
        <v>0</v>
      </c>
      <c r="H200" s="45"/>
      <c r="I200" s="47">
        <v>0</v>
      </c>
      <c r="J200" s="113">
        <v>45905</v>
      </c>
      <c r="K200" s="114" t="s">
        <v>358</v>
      </c>
      <c r="L200" s="347">
        <v>1410</v>
      </c>
      <c r="M200" s="94" t="s">
        <v>45</v>
      </c>
      <c r="N200" s="116">
        <f t="shared" si="47"/>
        <v>0</v>
      </c>
      <c r="O200" s="233">
        <f t="shared" si="45"/>
        <v>0</v>
      </c>
      <c r="P200" s="233"/>
      <c r="Q200" s="47">
        <f t="shared" si="46"/>
        <v>0</v>
      </c>
      <c r="R200" s="39" t="s">
        <v>195</v>
      </c>
      <c r="S200" s="55">
        <v>42217</v>
      </c>
      <c r="T200" s="55">
        <v>43312</v>
      </c>
      <c r="U200" s="56">
        <v>8280</v>
      </c>
      <c r="V200" s="349" t="s">
        <v>359</v>
      </c>
    </row>
    <row r="201" spans="1:24" ht="27.75" customHeight="1">
      <c r="A201" s="186">
        <v>32</v>
      </c>
      <c r="B201" s="40" t="s">
        <v>356</v>
      </c>
      <c r="C201" s="346" t="s">
        <v>360</v>
      </c>
      <c r="D201" s="141">
        <v>1410</v>
      </c>
      <c r="E201" s="43"/>
      <c r="F201" s="44"/>
      <c r="G201" s="45">
        <v>0</v>
      </c>
      <c r="H201" s="45"/>
      <c r="I201" s="47">
        <v>0</v>
      </c>
      <c r="J201" s="113">
        <v>45905</v>
      </c>
      <c r="K201" s="114" t="s">
        <v>358</v>
      </c>
      <c r="L201" s="347">
        <v>1410</v>
      </c>
      <c r="M201" s="94" t="s">
        <v>45</v>
      </c>
      <c r="N201" s="116">
        <f t="shared" si="47"/>
        <v>0</v>
      </c>
      <c r="O201" s="233">
        <f t="shared" si="45"/>
        <v>0</v>
      </c>
      <c r="P201" s="233"/>
      <c r="Q201" s="47">
        <f t="shared" si="46"/>
        <v>0</v>
      </c>
      <c r="R201" s="39"/>
      <c r="S201" s="55"/>
      <c r="T201" s="55"/>
      <c r="U201" s="56"/>
      <c r="V201" s="349"/>
    </row>
    <row r="202" spans="1:24" ht="27.75" customHeight="1">
      <c r="A202" s="186">
        <v>33</v>
      </c>
      <c r="B202" s="40" t="s">
        <v>356</v>
      </c>
      <c r="C202" s="346" t="s">
        <v>361</v>
      </c>
      <c r="D202" s="141">
        <v>1410</v>
      </c>
      <c r="E202" s="43"/>
      <c r="F202" s="44"/>
      <c r="G202" s="45">
        <v>0</v>
      </c>
      <c r="H202" s="45"/>
      <c r="I202" s="47">
        <v>0</v>
      </c>
      <c r="J202" s="113">
        <v>45905</v>
      </c>
      <c r="K202" s="114" t="s">
        <v>358</v>
      </c>
      <c r="L202" s="347">
        <v>1410</v>
      </c>
      <c r="M202" s="94" t="s">
        <v>45</v>
      </c>
      <c r="N202" s="116">
        <f t="shared" si="47"/>
        <v>0</v>
      </c>
      <c r="O202" s="233">
        <f t="shared" si="45"/>
        <v>0</v>
      </c>
      <c r="P202" s="233"/>
      <c r="Q202" s="47">
        <f t="shared" si="46"/>
        <v>0</v>
      </c>
      <c r="R202" s="39"/>
      <c r="S202" s="55"/>
      <c r="T202" s="55"/>
      <c r="U202" s="56"/>
      <c r="V202" s="349"/>
    </row>
    <row r="203" spans="1:24" ht="27.75" customHeight="1">
      <c r="A203" s="186">
        <v>34</v>
      </c>
      <c r="B203" s="40" t="s">
        <v>362</v>
      </c>
      <c r="C203" s="346" t="s">
        <v>363</v>
      </c>
      <c r="D203" s="141">
        <v>1410</v>
      </c>
      <c r="E203" s="43" t="s">
        <v>45</v>
      </c>
      <c r="F203" s="44">
        <v>0</v>
      </c>
      <c r="G203" s="45">
        <v>0</v>
      </c>
      <c r="H203" s="45"/>
      <c r="I203" s="47">
        <v>0</v>
      </c>
      <c r="J203" s="113">
        <v>45901</v>
      </c>
      <c r="K203" s="114" t="s">
        <v>364</v>
      </c>
      <c r="L203" s="347">
        <v>1410</v>
      </c>
      <c r="M203" s="94" t="s">
        <v>45</v>
      </c>
      <c r="N203" s="116">
        <f t="shared" si="47"/>
        <v>0</v>
      </c>
      <c r="O203" s="233">
        <f t="shared" si="45"/>
        <v>0</v>
      </c>
      <c r="P203" s="233"/>
      <c r="Q203" s="47">
        <f t="shared" si="46"/>
        <v>0</v>
      </c>
      <c r="R203" s="348" t="s">
        <v>195</v>
      </c>
      <c r="S203" s="299" t="s">
        <v>307</v>
      </c>
      <c r="T203" s="299" t="s">
        <v>308</v>
      </c>
      <c r="U203" s="56">
        <v>21960</v>
      </c>
      <c r="V203" s="349" t="s">
        <v>365</v>
      </c>
      <c r="W203" s="295" t="s">
        <v>289</v>
      </c>
      <c r="X203" s="40" t="s">
        <v>366</v>
      </c>
    </row>
    <row r="204" spans="1:24" ht="27.75" customHeight="1">
      <c r="A204" s="186">
        <v>35</v>
      </c>
      <c r="B204" s="40" t="s">
        <v>362</v>
      </c>
      <c r="C204" s="346" t="s">
        <v>367</v>
      </c>
      <c r="D204" s="141">
        <v>1410</v>
      </c>
      <c r="E204" s="43" t="s">
        <v>45</v>
      </c>
      <c r="F204" s="44">
        <v>0</v>
      </c>
      <c r="G204" s="45">
        <v>0</v>
      </c>
      <c r="H204" s="45"/>
      <c r="I204" s="47">
        <v>0</v>
      </c>
      <c r="J204" s="113">
        <v>45901</v>
      </c>
      <c r="K204" s="114" t="s">
        <v>364</v>
      </c>
      <c r="L204" s="347">
        <v>1410</v>
      </c>
      <c r="M204" s="94" t="s">
        <v>45</v>
      </c>
      <c r="N204" s="116">
        <f t="shared" si="47"/>
        <v>0</v>
      </c>
      <c r="O204" s="233">
        <f t="shared" si="45"/>
        <v>0</v>
      </c>
      <c r="P204" s="233"/>
      <c r="Q204" s="47">
        <f t="shared" si="46"/>
        <v>0</v>
      </c>
      <c r="R204" s="348"/>
      <c r="S204" s="299"/>
      <c r="T204" s="299"/>
      <c r="U204" s="56"/>
      <c r="V204" s="349"/>
      <c r="W204" s="295"/>
      <c r="X204" s="350"/>
    </row>
    <row r="205" spans="1:24" ht="27.75" customHeight="1">
      <c r="A205" s="186">
        <v>36</v>
      </c>
      <c r="B205" s="40" t="s">
        <v>362</v>
      </c>
      <c r="C205" s="346" t="s">
        <v>368</v>
      </c>
      <c r="D205" s="141">
        <v>1410</v>
      </c>
      <c r="E205" s="43" t="s">
        <v>45</v>
      </c>
      <c r="F205" s="44">
        <v>0</v>
      </c>
      <c r="G205" s="45">
        <v>0</v>
      </c>
      <c r="H205" s="45"/>
      <c r="I205" s="47">
        <v>0</v>
      </c>
      <c r="J205" s="113">
        <v>45901</v>
      </c>
      <c r="K205" s="114" t="s">
        <v>364</v>
      </c>
      <c r="L205" s="347">
        <v>1410</v>
      </c>
      <c r="M205" s="94" t="s">
        <v>45</v>
      </c>
      <c r="N205" s="116">
        <f t="shared" si="47"/>
        <v>0</v>
      </c>
      <c r="O205" s="233">
        <f t="shared" si="45"/>
        <v>0</v>
      </c>
      <c r="P205" s="233"/>
      <c r="Q205" s="47">
        <f t="shared" si="46"/>
        <v>0</v>
      </c>
      <c r="R205" s="348"/>
      <c r="S205" s="299"/>
      <c r="T205" s="299"/>
      <c r="U205" s="56"/>
      <c r="V205" s="349"/>
      <c r="W205" s="295"/>
      <c r="X205" s="350"/>
    </row>
    <row r="206" spans="1:24" ht="27.75" customHeight="1">
      <c r="A206" s="186">
        <v>37</v>
      </c>
      <c r="B206" s="40" t="s">
        <v>362</v>
      </c>
      <c r="C206" s="346" t="s">
        <v>369</v>
      </c>
      <c r="D206" s="141">
        <v>1410</v>
      </c>
      <c r="E206" s="43" t="s">
        <v>45</v>
      </c>
      <c r="F206" s="44">
        <v>0</v>
      </c>
      <c r="G206" s="45">
        <v>0</v>
      </c>
      <c r="H206" s="45"/>
      <c r="I206" s="47">
        <v>0</v>
      </c>
      <c r="J206" s="113">
        <v>45901</v>
      </c>
      <c r="K206" s="114" t="s">
        <v>364</v>
      </c>
      <c r="L206" s="347">
        <v>1410</v>
      </c>
      <c r="M206" s="94" t="s">
        <v>45</v>
      </c>
      <c r="N206" s="116">
        <f t="shared" si="47"/>
        <v>0</v>
      </c>
      <c r="O206" s="233">
        <f t="shared" si="45"/>
        <v>0</v>
      </c>
      <c r="P206" s="233"/>
      <c r="Q206" s="47">
        <f t="shared" si="46"/>
        <v>0</v>
      </c>
      <c r="R206" s="348"/>
      <c r="S206" s="299"/>
      <c r="T206" s="299"/>
      <c r="U206" s="56"/>
      <c r="V206" s="349"/>
      <c r="W206" s="295"/>
      <c r="X206" s="350"/>
    </row>
    <row r="207" spans="1:24" ht="27.75" customHeight="1">
      <c r="A207" s="186">
        <v>38</v>
      </c>
      <c r="B207" s="40" t="s">
        <v>362</v>
      </c>
      <c r="C207" s="346" t="s">
        <v>370</v>
      </c>
      <c r="D207" s="141">
        <v>1410</v>
      </c>
      <c r="E207" s="43" t="s">
        <v>45</v>
      </c>
      <c r="F207" s="44">
        <v>0</v>
      </c>
      <c r="G207" s="45">
        <v>0</v>
      </c>
      <c r="H207" s="45"/>
      <c r="I207" s="47">
        <v>0</v>
      </c>
      <c r="J207" s="113">
        <v>45901</v>
      </c>
      <c r="K207" s="114" t="s">
        <v>364</v>
      </c>
      <c r="L207" s="347">
        <v>1410</v>
      </c>
      <c r="M207" s="94" t="s">
        <v>45</v>
      </c>
      <c r="N207" s="116">
        <f t="shared" si="47"/>
        <v>0</v>
      </c>
      <c r="O207" s="233">
        <f t="shared" si="45"/>
        <v>0</v>
      </c>
      <c r="P207" s="233"/>
      <c r="Q207" s="47">
        <f t="shared" si="46"/>
        <v>0</v>
      </c>
      <c r="R207" s="348"/>
      <c r="S207" s="299"/>
      <c r="T207" s="299"/>
      <c r="U207" s="56"/>
      <c r="V207" s="349"/>
      <c r="W207" s="295"/>
      <c r="X207" s="350"/>
    </row>
    <row r="208" spans="1:24" ht="27.75" customHeight="1">
      <c r="A208" s="186">
        <v>39</v>
      </c>
      <c r="B208" s="40" t="s">
        <v>362</v>
      </c>
      <c r="C208" s="346" t="s">
        <v>371</v>
      </c>
      <c r="D208" s="141">
        <v>1410</v>
      </c>
      <c r="E208" s="43" t="s">
        <v>45</v>
      </c>
      <c r="F208" s="44">
        <v>0</v>
      </c>
      <c r="G208" s="45">
        <v>0</v>
      </c>
      <c r="H208" s="45"/>
      <c r="I208" s="47">
        <v>0</v>
      </c>
      <c r="J208" s="113">
        <v>45901</v>
      </c>
      <c r="K208" s="114" t="s">
        <v>364</v>
      </c>
      <c r="L208" s="347">
        <v>1410</v>
      </c>
      <c r="M208" s="94" t="s">
        <v>45</v>
      </c>
      <c r="N208" s="116">
        <f t="shared" si="47"/>
        <v>0</v>
      </c>
      <c r="O208" s="233">
        <f t="shared" si="45"/>
        <v>0</v>
      </c>
      <c r="P208" s="233"/>
      <c r="Q208" s="47">
        <f t="shared" si="46"/>
        <v>0</v>
      </c>
      <c r="R208" s="348"/>
      <c r="S208" s="299"/>
      <c r="T208" s="299"/>
      <c r="U208" s="56"/>
      <c r="V208" s="349"/>
      <c r="W208" s="295"/>
      <c r="X208" s="350"/>
    </row>
    <row r="209" spans="1:24" ht="27.75" customHeight="1">
      <c r="A209" s="186">
        <v>40</v>
      </c>
      <c r="B209" s="40" t="s">
        <v>372</v>
      </c>
      <c r="C209" s="346" t="s">
        <v>373</v>
      </c>
      <c r="D209" s="141">
        <v>1410</v>
      </c>
      <c r="E209" s="43" t="s">
        <v>45</v>
      </c>
      <c r="F209" s="44">
        <v>0</v>
      </c>
      <c r="G209" s="45">
        <v>0</v>
      </c>
      <c r="H209" s="45"/>
      <c r="I209" s="47">
        <v>0</v>
      </c>
      <c r="J209" s="113">
        <v>45901</v>
      </c>
      <c r="K209" s="114" t="s">
        <v>374</v>
      </c>
      <c r="L209" s="347">
        <v>1410</v>
      </c>
      <c r="M209" s="94" t="s">
        <v>45</v>
      </c>
      <c r="N209" s="116">
        <f t="shared" si="47"/>
        <v>0</v>
      </c>
      <c r="O209" s="233">
        <f t="shared" si="45"/>
        <v>0</v>
      </c>
      <c r="P209" s="233"/>
      <c r="Q209" s="47">
        <f t="shared" si="46"/>
        <v>0</v>
      </c>
      <c r="R209" s="348" t="s">
        <v>195</v>
      </c>
      <c r="S209" s="299" t="s">
        <v>307</v>
      </c>
      <c r="T209" s="299" t="s">
        <v>308</v>
      </c>
      <c r="U209" s="56">
        <v>14640</v>
      </c>
      <c r="V209" s="349" t="s">
        <v>375</v>
      </c>
      <c r="W209" s="295" t="s">
        <v>289</v>
      </c>
      <c r="X209" s="4" t="s">
        <v>376</v>
      </c>
    </row>
    <row r="210" spans="1:24" ht="27.75" customHeight="1">
      <c r="A210" s="186">
        <v>41</v>
      </c>
      <c r="B210" s="40" t="s">
        <v>372</v>
      </c>
      <c r="C210" s="346" t="s">
        <v>377</v>
      </c>
      <c r="D210" s="141">
        <v>1410</v>
      </c>
      <c r="E210" s="43" t="s">
        <v>45</v>
      </c>
      <c r="F210" s="44">
        <v>0</v>
      </c>
      <c r="G210" s="45">
        <v>0</v>
      </c>
      <c r="H210" s="45"/>
      <c r="I210" s="47">
        <v>0</v>
      </c>
      <c r="J210" s="113">
        <v>45901</v>
      </c>
      <c r="K210" s="114" t="s">
        <v>374</v>
      </c>
      <c r="L210" s="347">
        <v>1410</v>
      </c>
      <c r="M210" s="94" t="s">
        <v>45</v>
      </c>
      <c r="N210" s="116">
        <f t="shared" si="47"/>
        <v>0</v>
      </c>
      <c r="O210" s="233">
        <f t="shared" si="45"/>
        <v>0</v>
      </c>
      <c r="P210" s="233"/>
      <c r="Q210" s="47">
        <f t="shared" si="46"/>
        <v>0</v>
      </c>
      <c r="R210" s="348"/>
      <c r="S210" s="299"/>
      <c r="T210" s="299"/>
      <c r="U210" s="56"/>
      <c r="V210" s="349"/>
      <c r="W210" s="295"/>
    </row>
    <row r="211" spans="1:24" ht="27.75" customHeight="1">
      <c r="A211" s="186">
        <v>42</v>
      </c>
      <c r="B211" s="40" t="s">
        <v>372</v>
      </c>
      <c r="C211" s="346" t="s">
        <v>378</v>
      </c>
      <c r="D211" s="141">
        <v>1410</v>
      </c>
      <c r="E211" s="43" t="s">
        <v>45</v>
      </c>
      <c r="F211" s="44">
        <v>0</v>
      </c>
      <c r="G211" s="45">
        <v>0</v>
      </c>
      <c r="H211" s="45"/>
      <c r="I211" s="47">
        <v>0</v>
      </c>
      <c r="J211" s="113">
        <v>45901</v>
      </c>
      <c r="K211" s="114" t="s">
        <v>374</v>
      </c>
      <c r="L211" s="347">
        <v>1410</v>
      </c>
      <c r="M211" s="94" t="s">
        <v>45</v>
      </c>
      <c r="N211" s="116">
        <f t="shared" si="47"/>
        <v>0</v>
      </c>
      <c r="O211" s="233">
        <f t="shared" si="45"/>
        <v>0</v>
      </c>
      <c r="P211" s="233"/>
      <c r="Q211" s="47">
        <f t="shared" si="46"/>
        <v>0</v>
      </c>
      <c r="R211" s="348"/>
      <c r="S211" s="299"/>
      <c r="T211" s="299"/>
      <c r="U211" s="56"/>
      <c r="V211" s="349"/>
      <c r="W211" s="295"/>
    </row>
    <row r="212" spans="1:24" ht="27.75" customHeight="1">
      <c r="A212" s="186">
        <v>43</v>
      </c>
      <c r="B212" s="40" t="s">
        <v>372</v>
      </c>
      <c r="C212" s="346" t="s">
        <v>379</v>
      </c>
      <c r="D212" s="141">
        <v>1410</v>
      </c>
      <c r="E212" s="43" t="s">
        <v>45</v>
      </c>
      <c r="F212" s="44">
        <v>0</v>
      </c>
      <c r="G212" s="45">
        <v>0</v>
      </c>
      <c r="H212" s="45"/>
      <c r="I212" s="47">
        <v>0</v>
      </c>
      <c r="J212" s="113">
        <v>45901</v>
      </c>
      <c r="K212" s="114" t="s">
        <v>374</v>
      </c>
      <c r="L212" s="347">
        <v>1410</v>
      </c>
      <c r="M212" s="94" t="s">
        <v>45</v>
      </c>
      <c r="N212" s="116">
        <f t="shared" si="47"/>
        <v>0</v>
      </c>
      <c r="O212" s="233">
        <f t="shared" si="45"/>
        <v>0</v>
      </c>
      <c r="P212" s="233"/>
      <c r="Q212" s="47">
        <f t="shared" si="46"/>
        <v>0</v>
      </c>
      <c r="R212" s="348"/>
      <c r="S212" s="299"/>
      <c r="T212" s="299"/>
      <c r="U212" s="56"/>
      <c r="V212" s="349"/>
      <c r="W212" s="295"/>
    </row>
    <row r="213" spans="1:24" ht="27.75" customHeight="1">
      <c r="A213" s="186">
        <v>44</v>
      </c>
      <c r="B213" s="40" t="s">
        <v>380</v>
      </c>
      <c r="C213" s="346" t="s">
        <v>381</v>
      </c>
      <c r="D213" s="141">
        <v>1410</v>
      </c>
      <c r="E213" s="43" t="s">
        <v>45</v>
      </c>
      <c r="F213" s="44">
        <v>0</v>
      </c>
      <c r="G213" s="45">
        <v>0</v>
      </c>
      <c r="H213" s="45"/>
      <c r="I213" s="47">
        <v>0</v>
      </c>
      <c r="J213" s="175">
        <v>45905</v>
      </c>
      <c r="K213" s="176" t="s">
        <v>382</v>
      </c>
      <c r="L213" s="222">
        <v>1410</v>
      </c>
      <c r="M213" s="94" t="s">
        <v>45</v>
      </c>
      <c r="N213" s="116">
        <f t="shared" si="47"/>
        <v>0</v>
      </c>
      <c r="O213" s="233">
        <f t="shared" si="45"/>
        <v>0</v>
      </c>
      <c r="P213" s="233"/>
      <c r="Q213" s="47">
        <f t="shared" si="46"/>
        <v>0</v>
      </c>
      <c r="R213" s="348" t="s">
        <v>195</v>
      </c>
      <c r="S213" s="299" t="s">
        <v>307</v>
      </c>
      <c r="T213" s="299" t="s">
        <v>308</v>
      </c>
      <c r="U213" s="56">
        <v>14640</v>
      </c>
      <c r="V213" s="349" t="s">
        <v>383</v>
      </c>
      <c r="W213" s="295" t="s">
        <v>289</v>
      </c>
      <c r="X213" s="4" t="s">
        <v>384</v>
      </c>
    </row>
    <row r="214" spans="1:24" ht="27.75" customHeight="1">
      <c r="A214" s="186">
        <v>45</v>
      </c>
      <c r="B214" s="40" t="s">
        <v>380</v>
      </c>
      <c r="C214" s="346" t="s">
        <v>385</v>
      </c>
      <c r="D214" s="141">
        <v>1410</v>
      </c>
      <c r="E214" s="43" t="s">
        <v>45</v>
      </c>
      <c r="F214" s="44">
        <v>0</v>
      </c>
      <c r="G214" s="45">
        <v>0</v>
      </c>
      <c r="H214" s="45"/>
      <c r="I214" s="47">
        <v>0</v>
      </c>
      <c r="J214" s="175">
        <v>45905</v>
      </c>
      <c r="K214" s="176" t="s">
        <v>382</v>
      </c>
      <c r="L214" s="222">
        <v>1410</v>
      </c>
      <c r="M214" s="94" t="s">
        <v>45</v>
      </c>
      <c r="N214" s="116">
        <f t="shared" si="47"/>
        <v>0</v>
      </c>
      <c r="O214" s="233">
        <f t="shared" si="45"/>
        <v>0</v>
      </c>
      <c r="P214" s="233"/>
      <c r="Q214" s="47">
        <f t="shared" si="46"/>
        <v>0</v>
      </c>
      <c r="R214" s="348"/>
      <c r="S214" s="299"/>
      <c r="T214" s="299"/>
      <c r="U214" s="56"/>
      <c r="V214" s="349"/>
      <c r="W214" s="295"/>
    </row>
    <row r="215" spans="1:24" ht="27.75" customHeight="1">
      <c r="A215" s="186">
        <v>46</v>
      </c>
      <c r="B215" s="40" t="s">
        <v>380</v>
      </c>
      <c r="C215" s="346" t="s">
        <v>386</v>
      </c>
      <c r="D215" s="141">
        <v>1410</v>
      </c>
      <c r="E215" s="43" t="s">
        <v>45</v>
      </c>
      <c r="F215" s="44">
        <v>0</v>
      </c>
      <c r="G215" s="45">
        <v>0</v>
      </c>
      <c r="H215" s="45"/>
      <c r="I215" s="47">
        <v>0</v>
      </c>
      <c r="J215" s="175">
        <v>45905</v>
      </c>
      <c r="K215" s="176" t="s">
        <v>382</v>
      </c>
      <c r="L215" s="222">
        <v>1410</v>
      </c>
      <c r="M215" s="94" t="s">
        <v>45</v>
      </c>
      <c r="N215" s="116">
        <f t="shared" si="47"/>
        <v>0</v>
      </c>
      <c r="O215" s="233">
        <f t="shared" si="45"/>
        <v>0</v>
      </c>
      <c r="P215" s="233"/>
      <c r="Q215" s="47">
        <f t="shared" si="46"/>
        <v>0</v>
      </c>
      <c r="R215" s="348"/>
      <c r="S215" s="299"/>
      <c r="T215" s="299"/>
      <c r="U215" s="56"/>
      <c r="V215" s="349"/>
      <c r="W215" s="295"/>
    </row>
    <row r="216" spans="1:24" ht="27.75" customHeight="1">
      <c r="A216" s="186">
        <v>47</v>
      </c>
      <c r="B216" s="40" t="s">
        <v>380</v>
      </c>
      <c r="C216" s="346" t="s">
        <v>387</v>
      </c>
      <c r="D216" s="141">
        <v>1410</v>
      </c>
      <c r="E216" s="43" t="s">
        <v>45</v>
      </c>
      <c r="F216" s="44">
        <v>0</v>
      </c>
      <c r="G216" s="45">
        <v>0</v>
      </c>
      <c r="H216" s="45"/>
      <c r="I216" s="47">
        <v>0</v>
      </c>
      <c r="J216" s="175">
        <v>45905</v>
      </c>
      <c r="K216" s="176" t="s">
        <v>382</v>
      </c>
      <c r="L216" s="222">
        <v>1410</v>
      </c>
      <c r="M216" s="94" t="s">
        <v>45</v>
      </c>
      <c r="N216" s="116">
        <f t="shared" si="47"/>
        <v>0</v>
      </c>
      <c r="O216" s="233">
        <f t="shared" si="45"/>
        <v>0</v>
      </c>
      <c r="P216" s="233"/>
      <c r="Q216" s="47">
        <f t="shared" si="46"/>
        <v>0</v>
      </c>
      <c r="R216" s="348"/>
      <c r="S216" s="299"/>
      <c r="T216" s="299"/>
      <c r="U216" s="56"/>
      <c r="V216" s="349"/>
      <c r="W216" s="295"/>
    </row>
    <row r="217" spans="1:24" ht="27.75" customHeight="1">
      <c r="A217" s="186">
        <v>48</v>
      </c>
      <c r="B217" s="351" t="s">
        <v>66</v>
      </c>
      <c r="C217" s="346" t="s">
        <v>388</v>
      </c>
      <c r="D217" s="141">
        <v>1760</v>
      </c>
      <c r="E217" s="43" t="s">
        <v>45</v>
      </c>
      <c r="F217" s="44">
        <v>0</v>
      </c>
      <c r="G217" s="45">
        <v>0</v>
      </c>
      <c r="H217" s="45"/>
      <c r="I217" s="47">
        <v>0</v>
      </c>
      <c r="J217" s="175">
        <v>45924</v>
      </c>
      <c r="K217" s="176" t="s">
        <v>389</v>
      </c>
      <c r="L217" s="222">
        <v>1760</v>
      </c>
      <c r="M217" s="94" t="s">
        <v>45</v>
      </c>
      <c r="N217" s="116">
        <f t="shared" si="47"/>
        <v>0</v>
      </c>
      <c r="O217" s="233">
        <f t="shared" si="45"/>
        <v>0</v>
      </c>
      <c r="P217" s="233"/>
      <c r="Q217" s="47">
        <f t="shared" si="46"/>
        <v>0</v>
      </c>
      <c r="R217" s="39" t="s">
        <v>195</v>
      </c>
      <c r="S217" s="55">
        <v>43313</v>
      </c>
      <c r="T217" s="55">
        <v>44408</v>
      </c>
      <c r="U217" s="56">
        <v>11925</v>
      </c>
      <c r="V217" s="349"/>
    </row>
    <row r="218" spans="1:24" ht="27.75" customHeight="1">
      <c r="A218" s="186">
        <v>49</v>
      </c>
      <c r="B218" s="351" t="s">
        <v>66</v>
      </c>
      <c r="C218" s="346" t="s">
        <v>390</v>
      </c>
      <c r="D218" s="141">
        <v>1760</v>
      </c>
      <c r="E218" s="43" t="s">
        <v>45</v>
      </c>
      <c r="F218" s="44">
        <v>0</v>
      </c>
      <c r="G218" s="45">
        <v>0</v>
      </c>
      <c r="H218" s="45"/>
      <c r="I218" s="47">
        <v>0</v>
      </c>
      <c r="J218" s="175">
        <v>45924</v>
      </c>
      <c r="K218" s="176" t="s">
        <v>389</v>
      </c>
      <c r="L218" s="222">
        <v>1760</v>
      </c>
      <c r="M218" s="94" t="s">
        <v>45</v>
      </c>
      <c r="N218" s="116">
        <f t="shared" si="47"/>
        <v>0</v>
      </c>
      <c r="O218" s="233">
        <f t="shared" si="45"/>
        <v>0</v>
      </c>
      <c r="P218" s="233"/>
      <c r="Q218" s="47">
        <f t="shared" si="46"/>
        <v>0</v>
      </c>
      <c r="R218" s="39"/>
      <c r="S218" s="55"/>
      <c r="T218" s="55"/>
      <c r="U218" s="56"/>
      <c r="V218" s="349"/>
    </row>
    <row r="219" spans="1:24" ht="27.75" customHeight="1">
      <c r="A219" s="186">
        <v>50</v>
      </c>
      <c r="B219" s="351" t="s">
        <v>66</v>
      </c>
      <c r="C219" s="346" t="s">
        <v>391</v>
      </c>
      <c r="D219" s="141">
        <v>1760</v>
      </c>
      <c r="E219" s="43" t="s">
        <v>45</v>
      </c>
      <c r="F219" s="44">
        <v>0</v>
      </c>
      <c r="G219" s="45">
        <v>0</v>
      </c>
      <c r="H219" s="45"/>
      <c r="I219" s="47">
        <v>0</v>
      </c>
      <c r="J219" s="175">
        <v>45924</v>
      </c>
      <c r="K219" s="176" t="s">
        <v>389</v>
      </c>
      <c r="L219" s="222">
        <v>1760</v>
      </c>
      <c r="M219" s="94" t="s">
        <v>45</v>
      </c>
      <c r="N219" s="116">
        <f t="shared" si="47"/>
        <v>0</v>
      </c>
      <c r="O219" s="233">
        <f t="shared" si="45"/>
        <v>0</v>
      </c>
      <c r="P219" s="233"/>
      <c r="Q219" s="47">
        <f t="shared" si="46"/>
        <v>0</v>
      </c>
      <c r="R219" s="39"/>
      <c r="S219" s="55"/>
      <c r="T219" s="55"/>
      <c r="U219" s="56"/>
      <c r="V219" s="349"/>
    </row>
    <row r="220" spans="1:24" ht="27.75" customHeight="1">
      <c r="A220" s="186">
        <v>51</v>
      </c>
      <c r="B220" s="351" t="s">
        <v>66</v>
      </c>
      <c r="C220" s="346" t="s">
        <v>69</v>
      </c>
      <c r="D220" s="141">
        <v>2720</v>
      </c>
      <c r="E220" s="43" t="s">
        <v>45</v>
      </c>
      <c r="F220" s="44">
        <v>0</v>
      </c>
      <c r="G220" s="45">
        <v>0</v>
      </c>
      <c r="H220" s="45"/>
      <c r="I220" s="47">
        <v>0</v>
      </c>
      <c r="J220" s="175">
        <v>45924</v>
      </c>
      <c r="K220" s="176" t="s">
        <v>392</v>
      </c>
      <c r="L220" s="222">
        <v>2720</v>
      </c>
      <c r="M220" s="94" t="s">
        <v>45</v>
      </c>
      <c r="N220" s="116">
        <f t="shared" si="47"/>
        <v>0</v>
      </c>
      <c r="O220" s="233">
        <f t="shared" si="45"/>
        <v>0</v>
      </c>
      <c r="P220" s="233"/>
      <c r="Q220" s="47">
        <f t="shared" si="46"/>
        <v>0</v>
      </c>
      <c r="R220" s="39" t="s">
        <v>195</v>
      </c>
      <c r="S220" s="55">
        <v>43313</v>
      </c>
      <c r="T220" s="55">
        <v>44408</v>
      </c>
      <c r="U220" s="56">
        <v>9000</v>
      </c>
      <c r="V220" s="349"/>
    </row>
    <row r="221" spans="1:24" ht="27.75" customHeight="1">
      <c r="A221" s="94"/>
      <c r="B221" s="352" t="s">
        <v>393</v>
      </c>
      <c r="C221" s="353"/>
      <c r="D221" s="296"/>
      <c r="E221" s="64"/>
      <c r="F221" s="44"/>
      <c r="G221" s="45"/>
      <c r="H221" s="45"/>
      <c r="I221" s="354"/>
      <c r="J221" s="183"/>
      <c r="K221" s="355"/>
      <c r="L221" s="231"/>
      <c r="M221" s="186"/>
      <c r="N221" s="116"/>
      <c r="O221" s="233"/>
      <c r="P221" s="233"/>
      <c r="Q221" s="17"/>
      <c r="R221" s="356"/>
      <c r="S221" s="55"/>
      <c r="T221" s="55"/>
      <c r="U221" s="56"/>
      <c r="V221" s="349"/>
    </row>
    <row r="222" spans="1:24" ht="27.75" customHeight="1">
      <c r="A222" s="94"/>
      <c r="B222" s="352" t="s">
        <v>394</v>
      </c>
      <c r="C222" s="353"/>
      <c r="D222" s="296"/>
      <c r="E222" s="64"/>
      <c r="F222" s="44"/>
      <c r="G222" s="45"/>
      <c r="H222" s="45"/>
      <c r="I222" s="354"/>
      <c r="J222" s="175"/>
      <c r="K222" s="355"/>
      <c r="L222" s="222"/>
      <c r="M222" s="186"/>
      <c r="N222" s="116"/>
      <c r="O222" s="233"/>
      <c r="P222" s="233"/>
      <c r="Q222" s="17"/>
      <c r="R222" s="356"/>
      <c r="S222" s="55"/>
      <c r="T222" s="55"/>
      <c r="U222" s="56"/>
      <c r="V222" s="349"/>
    </row>
    <row r="223" spans="1:24" ht="27.75" customHeight="1" thickBot="1">
      <c r="A223" s="357"/>
      <c r="B223" s="358"/>
      <c r="C223" s="359"/>
      <c r="D223" s="360">
        <f>SUM(D170:D222)</f>
        <v>73700</v>
      </c>
      <c r="E223" s="100"/>
      <c r="F223" s="101"/>
      <c r="G223" s="102">
        <v>0</v>
      </c>
      <c r="H223" s="102">
        <v>0</v>
      </c>
      <c r="I223" s="102">
        <v>0</v>
      </c>
      <c r="J223" s="361"/>
      <c r="K223" s="361"/>
      <c r="L223" s="362">
        <f>SUM(L170:L222)</f>
        <v>73700</v>
      </c>
      <c r="M223" s="106"/>
      <c r="N223" s="107"/>
      <c r="O223" s="363">
        <f>SUM(O197+O198+O199)</f>
        <v>0</v>
      </c>
      <c r="P223" s="363">
        <f>SUM(P197+P198+P199)</f>
        <v>0</v>
      </c>
      <c r="Q223" s="363">
        <f>SUM(Q197+Q198+Q199)</f>
        <v>0</v>
      </c>
      <c r="R223" s="356"/>
      <c r="S223" s="55"/>
      <c r="T223" s="55"/>
      <c r="U223" s="56"/>
      <c r="V223" s="349"/>
    </row>
    <row r="224" spans="1:24" ht="27.75" customHeight="1" thickTop="1">
      <c r="A224" s="94"/>
      <c r="B224" s="364" t="s">
        <v>395</v>
      </c>
      <c r="C224" s="81"/>
      <c r="D224" s="192"/>
      <c r="E224" s="365"/>
      <c r="F224" s="126"/>
      <c r="G224" s="65"/>
      <c r="H224" s="65"/>
      <c r="I224" s="85"/>
      <c r="J224" s="178"/>
      <c r="K224" s="179"/>
      <c r="L224" s="264"/>
      <c r="M224" s="83"/>
      <c r="N224" s="251"/>
      <c r="O224" s="337"/>
      <c r="P224" s="337"/>
      <c r="Q224" s="85"/>
      <c r="R224" s="39"/>
      <c r="S224" s="55"/>
      <c r="T224" s="55"/>
      <c r="U224" s="56"/>
      <c r="V224" s="56"/>
    </row>
    <row r="225" spans="1:24" ht="27.75" customHeight="1">
      <c r="A225" s="94">
        <v>1</v>
      </c>
      <c r="B225" s="366" t="s">
        <v>167</v>
      </c>
      <c r="C225" s="367" t="s">
        <v>396</v>
      </c>
      <c r="D225" s="141">
        <v>22690</v>
      </c>
      <c r="E225" s="43" t="s">
        <v>45</v>
      </c>
      <c r="F225" s="44">
        <v>0</v>
      </c>
      <c r="G225" s="45">
        <v>0</v>
      </c>
      <c r="H225" s="45"/>
      <c r="I225" s="47">
        <v>0</v>
      </c>
      <c r="J225" s="175">
        <v>45905</v>
      </c>
      <c r="K225" s="176" t="s">
        <v>397</v>
      </c>
      <c r="L225" s="222">
        <v>22690</v>
      </c>
      <c r="M225" s="94" t="s">
        <v>45</v>
      </c>
      <c r="N225" s="116">
        <v>0</v>
      </c>
      <c r="O225" s="233">
        <f t="shared" ref="O225" si="49">+I225+D225-L225</f>
        <v>0</v>
      </c>
      <c r="P225" s="233"/>
      <c r="Q225" s="368">
        <f t="shared" ref="Q225" si="50">+O225+P225</f>
        <v>0</v>
      </c>
      <c r="R225" s="348" t="s">
        <v>195</v>
      </c>
      <c r="S225" s="299">
        <v>44166</v>
      </c>
      <c r="T225" s="299">
        <v>45260</v>
      </c>
      <c r="U225" s="149">
        <v>51450</v>
      </c>
      <c r="V225" s="369" t="s">
        <v>398</v>
      </c>
      <c r="W225" s="4" t="s">
        <v>399</v>
      </c>
      <c r="X225" s="4" t="s">
        <v>400</v>
      </c>
    </row>
    <row r="226" spans="1:24" ht="27.75" customHeight="1">
      <c r="A226" s="94"/>
      <c r="B226" s="366" t="s">
        <v>401</v>
      </c>
      <c r="C226" s="367" t="s">
        <v>402</v>
      </c>
      <c r="D226" s="141"/>
      <c r="E226" s="43"/>
      <c r="F226" s="44"/>
      <c r="G226" s="45"/>
      <c r="H226" s="45"/>
      <c r="I226" s="47"/>
      <c r="J226" s="175"/>
      <c r="K226" s="176"/>
      <c r="L226" s="222"/>
      <c r="M226" s="94"/>
      <c r="N226" s="116"/>
      <c r="O226" s="233"/>
      <c r="P226" s="233"/>
      <c r="Q226" s="368"/>
      <c r="R226" s="348"/>
      <c r="S226" s="299"/>
      <c r="T226" s="299"/>
      <c r="U226" s="149"/>
      <c r="V226" s="369"/>
    </row>
    <row r="227" spans="1:24" ht="27.75" customHeight="1">
      <c r="A227" s="94">
        <v>2</v>
      </c>
      <c r="B227" s="366" t="s">
        <v>24</v>
      </c>
      <c r="C227" s="367" t="s">
        <v>403</v>
      </c>
      <c r="D227" s="141">
        <v>13300</v>
      </c>
      <c r="E227" s="43" t="s">
        <v>26</v>
      </c>
      <c r="F227" s="44">
        <v>0</v>
      </c>
      <c r="G227" s="45">
        <v>0</v>
      </c>
      <c r="H227" s="45"/>
      <c r="I227" s="47">
        <v>0</v>
      </c>
      <c r="J227" s="175">
        <v>45901</v>
      </c>
      <c r="K227" s="176" t="s">
        <v>404</v>
      </c>
      <c r="L227" s="222">
        <v>13300</v>
      </c>
      <c r="M227" s="94" t="s">
        <v>26</v>
      </c>
      <c r="N227" s="116">
        <v>0</v>
      </c>
      <c r="O227" s="233">
        <f t="shared" ref="O227" si="51">+I227+D227-L227</f>
        <v>0</v>
      </c>
      <c r="P227" s="233"/>
      <c r="Q227" s="368">
        <f t="shared" ref="Q227" si="52">+O227+P227</f>
        <v>0</v>
      </c>
      <c r="R227" s="348" t="s">
        <v>405</v>
      </c>
      <c r="S227" s="299">
        <v>44562</v>
      </c>
      <c r="T227" s="299" t="s">
        <v>406</v>
      </c>
      <c r="U227" s="149">
        <v>34680</v>
      </c>
      <c r="V227" s="370" t="s">
        <v>407</v>
      </c>
      <c r="W227" s="295" t="s">
        <v>289</v>
      </c>
      <c r="X227" s="4" t="s">
        <v>408</v>
      </c>
    </row>
    <row r="228" spans="1:24" ht="27.75" customHeight="1">
      <c r="A228" s="94"/>
      <c r="B228" s="366" t="s">
        <v>409</v>
      </c>
      <c r="C228" s="367" t="s">
        <v>410</v>
      </c>
      <c r="D228" s="141"/>
      <c r="E228" s="43"/>
      <c r="F228" s="44"/>
      <c r="G228" s="45"/>
      <c r="H228" s="45"/>
      <c r="I228" s="47"/>
      <c r="J228" s="175"/>
      <c r="K228" s="176"/>
      <c r="L228" s="222"/>
      <c r="M228" s="94"/>
      <c r="N228" s="116"/>
      <c r="O228" s="233"/>
      <c r="P228" s="233"/>
      <c r="Q228" s="368"/>
      <c r="R228" s="348"/>
      <c r="S228" s="299"/>
      <c r="T228" s="299"/>
      <c r="U228" s="149"/>
      <c r="V228" s="370"/>
      <c r="W228" s="295"/>
    </row>
    <row r="229" spans="1:24" ht="27.75" customHeight="1">
      <c r="A229" s="94">
        <v>3</v>
      </c>
      <c r="B229" s="366" t="s">
        <v>411</v>
      </c>
      <c r="C229" s="367" t="s">
        <v>412</v>
      </c>
      <c r="D229" s="141">
        <v>5360</v>
      </c>
      <c r="E229" s="43" t="s">
        <v>45</v>
      </c>
      <c r="F229" s="44">
        <v>0</v>
      </c>
      <c r="G229" s="45">
        <v>0</v>
      </c>
      <c r="H229" s="45"/>
      <c r="I229" s="47">
        <v>0</v>
      </c>
      <c r="J229" s="175">
        <v>45905</v>
      </c>
      <c r="K229" s="176" t="s">
        <v>413</v>
      </c>
      <c r="L229" s="222">
        <v>5360</v>
      </c>
      <c r="M229" s="94" t="s">
        <v>45</v>
      </c>
      <c r="N229" s="116">
        <v>0</v>
      </c>
      <c r="O229" s="233">
        <f t="shared" ref="O229" si="53">+I229+D229-L229</f>
        <v>0</v>
      </c>
      <c r="P229" s="233"/>
      <c r="Q229" s="368">
        <f t="shared" ref="Q229" si="54">+O229+P229</f>
        <v>0</v>
      </c>
      <c r="R229" s="348" t="s">
        <v>405</v>
      </c>
      <c r="S229" s="299">
        <v>44562</v>
      </c>
      <c r="T229" s="299">
        <v>45503</v>
      </c>
      <c r="U229" s="149">
        <v>13980</v>
      </c>
      <c r="V229" s="371" t="s">
        <v>414</v>
      </c>
      <c r="W229" s="295" t="s">
        <v>289</v>
      </c>
      <c r="X229" s="4" t="s">
        <v>415</v>
      </c>
    </row>
    <row r="230" spans="1:24" ht="27.75" customHeight="1">
      <c r="A230" s="94"/>
      <c r="B230" s="366" t="s">
        <v>409</v>
      </c>
      <c r="C230" s="367" t="s">
        <v>416</v>
      </c>
      <c r="D230" s="141"/>
      <c r="E230" s="43"/>
      <c r="F230" s="44"/>
      <c r="G230" s="45"/>
      <c r="H230" s="45"/>
      <c r="I230" s="47"/>
      <c r="J230" s="175"/>
      <c r="K230" s="176"/>
      <c r="L230" s="222"/>
      <c r="N230" s="116"/>
      <c r="O230" s="233"/>
      <c r="P230" s="233"/>
      <c r="Q230" s="368"/>
      <c r="R230" s="348"/>
      <c r="S230" s="299"/>
      <c r="T230" s="299"/>
      <c r="U230" s="149"/>
      <c r="V230" s="371"/>
      <c r="W230" s="295"/>
    </row>
    <row r="231" spans="1:24" ht="27.75" customHeight="1">
      <c r="A231" s="94">
        <v>4</v>
      </c>
      <c r="B231" s="366" t="s">
        <v>417</v>
      </c>
      <c r="C231" s="367" t="s">
        <v>418</v>
      </c>
      <c r="D231" s="141">
        <v>68108.75</v>
      </c>
      <c r="E231" s="373" t="s">
        <v>73</v>
      </c>
      <c r="F231" s="374">
        <v>-0.49999992658799353</v>
      </c>
      <c r="G231" s="375">
        <v>-34054.370000000003</v>
      </c>
      <c r="H231" s="375"/>
      <c r="I231" s="376">
        <v>-34054.370000000003</v>
      </c>
      <c r="J231" s="175">
        <v>45923</v>
      </c>
      <c r="K231" s="176" t="s">
        <v>419</v>
      </c>
      <c r="L231" s="222">
        <v>68108.75</v>
      </c>
      <c r="M231" s="377" t="s">
        <v>75</v>
      </c>
      <c r="N231" s="116">
        <v>-0.49999992658799353</v>
      </c>
      <c r="O231" s="233">
        <f t="shared" ref="O231" si="55">+I231+D231-L231</f>
        <v>-34054.370000000003</v>
      </c>
      <c r="P231" s="233"/>
      <c r="Q231" s="368">
        <f t="shared" ref="Q231" si="56">+O231+P231</f>
        <v>-34054.370000000003</v>
      </c>
      <c r="R231" s="39" t="s">
        <v>195</v>
      </c>
      <c r="S231" s="55">
        <v>40072</v>
      </c>
      <c r="T231" s="55">
        <v>41167</v>
      </c>
      <c r="U231" s="56">
        <v>132250</v>
      </c>
      <c r="V231" s="378" t="s">
        <v>420</v>
      </c>
    </row>
    <row r="232" spans="1:24" ht="27.75" customHeight="1">
      <c r="A232" s="94"/>
      <c r="B232" s="366" t="s">
        <v>409</v>
      </c>
      <c r="C232" s="379"/>
      <c r="D232" s="141"/>
      <c r="E232" s="43"/>
      <c r="F232" s="44"/>
      <c r="G232" s="45">
        <v>0</v>
      </c>
      <c r="H232" s="45"/>
      <c r="I232" s="47">
        <v>0</v>
      </c>
      <c r="J232" s="175"/>
      <c r="K232" s="176"/>
      <c r="L232" s="222"/>
      <c r="M232" s="94"/>
      <c r="N232" s="116"/>
      <c r="O232" s="233">
        <f t="shared" ref="O232:O233" si="57">D232+I232-L232</f>
        <v>0</v>
      </c>
      <c r="P232" s="233"/>
      <c r="Q232" s="368">
        <f t="shared" ref="Q232:Q233" si="58">O232</f>
        <v>0</v>
      </c>
      <c r="R232" s="39"/>
      <c r="S232" s="55"/>
      <c r="T232" s="55"/>
      <c r="U232" s="56"/>
      <c r="V232" s="56"/>
    </row>
    <row r="233" spans="1:24" ht="27.75" customHeight="1">
      <c r="A233" s="94">
        <v>5</v>
      </c>
      <c r="B233" s="366" t="s">
        <v>417</v>
      </c>
      <c r="C233" s="367" t="s">
        <v>421</v>
      </c>
      <c r="D233" s="141">
        <v>4910</v>
      </c>
      <c r="E233" s="43" t="s">
        <v>45</v>
      </c>
      <c r="F233" s="44">
        <v>0</v>
      </c>
      <c r="G233" s="45">
        <v>0</v>
      </c>
      <c r="H233" s="45">
        <v>0</v>
      </c>
      <c r="I233" s="47">
        <v>0</v>
      </c>
      <c r="J233" s="175">
        <v>45901</v>
      </c>
      <c r="K233" s="176" t="s">
        <v>422</v>
      </c>
      <c r="L233" s="222">
        <v>4910</v>
      </c>
      <c r="M233" s="94" t="s">
        <v>45</v>
      </c>
      <c r="N233" s="116">
        <v>0</v>
      </c>
      <c r="O233" s="233">
        <f t="shared" si="57"/>
        <v>0</v>
      </c>
      <c r="P233" s="233">
        <v>0</v>
      </c>
      <c r="Q233" s="368">
        <f t="shared" si="58"/>
        <v>0</v>
      </c>
      <c r="R233" s="348" t="s">
        <v>195</v>
      </c>
      <c r="S233" s="299" t="s">
        <v>423</v>
      </c>
      <c r="T233" s="299" t="s">
        <v>406</v>
      </c>
      <c r="U233" s="56">
        <v>6420</v>
      </c>
      <c r="V233" s="56" t="s">
        <v>424</v>
      </c>
      <c r="W233" s="295" t="s">
        <v>289</v>
      </c>
      <c r="X233" s="4" t="s">
        <v>425</v>
      </c>
    </row>
    <row r="234" spans="1:24" ht="27.75" customHeight="1">
      <c r="A234" s="94"/>
      <c r="B234" s="366" t="s">
        <v>426</v>
      </c>
      <c r="C234" s="366" t="s">
        <v>427</v>
      </c>
      <c r="D234" s="141"/>
      <c r="E234" s="43"/>
      <c r="F234" s="44"/>
      <c r="G234" s="45"/>
      <c r="H234" s="45"/>
      <c r="I234" s="47"/>
      <c r="J234" s="175"/>
      <c r="K234" s="176"/>
      <c r="L234" s="222"/>
      <c r="M234" s="94"/>
      <c r="N234" s="116"/>
      <c r="O234" s="233"/>
      <c r="P234" s="233"/>
      <c r="Q234" s="368"/>
      <c r="R234" s="348"/>
      <c r="S234" s="299"/>
      <c r="T234" s="299"/>
      <c r="U234" s="56"/>
      <c r="V234" s="56"/>
      <c r="W234" s="295"/>
    </row>
    <row r="235" spans="1:24" ht="27.75" customHeight="1">
      <c r="A235" s="94">
        <v>6</v>
      </c>
      <c r="B235" s="366" t="s">
        <v>428</v>
      </c>
      <c r="C235" s="367" t="s">
        <v>429</v>
      </c>
      <c r="D235" s="141">
        <v>20000</v>
      </c>
      <c r="E235" s="43" t="s">
        <v>45</v>
      </c>
      <c r="F235" s="44">
        <v>0</v>
      </c>
      <c r="G235" s="45"/>
      <c r="H235" s="45"/>
      <c r="I235" s="47"/>
      <c r="J235" s="175">
        <v>45904</v>
      </c>
      <c r="K235" s="176" t="s">
        <v>430</v>
      </c>
      <c r="L235" s="222">
        <v>20000</v>
      </c>
      <c r="M235" s="94" t="s">
        <v>45</v>
      </c>
      <c r="N235" s="116">
        <v>0</v>
      </c>
      <c r="O235" s="233"/>
      <c r="P235" s="233"/>
      <c r="Q235" s="368"/>
      <c r="R235" s="348"/>
      <c r="S235" s="299"/>
      <c r="T235" s="299"/>
      <c r="U235" s="56"/>
      <c r="V235" s="56"/>
      <c r="W235" s="295"/>
    </row>
    <row r="236" spans="1:24" ht="27.75" customHeight="1">
      <c r="A236" s="94"/>
      <c r="B236" s="366" t="s">
        <v>431</v>
      </c>
      <c r="C236" s="366" t="s">
        <v>432</v>
      </c>
      <c r="D236" s="141"/>
      <c r="E236" s="43"/>
      <c r="F236" s="44"/>
      <c r="G236" s="45"/>
      <c r="H236" s="45"/>
      <c r="I236" s="47"/>
      <c r="J236" s="175"/>
      <c r="K236" s="176"/>
      <c r="L236" s="222"/>
      <c r="M236" s="94"/>
      <c r="N236" s="116"/>
      <c r="O236" s="233"/>
      <c r="P236" s="233"/>
      <c r="Q236" s="47"/>
      <c r="R236" s="39"/>
      <c r="S236" s="55"/>
      <c r="T236" s="55"/>
      <c r="U236" s="56"/>
      <c r="V236" s="56"/>
    </row>
    <row r="237" spans="1:24" ht="27.75" customHeight="1" thickBot="1">
      <c r="A237" s="193"/>
      <c r="B237" s="194" t="s">
        <v>22</v>
      </c>
      <c r="C237" s="195"/>
      <c r="D237" s="196">
        <f>SUM(D225:D236)</f>
        <v>134368.75</v>
      </c>
      <c r="E237" s="221"/>
      <c r="F237" s="197"/>
      <c r="G237" s="198">
        <v>0</v>
      </c>
      <c r="H237" s="198"/>
      <c r="I237" s="198">
        <v>0</v>
      </c>
      <c r="J237" s="199"/>
      <c r="K237" s="199"/>
      <c r="L237" s="196">
        <f>SUM(L225:L236)</f>
        <v>134368.75</v>
      </c>
      <c r="M237" s="200"/>
      <c r="N237" s="196"/>
      <c r="O237" s="198">
        <v>0</v>
      </c>
      <c r="P237" s="198"/>
      <c r="Q237" s="198">
        <v>0</v>
      </c>
      <c r="R237" s="36"/>
      <c r="S237" s="37"/>
      <c r="T237" s="37"/>
      <c r="U237" s="38"/>
      <c r="V237" s="38"/>
      <c r="W237" s="38"/>
    </row>
    <row r="238" spans="1:24" ht="27.75" customHeight="1" thickTop="1">
      <c r="A238" s="22"/>
      <c r="B238" s="288" t="s">
        <v>433</v>
      </c>
      <c r="C238" s="380"/>
      <c r="D238" s="284"/>
      <c r="E238" s="273"/>
      <c r="F238" s="274"/>
      <c r="G238" s="381"/>
      <c r="H238" s="381"/>
      <c r="I238" s="381"/>
      <c r="J238" s="382"/>
      <c r="K238" s="382"/>
      <c r="L238" s="383"/>
      <c r="M238" s="384"/>
      <c r="N238" s="284"/>
      <c r="O238" s="381"/>
      <c r="P238" s="381"/>
      <c r="Q238" s="381"/>
      <c r="R238" s="36"/>
      <c r="S238" s="37"/>
      <c r="T238" s="37"/>
      <c r="U238" s="38"/>
      <c r="V238" s="38"/>
      <c r="W238" s="38"/>
    </row>
    <row r="239" spans="1:24" ht="27.75" customHeight="1">
      <c r="A239" s="22">
        <v>1</v>
      </c>
      <c r="B239" s="270" t="s">
        <v>434</v>
      </c>
      <c r="C239" s="380" t="s">
        <v>435</v>
      </c>
      <c r="D239" s="284">
        <v>5324.13</v>
      </c>
      <c r="E239" s="273" t="s">
        <v>131</v>
      </c>
      <c r="F239" s="274">
        <v>-2</v>
      </c>
      <c r="G239" s="381">
        <v>-5324.1300000000065</v>
      </c>
      <c r="H239" s="381"/>
      <c r="I239" s="381">
        <v>-5324.1300000000065</v>
      </c>
      <c r="J239" s="385"/>
      <c r="K239" s="386"/>
      <c r="L239" s="383"/>
      <c r="M239" s="387"/>
      <c r="N239" s="116"/>
      <c r="O239" s="388">
        <f>D239+I239-L239</f>
        <v>-6.3664629124104977E-12</v>
      </c>
      <c r="P239" s="388"/>
      <c r="Q239" s="376">
        <f>O239</f>
        <v>-6.3664629124104977E-12</v>
      </c>
      <c r="R239" s="36"/>
      <c r="S239" s="37"/>
      <c r="T239" s="37"/>
      <c r="U239" s="38"/>
      <c r="V239" s="38"/>
      <c r="W239" s="38"/>
    </row>
    <row r="240" spans="1:24" ht="27.75" customHeight="1">
      <c r="A240" s="22"/>
      <c r="B240" s="270" t="s">
        <v>436</v>
      </c>
      <c r="C240" s="380" t="s">
        <v>437</v>
      </c>
      <c r="D240" s="284"/>
      <c r="E240" s="384"/>
      <c r="F240" s="274"/>
      <c r="G240" s="381"/>
      <c r="H240" s="381"/>
      <c r="I240" s="381"/>
      <c r="J240" s="382"/>
      <c r="K240" s="382"/>
      <c r="L240" s="383"/>
      <c r="M240" s="384"/>
      <c r="N240" s="284"/>
      <c r="O240" s="381"/>
      <c r="P240" s="381"/>
      <c r="Q240" s="381"/>
      <c r="R240" s="36"/>
      <c r="S240" s="37"/>
      <c r="T240" s="37"/>
      <c r="U240" s="38"/>
      <c r="V240" s="38"/>
      <c r="W240" s="38"/>
    </row>
    <row r="241" spans="1:25" ht="27.75" customHeight="1">
      <c r="A241" s="22">
        <v>2</v>
      </c>
      <c r="B241" s="270" t="s">
        <v>438</v>
      </c>
      <c r="C241" s="380" t="s">
        <v>439</v>
      </c>
      <c r="D241" s="284">
        <v>1500</v>
      </c>
      <c r="E241" s="384"/>
      <c r="F241" s="274">
        <v>0</v>
      </c>
      <c r="G241" s="381"/>
      <c r="H241" s="381"/>
      <c r="I241" s="381"/>
      <c r="J241" s="389">
        <v>45905</v>
      </c>
      <c r="K241" s="386" t="s">
        <v>440</v>
      </c>
      <c r="L241" s="383">
        <v>1500</v>
      </c>
      <c r="M241" s="390"/>
      <c r="N241" s="391"/>
      <c r="O241" s="381">
        <f>SUM(D241+G241-L241)</f>
        <v>0</v>
      </c>
      <c r="P241" s="381">
        <v>0</v>
      </c>
      <c r="Q241" s="381">
        <f>SUM(O241)</f>
        <v>0</v>
      </c>
      <c r="R241" s="36"/>
      <c r="S241" s="37"/>
      <c r="T241" s="37"/>
      <c r="U241" s="38"/>
      <c r="V241" s="38"/>
      <c r="W241" s="38"/>
    </row>
    <row r="242" spans="1:25" ht="27.75" customHeight="1" thickBot="1">
      <c r="A242" s="193"/>
      <c r="B242" s="194" t="s">
        <v>22</v>
      </c>
      <c r="C242" s="195"/>
      <c r="D242" s="196">
        <f>SUM(D239:D241)</f>
        <v>6824.13</v>
      </c>
      <c r="E242" s="221">
        <v>0</v>
      </c>
      <c r="F242" s="197"/>
      <c r="G242" s="392">
        <v>0</v>
      </c>
      <c r="H242" s="392">
        <v>0</v>
      </c>
      <c r="I242" s="392">
        <v>0</v>
      </c>
      <c r="J242" s="393">
        <v>0</v>
      </c>
      <c r="K242" s="393">
        <v>0</v>
      </c>
      <c r="L242" s="394">
        <f>SUM(L239:L241)</f>
        <v>1500</v>
      </c>
      <c r="M242" s="395"/>
      <c r="N242" s="392"/>
      <c r="O242" s="392">
        <f>SUM(O239:O241)</f>
        <v>-6.3664629124104977E-12</v>
      </c>
      <c r="P242" s="392">
        <f t="shared" ref="P242:Q242" si="59">SUM(P239:P241)</f>
        <v>0</v>
      </c>
      <c r="Q242" s="392">
        <f t="shared" si="59"/>
        <v>-6.3664629124104977E-12</v>
      </c>
      <c r="R242" s="36"/>
      <c r="S242" s="37"/>
      <c r="T242" s="37"/>
      <c r="U242" s="38"/>
      <c r="V242" s="38"/>
      <c r="W242" s="38"/>
    </row>
    <row r="243" spans="1:25" ht="27.75" customHeight="1" thickTop="1">
      <c r="A243" s="22"/>
      <c r="B243" s="288" t="s">
        <v>441</v>
      </c>
      <c r="C243" s="289"/>
      <c r="D243" s="272"/>
      <c r="E243" s="201"/>
      <c r="F243" s="281"/>
      <c r="G243" s="290"/>
      <c r="H243" s="290"/>
      <c r="I243" s="290"/>
      <c r="J243" s="291"/>
      <c r="K243" s="292"/>
      <c r="L243" s="222"/>
      <c r="M243" s="94"/>
      <c r="N243" s="39"/>
      <c r="O243" s="293"/>
      <c r="P243" s="293"/>
      <c r="Q243" s="294"/>
      <c r="R243" s="36"/>
      <c r="S243" s="37"/>
      <c r="T243" s="37"/>
      <c r="U243" s="38"/>
      <c r="V243" s="38"/>
      <c r="W243" s="38"/>
    </row>
    <row r="244" spans="1:25" ht="27.75" customHeight="1">
      <c r="A244" s="94">
        <v>1</v>
      </c>
      <c r="B244" s="40" t="s">
        <v>442</v>
      </c>
      <c r="C244" s="206" t="s">
        <v>443</v>
      </c>
      <c r="D244" s="296">
        <v>98948</v>
      </c>
      <c r="E244" s="43"/>
      <c r="F244" s="44"/>
      <c r="G244" s="45">
        <v>0</v>
      </c>
      <c r="H244" s="45"/>
      <c r="I244" s="47">
        <v>0</v>
      </c>
      <c r="J244" s="175" t="s">
        <v>444</v>
      </c>
      <c r="K244" s="176" t="s">
        <v>445</v>
      </c>
      <c r="L244" s="222">
        <v>1286324</v>
      </c>
      <c r="M244" s="387" t="s">
        <v>160</v>
      </c>
      <c r="N244" s="116">
        <v>-12</v>
      </c>
      <c r="O244" s="233">
        <f t="shared" ref="O244" si="60">Q244</f>
        <v>-1187376</v>
      </c>
      <c r="P244" s="233"/>
      <c r="Q244" s="376">
        <f>D244+I244-L244</f>
        <v>-1187376</v>
      </c>
      <c r="R244" s="39" t="s">
        <v>446</v>
      </c>
      <c r="S244" s="55">
        <v>43952</v>
      </c>
      <c r="T244" s="55">
        <v>44561</v>
      </c>
      <c r="U244" s="56">
        <v>1032500</v>
      </c>
      <c r="V244" s="56" t="s">
        <v>447</v>
      </c>
    </row>
    <row r="245" spans="1:25" ht="27.75" customHeight="1">
      <c r="A245" s="94"/>
      <c r="B245" s="396" t="s">
        <v>448</v>
      </c>
      <c r="C245" s="206" t="s">
        <v>449</v>
      </c>
      <c r="D245" s="296"/>
      <c r="E245" s="64"/>
      <c r="F245" s="44"/>
      <c r="G245" s="45"/>
      <c r="H245" s="45"/>
      <c r="I245" s="47"/>
      <c r="J245" s="183"/>
      <c r="K245" s="184"/>
      <c r="L245" s="231"/>
      <c r="M245" s="186"/>
      <c r="N245" s="116"/>
      <c r="O245" s="233"/>
      <c r="P245" s="233"/>
      <c r="Q245" s="376"/>
      <c r="R245" s="297"/>
      <c r="S245" s="298"/>
      <c r="T245" s="298"/>
      <c r="U245" s="397"/>
      <c r="V245" s="397"/>
    </row>
    <row r="246" spans="1:25" ht="27.75" customHeight="1">
      <c r="A246" s="94"/>
      <c r="B246" s="396"/>
      <c r="C246" s="398" t="s">
        <v>450</v>
      </c>
      <c r="D246" s="296"/>
      <c r="E246" s="64"/>
      <c r="F246" s="44"/>
      <c r="G246" s="45"/>
      <c r="H246" s="45"/>
      <c r="I246" s="47"/>
      <c r="J246" s="183"/>
      <c r="K246" s="184"/>
      <c r="L246" s="231"/>
      <c r="M246" s="186"/>
      <c r="N246" s="116"/>
      <c r="O246" s="233"/>
      <c r="P246" s="233"/>
      <c r="Q246" s="376"/>
      <c r="R246" s="297"/>
      <c r="S246" s="298"/>
      <c r="T246" s="298"/>
      <c r="U246" s="397"/>
      <c r="V246" s="397"/>
    </row>
    <row r="247" spans="1:25" ht="27.75" customHeight="1">
      <c r="A247" s="94">
        <v>2</v>
      </c>
      <c r="B247" s="205" t="s">
        <v>451</v>
      </c>
      <c r="C247" s="206" t="s">
        <v>452</v>
      </c>
      <c r="D247" s="296">
        <v>48779</v>
      </c>
      <c r="E247" s="64" t="s">
        <v>453</v>
      </c>
      <c r="F247" s="44">
        <v>11</v>
      </c>
      <c r="G247" s="45">
        <v>69993</v>
      </c>
      <c r="H247" s="45">
        <v>0</v>
      </c>
      <c r="I247" s="47">
        <v>69993</v>
      </c>
      <c r="J247" s="183">
        <v>45922</v>
      </c>
      <c r="K247" s="184" t="s">
        <v>454</v>
      </c>
      <c r="L247" s="231">
        <v>788944</v>
      </c>
      <c r="M247" s="399" t="s">
        <v>455</v>
      </c>
      <c r="N247" s="116">
        <v>-13</v>
      </c>
      <c r="O247" s="233">
        <f t="shared" ref="O247" si="61">Q247</f>
        <v>-670172</v>
      </c>
      <c r="P247" s="233"/>
      <c r="Q247" s="368">
        <f>D247+I247-L247</f>
        <v>-670172</v>
      </c>
      <c r="R247" s="172" t="s">
        <v>456</v>
      </c>
      <c r="S247" s="400" t="s">
        <v>457</v>
      </c>
      <c r="T247" s="400" t="s">
        <v>458</v>
      </c>
      <c r="U247" s="401">
        <v>442600</v>
      </c>
      <c r="V247" s="401" t="s">
        <v>459</v>
      </c>
    </row>
    <row r="248" spans="1:25" ht="27.75" customHeight="1">
      <c r="A248" s="232"/>
      <c r="B248" s="402" t="s">
        <v>460</v>
      </c>
      <c r="C248" s="206" t="s">
        <v>461</v>
      </c>
      <c r="D248" s="296"/>
      <c r="E248" s="64"/>
      <c r="F248" s="44"/>
      <c r="G248" s="45"/>
      <c r="H248" s="45"/>
      <c r="I248" s="47"/>
      <c r="J248" s="183"/>
      <c r="K248" s="184"/>
      <c r="L248" s="231"/>
      <c r="M248" s="186"/>
      <c r="N248" s="116"/>
      <c r="O248" s="233"/>
      <c r="P248" s="233"/>
      <c r="Q248" s="403"/>
      <c r="R248" s="172"/>
      <c r="S248" s="400"/>
      <c r="T248" s="400"/>
      <c r="U248" s="401"/>
      <c r="V248" s="401"/>
    </row>
    <row r="249" spans="1:25" ht="27.75" customHeight="1">
      <c r="A249" s="186"/>
      <c r="B249" s="404" t="s">
        <v>448</v>
      </c>
      <c r="C249" s="206" t="s">
        <v>462</v>
      </c>
      <c r="D249" s="296"/>
      <c r="E249" s="64"/>
      <c r="F249" s="44"/>
      <c r="G249" s="45"/>
      <c r="H249" s="45"/>
      <c r="I249" s="66"/>
      <c r="J249" s="183"/>
      <c r="K249" s="184"/>
      <c r="L249" s="231"/>
      <c r="M249" s="186"/>
      <c r="N249" s="116"/>
      <c r="O249" s="233"/>
      <c r="P249" s="233"/>
      <c r="Q249" s="403"/>
      <c r="R249" s="146" t="s">
        <v>463</v>
      </c>
      <c r="S249" s="148" t="s">
        <v>464</v>
      </c>
      <c r="T249" s="148" t="s">
        <v>465</v>
      </c>
      <c r="U249" s="149">
        <v>46000</v>
      </c>
      <c r="V249" s="149" t="s">
        <v>466</v>
      </c>
      <c r="W249" s="295" t="s">
        <v>289</v>
      </c>
      <c r="X249" s="4" t="s">
        <v>467</v>
      </c>
    </row>
    <row r="250" spans="1:25" ht="27.75" customHeight="1">
      <c r="A250" s="405"/>
      <c r="B250" s="406" t="s">
        <v>22</v>
      </c>
      <c r="C250" s="407"/>
      <c r="D250" s="408">
        <f>SUM(D244:D249)</f>
        <v>147727</v>
      </c>
      <c r="E250" s="409"/>
      <c r="F250" s="410"/>
      <c r="G250" s="239">
        <f>SUM(G244:G249)</f>
        <v>69993</v>
      </c>
      <c r="H250" s="239">
        <f t="shared" ref="H250:I250" si="62">SUM(H244:H249)</f>
        <v>0</v>
      </c>
      <c r="I250" s="239">
        <f t="shared" si="62"/>
        <v>69993</v>
      </c>
      <c r="J250" s="411"/>
      <c r="K250" s="411"/>
      <c r="L250" s="408">
        <f>SUM(L244:L247)</f>
        <v>2075268</v>
      </c>
      <c r="M250" s="412"/>
      <c r="N250" s="408"/>
      <c r="O250" s="239"/>
      <c r="P250" s="239">
        <f>SUM(P247:P249)</f>
        <v>0</v>
      </c>
      <c r="Q250" s="239"/>
      <c r="R250" s="278"/>
      <c r="S250" s="279"/>
      <c r="T250" s="279"/>
      <c r="U250" s="413"/>
      <c r="V250" s="413"/>
      <c r="W250" s="413"/>
    </row>
    <row r="251" spans="1:25" ht="27.75" customHeight="1" thickBot="1">
      <c r="A251" s="414"/>
      <c r="B251" s="415"/>
      <c r="C251" s="416" t="s">
        <v>468</v>
      </c>
      <c r="D251" s="417"/>
      <c r="E251" s="418"/>
      <c r="F251" s="419"/>
      <c r="G251" s="420">
        <f>SUM(G250+G242+G237+G223+G167+G156+G139+G123+G109+G93+G90+G83+G31+G27+G24)</f>
        <v>73139.998130841122</v>
      </c>
      <c r="H251" s="420">
        <f>SUM(H250+H242+H237+H223+H167+H156+H139+H123+H109+H93+H90+H83+H31+H27+H24)</f>
        <v>220.30000000000018</v>
      </c>
      <c r="I251" s="420">
        <f>SUM(I250+I242+I237+I223+I167+I156+I139+I123+I109+I93+I90+I83+I31+I27+I24)</f>
        <v>73360.298130841111</v>
      </c>
      <c r="J251" s="421"/>
      <c r="K251" s="421"/>
      <c r="L251" s="422">
        <f>SUM(L250+L242+L237+L223+L167+L156+L139+L123+L109+L93+L90+L83+L31+L27+L24)</f>
        <v>3127922.63</v>
      </c>
      <c r="M251" s="423"/>
      <c r="N251" s="422"/>
      <c r="O251" s="420">
        <f>SUM(O250+O242+O237+O223+O167+O156+O139+O123+O109+O93+O90+O83+O31+O27+O24)</f>
        <v>9339.9981308411116</v>
      </c>
      <c r="P251" s="420">
        <f>SUM(P250+P242+P237+P223+P167+P156+P139+P123+P109+P93+P90+P83+P31+P27+P24)</f>
        <v>653.79999999999995</v>
      </c>
      <c r="Q251" s="420">
        <f>SUM(Q250+Q242+Q237+Q223+Q167+Q156+Q139+Q123+Q109+Q93+Q90+Q83+Q31+Q27+Q24)</f>
        <v>9993.7981308411127</v>
      </c>
      <c r="R251" s="424"/>
      <c r="S251" s="425"/>
      <c r="T251" s="425"/>
      <c r="U251" s="345"/>
      <c r="V251" s="345"/>
      <c r="W251" s="345"/>
    </row>
    <row r="252" spans="1:25" ht="27.75" customHeight="1" thickTop="1">
      <c r="A252" s="426"/>
      <c r="B252" s="4"/>
      <c r="C252" s="295"/>
      <c r="D252" s="427"/>
      <c r="E252" s="428"/>
      <c r="F252" s="429"/>
      <c r="G252" s="430"/>
      <c r="H252" s="430"/>
      <c r="I252" s="430"/>
      <c r="J252" s="431"/>
      <c r="K252" s="432"/>
      <c r="L252" s="427"/>
      <c r="M252" s="433"/>
      <c r="N252" s="427"/>
      <c r="O252" s="430"/>
      <c r="P252" s="430"/>
      <c r="Q252" s="430"/>
      <c r="R252" s="424"/>
      <c r="S252" s="425"/>
      <c r="T252" s="425"/>
      <c r="U252" s="345"/>
      <c r="V252" s="345"/>
      <c r="W252" s="345"/>
    </row>
    <row r="253" spans="1:25" ht="27.75" customHeight="1">
      <c r="A253" s="426"/>
      <c r="B253" s="434" t="s">
        <v>469</v>
      </c>
      <c r="C253" s="295"/>
      <c r="D253" s="427"/>
      <c r="E253" s="428"/>
      <c r="F253" s="429"/>
      <c r="G253" s="430"/>
      <c r="H253" s="430"/>
      <c r="I253" s="430"/>
      <c r="J253" s="431"/>
      <c r="K253" s="432"/>
      <c r="L253" s="427"/>
      <c r="M253" s="433"/>
      <c r="N253" s="427"/>
      <c r="O253" s="430"/>
      <c r="P253" s="430"/>
      <c r="Q253" s="430"/>
      <c r="R253" s="424"/>
      <c r="S253" s="425"/>
      <c r="T253" s="425"/>
      <c r="U253" s="345"/>
      <c r="V253" s="345"/>
      <c r="W253" s="345"/>
    </row>
    <row r="254" spans="1:25" ht="27.75" customHeight="1">
      <c r="A254" s="435">
        <v>1</v>
      </c>
      <c r="B254" s="436" t="s">
        <v>470</v>
      </c>
      <c r="C254" s="437" t="s">
        <v>471</v>
      </c>
      <c r="D254" s="438" t="s">
        <v>472</v>
      </c>
      <c r="E254" s="439" t="s">
        <v>473</v>
      </c>
      <c r="F254" s="440">
        <v>21</v>
      </c>
      <c r="G254" s="15">
        <v>361288.35</v>
      </c>
      <c r="H254" s="15"/>
      <c r="I254" s="17">
        <v>361288.35</v>
      </c>
      <c r="J254" s="441"/>
      <c r="K254" s="442"/>
      <c r="L254" s="443"/>
      <c r="M254" s="435" t="s">
        <v>473</v>
      </c>
      <c r="N254" s="444">
        <v>21</v>
      </c>
      <c r="O254" s="445">
        <f>SUM(G254-L254)</f>
        <v>361288.35</v>
      </c>
      <c r="P254" s="19"/>
      <c r="Q254" s="17">
        <f>SUM(O254)</f>
        <v>361288.35</v>
      </c>
      <c r="R254" s="251" t="s">
        <v>195</v>
      </c>
      <c r="S254" s="446">
        <v>41883</v>
      </c>
      <c r="T254" s="446">
        <v>42978</v>
      </c>
      <c r="U254" s="447">
        <v>90000</v>
      </c>
      <c r="V254" s="447" t="s">
        <v>474</v>
      </c>
      <c r="Y254" s="4" t="s">
        <v>475</v>
      </c>
    </row>
    <row r="255" spans="1:25" ht="27.75" customHeight="1">
      <c r="A255" s="435"/>
      <c r="B255" s="436" t="s">
        <v>476</v>
      </c>
      <c r="C255" s="437"/>
      <c r="D255" s="448"/>
      <c r="E255" s="439"/>
      <c r="F255" s="440"/>
      <c r="G255" s="15"/>
      <c r="H255" s="15"/>
      <c r="I255" s="17"/>
      <c r="J255" s="441"/>
      <c r="K255" s="442"/>
      <c r="L255" s="443"/>
      <c r="M255" s="435"/>
      <c r="N255" s="444"/>
      <c r="O255" s="445">
        <f t="shared" ref="O255:O261" si="63">SUM(G255-L255)</f>
        <v>0</v>
      </c>
      <c r="P255" s="19"/>
      <c r="Q255" s="17">
        <f t="shared" ref="Q255:Q261" si="64">SUM(O255)</f>
        <v>0</v>
      </c>
      <c r="R255" s="116"/>
      <c r="S255" s="203"/>
      <c r="T255" s="203"/>
      <c r="U255" s="204"/>
      <c r="V255" s="204"/>
    </row>
    <row r="256" spans="1:25" ht="27.75" customHeight="1">
      <c r="A256" s="435"/>
      <c r="B256" s="674" t="s">
        <v>477</v>
      </c>
      <c r="C256" s="675"/>
      <c r="D256" s="682"/>
      <c r="E256" s="439"/>
      <c r="F256" s="440"/>
      <c r="G256" s="15"/>
      <c r="H256" s="15"/>
      <c r="I256" s="17"/>
      <c r="J256" s="441"/>
      <c r="K256" s="442"/>
      <c r="L256" s="443"/>
      <c r="M256" s="435"/>
      <c r="N256" s="444"/>
      <c r="O256" s="445">
        <f t="shared" si="63"/>
        <v>0</v>
      </c>
      <c r="P256" s="19"/>
      <c r="Q256" s="17">
        <f t="shared" si="64"/>
        <v>0</v>
      </c>
      <c r="R256" s="116"/>
      <c r="S256" s="203"/>
      <c r="T256" s="203"/>
      <c r="U256" s="204"/>
      <c r="V256" s="204"/>
    </row>
    <row r="257" spans="1:25" ht="27.75" customHeight="1">
      <c r="A257" s="435">
        <v>2</v>
      </c>
      <c r="B257" s="450" t="s">
        <v>470</v>
      </c>
      <c r="C257" s="451" t="s">
        <v>478</v>
      </c>
      <c r="D257" s="449"/>
      <c r="E257" s="439" t="s">
        <v>479</v>
      </c>
      <c r="F257" s="440">
        <v>6</v>
      </c>
      <c r="G257" s="15">
        <v>96700.72</v>
      </c>
      <c r="H257" s="15"/>
      <c r="I257" s="17">
        <v>96700.72</v>
      </c>
      <c r="J257" s="441"/>
      <c r="K257" s="442"/>
      <c r="L257" s="443"/>
      <c r="M257" s="435" t="s">
        <v>479</v>
      </c>
      <c r="N257" s="444">
        <v>6</v>
      </c>
      <c r="O257" s="445">
        <f t="shared" si="63"/>
        <v>96700.72</v>
      </c>
      <c r="P257" s="19"/>
      <c r="Q257" s="17">
        <f t="shared" si="64"/>
        <v>96700.72</v>
      </c>
      <c r="R257" s="116"/>
      <c r="S257" s="203"/>
      <c r="T257" s="203"/>
      <c r="U257" s="204"/>
      <c r="V257" s="204"/>
      <c r="Y257" s="4" t="s">
        <v>475</v>
      </c>
    </row>
    <row r="258" spans="1:25" ht="27.75" customHeight="1">
      <c r="A258" s="435">
        <v>3</v>
      </c>
      <c r="B258" s="450" t="s">
        <v>470</v>
      </c>
      <c r="C258" s="451" t="s">
        <v>480</v>
      </c>
      <c r="D258" s="452"/>
      <c r="E258" s="439" t="s">
        <v>481</v>
      </c>
      <c r="F258" s="440">
        <v>16</v>
      </c>
      <c r="G258" s="15">
        <v>285799.45</v>
      </c>
      <c r="H258" s="15"/>
      <c r="I258" s="17">
        <v>285799.45</v>
      </c>
      <c r="J258" s="441"/>
      <c r="K258" s="442"/>
      <c r="L258" s="443"/>
      <c r="M258" s="435" t="s">
        <v>481</v>
      </c>
      <c r="N258" s="444">
        <v>16</v>
      </c>
      <c r="O258" s="445">
        <f t="shared" si="63"/>
        <v>285799.45</v>
      </c>
      <c r="P258" s="19"/>
      <c r="Q258" s="17">
        <f t="shared" si="64"/>
        <v>285799.45</v>
      </c>
      <c r="R258" s="116"/>
      <c r="S258" s="203"/>
      <c r="T258" s="203"/>
      <c r="U258" s="204"/>
      <c r="V258" s="204"/>
      <c r="Y258" s="4" t="s">
        <v>475</v>
      </c>
    </row>
    <row r="259" spans="1:25" s="226" customFormat="1" ht="27.75" customHeight="1">
      <c r="A259" s="440">
        <v>4</v>
      </c>
      <c r="B259" s="436" t="s">
        <v>470</v>
      </c>
      <c r="C259" s="453" t="s">
        <v>482</v>
      </c>
      <c r="D259" s="454" t="s">
        <v>472</v>
      </c>
      <c r="E259" s="455" t="s">
        <v>483</v>
      </c>
      <c r="F259" s="456" t="s">
        <v>195</v>
      </c>
      <c r="G259" s="17">
        <v>57055.05</v>
      </c>
      <c r="H259" s="17"/>
      <c r="I259" s="17">
        <v>57055.05</v>
      </c>
      <c r="J259" s="441"/>
      <c r="K259" s="457"/>
      <c r="L259" s="458"/>
      <c r="M259" s="435" t="s">
        <v>483</v>
      </c>
      <c r="N259" s="448" t="s">
        <v>195</v>
      </c>
      <c r="O259" s="445">
        <f t="shared" si="63"/>
        <v>57055.05</v>
      </c>
      <c r="P259" s="17"/>
      <c r="Q259" s="17">
        <f t="shared" si="64"/>
        <v>57055.05</v>
      </c>
      <c r="R259" s="39"/>
      <c r="S259" s="55"/>
      <c r="T259" s="55"/>
      <c r="U259" s="141"/>
      <c r="V259" s="141"/>
      <c r="Y259" s="4" t="s">
        <v>475</v>
      </c>
    </row>
    <row r="260" spans="1:25" s="226" customFormat="1" ht="27.75" customHeight="1">
      <c r="A260" s="440"/>
      <c r="B260" s="676" t="s">
        <v>484</v>
      </c>
      <c r="C260" s="677"/>
      <c r="D260" s="683"/>
      <c r="E260" s="455"/>
      <c r="F260" s="456"/>
      <c r="G260" s="17"/>
      <c r="H260" s="17"/>
      <c r="I260" s="17"/>
      <c r="J260" s="441"/>
      <c r="K260" s="457"/>
      <c r="L260" s="458"/>
      <c r="M260" s="435"/>
      <c r="N260" s="448"/>
      <c r="O260" s="445">
        <f t="shared" si="63"/>
        <v>0</v>
      </c>
      <c r="P260" s="17"/>
      <c r="Q260" s="17">
        <f t="shared" si="64"/>
        <v>0</v>
      </c>
      <c r="R260" s="122"/>
      <c r="S260" s="37"/>
      <c r="T260" s="37"/>
      <c r="U260" s="459"/>
      <c r="V260" s="459"/>
      <c r="Y260" s="4" t="s">
        <v>475</v>
      </c>
    </row>
    <row r="261" spans="1:25" ht="27.75" customHeight="1">
      <c r="A261" s="460">
        <v>5</v>
      </c>
      <c r="B261" s="436" t="s">
        <v>470</v>
      </c>
      <c r="C261" s="461" t="s">
        <v>485</v>
      </c>
      <c r="D261" s="454"/>
      <c r="E261" s="455" t="s">
        <v>486</v>
      </c>
      <c r="F261" s="462" t="s">
        <v>195</v>
      </c>
      <c r="G261" s="17">
        <v>28958.15</v>
      </c>
      <c r="H261" s="15"/>
      <c r="I261" s="17">
        <v>28958.15</v>
      </c>
      <c r="J261" s="441" t="s">
        <v>487</v>
      </c>
      <c r="K261" s="463"/>
      <c r="L261" s="443"/>
      <c r="M261" s="435" t="s">
        <v>486</v>
      </c>
      <c r="N261" s="464" t="s">
        <v>195</v>
      </c>
      <c r="O261" s="445">
        <f t="shared" si="63"/>
        <v>28958.15</v>
      </c>
      <c r="P261" s="21"/>
      <c r="Q261" s="17">
        <f t="shared" si="64"/>
        <v>28958.15</v>
      </c>
      <c r="R261" s="36"/>
      <c r="S261" s="37"/>
      <c r="T261" s="37"/>
      <c r="U261" s="38"/>
      <c r="V261" s="38"/>
      <c r="W261" s="38"/>
      <c r="Y261" s="4" t="s">
        <v>475</v>
      </c>
    </row>
    <row r="262" spans="1:25" ht="27.6" customHeight="1">
      <c r="A262" s="460"/>
      <c r="B262" s="436" t="s">
        <v>488</v>
      </c>
      <c r="C262" s="461"/>
      <c r="D262" s="454"/>
      <c r="E262" s="448"/>
      <c r="F262" s="462"/>
      <c r="G262" s="17"/>
      <c r="H262" s="15"/>
      <c r="I262" s="17"/>
      <c r="J262" s="441"/>
      <c r="K262" s="463"/>
      <c r="L262" s="443"/>
      <c r="M262" s="435"/>
      <c r="N262" s="444"/>
      <c r="O262" s="17"/>
      <c r="P262" s="21"/>
      <c r="Q262" s="17"/>
      <c r="R262" s="36"/>
      <c r="S262" s="37"/>
      <c r="T262" s="37"/>
      <c r="U262" s="38"/>
      <c r="V262" s="38"/>
      <c r="W262" s="38"/>
    </row>
    <row r="263" spans="1:25" ht="27.6" customHeight="1">
      <c r="A263" s="460"/>
      <c r="B263" s="674" t="s">
        <v>489</v>
      </c>
      <c r="C263" s="675"/>
      <c r="D263" s="682"/>
      <c r="E263" s="448"/>
      <c r="F263" s="462"/>
      <c r="G263" s="17"/>
      <c r="H263" s="15"/>
      <c r="I263" s="17"/>
      <c r="J263" s="441"/>
      <c r="K263" s="463"/>
      <c r="L263" s="443"/>
      <c r="M263" s="435"/>
      <c r="N263" s="444"/>
      <c r="O263" s="17"/>
      <c r="P263" s="21"/>
      <c r="Q263" s="17"/>
      <c r="R263" s="36"/>
      <c r="S263" s="37"/>
      <c r="T263" s="37"/>
      <c r="U263" s="38"/>
      <c r="V263" s="38"/>
      <c r="W263" s="38"/>
    </row>
    <row r="264" spans="1:25" ht="27.75" customHeight="1" thickBot="1">
      <c r="A264" s="465"/>
      <c r="B264" s="466" t="s">
        <v>22</v>
      </c>
      <c r="C264" s="195"/>
      <c r="D264" s="310">
        <v>0</v>
      </c>
      <c r="E264" s="311"/>
      <c r="F264" s="312"/>
      <c r="G264" s="313">
        <f>SUM(G254:G262)</f>
        <v>829801.72000000009</v>
      </c>
      <c r="H264" s="313"/>
      <c r="I264" s="313">
        <f>SUM(I254:I262)</f>
        <v>829801.72000000009</v>
      </c>
      <c r="J264" s="467"/>
      <c r="K264" s="314"/>
      <c r="L264" s="310">
        <v>0</v>
      </c>
      <c r="M264" s="315"/>
      <c r="N264" s="310"/>
      <c r="O264" s="313">
        <f>SUM(O254:O262)</f>
        <v>829801.72000000009</v>
      </c>
      <c r="P264" s="313">
        <v>0</v>
      </c>
      <c r="Q264" s="313">
        <f>SUM(Q254:Q263)</f>
        <v>829801.72000000009</v>
      </c>
      <c r="R264" s="36"/>
      <c r="S264" s="37"/>
      <c r="T264" s="37"/>
      <c r="U264" s="38"/>
      <c r="V264" s="38"/>
      <c r="W264" s="38"/>
    </row>
    <row r="265" spans="1:25" ht="27.75" customHeight="1" thickTop="1">
      <c r="A265" s="468"/>
      <c r="B265" s="469" t="s">
        <v>490</v>
      </c>
      <c r="C265" s="470"/>
      <c r="D265" s="471"/>
      <c r="E265" s="207"/>
      <c r="F265" s="341"/>
      <c r="G265" s="187"/>
      <c r="H265" s="187"/>
      <c r="I265" s="187"/>
      <c r="J265" s="472"/>
      <c r="K265" s="473"/>
      <c r="L265" s="231"/>
      <c r="M265" s="186"/>
      <c r="N265" s="116"/>
      <c r="O265" s="344"/>
      <c r="P265" s="344"/>
      <c r="Q265" s="474"/>
      <c r="R265" s="36"/>
      <c r="S265" s="37"/>
      <c r="T265" s="37"/>
      <c r="U265" s="38"/>
      <c r="V265" s="38"/>
      <c r="W265" s="38"/>
    </row>
    <row r="266" spans="1:25" ht="27.75" customHeight="1">
      <c r="A266" s="475">
        <v>1</v>
      </c>
      <c r="B266" s="436" t="s">
        <v>491</v>
      </c>
      <c r="C266" s="437" t="s">
        <v>492</v>
      </c>
      <c r="D266" s="476"/>
      <c r="E266" s="477"/>
      <c r="F266" s="478"/>
      <c r="G266" s="15"/>
      <c r="H266" s="15"/>
      <c r="I266" s="17"/>
      <c r="J266" s="441"/>
      <c r="K266" s="442"/>
      <c r="L266" s="479"/>
      <c r="M266" s="435"/>
      <c r="N266" s="477"/>
      <c r="O266" s="480"/>
      <c r="P266" s="480"/>
      <c r="Q266" s="481"/>
      <c r="R266" s="356"/>
      <c r="S266" s="482"/>
      <c r="T266" s="482"/>
      <c r="U266" s="483"/>
      <c r="V266" s="483"/>
      <c r="Y266" s="4" t="s">
        <v>493</v>
      </c>
    </row>
    <row r="267" spans="1:25" ht="27.75" customHeight="1">
      <c r="A267" s="475"/>
      <c r="B267" s="484" t="s">
        <v>494</v>
      </c>
      <c r="C267" s="437"/>
      <c r="D267" s="476"/>
      <c r="E267" s="477"/>
      <c r="F267" s="478"/>
      <c r="G267" s="15"/>
      <c r="H267" s="15"/>
      <c r="I267" s="17"/>
      <c r="J267" s="441"/>
      <c r="K267" s="442"/>
      <c r="L267" s="479"/>
      <c r="M267" s="435"/>
      <c r="N267" s="477"/>
      <c r="O267" s="480"/>
      <c r="P267" s="480"/>
      <c r="Q267" s="481"/>
      <c r="R267" s="485"/>
      <c r="S267" s="486"/>
      <c r="T267" s="486"/>
      <c r="U267" s="487"/>
      <c r="V267" s="487"/>
    </row>
    <row r="268" spans="1:25" ht="27.75" customHeight="1">
      <c r="A268" s="475">
        <v>2</v>
      </c>
      <c r="B268" s="436" t="s">
        <v>495</v>
      </c>
      <c r="C268" s="437" t="s">
        <v>496</v>
      </c>
      <c r="D268" s="476"/>
      <c r="E268" s="477"/>
      <c r="F268" s="478" t="s">
        <v>497</v>
      </c>
      <c r="G268" s="15">
        <v>8214529.25</v>
      </c>
      <c r="H268" s="15"/>
      <c r="I268" s="17">
        <v>8214529.25</v>
      </c>
      <c r="J268" s="441"/>
      <c r="K268" s="442"/>
      <c r="L268" s="479"/>
      <c r="M268" s="435"/>
      <c r="N268" s="477" t="s">
        <v>497</v>
      </c>
      <c r="O268" s="480">
        <v>8214529.25</v>
      </c>
      <c r="P268" s="480"/>
      <c r="Q268" s="17">
        <v>8214529.25</v>
      </c>
      <c r="R268" s="485"/>
      <c r="S268" s="486"/>
      <c r="T268" s="486"/>
      <c r="U268" s="487"/>
      <c r="V268" s="487"/>
    </row>
    <row r="269" spans="1:25" ht="27.75" customHeight="1">
      <c r="A269" s="405"/>
      <c r="B269" s="234" t="s">
        <v>22</v>
      </c>
      <c r="C269" s="407"/>
      <c r="D269" s="408">
        <v>0</v>
      </c>
      <c r="E269" s="409"/>
      <c r="F269" s="410"/>
      <c r="G269" s="239">
        <f>SUM(G266:G268)</f>
        <v>8214529.25</v>
      </c>
      <c r="H269" s="239">
        <v>0</v>
      </c>
      <c r="I269" s="239">
        <f>SUM(I266:I268)</f>
        <v>8214529.25</v>
      </c>
      <c r="J269" s="411"/>
      <c r="K269" s="411"/>
      <c r="L269" s="408">
        <v>0</v>
      </c>
      <c r="M269" s="412"/>
      <c r="N269" s="408"/>
      <c r="O269" s="239">
        <f>SUM(O266:O268)</f>
        <v>8214529.25</v>
      </c>
      <c r="P269" s="239">
        <v>0</v>
      </c>
      <c r="Q269" s="239">
        <f>SUM(Q266:Q268)</f>
        <v>8214529.25</v>
      </c>
      <c r="R269" s="278"/>
      <c r="S269" s="279"/>
      <c r="T269" s="279"/>
      <c r="U269" s="413"/>
      <c r="V269" s="413"/>
      <c r="W269" s="413"/>
    </row>
    <row r="270" spans="1:25" ht="27.75" customHeight="1">
      <c r="A270" s="426"/>
      <c r="B270" s="4"/>
      <c r="C270" s="295"/>
      <c r="D270" s="427"/>
      <c r="E270" s="428"/>
      <c r="F270" s="429"/>
      <c r="G270" s="430"/>
      <c r="H270" s="430"/>
      <c r="I270" s="430"/>
      <c r="J270" s="432"/>
      <c r="K270" s="432"/>
      <c r="L270" s="427"/>
      <c r="M270" s="433"/>
      <c r="N270" s="427"/>
      <c r="O270" s="430"/>
      <c r="P270" s="430"/>
      <c r="Q270" s="430"/>
      <c r="R270" s="424"/>
      <c r="S270" s="425"/>
      <c r="T270" s="425"/>
      <c r="U270" s="345"/>
      <c r="V270" s="345"/>
      <c r="W270" s="345"/>
    </row>
    <row r="271" spans="1:25" ht="27.75" customHeight="1" thickBot="1">
      <c r="A271" s="488"/>
      <c r="B271" s="489" t="s">
        <v>498</v>
      </c>
      <c r="C271" s="490"/>
      <c r="D271" s="491">
        <f>+D269+D264+D250+D242+D237+D223+D167+D156+D152+D139+D123+D109+D93+D90+D83+D45+D31+D27+D24</f>
        <v>1133955.77</v>
      </c>
      <c r="E271" s="491"/>
      <c r="F271" s="492"/>
      <c r="G271" s="493">
        <f>SUM(G269+G264+G251)</f>
        <v>9117470.9681308419</v>
      </c>
      <c r="H271" s="493">
        <f>SUM(H269+H264+H251)</f>
        <v>220.30000000000018</v>
      </c>
      <c r="I271" s="493">
        <f>SUM(I269+I264+I251)</f>
        <v>9117691.2681308426</v>
      </c>
      <c r="J271" s="494"/>
      <c r="K271" s="494"/>
      <c r="L271" s="493">
        <f>SUM(L269+L264+L251)</f>
        <v>3127922.63</v>
      </c>
      <c r="M271" s="495"/>
      <c r="N271" s="496"/>
      <c r="O271" s="493">
        <f>SUM(O269+O264+O251)</f>
        <v>9053670.9681308419</v>
      </c>
      <c r="P271" s="493">
        <f>SUM(P269+P264+P251)</f>
        <v>653.79999999999995</v>
      </c>
      <c r="Q271" s="493">
        <f>SUM(Q269+Q264+Q251)</f>
        <v>9054324.7681308426</v>
      </c>
      <c r="R271" s="497">
        <v>0</v>
      </c>
      <c r="S271" s="497">
        <v>0</v>
      </c>
      <c r="T271" s="498"/>
      <c r="U271" s="499"/>
      <c r="V271" s="499"/>
      <c r="W271" s="499"/>
    </row>
    <row r="272" spans="1:25" s="226" customFormat="1" ht="27.75" customHeight="1" thickTop="1">
      <c r="A272" s="6"/>
      <c r="B272" s="500"/>
      <c r="D272" s="501"/>
      <c r="E272" s="502"/>
      <c r="F272" s="503"/>
      <c r="G272" s="430"/>
      <c r="H272" s="430"/>
      <c r="I272" s="504"/>
      <c r="J272" s="3"/>
      <c r="K272" s="372"/>
      <c r="L272" s="501"/>
      <c r="M272" s="372"/>
      <c r="N272" s="501"/>
      <c r="O272" s="430"/>
      <c r="P272" s="430"/>
      <c r="Q272" s="504"/>
      <c r="R272" s="2"/>
      <c r="S272" s="425"/>
      <c r="T272" s="425"/>
      <c r="U272" s="345"/>
      <c r="V272" s="345"/>
    </row>
    <row r="273" spans="1:22" s="226" customFormat="1" ht="27.75" customHeight="1">
      <c r="A273" s="6"/>
      <c r="B273" s="500"/>
      <c r="D273" s="501"/>
      <c r="E273" s="502"/>
      <c r="F273" s="503"/>
      <c r="G273" s="430"/>
      <c r="H273" s="430"/>
      <c r="I273" s="504"/>
      <c r="J273" s="3"/>
      <c r="K273" s="372"/>
      <c r="L273" s="501"/>
      <c r="M273" s="372"/>
      <c r="N273" s="501"/>
      <c r="O273" s="430"/>
      <c r="P273" s="430"/>
      <c r="Q273" s="504"/>
      <c r="R273" s="2"/>
      <c r="S273" s="425"/>
      <c r="T273" s="425"/>
      <c r="U273" s="345"/>
      <c r="V273" s="345"/>
    </row>
    <row r="274" spans="1:22" s="226" customFormat="1" ht="27.75" customHeight="1">
      <c r="A274" s="6"/>
      <c r="B274" s="500"/>
      <c r="D274" s="501"/>
      <c r="E274" s="502"/>
      <c r="F274" s="503"/>
      <c r="G274" s="430"/>
      <c r="H274" s="430"/>
      <c r="I274" s="504"/>
      <c r="J274" s="3"/>
      <c r="K274" s="372"/>
      <c r="L274" s="501"/>
      <c r="M274" s="372"/>
      <c r="N274" s="501"/>
      <c r="O274" s="430"/>
      <c r="P274" s="430"/>
      <c r="Q274" s="504"/>
      <c r="R274" s="2"/>
      <c r="S274" s="425"/>
      <c r="T274" s="425"/>
      <c r="U274" s="345"/>
      <c r="V274" s="345"/>
    </row>
    <row r="275" spans="1:22" s="226" customFormat="1" ht="27.75" customHeight="1">
      <c r="A275" s="6"/>
      <c r="B275" s="500"/>
      <c r="D275" s="501"/>
      <c r="E275" s="502"/>
      <c r="F275" s="503"/>
      <c r="G275" s="430">
        <v>361288.35</v>
      </c>
      <c r="H275" s="430"/>
      <c r="I275" s="430"/>
      <c r="J275" s="3"/>
      <c r="K275" s="372"/>
      <c r="L275" s="501"/>
      <c r="M275" s="372"/>
      <c r="N275" s="501"/>
      <c r="O275" s="430"/>
      <c r="P275" s="430"/>
      <c r="Q275" s="430"/>
      <c r="R275" s="2"/>
      <c r="S275" s="425"/>
      <c r="T275" s="425"/>
      <c r="U275" s="345"/>
      <c r="V275" s="345"/>
    </row>
    <row r="276" spans="1:22" s="226" customFormat="1" ht="27.75" customHeight="1">
      <c r="A276" s="6"/>
      <c r="B276" s="500"/>
      <c r="D276" s="501"/>
      <c r="E276" s="502"/>
      <c r="F276" s="503"/>
      <c r="G276" s="430">
        <v>96700.72</v>
      </c>
      <c r="H276" s="430"/>
      <c r="I276" s="504"/>
      <c r="J276" s="3"/>
      <c r="K276" s="372"/>
      <c r="L276" s="501"/>
      <c r="M276" s="372"/>
      <c r="N276" s="501"/>
      <c r="O276" s="430"/>
      <c r="P276" s="430"/>
      <c r="Q276" s="504"/>
      <c r="R276" s="2"/>
      <c r="S276" s="425"/>
      <c r="T276" s="425"/>
      <c r="U276" s="345"/>
      <c r="V276" s="345"/>
    </row>
    <row r="277" spans="1:22" s="226" customFormat="1" ht="27.75" customHeight="1">
      <c r="A277" s="6"/>
      <c r="B277" s="500"/>
      <c r="D277" s="501"/>
      <c r="E277" s="502"/>
      <c r="F277" s="503"/>
      <c r="G277" s="430">
        <v>285799.45</v>
      </c>
      <c r="H277" s="430"/>
      <c r="I277" s="504"/>
      <c r="J277" s="3"/>
      <c r="K277" s="372"/>
      <c r="L277" s="501"/>
      <c r="M277" s="372"/>
      <c r="N277" s="501"/>
      <c r="O277" s="430"/>
      <c r="P277" s="430"/>
      <c r="Q277" s="504"/>
      <c r="R277" s="2"/>
      <c r="S277" s="425"/>
      <c r="T277" s="425"/>
      <c r="U277" s="345"/>
      <c r="V277" s="345"/>
    </row>
    <row r="278" spans="1:22" s="226" customFormat="1" ht="27.75" customHeight="1">
      <c r="A278" s="6"/>
      <c r="B278" s="500"/>
      <c r="D278" s="501"/>
      <c r="E278" s="502"/>
      <c r="F278" s="503"/>
      <c r="G278" s="430">
        <v>57054.05</v>
      </c>
      <c r="H278" s="430"/>
      <c r="I278" s="504"/>
      <c r="J278" s="3"/>
      <c r="K278" s="372"/>
      <c r="L278" s="501"/>
      <c r="M278" s="372"/>
      <c r="N278" s="501"/>
      <c r="O278" s="430"/>
      <c r="P278" s="430"/>
      <c r="Q278" s="430"/>
      <c r="R278" s="2"/>
      <c r="S278" s="425"/>
      <c r="T278" s="425"/>
      <c r="U278" s="345"/>
      <c r="V278" s="345"/>
    </row>
    <row r="279" spans="1:22" s="226" customFormat="1" ht="27.75" customHeight="1">
      <c r="A279" s="6"/>
      <c r="B279" s="500"/>
      <c r="D279" s="501"/>
      <c r="E279" s="502"/>
      <c r="F279" s="503"/>
      <c r="G279" s="430">
        <v>28958.15</v>
      </c>
      <c r="H279" s="430"/>
      <c r="I279" s="504"/>
      <c r="J279" s="3"/>
      <c r="K279" s="372"/>
      <c r="L279" s="501"/>
      <c r="M279" s="372"/>
      <c r="N279" s="501"/>
      <c r="O279" s="430"/>
      <c r="P279" s="430"/>
      <c r="Q279" s="504"/>
      <c r="R279" s="2"/>
      <c r="S279" s="425"/>
      <c r="T279" s="425"/>
      <c r="U279" s="345"/>
      <c r="V279" s="345"/>
    </row>
    <row r="280" spans="1:22" s="226" customFormat="1" ht="27.75" customHeight="1">
      <c r="A280" s="6"/>
      <c r="B280" s="500"/>
      <c r="D280" s="501"/>
      <c r="E280" s="502"/>
      <c r="F280" s="503"/>
      <c r="G280" s="430">
        <f>SUM(G275:G279)</f>
        <v>829800.72000000009</v>
      </c>
      <c r="H280" s="430"/>
      <c r="I280" s="504">
        <f>SUM(G269+G280)</f>
        <v>9044329.9700000007</v>
      </c>
      <c r="J280" s="3"/>
      <c r="K280" s="372"/>
      <c r="L280" s="501"/>
      <c r="M280" s="372"/>
      <c r="N280" s="501"/>
      <c r="O280" s="430"/>
      <c r="P280" s="430"/>
      <c r="Q280" s="504"/>
      <c r="R280" s="2"/>
      <c r="S280" s="425"/>
      <c r="T280" s="425"/>
      <c r="U280" s="345"/>
      <c r="V280" s="345"/>
    </row>
    <row r="281" spans="1:22" s="226" customFormat="1" ht="27.75" customHeight="1">
      <c r="A281" s="6"/>
      <c r="B281" s="500"/>
      <c r="D281" s="501"/>
      <c r="E281" s="502"/>
      <c r="F281" s="503"/>
      <c r="G281" s="430"/>
      <c r="H281" s="430"/>
      <c r="I281" s="504"/>
      <c r="J281" s="3"/>
      <c r="K281" s="372"/>
      <c r="L281" s="501"/>
      <c r="M281" s="372"/>
      <c r="N281" s="501"/>
      <c r="O281" s="430"/>
      <c r="P281" s="430"/>
      <c r="Q281" s="504"/>
      <c r="R281" s="2"/>
      <c r="S281" s="425"/>
      <c r="T281" s="425"/>
      <c r="U281" s="345"/>
      <c r="V281" s="345"/>
    </row>
    <row r="282" spans="1:22" s="226" customFormat="1" ht="27.75" customHeight="1">
      <c r="A282" s="6"/>
      <c r="B282" s="500"/>
      <c r="D282" s="501"/>
      <c r="E282" s="502"/>
      <c r="F282" s="503"/>
      <c r="G282" s="430"/>
      <c r="H282" s="430"/>
      <c r="I282" s="504"/>
      <c r="J282" s="3"/>
      <c r="K282" s="372"/>
      <c r="L282" s="501"/>
      <c r="M282" s="372"/>
      <c r="N282" s="501"/>
      <c r="O282" s="430"/>
      <c r="P282" s="430"/>
      <c r="Q282" s="504"/>
      <c r="R282" s="2"/>
      <c r="S282" s="425"/>
      <c r="T282" s="425"/>
      <c r="U282" s="345"/>
      <c r="V282" s="345"/>
    </row>
    <row r="283" spans="1:22" s="226" customFormat="1" ht="27.75" customHeight="1">
      <c r="A283" s="6"/>
      <c r="B283" s="500"/>
      <c r="D283" s="501"/>
      <c r="E283" s="502"/>
      <c r="F283" s="503"/>
      <c r="G283" s="430"/>
      <c r="H283" s="430"/>
      <c r="J283" s="3"/>
      <c r="K283" s="372"/>
      <c r="L283" s="501"/>
      <c r="M283" s="372"/>
      <c r="N283" s="501"/>
      <c r="O283" s="430"/>
      <c r="P283" s="430"/>
      <c r="Q283" s="504"/>
      <c r="R283" s="2"/>
      <c r="S283" s="425"/>
      <c r="T283" s="425"/>
      <c r="U283" s="345"/>
      <c r="V283" s="345"/>
    </row>
    <row r="284" spans="1:22" s="226" customFormat="1" ht="27.75" customHeight="1">
      <c r="A284" s="6"/>
      <c r="B284" s="500"/>
      <c r="D284" s="501"/>
      <c r="E284" s="502"/>
      <c r="F284" s="503"/>
      <c r="G284" s="430"/>
      <c r="H284" s="430"/>
      <c r="I284" s="504"/>
      <c r="J284" s="3"/>
      <c r="K284" s="372"/>
      <c r="L284" s="501"/>
      <c r="M284" s="372"/>
      <c r="N284" s="501"/>
      <c r="O284" s="430"/>
      <c r="P284" s="430"/>
      <c r="Q284" s="504"/>
      <c r="R284" s="2"/>
      <c r="S284" s="425"/>
      <c r="T284" s="425"/>
      <c r="U284" s="345"/>
      <c r="V284" s="345"/>
    </row>
    <row r="285" spans="1:22" s="226" customFormat="1" ht="27.75" customHeight="1">
      <c r="A285" s="6"/>
      <c r="B285" s="500"/>
      <c r="D285" s="501"/>
      <c r="E285" s="502"/>
      <c r="F285" s="503"/>
      <c r="G285" s="430"/>
      <c r="H285" s="430"/>
      <c r="I285" s="504"/>
      <c r="J285" s="3"/>
      <c r="K285" s="372"/>
      <c r="L285" s="501"/>
      <c r="M285" s="372"/>
      <c r="N285" s="501"/>
      <c r="O285" s="430"/>
      <c r="P285" s="430"/>
      <c r="Q285" s="504"/>
      <c r="R285" s="2"/>
      <c r="S285" s="425"/>
      <c r="T285" s="425"/>
      <c r="U285" s="345"/>
      <c r="V285" s="345"/>
    </row>
    <row r="286" spans="1:22" s="226" customFormat="1" ht="27.75" customHeight="1">
      <c r="A286" s="6"/>
      <c r="B286" s="500"/>
      <c r="D286" s="501"/>
      <c r="E286" s="502"/>
      <c r="F286" s="503"/>
      <c r="G286" s="430"/>
      <c r="H286" s="430"/>
      <c r="I286" s="504"/>
      <c r="J286" s="3"/>
      <c r="K286" s="372"/>
      <c r="L286" s="501"/>
      <c r="M286" s="372"/>
      <c r="N286" s="501"/>
      <c r="O286" s="430"/>
      <c r="P286" s="430"/>
      <c r="Q286" s="504"/>
      <c r="R286" s="2"/>
      <c r="S286" s="425"/>
      <c r="T286" s="425"/>
      <c r="U286" s="345"/>
      <c r="V286" s="345"/>
    </row>
    <row r="287" spans="1:22" s="226" customFormat="1" ht="27.75" customHeight="1">
      <c r="A287" s="6"/>
      <c r="B287" s="500"/>
      <c r="D287" s="501"/>
      <c r="E287" s="502"/>
      <c r="F287" s="503"/>
      <c r="G287" s="430"/>
      <c r="H287" s="430"/>
      <c r="I287" s="504"/>
      <c r="J287" s="3"/>
      <c r="K287" s="372"/>
      <c r="L287" s="501"/>
      <c r="M287" s="372"/>
      <c r="N287" s="501"/>
      <c r="O287" s="430"/>
      <c r="P287" s="430"/>
      <c r="Q287" s="504"/>
      <c r="R287" s="2"/>
      <c r="S287" s="425"/>
      <c r="T287" s="425"/>
      <c r="U287" s="345"/>
      <c r="V287" s="345"/>
    </row>
    <row r="288" spans="1:22" s="226" customFormat="1" ht="27.75" customHeight="1">
      <c r="A288" s="6"/>
      <c r="D288" s="501"/>
      <c r="E288" s="502"/>
      <c r="F288" s="503"/>
      <c r="G288" s="430"/>
      <c r="H288" s="430"/>
      <c r="I288" s="504"/>
      <c r="J288" s="3"/>
      <c r="K288" s="372"/>
      <c r="L288" s="501"/>
      <c r="M288" s="372"/>
      <c r="N288" s="501"/>
      <c r="O288" s="430"/>
      <c r="P288" s="430"/>
      <c r="Q288" s="504"/>
      <c r="R288" s="2"/>
      <c r="S288" s="425"/>
      <c r="T288" s="425"/>
      <c r="U288" s="345"/>
      <c r="V288" s="345"/>
    </row>
    <row r="289" spans="2:22" ht="27.75" customHeight="1">
      <c r="B289" s="4"/>
      <c r="D289" s="4"/>
      <c r="E289" s="505"/>
      <c r="G289" s="504"/>
      <c r="H289" s="504"/>
      <c r="L289" s="4"/>
      <c r="N289" s="4"/>
      <c r="O289" s="507"/>
      <c r="P289" s="507"/>
      <c r="U289" s="4"/>
      <c r="V289" s="4"/>
    </row>
    <row r="290" spans="2:22" ht="27.75" customHeight="1">
      <c r="B290" s="4"/>
      <c r="D290" s="4"/>
      <c r="E290" s="505"/>
      <c r="G290" s="504"/>
      <c r="H290" s="504"/>
      <c r="L290" s="4"/>
      <c r="N290" s="4"/>
      <c r="O290" s="507"/>
      <c r="P290" s="507"/>
      <c r="U290" s="4"/>
      <c r="V290" s="4"/>
    </row>
    <row r="291" spans="2:22" ht="27.75" customHeight="1">
      <c r="B291" s="4"/>
      <c r="D291" s="4"/>
      <c r="E291" s="505"/>
      <c r="G291" s="504"/>
      <c r="H291" s="504"/>
      <c r="I291" s="509"/>
      <c r="L291" s="4"/>
      <c r="N291" s="4"/>
      <c r="O291" s="507"/>
      <c r="P291" s="507"/>
      <c r="U291" s="4"/>
      <c r="V291" s="4"/>
    </row>
    <row r="292" spans="2:22" ht="27.75" customHeight="1">
      <c r="B292" s="4"/>
      <c r="D292" s="4"/>
      <c r="E292" s="505"/>
      <c r="G292" s="504"/>
      <c r="H292" s="504"/>
      <c r="L292" s="4"/>
      <c r="N292" s="4"/>
      <c r="O292" s="507"/>
      <c r="P292" s="507"/>
      <c r="U292" s="4"/>
      <c r="V292" s="4"/>
    </row>
    <row r="293" spans="2:22" ht="27.75" customHeight="1">
      <c r="B293" s="4"/>
      <c r="D293" s="4"/>
      <c r="E293" s="505"/>
      <c r="G293" s="504"/>
      <c r="H293" s="504"/>
      <c r="L293" s="4"/>
      <c r="N293" s="4"/>
      <c r="O293" s="507"/>
      <c r="P293" s="507"/>
      <c r="U293" s="4"/>
      <c r="V293" s="4"/>
    </row>
    <row r="294" spans="2:22" ht="27.75" customHeight="1">
      <c r="B294" s="4"/>
      <c r="D294" s="4"/>
      <c r="E294" s="505"/>
      <c r="G294" s="504"/>
      <c r="H294" s="504"/>
      <c r="L294" s="4"/>
      <c r="N294" s="4"/>
      <c r="O294" s="507"/>
      <c r="P294" s="507"/>
      <c r="U294" s="4"/>
      <c r="V294" s="4"/>
    </row>
    <row r="295" spans="2:22" ht="27.75" customHeight="1">
      <c r="B295" s="4"/>
      <c r="D295" s="4"/>
      <c r="E295" s="505"/>
      <c r="G295" s="504"/>
      <c r="H295" s="504"/>
      <c r="L295" s="4"/>
      <c r="N295" s="4"/>
      <c r="O295" s="507"/>
      <c r="P295" s="507"/>
      <c r="U295" s="4"/>
      <c r="V295" s="4"/>
    </row>
    <row r="296" spans="2:22" ht="27.75" customHeight="1">
      <c r="B296" s="4"/>
      <c r="D296" s="4"/>
      <c r="E296" s="505"/>
      <c r="G296" s="504"/>
      <c r="H296" s="504"/>
      <c r="L296" s="4"/>
      <c r="N296" s="4"/>
      <c r="O296" s="507"/>
      <c r="P296" s="507"/>
      <c r="U296" s="4"/>
      <c r="V296" s="4"/>
    </row>
    <row r="297" spans="2:22" ht="27.75" customHeight="1">
      <c r="B297" s="4"/>
      <c r="D297" s="4"/>
      <c r="E297" s="505"/>
      <c r="G297" s="504"/>
      <c r="H297" s="504"/>
      <c r="L297" s="4"/>
      <c r="N297" s="4"/>
      <c r="O297" s="507"/>
      <c r="P297" s="507"/>
      <c r="U297" s="4"/>
      <c r="V297" s="4"/>
    </row>
    <row r="298" spans="2:22" ht="27.75" customHeight="1">
      <c r="B298" s="4"/>
      <c r="D298" s="4"/>
      <c r="E298" s="505"/>
      <c r="G298" s="504"/>
      <c r="H298" s="504"/>
      <c r="L298" s="4"/>
      <c r="N298" s="4"/>
      <c r="O298" s="507"/>
      <c r="P298" s="507"/>
      <c r="U298" s="4"/>
      <c r="V298" s="4"/>
    </row>
    <row r="299" spans="2:22" ht="27.75" customHeight="1">
      <c r="B299" s="4"/>
      <c r="D299" s="4"/>
      <c r="E299" s="505"/>
      <c r="G299" s="504"/>
      <c r="H299" s="504"/>
      <c r="L299" s="4"/>
      <c r="N299" s="4"/>
      <c r="O299" s="507"/>
      <c r="P299" s="507"/>
      <c r="U299" s="4"/>
      <c r="V299" s="4"/>
    </row>
    <row r="300" spans="2:22" ht="27.75" customHeight="1">
      <c r="B300" s="4"/>
      <c r="D300" s="4"/>
      <c r="E300" s="505"/>
      <c r="G300" s="504"/>
      <c r="H300" s="504"/>
      <c r="L300" s="4"/>
      <c r="N300" s="4"/>
      <c r="O300" s="507"/>
      <c r="P300" s="507"/>
      <c r="U300" s="4"/>
      <c r="V300" s="4"/>
    </row>
    <row r="301" spans="2:22" ht="27.75" customHeight="1">
      <c r="B301" s="4"/>
      <c r="D301" s="4"/>
      <c r="E301" s="505"/>
      <c r="G301" s="504"/>
      <c r="H301" s="504"/>
      <c r="L301" s="4"/>
      <c r="N301" s="4"/>
      <c r="O301" s="507"/>
      <c r="P301" s="507"/>
      <c r="U301" s="4"/>
      <c r="V301" s="4"/>
    </row>
    <row r="302" spans="2:22" ht="27.75" customHeight="1">
      <c r="B302" s="4"/>
      <c r="D302" s="4"/>
      <c r="E302" s="505"/>
      <c r="G302" s="504"/>
      <c r="H302" s="504"/>
      <c r="L302" s="4"/>
      <c r="N302" s="4"/>
      <c r="O302" s="507"/>
      <c r="P302" s="507"/>
      <c r="U302" s="4"/>
      <c r="V302" s="4"/>
    </row>
    <row r="303" spans="2:22" ht="27.75" customHeight="1">
      <c r="B303" s="4"/>
      <c r="D303" s="4"/>
      <c r="E303" s="505"/>
      <c r="G303" s="504"/>
      <c r="H303" s="504"/>
      <c r="L303" s="4"/>
      <c r="N303" s="4"/>
      <c r="O303" s="507"/>
      <c r="P303" s="507"/>
      <c r="U303" s="4"/>
      <c r="V303" s="4"/>
    </row>
    <row r="304" spans="2:22" ht="27.75" customHeight="1">
      <c r="B304" s="4"/>
      <c r="D304" s="4"/>
      <c r="E304" s="505"/>
      <c r="G304" s="504"/>
      <c r="H304" s="504"/>
      <c r="L304" s="4"/>
      <c r="N304" s="4"/>
      <c r="O304" s="507"/>
      <c r="P304" s="507"/>
      <c r="U304" s="4"/>
      <c r="V304" s="4"/>
    </row>
    <row r="316" spans="2:22" ht="27.75" customHeight="1">
      <c r="B316" s="4"/>
      <c r="D316" s="4"/>
      <c r="E316" s="505"/>
      <c r="G316" s="504"/>
      <c r="H316" s="504"/>
      <c r="L316" s="4"/>
      <c r="N316" s="4"/>
      <c r="O316" s="507"/>
      <c r="P316" s="507"/>
      <c r="R316" s="4"/>
      <c r="S316" s="4"/>
      <c r="T316" s="4"/>
      <c r="U316" s="4"/>
      <c r="V316" s="4"/>
    </row>
    <row r="317" spans="2:22" ht="27.75" customHeight="1">
      <c r="B317" s="4"/>
      <c r="D317" s="4"/>
      <c r="E317" s="505"/>
      <c r="G317" s="504"/>
      <c r="H317" s="504"/>
      <c r="L317" s="4"/>
      <c r="N317" s="4"/>
      <c r="O317" s="507"/>
      <c r="P317" s="507"/>
      <c r="R317" s="4"/>
      <c r="S317" s="4"/>
      <c r="T317" s="4"/>
      <c r="U317" s="4"/>
      <c r="V317" s="4"/>
    </row>
    <row r="318" spans="2:22" ht="27.75" customHeight="1">
      <c r="B318" s="4"/>
      <c r="D318" s="4"/>
      <c r="E318" s="505"/>
      <c r="G318" s="504"/>
      <c r="H318" s="504"/>
      <c r="L318" s="4"/>
      <c r="N318" s="4"/>
      <c r="O318" s="507"/>
      <c r="P318" s="507"/>
      <c r="R318" s="4"/>
      <c r="S318" s="4"/>
      <c r="T318" s="4"/>
      <c r="U318" s="4"/>
      <c r="V318" s="4"/>
    </row>
    <row r="319" spans="2:22" ht="27.75" customHeight="1">
      <c r="B319" s="4"/>
      <c r="D319" s="4"/>
      <c r="E319" s="505"/>
      <c r="G319" s="504"/>
      <c r="H319" s="504"/>
      <c r="L319" s="4"/>
      <c r="N319" s="4"/>
      <c r="O319" s="507"/>
      <c r="P319" s="507"/>
      <c r="R319" s="4"/>
      <c r="S319" s="4"/>
      <c r="T319" s="4"/>
      <c r="U319" s="4"/>
      <c r="V319" s="4"/>
    </row>
    <row r="320" spans="2:22" ht="27.75" customHeight="1">
      <c r="B320" s="4"/>
      <c r="D320" s="4"/>
      <c r="E320" s="505"/>
      <c r="G320" s="504"/>
      <c r="H320" s="504"/>
      <c r="L320" s="4"/>
      <c r="N320" s="4"/>
      <c r="O320" s="507"/>
      <c r="P320" s="507"/>
      <c r="R320" s="4"/>
      <c r="S320" s="4"/>
      <c r="T320" s="4"/>
      <c r="U320" s="4"/>
      <c r="V320" s="4"/>
    </row>
    <row r="321" spans="2:22" ht="27.75" customHeight="1">
      <c r="B321" s="4"/>
      <c r="D321" s="4"/>
      <c r="E321" s="505"/>
      <c r="G321" s="504"/>
      <c r="H321" s="504"/>
      <c r="L321" s="4"/>
      <c r="N321" s="4"/>
      <c r="O321" s="507"/>
      <c r="P321" s="507"/>
      <c r="R321" s="4"/>
      <c r="S321" s="4"/>
      <c r="T321" s="4"/>
      <c r="U321" s="4"/>
      <c r="V321" s="4"/>
    </row>
    <row r="322" spans="2:22" ht="27.75" customHeight="1">
      <c r="B322" s="4"/>
      <c r="D322" s="4"/>
      <c r="E322" s="505"/>
      <c r="G322" s="504"/>
      <c r="H322" s="504"/>
      <c r="L322" s="4"/>
      <c r="N322" s="4"/>
      <c r="O322" s="507"/>
      <c r="P322" s="507"/>
      <c r="R322" s="4"/>
      <c r="S322" s="4"/>
      <c r="T322" s="4"/>
      <c r="U322" s="4"/>
      <c r="V322" s="4"/>
    </row>
    <row r="323" spans="2:22" ht="27.75" customHeight="1">
      <c r="B323" s="4"/>
      <c r="D323" s="4"/>
      <c r="E323" s="505"/>
      <c r="G323" s="504"/>
      <c r="H323" s="504"/>
      <c r="L323" s="4"/>
      <c r="N323" s="4"/>
      <c r="O323" s="507"/>
      <c r="P323" s="507"/>
      <c r="R323" s="4"/>
      <c r="S323" s="4"/>
      <c r="T323" s="4"/>
      <c r="U323" s="4"/>
      <c r="V323" s="4"/>
    </row>
    <row r="324" spans="2:22" ht="27.75" customHeight="1">
      <c r="B324" s="4"/>
      <c r="D324" s="4"/>
      <c r="E324" s="505"/>
      <c r="G324" s="504"/>
      <c r="H324" s="504"/>
      <c r="L324" s="4"/>
      <c r="N324" s="4"/>
      <c r="O324" s="507"/>
      <c r="P324" s="507"/>
      <c r="R324" s="4"/>
      <c r="S324" s="4"/>
      <c r="T324" s="4"/>
      <c r="U324" s="4"/>
      <c r="V324" s="4"/>
    </row>
    <row r="325" spans="2:22" ht="27.75" customHeight="1">
      <c r="B325" s="4"/>
      <c r="D325" s="4"/>
      <c r="E325" s="505"/>
      <c r="G325" s="504"/>
      <c r="H325" s="504"/>
      <c r="L325" s="4"/>
      <c r="N325" s="4"/>
      <c r="O325" s="507"/>
      <c r="P325" s="507"/>
      <c r="R325" s="4"/>
      <c r="S325" s="4"/>
      <c r="T325" s="4"/>
      <c r="U325" s="4"/>
      <c r="V325" s="4"/>
    </row>
    <row r="326" spans="2:22" ht="27.75" customHeight="1">
      <c r="B326" s="4"/>
      <c r="D326" s="4"/>
      <c r="E326" s="505"/>
      <c r="G326" s="504"/>
      <c r="H326" s="504"/>
      <c r="L326" s="4"/>
      <c r="N326" s="4"/>
      <c r="O326" s="507"/>
      <c r="P326" s="507"/>
      <c r="R326" s="4"/>
      <c r="S326" s="4"/>
      <c r="T326" s="4"/>
      <c r="U326" s="4"/>
      <c r="V326" s="4"/>
    </row>
    <row r="327" spans="2:22" ht="27.75" customHeight="1">
      <c r="B327" s="4"/>
      <c r="D327" s="4"/>
      <c r="E327" s="505"/>
      <c r="G327" s="504"/>
      <c r="H327" s="504"/>
      <c r="L327" s="4"/>
      <c r="N327" s="4"/>
      <c r="O327" s="507"/>
      <c r="P327" s="507"/>
      <c r="R327" s="4"/>
      <c r="S327" s="4"/>
      <c r="T327" s="4"/>
      <c r="U327" s="4"/>
      <c r="V327" s="4"/>
    </row>
    <row r="328" spans="2:22" ht="27.75" customHeight="1">
      <c r="B328" s="4"/>
      <c r="D328" s="4"/>
      <c r="E328" s="505"/>
      <c r="G328" s="504"/>
      <c r="H328" s="504"/>
      <c r="L328" s="4"/>
      <c r="N328" s="4"/>
      <c r="O328" s="507"/>
      <c r="P328" s="507"/>
      <c r="R328" s="4"/>
      <c r="S328" s="4"/>
      <c r="T328" s="4"/>
      <c r="U328" s="4"/>
      <c r="V328" s="4"/>
    </row>
  </sheetData>
  <mergeCells count="25">
    <mergeCell ref="B256:D256"/>
    <mergeCell ref="B260:D260"/>
    <mergeCell ref="B263:D263"/>
    <mergeCell ref="S4:S6"/>
    <mergeCell ref="T4:T6"/>
    <mergeCell ref="U4:U6"/>
    <mergeCell ref="V4:V6"/>
    <mergeCell ref="A5:A6"/>
    <mergeCell ref="B5:B6"/>
    <mergeCell ref="C5:C6"/>
    <mergeCell ref="D5:D6"/>
    <mergeCell ref="E5:E6"/>
    <mergeCell ref="F5:F6"/>
    <mergeCell ref="R4:R6"/>
    <mergeCell ref="G5:I5"/>
    <mergeCell ref="K5:K6"/>
    <mergeCell ref="L5:L6"/>
    <mergeCell ref="M5:M6"/>
    <mergeCell ref="N5:N6"/>
    <mergeCell ref="O5:Q5"/>
    <mergeCell ref="A1:Q1"/>
    <mergeCell ref="A2:Q2"/>
    <mergeCell ref="A3:Q3"/>
    <mergeCell ref="E4:I4"/>
    <mergeCell ref="M4: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มิย.69</vt:lpstr>
      <vt:lpstr>รับชำระ มิย.69</vt:lpstr>
      <vt:lpstr>แนบ มิย.69</vt:lpstr>
      <vt:lpstr>เรียง มิย.69</vt:lpstr>
      <vt:lpstr>พค.69</vt:lpstr>
      <vt:lpstr>รับชำระ พค.69 </vt:lpstr>
      <vt:lpstr>แนบ พค.69</vt:lpstr>
      <vt:lpstr>เรียง พค.69</vt:lpstr>
      <vt:lpstr>เมย.69</vt:lpstr>
      <vt:lpstr>รับชำระ เมย.69</vt:lpstr>
      <vt:lpstr>แนบ เมย.69</vt:lpstr>
      <vt:lpstr>เรียง เมย.69</vt:lpstr>
      <vt:lpstr>มีค.69</vt:lpstr>
      <vt:lpstr>รับชำระ มีค.69</vt:lpstr>
      <vt:lpstr>แนบ มีค.69</vt:lpstr>
      <vt:lpstr>เรียง มีค.69</vt:lpstr>
      <vt:lpstr>กพ.69</vt:lpstr>
      <vt:lpstr>รับชำระ กพ.69</vt:lpstr>
      <vt:lpstr>แนบ กพ.69</vt:lpstr>
      <vt:lpstr>เรียง กพ.69</vt:lpstr>
      <vt:lpstr>มค.69</vt:lpstr>
      <vt:lpstr>รับชำระ มค.69</vt:lpstr>
      <vt:lpstr>แนบ มค.69</vt:lpstr>
      <vt:lpstr>เรียง มค.69</vt:lpstr>
      <vt:lpstr>ธค.68</vt:lpstr>
      <vt:lpstr>รับชำระ ธค.68</vt:lpstr>
      <vt:lpstr>แนบ ธค.68</vt:lpstr>
      <vt:lpstr>เรียง ธค.68</vt:lpstr>
      <vt:lpstr>พย.68</vt:lpstr>
      <vt:lpstr>รับชำระ พย.68</vt:lpstr>
      <vt:lpstr>แนบ พย.68</vt:lpstr>
      <vt:lpstr>เรียง พย.68</vt:lpstr>
      <vt:lpstr>ตค.68</vt:lpstr>
      <vt:lpstr>รับชำระ ตค.68 </vt:lpstr>
      <vt:lpstr>แนบ ตค.68</vt:lpstr>
      <vt:lpstr>เรียง ตค.68</vt:lpstr>
      <vt:lpstr>กย.68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สนง.บริหารหนี้</dc:creator>
  <cp:lastModifiedBy>สนง.บริหารหนี้</cp:lastModifiedBy>
  <cp:lastPrinted>2026-08-14T07:01:34Z</cp:lastPrinted>
  <dcterms:created xsi:type="dcterms:W3CDTF">2025-10-06T08:37:16Z</dcterms:created>
  <dcterms:modified xsi:type="dcterms:W3CDTF">2026-08-14T07:01:53Z</dcterms:modified>
</cp:coreProperties>
</file>